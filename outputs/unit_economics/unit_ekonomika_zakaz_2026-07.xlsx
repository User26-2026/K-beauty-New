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3150" windowHeight="17100" tabRatio="600" firstSheet="0" activeTab="1" autoFilterDateGrouping="1"/>
  </bookViews>
  <sheets>
    <sheet name="Параметры" sheetId="1" state="visible" r:id="rId1"/>
    <sheet name="Юнит" sheetId="2" state="visible" r:id="rId2"/>
    <sheet name="По брендам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0"/>
    </font>
    <font>
      <name val="Calibri"/>
      <b val="1"/>
      <color rgb="FFC00000"/>
      <sz val="11"/>
    </font>
    <font>
      <name val="Calibri"/>
      <b val="1"/>
      <color rgb="FFFFFFFF"/>
      <sz val="9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00B050"/>
        <bgColor indexed="64"/>
      </patternFill>
    </fill>
    <fill>
      <patternFill patternType="solid">
        <fgColor rgb="00305496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2" fontId="3" fillId="2" borderId="0" pivotButton="0" quotePrefix="0" xfId="0"/>
    <xf numFmtId="9" fontId="3" fillId="2" borderId="0" pivotButton="0" quotePrefix="0" xfId="0"/>
    <xf numFmtId="165" fontId="3" fillId="2" borderId="0" pivotButton="0" quotePrefix="0" xfId="0"/>
    <xf numFmtId="10" fontId="3" fillId="2" borderId="0" pivotButton="0" quotePrefix="0" xfId="0"/>
    <xf numFmtId="1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3" fontId="0" fillId="0" borderId="3" pivotButton="0" quotePrefix="0" xfId="0"/>
    <xf numFmtId="0" fontId="6" fillId="7" borderId="0" pivotButton="0" quotePrefix="0" xfId="0"/>
    <xf numFmtId="3" fontId="6" fillId="7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1" sqref="B1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ПАРАМЕТРЫ (меняй тут — пересчитается весь лист Юнит)</t>
        </is>
      </c>
    </row>
    <row r="2">
      <c r="A2" s="2" t="inlineStr">
        <is>
          <t>Курс KRW→RUB</t>
        </is>
      </c>
      <c r="B2" s="3" t="n">
        <v>0.053</v>
      </c>
    </row>
    <row r="3">
      <c r="A3" s="2" t="inlineStr">
        <is>
          <t>Множитель себестоимости</t>
        </is>
      </c>
      <c r="B3" s="4" t="n">
        <v>1.2</v>
      </c>
    </row>
    <row r="4">
      <c r="A4" s="2" t="inlineStr">
        <is>
          <t>СПП</t>
        </is>
      </c>
      <c r="B4" s="5" t="n">
        <v>0.4</v>
      </c>
    </row>
    <row r="5">
      <c r="A5" s="2" t="inlineStr">
        <is>
          <t>Комиссия WB</t>
        </is>
      </c>
      <c r="B5" s="6" t="n">
        <v>0.415</v>
      </c>
    </row>
    <row r="6">
      <c r="A6" s="2" t="inlineStr">
        <is>
          <t>Эквайринг</t>
        </is>
      </c>
      <c r="B6" s="7" t="n">
        <v>0.0235</v>
      </c>
    </row>
    <row r="7">
      <c r="A7" s="2" t="inlineStr">
        <is>
          <t>Налог УСН</t>
        </is>
      </c>
      <c r="B7" s="5" t="n">
        <v>0.06</v>
      </c>
    </row>
    <row r="8">
      <c r="A8" s="2" t="inlineStr">
        <is>
          <t>Обратная логистика, ₽</t>
        </is>
      </c>
      <c r="B8" s="8" t="n">
        <v>50</v>
      </c>
    </row>
    <row r="9">
      <c r="A9" s="2" t="inlineStr">
        <is>
          <t>Выкуп</t>
        </is>
      </c>
      <c r="B9" s="7" t="n">
        <v>0.9219000000000001</v>
      </c>
    </row>
    <row r="10">
      <c r="A10" s="2" t="inlineStr">
        <is>
          <t>Доп. обработка, ₽</t>
        </is>
      </c>
      <c r="B10" s="8" t="n">
        <v>60</v>
      </c>
    </row>
    <row r="11">
      <c r="A11" s="2" t="inlineStr">
        <is>
          <t>Хранение, ₽</t>
        </is>
      </c>
      <c r="B1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tabSelected="1" workbookViewId="0">
      <pane xSplit="2" ySplit="1" topLeftCell="C20" activePane="bottomRight" state="frozen"/>
      <selection pane="topRight" activeCell="A1" sqref="A1"/>
      <selection pane="bottomLeft" activeCell="A1" sqref="A1"/>
      <selection pane="bottomRight" activeCell="H34" sqref="H34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9" customWidth="1" style="16" min="4" max="4"/>
    <col hidden="1" width="9" customWidth="1" style="16" min="5" max="5"/>
    <col width="13" customWidth="1" style="16" min="6" max="6"/>
    <col width="13" customWidth="1" style="20" min="7" max="7"/>
    <col width="16" customWidth="1" style="16" min="8" max="8"/>
    <col width="11" customWidth="1" style="16" min="9" max="9"/>
    <col width="7" customWidth="1" style="16" min="10" max="10"/>
    <col width="10" customWidth="1" style="16" min="11" max="11"/>
    <col width="9" customWidth="1" style="16" min="12" max="12"/>
    <col width="10" customWidth="1" style="16" min="13" max="13"/>
    <col width="11" customWidth="1" style="16" min="14" max="14"/>
    <col width="9" customWidth="1" style="16" min="15" max="15"/>
    <col width="12" customWidth="1" style="16" min="16" max="16"/>
    <col width="13" customWidth="1" style="16" min="17" max="18"/>
    <col width="8" customWidth="1" style="16" min="19" max="19"/>
    <col width="9.85546875" bestFit="1" customWidth="1" style="19" min="20" max="20"/>
  </cols>
  <sheetData>
    <row r="1" ht="24" customHeight="1">
      <c r="A1" s="9" t="inlineStr">
        <is>
          <t>Бренд</t>
        </is>
      </c>
      <c r="B1" s="9" t="inlineStr">
        <is>
          <t>Товар</t>
        </is>
      </c>
      <c r="C1" s="9" t="inlineStr">
        <is>
          <t>Баркод</t>
        </is>
      </c>
      <c r="D1" s="9" t="inlineStr">
        <is>
          <t>Кол-во заказ</t>
        </is>
      </c>
      <c r="E1" s="9" t="inlineStr">
        <is>
          <t>Цена KRW</t>
        </is>
      </c>
      <c r="F1" s="9" t="inlineStr">
        <is>
          <t>Себестоимость ₽</t>
        </is>
      </c>
      <c r="G1" s="17" t="inlineStr">
        <is>
          <t>Себестоимость ИТОГО</t>
        </is>
      </c>
      <c r="H1" s="9" t="inlineStr">
        <is>
          <t>ПРОДАЖНАЯ ЦЕНА с СПП ₽</t>
        </is>
      </c>
      <c r="I1" s="9" t="inlineStr">
        <is>
          <t>Цена до СПП ₽</t>
        </is>
      </c>
      <c r="J1" s="9" t="inlineStr">
        <is>
          <t>ДРР %</t>
        </is>
      </c>
      <c r="K1" s="9" t="inlineStr">
        <is>
          <t>Логистика ₽</t>
        </is>
      </c>
      <c r="L1" s="9" t="inlineStr">
        <is>
          <t>Реклама ₽</t>
        </is>
      </c>
      <c r="M1" s="9" t="inlineStr">
        <is>
          <t>Комиссия ₽</t>
        </is>
      </c>
      <c r="N1" s="9" t="inlineStr">
        <is>
          <t>Эквайринг ₽</t>
        </is>
      </c>
      <c r="O1" s="9" t="inlineStr">
        <is>
          <t>Налог ₽</t>
        </is>
      </c>
      <c r="P1" s="9" t="inlineStr">
        <is>
          <t>Обр.логистика ₽</t>
        </is>
      </c>
      <c r="Q1" s="9" t="inlineStr">
        <is>
          <t>Маржа без ДРР ₽</t>
        </is>
      </c>
      <c r="R1" s="9" t="inlineStr">
        <is>
          <t>Маржа с ДРР ₽</t>
        </is>
      </c>
      <c r="S1" s="9" t="inlineStr">
        <is>
          <t>ROI %</t>
        </is>
      </c>
      <c r="T1" s="17" t="inlineStr">
        <is>
          <t>Прибыль ИТОГО</t>
        </is>
      </c>
    </row>
    <row r="2">
      <c r="A2" s="10" t="inlineStr">
        <is>
          <t>CELIMAX</t>
        </is>
      </c>
      <c r="B2" s="10" t="inlineStr">
        <is>
          <t>CELIMAX DUAL BARRIER CREAMY TONER 150ML</t>
        </is>
      </c>
      <c r="C2" s="10" t="inlineStr">
        <is>
          <t>8809606850475</t>
        </is>
      </c>
      <c r="D2" s="11" t="n">
        <v>25008</v>
      </c>
      <c r="E2" s="11" t="n">
        <v>8930</v>
      </c>
      <c r="F2" s="12">
        <f>E2*Параметры!$B$2*Параметры!$B$3</f>
        <v/>
      </c>
      <c r="G2" s="18">
        <f>F2*D2</f>
        <v/>
      </c>
      <c r="H2" s="13" t="n">
        <v>1000</v>
      </c>
      <c r="I2" s="11">
        <f>IF($H2="","",ROUND(H2/(1-Параметры!$B$4),0))</f>
        <v/>
      </c>
      <c r="J2" s="14" t="n">
        <v>0.05</v>
      </c>
      <c r="K2" s="15" t="n">
        <v>90</v>
      </c>
      <c r="L2" s="12">
        <f>IF($I2="","",I2*J2)</f>
        <v/>
      </c>
      <c r="M2" s="12">
        <f>IF($I2="","",I2*Параметры!$B$5)</f>
        <v/>
      </c>
      <c r="N2" s="12">
        <f>IF($H2="","",H2*Параметры!$B$6)</f>
        <v/>
      </c>
      <c r="O2" s="12">
        <f>IF($I2="","",I2*Параметры!$B$7)</f>
        <v/>
      </c>
      <c r="P2" s="12">
        <f>ROUND(Параметры!$B$8*(1-Параметры!$B$9),1)</f>
        <v/>
      </c>
      <c r="Q2" s="12">
        <f>IF($I2="","",I2-M2-K2-N2-O2-P2-Параметры!$B$10-Параметры!$B$11-F2)</f>
        <v/>
      </c>
      <c r="R2" s="12">
        <f>IF($I2="","",Q2-L2)</f>
        <v/>
      </c>
      <c r="S2" s="11">
        <f>IF(OR($H2="",F2=0),"",ROUND(R2/F2*100,1))</f>
        <v/>
      </c>
      <c r="T2" s="19">
        <f>R2*D2</f>
        <v/>
      </c>
    </row>
    <row r="3">
      <c r="A3" s="10" t="inlineStr">
        <is>
          <t>CELIMAX</t>
        </is>
      </c>
      <c r="B3" s="10" t="inlineStr">
        <is>
          <t>CELIMAX JI WOO GAE HEARTLEAF BHA PEELING PAD 60PADS</t>
        </is>
      </c>
      <c r="C3" s="10" t="inlineStr">
        <is>
          <t>8809463992615</t>
        </is>
      </c>
      <c r="D3" s="11" t="n">
        <v>1200</v>
      </c>
      <c r="E3" s="11" t="n">
        <v>7350</v>
      </c>
      <c r="F3" s="12">
        <f>E3*Параметры!$B$2*Параметры!$B$3</f>
        <v/>
      </c>
      <c r="G3" s="18">
        <f>F3*D3</f>
        <v/>
      </c>
      <c r="H3" s="13" t="n">
        <v>1792</v>
      </c>
      <c r="I3" s="11">
        <f>IF($H3="","",ROUND(H3/(1-Параметры!$B$4),0))</f>
        <v/>
      </c>
      <c r="J3" s="14" t="n">
        <v>0.1</v>
      </c>
      <c r="K3" s="15" t="n">
        <v>90</v>
      </c>
      <c r="L3" s="12">
        <f>IF($I3="","",I3*J3)</f>
        <v/>
      </c>
      <c r="M3" s="12">
        <f>IF($I3="","",I3*Параметры!$B$5)</f>
        <v/>
      </c>
      <c r="N3" s="12">
        <f>IF($H3="","",H3*Параметры!$B$6)</f>
        <v/>
      </c>
      <c r="O3" s="12">
        <f>IF($I3="","",I3*Параметры!$B$7)</f>
        <v/>
      </c>
      <c r="P3" s="12">
        <f>ROUND(Параметры!$B$8*(1-Параметры!$B$9),1)</f>
        <v/>
      </c>
      <c r="Q3" s="12">
        <f>IF($I3="","",I3-M3-K3-N3-O3-P3-Параметры!$B$10-Параметры!$B$11-F3)</f>
        <v/>
      </c>
      <c r="R3" s="12">
        <f>IF($I3="","",Q3-L3)</f>
        <v/>
      </c>
      <c r="S3" s="11">
        <f>IF(OR($H3="",F3=0),"",ROUND(R3/F3*100,1))</f>
        <v/>
      </c>
      <c r="T3" s="19">
        <f>R3*D3</f>
        <v/>
      </c>
    </row>
    <row r="4">
      <c r="A4" s="10" t="inlineStr">
        <is>
          <t>CELIMAX</t>
        </is>
      </c>
      <c r="B4" s="10" t="inlineStr">
        <is>
          <t>CELIMAX THE REAL NONI STARTER KIT</t>
        </is>
      </c>
      <c r="C4" s="10" t="inlineStr">
        <is>
          <t>8809971482349</t>
        </is>
      </c>
      <c r="D4" s="11" t="n">
        <v>480</v>
      </c>
      <c r="E4" s="11" t="n">
        <v>7600</v>
      </c>
      <c r="F4" s="12">
        <f>E4*Параметры!$B$2*Параметры!$B$3</f>
        <v/>
      </c>
      <c r="G4" s="18">
        <f>F4*D4</f>
        <v/>
      </c>
      <c r="H4" s="13" t="n">
        <v>1204</v>
      </c>
      <c r="I4" s="11">
        <f>IF($H4="","",ROUND(H4/(1-Параметры!$B$4),0))</f>
        <v/>
      </c>
      <c r="J4" s="14" t="n">
        <v>0.1</v>
      </c>
      <c r="K4" s="15" t="n">
        <v>90</v>
      </c>
      <c r="L4" s="12">
        <f>IF($I4="","",I4*J4)</f>
        <v/>
      </c>
      <c r="M4" s="12">
        <f>IF($I4="","",I4*Параметры!$B$5)</f>
        <v/>
      </c>
      <c r="N4" s="12">
        <f>IF($H4="","",H4*Параметры!$B$6)</f>
        <v/>
      </c>
      <c r="O4" s="12">
        <f>IF($I4="","",I4*Параметры!$B$7)</f>
        <v/>
      </c>
      <c r="P4" s="12">
        <f>ROUND(Параметры!$B$8*(1-Параметры!$B$9),1)</f>
        <v/>
      </c>
      <c r="Q4" s="12">
        <f>IF($I4="","",I4-M4-K4-N4-O4-P4-Параметры!$B$10-Параметры!$B$11-F4)</f>
        <v/>
      </c>
      <c r="R4" s="12">
        <f>IF($I4="","",Q4-L4)</f>
        <v/>
      </c>
      <c r="S4" s="11">
        <f>IF(OR($H4="",F4=0),"",ROUND(R4/F4*100,1))</f>
        <v/>
      </c>
      <c r="T4" s="19">
        <f>R4*D4</f>
        <v/>
      </c>
    </row>
    <row r="5">
      <c r="A5" s="10" t="inlineStr">
        <is>
          <t>CELIMAX</t>
        </is>
      </c>
      <c r="B5" s="10" t="inlineStr">
        <is>
          <t>CELIMAX DUAL BARRIER TRIAL KIT</t>
        </is>
      </c>
      <c r="C5" s="10" t="inlineStr">
        <is>
          <t>8809606852332</t>
        </is>
      </c>
      <c r="D5" s="11" t="n">
        <v>448</v>
      </c>
      <c r="E5" s="11" t="n">
        <v>5400</v>
      </c>
      <c r="F5" s="12">
        <f>E5*Параметры!$B$2*Параметры!$B$3</f>
        <v/>
      </c>
      <c r="G5" s="18">
        <f>F5*D5</f>
        <v/>
      </c>
      <c r="H5" s="13" t="n">
        <v>898</v>
      </c>
      <c r="I5" s="11">
        <f>IF($H5="","",ROUND(H5/(1-Параметры!$B$4),0))</f>
        <v/>
      </c>
      <c r="J5" s="14" t="n">
        <v>0.1</v>
      </c>
      <c r="K5" s="15" t="n">
        <v>90</v>
      </c>
      <c r="L5" s="12">
        <f>IF($I5="","",I5*J5)</f>
        <v/>
      </c>
      <c r="M5" s="12">
        <f>IF($I5="","",I5*Параметры!$B$5)</f>
        <v/>
      </c>
      <c r="N5" s="12">
        <f>IF($H5="","",H5*Параметры!$B$6)</f>
        <v/>
      </c>
      <c r="O5" s="12">
        <f>IF($I5="","",I5*Параметры!$B$7)</f>
        <v/>
      </c>
      <c r="P5" s="12">
        <f>ROUND(Параметры!$B$8*(1-Параметры!$B$9),1)</f>
        <v/>
      </c>
      <c r="Q5" s="12">
        <f>IF($I5="","",I5-M5-K5-N5-O5-P5-Параметры!$B$10-Параметры!$B$11-F5)</f>
        <v/>
      </c>
      <c r="R5" s="12">
        <f>IF($I5="","",Q5-L5)</f>
        <v/>
      </c>
      <c r="S5" s="11">
        <f>IF(OR($H5="",F5=0),"",ROUND(R5/F5*100,1))</f>
        <v/>
      </c>
      <c r="T5" s="19">
        <f>R5*D5</f>
        <v/>
      </c>
    </row>
    <row r="6">
      <c r="A6" s="10" t="inlineStr">
        <is>
          <t>CELIMAX</t>
        </is>
      </c>
      <c r="B6" s="10" t="inlineStr">
        <is>
          <t>CELIMAX THE REAL NONI ACNE BUBBLE CLEANSER 155ML</t>
        </is>
      </c>
      <c r="C6" s="10" t="inlineStr">
        <is>
          <t>8809541379468</t>
        </is>
      </c>
      <c r="D6" s="11" t="n">
        <v>312</v>
      </c>
      <c r="E6" s="11" t="n">
        <v>6550</v>
      </c>
      <c r="F6" s="12">
        <f>E6*Параметры!$B$2*Параметры!$B$3</f>
        <v/>
      </c>
      <c r="G6" s="18">
        <f>F6*D6</f>
        <v/>
      </c>
      <c r="H6" s="13" t="n">
        <v>1190</v>
      </c>
      <c r="I6" s="11">
        <f>IF($H6="","",ROUND(H6/(1-Параметры!$B$4),0))</f>
        <v/>
      </c>
      <c r="J6" s="14" t="n">
        <v>0.1</v>
      </c>
      <c r="K6" s="15" t="n">
        <v>90</v>
      </c>
      <c r="L6" s="12">
        <f>IF($I6="","",I6*J6)</f>
        <v/>
      </c>
      <c r="M6" s="12">
        <f>IF($I6="","",I6*Параметры!$B$5)</f>
        <v/>
      </c>
      <c r="N6" s="12">
        <f>IF($H6="","",H6*Параметры!$B$6)</f>
        <v/>
      </c>
      <c r="O6" s="12">
        <f>IF($I6="","",I6*Параметры!$B$7)</f>
        <v/>
      </c>
      <c r="P6" s="12">
        <f>ROUND(Параметры!$B$8*(1-Параметры!$B$9),1)</f>
        <v/>
      </c>
      <c r="Q6" s="12">
        <f>IF($I6="","",I6-M6-K6-N6-O6-P6-Параметры!$B$10-Параметры!$B$11-F6)</f>
        <v/>
      </c>
      <c r="R6" s="12">
        <f>IF($I6="","",Q6-L6)</f>
        <v/>
      </c>
      <c r="S6" s="11">
        <f>IF(OR($H6="",F6=0),"",ROUND(R6/F6*100,1))</f>
        <v/>
      </c>
      <c r="T6" s="19">
        <f>R6*D6</f>
        <v/>
      </c>
    </row>
    <row r="7">
      <c r="A7" s="10" t="inlineStr">
        <is>
          <t>CELIMAX</t>
        </is>
      </c>
      <c r="B7" s="10" t="inlineStr">
        <is>
          <t>CELIMAX DERMA NATURE FRESH BLACKHEAD JOJOBA CLEANSING OIL 150ML</t>
        </is>
      </c>
      <c r="C7" s="10" t="inlineStr">
        <is>
          <t>8806050298525</t>
        </is>
      </c>
      <c r="D7" s="11" t="n">
        <v>315</v>
      </c>
      <c r="E7" s="11" t="n">
        <v>7100</v>
      </c>
      <c r="F7" s="12">
        <f>E7*Параметры!$B$2*Параметры!$B$3</f>
        <v/>
      </c>
      <c r="G7" s="18">
        <f>F7*D7</f>
        <v/>
      </c>
      <c r="H7" s="13" t="n">
        <v>1300</v>
      </c>
      <c r="I7" s="11">
        <f>IF($H7="","",ROUND(H7/(1-Параметры!$B$4),0))</f>
        <v/>
      </c>
      <c r="J7" s="14" t="n">
        <v>0.1</v>
      </c>
      <c r="K7" s="15" t="n">
        <v>90</v>
      </c>
      <c r="L7" s="12">
        <f>IF($I7="","",I7*J7)</f>
        <v/>
      </c>
      <c r="M7" s="12">
        <f>IF($I7="","",I7*Параметры!$B$5)</f>
        <v/>
      </c>
      <c r="N7" s="12">
        <f>IF($H7="","",H7*Параметры!$B$6)</f>
        <v/>
      </c>
      <c r="O7" s="12">
        <f>IF($I7="","",I7*Параметры!$B$7)</f>
        <v/>
      </c>
      <c r="P7" s="12">
        <f>ROUND(Параметры!$B$8*(1-Параметры!$B$9),1)</f>
        <v/>
      </c>
      <c r="Q7" s="12">
        <f>IF($I7="","",I7-M7-K7-N7-O7-P7-Параметры!$B$10-Параметры!$B$11-F7)</f>
        <v/>
      </c>
      <c r="R7" s="12">
        <f>IF($I7="","",Q7-L7)</f>
        <v/>
      </c>
      <c r="S7" s="11">
        <f>IF(OR($H7="",F7=0),"",ROUND(R7/F7*100,1))</f>
        <v/>
      </c>
      <c r="T7" s="19">
        <f>R7*D7</f>
        <v/>
      </c>
    </row>
    <row r="8">
      <c r="A8" s="10" t="inlineStr">
        <is>
          <t>CELIMAX</t>
        </is>
      </c>
      <c r="B8" s="10" t="inlineStr">
        <is>
          <t>CELIMAX THE REAL NONI CALMING GLOW PAD 50EA</t>
        </is>
      </c>
      <c r="C8" s="10" t="inlineStr">
        <is>
          <t>8809750465464</t>
        </is>
      </c>
      <c r="D8" s="11" t="n">
        <v>984</v>
      </c>
      <c r="E8" s="11" t="n">
        <v>8550</v>
      </c>
      <c r="F8" s="12">
        <f>E8*Параметры!$B$2*Параметры!$B$3</f>
        <v/>
      </c>
      <c r="G8" s="18">
        <f>F8*D8</f>
        <v/>
      </c>
      <c r="H8" s="13" t="n">
        <v>1792</v>
      </c>
      <c r="I8" s="11">
        <f>IF($H8="","",ROUND(H8/(1-Параметры!$B$4),0))</f>
        <v/>
      </c>
      <c r="J8" s="14" t="n">
        <v>0.1</v>
      </c>
      <c r="K8" s="15" t="n">
        <v>90</v>
      </c>
      <c r="L8" s="12">
        <f>IF($I8="","",I8*J8)</f>
        <v/>
      </c>
      <c r="M8" s="12">
        <f>IF($I8="","",I8*Параметры!$B$5)</f>
        <v/>
      </c>
      <c r="N8" s="12">
        <f>IF($H8="","",H8*Параметры!$B$6)</f>
        <v/>
      </c>
      <c r="O8" s="12">
        <f>IF($I8="","",I8*Параметры!$B$7)</f>
        <v/>
      </c>
      <c r="P8" s="12">
        <f>ROUND(Параметры!$B$8*(1-Параметры!$B$9),1)</f>
        <v/>
      </c>
      <c r="Q8" s="12">
        <f>IF($I8="","",I8-M8-K8-N8-O8-P8-Параметры!$B$10-Параметры!$B$11-F8)</f>
        <v/>
      </c>
      <c r="R8" s="12">
        <f>IF($I8="","",Q8-L8)</f>
        <v/>
      </c>
      <c r="S8" s="11">
        <f>IF(OR($H8="",F8=0),"",ROUND(R8/F8*100,1))</f>
        <v/>
      </c>
      <c r="T8" s="19">
        <f>R8*D8</f>
        <v/>
      </c>
    </row>
    <row r="9">
      <c r="A9" s="10" t="inlineStr">
        <is>
          <t>CELIMAX</t>
        </is>
      </c>
      <c r="B9" s="10" t="inlineStr">
        <is>
          <t>CELIMAX THE REAL CICA SOOTHING CREAM 50ML</t>
        </is>
      </c>
      <c r="C9" s="10" t="inlineStr">
        <is>
          <t>8809782557861</t>
        </is>
      </c>
      <c r="D9" s="11" t="n">
        <v>1200</v>
      </c>
      <c r="E9" s="11" t="n">
        <v>8080</v>
      </c>
      <c r="F9" s="12">
        <f>E9*Параметры!$B$2*Параметры!$B$3</f>
        <v/>
      </c>
      <c r="G9" s="18">
        <f>F9*D9</f>
        <v/>
      </c>
      <c r="H9" s="13" t="n">
        <v>1304</v>
      </c>
      <c r="I9" s="11">
        <f>IF($H9="","",ROUND(H9/(1-Параметры!$B$4),0))</f>
        <v/>
      </c>
      <c r="J9" s="14" t="n">
        <v>0.1</v>
      </c>
      <c r="K9" s="15" t="n">
        <v>90</v>
      </c>
      <c r="L9" s="12">
        <f>IF($I9="","",I9*J9)</f>
        <v/>
      </c>
      <c r="M9" s="12">
        <f>IF($I9="","",I9*Параметры!$B$5)</f>
        <v/>
      </c>
      <c r="N9" s="12">
        <f>IF($H9="","",H9*Параметры!$B$6)</f>
        <v/>
      </c>
      <c r="O9" s="12">
        <f>IF($I9="","",I9*Параметры!$B$7)</f>
        <v/>
      </c>
      <c r="P9" s="12">
        <f>ROUND(Параметры!$B$8*(1-Параметры!$B$9),1)</f>
        <v/>
      </c>
      <c r="Q9" s="12">
        <f>IF($I9="","",I9-M9-K9-N9-O9-P9-Параметры!$B$10-Параметры!$B$11-F9)</f>
        <v/>
      </c>
      <c r="R9" s="12">
        <f>IF($I9="","",Q9-L9)</f>
        <v/>
      </c>
      <c r="S9" s="11">
        <f>IF(OR($H9="",F9=0),"",ROUND(R9/F9*100,1))</f>
        <v/>
      </c>
      <c r="T9" s="19">
        <f>R9*D9</f>
        <v/>
      </c>
    </row>
    <row r="10">
      <c r="A10" s="10" t="inlineStr">
        <is>
          <t>CELIMAX</t>
        </is>
      </c>
      <c r="B10" s="10" t="inlineStr">
        <is>
          <t>CELIMAX THE REAL CICA NIACINAMIDE AC CALMING SERUM 40ML</t>
        </is>
      </c>
      <c r="C10" s="10" t="inlineStr">
        <is>
          <t>8809743544626</t>
        </is>
      </c>
      <c r="D10" s="11" t="n">
        <v>864</v>
      </c>
      <c r="E10" s="11" t="n">
        <v>9930</v>
      </c>
      <c r="F10" s="12">
        <f>E10*Параметры!$B$2*Параметры!$B$3</f>
        <v/>
      </c>
      <c r="G10" s="18">
        <f>F10*D10</f>
        <v/>
      </c>
      <c r="H10" s="13" t="n">
        <v>1552</v>
      </c>
      <c r="I10" s="11">
        <f>IF($H10="","",ROUND(H10/(1-Параметры!$B$4),0))</f>
        <v/>
      </c>
      <c r="J10" s="14" t="n">
        <v>0.1</v>
      </c>
      <c r="K10" s="15" t="n">
        <v>90</v>
      </c>
      <c r="L10" s="12">
        <f>IF($I10="","",I10*J10)</f>
        <v/>
      </c>
      <c r="M10" s="12">
        <f>IF($I10="","",I10*Параметры!$B$5)</f>
        <v/>
      </c>
      <c r="N10" s="12">
        <f>IF($H10="","",H10*Параметры!$B$6)</f>
        <v/>
      </c>
      <c r="O10" s="12">
        <f>IF($I10="","",I10*Параметры!$B$7)</f>
        <v/>
      </c>
      <c r="P10" s="12">
        <f>ROUND(Параметры!$B$8*(1-Параметры!$B$9),1)</f>
        <v/>
      </c>
      <c r="Q10" s="12">
        <f>IF($I10="","",I10-M10-K10-N10-O10-P10-Параметры!$B$10-Параметры!$B$11-F10)</f>
        <v/>
      </c>
      <c r="R10" s="12">
        <f>IF($I10="","",Q10-L10)</f>
        <v/>
      </c>
      <c r="S10" s="11">
        <f>IF(OR($H10="",F10=0),"",ROUND(R10/F10*100,1))</f>
        <v/>
      </c>
      <c r="T10" s="19">
        <f>R10*D10</f>
        <v/>
      </c>
    </row>
    <row r="11">
      <c r="A11" s="10" t="inlineStr">
        <is>
          <t>CELIMAX</t>
        </is>
      </c>
      <c r="B11" s="10" t="inlineStr">
        <is>
          <t>CELIMAX THE REAL NONI ENERGY REPAIR CREAM 50ML</t>
        </is>
      </c>
      <c r="C11" s="10" t="inlineStr">
        <is>
          <t>8809686386185</t>
        </is>
      </c>
      <c r="D11" s="11" t="n">
        <v>720</v>
      </c>
      <c r="E11" s="11" t="n">
        <v>11540</v>
      </c>
      <c r="F11" s="12">
        <f>E11*Параметры!$B$2*Параметры!$B$3</f>
        <v/>
      </c>
      <c r="G11" s="18">
        <f>F11*D11</f>
        <v/>
      </c>
      <c r="H11" s="13" t="n">
        <v>1684</v>
      </c>
      <c r="I11" s="11">
        <f>IF($H11="","",ROUND(H11/(1-Параметры!$B$4),0))</f>
        <v/>
      </c>
      <c r="J11" s="14" t="n">
        <v>0.1</v>
      </c>
      <c r="K11" s="15" t="n">
        <v>90</v>
      </c>
      <c r="L11" s="12">
        <f>IF($I11="","",I11*J11)</f>
        <v/>
      </c>
      <c r="M11" s="12">
        <f>IF($I11="","",I11*Параметры!$B$5)</f>
        <v/>
      </c>
      <c r="N11" s="12">
        <f>IF($H11="","",H11*Параметры!$B$6)</f>
        <v/>
      </c>
      <c r="O11" s="12">
        <f>IF($I11="","",I11*Параметры!$B$7)</f>
        <v/>
      </c>
      <c r="P11" s="12">
        <f>ROUND(Параметры!$B$8*(1-Параметры!$B$9),1)</f>
        <v/>
      </c>
      <c r="Q11" s="12">
        <f>IF($I11="","",I11-M11-K11-N11-O11-P11-Параметры!$B$10-Параметры!$B$11-F11)</f>
        <v/>
      </c>
      <c r="R11" s="12">
        <f>IF($I11="","",Q11-L11)</f>
        <v/>
      </c>
      <c r="S11" s="11">
        <f>IF(OR($H11="",F11=0),"",ROUND(R11/F11*100,1))</f>
        <v/>
      </c>
      <c r="T11" s="19">
        <f>R11*D11</f>
        <v/>
      </c>
    </row>
    <row r="12">
      <c r="A12" s="10" t="inlineStr">
        <is>
          <t>CELIMAX</t>
        </is>
      </c>
      <c r="B12" s="10" t="inlineStr">
        <is>
          <t>CELIMAX OIL CONTROL MOISTURIZING CREAM 80ML</t>
        </is>
      </c>
      <c r="C12" s="10" t="inlineStr">
        <is>
          <t>8809743546880</t>
        </is>
      </c>
      <c r="D12" s="11" t="n">
        <v>600</v>
      </c>
      <c r="E12" s="11" t="n">
        <v>9470</v>
      </c>
      <c r="F12" s="12">
        <f>E12*Параметры!$B$2*Параметры!$B$3</f>
        <v/>
      </c>
      <c r="G12" s="18">
        <f>F12*D12</f>
        <v/>
      </c>
      <c r="H12" s="13" t="n">
        <v>1722</v>
      </c>
      <c r="I12" s="11">
        <f>IF($H12="","",ROUND(H12/(1-Параметры!$B$4),0))</f>
        <v/>
      </c>
      <c r="J12" s="14" t="n">
        <v>0.1</v>
      </c>
      <c r="K12" s="15" t="n">
        <v>90</v>
      </c>
      <c r="L12" s="12">
        <f>IF($I12="","",I12*J12)</f>
        <v/>
      </c>
      <c r="M12" s="12">
        <f>IF($I12="","",I12*Параметры!$B$5)</f>
        <v/>
      </c>
      <c r="N12" s="12">
        <f>IF($H12="","",H12*Параметры!$B$6)</f>
        <v/>
      </c>
      <c r="O12" s="12">
        <f>IF($I12="","",I12*Параметры!$B$7)</f>
        <v/>
      </c>
      <c r="P12" s="12">
        <f>ROUND(Параметры!$B$8*(1-Параметры!$B$9),1)</f>
        <v/>
      </c>
      <c r="Q12" s="12">
        <f>IF($I12="","",I12-M12-K12-N12-O12-P12-Параметры!$B$10-Параметры!$B$11-F12)</f>
        <v/>
      </c>
      <c r="R12" s="12">
        <f>IF($I12="","",Q12-L12)</f>
        <v/>
      </c>
      <c r="S12" s="11">
        <f>IF(OR($H12="",F12=0),"",ROUND(R12/F12*100,1))</f>
        <v/>
      </c>
      <c r="T12" s="19">
        <f>R12*D12</f>
        <v/>
      </c>
    </row>
    <row r="13">
      <c r="A13" s="10" t="inlineStr">
        <is>
          <t>CELIMAX</t>
        </is>
      </c>
      <c r="B13" s="10" t="inlineStr">
        <is>
          <t>CELIMAX PORE+DARK SPOT BRIGHTENING KIT</t>
        </is>
      </c>
      <c r="C13" s="10" t="inlineStr">
        <is>
          <t>8800296551789</t>
        </is>
      </c>
      <c r="D13" s="11" t="n">
        <v>576</v>
      </c>
      <c r="E13" s="11" t="n">
        <v>6370</v>
      </c>
      <c r="F13" s="12">
        <f>E13*Параметры!$B$2*Параметры!$B$3</f>
        <v/>
      </c>
      <c r="G13" s="18">
        <f>F13*D13</f>
        <v/>
      </c>
      <c r="H13" s="13" t="n">
        <v>1277</v>
      </c>
      <c r="I13" s="11">
        <f>IF($H13="","",ROUND(H13/(1-Параметры!$B$4),0))</f>
        <v/>
      </c>
      <c r="J13" s="14" t="n">
        <v>0.1</v>
      </c>
      <c r="K13" s="15" t="n">
        <v>90</v>
      </c>
      <c r="L13" s="12">
        <f>IF($I13="","",I13*J13)</f>
        <v/>
      </c>
      <c r="M13" s="12">
        <f>IF($I13="","",I13*Параметры!$B$5)</f>
        <v/>
      </c>
      <c r="N13" s="12">
        <f>IF($H13="","",H13*Параметры!$B$6)</f>
        <v/>
      </c>
      <c r="O13" s="12">
        <f>IF($I13="","",I13*Параметры!$B$7)</f>
        <v/>
      </c>
      <c r="P13" s="12">
        <f>ROUND(Параметры!$B$8*(1-Параметры!$B$9),1)</f>
        <v/>
      </c>
      <c r="Q13" s="12">
        <f>IF($I13="","",I13-M13-K13-N13-O13-P13-Параметры!$B$10-Параметры!$B$11-F13)</f>
        <v/>
      </c>
      <c r="R13" s="12">
        <f>IF($I13="","",Q13-L13)</f>
        <v/>
      </c>
      <c r="S13" s="11">
        <f>IF(OR($H13="",F13=0),"",ROUND(R13/F13*100,1))</f>
        <v/>
      </c>
      <c r="T13" s="19">
        <f>R13*D13</f>
        <v/>
      </c>
    </row>
    <row r="14">
      <c r="A14" s="10" t="inlineStr">
        <is>
          <t>CELIMAX</t>
        </is>
      </c>
      <c r="B14" s="10" t="inlineStr">
        <is>
          <t>CELIMAX ONE STEP BODY BRIGHTENING PAD 60PADS</t>
        </is>
      </c>
      <c r="C14" s="10" t="inlineStr">
        <is>
          <t>8809463992707</t>
        </is>
      </c>
      <c r="D14" s="11" t="n">
        <v>528</v>
      </c>
      <c r="E14" s="11" t="n">
        <v>6090</v>
      </c>
      <c r="F14" s="12">
        <f>E14*Параметры!$B$2*Параметры!$B$3</f>
        <v/>
      </c>
      <c r="G14" s="18">
        <f>F14*D14</f>
        <v/>
      </c>
      <c r="H14" s="13" t="n">
        <v>1196</v>
      </c>
      <c r="I14" s="11">
        <f>IF($H14="","",ROUND(H14/(1-Параметры!$B$4),0))</f>
        <v/>
      </c>
      <c r="J14" s="14" t="n">
        <v>0.1</v>
      </c>
      <c r="K14" s="15" t="n">
        <v>90</v>
      </c>
      <c r="L14" s="12">
        <f>IF($I14="","",I14*J14)</f>
        <v/>
      </c>
      <c r="M14" s="12">
        <f>IF($I14="","",I14*Параметры!$B$5)</f>
        <v/>
      </c>
      <c r="N14" s="12">
        <f>IF($H14="","",H14*Параметры!$B$6)</f>
        <v/>
      </c>
      <c r="O14" s="12">
        <f>IF($I14="","",I14*Параметры!$B$7)</f>
        <v/>
      </c>
      <c r="P14" s="12">
        <f>ROUND(Параметры!$B$8*(1-Параметры!$B$9),1)</f>
        <v/>
      </c>
      <c r="Q14" s="12">
        <f>IF($I14="","",I14-M14-K14-N14-O14-P14-Параметры!$B$10-Параметры!$B$11-F14)</f>
        <v/>
      </c>
      <c r="R14" s="12">
        <f>IF($I14="","",Q14-L14)</f>
        <v/>
      </c>
      <c r="S14" s="11">
        <f>IF(OR($H14="",F14=0),"",ROUND(R14/F14*100,1))</f>
        <v/>
      </c>
      <c r="T14" s="19">
        <f>R14*D14</f>
        <v/>
      </c>
    </row>
    <row r="15">
      <c r="A15" s="10" t="inlineStr">
        <is>
          <t>CELIMAX</t>
        </is>
      </c>
      <c r="B15" s="10" t="inlineStr">
        <is>
          <t>CELIMAX JI WOO GAE CICA BHA ACNE FOAM CLEANSING 150ML</t>
        </is>
      </c>
      <c r="C15" s="10" t="inlineStr">
        <is>
          <t>8809783324097</t>
        </is>
      </c>
      <c r="D15" s="11" t="n">
        <v>480</v>
      </c>
      <c r="E15" s="11" t="n">
        <v>6080</v>
      </c>
      <c r="F15" s="12">
        <f>E15*Параметры!$B$2*Параметры!$B$3</f>
        <v/>
      </c>
      <c r="G15" s="18">
        <f>F15*D15</f>
        <v/>
      </c>
      <c r="H15" s="13" t="n">
        <v>1290</v>
      </c>
      <c r="I15" s="11">
        <f>IF($H15="","",ROUND(H15/(1-Параметры!$B$4),0))</f>
        <v/>
      </c>
      <c r="J15" s="14" t="n">
        <v>0.1</v>
      </c>
      <c r="K15" s="15" t="n">
        <v>90</v>
      </c>
      <c r="L15" s="12">
        <f>IF($I15="","",I15*J15)</f>
        <v/>
      </c>
      <c r="M15" s="12">
        <f>IF($I15="","",I15*Параметры!$B$5)</f>
        <v/>
      </c>
      <c r="N15" s="12">
        <f>IF($H15="","",H15*Параметры!$B$6)</f>
        <v/>
      </c>
      <c r="O15" s="12">
        <f>IF($I15="","",I15*Параметры!$B$7)</f>
        <v/>
      </c>
      <c r="P15" s="12">
        <f>ROUND(Параметры!$B$8*(1-Параметры!$B$9),1)</f>
        <v/>
      </c>
      <c r="Q15" s="12">
        <f>IF($I15="","",I15-M15-K15-N15-O15-P15-Параметры!$B$10-Параметры!$B$11-F15)</f>
        <v/>
      </c>
      <c r="R15" s="12">
        <f>IF($I15="","",Q15-L15)</f>
        <v/>
      </c>
      <c r="S15" s="11">
        <f>IF(OR($H15="",F15=0),"",ROUND(R15/F15*100,1))</f>
        <v/>
      </c>
      <c r="T15" s="19">
        <f>R15*D15</f>
        <v/>
      </c>
    </row>
    <row r="16">
      <c r="A16" s="10" t="inlineStr">
        <is>
          <t>CELIMAX</t>
        </is>
      </c>
      <c r="B16" s="10" t="inlineStr">
        <is>
          <t>CELIMAX OIL CONTROL CAPSULE ESSENCE 30ML</t>
        </is>
      </c>
      <c r="C16" s="10" t="inlineStr">
        <is>
          <t>8809782559018</t>
        </is>
      </c>
      <c r="D16" s="11" t="n">
        <v>420</v>
      </c>
      <c r="E16" s="11" t="n">
        <v>7970</v>
      </c>
      <c r="F16" s="12">
        <f>E16*Параметры!$B$2*Параметры!$B$3</f>
        <v/>
      </c>
      <c r="G16" s="18">
        <f>F16*D16</f>
        <v/>
      </c>
      <c r="H16" s="13" t="n">
        <v>1351</v>
      </c>
      <c r="I16" s="11">
        <f>IF($H16="","",ROUND(H16/(1-Параметры!$B$4),0))</f>
        <v/>
      </c>
      <c r="J16" s="14" t="n">
        <v>0.1</v>
      </c>
      <c r="K16" s="15" t="n">
        <v>90</v>
      </c>
      <c r="L16" s="12">
        <f>IF($I16="","",I16*J16)</f>
        <v/>
      </c>
      <c r="M16" s="12">
        <f>IF($I16="","",I16*Параметры!$B$5)</f>
        <v/>
      </c>
      <c r="N16" s="12">
        <f>IF($H16="","",H16*Параметры!$B$6)</f>
        <v/>
      </c>
      <c r="O16" s="12">
        <f>IF($I16="","",I16*Параметры!$B$7)</f>
        <v/>
      </c>
      <c r="P16" s="12">
        <f>ROUND(Параметры!$B$8*(1-Параметры!$B$9),1)</f>
        <v/>
      </c>
      <c r="Q16" s="12">
        <f>IF($I16="","",I16-M16-K16-N16-O16-P16-Параметры!$B$10-Параметры!$B$11-F16)</f>
        <v/>
      </c>
      <c r="R16" s="12">
        <f>IF($I16="","",Q16-L16)</f>
        <v/>
      </c>
      <c r="S16" s="11">
        <f>IF(OR($H16="",F16=0),"",ROUND(R16/F16*100,1))</f>
        <v/>
      </c>
      <c r="T16" s="19">
        <f>R16*D16</f>
        <v/>
      </c>
    </row>
    <row r="17">
      <c r="A17" s="10" t="inlineStr">
        <is>
          <t>CELIMAX</t>
        </is>
      </c>
      <c r="B17" s="10" t="inlineStr">
        <is>
          <t>CELIMAX JI WOO GAE ONE STEP MILD CLEANSING PAD 60PADS</t>
        </is>
      </c>
      <c r="C17" s="10" t="inlineStr">
        <is>
          <t>8809463993889</t>
        </is>
      </c>
      <c r="D17" s="11" t="n">
        <v>352</v>
      </c>
      <c r="E17" s="11" t="n">
        <v>6860</v>
      </c>
      <c r="F17" s="12">
        <f>E17*Параметры!$B$2*Параметры!$B$3</f>
        <v/>
      </c>
      <c r="G17" s="18">
        <f>F17*D17</f>
        <v/>
      </c>
      <c r="H17" s="13" t="n">
        <v>1554</v>
      </c>
      <c r="I17" s="11">
        <f>IF($H17="","",ROUND(H17/(1-Параметры!$B$4),0))</f>
        <v/>
      </c>
      <c r="J17" s="14" t="n">
        <v>0.1</v>
      </c>
      <c r="K17" s="15" t="n">
        <v>90</v>
      </c>
      <c r="L17" s="12">
        <f>IF($I17="","",I17*J17)</f>
        <v/>
      </c>
      <c r="M17" s="12">
        <f>IF($I17="","",I17*Параметры!$B$5)</f>
        <v/>
      </c>
      <c r="N17" s="12">
        <f>IF($H17="","",H17*Параметры!$B$6)</f>
        <v/>
      </c>
      <c r="O17" s="12">
        <f>IF($I17="","",I17*Параметры!$B$7)</f>
        <v/>
      </c>
      <c r="P17" s="12">
        <f>ROUND(Параметры!$B$8*(1-Параметры!$B$9),1)</f>
        <v/>
      </c>
      <c r="Q17" s="12">
        <f>IF($I17="","",I17-M17-K17-N17-O17-P17-Параметры!$B$10-Параметры!$B$11-F17)</f>
        <v/>
      </c>
      <c r="R17" s="12">
        <f>IF($I17="","",Q17-L17)</f>
        <v/>
      </c>
      <c r="S17" s="11">
        <f>IF(OR($H17="",F17=0),"",ROUND(R17/F17*100,1))</f>
        <v/>
      </c>
      <c r="T17" s="19">
        <f>R17*D17</f>
        <v/>
      </c>
    </row>
    <row r="18">
      <c r="A18" s="10" t="inlineStr">
        <is>
          <t>CELIMAX</t>
        </is>
      </c>
      <c r="B18" s="10" t="inlineStr">
        <is>
          <t>CELIMAX DUAL BARRIER MILD GEL CLEANSER 200ML</t>
        </is>
      </c>
      <c r="C18" s="10" t="inlineStr">
        <is>
          <t>8809606850499</t>
        </is>
      </c>
      <c r="D18" s="11" t="n">
        <v>288</v>
      </c>
      <c r="E18" s="11" t="n">
        <v>8020</v>
      </c>
      <c r="F18" s="12">
        <f>E18*Параметры!$B$2*Параметры!$B$3</f>
        <v/>
      </c>
      <c r="G18" s="18">
        <f>F18*D18</f>
        <v/>
      </c>
      <c r="H18" s="13" t="n">
        <v>1851</v>
      </c>
      <c r="I18" s="11">
        <f>IF($H18="","",ROUND(H18/(1-Параметры!$B$4),0))</f>
        <v/>
      </c>
      <c r="J18" s="14" t="n">
        <v>0.1</v>
      </c>
      <c r="K18" s="15" t="n">
        <v>90</v>
      </c>
      <c r="L18" s="12">
        <f>IF($I18="","",I18*J18)</f>
        <v/>
      </c>
      <c r="M18" s="12">
        <f>IF($I18="","",I18*Параметры!$B$5)</f>
        <v/>
      </c>
      <c r="N18" s="12">
        <f>IF($H18="","",H18*Параметры!$B$6)</f>
        <v/>
      </c>
      <c r="O18" s="12">
        <f>IF($I18="","",I18*Параметры!$B$7)</f>
        <v/>
      </c>
      <c r="P18" s="12">
        <f>ROUND(Параметры!$B$8*(1-Параметры!$B$9),1)</f>
        <v/>
      </c>
      <c r="Q18" s="12">
        <f>IF($I18="","",I18-M18-K18-N18-O18-P18-Параметры!$B$10-Параметры!$B$11-F18)</f>
        <v/>
      </c>
      <c r="R18" s="12">
        <f>IF($I18="","",Q18-L18)</f>
        <v/>
      </c>
      <c r="S18" s="11">
        <f>IF(OR($H18="",F18=0),"",ROUND(R18/F18*100,1))</f>
        <v/>
      </c>
      <c r="T18" s="19">
        <f>R18*D18</f>
        <v/>
      </c>
    </row>
    <row r="19">
      <c r="A19" s="10" t="inlineStr">
        <is>
          <t>CELIMAX</t>
        </is>
      </c>
      <c r="B19" s="10" t="inlineStr">
        <is>
          <t>CELIMAX THE REAL NONI REFRESH CLAY MASK 120G</t>
        </is>
      </c>
      <c r="C19" s="10" t="inlineStr">
        <is>
          <t>8809954940354</t>
        </is>
      </c>
      <c r="D19" s="11" t="n">
        <v>408</v>
      </c>
      <c r="E19" s="11" t="n">
        <v>6610</v>
      </c>
      <c r="F19" s="12">
        <f>E19*Параметры!$B$2*Параметры!$B$3</f>
        <v/>
      </c>
      <c r="G19" s="18">
        <f>F19*D19</f>
        <v/>
      </c>
      <c r="H19" s="13" t="n">
        <v>1288</v>
      </c>
      <c r="I19" s="11">
        <f>IF($H19="","",ROUND(H19/(1-Параметры!$B$4),0))</f>
        <v/>
      </c>
      <c r="J19" s="14" t="n">
        <v>0.1</v>
      </c>
      <c r="K19" s="15" t="n">
        <v>90</v>
      </c>
      <c r="L19" s="12">
        <f>IF($I19="","",I19*J19)</f>
        <v/>
      </c>
      <c r="M19" s="12">
        <f>IF($I19="","",I19*Параметры!$B$5)</f>
        <v/>
      </c>
      <c r="N19" s="12">
        <f>IF($H19="","",H19*Параметры!$B$6)</f>
        <v/>
      </c>
      <c r="O19" s="12">
        <f>IF($I19="","",I19*Параметры!$B$7)</f>
        <v/>
      </c>
      <c r="P19" s="12">
        <f>ROUND(Параметры!$B$8*(1-Параметры!$B$9),1)</f>
        <v/>
      </c>
      <c r="Q19" s="12">
        <f>IF($I19="","",I19-M19-K19-N19-O19-P19-Параметры!$B$10-Параметры!$B$11-F19)</f>
        <v/>
      </c>
      <c r="R19" s="12">
        <f>IF($I19="","",Q19-L19)</f>
        <v/>
      </c>
      <c r="S19" s="11">
        <f>IF(OR($H19="",F19=0),"",ROUND(R19/F19*100,1))</f>
        <v/>
      </c>
      <c r="T19" s="19">
        <f>R19*D19</f>
        <v/>
      </c>
    </row>
    <row r="20">
      <c r="A20" s="10" t="inlineStr">
        <is>
          <t>CELIMAX</t>
        </is>
      </c>
      <c r="B20" s="10" t="inlineStr">
        <is>
          <t>CELIMAX DERMA NATURE GLUTATHIONE LONGLASTING TONE-UP CREAM 35ML</t>
        </is>
      </c>
      <c r="C20" s="10" t="inlineStr">
        <is>
          <t>8809626564000</t>
        </is>
      </c>
      <c r="D20" s="11" t="n">
        <v>468</v>
      </c>
      <c r="E20" s="11" t="n">
        <v>6390</v>
      </c>
      <c r="F20" s="12">
        <f>E20*Параметры!$B$2*Параметры!$B$3</f>
        <v/>
      </c>
      <c r="G20" s="18">
        <f>F20*D20</f>
        <v/>
      </c>
      <c r="H20" s="13" t="n">
        <v>951</v>
      </c>
      <c r="I20" s="11">
        <f>IF($H20="","",ROUND(H20/(1-Параметры!$B$4),0))</f>
        <v/>
      </c>
      <c r="J20" s="14" t="n">
        <v>0.1</v>
      </c>
      <c r="K20" s="15" t="n">
        <v>90</v>
      </c>
      <c r="L20" s="12">
        <f>IF($I20="","",I20*J20)</f>
        <v/>
      </c>
      <c r="M20" s="12">
        <f>IF($I20="","",I20*Параметры!$B$5)</f>
        <v/>
      </c>
      <c r="N20" s="12">
        <f>IF($H20="","",H20*Параметры!$B$6)</f>
        <v/>
      </c>
      <c r="O20" s="12">
        <f>IF($I20="","",I20*Параметры!$B$7)</f>
        <v/>
      </c>
      <c r="P20" s="12">
        <f>ROUND(Параметры!$B$8*(1-Параметры!$B$9),1)</f>
        <v/>
      </c>
      <c r="Q20" s="12">
        <f>IF($I20="","",I20-M20-K20-N20-O20-P20-Параметры!$B$10-Параметры!$B$11-F20)</f>
        <v/>
      </c>
      <c r="R20" s="12">
        <f>IF($I20="","",Q20-L20)</f>
        <v/>
      </c>
      <c r="S20" s="11">
        <f>IF(OR($H20="",F20=0),"",ROUND(R20/F20*100,1))</f>
        <v/>
      </c>
      <c r="T20" s="19">
        <f>R20*D20</f>
        <v/>
      </c>
    </row>
    <row r="21">
      <c r="A21" s="10" t="inlineStr">
        <is>
          <t>CELIMAX</t>
        </is>
      </c>
      <c r="B21" s="10" t="inlineStr">
        <is>
          <t>CELIMAX DERMA NATURE RELIEF MADECICA PH BALANCING FOAM CLEANSING 150ML</t>
        </is>
      </c>
      <c r="C21" s="10" t="inlineStr">
        <is>
          <t>8809975194439</t>
        </is>
      </c>
      <c r="D21" s="11" t="n">
        <v>320</v>
      </c>
      <c r="E21" s="11" t="n">
        <v>5140</v>
      </c>
      <c r="F21" s="12">
        <f>E21*Параметры!$B$2*Параметры!$B$3</f>
        <v/>
      </c>
      <c r="G21" s="18">
        <f>F21*D21</f>
        <v/>
      </c>
      <c r="H21" s="13" t="n">
        <v>1367</v>
      </c>
      <c r="I21" s="11">
        <f>IF($H21="","",ROUND(H21/(1-Параметры!$B$4),0))</f>
        <v/>
      </c>
      <c r="J21" s="14" t="n">
        <v>0.1</v>
      </c>
      <c r="K21" s="15" t="n">
        <v>90</v>
      </c>
      <c r="L21" s="12">
        <f>IF($I21="","",I21*J21)</f>
        <v/>
      </c>
      <c r="M21" s="12">
        <f>IF($I21="","",I21*Параметры!$B$5)</f>
        <v/>
      </c>
      <c r="N21" s="12">
        <f>IF($H21="","",H21*Параметры!$B$6)</f>
        <v/>
      </c>
      <c r="O21" s="12">
        <f>IF($I21="","",I21*Параметры!$B$7)</f>
        <v/>
      </c>
      <c r="P21" s="12">
        <f>ROUND(Параметры!$B$8*(1-Параметры!$B$9),1)</f>
        <v/>
      </c>
      <c r="Q21" s="12">
        <f>IF($I21="","",I21-M21-K21-N21-O21-P21-Параметры!$B$10-Параметры!$B$11-F21)</f>
        <v/>
      </c>
      <c r="R21" s="12">
        <f>IF($I21="","",Q21-L21)</f>
        <v/>
      </c>
      <c r="S21" s="11">
        <f>IF(OR($H21="",F21=0),"",ROUND(R21/F21*100,1))</f>
        <v/>
      </c>
      <c r="T21" s="19">
        <f>R21*D21</f>
        <v/>
      </c>
    </row>
    <row r="22">
      <c r="A22" s="10" t="inlineStr">
        <is>
          <t>Round Lab</t>
        </is>
      </c>
      <c r="B22" s="10" t="inlineStr">
        <is>
          <t>1025 DOKDO CLEANSER_150ml</t>
        </is>
      </c>
      <c r="C22" s="10" t="inlineStr">
        <is>
          <t>8809738608364</t>
        </is>
      </c>
      <c r="D22" s="11" t="n">
        <v>25020</v>
      </c>
      <c r="E22" s="11" t="n">
        <v>6220</v>
      </c>
      <c r="F22" s="12">
        <f>E22*Параметры!$B$2*Параметры!$B$3</f>
        <v/>
      </c>
      <c r="G22" s="18">
        <f>F22*D22</f>
        <v/>
      </c>
      <c r="H22" s="13" t="n">
        <v>1110</v>
      </c>
      <c r="I22" s="11">
        <f>IF($H22="","",ROUND(H22/(1-Параметры!$B$4),0))</f>
        <v/>
      </c>
      <c r="J22" s="14" t="n">
        <v>0.1</v>
      </c>
      <c r="K22" s="15" t="n">
        <v>90</v>
      </c>
      <c r="L22" s="12">
        <f>IF($I22="","",I22*J22)</f>
        <v/>
      </c>
      <c r="M22" s="12">
        <f>IF($I22="","",I22*Параметры!$B$5)</f>
        <v/>
      </c>
      <c r="N22" s="12">
        <f>IF($H22="","",H22*Параметры!$B$6)</f>
        <v/>
      </c>
      <c r="O22" s="12">
        <f>IF($I22="","",I22*Параметры!$B$7)</f>
        <v/>
      </c>
      <c r="P22" s="12">
        <f>ROUND(Параметры!$B$8*(1-Параметры!$B$9),1)</f>
        <v/>
      </c>
      <c r="Q22" s="12">
        <f>IF($I22="","",I22-M22-K22-N22-O22-P22-Параметры!$B$10-Параметры!$B$11-F22)</f>
        <v/>
      </c>
      <c r="R22" s="12">
        <f>IF($I22="","",Q22-L22)</f>
        <v/>
      </c>
      <c r="S22" s="11">
        <f>IF(OR($H22="",F22=0),"",ROUND(R22/F22*100,1))</f>
        <v/>
      </c>
      <c r="T22" s="19">
        <f>R22*D22</f>
        <v/>
      </c>
    </row>
    <row r="23">
      <c r="A23" s="10" t="inlineStr">
        <is>
          <t>Round Lab</t>
        </is>
      </c>
      <c r="B23" s="10" t="inlineStr">
        <is>
          <t>1025 DOKDO BUBBLE FOAM_150ml</t>
        </is>
      </c>
      <c r="C23" s="10" t="inlineStr">
        <is>
          <t>8809738599044</t>
        </is>
      </c>
      <c r="D23" s="11" t="n">
        <v>600</v>
      </c>
      <c r="E23" s="11" t="n">
        <v>7150</v>
      </c>
      <c r="F23" s="12">
        <f>E23*Параметры!$B$2*Параметры!$B$3</f>
        <v/>
      </c>
      <c r="G23" s="18">
        <f>F23*D23</f>
        <v/>
      </c>
      <c r="H23" s="13" t="n">
        <v>945</v>
      </c>
      <c r="I23" s="11">
        <f>IF($H23="","",ROUND(H23/(1-Параметры!$B$4),0))</f>
        <v/>
      </c>
      <c r="J23" s="14" t="n">
        <v>0.1</v>
      </c>
      <c r="K23" s="15" t="n">
        <v>90</v>
      </c>
      <c r="L23" s="12">
        <f>IF($I23="","",I23*J23)</f>
        <v/>
      </c>
      <c r="M23" s="12">
        <f>IF($I23="","",I23*Параметры!$B$5)</f>
        <v/>
      </c>
      <c r="N23" s="12">
        <f>IF($H23="","",H23*Параметры!$B$6)</f>
        <v/>
      </c>
      <c r="O23" s="12">
        <f>IF($I23="","",I23*Параметры!$B$7)</f>
        <v/>
      </c>
      <c r="P23" s="12">
        <f>ROUND(Параметры!$B$8*(1-Параметры!$B$9),1)</f>
        <v/>
      </c>
      <c r="Q23" s="12">
        <f>IF($I23="","",I23-M23-K23-N23-O23-P23-Параметры!$B$10-Параметры!$B$11-F23)</f>
        <v/>
      </c>
      <c r="R23" s="12">
        <f>IF($I23="","",Q23-L23)</f>
        <v/>
      </c>
      <c r="S23" s="11">
        <f>IF(OR($H23="",F23=0),"",ROUND(R23/F23*100,1))</f>
        <v/>
      </c>
      <c r="T23" s="19">
        <f>R23*D23</f>
        <v/>
      </c>
    </row>
    <row r="24">
      <c r="A24" s="10" t="inlineStr">
        <is>
          <t>Round Lab</t>
        </is>
      </c>
      <c r="B24" s="10" t="inlineStr">
        <is>
          <t>PINE CALMING CICA CLEANSER_150ml</t>
        </is>
      </c>
      <c r="C24" s="10" t="inlineStr">
        <is>
          <t>8809864754126</t>
        </is>
      </c>
      <c r="D24" s="11" t="n">
        <v>600</v>
      </c>
      <c r="E24" s="11" t="n">
        <v>6380</v>
      </c>
      <c r="F24" s="12">
        <f>E24*Параметры!$B$2*Параметры!$B$3</f>
        <v/>
      </c>
      <c r="G24" s="18">
        <f>F24*D24</f>
        <v/>
      </c>
      <c r="H24" s="13" t="n">
        <v>1221</v>
      </c>
      <c r="I24" s="11">
        <f>IF($H24="","",ROUND(H24/(1-Параметры!$B$4),0))</f>
        <v/>
      </c>
      <c r="J24" s="14" t="n">
        <v>0.1</v>
      </c>
      <c r="K24" s="15" t="n">
        <v>90</v>
      </c>
      <c r="L24" s="12">
        <f>IF($I24="","",I24*J24)</f>
        <v/>
      </c>
      <c r="M24" s="12">
        <f>IF($I24="","",I24*Параметры!$B$5)</f>
        <v/>
      </c>
      <c r="N24" s="12">
        <f>IF($H24="","",H24*Параметры!$B$6)</f>
        <v/>
      </c>
      <c r="O24" s="12">
        <f>IF($I24="","",I24*Параметры!$B$7)</f>
        <v/>
      </c>
      <c r="P24" s="12">
        <f>ROUND(Параметры!$B$8*(1-Параметры!$B$9),1)</f>
        <v/>
      </c>
      <c r="Q24" s="12">
        <f>IF($I24="","",I24-M24-K24-N24-O24-P24-Параметры!$B$10-Параметры!$B$11-F24)</f>
        <v/>
      </c>
      <c r="R24" s="12">
        <f>IF($I24="","",Q24-L24)</f>
        <v/>
      </c>
      <c r="S24" s="11">
        <f>IF(OR($H24="",F24=0),"",ROUND(R24/F24*100,1))</f>
        <v/>
      </c>
      <c r="T24" s="19">
        <f>R24*D24</f>
        <v/>
      </c>
    </row>
    <row r="25">
      <c r="A25" s="10" t="inlineStr">
        <is>
          <t>Round Lab</t>
        </is>
      </c>
      <c r="B25" s="10" t="inlineStr">
        <is>
          <t>PINE CALMING CICA BODY WASH_400ml</t>
        </is>
      </c>
      <c r="C25" s="10" t="inlineStr">
        <is>
          <t>8809849802408</t>
        </is>
      </c>
      <c r="D25" s="11" t="n">
        <v>400</v>
      </c>
      <c r="E25" s="11" t="n">
        <v>7590</v>
      </c>
      <c r="F25" s="12">
        <f>E25*Параметры!$B$2*Параметры!$B$3</f>
        <v/>
      </c>
      <c r="G25" s="18">
        <f>F25*D25</f>
        <v/>
      </c>
      <c r="H25" s="13" t="n">
        <v>1686</v>
      </c>
      <c r="I25" s="11">
        <f>IF($H25="","",ROUND(H25/(1-Параметры!$B$4),0))</f>
        <v/>
      </c>
      <c r="J25" s="14" t="n">
        <v>0.1</v>
      </c>
      <c r="K25" s="15" t="n">
        <v>90</v>
      </c>
      <c r="L25" s="12">
        <f>IF($I25="","",I25*J25)</f>
        <v/>
      </c>
      <c r="M25" s="12">
        <f>IF($I25="","",I25*Параметры!$B$5)</f>
        <v/>
      </c>
      <c r="N25" s="12">
        <f>IF($H25="","",H25*Параметры!$B$6)</f>
        <v/>
      </c>
      <c r="O25" s="12">
        <f>IF($I25="","",I25*Параметры!$B$7)</f>
        <v/>
      </c>
      <c r="P25" s="12">
        <f>ROUND(Параметры!$B$8*(1-Параметры!$B$9),1)</f>
        <v/>
      </c>
      <c r="Q25" s="12">
        <f>IF($I25="","",I25-M25-K25-N25-O25-P25-Параметры!$B$10-Параметры!$B$11-F25)</f>
        <v/>
      </c>
      <c r="R25" s="12">
        <f>IF($I25="","",Q25-L25)</f>
        <v/>
      </c>
      <c r="S25" s="11">
        <f>IF(OR($H25="",F25=0),"",ROUND(R25/F25*100,1))</f>
        <v/>
      </c>
      <c r="T25" s="19">
        <f>R25*D25</f>
        <v/>
      </c>
    </row>
    <row r="26">
      <c r="A26" s="10" t="inlineStr">
        <is>
          <t>Round Lab</t>
        </is>
      </c>
      <c r="B26" s="10" t="inlineStr">
        <is>
          <t>PINE CALMING CICA CREAM PLUS_60ml</t>
        </is>
      </c>
      <c r="C26" s="10" t="inlineStr">
        <is>
          <t>8809962542137</t>
        </is>
      </c>
      <c r="D26" s="11" t="n">
        <v>240</v>
      </c>
      <c r="E26" s="11" t="n">
        <v>11200</v>
      </c>
      <c r="F26" s="12">
        <f>E26*Параметры!$B$2*Параметры!$B$3</f>
        <v/>
      </c>
      <c r="G26" s="18">
        <f>F26*D26</f>
        <v/>
      </c>
      <c r="H26" s="13" t="n">
        <v>1500</v>
      </c>
      <c r="I26" s="11">
        <f>IF($H26="","",ROUND(H26/(1-Параметры!$B$4),0))</f>
        <v/>
      </c>
      <c r="J26" s="14" t="n">
        <v>0.1</v>
      </c>
      <c r="K26" s="15" t="n">
        <v>90</v>
      </c>
      <c r="L26" s="12">
        <f>IF($I26="","",I26*J26)</f>
        <v/>
      </c>
      <c r="M26" s="12">
        <f>IF($I26="","",I26*Параметры!$B$5)</f>
        <v/>
      </c>
      <c r="N26" s="12">
        <f>IF($H26="","",H26*Параметры!$B$6)</f>
        <v/>
      </c>
      <c r="O26" s="12">
        <f>IF($I26="","",I26*Параметры!$B$7)</f>
        <v/>
      </c>
      <c r="P26" s="12">
        <f>ROUND(Параметры!$B$8*(1-Параметры!$B$9),1)</f>
        <v/>
      </c>
      <c r="Q26" s="12">
        <f>IF($I26="","",I26-M26-K26-N26-O26-P26-Параметры!$B$10-Параметры!$B$11-F26)</f>
        <v/>
      </c>
      <c r="R26" s="12">
        <f>IF($I26="","",Q26-L26)</f>
        <v/>
      </c>
      <c r="S26" s="11">
        <f>IF(OR($H26="",F26=0),"",ROUND(R26/F26*100,1))</f>
        <v/>
      </c>
      <c r="T26" s="19">
        <f>R26*D26</f>
        <v/>
      </c>
    </row>
    <row r="27">
      <c r="A27" s="10" t="inlineStr">
        <is>
          <t>Round Lab</t>
        </is>
      </c>
      <c r="B27" s="10" t="inlineStr">
        <is>
          <t>ROUND LAB CAMELLIA DEEP COLLAGEN FIRMING CREAM_50ml</t>
        </is>
      </c>
      <c r="C27" s="10" t="inlineStr">
        <is>
          <t>8809962541840</t>
        </is>
      </c>
      <c r="D27" s="11" t="n">
        <v>400</v>
      </c>
      <c r="E27" s="11" t="n">
        <v>11970</v>
      </c>
      <c r="F27" s="12">
        <f>E27*Параметры!$B$2*Параметры!$B$3</f>
        <v/>
      </c>
      <c r="G27" s="18">
        <f>F27*D27</f>
        <v/>
      </c>
      <c r="H27" s="13" t="n">
        <v>1829</v>
      </c>
      <c r="I27" s="11">
        <f>IF($H27="","",ROUND(H27/(1-Параметры!$B$4),0))</f>
        <v/>
      </c>
      <c r="J27" s="14" t="n">
        <v>0.1</v>
      </c>
      <c r="K27" s="15" t="n">
        <v>90</v>
      </c>
      <c r="L27" s="12">
        <f>IF($I27="","",I27*J27)</f>
        <v/>
      </c>
      <c r="M27" s="12">
        <f>IF($I27="","",I27*Параметры!$B$5)</f>
        <v/>
      </c>
      <c r="N27" s="12">
        <f>IF($H27="","",H27*Параметры!$B$6)</f>
        <v/>
      </c>
      <c r="O27" s="12">
        <f>IF($I27="","",I27*Параметры!$B$7)</f>
        <v/>
      </c>
      <c r="P27" s="12">
        <f>ROUND(Параметры!$B$8*(1-Параметры!$B$9),1)</f>
        <v/>
      </c>
      <c r="Q27" s="12">
        <f>IF($I27="","",I27-M27-K27-N27-O27-P27-Параметры!$B$10-Параметры!$B$11-F27)</f>
        <v/>
      </c>
      <c r="R27" s="12">
        <f>IF($I27="","",Q27-L27)</f>
        <v/>
      </c>
      <c r="S27" s="11">
        <f>IF(OR($H27="",F27=0),"",ROUND(R27/F27*100,1))</f>
        <v/>
      </c>
      <c r="T27" s="19">
        <f>R27*D27</f>
        <v/>
      </c>
    </row>
    <row r="28">
      <c r="A28" s="10" t="inlineStr">
        <is>
          <t>Round Lab</t>
        </is>
      </c>
      <c r="B28" s="10" t="inlineStr">
        <is>
          <t>1025 DOKDO TONER_200ml</t>
        </is>
      </c>
      <c r="C28" s="10" t="inlineStr">
        <is>
          <t>8809657114731</t>
        </is>
      </c>
      <c r="D28" s="11" t="n">
        <v>360</v>
      </c>
      <c r="E28" s="11" t="n">
        <v>7575</v>
      </c>
      <c r="F28" s="12">
        <f>E28*Параметры!$B$2*Параметры!$B$3</f>
        <v/>
      </c>
      <c r="G28" s="18">
        <f>F28*D28</f>
        <v/>
      </c>
      <c r="H28" s="13" t="n">
        <v>1255</v>
      </c>
      <c r="I28" s="11">
        <f>IF($H28="","",ROUND(H28/(1-Параметры!$B$4),0))</f>
        <v/>
      </c>
      <c r="J28" s="14" t="n">
        <v>0.1</v>
      </c>
      <c r="K28" s="15" t="n">
        <v>90</v>
      </c>
      <c r="L28" s="12">
        <f>IF($I28="","",I28*J28)</f>
        <v/>
      </c>
      <c r="M28" s="12">
        <f>IF($I28="","",I28*Параметры!$B$5)</f>
        <v/>
      </c>
      <c r="N28" s="12">
        <f>IF($H28="","",H28*Параметры!$B$6)</f>
        <v/>
      </c>
      <c r="O28" s="12">
        <f>IF($I28="","",I28*Параметры!$B$7)</f>
        <v/>
      </c>
      <c r="P28" s="12">
        <f>ROUND(Параметры!$B$8*(1-Параметры!$B$9),1)</f>
        <v/>
      </c>
      <c r="Q28" s="12">
        <f>IF($I28="","",I28-M28-K28-N28-O28-P28-Параметры!$B$10-Параметры!$B$11-F28)</f>
        <v/>
      </c>
      <c r="R28" s="12">
        <f>IF($I28="","",Q28-L28)</f>
        <v/>
      </c>
      <c r="S28" s="11">
        <f>IF(OR($H28="",F28=0),"",ROUND(R28/F28*100,1))</f>
        <v/>
      </c>
      <c r="T28" s="19">
        <f>R28*D28</f>
        <v/>
      </c>
    </row>
    <row r="29">
      <c r="A29" s="10" t="inlineStr">
        <is>
          <t>Round Lab</t>
        </is>
      </c>
      <c r="B29" s="10" t="inlineStr">
        <is>
          <t>PINE CALMING CICA PAD_50pcs</t>
        </is>
      </c>
      <c r="C29" s="10" t="inlineStr">
        <is>
          <t>8809750462708</t>
        </is>
      </c>
      <c r="D29" s="11" t="n">
        <v>270</v>
      </c>
      <c r="E29" s="11" t="n">
        <v>10000</v>
      </c>
      <c r="F29" s="12">
        <f>E29*Параметры!$B$2*Параметры!$B$3</f>
        <v/>
      </c>
      <c r="G29" s="18">
        <f>F29*D29</f>
        <v/>
      </c>
      <c r="H29" s="13" t="n">
        <v>1701</v>
      </c>
      <c r="I29" s="11">
        <f>IF($H29="","",ROUND(H29/(1-Параметры!$B$4),0))</f>
        <v/>
      </c>
      <c r="J29" s="14" t="n">
        <v>0.1</v>
      </c>
      <c r="K29" s="15" t="n">
        <v>90</v>
      </c>
      <c r="L29" s="12">
        <f>IF($I29="","",I29*J29)</f>
        <v/>
      </c>
      <c r="M29" s="12">
        <f>IF($I29="","",I29*Параметры!$B$5)</f>
        <v/>
      </c>
      <c r="N29" s="12">
        <f>IF($H29="","",H29*Параметры!$B$6)</f>
        <v/>
      </c>
      <c r="O29" s="12">
        <f>IF($I29="","",I29*Параметры!$B$7)</f>
        <v/>
      </c>
      <c r="P29" s="12">
        <f>ROUND(Параметры!$B$8*(1-Параметры!$B$9),1)</f>
        <v/>
      </c>
      <c r="Q29" s="12">
        <f>IF($I29="","",I29-M29-K29-N29-O29-P29-Параметры!$B$10-Параметры!$B$11-F29)</f>
        <v/>
      </c>
      <c r="R29" s="12">
        <f>IF($I29="","",Q29-L29)</f>
        <v/>
      </c>
      <c r="S29" s="11">
        <f>IF(OR($H29="",F29=0),"",ROUND(R29/F29*100,1))</f>
        <v/>
      </c>
      <c r="T29" s="19">
        <f>R29*D29</f>
        <v/>
      </c>
    </row>
    <row r="30">
      <c r="A30" s="10" t="inlineStr">
        <is>
          <t>Round Lab</t>
        </is>
      </c>
      <c r="B30" s="10" t="inlineStr">
        <is>
          <t>SOYBEAN SERUM_50ml</t>
        </is>
      </c>
      <c r="C30" s="10" t="inlineStr">
        <is>
          <t>8809738593240</t>
        </is>
      </c>
      <c r="D30" s="11" t="n">
        <v>210</v>
      </c>
      <c r="E30" s="11" t="n">
        <v>10500</v>
      </c>
      <c r="F30" s="12">
        <f>E30*Параметры!$B$2*Параметры!$B$3</f>
        <v/>
      </c>
      <c r="G30" s="18">
        <f>F30*D30</f>
        <v/>
      </c>
      <c r="H30" s="13" t="n">
        <v>1742</v>
      </c>
      <c r="I30" s="11">
        <f>IF($H30="","",ROUND(H30/(1-Параметры!$B$4),0))</f>
        <v/>
      </c>
      <c r="J30" s="14" t="n">
        <v>0.1</v>
      </c>
      <c r="K30" s="15" t="n">
        <v>90</v>
      </c>
      <c r="L30" s="12">
        <f>IF($I30="","",I30*J30)</f>
        <v/>
      </c>
      <c r="M30" s="12">
        <f>IF($I30="","",I30*Параметры!$B$5)</f>
        <v/>
      </c>
      <c r="N30" s="12">
        <f>IF($H30="","",H30*Параметры!$B$6)</f>
        <v/>
      </c>
      <c r="O30" s="12">
        <f>IF($I30="","",I30*Параметры!$B$7)</f>
        <v/>
      </c>
      <c r="P30" s="12">
        <f>ROUND(Параметры!$B$8*(1-Параметры!$B$9),1)</f>
        <v/>
      </c>
      <c r="Q30" s="12">
        <f>IF($I30="","",I30-M30-K30-N30-O30-P30-Параметры!$B$10-Параметры!$B$11-F30)</f>
        <v/>
      </c>
      <c r="R30" s="12">
        <f>IF($I30="","",Q30-L30)</f>
        <v/>
      </c>
      <c r="S30" s="11">
        <f>IF(OR($H30="",F30=0),"",ROUND(R30/F30*100,1))</f>
        <v/>
      </c>
      <c r="T30" s="19">
        <f>R30*D30</f>
        <v/>
      </c>
    </row>
    <row r="31">
      <c r="A31" s="10" t="inlineStr">
        <is>
          <t>Round Lab</t>
        </is>
      </c>
      <c r="B31" s="10" t="inlineStr">
        <is>
          <t>ROUND LAB STICK POUCH KIT</t>
        </is>
      </c>
      <c r="C31" s="10" t="inlineStr">
        <is>
          <t>8809962540553</t>
        </is>
      </c>
      <c r="D31" s="11" t="n">
        <v>300</v>
      </c>
      <c r="E31" s="11" t="n">
        <v>5950</v>
      </c>
      <c r="F31" s="12">
        <f>E31*Параметры!$B$2*Параметры!$B$3</f>
        <v/>
      </c>
      <c r="G31" s="18">
        <f>F31*D31</f>
        <v/>
      </c>
      <c r="H31" s="13" t="n">
        <v>1061</v>
      </c>
      <c r="I31" s="11">
        <f>IF($H31="","",ROUND(H31/(1-Параметры!$B$4),0))</f>
        <v/>
      </c>
      <c r="J31" s="14" t="n">
        <v>0.1</v>
      </c>
      <c r="K31" s="15" t="n">
        <v>90</v>
      </c>
      <c r="L31" s="12">
        <f>IF($I31="","",I31*J31)</f>
        <v/>
      </c>
      <c r="M31" s="12">
        <f>IF($I31="","",I31*Параметры!$B$5)</f>
        <v/>
      </c>
      <c r="N31" s="12">
        <f>IF($H31="","",H31*Параметры!$B$6)</f>
        <v/>
      </c>
      <c r="O31" s="12">
        <f>IF($I31="","",I31*Параметры!$B$7)</f>
        <v/>
      </c>
      <c r="P31" s="12">
        <f>ROUND(Параметры!$B$8*(1-Параметры!$B$9),1)</f>
        <v/>
      </c>
      <c r="Q31" s="12">
        <f>IF($I31="","",I31-M31-K31-N31-O31-P31-Параметры!$B$10-Параметры!$B$11-F31)</f>
        <v/>
      </c>
      <c r="R31" s="12">
        <f>IF($I31="","",Q31-L31)</f>
        <v/>
      </c>
      <c r="S31" s="11">
        <f>IF(OR($H31="",F31=0),"",ROUND(R31/F31*100,1))</f>
        <v/>
      </c>
      <c r="T31" s="19">
        <f>R31*D31</f>
        <v/>
      </c>
    </row>
    <row r="32">
      <c r="A32" s="10" t="inlineStr">
        <is>
          <t>Round Lab</t>
        </is>
      </c>
      <c r="B32" s="10" t="inlineStr">
        <is>
          <t>1025 DOKDO CREAM_80ml</t>
        </is>
      </c>
      <c r="C32" s="10" t="inlineStr">
        <is>
          <t>8809738600245</t>
        </is>
      </c>
      <c r="D32" s="11" t="n">
        <v>160</v>
      </c>
      <c r="E32" s="11" t="n">
        <v>12160</v>
      </c>
      <c r="F32" s="12">
        <f>E32*Параметры!$B$2*Параметры!$B$3</f>
        <v/>
      </c>
      <c r="G32" s="18">
        <f>F32*D32</f>
        <v/>
      </c>
      <c r="H32" s="13" t="n">
        <v>1877</v>
      </c>
      <c r="I32" s="11">
        <f>IF($H32="","",ROUND(H32/(1-Параметры!$B$4),0))</f>
        <v/>
      </c>
      <c r="J32" s="14" t="n">
        <v>0.1</v>
      </c>
      <c r="K32" s="15" t="n">
        <v>90</v>
      </c>
      <c r="L32" s="12">
        <f>IF($I32="","",I32*J32)</f>
        <v/>
      </c>
      <c r="M32" s="12">
        <f>IF($I32="","",I32*Параметры!$B$5)</f>
        <v/>
      </c>
      <c r="N32" s="12">
        <f>IF($H32="","",H32*Параметры!$B$6)</f>
        <v/>
      </c>
      <c r="O32" s="12">
        <f>IF($I32="","",I32*Параметры!$B$7)</f>
        <v/>
      </c>
      <c r="P32" s="12">
        <f>ROUND(Параметры!$B$8*(1-Параметры!$B$9),1)</f>
        <v/>
      </c>
      <c r="Q32" s="12">
        <f>IF($I32="","",I32-M32-K32-N32-O32-P32-Параметры!$B$10-Параметры!$B$11-F32)</f>
        <v/>
      </c>
      <c r="R32" s="12">
        <f>IF($I32="","",Q32-L32)</f>
        <v/>
      </c>
      <c r="S32" s="11">
        <f>IF(OR($H32="",F32=0),"",ROUND(R32/F32*100,1))</f>
        <v/>
      </c>
      <c r="T32" s="19">
        <f>R32*D32</f>
        <v/>
      </c>
    </row>
    <row r="33">
      <c r="A33" s="10" t="inlineStr">
        <is>
          <t>SKIN1004</t>
        </is>
      </c>
      <c r="B33" s="10" t="inlineStr">
        <is>
          <t>SKIN1004 Madagascar Centella Ampoule 55ml</t>
        </is>
      </c>
      <c r="C33" s="10" t="inlineStr">
        <is>
          <t>8809576260601</t>
        </is>
      </c>
      <c r="D33" s="11" t="n">
        <v>1500</v>
      </c>
      <c r="E33" s="11" t="n">
        <v>8100</v>
      </c>
      <c r="F33" s="12">
        <f>E33*Параметры!$B$2*Параметры!$B$3</f>
        <v/>
      </c>
      <c r="G33" s="18">
        <f>F33*D33</f>
        <v/>
      </c>
      <c r="H33" s="13" t="n">
        <v>1150</v>
      </c>
      <c r="I33" s="11">
        <f>IF($H33="","",ROUND(H33/(1-Параметры!$B$4),0))</f>
        <v/>
      </c>
      <c r="J33" s="14" t="n">
        <v>0.1</v>
      </c>
      <c r="K33" s="15" t="n">
        <v>90</v>
      </c>
      <c r="L33" s="12">
        <f>IF($I33="","",I33*J33)</f>
        <v/>
      </c>
      <c r="M33" s="12">
        <f>IF($I33="","",I33*Параметры!$B$5)</f>
        <v/>
      </c>
      <c r="N33" s="12">
        <f>IF($H33="","",H33*Параметры!$B$6)</f>
        <v/>
      </c>
      <c r="O33" s="12">
        <f>IF($I33="","",I33*Параметры!$B$7)</f>
        <v/>
      </c>
      <c r="P33" s="12">
        <f>ROUND(Параметры!$B$8*(1-Параметры!$B$9),1)</f>
        <v/>
      </c>
      <c r="Q33" s="12">
        <f>IF($I33="","",I33-M33-K33-N33-O33-P33-Параметры!$B$10-Параметры!$B$11-F33)</f>
        <v/>
      </c>
      <c r="R33" s="12">
        <f>IF($I33="","",Q33-L33)</f>
        <v/>
      </c>
      <c r="S33" s="11">
        <f>IF(OR($H33="",F33=0),"",ROUND(R33/F33*100,1))</f>
        <v/>
      </c>
      <c r="T33" s="19">
        <f>R33*D33</f>
        <v/>
      </c>
    </row>
    <row r="34">
      <c r="A34" s="10" t="inlineStr">
        <is>
          <t>SKIN1004</t>
        </is>
      </c>
      <c r="B34" s="10" t="inlineStr">
        <is>
          <t>SKIN1004 Madagascar Centella Tone Brightening Capsule Ampoule 100ml</t>
        </is>
      </c>
      <c r="C34" s="10" t="inlineStr">
        <is>
          <t>8809576261172</t>
        </is>
      </c>
      <c r="D34" s="11" t="n">
        <v>900</v>
      </c>
      <c r="E34" s="11" t="n">
        <v>10400</v>
      </c>
      <c r="F34" s="12">
        <f>E34*Параметры!$B$2*Параметры!$B$3</f>
        <v/>
      </c>
      <c r="G34" s="18">
        <f>F34*D34</f>
        <v/>
      </c>
      <c r="H34" s="13" t="n">
        <v>1406</v>
      </c>
      <c r="I34" s="11">
        <f>IF($H34="","",ROUND(H34/(1-Параметры!$B$4),0))</f>
        <v/>
      </c>
      <c r="J34" s="14" t="n">
        <v>0.1</v>
      </c>
      <c r="K34" s="15" t="n">
        <v>90</v>
      </c>
      <c r="L34" s="12">
        <f>IF($I34="","",I34*J34)</f>
        <v/>
      </c>
      <c r="M34" s="12">
        <f>IF($I34="","",I34*Параметры!$B$5)</f>
        <v/>
      </c>
      <c r="N34" s="12">
        <f>IF($H34="","",H34*Параметры!$B$6)</f>
        <v/>
      </c>
      <c r="O34" s="12">
        <f>IF($I34="","",I34*Параметры!$B$7)</f>
        <v/>
      </c>
      <c r="P34" s="12">
        <f>ROUND(Параметры!$B$8*(1-Параметры!$B$9),1)</f>
        <v/>
      </c>
      <c r="Q34" s="12">
        <f>IF($I34="","",I34-M34-K34-N34-O34-P34-Параметры!$B$10-Параметры!$B$11-F34)</f>
        <v/>
      </c>
      <c r="R34" s="12">
        <f>IF($I34="","",Q34-L34)</f>
        <v/>
      </c>
      <c r="S34" s="11">
        <f>IF(OR($H34="",F34=0),"",ROUND(R34/F34*100,1))</f>
        <v/>
      </c>
      <c r="T34" s="19">
        <f>R34*D34</f>
        <v/>
      </c>
    </row>
    <row r="35">
      <c r="A35" s="10" t="inlineStr">
        <is>
          <t>SKIN1004</t>
        </is>
      </c>
      <c r="B35" s="10" t="inlineStr">
        <is>
          <t>SKIN1004 Madagascar Centella Soothing Cream 75ml</t>
        </is>
      </c>
      <c r="C35" s="10" t="inlineStr">
        <is>
          <t>8809576261134</t>
        </is>
      </c>
      <c r="D35" s="11" t="n">
        <v>920</v>
      </c>
      <c r="E35" s="11" t="n">
        <v>10300</v>
      </c>
      <c r="F35" s="12">
        <f>E35*Параметры!$B$2*Параметры!$B$3</f>
        <v/>
      </c>
      <c r="G35" s="18">
        <f>F35*D35</f>
        <v/>
      </c>
      <c r="H35" s="13" t="n">
        <v>1225</v>
      </c>
      <c r="I35" s="11">
        <f>IF($H35="","",ROUND(H35/(1-Параметры!$B$4),0))</f>
        <v/>
      </c>
      <c r="J35" s="14" t="n">
        <v>0.1</v>
      </c>
      <c r="K35" s="15" t="n">
        <v>90</v>
      </c>
      <c r="L35" s="12">
        <f>IF($I35="","",I35*J35)</f>
        <v/>
      </c>
      <c r="M35" s="12">
        <f>IF($I35="","",I35*Параметры!$B$5)</f>
        <v/>
      </c>
      <c r="N35" s="12">
        <f>IF($H35="","",H35*Параметры!$B$6)</f>
        <v/>
      </c>
      <c r="O35" s="12">
        <f>IF($I35="","",I35*Параметры!$B$7)</f>
        <v/>
      </c>
      <c r="P35" s="12">
        <f>ROUND(Параметры!$B$8*(1-Параметры!$B$9),1)</f>
        <v/>
      </c>
      <c r="Q35" s="12">
        <f>IF($I35="","",I35-M35-K35-N35-O35-P35-Параметры!$B$10-Параметры!$B$11-F35)</f>
        <v/>
      </c>
      <c r="R35" s="12">
        <f>IF($I35="","",Q35-L35)</f>
        <v/>
      </c>
      <c r="S35" s="11">
        <f>IF(OR($H35="",F35=0),"",ROUND(R35/F35*100,1))</f>
        <v/>
      </c>
      <c r="T35" s="19">
        <f>R35*D35</f>
        <v/>
      </c>
    </row>
    <row r="36">
      <c r="A36" s="10" t="inlineStr">
        <is>
          <t>MEDICUBE</t>
        </is>
      </c>
      <c r="B36" s="10" t="inlineStr">
        <is>
          <t>PDRN PINK PEPTIDE SERUM 30ml</t>
        </is>
      </c>
      <c r="C36" s="10" t="inlineStr">
        <is>
          <t>8800256108053</t>
        </is>
      </c>
      <c r="D36" s="11" t="n">
        <v>320</v>
      </c>
      <c r="E36" s="11" t="n">
        <v>10600</v>
      </c>
      <c r="F36" s="12">
        <f>E36*Параметры!$B$2*Параметры!$B$3</f>
        <v/>
      </c>
      <c r="G36" s="18">
        <f>F36*D36</f>
        <v/>
      </c>
      <c r="H36" s="13" t="n">
        <v>1500</v>
      </c>
      <c r="I36" s="11">
        <f>IF($H36="","",ROUND(H36/(1-Параметры!$B$4),0))</f>
        <v/>
      </c>
      <c r="J36" s="14" t="n">
        <v>0.1</v>
      </c>
      <c r="K36" s="15" t="n">
        <v>90</v>
      </c>
      <c r="L36" s="12">
        <f>IF($I36="","",I36*J36)</f>
        <v/>
      </c>
      <c r="M36" s="12">
        <f>IF($I36="","",I36*Параметры!$B$5)</f>
        <v/>
      </c>
      <c r="N36" s="12">
        <f>IF($H36="","",H36*Параметры!$B$6)</f>
        <v/>
      </c>
      <c r="O36" s="12">
        <f>IF($I36="","",I36*Параметры!$B$7)</f>
        <v/>
      </c>
      <c r="P36" s="12">
        <f>ROUND(Параметры!$B$8*(1-Параметры!$B$9),1)</f>
        <v/>
      </c>
      <c r="Q36" s="12">
        <f>IF($I36="","",I36-M36-K36-N36-O36-P36-Параметры!$B$10-Параметры!$B$11-F36)</f>
        <v/>
      </c>
      <c r="R36" s="12">
        <f>IF($I36="","",Q36-L36)</f>
        <v/>
      </c>
      <c r="S36" s="11">
        <f>IF(OR($H36="",F36=0),"",ROUND(R36/F36*100,1))</f>
        <v/>
      </c>
      <c r="T36" s="19">
        <f>R36*D36</f>
        <v/>
      </c>
    </row>
    <row r="37">
      <c r="A37" s="10" t="inlineStr">
        <is>
          <t>MEDICUBE</t>
        </is>
      </c>
      <c r="B37" s="10" t="inlineStr">
        <is>
          <t>PDRN PINK EXOSOME SHOT SERUM 7500 30ml</t>
        </is>
      </c>
      <c r="C37" s="10" t="inlineStr">
        <is>
          <t>8800256115549</t>
        </is>
      </c>
      <c r="D37" s="11" t="n">
        <v>400</v>
      </c>
      <c r="E37" s="11" t="n">
        <v>13100</v>
      </c>
      <c r="F37" s="12">
        <f>E37*Параметры!$B$2*Параметры!$B$3</f>
        <v/>
      </c>
      <c r="G37" s="18">
        <f>F37*D37</f>
        <v/>
      </c>
      <c r="H37" s="13" t="n">
        <v>1700</v>
      </c>
      <c r="I37" s="11">
        <f>IF($H37="","",ROUND(H37/(1-Параметры!$B$4),0))</f>
        <v/>
      </c>
      <c r="J37" s="14" t="n">
        <v>0.1</v>
      </c>
      <c r="K37" s="15" t="n">
        <v>90</v>
      </c>
      <c r="L37" s="12">
        <f>IF($I37="","",I37*J37)</f>
        <v/>
      </c>
      <c r="M37" s="12">
        <f>IF($I37="","",I37*Параметры!$B$5)</f>
        <v/>
      </c>
      <c r="N37" s="12">
        <f>IF($H37="","",H37*Параметры!$B$6)</f>
        <v/>
      </c>
      <c r="O37" s="12">
        <f>IF($I37="","",I37*Параметры!$B$7)</f>
        <v/>
      </c>
      <c r="P37" s="12">
        <f>ROUND(Параметры!$B$8*(1-Параметры!$B$9),1)</f>
        <v/>
      </c>
      <c r="Q37" s="12">
        <f>IF($I37="","",I37-M37-K37-N37-O37-P37-Параметры!$B$10-Параметры!$B$11-F37)</f>
        <v/>
      </c>
      <c r="R37" s="12">
        <f>IF($I37="","",Q37-L37)</f>
        <v/>
      </c>
      <c r="S37" s="11">
        <f>IF(OR($H37="",F37=0),"",ROUND(R37/F37*100,1))</f>
        <v/>
      </c>
      <c r="T37" s="19">
        <f>R37*D37</f>
        <v/>
      </c>
    </row>
    <row r="38">
      <c r="A38" s="10" t="inlineStr">
        <is>
          <t>MEDICUBE</t>
        </is>
      </c>
      <c r="B38" s="10" t="inlineStr">
        <is>
          <t>PDRN PINK EXOSOME SHOT SERUM 2000 30ml</t>
        </is>
      </c>
      <c r="C38" s="10" t="inlineStr">
        <is>
          <t>8800256115532</t>
        </is>
      </c>
      <c r="D38" s="11" t="n">
        <v>300</v>
      </c>
      <c r="E38" s="11" t="n">
        <v>11900</v>
      </c>
      <c r="F38" s="12">
        <f>E38*Параметры!$B$2*Параметры!$B$3</f>
        <v/>
      </c>
      <c r="G38" s="18">
        <f>F38*D38</f>
        <v/>
      </c>
      <c r="H38" s="13" t="n">
        <v>1600</v>
      </c>
      <c r="I38" s="11">
        <f>IF($H38="","",ROUND(H38/(1-Параметры!$B$4),0))</f>
        <v/>
      </c>
      <c r="J38" s="14" t="n">
        <v>0.1</v>
      </c>
      <c r="K38" s="15" t="n">
        <v>90</v>
      </c>
      <c r="L38" s="12">
        <f>IF($I38="","",I38*J38)</f>
        <v/>
      </c>
      <c r="M38" s="12">
        <f>IF($I38="","",I38*Параметры!$B$5)</f>
        <v/>
      </c>
      <c r="N38" s="12">
        <f>IF($H38="","",H38*Параметры!$B$6)</f>
        <v/>
      </c>
      <c r="O38" s="12">
        <f>IF($I38="","",I38*Параметры!$B$7)</f>
        <v/>
      </c>
      <c r="P38" s="12">
        <f>ROUND(Параметры!$B$8*(1-Параметры!$B$9),1)</f>
        <v/>
      </c>
      <c r="Q38" s="12">
        <f>IF($I38="","",I38-M38-K38-N38-O38-P38-Параметры!$B$10-Параметры!$B$11-F38)</f>
        <v/>
      </c>
      <c r="R38" s="12">
        <f>IF($I38="","",Q38-L38)</f>
        <v/>
      </c>
      <c r="S38" s="11">
        <f>IF(OR($H38="",F38=0),"",ROUND(R38/F38*100,1))</f>
        <v/>
      </c>
      <c r="T38" s="19">
        <f>R38*D38</f>
        <v/>
      </c>
    </row>
    <row r="39">
      <c r="A39" s="10" t="inlineStr">
        <is>
          <t>MEDICUBE</t>
        </is>
      </c>
      <c r="B39" s="10" t="inlineStr">
        <is>
          <t>EXOSOME CICA TONER 210ml</t>
        </is>
      </c>
      <c r="C39" s="10" t="inlineStr">
        <is>
          <t>8800256112159</t>
        </is>
      </c>
      <c r="D39" s="11" t="n">
        <v>240</v>
      </c>
      <c r="E39" s="11" t="n">
        <v>10800</v>
      </c>
      <c r="F39" s="12">
        <f>E39*Параметры!$B$2*Параметры!$B$3</f>
        <v/>
      </c>
      <c r="G39" s="18">
        <f>F39*D39</f>
        <v/>
      </c>
      <c r="H39" s="13" t="n">
        <v>1500</v>
      </c>
      <c r="I39" s="11">
        <f>IF($H39="","",ROUND(H39/(1-Параметры!$B$4),0))</f>
        <v/>
      </c>
      <c r="J39" s="14" t="n">
        <v>0.1</v>
      </c>
      <c r="K39" s="15" t="n">
        <v>90</v>
      </c>
      <c r="L39" s="12">
        <f>IF($I39="","",I39*J39)</f>
        <v/>
      </c>
      <c r="M39" s="12">
        <f>IF($I39="","",I39*Параметры!$B$5)</f>
        <v/>
      </c>
      <c r="N39" s="12">
        <f>IF($H39="","",H39*Параметры!$B$6)</f>
        <v/>
      </c>
      <c r="O39" s="12">
        <f>IF($I39="","",I39*Параметры!$B$7)</f>
        <v/>
      </c>
      <c r="P39" s="12">
        <f>ROUND(Параметры!$B$8*(1-Параметры!$B$9),1)</f>
        <v/>
      </c>
      <c r="Q39" s="12">
        <f>IF($I39="","",I39-M39-K39-N39-O39-P39-Параметры!$B$10-Параметры!$B$11-F39)</f>
        <v/>
      </c>
      <c r="R39" s="12">
        <f>IF($I39="","",Q39-L39)</f>
        <v/>
      </c>
      <c r="S39" s="11">
        <f>IF(OR($H39="",F39=0),"",ROUND(R39/F39*100,1))</f>
        <v/>
      </c>
      <c r="T39" s="19">
        <f>R39*D39</f>
        <v/>
      </c>
    </row>
    <row r="40">
      <c r="A40" s="10" t="inlineStr">
        <is>
          <t>MEDICUBE</t>
        </is>
      </c>
      <c r="B40" s="10" t="inlineStr">
        <is>
          <t>TXA NIACINAMIDE CAPSULE CREAM 55g</t>
        </is>
      </c>
      <c r="C40" s="10" t="inlineStr">
        <is>
          <t>8800256119660</t>
        </is>
      </c>
      <c r="D40" s="11" t="n">
        <v>240</v>
      </c>
      <c r="E40" s="11" t="n">
        <v>14490</v>
      </c>
      <c r="F40" s="12">
        <f>E40*Параметры!$B$2*Параметры!$B$3</f>
        <v/>
      </c>
      <c r="G40" s="18">
        <f>F40*D40</f>
        <v/>
      </c>
      <c r="H40" s="13" t="n">
        <v>1900</v>
      </c>
      <c r="I40" s="11">
        <f>IF($H40="","",ROUND(H40/(1-Параметры!$B$4),0))</f>
        <v/>
      </c>
      <c r="J40" s="14" t="n">
        <v>0.1</v>
      </c>
      <c r="K40" s="15" t="n">
        <v>90</v>
      </c>
      <c r="L40" s="12">
        <f>IF($I40="","",I40*J40)</f>
        <v/>
      </c>
      <c r="M40" s="12">
        <f>IF($I40="","",I40*Параметры!$B$5)</f>
        <v/>
      </c>
      <c r="N40" s="12">
        <f>IF($H40="","",H40*Параметры!$B$6)</f>
        <v/>
      </c>
      <c r="O40" s="12">
        <f>IF($I40="","",I40*Параметры!$B$7)</f>
        <v/>
      </c>
      <c r="P40" s="12">
        <f>ROUND(Параметры!$B$8*(1-Параметры!$B$9),1)</f>
        <v/>
      </c>
      <c r="Q40" s="12">
        <f>IF($I40="","",I40-M40-K40-N40-O40-P40-Параметры!$B$10-Параметры!$B$11-F40)</f>
        <v/>
      </c>
      <c r="R40" s="12">
        <f>IF($I40="","",Q40-L40)</f>
        <v/>
      </c>
      <c r="S40" s="11">
        <f>IF(OR($H40="",F40=0),"",ROUND(R40/F40*100,1))</f>
        <v/>
      </c>
      <c r="T40" s="19">
        <f>R40*D40</f>
        <v/>
      </c>
    </row>
    <row r="41">
      <c r="A41" s="10" t="inlineStr">
        <is>
          <t>MEDICUBE</t>
        </is>
      </c>
      <c r="B41" s="10" t="inlineStr">
        <is>
          <t>PDRN PINK COLLAGEN CAPSULE CREAM 55g</t>
        </is>
      </c>
      <c r="C41" s="10" t="inlineStr">
        <is>
          <t>8800256118885</t>
        </is>
      </c>
      <c r="D41" s="11" t="n">
        <v>160</v>
      </c>
      <c r="E41" s="11" t="n">
        <v>16020</v>
      </c>
      <c r="F41" s="12">
        <f>E41*Параметры!$B$2*Параметры!$B$3</f>
        <v/>
      </c>
      <c r="G41" s="18">
        <f>F41*D41</f>
        <v/>
      </c>
      <c r="H41" s="13" t="n">
        <v>2267</v>
      </c>
      <c r="I41" s="11">
        <f>IF($H41="","",ROUND(H41/(1-Параметры!$B$4),0))</f>
        <v/>
      </c>
      <c r="J41" s="14" t="n">
        <v>0.1</v>
      </c>
      <c r="K41" s="15" t="n">
        <v>90</v>
      </c>
      <c r="L41" s="12">
        <f>IF($I41="","",I41*J41)</f>
        <v/>
      </c>
      <c r="M41" s="12">
        <f>IF($I41="","",I41*Параметры!$B$5)</f>
        <v/>
      </c>
      <c r="N41" s="12">
        <f>IF($H41="","",H41*Параметры!$B$6)</f>
        <v/>
      </c>
      <c r="O41" s="12">
        <f>IF($I41="","",I41*Параметры!$B$7)</f>
        <v/>
      </c>
      <c r="P41" s="12">
        <f>ROUND(Параметры!$B$8*(1-Параметры!$B$9),1)</f>
        <v/>
      </c>
      <c r="Q41" s="12">
        <f>IF($I41="","",I41-M41-K41-N41-O41-P41-Параметры!$B$10-Параметры!$B$11-F41)</f>
        <v/>
      </c>
      <c r="R41" s="12">
        <f>IF($I41="","",Q41-L41)</f>
        <v/>
      </c>
      <c r="S41" s="11">
        <f>IF(OR($H41="",F41=0),"",ROUND(R41/F41*100,1))</f>
        <v/>
      </c>
      <c r="T41" s="19">
        <f>R41*D41</f>
        <v/>
      </c>
    </row>
    <row r="42">
      <c r="A42" s="10" t="inlineStr">
        <is>
          <t>MEDICUBE</t>
        </is>
      </c>
      <c r="B42" s="10" t="inlineStr">
        <is>
          <t>PDRN PINK HYALURONIC MOISTURIZING CREAM 50ml</t>
        </is>
      </c>
      <c r="C42" s="10" t="inlineStr">
        <is>
          <t>8800256113101</t>
        </is>
      </c>
      <c r="D42" s="11" t="n">
        <v>200</v>
      </c>
      <c r="E42" s="11" t="n">
        <v>10532</v>
      </c>
      <c r="F42" s="12">
        <f>E42*Параметры!$B$2*Параметры!$B$3</f>
        <v/>
      </c>
      <c r="G42" s="18">
        <f>F42*D42</f>
        <v/>
      </c>
      <c r="H42" s="13" t="n">
        <v>1598</v>
      </c>
      <c r="I42" s="11">
        <f>IF($H42="","",ROUND(H42/(1-Параметры!$B$4),0))</f>
        <v/>
      </c>
      <c r="J42" s="14" t="n">
        <v>0.1</v>
      </c>
      <c r="K42" s="15" t="n">
        <v>90</v>
      </c>
      <c r="L42" s="12">
        <f>IF($I42="","",I42*J42)</f>
        <v/>
      </c>
      <c r="M42" s="12">
        <f>IF($I42="","",I42*Параметры!$B$5)</f>
        <v/>
      </c>
      <c r="N42" s="12">
        <f>IF($H42="","",H42*Параметры!$B$6)</f>
        <v/>
      </c>
      <c r="O42" s="12">
        <f>IF($I42="","",I42*Параметры!$B$7)</f>
        <v/>
      </c>
      <c r="P42" s="12">
        <f>ROUND(Параметры!$B$8*(1-Параметры!$B$9),1)</f>
        <v/>
      </c>
      <c r="Q42" s="12">
        <f>IF($I42="","",I42-M42-K42-N42-O42-P42-Параметры!$B$10-Параметры!$B$11-F42)</f>
        <v/>
      </c>
      <c r="R42" s="12">
        <f>IF($I42="","",Q42-L42)</f>
        <v/>
      </c>
      <c r="S42" s="11">
        <f>IF(OR($H42="",F42=0),"",ROUND(R42/F42*100,1))</f>
        <v/>
      </c>
      <c r="T42" s="19">
        <f>R42*D42</f>
        <v/>
      </c>
    </row>
    <row r="43">
      <c r="A43" s="10" t="inlineStr">
        <is>
          <t>VT COSMETICS</t>
        </is>
      </c>
      <c r="B43" s="10" t="inlineStr">
        <is>
          <t>VT REEDLE S LIP PLUMPER EXPERT</t>
        </is>
      </c>
      <c r="C43" s="10" t="inlineStr">
        <is>
          <t>8803463006501</t>
        </is>
      </c>
      <c r="D43" s="11" t="n">
        <v>528</v>
      </c>
      <c r="E43" s="11" t="n">
        <v>8300</v>
      </c>
      <c r="F43" s="12">
        <f>E43*Параметры!$B$2*Параметры!$B$3</f>
        <v/>
      </c>
      <c r="G43" s="18">
        <f>F43*D43</f>
        <v/>
      </c>
      <c r="H43" s="13" t="n">
        <v>1540</v>
      </c>
      <c r="I43" s="11">
        <f>IF($H43="","",ROUND(H43/(1-Параметры!$B$4),0))</f>
        <v/>
      </c>
      <c r="J43" s="14" t="n">
        <v>0.1</v>
      </c>
      <c r="K43" s="15" t="n">
        <v>90</v>
      </c>
      <c r="L43" s="12">
        <f>IF($I43="","",I43*J43)</f>
        <v/>
      </c>
      <c r="M43" s="12">
        <f>IF($I43="","",I43*Параметры!$B$5)</f>
        <v/>
      </c>
      <c r="N43" s="12">
        <f>IF($H43="","",H43*Параметры!$B$6)</f>
        <v/>
      </c>
      <c r="O43" s="12">
        <f>IF($I43="","",I43*Параметры!$B$7)</f>
        <v/>
      </c>
      <c r="P43" s="12">
        <f>ROUND(Параметры!$B$8*(1-Параметры!$B$9),1)</f>
        <v/>
      </c>
      <c r="Q43" s="12">
        <f>IF($I43="","",I43-M43-K43-N43-O43-P43-Параметры!$B$10-Параметры!$B$11-F43)</f>
        <v/>
      </c>
      <c r="R43" s="12">
        <f>IF($I43="","",Q43-L43)</f>
        <v/>
      </c>
      <c r="S43" s="11">
        <f>IF(OR($H43="",F43=0),"",ROUND(R43/F43*100,1))</f>
        <v/>
      </c>
      <c r="T43" s="19">
        <f>R43*D43</f>
        <v/>
      </c>
    </row>
    <row r="44">
      <c r="A44" s="10" t="inlineStr">
        <is>
          <t>DERMA FACTORY</t>
        </is>
      </c>
      <c r="B44" s="10" t="inlineStr">
        <is>
          <t>[Derma Factory] PDRN 4% Ampoule</t>
        </is>
      </c>
      <c r="C44" s="10" t="inlineStr">
        <is>
          <t>8809331319360</t>
        </is>
      </c>
      <c r="D44" s="11" t="n">
        <v>1530</v>
      </c>
      <c r="E44" s="11" t="n">
        <v>6400</v>
      </c>
      <c r="F44" s="12">
        <f>E44*Параметры!$B$2*Параметры!$B$3</f>
        <v/>
      </c>
      <c r="G44" s="18">
        <f>F44*D44</f>
        <v/>
      </c>
      <c r="H44" s="13" t="n">
        <v>1236</v>
      </c>
      <c r="I44" s="11">
        <f>IF($H44="","",ROUND(H44/(1-Параметры!$B$4),0))</f>
        <v/>
      </c>
      <c r="J44" s="14" t="n">
        <v>0.1</v>
      </c>
      <c r="K44" s="15" t="n">
        <v>90</v>
      </c>
      <c r="L44" s="12">
        <f>IF($I44="","",I44*J44)</f>
        <v/>
      </c>
      <c r="M44" s="12">
        <f>IF($I44="","",I44*Параметры!$B$5)</f>
        <v/>
      </c>
      <c r="N44" s="12">
        <f>IF($H44="","",H44*Параметры!$B$6)</f>
        <v/>
      </c>
      <c r="O44" s="12">
        <f>IF($I44="","",I44*Параметры!$B$7)</f>
        <v/>
      </c>
      <c r="P44" s="12">
        <f>ROUND(Параметры!$B$8*(1-Параметры!$B$9),1)</f>
        <v/>
      </c>
      <c r="Q44" s="12">
        <f>IF($I44="","",I44-M44-K44-N44-O44-P44-Параметры!$B$10-Параметры!$B$11-F44)</f>
        <v/>
      </c>
      <c r="R44" s="12">
        <f>IF($I44="","",Q44-L44)</f>
        <v/>
      </c>
      <c r="S44" s="11">
        <f>IF(OR($H44="",F44=0),"",ROUND(R44/F44*100,1))</f>
        <v/>
      </c>
      <c r="T44" s="19">
        <f>R44*D44</f>
        <v/>
      </c>
    </row>
    <row r="45">
      <c r="A45" s="10" t="inlineStr">
        <is>
          <t>DERMA FACTORY</t>
        </is>
      </c>
      <c r="B45" s="10" t="inlineStr">
        <is>
          <t>[Derma Factory] Tranexamic Acid 6% Cream</t>
        </is>
      </c>
      <c r="C45" s="10" t="inlineStr">
        <is>
          <t>8809563068258</t>
        </is>
      </c>
      <c r="D45" s="11" t="n">
        <v>1344</v>
      </c>
      <c r="E45" s="11" t="n">
        <v>4100</v>
      </c>
      <c r="F45" s="12">
        <f>E45*Параметры!$B$2*Параметры!$B$3</f>
        <v/>
      </c>
      <c r="G45" s="18">
        <f>F45*D45</f>
        <v/>
      </c>
      <c r="H45" s="13" t="n">
        <v>1012</v>
      </c>
      <c r="I45" s="11">
        <f>IF($H45="","",ROUND(H45/(1-Параметры!$B$4),0))</f>
        <v/>
      </c>
      <c r="J45" s="14" t="n">
        <v>0.1</v>
      </c>
      <c r="K45" s="15" t="n">
        <v>90</v>
      </c>
      <c r="L45" s="12">
        <f>IF($I45="","",I45*J45)</f>
        <v/>
      </c>
      <c r="M45" s="12">
        <f>IF($I45="","",I45*Параметры!$B$5)</f>
        <v/>
      </c>
      <c r="N45" s="12">
        <f>IF($H45="","",H45*Параметры!$B$6)</f>
        <v/>
      </c>
      <c r="O45" s="12">
        <f>IF($I45="","",I45*Параметры!$B$7)</f>
        <v/>
      </c>
      <c r="P45" s="12">
        <f>ROUND(Параметры!$B$8*(1-Параметры!$B$9),1)</f>
        <v/>
      </c>
      <c r="Q45" s="12">
        <f>IF($I45="","",I45-M45-K45-N45-O45-P45-Параметры!$B$10-Параметры!$B$11-F45)</f>
        <v/>
      </c>
      <c r="R45" s="12">
        <f>IF($I45="","",Q45-L45)</f>
        <v/>
      </c>
      <c r="S45" s="11">
        <f>IF(OR($H45="",F45=0),"",ROUND(R45/F45*100,1))</f>
        <v/>
      </c>
      <c r="T45" s="19">
        <f>R45*D45</f>
        <v/>
      </c>
    </row>
    <row r="46">
      <c r="A46" s="10" t="inlineStr">
        <is>
          <t>DERMA FACTORY</t>
        </is>
      </c>
      <c r="B46" s="10" t="inlineStr">
        <is>
          <t>[Derma Factory] Retinal 300ppm Cream</t>
        </is>
      </c>
      <c r="C46" s="10" t="inlineStr">
        <is>
          <t>8809563066773</t>
        </is>
      </c>
      <c r="D46" s="11" t="n">
        <v>1248</v>
      </c>
      <c r="E46" s="11" t="n">
        <v>4600</v>
      </c>
      <c r="F46" s="12">
        <f>E46*Параметры!$B$2*Параметры!$B$3</f>
        <v/>
      </c>
      <c r="G46" s="18">
        <f>F46*D46</f>
        <v/>
      </c>
      <c r="H46" s="13" t="n">
        <v>1311</v>
      </c>
      <c r="I46" s="11">
        <f>IF($H46="","",ROUND(H46/(1-Параметры!$B$4),0))</f>
        <v/>
      </c>
      <c r="J46" s="14" t="n">
        <v>0.1</v>
      </c>
      <c r="K46" s="15" t="n">
        <v>90</v>
      </c>
      <c r="L46" s="12">
        <f>IF($I46="","",I46*J46)</f>
        <v/>
      </c>
      <c r="M46" s="12">
        <f>IF($I46="","",I46*Параметры!$B$5)</f>
        <v/>
      </c>
      <c r="N46" s="12">
        <f>IF($H46="","",H46*Параметры!$B$6)</f>
        <v/>
      </c>
      <c r="O46" s="12">
        <f>IF($I46="","",I46*Параметры!$B$7)</f>
        <v/>
      </c>
      <c r="P46" s="12">
        <f>ROUND(Параметры!$B$8*(1-Параметры!$B$9),1)</f>
        <v/>
      </c>
      <c r="Q46" s="12">
        <f>IF($I46="","",I46-M46-K46-N46-O46-P46-Параметры!$B$10-Параметры!$B$11-F46)</f>
        <v/>
      </c>
      <c r="R46" s="12">
        <f>IF($I46="","",Q46-L46)</f>
        <v/>
      </c>
      <c r="S46" s="11">
        <f>IF(OR($H46="",F46=0),"",ROUND(R46/F46*100,1))</f>
        <v/>
      </c>
      <c r="T46" s="19">
        <f>R46*D46</f>
        <v/>
      </c>
    </row>
    <row r="47">
      <c r="A47" s="10" t="inlineStr">
        <is>
          <t>DERMA FACTORY</t>
        </is>
      </c>
      <c r="B47" s="10" t="inlineStr">
        <is>
          <t>[Derma Factory] Niacin Tranexamic Acid 13% Serum</t>
        </is>
      </c>
      <c r="C47" s="10" t="inlineStr">
        <is>
          <t>8809331313252</t>
        </is>
      </c>
      <c r="D47" s="11" t="n">
        <v>1200</v>
      </c>
      <c r="E47" s="11" t="n">
        <v>4090</v>
      </c>
      <c r="F47" s="12">
        <f>E47*Параметры!$B$2*Параметры!$B$3</f>
        <v/>
      </c>
      <c r="G47" s="18">
        <f>F47*D47</f>
        <v/>
      </c>
      <c r="H47" s="13" t="n">
        <v>816</v>
      </c>
      <c r="I47" s="11">
        <f>IF($H47="","",ROUND(H47/(1-Параметры!$B$4),0))</f>
        <v/>
      </c>
      <c r="J47" s="14" t="n">
        <v>0.1</v>
      </c>
      <c r="K47" s="15" t="n">
        <v>90</v>
      </c>
      <c r="L47" s="12">
        <f>IF($I47="","",I47*J47)</f>
        <v/>
      </c>
      <c r="M47" s="12">
        <f>IF($I47="","",I47*Параметры!$B$5)</f>
        <v/>
      </c>
      <c r="N47" s="12">
        <f>IF($H47="","",H47*Параметры!$B$6)</f>
        <v/>
      </c>
      <c r="O47" s="12">
        <f>IF($I47="","",I47*Параметры!$B$7)</f>
        <v/>
      </c>
      <c r="P47" s="12">
        <f>ROUND(Параметры!$B$8*(1-Параметры!$B$9),1)</f>
        <v/>
      </c>
      <c r="Q47" s="12">
        <f>IF($I47="","",I47-M47-K47-N47-O47-P47-Параметры!$B$10-Параметры!$B$11-F47)</f>
        <v/>
      </c>
      <c r="R47" s="12">
        <f>IF($I47="","",Q47-L47)</f>
        <v/>
      </c>
      <c r="S47" s="11">
        <f>IF(OR($H47="",F47=0),"",ROUND(R47/F47*100,1))</f>
        <v/>
      </c>
      <c r="T47" s="19">
        <f>R47*D47</f>
        <v/>
      </c>
    </row>
    <row r="48">
      <c r="A48" s="10" t="inlineStr">
        <is>
          <t>DERMA FACTORY</t>
        </is>
      </c>
      <c r="B48" s="10" t="inlineStr">
        <is>
          <t>[Derma Factory] Niacinamide 20% Serum</t>
        </is>
      </c>
      <c r="C48" s="10" t="inlineStr">
        <is>
          <t>8809563066797</t>
        </is>
      </c>
      <c r="D48" s="11" t="n">
        <v>1020</v>
      </c>
      <c r="E48" s="11" t="n">
        <v>2750</v>
      </c>
      <c r="F48" s="12">
        <f>E48*Параметры!$B$2*Параметры!$B$3</f>
        <v/>
      </c>
      <c r="G48" s="18">
        <f>F48*D48</f>
        <v/>
      </c>
      <c r="H48" s="13" t="n">
        <v>671</v>
      </c>
      <c r="I48" s="11">
        <f>IF($H48="","",ROUND(H48/(1-Параметры!$B$4),0))</f>
        <v/>
      </c>
      <c r="J48" s="14" t="n">
        <v>0.1</v>
      </c>
      <c r="K48" s="15" t="n">
        <v>90</v>
      </c>
      <c r="L48" s="12">
        <f>IF($I48="","",I48*J48)</f>
        <v/>
      </c>
      <c r="M48" s="12">
        <f>IF($I48="","",I48*Параметры!$B$5)</f>
        <v/>
      </c>
      <c r="N48" s="12">
        <f>IF($H48="","",H48*Параметры!$B$6)</f>
        <v/>
      </c>
      <c r="O48" s="12">
        <f>IF($I48="","",I48*Параметры!$B$7)</f>
        <v/>
      </c>
      <c r="P48" s="12">
        <f>ROUND(Параметры!$B$8*(1-Параметры!$B$9),1)</f>
        <v/>
      </c>
      <c r="Q48" s="12">
        <f>IF($I48="","",I48-M48-K48-N48-O48-P48-Параметры!$B$10-Параметры!$B$11-F48)</f>
        <v/>
      </c>
      <c r="R48" s="12">
        <f>IF($I48="","",Q48-L48)</f>
        <v/>
      </c>
      <c r="S48" s="11">
        <f>IF(OR($H48="",F48=0),"",ROUND(R48/F48*100,1))</f>
        <v/>
      </c>
      <c r="T48" s="19">
        <f>R48*D48</f>
        <v/>
      </c>
    </row>
    <row r="49">
      <c r="A49" s="10" t="inlineStr">
        <is>
          <t>DERMA FACTORY</t>
        </is>
      </c>
      <c r="B49" s="10" t="inlineStr">
        <is>
          <t>[Derma Factory] Porphyrin 20% Ampoule stick</t>
        </is>
      </c>
      <c r="C49" s="10" t="inlineStr">
        <is>
          <t>8809563067923</t>
        </is>
      </c>
      <c r="D49" s="11" t="n">
        <v>1053</v>
      </c>
      <c r="E49" s="11" t="n">
        <v>5700</v>
      </c>
      <c r="F49" s="12">
        <f>E49*Параметры!$B$2*Параметры!$B$3</f>
        <v/>
      </c>
      <c r="G49" s="18">
        <f>F49*D49</f>
        <v/>
      </c>
      <c r="H49" s="13" t="n">
        <v>1426</v>
      </c>
      <c r="I49" s="11">
        <f>IF($H49="","",ROUND(H49/(1-Параметры!$B$4),0))</f>
        <v/>
      </c>
      <c r="J49" s="14" t="n">
        <v>0.1</v>
      </c>
      <c r="K49" s="15" t="n">
        <v>90</v>
      </c>
      <c r="L49" s="12">
        <f>IF($I49="","",I49*J49)</f>
        <v/>
      </c>
      <c r="M49" s="12">
        <f>IF($I49="","",I49*Параметры!$B$5)</f>
        <v/>
      </c>
      <c r="N49" s="12">
        <f>IF($H49="","",H49*Параметры!$B$6)</f>
        <v/>
      </c>
      <c r="O49" s="12">
        <f>IF($I49="","",I49*Параметры!$B$7)</f>
        <v/>
      </c>
      <c r="P49" s="12">
        <f>ROUND(Параметры!$B$8*(1-Параметры!$B$9),1)</f>
        <v/>
      </c>
      <c r="Q49" s="12">
        <f>IF($I49="","",I49-M49-K49-N49-O49-P49-Параметры!$B$10-Параметры!$B$11-F49)</f>
        <v/>
      </c>
      <c r="R49" s="12">
        <f>IF($I49="","",Q49-L49)</f>
        <v/>
      </c>
      <c r="S49" s="11">
        <f>IF(OR($H49="",F49=0),"",ROUND(R49/F49*100,1))</f>
        <v/>
      </c>
      <c r="T49" s="19">
        <f>R49*D49</f>
        <v/>
      </c>
    </row>
    <row r="50">
      <c r="A50" s="10" t="inlineStr">
        <is>
          <t>DERMA FACTORY</t>
        </is>
      </c>
      <c r="B50" s="10" t="inlineStr">
        <is>
          <t>[Derma Factory]  Bakuchiol Spicule Cream</t>
        </is>
      </c>
      <c r="C50" s="10" t="inlineStr">
        <is>
          <t>8809331313818</t>
        </is>
      </c>
      <c r="D50" s="11" t="n">
        <v>480</v>
      </c>
      <c r="E50" s="11" t="n">
        <v>4750</v>
      </c>
      <c r="F50" s="12">
        <f>E50*Параметры!$B$2*Параметры!$B$3</f>
        <v/>
      </c>
      <c r="G50" s="18">
        <f>F50*D50</f>
        <v/>
      </c>
      <c r="H50" s="13" t="n">
        <v>1133</v>
      </c>
      <c r="I50" s="11">
        <f>IF($H50="","",ROUND(H50/(1-Параметры!$B$4),0))</f>
        <v/>
      </c>
      <c r="J50" s="14" t="n">
        <v>0.1</v>
      </c>
      <c r="K50" s="15" t="n">
        <v>90</v>
      </c>
      <c r="L50" s="12">
        <f>IF($I50="","",I50*J50)</f>
        <v/>
      </c>
      <c r="M50" s="12">
        <f>IF($I50="","",I50*Параметры!$B$5)</f>
        <v/>
      </c>
      <c r="N50" s="12">
        <f>IF($H50="","",H50*Параметры!$B$6)</f>
        <v/>
      </c>
      <c r="O50" s="12">
        <f>IF($I50="","",I50*Параметры!$B$7)</f>
        <v/>
      </c>
      <c r="P50" s="12">
        <f>ROUND(Параметры!$B$8*(1-Параметры!$B$9),1)</f>
        <v/>
      </c>
      <c r="Q50" s="12">
        <f>IF($I50="","",I50-M50-K50-N50-O50-P50-Параметры!$B$10-Параметры!$B$11-F50)</f>
        <v/>
      </c>
      <c r="R50" s="12">
        <f>IF($I50="","",Q50-L50)</f>
        <v/>
      </c>
      <c r="S50" s="11">
        <f>IF(OR($H50="",F50=0),"",ROUND(R50/F50*100,1))</f>
        <v/>
      </c>
      <c r="T50" s="19">
        <f>R50*D50</f>
        <v/>
      </c>
    </row>
    <row r="51">
      <c r="A51" s="10" t="inlineStr">
        <is>
          <t>DERMA FACTORY</t>
        </is>
      </c>
      <c r="B51" s="10" t="inlineStr">
        <is>
          <t>[Derma Factory]  Adenosine 7500ppm Water Essence</t>
        </is>
      </c>
      <c r="C51" s="10" t="inlineStr">
        <is>
          <t>8809563068081</t>
        </is>
      </c>
      <c r="D51" s="11" t="n">
        <v>400</v>
      </c>
      <c r="E51" s="11" t="n">
        <v>5000</v>
      </c>
      <c r="F51" s="12">
        <f>E51*Параметры!$B$2*Параметры!$B$3</f>
        <v/>
      </c>
      <c r="G51" s="18">
        <f>F51*D51</f>
        <v/>
      </c>
      <c r="H51" s="13" t="n">
        <v>1242</v>
      </c>
      <c r="I51" s="11">
        <f>IF($H51="","",ROUND(H51/(1-Параметры!$B$4),0))</f>
        <v/>
      </c>
      <c r="J51" s="14" t="n">
        <v>0.1</v>
      </c>
      <c r="K51" s="15" t="n">
        <v>90</v>
      </c>
      <c r="L51" s="12">
        <f>IF($I51="","",I51*J51)</f>
        <v/>
      </c>
      <c r="M51" s="12">
        <f>IF($I51="","",I51*Параметры!$B$5)</f>
        <v/>
      </c>
      <c r="N51" s="12">
        <f>IF($H51="","",H51*Параметры!$B$6)</f>
        <v/>
      </c>
      <c r="O51" s="12">
        <f>IF($I51="","",I51*Параметры!$B$7)</f>
        <v/>
      </c>
      <c r="P51" s="12">
        <f>ROUND(Параметры!$B$8*(1-Параметры!$B$9),1)</f>
        <v/>
      </c>
      <c r="Q51" s="12">
        <f>IF($I51="","",I51-M51-K51-N51-O51-P51-Параметры!$B$10-Параметры!$B$11-F51)</f>
        <v/>
      </c>
      <c r="R51" s="12">
        <f>IF($I51="","",Q51-L51)</f>
        <v/>
      </c>
      <c r="S51" s="11">
        <f>IF(OR($H51="",F51=0),"",ROUND(R51/F51*100,1))</f>
        <v/>
      </c>
      <c r="T51" s="19">
        <f>R51*D51</f>
        <v/>
      </c>
    </row>
    <row r="52">
      <c r="A52" s="10" t="inlineStr">
        <is>
          <t>DERMA FACTORY</t>
        </is>
      </c>
      <c r="B52" s="10" t="inlineStr">
        <is>
          <t>[Derma Factory] Matrixyl 15% +  Argireline 2% Serum</t>
        </is>
      </c>
      <c r="C52" s="10" t="inlineStr">
        <is>
          <t>8809331317182</t>
        </is>
      </c>
      <c r="D52" s="11" t="n">
        <v>420</v>
      </c>
      <c r="E52" s="11" t="n">
        <v>7500</v>
      </c>
      <c r="F52" s="12">
        <f>E52*Параметры!$B$2*Параметры!$B$3</f>
        <v/>
      </c>
      <c r="G52" s="18">
        <f>F52*D52</f>
        <v/>
      </c>
      <c r="H52" s="13" t="n">
        <v>2170</v>
      </c>
      <c r="I52" s="11">
        <f>IF($H52="","",ROUND(H52/(1-Параметры!$B$4),0))</f>
        <v/>
      </c>
      <c r="J52" s="14" t="n">
        <v>0.1</v>
      </c>
      <c r="K52" s="15" t="n">
        <v>90</v>
      </c>
      <c r="L52" s="12">
        <f>IF($I52="","",I52*J52)</f>
        <v/>
      </c>
      <c r="M52" s="12">
        <f>IF($I52="","",I52*Параметры!$B$5)</f>
        <v/>
      </c>
      <c r="N52" s="12">
        <f>IF($H52="","",H52*Параметры!$B$6)</f>
        <v/>
      </c>
      <c r="O52" s="12">
        <f>IF($I52="","",I52*Параметры!$B$7)</f>
        <v/>
      </c>
      <c r="P52" s="12">
        <f>ROUND(Параметры!$B$8*(1-Параметры!$B$9),1)</f>
        <v/>
      </c>
      <c r="Q52" s="12">
        <f>IF($I52="","",I52-M52-K52-N52-O52-P52-Параметры!$B$10-Параметры!$B$11-F52)</f>
        <v/>
      </c>
      <c r="R52" s="12">
        <f>IF($I52="","",Q52-L52)</f>
        <v/>
      </c>
      <c r="S52" s="11">
        <f>IF(OR($H52="",F52=0),"",ROUND(R52/F52*100,1))</f>
        <v/>
      </c>
      <c r="T52" s="19">
        <f>R52*D52</f>
        <v/>
      </c>
    </row>
    <row r="53">
      <c r="A53" s="10" t="inlineStr">
        <is>
          <t>Manyo</t>
        </is>
      </c>
      <c r="B53" s="10" t="inlineStr">
        <is>
          <t>BIFIDA BIOME AMPOULE TONER 210ml</t>
        </is>
      </c>
      <c r="C53" s="10" t="inlineStr">
        <is>
          <t>8809730950881</t>
        </is>
      </c>
      <c r="D53" s="11" t="n">
        <v>1200</v>
      </c>
      <c r="E53" s="11" t="n">
        <v>5850</v>
      </c>
      <c r="F53" s="12">
        <f>E53*Параметры!$B$2*Параметры!$B$3</f>
        <v/>
      </c>
      <c r="G53" s="18">
        <f>F53*D53</f>
        <v/>
      </c>
      <c r="H53" s="13" t="n">
        <v>1332</v>
      </c>
      <c r="I53" s="11">
        <f>IF($H53="","",ROUND(H53/(1-Параметры!$B$4),0))</f>
        <v/>
      </c>
      <c r="J53" s="14" t="n">
        <v>0.1</v>
      </c>
      <c r="K53" s="15" t="n">
        <v>90</v>
      </c>
      <c r="L53" s="12">
        <f>IF($I53="","",I53*J53)</f>
        <v/>
      </c>
      <c r="M53" s="12">
        <f>IF($I53="","",I53*Параметры!$B$5)</f>
        <v/>
      </c>
      <c r="N53" s="12">
        <f>IF($H53="","",H53*Параметры!$B$6)</f>
        <v/>
      </c>
      <c r="O53" s="12">
        <f>IF($I53="","",I53*Параметры!$B$7)</f>
        <v/>
      </c>
      <c r="P53" s="12">
        <f>ROUND(Параметры!$B$8*(1-Параметры!$B$9),1)</f>
        <v/>
      </c>
      <c r="Q53" s="12">
        <f>IF($I53="","",I53-M53-K53-N53-O53-P53-Параметры!$B$10-Параметры!$B$11-F53)</f>
        <v/>
      </c>
      <c r="R53" s="12">
        <f>IF($I53="","",Q53-L53)</f>
        <v/>
      </c>
      <c r="S53" s="11">
        <f>IF(OR($H53="",F53=0),"",ROUND(R53/F53*100,1))</f>
        <v/>
      </c>
      <c r="T53" s="19">
        <f>R53*D53</f>
        <v/>
      </c>
    </row>
    <row r="54">
      <c r="A54" s="10" t="inlineStr">
        <is>
          <t>ENOUGH</t>
        </is>
      </c>
      <c r="B54" s="10" t="inlineStr">
        <is>
          <t>ENOUGH Premium Ultra X10 cover up Collagen foundation #21 [100ml]</t>
        </is>
      </c>
      <c r="C54" s="10" t="n"/>
      <c r="D54" s="11" t="n">
        <v>200</v>
      </c>
      <c r="E54" s="11" t="n">
        <v>3880</v>
      </c>
      <c r="F54" s="12">
        <f>E54*Параметры!$B$2*Параметры!$B$3</f>
        <v/>
      </c>
      <c r="G54" s="18">
        <f>F54*D54</f>
        <v/>
      </c>
      <c r="H54" s="13" t="n">
        <v>681</v>
      </c>
      <c r="I54" s="11">
        <f>IF($H54="","",ROUND(H54/(1-Параметры!$B$4),0))</f>
        <v/>
      </c>
      <c r="J54" s="14" t="n">
        <v>0.1</v>
      </c>
      <c r="K54" s="15" t="n">
        <v>90</v>
      </c>
      <c r="L54" s="12">
        <f>IF($I54="","",I54*J54)</f>
        <v/>
      </c>
      <c r="M54" s="12">
        <f>IF($I54="","",I54*Параметры!$B$5)</f>
        <v/>
      </c>
      <c r="N54" s="12">
        <f>IF($H54="","",H54*Параметры!$B$6)</f>
        <v/>
      </c>
      <c r="O54" s="12">
        <f>IF($I54="","",I54*Параметры!$B$7)</f>
        <v/>
      </c>
      <c r="P54" s="12">
        <f>ROUND(Параметры!$B$8*(1-Параметры!$B$9),1)</f>
        <v/>
      </c>
      <c r="Q54" s="12">
        <f>IF($I54="","",I54-M54-K54-N54-O54-P54-Параметры!$B$10-Параметры!$B$11-F54)</f>
        <v/>
      </c>
      <c r="R54" s="12">
        <f>IF($I54="","",Q54-L54)</f>
        <v/>
      </c>
      <c r="S54" s="11">
        <f>IF(OR($H54="",F54=0),"",ROUND(R54/F54*100,1))</f>
        <v/>
      </c>
      <c r="T54" s="19">
        <f>R54*D54</f>
        <v/>
      </c>
    </row>
    <row r="55">
      <c r="A55" s="10" t="inlineStr">
        <is>
          <t>Im</t>
        </is>
      </c>
      <c r="B55" s="10" t="inlineStr">
        <is>
          <t>Im Sorry for My Skin AGE Capture Firming Enriched Cream [50g]</t>
        </is>
      </c>
      <c r="C55" s="10" t="n"/>
      <c r="D55" s="11" t="n">
        <v>880</v>
      </c>
      <c r="E55" s="11" t="n">
        <v>6840</v>
      </c>
      <c r="F55" s="12">
        <f>E55*Параметры!$B$2*Параметры!$B$3</f>
        <v/>
      </c>
      <c r="G55" s="18">
        <f>F55*D55</f>
        <v/>
      </c>
      <c r="H55" s="13" t="n">
        <v>1110</v>
      </c>
      <c r="I55" s="11">
        <f>IF($H55="","",ROUND(H55/(1-Параметры!$B$4),0))</f>
        <v/>
      </c>
      <c r="J55" s="14" t="n">
        <v>0.1</v>
      </c>
      <c r="K55" s="15" t="n">
        <v>90</v>
      </c>
      <c r="L55" s="12">
        <f>IF($I55="","",I55*J55)</f>
        <v/>
      </c>
      <c r="M55" s="12">
        <f>IF($I55="","",I55*Параметры!$B$5)</f>
        <v/>
      </c>
      <c r="N55" s="12">
        <f>IF($H55="","",H55*Параметры!$B$6)</f>
        <v/>
      </c>
      <c r="O55" s="12">
        <f>IF($I55="","",I55*Параметры!$B$7)</f>
        <v/>
      </c>
      <c r="P55" s="12">
        <f>ROUND(Параметры!$B$8*(1-Параметры!$B$9),1)</f>
        <v/>
      </c>
      <c r="Q55" s="12">
        <f>IF($I55="","",I55-M55-K55-N55-O55-P55-Параметры!$B$10-Параметры!$B$11-F55)</f>
        <v/>
      </c>
      <c r="R55" s="12">
        <f>IF($I55="","",Q55-L55)</f>
        <v/>
      </c>
      <c r="S55" s="11">
        <f>IF(OR($H55="",F55=0),"",ROUND(R55/F55*100,1))</f>
        <v/>
      </c>
      <c r="T55" s="19">
        <f>R55*D55</f>
        <v/>
      </c>
    </row>
    <row r="56">
      <c r="A56" s="10" t="inlineStr">
        <is>
          <t>Im</t>
        </is>
      </c>
      <c r="B56" s="10" t="inlineStr">
        <is>
          <t>Im Sorry for My Skin AGE Capture Hydrating Cream [50g]</t>
        </is>
      </c>
      <c r="C56" s="10" t="n"/>
      <c r="D56" s="11" t="n">
        <v>880</v>
      </c>
      <c r="E56" s="11" t="n">
        <v>6840</v>
      </c>
      <c r="F56" s="12">
        <f>E56*Параметры!$B$2*Параметры!$B$3</f>
        <v/>
      </c>
      <c r="G56" s="18">
        <f>F56*D56</f>
        <v/>
      </c>
      <c r="H56" s="13" t="n">
        <v>1110</v>
      </c>
      <c r="I56" s="11">
        <f>IF($H56="","",ROUND(H56/(1-Параметры!$B$4),0))</f>
        <v/>
      </c>
      <c r="J56" s="14" t="n">
        <v>0.1</v>
      </c>
      <c r="K56" s="15" t="n">
        <v>90</v>
      </c>
      <c r="L56" s="12">
        <f>IF($I56="","",I56*J56)</f>
        <v/>
      </c>
      <c r="M56" s="12">
        <f>IF($I56="","",I56*Параметры!$B$5)</f>
        <v/>
      </c>
      <c r="N56" s="12">
        <f>IF($H56="","",H56*Параметры!$B$6)</f>
        <v/>
      </c>
      <c r="O56" s="12">
        <f>IF($I56="","",I56*Параметры!$B$7)</f>
        <v/>
      </c>
      <c r="P56" s="12">
        <f>ROUND(Параметры!$B$8*(1-Параметры!$B$9),1)</f>
        <v/>
      </c>
      <c r="Q56" s="12">
        <f>IF($I56="","",I56-M56-K56-N56-O56-P56-Параметры!$B$10-Параметры!$B$11-F56)</f>
        <v/>
      </c>
      <c r="R56" s="12">
        <f>IF($I56="","",Q56-L56)</f>
        <v/>
      </c>
      <c r="S56" s="11">
        <f>IF(OR($H56="",F56=0),"",ROUND(R56/F56*100,1))</f>
        <v/>
      </c>
      <c r="T56" s="19">
        <f>R56*D56</f>
        <v/>
      </c>
    </row>
    <row r="57">
      <c r="A57" s="10" t="inlineStr">
        <is>
          <t>Im</t>
        </is>
      </c>
      <c r="B57" s="10" t="inlineStr">
        <is>
          <t>Im Sorry for My Skin AGE Capture Skin Relief Cream [50g]</t>
        </is>
      </c>
      <c r="C57" s="10" t="n"/>
      <c r="D57" s="11" t="n">
        <v>480</v>
      </c>
      <c r="E57" s="11" t="n">
        <v>6840</v>
      </c>
      <c r="F57" s="12">
        <f>E57*Параметры!$B$2*Параметры!$B$3</f>
        <v/>
      </c>
      <c r="G57" s="18">
        <f>F57*D57</f>
        <v/>
      </c>
      <c r="H57" s="13" t="n">
        <v>1110</v>
      </c>
      <c r="I57" s="11">
        <f>IF($H57="","",ROUND(H57/(1-Параметры!$B$4),0))</f>
        <v/>
      </c>
      <c r="J57" s="14" t="n">
        <v>0.1</v>
      </c>
      <c r="K57" s="15" t="n">
        <v>90</v>
      </c>
      <c r="L57" s="12">
        <f>IF($I57="","",I57*J57)</f>
        <v/>
      </c>
      <c r="M57" s="12">
        <f>IF($I57="","",I57*Параметры!$B$5)</f>
        <v/>
      </c>
      <c r="N57" s="12">
        <f>IF($H57="","",H57*Параметры!$B$6)</f>
        <v/>
      </c>
      <c r="O57" s="12">
        <f>IF($I57="","",I57*Параметры!$B$7)</f>
        <v/>
      </c>
      <c r="P57" s="12">
        <f>ROUND(Параметры!$B$8*(1-Параметры!$B$9),1)</f>
        <v/>
      </c>
      <c r="Q57" s="12">
        <f>IF($I57="","",I57-M57-K57-N57-O57-P57-Параметры!$B$10-Параметры!$B$11-F57)</f>
        <v/>
      </c>
      <c r="R57" s="12">
        <f>IF($I57="","",Q57-L57)</f>
        <v/>
      </c>
      <c r="S57" s="11">
        <f>IF(OR($H57="",F57=0),"",ROUND(R57/F57*100,1))</f>
        <v/>
      </c>
      <c r="T57" s="19">
        <f>R57*D57</f>
        <v/>
      </c>
    </row>
    <row r="58">
      <c r="A58" s="10" t="inlineStr">
        <is>
          <t>Im</t>
        </is>
      </c>
      <c r="B58" s="10" t="inlineStr">
        <is>
          <t>Im Sorry for My Skin AGE Capture Vitalizer Cream [50g]</t>
        </is>
      </c>
      <c r="C58" s="10" t="n"/>
      <c r="D58" s="11" t="n">
        <v>480</v>
      </c>
      <c r="E58" s="11" t="n">
        <v>6840</v>
      </c>
      <c r="F58" s="12">
        <f>E58*Параметры!$B$2*Параметры!$B$3</f>
        <v/>
      </c>
      <c r="G58" s="18">
        <f>F58*D58</f>
        <v/>
      </c>
      <c r="H58" s="13" t="n">
        <v>1110</v>
      </c>
      <c r="I58" s="11">
        <f>IF($H58="","",ROUND(H58/(1-Параметры!$B$4),0))</f>
        <v/>
      </c>
      <c r="J58" s="14" t="n">
        <v>0.1</v>
      </c>
      <c r="K58" s="15" t="n">
        <v>90</v>
      </c>
      <c r="L58" s="12">
        <f>IF($I58="","",I58*J58)</f>
        <v/>
      </c>
      <c r="M58" s="12">
        <f>IF($I58="","",I58*Параметры!$B$5)</f>
        <v/>
      </c>
      <c r="N58" s="12">
        <f>IF($H58="","",H58*Параметры!$B$6)</f>
        <v/>
      </c>
      <c r="O58" s="12">
        <f>IF($I58="","",I58*Параметры!$B$7)</f>
        <v/>
      </c>
      <c r="P58" s="12">
        <f>ROUND(Параметры!$B$8*(1-Параметры!$B$9),1)</f>
        <v/>
      </c>
      <c r="Q58" s="12">
        <f>IF($I58="","",I58-M58-K58-N58-O58-P58-Параметры!$B$10-Параметры!$B$11-F58)</f>
        <v/>
      </c>
      <c r="R58" s="12">
        <f>IF($I58="","",Q58-L58)</f>
        <v/>
      </c>
      <c r="S58" s="11">
        <f>IF(OR($H58="",F58=0),"",ROUND(R58/F58*100,1))</f>
        <v/>
      </c>
      <c r="T58" s="19">
        <f>R58*D58</f>
        <v/>
      </c>
    </row>
    <row r="59">
      <c r="A59" s="10" t="inlineStr">
        <is>
          <t>ENOUGH</t>
        </is>
      </c>
      <c r="B59" s="10" t="inlineStr">
        <is>
          <t>ENOUGH Gold snail moisture foundation #13 [100ml]</t>
        </is>
      </c>
      <c r="C59" s="10" t="n"/>
      <c r="D59" s="11" t="n">
        <v>1800</v>
      </c>
      <c r="E59" s="11" t="n">
        <v>2839</v>
      </c>
      <c r="F59" s="12">
        <f>E59*Параметры!$B$2*Параметры!$B$3</f>
        <v/>
      </c>
      <c r="G59" s="18">
        <f>F59*D59</f>
        <v/>
      </c>
      <c r="H59" s="13" t="n">
        <v>650</v>
      </c>
      <c r="I59" s="11">
        <f>IF($H59="","",ROUND(H59/(1-Параметры!$B$4),0))</f>
        <v/>
      </c>
      <c r="J59" s="14" t="n">
        <v>0.1</v>
      </c>
      <c r="K59" s="15" t="n">
        <v>90</v>
      </c>
      <c r="L59" s="12">
        <f>IF($I59="","",I59*J59)</f>
        <v/>
      </c>
      <c r="M59" s="12">
        <f>IF($I59="","",I59*Параметры!$B$5)</f>
        <v/>
      </c>
      <c r="N59" s="12">
        <f>IF($H59="","",H59*Параметры!$B$6)</f>
        <v/>
      </c>
      <c r="O59" s="12">
        <f>IF($I59="","",I59*Параметры!$B$7)</f>
        <v/>
      </c>
      <c r="P59" s="12">
        <f>ROUND(Параметры!$B$8*(1-Параметры!$B$9),1)</f>
        <v/>
      </c>
      <c r="Q59" s="12">
        <f>IF($I59="","",I59-M59-K59-N59-O59-P59-Параметры!$B$10-Параметры!$B$11-F59)</f>
        <v/>
      </c>
      <c r="R59" s="12">
        <f>IF($I59="","",Q59-L59)</f>
        <v/>
      </c>
      <c r="S59" s="11">
        <f>IF(OR($H59="",F59=0),"",ROUND(R59/F59*100,1))</f>
        <v/>
      </c>
      <c r="T59" s="19">
        <f>R59*D59</f>
        <v/>
      </c>
    </row>
    <row r="60">
      <c r="A60" s="10" t="inlineStr">
        <is>
          <t>ENOUGH</t>
        </is>
      </c>
      <c r="B60" s="10" t="inlineStr">
        <is>
          <t>ENOUGH Gold snail moisture foundation #21 [100ml]</t>
        </is>
      </c>
      <c r="C60" s="10" t="n"/>
      <c r="D60" s="11" t="n">
        <v>1200</v>
      </c>
      <c r="E60" s="11" t="n">
        <v>2839</v>
      </c>
      <c r="F60" s="12">
        <f>E60*Параметры!$B$2*Параметры!$B$3</f>
        <v/>
      </c>
      <c r="G60" s="18">
        <f>F60*D60</f>
        <v/>
      </c>
      <c r="H60" s="13" t="n">
        <v>650</v>
      </c>
      <c r="I60" s="11">
        <f>IF($H60="","",ROUND(H60/(1-Параметры!$B$4),0))</f>
        <v/>
      </c>
      <c r="J60" s="14" t="n">
        <v>0.1</v>
      </c>
      <c r="K60" s="15" t="n">
        <v>90</v>
      </c>
      <c r="L60" s="12">
        <f>IF($I60="","",I60*J60)</f>
        <v/>
      </c>
      <c r="M60" s="12">
        <f>IF($I60="","",I60*Параметры!$B$5)</f>
        <v/>
      </c>
      <c r="N60" s="12">
        <f>IF($H60="","",H60*Параметры!$B$6)</f>
        <v/>
      </c>
      <c r="O60" s="12">
        <f>IF($I60="","",I60*Параметры!$B$7)</f>
        <v/>
      </c>
      <c r="P60" s="12">
        <f>ROUND(Параметры!$B$8*(1-Параметры!$B$9),1)</f>
        <v/>
      </c>
      <c r="Q60" s="12">
        <f>IF($I60="","",I60-M60-K60-N60-O60-P60-Параметры!$B$10-Параметры!$B$11-F60)</f>
        <v/>
      </c>
      <c r="R60" s="12">
        <f>IF($I60="","",Q60-L60)</f>
        <v/>
      </c>
      <c r="S60" s="11">
        <f>IF(OR($H60="",F60=0),"",ROUND(R60/F60*100,1))</f>
        <v/>
      </c>
      <c r="T60" s="19">
        <f>R60*D60</f>
        <v/>
      </c>
    </row>
    <row r="61">
      <c r="A61" s="10" t="inlineStr">
        <is>
          <t>ENOUGH</t>
        </is>
      </c>
      <c r="B61" s="10" t="inlineStr">
        <is>
          <t>ENOUGH Collagen moisture foundation #13 [100ml]</t>
        </is>
      </c>
      <c r="C61" s="10" t="n"/>
      <c r="D61" s="11" t="n">
        <v>6000</v>
      </c>
      <c r="E61" s="11" t="n">
        <v>2786</v>
      </c>
      <c r="F61" s="12">
        <f>E61*Параметры!$B$2*Параметры!$B$3</f>
        <v/>
      </c>
      <c r="G61" s="18">
        <f>F61*D61</f>
        <v/>
      </c>
      <c r="H61" s="13" t="n">
        <v>650</v>
      </c>
      <c r="I61" s="11">
        <f>IF($H61="","",ROUND(H61/(1-Параметры!$B$4),0))</f>
        <v/>
      </c>
      <c r="J61" s="14" t="n">
        <v>0.1</v>
      </c>
      <c r="K61" s="15" t="n">
        <v>90</v>
      </c>
      <c r="L61" s="12">
        <f>IF($I61="","",I61*J61)</f>
        <v/>
      </c>
      <c r="M61" s="12">
        <f>IF($I61="","",I61*Параметры!$B$5)</f>
        <v/>
      </c>
      <c r="N61" s="12">
        <f>IF($H61="","",H61*Параметры!$B$6)</f>
        <v/>
      </c>
      <c r="O61" s="12">
        <f>IF($I61="","",I61*Параметры!$B$7)</f>
        <v/>
      </c>
      <c r="P61" s="12">
        <f>ROUND(Параметры!$B$8*(1-Параметры!$B$9),1)</f>
        <v/>
      </c>
      <c r="Q61" s="12">
        <f>IF($I61="","",I61-M61-K61-N61-O61-P61-Параметры!$B$10-Параметры!$B$11-F61)</f>
        <v/>
      </c>
      <c r="R61" s="12">
        <f>IF($I61="","",Q61-L61)</f>
        <v/>
      </c>
      <c r="S61" s="11">
        <f>IF(OR($H61="",F61=0),"",ROUND(R61/F61*100,1))</f>
        <v/>
      </c>
      <c r="T61" s="19">
        <f>R61*D61</f>
        <v/>
      </c>
    </row>
    <row r="62">
      <c r="A62" s="10" t="inlineStr">
        <is>
          <t>ENOUGH</t>
        </is>
      </c>
      <c r="B62" s="10" t="inlineStr">
        <is>
          <t>ENOUGH Collagen moisture foundation #21 [100ml]</t>
        </is>
      </c>
      <c r="C62" s="10" t="n"/>
      <c r="D62" s="11" t="n">
        <v>3000</v>
      </c>
      <c r="E62" s="11" t="n">
        <v>2786</v>
      </c>
      <c r="F62" s="12">
        <f>E62*Параметры!$B$2*Параметры!$B$3</f>
        <v/>
      </c>
      <c r="G62" s="18">
        <f>F62*D62</f>
        <v/>
      </c>
      <c r="H62" s="13" t="n">
        <v>650</v>
      </c>
      <c r="I62" s="11">
        <f>IF($H62="","",ROUND(H62/(1-Параметры!$B$4),0))</f>
        <v/>
      </c>
      <c r="J62" s="14" t="n">
        <v>0.1</v>
      </c>
      <c r="K62" s="15" t="n">
        <v>90</v>
      </c>
      <c r="L62" s="12">
        <f>IF($I62="","",I62*J62)</f>
        <v/>
      </c>
      <c r="M62" s="12">
        <f>IF($I62="","",I62*Параметры!$B$5)</f>
        <v/>
      </c>
      <c r="N62" s="12">
        <f>IF($H62="","",H62*Параметры!$B$6)</f>
        <v/>
      </c>
      <c r="O62" s="12">
        <f>IF($I62="","",I62*Параметры!$B$7)</f>
        <v/>
      </c>
      <c r="P62" s="12">
        <f>ROUND(Параметры!$B$8*(1-Параметры!$B$9),1)</f>
        <v/>
      </c>
      <c r="Q62" s="12">
        <f>IF($I62="","",I62-M62-K62-N62-O62-P62-Параметры!$B$10-Параметры!$B$11-F62)</f>
        <v/>
      </c>
      <c r="R62" s="12">
        <f>IF($I62="","",Q62-L62)</f>
        <v/>
      </c>
      <c r="S62" s="11">
        <f>IF(OR($H62="",F62=0),"",ROUND(R62/F62*100,1))</f>
        <v/>
      </c>
      <c r="T62" s="19">
        <f>R62*D62</f>
        <v/>
      </c>
    </row>
    <row r="63">
      <c r="A63" s="10" t="inlineStr">
        <is>
          <t>ENOUGH</t>
        </is>
      </c>
      <c r="B63" s="10" t="inlineStr">
        <is>
          <t>ENOUGH Collagen moisture foundation #23 [100ml]</t>
        </is>
      </c>
      <c r="C63" s="10" t="n"/>
      <c r="D63" s="11" t="n">
        <v>1000</v>
      </c>
      <c r="E63" s="11" t="n">
        <v>2786</v>
      </c>
      <c r="F63" s="12">
        <f>E63*Параметры!$B$2*Параметры!$B$3</f>
        <v/>
      </c>
      <c r="G63" s="18">
        <f>F63*D63</f>
        <v/>
      </c>
      <c r="H63" s="13" t="n">
        <v>681</v>
      </c>
      <c r="I63" s="11">
        <f>IF($H63="","",ROUND(H63/(1-Параметры!$B$4),0))</f>
        <v/>
      </c>
      <c r="J63" s="14" t="n">
        <v>0.1</v>
      </c>
      <c r="K63" s="15" t="n">
        <v>90</v>
      </c>
      <c r="L63" s="12">
        <f>IF($I63="","",I63*J63)</f>
        <v/>
      </c>
      <c r="M63" s="12">
        <f>IF($I63="","",I63*Параметры!$B$5)</f>
        <v/>
      </c>
      <c r="N63" s="12">
        <f>IF($H63="","",H63*Параметры!$B$6)</f>
        <v/>
      </c>
      <c r="O63" s="12">
        <f>IF($I63="","",I63*Параметры!$B$7)</f>
        <v/>
      </c>
      <c r="P63" s="12">
        <f>ROUND(Параметры!$B$8*(1-Параметры!$B$9),1)</f>
        <v/>
      </c>
      <c r="Q63" s="12">
        <f>IF($I63="","",I63-M63-K63-N63-O63-P63-Параметры!$B$10-Параметры!$B$11-F63)</f>
        <v/>
      </c>
      <c r="R63" s="12">
        <f>IF($I63="","",Q63-L63)</f>
        <v/>
      </c>
      <c r="S63" s="11">
        <f>IF(OR($H63="",F63=0),"",ROUND(R63/F63*100,1))</f>
        <v/>
      </c>
      <c r="T63" s="19">
        <f>R63*D63</f>
        <v/>
      </c>
    </row>
    <row r="64">
      <c r="A64" s="10" t="inlineStr">
        <is>
          <t>ENOUGH</t>
        </is>
      </c>
      <c r="B64" s="10" t="inlineStr">
        <is>
          <t>ENOUGH Premium Ultra X10 cover up Collagen foundation #21 [100ml]</t>
        </is>
      </c>
      <c r="C64" s="10" t="n"/>
      <c r="D64" s="11" t="n">
        <v>600</v>
      </c>
      <c r="E64" s="11" t="n">
        <v>3560</v>
      </c>
      <c r="F64" s="12">
        <f>E64*Параметры!$B$2*Параметры!$B$3</f>
        <v/>
      </c>
      <c r="G64" s="18">
        <f>F64*D64</f>
        <v/>
      </c>
      <c r="H64" s="13" t="n">
        <v>681</v>
      </c>
      <c r="I64" s="11">
        <f>IF($H64="","",ROUND(H64/(1-Параметры!$B$4),0))</f>
        <v/>
      </c>
      <c r="J64" s="14" t="n">
        <v>0.1</v>
      </c>
      <c r="K64" s="15" t="n">
        <v>90</v>
      </c>
      <c r="L64" s="12">
        <f>IF($I64="","",I64*J64)</f>
        <v/>
      </c>
      <c r="M64" s="12">
        <f>IF($I64="","",I64*Параметры!$B$5)</f>
        <v/>
      </c>
      <c r="N64" s="12">
        <f>IF($H64="","",H64*Параметры!$B$6)</f>
        <v/>
      </c>
      <c r="O64" s="12">
        <f>IF($I64="","",I64*Параметры!$B$7)</f>
        <v/>
      </c>
      <c r="P64" s="12">
        <f>ROUND(Параметры!$B$8*(1-Параметры!$B$9),1)</f>
        <v/>
      </c>
      <c r="Q64" s="12">
        <f>IF($I64="","",I64-M64-K64-N64-O64-P64-Параметры!$B$10-Параметры!$B$11-F64)</f>
        <v/>
      </c>
      <c r="R64" s="12">
        <f>IF($I64="","",Q64-L64)</f>
        <v/>
      </c>
      <c r="S64" s="11">
        <f>IF(OR($H64="",F64=0),"",ROUND(R64/F64*100,1))</f>
        <v/>
      </c>
      <c r="T64" s="19">
        <f>R64*D64</f>
        <v/>
      </c>
    </row>
    <row r="65">
      <c r="A65" s="10" t="inlineStr">
        <is>
          <t>ENOUGH</t>
        </is>
      </c>
      <c r="B65" s="10" t="inlineStr">
        <is>
          <t>ENOUGH Premium Rich Gold Double Wear Radiance Foundation #13 [100ml]</t>
        </is>
      </c>
      <c r="C65" s="10" t="n"/>
      <c r="D65" s="11" t="n">
        <v>900</v>
      </c>
      <c r="E65" s="11" t="n">
        <v>3676</v>
      </c>
      <c r="F65" s="12">
        <f>E65*Параметры!$B$2*Параметры!$B$3</f>
        <v/>
      </c>
      <c r="G65" s="18">
        <f>F65*D65</f>
        <v/>
      </c>
      <c r="H65" s="13" t="n">
        <v>681</v>
      </c>
      <c r="I65" s="11">
        <f>IF($H65="","",ROUND(H65/(1-Параметры!$B$4),0))</f>
        <v/>
      </c>
      <c r="J65" s="14" t="n">
        <v>0.1</v>
      </c>
      <c r="K65" s="15" t="n">
        <v>90</v>
      </c>
      <c r="L65" s="12">
        <f>IF($I65="","",I65*J65)</f>
        <v/>
      </c>
      <c r="M65" s="12">
        <f>IF($I65="","",I65*Параметры!$B$5)</f>
        <v/>
      </c>
      <c r="N65" s="12">
        <f>IF($H65="","",H65*Параметры!$B$6)</f>
        <v/>
      </c>
      <c r="O65" s="12">
        <f>IF($I65="","",I65*Параметры!$B$7)</f>
        <v/>
      </c>
      <c r="P65" s="12">
        <f>ROUND(Параметры!$B$8*(1-Параметры!$B$9),1)</f>
        <v/>
      </c>
      <c r="Q65" s="12">
        <f>IF($I65="","",I65-M65-K65-N65-O65-P65-Параметры!$B$10-Параметры!$B$11-F65)</f>
        <v/>
      </c>
      <c r="R65" s="12">
        <f>IF($I65="","",Q65-L65)</f>
        <v/>
      </c>
      <c r="S65" s="11">
        <f>IF(OR($H65="",F65=0),"",ROUND(R65/F65*100,1))</f>
        <v/>
      </c>
      <c r="T65" s="19">
        <f>R65*D65</f>
        <v/>
      </c>
    </row>
    <row r="66">
      <c r="A66" s="10" t="inlineStr">
        <is>
          <t>ENOUGH</t>
        </is>
      </c>
      <c r="B66" s="10" t="inlineStr">
        <is>
          <t>ENOUGH Premium Rich Gold Double Wear Radiance Foundation #21 [100ml]</t>
        </is>
      </c>
      <c r="C66" s="10" t="n"/>
      <c r="D66" s="11" t="n">
        <v>800</v>
      </c>
      <c r="E66" s="11" t="n">
        <v>3676</v>
      </c>
      <c r="F66" s="12">
        <f>E66*Параметры!$B$2*Параметры!$B$3</f>
        <v/>
      </c>
      <c r="G66" s="18">
        <f>F66*D66</f>
        <v/>
      </c>
      <c r="H66" s="13" t="n">
        <v>681</v>
      </c>
      <c r="I66" s="11">
        <f>IF($H66="","",ROUND(H66/(1-Параметры!$B$4),0))</f>
        <v/>
      </c>
      <c r="J66" s="14" t="n">
        <v>0.1</v>
      </c>
      <c r="K66" s="15" t="n">
        <v>90</v>
      </c>
      <c r="L66" s="12">
        <f>IF($I66="","",I66*J66)</f>
        <v/>
      </c>
      <c r="M66" s="12">
        <f>IF($I66="","",I66*Параметры!$B$5)</f>
        <v/>
      </c>
      <c r="N66" s="12">
        <f>IF($H66="","",H66*Параметры!$B$6)</f>
        <v/>
      </c>
      <c r="O66" s="12">
        <f>IF($I66="","",I66*Параметры!$B$7)</f>
        <v/>
      </c>
      <c r="P66" s="12">
        <f>ROUND(Параметры!$B$8*(1-Параметры!$B$9),1)</f>
        <v/>
      </c>
      <c r="Q66" s="12">
        <f>IF($I66="","",I66-M66-K66-N66-O66-P66-Параметры!$B$10-Параметры!$B$11-F66)</f>
        <v/>
      </c>
      <c r="R66" s="12">
        <f>IF($I66="","",Q66-L66)</f>
        <v/>
      </c>
      <c r="S66" s="11">
        <f>IF(OR($H66="",F66=0),"",ROUND(R66/F66*100,1))</f>
        <v/>
      </c>
      <c r="T66" s="19">
        <f>R66*D66</f>
        <v/>
      </c>
    </row>
    <row r="67">
      <c r="A67" s="10" t="inlineStr">
        <is>
          <t>ENOUGH</t>
        </is>
      </c>
      <c r="B67" s="10" t="inlineStr">
        <is>
          <t>ENOUGH Premium 8 Peptide full cover perfect foundation #21 [100ml]</t>
        </is>
      </c>
      <c r="C67" s="10" t="n"/>
      <c r="D67" s="11" t="n">
        <v>600</v>
      </c>
      <c r="E67" s="11" t="n">
        <v>3560</v>
      </c>
      <c r="F67" s="12">
        <f>E67*Параметры!$B$2*Параметры!$B$3</f>
        <v/>
      </c>
      <c r="G67" s="18">
        <f>F67*D67</f>
        <v/>
      </c>
      <c r="H67" s="13" t="n">
        <v>681</v>
      </c>
      <c r="I67" s="11">
        <f>IF($H67="","",ROUND(H67/(1-Параметры!$B$4),0))</f>
        <v/>
      </c>
      <c r="J67" s="14" t="n">
        <v>0.1</v>
      </c>
      <c r="K67" s="15" t="n">
        <v>90</v>
      </c>
      <c r="L67" s="12">
        <f>IF($I67="","",I67*J67)</f>
        <v/>
      </c>
      <c r="M67" s="12">
        <f>IF($I67="","",I67*Параметры!$B$5)</f>
        <v/>
      </c>
      <c r="N67" s="12">
        <f>IF($H67="","",H67*Параметры!$B$6)</f>
        <v/>
      </c>
      <c r="O67" s="12">
        <f>IF($I67="","",I67*Параметры!$B$7)</f>
        <v/>
      </c>
      <c r="P67" s="12">
        <f>ROUND(Параметры!$B$8*(1-Параметры!$B$9),1)</f>
        <v/>
      </c>
      <c r="Q67" s="12">
        <f>IF($I67="","",I67-M67-K67-N67-O67-P67-Параметры!$B$10-Параметры!$B$11-F67)</f>
        <v/>
      </c>
      <c r="R67" s="12">
        <f>IF($I67="","",Q67-L67)</f>
        <v/>
      </c>
      <c r="S67" s="11">
        <f>IF(OR($H67="",F67=0),"",ROUND(R67/F67*100,1))</f>
        <v/>
      </c>
      <c r="T67" s="19">
        <f>R67*D67</f>
        <v/>
      </c>
    </row>
    <row r="68">
      <c r="A68" s="10" t="inlineStr">
        <is>
          <t>ENOUGH</t>
        </is>
      </c>
      <c r="B68" s="10" t="inlineStr">
        <is>
          <t>ENOUGH Collagen Whitening moisture foundation #13 [100ml]</t>
        </is>
      </c>
      <c r="C68" s="10" t="n"/>
      <c r="D68" s="11" t="n">
        <v>400</v>
      </c>
      <c r="E68" s="11" t="n">
        <v>2955</v>
      </c>
      <c r="F68" s="12">
        <f>E68*Параметры!$B$2*Параметры!$B$3</f>
        <v/>
      </c>
      <c r="G68" s="18">
        <f>F68*D68</f>
        <v/>
      </c>
      <c r="H68" s="13" t="n">
        <v>681</v>
      </c>
      <c r="I68" s="11">
        <f>IF($H68="","",ROUND(H68/(1-Параметры!$B$4),0))</f>
        <v/>
      </c>
      <c r="J68" s="14" t="n">
        <v>0.1</v>
      </c>
      <c r="K68" s="15" t="n">
        <v>90</v>
      </c>
      <c r="L68" s="12">
        <f>IF($I68="","",I68*J68)</f>
        <v/>
      </c>
      <c r="M68" s="12">
        <f>IF($I68="","",I68*Параметры!$B$5)</f>
        <v/>
      </c>
      <c r="N68" s="12">
        <f>IF($H68="","",H68*Параметры!$B$6)</f>
        <v/>
      </c>
      <c r="O68" s="12">
        <f>IF($I68="","",I68*Параметры!$B$7)</f>
        <v/>
      </c>
      <c r="P68" s="12">
        <f>ROUND(Параметры!$B$8*(1-Параметры!$B$9),1)</f>
        <v/>
      </c>
      <c r="Q68" s="12">
        <f>IF($I68="","",I68-M68-K68-N68-O68-P68-Параметры!$B$10-Параметры!$B$11-F68)</f>
        <v/>
      </c>
      <c r="R68" s="12">
        <f>IF($I68="","",Q68-L68)</f>
        <v/>
      </c>
      <c r="S68" s="11">
        <f>IF(OR($H68="",F68=0),"",ROUND(R68/F68*100,1))</f>
        <v/>
      </c>
      <c r="T68" s="19">
        <f>R68*D68</f>
        <v/>
      </c>
    </row>
    <row r="69">
      <c r="G69" s="19">
        <f>SUM(G2:G68)</f>
        <v/>
      </c>
      <c r="T69" s="19">
        <f>SUM(T2:T68)</f>
        <v/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22" customWidth="1" min="4" max="4"/>
    <col width="20" customWidth="1" min="5" max="5"/>
    <col width="15" customWidth="1" min="6" max="6"/>
    <col width="15" customWidth="1" min="7" max="7"/>
  </cols>
  <sheetData>
    <row r="1">
      <c r="A1" s="21" t="inlineStr">
        <is>
          <t>Бренд</t>
        </is>
      </c>
      <c r="B1" s="21" t="inlineStr">
        <is>
          <t>Позиций</t>
        </is>
      </c>
      <c r="C1" s="21" t="inlineStr">
        <is>
          <t>Кол-во, шт</t>
        </is>
      </c>
      <c r="D1" s="21" t="inlineStr">
        <is>
          <t>Себестоимость ИТОГО, ₽</t>
        </is>
      </c>
      <c r="E1" s="21" t="inlineStr">
        <is>
          <t>Прибыль ИТОГО, ₽</t>
        </is>
      </c>
      <c r="F1" s="21" t="inlineStr">
        <is>
          <t>ROI по бренду, %</t>
        </is>
      </c>
      <c r="G1" s="21" t="inlineStr">
        <is>
          <t>Доля в прибыли, %</t>
        </is>
      </c>
    </row>
    <row r="2">
      <c r="A2" s="22" t="inlineStr">
        <is>
          <t>CELIMAX</t>
        </is>
      </c>
      <c r="B2" s="22">
        <f>COUNTIF('Юнит'!$A$2:$A$68,$A2)</f>
        <v/>
      </c>
      <c r="C2" s="22">
        <f>SUMIF('Юнит'!$A$2:$A$68,$A2,'Юнит'!$D$2:$D$68)</f>
        <v/>
      </c>
      <c r="D2" s="23">
        <f>SUMIF('Юнит'!$A$2:$A$68,$A2,'Юнит'!$G$2:$G$68)</f>
        <v/>
      </c>
      <c r="E2" s="23">
        <f>SUMIF('Юнит'!$A$2:$A$68,$A2,'Юнит'!$T$2:$T$68)</f>
        <v/>
      </c>
      <c r="F2" s="22">
        <f>IF(D2=0,"",ROUND(E2/D2*100,1))</f>
        <v/>
      </c>
      <c r="G2" s="22">
        <f>IF($E$11=0,"",ROUND(E2/$E$11*100,1))</f>
        <v/>
      </c>
    </row>
    <row r="3">
      <c r="A3" s="22" t="inlineStr">
        <is>
          <t>Round Lab</t>
        </is>
      </c>
      <c r="B3" s="22">
        <f>COUNTIF('Юнит'!$A$2:$A$68,$A3)</f>
        <v/>
      </c>
      <c r="C3" s="22">
        <f>SUMIF('Юнит'!$A$2:$A$68,$A3,'Юнит'!$D$2:$D$68)</f>
        <v/>
      </c>
      <c r="D3" s="23">
        <f>SUMIF('Юнит'!$A$2:$A$68,$A3,'Юнит'!$G$2:$G$68)</f>
        <v/>
      </c>
      <c r="E3" s="23">
        <f>SUMIF('Юнит'!$A$2:$A$68,$A3,'Юнит'!$T$2:$T$68)</f>
        <v/>
      </c>
      <c r="F3" s="22">
        <f>IF(D3=0,"",ROUND(E3/D3*100,1))</f>
        <v/>
      </c>
      <c r="G3" s="22">
        <f>IF($E$11=0,"",ROUND(E3/$E$11*100,1))</f>
        <v/>
      </c>
    </row>
    <row r="4">
      <c r="A4" s="22" t="inlineStr">
        <is>
          <t>SKIN1004</t>
        </is>
      </c>
      <c r="B4" s="22">
        <f>COUNTIF('Юнит'!$A$2:$A$68,$A4)</f>
        <v/>
      </c>
      <c r="C4" s="22">
        <f>SUMIF('Юнит'!$A$2:$A$68,$A4,'Юнит'!$D$2:$D$68)</f>
        <v/>
      </c>
      <c r="D4" s="23">
        <f>SUMIF('Юнит'!$A$2:$A$68,$A4,'Юнит'!$G$2:$G$68)</f>
        <v/>
      </c>
      <c r="E4" s="23">
        <f>SUMIF('Юнит'!$A$2:$A$68,$A4,'Юнит'!$T$2:$T$68)</f>
        <v/>
      </c>
      <c r="F4" s="22">
        <f>IF(D4=0,"",ROUND(E4/D4*100,1))</f>
        <v/>
      </c>
      <c r="G4" s="22">
        <f>IF($E$11=0,"",ROUND(E4/$E$11*100,1))</f>
        <v/>
      </c>
    </row>
    <row r="5">
      <c r="A5" s="22" t="inlineStr">
        <is>
          <t>MEDICUBE</t>
        </is>
      </c>
      <c r="B5" s="22">
        <f>COUNTIF('Юнит'!$A$2:$A$68,$A5)</f>
        <v/>
      </c>
      <c r="C5" s="22">
        <f>SUMIF('Юнит'!$A$2:$A$68,$A5,'Юнит'!$D$2:$D$68)</f>
        <v/>
      </c>
      <c r="D5" s="23">
        <f>SUMIF('Юнит'!$A$2:$A$68,$A5,'Юнит'!$G$2:$G$68)</f>
        <v/>
      </c>
      <c r="E5" s="23">
        <f>SUMIF('Юнит'!$A$2:$A$68,$A5,'Юнит'!$T$2:$T$68)</f>
        <v/>
      </c>
      <c r="F5" s="22">
        <f>IF(D5=0,"",ROUND(E5/D5*100,1))</f>
        <v/>
      </c>
      <c r="G5" s="22">
        <f>IF($E$11=0,"",ROUND(E5/$E$11*100,1))</f>
        <v/>
      </c>
    </row>
    <row r="6">
      <c r="A6" s="22" t="inlineStr">
        <is>
          <t>VT COSMETICS</t>
        </is>
      </c>
      <c r="B6" s="22">
        <f>COUNTIF('Юнит'!$A$2:$A$68,$A6)</f>
        <v/>
      </c>
      <c r="C6" s="22">
        <f>SUMIF('Юнит'!$A$2:$A$68,$A6,'Юнит'!$D$2:$D$68)</f>
        <v/>
      </c>
      <c r="D6" s="23">
        <f>SUMIF('Юнит'!$A$2:$A$68,$A6,'Юнит'!$G$2:$G$68)</f>
        <v/>
      </c>
      <c r="E6" s="23">
        <f>SUMIF('Юнит'!$A$2:$A$68,$A6,'Юнит'!$T$2:$T$68)</f>
        <v/>
      </c>
      <c r="F6" s="22">
        <f>IF(D6=0,"",ROUND(E6/D6*100,1))</f>
        <v/>
      </c>
      <c r="G6" s="22">
        <f>IF($E$11=0,"",ROUND(E6/$E$11*100,1))</f>
        <v/>
      </c>
    </row>
    <row r="7">
      <c r="A7" s="22" t="inlineStr">
        <is>
          <t>DERMA FACTORY</t>
        </is>
      </c>
      <c r="B7" s="22">
        <f>COUNTIF('Юнит'!$A$2:$A$68,$A7)</f>
        <v/>
      </c>
      <c r="C7" s="22">
        <f>SUMIF('Юнит'!$A$2:$A$68,$A7,'Юнит'!$D$2:$D$68)</f>
        <v/>
      </c>
      <c r="D7" s="23">
        <f>SUMIF('Юнит'!$A$2:$A$68,$A7,'Юнит'!$G$2:$G$68)</f>
        <v/>
      </c>
      <c r="E7" s="23">
        <f>SUMIF('Юнит'!$A$2:$A$68,$A7,'Юнит'!$T$2:$T$68)</f>
        <v/>
      </c>
      <c r="F7" s="22">
        <f>IF(D7=0,"",ROUND(E7/D7*100,1))</f>
        <v/>
      </c>
      <c r="G7" s="22">
        <f>IF($E$11=0,"",ROUND(E7/$E$11*100,1))</f>
        <v/>
      </c>
    </row>
    <row r="8">
      <c r="A8" s="22" t="inlineStr">
        <is>
          <t>Manyo</t>
        </is>
      </c>
      <c r="B8" s="22">
        <f>COUNTIF('Юнит'!$A$2:$A$68,$A8)</f>
        <v/>
      </c>
      <c r="C8" s="22">
        <f>SUMIF('Юнит'!$A$2:$A$68,$A8,'Юнит'!$D$2:$D$68)</f>
        <v/>
      </c>
      <c r="D8" s="23">
        <f>SUMIF('Юнит'!$A$2:$A$68,$A8,'Юнит'!$G$2:$G$68)</f>
        <v/>
      </c>
      <c r="E8" s="23">
        <f>SUMIF('Юнит'!$A$2:$A$68,$A8,'Юнит'!$T$2:$T$68)</f>
        <v/>
      </c>
      <c r="F8" s="22">
        <f>IF(D8=0,"",ROUND(E8/D8*100,1))</f>
        <v/>
      </c>
      <c r="G8" s="22">
        <f>IF($E$11=0,"",ROUND(E8/$E$11*100,1))</f>
        <v/>
      </c>
    </row>
    <row r="9">
      <c r="A9" s="22" t="inlineStr">
        <is>
          <t>ENOUGH</t>
        </is>
      </c>
      <c r="B9" s="22">
        <f>COUNTIF('Юнит'!$A$2:$A$68,$A9)</f>
        <v/>
      </c>
      <c r="C9" s="22">
        <f>SUMIF('Юнит'!$A$2:$A$68,$A9,'Юнит'!$D$2:$D$68)</f>
        <v/>
      </c>
      <c r="D9" s="23">
        <f>SUMIF('Юнит'!$A$2:$A$68,$A9,'Юнит'!$G$2:$G$68)</f>
        <v/>
      </c>
      <c r="E9" s="23">
        <f>SUMIF('Юнит'!$A$2:$A$68,$A9,'Юнит'!$T$2:$T$68)</f>
        <v/>
      </c>
      <c r="F9" s="22">
        <f>IF(D9=0,"",ROUND(E9/D9*100,1))</f>
        <v/>
      </c>
      <c r="G9" s="22">
        <f>IF($E$11=0,"",ROUND(E9/$E$11*100,1))</f>
        <v/>
      </c>
    </row>
    <row r="10">
      <c r="A10" s="22" t="inlineStr">
        <is>
          <t>Im</t>
        </is>
      </c>
      <c r="B10" s="22">
        <f>COUNTIF('Юнит'!$A$2:$A$68,$A10)</f>
        <v/>
      </c>
      <c r="C10" s="22">
        <f>SUMIF('Юнит'!$A$2:$A$68,$A10,'Юнит'!$D$2:$D$68)</f>
        <v/>
      </c>
      <c r="D10" s="23">
        <f>SUMIF('Юнит'!$A$2:$A$68,$A10,'Юнит'!$G$2:$G$68)</f>
        <v/>
      </c>
      <c r="E10" s="23">
        <f>SUMIF('Юнит'!$A$2:$A$68,$A10,'Юнит'!$T$2:$T$68)</f>
        <v/>
      </c>
      <c r="F10" s="22">
        <f>IF(D10=0,"",ROUND(E10/D10*100,1))</f>
        <v/>
      </c>
      <c r="G10" s="22">
        <f>IF($E$11=0,"",ROUND(E10/$E$11*100,1))</f>
        <v/>
      </c>
    </row>
    <row r="11">
      <c r="A11" s="24" t="inlineStr">
        <is>
          <t>ИТОГО</t>
        </is>
      </c>
      <c r="B11" s="24">
        <f>SUM(B2:B10)</f>
        <v/>
      </c>
      <c r="C11" s="24">
        <f>SUM(C2:C10)</f>
        <v/>
      </c>
      <c r="D11" s="25">
        <f>SUM(D2:D10)</f>
        <v/>
      </c>
      <c r="E11" s="25">
        <f>SUM(E2:E10)</f>
        <v/>
      </c>
      <c r="F11" s="24">
        <f>IF(D11=0,"",ROUND(E11/D11*100,1))</f>
        <v/>
      </c>
      <c r="G11" s="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2026-07-27T08:32:44Z</dcterms:created>
  <dcterms:modified xsi:type="dcterms:W3CDTF">2026-07-27T09:34:01Z</dcterms:modified>
  <cp:lastModifiedBy>PC</cp:lastModifiedBy>
</cp:coreProperties>
</file>
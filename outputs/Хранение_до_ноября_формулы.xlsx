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Хранение до ноября" sheetId="1" state="visible" r:id="rId1"/>
    <sheet name="Параметры" sheetId="2" state="visible" r:id="rId2"/>
    <sheet name="Сезонность" sheetId="3" state="visible" r:id="rId3"/>
    <sheet name="Данные хранения" sheetId="4" state="visible" r:id="rId4"/>
    <sheet name="Данные продаж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808080"/>
      <sz val="9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3" borderId="0" pivotButton="0" quotePrefix="0" xfId="0"/>
    <xf numFmtId="4" fontId="2" fillId="4" borderId="0" pivotButton="0" quotePrefix="0" xfId="0"/>
    <xf numFmtId="4" fontId="2" fillId="5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13" customWidth="1" min="3" max="3"/>
    <col width="16" customWidth="1" min="4" max="4"/>
    <col width="15" customWidth="1" min="5" max="5"/>
    <col width="13" customWidth="1" min="6" max="6"/>
    <col width="16" customWidth="1" min="7" max="7"/>
    <col width="16" customWidth="1" min="8" max="8"/>
    <col width="22" customWidth="1" min="9" max="9"/>
    <col width="22" customWidth="1" min="10" max="10"/>
    <col width="16" customWidth="1" min="11" max="11"/>
    <col width="9" customWidth="1" min="12" max="12"/>
    <col width="12" customWidth="1" min="13" max="13"/>
    <col width="9" customWidth="1" min="14" max="14"/>
    <col width="12" customWidth="1" min="15" max="15"/>
    <col width="9" customWidth="1" min="16" max="16"/>
    <col width="12" customWidth="1" min="17" max="17"/>
    <col width="9" customWidth="1" min="18" max="18"/>
    <col width="12" customWidth="1" min="19" max="19"/>
    <col width="9" customWidth="1" min="20" max="20"/>
    <col width="12" customWidth="1" min="21" max="21"/>
  </cols>
  <sheetData>
    <row r="1">
      <c r="A1" s="1" t="inlineStr">
        <is>
          <t>Артикул ВБ</t>
        </is>
      </c>
      <c r="B1" s="1" t="inlineStr">
        <is>
          <t>Наименование</t>
        </is>
      </c>
      <c r="C1" s="1" t="inlineStr">
        <is>
          <t>Остаток без ЧЗ, шт</t>
        </is>
      </c>
      <c r="D1" s="1" t="inlineStr">
        <is>
          <t>Ставка хранения/день, руб (ВПР)</t>
        </is>
      </c>
      <c r="E1" s="1" t="inlineStr">
        <is>
          <t>Выкупы за 100 дн, шт (ВПР)</t>
        </is>
      </c>
      <c r="F1" s="1" t="inlineStr">
        <is>
          <t>Выкуп/день базовый</t>
        </is>
      </c>
      <c r="G1" s="1" t="inlineStr">
        <is>
          <t>Хранение в месяц (30 дн), руб</t>
        </is>
      </c>
      <c r="H1" s="1" t="inlineStr">
        <is>
          <t>Хранение до ноября без продаж, руб</t>
        </is>
      </c>
      <c r="I1" s="1" t="inlineStr">
        <is>
          <t>Хранение до ноября с продажами (без сезонности), руб</t>
        </is>
      </c>
      <c r="J1" s="1" t="inlineStr">
        <is>
          <t>Хранение до ноября С СЕЗОННОСТЬЮ, руб</t>
        </is>
      </c>
      <c r="K1" s="1" t="inlineStr">
        <is>
          <t>Остаток к 01.11 (с сезонностью), шт</t>
        </is>
      </c>
      <c r="L1" s="1" t="inlineStr">
        <is>
          <t>ост.июнь</t>
        </is>
      </c>
      <c r="M1" s="1" t="inlineStr">
        <is>
          <t>хран.июнь</t>
        </is>
      </c>
      <c r="N1" s="1" t="inlineStr">
        <is>
          <t>ост.июль</t>
        </is>
      </c>
      <c r="O1" s="1" t="inlineStr">
        <is>
          <t>хран.июль</t>
        </is>
      </c>
      <c r="P1" s="1" t="inlineStr">
        <is>
          <t>ост.авг</t>
        </is>
      </c>
      <c r="Q1" s="1" t="inlineStr">
        <is>
          <t>хран.авг</t>
        </is>
      </c>
      <c r="R1" s="1" t="inlineStr">
        <is>
          <t>ост.сен</t>
        </is>
      </c>
      <c r="S1" s="1" t="inlineStr">
        <is>
          <t>хран.сен</t>
        </is>
      </c>
      <c r="T1" s="1" t="inlineStr">
        <is>
          <t>ост.окт</t>
        </is>
      </c>
      <c r="U1" s="1" t="inlineStr">
        <is>
          <t>хран.окт</t>
        </is>
      </c>
    </row>
    <row r="2">
      <c r="A2" s="2" t="n">
        <v>204258828</v>
      </c>
      <c r="B2" s="2" t="inlineStr">
        <is>
          <t>COSRX - Salicylic Acid Daily Gentle Cleanser [150ml] / Пенка с салициловой кислотой для проблемной кожи</t>
        </is>
      </c>
      <c r="C2" s="3" t="n">
        <v>556</v>
      </c>
      <c r="D2" s="4">
        <f>VLOOKUP(A2,'Данные хранения'!$A$2:$B$205,2,0)</f>
        <v/>
      </c>
      <c r="E2" s="3">
        <f>VLOOKUP(A2,'Данные продаж'!$A$2:$B$490,2,0)</f>
        <v/>
      </c>
      <c r="F2" s="5">
        <f>E2/'Параметры'!$B$4</f>
        <v/>
      </c>
      <c r="G2" s="5">
        <f>D2*'Параметры'!$B$3*C2</f>
        <v/>
      </c>
      <c r="H2" s="5">
        <f>D2*'Параметры'!$B$2*C2</f>
        <v/>
      </c>
      <c r="I2" s="5">
        <f>D2*IF(F2=0,C2*'Параметры'!$B$2,IF(C2/F2&gt;='Параметры'!$B$2,C2*'Параметры'!$B$2-F2*'Параметры'!$B$2*('Параметры'!$B$2-1)/2,C2*C2/(2*F2)))</f>
        <v/>
      </c>
      <c r="J2" s="5">
        <f>M2+O2+Q2+S2+U2</f>
        <v/>
      </c>
      <c r="K2" s="3">
        <f>T2</f>
        <v/>
      </c>
      <c r="L2" s="3">
        <f>MAX(0,C2-F2*'Сезонность'!$C$2*'Сезонность'!$B$2)</f>
        <v/>
      </c>
      <c r="M2" s="5">
        <f>D2*(C2+L2)/2*'Сезонность'!$B$2</f>
        <v/>
      </c>
      <c r="N2" s="3">
        <f>MAX(0,L2-F2*'Сезонность'!$C$3*'Сезонность'!$B$3)</f>
        <v/>
      </c>
      <c r="O2" s="5">
        <f>D2*(L2+N2)/2*'Сезонность'!$B$3</f>
        <v/>
      </c>
      <c r="P2" s="3">
        <f>MAX(0,N2-F2*'Сезонность'!$C$4*'Сезонность'!$B$4)</f>
        <v/>
      </c>
      <c r="Q2" s="5">
        <f>D2*(N2+P2)/2*'Сезонность'!$B$4</f>
        <v/>
      </c>
      <c r="R2" s="3">
        <f>MAX(0,P2-F2*'Сезонность'!$C$5*'Сезонность'!$B$5)</f>
        <v/>
      </c>
      <c r="S2" s="5">
        <f>D2*(P2+R2)/2*'Сезонность'!$B$5</f>
        <v/>
      </c>
      <c r="T2" s="3">
        <f>MAX(0,R2-F2*'Сезонность'!$C$6*'Сезонность'!$B$6)</f>
        <v/>
      </c>
      <c r="U2" s="5">
        <f>D2*(R2+T2)/2*'Сезонность'!$B$6</f>
        <v/>
      </c>
    </row>
    <row r="3">
      <c r="A3" s="2" t="n">
        <v>214304883</v>
      </c>
      <c r="B3" s="2" t="inlineStr">
        <is>
          <t>DEOPROCE - SNAIL RECOVERY CREAM [100g] / Крем восстанавливающий с муцином улитки</t>
        </is>
      </c>
      <c r="C3" s="3" t="n">
        <v>73</v>
      </c>
      <c r="D3" s="4">
        <f>VLOOKUP(A3,'Данные хранения'!$A$2:$B$205,2,0)</f>
        <v/>
      </c>
      <c r="E3" s="3">
        <f>VLOOKUP(A3,'Данные продаж'!$A$2:$B$490,2,0)</f>
        <v/>
      </c>
      <c r="F3" s="5">
        <f>E3/'Параметры'!$B$4</f>
        <v/>
      </c>
      <c r="G3" s="5">
        <f>D3*'Параметры'!$B$3*C3</f>
        <v/>
      </c>
      <c r="H3" s="5">
        <f>D3*'Параметры'!$B$2*C3</f>
        <v/>
      </c>
      <c r="I3" s="5">
        <f>D3*IF(F3=0,C3*'Параметры'!$B$2,IF(C3/F3&gt;='Параметры'!$B$2,C3*'Параметры'!$B$2-F3*'Параметры'!$B$2*('Параметры'!$B$2-1)/2,C3*C3/(2*F3)))</f>
        <v/>
      </c>
      <c r="J3" s="5">
        <f>M3+O3+Q3+S3+U3</f>
        <v/>
      </c>
      <c r="K3" s="3">
        <f>T3</f>
        <v/>
      </c>
      <c r="L3" s="3">
        <f>MAX(0,C3-F3*'Сезонность'!$C$2*'Сезонность'!$B$2)</f>
        <v/>
      </c>
      <c r="M3" s="5">
        <f>D3*(C3+L3)/2*'Сезонность'!$B$2</f>
        <v/>
      </c>
      <c r="N3" s="3">
        <f>MAX(0,L3-F3*'Сезонность'!$C$3*'Сезонность'!$B$3)</f>
        <v/>
      </c>
      <c r="O3" s="5">
        <f>D3*(L3+N3)/2*'Сезонность'!$B$3</f>
        <v/>
      </c>
      <c r="P3" s="3">
        <f>MAX(0,N3-F3*'Сезонность'!$C$4*'Сезонность'!$B$4)</f>
        <v/>
      </c>
      <c r="Q3" s="5">
        <f>D3*(N3+P3)/2*'Сезонность'!$B$4</f>
        <v/>
      </c>
      <c r="R3" s="3">
        <f>MAX(0,P3-F3*'Сезонность'!$C$5*'Сезонность'!$B$5)</f>
        <v/>
      </c>
      <c r="S3" s="5">
        <f>D3*(P3+R3)/2*'Сезонность'!$B$5</f>
        <v/>
      </c>
      <c r="T3" s="3">
        <f>MAX(0,R3-F3*'Сезонность'!$C$6*'Сезонность'!$B$6)</f>
        <v/>
      </c>
      <c r="U3" s="5">
        <f>D3*(R3+T3)/2*'Сезонность'!$B$6</f>
        <v/>
      </c>
    </row>
    <row r="4">
      <c r="A4" s="2" t="n">
        <v>608837066</v>
      </c>
      <c r="B4" s="2" t="inlineStr">
        <is>
          <t>DEOPROCE SHAMPOO - BLACK GARLIC INTENSME ENERGY [600ml] мягкая упаковка Шампунь с черным чесноком против выпадения волос</t>
        </is>
      </c>
      <c r="C4" s="3" t="n">
        <v>125</v>
      </c>
      <c r="D4" s="4">
        <f>VLOOKUP(A4,'Данные хранения'!$A$2:$B$205,2,0)</f>
        <v/>
      </c>
      <c r="E4" s="3">
        <f>VLOOKUP(A4,'Данные продаж'!$A$2:$B$490,2,0)</f>
        <v/>
      </c>
      <c r="F4" s="5">
        <f>E4/'Параметры'!$B$4</f>
        <v/>
      </c>
      <c r="G4" s="5">
        <f>D4*'Параметры'!$B$3*C4</f>
        <v/>
      </c>
      <c r="H4" s="5">
        <f>D4*'Параметры'!$B$2*C4</f>
        <v/>
      </c>
      <c r="I4" s="5">
        <f>D4*IF(F4=0,C4*'Параметры'!$B$2,IF(C4/F4&gt;='Параметры'!$B$2,C4*'Параметры'!$B$2-F4*'Параметры'!$B$2*('Параметры'!$B$2-1)/2,C4*C4/(2*F4)))</f>
        <v/>
      </c>
      <c r="J4" s="5">
        <f>M4+O4+Q4+S4+U4</f>
        <v/>
      </c>
      <c r="K4" s="3">
        <f>T4</f>
        <v/>
      </c>
      <c r="L4" s="3">
        <f>MAX(0,C4-F4*'Сезонность'!$C$2*'Сезонность'!$B$2)</f>
        <v/>
      </c>
      <c r="M4" s="5">
        <f>D4*(C4+L4)/2*'Сезонность'!$B$2</f>
        <v/>
      </c>
      <c r="N4" s="3">
        <f>MAX(0,L4-F4*'Сезонность'!$C$3*'Сезонность'!$B$3)</f>
        <v/>
      </c>
      <c r="O4" s="5">
        <f>D4*(L4+N4)/2*'Сезонность'!$B$3</f>
        <v/>
      </c>
      <c r="P4" s="3">
        <f>MAX(0,N4-F4*'Сезонность'!$C$4*'Сезонность'!$B$4)</f>
        <v/>
      </c>
      <c r="Q4" s="5">
        <f>D4*(N4+P4)/2*'Сезонность'!$B$4</f>
        <v/>
      </c>
      <c r="R4" s="3">
        <f>MAX(0,P4-F4*'Сезонность'!$C$5*'Сезонность'!$B$5)</f>
        <v/>
      </c>
      <c r="S4" s="5">
        <f>D4*(P4+R4)/2*'Сезонность'!$B$5</f>
        <v/>
      </c>
      <c r="T4" s="3">
        <f>MAX(0,R4-F4*'Сезонность'!$C$6*'Сезонность'!$B$6)</f>
        <v/>
      </c>
      <c r="U4" s="5">
        <f>D4*(R4+T4)/2*'Сезонность'!$B$6</f>
        <v/>
      </c>
    </row>
    <row r="5">
      <c r="A5" s="2" t="n">
        <v>608624295</v>
      </c>
      <c r="B5" s="2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C5" s="3" t="n">
        <v>144</v>
      </c>
      <c r="D5" s="4">
        <f>VLOOKUP(A5,'Данные хранения'!$A$2:$B$205,2,0)</f>
        <v/>
      </c>
      <c r="E5" s="3">
        <f>VLOOKUP(A5,'Данные продаж'!$A$2:$B$490,2,0)</f>
        <v/>
      </c>
      <c r="F5" s="5">
        <f>E5/'Параметры'!$B$4</f>
        <v/>
      </c>
      <c r="G5" s="5">
        <f>D5*'Параметры'!$B$3*C5</f>
        <v/>
      </c>
      <c r="H5" s="5">
        <f>D5*'Параметры'!$B$2*C5</f>
        <v/>
      </c>
      <c r="I5" s="5">
        <f>D5*IF(F5=0,C5*'Параметры'!$B$2,IF(C5/F5&gt;='Параметры'!$B$2,C5*'Параметры'!$B$2-F5*'Параметры'!$B$2*('Параметры'!$B$2-1)/2,C5*C5/(2*F5)))</f>
        <v/>
      </c>
      <c r="J5" s="5">
        <f>M5+O5+Q5+S5+U5</f>
        <v/>
      </c>
      <c r="K5" s="3">
        <f>T5</f>
        <v/>
      </c>
      <c r="L5" s="3">
        <f>MAX(0,C5-F5*'Сезонность'!$C$2*'Сезонность'!$B$2)</f>
        <v/>
      </c>
      <c r="M5" s="5">
        <f>D5*(C5+L5)/2*'Сезонность'!$B$2</f>
        <v/>
      </c>
      <c r="N5" s="3">
        <f>MAX(0,L5-F5*'Сезонность'!$C$3*'Сезонность'!$B$3)</f>
        <v/>
      </c>
      <c r="O5" s="5">
        <f>D5*(L5+N5)/2*'Сезонность'!$B$3</f>
        <v/>
      </c>
      <c r="P5" s="3">
        <f>MAX(0,N5-F5*'Сезонность'!$C$4*'Сезонность'!$B$4)</f>
        <v/>
      </c>
      <c r="Q5" s="5">
        <f>D5*(N5+P5)/2*'Сезонность'!$B$4</f>
        <v/>
      </c>
      <c r="R5" s="3">
        <f>MAX(0,P5-F5*'Сезонность'!$C$5*'Сезонность'!$B$5)</f>
        <v/>
      </c>
      <c r="S5" s="5">
        <f>D5*(P5+R5)/2*'Сезонность'!$B$5</f>
        <v/>
      </c>
      <c r="T5" s="3">
        <f>MAX(0,R5-F5*'Сезонность'!$C$6*'Сезонность'!$B$6)</f>
        <v/>
      </c>
      <c r="U5" s="5">
        <f>D5*(R5+T5)/2*'Сезонность'!$B$6</f>
        <v/>
      </c>
    </row>
    <row r="6">
      <c r="A6" s="2" t="n">
        <v>608841921</v>
      </c>
      <c r="B6" s="2" t="inlineStr">
        <is>
          <t>DEOPROCE SHAMPOO - BLACK GARLIC INTENSME ENERGY [200ml]/ Шампунь с черным чесноком против выпадения волос</t>
        </is>
      </c>
      <c r="C6" s="3" t="n">
        <v>550</v>
      </c>
      <c r="D6" s="4">
        <f>VLOOKUP(A6,'Данные хранения'!$A$2:$B$205,2,0)</f>
        <v/>
      </c>
      <c r="E6" s="3">
        <f>VLOOKUP(A6,'Данные продаж'!$A$2:$B$490,2,0)</f>
        <v/>
      </c>
      <c r="F6" s="5">
        <f>E6/'Параметры'!$B$4</f>
        <v/>
      </c>
      <c r="G6" s="5">
        <f>D6*'Параметры'!$B$3*C6</f>
        <v/>
      </c>
      <c r="H6" s="5">
        <f>D6*'Параметры'!$B$2*C6</f>
        <v/>
      </c>
      <c r="I6" s="5">
        <f>D6*IF(F6=0,C6*'Параметры'!$B$2,IF(C6/F6&gt;='Параметры'!$B$2,C6*'Параметры'!$B$2-F6*'Параметры'!$B$2*('Параметры'!$B$2-1)/2,C6*C6/(2*F6)))</f>
        <v/>
      </c>
      <c r="J6" s="5">
        <f>M6+O6+Q6+S6+U6</f>
        <v/>
      </c>
      <c r="K6" s="3">
        <f>T6</f>
        <v/>
      </c>
      <c r="L6" s="3">
        <f>MAX(0,C6-F6*'Сезонность'!$C$2*'Сезонность'!$B$2)</f>
        <v/>
      </c>
      <c r="M6" s="5">
        <f>D6*(C6+L6)/2*'Сезонность'!$B$2</f>
        <v/>
      </c>
      <c r="N6" s="3">
        <f>MAX(0,L6-F6*'Сезонность'!$C$3*'Сезонность'!$B$3)</f>
        <v/>
      </c>
      <c r="O6" s="5">
        <f>D6*(L6+N6)/2*'Сезонность'!$B$3</f>
        <v/>
      </c>
      <c r="P6" s="3">
        <f>MAX(0,N6-F6*'Сезонность'!$C$4*'Сезонность'!$B$4)</f>
        <v/>
      </c>
      <c r="Q6" s="5">
        <f>D6*(N6+P6)/2*'Сезонность'!$B$4</f>
        <v/>
      </c>
      <c r="R6" s="3">
        <f>MAX(0,P6-F6*'Сезонность'!$C$5*'Сезонность'!$B$5)</f>
        <v/>
      </c>
      <c r="S6" s="5">
        <f>D6*(P6+R6)/2*'Сезонность'!$B$5</f>
        <v/>
      </c>
      <c r="T6" s="3">
        <f>MAX(0,R6-F6*'Сезонность'!$C$6*'Сезонность'!$B$6)</f>
        <v/>
      </c>
      <c r="U6" s="5">
        <f>D6*(R6+T6)/2*'Сезонность'!$B$6</f>
        <v/>
      </c>
    </row>
    <row r="7">
      <c r="A7" s="2" t="n">
        <v>214305722</v>
      </c>
      <c r="B7" s="2" t="inlineStr">
        <is>
          <t>DEOPROCE SHAMPOO+BALSAM - BLACK GARLIC[2000ml]</t>
        </is>
      </c>
      <c r="C7" s="3" t="n">
        <v>610</v>
      </c>
      <c r="D7" s="4">
        <f>VLOOKUP(A7,'Данные хранения'!$A$2:$B$205,2,0)</f>
        <v/>
      </c>
      <c r="E7" s="3">
        <f>VLOOKUP(A7,'Данные продаж'!$A$2:$B$490,2,0)</f>
        <v/>
      </c>
      <c r="F7" s="5">
        <f>E7/'Параметры'!$B$4</f>
        <v/>
      </c>
      <c r="G7" s="5">
        <f>D7*'Параметры'!$B$3*C7</f>
        <v/>
      </c>
      <c r="H7" s="5">
        <f>D7*'Параметры'!$B$2*C7</f>
        <v/>
      </c>
      <c r="I7" s="5">
        <f>D7*IF(F7=0,C7*'Параметры'!$B$2,IF(C7/F7&gt;='Параметры'!$B$2,C7*'Параметры'!$B$2-F7*'Параметры'!$B$2*('Параметры'!$B$2-1)/2,C7*C7/(2*F7)))</f>
        <v/>
      </c>
      <c r="J7" s="5">
        <f>M7+O7+Q7+S7+U7</f>
        <v/>
      </c>
      <c r="K7" s="3">
        <f>T7</f>
        <v/>
      </c>
      <c r="L7" s="3">
        <f>MAX(0,C7-F7*'Сезонность'!$C$2*'Сезонность'!$B$2)</f>
        <v/>
      </c>
      <c r="M7" s="5">
        <f>D7*(C7+L7)/2*'Сезонность'!$B$2</f>
        <v/>
      </c>
      <c r="N7" s="3">
        <f>MAX(0,L7-F7*'Сезонность'!$C$3*'Сезонность'!$B$3)</f>
        <v/>
      </c>
      <c r="O7" s="5">
        <f>D7*(L7+N7)/2*'Сезонность'!$B$3</f>
        <v/>
      </c>
      <c r="P7" s="3">
        <f>MAX(0,N7-F7*'Сезонность'!$C$4*'Сезонность'!$B$4)</f>
        <v/>
      </c>
      <c r="Q7" s="5">
        <f>D7*(N7+P7)/2*'Сезонность'!$B$4</f>
        <v/>
      </c>
      <c r="R7" s="3">
        <f>MAX(0,P7-F7*'Сезонность'!$C$5*'Сезонность'!$B$5)</f>
        <v/>
      </c>
      <c r="S7" s="5">
        <f>D7*(P7+R7)/2*'Сезонность'!$B$5</f>
        <v/>
      </c>
      <c r="T7" s="3">
        <f>MAX(0,R7-F7*'Сезонность'!$C$6*'Сезонность'!$B$6)</f>
        <v/>
      </c>
      <c r="U7" s="5">
        <f>D7*(R7+T7)/2*'Сезонность'!$B$6</f>
        <v/>
      </c>
    </row>
    <row r="8">
      <c r="A8" s="2" t="n">
        <v>208202076</v>
      </c>
      <c r="B8" s="2" t="inlineStr">
        <is>
          <t>EKEL - Ampule Сream Сollagen [70ml] / Крем для лица ампульный с коллагеном</t>
        </is>
      </c>
      <c r="C8" s="3" t="n">
        <v>186</v>
      </c>
      <c r="D8" s="4">
        <f>VLOOKUP(A8,'Данные хранения'!$A$2:$B$205,2,0)</f>
        <v/>
      </c>
      <c r="E8" s="3">
        <f>VLOOKUP(A8,'Данные продаж'!$A$2:$B$490,2,0)</f>
        <v/>
      </c>
      <c r="F8" s="5">
        <f>E8/'Параметры'!$B$4</f>
        <v/>
      </c>
      <c r="G8" s="5">
        <f>D8*'Параметры'!$B$3*C8</f>
        <v/>
      </c>
      <c r="H8" s="5">
        <f>D8*'Параметры'!$B$2*C8</f>
        <v/>
      </c>
      <c r="I8" s="5">
        <f>D8*IF(F8=0,C8*'Параметры'!$B$2,IF(C8/F8&gt;='Параметры'!$B$2,C8*'Параметры'!$B$2-F8*'Параметры'!$B$2*('Параметры'!$B$2-1)/2,C8*C8/(2*F8)))</f>
        <v/>
      </c>
      <c r="J8" s="5">
        <f>M8+O8+Q8+S8+U8</f>
        <v/>
      </c>
      <c r="K8" s="3">
        <f>T8</f>
        <v/>
      </c>
      <c r="L8" s="3">
        <f>MAX(0,C8-F8*'Сезонность'!$C$2*'Сезонность'!$B$2)</f>
        <v/>
      </c>
      <c r="M8" s="5">
        <f>D8*(C8+L8)/2*'Сезонность'!$B$2</f>
        <v/>
      </c>
      <c r="N8" s="3">
        <f>MAX(0,L8-F8*'Сезонность'!$C$3*'Сезонность'!$B$3)</f>
        <v/>
      </c>
      <c r="O8" s="5">
        <f>D8*(L8+N8)/2*'Сезонность'!$B$3</f>
        <v/>
      </c>
      <c r="P8" s="3">
        <f>MAX(0,N8-F8*'Сезонность'!$C$4*'Сезонность'!$B$4)</f>
        <v/>
      </c>
      <c r="Q8" s="5">
        <f>D8*(N8+P8)/2*'Сезонность'!$B$4</f>
        <v/>
      </c>
      <c r="R8" s="3">
        <f>MAX(0,P8-F8*'Сезонность'!$C$5*'Сезонность'!$B$5)</f>
        <v/>
      </c>
      <c r="S8" s="5">
        <f>D8*(P8+R8)/2*'Сезонность'!$B$5</f>
        <v/>
      </c>
      <c r="T8" s="3">
        <f>MAX(0,R8-F8*'Сезонность'!$C$6*'Сезонность'!$B$6)</f>
        <v/>
      </c>
      <c r="U8" s="5">
        <f>D8*(R8+T8)/2*'Сезонность'!$B$6</f>
        <v/>
      </c>
    </row>
    <row r="9">
      <c r="A9" s="2" t="n">
        <v>207796563</v>
      </c>
      <c r="B9" s="2" t="inlineStr">
        <is>
          <t>ELIZAVECCA - Aqua Hyaluronic Acid Water Drop Cream / Увлажняющий крем для лица с гиалуроновой кислотой</t>
        </is>
      </c>
      <c r="C9" s="3" t="n">
        <v>100</v>
      </c>
      <c r="D9" s="4">
        <f>VLOOKUP(A9,'Данные хранения'!$A$2:$B$205,2,0)</f>
        <v/>
      </c>
      <c r="E9" s="3">
        <f>VLOOKUP(A9,'Данные продаж'!$A$2:$B$490,2,0)</f>
        <v/>
      </c>
      <c r="F9" s="5">
        <f>E9/'Параметры'!$B$4</f>
        <v/>
      </c>
      <c r="G9" s="5">
        <f>D9*'Параметры'!$B$3*C9</f>
        <v/>
      </c>
      <c r="H9" s="5">
        <f>D9*'Параметры'!$B$2*C9</f>
        <v/>
      </c>
      <c r="I9" s="5">
        <f>D9*IF(F9=0,C9*'Параметры'!$B$2,IF(C9/F9&gt;='Параметры'!$B$2,C9*'Параметры'!$B$2-F9*'Параметры'!$B$2*('Параметры'!$B$2-1)/2,C9*C9/(2*F9)))</f>
        <v/>
      </c>
      <c r="J9" s="5">
        <f>M9+O9+Q9+S9+U9</f>
        <v/>
      </c>
      <c r="K9" s="3">
        <f>T9</f>
        <v/>
      </c>
      <c r="L9" s="3">
        <f>MAX(0,C9-F9*'Сезонность'!$C$2*'Сезонность'!$B$2)</f>
        <v/>
      </c>
      <c r="M9" s="5">
        <f>D9*(C9+L9)/2*'Сезонность'!$B$2</f>
        <v/>
      </c>
      <c r="N9" s="3">
        <f>MAX(0,L9-F9*'Сезонность'!$C$3*'Сезонность'!$B$3)</f>
        <v/>
      </c>
      <c r="O9" s="5">
        <f>D9*(L9+N9)/2*'Сезонность'!$B$3</f>
        <v/>
      </c>
      <c r="P9" s="3">
        <f>MAX(0,N9-F9*'Сезонность'!$C$4*'Сезонность'!$B$4)</f>
        <v/>
      </c>
      <c r="Q9" s="5">
        <f>D9*(N9+P9)/2*'Сезонность'!$B$4</f>
        <v/>
      </c>
      <c r="R9" s="3">
        <f>MAX(0,P9-F9*'Сезонность'!$C$5*'Сезонность'!$B$5)</f>
        <v/>
      </c>
      <c r="S9" s="5">
        <f>D9*(P9+R9)/2*'Сезонность'!$B$5</f>
        <v/>
      </c>
      <c r="T9" s="3">
        <f>MAX(0,R9-F9*'Сезонность'!$C$6*'Сезонность'!$B$6)</f>
        <v/>
      </c>
      <c r="U9" s="5">
        <f>D9*(R9+T9)/2*'Сезонность'!$B$6</f>
        <v/>
      </c>
    </row>
    <row r="10">
      <c r="A10" s="2" t="n">
        <v>207796350</v>
      </c>
      <c r="B10" s="2" t="inlineStr">
        <is>
          <t>ELIZAVECCA - CER-100 Collagen Ceramide Coating Protein Treatment [100ml] / Коллагеновая маска для волос</t>
        </is>
      </c>
      <c r="C10" s="3" t="n">
        <v>496</v>
      </c>
      <c r="D10" s="4">
        <f>VLOOKUP(A10,'Данные хранения'!$A$2:$B$205,2,0)</f>
        <v/>
      </c>
      <c r="E10" s="3">
        <f>VLOOKUP(A10,'Данные продаж'!$A$2:$B$490,2,0)</f>
        <v/>
      </c>
      <c r="F10" s="5">
        <f>E10/'Параметры'!$B$4</f>
        <v/>
      </c>
      <c r="G10" s="5">
        <f>D10*'Параметры'!$B$3*C10</f>
        <v/>
      </c>
      <c r="H10" s="5">
        <f>D10*'Параметры'!$B$2*C10</f>
        <v/>
      </c>
      <c r="I10" s="5">
        <f>D10*IF(F10=0,C10*'Параметры'!$B$2,IF(C10/F10&gt;='Параметры'!$B$2,C10*'Параметры'!$B$2-F10*'Параметры'!$B$2*('Параметры'!$B$2-1)/2,C10*C10/(2*F10)))</f>
        <v/>
      </c>
      <c r="J10" s="5">
        <f>M10+O10+Q10+S10+U10</f>
        <v/>
      </c>
      <c r="K10" s="3">
        <f>T10</f>
        <v/>
      </c>
      <c r="L10" s="3">
        <f>MAX(0,C10-F10*'Сезонность'!$C$2*'Сезонность'!$B$2)</f>
        <v/>
      </c>
      <c r="M10" s="5">
        <f>D10*(C10+L10)/2*'Сезонность'!$B$2</f>
        <v/>
      </c>
      <c r="N10" s="3">
        <f>MAX(0,L10-F10*'Сезонность'!$C$3*'Сезонность'!$B$3)</f>
        <v/>
      </c>
      <c r="O10" s="5">
        <f>D10*(L10+N10)/2*'Сезонность'!$B$3</f>
        <v/>
      </c>
      <c r="P10" s="3">
        <f>MAX(0,N10-F10*'Сезонность'!$C$4*'Сезонность'!$B$4)</f>
        <v/>
      </c>
      <c r="Q10" s="5">
        <f>D10*(N10+P10)/2*'Сезонность'!$B$4</f>
        <v/>
      </c>
      <c r="R10" s="3">
        <f>MAX(0,P10-F10*'Сезонность'!$C$5*'Сезонность'!$B$5)</f>
        <v/>
      </c>
      <c r="S10" s="5">
        <f>D10*(P10+R10)/2*'Сезонность'!$B$5</f>
        <v/>
      </c>
      <c r="T10" s="3">
        <f>MAX(0,R10-F10*'Сезонность'!$C$6*'Сезонность'!$B$6)</f>
        <v/>
      </c>
      <c r="U10" s="5">
        <f>D10*(R10+T10)/2*'Сезонность'!$B$6</f>
        <v/>
      </c>
    </row>
    <row r="11">
      <c r="A11" s="2" t="n">
        <v>206057411</v>
      </c>
      <c r="B11" s="2" t="inlineStr">
        <is>
          <t>ELIZAVECCA - Hell pore clean up aha fruit toner [ 200ml] / Пилинг-тоник с фруктовыми кислотами</t>
        </is>
      </c>
      <c r="C11" s="3" t="n">
        <v>180</v>
      </c>
      <c r="D11" s="4">
        <f>VLOOKUP(A11,'Данные хранения'!$A$2:$B$205,2,0)</f>
        <v/>
      </c>
      <c r="E11" s="3">
        <f>VLOOKUP(A11,'Данные продаж'!$A$2:$B$490,2,0)</f>
        <v/>
      </c>
      <c r="F11" s="5">
        <f>E11/'Параметры'!$B$4</f>
        <v/>
      </c>
      <c r="G11" s="5">
        <f>D11*'Параметры'!$B$3*C11</f>
        <v/>
      </c>
      <c r="H11" s="5">
        <f>D11*'Параметры'!$B$2*C11</f>
        <v/>
      </c>
      <c r="I11" s="5">
        <f>D11*IF(F11=0,C11*'Параметры'!$B$2,IF(C11/F11&gt;='Параметры'!$B$2,C11*'Параметры'!$B$2-F11*'Параметры'!$B$2*('Параметры'!$B$2-1)/2,C11*C11/(2*F11)))</f>
        <v/>
      </c>
      <c r="J11" s="5">
        <f>M11+O11+Q11+S11+U11</f>
        <v/>
      </c>
      <c r="K11" s="3">
        <f>T11</f>
        <v/>
      </c>
      <c r="L11" s="3">
        <f>MAX(0,C11-F11*'Сезонность'!$C$2*'Сезонность'!$B$2)</f>
        <v/>
      </c>
      <c r="M11" s="5">
        <f>D11*(C11+L11)/2*'Сезонность'!$B$2</f>
        <v/>
      </c>
      <c r="N11" s="3">
        <f>MAX(0,L11-F11*'Сезонность'!$C$3*'Сезонность'!$B$3)</f>
        <v/>
      </c>
      <c r="O11" s="5">
        <f>D11*(L11+N11)/2*'Сезонность'!$B$3</f>
        <v/>
      </c>
      <c r="P11" s="3">
        <f>MAX(0,N11-F11*'Сезонность'!$C$4*'Сезонность'!$B$4)</f>
        <v/>
      </c>
      <c r="Q11" s="5">
        <f>D11*(N11+P11)/2*'Сезонность'!$B$4</f>
        <v/>
      </c>
      <c r="R11" s="3">
        <f>MAX(0,P11-F11*'Сезонность'!$C$5*'Сезонность'!$B$5)</f>
        <v/>
      </c>
      <c r="S11" s="5">
        <f>D11*(P11+R11)/2*'Сезонность'!$B$5</f>
        <v/>
      </c>
      <c r="T11" s="3">
        <f>MAX(0,R11-F11*'Сезонность'!$C$6*'Сезонность'!$B$6)</f>
        <v/>
      </c>
      <c r="U11" s="5">
        <f>D11*(R11+T11)/2*'Сезонность'!$B$6</f>
        <v/>
      </c>
    </row>
    <row r="12">
      <c r="A12" s="2" t="n">
        <v>206058262</v>
      </c>
      <c r="B12" s="2" t="inlineStr">
        <is>
          <t>ELIZAVECCA - Hell-Pore Galactomyces Pure Ample / Сыворотка для лица с экстрактом галактомисиса</t>
        </is>
      </c>
      <c r="C12" s="3" t="n">
        <v>50</v>
      </c>
      <c r="D12" s="4">
        <f>VLOOKUP(A12,'Данные хранения'!$A$2:$B$205,2,0)</f>
        <v/>
      </c>
      <c r="E12" s="3">
        <f>VLOOKUP(A12,'Данные продаж'!$A$2:$B$490,2,0)</f>
        <v/>
      </c>
      <c r="F12" s="5">
        <f>E12/'Параметры'!$B$4</f>
        <v/>
      </c>
      <c r="G12" s="5">
        <f>D12*'Параметры'!$B$3*C12</f>
        <v/>
      </c>
      <c r="H12" s="5">
        <f>D12*'Параметры'!$B$2*C12</f>
        <v/>
      </c>
      <c r="I12" s="5">
        <f>D12*IF(F12=0,C12*'Параметры'!$B$2,IF(C12/F12&gt;='Параметры'!$B$2,C12*'Параметры'!$B$2-F12*'Параметры'!$B$2*('Параметры'!$B$2-1)/2,C12*C12/(2*F12)))</f>
        <v/>
      </c>
      <c r="J12" s="5">
        <f>M12+O12+Q12+S12+U12</f>
        <v/>
      </c>
      <c r="K12" s="3">
        <f>T12</f>
        <v/>
      </c>
      <c r="L12" s="3">
        <f>MAX(0,C12-F12*'Сезонность'!$C$2*'Сезонность'!$B$2)</f>
        <v/>
      </c>
      <c r="M12" s="5">
        <f>D12*(C12+L12)/2*'Сезонность'!$B$2</f>
        <v/>
      </c>
      <c r="N12" s="3">
        <f>MAX(0,L12-F12*'Сезонность'!$C$3*'Сезонность'!$B$3)</f>
        <v/>
      </c>
      <c r="O12" s="5">
        <f>D12*(L12+N12)/2*'Сезонность'!$B$3</f>
        <v/>
      </c>
      <c r="P12" s="3">
        <f>MAX(0,N12-F12*'Сезонность'!$C$4*'Сезонность'!$B$4)</f>
        <v/>
      </c>
      <c r="Q12" s="5">
        <f>D12*(N12+P12)/2*'Сезонность'!$B$4</f>
        <v/>
      </c>
      <c r="R12" s="3">
        <f>MAX(0,P12-F12*'Сезонность'!$C$5*'Сезонность'!$B$5)</f>
        <v/>
      </c>
      <c r="S12" s="5">
        <f>D12*(P12+R12)/2*'Сезонность'!$B$5</f>
        <v/>
      </c>
      <c r="T12" s="3">
        <f>MAX(0,R12-F12*'Сезонность'!$C$6*'Сезонность'!$B$6)</f>
        <v/>
      </c>
      <c r="U12" s="5">
        <f>D12*(R12+T12)/2*'Сезонность'!$B$6</f>
        <v/>
      </c>
    </row>
    <row r="13">
      <c r="A13" s="2" t="n">
        <v>190160008</v>
      </c>
      <c r="B13" s="2" t="inlineStr">
        <is>
          <t>ELIZAVECCA - Milky Piggy EGF elastic retinol [100ml] / Антивозрастной крем для лица с ретинолом и EGF</t>
        </is>
      </c>
      <c r="C13" s="3" t="n">
        <v>345</v>
      </c>
      <c r="D13" s="4">
        <f>VLOOKUP(A13,'Данные хранения'!$A$2:$B$205,2,0)</f>
        <v/>
      </c>
      <c r="E13" s="3">
        <f>VLOOKUP(A13,'Данные продаж'!$A$2:$B$490,2,0)</f>
        <v/>
      </c>
      <c r="F13" s="5">
        <f>E13/'Параметры'!$B$4</f>
        <v/>
      </c>
      <c r="G13" s="5">
        <f>D13*'Параметры'!$B$3*C13</f>
        <v/>
      </c>
      <c r="H13" s="5">
        <f>D13*'Параметры'!$B$2*C13</f>
        <v/>
      </c>
      <c r="I13" s="5">
        <f>D13*IF(F13=0,C13*'Параметры'!$B$2,IF(C13/F13&gt;='Параметры'!$B$2,C13*'Параметры'!$B$2-F13*'Параметры'!$B$2*('Параметры'!$B$2-1)/2,C13*C13/(2*F13)))</f>
        <v/>
      </c>
      <c r="J13" s="5">
        <f>M13+O13+Q13+S13+U13</f>
        <v/>
      </c>
      <c r="K13" s="3">
        <f>T13</f>
        <v/>
      </c>
      <c r="L13" s="3">
        <f>MAX(0,C13-F13*'Сезонность'!$C$2*'Сезонность'!$B$2)</f>
        <v/>
      </c>
      <c r="M13" s="5">
        <f>D13*(C13+L13)/2*'Сезонность'!$B$2</f>
        <v/>
      </c>
      <c r="N13" s="3">
        <f>MAX(0,L13-F13*'Сезонность'!$C$3*'Сезонность'!$B$3)</f>
        <v/>
      </c>
      <c r="O13" s="5">
        <f>D13*(L13+N13)/2*'Сезонность'!$B$3</f>
        <v/>
      </c>
      <c r="P13" s="3">
        <f>MAX(0,N13-F13*'Сезонность'!$C$4*'Сезонность'!$B$4)</f>
        <v/>
      </c>
      <c r="Q13" s="5">
        <f>D13*(N13+P13)/2*'Сезонность'!$B$4</f>
        <v/>
      </c>
      <c r="R13" s="3">
        <f>MAX(0,P13-F13*'Сезонность'!$C$5*'Сезонность'!$B$5)</f>
        <v/>
      </c>
      <c r="S13" s="5">
        <f>D13*(P13+R13)/2*'Сезонность'!$B$5</f>
        <v/>
      </c>
      <c r="T13" s="3">
        <f>MAX(0,R13-F13*'Сезонность'!$C$6*'Сезонность'!$B$6)</f>
        <v/>
      </c>
      <c r="U13" s="5">
        <f>D13*(R13+T13)/2*'Сезонность'!$B$6</f>
        <v/>
      </c>
    </row>
    <row r="14">
      <c r="A14" s="2" t="n">
        <v>238416010</v>
      </c>
      <c r="B14" s="2" t="inlineStr">
        <is>
          <t>ENOUGH - Collagen Whitening Moisture Cream 3in1 [50g] / Антивозрастной отбеливающий крем с коллагеном</t>
        </is>
      </c>
      <c r="C14" s="3" t="n">
        <v>1108</v>
      </c>
      <c r="D14" s="4">
        <f>VLOOKUP(A14,'Данные хранения'!$A$2:$B$205,2,0)</f>
        <v/>
      </c>
      <c r="E14" s="3">
        <f>VLOOKUP(A14,'Данные продаж'!$A$2:$B$490,2,0)</f>
        <v/>
      </c>
      <c r="F14" s="5">
        <f>E14/'Параметры'!$B$4</f>
        <v/>
      </c>
      <c r="G14" s="5">
        <f>D14*'Параметры'!$B$3*C14</f>
        <v/>
      </c>
      <c r="H14" s="5">
        <f>D14*'Параметры'!$B$2*C14</f>
        <v/>
      </c>
      <c r="I14" s="5">
        <f>D14*IF(F14=0,C14*'Параметры'!$B$2,IF(C14/F14&gt;='Параметры'!$B$2,C14*'Параметры'!$B$2-F14*'Параметры'!$B$2*('Параметры'!$B$2-1)/2,C14*C14/(2*F14)))</f>
        <v/>
      </c>
      <c r="J14" s="5">
        <f>M14+O14+Q14+S14+U14</f>
        <v/>
      </c>
      <c r="K14" s="3">
        <f>T14</f>
        <v/>
      </c>
      <c r="L14" s="3">
        <f>MAX(0,C14-F14*'Сезонность'!$C$2*'Сезонность'!$B$2)</f>
        <v/>
      </c>
      <c r="M14" s="5">
        <f>D14*(C14+L14)/2*'Сезонность'!$B$2</f>
        <v/>
      </c>
      <c r="N14" s="3">
        <f>MAX(0,L14-F14*'Сезонность'!$C$3*'Сезонность'!$B$3)</f>
        <v/>
      </c>
      <c r="O14" s="5">
        <f>D14*(L14+N14)/2*'Сезонность'!$B$3</f>
        <v/>
      </c>
      <c r="P14" s="3">
        <f>MAX(0,N14-F14*'Сезонность'!$C$4*'Сезонность'!$B$4)</f>
        <v/>
      </c>
      <c r="Q14" s="5">
        <f>D14*(N14+P14)/2*'Сезонность'!$B$4</f>
        <v/>
      </c>
      <c r="R14" s="3">
        <f>MAX(0,P14-F14*'Сезонность'!$C$5*'Сезонность'!$B$5)</f>
        <v/>
      </c>
      <c r="S14" s="5">
        <f>D14*(P14+R14)/2*'Сезонность'!$B$5</f>
        <v/>
      </c>
      <c r="T14" s="3">
        <f>MAX(0,R14-F14*'Сезонность'!$C$6*'Сезонность'!$B$6)</f>
        <v/>
      </c>
      <c r="U14" s="5">
        <f>D14*(R14+T14)/2*'Сезонность'!$B$6</f>
        <v/>
      </c>
    </row>
    <row r="15">
      <c r="A15" s="2" t="n">
        <v>150925321</v>
      </c>
      <c r="B15" s="2" t="inlineStr">
        <is>
          <t>ENOUGH - Collagen Moisture Foundation [Tone 13] / Тональный крем для лица с коллагеном 13 тон</t>
        </is>
      </c>
      <c r="C15" s="3" t="n">
        <v>2515</v>
      </c>
      <c r="D15" s="4">
        <f>VLOOKUP(A15,'Данные хранения'!$A$2:$B$205,2,0)</f>
        <v/>
      </c>
      <c r="E15" s="3">
        <f>VLOOKUP(A15,'Данные продаж'!$A$2:$B$490,2,0)</f>
        <v/>
      </c>
      <c r="F15" s="5">
        <f>E15/'Параметры'!$B$4</f>
        <v/>
      </c>
      <c r="G15" s="5">
        <f>D15*'Параметры'!$B$3*C15</f>
        <v/>
      </c>
      <c r="H15" s="5">
        <f>D15*'Параметры'!$B$2*C15</f>
        <v/>
      </c>
      <c r="I15" s="5">
        <f>D15*IF(F15=0,C15*'Параметры'!$B$2,IF(C15/F15&gt;='Параметры'!$B$2,C15*'Параметры'!$B$2-F15*'Параметры'!$B$2*('Параметры'!$B$2-1)/2,C15*C15/(2*F15)))</f>
        <v/>
      </c>
      <c r="J15" s="5">
        <f>M15+O15+Q15+S15+U15</f>
        <v/>
      </c>
      <c r="K15" s="3">
        <f>T15</f>
        <v/>
      </c>
      <c r="L15" s="3">
        <f>MAX(0,C15-F15*'Сезонность'!$C$2*'Сезонность'!$B$2)</f>
        <v/>
      </c>
      <c r="M15" s="5">
        <f>D15*(C15+L15)/2*'Сезонность'!$B$2</f>
        <v/>
      </c>
      <c r="N15" s="3">
        <f>MAX(0,L15-F15*'Сезонность'!$C$3*'Сезонность'!$B$3)</f>
        <v/>
      </c>
      <c r="O15" s="5">
        <f>D15*(L15+N15)/2*'Сезонность'!$B$3</f>
        <v/>
      </c>
      <c r="P15" s="3">
        <f>MAX(0,N15-F15*'Сезонность'!$C$4*'Сезонность'!$B$4)</f>
        <v/>
      </c>
      <c r="Q15" s="5">
        <f>D15*(N15+P15)/2*'Сезонность'!$B$4</f>
        <v/>
      </c>
      <c r="R15" s="3">
        <f>MAX(0,P15-F15*'Сезонность'!$C$5*'Сезонность'!$B$5)</f>
        <v/>
      </c>
      <c r="S15" s="5">
        <f>D15*(P15+R15)/2*'Сезонность'!$B$5</f>
        <v/>
      </c>
      <c r="T15" s="3">
        <f>MAX(0,R15-F15*'Сезонность'!$C$6*'Сезонность'!$B$6)</f>
        <v/>
      </c>
      <c r="U15" s="5">
        <f>D15*(R15+T15)/2*'Сезонность'!$B$6</f>
        <v/>
      </c>
    </row>
    <row r="16">
      <c r="A16" s="2" t="n">
        <v>150925322</v>
      </c>
      <c r="B16" s="2" t="inlineStr">
        <is>
          <t>ENOUGH - Collagen Moisture Foundation [Tone 21] / Тональный крем для лица с коллагеном 21 тон</t>
        </is>
      </c>
      <c r="C16" s="3" t="n">
        <v>2757</v>
      </c>
      <c r="D16" s="4">
        <f>VLOOKUP(A16,'Данные хранения'!$A$2:$B$205,2,0)</f>
        <v/>
      </c>
      <c r="E16" s="3">
        <f>VLOOKUP(A16,'Данные продаж'!$A$2:$B$490,2,0)</f>
        <v/>
      </c>
      <c r="F16" s="5">
        <f>E16/'Параметры'!$B$4</f>
        <v/>
      </c>
      <c r="G16" s="5">
        <f>D16*'Параметры'!$B$3*C16</f>
        <v/>
      </c>
      <c r="H16" s="5">
        <f>D16*'Параметры'!$B$2*C16</f>
        <v/>
      </c>
      <c r="I16" s="5">
        <f>D16*IF(F16=0,C16*'Параметры'!$B$2,IF(C16/F16&gt;='Параметры'!$B$2,C16*'Параметры'!$B$2-F16*'Параметры'!$B$2*('Параметры'!$B$2-1)/2,C16*C16/(2*F16)))</f>
        <v/>
      </c>
      <c r="J16" s="5">
        <f>M16+O16+Q16+S16+U16</f>
        <v/>
      </c>
      <c r="K16" s="3">
        <f>T16</f>
        <v/>
      </c>
      <c r="L16" s="3">
        <f>MAX(0,C16-F16*'Сезонность'!$C$2*'Сезонность'!$B$2)</f>
        <v/>
      </c>
      <c r="M16" s="5">
        <f>D16*(C16+L16)/2*'Сезонность'!$B$2</f>
        <v/>
      </c>
      <c r="N16" s="3">
        <f>MAX(0,L16-F16*'Сезонность'!$C$3*'Сезонность'!$B$3)</f>
        <v/>
      </c>
      <c r="O16" s="5">
        <f>D16*(L16+N16)/2*'Сезонность'!$B$3</f>
        <v/>
      </c>
      <c r="P16" s="3">
        <f>MAX(0,N16-F16*'Сезонность'!$C$4*'Сезонность'!$B$4)</f>
        <v/>
      </c>
      <c r="Q16" s="5">
        <f>D16*(N16+P16)/2*'Сезонность'!$B$4</f>
        <v/>
      </c>
      <c r="R16" s="3">
        <f>MAX(0,P16-F16*'Сезонность'!$C$5*'Сезонность'!$B$5)</f>
        <v/>
      </c>
      <c r="S16" s="5">
        <f>D16*(P16+R16)/2*'Сезонность'!$B$5</f>
        <v/>
      </c>
      <c r="T16" s="3">
        <f>MAX(0,R16-F16*'Сезонность'!$C$6*'Сезонность'!$B$6)</f>
        <v/>
      </c>
      <c r="U16" s="5">
        <f>D16*(R16+T16)/2*'Сезонность'!$B$6</f>
        <v/>
      </c>
    </row>
    <row r="17">
      <c r="A17" s="2" t="n">
        <v>611747838</v>
      </c>
      <c r="B17" s="2" t="inlineStr">
        <is>
          <t>ENOUGH - Collagen Moisture Foundation [Tone 23] / Тональный крем для лица с коллагеном 23 тон</t>
        </is>
      </c>
      <c r="C17" s="3" t="n">
        <v>0</v>
      </c>
      <c r="D17" s="4">
        <f>VLOOKUP(A17,'Данные хранения'!$A$2:$B$205,2,0)</f>
        <v/>
      </c>
      <c r="E17" s="3">
        <f>VLOOKUP(A17,'Данные продаж'!$A$2:$B$490,2,0)</f>
        <v/>
      </c>
      <c r="F17" s="5">
        <f>E17/'Параметры'!$B$4</f>
        <v/>
      </c>
      <c r="G17" s="5">
        <f>D17*'Параметры'!$B$3*C17</f>
        <v/>
      </c>
      <c r="H17" s="5">
        <f>D17*'Параметры'!$B$2*C17</f>
        <v/>
      </c>
      <c r="I17" s="5">
        <f>D17*IF(F17=0,C17*'Параметры'!$B$2,IF(C17/F17&gt;='Параметры'!$B$2,C17*'Параметры'!$B$2-F17*'Параметры'!$B$2*('Параметры'!$B$2-1)/2,C17*C17/(2*F17)))</f>
        <v/>
      </c>
      <c r="J17" s="5">
        <f>M17+O17+Q17+S17+U17</f>
        <v/>
      </c>
      <c r="K17" s="3">
        <f>T17</f>
        <v/>
      </c>
      <c r="L17" s="3">
        <f>MAX(0,C17-F17*'Сезонность'!$C$2*'Сезонность'!$B$2)</f>
        <v/>
      </c>
      <c r="M17" s="5">
        <f>D17*(C17+L17)/2*'Сезонность'!$B$2</f>
        <v/>
      </c>
      <c r="N17" s="3">
        <f>MAX(0,L17-F17*'Сезонность'!$C$3*'Сезонность'!$B$3)</f>
        <v/>
      </c>
      <c r="O17" s="5">
        <f>D17*(L17+N17)/2*'Сезонность'!$B$3</f>
        <v/>
      </c>
      <c r="P17" s="3">
        <f>MAX(0,N17-F17*'Сезонность'!$C$4*'Сезонность'!$B$4)</f>
        <v/>
      </c>
      <c r="Q17" s="5">
        <f>D17*(N17+P17)/2*'Сезонность'!$B$4</f>
        <v/>
      </c>
      <c r="R17" s="3">
        <f>MAX(0,P17-F17*'Сезонность'!$C$5*'Сезонность'!$B$5)</f>
        <v/>
      </c>
      <c r="S17" s="5">
        <f>D17*(P17+R17)/2*'Сезонность'!$B$5</f>
        <v/>
      </c>
      <c r="T17" s="3">
        <f>MAX(0,R17-F17*'Сезонность'!$C$6*'Сезонность'!$B$6)</f>
        <v/>
      </c>
      <c r="U17" s="5">
        <f>D17*(R17+T17)/2*'Сезонность'!$B$6</f>
        <v/>
      </c>
    </row>
    <row r="18">
      <c r="A18" s="2" t="n">
        <v>151132051</v>
      </c>
      <c r="B18" s="2" t="inlineStr">
        <is>
          <t>ENOUGH - Collagen 3in1 Whitening Moisture Foundation [Tone 13] / Тональный крем для лица с коллагеном 3в1 [13 тон]</t>
        </is>
      </c>
      <c r="C18" s="3" t="n">
        <v>511</v>
      </c>
      <c r="D18" s="4">
        <f>VLOOKUP(A18,'Данные хранения'!$A$2:$B$205,2,0)</f>
        <v/>
      </c>
      <c r="E18" s="3">
        <f>VLOOKUP(A18,'Данные продаж'!$A$2:$B$490,2,0)</f>
        <v/>
      </c>
      <c r="F18" s="5">
        <f>E18/'Параметры'!$B$4</f>
        <v/>
      </c>
      <c r="G18" s="5">
        <f>D18*'Параметры'!$B$3*C18</f>
        <v/>
      </c>
      <c r="H18" s="5">
        <f>D18*'Параметры'!$B$2*C18</f>
        <v/>
      </c>
      <c r="I18" s="5">
        <f>D18*IF(F18=0,C18*'Параметры'!$B$2,IF(C18/F18&gt;='Параметры'!$B$2,C18*'Параметры'!$B$2-F18*'Параметры'!$B$2*('Параметры'!$B$2-1)/2,C18*C18/(2*F18)))</f>
        <v/>
      </c>
      <c r="J18" s="5">
        <f>M18+O18+Q18+S18+U18</f>
        <v/>
      </c>
      <c r="K18" s="3">
        <f>T18</f>
        <v/>
      </c>
      <c r="L18" s="3">
        <f>MAX(0,C18-F18*'Сезонность'!$C$2*'Сезонность'!$B$2)</f>
        <v/>
      </c>
      <c r="M18" s="5">
        <f>D18*(C18+L18)/2*'Сезонность'!$B$2</f>
        <v/>
      </c>
      <c r="N18" s="3">
        <f>MAX(0,L18-F18*'Сезонность'!$C$3*'Сезонность'!$B$3)</f>
        <v/>
      </c>
      <c r="O18" s="5">
        <f>D18*(L18+N18)/2*'Сезонность'!$B$3</f>
        <v/>
      </c>
      <c r="P18" s="3">
        <f>MAX(0,N18-F18*'Сезонность'!$C$4*'Сезонность'!$B$4)</f>
        <v/>
      </c>
      <c r="Q18" s="5">
        <f>D18*(N18+P18)/2*'Сезонность'!$B$4</f>
        <v/>
      </c>
      <c r="R18" s="3">
        <f>MAX(0,P18-F18*'Сезонность'!$C$5*'Сезонность'!$B$5)</f>
        <v/>
      </c>
      <c r="S18" s="5">
        <f>D18*(P18+R18)/2*'Сезонность'!$B$5</f>
        <v/>
      </c>
      <c r="T18" s="3">
        <f>MAX(0,R18-F18*'Сезонность'!$C$6*'Сезонность'!$B$6)</f>
        <v/>
      </c>
      <c r="U18" s="5">
        <f>D18*(R18+T18)/2*'Сезонность'!$B$6</f>
        <v/>
      </c>
    </row>
    <row r="19">
      <c r="A19" s="2" t="n">
        <v>151132052</v>
      </c>
      <c r="B19" s="2" t="inlineStr">
        <is>
          <t>ENOUGH - Collagen 3in1 Whitening Moisture Foundation [Tone 21] / Тональный крем для лица с коллагеном 3в1 [21 тон]</t>
        </is>
      </c>
      <c r="C19" s="3" t="n">
        <v>86</v>
      </c>
      <c r="D19" s="4">
        <f>VLOOKUP(A19,'Данные хранения'!$A$2:$B$205,2,0)</f>
        <v/>
      </c>
      <c r="E19" s="3">
        <f>VLOOKUP(A19,'Данные продаж'!$A$2:$B$490,2,0)</f>
        <v/>
      </c>
      <c r="F19" s="5">
        <f>E19/'Параметры'!$B$4</f>
        <v/>
      </c>
      <c r="G19" s="5">
        <f>D19*'Параметры'!$B$3*C19</f>
        <v/>
      </c>
      <c r="H19" s="5">
        <f>D19*'Параметры'!$B$2*C19</f>
        <v/>
      </c>
      <c r="I19" s="5">
        <f>D19*IF(F19=0,C19*'Параметры'!$B$2,IF(C19/F19&gt;='Параметры'!$B$2,C19*'Параметры'!$B$2-F19*'Параметры'!$B$2*('Параметры'!$B$2-1)/2,C19*C19/(2*F19)))</f>
        <v/>
      </c>
      <c r="J19" s="5">
        <f>M19+O19+Q19+S19+U19</f>
        <v/>
      </c>
      <c r="K19" s="3">
        <f>T19</f>
        <v/>
      </c>
      <c r="L19" s="3">
        <f>MAX(0,C19-F19*'Сезонность'!$C$2*'Сезонность'!$B$2)</f>
        <v/>
      </c>
      <c r="M19" s="5">
        <f>D19*(C19+L19)/2*'Сезонность'!$B$2</f>
        <v/>
      </c>
      <c r="N19" s="3">
        <f>MAX(0,L19-F19*'Сезонность'!$C$3*'Сезонность'!$B$3)</f>
        <v/>
      </c>
      <c r="O19" s="5">
        <f>D19*(L19+N19)/2*'Сезонность'!$B$3</f>
        <v/>
      </c>
      <c r="P19" s="3">
        <f>MAX(0,N19-F19*'Сезонность'!$C$4*'Сезонность'!$B$4)</f>
        <v/>
      </c>
      <c r="Q19" s="5">
        <f>D19*(N19+P19)/2*'Сезонность'!$B$4</f>
        <v/>
      </c>
      <c r="R19" s="3">
        <f>MAX(0,P19-F19*'Сезонность'!$C$5*'Сезонность'!$B$5)</f>
        <v/>
      </c>
      <c r="S19" s="5">
        <f>D19*(P19+R19)/2*'Сезонность'!$B$5</f>
        <v/>
      </c>
      <c r="T19" s="3">
        <f>MAX(0,R19-F19*'Сезонность'!$C$6*'Сезонность'!$B$6)</f>
        <v/>
      </c>
      <c r="U19" s="5">
        <f>D19*(R19+T19)/2*'Сезонность'!$B$6</f>
        <v/>
      </c>
    </row>
    <row r="20">
      <c r="A20" s="2" t="n">
        <v>170198738</v>
      </c>
      <c r="B20" s="2" t="inlineStr">
        <is>
          <t>ENOUGH - Premium 8 Peptide Full Cover Perfect Foundation [Tone 13] / Тональный крем с пептидами 13 тон</t>
        </is>
      </c>
      <c r="C20" s="3" t="n">
        <v>1411</v>
      </c>
      <c r="D20" s="4">
        <f>VLOOKUP(A20,'Данные хранения'!$A$2:$B$205,2,0)</f>
        <v/>
      </c>
      <c r="E20" s="3">
        <f>VLOOKUP(A20,'Данные продаж'!$A$2:$B$490,2,0)</f>
        <v/>
      </c>
      <c r="F20" s="5">
        <f>E20/'Параметры'!$B$4</f>
        <v/>
      </c>
      <c r="G20" s="5">
        <f>D20*'Параметры'!$B$3*C20</f>
        <v/>
      </c>
      <c r="H20" s="5">
        <f>D20*'Параметры'!$B$2*C20</f>
        <v/>
      </c>
      <c r="I20" s="5">
        <f>D20*IF(F20=0,C20*'Параметры'!$B$2,IF(C20/F20&gt;='Параметры'!$B$2,C20*'Параметры'!$B$2-F20*'Параметры'!$B$2*('Параметры'!$B$2-1)/2,C20*C20/(2*F20)))</f>
        <v/>
      </c>
      <c r="J20" s="5">
        <f>M20+O20+Q20+S20+U20</f>
        <v/>
      </c>
      <c r="K20" s="3">
        <f>T20</f>
        <v/>
      </c>
      <c r="L20" s="3">
        <f>MAX(0,C20-F20*'Сезонность'!$C$2*'Сезонность'!$B$2)</f>
        <v/>
      </c>
      <c r="M20" s="5">
        <f>D20*(C20+L20)/2*'Сезонность'!$B$2</f>
        <v/>
      </c>
      <c r="N20" s="3">
        <f>MAX(0,L20-F20*'Сезонность'!$C$3*'Сезонность'!$B$3)</f>
        <v/>
      </c>
      <c r="O20" s="5">
        <f>D20*(L20+N20)/2*'Сезонность'!$B$3</f>
        <v/>
      </c>
      <c r="P20" s="3">
        <f>MAX(0,N20-F20*'Сезонность'!$C$4*'Сезонность'!$B$4)</f>
        <v/>
      </c>
      <c r="Q20" s="5">
        <f>D20*(N20+P20)/2*'Сезонность'!$B$4</f>
        <v/>
      </c>
      <c r="R20" s="3">
        <f>MAX(0,P20-F20*'Сезонность'!$C$5*'Сезонность'!$B$5)</f>
        <v/>
      </c>
      <c r="S20" s="5">
        <f>D20*(P20+R20)/2*'Сезонность'!$B$5</f>
        <v/>
      </c>
      <c r="T20" s="3">
        <f>MAX(0,R20-F20*'Сезонность'!$C$6*'Сезонность'!$B$6)</f>
        <v/>
      </c>
      <c r="U20" s="5">
        <f>D20*(R20+T20)/2*'Сезонность'!$B$6</f>
        <v/>
      </c>
    </row>
    <row r="21">
      <c r="A21" s="2" t="n">
        <v>170198337</v>
      </c>
      <c r="B21" s="2" t="inlineStr">
        <is>
          <t>ENOUGH - Premium 8 Peptide Full Cover Perfect Foundation [Tone 21] / Тональный крем с пептидами 21 тон</t>
        </is>
      </c>
      <c r="C21" s="3" t="n">
        <v>577</v>
      </c>
      <c r="D21" s="4">
        <f>VLOOKUP(A21,'Данные хранения'!$A$2:$B$205,2,0)</f>
        <v/>
      </c>
      <c r="E21" s="3">
        <f>VLOOKUP(A21,'Данные продаж'!$A$2:$B$490,2,0)</f>
        <v/>
      </c>
      <c r="F21" s="5">
        <f>E21/'Параметры'!$B$4</f>
        <v/>
      </c>
      <c r="G21" s="5">
        <f>D21*'Параметры'!$B$3*C21</f>
        <v/>
      </c>
      <c r="H21" s="5">
        <f>D21*'Параметры'!$B$2*C21</f>
        <v/>
      </c>
      <c r="I21" s="5">
        <f>D21*IF(F21=0,C21*'Параметры'!$B$2,IF(C21/F21&gt;='Параметры'!$B$2,C21*'Параметры'!$B$2-F21*'Параметры'!$B$2*('Параметры'!$B$2-1)/2,C21*C21/(2*F21)))</f>
        <v/>
      </c>
      <c r="J21" s="5">
        <f>M21+O21+Q21+S21+U21</f>
        <v/>
      </c>
      <c r="K21" s="3">
        <f>T21</f>
        <v/>
      </c>
      <c r="L21" s="3">
        <f>MAX(0,C21-F21*'Сезонность'!$C$2*'Сезонность'!$B$2)</f>
        <v/>
      </c>
      <c r="M21" s="5">
        <f>D21*(C21+L21)/2*'Сезонность'!$B$2</f>
        <v/>
      </c>
      <c r="N21" s="3">
        <f>MAX(0,L21-F21*'Сезонность'!$C$3*'Сезонность'!$B$3)</f>
        <v/>
      </c>
      <c r="O21" s="5">
        <f>D21*(L21+N21)/2*'Сезонность'!$B$3</f>
        <v/>
      </c>
      <c r="P21" s="3">
        <f>MAX(0,N21-F21*'Сезонность'!$C$4*'Сезонность'!$B$4)</f>
        <v/>
      </c>
      <c r="Q21" s="5">
        <f>D21*(N21+P21)/2*'Сезонность'!$B$4</f>
        <v/>
      </c>
      <c r="R21" s="3">
        <f>MAX(0,P21-F21*'Сезонность'!$C$5*'Сезонность'!$B$5)</f>
        <v/>
      </c>
      <c r="S21" s="5">
        <f>D21*(P21+R21)/2*'Сезонность'!$B$5</f>
        <v/>
      </c>
      <c r="T21" s="3">
        <f>MAX(0,R21-F21*'Сезонность'!$C$6*'Сезонность'!$B$6)</f>
        <v/>
      </c>
      <c r="U21" s="5">
        <f>D21*(R21+T21)/2*'Сезонность'!$B$6</f>
        <v/>
      </c>
    </row>
    <row r="22">
      <c r="A22" s="2" t="n">
        <v>170198180</v>
      </c>
      <c r="B22" s="2" t="inlineStr">
        <is>
          <t>ENOUGH - Premium Rich Gold Double Wear Radiance Foundation [Tone 13] / Тональный крем с частичками золота 13 тон</t>
        </is>
      </c>
      <c r="C22" s="3" t="n">
        <v>235</v>
      </c>
      <c r="D22" s="4">
        <f>VLOOKUP(A22,'Данные хранения'!$A$2:$B$205,2,0)</f>
        <v/>
      </c>
      <c r="E22" s="3">
        <f>VLOOKUP(A22,'Данные продаж'!$A$2:$B$490,2,0)</f>
        <v/>
      </c>
      <c r="F22" s="5">
        <f>E22/'Параметры'!$B$4</f>
        <v/>
      </c>
      <c r="G22" s="5">
        <f>D22*'Параметры'!$B$3*C22</f>
        <v/>
      </c>
      <c r="H22" s="5">
        <f>D22*'Параметры'!$B$2*C22</f>
        <v/>
      </c>
      <c r="I22" s="5">
        <f>D22*IF(F22=0,C22*'Параметры'!$B$2,IF(C22/F22&gt;='Параметры'!$B$2,C22*'Параметры'!$B$2-F22*'Параметры'!$B$2*('Параметры'!$B$2-1)/2,C22*C22/(2*F22)))</f>
        <v/>
      </c>
      <c r="J22" s="5">
        <f>M22+O22+Q22+S22+U22</f>
        <v/>
      </c>
      <c r="K22" s="3">
        <f>T22</f>
        <v/>
      </c>
      <c r="L22" s="3">
        <f>MAX(0,C22-F22*'Сезонность'!$C$2*'Сезонность'!$B$2)</f>
        <v/>
      </c>
      <c r="M22" s="5">
        <f>D22*(C22+L22)/2*'Сезонность'!$B$2</f>
        <v/>
      </c>
      <c r="N22" s="3">
        <f>MAX(0,L22-F22*'Сезонность'!$C$3*'Сезонность'!$B$3)</f>
        <v/>
      </c>
      <c r="O22" s="5">
        <f>D22*(L22+N22)/2*'Сезонность'!$B$3</f>
        <v/>
      </c>
      <c r="P22" s="3">
        <f>MAX(0,N22-F22*'Сезонность'!$C$4*'Сезонность'!$B$4)</f>
        <v/>
      </c>
      <c r="Q22" s="5">
        <f>D22*(N22+P22)/2*'Сезонность'!$B$4</f>
        <v/>
      </c>
      <c r="R22" s="3">
        <f>MAX(0,P22-F22*'Сезонность'!$C$5*'Сезонность'!$B$5)</f>
        <v/>
      </c>
      <c r="S22" s="5">
        <f>D22*(P22+R22)/2*'Сезонность'!$B$5</f>
        <v/>
      </c>
      <c r="T22" s="3">
        <f>MAX(0,R22-F22*'Сезонность'!$C$6*'Сезонность'!$B$6)</f>
        <v/>
      </c>
      <c r="U22" s="5">
        <f>D22*(R22+T22)/2*'Сезонность'!$B$6</f>
        <v/>
      </c>
    </row>
    <row r="23">
      <c r="A23" s="2" t="n">
        <v>170198109</v>
      </c>
      <c r="B23" s="2" t="inlineStr">
        <is>
          <t>ENOUGH - Premium Rich Gold Double Wear Radiance Foundation [Tone 21] / Тональный крем с частичками золота 21 тон</t>
        </is>
      </c>
      <c r="C23" s="3" t="n">
        <v>30</v>
      </c>
      <c r="D23" s="4">
        <f>VLOOKUP(A23,'Данные хранения'!$A$2:$B$205,2,0)</f>
        <v/>
      </c>
      <c r="E23" s="3">
        <f>VLOOKUP(A23,'Данные продаж'!$A$2:$B$490,2,0)</f>
        <v/>
      </c>
      <c r="F23" s="5">
        <f>E23/'Параметры'!$B$4</f>
        <v/>
      </c>
      <c r="G23" s="5">
        <f>D23*'Параметры'!$B$3*C23</f>
        <v/>
      </c>
      <c r="H23" s="5">
        <f>D23*'Параметры'!$B$2*C23</f>
        <v/>
      </c>
      <c r="I23" s="5">
        <f>D23*IF(F23=0,C23*'Параметры'!$B$2,IF(C23/F23&gt;='Параметры'!$B$2,C23*'Параметры'!$B$2-F23*'Параметры'!$B$2*('Параметры'!$B$2-1)/2,C23*C23/(2*F23)))</f>
        <v/>
      </c>
      <c r="J23" s="5">
        <f>M23+O23+Q23+S23+U23</f>
        <v/>
      </c>
      <c r="K23" s="3">
        <f>T23</f>
        <v/>
      </c>
      <c r="L23" s="3">
        <f>MAX(0,C23-F23*'Сезонность'!$C$2*'Сезонность'!$B$2)</f>
        <v/>
      </c>
      <c r="M23" s="5">
        <f>D23*(C23+L23)/2*'Сезонность'!$B$2</f>
        <v/>
      </c>
      <c r="N23" s="3">
        <f>MAX(0,L23-F23*'Сезонность'!$C$3*'Сезонность'!$B$3)</f>
        <v/>
      </c>
      <c r="O23" s="5">
        <f>D23*(L23+N23)/2*'Сезонность'!$B$3</f>
        <v/>
      </c>
      <c r="P23" s="3">
        <f>MAX(0,N23-F23*'Сезонность'!$C$4*'Сезонность'!$B$4)</f>
        <v/>
      </c>
      <c r="Q23" s="5">
        <f>D23*(N23+P23)/2*'Сезонность'!$B$4</f>
        <v/>
      </c>
      <c r="R23" s="3">
        <f>MAX(0,P23-F23*'Сезонность'!$C$5*'Сезонность'!$B$5)</f>
        <v/>
      </c>
      <c r="S23" s="5">
        <f>D23*(P23+R23)/2*'Сезонность'!$B$5</f>
        <v/>
      </c>
      <c r="T23" s="3">
        <f>MAX(0,R23-F23*'Сезонность'!$C$6*'Сезонность'!$B$6)</f>
        <v/>
      </c>
      <c r="U23" s="5">
        <f>D23*(R23+T23)/2*'Сезонность'!$B$6</f>
        <v/>
      </c>
    </row>
    <row r="24">
      <c r="A24" s="2" t="n">
        <v>212889025</v>
      </c>
      <c r="B24" s="2" t="inlineStr">
        <is>
          <t>ENOUGH Collagen whitening cover tip concealer #01 [9g]/Консилер для лица (новая карточка)</t>
        </is>
      </c>
      <c r="C24" s="3" t="n">
        <v>794</v>
      </c>
      <c r="D24" s="4">
        <f>VLOOKUP(A24,'Данные хранения'!$A$2:$B$205,2,0)</f>
        <v/>
      </c>
      <c r="E24" s="3">
        <f>VLOOKUP(A24,'Данные продаж'!$A$2:$B$490,2,0)</f>
        <v/>
      </c>
      <c r="F24" s="5">
        <f>E24/'Параметры'!$B$4</f>
        <v/>
      </c>
      <c r="G24" s="5">
        <f>D24*'Параметры'!$B$3*C24</f>
        <v/>
      </c>
      <c r="H24" s="5">
        <f>D24*'Параметры'!$B$2*C24</f>
        <v/>
      </c>
      <c r="I24" s="5">
        <f>D24*IF(F24=0,C24*'Параметры'!$B$2,IF(C24/F24&gt;='Параметры'!$B$2,C24*'Параметры'!$B$2-F24*'Параметры'!$B$2*('Параметры'!$B$2-1)/2,C24*C24/(2*F24)))</f>
        <v/>
      </c>
      <c r="J24" s="5">
        <f>M24+O24+Q24+S24+U24</f>
        <v/>
      </c>
      <c r="K24" s="3">
        <f>T24</f>
        <v/>
      </c>
      <c r="L24" s="3">
        <f>MAX(0,C24-F24*'Сезонность'!$C$2*'Сезонность'!$B$2)</f>
        <v/>
      </c>
      <c r="M24" s="5">
        <f>D24*(C24+L24)/2*'Сезонность'!$B$2</f>
        <v/>
      </c>
      <c r="N24" s="3">
        <f>MAX(0,L24-F24*'Сезонность'!$C$3*'Сезонность'!$B$3)</f>
        <v/>
      </c>
      <c r="O24" s="5">
        <f>D24*(L24+N24)/2*'Сезонность'!$B$3</f>
        <v/>
      </c>
      <c r="P24" s="3">
        <f>MAX(0,N24-F24*'Сезонность'!$C$4*'Сезонность'!$B$4)</f>
        <v/>
      </c>
      <c r="Q24" s="5">
        <f>D24*(N24+P24)/2*'Сезонность'!$B$4</f>
        <v/>
      </c>
      <c r="R24" s="3">
        <f>MAX(0,P24-F24*'Сезонность'!$C$5*'Сезонность'!$B$5)</f>
        <v/>
      </c>
      <c r="S24" s="5">
        <f>D24*(P24+R24)/2*'Сезонность'!$B$5</f>
        <v/>
      </c>
      <c r="T24" s="3">
        <f>MAX(0,R24-F24*'Сезонность'!$C$6*'Сезонность'!$B$6)</f>
        <v/>
      </c>
      <c r="U24" s="5">
        <f>D24*(R24+T24)/2*'Сезонность'!$B$6</f>
        <v/>
      </c>
    </row>
    <row r="25">
      <c r="A25" s="2" t="n">
        <v>212889027</v>
      </c>
      <c r="B25" s="2" t="inlineStr">
        <is>
          <t>ENOUGH Collagen whitening cover tip concealer #02 [9g]/Консилер для лица (новая карточка)</t>
        </is>
      </c>
      <c r="C25" s="3" t="n">
        <v>864</v>
      </c>
      <c r="D25" s="4">
        <f>VLOOKUP(A25,'Данные хранения'!$A$2:$B$205,2,0)</f>
        <v/>
      </c>
      <c r="E25" s="3">
        <f>VLOOKUP(A25,'Данные продаж'!$A$2:$B$490,2,0)</f>
        <v/>
      </c>
      <c r="F25" s="5">
        <f>E25/'Параметры'!$B$4</f>
        <v/>
      </c>
      <c r="G25" s="5">
        <f>D25*'Параметры'!$B$3*C25</f>
        <v/>
      </c>
      <c r="H25" s="5">
        <f>D25*'Параметры'!$B$2*C25</f>
        <v/>
      </c>
      <c r="I25" s="5">
        <f>D25*IF(F25=0,C25*'Параметры'!$B$2,IF(C25/F25&gt;='Параметры'!$B$2,C25*'Параметры'!$B$2-F25*'Параметры'!$B$2*('Параметры'!$B$2-1)/2,C25*C25/(2*F25)))</f>
        <v/>
      </c>
      <c r="J25" s="5">
        <f>M25+O25+Q25+S25+U25</f>
        <v/>
      </c>
      <c r="K25" s="3">
        <f>T25</f>
        <v/>
      </c>
      <c r="L25" s="3">
        <f>MAX(0,C25-F25*'Сезонность'!$C$2*'Сезонность'!$B$2)</f>
        <v/>
      </c>
      <c r="M25" s="5">
        <f>D25*(C25+L25)/2*'Сезонность'!$B$2</f>
        <v/>
      </c>
      <c r="N25" s="3">
        <f>MAX(0,L25-F25*'Сезонность'!$C$3*'Сезонность'!$B$3)</f>
        <v/>
      </c>
      <c r="O25" s="5">
        <f>D25*(L25+N25)/2*'Сезонность'!$B$3</f>
        <v/>
      </c>
      <c r="P25" s="3">
        <f>MAX(0,N25-F25*'Сезонность'!$C$4*'Сезонность'!$B$4)</f>
        <v/>
      </c>
      <c r="Q25" s="5">
        <f>D25*(N25+P25)/2*'Сезонность'!$B$4</f>
        <v/>
      </c>
      <c r="R25" s="3">
        <f>MAX(0,P25-F25*'Сезонность'!$C$5*'Сезонность'!$B$5)</f>
        <v/>
      </c>
      <c r="S25" s="5">
        <f>D25*(P25+R25)/2*'Сезонность'!$B$5</f>
        <v/>
      </c>
      <c r="T25" s="3">
        <f>MAX(0,R25-F25*'Сезонность'!$C$6*'Сезонность'!$B$6)</f>
        <v/>
      </c>
      <c r="U25" s="5">
        <f>D25*(R25+T25)/2*'Сезонность'!$B$6</f>
        <v/>
      </c>
    </row>
    <row r="26">
      <c r="A26" s="2" t="n">
        <v>212889028</v>
      </c>
      <c r="B26" s="2" t="inlineStr">
        <is>
          <t>ENOUGH Collagen whitening cover tip concealer #03 [9g]/ Консилер для лица (новая карточка)</t>
        </is>
      </c>
      <c r="C26" s="3" t="n">
        <v>935</v>
      </c>
      <c r="D26" s="4">
        <f>VLOOKUP(A26,'Данные хранения'!$A$2:$B$205,2,0)</f>
        <v/>
      </c>
      <c r="E26" s="3">
        <f>VLOOKUP(A26,'Данные продаж'!$A$2:$B$490,2,0)</f>
        <v/>
      </c>
      <c r="F26" s="5">
        <f>E26/'Параметры'!$B$4</f>
        <v/>
      </c>
      <c r="G26" s="5">
        <f>D26*'Параметры'!$B$3*C26</f>
        <v/>
      </c>
      <c r="H26" s="5">
        <f>D26*'Параметры'!$B$2*C26</f>
        <v/>
      </c>
      <c r="I26" s="5">
        <f>D26*IF(F26=0,C26*'Параметры'!$B$2,IF(C26/F26&gt;='Параметры'!$B$2,C26*'Параметры'!$B$2-F26*'Параметры'!$B$2*('Параметры'!$B$2-1)/2,C26*C26/(2*F26)))</f>
        <v/>
      </c>
      <c r="J26" s="5">
        <f>M26+O26+Q26+S26+U26</f>
        <v/>
      </c>
      <c r="K26" s="3">
        <f>T26</f>
        <v/>
      </c>
      <c r="L26" s="3">
        <f>MAX(0,C26-F26*'Сезонность'!$C$2*'Сезонность'!$B$2)</f>
        <v/>
      </c>
      <c r="M26" s="5">
        <f>D26*(C26+L26)/2*'Сезонность'!$B$2</f>
        <v/>
      </c>
      <c r="N26" s="3">
        <f>MAX(0,L26-F26*'Сезонность'!$C$3*'Сезонность'!$B$3)</f>
        <v/>
      </c>
      <c r="O26" s="5">
        <f>D26*(L26+N26)/2*'Сезонность'!$B$3</f>
        <v/>
      </c>
      <c r="P26" s="3">
        <f>MAX(0,N26-F26*'Сезонность'!$C$4*'Сезонность'!$B$4)</f>
        <v/>
      </c>
      <c r="Q26" s="5">
        <f>D26*(N26+P26)/2*'Сезонность'!$B$4</f>
        <v/>
      </c>
      <c r="R26" s="3">
        <f>MAX(0,P26-F26*'Сезонность'!$C$5*'Сезонность'!$B$5)</f>
        <v/>
      </c>
      <c r="S26" s="5">
        <f>D26*(P26+R26)/2*'Сезонность'!$B$5</f>
        <v/>
      </c>
      <c r="T26" s="3">
        <f>MAX(0,R26-F26*'Сезонность'!$C$6*'Сезонность'!$B$6)</f>
        <v/>
      </c>
      <c r="U26" s="5">
        <f>D26*(R26+T26)/2*'Сезонность'!$B$6</f>
        <v/>
      </c>
    </row>
    <row r="27">
      <c r="A27" s="2" t="n">
        <v>238358954</v>
      </c>
      <c r="B27" s="2" t="inlineStr">
        <is>
          <t>ENOUGH - Collagen 3in1 Sun Cream SPF50 PA+++ [50ml] / отбеливающий увлажняющий солнцезащитный крем 3в1</t>
        </is>
      </c>
      <c r="C27" s="3" t="n">
        <v>373</v>
      </c>
      <c r="D27" s="4">
        <f>VLOOKUP(A27,'Данные хранения'!$A$2:$B$205,2,0)</f>
        <v/>
      </c>
      <c r="E27" s="3">
        <f>VLOOKUP(A27,'Данные продаж'!$A$2:$B$490,2,0)</f>
        <v/>
      </c>
      <c r="F27" s="5">
        <f>E27/'Параметры'!$B$4</f>
        <v/>
      </c>
      <c r="G27" s="5">
        <f>D27*'Параметры'!$B$3*C27</f>
        <v/>
      </c>
      <c r="H27" s="5">
        <f>D27*'Параметры'!$B$2*C27</f>
        <v/>
      </c>
      <c r="I27" s="5">
        <f>D27*IF(F27=0,C27*'Параметры'!$B$2,IF(C27/F27&gt;='Параметры'!$B$2,C27*'Параметры'!$B$2-F27*'Параметры'!$B$2*('Параметры'!$B$2-1)/2,C27*C27/(2*F27)))</f>
        <v/>
      </c>
      <c r="J27" s="5">
        <f>M27+O27+Q27+S27+U27</f>
        <v/>
      </c>
      <c r="K27" s="3">
        <f>T27</f>
        <v/>
      </c>
      <c r="L27" s="3">
        <f>MAX(0,C27-F27*'Сезонность'!$C$2*'Сезонность'!$B$2)</f>
        <v/>
      </c>
      <c r="M27" s="5">
        <f>D27*(C27+L27)/2*'Сезонность'!$B$2</f>
        <v/>
      </c>
      <c r="N27" s="3">
        <f>MAX(0,L27-F27*'Сезонность'!$C$3*'Сезонность'!$B$3)</f>
        <v/>
      </c>
      <c r="O27" s="5">
        <f>D27*(L27+N27)/2*'Сезонность'!$B$3</f>
        <v/>
      </c>
      <c r="P27" s="3">
        <f>MAX(0,N27-F27*'Сезонность'!$C$4*'Сезонность'!$B$4)</f>
        <v/>
      </c>
      <c r="Q27" s="5">
        <f>D27*(N27+P27)/2*'Сезонность'!$B$4</f>
        <v/>
      </c>
      <c r="R27" s="3">
        <f>MAX(0,P27-F27*'Сезонность'!$C$5*'Сезонность'!$B$5)</f>
        <v/>
      </c>
      <c r="S27" s="5">
        <f>D27*(P27+R27)/2*'Сезонность'!$B$5</f>
        <v/>
      </c>
      <c r="T27" s="3">
        <f>MAX(0,R27-F27*'Сезонность'!$C$6*'Сезонность'!$B$6)</f>
        <v/>
      </c>
      <c r="U27" s="5">
        <f>D27*(R27+T27)/2*'Сезонность'!$B$6</f>
        <v/>
      </c>
    </row>
    <row r="28">
      <c r="A28" s="2" t="n">
        <v>238413828</v>
      </c>
      <c r="B28" s="2" t="inlineStr">
        <is>
          <t>ENOUGH - Collagen Moisture BB Cream SPF47 PA+++ [50ml] / Увлажняющий BB крем с коллагеном</t>
        </is>
      </c>
      <c r="C28" s="3" t="n">
        <v>725</v>
      </c>
      <c r="D28" s="4">
        <f>VLOOKUP(A28,'Данные хранения'!$A$2:$B$205,2,0)</f>
        <v/>
      </c>
      <c r="E28" s="3">
        <f>VLOOKUP(A28,'Данные продаж'!$A$2:$B$490,2,0)</f>
        <v/>
      </c>
      <c r="F28" s="5">
        <f>E28/'Параметры'!$B$4</f>
        <v/>
      </c>
      <c r="G28" s="5">
        <f>D28*'Параметры'!$B$3*C28</f>
        <v/>
      </c>
      <c r="H28" s="5">
        <f>D28*'Параметры'!$B$2*C28</f>
        <v/>
      </c>
      <c r="I28" s="5">
        <f>D28*IF(F28=0,C28*'Параметры'!$B$2,IF(C28/F28&gt;='Параметры'!$B$2,C28*'Параметры'!$B$2-F28*'Параметры'!$B$2*('Параметры'!$B$2-1)/2,C28*C28/(2*F28)))</f>
        <v/>
      </c>
      <c r="J28" s="5">
        <f>M28+O28+Q28+S28+U28</f>
        <v/>
      </c>
      <c r="K28" s="3">
        <f>T28</f>
        <v/>
      </c>
      <c r="L28" s="3">
        <f>MAX(0,C28-F28*'Сезонность'!$C$2*'Сезонность'!$B$2)</f>
        <v/>
      </c>
      <c r="M28" s="5">
        <f>D28*(C28+L28)/2*'Сезонность'!$B$2</f>
        <v/>
      </c>
      <c r="N28" s="3">
        <f>MAX(0,L28-F28*'Сезонность'!$C$3*'Сезонность'!$B$3)</f>
        <v/>
      </c>
      <c r="O28" s="5">
        <f>D28*(L28+N28)/2*'Сезонность'!$B$3</f>
        <v/>
      </c>
      <c r="P28" s="3">
        <f>MAX(0,N28-F28*'Сезонность'!$C$4*'Сезонность'!$B$4)</f>
        <v/>
      </c>
      <c r="Q28" s="5">
        <f>D28*(N28+P28)/2*'Сезонность'!$B$4</f>
        <v/>
      </c>
      <c r="R28" s="3">
        <f>MAX(0,P28-F28*'Сезонность'!$C$5*'Сезонность'!$B$5)</f>
        <v/>
      </c>
      <c r="S28" s="5">
        <f>D28*(P28+R28)/2*'Сезонность'!$B$5</f>
        <v/>
      </c>
      <c r="T28" s="3">
        <f>MAX(0,R28-F28*'Сезонность'!$C$6*'Сезонность'!$B$6)</f>
        <v/>
      </c>
      <c r="U28" s="5">
        <f>D28*(R28+T28)/2*'Сезонность'!$B$6</f>
        <v/>
      </c>
    </row>
    <row r="29">
      <c r="A29" s="2" t="n">
        <v>154160085</v>
      </c>
      <c r="B29" s="2" t="inlineStr">
        <is>
          <t>ETUDE - Baking Powder Crunch Pore Scrub [24*7ml] / Очищающий скраб для лица с содой</t>
        </is>
      </c>
      <c r="C29" s="3" t="n">
        <v>264</v>
      </c>
      <c r="D29" s="4">
        <f>VLOOKUP(A29,'Данные хранения'!$A$2:$B$205,2,0)</f>
        <v/>
      </c>
      <c r="E29" s="3">
        <f>VLOOKUP(A29,'Данные продаж'!$A$2:$B$490,2,0)</f>
        <v/>
      </c>
      <c r="F29" s="5">
        <f>E29/'Параметры'!$B$4</f>
        <v/>
      </c>
      <c r="G29" s="5">
        <f>D29*'Параметры'!$B$3*C29</f>
        <v/>
      </c>
      <c r="H29" s="5">
        <f>D29*'Параметры'!$B$2*C29</f>
        <v/>
      </c>
      <c r="I29" s="5">
        <f>D29*IF(F29=0,C29*'Параметры'!$B$2,IF(C29/F29&gt;='Параметры'!$B$2,C29*'Параметры'!$B$2-F29*'Параметры'!$B$2*('Параметры'!$B$2-1)/2,C29*C29/(2*F29)))</f>
        <v/>
      </c>
      <c r="J29" s="5">
        <f>M29+O29+Q29+S29+U29</f>
        <v/>
      </c>
      <c r="K29" s="3">
        <f>T29</f>
        <v/>
      </c>
      <c r="L29" s="3">
        <f>MAX(0,C29-F29*'Сезонность'!$C$2*'Сезонность'!$B$2)</f>
        <v/>
      </c>
      <c r="M29" s="5">
        <f>D29*(C29+L29)/2*'Сезонность'!$B$2</f>
        <v/>
      </c>
      <c r="N29" s="3">
        <f>MAX(0,L29-F29*'Сезонность'!$C$3*'Сезонность'!$B$3)</f>
        <v/>
      </c>
      <c r="O29" s="5">
        <f>D29*(L29+N29)/2*'Сезонность'!$B$3</f>
        <v/>
      </c>
      <c r="P29" s="3">
        <f>MAX(0,N29-F29*'Сезонность'!$C$4*'Сезонность'!$B$4)</f>
        <v/>
      </c>
      <c r="Q29" s="5">
        <f>D29*(N29+P29)/2*'Сезонность'!$B$4</f>
        <v/>
      </c>
      <c r="R29" s="3">
        <f>MAX(0,P29-F29*'Сезонность'!$C$5*'Сезонность'!$B$5)</f>
        <v/>
      </c>
      <c r="S29" s="5">
        <f>D29*(P29+R29)/2*'Сезонность'!$B$5</f>
        <v/>
      </c>
      <c r="T29" s="3">
        <f>MAX(0,R29-F29*'Сезонность'!$C$6*'Сезонность'!$B$6)</f>
        <v/>
      </c>
      <c r="U29" s="5">
        <f>D29*(R29+T29)/2*'Сезонность'!$B$6</f>
        <v/>
      </c>
    </row>
    <row r="30">
      <c r="A30" s="2" t="n">
        <v>207476309</v>
      </c>
      <c r="B30" s="2" t="inlineStr">
        <is>
          <t>FARMSTAY - Argan Oil Complete Volume Up Shampoo &amp; Conditioner [530ml] / Шампунь-кондиционер с аргановым маслом</t>
        </is>
      </c>
      <c r="C30" s="3" t="n">
        <v>3268</v>
      </c>
      <c r="D30" s="4">
        <f>VLOOKUP(A30,'Данные хранения'!$A$2:$B$205,2,0)</f>
        <v/>
      </c>
      <c r="E30" s="3">
        <f>VLOOKUP(A30,'Данные продаж'!$A$2:$B$490,2,0)</f>
        <v/>
      </c>
      <c r="F30" s="5">
        <f>E30/'Параметры'!$B$4</f>
        <v/>
      </c>
      <c r="G30" s="5">
        <f>D30*'Параметры'!$B$3*C30</f>
        <v/>
      </c>
      <c r="H30" s="5">
        <f>D30*'Параметры'!$B$2*C30</f>
        <v/>
      </c>
      <c r="I30" s="5">
        <f>D30*IF(F30=0,C30*'Параметры'!$B$2,IF(C30/F30&gt;='Параметры'!$B$2,C30*'Параметры'!$B$2-F30*'Параметры'!$B$2*('Параметры'!$B$2-1)/2,C30*C30/(2*F30)))</f>
        <v/>
      </c>
      <c r="J30" s="5">
        <f>M30+O30+Q30+S30+U30</f>
        <v/>
      </c>
      <c r="K30" s="3">
        <f>T30</f>
        <v/>
      </c>
      <c r="L30" s="3">
        <f>MAX(0,C30-F30*'Сезонность'!$C$2*'Сезонность'!$B$2)</f>
        <v/>
      </c>
      <c r="M30" s="5">
        <f>D30*(C30+L30)/2*'Сезонность'!$B$2</f>
        <v/>
      </c>
      <c r="N30" s="3">
        <f>MAX(0,L30-F30*'Сезонность'!$C$3*'Сезонность'!$B$3)</f>
        <v/>
      </c>
      <c r="O30" s="5">
        <f>D30*(L30+N30)/2*'Сезонность'!$B$3</f>
        <v/>
      </c>
      <c r="P30" s="3">
        <f>MAX(0,N30-F30*'Сезонность'!$C$4*'Сезонность'!$B$4)</f>
        <v/>
      </c>
      <c r="Q30" s="5">
        <f>D30*(N30+P30)/2*'Сезонность'!$B$4</f>
        <v/>
      </c>
      <c r="R30" s="3">
        <f>MAX(0,P30-F30*'Сезонность'!$C$5*'Сезонность'!$B$5)</f>
        <v/>
      </c>
      <c r="S30" s="5">
        <f>D30*(P30+R30)/2*'Сезонность'!$B$5</f>
        <v/>
      </c>
      <c r="T30" s="3">
        <f>MAX(0,R30-F30*'Сезонность'!$C$6*'Сезонность'!$B$6)</f>
        <v/>
      </c>
      <c r="U30" s="5">
        <f>D30*(R30+T30)/2*'Сезонность'!$B$6</f>
        <v/>
      </c>
    </row>
    <row r="31">
      <c r="A31" s="2" t="n">
        <v>207475898</v>
      </c>
      <c r="B31" s="2" t="inlineStr">
        <is>
          <t>FARMSTAY - Collagen Water Full Shampoo &amp; Conditioner [530ml] / Шампунь-кондиционер 2в1 с коллагеном</t>
        </is>
      </c>
      <c r="C31" s="3" t="n">
        <v>4181</v>
      </c>
      <c r="D31" s="4">
        <f>VLOOKUP(A31,'Данные хранения'!$A$2:$B$205,2,0)</f>
        <v/>
      </c>
      <c r="E31" s="3">
        <f>VLOOKUP(A31,'Данные продаж'!$A$2:$B$490,2,0)</f>
        <v/>
      </c>
      <c r="F31" s="5">
        <f>E31/'Параметры'!$B$4</f>
        <v/>
      </c>
      <c r="G31" s="5">
        <f>D31*'Параметры'!$B$3*C31</f>
        <v/>
      </c>
      <c r="H31" s="5">
        <f>D31*'Параметры'!$B$2*C31</f>
        <v/>
      </c>
      <c r="I31" s="5">
        <f>D31*IF(F31=0,C31*'Параметры'!$B$2,IF(C31/F31&gt;='Параметры'!$B$2,C31*'Параметры'!$B$2-F31*'Параметры'!$B$2*('Параметры'!$B$2-1)/2,C31*C31/(2*F31)))</f>
        <v/>
      </c>
      <c r="J31" s="5">
        <f>M31+O31+Q31+S31+U31</f>
        <v/>
      </c>
      <c r="K31" s="3">
        <f>T31</f>
        <v/>
      </c>
      <c r="L31" s="3">
        <f>MAX(0,C31-F31*'Сезонность'!$C$2*'Сезонность'!$B$2)</f>
        <v/>
      </c>
      <c r="M31" s="5">
        <f>D31*(C31+L31)/2*'Сезонность'!$B$2</f>
        <v/>
      </c>
      <c r="N31" s="3">
        <f>MAX(0,L31-F31*'Сезонность'!$C$3*'Сезонность'!$B$3)</f>
        <v/>
      </c>
      <c r="O31" s="5">
        <f>D31*(L31+N31)/2*'Сезонность'!$B$3</f>
        <v/>
      </c>
      <c r="P31" s="3">
        <f>MAX(0,N31-F31*'Сезонность'!$C$4*'Сезонность'!$B$4)</f>
        <v/>
      </c>
      <c r="Q31" s="5">
        <f>D31*(N31+P31)/2*'Сезонность'!$B$4</f>
        <v/>
      </c>
      <c r="R31" s="3">
        <f>MAX(0,P31-F31*'Сезонность'!$C$5*'Сезонность'!$B$5)</f>
        <v/>
      </c>
      <c r="S31" s="5">
        <f>D31*(P31+R31)/2*'Сезонность'!$B$5</f>
        <v/>
      </c>
      <c r="T31" s="3">
        <f>MAX(0,R31-F31*'Сезонность'!$C$6*'Сезонность'!$B$6)</f>
        <v/>
      </c>
      <c r="U31" s="5">
        <f>D31*(R31+T31)/2*'Сезонность'!$B$6</f>
        <v/>
      </c>
    </row>
    <row r="32">
      <c r="A32" s="2" t="n">
        <v>207477077</v>
      </c>
      <c r="B32" s="2" t="inlineStr">
        <is>
          <t>FARMSTAY - Collagen Water Full Moist Cream [100g] / Увлажняющий крем с коллагеном</t>
        </is>
      </c>
      <c r="C32" s="3" t="n">
        <v>595</v>
      </c>
      <c r="D32" s="4">
        <f>VLOOKUP(A32,'Данные хранения'!$A$2:$B$205,2,0)</f>
        <v/>
      </c>
      <c r="E32" s="3">
        <f>VLOOKUP(A32,'Данные продаж'!$A$2:$B$490,2,0)</f>
        <v/>
      </c>
      <c r="F32" s="5">
        <f>E32/'Параметры'!$B$4</f>
        <v/>
      </c>
      <c r="G32" s="5">
        <f>D32*'Параметры'!$B$3*C32</f>
        <v/>
      </c>
      <c r="H32" s="5">
        <f>D32*'Параметры'!$B$2*C32</f>
        <v/>
      </c>
      <c r="I32" s="5">
        <f>D32*IF(F32=0,C32*'Параметры'!$B$2,IF(C32/F32&gt;='Параметры'!$B$2,C32*'Параметры'!$B$2-F32*'Параметры'!$B$2*('Параметры'!$B$2-1)/2,C32*C32/(2*F32)))</f>
        <v/>
      </c>
      <c r="J32" s="5">
        <f>M32+O32+Q32+S32+U32</f>
        <v/>
      </c>
      <c r="K32" s="3">
        <f>T32</f>
        <v/>
      </c>
      <c r="L32" s="3">
        <f>MAX(0,C32-F32*'Сезонность'!$C$2*'Сезонность'!$B$2)</f>
        <v/>
      </c>
      <c r="M32" s="5">
        <f>D32*(C32+L32)/2*'Сезонность'!$B$2</f>
        <v/>
      </c>
      <c r="N32" s="3">
        <f>MAX(0,L32-F32*'Сезонность'!$C$3*'Сезонность'!$B$3)</f>
        <v/>
      </c>
      <c r="O32" s="5">
        <f>D32*(L32+N32)/2*'Сезонность'!$B$3</f>
        <v/>
      </c>
      <c r="P32" s="3">
        <f>MAX(0,N32-F32*'Сезонность'!$C$4*'Сезонность'!$B$4)</f>
        <v/>
      </c>
      <c r="Q32" s="5">
        <f>D32*(N32+P32)/2*'Сезонность'!$B$4</f>
        <v/>
      </c>
      <c r="R32" s="3">
        <f>MAX(0,P32-F32*'Сезонность'!$C$5*'Сезонность'!$B$5)</f>
        <v/>
      </c>
      <c r="S32" s="5">
        <f>D32*(P32+R32)/2*'Сезонность'!$B$5</f>
        <v/>
      </c>
      <c r="T32" s="3">
        <f>MAX(0,R32-F32*'Сезонность'!$C$6*'Сезонность'!$B$6)</f>
        <v/>
      </c>
      <c r="U32" s="5">
        <f>D32*(R32+T32)/2*'Сезонность'!$B$6</f>
        <v/>
      </c>
    </row>
    <row r="33">
      <c r="A33" s="2" t="n">
        <v>207476777</v>
      </c>
      <c r="B33" s="2" t="inlineStr">
        <is>
          <t>FARMSTAY - Collagen Pure Cleansing Foam [180ml]/Пенка для умывания</t>
        </is>
      </c>
      <c r="C33" s="3" t="n">
        <v>515</v>
      </c>
      <c r="D33" s="4">
        <f>VLOOKUP(A33,'Данные хранения'!$A$2:$B$205,2,0)</f>
        <v/>
      </c>
      <c r="E33" s="3">
        <f>VLOOKUP(A33,'Данные продаж'!$A$2:$B$490,2,0)</f>
        <v/>
      </c>
      <c r="F33" s="5">
        <f>E33/'Параметры'!$B$4</f>
        <v/>
      </c>
      <c r="G33" s="5">
        <f>D33*'Параметры'!$B$3*C33</f>
        <v/>
      </c>
      <c r="H33" s="5">
        <f>D33*'Параметры'!$B$2*C33</f>
        <v/>
      </c>
      <c r="I33" s="5">
        <f>D33*IF(F33=0,C33*'Параметры'!$B$2,IF(C33/F33&gt;='Параметры'!$B$2,C33*'Параметры'!$B$2-F33*'Параметры'!$B$2*('Параметры'!$B$2-1)/2,C33*C33/(2*F33)))</f>
        <v/>
      </c>
      <c r="J33" s="5">
        <f>M33+O33+Q33+S33+U33</f>
        <v/>
      </c>
      <c r="K33" s="3">
        <f>T33</f>
        <v/>
      </c>
      <c r="L33" s="3">
        <f>MAX(0,C33-F33*'Сезонность'!$C$2*'Сезонность'!$B$2)</f>
        <v/>
      </c>
      <c r="M33" s="5">
        <f>D33*(C33+L33)/2*'Сезонность'!$B$2</f>
        <v/>
      </c>
      <c r="N33" s="3">
        <f>MAX(0,L33-F33*'Сезонность'!$C$3*'Сезонность'!$B$3)</f>
        <v/>
      </c>
      <c r="O33" s="5">
        <f>D33*(L33+N33)/2*'Сезонность'!$B$3</f>
        <v/>
      </c>
      <c r="P33" s="3">
        <f>MAX(0,N33-F33*'Сезонность'!$C$4*'Сезонность'!$B$4)</f>
        <v/>
      </c>
      <c r="Q33" s="5">
        <f>D33*(N33+P33)/2*'Сезонность'!$B$4</f>
        <v/>
      </c>
      <c r="R33" s="3">
        <f>MAX(0,P33-F33*'Сезонность'!$C$5*'Сезонность'!$B$5)</f>
        <v/>
      </c>
      <c r="S33" s="5">
        <f>D33*(P33+R33)/2*'Сезонность'!$B$5</f>
        <v/>
      </c>
      <c r="T33" s="3">
        <f>MAX(0,R33-F33*'Сезонность'!$C$6*'Сезонность'!$B$6)</f>
        <v/>
      </c>
      <c r="U33" s="5">
        <f>D33*(R33+T33)/2*'Сезонность'!$B$6</f>
        <v/>
      </c>
    </row>
    <row r="34">
      <c r="A34" s="2" t="n">
        <v>206126372</v>
      </c>
      <c r="B34" s="2" t="inlineStr">
        <is>
          <t>I'm Sorry For My Skin - Age Capture Vitalizer Cream / Увлажняющий капсульный крем</t>
        </is>
      </c>
      <c r="C34" s="3" t="n">
        <v>109</v>
      </c>
      <c r="D34" s="4">
        <f>VLOOKUP(A34,'Данные хранения'!$A$2:$B$205,2,0)</f>
        <v/>
      </c>
      <c r="E34" s="3">
        <f>VLOOKUP(A34,'Данные продаж'!$A$2:$B$490,2,0)</f>
        <v/>
      </c>
      <c r="F34" s="5">
        <f>E34/'Параметры'!$B$4</f>
        <v/>
      </c>
      <c r="G34" s="5">
        <f>D34*'Параметры'!$B$3*C34</f>
        <v/>
      </c>
      <c r="H34" s="5">
        <f>D34*'Параметры'!$B$2*C34</f>
        <v/>
      </c>
      <c r="I34" s="5">
        <f>D34*IF(F34=0,C34*'Параметры'!$B$2,IF(C34/F34&gt;='Параметры'!$B$2,C34*'Параметры'!$B$2-F34*'Параметры'!$B$2*('Параметры'!$B$2-1)/2,C34*C34/(2*F34)))</f>
        <v/>
      </c>
      <c r="J34" s="5">
        <f>M34+O34+Q34+S34+U34</f>
        <v/>
      </c>
      <c r="K34" s="3">
        <f>T34</f>
        <v/>
      </c>
      <c r="L34" s="3">
        <f>MAX(0,C34-F34*'Сезонность'!$C$2*'Сезонность'!$B$2)</f>
        <v/>
      </c>
      <c r="M34" s="5">
        <f>D34*(C34+L34)/2*'Сезонность'!$B$2</f>
        <v/>
      </c>
      <c r="N34" s="3">
        <f>MAX(0,L34-F34*'Сезонность'!$C$3*'Сезонность'!$B$3)</f>
        <v/>
      </c>
      <c r="O34" s="5">
        <f>D34*(L34+N34)/2*'Сезонность'!$B$3</f>
        <v/>
      </c>
      <c r="P34" s="3">
        <f>MAX(0,N34-F34*'Сезонность'!$C$4*'Сезонность'!$B$4)</f>
        <v/>
      </c>
      <c r="Q34" s="5">
        <f>D34*(N34+P34)/2*'Сезонность'!$B$4</f>
        <v/>
      </c>
      <c r="R34" s="3">
        <f>MAX(0,P34-F34*'Сезонность'!$C$5*'Сезонность'!$B$5)</f>
        <v/>
      </c>
      <c r="S34" s="5">
        <f>D34*(P34+R34)/2*'Сезонность'!$B$5</f>
        <v/>
      </c>
      <c r="T34" s="3">
        <f>MAX(0,R34-F34*'Сезонность'!$C$6*'Сезонность'!$B$6)</f>
        <v/>
      </c>
      <c r="U34" s="5">
        <f>D34*(R34+T34)/2*'Сезонность'!$B$6</f>
        <v/>
      </c>
    </row>
    <row r="35">
      <c r="A35" s="2" t="n">
        <v>207818000</v>
      </c>
      <c r="B35" s="2" t="inlineStr">
        <is>
          <t>ISNTREE - Chestnut AHA 8% Clear Essence Sample [20ml] / Увлажняющая эссенция для глубокого очищения лица</t>
        </is>
      </c>
      <c r="C35" s="3" t="n">
        <v>43</v>
      </c>
      <c r="D35" s="4">
        <f>VLOOKUP(A35,'Данные хранения'!$A$2:$B$205,2,0)</f>
        <v/>
      </c>
      <c r="E35" s="3">
        <f>VLOOKUP(A35,'Данные продаж'!$A$2:$B$490,2,0)</f>
        <v/>
      </c>
      <c r="F35" s="5">
        <f>E35/'Параметры'!$B$4</f>
        <v/>
      </c>
      <c r="G35" s="5">
        <f>D35*'Параметры'!$B$3*C35</f>
        <v/>
      </c>
      <c r="H35" s="5">
        <f>D35*'Параметры'!$B$2*C35</f>
        <v/>
      </c>
      <c r="I35" s="5">
        <f>D35*IF(F35=0,C35*'Параметры'!$B$2,IF(C35/F35&gt;='Параметры'!$B$2,C35*'Параметры'!$B$2-F35*'Параметры'!$B$2*('Параметры'!$B$2-1)/2,C35*C35/(2*F35)))</f>
        <v/>
      </c>
      <c r="J35" s="5">
        <f>M35+O35+Q35+S35+U35</f>
        <v/>
      </c>
      <c r="K35" s="3">
        <f>T35</f>
        <v/>
      </c>
      <c r="L35" s="3">
        <f>MAX(0,C35-F35*'Сезонность'!$C$2*'Сезонность'!$B$2)</f>
        <v/>
      </c>
      <c r="M35" s="5">
        <f>D35*(C35+L35)/2*'Сезонность'!$B$2</f>
        <v/>
      </c>
      <c r="N35" s="3">
        <f>MAX(0,L35-F35*'Сезонность'!$C$3*'Сезонность'!$B$3)</f>
        <v/>
      </c>
      <c r="O35" s="5">
        <f>D35*(L35+N35)/2*'Сезонность'!$B$3</f>
        <v/>
      </c>
      <c r="P35" s="3">
        <f>MAX(0,N35-F35*'Сезонность'!$C$4*'Сезонность'!$B$4)</f>
        <v/>
      </c>
      <c r="Q35" s="5">
        <f>D35*(N35+P35)/2*'Сезонность'!$B$4</f>
        <v/>
      </c>
      <c r="R35" s="3">
        <f>MAX(0,P35-F35*'Сезонность'!$C$5*'Сезонность'!$B$5)</f>
        <v/>
      </c>
      <c r="S35" s="5">
        <f>D35*(P35+R35)/2*'Сезонность'!$B$5</f>
        <v/>
      </c>
      <c r="T35" s="3">
        <f>MAX(0,R35-F35*'Сезонность'!$C$6*'Сезонность'!$B$6)</f>
        <v/>
      </c>
      <c r="U35" s="5">
        <f>D35*(R35+T35)/2*'Сезонность'!$B$6</f>
        <v/>
      </c>
    </row>
    <row r="36">
      <c r="A36" s="2" t="n">
        <v>212753217</v>
      </c>
      <c r="B36" s="2" t="inlineStr">
        <is>
          <t>JIGOTT - Collagen Healing Cream [100ml] / Крем для лица с коллагеном</t>
        </is>
      </c>
      <c r="C36" s="3" t="n">
        <v>128</v>
      </c>
      <c r="D36" s="4">
        <f>VLOOKUP(A36,'Данные хранения'!$A$2:$B$205,2,0)</f>
        <v/>
      </c>
      <c r="E36" s="3">
        <f>VLOOKUP(A36,'Данные продаж'!$A$2:$B$490,2,0)</f>
        <v/>
      </c>
      <c r="F36" s="5">
        <f>E36/'Параметры'!$B$4</f>
        <v/>
      </c>
      <c r="G36" s="5">
        <f>D36*'Параметры'!$B$3*C36</f>
        <v/>
      </c>
      <c r="H36" s="5">
        <f>D36*'Параметры'!$B$2*C36</f>
        <v/>
      </c>
      <c r="I36" s="5">
        <f>D36*IF(F36=0,C36*'Параметры'!$B$2,IF(C36/F36&gt;='Параметры'!$B$2,C36*'Параметры'!$B$2-F36*'Параметры'!$B$2*('Параметры'!$B$2-1)/2,C36*C36/(2*F36)))</f>
        <v/>
      </c>
      <c r="J36" s="5">
        <f>M36+O36+Q36+S36+U36</f>
        <v/>
      </c>
      <c r="K36" s="3">
        <f>T36</f>
        <v/>
      </c>
      <c r="L36" s="3">
        <f>MAX(0,C36-F36*'Сезонность'!$C$2*'Сезонность'!$B$2)</f>
        <v/>
      </c>
      <c r="M36" s="5">
        <f>D36*(C36+L36)/2*'Сезонность'!$B$2</f>
        <v/>
      </c>
      <c r="N36" s="3">
        <f>MAX(0,L36-F36*'Сезонность'!$C$3*'Сезонность'!$B$3)</f>
        <v/>
      </c>
      <c r="O36" s="5">
        <f>D36*(L36+N36)/2*'Сезонность'!$B$3</f>
        <v/>
      </c>
      <c r="P36" s="3">
        <f>MAX(0,N36-F36*'Сезонность'!$C$4*'Сезонность'!$B$4)</f>
        <v/>
      </c>
      <c r="Q36" s="5">
        <f>D36*(N36+P36)/2*'Сезонность'!$B$4</f>
        <v/>
      </c>
      <c r="R36" s="3">
        <f>MAX(0,P36-F36*'Сезонность'!$C$5*'Сезонность'!$B$5)</f>
        <v/>
      </c>
      <c r="S36" s="5">
        <f>D36*(P36+R36)/2*'Сезонность'!$B$5</f>
        <v/>
      </c>
      <c r="T36" s="3">
        <f>MAX(0,R36-F36*'Сезонность'!$C$6*'Сезонность'!$B$6)</f>
        <v/>
      </c>
      <c r="U36" s="5">
        <f>D36*(R36+T36)/2*'Сезонность'!$B$6</f>
        <v/>
      </c>
    </row>
    <row r="37">
      <c r="A37" s="2" t="n">
        <v>255574453</v>
      </c>
      <c r="B37" s="2" t="inlineStr">
        <is>
          <t>JIGOTT - Ассорти набор масок [27ml х 15]</t>
        </is>
      </c>
      <c r="C37" s="3" t="n">
        <v>1383</v>
      </c>
      <c r="D37" s="4">
        <f>VLOOKUP(A37,'Данные хранения'!$A$2:$B$205,2,0)</f>
        <v/>
      </c>
      <c r="E37" s="3">
        <f>VLOOKUP(A37,'Данные продаж'!$A$2:$B$490,2,0)</f>
        <v/>
      </c>
      <c r="F37" s="5">
        <f>E37/'Параметры'!$B$4</f>
        <v/>
      </c>
      <c r="G37" s="5">
        <f>D37*'Параметры'!$B$3*C37</f>
        <v/>
      </c>
      <c r="H37" s="5">
        <f>D37*'Параметры'!$B$2*C37</f>
        <v/>
      </c>
      <c r="I37" s="5">
        <f>D37*IF(F37=0,C37*'Параметры'!$B$2,IF(C37/F37&gt;='Параметры'!$B$2,C37*'Параметры'!$B$2-F37*'Параметры'!$B$2*('Параметры'!$B$2-1)/2,C37*C37/(2*F37)))</f>
        <v/>
      </c>
      <c r="J37" s="5">
        <f>M37+O37+Q37+S37+U37</f>
        <v/>
      </c>
      <c r="K37" s="3">
        <f>T37</f>
        <v/>
      </c>
      <c r="L37" s="3">
        <f>MAX(0,C37-F37*'Сезонность'!$C$2*'Сезонность'!$B$2)</f>
        <v/>
      </c>
      <c r="M37" s="5">
        <f>D37*(C37+L37)/2*'Сезонность'!$B$2</f>
        <v/>
      </c>
      <c r="N37" s="3">
        <f>MAX(0,L37-F37*'Сезонность'!$C$3*'Сезонность'!$B$3)</f>
        <v/>
      </c>
      <c r="O37" s="5">
        <f>D37*(L37+N37)/2*'Сезонность'!$B$3</f>
        <v/>
      </c>
      <c r="P37" s="3">
        <f>MAX(0,N37-F37*'Сезонность'!$C$4*'Сезонность'!$B$4)</f>
        <v/>
      </c>
      <c r="Q37" s="5">
        <f>D37*(N37+P37)/2*'Сезонность'!$B$4</f>
        <v/>
      </c>
      <c r="R37" s="3">
        <f>MAX(0,P37-F37*'Сезонность'!$C$5*'Сезонность'!$B$5)</f>
        <v/>
      </c>
      <c r="S37" s="5">
        <f>D37*(P37+R37)/2*'Сезонность'!$B$5</f>
        <v/>
      </c>
      <c r="T37" s="3">
        <f>MAX(0,R37-F37*'Сезонность'!$C$6*'Сезонность'!$B$6)</f>
        <v/>
      </c>
      <c r="U37" s="5">
        <f>D37*(R37+T37)/2*'Сезонность'!$B$6</f>
        <v/>
      </c>
    </row>
    <row r="38">
      <c r="A38" s="2" t="n">
        <v>214977901</v>
      </c>
      <c r="B38" s="2" t="inlineStr">
        <is>
          <t>JMSOLUTION - MASK PACK BLACK [30ml*10ea] - ассорти набор 10шт в упаковке</t>
        </is>
      </c>
      <c r="C38" s="3" t="n">
        <v>1042</v>
      </c>
      <c r="D38" s="4">
        <f>VLOOKUP(A38,'Данные хранения'!$A$2:$B$205,2,0)</f>
        <v/>
      </c>
      <c r="E38" s="3">
        <f>VLOOKUP(A38,'Данные продаж'!$A$2:$B$490,2,0)</f>
        <v/>
      </c>
      <c r="F38" s="5">
        <f>E38/'Параметры'!$B$4</f>
        <v/>
      </c>
      <c r="G38" s="5">
        <f>D38*'Параметры'!$B$3*C38</f>
        <v/>
      </c>
      <c r="H38" s="5">
        <f>D38*'Параметры'!$B$2*C38</f>
        <v/>
      </c>
      <c r="I38" s="5">
        <f>D38*IF(F38=0,C38*'Параметры'!$B$2,IF(C38/F38&gt;='Параметры'!$B$2,C38*'Параметры'!$B$2-F38*'Параметры'!$B$2*('Параметры'!$B$2-1)/2,C38*C38/(2*F38)))</f>
        <v/>
      </c>
      <c r="J38" s="5">
        <f>M38+O38+Q38+S38+U38</f>
        <v/>
      </c>
      <c r="K38" s="3">
        <f>T38</f>
        <v/>
      </c>
      <c r="L38" s="3">
        <f>MAX(0,C38-F38*'Сезонность'!$C$2*'Сезонность'!$B$2)</f>
        <v/>
      </c>
      <c r="M38" s="5">
        <f>D38*(C38+L38)/2*'Сезонность'!$B$2</f>
        <v/>
      </c>
      <c r="N38" s="3">
        <f>MAX(0,L38-F38*'Сезонность'!$C$3*'Сезонность'!$B$3)</f>
        <v/>
      </c>
      <c r="O38" s="5">
        <f>D38*(L38+N38)/2*'Сезонность'!$B$3</f>
        <v/>
      </c>
      <c r="P38" s="3">
        <f>MAX(0,N38-F38*'Сезонность'!$C$4*'Сезонность'!$B$4)</f>
        <v/>
      </c>
      <c r="Q38" s="5">
        <f>D38*(N38+P38)/2*'Сезонность'!$B$4</f>
        <v/>
      </c>
      <c r="R38" s="3">
        <f>MAX(0,P38-F38*'Сезонность'!$C$5*'Сезонность'!$B$5)</f>
        <v/>
      </c>
      <c r="S38" s="5">
        <f>D38*(P38+R38)/2*'Сезонность'!$B$5</f>
        <v/>
      </c>
      <c r="T38" s="3">
        <f>MAX(0,R38-F38*'Сезонность'!$C$6*'Сезонность'!$B$6)</f>
        <v/>
      </c>
      <c r="U38" s="5">
        <f>D38*(R38+T38)/2*'Сезонность'!$B$6</f>
        <v/>
      </c>
    </row>
    <row r="39">
      <c r="A39" s="2" t="n">
        <v>214964091</v>
      </c>
      <c r="B39" s="2" t="inlineStr">
        <is>
          <t>JMSOLUTION - MASK PACK DISNEY [30ml*10ea] - ассорти набор из 10шт</t>
        </is>
      </c>
      <c r="C39" s="3" t="n">
        <v>835</v>
      </c>
      <c r="D39" s="4">
        <f>VLOOKUP(A39,'Данные хранения'!$A$2:$B$205,2,0)</f>
        <v/>
      </c>
      <c r="E39" s="3">
        <f>VLOOKUP(A39,'Данные продаж'!$A$2:$B$490,2,0)</f>
        <v/>
      </c>
      <c r="F39" s="5">
        <f>E39/'Параметры'!$B$4</f>
        <v/>
      </c>
      <c r="G39" s="5">
        <f>D39*'Параметры'!$B$3*C39</f>
        <v/>
      </c>
      <c r="H39" s="5">
        <f>D39*'Параметры'!$B$2*C39</f>
        <v/>
      </c>
      <c r="I39" s="5">
        <f>D39*IF(F39=0,C39*'Параметры'!$B$2,IF(C39/F39&gt;='Параметры'!$B$2,C39*'Параметры'!$B$2-F39*'Параметры'!$B$2*('Параметры'!$B$2-1)/2,C39*C39/(2*F39)))</f>
        <v/>
      </c>
      <c r="J39" s="5">
        <f>M39+O39+Q39+S39+U39</f>
        <v/>
      </c>
      <c r="K39" s="3">
        <f>T39</f>
        <v/>
      </c>
      <c r="L39" s="3">
        <f>MAX(0,C39-F39*'Сезонность'!$C$2*'Сезонность'!$B$2)</f>
        <v/>
      </c>
      <c r="M39" s="5">
        <f>D39*(C39+L39)/2*'Сезонность'!$B$2</f>
        <v/>
      </c>
      <c r="N39" s="3">
        <f>MAX(0,L39-F39*'Сезонность'!$C$3*'Сезонность'!$B$3)</f>
        <v/>
      </c>
      <c r="O39" s="5">
        <f>D39*(L39+N39)/2*'Сезонность'!$B$3</f>
        <v/>
      </c>
      <c r="P39" s="3">
        <f>MAX(0,N39-F39*'Сезонность'!$C$4*'Сезонность'!$B$4)</f>
        <v/>
      </c>
      <c r="Q39" s="5">
        <f>D39*(N39+P39)/2*'Сезонность'!$B$4</f>
        <v/>
      </c>
      <c r="R39" s="3">
        <f>MAX(0,P39-F39*'Сезонность'!$C$5*'Сезонность'!$B$5)</f>
        <v/>
      </c>
      <c r="S39" s="5">
        <f>D39*(P39+R39)/2*'Сезонность'!$B$5</f>
        <v/>
      </c>
      <c r="T39" s="3">
        <f>MAX(0,R39-F39*'Сезонность'!$C$6*'Сезонность'!$B$6)</f>
        <v/>
      </c>
      <c r="U39" s="5">
        <f>D39*(R39+T39)/2*'Сезонность'!$B$6</f>
        <v/>
      </c>
    </row>
    <row r="40">
      <c r="A40" s="2" t="n">
        <v>210575566</v>
      </c>
      <c r="B40" s="2" t="inlineStr">
        <is>
          <t>LEBELAGE - Dr. Peptide Derma Eye Cream [40ml] / Крем для глаз антивозрастной с пептидами</t>
        </is>
      </c>
      <c r="C40" s="3" t="n">
        <v>420</v>
      </c>
      <c r="D40" s="4">
        <f>VLOOKUP(A40,'Данные хранения'!$A$2:$B$205,2,0)</f>
        <v/>
      </c>
      <c r="E40" s="3">
        <f>VLOOKUP(A40,'Данные продаж'!$A$2:$B$490,2,0)</f>
        <v/>
      </c>
      <c r="F40" s="5">
        <f>E40/'Параметры'!$B$4</f>
        <v/>
      </c>
      <c r="G40" s="5">
        <f>D40*'Параметры'!$B$3*C40</f>
        <v/>
      </c>
      <c r="H40" s="5">
        <f>D40*'Параметры'!$B$2*C40</f>
        <v/>
      </c>
      <c r="I40" s="5">
        <f>D40*IF(F40=0,C40*'Параметры'!$B$2,IF(C40/F40&gt;='Параметры'!$B$2,C40*'Параметры'!$B$2-F40*'Параметры'!$B$2*('Параметры'!$B$2-1)/2,C40*C40/(2*F40)))</f>
        <v/>
      </c>
      <c r="J40" s="5">
        <f>M40+O40+Q40+S40+U40</f>
        <v/>
      </c>
      <c r="K40" s="3">
        <f>T40</f>
        <v/>
      </c>
      <c r="L40" s="3">
        <f>MAX(0,C40-F40*'Сезонность'!$C$2*'Сезонность'!$B$2)</f>
        <v/>
      </c>
      <c r="M40" s="5">
        <f>D40*(C40+L40)/2*'Сезонность'!$B$2</f>
        <v/>
      </c>
      <c r="N40" s="3">
        <f>MAX(0,L40-F40*'Сезонность'!$C$3*'Сезонность'!$B$3)</f>
        <v/>
      </c>
      <c r="O40" s="5">
        <f>D40*(L40+N40)/2*'Сезонность'!$B$3</f>
        <v/>
      </c>
      <c r="P40" s="3">
        <f>MAX(0,N40-F40*'Сезонность'!$C$4*'Сезонность'!$B$4)</f>
        <v/>
      </c>
      <c r="Q40" s="5">
        <f>D40*(N40+P40)/2*'Сезонность'!$B$4</f>
        <v/>
      </c>
      <c r="R40" s="3">
        <f>MAX(0,P40-F40*'Сезонность'!$C$5*'Сезонность'!$B$5)</f>
        <v/>
      </c>
      <c r="S40" s="5">
        <f>D40*(P40+R40)/2*'Сезонность'!$B$5</f>
        <v/>
      </c>
      <c r="T40" s="3">
        <f>MAX(0,R40-F40*'Сезонность'!$C$6*'Сезонность'!$B$6)</f>
        <v/>
      </c>
      <c r="U40" s="5">
        <f>D40*(R40+T40)/2*'Сезонность'!$B$6</f>
        <v/>
      </c>
    </row>
    <row r="41">
      <c r="A41" s="2" t="n">
        <v>868761530</v>
      </c>
      <c r="B41" s="2" t="inlineStr">
        <is>
          <t>LANEIGE LIP SLEEPING MASK-BERRY [3g]</t>
        </is>
      </c>
      <c r="C41" s="3" t="n">
        <v>634</v>
      </c>
      <c r="D41" s="4">
        <f>VLOOKUP(A41,'Данные хранения'!$A$2:$B$205,2,0)</f>
        <v/>
      </c>
      <c r="E41" s="3">
        <f>VLOOKUP(A41,'Данные продаж'!$A$2:$B$490,2,0)</f>
        <v/>
      </c>
      <c r="F41" s="5">
        <f>E41/'Параметры'!$B$4</f>
        <v/>
      </c>
      <c r="G41" s="5">
        <f>D41*'Параметры'!$B$3*C41</f>
        <v/>
      </c>
      <c r="H41" s="5">
        <f>D41*'Параметры'!$B$2*C41</f>
        <v/>
      </c>
      <c r="I41" s="5">
        <f>D41*IF(F41=0,C41*'Параметры'!$B$2,IF(C41/F41&gt;='Параметры'!$B$2,C41*'Параметры'!$B$2-F41*'Параметры'!$B$2*('Параметры'!$B$2-1)/2,C41*C41/(2*F41)))</f>
        <v/>
      </c>
      <c r="J41" s="5">
        <f>M41+O41+Q41+S41+U41</f>
        <v/>
      </c>
      <c r="K41" s="3">
        <f>T41</f>
        <v/>
      </c>
      <c r="L41" s="3">
        <f>MAX(0,C41-F41*'Сезонность'!$C$2*'Сезонность'!$B$2)</f>
        <v/>
      </c>
      <c r="M41" s="5">
        <f>D41*(C41+L41)/2*'Сезонность'!$B$2</f>
        <v/>
      </c>
      <c r="N41" s="3">
        <f>MAX(0,L41-F41*'Сезонность'!$C$3*'Сезонность'!$B$3)</f>
        <v/>
      </c>
      <c r="O41" s="5">
        <f>D41*(L41+N41)/2*'Сезонность'!$B$3</f>
        <v/>
      </c>
      <c r="P41" s="3">
        <f>MAX(0,N41-F41*'Сезонность'!$C$4*'Сезонность'!$B$4)</f>
        <v/>
      </c>
      <c r="Q41" s="5">
        <f>D41*(N41+P41)/2*'Сезонность'!$B$4</f>
        <v/>
      </c>
      <c r="R41" s="3">
        <f>MAX(0,P41-F41*'Сезонность'!$C$5*'Сезонность'!$B$5)</f>
        <v/>
      </c>
      <c r="S41" s="5">
        <f>D41*(P41+R41)/2*'Сезонность'!$B$5</f>
        <v/>
      </c>
      <c r="T41" s="3">
        <f>MAX(0,R41-F41*'Сезонность'!$C$6*'Сезонность'!$B$6)</f>
        <v/>
      </c>
      <c r="U41" s="5">
        <f>D41*(R41+T41)/2*'Сезонность'!$B$6</f>
        <v/>
      </c>
    </row>
    <row r="42">
      <c r="A42" s="2" t="n">
        <v>183030830</v>
      </c>
      <c r="B42" s="2" t="inlineStr">
        <is>
          <t>MASIL - 8 Seconds Salon Hair Mask 350ml Set [350ml+8ml*2]</t>
        </is>
      </c>
      <c r="C42" s="3" t="n">
        <v>119</v>
      </c>
      <c r="D42" s="4">
        <f>VLOOKUP(A42,'Данные хранения'!$A$2:$B$205,2,0)</f>
        <v/>
      </c>
      <c r="E42" s="3">
        <f>VLOOKUP(A42,'Данные продаж'!$A$2:$B$490,2,0)</f>
        <v/>
      </c>
      <c r="F42" s="5">
        <f>E42/'Параметры'!$B$4</f>
        <v/>
      </c>
      <c r="G42" s="5">
        <f>D42*'Параметры'!$B$3*C42</f>
        <v/>
      </c>
      <c r="H42" s="5">
        <f>D42*'Параметры'!$B$2*C42</f>
        <v/>
      </c>
      <c r="I42" s="5">
        <f>D42*IF(F42=0,C42*'Параметры'!$B$2,IF(C42/F42&gt;='Параметры'!$B$2,C42*'Параметры'!$B$2-F42*'Параметры'!$B$2*('Параметры'!$B$2-1)/2,C42*C42/(2*F42)))</f>
        <v/>
      </c>
      <c r="J42" s="5">
        <f>M42+O42+Q42+S42+U42</f>
        <v/>
      </c>
      <c r="K42" s="3">
        <f>T42</f>
        <v/>
      </c>
      <c r="L42" s="3">
        <f>MAX(0,C42-F42*'Сезонность'!$C$2*'Сезонность'!$B$2)</f>
        <v/>
      </c>
      <c r="M42" s="5">
        <f>D42*(C42+L42)/2*'Сезонность'!$B$2</f>
        <v/>
      </c>
      <c r="N42" s="3">
        <f>MAX(0,L42-F42*'Сезонность'!$C$3*'Сезонность'!$B$3)</f>
        <v/>
      </c>
      <c r="O42" s="5">
        <f>D42*(L42+N42)/2*'Сезонность'!$B$3</f>
        <v/>
      </c>
      <c r="P42" s="3">
        <f>MAX(0,N42-F42*'Сезонность'!$C$4*'Сезонность'!$B$4)</f>
        <v/>
      </c>
      <c r="Q42" s="5">
        <f>D42*(N42+P42)/2*'Сезонность'!$B$4</f>
        <v/>
      </c>
      <c r="R42" s="3">
        <f>MAX(0,P42-F42*'Сезонность'!$C$5*'Сезонность'!$B$5)</f>
        <v/>
      </c>
      <c r="S42" s="5">
        <f>D42*(P42+R42)/2*'Сезонность'!$B$5</f>
        <v/>
      </c>
      <c r="T42" s="3">
        <f>MAX(0,R42-F42*'Сезонность'!$C$6*'Сезонность'!$B$6)</f>
        <v/>
      </c>
      <c r="U42" s="5">
        <f>D42*(R42+T42)/2*'Сезонность'!$B$6</f>
        <v/>
      </c>
    </row>
    <row r="43">
      <c r="A43" s="2" t="n">
        <v>180992464</v>
      </c>
      <c r="B43" s="2" t="inlineStr">
        <is>
          <t>PETITFEE - Aura Quartz Hydrogel Eye Patch [60ea]</t>
        </is>
      </c>
      <c r="C43" s="3" t="n">
        <v>105</v>
      </c>
      <c r="D43" s="4">
        <f>VLOOKUP(A43,'Данные хранения'!$A$2:$B$205,2,0)</f>
        <v/>
      </c>
      <c r="E43" s="3">
        <f>VLOOKUP(A43,'Данные продаж'!$A$2:$B$490,2,0)</f>
        <v/>
      </c>
      <c r="F43" s="5">
        <f>E43/'Параметры'!$B$4</f>
        <v/>
      </c>
      <c r="G43" s="5">
        <f>D43*'Параметры'!$B$3*C43</f>
        <v/>
      </c>
      <c r="H43" s="5">
        <f>D43*'Параметры'!$B$2*C43</f>
        <v/>
      </c>
      <c r="I43" s="5">
        <f>D43*IF(F43=0,C43*'Параметры'!$B$2,IF(C43/F43&gt;='Параметры'!$B$2,C43*'Параметры'!$B$2-F43*'Параметры'!$B$2*('Параметры'!$B$2-1)/2,C43*C43/(2*F43)))</f>
        <v/>
      </c>
      <c r="J43" s="5">
        <f>M43+O43+Q43+S43+U43</f>
        <v/>
      </c>
      <c r="K43" s="3">
        <f>T43</f>
        <v/>
      </c>
      <c r="L43" s="3">
        <f>MAX(0,C43-F43*'Сезонность'!$C$2*'Сезонность'!$B$2)</f>
        <v/>
      </c>
      <c r="M43" s="5">
        <f>D43*(C43+L43)/2*'Сезонность'!$B$2</f>
        <v/>
      </c>
      <c r="N43" s="3">
        <f>MAX(0,L43-F43*'Сезонность'!$C$3*'Сезонность'!$B$3)</f>
        <v/>
      </c>
      <c r="O43" s="5">
        <f>D43*(L43+N43)/2*'Сезонность'!$B$3</f>
        <v/>
      </c>
      <c r="P43" s="3">
        <f>MAX(0,N43-F43*'Сезонность'!$C$4*'Сезонность'!$B$4)</f>
        <v/>
      </c>
      <c r="Q43" s="5">
        <f>D43*(N43+P43)/2*'Сезонность'!$B$4</f>
        <v/>
      </c>
      <c r="R43" s="3">
        <f>MAX(0,P43-F43*'Сезонность'!$C$5*'Сезонность'!$B$5)</f>
        <v/>
      </c>
      <c r="S43" s="5">
        <f>D43*(P43+R43)/2*'Сезонность'!$B$5</f>
        <v/>
      </c>
      <c r="T43" s="3">
        <f>MAX(0,R43-F43*'Сезонность'!$C$6*'Сезонность'!$B$6)</f>
        <v/>
      </c>
      <c r="U43" s="5">
        <f>D43*(R43+T43)/2*'Сезонность'!$B$6</f>
        <v/>
      </c>
    </row>
    <row r="44">
      <c r="A44" s="2" t="n">
        <v>179611318</v>
      </c>
      <c r="B44" s="2" t="inlineStr">
        <is>
          <t>PETITFEE - Chamomile Lightening Hydrogel Eye Patch [60ea] / Успокаивающие гидрогелевые патчи для глаз с экстрактом ромашки</t>
        </is>
      </c>
      <c r="C44" s="3" t="n">
        <v>300</v>
      </c>
      <c r="D44" s="4">
        <f>VLOOKUP(A44,'Данные хранения'!$A$2:$B$205,2,0)</f>
        <v/>
      </c>
      <c r="E44" s="3">
        <f>VLOOKUP(A44,'Данные продаж'!$A$2:$B$490,2,0)</f>
        <v/>
      </c>
      <c r="F44" s="5">
        <f>E44/'Параметры'!$B$4</f>
        <v/>
      </c>
      <c r="G44" s="5">
        <f>D44*'Параметры'!$B$3*C44</f>
        <v/>
      </c>
      <c r="H44" s="5">
        <f>D44*'Параметры'!$B$2*C44</f>
        <v/>
      </c>
      <c r="I44" s="5">
        <f>D44*IF(F44=0,C44*'Параметры'!$B$2,IF(C44/F44&gt;='Параметры'!$B$2,C44*'Параметры'!$B$2-F44*'Параметры'!$B$2*('Параметры'!$B$2-1)/2,C44*C44/(2*F44)))</f>
        <v/>
      </c>
      <c r="J44" s="5">
        <f>M44+O44+Q44+S44+U44</f>
        <v/>
      </c>
      <c r="K44" s="3">
        <f>T44</f>
        <v/>
      </c>
      <c r="L44" s="3">
        <f>MAX(0,C44-F44*'Сезонность'!$C$2*'Сезонность'!$B$2)</f>
        <v/>
      </c>
      <c r="M44" s="5">
        <f>D44*(C44+L44)/2*'Сезонность'!$B$2</f>
        <v/>
      </c>
      <c r="N44" s="3">
        <f>MAX(0,L44-F44*'Сезонность'!$C$3*'Сезонность'!$B$3)</f>
        <v/>
      </c>
      <c r="O44" s="5">
        <f>D44*(L44+N44)/2*'Сезонность'!$B$3</f>
        <v/>
      </c>
      <c r="P44" s="3">
        <f>MAX(0,N44-F44*'Сезонность'!$C$4*'Сезонность'!$B$4)</f>
        <v/>
      </c>
      <c r="Q44" s="5">
        <f>D44*(N44+P44)/2*'Сезонность'!$B$4</f>
        <v/>
      </c>
      <c r="R44" s="3">
        <f>MAX(0,P44-F44*'Сезонность'!$C$5*'Сезонность'!$B$5)</f>
        <v/>
      </c>
      <c r="S44" s="5">
        <f>D44*(P44+R44)/2*'Сезонность'!$B$5</f>
        <v/>
      </c>
      <c r="T44" s="3">
        <f>MAX(0,R44-F44*'Сезонность'!$C$6*'Сезонность'!$B$6)</f>
        <v/>
      </c>
      <c r="U44" s="5">
        <f>D44*(R44+T44)/2*'Сезонность'!$B$6</f>
        <v/>
      </c>
    </row>
    <row r="45">
      <c r="A45" s="2" t="n">
        <v>180987509</v>
      </c>
      <c r="B45" s="2" t="inlineStr">
        <is>
          <t>PETITFEE - Pink Vita Brightening Eye Patch [60ea] / Тканевые патчи для век увлажняющие</t>
        </is>
      </c>
      <c r="C45" s="3" t="n">
        <v>270</v>
      </c>
      <c r="D45" s="4">
        <f>VLOOKUP(A45,'Данные хранения'!$A$2:$B$205,2,0)</f>
        <v/>
      </c>
      <c r="E45" s="3">
        <f>VLOOKUP(A45,'Данные продаж'!$A$2:$B$490,2,0)</f>
        <v/>
      </c>
      <c r="F45" s="5">
        <f>E45/'Параметры'!$B$4</f>
        <v/>
      </c>
      <c r="G45" s="5">
        <f>D45*'Параметры'!$B$3*C45</f>
        <v/>
      </c>
      <c r="H45" s="5">
        <f>D45*'Параметры'!$B$2*C45</f>
        <v/>
      </c>
      <c r="I45" s="5">
        <f>D45*IF(F45=0,C45*'Параметры'!$B$2,IF(C45/F45&gt;='Параметры'!$B$2,C45*'Параметры'!$B$2-F45*'Параметры'!$B$2*('Параметры'!$B$2-1)/2,C45*C45/(2*F45)))</f>
        <v/>
      </c>
      <c r="J45" s="5">
        <f>M45+O45+Q45+S45+U45</f>
        <v/>
      </c>
      <c r="K45" s="3">
        <f>T45</f>
        <v/>
      </c>
      <c r="L45" s="3">
        <f>MAX(0,C45-F45*'Сезонность'!$C$2*'Сезонность'!$B$2)</f>
        <v/>
      </c>
      <c r="M45" s="5">
        <f>D45*(C45+L45)/2*'Сезонность'!$B$2</f>
        <v/>
      </c>
      <c r="N45" s="3">
        <f>MAX(0,L45-F45*'Сезонность'!$C$3*'Сезонность'!$B$3)</f>
        <v/>
      </c>
      <c r="O45" s="5">
        <f>D45*(L45+N45)/2*'Сезонность'!$B$3</f>
        <v/>
      </c>
      <c r="P45" s="3">
        <f>MAX(0,N45-F45*'Сезонность'!$C$4*'Сезонность'!$B$4)</f>
        <v/>
      </c>
      <c r="Q45" s="5">
        <f>D45*(N45+P45)/2*'Сезонность'!$B$4</f>
        <v/>
      </c>
      <c r="R45" s="3">
        <f>MAX(0,P45-F45*'Сезонность'!$C$5*'Сезонность'!$B$5)</f>
        <v/>
      </c>
      <c r="S45" s="5">
        <f>D45*(P45+R45)/2*'Сезонность'!$B$5</f>
        <v/>
      </c>
      <c r="T45" s="3">
        <f>MAX(0,R45-F45*'Сезонность'!$C$6*'Сезонность'!$B$6)</f>
        <v/>
      </c>
      <c r="U45" s="5">
        <f>D45*(R45+T45)/2*'Сезонность'!$B$6</f>
        <v/>
      </c>
    </row>
    <row r="46">
      <c r="A46" s="2" t="n">
        <v>437190353</v>
      </c>
      <c r="B46" s="2" t="inlineStr">
        <is>
          <t>ROUND LAB BIRCH JUICE MOISTURIZING CREAM_80ml -Увлажняющий крем с березовым соком</t>
        </is>
      </c>
      <c r="C46" s="3" t="n">
        <v>557</v>
      </c>
      <c r="D46" s="4">
        <f>VLOOKUP(A46,'Данные хранения'!$A$2:$B$205,2,0)</f>
        <v/>
      </c>
      <c r="E46" s="3">
        <f>VLOOKUP(A46,'Данные продаж'!$A$2:$B$490,2,0)</f>
        <v/>
      </c>
      <c r="F46" s="5">
        <f>E46/'Параметры'!$B$4</f>
        <v/>
      </c>
      <c r="G46" s="5">
        <f>D46*'Параметры'!$B$3*C46</f>
        <v/>
      </c>
      <c r="H46" s="5">
        <f>D46*'Параметры'!$B$2*C46</f>
        <v/>
      </c>
      <c r="I46" s="5">
        <f>D46*IF(F46=0,C46*'Параметры'!$B$2,IF(C46/F46&gt;='Параметры'!$B$2,C46*'Параметры'!$B$2-F46*'Параметры'!$B$2*('Параметры'!$B$2-1)/2,C46*C46/(2*F46)))</f>
        <v/>
      </c>
      <c r="J46" s="5">
        <f>M46+O46+Q46+S46+U46</f>
        <v/>
      </c>
      <c r="K46" s="3">
        <f>T46</f>
        <v/>
      </c>
      <c r="L46" s="3">
        <f>MAX(0,C46-F46*'Сезонность'!$C$2*'Сезонность'!$B$2)</f>
        <v/>
      </c>
      <c r="M46" s="5">
        <f>D46*(C46+L46)/2*'Сезонность'!$B$2</f>
        <v/>
      </c>
      <c r="N46" s="3">
        <f>MAX(0,L46-F46*'Сезонность'!$C$3*'Сезонность'!$B$3)</f>
        <v/>
      </c>
      <c r="O46" s="5">
        <f>D46*(L46+N46)/2*'Сезонность'!$B$3</f>
        <v/>
      </c>
      <c r="P46" s="3">
        <f>MAX(0,N46-F46*'Сезонность'!$C$4*'Сезонность'!$B$4)</f>
        <v/>
      </c>
      <c r="Q46" s="5">
        <f>D46*(N46+P46)/2*'Сезонность'!$B$4</f>
        <v/>
      </c>
      <c r="R46" s="3">
        <f>MAX(0,P46-F46*'Сезонность'!$C$5*'Сезонность'!$B$5)</f>
        <v/>
      </c>
      <c r="S46" s="5">
        <f>D46*(P46+R46)/2*'Сезонность'!$B$5</f>
        <v/>
      </c>
      <c r="T46" s="3">
        <f>MAX(0,R46-F46*'Сезонность'!$C$6*'Сезонность'!$B$6)</f>
        <v/>
      </c>
      <c r="U46" s="5">
        <f>D46*(R46+T46)/2*'Сезонность'!$B$6</f>
        <v/>
      </c>
    </row>
    <row r="47">
      <c r="A47" s="2" t="n">
        <v>437254254</v>
      </c>
      <c r="B47" s="2" t="inlineStr">
        <is>
          <t>ROUND LAB SOYBEAN PANTHENOL CREAM_80ml - Крем для лица с чёрной соей и пантенолом успокаивающий</t>
        </is>
      </c>
      <c r="C47" s="3" t="n">
        <v>210</v>
      </c>
      <c r="D47" s="4">
        <f>VLOOKUP(A47,'Данные хранения'!$A$2:$B$205,2,0)</f>
        <v/>
      </c>
      <c r="E47" s="3">
        <f>VLOOKUP(A47,'Данные продаж'!$A$2:$B$490,2,0)</f>
        <v/>
      </c>
      <c r="F47" s="5">
        <f>E47/'Параметры'!$B$4</f>
        <v/>
      </c>
      <c r="G47" s="5">
        <f>D47*'Параметры'!$B$3*C47</f>
        <v/>
      </c>
      <c r="H47" s="5">
        <f>D47*'Параметры'!$B$2*C47</f>
        <v/>
      </c>
      <c r="I47" s="5">
        <f>D47*IF(F47=0,C47*'Параметры'!$B$2,IF(C47/F47&gt;='Параметры'!$B$2,C47*'Параметры'!$B$2-F47*'Параметры'!$B$2*('Параметры'!$B$2-1)/2,C47*C47/(2*F47)))</f>
        <v/>
      </c>
      <c r="J47" s="5">
        <f>M47+O47+Q47+S47+U47</f>
        <v/>
      </c>
      <c r="K47" s="3">
        <f>T47</f>
        <v/>
      </c>
      <c r="L47" s="3">
        <f>MAX(0,C47-F47*'Сезонность'!$C$2*'Сезонность'!$B$2)</f>
        <v/>
      </c>
      <c r="M47" s="5">
        <f>D47*(C47+L47)/2*'Сезонность'!$B$2</f>
        <v/>
      </c>
      <c r="N47" s="3">
        <f>MAX(0,L47-F47*'Сезонность'!$C$3*'Сезонность'!$B$3)</f>
        <v/>
      </c>
      <c r="O47" s="5">
        <f>D47*(L47+N47)/2*'Сезонность'!$B$3</f>
        <v/>
      </c>
      <c r="P47" s="3">
        <f>MAX(0,N47-F47*'Сезонность'!$C$4*'Сезонность'!$B$4)</f>
        <v/>
      </c>
      <c r="Q47" s="5">
        <f>D47*(N47+P47)/2*'Сезонность'!$B$4</f>
        <v/>
      </c>
      <c r="R47" s="3">
        <f>MAX(0,P47-F47*'Сезонность'!$C$5*'Сезонность'!$B$5)</f>
        <v/>
      </c>
      <c r="S47" s="5">
        <f>D47*(P47+R47)/2*'Сезонность'!$B$5</f>
        <v/>
      </c>
      <c r="T47" s="3">
        <f>MAX(0,R47-F47*'Сезонность'!$C$6*'Сезонность'!$B$6)</f>
        <v/>
      </c>
      <c r="U47" s="5">
        <f>D47*(R47+T47)/2*'Сезонность'!$B$6</f>
        <v/>
      </c>
    </row>
    <row r="48">
      <c r="A48" s="2" t="n">
        <v>437776835</v>
      </c>
      <c r="B48" s="2" t="inlineStr">
        <is>
          <t>ROUND LAB PINE CALMING CICA AMPOULE_30ml - Сыворотка для жирной кожи лица увлажняющая с центеллой</t>
        </is>
      </c>
      <c r="C48" s="3" t="n">
        <v>75</v>
      </c>
      <c r="D48" s="4">
        <f>VLOOKUP(A48,'Данные хранения'!$A$2:$B$205,2,0)</f>
        <v/>
      </c>
      <c r="E48" s="3">
        <f>VLOOKUP(A48,'Данные продаж'!$A$2:$B$490,2,0)</f>
        <v/>
      </c>
      <c r="F48" s="5">
        <f>E48/'Параметры'!$B$4</f>
        <v/>
      </c>
      <c r="G48" s="5">
        <f>D48*'Параметры'!$B$3*C48</f>
        <v/>
      </c>
      <c r="H48" s="5">
        <f>D48*'Параметры'!$B$2*C48</f>
        <v/>
      </c>
      <c r="I48" s="5">
        <f>D48*IF(F48=0,C48*'Параметры'!$B$2,IF(C48/F48&gt;='Параметры'!$B$2,C48*'Параметры'!$B$2-F48*'Параметры'!$B$2*('Параметры'!$B$2-1)/2,C48*C48/(2*F48)))</f>
        <v/>
      </c>
      <c r="J48" s="5">
        <f>M48+O48+Q48+S48+U48</f>
        <v/>
      </c>
      <c r="K48" s="3">
        <f>T48</f>
        <v/>
      </c>
      <c r="L48" s="3">
        <f>MAX(0,C48-F48*'Сезонность'!$C$2*'Сезонность'!$B$2)</f>
        <v/>
      </c>
      <c r="M48" s="5">
        <f>D48*(C48+L48)/2*'Сезонность'!$B$2</f>
        <v/>
      </c>
      <c r="N48" s="3">
        <f>MAX(0,L48-F48*'Сезонность'!$C$3*'Сезонность'!$B$3)</f>
        <v/>
      </c>
      <c r="O48" s="5">
        <f>D48*(L48+N48)/2*'Сезонность'!$B$3</f>
        <v/>
      </c>
      <c r="P48" s="3">
        <f>MAX(0,N48-F48*'Сезонность'!$C$4*'Сезонность'!$B$4)</f>
        <v/>
      </c>
      <c r="Q48" s="5">
        <f>D48*(N48+P48)/2*'Сезонность'!$B$4</f>
        <v/>
      </c>
      <c r="R48" s="3">
        <f>MAX(0,P48-F48*'Сезонность'!$C$5*'Сезонность'!$B$5)</f>
        <v/>
      </c>
      <c r="S48" s="5">
        <f>D48*(P48+R48)/2*'Сезонность'!$B$5</f>
        <v/>
      </c>
      <c r="T48" s="3">
        <f>MAX(0,R48-F48*'Сезонность'!$C$6*'Сезонность'!$B$6)</f>
        <v/>
      </c>
      <c r="U48" s="5">
        <f>D48*(R48+T48)/2*'Сезонность'!$B$6</f>
        <v/>
      </c>
    </row>
    <row r="49">
      <c r="A49" s="2" t="n">
        <v>214311963</v>
      </c>
      <c r="B49" s="2" t="inlineStr">
        <is>
          <t>SKIN1004 - Madagascar Centella Ampoule [30ml] / Сыворотка для лица успокаивающая из экстракта центеллы.</t>
        </is>
      </c>
      <c r="C49" s="3" t="n">
        <v>89</v>
      </c>
      <c r="D49" s="4">
        <f>VLOOKUP(A49,'Данные хранения'!$A$2:$B$205,2,0)</f>
        <v/>
      </c>
      <c r="E49" s="3">
        <f>VLOOKUP(A49,'Данные продаж'!$A$2:$B$490,2,0)</f>
        <v/>
      </c>
      <c r="F49" s="5">
        <f>E49/'Параметры'!$B$4</f>
        <v/>
      </c>
      <c r="G49" s="5">
        <f>D49*'Параметры'!$B$3*C49</f>
        <v/>
      </c>
      <c r="H49" s="5">
        <f>D49*'Параметры'!$B$2*C49</f>
        <v/>
      </c>
      <c r="I49" s="5">
        <f>D49*IF(F49=0,C49*'Параметры'!$B$2,IF(C49/F49&gt;='Параметры'!$B$2,C49*'Параметры'!$B$2-F49*'Параметры'!$B$2*('Параметры'!$B$2-1)/2,C49*C49/(2*F49)))</f>
        <v/>
      </c>
      <c r="J49" s="5">
        <f>M49+O49+Q49+S49+U49</f>
        <v/>
      </c>
      <c r="K49" s="3">
        <f>T49</f>
        <v/>
      </c>
      <c r="L49" s="3">
        <f>MAX(0,C49-F49*'Сезонность'!$C$2*'Сезонность'!$B$2)</f>
        <v/>
      </c>
      <c r="M49" s="5">
        <f>D49*(C49+L49)/2*'Сезонность'!$B$2</f>
        <v/>
      </c>
      <c r="N49" s="3">
        <f>MAX(0,L49-F49*'Сезонность'!$C$3*'Сезонность'!$B$3)</f>
        <v/>
      </c>
      <c r="O49" s="5">
        <f>D49*(L49+N49)/2*'Сезонность'!$B$3</f>
        <v/>
      </c>
      <c r="P49" s="3">
        <f>MAX(0,N49-F49*'Сезонность'!$C$4*'Сезонность'!$B$4)</f>
        <v/>
      </c>
      <c r="Q49" s="5">
        <f>D49*(N49+P49)/2*'Сезонность'!$B$4</f>
        <v/>
      </c>
      <c r="R49" s="3">
        <f>MAX(0,P49-F49*'Сезонность'!$C$5*'Сезонность'!$B$5)</f>
        <v/>
      </c>
      <c r="S49" s="5">
        <f>D49*(P49+R49)/2*'Сезонность'!$B$5</f>
        <v/>
      </c>
      <c r="T49" s="3">
        <f>MAX(0,R49-F49*'Сезонность'!$C$6*'Сезонность'!$B$6)</f>
        <v/>
      </c>
      <c r="U49" s="5">
        <f>D49*(R49+T49)/2*'Сезонность'!$B$6</f>
        <v/>
      </c>
    </row>
    <row r="50">
      <c r="A50" s="2" t="n">
        <v>214312149</v>
      </c>
      <c r="B50" s="2" t="inlineStr">
        <is>
          <t>SKIN1004 - Madagascar Centella Hyalu-Cica Sleeping Pack [30ml] / Увлажняющая гиалуроновая ночная маска для сухой кожи</t>
        </is>
      </c>
      <c r="C50" s="3" t="n">
        <v>83</v>
      </c>
      <c r="D50" s="4">
        <f>VLOOKUP(A50,'Данные хранения'!$A$2:$B$205,2,0)</f>
        <v/>
      </c>
      <c r="E50" s="3">
        <f>VLOOKUP(A50,'Данные продаж'!$A$2:$B$490,2,0)</f>
        <v/>
      </c>
      <c r="F50" s="5">
        <f>E50/'Параметры'!$B$4</f>
        <v/>
      </c>
      <c r="G50" s="5">
        <f>D50*'Параметры'!$B$3*C50</f>
        <v/>
      </c>
      <c r="H50" s="5">
        <f>D50*'Параметры'!$B$2*C50</f>
        <v/>
      </c>
      <c r="I50" s="5">
        <f>D50*IF(F50=0,C50*'Параметры'!$B$2,IF(C50/F50&gt;='Параметры'!$B$2,C50*'Параметры'!$B$2-F50*'Параметры'!$B$2*('Параметры'!$B$2-1)/2,C50*C50/(2*F50)))</f>
        <v/>
      </c>
      <c r="J50" s="5">
        <f>M50+O50+Q50+S50+U50</f>
        <v/>
      </c>
      <c r="K50" s="3">
        <f>T50</f>
        <v/>
      </c>
      <c r="L50" s="3">
        <f>MAX(0,C50-F50*'Сезонность'!$C$2*'Сезонность'!$B$2)</f>
        <v/>
      </c>
      <c r="M50" s="5">
        <f>D50*(C50+L50)/2*'Сезонность'!$B$2</f>
        <v/>
      </c>
      <c r="N50" s="3">
        <f>MAX(0,L50-F50*'Сезонность'!$C$3*'Сезонность'!$B$3)</f>
        <v/>
      </c>
      <c r="O50" s="5">
        <f>D50*(L50+N50)/2*'Сезонность'!$B$3</f>
        <v/>
      </c>
      <c r="P50" s="3">
        <f>MAX(0,N50-F50*'Сезонность'!$C$4*'Сезонность'!$B$4)</f>
        <v/>
      </c>
      <c r="Q50" s="5">
        <f>D50*(N50+P50)/2*'Сезонность'!$B$4</f>
        <v/>
      </c>
      <c r="R50" s="3">
        <f>MAX(0,P50-F50*'Сезонность'!$C$5*'Сезонность'!$B$5)</f>
        <v/>
      </c>
      <c r="S50" s="5">
        <f>D50*(P50+R50)/2*'Сезонность'!$B$5</f>
        <v/>
      </c>
      <c r="T50" s="3">
        <f>MAX(0,R50-F50*'Сезонность'!$C$6*'Сезонность'!$B$6)</f>
        <v/>
      </c>
      <c r="U50" s="5">
        <f>D50*(R50+T50)/2*'Сезонность'!$B$6</f>
        <v/>
      </c>
    </row>
    <row r="51">
      <c r="A51" s="2" t="n">
        <v>248928046</v>
      </c>
      <c r="B51" s="2" t="inlineStr">
        <is>
          <t>SOME BY MI - AHA-BHA-PHA 30 Days Miracle Cleansing Bar [106g] / Мыло для проблемной кожи с aha bha кислотами</t>
        </is>
      </c>
      <c r="C51" s="3" t="n">
        <v>527</v>
      </c>
      <c r="D51" s="4">
        <f>VLOOKUP(A51,'Данные хранения'!$A$2:$B$205,2,0)</f>
        <v/>
      </c>
      <c r="E51" s="3">
        <f>VLOOKUP(A51,'Данные продаж'!$A$2:$B$490,2,0)</f>
        <v/>
      </c>
      <c r="F51" s="5">
        <f>E51/'Параметры'!$B$4</f>
        <v/>
      </c>
      <c r="G51" s="5">
        <f>D51*'Параметры'!$B$3*C51</f>
        <v/>
      </c>
      <c r="H51" s="5">
        <f>D51*'Параметры'!$B$2*C51</f>
        <v/>
      </c>
      <c r="I51" s="5">
        <f>D51*IF(F51=0,C51*'Параметры'!$B$2,IF(C51/F51&gt;='Параметры'!$B$2,C51*'Параметры'!$B$2-F51*'Параметры'!$B$2*('Параметры'!$B$2-1)/2,C51*C51/(2*F51)))</f>
        <v/>
      </c>
      <c r="J51" s="5">
        <f>M51+O51+Q51+S51+U51</f>
        <v/>
      </c>
      <c r="K51" s="3">
        <f>T51</f>
        <v/>
      </c>
      <c r="L51" s="3">
        <f>MAX(0,C51-F51*'Сезонность'!$C$2*'Сезонность'!$B$2)</f>
        <v/>
      </c>
      <c r="M51" s="5">
        <f>D51*(C51+L51)/2*'Сезонность'!$B$2</f>
        <v/>
      </c>
      <c r="N51" s="3">
        <f>MAX(0,L51-F51*'Сезонность'!$C$3*'Сезонность'!$B$3)</f>
        <v/>
      </c>
      <c r="O51" s="5">
        <f>D51*(L51+N51)/2*'Сезонность'!$B$3</f>
        <v/>
      </c>
      <c r="P51" s="3">
        <f>MAX(0,N51-F51*'Сезонность'!$C$4*'Сезонность'!$B$4)</f>
        <v/>
      </c>
      <c r="Q51" s="5">
        <f>D51*(N51+P51)/2*'Сезонность'!$B$4</f>
        <v/>
      </c>
      <c r="R51" s="3">
        <f>MAX(0,P51-F51*'Сезонность'!$C$5*'Сезонность'!$B$5)</f>
        <v/>
      </c>
      <c r="S51" s="5">
        <f>D51*(P51+R51)/2*'Сезонность'!$B$5</f>
        <v/>
      </c>
      <c r="T51" s="3">
        <f>MAX(0,R51-F51*'Сезонность'!$C$6*'Сезонность'!$B$6)</f>
        <v/>
      </c>
      <c r="U51" s="5">
        <f>D51*(R51+T51)/2*'Сезонность'!$B$6</f>
        <v/>
      </c>
    </row>
    <row r="52">
      <c r="A52" s="2" t="n">
        <v>248929125</v>
      </c>
      <c r="B52" s="2" t="inlineStr">
        <is>
          <t>SOME BY MI - AHA-BHA-PHA 30 Days Miracle Cream [60g] / Крем для лица</t>
        </is>
      </c>
      <c r="C52" s="3" t="n">
        <v>55</v>
      </c>
      <c r="D52" s="4">
        <f>VLOOKUP(A52,'Данные хранения'!$A$2:$B$205,2,0)</f>
        <v/>
      </c>
      <c r="E52" s="3">
        <f>VLOOKUP(A52,'Данные продаж'!$A$2:$B$490,2,0)</f>
        <v/>
      </c>
      <c r="F52" s="5">
        <f>E52/'Параметры'!$B$4</f>
        <v/>
      </c>
      <c r="G52" s="5">
        <f>D52*'Параметры'!$B$3*C52</f>
        <v/>
      </c>
      <c r="H52" s="5">
        <f>D52*'Параметры'!$B$2*C52</f>
        <v/>
      </c>
      <c r="I52" s="5">
        <f>D52*IF(F52=0,C52*'Параметры'!$B$2,IF(C52/F52&gt;='Параметры'!$B$2,C52*'Параметры'!$B$2-F52*'Параметры'!$B$2*('Параметры'!$B$2-1)/2,C52*C52/(2*F52)))</f>
        <v/>
      </c>
      <c r="J52" s="5">
        <f>M52+O52+Q52+S52+U52</f>
        <v/>
      </c>
      <c r="K52" s="3">
        <f>T52</f>
        <v/>
      </c>
      <c r="L52" s="3">
        <f>MAX(0,C52-F52*'Сезонность'!$C$2*'Сезонность'!$B$2)</f>
        <v/>
      </c>
      <c r="M52" s="5">
        <f>D52*(C52+L52)/2*'Сезонность'!$B$2</f>
        <v/>
      </c>
      <c r="N52" s="3">
        <f>MAX(0,L52-F52*'Сезонность'!$C$3*'Сезонность'!$B$3)</f>
        <v/>
      </c>
      <c r="O52" s="5">
        <f>D52*(L52+N52)/2*'Сезонность'!$B$3</f>
        <v/>
      </c>
      <c r="P52" s="3">
        <f>MAX(0,N52-F52*'Сезонность'!$C$4*'Сезонность'!$B$4)</f>
        <v/>
      </c>
      <c r="Q52" s="5">
        <f>D52*(N52+P52)/2*'Сезонность'!$B$4</f>
        <v/>
      </c>
      <c r="R52" s="3">
        <f>MAX(0,P52-F52*'Сезонность'!$C$5*'Сезонность'!$B$5)</f>
        <v/>
      </c>
      <c r="S52" s="5">
        <f>D52*(P52+R52)/2*'Сезонность'!$B$5</f>
        <v/>
      </c>
      <c r="T52" s="3">
        <f>MAX(0,R52-F52*'Сезонность'!$C$6*'Сезонность'!$B$6)</f>
        <v/>
      </c>
      <c r="U52" s="5">
        <f>D52*(R52+T52)/2*'Сезонность'!$B$6</f>
        <v/>
      </c>
    </row>
    <row r="53">
      <c r="A53" s="2" t="n">
        <v>214312385</v>
      </c>
      <c r="B53" s="2" t="inlineStr">
        <is>
          <t>THE ORDINARY - Argireline Solution 10% [30ml] / Сыворотка для лица от прыщей и акне с ниацинамидом 10 %</t>
        </is>
      </c>
      <c r="C53" s="3" t="n">
        <v>118</v>
      </c>
      <c r="D53" s="4">
        <f>VLOOKUP(A53,'Данные хранения'!$A$2:$B$205,2,0)</f>
        <v/>
      </c>
      <c r="E53" s="3">
        <f>VLOOKUP(A53,'Данные продаж'!$A$2:$B$490,2,0)</f>
        <v/>
      </c>
      <c r="F53" s="5">
        <f>E53/'Параметры'!$B$4</f>
        <v/>
      </c>
      <c r="G53" s="5">
        <f>D53*'Параметры'!$B$3*C53</f>
        <v/>
      </c>
      <c r="H53" s="5">
        <f>D53*'Параметры'!$B$2*C53</f>
        <v/>
      </c>
      <c r="I53" s="5">
        <f>D53*IF(F53=0,C53*'Параметры'!$B$2,IF(C53/F53&gt;='Параметры'!$B$2,C53*'Параметры'!$B$2-F53*'Параметры'!$B$2*('Параметры'!$B$2-1)/2,C53*C53/(2*F53)))</f>
        <v/>
      </c>
      <c r="J53" s="5">
        <f>M53+O53+Q53+S53+U53</f>
        <v/>
      </c>
      <c r="K53" s="3">
        <f>T53</f>
        <v/>
      </c>
      <c r="L53" s="3">
        <f>MAX(0,C53-F53*'Сезонность'!$C$2*'Сезонность'!$B$2)</f>
        <v/>
      </c>
      <c r="M53" s="5">
        <f>D53*(C53+L53)/2*'Сезонность'!$B$2</f>
        <v/>
      </c>
      <c r="N53" s="3">
        <f>MAX(0,L53-F53*'Сезонность'!$C$3*'Сезонность'!$B$3)</f>
        <v/>
      </c>
      <c r="O53" s="5">
        <f>D53*(L53+N53)/2*'Сезонность'!$B$3</f>
        <v/>
      </c>
      <c r="P53" s="3">
        <f>MAX(0,N53-F53*'Сезонность'!$C$4*'Сезонность'!$B$4)</f>
        <v/>
      </c>
      <c r="Q53" s="5">
        <f>D53*(N53+P53)/2*'Сезонность'!$B$4</f>
        <v/>
      </c>
      <c r="R53" s="3">
        <f>MAX(0,P53-F53*'Сезонность'!$C$5*'Сезонность'!$B$5)</f>
        <v/>
      </c>
      <c r="S53" s="5">
        <f>D53*(P53+R53)/2*'Сезонность'!$B$5</f>
        <v/>
      </c>
      <c r="T53" s="3">
        <f>MAX(0,R53-F53*'Сезонность'!$C$6*'Сезонность'!$B$6)</f>
        <v/>
      </c>
      <c r="U53" s="5">
        <f>D53*(R53+T53)/2*'Сезонность'!$B$6</f>
        <v/>
      </c>
    </row>
    <row r="54">
      <c r="A54" s="2" t="n">
        <v>247275092</v>
      </c>
      <c r="B54" s="2" t="inlineStr">
        <is>
          <t>THE ORDINARY - Glycolic Acid 7% Toning Solution [KOR] [240ml] / Тоник с гликолевой кислотой 7%</t>
        </is>
      </c>
      <c r="C54" s="3" t="n">
        <v>32</v>
      </c>
      <c r="D54" s="4">
        <f>VLOOKUP(A54,'Данные хранения'!$A$2:$B$205,2,0)</f>
        <v/>
      </c>
      <c r="E54" s="3">
        <f>VLOOKUP(A54,'Данные продаж'!$A$2:$B$490,2,0)</f>
        <v/>
      </c>
      <c r="F54" s="5">
        <f>E54/'Параметры'!$B$4</f>
        <v/>
      </c>
      <c r="G54" s="5">
        <f>D54*'Параметры'!$B$3*C54</f>
        <v/>
      </c>
      <c r="H54" s="5">
        <f>D54*'Параметры'!$B$2*C54</f>
        <v/>
      </c>
      <c r="I54" s="5">
        <f>D54*IF(F54=0,C54*'Параметры'!$B$2,IF(C54/F54&gt;='Параметры'!$B$2,C54*'Параметры'!$B$2-F54*'Параметры'!$B$2*('Параметры'!$B$2-1)/2,C54*C54/(2*F54)))</f>
        <v/>
      </c>
      <c r="J54" s="5">
        <f>M54+O54+Q54+S54+U54</f>
        <v/>
      </c>
      <c r="K54" s="3">
        <f>T54</f>
        <v/>
      </c>
      <c r="L54" s="3">
        <f>MAX(0,C54-F54*'Сезонность'!$C$2*'Сезонность'!$B$2)</f>
        <v/>
      </c>
      <c r="M54" s="5">
        <f>D54*(C54+L54)/2*'Сезонность'!$B$2</f>
        <v/>
      </c>
      <c r="N54" s="3">
        <f>MAX(0,L54-F54*'Сезонность'!$C$3*'Сезонность'!$B$3)</f>
        <v/>
      </c>
      <c r="O54" s="5">
        <f>D54*(L54+N54)/2*'Сезонность'!$B$3</f>
        <v/>
      </c>
      <c r="P54" s="3">
        <f>MAX(0,N54-F54*'Сезонность'!$C$4*'Сезонность'!$B$4)</f>
        <v/>
      </c>
      <c r="Q54" s="5">
        <f>D54*(N54+P54)/2*'Сезонность'!$B$4</f>
        <v/>
      </c>
      <c r="R54" s="3">
        <f>MAX(0,P54-F54*'Сезонность'!$C$5*'Сезонность'!$B$5)</f>
        <v/>
      </c>
      <c r="S54" s="5">
        <f>D54*(P54+R54)/2*'Сезонность'!$B$5</f>
        <v/>
      </c>
      <c r="T54" s="3">
        <f>MAX(0,R54-F54*'Сезонность'!$C$6*'Сезонность'!$B$6)</f>
        <v/>
      </c>
      <c r="U54" s="5">
        <f>D54*(R54+T54)/2*'Сезонность'!$B$6</f>
        <v/>
      </c>
    </row>
    <row r="55">
      <c r="A55" s="2" t="n">
        <v>551447345</v>
      </c>
      <c r="B55" s="2" t="inlineStr">
        <is>
          <t>CELIMAX PORE+DARK SPOT BRIGHTENING CREAM [35ml]/Крем для выравнивания тона и рельефа кожи лица</t>
        </is>
      </c>
      <c r="C55" s="3" t="n">
        <v>99</v>
      </c>
      <c r="D55" s="4">
        <f>VLOOKUP(A55,'Данные хранения'!$A$2:$B$205,2,0)</f>
        <v/>
      </c>
      <c r="E55" s="3">
        <f>VLOOKUP(A55,'Данные продаж'!$A$2:$B$490,2,0)</f>
        <v/>
      </c>
      <c r="F55" s="5">
        <f>E55/'Параметры'!$B$4</f>
        <v/>
      </c>
      <c r="G55" s="5">
        <f>D55*'Параметры'!$B$3*C55</f>
        <v/>
      </c>
      <c r="H55" s="5">
        <f>D55*'Параметры'!$B$2*C55</f>
        <v/>
      </c>
      <c r="I55" s="5">
        <f>D55*IF(F55=0,C55*'Параметры'!$B$2,IF(C55/F55&gt;='Параметры'!$B$2,C55*'Параметры'!$B$2-F55*'Параметры'!$B$2*('Параметры'!$B$2-1)/2,C55*C55/(2*F55)))</f>
        <v/>
      </c>
      <c r="J55" s="5">
        <f>M55+O55+Q55+S55+U55</f>
        <v/>
      </c>
      <c r="K55" s="3">
        <f>T55</f>
        <v/>
      </c>
      <c r="L55" s="3">
        <f>MAX(0,C55-F55*'Сезонность'!$C$2*'Сезонность'!$B$2)</f>
        <v/>
      </c>
      <c r="M55" s="5">
        <f>D55*(C55+L55)/2*'Сезонность'!$B$2</f>
        <v/>
      </c>
      <c r="N55" s="3">
        <f>MAX(0,L55-F55*'Сезонность'!$C$3*'Сезонность'!$B$3)</f>
        <v/>
      </c>
      <c r="O55" s="5">
        <f>D55*(L55+N55)/2*'Сезонность'!$B$3</f>
        <v/>
      </c>
      <c r="P55" s="3">
        <f>MAX(0,N55-F55*'Сезонность'!$C$4*'Сезонность'!$B$4)</f>
        <v/>
      </c>
      <c r="Q55" s="5">
        <f>D55*(N55+P55)/2*'Сезонность'!$B$4</f>
        <v/>
      </c>
      <c r="R55" s="3">
        <f>MAX(0,P55-F55*'Сезонность'!$C$5*'Сезонность'!$B$5)</f>
        <v/>
      </c>
      <c r="S55" s="5">
        <f>D55*(P55+R55)/2*'Сезонность'!$B$5</f>
        <v/>
      </c>
      <c r="T55" s="3">
        <f>MAX(0,R55-F55*'Сезонность'!$C$6*'Сезонность'!$B$6)</f>
        <v/>
      </c>
      <c r="U55" s="5">
        <f>D55*(R55+T55)/2*'Сезонность'!$B$6</f>
        <v/>
      </c>
    </row>
    <row r="56">
      <c r="A56" s="2" t="n">
        <v>551392965</v>
      </c>
      <c r="B56" s="2" t="inlineStr">
        <is>
          <t>CELIMAX DUAL BARRIER SKIN WEARABLE CREAM [50ml]/Крем для восстановления защитного барьера кожи лица</t>
        </is>
      </c>
      <c r="C56" s="3" t="n">
        <v>501</v>
      </c>
      <c r="D56" s="4">
        <f>VLOOKUP(A56,'Данные хранения'!$A$2:$B$205,2,0)</f>
        <v/>
      </c>
      <c r="E56" s="3">
        <f>VLOOKUP(A56,'Данные продаж'!$A$2:$B$490,2,0)</f>
        <v/>
      </c>
      <c r="F56" s="5">
        <f>E56/'Параметры'!$B$4</f>
        <v/>
      </c>
      <c r="G56" s="5">
        <f>D56*'Параметры'!$B$3*C56</f>
        <v/>
      </c>
      <c r="H56" s="5">
        <f>D56*'Параметры'!$B$2*C56</f>
        <v/>
      </c>
      <c r="I56" s="5">
        <f>D56*IF(F56=0,C56*'Параметры'!$B$2,IF(C56/F56&gt;='Параметры'!$B$2,C56*'Параметры'!$B$2-F56*'Параметры'!$B$2*('Параметры'!$B$2-1)/2,C56*C56/(2*F56)))</f>
        <v/>
      </c>
      <c r="J56" s="5">
        <f>M56+O56+Q56+S56+U56</f>
        <v/>
      </c>
      <c r="K56" s="3">
        <f>T56</f>
        <v/>
      </c>
      <c r="L56" s="3">
        <f>MAX(0,C56-F56*'Сезонность'!$C$2*'Сезонность'!$B$2)</f>
        <v/>
      </c>
      <c r="M56" s="5">
        <f>D56*(C56+L56)/2*'Сезонность'!$B$2</f>
        <v/>
      </c>
      <c r="N56" s="3">
        <f>MAX(0,L56-F56*'Сезонность'!$C$3*'Сезонность'!$B$3)</f>
        <v/>
      </c>
      <c r="O56" s="5">
        <f>D56*(L56+N56)/2*'Сезонность'!$B$3</f>
        <v/>
      </c>
      <c r="P56" s="3">
        <f>MAX(0,N56-F56*'Сезонность'!$C$4*'Сезонность'!$B$4)</f>
        <v/>
      </c>
      <c r="Q56" s="5">
        <f>D56*(N56+P56)/2*'Сезонность'!$B$4</f>
        <v/>
      </c>
      <c r="R56" s="3">
        <f>MAX(0,P56-F56*'Сезонность'!$C$5*'Сезонность'!$B$5)</f>
        <v/>
      </c>
      <c r="S56" s="5">
        <f>D56*(P56+R56)/2*'Сезонность'!$B$5</f>
        <v/>
      </c>
      <c r="T56" s="3">
        <f>MAX(0,R56-F56*'Сезонность'!$C$6*'Сезонность'!$B$6)</f>
        <v/>
      </c>
      <c r="U56" s="5">
        <f>D56*(R56+T56)/2*'Сезонность'!$B$6</f>
        <v/>
      </c>
    </row>
    <row r="57">
      <c r="A57" s="2" t="n">
        <v>551472457</v>
      </c>
      <c r="B57" s="2" t="inlineStr">
        <is>
          <t>CELIMAX THE REAL NONI ENERGY AMPOULE_30ML (NEW) [30ml]/Восстанавливающая сыворотка с экстрактом нони для лица</t>
        </is>
      </c>
      <c r="C57" s="3" t="n">
        <v>84</v>
      </c>
      <c r="D57" s="4">
        <f>VLOOKUP(A57,'Данные хранения'!$A$2:$B$205,2,0)</f>
        <v/>
      </c>
      <c r="E57" s="3">
        <f>VLOOKUP(A57,'Данные продаж'!$A$2:$B$490,2,0)</f>
        <v/>
      </c>
      <c r="F57" s="5">
        <f>E57/'Параметры'!$B$4</f>
        <v/>
      </c>
      <c r="G57" s="5">
        <f>D57*'Параметры'!$B$3*C57</f>
        <v/>
      </c>
      <c r="H57" s="5">
        <f>D57*'Параметры'!$B$2*C57</f>
        <v/>
      </c>
      <c r="I57" s="5">
        <f>D57*IF(F57=0,C57*'Параметры'!$B$2,IF(C57/F57&gt;='Параметры'!$B$2,C57*'Параметры'!$B$2-F57*'Параметры'!$B$2*('Параметры'!$B$2-1)/2,C57*C57/(2*F57)))</f>
        <v/>
      </c>
      <c r="J57" s="5">
        <f>M57+O57+Q57+S57+U57</f>
        <v/>
      </c>
      <c r="K57" s="3">
        <f>T57</f>
        <v/>
      </c>
      <c r="L57" s="3">
        <f>MAX(0,C57-F57*'Сезонность'!$C$2*'Сезонность'!$B$2)</f>
        <v/>
      </c>
      <c r="M57" s="5">
        <f>D57*(C57+L57)/2*'Сезонность'!$B$2</f>
        <v/>
      </c>
      <c r="N57" s="3">
        <f>MAX(0,L57-F57*'Сезонность'!$C$3*'Сезонность'!$B$3)</f>
        <v/>
      </c>
      <c r="O57" s="5">
        <f>D57*(L57+N57)/2*'Сезонность'!$B$3</f>
        <v/>
      </c>
      <c r="P57" s="3">
        <f>MAX(0,N57-F57*'Сезонность'!$C$4*'Сезонность'!$B$4)</f>
        <v/>
      </c>
      <c r="Q57" s="5">
        <f>D57*(N57+P57)/2*'Сезонность'!$B$4</f>
        <v/>
      </c>
      <c r="R57" s="3">
        <f>MAX(0,P57-F57*'Сезонность'!$C$5*'Сезонность'!$B$5)</f>
        <v/>
      </c>
      <c r="S57" s="5">
        <f>D57*(P57+R57)/2*'Сезонность'!$B$5</f>
        <v/>
      </c>
      <c r="T57" s="3">
        <f>MAX(0,R57-F57*'Сезонность'!$C$6*'Сезонность'!$B$6)</f>
        <v/>
      </c>
      <c r="U57" s="5">
        <f>D57*(R57+T57)/2*'Сезонность'!$B$6</f>
        <v/>
      </c>
    </row>
    <row r="58">
      <c r="A58" s="2" t="n">
        <v>551482493</v>
      </c>
      <c r="B58" s="2" t="inlineStr">
        <is>
          <t>CELIMAX PORE+DARK SPOT BRIGHTENING SERUM_30ml [30ml]/Сыворотка для выравнивания тона и рельефа кожи лица</t>
        </is>
      </c>
      <c r="C58" s="3" t="n">
        <v>124</v>
      </c>
      <c r="D58" s="4">
        <f>VLOOKUP(A58,'Данные хранения'!$A$2:$B$205,2,0)</f>
        <v/>
      </c>
      <c r="E58" s="3">
        <f>VLOOKUP(A58,'Данные продаж'!$A$2:$B$490,2,0)</f>
        <v/>
      </c>
      <c r="F58" s="5">
        <f>E58/'Параметры'!$B$4</f>
        <v/>
      </c>
      <c r="G58" s="5">
        <f>D58*'Параметры'!$B$3*C58</f>
        <v/>
      </c>
      <c r="H58" s="5">
        <f>D58*'Параметры'!$B$2*C58</f>
        <v/>
      </c>
      <c r="I58" s="5">
        <f>D58*IF(F58=0,C58*'Параметры'!$B$2,IF(C58/F58&gt;='Параметры'!$B$2,C58*'Параметры'!$B$2-F58*'Параметры'!$B$2*('Параметры'!$B$2-1)/2,C58*C58/(2*F58)))</f>
        <v/>
      </c>
      <c r="J58" s="5">
        <f>M58+O58+Q58+S58+U58</f>
        <v/>
      </c>
      <c r="K58" s="3">
        <f>T58</f>
        <v/>
      </c>
      <c r="L58" s="3">
        <f>MAX(0,C58-F58*'Сезонность'!$C$2*'Сезонность'!$B$2)</f>
        <v/>
      </c>
      <c r="M58" s="5">
        <f>D58*(C58+L58)/2*'Сезонность'!$B$2</f>
        <v/>
      </c>
      <c r="N58" s="3">
        <f>MAX(0,L58-F58*'Сезонность'!$C$3*'Сезонность'!$B$3)</f>
        <v/>
      </c>
      <c r="O58" s="5">
        <f>D58*(L58+N58)/2*'Сезонность'!$B$3</f>
        <v/>
      </c>
      <c r="P58" s="3">
        <f>MAX(0,N58-F58*'Сезонность'!$C$4*'Сезонность'!$B$4)</f>
        <v/>
      </c>
      <c r="Q58" s="5">
        <f>D58*(N58+P58)/2*'Сезонность'!$B$4</f>
        <v/>
      </c>
      <c r="R58" s="3">
        <f>MAX(0,P58-F58*'Сезонность'!$C$5*'Сезонность'!$B$5)</f>
        <v/>
      </c>
      <c r="S58" s="5">
        <f>D58*(P58+R58)/2*'Сезонность'!$B$5</f>
        <v/>
      </c>
      <c r="T58" s="3">
        <f>MAX(0,R58-F58*'Сезонность'!$C$6*'Сезонность'!$B$6)</f>
        <v/>
      </c>
      <c r="U58" s="5">
        <f>D58*(R58+T58)/2*'Сезонность'!$B$6</f>
        <v/>
      </c>
    </row>
    <row r="59">
      <c r="A59" s="2" t="n">
        <v>551518955</v>
      </c>
      <c r="B59" s="2" t="inlineStr">
        <is>
          <t>CELIMAX THE REAL NONI MOISTURE BALANCING TONER (NEW) [150ml]/Восстанавливающий тонер с экстрактом нони</t>
        </is>
      </c>
      <c r="C59" s="3" t="n">
        <v>194</v>
      </c>
      <c r="D59" s="4">
        <f>VLOOKUP(A59,'Данные хранения'!$A$2:$B$205,2,0)</f>
        <v/>
      </c>
      <c r="E59" s="3">
        <f>VLOOKUP(A59,'Данные продаж'!$A$2:$B$490,2,0)</f>
        <v/>
      </c>
      <c r="F59" s="5">
        <f>E59/'Параметры'!$B$4</f>
        <v/>
      </c>
      <c r="G59" s="5">
        <f>D59*'Параметры'!$B$3*C59</f>
        <v/>
      </c>
      <c r="H59" s="5">
        <f>D59*'Параметры'!$B$2*C59</f>
        <v/>
      </c>
      <c r="I59" s="5">
        <f>D59*IF(F59=0,C59*'Параметры'!$B$2,IF(C59/F59&gt;='Параметры'!$B$2,C59*'Параметры'!$B$2-F59*'Параметры'!$B$2*('Параметры'!$B$2-1)/2,C59*C59/(2*F59)))</f>
        <v/>
      </c>
      <c r="J59" s="5">
        <f>M59+O59+Q59+S59+U59</f>
        <v/>
      </c>
      <c r="K59" s="3">
        <f>T59</f>
        <v/>
      </c>
      <c r="L59" s="3">
        <f>MAX(0,C59-F59*'Сезонность'!$C$2*'Сезонность'!$B$2)</f>
        <v/>
      </c>
      <c r="M59" s="5">
        <f>D59*(C59+L59)/2*'Сезонность'!$B$2</f>
        <v/>
      </c>
      <c r="N59" s="3">
        <f>MAX(0,L59-F59*'Сезонность'!$C$3*'Сезонность'!$B$3)</f>
        <v/>
      </c>
      <c r="O59" s="5">
        <f>D59*(L59+N59)/2*'Сезонность'!$B$3</f>
        <v/>
      </c>
      <c r="P59" s="3">
        <f>MAX(0,N59-F59*'Сезонность'!$C$4*'Сезонность'!$B$4)</f>
        <v/>
      </c>
      <c r="Q59" s="5">
        <f>D59*(N59+P59)/2*'Сезонность'!$B$4</f>
        <v/>
      </c>
      <c r="R59" s="3">
        <f>MAX(0,P59-F59*'Сезонность'!$C$5*'Сезонность'!$B$5)</f>
        <v/>
      </c>
      <c r="S59" s="5">
        <f>D59*(P59+R59)/2*'Сезонность'!$B$5</f>
        <v/>
      </c>
      <c r="T59" s="3">
        <f>MAX(0,R59-F59*'Сезонность'!$C$6*'Сезонность'!$B$6)</f>
        <v/>
      </c>
      <c r="U59" s="5">
        <f>D59*(R59+T59)/2*'Сезонность'!$B$6</f>
        <v/>
      </c>
    </row>
    <row r="60">
      <c r="B60" s="6" t="inlineStr">
        <is>
          <t>ИТОГО</t>
        </is>
      </c>
      <c r="C60" s="7">
        <f>SUM(C2:C59)</f>
        <v/>
      </c>
      <c r="G60" s="8">
        <f>SUM(G2:G59)</f>
        <v/>
      </c>
      <c r="H60" s="8">
        <f>SUM(H2:H59)</f>
        <v/>
      </c>
      <c r="I60" s="9">
        <f>SUM(I2:I59)</f>
        <v/>
      </c>
      <c r="J60" s="10">
        <f>SUM(J2:J59)</f>
        <v/>
      </c>
    </row>
    <row r="62">
      <c r="B62" s="11" t="inlineStr">
        <is>
          <t>Все значения — формулы (VLOOKUP/SUM/MAX/IF), пересчитываются в Google Sheets и Excel. Ставка хранения и выкупы тянутся ВПР из листов 'Данные хранения'/'Данные продаж'. Сезонный прогноз — помесячный движок (колонки L–U) по листу 'Сезонность'. Меняй входные данные/коэффициенты — итоги пересчитаются.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12" t="inlineStr">
        <is>
          <t>Параметр</t>
        </is>
      </c>
      <c r="B1" s="12" t="inlineStr">
        <is>
          <t>Значение</t>
        </is>
      </c>
    </row>
    <row r="2">
      <c r="A2" t="inlineStr">
        <is>
          <t>Дней до ноября (25.06–01.11.2026)</t>
        </is>
      </c>
      <c r="B2" t="n">
        <v>129</v>
      </c>
    </row>
    <row r="3">
      <c r="A3" t="inlineStr">
        <is>
          <t>Дней в месяце (для месячного хранения)</t>
        </is>
      </c>
      <c r="B3" t="n">
        <v>30</v>
      </c>
    </row>
    <row r="4">
      <c r="A4" t="inlineStr">
        <is>
          <t>Период продаж, дн (воронка 01.03–09.06)</t>
        </is>
      </c>
      <c r="B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8" customWidth="1" min="4" max="4"/>
  </cols>
  <sheetData>
    <row r="1">
      <c r="A1" s="12" t="inlineStr">
        <is>
          <t>Месяц</t>
        </is>
      </c>
      <c r="B1" s="12" t="inlineStr">
        <is>
          <t>Дней в окне</t>
        </is>
      </c>
      <c r="C1" s="12" t="inlineStr">
        <is>
          <t>Коэффициент (весна=1.00)</t>
        </is>
      </c>
      <c r="D1" s="12" t="inlineStr">
        <is>
          <t>Комментарий</t>
        </is>
      </c>
    </row>
    <row r="2">
      <c r="A2" t="inlineStr">
        <is>
          <t>Июнь</t>
        </is>
      </c>
      <c r="B2" t="n">
        <v>6</v>
      </c>
      <c r="C2" t="n">
        <v>1</v>
      </c>
      <c r="D2" t="inlineStr">
        <is>
          <t>данные: весна</t>
        </is>
      </c>
    </row>
    <row r="3">
      <c r="A3" t="inlineStr">
        <is>
          <t>Июль</t>
        </is>
      </c>
      <c r="B3" t="n">
        <v>31</v>
      </c>
      <c r="C3" t="n">
        <v>0.92</v>
      </c>
      <c r="D3" t="inlineStr">
        <is>
          <t>лето, спад</t>
        </is>
      </c>
    </row>
    <row r="4">
      <c r="A4" t="inlineStr">
        <is>
          <t>Август</t>
        </is>
      </c>
      <c r="B4" t="n">
        <v>31</v>
      </c>
      <c r="C4" t="n">
        <v>0.92</v>
      </c>
      <c r="D4" t="inlineStr">
        <is>
          <t>лето, спад</t>
        </is>
      </c>
    </row>
    <row r="5">
      <c r="A5" t="inlineStr">
        <is>
          <t>Сентябрь</t>
        </is>
      </c>
      <c r="B5" t="n">
        <v>30</v>
      </c>
      <c r="C5" t="n">
        <v>1.05</v>
      </c>
      <c r="D5" t="inlineStr">
        <is>
          <t>осень, рост</t>
        </is>
      </c>
    </row>
    <row r="6">
      <c r="A6" t="inlineStr">
        <is>
          <t>Октябрь</t>
        </is>
      </c>
      <c r="B6" t="n">
        <v>31</v>
      </c>
      <c r="C6" t="n">
        <v>1.12</v>
      </c>
      <c r="D6" t="inlineStr">
        <is>
          <t>предсезон</t>
        </is>
      </c>
    </row>
    <row r="8">
      <c r="A8" t="inlineStr">
        <is>
          <t>Якоря: зима 0.87 (124.6 шт/д), весна 1.00 (143.6 шт/д). Лето/осень — оценка категории.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s="12" t="inlineStr">
        <is>
          <t>Артикул ВБ</t>
        </is>
      </c>
      <c r="B1" s="12" t="inlineStr">
        <is>
          <t>Ставка хранения/день, руб</t>
        </is>
      </c>
    </row>
    <row r="2">
      <c r="A2" t="n">
        <v>48906308</v>
      </c>
      <c r="B2" t="n">
        <v>0</v>
      </c>
    </row>
    <row r="3">
      <c r="A3" t="n">
        <v>100680843</v>
      </c>
      <c r="B3" t="n">
        <v>0</v>
      </c>
    </row>
    <row r="4">
      <c r="A4" t="n">
        <v>103431353</v>
      </c>
      <c r="B4" t="n">
        <v>0.553</v>
      </c>
    </row>
    <row r="5">
      <c r="A5" t="n">
        <v>150925321</v>
      </c>
      <c r="B5" t="n">
        <v>0.1355</v>
      </c>
    </row>
    <row r="6">
      <c r="A6" t="n">
        <v>150925322</v>
      </c>
      <c r="B6" t="n">
        <v>0.135</v>
      </c>
    </row>
    <row r="7">
      <c r="A7" t="n">
        <v>151132051</v>
      </c>
      <c r="B7" t="n">
        <v>0.1216</v>
      </c>
    </row>
    <row r="8">
      <c r="A8" t="n">
        <v>151132052</v>
      </c>
      <c r="B8" t="n">
        <v>0.1506</v>
      </c>
    </row>
    <row r="9">
      <c r="A9" t="n">
        <v>151175877</v>
      </c>
      <c r="B9" t="n">
        <v>0.1685</v>
      </c>
    </row>
    <row r="10">
      <c r="A10" t="n">
        <v>151175880</v>
      </c>
      <c r="B10" t="n">
        <v>0.1428</v>
      </c>
    </row>
    <row r="11">
      <c r="A11" t="n">
        <v>151313163</v>
      </c>
      <c r="B11" t="n">
        <v>0.1525</v>
      </c>
    </row>
    <row r="12">
      <c r="A12" t="n">
        <v>154159632</v>
      </c>
      <c r="B12" t="n">
        <v>0.1493</v>
      </c>
    </row>
    <row r="13">
      <c r="A13" t="n">
        <v>154160085</v>
      </c>
      <c r="B13" t="n">
        <v>0.1858</v>
      </c>
    </row>
    <row r="14">
      <c r="A14" t="n">
        <v>154163936</v>
      </c>
      <c r="B14" t="n">
        <v>0.16</v>
      </c>
    </row>
    <row r="15">
      <c r="A15" t="n">
        <v>168956391</v>
      </c>
      <c r="B15" t="n">
        <v>0.1518</v>
      </c>
    </row>
    <row r="16">
      <c r="A16" t="n">
        <v>169076150</v>
      </c>
      <c r="B16" t="n">
        <v>0.155</v>
      </c>
    </row>
    <row r="17">
      <c r="A17" t="n">
        <v>169198316</v>
      </c>
      <c r="B17" t="n">
        <v>0.1566</v>
      </c>
    </row>
    <row r="18">
      <c r="A18" t="n">
        <v>170198109</v>
      </c>
      <c r="B18" t="n">
        <v>0.1653</v>
      </c>
    </row>
    <row r="19">
      <c r="A19" t="n">
        <v>170198180</v>
      </c>
      <c r="B19" t="n">
        <v>0.1526</v>
      </c>
    </row>
    <row r="20">
      <c r="A20" t="n">
        <v>170198337</v>
      </c>
      <c r="B20" t="n">
        <v>0.1359</v>
      </c>
    </row>
    <row r="21">
      <c r="A21" t="n">
        <v>170198738</v>
      </c>
      <c r="B21" t="n">
        <v>0.1623</v>
      </c>
    </row>
    <row r="22">
      <c r="A22" t="n">
        <v>170198876</v>
      </c>
      <c r="B22" t="n">
        <v>0.1638</v>
      </c>
    </row>
    <row r="23">
      <c r="A23" t="n">
        <v>174668134</v>
      </c>
      <c r="B23" t="n">
        <v>0.458</v>
      </c>
    </row>
    <row r="24">
      <c r="A24" t="n">
        <v>176944957</v>
      </c>
      <c r="B24" t="n">
        <v>2.0029</v>
      </c>
    </row>
    <row r="25">
      <c r="A25" t="n">
        <v>179611207</v>
      </c>
      <c r="B25" t="n">
        <v>0.1472</v>
      </c>
    </row>
    <row r="26">
      <c r="A26" t="n">
        <v>179611231</v>
      </c>
      <c r="B26" t="n">
        <v>0.1544</v>
      </c>
    </row>
    <row r="27">
      <c r="A27" t="n">
        <v>179611278</v>
      </c>
      <c r="B27" t="n">
        <v>0.1418</v>
      </c>
    </row>
    <row r="28">
      <c r="A28" t="n">
        <v>179611304</v>
      </c>
      <c r="B28" t="n">
        <v>0.1515</v>
      </c>
    </row>
    <row r="29">
      <c r="A29" t="n">
        <v>179611318</v>
      </c>
      <c r="B29" t="n">
        <v>0.1553</v>
      </c>
    </row>
    <row r="30">
      <c r="A30" t="n">
        <v>180711041</v>
      </c>
      <c r="B30" t="n">
        <v>0.1595</v>
      </c>
    </row>
    <row r="31">
      <c r="A31" t="n">
        <v>180711104</v>
      </c>
      <c r="B31" t="n">
        <v>0.1445</v>
      </c>
    </row>
    <row r="32">
      <c r="A32" t="n">
        <v>180852804</v>
      </c>
      <c r="B32" t="n">
        <v>0.2002</v>
      </c>
    </row>
    <row r="33">
      <c r="A33" t="n">
        <v>180852837</v>
      </c>
      <c r="B33" t="n">
        <v>0.5682</v>
      </c>
    </row>
    <row r="34">
      <c r="A34" t="n">
        <v>180987509</v>
      </c>
      <c r="B34" t="n">
        <v>0.1301</v>
      </c>
    </row>
    <row r="35">
      <c r="A35" t="n">
        <v>180988755</v>
      </c>
      <c r="B35" t="n">
        <v>0.157</v>
      </c>
    </row>
    <row r="36">
      <c r="A36" t="n">
        <v>180992464</v>
      </c>
      <c r="B36" t="n">
        <v>0.1333</v>
      </c>
    </row>
    <row r="37">
      <c r="A37" t="n">
        <v>183030830</v>
      </c>
      <c r="B37" t="n">
        <v>0.3346</v>
      </c>
    </row>
    <row r="38">
      <c r="A38" t="n">
        <v>190159348</v>
      </c>
      <c r="B38" t="n">
        <v>0.1308</v>
      </c>
    </row>
    <row r="39">
      <c r="A39" t="n">
        <v>190160008</v>
      </c>
      <c r="B39" t="n">
        <v>0.1647</v>
      </c>
    </row>
    <row r="40">
      <c r="A40" t="n">
        <v>198143251</v>
      </c>
      <c r="B40" t="n">
        <v>0.1639</v>
      </c>
    </row>
    <row r="41">
      <c r="A41" t="n">
        <v>198147185</v>
      </c>
      <c r="B41" t="n">
        <v>0.1531</v>
      </c>
    </row>
    <row r="42">
      <c r="A42" t="n">
        <v>198156472</v>
      </c>
      <c r="B42" t="n">
        <v>0.1631</v>
      </c>
    </row>
    <row r="43">
      <c r="A43" t="n">
        <v>198156698</v>
      </c>
      <c r="B43" t="n">
        <v>0.1592</v>
      </c>
    </row>
    <row r="44">
      <c r="A44" t="n">
        <v>198620596</v>
      </c>
      <c r="B44" t="n">
        <v>2.4648</v>
      </c>
    </row>
    <row r="45">
      <c r="A45" t="n">
        <v>199427475</v>
      </c>
      <c r="B45" t="n">
        <v>0.1479</v>
      </c>
    </row>
    <row r="46">
      <c r="A46" t="n">
        <v>204258828</v>
      </c>
      <c r="B46" t="n">
        <v>0.1612</v>
      </c>
    </row>
    <row r="47">
      <c r="A47" t="n">
        <v>205054338</v>
      </c>
      <c r="B47" t="n">
        <v>0.1474</v>
      </c>
    </row>
    <row r="48">
      <c r="A48" t="n">
        <v>206057411</v>
      </c>
      <c r="B48" t="n">
        <v>0.1704</v>
      </c>
    </row>
    <row r="49">
      <c r="A49" t="n">
        <v>206058262</v>
      </c>
      <c r="B49" t="n">
        <v>0.148</v>
      </c>
    </row>
    <row r="50">
      <c r="A50" t="n">
        <v>206126372</v>
      </c>
      <c r="B50" t="n">
        <v>0.1519</v>
      </c>
    </row>
    <row r="51">
      <c r="A51" t="n">
        <v>206135397</v>
      </c>
      <c r="B51" t="n">
        <v>0</v>
      </c>
    </row>
    <row r="52">
      <c r="A52" t="n">
        <v>207465786</v>
      </c>
      <c r="B52" t="n">
        <v>0.1599</v>
      </c>
    </row>
    <row r="53">
      <c r="A53" t="n">
        <v>207466866</v>
      </c>
      <c r="B53" t="n">
        <v>0.1589</v>
      </c>
    </row>
    <row r="54">
      <c r="A54" t="n">
        <v>207469760</v>
      </c>
      <c r="B54" t="n">
        <v>0.1506</v>
      </c>
    </row>
    <row r="55">
      <c r="A55" t="n">
        <v>207472742</v>
      </c>
      <c r="B55" t="n">
        <v>0.3136</v>
      </c>
    </row>
    <row r="56">
      <c r="A56" t="n">
        <v>207475898</v>
      </c>
      <c r="B56" t="n">
        <v>0.2001</v>
      </c>
    </row>
    <row r="57">
      <c r="A57" t="n">
        <v>207476309</v>
      </c>
      <c r="B57" t="n">
        <v>0.3027</v>
      </c>
    </row>
    <row r="58">
      <c r="A58" t="n">
        <v>207476777</v>
      </c>
      <c r="B58" t="n">
        <v>0.1447</v>
      </c>
    </row>
    <row r="59">
      <c r="A59" t="n">
        <v>207477077</v>
      </c>
      <c r="B59" t="n">
        <v>0.1512</v>
      </c>
    </row>
    <row r="60">
      <c r="A60" t="n">
        <v>207481251</v>
      </c>
      <c r="B60" t="n">
        <v>0.1578</v>
      </c>
    </row>
    <row r="61">
      <c r="A61" t="n">
        <v>207482718</v>
      </c>
      <c r="B61" t="n">
        <v>0.1592</v>
      </c>
    </row>
    <row r="62">
      <c r="A62" t="n">
        <v>207483179</v>
      </c>
      <c r="B62" t="n">
        <v>0.1613</v>
      </c>
    </row>
    <row r="63">
      <c r="A63" t="n">
        <v>207483780</v>
      </c>
      <c r="B63" t="n">
        <v>0.1358</v>
      </c>
    </row>
    <row r="64">
      <c r="A64" t="n">
        <v>207796350</v>
      </c>
      <c r="B64" t="n">
        <v>0.1643</v>
      </c>
    </row>
    <row r="65">
      <c r="A65" t="n">
        <v>207796439</v>
      </c>
      <c r="B65" t="n">
        <v>0.1738</v>
      </c>
    </row>
    <row r="66">
      <c r="A66" t="n">
        <v>207796563</v>
      </c>
      <c r="B66" t="n">
        <v>0.1653</v>
      </c>
    </row>
    <row r="67">
      <c r="A67" t="n">
        <v>207796789</v>
      </c>
      <c r="B67" t="n">
        <v>0.1695</v>
      </c>
    </row>
    <row r="68">
      <c r="A68" t="n">
        <v>207796898</v>
      </c>
      <c r="B68" t="n">
        <v>0.1594</v>
      </c>
    </row>
    <row r="69">
      <c r="A69" t="n">
        <v>207817787</v>
      </c>
      <c r="B69" t="n">
        <v>0.1015</v>
      </c>
    </row>
    <row r="70">
      <c r="A70" t="n">
        <v>207818000</v>
      </c>
      <c r="B70" t="n">
        <v>0.1359</v>
      </c>
    </row>
    <row r="71">
      <c r="A71" t="n">
        <v>207818642</v>
      </c>
      <c r="B71" t="n">
        <v>0.1539</v>
      </c>
    </row>
    <row r="72">
      <c r="A72" t="n">
        <v>208202076</v>
      </c>
      <c r="B72" t="n">
        <v>0.1485</v>
      </c>
    </row>
    <row r="73">
      <c r="A73" t="n">
        <v>208208674</v>
      </c>
      <c r="B73" t="n">
        <v>0.3137</v>
      </c>
    </row>
    <row r="74">
      <c r="A74" t="n">
        <v>210575566</v>
      </c>
      <c r="B74" t="n">
        <v>0.1534</v>
      </c>
    </row>
    <row r="75">
      <c r="A75" t="n">
        <v>210579932</v>
      </c>
      <c r="B75" t="n">
        <v>0</v>
      </c>
    </row>
    <row r="76">
      <c r="A76" t="n">
        <v>212719009</v>
      </c>
      <c r="B76" t="n">
        <v>0.1671</v>
      </c>
    </row>
    <row r="77">
      <c r="A77" t="n">
        <v>212720615</v>
      </c>
      <c r="B77" t="n">
        <v>0.1015</v>
      </c>
    </row>
    <row r="78">
      <c r="A78" t="n">
        <v>212753217</v>
      </c>
      <c r="B78" t="n">
        <v>0.1612</v>
      </c>
    </row>
    <row r="79">
      <c r="A79" t="n">
        <v>212757456</v>
      </c>
      <c r="B79" t="n">
        <v>0.2115</v>
      </c>
    </row>
    <row r="80">
      <c r="A80" t="n">
        <v>212759698</v>
      </c>
      <c r="B80" t="n">
        <v>0.1484</v>
      </c>
    </row>
    <row r="81">
      <c r="A81" t="n">
        <v>212760119</v>
      </c>
      <c r="B81" t="n">
        <v>0.152</v>
      </c>
    </row>
    <row r="82">
      <c r="A82" t="n">
        <v>212883090</v>
      </c>
      <c r="B82" t="n">
        <v>0.1461</v>
      </c>
    </row>
    <row r="83">
      <c r="A83" t="n">
        <v>212885914</v>
      </c>
      <c r="B83" t="n">
        <v>0.1564</v>
      </c>
    </row>
    <row r="84">
      <c r="A84" t="n">
        <v>212889025</v>
      </c>
      <c r="B84" t="n">
        <v>0.1504</v>
      </c>
    </row>
    <row r="85">
      <c r="A85" t="n">
        <v>212889027</v>
      </c>
      <c r="B85" t="n">
        <v>0.1492</v>
      </c>
    </row>
    <row r="86">
      <c r="A86" t="n">
        <v>212889028</v>
      </c>
      <c r="B86" t="n">
        <v>0.1514</v>
      </c>
    </row>
    <row r="87">
      <c r="A87" t="n">
        <v>214304883</v>
      </c>
      <c r="B87" t="n">
        <v>0.1595</v>
      </c>
    </row>
    <row r="88">
      <c r="A88" t="n">
        <v>214305705</v>
      </c>
      <c r="B88" t="n">
        <v>0</v>
      </c>
    </row>
    <row r="89">
      <c r="A89" t="n">
        <v>214305722</v>
      </c>
      <c r="B89" t="n">
        <v>0.9546</v>
      </c>
    </row>
    <row r="90">
      <c r="A90" t="n">
        <v>214311963</v>
      </c>
      <c r="B90" t="n">
        <v>0.148</v>
      </c>
    </row>
    <row r="91">
      <c r="A91" t="n">
        <v>214312149</v>
      </c>
      <c r="B91" t="n">
        <v>0.1449</v>
      </c>
    </row>
    <row r="92">
      <c r="A92" t="n">
        <v>214312385</v>
      </c>
      <c r="B92" t="n">
        <v>0.16</v>
      </c>
    </row>
    <row r="93">
      <c r="A93" t="n">
        <v>214964091</v>
      </c>
      <c r="B93" t="n">
        <v>0.1844</v>
      </c>
    </row>
    <row r="94">
      <c r="A94" t="n">
        <v>214977901</v>
      </c>
      <c r="B94" t="n">
        <v>0.1891</v>
      </c>
    </row>
    <row r="95">
      <c r="A95" t="n">
        <v>226114831</v>
      </c>
      <c r="B95" t="n">
        <v>0</v>
      </c>
    </row>
    <row r="96">
      <c r="A96" t="n">
        <v>226114935</v>
      </c>
      <c r="B96" t="n">
        <v>0.1722</v>
      </c>
    </row>
    <row r="97">
      <c r="A97" t="n">
        <v>226115141</v>
      </c>
      <c r="B97" t="n">
        <v>0.1471</v>
      </c>
    </row>
    <row r="98">
      <c r="A98" t="n">
        <v>226115248</v>
      </c>
      <c r="B98" t="n">
        <v>0.1664</v>
      </c>
    </row>
    <row r="99">
      <c r="A99" t="n">
        <v>226115324</v>
      </c>
      <c r="B99" t="n">
        <v>0</v>
      </c>
    </row>
    <row r="100">
      <c r="A100" t="n">
        <v>226115478</v>
      </c>
      <c r="B100" t="n">
        <v>0.1713</v>
      </c>
    </row>
    <row r="101">
      <c r="A101" t="n">
        <v>226117746</v>
      </c>
      <c r="B101" t="n">
        <v>0.1696</v>
      </c>
    </row>
    <row r="102">
      <c r="A102" t="n">
        <v>236825103</v>
      </c>
      <c r="B102" t="n">
        <v>0.2226</v>
      </c>
    </row>
    <row r="103">
      <c r="A103" t="n">
        <v>238358954</v>
      </c>
      <c r="B103" t="n">
        <v>0.1633</v>
      </c>
    </row>
    <row r="104">
      <c r="A104" t="n">
        <v>238359400</v>
      </c>
      <c r="B104" t="n">
        <v>0</v>
      </c>
    </row>
    <row r="105">
      <c r="A105" t="n">
        <v>238413828</v>
      </c>
      <c r="B105" t="n">
        <v>0.0925</v>
      </c>
    </row>
    <row r="106">
      <c r="A106" t="n">
        <v>238415286</v>
      </c>
      <c r="B106" t="n">
        <v>0.1598</v>
      </c>
    </row>
    <row r="107">
      <c r="A107" t="n">
        <v>238416010</v>
      </c>
      <c r="B107" t="n">
        <v>0.1545</v>
      </c>
    </row>
    <row r="108">
      <c r="A108" t="n">
        <v>240311751</v>
      </c>
      <c r="B108" t="n">
        <v>1.5916</v>
      </c>
    </row>
    <row r="109">
      <c r="A109" t="n">
        <v>247275092</v>
      </c>
      <c r="B109" t="n">
        <v>0.154</v>
      </c>
    </row>
    <row r="110">
      <c r="A110" t="n">
        <v>248928046</v>
      </c>
      <c r="B110" t="n">
        <v>0.1381</v>
      </c>
    </row>
    <row r="111">
      <c r="A111" t="n">
        <v>248929125</v>
      </c>
      <c r="B111" t="n">
        <v>0.1671</v>
      </c>
    </row>
    <row r="112">
      <c r="A112" t="n">
        <v>255574453</v>
      </c>
      <c r="B112" t="n">
        <v>0.1834</v>
      </c>
    </row>
    <row r="113">
      <c r="A113" t="n">
        <v>307073881</v>
      </c>
      <c r="B113" t="n">
        <v>0.1502</v>
      </c>
    </row>
    <row r="114">
      <c r="A114" t="n">
        <v>315688951</v>
      </c>
      <c r="B114" t="n">
        <v>0.1884</v>
      </c>
    </row>
    <row r="115">
      <c r="A115" t="n">
        <v>333318356</v>
      </c>
      <c r="B115" t="n">
        <v>0.1756</v>
      </c>
    </row>
    <row r="116">
      <c r="A116" t="n">
        <v>333321028</v>
      </c>
      <c r="B116" t="n">
        <v>0</v>
      </c>
    </row>
    <row r="117">
      <c r="A117" t="n">
        <v>340752919</v>
      </c>
      <c r="B117" t="n">
        <v>0.1563</v>
      </c>
    </row>
    <row r="118">
      <c r="A118" t="n">
        <v>419630142</v>
      </c>
      <c r="B118" t="n">
        <v>0.1496</v>
      </c>
    </row>
    <row r="119">
      <c r="A119" t="n">
        <v>437154709</v>
      </c>
      <c r="B119" t="n">
        <v>0.2029</v>
      </c>
    </row>
    <row r="120">
      <c r="A120" t="n">
        <v>437190353</v>
      </c>
      <c r="B120" t="n">
        <v>0.1535</v>
      </c>
    </row>
    <row r="121">
      <c r="A121" t="n">
        <v>437242640</v>
      </c>
      <c r="B121" t="n">
        <v>0.1437</v>
      </c>
    </row>
    <row r="122">
      <c r="A122" t="n">
        <v>437254254</v>
      </c>
      <c r="B122" t="n">
        <v>0.1651</v>
      </c>
    </row>
    <row r="123">
      <c r="A123" t="n">
        <v>437776835</v>
      </c>
      <c r="B123" t="n">
        <v>0.1584</v>
      </c>
    </row>
    <row r="124">
      <c r="A124" t="n">
        <v>437797551</v>
      </c>
      <c r="B124" t="n">
        <v>0.1414</v>
      </c>
    </row>
    <row r="125">
      <c r="A125" t="n">
        <v>437850261</v>
      </c>
      <c r="B125" t="n">
        <v>0.1548</v>
      </c>
    </row>
    <row r="126">
      <c r="A126" t="n">
        <v>535622289</v>
      </c>
      <c r="B126" t="n">
        <v>0.3992</v>
      </c>
    </row>
    <row r="127">
      <c r="A127" t="n">
        <v>551387355</v>
      </c>
      <c r="B127" t="n">
        <v>0.1544</v>
      </c>
    </row>
    <row r="128">
      <c r="A128" t="n">
        <v>551392965</v>
      </c>
      <c r="B128" t="n">
        <v>0.1647</v>
      </c>
    </row>
    <row r="129">
      <c r="A129" t="n">
        <v>551447345</v>
      </c>
      <c r="B129" t="n">
        <v>0.1588</v>
      </c>
    </row>
    <row r="130">
      <c r="A130" t="n">
        <v>551465879</v>
      </c>
      <c r="B130" t="n">
        <v>0.1586</v>
      </c>
    </row>
    <row r="131">
      <c r="A131" t="n">
        <v>551472457</v>
      </c>
      <c r="B131" t="n">
        <v>0.1587</v>
      </c>
    </row>
    <row r="132">
      <c r="A132" t="n">
        <v>551482493</v>
      </c>
      <c r="B132" t="n">
        <v>0.1619</v>
      </c>
    </row>
    <row r="133">
      <c r="A133" t="n">
        <v>551490295</v>
      </c>
      <c r="B133" t="n">
        <v>0.1697</v>
      </c>
    </row>
    <row r="134">
      <c r="A134" t="n">
        <v>551518955</v>
      </c>
      <c r="B134" t="n">
        <v>0.1503</v>
      </c>
    </row>
    <row r="135">
      <c r="A135" t="n">
        <v>551540924</v>
      </c>
      <c r="B135" t="n">
        <v>0.1554</v>
      </c>
    </row>
    <row r="136">
      <c r="A136" t="n">
        <v>551600265</v>
      </c>
      <c r="B136" t="n">
        <v>0.1636</v>
      </c>
    </row>
    <row r="137">
      <c r="A137" t="n">
        <v>551607905</v>
      </c>
      <c r="B137" t="n">
        <v>0.1623</v>
      </c>
    </row>
    <row r="138">
      <c r="A138" t="n">
        <v>551616449</v>
      </c>
      <c r="B138" t="n">
        <v>0.1864</v>
      </c>
    </row>
    <row r="139">
      <c r="A139" t="n">
        <v>555204573</v>
      </c>
      <c r="B139" t="n">
        <v>0</v>
      </c>
    </row>
    <row r="140">
      <c r="A140" t="n">
        <v>608624295</v>
      </c>
      <c r="B140" t="n">
        <v>0.2808</v>
      </c>
    </row>
    <row r="141">
      <c r="A141" t="n">
        <v>608837066</v>
      </c>
      <c r="B141" t="n">
        <v>0.4148</v>
      </c>
    </row>
    <row r="142">
      <c r="A142" t="n">
        <v>608841921</v>
      </c>
      <c r="B142" t="n">
        <v>0.1588</v>
      </c>
    </row>
    <row r="143">
      <c r="A143" t="n">
        <v>611744611</v>
      </c>
      <c r="B143" t="n">
        <v>0.132</v>
      </c>
    </row>
    <row r="144">
      <c r="A144" t="n">
        <v>611745490</v>
      </c>
      <c r="B144" t="n">
        <v>0.1297</v>
      </c>
    </row>
    <row r="145">
      <c r="A145" t="n">
        <v>611747838</v>
      </c>
      <c r="B145" t="n">
        <v>0.1419</v>
      </c>
    </row>
    <row r="146">
      <c r="A146" t="n">
        <v>663654300</v>
      </c>
      <c r="B146" t="n">
        <v>0.661</v>
      </c>
    </row>
    <row r="147">
      <c r="A147" t="n">
        <v>868516027</v>
      </c>
      <c r="B147" t="n">
        <v>0.1765</v>
      </c>
    </row>
    <row r="148">
      <c r="A148" t="n">
        <v>868575374</v>
      </c>
      <c r="B148" t="n">
        <v>0.2111</v>
      </c>
    </row>
    <row r="149">
      <c r="A149" t="n">
        <v>868700077</v>
      </c>
      <c r="B149" t="n">
        <v>0.1444</v>
      </c>
    </row>
    <row r="150">
      <c r="A150" t="n">
        <v>868761530</v>
      </c>
      <c r="B150" t="n">
        <v>0.1502</v>
      </c>
    </row>
    <row r="151">
      <c r="A151" t="n">
        <v>1119249556</v>
      </c>
      <c r="B151" t="n">
        <v>0.1549</v>
      </c>
    </row>
    <row r="152">
      <c r="A152" t="n">
        <v>1123494802</v>
      </c>
      <c r="B152" t="n">
        <v>0.1566</v>
      </c>
    </row>
    <row r="153">
      <c r="A153" t="n">
        <v>1123574113</v>
      </c>
      <c r="B153" t="n">
        <v>0.1479</v>
      </c>
    </row>
    <row r="154">
      <c r="A154" t="n">
        <v>1126531855</v>
      </c>
      <c r="B154" t="n">
        <v>0.16</v>
      </c>
    </row>
    <row r="155">
      <c r="A155" t="n">
        <v>1126568337</v>
      </c>
      <c r="B155" t="n">
        <v>0.1597</v>
      </c>
    </row>
    <row r="156">
      <c r="A156" t="n">
        <v>1126598360</v>
      </c>
      <c r="B156" t="n">
        <v>0.16</v>
      </c>
    </row>
    <row r="157">
      <c r="A157" t="n">
        <v>1126626550</v>
      </c>
      <c r="B157" t="n">
        <v>0.16</v>
      </c>
    </row>
    <row r="158">
      <c r="A158" t="n">
        <v>1126645805</v>
      </c>
      <c r="B158" t="n">
        <v>0.16</v>
      </c>
    </row>
    <row r="159">
      <c r="A159" t="n">
        <v>1126690112</v>
      </c>
      <c r="B159" t="n">
        <v>0.16</v>
      </c>
    </row>
    <row r="160">
      <c r="A160" t="n">
        <v>1126874288</v>
      </c>
      <c r="B160" t="n">
        <v>0.16</v>
      </c>
    </row>
    <row r="161">
      <c r="A161" t="n">
        <v>1138638005</v>
      </c>
      <c r="B161" t="n">
        <v>0.16</v>
      </c>
    </row>
    <row r="162">
      <c r="A162" t="n">
        <v>1138642065</v>
      </c>
      <c r="B162" t="n">
        <v>0.16</v>
      </c>
    </row>
    <row r="163">
      <c r="A163" t="n">
        <v>1138646523</v>
      </c>
      <c r="B163" t="n">
        <v>0.16</v>
      </c>
    </row>
    <row r="164">
      <c r="A164" t="n">
        <v>1138834711</v>
      </c>
      <c r="B164" t="n">
        <v>0.16</v>
      </c>
    </row>
    <row r="165">
      <c r="A165" t="n">
        <v>1138835712</v>
      </c>
      <c r="B165" t="n">
        <v>0.16</v>
      </c>
    </row>
    <row r="166">
      <c r="A166" t="n">
        <v>1138839050</v>
      </c>
      <c r="B166" t="n">
        <v>0.16</v>
      </c>
    </row>
    <row r="167">
      <c r="A167" t="n">
        <v>1138841064</v>
      </c>
      <c r="B167" t="n">
        <v>0.16</v>
      </c>
    </row>
    <row r="168">
      <c r="A168" t="n">
        <v>1138843355</v>
      </c>
      <c r="B168" t="n">
        <v>0.16</v>
      </c>
    </row>
    <row r="169">
      <c r="A169" t="n">
        <v>1138938827</v>
      </c>
      <c r="B169" t="n">
        <v>0.16</v>
      </c>
    </row>
    <row r="170">
      <c r="A170" t="n">
        <v>1139005708</v>
      </c>
      <c r="B170" t="n">
        <v>0.16</v>
      </c>
    </row>
    <row r="171">
      <c r="A171" t="n">
        <v>1139014717</v>
      </c>
      <c r="B171" t="n">
        <v>0.16</v>
      </c>
    </row>
    <row r="172">
      <c r="A172" t="n">
        <v>1139030037</v>
      </c>
      <c r="B172" t="n">
        <v>0.16</v>
      </c>
    </row>
    <row r="173">
      <c r="A173" t="n">
        <v>1139036132</v>
      </c>
      <c r="B173" t="n">
        <v>0.1904</v>
      </c>
    </row>
    <row r="174">
      <c r="A174" t="n">
        <v>1139040138</v>
      </c>
      <c r="B174" t="n">
        <v>0.16</v>
      </c>
    </row>
    <row r="175">
      <c r="A175" t="n">
        <v>1139095890</v>
      </c>
      <c r="B175" t="n">
        <v>0.16</v>
      </c>
    </row>
    <row r="176">
      <c r="A176" t="n">
        <v>1139101006</v>
      </c>
      <c r="B176" t="n">
        <v>0.16</v>
      </c>
    </row>
    <row r="177">
      <c r="A177" t="n">
        <v>1139103032</v>
      </c>
      <c r="B177" t="n">
        <v>0.16</v>
      </c>
    </row>
    <row r="178">
      <c r="A178" t="n">
        <v>1139152860</v>
      </c>
      <c r="B178" t="n">
        <v>0.228</v>
      </c>
    </row>
    <row r="179">
      <c r="A179" t="n">
        <v>1139155618</v>
      </c>
      <c r="B179" t="n">
        <v>0.16</v>
      </c>
    </row>
    <row r="180">
      <c r="A180" t="n">
        <v>1139159459</v>
      </c>
      <c r="B180" t="n">
        <v>0.16</v>
      </c>
    </row>
    <row r="181">
      <c r="A181" t="n">
        <v>1139163403</v>
      </c>
      <c r="B181" t="n">
        <v>0.2253</v>
      </c>
    </row>
    <row r="182">
      <c r="A182" t="n">
        <v>1139168138</v>
      </c>
      <c r="B182" t="n">
        <v>0.16</v>
      </c>
    </row>
    <row r="183">
      <c r="A183" t="n">
        <v>1139170302</v>
      </c>
      <c r="B183" t="n">
        <v>0.16</v>
      </c>
    </row>
    <row r="184">
      <c r="A184" t="n">
        <v>1139177864</v>
      </c>
      <c r="B184" t="n">
        <v>0.16</v>
      </c>
    </row>
    <row r="185">
      <c r="A185" t="n">
        <v>1139184393</v>
      </c>
      <c r="B185" t="n">
        <v>0.16</v>
      </c>
    </row>
    <row r="186">
      <c r="A186" t="n">
        <v>1139196306</v>
      </c>
      <c r="B186" t="n">
        <v>0.16</v>
      </c>
    </row>
    <row r="187">
      <c r="A187" t="n">
        <v>1139198643</v>
      </c>
      <c r="B187" t="n">
        <v>0.16</v>
      </c>
    </row>
    <row r="188">
      <c r="A188" t="n">
        <v>1139201157</v>
      </c>
      <c r="B188" t="n">
        <v>0.16</v>
      </c>
    </row>
    <row r="189">
      <c r="A189" t="n">
        <v>1139203939</v>
      </c>
      <c r="B189" t="n">
        <v>0.16</v>
      </c>
    </row>
    <row r="190">
      <c r="A190" t="n">
        <v>1139205173</v>
      </c>
      <c r="B190" t="n">
        <v>0.16</v>
      </c>
    </row>
    <row r="191">
      <c r="A191" t="n">
        <v>1139212638</v>
      </c>
      <c r="B191" t="n">
        <v>0.16</v>
      </c>
    </row>
    <row r="192">
      <c r="A192" t="n">
        <v>1139217196</v>
      </c>
      <c r="B192" t="n">
        <v>0.16</v>
      </c>
    </row>
    <row r="193">
      <c r="A193" t="n">
        <v>1139220114</v>
      </c>
      <c r="B193" t="n">
        <v>0.16</v>
      </c>
    </row>
    <row r="194">
      <c r="A194" t="n">
        <v>1139230773</v>
      </c>
      <c r="B194" t="n">
        <v>0.16</v>
      </c>
    </row>
    <row r="195">
      <c r="A195" t="n">
        <v>1139241419</v>
      </c>
      <c r="B195" t="n">
        <v>0.16</v>
      </c>
    </row>
    <row r="196">
      <c r="A196" t="n">
        <v>1139245659</v>
      </c>
      <c r="B196" t="n">
        <v>0.16</v>
      </c>
    </row>
    <row r="197">
      <c r="A197" t="n">
        <v>1139248177</v>
      </c>
      <c r="B197" t="n">
        <v>0.16</v>
      </c>
    </row>
    <row r="198">
      <c r="A198" t="n">
        <v>1139263886</v>
      </c>
      <c r="B198" t="n">
        <v>0.16</v>
      </c>
    </row>
    <row r="199">
      <c r="A199" t="n">
        <v>1139267477</v>
      </c>
      <c r="B199" t="n">
        <v>0.16</v>
      </c>
    </row>
    <row r="200">
      <c r="A200" t="n">
        <v>1139273633</v>
      </c>
      <c r="B200" t="n">
        <v>0.16</v>
      </c>
    </row>
    <row r="201">
      <c r="A201" t="n">
        <v>1139281487</v>
      </c>
      <c r="B201" t="n">
        <v>0.16</v>
      </c>
    </row>
    <row r="202">
      <c r="A202" t="n">
        <v>1152680017</v>
      </c>
      <c r="B202" t="n">
        <v>0.136</v>
      </c>
    </row>
    <row r="203">
      <c r="A203" t="n">
        <v>1175175447</v>
      </c>
      <c r="B203" t="n">
        <v>0.1843</v>
      </c>
    </row>
    <row r="204">
      <c r="A204" t="n">
        <v>1177994944</v>
      </c>
      <c r="B204" t="n">
        <v>0.1843</v>
      </c>
    </row>
    <row r="205">
      <c r="A205" t="n">
        <v>1177994945</v>
      </c>
      <c r="B205" t="n">
        <v>0.1843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90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</cols>
  <sheetData>
    <row r="1">
      <c r="A1" s="12" t="inlineStr">
        <is>
          <t>Артикул ВБ</t>
        </is>
      </c>
      <c r="B1" s="12" t="inlineStr">
        <is>
          <t>Выкупы за 100 дн, шт</t>
        </is>
      </c>
    </row>
    <row r="2">
      <c r="A2" t="n">
        <v>18388257</v>
      </c>
      <c r="B2" t="n">
        <v>0</v>
      </c>
    </row>
    <row r="3">
      <c r="A3" t="n">
        <v>18405795</v>
      </c>
      <c r="B3" t="n">
        <v>0</v>
      </c>
    </row>
    <row r="4">
      <c r="A4" t="n">
        <v>18406590</v>
      </c>
      <c r="B4" t="n">
        <v>0</v>
      </c>
    </row>
    <row r="5">
      <c r="A5" t="n">
        <v>18432729</v>
      </c>
      <c r="B5" t="n">
        <v>0</v>
      </c>
    </row>
    <row r="6">
      <c r="A6" t="n">
        <v>48905926</v>
      </c>
      <c r="B6" t="n">
        <v>4</v>
      </c>
    </row>
    <row r="7">
      <c r="A7" t="n">
        <v>48906211</v>
      </c>
      <c r="B7" t="n">
        <v>0</v>
      </c>
    </row>
    <row r="8">
      <c r="A8" t="n">
        <v>48906308</v>
      </c>
      <c r="B8" t="n">
        <v>5</v>
      </c>
    </row>
    <row r="9">
      <c r="A9" t="n">
        <v>48906602</v>
      </c>
      <c r="B9" t="n">
        <v>0</v>
      </c>
    </row>
    <row r="10">
      <c r="A10" t="n">
        <v>48906952</v>
      </c>
      <c r="B10" t="n">
        <v>4</v>
      </c>
    </row>
    <row r="11">
      <c r="A11" t="n">
        <v>48908708</v>
      </c>
      <c r="B11" t="n">
        <v>2</v>
      </c>
    </row>
    <row r="12">
      <c r="A12" t="n">
        <v>48909005</v>
      </c>
      <c r="B12" t="n">
        <v>0</v>
      </c>
    </row>
    <row r="13">
      <c r="A13" t="n">
        <v>59729264</v>
      </c>
      <c r="B13" t="n">
        <v>0</v>
      </c>
    </row>
    <row r="14">
      <c r="A14" t="n">
        <v>59742048</v>
      </c>
      <c r="B14" t="n">
        <v>0</v>
      </c>
    </row>
    <row r="15">
      <c r="A15" t="n">
        <v>59742049</v>
      </c>
      <c r="B15" t="n">
        <v>0</v>
      </c>
    </row>
    <row r="16">
      <c r="A16" t="n">
        <v>59742050</v>
      </c>
      <c r="B16" t="n">
        <v>0</v>
      </c>
    </row>
    <row r="17">
      <c r="A17" t="n">
        <v>59758721</v>
      </c>
      <c r="B17" t="n">
        <v>0</v>
      </c>
    </row>
    <row r="18">
      <c r="A18" t="n">
        <v>59758722</v>
      </c>
      <c r="B18" t="n">
        <v>0</v>
      </c>
    </row>
    <row r="19">
      <c r="A19" t="n">
        <v>59758723</v>
      </c>
      <c r="B19" t="n">
        <v>1</v>
      </c>
    </row>
    <row r="20">
      <c r="A20" t="n">
        <v>59758724</v>
      </c>
      <c r="B20" t="n">
        <v>0</v>
      </c>
    </row>
    <row r="21">
      <c r="A21" t="n">
        <v>78053293</v>
      </c>
      <c r="B21" t="n">
        <v>0</v>
      </c>
    </row>
    <row r="22">
      <c r="A22" t="n">
        <v>78054472</v>
      </c>
      <c r="B22" t="n">
        <v>0</v>
      </c>
    </row>
    <row r="23">
      <c r="A23" t="n">
        <v>78454688</v>
      </c>
      <c r="B23" t="n">
        <v>0</v>
      </c>
    </row>
    <row r="24">
      <c r="A24" t="n">
        <v>78454766</v>
      </c>
      <c r="B24" t="n">
        <v>0</v>
      </c>
    </row>
    <row r="25">
      <c r="A25" t="n">
        <v>78454814</v>
      </c>
      <c r="B25" t="n">
        <v>0</v>
      </c>
    </row>
    <row r="26">
      <c r="A26" t="n">
        <v>78836747</v>
      </c>
      <c r="B26" t="n">
        <v>0</v>
      </c>
    </row>
    <row r="27">
      <c r="A27" t="n">
        <v>78838371</v>
      </c>
      <c r="B27" t="n">
        <v>0</v>
      </c>
    </row>
    <row r="28">
      <c r="A28" t="n">
        <v>79868118</v>
      </c>
      <c r="B28" t="n">
        <v>0</v>
      </c>
    </row>
    <row r="29">
      <c r="A29" t="n">
        <v>80222900</v>
      </c>
      <c r="B29" t="n">
        <v>0</v>
      </c>
    </row>
    <row r="30">
      <c r="A30" t="n">
        <v>80222948</v>
      </c>
      <c r="B30" t="n">
        <v>0</v>
      </c>
    </row>
    <row r="31">
      <c r="A31" t="n">
        <v>85076675</v>
      </c>
      <c r="B31" t="n">
        <v>0</v>
      </c>
    </row>
    <row r="32">
      <c r="A32" t="n">
        <v>90370034</v>
      </c>
      <c r="B32" t="n">
        <v>0</v>
      </c>
    </row>
    <row r="33">
      <c r="A33" t="n">
        <v>92315114</v>
      </c>
      <c r="B33" t="n">
        <v>0</v>
      </c>
    </row>
    <row r="34">
      <c r="A34" t="n">
        <v>93302814</v>
      </c>
      <c r="B34" t="n">
        <v>0</v>
      </c>
    </row>
    <row r="35">
      <c r="A35" t="n">
        <v>93487191</v>
      </c>
      <c r="B35" t="n">
        <v>0</v>
      </c>
    </row>
    <row r="36">
      <c r="A36" t="n">
        <v>94237840</v>
      </c>
      <c r="B36" t="n">
        <v>0</v>
      </c>
    </row>
    <row r="37">
      <c r="A37" t="n">
        <v>100680843</v>
      </c>
      <c r="B37" t="n">
        <v>859</v>
      </c>
    </row>
    <row r="38">
      <c r="A38" t="n">
        <v>100680844</v>
      </c>
      <c r="B38" t="n">
        <v>497</v>
      </c>
    </row>
    <row r="39">
      <c r="A39" t="n">
        <v>102247602</v>
      </c>
      <c r="B39" t="n">
        <v>0</v>
      </c>
    </row>
    <row r="40">
      <c r="A40" t="n">
        <v>102254770</v>
      </c>
      <c r="B40" t="n">
        <v>0</v>
      </c>
    </row>
    <row r="41">
      <c r="A41" t="n">
        <v>102255837</v>
      </c>
      <c r="B41" t="n">
        <v>0</v>
      </c>
    </row>
    <row r="42">
      <c r="A42" t="n">
        <v>102256288</v>
      </c>
      <c r="B42" t="n">
        <v>1</v>
      </c>
    </row>
    <row r="43">
      <c r="A43" t="n">
        <v>102258119</v>
      </c>
      <c r="B43" t="n">
        <v>0</v>
      </c>
    </row>
    <row r="44">
      <c r="A44" t="n">
        <v>102258255</v>
      </c>
      <c r="B44" t="n">
        <v>0</v>
      </c>
    </row>
    <row r="45">
      <c r="A45" t="n">
        <v>102258636</v>
      </c>
      <c r="B45" t="n">
        <v>0</v>
      </c>
    </row>
    <row r="46">
      <c r="A46" t="n">
        <v>102259020</v>
      </c>
      <c r="B46" t="n">
        <v>2</v>
      </c>
    </row>
    <row r="47">
      <c r="A47" t="n">
        <v>102261589</v>
      </c>
      <c r="B47" t="n">
        <v>0</v>
      </c>
    </row>
    <row r="48">
      <c r="A48" t="n">
        <v>102263707</v>
      </c>
      <c r="B48" t="n">
        <v>0</v>
      </c>
    </row>
    <row r="49">
      <c r="A49" t="n">
        <v>102264249</v>
      </c>
      <c r="B49" t="n">
        <v>0</v>
      </c>
    </row>
    <row r="50">
      <c r="A50" t="n">
        <v>102264744</v>
      </c>
      <c r="B50" t="n">
        <v>1</v>
      </c>
    </row>
    <row r="51">
      <c r="A51" t="n">
        <v>103426811</v>
      </c>
      <c r="B51" t="n">
        <v>0</v>
      </c>
    </row>
    <row r="52">
      <c r="A52" t="n">
        <v>103431353</v>
      </c>
      <c r="B52" t="n">
        <v>7</v>
      </c>
    </row>
    <row r="53">
      <c r="A53" t="n">
        <v>103431810</v>
      </c>
      <c r="B53" t="n">
        <v>12</v>
      </c>
    </row>
    <row r="54">
      <c r="A54" t="n">
        <v>103441912</v>
      </c>
      <c r="B54" t="n">
        <v>2</v>
      </c>
    </row>
    <row r="55">
      <c r="A55" t="n">
        <v>103442522</v>
      </c>
      <c r="B55" t="n">
        <v>5</v>
      </c>
    </row>
    <row r="56">
      <c r="A56" t="n">
        <v>103442628</v>
      </c>
      <c r="B56" t="n">
        <v>0</v>
      </c>
    </row>
    <row r="57">
      <c r="A57" t="n">
        <v>103442939</v>
      </c>
      <c r="B57" t="n">
        <v>0</v>
      </c>
    </row>
    <row r="58">
      <c r="A58" t="n">
        <v>104590122</v>
      </c>
      <c r="B58" t="n">
        <v>19</v>
      </c>
    </row>
    <row r="59">
      <c r="A59" t="n">
        <v>105911397</v>
      </c>
      <c r="B59" t="n">
        <v>0</v>
      </c>
    </row>
    <row r="60">
      <c r="A60" t="n">
        <v>122223609</v>
      </c>
      <c r="B60" t="n">
        <v>0</v>
      </c>
    </row>
    <row r="61">
      <c r="A61" t="n">
        <v>124146216</v>
      </c>
      <c r="B61" t="n">
        <v>0</v>
      </c>
    </row>
    <row r="62">
      <c r="A62" t="n">
        <v>133070643</v>
      </c>
      <c r="B62" t="n">
        <v>0</v>
      </c>
    </row>
    <row r="63">
      <c r="A63" t="n">
        <v>133070645</v>
      </c>
      <c r="B63" t="n">
        <v>0</v>
      </c>
    </row>
    <row r="64">
      <c r="A64" t="n">
        <v>133070646</v>
      </c>
      <c r="B64" t="n">
        <v>0</v>
      </c>
    </row>
    <row r="65">
      <c r="A65" t="n">
        <v>133070647</v>
      </c>
      <c r="B65" t="n">
        <v>0</v>
      </c>
    </row>
    <row r="66">
      <c r="A66" t="n">
        <v>133070648</v>
      </c>
      <c r="B66" t="n">
        <v>0</v>
      </c>
    </row>
    <row r="67">
      <c r="A67" t="n">
        <v>133070649</v>
      </c>
      <c r="B67" t="n">
        <v>0</v>
      </c>
    </row>
    <row r="68">
      <c r="A68" t="n">
        <v>133070650</v>
      </c>
      <c r="B68" t="n">
        <v>0</v>
      </c>
    </row>
    <row r="69">
      <c r="A69" t="n">
        <v>133070651</v>
      </c>
      <c r="B69" t="n">
        <v>0</v>
      </c>
    </row>
    <row r="70">
      <c r="A70" t="n">
        <v>133070652</v>
      </c>
      <c r="B70" t="n">
        <v>0</v>
      </c>
    </row>
    <row r="71">
      <c r="A71" t="n">
        <v>133070653</v>
      </c>
      <c r="B71" t="n">
        <v>0</v>
      </c>
    </row>
    <row r="72">
      <c r="A72" t="n">
        <v>133728706</v>
      </c>
      <c r="B72" t="n">
        <v>0</v>
      </c>
    </row>
    <row r="73">
      <c r="A73" t="n">
        <v>133730447</v>
      </c>
      <c r="B73" t="n">
        <v>0</v>
      </c>
    </row>
    <row r="74">
      <c r="A74" t="n">
        <v>133732685</v>
      </c>
      <c r="B74" t="n">
        <v>0</v>
      </c>
    </row>
    <row r="75">
      <c r="A75" t="n">
        <v>143830812</v>
      </c>
      <c r="B75" t="n">
        <v>0</v>
      </c>
    </row>
    <row r="76">
      <c r="A76" t="n">
        <v>143830813</v>
      </c>
      <c r="B76" t="n">
        <v>0</v>
      </c>
    </row>
    <row r="77">
      <c r="A77" t="n">
        <v>143830814</v>
      </c>
      <c r="B77" t="n">
        <v>0</v>
      </c>
    </row>
    <row r="78">
      <c r="A78" t="n">
        <v>143830815</v>
      </c>
      <c r="B78" t="n">
        <v>0</v>
      </c>
    </row>
    <row r="79">
      <c r="A79" t="n">
        <v>144518874</v>
      </c>
      <c r="B79" t="n">
        <v>0</v>
      </c>
    </row>
    <row r="80">
      <c r="A80" t="n">
        <v>147602778</v>
      </c>
      <c r="B80" t="n">
        <v>1</v>
      </c>
    </row>
    <row r="81">
      <c r="A81" t="n">
        <v>147612298</v>
      </c>
      <c r="B81" t="n">
        <v>0</v>
      </c>
    </row>
    <row r="82">
      <c r="A82" t="n">
        <v>150925321</v>
      </c>
      <c r="B82" t="n">
        <v>277</v>
      </c>
    </row>
    <row r="83">
      <c r="A83" t="n">
        <v>150925322</v>
      </c>
      <c r="B83" t="n">
        <v>264</v>
      </c>
    </row>
    <row r="84">
      <c r="A84" t="n">
        <v>151132051</v>
      </c>
      <c r="B84" t="n">
        <v>238</v>
      </c>
    </row>
    <row r="85">
      <c r="A85" t="n">
        <v>151132052</v>
      </c>
      <c r="B85" t="n">
        <v>96</v>
      </c>
    </row>
    <row r="86">
      <c r="A86" t="n">
        <v>151175877</v>
      </c>
      <c r="B86" t="n">
        <v>527</v>
      </c>
    </row>
    <row r="87">
      <c r="A87" t="n">
        <v>151175880</v>
      </c>
      <c r="B87" t="n">
        <v>653</v>
      </c>
    </row>
    <row r="88">
      <c r="A88" t="n">
        <v>151298064</v>
      </c>
      <c r="B88" t="n">
        <v>0</v>
      </c>
    </row>
    <row r="89">
      <c r="A89" t="n">
        <v>151313163</v>
      </c>
      <c r="B89" t="n">
        <v>3217</v>
      </c>
    </row>
    <row r="90">
      <c r="A90" t="n">
        <v>152115510</v>
      </c>
      <c r="B90" t="n">
        <v>512</v>
      </c>
    </row>
    <row r="91">
      <c r="A91" t="n">
        <v>152498365</v>
      </c>
      <c r="B91" t="n">
        <v>0</v>
      </c>
    </row>
    <row r="92">
      <c r="A92" t="n">
        <v>154158805</v>
      </c>
      <c r="B92" t="n">
        <v>0</v>
      </c>
    </row>
    <row r="93">
      <c r="A93" t="n">
        <v>154159632</v>
      </c>
      <c r="B93" t="n">
        <v>218</v>
      </c>
    </row>
    <row r="94">
      <c r="A94" t="n">
        <v>154160085</v>
      </c>
      <c r="B94" t="n">
        <v>209</v>
      </c>
    </row>
    <row r="95">
      <c r="A95" t="n">
        <v>154160462</v>
      </c>
      <c r="B95" t="n">
        <v>0</v>
      </c>
    </row>
    <row r="96">
      <c r="A96" t="n">
        <v>154163936</v>
      </c>
      <c r="B96" t="n">
        <v>200</v>
      </c>
    </row>
    <row r="97">
      <c r="A97" t="n">
        <v>154517887</v>
      </c>
      <c r="B97" t="n">
        <v>0</v>
      </c>
    </row>
    <row r="98">
      <c r="A98" t="n">
        <v>154519501</v>
      </c>
      <c r="B98" t="n">
        <v>0</v>
      </c>
    </row>
    <row r="99">
      <c r="A99" t="n">
        <v>154519502</v>
      </c>
      <c r="B99" t="n">
        <v>0</v>
      </c>
    </row>
    <row r="100">
      <c r="A100" t="n">
        <v>154521750</v>
      </c>
      <c r="B100" t="n">
        <v>0</v>
      </c>
    </row>
    <row r="101">
      <c r="A101" t="n">
        <v>154521751</v>
      </c>
      <c r="B101" t="n">
        <v>0</v>
      </c>
    </row>
    <row r="102">
      <c r="A102" t="n">
        <v>154522116</v>
      </c>
      <c r="B102" t="n">
        <v>0</v>
      </c>
    </row>
    <row r="103">
      <c r="A103" t="n">
        <v>154522117</v>
      </c>
      <c r="B103" t="n">
        <v>0</v>
      </c>
    </row>
    <row r="104">
      <c r="A104" t="n">
        <v>154989140</v>
      </c>
      <c r="B104" t="n">
        <v>0</v>
      </c>
    </row>
    <row r="105">
      <c r="A105" t="n">
        <v>164999335</v>
      </c>
      <c r="B105" t="n">
        <v>0</v>
      </c>
    </row>
    <row r="106">
      <c r="A106" t="n">
        <v>165002270</v>
      </c>
      <c r="B106" t="n">
        <v>163</v>
      </c>
    </row>
    <row r="107">
      <c r="A107" t="n">
        <v>165007944</v>
      </c>
      <c r="B107" t="n">
        <v>0</v>
      </c>
    </row>
    <row r="108">
      <c r="A108" t="n">
        <v>165008074</v>
      </c>
      <c r="B108" t="n">
        <v>70</v>
      </c>
    </row>
    <row r="109">
      <c r="A109" t="n">
        <v>165008162</v>
      </c>
      <c r="B109" t="n">
        <v>21</v>
      </c>
    </row>
    <row r="110">
      <c r="A110" t="n">
        <v>165008990</v>
      </c>
      <c r="B110" t="n">
        <v>0</v>
      </c>
    </row>
    <row r="111">
      <c r="A111" t="n">
        <v>165009038</v>
      </c>
      <c r="B111" t="n">
        <v>0</v>
      </c>
    </row>
    <row r="112">
      <c r="A112" t="n">
        <v>165299450</v>
      </c>
      <c r="B112" t="n">
        <v>0</v>
      </c>
    </row>
    <row r="113">
      <c r="A113" t="n">
        <v>165299669</v>
      </c>
      <c r="B113" t="n">
        <v>0</v>
      </c>
    </row>
    <row r="114">
      <c r="A114" t="n">
        <v>165299885</v>
      </c>
      <c r="B114" t="n">
        <v>0</v>
      </c>
    </row>
    <row r="115">
      <c r="A115" t="n">
        <v>165308892</v>
      </c>
      <c r="B115" t="n">
        <v>0</v>
      </c>
    </row>
    <row r="116">
      <c r="A116" t="n">
        <v>167174174</v>
      </c>
      <c r="B116" t="n">
        <v>0</v>
      </c>
    </row>
    <row r="117">
      <c r="A117" t="n">
        <v>168956391</v>
      </c>
      <c r="B117" t="n">
        <v>5804</v>
      </c>
    </row>
    <row r="118">
      <c r="A118" t="n">
        <v>168956730</v>
      </c>
      <c r="B118" t="n">
        <v>0</v>
      </c>
    </row>
    <row r="119">
      <c r="A119" t="n">
        <v>168956857</v>
      </c>
      <c r="B119" t="n">
        <v>0</v>
      </c>
    </row>
    <row r="120">
      <c r="A120" t="n">
        <v>169074006</v>
      </c>
      <c r="B120" t="n">
        <v>0</v>
      </c>
    </row>
    <row r="121">
      <c r="A121" t="n">
        <v>169076150</v>
      </c>
      <c r="B121" t="n">
        <v>1601</v>
      </c>
    </row>
    <row r="122">
      <c r="A122" t="n">
        <v>169198316</v>
      </c>
      <c r="B122" t="n">
        <v>594</v>
      </c>
    </row>
    <row r="123">
      <c r="A123" t="n">
        <v>169788725</v>
      </c>
      <c r="B123" t="n">
        <v>0</v>
      </c>
    </row>
    <row r="124">
      <c r="A124" t="n">
        <v>169788801</v>
      </c>
      <c r="B124" t="n">
        <v>0</v>
      </c>
    </row>
    <row r="125">
      <c r="A125" t="n">
        <v>170198109</v>
      </c>
      <c r="B125" t="n">
        <v>294</v>
      </c>
    </row>
    <row r="126">
      <c r="A126" t="n">
        <v>170198180</v>
      </c>
      <c r="B126" t="n">
        <v>360</v>
      </c>
    </row>
    <row r="127">
      <c r="A127" t="n">
        <v>170198337</v>
      </c>
      <c r="B127" t="n">
        <v>297</v>
      </c>
    </row>
    <row r="128">
      <c r="A128" t="n">
        <v>170198738</v>
      </c>
      <c r="B128" t="n">
        <v>264</v>
      </c>
    </row>
    <row r="129">
      <c r="A129" t="n">
        <v>170198835</v>
      </c>
      <c r="B129" t="n">
        <v>743</v>
      </c>
    </row>
    <row r="130">
      <c r="A130" t="n">
        <v>170198876</v>
      </c>
      <c r="B130" t="n">
        <v>313</v>
      </c>
    </row>
    <row r="131">
      <c r="A131" t="n">
        <v>174667745</v>
      </c>
      <c r="B131" t="n">
        <v>0</v>
      </c>
    </row>
    <row r="132">
      <c r="A132" t="n">
        <v>174667991</v>
      </c>
      <c r="B132" t="n">
        <v>0</v>
      </c>
    </row>
    <row r="133">
      <c r="A133" t="n">
        <v>174668134</v>
      </c>
      <c r="B133" t="n">
        <v>30</v>
      </c>
    </row>
    <row r="134">
      <c r="A134" t="n">
        <v>176944957</v>
      </c>
      <c r="B134" t="n">
        <v>284</v>
      </c>
    </row>
    <row r="135">
      <c r="A135" t="n">
        <v>176945700</v>
      </c>
      <c r="B135" t="n">
        <v>352</v>
      </c>
    </row>
    <row r="136">
      <c r="A136" t="n">
        <v>179423815</v>
      </c>
      <c r="B136" t="n">
        <v>0</v>
      </c>
    </row>
    <row r="137">
      <c r="A137" t="n">
        <v>179423817</v>
      </c>
      <c r="B137" t="n">
        <v>0</v>
      </c>
    </row>
    <row r="138">
      <c r="A138" t="n">
        <v>179611207</v>
      </c>
      <c r="B138" t="n">
        <v>364</v>
      </c>
    </row>
    <row r="139">
      <c r="A139" t="n">
        <v>179611231</v>
      </c>
      <c r="B139" t="n">
        <v>126</v>
      </c>
    </row>
    <row r="140">
      <c r="A140" t="n">
        <v>179611266</v>
      </c>
      <c r="B140" t="n">
        <v>0</v>
      </c>
    </row>
    <row r="141">
      <c r="A141" t="n">
        <v>179611278</v>
      </c>
      <c r="B141" t="n">
        <v>200</v>
      </c>
    </row>
    <row r="142">
      <c r="A142" t="n">
        <v>179611284</v>
      </c>
      <c r="B142" t="n">
        <v>0</v>
      </c>
    </row>
    <row r="143">
      <c r="A143" t="n">
        <v>179611304</v>
      </c>
      <c r="B143" t="n">
        <v>53</v>
      </c>
    </row>
    <row r="144">
      <c r="A144" t="n">
        <v>179611318</v>
      </c>
      <c r="B144" t="n">
        <v>208</v>
      </c>
    </row>
    <row r="145">
      <c r="A145" t="n">
        <v>180588500</v>
      </c>
      <c r="B145" t="n">
        <v>0</v>
      </c>
    </row>
    <row r="146">
      <c r="A146" t="n">
        <v>180596737</v>
      </c>
      <c r="B146" t="n">
        <v>0</v>
      </c>
    </row>
    <row r="147">
      <c r="A147" t="n">
        <v>180709801</v>
      </c>
      <c r="B147" t="n">
        <v>0</v>
      </c>
    </row>
    <row r="148">
      <c r="A148" t="n">
        <v>180711041</v>
      </c>
      <c r="B148" t="n">
        <v>53</v>
      </c>
    </row>
    <row r="149">
      <c r="A149" t="n">
        <v>180711104</v>
      </c>
      <c r="B149" t="n">
        <v>204</v>
      </c>
    </row>
    <row r="150">
      <c r="A150" t="n">
        <v>180852722</v>
      </c>
      <c r="B150" t="n">
        <v>0</v>
      </c>
    </row>
    <row r="151">
      <c r="A151" t="n">
        <v>180852804</v>
      </c>
      <c r="B151" t="n">
        <v>17</v>
      </c>
    </row>
    <row r="152">
      <c r="A152" t="n">
        <v>180852837</v>
      </c>
      <c r="B152" t="n">
        <v>21</v>
      </c>
    </row>
    <row r="153">
      <c r="A153" t="n">
        <v>180987509</v>
      </c>
      <c r="B153" t="n">
        <v>69</v>
      </c>
    </row>
    <row r="154">
      <c r="A154" t="n">
        <v>180988755</v>
      </c>
      <c r="B154" t="n">
        <v>202</v>
      </c>
    </row>
    <row r="155">
      <c r="A155" t="n">
        <v>180992464</v>
      </c>
      <c r="B155" t="n">
        <v>65</v>
      </c>
    </row>
    <row r="156">
      <c r="A156" t="n">
        <v>182111724</v>
      </c>
      <c r="B156" t="n">
        <v>0</v>
      </c>
    </row>
    <row r="157">
      <c r="A157" t="n">
        <v>182250504</v>
      </c>
      <c r="B157" t="n">
        <v>0</v>
      </c>
    </row>
    <row r="158">
      <c r="A158" t="n">
        <v>182250538</v>
      </c>
      <c r="B158" t="n">
        <v>0</v>
      </c>
    </row>
    <row r="159">
      <c r="A159" t="n">
        <v>182558648</v>
      </c>
      <c r="B159" t="n">
        <v>0</v>
      </c>
    </row>
    <row r="160">
      <c r="A160" t="n">
        <v>182994855</v>
      </c>
      <c r="B160" t="n">
        <v>0</v>
      </c>
    </row>
    <row r="161">
      <c r="A161" t="n">
        <v>182996309</v>
      </c>
      <c r="B161" t="n">
        <v>0</v>
      </c>
    </row>
    <row r="162">
      <c r="A162" t="n">
        <v>183001649</v>
      </c>
      <c r="B162" t="n">
        <v>0</v>
      </c>
    </row>
    <row r="163">
      <c r="A163" t="n">
        <v>183028820</v>
      </c>
      <c r="B163" t="n">
        <v>0</v>
      </c>
    </row>
    <row r="164">
      <c r="A164" t="n">
        <v>183030830</v>
      </c>
      <c r="B164" t="n">
        <v>72</v>
      </c>
    </row>
    <row r="165">
      <c r="A165" t="n">
        <v>183042837</v>
      </c>
      <c r="B165" t="n">
        <v>0</v>
      </c>
    </row>
    <row r="166">
      <c r="A166" t="n">
        <v>183070489</v>
      </c>
      <c r="B166" t="n">
        <v>0</v>
      </c>
    </row>
    <row r="167">
      <c r="A167" t="n">
        <v>183127934</v>
      </c>
      <c r="B167" t="n">
        <v>0</v>
      </c>
    </row>
    <row r="168">
      <c r="A168" t="n">
        <v>183127988</v>
      </c>
      <c r="B168" t="n">
        <v>0</v>
      </c>
    </row>
    <row r="169">
      <c r="A169" t="n">
        <v>188817228</v>
      </c>
      <c r="B169" t="n">
        <v>0</v>
      </c>
    </row>
    <row r="170">
      <c r="A170" t="n">
        <v>188818000</v>
      </c>
      <c r="B170" t="n">
        <v>0</v>
      </c>
    </row>
    <row r="171">
      <c r="A171" t="n">
        <v>188818289</v>
      </c>
      <c r="B171" t="n">
        <v>0</v>
      </c>
    </row>
    <row r="172">
      <c r="A172" t="n">
        <v>188822937</v>
      </c>
      <c r="B172" t="n">
        <v>0</v>
      </c>
    </row>
    <row r="173">
      <c r="A173" t="n">
        <v>188823064</v>
      </c>
      <c r="B173" t="n">
        <v>0</v>
      </c>
    </row>
    <row r="174">
      <c r="A174" t="n">
        <v>188825489</v>
      </c>
      <c r="B174" t="n">
        <v>0</v>
      </c>
    </row>
    <row r="175">
      <c r="A175" t="n">
        <v>188826237</v>
      </c>
      <c r="B175" t="n">
        <v>0</v>
      </c>
    </row>
    <row r="176">
      <c r="A176" t="n">
        <v>190158093</v>
      </c>
      <c r="B176" t="n">
        <v>0</v>
      </c>
    </row>
    <row r="177">
      <c r="A177" t="n">
        <v>190158094</v>
      </c>
      <c r="B177" t="n">
        <v>0</v>
      </c>
    </row>
    <row r="178">
      <c r="A178" t="n">
        <v>190158095</v>
      </c>
      <c r="B178" t="n">
        <v>0</v>
      </c>
    </row>
    <row r="179">
      <c r="A179" t="n">
        <v>190158096</v>
      </c>
      <c r="B179" t="n">
        <v>0</v>
      </c>
    </row>
    <row r="180">
      <c r="A180" t="n">
        <v>190158097</v>
      </c>
      <c r="B180" t="n">
        <v>0</v>
      </c>
    </row>
    <row r="181">
      <c r="A181" t="n">
        <v>190159348</v>
      </c>
      <c r="B181" t="n">
        <v>310</v>
      </c>
    </row>
    <row r="182">
      <c r="A182" t="n">
        <v>190160008</v>
      </c>
      <c r="B182" t="n">
        <v>15</v>
      </c>
    </row>
    <row r="183">
      <c r="A183" t="n">
        <v>190160197</v>
      </c>
      <c r="B183" t="n">
        <v>251</v>
      </c>
    </row>
    <row r="184">
      <c r="A184" t="n">
        <v>190314011</v>
      </c>
      <c r="B184" t="n">
        <v>0</v>
      </c>
    </row>
    <row r="185">
      <c r="A185" t="n">
        <v>190314124</v>
      </c>
      <c r="B185" t="n">
        <v>0</v>
      </c>
    </row>
    <row r="186">
      <c r="A186" t="n">
        <v>190314349</v>
      </c>
      <c r="B186" t="n">
        <v>3</v>
      </c>
    </row>
    <row r="187">
      <c r="A187" t="n">
        <v>190314522</v>
      </c>
      <c r="B187" t="n">
        <v>0</v>
      </c>
    </row>
    <row r="188">
      <c r="A188" t="n">
        <v>191033857</v>
      </c>
      <c r="B188" t="n">
        <v>0</v>
      </c>
    </row>
    <row r="189">
      <c r="A189" t="n">
        <v>193043668</v>
      </c>
      <c r="B189" t="n">
        <v>0</v>
      </c>
    </row>
    <row r="190">
      <c r="A190" t="n">
        <v>195286357</v>
      </c>
      <c r="B190" t="n">
        <v>0</v>
      </c>
    </row>
    <row r="191">
      <c r="A191" t="n">
        <v>195286358</v>
      </c>
      <c r="B191" t="n">
        <v>0</v>
      </c>
    </row>
    <row r="192">
      <c r="A192" t="n">
        <v>195286360</v>
      </c>
      <c r="B192" t="n">
        <v>0</v>
      </c>
    </row>
    <row r="193">
      <c r="A193" t="n">
        <v>195286361</v>
      </c>
      <c r="B193" t="n">
        <v>0</v>
      </c>
    </row>
    <row r="194">
      <c r="A194" t="n">
        <v>195286362</v>
      </c>
      <c r="B194" t="n">
        <v>0</v>
      </c>
    </row>
    <row r="195">
      <c r="A195" t="n">
        <v>195286363</v>
      </c>
      <c r="B195" t="n">
        <v>0</v>
      </c>
    </row>
    <row r="196">
      <c r="A196" t="n">
        <v>195286364</v>
      </c>
      <c r="B196" t="n">
        <v>0</v>
      </c>
    </row>
    <row r="197">
      <c r="A197" t="n">
        <v>195286365</v>
      </c>
      <c r="B197" t="n">
        <v>0</v>
      </c>
    </row>
    <row r="198">
      <c r="A198" t="n">
        <v>195286366</v>
      </c>
      <c r="B198" t="n">
        <v>0</v>
      </c>
    </row>
    <row r="199">
      <c r="A199" t="n">
        <v>195286367</v>
      </c>
      <c r="B199" t="n">
        <v>0</v>
      </c>
    </row>
    <row r="200">
      <c r="A200" t="n">
        <v>195286368</v>
      </c>
      <c r="B200" t="n">
        <v>0</v>
      </c>
    </row>
    <row r="201">
      <c r="A201" t="n">
        <v>195286369</v>
      </c>
      <c r="B201" t="n">
        <v>1</v>
      </c>
    </row>
    <row r="202">
      <c r="A202" t="n">
        <v>195286370</v>
      </c>
      <c r="B202" t="n">
        <v>0</v>
      </c>
    </row>
    <row r="203">
      <c r="A203" t="n">
        <v>195286371</v>
      </c>
      <c r="B203" t="n">
        <v>0</v>
      </c>
    </row>
    <row r="204">
      <c r="A204" t="n">
        <v>195286372</v>
      </c>
      <c r="B204" t="n">
        <v>0</v>
      </c>
    </row>
    <row r="205">
      <c r="A205" t="n">
        <v>195289584</v>
      </c>
      <c r="B205" t="n">
        <v>0</v>
      </c>
    </row>
    <row r="206">
      <c r="A206" t="n">
        <v>195373789</v>
      </c>
      <c r="B206" t="n">
        <v>0</v>
      </c>
    </row>
    <row r="207">
      <c r="A207" t="n">
        <v>198143251</v>
      </c>
      <c r="B207" t="n">
        <v>61</v>
      </c>
    </row>
    <row r="208">
      <c r="A208" t="n">
        <v>198147185</v>
      </c>
      <c r="B208" t="n">
        <v>533</v>
      </c>
    </row>
    <row r="209">
      <c r="A209" t="n">
        <v>198148122</v>
      </c>
      <c r="B209" t="n">
        <v>0</v>
      </c>
    </row>
    <row r="210">
      <c r="A210" t="n">
        <v>198156358</v>
      </c>
      <c r="B210" t="n">
        <v>0</v>
      </c>
    </row>
    <row r="211">
      <c r="A211" t="n">
        <v>198156472</v>
      </c>
      <c r="B211" t="n">
        <v>739</v>
      </c>
    </row>
    <row r="212">
      <c r="A212" t="n">
        <v>198156698</v>
      </c>
      <c r="B212" t="n">
        <v>357</v>
      </c>
    </row>
    <row r="213">
      <c r="A213" t="n">
        <v>198620596</v>
      </c>
      <c r="B213" t="n">
        <v>18</v>
      </c>
    </row>
    <row r="214">
      <c r="A214" t="n">
        <v>198620664</v>
      </c>
      <c r="B214" t="n">
        <v>0</v>
      </c>
    </row>
    <row r="215">
      <c r="A215" t="n">
        <v>198940045</v>
      </c>
      <c r="B215" t="n">
        <v>0</v>
      </c>
    </row>
    <row r="216">
      <c r="A216" t="n">
        <v>199359659</v>
      </c>
      <c r="B216" t="n">
        <v>0</v>
      </c>
    </row>
    <row r="217">
      <c r="A217" t="n">
        <v>199367159</v>
      </c>
      <c r="B217" t="n">
        <v>66</v>
      </c>
    </row>
    <row r="218">
      <c r="A218" t="n">
        <v>199425671</v>
      </c>
      <c r="B218" t="n">
        <v>79</v>
      </c>
    </row>
    <row r="219">
      <c r="A219" t="n">
        <v>199426060</v>
      </c>
      <c r="B219" t="n">
        <v>0</v>
      </c>
    </row>
    <row r="220">
      <c r="A220" t="n">
        <v>199427475</v>
      </c>
      <c r="B220" t="n">
        <v>5</v>
      </c>
    </row>
    <row r="221">
      <c r="A221" t="n">
        <v>199427997</v>
      </c>
      <c r="B221" t="n">
        <v>0</v>
      </c>
    </row>
    <row r="222">
      <c r="A222" t="n">
        <v>199544883</v>
      </c>
      <c r="B222" t="n">
        <v>0</v>
      </c>
    </row>
    <row r="223">
      <c r="A223" t="n">
        <v>199864239</v>
      </c>
      <c r="B223" t="n">
        <v>1</v>
      </c>
    </row>
    <row r="224">
      <c r="A224" t="n">
        <v>204250060</v>
      </c>
      <c r="B224" t="n">
        <v>0</v>
      </c>
    </row>
    <row r="225">
      <c r="A225" t="n">
        <v>204258828</v>
      </c>
      <c r="B225" t="n">
        <v>146</v>
      </c>
    </row>
    <row r="226">
      <c r="A226" t="n">
        <v>205054338</v>
      </c>
      <c r="B226" t="n">
        <v>678</v>
      </c>
    </row>
    <row r="227">
      <c r="A227" t="n">
        <v>206057411</v>
      </c>
      <c r="B227" t="n">
        <v>350</v>
      </c>
    </row>
    <row r="228">
      <c r="A228" t="n">
        <v>206058262</v>
      </c>
      <c r="B228" t="n">
        <v>11</v>
      </c>
    </row>
    <row r="229">
      <c r="A229" t="n">
        <v>206122859</v>
      </c>
      <c r="B229" t="n">
        <v>57</v>
      </c>
    </row>
    <row r="230">
      <c r="A230" t="n">
        <v>206125905</v>
      </c>
      <c r="B230" t="n">
        <v>1</v>
      </c>
    </row>
    <row r="231">
      <c r="A231" t="n">
        <v>206126372</v>
      </c>
      <c r="B231" t="n">
        <v>179</v>
      </c>
    </row>
    <row r="232">
      <c r="A232" t="n">
        <v>206135397</v>
      </c>
      <c r="B232" t="n">
        <v>282</v>
      </c>
    </row>
    <row r="233">
      <c r="A233" t="n">
        <v>207464799</v>
      </c>
      <c r="B233" t="n">
        <v>682</v>
      </c>
    </row>
    <row r="234">
      <c r="A234" t="n">
        <v>207465786</v>
      </c>
      <c r="B234" t="n">
        <v>203</v>
      </c>
    </row>
    <row r="235">
      <c r="A235" t="n">
        <v>207466866</v>
      </c>
      <c r="B235" t="n">
        <v>874</v>
      </c>
    </row>
    <row r="236">
      <c r="A236" t="n">
        <v>207467709</v>
      </c>
      <c r="B236" t="n">
        <v>0</v>
      </c>
    </row>
    <row r="237">
      <c r="A237" t="n">
        <v>207467958</v>
      </c>
      <c r="B237" t="n">
        <v>0</v>
      </c>
    </row>
    <row r="238">
      <c r="A238" t="n">
        <v>207468348</v>
      </c>
      <c r="B238" t="n">
        <v>0</v>
      </c>
    </row>
    <row r="239">
      <c r="A239" t="n">
        <v>207468578</v>
      </c>
      <c r="B239" t="n">
        <v>0</v>
      </c>
    </row>
    <row r="240">
      <c r="A240" t="n">
        <v>207468972</v>
      </c>
      <c r="B240" t="n">
        <v>0</v>
      </c>
    </row>
    <row r="241">
      <c r="A241" t="n">
        <v>207469760</v>
      </c>
      <c r="B241" t="n">
        <v>1599</v>
      </c>
    </row>
    <row r="242">
      <c r="A242" t="n">
        <v>207472742</v>
      </c>
      <c r="B242" t="n">
        <v>3824</v>
      </c>
    </row>
    <row r="243">
      <c r="A243" t="n">
        <v>207475898</v>
      </c>
      <c r="B243" t="n">
        <v>979</v>
      </c>
    </row>
    <row r="244">
      <c r="A244" t="n">
        <v>207476309</v>
      </c>
      <c r="B244" t="n">
        <v>1406</v>
      </c>
    </row>
    <row r="245">
      <c r="A245" t="n">
        <v>207476777</v>
      </c>
      <c r="B245" t="n">
        <v>174</v>
      </c>
    </row>
    <row r="246">
      <c r="A246" t="n">
        <v>207477077</v>
      </c>
      <c r="B246" t="n">
        <v>530</v>
      </c>
    </row>
    <row r="247">
      <c r="A247" t="n">
        <v>207479264</v>
      </c>
      <c r="B247" t="n">
        <v>335</v>
      </c>
    </row>
    <row r="248">
      <c r="A248" t="n">
        <v>207480081</v>
      </c>
      <c r="B248" t="n">
        <v>0</v>
      </c>
    </row>
    <row r="249">
      <c r="A249" t="n">
        <v>207481251</v>
      </c>
      <c r="B249" t="n">
        <v>152</v>
      </c>
    </row>
    <row r="250">
      <c r="A250" t="n">
        <v>207481714</v>
      </c>
      <c r="B250" t="n">
        <v>172</v>
      </c>
    </row>
    <row r="251">
      <c r="A251" t="n">
        <v>207482718</v>
      </c>
      <c r="B251" t="n">
        <v>2560</v>
      </c>
    </row>
    <row r="252">
      <c r="A252" t="n">
        <v>207483179</v>
      </c>
      <c r="B252" t="n">
        <v>677</v>
      </c>
    </row>
    <row r="253">
      <c r="A253" t="n">
        <v>207483780</v>
      </c>
      <c r="B253" t="n">
        <v>333</v>
      </c>
    </row>
    <row r="254">
      <c r="A254" t="n">
        <v>207484812</v>
      </c>
      <c r="B254" t="n">
        <v>0</v>
      </c>
    </row>
    <row r="255">
      <c r="A255" t="n">
        <v>207795785</v>
      </c>
      <c r="B255" t="n">
        <v>0</v>
      </c>
    </row>
    <row r="256">
      <c r="A256" t="n">
        <v>207795963</v>
      </c>
      <c r="B256" t="n">
        <v>0</v>
      </c>
    </row>
    <row r="257">
      <c r="A257" t="n">
        <v>207796350</v>
      </c>
      <c r="B257" t="n">
        <v>86</v>
      </c>
    </row>
    <row r="258">
      <c r="A258" t="n">
        <v>207796439</v>
      </c>
      <c r="B258" t="n">
        <v>504</v>
      </c>
    </row>
    <row r="259">
      <c r="A259" t="n">
        <v>207796563</v>
      </c>
      <c r="B259" t="n">
        <v>422</v>
      </c>
    </row>
    <row r="260">
      <c r="A260" t="n">
        <v>207796789</v>
      </c>
      <c r="B260" t="n">
        <v>991</v>
      </c>
    </row>
    <row r="261">
      <c r="A261" t="n">
        <v>207796898</v>
      </c>
      <c r="B261" t="n">
        <v>692</v>
      </c>
    </row>
    <row r="262">
      <c r="A262" t="n">
        <v>207798999</v>
      </c>
      <c r="B262" t="n">
        <v>0</v>
      </c>
    </row>
    <row r="263">
      <c r="A263" t="n">
        <v>207816823</v>
      </c>
      <c r="B263" t="n">
        <v>0</v>
      </c>
    </row>
    <row r="264">
      <c r="A264" t="n">
        <v>207817635</v>
      </c>
      <c r="B264" t="n">
        <v>0</v>
      </c>
    </row>
    <row r="265">
      <c r="A265" t="n">
        <v>207817787</v>
      </c>
      <c r="B265" t="n">
        <v>14</v>
      </c>
    </row>
    <row r="266">
      <c r="A266" t="n">
        <v>207818000</v>
      </c>
      <c r="B266" t="n">
        <v>44</v>
      </c>
    </row>
    <row r="267">
      <c r="A267" t="n">
        <v>207818167</v>
      </c>
      <c r="B267" t="n">
        <v>0</v>
      </c>
    </row>
    <row r="268">
      <c r="A268" t="n">
        <v>207818475</v>
      </c>
      <c r="B268" t="n">
        <v>0</v>
      </c>
    </row>
    <row r="269">
      <c r="A269" t="n">
        <v>207818642</v>
      </c>
      <c r="B269" t="n">
        <v>84</v>
      </c>
    </row>
    <row r="270">
      <c r="A270" t="n">
        <v>207819020</v>
      </c>
      <c r="B270" t="n">
        <v>0</v>
      </c>
    </row>
    <row r="271">
      <c r="A271" t="n">
        <v>207819733</v>
      </c>
      <c r="B271" t="n">
        <v>0</v>
      </c>
    </row>
    <row r="272">
      <c r="A272" t="n">
        <v>208202076</v>
      </c>
      <c r="B272" t="n">
        <v>290</v>
      </c>
    </row>
    <row r="273">
      <c r="A273" t="n">
        <v>208208674</v>
      </c>
      <c r="B273" t="n">
        <v>6</v>
      </c>
    </row>
    <row r="274">
      <c r="A274" t="n">
        <v>208209364</v>
      </c>
      <c r="B274" t="n">
        <v>0</v>
      </c>
    </row>
    <row r="275">
      <c r="A275" t="n">
        <v>210573611</v>
      </c>
      <c r="B275" t="n">
        <v>0</v>
      </c>
    </row>
    <row r="276">
      <c r="A276" t="n">
        <v>210575566</v>
      </c>
      <c r="B276" t="n">
        <v>74</v>
      </c>
    </row>
    <row r="277">
      <c r="A277" t="n">
        <v>210579932</v>
      </c>
      <c r="B277" t="n">
        <v>187</v>
      </c>
    </row>
    <row r="278">
      <c r="A278" t="n">
        <v>211410756</v>
      </c>
      <c r="B278" t="n">
        <v>0</v>
      </c>
    </row>
    <row r="279">
      <c r="A279" t="n">
        <v>212713617</v>
      </c>
      <c r="B279" t="n">
        <v>0</v>
      </c>
    </row>
    <row r="280">
      <c r="A280" t="n">
        <v>212713941</v>
      </c>
      <c r="B280" t="n">
        <v>0</v>
      </c>
    </row>
    <row r="281">
      <c r="A281" t="n">
        <v>212714292</v>
      </c>
      <c r="B281" t="n">
        <v>0</v>
      </c>
    </row>
    <row r="282">
      <c r="A282" t="n">
        <v>212715047</v>
      </c>
      <c r="B282" t="n">
        <v>0</v>
      </c>
    </row>
    <row r="283">
      <c r="A283" t="n">
        <v>212717820</v>
      </c>
      <c r="B283" t="n">
        <v>5</v>
      </c>
    </row>
    <row r="284">
      <c r="A284" t="n">
        <v>212718108</v>
      </c>
      <c r="B284" t="n">
        <v>0</v>
      </c>
    </row>
    <row r="285">
      <c r="A285" t="n">
        <v>212719009</v>
      </c>
      <c r="B285" t="n">
        <v>41</v>
      </c>
    </row>
    <row r="286">
      <c r="A286" t="n">
        <v>212720615</v>
      </c>
      <c r="B286" t="n">
        <v>6</v>
      </c>
    </row>
    <row r="287">
      <c r="A287" t="n">
        <v>212752214</v>
      </c>
      <c r="B287" t="n">
        <v>0</v>
      </c>
    </row>
    <row r="288">
      <c r="A288" t="n">
        <v>212753217</v>
      </c>
      <c r="B288" t="n">
        <v>112</v>
      </c>
    </row>
    <row r="289">
      <c r="A289" t="n">
        <v>212757456</v>
      </c>
      <c r="B289" t="n">
        <v>299</v>
      </c>
    </row>
    <row r="290">
      <c r="A290" t="n">
        <v>212757955</v>
      </c>
      <c r="B290" t="n">
        <v>0</v>
      </c>
    </row>
    <row r="291">
      <c r="A291" t="n">
        <v>212759049</v>
      </c>
      <c r="B291" t="n">
        <v>0</v>
      </c>
    </row>
    <row r="292">
      <c r="A292" t="n">
        <v>212759698</v>
      </c>
      <c r="B292" t="n">
        <v>202</v>
      </c>
    </row>
    <row r="293">
      <c r="A293" t="n">
        <v>212759865</v>
      </c>
      <c r="B293" t="n">
        <v>0</v>
      </c>
    </row>
    <row r="294">
      <c r="A294" t="n">
        <v>212760119</v>
      </c>
      <c r="B294" t="n">
        <v>320</v>
      </c>
    </row>
    <row r="295">
      <c r="A295" t="n">
        <v>212765655</v>
      </c>
      <c r="B295" t="n">
        <v>0</v>
      </c>
    </row>
    <row r="296">
      <c r="A296" t="n">
        <v>212766743</v>
      </c>
      <c r="B296" t="n">
        <v>0</v>
      </c>
    </row>
    <row r="297">
      <c r="A297" t="n">
        <v>212796158</v>
      </c>
      <c r="B297" t="n">
        <v>0</v>
      </c>
    </row>
    <row r="298">
      <c r="A298" t="n">
        <v>212825852</v>
      </c>
      <c r="B298" t="n">
        <v>1</v>
      </c>
    </row>
    <row r="299">
      <c r="A299" t="n">
        <v>212827062</v>
      </c>
      <c r="B299" t="n">
        <v>0</v>
      </c>
    </row>
    <row r="300">
      <c r="A300" t="n">
        <v>212883090</v>
      </c>
      <c r="B300" t="n">
        <v>153</v>
      </c>
    </row>
    <row r="301">
      <c r="A301" t="n">
        <v>212885313</v>
      </c>
      <c r="B301" t="n">
        <v>0</v>
      </c>
    </row>
    <row r="302">
      <c r="A302" t="n">
        <v>212885314</v>
      </c>
      <c r="B302" t="n">
        <v>0</v>
      </c>
    </row>
    <row r="303">
      <c r="A303" t="n">
        <v>212885315</v>
      </c>
      <c r="B303" t="n">
        <v>0</v>
      </c>
    </row>
    <row r="304">
      <c r="A304" t="n">
        <v>212885316</v>
      </c>
      <c r="B304" t="n">
        <v>0</v>
      </c>
    </row>
    <row r="305">
      <c r="A305" t="n">
        <v>212885317</v>
      </c>
      <c r="B305" t="n">
        <v>0</v>
      </c>
    </row>
    <row r="306">
      <c r="A306" t="n">
        <v>212885318</v>
      </c>
      <c r="B306" t="n">
        <v>0</v>
      </c>
    </row>
    <row r="307">
      <c r="A307" t="n">
        <v>212885319</v>
      </c>
      <c r="B307" t="n">
        <v>0</v>
      </c>
    </row>
    <row r="308">
      <c r="A308" t="n">
        <v>212885914</v>
      </c>
      <c r="B308" t="n">
        <v>80</v>
      </c>
    </row>
    <row r="309">
      <c r="A309" t="n">
        <v>212886252</v>
      </c>
      <c r="B309" t="n">
        <v>0</v>
      </c>
    </row>
    <row r="310">
      <c r="A310" t="n">
        <v>212886638</v>
      </c>
      <c r="B310" t="n">
        <v>0</v>
      </c>
    </row>
    <row r="311">
      <c r="A311" t="n">
        <v>212887000</v>
      </c>
      <c r="B311" t="n">
        <v>0</v>
      </c>
    </row>
    <row r="312">
      <c r="A312" t="n">
        <v>212887146</v>
      </c>
      <c r="B312" t="n">
        <v>0</v>
      </c>
    </row>
    <row r="313">
      <c r="A313" t="n">
        <v>212889023</v>
      </c>
      <c r="B313" t="n">
        <v>0</v>
      </c>
    </row>
    <row r="314">
      <c r="A314" t="n">
        <v>212889024</v>
      </c>
      <c r="B314" t="n">
        <v>0</v>
      </c>
    </row>
    <row r="315">
      <c r="A315" t="n">
        <v>212889025</v>
      </c>
      <c r="B315" t="n">
        <v>220</v>
      </c>
    </row>
    <row r="316">
      <c r="A316" t="n">
        <v>212889026</v>
      </c>
      <c r="B316" t="n">
        <v>0</v>
      </c>
    </row>
    <row r="317">
      <c r="A317" t="n">
        <v>212889027</v>
      </c>
      <c r="B317" t="n">
        <v>196</v>
      </c>
    </row>
    <row r="318">
      <c r="A318" t="n">
        <v>212889028</v>
      </c>
      <c r="B318" t="n">
        <v>139</v>
      </c>
    </row>
    <row r="319">
      <c r="A319" t="n">
        <v>212890346</v>
      </c>
      <c r="B319" t="n">
        <v>0</v>
      </c>
    </row>
    <row r="320">
      <c r="A320" t="n">
        <v>212890347</v>
      </c>
      <c r="B320" t="n">
        <v>0</v>
      </c>
    </row>
    <row r="321">
      <c r="A321" t="n">
        <v>214301052</v>
      </c>
      <c r="B321" t="n">
        <v>12</v>
      </c>
    </row>
    <row r="322">
      <c r="A322" t="n">
        <v>214301295</v>
      </c>
      <c r="B322" t="n">
        <v>0</v>
      </c>
    </row>
    <row r="323">
      <c r="A323" t="n">
        <v>214301375</v>
      </c>
      <c r="B323" t="n">
        <v>0</v>
      </c>
    </row>
    <row r="324">
      <c r="A324" t="n">
        <v>214301471</v>
      </c>
      <c r="B324" t="n">
        <v>0</v>
      </c>
    </row>
    <row r="325">
      <c r="A325" t="n">
        <v>214301558</v>
      </c>
      <c r="B325" t="n">
        <v>0</v>
      </c>
    </row>
    <row r="326">
      <c r="A326" t="n">
        <v>214301677</v>
      </c>
      <c r="B326" t="n">
        <v>0</v>
      </c>
    </row>
    <row r="327">
      <c r="A327" t="n">
        <v>214301724</v>
      </c>
      <c r="B327" t="n">
        <v>0</v>
      </c>
    </row>
    <row r="328">
      <c r="A328" t="n">
        <v>214301797</v>
      </c>
      <c r="B328" t="n">
        <v>0</v>
      </c>
    </row>
    <row r="329">
      <c r="A329" t="n">
        <v>214301939</v>
      </c>
      <c r="B329" t="n">
        <v>0</v>
      </c>
    </row>
    <row r="330">
      <c r="A330" t="n">
        <v>214302044</v>
      </c>
      <c r="B330" t="n">
        <v>0</v>
      </c>
    </row>
    <row r="331">
      <c r="A331" t="n">
        <v>214303837</v>
      </c>
      <c r="B331" t="n">
        <v>0</v>
      </c>
    </row>
    <row r="332">
      <c r="A332" t="n">
        <v>214303875</v>
      </c>
      <c r="B332" t="n">
        <v>0</v>
      </c>
    </row>
    <row r="333">
      <c r="A333" t="n">
        <v>214303928</v>
      </c>
      <c r="B333" t="n">
        <v>0</v>
      </c>
    </row>
    <row r="334">
      <c r="A334" t="n">
        <v>214303984</v>
      </c>
      <c r="B334" t="n">
        <v>0</v>
      </c>
    </row>
    <row r="335">
      <c r="A335" t="n">
        <v>214304289</v>
      </c>
      <c r="B335" t="n">
        <v>8</v>
      </c>
    </row>
    <row r="336">
      <c r="A336" t="n">
        <v>214304435</v>
      </c>
      <c r="B336" t="n">
        <v>0</v>
      </c>
    </row>
    <row r="337">
      <c r="A337" t="n">
        <v>214304723</v>
      </c>
      <c r="B337" t="n">
        <v>0</v>
      </c>
    </row>
    <row r="338">
      <c r="A338" t="n">
        <v>214304848</v>
      </c>
      <c r="B338" t="n">
        <v>0</v>
      </c>
    </row>
    <row r="339">
      <c r="A339" t="n">
        <v>214304883</v>
      </c>
      <c r="B339" t="n">
        <v>77</v>
      </c>
    </row>
    <row r="340">
      <c r="A340" t="n">
        <v>214305157</v>
      </c>
      <c r="B340" t="n">
        <v>0</v>
      </c>
    </row>
    <row r="341">
      <c r="A341" t="n">
        <v>214305187</v>
      </c>
      <c r="B341" t="n">
        <v>0</v>
      </c>
    </row>
    <row r="342">
      <c r="A342" t="n">
        <v>214305220</v>
      </c>
      <c r="B342" t="n">
        <v>0</v>
      </c>
    </row>
    <row r="343">
      <c r="A343" t="n">
        <v>214305280</v>
      </c>
      <c r="B343" t="n">
        <v>0</v>
      </c>
    </row>
    <row r="344">
      <c r="A344" t="n">
        <v>214305331</v>
      </c>
      <c r="B344" t="n">
        <v>0</v>
      </c>
    </row>
    <row r="345">
      <c r="A345" t="n">
        <v>214305367</v>
      </c>
      <c r="B345" t="n">
        <v>0</v>
      </c>
    </row>
    <row r="346">
      <c r="A346" t="n">
        <v>214305394</v>
      </c>
      <c r="B346" t="n">
        <v>0</v>
      </c>
    </row>
    <row r="347">
      <c r="A347" t="n">
        <v>214305484</v>
      </c>
      <c r="B347" t="n">
        <v>0</v>
      </c>
    </row>
    <row r="348">
      <c r="A348" t="n">
        <v>214305520</v>
      </c>
      <c r="B348" t="n">
        <v>0</v>
      </c>
    </row>
    <row r="349">
      <c r="A349" t="n">
        <v>214305584</v>
      </c>
      <c r="B349" t="n">
        <v>0</v>
      </c>
    </row>
    <row r="350">
      <c r="A350" t="n">
        <v>214305639</v>
      </c>
      <c r="B350" t="n">
        <v>0</v>
      </c>
    </row>
    <row r="351">
      <c r="A351" t="n">
        <v>214305705</v>
      </c>
      <c r="B351" t="n">
        <v>235</v>
      </c>
    </row>
    <row r="352">
      <c r="A352" t="n">
        <v>214305722</v>
      </c>
      <c r="B352" t="n">
        <v>354</v>
      </c>
    </row>
    <row r="353">
      <c r="A353" t="n">
        <v>214305782</v>
      </c>
      <c r="B353" t="n">
        <v>0</v>
      </c>
    </row>
    <row r="354">
      <c r="A354" t="n">
        <v>214311386</v>
      </c>
      <c r="B354" t="n">
        <v>0</v>
      </c>
    </row>
    <row r="355">
      <c r="A355" t="n">
        <v>214311702</v>
      </c>
      <c r="B355" t="n">
        <v>0</v>
      </c>
    </row>
    <row r="356">
      <c r="A356" t="n">
        <v>214311963</v>
      </c>
      <c r="B356" t="n">
        <v>50</v>
      </c>
    </row>
    <row r="357">
      <c r="A357" t="n">
        <v>214312065</v>
      </c>
      <c r="B357" t="n">
        <v>0</v>
      </c>
    </row>
    <row r="358">
      <c r="A358" t="n">
        <v>214312110</v>
      </c>
      <c r="B358" t="n">
        <v>0</v>
      </c>
    </row>
    <row r="359">
      <c r="A359" t="n">
        <v>214312149</v>
      </c>
      <c r="B359" t="n">
        <v>15</v>
      </c>
    </row>
    <row r="360">
      <c r="A360" t="n">
        <v>214312259</v>
      </c>
      <c r="B360" t="n">
        <v>0</v>
      </c>
    </row>
    <row r="361">
      <c r="A361" t="n">
        <v>214312385</v>
      </c>
      <c r="B361" t="n">
        <v>63</v>
      </c>
    </row>
    <row r="362">
      <c r="A362" t="n">
        <v>214312426</v>
      </c>
      <c r="B362" t="n">
        <v>0</v>
      </c>
    </row>
    <row r="363">
      <c r="A363" t="n">
        <v>214312703</v>
      </c>
      <c r="B363" t="n">
        <v>0</v>
      </c>
    </row>
    <row r="364">
      <c r="A364" t="n">
        <v>214312772</v>
      </c>
      <c r="B364" t="n">
        <v>0</v>
      </c>
    </row>
    <row r="365">
      <c r="A365" t="n">
        <v>214312837</v>
      </c>
      <c r="B365" t="n">
        <v>259</v>
      </c>
    </row>
    <row r="366">
      <c r="A366" t="n">
        <v>214312934</v>
      </c>
      <c r="B366" t="n">
        <v>0</v>
      </c>
    </row>
    <row r="367">
      <c r="A367" t="n">
        <v>214312999</v>
      </c>
      <c r="B367" t="n">
        <v>0</v>
      </c>
    </row>
    <row r="368">
      <c r="A368" t="n">
        <v>214313051</v>
      </c>
      <c r="B368" t="n">
        <v>0</v>
      </c>
    </row>
    <row r="369">
      <c r="A369" t="n">
        <v>214314474</v>
      </c>
      <c r="B369" t="n">
        <v>0</v>
      </c>
    </row>
    <row r="370">
      <c r="A370" t="n">
        <v>214319164</v>
      </c>
      <c r="B370" t="n">
        <v>0</v>
      </c>
    </row>
    <row r="371">
      <c r="A371" t="n">
        <v>214964091</v>
      </c>
      <c r="B371" t="n">
        <v>590</v>
      </c>
    </row>
    <row r="372">
      <c r="A372" t="n">
        <v>214977901</v>
      </c>
      <c r="B372" t="n">
        <v>334</v>
      </c>
    </row>
    <row r="373">
      <c r="A373" t="n">
        <v>215182642</v>
      </c>
      <c r="B373" t="n">
        <v>0</v>
      </c>
    </row>
    <row r="374">
      <c r="A374" t="n">
        <v>217946637</v>
      </c>
      <c r="B374" t="n">
        <v>0</v>
      </c>
    </row>
    <row r="375">
      <c r="A375" t="n">
        <v>218036630</v>
      </c>
      <c r="B375" t="n">
        <v>0</v>
      </c>
    </row>
    <row r="376">
      <c r="A376" t="n">
        <v>226114831</v>
      </c>
      <c r="B376" t="n">
        <v>14</v>
      </c>
    </row>
    <row r="377">
      <c r="A377" t="n">
        <v>226114935</v>
      </c>
      <c r="B377" t="n">
        <v>274</v>
      </c>
    </row>
    <row r="378">
      <c r="A378" t="n">
        <v>226115141</v>
      </c>
      <c r="B378" t="n">
        <v>310</v>
      </c>
    </row>
    <row r="379">
      <c r="A379" t="n">
        <v>226115248</v>
      </c>
      <c r="B379" t="n">
        <v>87</v>
      </c>
    </row>
    <row r="380">
      <c r="A380" t="n">
        <v>226115324</v>
      </c>
      <c r="B380" t="n">
        <v>535</v>
      </c>
    </row>
    <row r="381">
      <c r="A381" t="n">
        <v>226115478</v>
      </c>
      <c r="B381" t="n">
        <v>171</v>
      </c>
    </row>
    <row r="382">
      <c r="A382" t="n">
        <v>226117746</v>
      </c>
      <c r="B382" t="n">
        <v>281</v>
      </c>
    </row>
    <row r="383">
      <c r="A383" t="n">
        <v>226322576</v>
      </c>
      <c r="B383" t="n">
        <v>1</v>
      </c>
    </row>
    <row r="384">
      <c r="A384" t="n">
        <v>236818852</v>
      </c>
      <c r="B384" t="n">
        <v>0</v>
      </c>
    </row>
    <row r="385">
      <c r="A385" t="n">
        <v>236822518</v>
      </c>
      <c r="B385" t="n">
        <v>0</v>
      </c>
    </row>
    <row r="386">
      <c r="A386" t="n">
        <v>236825103</v>
      </c>
      <c r="B386" t="n">
        <v>23</v>
      </c>
    </row>
    <row r="387">
      <c r="A387" t="n">
        <v>238358009</v>
      </c>
      <c r="B387" t="n">
        <v>1910</v>
      </c>
    </row>
    <row r="388">
      <c r="A388" t="n">
        <v>238358954</v>
      </c>
      <c r="B388" t="n">
        <v>2754</v>
      </c>
    </row>
    <row r="389">
      <c r="A389" t="n">
        <v>238359400</v>
      </c>
      <c r="B389" t="n">
        <v>1527</v>
      </c>
    </row>
    <row r="390">
      <c r="A390" t="n">
        <v>238359757</v>
      </c>
      <c r="B390" t="n">
        <v>1299</v>
      </c>
    </row>
    <row r="391">
      <c r="A391" t="n">
        <v>238360127</v>
      </c>
      <c r="B391" t="n">
        <v>0</v>
      </c>
    </row>
    <row r="392">
      <c r="A392" t="n">
        <v>238360924</v>
      </c>
      <c r="B392" t="n">
        <v>0</v>
      </c>
    </row>
    <row r="393">
      <c r="A393" t="n">
        <v>238361186</v>
      </c>
      <c r="B393" t="n">
        <v>0</v>
      </c>
    </row>
    <row r="394">
      <c r="A394" t="n">
        <v>238413828</v>
      </c>
      <c r="B394" t="n">
        <v>282</v>
      </c>
    </row>
    <row r="395">
      <c r="A395" t="n">
        <v>238415286</v>
      </c>
      <c r="B395" t="n">
        <v>5526</v>
      </c>
    </row>
    <row r="396">
      <c r="A396" t="n">
        <v>238416010</v>
      </c>
      <c r="B396" t="n">
        <v>416</v>
      </c>
    </row>
    <row r="397">
      <c r="A397" t="n">
        <v>239180803</v>
      </c>
      <c r="B397" t="n">
        <v>0</v>
      </c>
    </row>
    <row r="398">
      <c r="A398" t="n">
        <v>239180804</v>
      </c>
      <c r="B398" t="n">
        <v>0</v>
      </c>
    </row>
    <row r="399">
      <c r="A399" t="n">
        <v>239180805</v>
      </c>
      <c r="B399" t="n">
        <v>0</v>
      </c>
    </row>
    <row r="400">
      <c r="A400" t="n">
        <v>240311751</v>
      </c>
      <c r="B400" t="n">
        <v>525</v>
      </c>
    </row>
    <row r="401">
      <c r="A401" t="n">
        <v>240577927</v>
      </c>
      <c r="B401" t="n">
        <v>0</v>
      </c>
    </row>
    <row r="402">
      <c r="A402" t="n">
        <v>240577928</v>
      </c>
      <c r="B402" t="n">
        <v>0</v>
      </c>
    </row>
    <row r="403">
      <c r="A403" t="n">
        <v>246066231</v>
      </c>
      <c r="B403" t="n">
        <v>0</v>
      </c>
    </row>
    <row r="404">
      <c r="A404" t="n">
        <v>247275092</v>
      </c>
      <c r="B404" t="n">
        <v>21</v>
      </c>
    </row>
    <row r="405">
      <c r="A405" t="n">
        <v>248920315</v>
      </c>
      <c r="B405" t="n">
        <v>0</v>
      </c>
    </row>
    <row r="406">
      <c r="A406" t="n">
        <v>248922407</v>
      </c>
      <c r="B406" t="n">
        <v>0</v>
      </c>
    </row>
    <row r="407">
      <c r="A407" t="n">
        <v>248928046</v>
      </c>
      <c r="B407" t="n">
        <v>5</v>
      </c>
    </row>
    <row r="408">
      <c r="A408" t="n">
        <v>248928555</v>
      </c>
      <c r="B408" t="n">
        <v>13</v>
      </c>
    </row>
    <row r="409">
      <c r="A409" t="n">
        <v>248929125</v>
      </c>
      <c r="B409" t="n">
        <v>28</v>
      </c>
    </row>
    <row r="410">
      <c r="A410" t="n">
        <v>248929483</v>
      </c>
      <c r="B410" t="n">
        <v>0</v>
      </c>
    </row>
    <row r="411">
      <c r="A411" t="n">
        <v>248930250</v>
      </c>
      <c r="B411" t="n">
        <v>0</v>
      </c>
    </row>
    <row r="412">
      <c r="A412" t="n">
        <v>248930918</v>
      </c>
      <c r="B412" t="n">
        <v>0</v>
      </c>
    </row>
    <row r="413">
      <c r="A413" t="n">
        <v>253840171</v>
      </c>
      <c r="B413" t="n">
        <v>0</v>
      </c>
    </row>
    <row r="414">
      <c r="A414" t="n">
        <v>255574453</v>
      </c>
      <c r="B414" t="n">
        <v>69</v>
      </c>
    </row>
    <row r="415">
      <c r="A415" t="n">
        <v>255574854</v>
      </c>
      <c r="B415" t="n">
        <v>0</v>
      </c>
    </row>
    <row r="416">
      <c r="A416" t="n">
        <v>271921107</v>
      </c>
      <c r="B416" t="n">
        <v>0</v>
      </c>
    </row>
    <row r="417">
      <c r="A417" t="n">
        <v>276234187</v>
      </c>
      <c r="B417" t="n">
        <v>0</v>
      </c>
    </row>
    <row r="418">
      <c r="A418" t="n">
        <v>276234188</v>
      </c>
      <c r="B418" t="n">
        <v>0</v>
      </c>
    </row>
    <row r="419">
      <c r="A419" t="n">
        <v>290714563</v>
      </c>
      <c r="B419" t="n">
        <v>0</v>
      </c>
    </row>
    <row r="420">
      <c r="A420" t="n">
        <v>307071318</v>
      </c>
      <c r="B420" t="n">
        <v>11</v>
      </c>
    </row>
    <row r="421">
      <c r="A421" t="n">
        <v>307073881</v>
      </c>
      <c r="B421" t="n">
        <v>391</v>
      </c>
    </row>
    <row r="422">
      <c r="A422" t="n">
        <v>307084159</v>
      </c>
      <c r="B422" t="n">
        <v>0</v>
      </c>
    </row>
    <row r="423">
      <c r="A423" t="n">
        <v>307084160</v>
      </c>
      <c r="B423" t="n">
        <v>0</v>
      </c>
    </row>
    <row r="424">
      <c r="A424" t="n">
        <v>307084161</v>
      </c>
      <c r="B424" t="n">
        <v>0</v>
      </c>
    </row>
    <row r="425">
      <c r="A425" t="n">
        <v>307084162</v>
      </c>
      <c r="B425" t="n">
        <v>0</v>
      </c>
    </row>
    <row r="426">
      <c r="A426" t="n">
        <v>307087534</v>
      </c>
      <c r="B426" t="n">
        <v>0</v>
      </c>
    </row>
    <row r="427">
      <c r="A427" t="n">
        <v>308308562</v>
      </c>
      <c r="B427" t="n">
        <v>0</v>
      </c>
    </row>
    <row r="428">
      <c r="A428" t="n">
        <v>309883504</v>
      </c>
      <c r="B428" t="n">
        <v>0</v>
      </c>
    </row>
    <row r="429">
      <c r="A429" t="n">
        <v>315688951</v>
      </c>
      <c r="B429" t="n">
        <v>4</v>
      </c>
    </row>
    <row r="430">
      <c r="A430" t="n">
        <v>316109394</v>
      </c>
      <c r="B430" t="n">
        <v>0</v>
      </c>
    </row>
    <row r="431">
      <c r="A431" t="n">
        <v>333259565</v>
      </c>
      <c r="B431" t="n">
        <v>0</v>
      </c>
    </row>
    <row r="432">
      <c r="A432" t="n">
        <v>333259566</v>
      </c>
      <c r="B432" t="n">
        <v>1</v>
      </c>
    </row>
    <row r="433">
      <c r="A433" t="n">
        <v>333259568</v>
      </c>
      <c r="B433" t="n">
        <v>0</v>
      </c>
    </row>
    <row r="434">
      <c r="A434" t="n">
        <v>333318356</v>
      </c>
      <c r="B434" t="n">
        <v>897</v>
      </c>
    </row>
    <row r="435">
      <c r="A435" t="n">
        <v>333319980</v>
      </c>
      <c r="B435" t="n">
        <v>0</v>
      </c>
    </row>
    <row r="436">
      <c r="A436" t="n">
        <v>333321028</v>
      </c>
      <c r="B436" t="n">
        <v>0</v>
      </c>
    </row>
    <row r="437">
      <c r="A437" t="n">
        <v>333718186</v>
      </c>
      <c r="B437" t="n">
        <v>0</v>
      </c>
    </row>
    <row r="438">
      <c r="A438" t="n">
        <v>338340351</v>
      </c>
      <c r="B438" t="n">
        <v>0</v>
      </c>
    </row>
    <row r="439">
      <c r="A439" t="n">
        <v>340752919</v>
      </c>
      <c r="B439" t="n">
        <v>12</v>
      </c>
    </row>
    <row r="440">
      <c r="A440" t="n">
        <v>419630142</v>
      </c>
      <c r="B440" t="n">
        <v>683</v>
      </c>
    </row>
    <row r="441">
      <c r="A441" t="n">
        <v>437154709</v>
      </c>
      <c r="B441" t="n">
        <v>5378</v>
      </c>
    </row>
    <row r="442">
      <c r="A442" t="n">
        <v>437190353</v>
      </c>
      <c r="B442" t="n">
        <v>109</v>
      </c>
    </row>
    <row r="443">
      <c r="A443" t="n">
        <v>437203627</v>
      </c>
      <c r="B443" t="n">
        <v>41</v>
      </c>
    </row>
    <row r="444">
      <c r="A444" t="n">
        <v>437231408</v>
      </c>
      <c r="B444" t="n">
        <v>578</v>
      </c>
    </row>
    <row r="445">
      <c r="A445" t="n">
        <v>437238521</v>
      </c>
      <c r="B445" t="n">
        <v>1</v>
      </c>
    </row>
    <row r="446">
      <c r="A446" t="n">
        <v>437242640</v>
      </c>
      <c r="B446" t="n">
        <v>294</v>
      </c>
    </row>
    <row r="447">
      <c r="A447" t="n">
        <v>437248870</v>
      </c>
      <c r="B447" t="n">
        <v>2</v>
      </c>
    </row>
    <row r="448">
      <c r="A448" t="n">
        <v>437254254</v>
      </c>
      <c r="B448" t="n">
        <v>114</v>
      </c>
    </row>
    <row r="449">
      <c r="A449" t="n">
        <v>437776835</v>
      </c>
      <c r="B449" t="n">
        <v>107</v>
      </c>
    </row>
    <row r="450">
      <c r="A450" t="n">
        <v>437797551</v>
      </c>
      <c r="B450" t="n">
        <v>107</v>
      </c>
    </row>
    <row r="451">
      <c r="A451" t="n">
        <v>437845041</v>
      </c>
      <c r="B451" t="n">
        <v>223</v>
      </c>
    </row>
    <row r="452">
      <c r="A452" t="n">
        <v>437850261</v>
      </c>
      <c r="B452" t="n">
        <v>49</v>
      </c>
    </row>
    <row r="453">
      <c r="A453" t="n">
        <v>551387355</v>
      </c>
      <c r="B453" t="n">
        <v>90</v>
      </c>
    </row>
    <row r="454">
      <c r="A454" t="n">
        <v>551392965</v>
      </c>
      <c r="B454" t="n">
        <v>19</v>
      </c>
    </row>
    <row r="455">
      <c r="A455" t="n">
        <v>551447345</v>
      </c>
      <c r="B455" t="n">
        <v>17</v>
      </c>
    </row>
    <row r="456">
      <c r="A456" t="n">
        <v>551465879</v>
      </c>
      <c r="B456" t="n">
        <v>1662</v>
      </c>
    </row>
    <row r="457">
      <c r="A457" t="n">
        <v>551472457</v>
      </c>
      <c r="B457" t="n">
        <v>34</v>
      </c>
    </row>
    <row r="458">
      <c r="A458" t="n">
        <v>551482493</v>
      </c>
      <c r="B458" t="n">
        <v>19</v>
      </c>
    </row>
    <row r="459">
      <c r="A459" t="n">
        <v>551490295</v>
      </c>
      <c r="B459" t="n">
        <v>47</v>
      </c>
    </row>
    <row r="460">
      <c r="A460" t="n">
        <v>551518955</v>
      </c>
      <c r="B460" t="n">
        <v>9</v>
      </c>
    </row>
    <row r="461">
      <c r="A461" t="n">
        <v>551540924</v>
      </c>
      <c r="B461" t="n">
        <v>306</v>
      </c>
    </row>
    <row r="462">
      <c r="A462" t="n">
        <v>551600265</v>
      </c>
      <c r="B462" t="n">
        <v>1</v>
      </c>
    </row>
    <row r="463">
      <c r="A463" t="n">
        <v>551607905</v>
      </c>
      <c r="B463" t="n">
        <v>485</v>
      </c>
    </row>
    <row r="464">
      <c r="A464" t="n">
        <v>551616449</v>
      </c>
      <c r="B464" t="n">
        <v>26</v>
      </c>
    </row>
    <row r="465">
      <c r="A465" t="n">
        <v>551626041</v>
      </c>
      <c r="B465" t="n">
        <v>0</v>
      </c>
    </row>
    <row r="466">
      <c r="A466" t="n">
        <v>555134309</v>
      </c>
      <c r="B466" t="n">
        <v>0</v>
      </c>
    </row>
    <row r="467">
      <c r="A467" t="n">
        <v>555135716</v>
      </c>
      <c r="B467" t="n">
        <v>1</v>
      </c>
    </row>
    <row r="468">
      <c r="A468" t="n">
        <v>555151552</v>
      </c>
      <c r="B468" t="n">
        <v>0</v>
      </c>
    </row>
    <row r="469">
      <c r="A469" t="n">
        <v>555169767</v>
      </c>
      <c r="B469" t="n">
        <v>0</v>
      </c>
    </row>
    <row r="470">
      <c r="A470" t="n">
        <v>555204573</v>
      </c>
      <c r="B470" t="n">
        <v>5</v>
      </c>
    </row>
    <row r="471">
      <c r="A471" t="n">
        <v>555208894</v>
      </c>
      <c r="B471" t="n">
        <v>1</v>
      </c>
    </row>
    <row r="472">
      <c r="A472" t="n">
        <v>555212357</v>
      </c>
      <c r="B472" t="n">
        <v>0</v>
      </c>
    </row>
    <row r="473">
      <c r="A473" t="n">
        <v>555213580</v>
      </c>
      <c r="B473" t="n">
        <v>1</v>
      </c>
    </row>
    <row r="474">
      <c r="A474" t="n">
        <v>608624295</v>
      </c>
      <c r="B474" t="n">
        <v>111</v>
      </c>
    </row>
    <row r="475">
      <c r="A475" t="n">
        <v>608837066</v>
      </c>
      <c r="B475" t="n">
        <v>135</v>
      </c>
    </row>
    <row r="476">
      <c r="A476" t="n">
        <v>608841921</v>
      </c>
      <c r="B476" t="n">
        <v>194</v>
      </c>
    </row>
    <row r="477">
      <c r="A477" t="n">
        <v>611717011</v>
      </c>
      <c r="B477" t="n">
        <v>22</v>
      </c>
    </row>
    <row r="478">
      <c r="A478" t="n">
        <v>611744611</v>
      </c>
      <c r="B478" t="n">
        <v>15</v>
      </c>
    </row>
    <row r="479">
      <c r="A479" t="n">
        <v>611745490</v>
      </c>
      <c r="B479" t="n">
        <v>4</v>
      </c>
    </row>
    <row r="480">
      <c r="A480" t="n">
        <v>611747838</v>
      </c>
      <c r="B480" t="n">
        <v>76</v>
      </c>
    </row>
    <row r="481">
      <c r="A481" t="n">
        <v>663654300</v>
      </c>
      <c r="B481" t="n">
        <v>6</v>
      </c>
    </row>
    <row r="482">
      <c r="A482" t="n">
        <v>664171647</v>
      </c>
      <c r="B482" t="n">
        <v>0</v>
      </c>
    </row>
    <row r="483">
      <c r="A483" t="n">
        <v>664171648</v>
      </c>
      <c r="B483" t="n">
        <v>0</v>
      </c>
    </row>
    <row r="484">
      <c r="A484" t="n">
        <v>868516027</v>
      </c>
      <c r="B484" t="n">
        <v>7095</v>
      </c>
    </row>
    <row r="485">
      <c r="A485" t="n">
        <v>868575374</v>
      </c>
      <c r="B485" t="n">
        <v>138</v>
      </c>
    </row>
    <row r="486">
      <c r="A486" t="n">
        <v>868700077</v>
      </c>
      <c r="B486" t="n">
        <v>95</v>
      </c>
    </row>
    <row r="487">
      <c r="A487" t="n">
        <v>868761530</v>
      </c>
      <c r="B487" t="n">
        <v>271</v>
      </c>
    </row>
    <row r="488">
      <c r="A488" t="n">
        <v>1119249556</v>
      </c>
      <c r="B488" t="n">
        <v>0</v>
      </c>
    </row>
    <row r="489">
      <c r="A489" t="n">
        <v>1123494802</v>
      </c>
      <c r="B489" t="n">
        <v>0</v>
      </c>
    </row>
    <row r="490">
      <c r="A490" t="n">
        <v>1123574113</v>
      </c>
      <c r="B4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2026-06-25T08:23:48Z</dcterms:created>
  <dcterms:modified xsi:type="dcterms:W3CDTF">2026-06-25T08:23:48Z</dcterms:modified>
</cp:coreProperties>
</file>
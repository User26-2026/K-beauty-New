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равочник" sheetId="1" state="visible" r:id="rId1"/>
    <sheet name="Учёт самовыкупов" sheetId="2" state="visible" r:id="rId2"/>
    <sheet name="Свод по товар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</cols>
  <sheetData>
    <row r="1">
      <c r="A1" s="1" t="inlineStr">
        <is>
          <t>Артикул ВБ</t>
        </is>
      </c>
      <c r="B1" s="1" t="inlineStr">
        <is>
          <t>Название</t>
        </is>
      </c>
      <c r="C1" s="1" t="inlineStr">
        <is>
          <t>Баркод</t>
        </is>
      </c>
    </row>
    <row r="2">
      <c r="A2" t="n">
        <v>1119249556</v>
      </c>
      <c r="B2" t="inlineStr">
        <is>
          <t>PDRN сыворотка для лица VT Essence 100, 30 мл</t>
        </is>
      </c>
      <c r="C2" t="inlineStr">
        <is>
          <t>8803463004286</t>
        </is>
      </c>
    </row>
    <row r="3">
      <c r="A3" t="n">
        <v>1123494802</v>
      </c>
      <c r="B3" t="inlineStr">
        <is>
          <t>Бустер-сыворотка с микроиглами VT Reedle Shot 100</t>
        </is>
      </c>
      <c r="C3" t="inlineStr">
        <is>
          <t>8809695678363</t>
        </is>
      </c>
    </row>
    <row r="4">
      <c r="A4" t="n">
        <v>1123574113</v>
      </c>
      <c r="B4" t="inlineStr">
        <is>
          <t>Тонер с морской водой Dokdo Toner 1025, 200 мл</t>
        </is>
      </c>
      <c r="C4" t="inlineStr">
        <is>
          <t>8809657114731</t>
        </is>
      </c>
    </row>
    <row r="5">
      <c r="A5" t="n">
        <v>1152680017</v>
      </c>
      <c r="B5" t="inlineStr">
        <is>
          <t>Крем-бустер для лица с ретинолом и микроиглами от морщин</t>
        </is>
      </c>
      <c r="C5" t="inlineStr">
        <is>
          <t>2052360339632</t>
        </is>
      </c>
    </row>
    <row r="6">
      <c r="A6" t="n">
        <v>1175175447</v>
      </c>
      <c r="B6" t="inlineStr">
        <is>
          <t>Гидрогелевые маски для лица набор увлажняющие корейские 6 шт</t>
        </is>
      </c>
      <c r="C6" t="inlineStr">
        <is>
          <t>2052426737433</t>
        </is>
      </c>
    </row>
    <row r="7">
      <c r="A7" t="n">
        <v>1177994944</v>
      </c>
      <c r="B7" t="inlineStr">
        <is>
          <t>Гидрогелевые маски для лица набор увлажняющие корейские 5 шт</t>
        </is>
      </c>
      <c r="C7" t="inlineStr">
        <is>
          <t>2052468298473</t>
        </is>
      </c>
    </row>
    <row r="8">
      <c r="A8" t="n">
        <v>1177994945</v>
      </c>
      <c r="B8" t="inlineStr">
        <is>
          <t>Гидрогелевые маски для лица набор увлажняющие корейские 7 шт</t>
        </is>
      </c>
      <c r="C8" t="inlineStr">
        <is>
          <t>2052468472088</t>
        </is>
      </c>
    </row>
    <row r="9">
      <c r="A9" t="n">
        <v>150925321</v>
      </c>
      <c r="B9" t="inlineStr">
        <is>
          <t>Увлажняющий тональный крем для лица матовый Collagen тон 13</t>
        </is>
      </c>
      <c r="C9" t="inlineStr">
        <is>
          <t>2037584524927</t>
        </is>
      </c>
    </row>
    <row r="10">
      <c r="A10" t="n">
        <v>150925322</v>
      </c>
      <c r="B10" t="inlineStr">
        <is>
          <t>Увлажняющий тональный крем для лица матовый Collagen тон 21</t>
        </is>
      </c>
      <c r="C10" t="inlineStr">
        <is>
          <t>2037584524859</t>
        </is>
      </c>
    </row>
    <row r="11">
      <c r="A11" t="n">
        <v>151132051</v>
      </c>
      <c r="B11" t="inlineStr">
        <is>
          <t>Отбеливающий тональный крем для лица 3в1 тон 13</t>
        </is>
      </c>
      <c r="C11" t="inlineStr">
        <is>
          <t>2037584726598</t>
        </is>
      </c>
    </row>
    <row r="12">
      <c r="A12" t="n">
        <v>151132052</v>
      </c>
      <c r="B12" t="inlineStr">
        <is>
          <t>Отбеливающий тональный крем для лица 3в1 тон 21</t>
        </is>
      </c>
      <c r="C12" t="inlineStr">
        <is>
          <t>2037584562721</t>
        </is>
      </c>
    </row>
    <row r="13">
      <c r="A13" t="n">
        <v>151175877</v>
      </c>
      <c r="B13" t="inlineStr">
        <is>
          <t>Гидрогелевые патчи от отеков и мешков под глазами</t>
        </is>
      </c>
      <c r="C13" t="inlineStr">
        <is>
          <t>2037593729689</t>
        </is>
      </c>
    </row>
    <row r="14">
      <c r="A14" t="n">
        <v>151175880</v>
      </c>
      <c r="B14" t="inlineStr">
        <is>
          <t>Патчи для глаз Корея антивозрастные жемчуг и золото</t>
        </is>
      </c>
      <c r="C14" t="inlineStr">
        <is>
          <t>2037593734652</t>
        </is>
      </c>
    </row>
    <row r="15">
      <c r="A15" t="n">
        <v>151313163</v>
      </c>
      <c r="B15" t="inlineStr">
        <is>
          <t>Скраб для лица Baking Powder с содой Корейский</t>
        </is>
      </c>
      <c r="C15" t="inlineStr">
        <is>
          <t>2037596130970</t>
        </is>
      </c>
    </row>
    <row r="16">
      <c r="A16" t="n">
        <v>154159632</v>
      </c>
      <c r="B16" t="inlineStr">
        <is>
          <t>Очищающая пенка для снятия макияжа Baking Powder 30ml</t>
        </is>
      </c>
      <c r="C16" t="inlineStr">
        <is>
          <t>2037649129975</t>
        </is>
      </c>
    </row>
    <row r="17">
      <c r="A17" t="n">
        <v>154160085</v>
      </c>
      <c r="B17" t="inlineStr">
        <is>
          <t>Корейский скраб для лица Baking Powder с содой</t>
        </is>
      </c>
      <c r="C17" t="inlineStr">
        <is>
          <t>2037649132104</t>
        </is>
      </c>
    </row>
    <row r="18">
      <c r="A18" t="n">
        <v>165002270</v>
      </c>
      <c r="B18" t="inlineStr">
        <is>
          <t>BB крем тональный солнцезащитный с коллагеном</t>
        </is>
      </c>
      <c r="C18" t="inlineStr">
        <is>
          <t>2038016038272</t>
        </is>
      </c>
    </row>
    <row r="19">
      <c r="A19" t="n">
        <v>168956391</v>
      </c>
      <c r="B19" t="inlineStr">
        <is>
          <t>Сыворотка для лица увлажняющая 3в1 с коллагеном</t>
        </is>
      </c>
      <c r="C19" t="inlineStr">
        <is>
          <t>2038157722511</t>
        </is>
      </c>
    </row>
    <row r="20">
      <c r="A20" t="n">
        <v>169076150</v>
      </c>
      <c r="B20" t="inlineStr">
        <is>
          <t>Антивозрастной крем для лица от морщин</t>
        </is>
      </c>
      <c r="C20" t="inlineStr">
        <is>
          <t>2038161007680</t>
        </is>
      </c>
    </row>
    <row r="21">
      <c r="A21" t="n">
        <v>169198316</v>
      </c>
      <c r="B21" t="inlineStr">
        <is>
          <t>Пенка для умывания от черных точек Baking Powder 160ml</t>
        </is>
      </c>
      <c r="C21" t="inlineStr">
        <is>
          <t>2038164924540</t>
        </is>
      </c>
    </row>
    <row r="22">
      <c r="A22" t="n">
        <v>170198109</v>
      </c>
      <c r="B22" t="inlineStr">
        <is>
          <t>Тональный крем для лица увлажняющий эффект сияния</t>
        </is>
      </c>
      <c r="C22" t="inlineStr">
        <is>
          <t>2038199512200</t>
        </is>
      </c>
    </row>
    <row r="23">
      <c r="A23" t="n">
        <v>170198180</v>
      </c>
      <c r="B23" t="inlineStr">
        <is>
          <t>Тональный крем для лица увлажняющий эффект сияния</t>
        </is>
      </c>
      <c r="C23" t="inlineStr">
        <is>
          <t>2038199517090</t>
        </is>
      </c>
    </row>
    <row r="24">
      <c r="A24" t="n">
        <v>170198337</v>
      </c>
      <c r="B24" t="inlineStr">
        <is>
          <t>Корейский тональный крем с пептидами 21 тон</t>
        </is>
      </c>
      <c r="C24" t="inlineStr">
        <is>
          <t>2038199518745</t>
        </is>
      </c>
    </row>
    <row r="25">
      <c r="A25" t="n">
        <v>170198738</v>
      </c>
      <c r="B25" t="inlineStr">
        <is>
          <t>Корейский тональный крем с пептидами 13 тон</t>
        </is>
      </c>
      <c r="C25" t="inlineStr">
        <is>
          <t>2038199529925</t>
        </is>
      </c>
    </row>
    <row r="26">
      <c r="A26" t="n">
        <v>170198876</v>
      </c>
      <c r="B26" t="inlineStr">
        <is>
          <t>Тональный крем для лица увлажняющий матовый коллаген</t>
        </is>
      </c>
      <c r="C26" t="inlineStr">
        <is>
          <t>2038199549794</t>
        </is>
      </c>
    </row>
    <row r="27">
      <c r="A27" t="n">
        <v>174668134</v>
      </c>
      <c r="B27" t="inlineStr">
        <is>
          <t>Перкуссионный массажер для тела от целлюлита</t>
        </is>
      </c>
      <c r="C27" t="inlineStr">
        <is>
          <t>2038500947196</t>
        </is>
      </c>
    </row>
    <row r="28">
      <c r="A28" t="n">
        <v>176944957</v>
      </c>
      <c r="B28" t="inlineStr">
        <is>
          <t>Робот мойщик окон с распылением мощный</t>
        </is>
      </c>
      <c r="C28" t="inlineStr">
        <is>
          <t>2038614555348</t>
        </is>
      </c>
    </row>
    <row r="29">
      <c r="A29" t="n">
        <v>179611207</v>
      </c>
      <c r="B29" t="inlineStr">
        <is>
          <t>Гидрогелевые патчи для глаз Корея антивозрастные от отеков</t>
        </is>
      </c>
      <c r="C29" t="inlineStr">
        <is>
          <t>2038707866009</t>
        </is>
      </c>
    </row>
    <row r="30">
      <c r="A30" t="n">
        <v>179611231</v>
      </c>
      <c r="B30" t="inlineStr">
        <is>
          <t>Гидрогелевые патчи для глаз Корея от отеков</t>
        </is>
      </c>
      <c r="C30" t="inlineStr">
        <is>
          <t>2038707872192</t>
        </is>
      </c>
    </row>
    <row r="31">
      <c r="A31" t="n">
        <v>179611278</v>
      </c>
      <c r="B31" t="inlineStr">
        <is>
          <t>Патчи под глаза гидрогелевые с артишоком</t>
        </is>
      </c>
      <c r="C31" t="inlineStr">
        <is>
          <t>2038707874394</t>
        </is>
      </c>
    </row>
    <row r="32">
      <c r="A32" t="n">
        <v>179611304</v>
      </c>
      <c r="B32" t="inlineStr">
        <is>
          <t>Тонизирующие патчи для глаз гидрогелевые с какао</t>
        </is>
      </c>
      <c r="C32" t="inlineStr">
        <is>
          <t>2038707877081</t>
        </is>
      </c>
    </row>
    <row r="33">
      <c r="A33" t="n">
        <v>179611318</v>
      </c>
      <c r="B33" t="inlineStr">
        <is>
          <t>Гидрогелевые патчи для глаз от отеков и морщин</t>
        </is>
      </c>
      <c r="C33" t="inlineStr">
        <is>
          <t>2038707878378</t>
        </is>
      </c>
    </row>
    <row r="34">
      <c r="A34" t="n">
        <v>180711041</v>
      </c>
      <c r="B34" t="inlineStr">
        <is>
          <t>Антивозрастные гидрогелевые патчи с золотом и EGF</t>
        </is>
      </c>
      <c r="C34" t="inlineStr">
        <is>
          <t>2038746146544</t>
        </is>
      </c>
    </row>
    <row r="35">
      <c r="A35" t="n">
        <v>180711104</v>
      </c>
      <c r="B35" t="inlineStr">
        <is>
          <t>Гидрогелевые патчи для глаз с золотом</t>
        </is>
      </c>
      <c r="C35" t="inlineStr">
        <is>
          <t>2038746160717</t>
        </is>
      </c>
    </row>
    <row r="36">
      <c r="A36" t="n">
        <v>180852804</v>
      </c>
      <c r="B36" t="inlineStr">
        <is>
          <t>Скалер для чистки и отбеливания зубов</t>
        </is>
      </c>
      <c r="C36" t="inlineStr">
        <is>
          <t>2038751033068</t>
        </is>
      </c>
    </row>
    <row r="37">
      <c r="A37" t="n">
        <v>180987509</v>
      </c>
      <c r="B37" t="inlineStr">
        <is>
          <t>Тканевые патчи под глаза от темных кругов</t>
        </is>
      </c>
      <c r="C37" t="inlineStr">
        <is>
          <t>2038754559763</t>
        </is>
      </c>
    </row>
    <row r="38">
      <c r="A38" t="n">
        <v>180988755</v>
      </c>
      <c r="B38" t="inlineStr">
        <is>
          <t>Тканевые патчи для глаз и век увлажняющие</t>
        </is>
      </c>
      <c r="C38" t="inlineStr">
        <is>
          <t>2038754577699</t>
        </is>
      </c>
    </row>
    <row r="39">
      <c r="A39" t="n">
        <v>180992464</v>
      </c>
      <c r="B39" t="inlineStr">
        <is>
          <t>Охлаждающие гидрогелевые патчи для области вокруг глаз</t>
        </is>
      </c>
      <c r="C39" t="inlineStr">
        <is>
          <t>2038754611973</t>
        </is>
      </c>
    </row>
    <row r="40">
      <c r="A40" t="n">
        <v>183030830</v>
      </c>
      <c r="B40" t="inlineStr">
        <is>
          <t>Masil набор для волос</t>
        </is>
      </c>
      <c r="C40" t="inlineStr">
        <is>
          <t>2038810750882</t>
        </is>
      </c>
    </row>
    <row r="41">
      <c r="A41" t="n">
        <v>190159348</v>
      </c>
      <c r="B41" t="inlineStr">
        <is>
          <t>Очищающая пенка для лица с настоящим золотом</t>
        </is>
      </c>
      <c r="C41" t="inlineStr">
        <is>
          <t>2038999907312</t>
        </is>
      </c>
    </row>
    <row r="42">
      <c r="A42" t="n">
        <v>190160008</v>
      </c>
      <c r="B42" t="inlineStr">
        <is>
          <t>Крем для лица с ретинолом антивозрастной</t>
        </is>
      </c>
      <c r="C42" t="inlineStr">
        <is>
          <t>2038999919209</t>
        </is>
      </c>
    </row>
    <row r="43">
      <c r="A43" t="n">
        <v>198143251</v>
      </c>
      <c r="B43" t="inlineStr">
        <is>
          <t>Лосьон для лица Bifida Biome Ampoule Lotion</t>
        </is>
      </c>
      <c r="C43" t="inlineStr">
        <is>
          <t>2039239254524</t>
        </is>
      </c>
    </row>
    <row r="44">
      <c r="A44" t="n">
        <v>198147185</v>
      </c>
      <c r="B44" t="inlineStr">
        <is>
          <t>Восстанавливающая сыворотка для лица с бифидобактериями</t>
        </is>
      </c>
      <c r="C44" t="inlineStr">
        <is>
          <t>2039239295145</t>
        </is>
      </c>
    </row>
    <row r="45">
      <c r="A45" t="n">
        <v>198156472</v>
      </c>
      <c r="B45" t="inlineStr">
        <is>
          <t>Отбеливающая сыворотка для лица с витамином С</t>
        </is>
      </c>
      <c r="C45" t="inlineStr">
        <is>
          <t>2039239495040</t>
        </is>
      </c>
    </row>
    <row r="46">
      <c r="A46" t="n">
        <v>198156698</v>
      </c>
      <c r="B46" t="inlineStr">
        <is>
          <t>Гидрофильное масло Ma:nyo Pure Cleansing Oil для умывания</t>
        </is>
      </c>
      <c r="C46" t="inlineStr">
        <is>
          <t>2039239503325</t>
        </is>
      </c>
    </row>
    <row r="47">
      <c r="A47" t="n">
        <v>199427475</v>
      </c>
      <c r="B47" t="inlineStr">
        <is>
          <t>Тоник для лица увлажняющий Teatreatment Toner</t>
        </is>
      </c>
      <c r="C47" t="inlineStr">
        <is>
          <t>2039290751123</t>
        </is>
      </c>
    </row>
    <row r="48">
      <c r="A48" t="n">
        <v>204258828</v>
      </c>
      <c r="B48" t="inlineStr">
        <is>
          <t>Пенка для умывания от прыщей</t>
        </is>
      </c>
      <c r="C48" t="inlineStr">
        <is>
          <t>2039399341218</t>
        </is>
      </c>
    </row>
    <row r="49">
      <c r="A49" t="n">
        <v>206057411</v>
      </c>
      <c r="B49" t="inlineStr">
        <is>
          <t>Корейский тоник для лица от черных точек</t>
        </is>
      </c>
      <c r="C49" t="inlineStr">
        <is>
          <t>2039426417053</t>
        </is>
      </c>
    </row>
    <row r="50">
      <c r="A50" t="n">
        <v>206058262</v>
      </c>
      <c r="B50" t="inlineStr">
        <is>
          <t>Увлажняющая сыворотка для лица Корея</t>
        </is>
      </c>
      <c r="C50" t="inlineStr">
        <is>
          <t>2039426435484</t>
        </is>
      </c>
    </row>
    <row r="51">
      <c r="A51" t="n">
        <v>206126372</v>
      </c>
      <c r="B51" t="inlineStr">
        <is>
          <t>Крем для лица с витамином C осветляющий</t>
        </is>
      </c>
      <c r="C51" t="inlineStr">
        <is>
          <t>2039428564953</t>
        </is>
      </c>
    </row>
    <row r="52">
      <c r="A52" t="n">
        <v>207465786</v>
      </c>
      <c r="B52" t="inlineStr">
        <is>
          <t>Гидрофильное масло бальзам для лица очищающее</t>
        </is>
      </c>
      <c r="C52" t="inlineStr">
        <is>
          <t>2039454846061</t>
        </is>
      </c>
    </row>
    <row r="53">
      <c r="A53" t="n">
        <v>207466866</v>
      </c>
      <c r="B53" t="inlineStr">
        <is>
          <t>Корейская база под макияж с шиммером</t>
        </is>
      </c>
      <c r="C53" t="inlineStr">
        <is>
          <t>2039454852918</t>
        </is>
      </c>
    </row>
    <row r="54">
      <c r="A54" t="n">
        <v>207469760</v>
      </c>
      <c r="B54" t="inlineStr">
        <is>
          <t>Корейский крем для лица антивозрастной премиум</t>
        </is>
      </c>
      <c r="C54" t="inlineStr">
        <is>
          <t>2039455106799</t>
        </is>
      </c>
    </row>
    <row r="55">
      <c r="A55" t="n">
        <v>207472742</v>
      </c>
      <c r="B55" t="inlineStr">
        <is>
          <t>Корейский шампунь против выпадения волос с черным чесноком</t>
        </is>
      </c>
      <c r="C55" t="inlineStr">
        <is>
          <t>2039455123888</t>
        </is>
      </c>
    </row>
    <row r="56">
      <c r="A56" t="n">
        <v>207475898</v>
      </c>
      <c r="B56" t="inlineStr">
        <is>
          <t>Корейский шампунь для волос с коллагеном</t>
        </is>
      </c>
      <c r="C56" t="inlineStr">
        <is>
          <t>2039455150044</t>
        </is>
      </c>
    </row>
    <row r="57">
      <c r="A57" t="n">
        <v>207476309</v>
      </c>
      <c r="B57" t="inlineStr">
        <is>
          <t>Корейский шампунь для волос с аргановым маслом</t>
        </is>
      </c>
      <c r="C57" t="inlineStr">
        <is>
          <t>2039455153090</t>
        </is>
      </c>
    </row>
    <row r="58">
      <c r="A58" t="n">
        <v>207476777</v>
      </c>
      <c r="B58" t="inlineStr">
        <is>
          <t>Корейская пенка для умывания лица увлажняющая</t>
        </is>
      </c>
      <c r="C58" t="inlineStr">
        <is>
          <t>2039455156657</t>
        </is>
      </c>
    </row>
    <row r="59">
      <c r="A59" t="n">
        <v>207477077</v>
      </c>
      <c r="B59" t="inlineStr">
        <is>
          <t>Увлажняющий крем для лица с коллагеном</t>
        </is>
      </c>
      <c r="C59" t="inlineStr">
        <is>
          <t>2039455159528</t>
        </is>
      </c>
    </row>
    <row r="60">
      <c r="A60" t="n">
        <v>207481251</v>
      </c>
      <c r="B60" t="inlineStr">
        <is>
          <t>Корейская эссенция для лица увлажняющая</t>
        </is>
      </c>
      <c r="C60" t="inlineStr">
        <is>
          <t>2039455204792</t>
        </is>
      </c>
    </row>
    <row r="61">
      <c r="A61" t="n">
        <v>207482718</v>
      </c>
      <c r="B61" t="inlineStr">
        <is>
          <t>Крем для лица антивозрастной Snail Lifting Cream</t>
        </is>
      </c>
      <c r="C61" t="inlineStr">
        <is>
          <t>2039455218324</t>
        </is>
      </c>
    </row>
    <row r="62">
      <c r="A62" t="n">
        <v>207483179</v>
      </c>
      <c r="B62" t="inlineStr">
        <is>
          <t>Восстанавливающий крем для лица антивозрастной</t>
        </is>
      </c>
      <c r="C62" t="inlineStr">
        <is>
          <t>2039455222093</t>
        </is>
      </c>
    </row>
    <row r="63">
      <c r="A63" t="n">
        <v>207483780</v>
      </c>
      <c r="B63" t="inlineStr">
        <is>
          <t>Корейский крем для лица антивозрастной от морщин</t>
        </is>
      </c>
      <c r="C63" t="inlineStr">
        <is>
          <t>2039455226374</t>
        </is>
      </c>
    </row>
    <row r="64">
      <c r="A64" t="n">
        <v>207796350</v>
      </c>
      <c r="B64" t="inlineStr">
        <is>
          <t>Маска для волос увлажняющая с коллагеном</t>
        </is>
      </c>
      <c r="C64" t="inlineStr">
        <is>
          <t>2039459233972</t>
        </is>
      </c>
    </row>
    <row r="65">
      <c r="A65" t="n">
        <v>207796563</v>
      </c>
      <c r="B65" t="inlineStr">
        <is>
          <t>Крем для лица Aqua Hyaluronic Acid Water Drop</t>
        </is>
      </c>
      <c r="C65" t="inlineStr">
        <is>
          <t>2039459241724</t>
        </is>
      </c>
    </row>
    <row r="66">
      <c r="A66" t="n">
        <v>207796789</v>
      </c>
      <c r="B66" t="inlineStr">
        <is>
          <t>Тональный крем для лица матовый увлажняющий с муцином</t>
        </is>
      </c>
      <c r="C66" t="inlineStr">
        <is>
          <t>2039459246705</t>
        </is>
      </c>
    </row>
    <row r="67">
      <c r="A67" t="n">
        <v>207796898</v>
      </c>
      <c r="B67" t="inlineStr">
        <is>
          <t>Тональный крем для лица матовый увлажняющий с муцином</t>
        </is>
      </c>
      <c r="C67" t="inlineStr">
        <is>
          <t>2039459247900</t>
        </is>
      </c>
    </row>
    <row r="68">
      <c r="A68" t="n">
        <v>207818000</v>
      </c>
      <c r="B68" t="inlineStr">
        <is>
          <t>Сыворотка для глубокого очищения лица</t>
        </is>
      </c>
      <c r="C68" t="inlineStr">
        <is>
          <t>2039459452366</t>
        </is>
      </c>
    </row>
    <row r="69">
      <c r="A69" t="n">
        <v>207818642</v>
      </c>
      <c r="B69" t="inlineStr">
        <is>
          <t>Увлажняющий крем для кожи вокруг глаз</t>
        </is>
      </c>
      <c r="C69" t="inlineStr">
        <is>
          <t>2039459463478</t>
        </is>
      </c>
    </row>
    <row r="70">
      <c r="A70" t="n">
        <v>208202076</v>
      </c>
      <c r="B70" t="inlineStr">
        <is>
          <t>Увлажняющий крем для лица с коллагеном ампульный</t>
        </is>
      </c>
      <c r="C70" t="inlineStr">
        <is>
          <t>2039465476073</t>
        </is>
      </c>
    </row>
    <row r="71">
      <c r="A71" t="n">
        <v>208208674</v>
      </c>
      <c r="B71" t="inlineStr">
        <is>
          <t>Рация UV-82 Баофенг</t>
        </is>
      </c>
      <c r="C71" t="inlineStr">
        <is>
          <t>2039465567863</t>
        </is>
      </c>
    </row>
    <row r="72">
      <c r="A72" t="n">
        <v>210575566</v>
      </c>
      <c r="B72" t="inlineStr">
        <is>
          <t>Увлажняющий крем для кожи вокруг глаз</t>
        </is>
      </c>
      <c r="C72" t="inlineStr">
        <is>
          <t>2039514639756</t>
        </is>
      </c>
    </row>
    <row r="73">
      <c r="A73" t="n">
        <v>212719009</v>
      </c>
      <c r="B73" t="inlineStr">
        <is>
          <t>Корректирующий СС крем для лица тональный</t>
        </is>
      </c>
      <c r="C73" t="inlineStr">
        <is>
          <t>2039565072205</t>
        </is>
      </c>
    </row>
    <row r="74">
      <c r="A74" t="n">
        <v>212753217</v>
      </c>
      <c r="B74" t="inlineStr">
        <is>
          <t>Крем для лица с коллагеном</t>
        </is>
      </c>
      <c r="C74" t="inlineStr">
        <is>
          <t>2039565772600</t>
        </is>
      </c>
    </row>
    <row r="75">
      <c r="A75" t="n">
        <v>212757456</v>
      </c>
      <c r="B75" t="inlineStr">
        <is>
          <t>Корейский тонер для лица увлажняющий с центеллой</t>
        </is>
      </c>
      <c r="C75" t="inlineStr">
        <is>
          <t>2039565877350</t>
        </is>
      </c>
    </row>
    <row r="76">
      <c r="A76" t="n">
        <v>212759698</v>
      </c>
      <c r="B76" t="inlineStr">
        <is>
          <t>Корейский успокаивающий тонер с алоэ</t>
        </is>
      </c>
      <c r="C76" t="inlineStr">
        <is>
          <t>2039565907194</t>
        </is>
      </c>
    </row>
    <row r="77">
      <c r="A77" t="n">
        <v>212760119</v>
      </c>
      <c r="B77" t="inlineStr">
        <is>
          <t>Корейский тонер для лица антивозрастной</t>
        </is>
      </c>
      <c r="C77" t="inlineStr">
        <is>
          <t>2039565923590</t>
        </is>
      </c>
    </row>
    <row r="78">
      <c r="A78" t="n">
        <v>212883090</v>
      </c>
      <c r="B78" t="inlineStr">
        <is>
          <t>Увлажняюший тонер для лица с гиалуроновой кислотой</t>
        </is>
      </c>
      <c r="C78" t="inlineStr">
        <is>
          <t>2039568294055</t>
        </is>
      </c>
    </row>
    <row r="79">
      <c r="A79" t="n">
        <v>212885914</v>
      </c>
      <c r="B79" t="inlineStr">
        <is>
          <t>Сыворотка роллер для глаз увлажняющая</t>
        </is>
      </c>
      <c r="C79" t="inlineStr">
        <is>
          <t>2039568376843</t>
        </is>
      </c>
    </row>
    <row r="80">
      <c r="A80" t="n">
        <v>212889025</v>
      </c>
      <c r="B80" t="inlineStr">
        <is>
          <t>Консилер для лица плотный 01, корректор светлый</t>
        </is>
      </c>
      <c r="C80" t="inlineStr">
        <is>
          <t>2039568436448</t>
        </is>
      </c>
    </row>
    <row r="81">
      <c r="A81" t="n">
        <v>212889027</v>
      </c>
      <c r="B81" t="inlineStr">
        <is>
          <t>Консилер для лица плотный 02 корректор</t>
        </is>
      </c>
      <c r="C81" t="inlineStr">
        <is>
          <t>2039568446645</t>
        </is>
      </c>
    </row>
    <row r="82">
      <c r="A82" t="n">
        <v>212889028</v>
      </c>
      <c r="B82" t="inlineStr">
        <is>
          <t>Консилер для лица плотный 03 корректор</t>
        </is>
      </c>
      <c r="C82" t="inlineStr">
        <is>
          <t>2039568449431</t>
        </is>
      </c>
    </row>
    <row r="83">
      <c r="A83" t="n">
        <v>214304883</v>
      </c>
      <c r="B83" t="inlineStr">
        <is>
          <t>Корейский крем для лица антивозрастной</t>
        </is>
      </c>
      <c r="C83" t="inlineStr">
        <is>
          <t>2039597951608</t>
        </is>
      </c>
    </row>
    <row r="84">
      <c r="A84" t="n">
        <v>214305722</v>
      </c>
      <c r="B84" t="inlineStr">
        <is>
          <t>Шампунь для волос женский и бальзам c черным чесноком набор</t>
        </is>
      </c>
      <c r="C84" t="inlineStr">
        <is>
          <t>2039597968347</t>
        </is>
      </c>
    </row>
    <row r="85">
      <c r="A85" t="n">
        <v>214311963</v>
      </c>
      <c r="B85" t="inlineStr">
        <is>
          <t>Сыворотка Корея увлажняющая против морщин</t>
        </is>
      </c>
      <c r="C85" t="inlineStr">
        <is>
          <t>2039598141794</t>
        </is>
      </c>
    </row>
    <row r="86">
      <c r="A86" t="n">
        <v>214312149</v>
      </c>
      <c r="B86" t="inlineStr">
        <is>
          <t>Увлажняющая ночная маска для сухой кожи</t>
        </is>
      </c>
      <c r="C86" t="inlineStr">
        <is>
          <t>2039598146997</t>
        </is>
      </c>
    </row>
    <row r="87">
      <c r="A87" t="n">
        <v>214312385</v>
      </c>
      <c r="B87" t="inlineStr">
        <is>
          <t>Антивозрастная сыворотка для лица с аргирелином 10%</t>
        </is>
      </c>
      <c r="C87" t="inlineStr">
        <is>
          <t>2039598154275</t>
        </is>
      </c>
    </row>
    <row r="88">
      <c r="A88" t="n">
        <v>214964091</v>
      </c>
      <c r="B88" t="inlineStr">
        <is>
          <t>Набор корейских тканевых масок для лица 10 шт</t>
        </is>
      </c>
      <c r="C88" t="inlineStr">
        <is>
          <t>2039610320817</t>
        </is>
      </c>
    </row>
    <row r="89">
      <c r="A89" t="n">
        <v>214977901</v>
      </c>
      <c r="B89" t="inlineStr">
        <is>
          <t>Маски для лица тканевые</t>
        </is>
      </c>
      <c r="C89" t="inlineStr">
        <is>
          <t>2039610565850</t>
        </is>
      </c>
    </row>
    <row r="90">
      <c r="A90" t="n">
        <v>226114831</v>
      </c>
      <c r="B90" t="inlineStr">
        <is>
          <t>Корейские гидрогелевые маски для лица с артишоком</t>
        </is>
      </c>
      <c r="C90" t="inlineStr">
        <is>
          <t>2039871725611</t>
        </is>
      </c>
    </row>
    <row r="91">
      <c r="A91" t="n">
        <v>226114935</v>
      </c>
      <c r="B91" t="inlineStr">
        <is>
          <t>Маски для лица с золотом</t>
        </is>
      </c>
      <c r="C91" t="inlineStr">
        <is>
          <t>2039871778662</t>
        </is>
      </c>
    </row>
    <row r="92">
      <c r="A92" t="n">
        <v>226115141</v>
      </c>
      <c r="B92" t="inlineStr">
        <is>
          <t>Корейские гидрогелевые маски для лица против морщин</t>
        </is>
      </c>
      <c r="C92" t="inlineStr">
        <is>
          <t>2039871831688</t>
        </is>
      </c>
    </row>
    <row r="93">
      <c r="A93" t="n">
        <v>226115248</v>
      </c>
      <c r="B93" t="inlineStr">
        <is>
          <t>Корейские гидрогелевые маски для лица тонизирующие</t>
        </is>
      </c>
      <c r="C93" t="inlineStr">
        <is>
          <t>2039871833583</t>
        </is>
      </c>
    </row>
    <row r="94">
      <c r="A94" t="n">
        <v>226115324</v>
      </c>
      <c r="B94" t="inlineStr">
        <is>
          <t>Корейские гидрогелевые маски для лица охлаждающие с агавой</t>
        </is>
      </c>
      <c r="C94" t="inlineStr">
        <is>
          <t>2039871885322</t>
        </is>
      </c>
    </row>
    <row r="95">
      <c r="A95" t="n">
        <v>226115478</v>
      </c>
      <c r="B95" t="inlineStr">
        <is>
          <t>Корейские гидрогелевые маски для лица с золотом и жемчугом</t>
        </is>
      </c>
      <c r="C95" t="inlineStr">
        <is>
          <t>2039871888118</t>
        </is>
      </c>
    </row>
    <row r="96">
      <c r="A96" t="n">
        <v>236825103</v>
      </c>
      <c r="B96" t="inlineStr">
        <is>
          <t>Трехшаговый набор тканевых масок для лица 10 шт.</t>
        </is>
      </c>
      <c r="C96" t="inlineStr">
        <is>
          <t>2040328553763</t>
        </is>
      </c>
    </row>
    <row r="97">
      <c r="A97" t="n">
        <v>238358954</v>
      </c>
      <c r="B97" t="inlineStr">
        <is>
          <t>Солнцезащитный крем СПФ 50 для лица и тела</t>
        </is>
      </c>
      <c r="C97" t="inlineStr">
        <is>
          <t>2040439686145</t>
        </is>
      </c>
    </row>
    <row r="98">
      <c r="A98" t="n">
        <v>238413828</v>
      </c>
      <c r="B98" t="inlineStr">
        <is>
          <t>BB-крем тональный увлажняющий для лица с коллагеном</t>
        </is>
      </c>
      <c r="C98" t="inlineStr">
        <is>
          <t>2040440963358</t>
        </is>
      </c>
    </row>
    <row r="99">
      <c r="A99" t="n">
        <v>238415286</v>
      </c>
      <c r="B99" t="inlineStr">
        <is>
          <t>Увлажняющий крем для лица Корея Collagen</t>
        </is>
      </c>
      <c r="C99" t="inlineStr">
        <is>
          <t>2040441089354</t>
        </is>
      </c>
    </row>
    <row r="100">
      <c r="A100" t="n">
        <v>238416010</v>
      </c>
      <c r="B100" t="inlineStr">
        <is>
          <t>Корейский крем для лица отбеливающий 3в1 коллаген</t>
        </is>
      </c>
      <c r="C100" t="inlineStr">
        <is>
          <t>2040441100189</t>
        </is>
      </c>
    </row>
    <row r="101">
      <c r="A101" t="n">
        <v>247275092</v>
      </c>
      <c r="B101" t="inlineStr">
        <is>
          <t>Кислотный тоник для лица от прыщей Glycolic Acid 7%</t>
        </is>
      </c>
      <c r="C101" t="inlineStr">
        <is>
          <t>2040774097477</t>
        </is>
      </c>
    </row>
    <row r="102">
      <c r="A102" t="n">
        <v>248928046</v>
      </c>
      <c r="B102" t="inlineStr">
        <is>
          <t>Корейское мыло для лица от прыщей</t>
        </is>
      </c>
      <c r="C102" t="inlineStr">
        <is>
          <t>2040821243000</t>
        </is>
      </c>
    </row>
    <row r="103">
      <c r="A103" t="n">
        <v>248929125</v>
      </c>
      <c r="B103" t="inlineStr">
        <is>
          <t>Крем для лица от прыщей для проблемной кожи</t>
        </is>
      </c>
      <c r="C103" t="inlineStr">
        <is>
          <t>2040821259889</t>
        </is>
      </c>
    </row>
    <row r="104">
      <c r="A104" t="n">
        <v>255574453</v>
      </c>
      <c r="B104" t="inlineStr">
        <is>
          <t>Увлажняющие тканевые маски для лица Корея 15 штук</t>
        </is>
      </c>
      <c r="C104" t="inlineStr">
        <is>
          <t>2041007880460</t>
        </is>
      </c>
    </row>
    <row r="105">
      <c r="A105" t="n">
        <v>307073881</v>
      </c>
      <c r="B105" t="inlineStr">
        <is>
          <t>Очищающая пенка для снятия макияжа Baking Powder 160ml</t>
        </is>
      </c>
      <c r="C105" t="inlineStr">
        <is>
          <t>2042358110930</t>
        </is>
      </c>
    </row>
    <row r="106">
      <c r="A106" t="n">
        <v>315688951</v>
      </c>
      <c r="B106" t="inlineStr">
        <is>
          <t>Триммер для бритья бороды мужской</t>
        </is>
      </c>
      <c r="C106" t="inlineStr">
        <is>
          <t>2042560117727</t>
        </is>
      </c>
    </row>
    <row r="107">
      <c r="A107" t="n">
        <v>340752919</v>
      </c>
      <c r="B107" t="inlineStr">
        <is>
          <t>Патчи для глаз Корея комплект</t>
        </is>
      </c>
      <c r="C107" t="inlineStr">
        <is>
          <t>2042986515992</t>
        </is>
      </c>
    </row>
    <row r="108">
      <c r="A108" t="n">
        <v>419630142</v>
      </c>
      <c r="B108" t="inlineStr">
        <is>
          <t>Сыворотка для лица увлажняющая c муцыном улитки</t>
        </is>
      </c>
      <c r="C108" t="inlineStr">
        <is>
          <t>2044029059760</t>
        </is>
      </c>
    </row>
    <row r="109">
      <c r="A109" t="n">
        <v>437154709</v>
      </c>
      <c r="B109" t="inlineStr">
        <is>
          <t>Увлажняющая пенка для умывания лица Корея</t>
        </is>
      </c>
      <c r="C109" t="inlineStr">
        <is>
          <t>2044321663788</t>
        </is>
      </c>
    </row>
    <row r="110">
      <c r="A110" t="n">
        <v>437190353</v>
      </c>
      <c r="B110" t="inlineStr">
        <is>
          <t>Увлажняющий крем для лица с берёзовым соком Корея</t>
        </is>
      </c>
      <c r="C110" t="inlineStr">
        <is>
          <t>2044323100908</t>
        </is>
      </c>
    </row>
    <row r="111">
      <c r="A111" t="n">
        <v>437242640</v>
      </c>
      <c r="B111" t="inlineStr">
        <is>
          <t>Очищающая пенка для умывания лица от прыщей и акне Корея</t>
        </is>
      </c>
      <c r="C111" t="inlineStr">
        <is>
          <t>2044324706147</t>
        </is>
      </c>
    </row>
    <row r="112">
      <c r="A112" t="n">
        <v>437254254</v>
      </c>
      <c r="B112" t="inlineStr">
        <is>
          <t>Крем для лица с чёрной соей и пантенолом успокаивающий Корея</t>
        </is>
      </c>
      <c r="C112" t="inlineStr">
        <is>
          <t>2044325487656</t>
        </is>
      </c>
    </row>
    <row r="113">
      <c r="A113" t="n">
        <v>437776835</v>
      </c>
      <c r="B113" t="inlineStr">
        <is>
          <t>Сыворотка для жирной кожи лица увлажняющая с центеллой</t>
        </is>
      </c>
      <c r="C113" t="inlineStr">
        <is>
          <t>2044336344191</t>
        </is>
      </c>
    </row>
    <row r="114">
      <c r="A114" t="n">
        <v>437850261</v>
      </c>
      <c r="B114" t="inlineStr">
        <is>
          <t>Гидрофильное масло для лица для умывания Корея</t>
        </is>
      </c>
      <c r="C114" t="inlineStr">
        <is>
          <t>2044337151743</t>
        </is>
      </c>
    </row>
    <row r="115">
      <c r="A115" t="n">
        <v>48905926</v>
      </c>
      <c r="B115" t="inlineStr">
        <is>
          <t>Дед Мороз под елку 35 см</t>
        </is>
      </c>
      <c r="C115" t="inlineStr">
        <is>
          <t>2013924272000</t>
        </is>
      </c>
    </row>
    <row r="116">
      <c r="A116" t="n">
        <v>551387355</v>
      </c>
      <c r="B116" t="inlineStr">
        <is>
          <t>Крем-Бустер для лица с микроиглами и ретинолом</t>
        </is>
      </c>
      <c r="C116" t="inlineStr">
        <is>
          <t>2046404491455</t>
        </is>
      </c>
    </row>
    <row r="117">
      <c r="A117" t="n">
        <v>551392965</v>
      </c>
      <c r="B117" t="inlineStr">
        <is>
          <t>Крем для восстановления барьера лица</t>
        </is>
      </c>
      <c r="C117" t="inlineStr">
        <is>
          <t>2046404583563</t>
        </is>
      </c>
    </row>
    <row r="118">
      <c r="A118" t="n">
        <v>551447345</v>
      </c>
      <c r="B118" t="inlineStr">
        <is>
          <t>Отбеливающий крем для выравнивания тона и микрорельефа</t>
        </is>
      </c>
      <c r="C118" t="inlineStr">
        <is>
          <t>2046405279274</t>
        </is>
      </c>
    </row>
    <row r="119">
      <c r="A119" t="n">
        <v>551465879</v>
      </c>
      <c r="B119" t="inlineStr">
        <is>
          <t>Лифтинг-сыворотка для лица с микроиглами и ретинолом</t>
        </is>
      </c>
      <c r="C119" t="inlineStr">
        <is>
          <t>2046405506950</t>
        </is>
      </c>
    </row>
    <row r="120">
      <c r="A120" t="n">
        <v>551472457</v>
      </c>
      <c r="B120" t="inlineStr">
        <is>
          <t>Сыворотка для лица с экстрактом нони</t>
        </is>
      </c>
      <c r="C120" t="inlineStr">
        <is>
          <t>2046405603925</t>
        </is>
      </c>
    </row>
    <row r="121">
      <c r="A121" t="n">
        <v>551482493</v>
      </c>
      <c r="B121" t="inlineStr">
        <is>
          <t>Сыворотка для лица отбеливающая</t>
        </is>
      </c>
      <c r="C121" t="inlineStr">
        <is>
          <t>2046405708019</t>
        </is>
      </c>
    </row>
    <row r="122">
      <c r="A122" t="n">
        <v>551490295</v>
      </c>
      <c r="B122" t="inlineStr">
        <is>
          <t>Сыворотка для лица осветляющая</t>
        </is>
      </c>
      <c r="C122" t="inlineStr">
        <is>
          <t>2046405805701</t>
        </is>
      </c>
    </row>
    <row r="123">
      <c r="A123" t="n">
        <v>551518955</v>
      </c>
      <c r="B123" t="inlineStr">
        <is>
          <t>Увлажняющий тонер для лица с экстрактом нони</t>
        </is>
      </c>
      <c r="C123" t="inlineStr">
        <is>
          <t>2046406526322</t>
        </is>
      </c>
    </row>
    <row r="124">
      <c r="A124" t="n">
        <v>551540924</v>
      </c>
      <c r="B124" t="inlineStr">
        <is>
          <t>Отбеливающие тонер пэды для лица</t>
        </is>
      </c>
      <c r="C124" t="inlineStr">
        <is>
          <t>2046407245499</t>
        </is>
      </c>
    </row>
    <row r="125">
      <c r="A125" t="n">
        <v>551600265</v>
      </c>
      <c r="B125" t="inlineStr">
        <is>
          <t>Успокаивающие тонер пэды для лица с кислотами</t>
        </is>
      </c>
      <c r="C125" t="inlineStr">
        <is>
          <t>2046410898262</t>
        </is>
      </c>
    </row>
    <row r="126">
      <c r="A126" t="n">
        <v>551607905</v>
      </c>
      <c r="B126" t="inlineStr">
        <is>
          <t>Успокаивающие тонер пэды для лица с кислотами</t>
        </is>
      </c>
      <c r="C126" t="inlineStr">
        <is>
          <t>2046411066387</t>
        </is>
      </c>
    </row>
    <row r="127">
      <c r="A127" t="n">
        <v>551616449</v>
      </c>
      <c r="B127" t="inlineStr">
        <is>
          <t>Увлажняющий набор уходовых средств для лица</t>
        </is>
      </c>
      <c r="C127" t="inlineStr">
        <is>
          <t>2046411214818</t>
        </is>
      </c>
    </row>
    <row r="128">
      <c r="A128" t="n">
        <v>608624295</v>
      </c>
      <c r="B128" t="inlineStr">
        <is>
          <t>Шампунь для волос женский c черным</t>
        </is>
      </c>
      <c r="C128" t="inlineStr">
        <is>
          <t>2047210896502</t>
        </is>
      </c>
    </row>
    <row r="129">
      <c r="A129" t="n">
        <v>608837066</v>
      </c>
      <c r="B129" t="inlineStr">
        <is>
          <t>Шампунь для волос женский c черным чесноком</t>
        </is>
      </c>
      <c r="C129" t="inlineStr">
        <is>
          <t>2047214934583</t>
        </is>
      </c>
    </row>
    <row r="130">
      <c r="A130" t="n">
        <v>608841921</v>
      </c>
      <c r="B130" t="inlineStr">
        <is>
          <t>Шампунь для волос женский c черным чесноком</t>
        </is>
      </c>
      <c r="C130" t="inlineStr">
        <is>
          <t>2047215059148</t>
        </is>
      </c>
    </row>
    <row r="131">
      <c r="A131" t="n">
        <v>663654300</v>
      </c>
      <c r="B131" t="inlineStr">
        <is>
          <t>Камера видеонаблюдения уличная от сим карты 4G</t>
        </is>
      </c>
      <c r="C131" t="inlineStr">
        <is>
          <t>2047556953747</t>
        </is>
      </c>
    </row>
    <row r="132">
      <c r="A132" t="n">
        <v>868516027</v>
      </c>
      <c r="B132" t="inlineStr">
        <is>
          <t>Кремовый тонер с молочной текстурой Dual Barrier</t>
        </is>
      </c>
      <c r="C132" t="inlineStr">
        <is>
          <t>2049476923152</t>
        </is>
      </c>
    </row>
    <row r="133">
      <c r="A133" t="n">
        <v>868575374</v>
      </c>
      <c r="B133" t="inlineStr">
        <is>
          <t>Гель пенка для умывания Bifida Complex Ampoule Gel Cleanser</t>
        </is>
      </c>
      <c r="C133" t="inlineStr">
        <is>
          <t>2049477438426</t>
        </is>
      </c>
    </row>
    <row r="134">
      <c r="A134" t="n">
        <v>868700077</v>
      </c>
      <c r="B134" t="inlineStr">
        <is>
          <t>Сыворотка с микроиглами 1Dx для интенсивного ухода</t>
        </is>
      </c>
      <c r="C134" t="inlineStr">
        <is>
          <t>2049478612030</t>
        </is>
      </c>
    </row>
    <row r="135">
      <c r="A135" t="n">
        <v>868761530</v>
      </c>
      <c r="B135" t="inlineStr">
        <is>
          <t>Бальзам маска для губ Lip Sleeping Mask Berry</t>
        </is>
      </c>
      <c r="C135" t="inlineStr">
        <is>
          <t>2049479296772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8" customWidth="1" min="3" max="3"/>
    <col width="15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24" customWidth="1" min="10" max="10"/>
  </cols>
  <sheetData>
    <row r="1">
      <c r="A1" s="2" t="inlineStr">
        <is>
          <t>Дата</t>
        </is>
      </c>
      <c r="B1" s="2" t="inlineStr">
        <is>
          <t>Артикул ВБ</t>
        </is>
      </c>
      <c r="C1" s="2" t="inlineStr">
        <is>
          <t>Название (авто)</t>
        </is>
      </c>
      <c r="D1" s="2" t="inlineStr">
        <is>
          <t>Баркод (авто)</t>
        </is>
      </c>
      <c r="E1" s="2" t="inlineStr">
        <is>
          <t>Заказано, шт</t>
        </is>
      </c>
      <c r="F1" s="2" t="inlineStr">
        <is>
          <t>Забрано, шт</t>
        </is>
      </c>
      <c r="G1" s="2" t="inlineStr">
        <is>
          <t>Осталось забрать</t>
        </is>
      </c>
      <c r="H1" s="2" t="inlineStr">
        <is>
          <t>Цена заказа, ₽/шт</t>
        </is>
      </c>
      <c r="I1" s="2" t="inlineStr">
        <is>
          <t>Сумма заказа, ₽</t>
        </is>
      </c>
      <c r="J1" s="2" t="inlineStr">
        <is>
          <t>Комментарий</t>
        </is>
      </c>
    </row>
    <row r="2">
      <c r="A2" s="3" t="n"/>
      <c r="B2" s="4" t="n"/>
      <c r="C2" s="5">
        <f>IFERROR(VLOOKUP(B2,Справочник!$A$2:$C$135,2,FALSE),"")</f>
        <v/>
      </c>
      <c r="D2" s="5">
        <f>IFERROR(VLOOKUP(B2,Справочник!$A$2:$C$135,3,FALSE),"")</f>
        <v/>
      </c>
      <c r="E2" s="4" t="n"/>
      <c r="F2" s="4" t="n"/>
      <c r="G2" s="5">
        <f>IF(E2="","",E2-N(F2))</f>
        <v/>
      </c>
      <c r="H2" s="4" t="n"/>
      <c r="I2" s="6">
        <f>IF(OR(E2="",H2=""),"",E2*H2)</f>
        <v/>
      </c>
      <c r="J2" s="4" t="n"/>
    </row>
    <row r="3">
      <c r="A3" s="3" t="n"/>
      <c r="B3" s="4" t="n"/>
      <c r="C3" s="5">
        <f>IFERROR(VLOOKUP(B3,Справочник!$A$2:$C$135,2,FALSE),"")</f>
        <v/>
      </c>
      <c r="D3" s="5">
        <f>IFERROR(VLOOKUP(B3,Справочник!$A$2:$C$135,3,FALSE),"")</f>
        <v/>
      </c>
      <c r="E3" s="4" t="n"/>
      <c r="F3" s="4" t="n"/>
      <c r="G3" s="5">
        <f>IF(E3="","",E3-N(F3))</f>
        <v/>
      </c>
      <c r="H3" s="4" t="n"/>
      <c r="I3" s="6">
        <f>IF(OR(E3="",H3=""),"",E3*H3)</f>
        <v/>
      </c>
      <c r="J3" s="4" t="n"/>
    </row>
    <row r="4">
      <c r="A4" s="3" t="n"/>
      <c r="B4" s="4" t="n"/>
      <c r="C4" s="5">
        <f>IFERROR(VLOOKUP(B4,Справочник!$A$2:$C$135,2,FALSE),"")</f>
        <v/>
      </c>
      <c r="D4" s="5">
        <f>IFERROR(VLOOKUP(B4,Справочник!$A$2:$C$135,3,FALSE),"")</f>
        <v/>
      </c>
      <c r="E4" s="4" t="n"/>
      <c r="F4" s="4" t="n"/>
      <c r="G4" s="5">
        <f>IF(E4="","",E4-N(F4))</f>
        <v/>
      </c>
      <c r="H4" s="4" t="n"/>
      <c r="I4" s="6">
        <f>IF(OR(E4="",H4=""),"",E4*H4)</f>
        <v/>
      </c>
      <c r="J4" s="4" t="n"/>
    </row>
    <row r="5">
      <c r="A5" s="3" t="n"/>
      <c r="B5" s="4" t="n"/>
      <c r="C5" s="5">
        <f>IFERROR(VLOOKUP(B5,Справочник!$A$2:$C$135,2,FALSE),"")</f>
        <v/>
      </c>
      <c r="D5" s="5">
        <f>IFERROR(VLOOKUP(B5,Справочник!$A$2:$C$135,3,FALSE),"")</f>
        <v/>
      </c>
      <c r="E5" s="4" t="n"/>
      <c r="F5" s="4" t="n"/>
      <c r="G5" s="5">
        <f>IF(E5="","",E5-N(F5))</f>
        <v/>
      </c>
      <c r="H5" s="4" t="n"/>
      <c r="I5" s="6">
        <f>IF(OR(E5="",H5=""),"",E5*H5)</f>
        <v/>
      </c>
      <c r="J5" s="4" t="n"/>
    </row>
    <row r="6">
      <c r="A6" s="3" t="n"/>
      <c r="B6" s="4" t="n"/>
      <c r="C6" s="5">
        <f>IFERROR(VLOOKUP(B6,Справочник!$A$2:$C$135,2,FALSE),"")</f>
        <v/>
      </c>
      <c r="D6" s="5">
        <f>IFERROR(VLOOKUP(B6,Справочник!$A$2:$C$135,3,FALSE),"")</f>
        <v/>
      </c>
      <c r="E6" s="4" t="n"/>
      <c r="F6" s="4" t="n"/>
      <c r="G6" s="5">
        <f>IF(E6="","",E6-N(F6))</f>
        <v/>
      </c>
      <c r="H6" s="4" t="n"/>
      <c r="I6" s="6">
        <f>IF(OR(E6="",H6=""),"",E6*H6)</f>
        <v/>
      </c>
      <c r="J6" s="4" t="n"/>
    </row>
    <row r="7">
      <c r="A7" s="3" t="n"/>
      <c r="B7" s="4" t="n"/>
      <c r="C7" s="5">
        <f>IFERROR(VLOOKUP(B7,Справочник!$A$2:$C$135,2,FALSE),"")</f>
        <v/>
      </c>
      <c r="D7" s="5">
        <f>IFERROR(VLOOKUP(B7,Справочник!$A$2:$C$135,3,FALSE),"")</f>
        <v/>
      </c>
      <c r="E7" s="4" t="n"/>
      <c r="F7" s="4" t="n"/>
      <c r="G7" s="5">
        <f>IF(E7="","",E7-N(F7))</f>
        <v/>
      </c>
      <c r="H7" s="4" t="n"/>
      <c r="I7" s="6">
        <f>IF(OR(E7="",H7=""),"",E7*H7)</f>
        <v/>
      </c>
      <c r="J7" s="4" t="n"/>
    </row>
    <row r="8">
      <c r="A8" s="3" t="n"/>
      <c r="B8" s="4" t="n"/>
      <c r="C8" s="5">
        <f>IFERROR(VLOOKUP(B8,Справочник!$A$2:$C$135,2,FALSE),"")</f>
        <v/>
      </c>
      <c r="D8" s="5">
        <f>IFERROR(VLOOKUP(B8,Справочник!$A$2:$C$135,3,FALSE),"")</f>
        <v/>
      </c>
      <c r="E8" s="4" t="n"/>
      <c r="F8" s="4" t="n"/>
      <c r="G8" s="5">
        <f>IF(E8="","",E8-N(F8))</f>
        <v/>
      </c>
      <c r="H8" s="4" t="n"/>
      <c r="I8" s="6">
        <f>IF(OR(E8="",H8=""),"",E8*H8)</f>
        <v/>
      </c>
      <c r="J8" s="4" t="n"/>
    </row>
    <row r="9">
      <c r="A9" s="3" t="n"/>
      <c r="B9" s="4" t="n"/>
      <c r="C9" s="5">
        <f>IFERROR(VLOOKUP(B9,Справочник!$A$2:$C$135,2,FALSE),"")</f>
        <v/>
      </c>
      <c r="D9" s="5">
        <f>IFERROR(VLOOKUP(B9,Справочник!$A$2:$C$135,3,FALSE),"")</f>
        <v/>
      </c>
      <c r="E9" s="4" t="n"/>
      <c r="F9" s="4" t="n"/>
      <c r="G9" s="5">
        <f>IF(E9="","",E9-N(F9))</f>
        <v/>
      </c>
      <c r="H9" s="4" t="n"/>
      <c r="I9" s="6">
        <f>IF(OR(E9="",H9=""),"",E9*H9)</f>
        <v/>
      </c>
      <c r="J9" s="4" t="n"/>
    </row>
    <row r="10">
      <c r="A10" s="3" t="n"/>
      <c r="B10" s="4" t="n"/>
      <c r="C10" s="5">
        <f>IFERROR(VLOOKUP(B10,Справочник!$A$2:$C$135,2,FALSE),"")</f>
        <v/>
      </c>
      <c r="D10" s="5">
        <f>IFERROR(VLOOKUP(B10,Справочник!$A$2:$C$135,3,FALSE),"")</f>
        <v/>
      </c>
      <c r="E10" s="4" t="n"/>
      <c r="F10" s="4" t="n"/>
      <c r="G10" s="5">
        <f>IF(E10="","",E10-N(F10))</f>
        <v/>
      </c>
      <c r="H10" s="4" t="n"/>
      <c r="I10" s="6">
        <f>IF(OR(E10="",H10=""),"",E10*H10)</f>
        <v/>
      </c>
      <c r="J10" s="4" t="n"/>
    </row>
    <row r="11">
      <c r="A11" s="3" t="n"/>
      <c r="B11" s="4" t="n"/>
      <c r="C11" s="5">
        <f>IFERROR(VLOOKUP(B11,Справочник!$A$2:$C$135,2,FALSE),"")</f>
        <v/>
      </c>
      <c r="D11" s="5">
        <f>IFERROR(VLOOKUP(B11,Справочник!$A$2:$C$135,3,FALSE),"")</f>
        <v/>
      </c>
      <c r="E11" s="4" t="n"/>
      <c r="F11" s="4" t="n"/>
      <c r="G11" s="5">
        <f>IF(E11="","",E11-N(F11))</f>
        <v/>
      </c>
      <c r="H11" s="4" t="n"/>
      <c r="I11" s="6">
        <f>IF(OR(E11="",H11=""),"",E11*H11)</f>
        <v/>
      </c>
      <c r="J11" s="4" t="n"/>
    </row>
    <row r="12">
      <c r="A12" s="3" t="n"/>
      <c r="B12" s="4" t="n"/>
      <c r="C12" s="5">
        <f>IFERROR(VLOOKUP(B12,Справочник!$A$2:$C$135,2,FALSE),"")</f>
        <v/>
      </c>
      <c r="D12" s="5">
        <f>IFERROR(VLOOKUP(B12,Справочник!$A$2:$C$135,3,FALSE),"")</f>
        <v/>
      </c>
      <c r="E12" s="4" t="n"/>
      <c r="F12" s="4" t="n"/>
      <c r="G12" s="5">
        <f>IF(E12="","",E12-N(F12))</f>
        <v/>
      </c>
      <c r="H12" s="4" t="n"/>
      <c r="I12" s="6">
        <f>IF(OR(E12="",H12=""),"",E12*H12)</f>
        <v/>
      </c>
      <c r="J12" s="4" t="n"/>
    </row>
    <row r="13">
      <c r="A13" s="3" t="n"/>
      <c r="B13" s="4" t="n"/>
      <c r="C13" s="5">
        <f>IFERROR(VLOOKUP(B13,Справочник!$A$2:$C$135,2,FALSE),"")</f>
        <v/>
      </c>
      <c r="D13" s="5">
        <f>IFERROR(VLOOKUP(B13,Справочник!$A$2:$C$135,3,FALSE),"")</f>
        <v/>
      </c>
      <c r="E13" s="4" t="n"/>
      <c r="F13" s="4" t="n"/>
      <c r="G13" s="5">
        <f>IF(E13="","",E13-N(F13))</f>
        <v/>
      </c>
      <c r="H13" s="4" t="n"/>
      <c r="I13" s="6">
        <f>IF(OR(E13="",H13=""),"",E13*H13)</f>
        <v/>
      </c>
      <c r="J13" s="4" t="n"/>
    </row>
    <row r="14">
      <c r="A14" s="3" t="n"/>
      <c r="B14" s="4" t="n"/>
      <c r="C14" s="5">
        <f>IFERROR(VLOOKUP(B14,Справочник!$A$2:$C$135,2,FALSE),"")</f>
        <v/>
      </c>
      <c r="D14" s="5">
        <f>IFERROR(VLOOKUP(B14,Справочник!$A$2:$C$135,3,FALSE),"")</f>
        <v/>
      </c>
      <c r="E14" s="4" t="n"/>
      <c r="F14" s="4" t="n"/>
      <c r="G14" s="5">
        <f>IF(E14="","",E14-N(F14))</f>
        <v/>
      </c>
      <c r="H14" s="4" t="n"/>
      <c r="I14" s="6">
        <f>IF(OR(E14="",H14=""),"",E14*H14)</f>
        <v/>
      </c>
      <c r="J14" s="4" t="n"/>
    </row>
    <row r="15">
      <c r="A15" s="3" t="n"/>
      <c r="B15" s="4" t="n"/>
      <c r="C15" s="5">
        <f>IFERROR(VLOOKUP(B15,Справочник!$A$2:$C$135,2,FALSE),"")</f>
        <v/>
      </c>
      <c r="D15" s="5">
        <f>IFERROR(VLOOKUP(B15,Справочник!$A$2:$C$135,3,FALSE),"")</f>
        <v/>
      </c>
      <c r="E15" s="4" t="n"/>
      <c r="F15" s="4" t="n"/>
      <c r="G15" s="5">
        <f>IF(E15="","",E15-N(F15))</f>
        <v/>
      </c>
      <c r="H15" s="4" t="n"/>
      <c r="I15" s="6">
        <f>IF(OR(E15="",H15=""),"",E15*H15)</f>
        <v/>
      </c>
      <c r="J15" s="4" t="n"/>
    </row>
    <row r="16">
      <c r="A16" s="3" t="n"/>
      <c r="B16" s="4" t="n"/>
      <c r="C16" s="5">
        <f>IFERROR(VLOOKUP(B16,Справочник!$A$2:$C$135,2,FALSE),"")</f>
        <v/>
      </c>
      <c r="D16" s="5">
        <f>IFERROR(VLOOKUP(B16,Справочник!$A$2:$C$135,3,FALSE),"")</f>
        <v/>
      </c>
      <c r="E16" s="4" t="n"/>
      <c r="F16" s="4" t="n"/>
      <c r="G16" s="5">
        <f>IF(E16="","",E16-N(F16))</f>
        <v/>
      </c>
      <c r="H16" s="4" t="n"/>
      <c r="I16" s="6">
        <f>IF(OR(E16="",H16=""),"",E16*H16)</f>
        <v/>
      </c>
      <c r="J16" s="4" t="n"/>
    </row>
    <row r="17">
      <c r="A17" s="3" t="n"/>
      <c r="B17" s="4" t="n"/>
      <c r="C17" s="5">
        <f>IFERROR(VLOOKUP(B17,Справочник!$A$2:$C$135,2,FALSE),"")</f>
        <v/>
      </c>
      <c r="D17" s="5">
        <f>IFERROR(VLOOKUP(B17,Справочник!$A$2:$C$135,3,FALSE),"")</f>
        <v/>
      </c>
      <c r="E17" s="4" t="n"/>
      <c r="F17" s="4" t="n"/>
      <c r="G17" s="5">
        <f>IF(E17="","",E17-N(F17))</f>
        <v/>
      </c>
      <c r="H17" s="4" t="n"/>
      <c r="I17" s="6">
        <f>IF(OR(E17="",H17=""),"",E17*H17)</f>
        <v/>
      </c>
      <c r="J17" s="4" t="n"/>
    </row>
    <row r="18">
      <c r="A18" s="3" t="n"/>
      <c r="B18" s="4" t="n"/>
      <c r="C18" s="5">
        <f>IFERROR(VLOOKUP(B18,Справочник!$A$2:$C$135,2,FALSE),"")</f>
        <v/>
      </c>
      <c r="D18" s="5">
        <f>IFERROR(VLOOKUP(B18,Справочник!$A$2:$C$135,3,FALSE),"")</f>
        <v/>
      </c>
      <c r="E18" s="4" t="n"/>
      <c r="F18" s="4" t="n"/>
      <c r="G18" s="5">
        <f>IF(E18="","",E18-N(F18))</f>
        <v/>
      </c>
      <c r="H18" s="4" t="n"/>
      <c r="I18" s="6">
        <f>IF(OR(E18="",H18=""),"",E18*H18)</f>
        <v/>
      </c>
      <c r="J18" s="4" t="n"/>
    </row>
    <row r="19">
      <c r="A19" s="3" t="n"/>
      <c r="B19" s="4" t="n"/>
      <c r="C19" s="5">
        <f>IFERROR(VLOOKUP(B19,Справочник!$A$2:$C$135,2,FALSE),"")</f>
        <v/>
      </c>
      <c r="D19" s="5">
        <f>IFERROR(VLOOKUP(B19,Справочник!$A$2:$C$135,3,FALSE),"")</f>
        <v/>
      </c>
      <c r="E19" s="4" t="n"/>
      <c r="F19" s="4" t="n"/>
      <c r="G19" s="5">
        <f>IF(E19="","",E19-N(F19))</f>
        <v/>
      </c>
      <c r="H19" s="4" t="n"/>
      <c r="I19" s="6">
        <f>IF(OR(E19="",H19=""),"",E19*H19)</f>
        <v/>
      </c>
      <c r="J19" s="4" t="n"/>
    </row>
    <row r="20">
      <c r="A20" s="3" t="n"/>
      <c r="B20" s="4" t="n"/>
      <c r="C20" s="5">
        <f>IFERROR(VLOOKUP(B20,Справочник!$A$2:$C$135,2,FALSE),"")</f>
        <v/>
      </c>
      <c r="D20" s="5">
        <f>IFERROR(VLOOKUP(B20,Справочник!$A$2:$C$135,3,FALSE),"")</f>
        <v/>
      </c>
      <c r="E20" s="4" t="n"/>
      <c r="F20" s="4" t="n"/>
      <c r="G20" s="5">
        <f>IF(E20="","",E20-N(F20))</f>
        <v/>
      </c>
      <c r="H20" s="4" t="n"/>
      <c r="I20" s="6">
        <f>IF(OR(E20="",H20=""),"",E20*H20)</f>
        <v/>
      </c>
      <c r="J20" s="4" t="n"/>
    </row>
    <row r="21">
      <c r="A21" s="3" t="n"/>
      <c r="B21" s="4" t="n"/>
      <c r="C21" s="5">
        <f>IFERROR(VLOOKUP(B21,Справочник!$A$2:$C$135,2,FALSE),"")</f>
        <v/>
      </c>
      <c r="D21" s="5">
        <f>IFERROR(VLOOKUP(B21,Справочник!$A$2:$C$135,3,FALSE),"")</f>
        <v/>
      </c>
      <c r="E21" s="4" t="n"/>
      <c r="F21" s="4" t="n"/>
      <c r="G21" s="5">
        <f>IF(E21="","",E21-N(F21))</f>
        <v/>
      </c>
      <c r="H21" s="4" t="n"/>
      <c r="I21" s="6">
        <f>IF(OR(E21="",H21=""),"",E21*H21)</f>
        <v/>
      </c>
      <c r="J21" s="4" t="n"/>
    </row>
    <row r="22">
      <c r="A22" s="3" t="n"/>
      <c r="B22" s="4" t="n"/>
      <c r="C22" s="5">
        <f>IFERROR(VLOOKUP(B22,Справочник!$A$2:$C$135,2,FALSE),"")</f>
        <v/>
      </c>
      <c r="D22" s="5">
        <f>IFERROR(VLOOKUP(B22,Справочник!$A$2:$C$135,3,FALSE),"")</f>
        <v/>
      </c>
      <c r="E22" s="4" t="n"/>
      <c r="F22" s="4" t="n"/>
      <c r="G22" s="5">
        <f>IF(E22="","",E22-N(F22))</f>
        <v/>
      </c>
      <c r="H22" s="4" t="n"/>
      <c r="I22" s="6">
        <f>IF(OR(E22="",H22=""),"",E22*H22)</f>
        <v/>
      </c>
      <c r="J22" s="4" t="n"/>
    </row>
    <row r="23">
      <c r="A23" s="3" t="n"/>
      <c r="B23" s="4" t="n"/>
      <c r="C23" s="5">
        <f>IFERROR(VLOOKUP(B23,Справочник!$A$2:$C$135,2,FALSE),"")</f>
        <v/>
      </c>
      <c r="D23" s="5">
        <f>IFERROR(VLOOKUP(B23,Справочник!$A$2:$C$135,3,FALSE),"")</f>
        <v/>
      </c>
      <c r="E23" s="4" t="n"/>
      <c r="F23" s="4" t="n"/>
      <c r="G23" s="5">
        <f>IF(E23="","",E23-N(F23))</f>
        <v/>
      </c>
      <c r="H23" s="4" t="n"/>
      <c r="I23" s="6">
        <f>IF(OR(E23="",H23=""),"",E23*H23)</f>
        <v/>
      </c>
      <c r="J23" s="4" t="n"/>
    </row>
    <row r="24">
      <c r="A24" s="3" t="n"/>
      <c r="B24" s="4" t="n"/>
      <c r="C24" s="5">
        <f>IFERROR(VLOOKUP(B24,Справочник!$A$2:$C$135,2,FALSE),"")</f>
        <v/>
      </c>
      <c r="D24" s="5">
        <f>IFERROR(VLOOKUP(B24,Справочник!$A$2:$C$135,3,FALSE),"")</f>
        <v/>
      </c>
      <c r="E24" s="4" t="n"/>
      <c r="F24" s="4" t="n"/>
      <c r="G24" s="5">
        <f>IF(E24="","",E24-N(F24))</f>
        <v/>
      </c>
      <c r="H24" s="4" t="n"/>
      <c r="I24" s="6">
        <f>IF(OR(E24="",H24=""),"",E24*H24)</f>
        <v/>
      </c>
      <c r="J24" s="4" t="n"/>
    </row>
    <row r="25">
      <c r="A25" s="3" t="n"/>
      <c r="B25" s="4" t="n"/>
      <c r="C25" s="5">
        <f>IFERROR(VLOOKUP(B25,Справочник!$A$2:$C$135,2,FALSE),"")</f>
        <v/>
      </c>
      <c r="D25" s="5">
        <f>IFERROR(VLOOKUP(B25,Справочник!$A$2:$C$135,3,FALSE),"")</f>
        <v/>
      </c>
      <c r="E25" s="4" t="n"/>
      <c r="F25" s="4" t="n"/>
      <c r="G25" s="5">
        <f>IF(E25="","",E25-N(F25))</f>
        <v/>
      </c>
      <c r="H25" s="4" t="n"/>
      <c r="I25" s="6">
        <f>IF(OR(E25="",H25=""),"",E25*H25)</f>
        <v/>
      </c>
      <c r="J25" s="4" t="n"/>
    </row>
    <row r="26">
      <c r="A26" s="3" t="n"/>
      <c r="B26" s="4" t="n"/>
      <c r="C26" s="5">
        <f>IFERROR(VLOOKUP(B26,Справочник!$A$2:$C$135,2,FALSE),"")</f>
        <v/>
      </c>
      <c r="D26" s="5">
        <f>IFERROR(VLOOKUP(B26,Справочник!$A$2:$C$135,3,FALSE),"")</f>
        <v/>
      </c>
      <c r="E26" s="4" t="n"/>
      <c r="F26" s="4" t="n"/>
      <c r="G26" s="5">
        <f>IF(E26="","",E26-N(F26))</f>
        <v/>
      </c>
      <c r="H26" s="4" t="n"/>
      <c r="I26" s="6">
        <f>IF(OR(E26="",H26=""),"",E26*H26)</f>
        <v/>
      </c>
      <c r="J26" s="4" t="n"/>
    </row>
    <row r="27">
      <c r="A27" s="3" t="n"/>
      <c r="B27" s="4" t="n"/>
      <c r="C27" s="5">
        <f>IFERROR(VLOOKUP(B27,Справочник!$A$2:$C$135,2,FALSE),"")</f>
        <v/>
      </c>
      <c r="D27" s="5">
        <f>IFERROR(VLOOKUP(B27,Справочник!$A$2:$C$135,3,FALSE),"")</f>
        <v/>
      </c>
      <c r="E27" s="4" t="n"/>
      <c r="F27" s="4" t="n"/>
      <c r="G27" s="5">
        <f>IF(E27="","",E27-N(F27))</f>
        <v/>
      </c>
      <c r="H27" s="4" t="n"/>
      <c r="I27" s="6">
        <f>IF(OR(E27="",H27=""),"",E27*H27)</f>
        <v/>
      </c>
      <c r="J27" s="4" t="n"/>
    </row>
    <row r="28">
      <c r="A28" s="3" t="n"/>
      <c r="B28" s="4" t="n"/>
      <c r="C28" s="5">
        <f>IFERROR(VLOOKUP(B28,Справочник!$A$2:$C$135,2,FALSE),"")</f>
        <v/>
      </c>
      <c r="D28" s="5">
        <f>IFERROR(VLOOKUP(B28,Справочник!$A$2:$C$135,3,FALSE),"")</f>
        <v/>
      </c>
      <c r="E28" s="4" t="n"/>
      <c r="F28" s="4" t="n"/>
      <c r="G28" s="5">
        <f>IF(E28="","",E28-N(F28))</f>
        <v/>
      </c>
      <c r="H28" s="4" t="n"/>
      <c r="I28" s="6">
        <f>IF(OR(E28="",H28=""),"",E28*H28)</f>
        <v/>
      </c>
      <c r="J28" s="4" t="n"/>
    </row>
    <row r="29">
      <c r="A29" s="3" t="n"/>
      <c r="B29" s="4" t="n"/>
      <c r="C29" s="5">
        <f>IFERROR(VLOOKUP(B29,Справочник!$A$2:$C$135,2,FALSE),"")</f>
        <v/>
      </c>
      <c r="D29" s="5">
        <f>IFERROR(VLOOKUP(B29,Справочник!$A$2:$C$135,3,FALSE),"")</f>
        <v/>
      </c>
      <c r="E29" s="4" t="n"/>
      <c r="F29" s="4" t="n"/>
      <c r="G29" s="5">
        <f>IF(E29="","",E29-N(F29))</f>
        <v/>
      </c>
      <c r="H29" s="4" t="n"/>
      <c r="I29" s="6">
        <f>IF(OR(E29="",H29=""),"",E29*H29)</f>
        <v/>
      </c>
      <c r="J29" s="4" t="n"/>
    </row>
    <row r="30">
      <c r="A30" s="3" t="n"/>
      <c r="B30" s="4" t="n"/>
      <c r="C30" s="5">
        <f>IFERROR(VLOOKUP(B30,Справочник!$A$2:$C$135,2,FALSE),"")</f>
        <v/>
      </c>
      <c r="D30" s="5">
        <f>IFERROR(VLOOKUP(B30,Справочник!$A$2:$C$135,3,FALSE),"")</f>
        <v/>
      </c>
      <c r="E30" s="4" t="n"/>
      <c r="F30" s="4" t="n"/>
      <c r="G30" s="5">
        <f>IF(E30="","",E30-N(F30))</f>
        <v/>
      </c>
      <c r="H30" s="4" t="n"/>
      <c r="I30" s="6">
        <f>IF(OR(E30="",H30=""),"",E30*H30)</f>
        <v/>
      </c>
      <c r="J30" s="4" t="n"/>
    </row>
    <row r="31">
      <c r="A31" s="3" t="n"/>
      <c r="B31" s="4" t="n"/>
      <c r="C31" s="5">
        <f>IFERROR(VLOOKUP(B31,Справочник!$A$2:$C$135,2,FALSE),"")</f>
        <v/>
      </c>
      <c r="D31" s="5">
        <f>IFERROR(VLOOKUP(B31,Справочник!$A$2:$C$135,3,FALSE),"")</f>
        <v/>
      </c>
      <c r="E31" s="4" t="n"/>
      <c r="F31" s="4" t="n"/>
      <c r="G31" s="5">
        <f>IF(E31="","",E31-N(F31))</f>
        <v/>
      </c>
      <c r="H31" s="4" t="n"/>
      <c r="I31" s="6">
        <f>IF(OR(E31="",H31=""),"",E31*H31)</f>
        <v/>
      </c>
      <c r="J31" s="4" t="n"/>
    </row>
    <row r="32">
      <c r="A32" s="3" t="n"/>
      <c r="B32" s="4" t="n"/>
      <c r="C32" s="5">
        <f>IFERROR(VLOOKUP(B32,Справочник!$A$2:$C$135,2,FALSE),"")</f>
        <v/>
      </c>
      <c r="D32" s="5">
        <f>IFERROR(VLOOKUP(B32,Справочник!$A$2:$C$135,3,FALSE),"")</f>
        <v/>
      </c>
      <c r="E32" s="4" t="n"/>
      <c r="F32" s="4" t="n"/>
      <c r="G32" s="5">
        <f>IF(E32="","",E32-N(F32))</f>
        <v/>
      </c>
      <c r="H32" s="4" t="n"/>
      <c r="I32" s="6">
        <f>IF(OR(E32="",H32=""),"",E32*H32)</f>
        <v/>
      </c>
      <c r="J32" s="4" t="n"/>
    </row>
    <row r="33">
      <c r="A33" s="3" t="n"/>
      <c r="B33" s="4" t="n"/>
      <c r="C33" s="5">
        <f>IFERROR(VLOOKUP(B33,Справочник!$A$2:$C$135,2,FALSE),"")</f>
        <v/>
      </c>
      <c r="D33" s="5">
        <f>IFERROR(VLOOKUP(B33,Справочник!$A$2:$C$135,3,FALSE),"")</f>
        <v/>
      </c>
      <c r="E33" s="4" t="n"/>
      <c r="F33" s="4" t="n"/>
      <c r="G33" s="5">
        <f>IF(E33="","",E33-N(F33))</f>
        <v/>
      </c>
      <c r="H33" s="4" t="n"/>
      <c r="I33" s="6">
        <f>IF(OR(E33="",H33=""),"",E33*H33)</f>
        <v/>
      </c>
      <c r="J33" s="4" t="n"/>
    </row>
    <row r="34">
      <c r="A34" s="3" t="n"/>
      <c r="B34" s="4" t="n"/>
      <c r="C34" s="5">
        <f>IFERROR(VLOOKUP(B34,Справочник!$A$2:$C$135,2,FALSE),"")</f>
        <v/>
      </c>
      <c r="D34" s="5">
        <f>IFERROR(VLOOKUP(B34,Справочник!$A$2:$C$135,3,FALSE),"")</f>
        <v/>
      </c>
      <c r="E34" s="4" t="n"/>
      <c r="F34" s="4" t="n"/>
      <c r="G34" s="5">
        <f>IF(E34="","",E34-N(F34))</f>
        <v/>
      </c>
      <c r="H34" s="4" t="n"/>
      <c r="I34" s="6">
        <f>IF(OR(E34="",H34=""),"",E34*H34)</f>
        <v/>
      </c>
      <c r="J34" s="4" t="n"/>
    </row>
    <row r="35">
      <c r="A35" s="3" t="n"/>
      <c r="B35" s="4" t="n"/>
      <c r="C35" s="5">
        <f>IFERROR(VLOOKUP(B35,Справочник!$A$2:$C$135,2,FALSE),"")</f>
        <v/>
      </c>
      <c r="D35" s="5">
        <f>IFERROR(VLOOKUP(B35,Справочник!$A$2:$C$135,3,FALSE),"")</f>
        <v/>
      </c>
      <c r="E35" s="4" t="n"/>
      <c r="F35" s="4" t="n"/>
      <c r="G35" s="5">
        <f>IF(E35="","",E35-N(F35))</f>
        <v/>
      </c>
      <c r="H35" s="4" t="n"/>
      <c r="I35" s="6">
        <f>IF(OR(E35="",H35=""),"",E35*H35)</f>
        <v/>
      </c>
      <c r="J35" s="4" t="n"/>
    </row>
    <row r="36">
      <c r="A36" s="3" t="n"/>
      <c r="B36" s="4" t="n"/>
      <c r="C36" s="5">
        <f>IFERROR(VLOOKUP(B36,Справочник!$A$2:$C$135,2,FALSE),"")</f>
        <v/>
      </c>
      <c r="D36" s="5">
        <f>IFERROR(VLOOKUP(B36,Справочник!$A$2:$C$135,3,FALSE),"")</f>
        <v/>
      </c>
      <c r="E36" s="4" t="n"/>
      <c r="F36" s="4" t="n"/>
      <c r="G36" s="5">
        <f>IF(E36="","",E36-N(F36))</f>
        <v/>
      </c>
      <c r="H36" s="4" t="n"/>
      <c r="I36" s="6">
        <f>IF(OR(E36="",H36=""),"",E36*H36)</f>
        <v/>
      </c>
      <c r="J36" s="4" t="n"/>
    </row>
    <row r="37">
      <c r="A37" s="3" t="n"/>
      <c r="B37" s="4" t="n"/>
      <c r="C37" s="5">
        <f>IFERROR(VLOOKUP(B37,Справочник!$A$2:$C$135,2,FALSE),"")</f>
        <v/>
      </c>
      <c r="D37" s="5">
        <f>IFERROR(VLOOKUP(B37,Справочник!$A$2:$C$135,3,FALSE),"")</f>
        <v/>
      </c>
      <c r="E37" s="4" t="n"/>
      <c r="F37" s="4" t="n"/>
      <c r="G37" s="5">
        <f>IF(E37="","",E37-N(F37))</f>
        <v/>
      </c>
      <c r="H37" s="4" t="n"/>
      <c r="I37" s="6">
        <f>IF(OR(E37="",H37=""),"",E37*H37)</f>
        <v/>
      </c>
      <c r="J37" s="4" t="n"/>
    </row>
    <row r="38">
      <c r="A38" s="3" t="n"/>
      <c r="B38" s="4" t="n"/>
      <c r="C38" s="5">
        <f>IFERROR(VLOOKUP(B38,Справочник!$A$2:$C$135,2,FALSE),"")</f>
        <v/>
      </c>
      <c r="D38" s="5">
        <f>IFERROR(VLOOKUP(B38,Справочник!$A$2:$C$135,3,FALSE),"")</f>
        <v/>
      </c>
      <c r="E38" s="4" t="n"/>
      <c r="F38" s="4" t="n"/>
      <c r="G38" s="5">
        <f>IF(E38="","",E38-N(F38))</f>
        <v/>
      </c>
      <c r="H38" s="4" t="n"/>
      <c r="I38" s="6">
        <f>IF(OR(E38="",H38=""),"",E38*H38)</f>
        <v/>
      </c>
      <c r="J38" s="4" t="n"/>
    </row>
    <row r="39">
      <c r="A39" s="3" t="n"/>
      <c r="B39" s="4" t="n"/>
      <c r="C39" s="5">
        <f>IFERROR(VLOOKUP(B39,Справочник!$A$2:$C$135,2,FALSE),"")</f>
        <v/>
      </c>
      <c r="D39" s="5">
        <f>IFERROR(VLOOKUP(B39,Справочник!$A$2:$C$135,3,FALSE),"")</f>
        <v/>
      </c>
      <c r="E39" s="4" t="n"/>
      <c r="F39" s="4" t="n"/>
      <c r="G39" s="5">
        <f>IF(E39="","",E39-N(F39))</f>
        <v/>
      </c>
      <c r="H39" s="4" t="n"/>
      <c r="I39" s="6">
        <f>IF(OR(E39="",H39=""),"",E39*H39)</f>
        <v/>
      </c>
      <c r="J39" s="4" t="n"/>
    </row>
    <row r="40">
      <c r="A40" s="3" t="n"/>
      <c r="B40" s="4" t="n"/>
      <c r="C40" s="5">
        <f>IFERROR(VLOOKUP(B40,Справочник!$A$2:$C$135,2,FALSE),"")</f>
        <v/>
      </c>
      <c r="D40" s="5">
        <f>IFERROR(VLOOKUP(B40,Справочник!$A$2:$C$135,3,FALSE),"")</f>
        <v/>
      </c>
      <c r="E40" s="4" t="n"/>
      <c r="F40" s="4" t="n"/>
      <c r="G40" s="5">
        <f>IF(E40="","",E40-N(F40))</f>
        <v/>
      </c>
      <c r="H40" s="4" t="n"/>
      <c r="I40" s="6">
        <f>IF(OR(E40="",H40=""),"",E40*H40)</f>
        <v/>
      </c>
      <c r="J40" s="4" t="n"/>
    </row>
    <row r="41">
      <c r="A41" s="3" t="n"/>
      <c r="B41" s="4" t="n"/>
      <c r="C41" s="5">
        <f>IFERROR(VLOOKUP(B41,Справочник!$A$2:$C$135,2,FALSE),"")</f>
        <v/>
      </c>
      <c r="D41" s="5">
        <f>IFERROR(VLOOKUP(B41,Справочник!$A$2:$C$135,3,FALSE),"")</f>
        <v/>
      </c>
      <c r="E41" s="4" t="n"/>
      <c r="F41" s="4" t="n"/>
      <c r="G41" s="5">
        <f>IF(E41="","",E41-N(F41))</f>
        <v/>
      </c>
      <c r="H41" s="4" t="n"/>
      <c r="I41" s="6">
        <f>IF(OR(E41="",H41=""),"",E41*H41)</f>
        <v/>
      </c>
      <c r="J41" s="4" t="n"/>
    </row>
    <row r="42">
      <c r="A42" s="3" t="n"/>
      <c r="B42" s="4" t="n"/>
      <c r="C42" s="5">
        <f>IFERROR(VLOOKUP(B42,Справочник!$A$2:$C$135,2,FALSE),"")</f>
        <v/>
      </c>
      <c r="D42" s="5">
        <f>IFERROR(VLOOKUP(B42,Справочник!$A$2:$C$135,3,FALSE),"")</f>
        <v/>
      </c>
      <c r="E42" s="4" t="n"/>
      <c r="F42" s="4" t="n"/>
      <c r="G42" s="5">
        <f>IF(E42="","",E42-N(F42))</f>
        <v/>
      </c>
      <c r="H42" s="4" t="n"/>
      <c r="I42" s="6">
        <f>IF(OR(E42="",H42=""),"",E42*H42)</f>
        <v/>
      </c>
      <c r="J42" s="4" t="n"/>
    </row>
    <row r="43">
      <c r="A43" s="3" t="n"/>
      <c r="B43" s="4" t="n"/>
      <c r="C43" s="5">
        <f>IFERROR(VLOOKUP(B43,Справочник!$A$2:$C$135,2,FALSE),"")</f>
        <v/>
      </c>
      <c r="D43" s="5">
        <f>IFERROR(VLOOKUP(B43,Справочник!$A$2:$C$135,3,FALSE),"")</f>
        <v/>
      </c>
      <c r="E43" s="4" t="n"/>
      <c r="F43" s="4" t="n"/>
      <c r="G43" s="5">
        <f>IF(E43="","",E43-N(F43))</f>
        <v/>
      </c>
      <c r="H43" s="4" t="n"/>
      <c r="I43" s="6">
        <f>IF(OR(E43="",H43=""),"",E43*H43)</f>
        <v/>
      </c>
      <c r="J43" s="4" t="n"/>
    </row>
    <row r="44">
      <c r="A44" s="3" t="n"/>
      <c r="B44" s="4" t="n"/>
      <c r="C44" s="5">
        <f>IFERROR(VLOOKUP(B44,Справочник!$A$2:$C$135,2,FALSE),"")</f>
        <v/>
      </c>
      <c r="D44" s="5">
        <f>IFERROR(VLOOKUP(B44,Справочник!$A$2:$C$135,3,FALSE),"")</f>
        <v/>
      </c>
      <c r="E44" s="4" t="n"/>
      <c r="F44" s="4" t="n"/>
      <c r="G44" s="5">
        <f>IF(E44="","",E44-N(F44))</f>
        <v/>
      </c>
      <c r="H44" s="4" t="n"/>
      <c r="I44" s="6">
        <f>IF(OR(E44="",H44=""),"",E44*H44)</f>
        <v/>
      </c>
      <c r="J44" s="4" t="n"/>
    </row>
    <row r="45">
      <c r="A45" s="3" t="n"/>
      <c r="B45" s="4" t="n"/>
      <c r="C45" s="5">
        <f>IFERROR(VLOOKUP(B45,Справочник!$A$2:$C$135,2,FALSE),"")</f>
        <v/>
      </c>
      <c r="D45" s="5">
        <f>IFERROR(VLOOKUP(B45,Справочник!$A$2:$C$135,3,FALSE),"")</f>
        <v/>
      </c>
      <c r="E45" s="4" t="n"/>
      <c r="F45" s="4" t="n"/>
      <c r="G45" s="5">
        <f>IF(E45="","",E45-N(F45))</f>
        <v/>
      </c>
      <c r="H45" s="4" t="n"/>
      <c r="I45" s="6">
        <f>IF(OR(E45="",H45=""),"",E45*H45)</f>
        <v/>
      </c>
      <c r="J45" s="4" t="n"/>
    </row>
    <row r="46">
      <c r="A46" s="3" t="n"/>
      <c r="B46" s="4" t="n"/>
      <c r="C46" s="5">
        <f>IFERROR(VLOOKUP(B46,Справочник!$A$2:$C$135,2,FALSE),"")</f>
        <v/>
      </c>
      <c r="D46" s="5">
        <f>IFERROR(VLOOKUP(B46,Справочник!$A$2:$C$135,3,FALSE),"")</f>
        <v/>
      </c>
      <c r="E46" s="4" t="n"/>
      <c r="F46" s="4" t="n"/>
      <c r="G46" s="5">
        <f>IF(E46="","",E46-N(F46))</f>
        <v/>
      </c>
      <c r="H46" s="4" t="n"/>
      <c r="I46" s="6">
        <f>IF(OR(E46="",H46=""),"",E46*H46)</f>
        <v/>
      </c>
      <c r="J46" s="4" t="n"/>
    </row>
    <row r="47">
      <c r="A47" s="3" t="n"/>
      <c r="B47" s="4" t="n"/>
      <c r="C47" s="5">
        <f>IFERROR(VLOOKUP(B47,Справочник!$A$2:$C$135,2,FALSE),"")</f>
        <v/>
      </c>
      <c r="D47" s="5">
        <f>IFERROR(VLOOKUP(B47,Справочник!$A$2:$C$135,3,FALSE),"")</f>
        <v/>
      </c>
      <c r="E47" s="4" t="n"/>
      <c r="F47" s="4" t="n"/>
      <c r="G47" s="5">
        <f>IF(E47="","",E47-N(F47))</f>
        <v/>
      </c>
      <c r="H47" s="4" t="n"/>
      <c r="I47" s="6">
        <f>IF(OR(E47="",H47=""),"",E47*H47)</f>
        <v/>
      </c>
      <c r="J47" s="4" t="n"/>
    </row>
    <row r="48">
      <c r="A48" s="3" t="n"/>
      <c r="B48" s="4" t="n"/>
      <c r="C48" s="5">
        <f>IFERROR(VLOOKUP(B48,Справочник!$A$2:$C$135,2,FALSE),"")</f>
        <v/>
      </c>
      <c r="D48" s="5">
        <f>IFERROR(VLOOKUP(B48,Справочник!$A$2:$C$135,3,FALSE),"")</f>
        <v/>
      </c>
      <c r="E48" s="4" t="n"/>
      <c r="F48" s="4" t="n"/>
      <c r="G48" s="5">
        <f>IF(E48="","",E48-N(F48))</f>
        <v/>
      </c>
      <c r="H48" s="4" t="n"/>
      <c r="I48" s="6">
        <f>IF(OR(E48="",H48=""),"",E48*H48)</f>
        <v/>
      </c>
      <c r="J48" s="4" t="n"/>
    </row>
    <row r="49">
      <c r="A49" s="3" t="n"/>
      <c r="B49" s="4" t="n"/>
      <c r="C49" s="5">
        <f>IFERROR(VLOOKUP(B49,Справочник!$A$2:$C$135,2,FALSE),"")</f>
        <v/>
      </c>
      <c r="D49" s="5">
        <f>IFERROR(VLOOKUP(B49,Справочник!$A$2:$C$135,3,FALSE),"")</f>
        <v/>
      </c>
      <c r="E49" s="4" t="n"/>
      <c r="F49" s="4" t="n"/>
      <c r="G49" s="5">
        <f>IF(E49="","",E49-N(F49))</f>
        <v/>
      </c>
      <c r="H49" s="4" t="n"/>
      <c r="I49" s="6">
        <f>IF(OR(E49="",H49=""),"",E49*H49)</f>
        <v/>
      </c>
      <c r="J49" s="4" t="n"/>
    </row>
    <row r="50">
      <c r="A50" s="3" t="n"/>
      <c r="B50" s="4" t="n"/>
      <c r="C50" s="5">
        <f>IFERROR(VLOOKUP(B50,Справочник!$A$2:$C$135,2,FALSE),"")</f>
        <v/>
      </c>
      <c r="D50" s="5">
        <f>IFERROR(VLOOKUP(B50,Справочник!$A$2:$C$135,3,FALSE),"")</f>
        <v/>
      </c>
      <c r="E50" s="4" t="n"/>
      <c r="F50" s="4" t="n"/>
      <c r="G50" s="5">
        <f>IF(E50="","",E50-N(F50))</f>
        <v/>
      </c>
      <c r="H50" s="4" t="n"/>
      <c r="I50" s="6">
        <f>IF(OR(E50="",H50=""),"",E50*H50)</f>
        <v/>
      </c>
      <c r="J50" s="4" t="n"/>
    </row>
    <row r="51">
      <c r="A51" s="3" t="n"/>
      <c r="B51" s="4" t="n"/>
      <c r="C51" s="5">
        <f>IFERROR(VLOOKUP(B51,Справочник!$A$2:$C$135,2,FALSE),"")</f>
        <v/>
      </c>
      <c r="D51" s="5">
        <f>IFERROR(VLOOKUP(B51,Справочник!$A$2:$C$135,3,FALSE),"")</f>
        <v/>
      </c>
      <c r="E51" s="4" t="n"/>
      <c r="F51" s="4" t="n"/>
      <c r="G51" s="5">
        <f>IF(E51="","",E51-N(F51))</f>
        <v/>
      </c>
      <c r="H51" s="4" t="n"/>
      <c r="I51" s="6">
        <f>IF(OR(E51="",H51=""),"",E51*H51)</f>
        <v/>
      </c>
      <c r="J51" s="4" t="n"/>
    </row>
    <row r="52">
      <c r="A52" s="3" t="n"/>
      <c r="B52" s="4" t="n"/>
      <c r="C52" s="5">
        <f>IFERROR(VLOOKUP(B52,Справочник!$A$2:$C$135,2,FALSE),"")</f>
        <v/>
      </c>
      <c r="D52" s="5">
        <f>IFERROR(VLOOKUP(B52,Справочник!$A$2:$C$135,3,FALSE),"")</f>
        <v/>
      </c>
      <c r="E52" s="4" t="n"/>
      <c r="F52" s="4" t="n"/>
      <c r="G52" s="5">
        <f>IF(E52="","",E52-N(F52))</f>
        <v/>
      </c>
      <c r="H52" s="4" t="n"/>
      <c r="I52" s="6">
        <f>IF(OR(E52="",H52=""),"",E52*H52)</f>
        <v/>
      </c>
      <c r="J52" s="4" t="n"/>
    </row>
    <row r="53">
      <c r="A53" s="3" t="n"/>
      <c r="B53" s="4" t="n"/>
      <c r="C53" s="5">
        <f>IFERROR(VLOOKUP(B53,Справочник!$A$2:$C$135,2,FALSE),"")</f>
        <v/>
      </c>
      <c r="D53" s="5">
        <f>IFERROR(VLOOKUP(B53,Справочник!$A$2:$C$135,3,FALSE),"")</f>
        <v/>
      </c>
      <c r="E53" s="4" t="n"/>
      <c r="F53" s="4" t="n"/>
      <c r="G53" s="5">
        <f>IF(E53="","",E53-N(F53))</f>
        <v/>
      </c>
      <c r="H53" s="4" t="n"/>
      <c r="I53" s="6">
        <f>IF(OR(E53="",H53=""),"",E53*H53)</f>
        <v/>
      </c>
      <c r="J53" s="4" t="n"/>
    </row>
    <row r="54">
      <c r="A54" s="3" t="n"/>
      <c r="B54" s="4" t="n"/>
      <c r="C54" s="5">
        <f>IFERROR(VLOOKUP(B54,Справочник!$A$2:$C$135,2,FALSE),"")</f>
        <v/>
      </c>
      <c r="D54" s="5">
        <f>IFERROR(VLOOKUP(B54,Справочник!$A$2:$C$135,3,FALSE),"")</f>
        <v/>
      </c>
      <c r="E54" s="4" t="n"/>
      <c r="F54" s="4" t="n"/>
      <c r="G54" s="5">
        <f>IF(E54="","",E54-N(F54))</f>
        <v/>
      </c>
      <c r="H54" s="4" t="n"/>
      <c r="I54" s="6">
        <f>IF(OR(E54="",H54=""),"",E54*H54)</f>
        <v/>
      </c>
      <c r="J54" s="4" t="n"/>
    </row>
    <row r="55">
      <c r="A55" s="3" t="n"/>
      <c r="B55" s="4" t="n"/>
      <c r="C55" s="5">
        <f>IFERROR(VLOOKUP(B55,Справочник!$A$2:$C$135,2,FALSE),"")</f>
        <v/>
      </c>
      <c r="D55" s="5">
        <f>IFERROR(VLOOKUP(B55,Справочник!$A$2:$C$135,3,FALSE),"")</f>
        <v/>
      </c>
      <c r="E55" s="4" t="n"/>
      <c r="F55" s="4" t="n"/>
      <c r="G55" s="5">
        <f>IF(E55="","",E55-N(F55))</f>
        <v/>
      </c>
      <c r="H55" s="4" t="n"/>
      <c r="I55" s="6">
        <f>IF(OR(E55="",H55=""),"",E55*H55)</f>
        <v/>
      </c>
      <c r="J55" s="4" t="n"/>
    </row>
    <row r="56">
      <c r="A56" s="3" t="n"/>
      <c r="B56" s="4" t="n"/>
      <c r="C56" s="5">
        <f>IFERROR(VLOOKUP(B56,Справочник!$A$2:$C$135,2,FALSE),"")</f>
        <v/>
      </c>
      <c r="D56" s="5">
        <f>IFERROR(VLOOKUP(B56,Справочник!$A$2:$C$135,3,FALSE),"")</f>
        <v/>
      </c>
      <c r="E56" s="4" t="n"/>
      <c r="F56" s="4" t="n"/>
      <c r="G56" s="5">
        <f>IF(E56="","",E56-N(F56))</f>
        <v/>
      </c>
      <c r="H56" s="4" t="n"/>
      <c r="I56" s="6">
        <f>IF(OR(E56="",H56=""),"",E56*H56)</f>
        <v/>
      </c>
      <c r="J56" s="4" t="n"/>
    </row>
    <row r="57">
      <c r="A57" s="3" t="n"/>
      <c r="B57" s="4" t="n"/>
      <c r="C57" s="5">
        <f>IFERROR(VLOOKUP(B57,Справочник!$A$2:$C$135,2,FALSE),"")</f>
        <v/>
      </c>
      <c r="D57" s="5">
        <f>IFERROR(VLOOKUP(B57,Справочник!$A$2:$C$135,3,FALSE),"")</f>
        <v/>
      </c>
      <c r="E57" s="4" t="n"/>
      <c r="F57" s="4" t="n"/>
      <c r="G57" s="5">
        <f>IF(E57="","",E57-N(F57))</f>
        <v/>
      </c>
      <c r="H57" s="4" t="n"/>
      <c r="I57" s="6">
        <f>IF(OR(E57="",H57=""),"",E57*H57)</f>
        <v/>
      </c>
      <c r="J57" s="4" t="n"/>
    </row>
    <row r="58">
      <c r="A58" s="3" t="n"/>
      <c r="B58" s="4" t="n"/>
      <c r="C58" s="5">
        <f>IFERROR(VLOOKUP(B58,Справочник!$A$2:$C$135,2,FALSE),"")</f>
        <v/>
      </c>
      <c r="D58" s="5">
        <f>IFERROR(VLOOKUP(B58,Справочник!$A$2:$C$135,3,FALSE),"")</f>
        <v/>
      </c>
      <c r="E58" s="4" t="n"/>
      <c r="F58" s="4" t="n"/>
      <c r="G58" s="5">
        <f>IF(E58="","",E58-N(F58))</f>
        <v/>
      </c>
      <c r="H58" s="4" t="n"/>
      <c r="I58" s="6">
        <f>IF(OR(E58="",H58=""),"",E58*H58)</f>
        <v/>
      </c>
      <c r="J58" s="4" t="n"/>
    </row>
    <row r="59">
      <c r="A59" s="3" t="n"/>
      <c r="B59" s="4" t="n"/>
      <c r="C59" s="5">
        <f>IFERROR(VLOOKUP(B59,Справочник!$A$2:$C$135,2,FALSE),"")</f>
        <v/>
      </c>
      <c r="D59" s="5">
        <f>IFERROR(VLOOKUP(B59,Справочник!$A$2:$C$135,3,FALSE),"")</f>
        <v/>
      </c>
      <c r="E59" s="4" t="n"/>
      <c r="F59" s="4" t="n"/>
      <c r="G59" s="5">
        <f>IF(E59="","",E59-N(F59))</f>
        <v/>
      </c>
      <c r="H59" s="4" t="n"/>
      <c r="I59" s="6">
        <f>IF(OR(E59="",H59=""),"",E59*H59)</f>
        <v/>
      </c>
      <c r="J59" s="4" t="n"/>
    </row>
    <row r="60">
      <c r="A60" s="3" t="n"/>
      <c r="B60" s="4" t="n"/>
      <c r="C60" s="5">
        <f>IFERROR(VLOOKUP(B60,Справочник!$A$2:$C$135,2,FALSE),"")</f>
        <v/>
      </c>
      <c r="D60" s="5">
        <f>IFERROR(VLOOKUP(B60,Справочник!$A$2:$C$135,3,FALSE),"")</f>
        <v/>
      </c>
      <c r="E60" s="4" t="n"/>
      <c r="F60" s="4" t="n"/>
      <c r="G60" s="5">
        <f>IF(E60="","",E60-N(F60))</f>
        <v/>
      </c>
      <c r="H60" s="4" t="n"/>
      <c r="I60" s="6">
        <f>IF(OR(E60="",H60=""),"",E60*H60)</f>
        <v/>
      </c>
      <c r="J60" s="4" t="n"/>
    </row>
    <row r="61">
      <c r="A61" s="3" t="n"/>
      <c r="B61" s="4" t="n"/>
      <c r="C61" s="5">
        <f>IFERROR(VLOOKUP(B61,Справочник!$A$2:$C$135,2,FALSE),"")</f>
        <v/>
      </c>
      <c r="D61" s="5">
        <f>IFERROR(VLOOKUP(B61,Справочник!$A$2:$C$135,3,FALSE),"")</f>
        <v/>
      </c>
      <c r="E61" s="4" t="n"/>
      <c r="F61" s="4" t="n"/>
      <c r="G61" s="5">
        <f>IF(E61="","",E61-N(F61))</f>
        <v/>
      </c>
      <c r="H61" s="4" t="n"/>
      <c r="I61" s="6">
        <f>IF(OR(E61="",H61=""),"",E61*H61)</f>
        <v/>
      </c>
      <c r="J61" s="4" t="n"/>
    </row>
    <row r="62">
      <c r="A62" s="3" t="n"/>
      <c r="B62" s="4" t="n"/>
      <c r="C62" s="5">
        <f>IFERROR(VLOOKUP(B62,Справочник!$A$2:$C$135,2,FALSE),"")</f>
        <v/>
      </c>
      <c r="D62" s="5">
        <f>IFERROR(VLOOKUP(B62,Справочник!$A$2:$C$135,3,FALSE),"")</f>
        <v/>
      </c>
      <c r="E62" s="4" t="n"/>
      <c r="F62" s="4" t="n"/>
      <c r="G62" s="5">
        <f>IF(E62="","",E62-N(F62))</f>
        <v/>
      </c>
      <c r="H62" s="4" t="n"/>
      <c r="I62" s="6">
        <f>IF(OR(E62="",H62=""),"",E62*H62)</f>
        <v/>
      </c>
      <c r="J62" s="4" t="n"/>
    </row>
    <row r="63">
      <c r="A63" s="3" t="n"/>
      <c r="B63" s="4" t="n"/>
      <c r="C63" s="5">
        <f>IFERROR(VLOOKUP(B63,Справочник!$A$2:$C$135,2,FALSE),"")</f>
        <v/>
      </c>
      <c r="D63" s="5">
        <f>IFERROR(VLOOKUP(B63,Справочник!$A$2:$C$135,3,FALSE),"")</f>
        <v/>
      </c>
      <c r="E63" s="4" t="n"/>
      <c r="F63" s="4" t="n"/>
      <c r="G63" s="5">
        <f>IF(E63="","",E63-N(F63))</f>
        <v/>
      </c>
      <c r="H63" s="4" t="n"/>
      <c r="I63" s="6">
        <f>IF(OR(E63="",H63=""),"",E63*H63)</f>
        <v/>
      </c>
      <c r="J63" s="4" t="n"/>
    </row>
    <row r="64">
      <c r="A64" s="3" t="n"/>
      <c r="B64" s="4" t="n"/>
      <c r="C64" s="5">
        <f>IFERROR(VLOOKUP(B64,Справочник!$A$2:$C$135,2,FALSE),"")</f>
        <v/>
      </c>
      <c r="D64" s="5">
        <f>IFERROR(VLOOKUP(B64,Справочник!$A$2:$C$135,3,FALSE),"")</f>
        <v/>
      </c>
      <c r="E64" s="4" t="n"/>
      <c r="F64" s="4" t="n"/>
      <c r="G64" s="5">
        <f>IF(E64="","",E64-N(F64))</f>
        <v/>
      </c>
      <c r="H64" s="4" t="n"/>
      <c r="I64" s="6">
        <f>IF(OR(E64="",H64=""),"",E64*H64)</f>
        <v/>
      </c>
      <c r="J64" s="4" t="n"/>
    </row>
    <row r="65">
      <c r="A65" s="3" t="n"/>
      <c r="B65" s="4" t="n"/>
      <c r="C65" s="5">
        <f>IFERROR(VLOOKUP(B65,Справочник!$A$2:$C$135,2,FALSE),"")</f>
        <v/>
      </c>
      <c r="D65" s="5">
        <f>IFERROR(VLOOKUP(B65,Справочник!$A$2:$C$135,3,FALSE),"")</f>
        <v/>
      </c>
      <c r="E65" s="4" t="n"/>
      <c r="F65" s="4" t="n"/>
      <c r="G65" s="5">
        <f>IF(E65="","",E65-N(F65))</f>
        <v/>
      </c>
      <c r="H65" s="4" t="n"/>
      <c r="I65" s="6">
        <f>IF(OR(E65="",H65=""),"",E65*H65)</f>
        <v/>
      </c>
      <c r="J65" s="4" t="n"/>
    </row>
    <row r="66">
      <c r="A66" s="3" t="n"/>
      <c r="B66" s="4" t="n"/>
      <c r="C66" s="5">
        <f>IFERROR(VLOOKUP(B66,Справочник!$A$2:$C$135,2,FALSE),"")</f>
        <v/>
      </c>
      <c r="D66" s="5">
        <f>IFERROR(VLOOKUP(B66,Справочник!$A$2:$C$135,3,FALSE),"")</f>
        <v/>
      </c>
      <c r="E66" s="4" t="n"/>
      <c r="F66" s="4" t="n"/>
      <c r="G66" s="5">
        <f>IF(E66="","",E66-N(F66))</f>
        <v/>
      </c>
      <c r="H66" s="4" t="n"/>
      <c r="I66" s="6">
        <f>IF(OR(E66="",H66=""),"",E66*H66)</f>
        <v/>
      </c>
      <c r="J66" s="4" t="n"/>
    </row>
    <row r="67">
      <c r="A67" s="3" t="n"/>
      <c r="B67" s="4" t="n"/>
      <c r="C67" s="5">
        <f>IFERROR(VLOOKUP(B67,Справочник!$A$2:$C$135,2,FALSE),"")</f>
        <v/>
      </c>
      <c r="D67" s="5">
        <f>IFERROR(VLOOKUP(B67,Справочник!$A$2:$C$135,3,FALSE),"")</f>
        <v/>
      </c>
      <c r="E67" s="4" t="n"/>
      <c r="F67" s="4" t="n"/>
      <c r="G67" s="5">
        <f>IF(E67="","",E67-N(F67))</f>
        <v/>
      </c>
      <c r="H67" s="4" t="n"/>
      <c r="I67" s="6">
        <f>IF(OR(E67="",H67=""),"",E67*H67)</f>
        <v/>
      </c>
      <c r="J67" s="4" t="n"/>
    </row>
    <row r="68">
      <c r="A68" s="3" t="n"/>
      <c r="B68" s="4" t="n"/>
      <c r="C68" s="5">
        <f>IFERROR(VLOOKUP(B68,Справочник!$A$2:$C$135,2,FALSE),"")</f>
        <v/>
      </c>
      <c r="D68" s="5">
        <f>IFERROR(VLOOKUP(B68,Справочник!$A$2:$C$135,3,FALSE),"")</f>
        <v/>
      </c>
      <c r="E68" s="4" t="n"/>
      <c r="F68" s="4" t="n"/>
      <c r="G68" s="5">
        <f>IF(E68="","",E68-N(F68))</f>
        <v/>
      </c>
      <c r="H68" s="4" t="n"/>
      <c r="I68" s="6">
        <f>IF(OR(E68="",H68=""),"",E68*H68)</f>
        <v/>
      </c>
      <c r="J68" s="4" t="n"/>
    </row>
    <row r="69">
      <c r="A69" s="3" t="n"/>
      <c r="B69" s="4" t="n"/>
      <c r="C69" s="5">
        <f>IFERROR(VLOOKUP(B69,Справочник!$A$2:$C$135,2,FALSE),"")</f>
        <v/>
      </c>
      <c r="D69" s="5">
        <f>IFERROR(VLOOKUP(B69,Справочник!$A$2:$C$135,3,FALSE),"")</f>
        <v/>
      </c>
      <c r="E69" s="4" t="n"/>
      <c r="F69" s="4" t="n"/>
      <c r="G69" s="5">
        <f>IF(E69="","",E69-N(F69))</f>
        <v/>
      </c>
      <c r="H69" s="4" t="n"/>
      <c r="I69" s="6">
        <f>IF(OR(E69="",H69=""),"",E69*H69)</f>
        <v/>
      </c>
      <c r="J69" s="4" t="n"/>
    </row>
    <row r="70">
      <c r="A70" s="3" t="n"/>
      <c r="B70" s="4" t="n"/>
      <c r="C70" s="5">
        <f>IFERROR(VLOOKUP(B70,Справочник!$A$2:$C$135,2,FALSE),"")</f>
        <v/>
      </c>
      <c r="D70" s="5">
        <f>IFERROR(VLOOKUP(B70,Справочник!$A$2:$C$135,3,FALSE),"")</f>
        <v/>
      </c>
      <c r="E70" s="4" t="n"/>
      <c r="F70" s="4" t="n"/>
      <c r="G70" s="5">
        <f>IF(E70="","",E70-N(F70))</f>
        <v/>
      </c>
      <c r="H70" s="4" t="n"/>
      <c r="I70" s="6">
        <f>IF(OR(E70="",H70=""),"",E70*H70)</f>
        <v/>
      </c>
      <c r="J70" s="4" t="n"/>
    </row>
    <row r="71">
      <c r="A71" s="3" t="n"/>
      <c r="B71" s="4" t="n"/>
      <c r="C71" s="5">
        <f>IFERROR(VLOOKUP(B71,Справочник!$A$2:$C$135,2,FALSE),"")</f>
        <v/>
      </c>
      <c r="D71" s="5">
        <f>IFERROR(VLOOKUP(B71,Справочник!$A$2:$C$135,3,FALSE),"")</f>
        <v/>
      </c>
      <c r="E71" s="4" t="n"/>
      <c r="F71" s="4" t="n"/>
      <c r="G71" s="5">
        <f>IF(E71="","",E71-N(F71))</f>
        <v/>
      </c>
      <c r="H71" s="4" t="n"/>
      <c r="I71" s="6">
        <f>IF(OR(E71="",H71=""),"",E71*H71)</f>
        <v/>
      </c>
      <c r="J71" s="4" t="n"/>
    </row>
    <row r="72">
      <c r="A72" s="3" t="n"/>
      <c r="B72" s="4" t="n"/>
      <c r="C72" s="5">
        <f>IFERROR(VLOOKUP(B72,Справочник!$A$2:$C$135,2,FALSE),"")</f>
        <v/>
      </c>
      <c r="D72" s="5">
        <f>IFERROR(VLOOKUP(B72,Справочник!$A$2:$C$135,3,FALSE),"")</f>
        <v/>
      </c>
      <c r="E72" s="4" t="n"/>
      <c r="F72" s="4" t="n"/>
      <c r="G72" s="5">
        <f>IF(E72="","",E72-N(F72))</f>
        <v/>
      </c>
      <c r="H72" s="4" t="n"/>
      <c r="I72" s="6">
        <f>IF(OR(E72="",H72=""),"",E72*H72)</f>
        <v/>
      </c>
      <c r="J72" s="4" t="n"/>
    </row>
    <row r="73">
      <c r="A73" s="3" t="n"/>
      <c r="B73" s="4" t="n"/>
      <c r="C73" s="5">
        <f>IFERROR(VLOOKUP(B73,Справочник!$A$2:$C$135,2,FALSE),"")</f>
        <v/>
      </c>
      <c r="D73" s="5">
        <f>IFERROR(VLOOKUP(B73,Справочник!$A$2:$C$135,3,FALSE),"")</f>
        <v/>
      </c>
      <c r="E73" s="4" t="n"/>
      <c r="F73" s="4" t="n"/>
      <c r="G73" s="5">
        <f>IF(E73="","",E73-N(F73))</f>
        <v/>
      </c>
      <c r="H73" s="4" t="n"/>
      <c r="I73" s="6">
        <f>IF(OR(E73="",H73=""),"",E73*H73)</f>
        <v/>
      </c>
      <c r="J73" s="4" t="n"/>
    </row>
    <row r="74">
      <c r="A74" s="3" t="n"/>
      <c r="B74" s="4" t="n"/>
      <c r="C74" s="5">
        <f>IFERROR(VLOOKUP(B74,Справочник!$A$2:$C$135,2,FALSE),"")</f>
        <v/>
      </c>
      <c r="D74" s="5">
        <f>IFERROR(VLOOKUP(B74,Справочник!$A$2:$C$135,3,FALSE),"")</f>
        <v/>
      </c>
      <c r="E74" s="4" t="n"/>
      <c r="F74" s="4" t="n"/>
      <c r="G74" s="5">
        <f>IF(E74="","",E74-N(F74))</f>
        <v/>
      </c>
      <c r="H74" s="4" t="n"/>
      <c r="I74" s="6">
        <f>IF(OR(E74="",H74=""),"",E74*H74)</f>
        <v/>
      </c>
      <c r="J74" s="4" t="n"/>
    </row>
    <row r="75">
      <c r="A75" s="3" t="n"/>
      <c r="B75" s="4" t="n"/>
      <c r="C75" s="5">
        <f>IFERROR(VLOOKUP(B75,Справочник!$A$2:$C$135,2,FALSE),"")</f>
        <v/>
      </c>
      <c r="D75" s="5">
        <f>IFERROR(VLOOKUP(B75,Справочник!$A$2:$C$135,3,FALSE),"")</f>
        <v/>
      </c>
      <c r="E75" s="4" t="n"/>
      <c r="F75" s="4" t="n"/>
      <c r="G75" s="5">
        <f>IF(E75="","",E75-N(F75))</f>
        <v/>
      </c>
      <c r="H75" s="4" t="n"/>
      <c r="I75" s="6">
        <f>IF(OR(E75="",H75=""),"",E75*H75)</f>
        <v/>
      </c>
      <c r="J75" s="4" t="n"/>
    </row>
    <row r="76">
      <c r="A76" s="3" t="n"/>
      <c r="B76" s="4" t="n"/>
      <c r="C76" s="5">
        <f>IFERROR(VLOOKUP(B76,Справочник!$A$2:$C$135,2,FALSE),"")</f>
        <v/>
      </c>
      <c r="D76" s="5">
        <f>IFERROR(VLOOKUP(B76,Справочник!$A$2:$C$135,3,FALSE),"")</f>
        <v/>
      </c>
      <c r="E76" s="4" t="n"/>
      <c r="F76" s="4" t="n"/>
      <c r="G76" s="5">
        <f>IF(E76="","",E76-N(F76))</f>
        <v/>
      </c>
      <c r="H76" s="4" t="n"/>
      <c r="I76" s="6">
        <f>IF(OR(E76="",H76=""),"",E76*H76)</f>
        <v/>
      </c>
      <c r="J76" s="4" t="n"/>
    </row>
    <row r="77">
      <c r="A77" s="3" t="n"/>
      <c r="B77" s="4" t="n"/>
      <c r="C77" s="5">
        <f>IFERROR(VLOOKUP(B77,Справочник!$A$2:$C$135,2,FALSE),"")</f>
        <v/>
      </c>
      <c r="D77" s="5">
        <f>IFERROR(VLOOKUP(B77,Справочник!$A$2:$C$135,3,FALSE),"")</f>
        <v/>
      </c>
      <c r="E77" s="4" t="n"/>
      <c r="F77" s="4" t="n"/>
      <c r="G77" s="5">
        <f>IF(E77="","",E77-N(F77))</f>
        <v/>
      </c>
      <c r="H77" s="4" t="n"/>
      <c r="I77" s="6">
        <f>IF(OR(E77="",H77=""),"",E77*H77)</f>
        <v/>
      </c>
      <c r="J77" s="4" t="n"/>
    </row>
    <row r="78">
      <c r="A78" s="3" t="n"/>
      <c r="B78" s="4" t="n"/>
      <c r="C78" s="5">
        <f>IFERROR(VLOOKUP(B78,Справочник!$A$2:$C$135,2,FALSE),"")</f>
        <v/>
      </c>
      <c r="D78" s="5">
        <f>IFERROR(VLOOKUP(B78,Справочник!$A$2:$C$135,3,FALSE),"")</f>
        <v/>
      </c>
      <c r="E78" s="4" t="n"/>
      <c r="F78" s="4" t="n"/>
      <c r="G78" s="5">
        <f>IF(E78="","",E78-N(F78))</f>
        <v/>
      </c>
      <c r="H78" s="4" t="n"/>
      <c r="I78" s="6">
        <f>IF(OR(E78="",H78=""),"",E78*H78)</f>
        <v/>
      </c>
      <c r="J78" s="4" t="n"/>
    </row>
    <row r="79">
      <c r="A79" s="3" t="n"/>
      <c r="B79" s="4" t="n"/>
      <c r="C79" s="5">
        <f>IFERROR(VLOOKUP(B79,Справочник!$A$2:$C$135,2,FALSE),"")</f>
        <v/>
      </c>
      <c r="D79" s="5">
        <f>IFERROR(VLOOKUP(B79,Справочник!$A$2:$C$135,3,FALSE),"")</f>
        <v/>
      </c>
      <c r="E79" s="4" t="n"/>
      <c r="F79" s="4" t="n"/>
      <c r="G79" s="5">
        <f>IF(E79="","",E79-N(F79))</f>
        <v/>
      </c>
      <c r="H79" s="4" t="n"/>
      <c r="I79" s="6">
        <f>IF(OR(E79="",H79=""),"",E79*H79)</f>
        <v/>
      </c>
      <c r="J79" s="4" t="n"/>
    </row>
    <row r="80">
      <c r="A80" s="3" t="n"/>
      <c r="B80" s="4" t="n"/>
      <c r="C80" s="5">
        <f>IFERROR(VLOOKUP(B80,Справочник!$A$2:$C$135,2,FALSE),"")</f>
        <v/>
      </c>
      <c r="D80" s="5">
        <f>IFERROR(VLOOKUP(B80,Справочник!$A$2:$C$135,3,FALSE),"")</f>
        <v/>
      </c>
      <c r="E80" s="4" t="n"/>
      <c r="F80" s="4" t="n"/>
      <c r="G80" s="5">
        <f>IF(E80="","",E80-N(F80))</f>
        <v/>
      </c>
      <c r="H80" s="4" t="n"/>
      <c r="I80" s="6">
        <f>IF(OR(E80="",H80=""),"",E80*H80)</f>
        <v/>
      </c>
      <c r="J80" s="4" t="n"/>
    </row>
    <row r="81">
      <c r="A81" s="3" t="n"/>
      <c r="B81" s="4" t="n"/>
      <c r="C81" s="5">
        <f>IFERROR(VLOOKUP(B81,Справочник!$A$2:$C$135,2,FALSE),"")</f>
        <v/>
      </c>
      <c r="D81" s="5">
        <f>IFERROR(VLOOKUP(B81,Справочник!$A$2:$C$135,3,FALSE),"")</f>
        <v/>
      </c>
      <c r="E81" s="4" t="n"/>
      <c r="F81" s="4" t="n"/>
      <c r="G81" s="5">
        <f>IF(E81="","",E81-N(F81))</f>
        <v/>
      </c>
      <c r="H81" s="4" t="n"/>
      <c r="I81" s="6">
        <f>IF(OR(E81="",H81=""),"",E81*H81)</f>
        <v/>
      </c>
      <c r="J81" s="4" t="n"/>
    </row>
    <row r="82">
      <c r="A82" s="3" t="n"/>
      <c r="B82" s="4" t="n"/>
      <c r="C82" s="5">
        <f>IFERROR(VLOOKUP(B82,Справочник!$A$2:$C$135,2,FALSE),"")</f>
        <v/>
      </c>
      <c r="D82" s="5">
        <f>IFERROR(VLOOKUP(B82,Справочник!$A$2:$C$135,3,FALSE),"")</f>
        <v/>
      </c>
      <c r="E82" s="4" t="n"/>
      <c r="F82" s="4" t="n"/>
      <c r="G82" s="5">
        <f>IF(E82="","",E82-N(F82))</f>
        <v/>
      </c>
      <c r="H82" s="4" t="n"/>
      <c r="I82" s="6">
        <f>IF(OR(E82="",H82=""),"",E82*H82)</f>
        <v/>
      </c>
      <c r="J82" s="4" t="n"/>
    </row>
    <row r="83">
      <c r="A83" s="3" t="n"/>
      <c r="B83" s="4" t="n"/>
      <c r="C83" s="5">
        <f>IFERROR(VLOOKUP(B83,Справочник!$A$2:$C$135,2,FALSE),"")</f>
        <v/>
      </c>
      <c r="D83" s="5">
        <f>IFERROR(VLOOKUP(B83,Справочник!$A$2:$C$135,3,FALSE),"")</f>
        <v/>
      </c>
      <c r="E83" s="4" t="n"/>
      <c r="F83" s="4" t="n"/>
      <c r="G83" s="5">
        <f>IF(E83="","",E83-N(F83))</f>
        <v/>
      </c>
      <c r="H83" s="4" t="n"/>
      <c r="I83" s="6">
        <f>IF(OR(E83="",H83=""),"",E83*H83)</f>
        <v/>
      </c>
      <c r="J83" s="4" t="n"/>
    </row>
    <row r="84">
      <c r="A84" s="3" t="n"/>
      <c r="B84" s="4" t="n"/>
      <c r="C84" s="5">
        <f>IFERROR(VLOOKUP(B84,Справочник!$A$2:$C$135,2,FALSE),"")</f>
        <v/>
      </c>
      <c r="D84" s="5">
        <f>IFERROR(VLOOKUP(B84,Справочник!$A$2:$C$135,3,FALSE),"")</f>
        <v/>
      </c>
      <c r="E84" s="4" t="n"/>
      <c r="F84" s="4" t="n"/>
      <c r="G84" s="5">
        <f>IF(E84="","",E84-N(F84))</f>
        <v/>
      </c>
      <c r="H84" s="4" t="n"/>
      <c r="I84" s="6">
        <f>IF(OR(E84="",H84=""),"",E84*H84)</f>
        <v/>
      </c>
      <c r="J84" s="4" t="n"/>
    </row>
    <row r="85">
      <c r="A85" s="3" t="n"/>
      <c r="B85" s="4" t="n"/>
      <c r="C85" s="5">
        <f>IFERROR(VLOOKUP(B85,Справочник!$A$2:$C$135,2,FALSE),"")</f>
        <v/>
      </c>
      <c r="D85" s="5">
        <f>IFERROR(VLOOKUP(B85,Справочник!$A$2:$C$135,3,FALSE),"")</f>
        <v/>
      </c>
      <c r="E85" s="4" t="n"/>
      <c r="F85" s="4" t="n"/>
      <c r="G85" s="5">
        <f>IF(E85="","",E85-N(F85))</f>
        <v/>
      </c>
      <c r="H85" s="4" t="n"/>
      <c r="I85" s="6">
        <f>IF(OR(E85="",H85=""),"",E85*H85)</f>
        <v/>
      </c>
      <c r="J85" s="4" t="n"/>
    </row>
    <row r="86">
      <c r="A86" s="3" t="n"/>
      <c r="B86" s="4" t="n"/>
      <c r="C86" s="5">
        <f>IFERROR(VLOOKUP(B86,Справочник!$A$2:$C$135,2,FALSE),"")</f>
        <v/>
      </c>
      <c r="D86" s="5">
        <f>IFERROR(VLOOKUP(B86,Справочник!$A$2:$C$135,3,FALSE),"")</f>
        <v/>
      </c>
      <c r="E86" s="4" t="n"/>
      <c r="F86" s="4" t="n"/>
      <c r="G86" s="5">
        <f>IF(E86="","",E86-N(F86))</f>
        <v/>
      </c>
      <c r="H86" s="4" t="n"/>
      <c r="I86" s="6">
        <f>IF(OR(E86="",H86=""),"",E86*H86)</f>
        <v/>
      </c>
      <c r="J86" s="4" t="n"/>
    </row>
    <row r="87">
      <c r="A87" s="3" t="n"/>
      <c r="B87" s="4" t="n"/>
      <c r="C87" s="5">
        <f>IFERROR(VLOOKUP(B87,Справочник!$A$2:$C$135,2,FALSE),"")</f>
        <v/>
      </c>
      <c r="D87" s="5">
        <f>IFERROR(VLOOKUP(B87,Справочник!$A$2:$C$135,3,FALSE),"")</f>
        <v/>
      </c>
      <c r="E87" s="4" t="n"/>
      <c r="F87" s="4" t="n"/>
      <c r="G87" s="5">
        <f>IF(E87="","",E87-N(F87))</f>
        <v/>
      </c>
      <c r="H87" s="4" t="n"/>
      <c r="I87" s="6">
        <f>IF(OR(E87="",H87=""),"",E87*H87)</f>
        <v/>
      </c>
      <c r="J87" s="4" t="n"/>
    </row>
    <row r="88">
      <c r="A88" s="3" t="n"/>
      <c r="B88" s="4" t="n"/>
      <c r="C88" s="5">
        <f>IFERROR(VLOOKUP(B88,Справочник!$A$2:$C$135,2,FALSE),"")</f>
        <v/>
      </c>
      <c r="D88" s="5">
        <f>IFERROR(VLOOKUP(B88,Справочник!$A$2:$C$135,3,FALSE),"")</f>
        <v/>
      </c>
      <c r="E88" s="4" t="n"/>
      <c r="F88" s="4" t="n"/>
      <c r="G88" s="5">
        <f>IF(E88="","",E88-N(F88))</f>
        <v/>
      </c>
      <c r="H88" s="4" t="n"/>
      <c r="I88" s="6">
        <f>IF(OR(E88="",H88=""),"",E88*H88)</f>
        <v/>
      </c>
      <c r="J88" s="4" t="n"/>
    </row>
    <row r="89">
      <c r="A89" s="3" t="n"/>
      <c r="B89" s="4" t="n"/>
      <c r="C89" s="5">
        <f>IFERROR(VLOOKUP(B89,Справочник!$A$2:$C$135,2,FALSE),"")</f>
        <v/>
      </c>
      <c r="D89" s="5">
        <f>IFERROR(VLOOKUP(B89,Справочник!$A$2:$C$135,3,FALSE),"")</f>
        <v/>
      </c>
      <c r="E89" s="4" t="n"/>
      <c r="F89" s="4" t="n"/>
      <c r="G89" s="5">
        <f>IF(E89="","",E89-N(F89))</f>
        <v/>
      </c>
      <c r="H89" s="4" t="n"/>
      <c r="I89" s="6">
        <f>IF(OR(E89="",H89=""),"",E89*H89)</f>
        <v/>
      </c>
      <c r="J89" s="4" t="n"/>
    </row>
    <row r="90">
      <c r="A90" s="3" t="n"/>
      <c r="B90" s="4" t="n"/>
      <c r="C90" s="5">
        <f>IFERROR(VLOOKUP(B90,Справочник!$A$2:$C$135,2,FALSE),"")</f>
        <v/>
      </c>
      <c r="D90" s="5">
        <f>IFERROR(VLOOKUP(B90,Справочник!$A$2:$C$135,3,FALSE),"")</f>
        <v/>
      </c>
      <c r="E90" s="4" t="n"/>
      <c r="F90" s="4" t="n"/>
      <c r="G90" s="5">
        <f>IF(E90="","",E90-N(F90))</f>
        <v/>
      </c>
      <c r="H90" s="4" t="n"/>
      <c r="I90" s="6">
        <f>IF(OR(E90="",H90=""),"",E90*H90)</f>
        <v/>
      </c>
      <c r="J90" s="4" t="n"/>
    </row>
    <row r="91">
      <c r="A91" s="3" t="n"/>
      <c r="B91" s="4" t="n"/>
      <c r="C91" s="5">
        <f>IFERROR(VLOOKUP(B91,Справочник!$A$2:$C$135,2,FALSE),"")</f>
        <v/>
      </c>
      <c r="D91" s="5">
        <f>IFERROR(VLOOKUP(B91,Справочник!$A$2:$C$135,3,FALSE),"")</f>
        <v/>
      </c>
      <c r="E91" s="4" t="n"/>
      <c r="F91" s="4" t="n"/>
      <c r="G91" s="5">
        <f>IF(E91="","",E91-N(F91))</f>
        <v/>
      </c>
      <c r="H91" s="4" t="n"/>
      <c r="I91" s="6">
        <f>IF(OR(E91="",H91=""),"",E91*H91)</f>
        <v/>
      </c>
      <c r="J91" s="4" t="n"/>
    </row>
    <row r="92">
      <c r="A92" s="3" t="n"/>
      <c r="B92" s="4" t="n"/>
      <c r="C92" s="5">
        <f>IFERROR(VLOOKUP(B92,Справочник!$A$2:$C$135,2,FALSE),"")</f>
        <v/>
      </c>
      <c r="D92" s="5">
        <f>IFERROR(VLOOKUP(B92,Справочник!$A$2:$C$135,3,FALSE),"")</f>
        <v/>
      </c>
      <c r="E92" s="4" t="n"/>
      <c r="F92" s="4" t="n"/>
      <c r="G92" s="5">
        <f>IF(E92="","",E92-N(F92))</f>
        <v/>
      </c>
      <c r="H92" s="4" t="n"/>
      <c r="I92" s="6">
        <f>IF(OR(E92="",H92=""),"",E92*H92)</f>
        <v/>
      </c>
      <c r="J92" s="4" t="n"/>
    </row>
    <row r="93">
      <c r="A93" s="3" t="n"/>
      <c r="B93" s="4" t="n"/>
      <c r="C93" s="5">
        <f>IFERROR(VLOOKUP(B93,Справочник!$A$2:$C$135,2,FALSE),"")</f>
        <v/>
      </c>
      <c r="D93" s="5">
        <f>IFERROR(VLOOKUP(B93,Справочник!$A$2:$C$135,3,FALSE),"")</f>
        <v/>
      </c>
      <c r="E93" s="4" t="n"/>
      <c r="F93" s="4" t="n"/>
      <c r="G93" s="5">
        <f>IF(E93="","",E93-N(F93))</f>
        <v/>
      </c>
      <c r="H93" s="4" t="n"/>
      <c r="I93" s="6">
        <f>IF(OR(E93="",H93=""),"",E93*H93)</f>
        <v/>
      </c>
      <c r="J93" s="4" t="n"/>
    </row>
    <row r="94">
      <c r="A94" s="3" t="n"/>
      <c r="B94" s="4" t="n"/>
      <c r="C94" s="5">
        <f>IFERROR(VLOOKUP(B94,Справочник!$A$2:$C$135,2,FALSE),"")</f>
        <v/>
      </c>
      <c r="D94" s="5">
        <f>IFERROR(VLOOKUP(B94,Справочник!$A$2:$C$135,3,FALSE),"")</f>
        <v/>
      </c>
      <c r="E94" s="4" t="n"/>
      <c r="F94" s="4" t="n"/>
      <c r="G94" s="5">
        <f>IF(E94="","",E94-N(F94))</f>
        <v/>
      </c>
      <c r="H94" s="4" t="n"/>
      <c r="I94" s="6">
        <f>IF(OR(E94="",H94=""),"",E94*H94)</f>
        <v/>
      </c>
      <c r="J94" s="4" t="n"/>
    </row>
    <row r="95">
      <c r="A95" s="3" t="n"/>
      <c r="B95" s="4" t="n"/>
      <c r="C95" s="5">
        <f>IFERROR(VLOOKUP(B95,Справочник!$A$2:$C$135,2,FALSE),"")</f>
        <v/>
      </c>
      <c r="D95" s="5">
        <f>IFERROR(VLOOKUP(B95,Справочник!$A$2:$C$135,3,FALSE),"")</f>
        <v/>
      </c>
      <c r="E95" s="4" t="n"/>
      <c r="F95" s="4" t="n"/>
      <c r="G95" s="5">
        <f>IF(E95="","",E95-N(F95))</f>
        <v/>
      </c>
      <c r="H95" s="4" t="n"/>
      <c r="I95" s="6">
        <f>IF(OR(E95="",H95=""),"",E95*H95)</f>
        <v/>
      </c>
      <c r="J95" s="4" t="n"/>
    </row>
    <row r="96">
      <c r="A96" s="3" t="n"/>
      <c r="B96" s="4" t="n"/>
      <c r="C96" s="5">
        <f>IFERROR(VLOOKUP(B96,Справочник!$A$2:$C$135,2,FALSE),"")</f>
        <v/>
      </c>
      <c r="D96" s="5">
        <f>IFERROR(VLOOKUP(B96,Справочник!$A$2:$C$135,3,FALSE),"")</f>
        <v/>
      </c>
      <c r="E96" s="4" t="n"/>
      <c r="F96" s="4" t="n"/>
      <c r="G96" s="5">
        <f>IF(E96="","",E96-N(F96))</f>
        <v/>
      </c>
      <c r="H96" s="4" t="n"/>
      <c r="I96" s="6">
        <f>IF(OR(E96="",H96=""),"",E96*H96)</f>
        <v/>
      </c>
      <c r="J96" s="4" t="n"/>
    </row>
    <row r="97">
      <c r="A97" s="3" t="n"/>
      <c r="B97" s="4" t="n"/>
      <c r="C97" s="5">
        <f>IFERROR(VLOOKUP(B97,Справочник!$A$2:$C$135,2,FALSE),"")</f>
        <v/>
      </c>
      <c r="D97" s="5">
        <f>IFERROR(VLOOKUP(B97,Справочник!$A$2:$C$135,3,FALSE),"")</f>
        <v/>
      </c>
      <c r="E97" s="4" t="n"/>
      <c r="F97" s="4" t="n"/>
      <c r="G97" s="5">
        <f>IF(E97="","",E97-N(F97))</f>
        <v/>
      </c>
      <c r="H97" s="4" t="n"/>
      <c r="I97" s="6">
        <f>IF(OR(E97="",H97=""),"",E97*H97)</f>
        <v/>
      </c>
      <c r="J97" s="4" t="n"/>
    </row>
    <row r="98">
      <c r="A98" s="3" t="n"/>
      <c r="B98" s="4" t="n"/>
      <c r="C98" s="5">
        <f>IFERROR(VLOOKUP(B98,Справочник!$A$2:$C$135,2,FALSE),"")</f>
        <v/>
      </c>
      <c r="D98" s="5">
        <f>IFERROR(VLOOKUP(B98,Справочник!$A$2:$C$135,3,FALSE),"")</f>
        <v/>
      </c>
      <c r="E98" s="4" t="n"/>
      <c r="F98" s="4" t="n"/>
      <c r="G98" s="5">
        <f>IF(E98="","",E98-N(F98))</f>
        <v/>
      </c>
      <c r="H98" s="4" t="n"/>
      <c r="I98" s="6">
        <f>IF(OR(E98="",H98=""),"",E98*H98)</f>
        <v/>
      </c>
      <c r="J98" s="4" t="n"/>
    </row>
    <row r="99">
      <c r="A99" s="3" t="n"/>
      <c r="B99" s="4" t="n"/>
      <c r="C99" s="5">
        <f>IFERROR(VLOOKUP(B99,Справочник!$A$2:$C$135,2,FALSE),"")</f>
        <v/>
      </c>
      <c r="D99" s="5">
        <f>IFERROR(VLOOKUP(B99,Справочник!$A$2:$C$135,3,FALSE),"")</f>
        <v/>
      </c>
      <c r="E99" s="4" t="n"/>
      <c r="F99" s="4" t="n"/>
      <c r="G99" s="5">
        <f>IF(E99="","",E99-N(F99))</f>
        <v/>
      </c>
      <c r="H99" s="4" t="n"/>
      <c r="I99" s="6">
        <f>IF(OR(E99="",H99=""),"",E99*H99)</f>
        <v/>
      </c>
      <c r="J99" s="4" t="n"/>
    </row>
    <row r="100">
      <c r="A100" s="3" t="n"/>
      <c r="B100" s="4" t="n"/>
      <c r="C100" s="5">
        <f>IFERROR(VLOOKUP(B100,Справочник!$A$2:$C$135,2,FALSE),"")</f>
        <v/>
      </c>
      <c r="D100" s="5">
        <f>IFERROR(VLOOKUP(B100,Справочник!$A$2:$C$135,3,FALSE),"")</f>
        <v/>
      </c>
      <c r="E100" s="4" t="n"/>
      <c r="F100" s="4" t="n"/>
      <c r="G100" s="5">
        <f>IF(E100="","",E100-N(F100))</f>
        <v/>
      </c>
      <c r="H100" s="4" t="n"/>
      <c r="I100" s="6">
        <f>IF(OR(E100="",H100=""),"",E100*H100)</f>
        <v/>
      </c>
      <c r="J100" s="4" t="n"/>
    </row>
    <row r="101">
      <c r="A101" s="3" t="n"/>
      <c r="B101" s="4" t="n"/>
      <c r="C101" s="5">
        <f>IFERROR(VLOOKUP(B101,Справочник!$A$2:$C$135,2,FALSE),"")</f>
        <v/>
      </c>
      <c r="D101" s="5">
        <f>IFERROR(VLOOKUP(B101,Справочник!$A$2:$C$135,3,FALSE),"")</f>
        <v/>
      </c>
      <c r="E101" s="4" t="n"/>
      <c r="F101" s="4" t="n"/>
      <c r="G101" s="5">
        <f>IF(E101="","",E101-N(F101))</f>
        <v/>
      </c>
      <c r="H101" s="4" t="n"/>
      <c r="I101" s="6">
        <f>IF(OR(E101="",H101=""),"",E101*H101)</f>
        <v/>
      </c>
      <c r="J101" s="4" t="n"/>
    </row>
    <row r="102">
      <c r="A102" s="3" t="n"/>
      <c r="B102" s="4" t="n"/>
      <c r="C102" s="5">
        <f>IFERROR(VLOOKUP(B102,Справочник!$A$2:$C$135,2,FALSE),"")</f>
        <v/>
      </c>
      <c r="D102" s="5">
        <f>IFERROR(VLOOKUP(B102,Справочник!$A$2:$C$135,3,FALSE),"")</f>
        <v/>
      </c>
      <c r="E102" s="4" t="n"/>
      <c r="F102" s="4" t="n"/>
      <c r="G102" s="5">
        <f>IF(E102="","",E102-N(F102))</f>
        <v/>
      </c>
      <c r="H102" s="4" t="n"/>
      <c r="I102" s="6">
        <f>IF(OR(E102="",H102=""),"",E102*H102)</f>
        <v/>
      </c>
      <c r="J102" s="4" t="n"/>
    </row>
    <row r="103">
      <c r="A103" s="3" t="n"/>
      <c r="B103" s="4" t="n"/>
      <c r="C103" s="5">
        <f>IFERROR(VLOOKUP(B103,Справочник!$A$2:$C$135,2,FALSE),"")</f>
        <v/>
      </c>
      <c r="D103" s="5">
        <f>IFERROR(VLOOKUP(B103,Справочник!$A$2:$C$135,3,FALSE),"")</f>
        <v/>
      </c>
      <c r="E103" s="4" t="n"/>
      <c r="F103" s="4" t="n"/>
      <c r="G103" s="5">
        <f>IF(E103="","",E103-N(F103))</f>
        <v/>
      </c>
      <c r="H103" s="4" t="n"/>
      <c r="I103" s="6">
        <f>IF(OR(E103="",H103=""),"",E103*H103)</f>
        <v/>
      </c>
      <c r="J103" s="4" t="n"/>
    </row>
    <row r="104">
      <c r="A104" s="3" t="n"/>
      <c r="B104" s="4" t="n"/>
      <c r="C104" s="5">
        <f>IFERROR(VLOOKUP(B104,Справочник!$A$2:$C$135,2,FALSE),"")</f>
        <v/>
      </c>
      <c r="D104" s="5">
        <f>IFERROR(VLOOKUP(B104,Справочник!$A$2:$C$135,3,FALSE),"")</f>
        <v/>
      </c>
      <c r="E104" s="4" t="n"/>
      <c r="F104" s="4" t="n"/>
      <c r="G104" s="5">
        <f>IF(E104="","",E104-N(F104))</f>
        <v/>
      </c>
      <c r="H104" s="4" t="n"/>
      <c r="I104" s="6">
        <f>IF(OR(E104="",H104=""),"",E104*H104)</f>
        <v/>
      </c>
      <c r="J104" s="4" t="n"/>
    </row>
    <row r="105">
      <c r="A105" s="3" t="n"/>
      <c r="B105" s="4" t="n"/>
      <c r="C105" s="5">
        <f>IFERROR(VLOOKUP(B105,Справочник!$A$2:$C$135,2,FALSE),"")</f>
        <v/>
      </c>
      <c r="D105" s="5">
        <f>IFERROR(VLOOKUP(B105,Справочник!$A$2:$C$135,3,FALSE),"")</f>
        <v/>
      </c>
      <c r="E105" s="4" t="n"/>
      <c r="F105" s="4" t="n"/>
      <c r="G105" s="5">
        <f>IF(E105="","",E105-N(F105))</f>
        <v/>
      </c>
      <c r="H105" s="4" t="n"/>
      <c r="I105" s="6">
        <f>IF(OR(E105="",H105=""),"",E105*H105)</f>
        <v/>
      </c>
      <c r="J105" s="4" t="n"/>
    </row>
    <row r="106">
      <c r="A106" s="3" t="n"/>
      <c r="B106" s="4" t="n"/>
      <c r="C106" s="5">
        <f>IFERROR(VLOOKUP(B106,Справочник!$A$2:$C$135,2,FALSE),"")</f>
        <v/>
      </c>
      <c r="D106" s="5">
        <f>IFERROR(VLOOKUP(B106,Справочник!$A$2:$C$135,3,FALSE),"")</f>
        <v/>
      </c>
      <c r="E106" s="4" t="n"/>
      <c r="F106" s="4" t="n"/>
      <c r="G106" s="5">
        <f>IF(E106="","",E106-N(F106))</f>
        <v/>
      </c>
      <c r="H106" s="4" t="n"/>
      <c r="I106" s="6">
        <f>IF(OR(E106="",H106=""),"",E106*H106)</f>
        <v/>
      </c>
      <c r="J106" s="4" t="n"/>
    </row>
    <row r="107">
      <c r="A107" s="3" t="n"/>
      <c r="B107" s="4" t="n"/>
      <c r="C107" s="5">
        <f>IFERROR(VLOOKUP(B107,Справочник!$A$2:$C$135,2,FALSE),"")</f>
        <v/>
      </c>
      <c r="D107" s="5">
        <f>IFERROR(VLOOKUP(B107,Справочник!$A$2:$C$135,3,FALSE),"")</f>
        <v/>
      </c>
      <c r="E107" s="4" t="n"/>
      <c r="F107" s="4" t="n"/>
      <c r="G107" s="5">
        <f>IF(E107="","",E107-N(F107))</f>
        <v/>
      </c>
      <c r="H107" s="4" t="n"/>
      <c r="I107" s="6">
        <f>IF(OR(E107="",H107=""),"",E107*H107)</f>
        <v/>
      </c>
      <c r="J107" s="4" t="n"/>
    </row>
    <row r="108">
      <c r="A108" s="3" t="n"/>
      <c r="B108" s="4" t="n"/>
      <c r="C108" s="5">
        <f>IFERROR(VLOOKUP(B108,Справочник!$A$2:$C$135,2,FALSE),"")</f>
        <v/>
      </c>
      <c r="D108" s="5">
        <f>IFERROR(VLOOKUP(B108,Справочник!$A$2:$C$135,3,FALSE),"")</f>
        <v/>
      </c>
      <c r="E108" s="4" t="n"/>
      <c r="F108" s="4" t="n"/>
      <c r="G108" s="5">
        <f>IF(E108="","",E108-N(F108))</f>
        <v/>
      </c>
      <c r="H108" s="4" t="n"/>
      <c r="I108" s="6">
        <f>IF(OR(E108="",H108=""),"",E108*H108)</f>
        <v/>
      </c>
      <c r="J108" s="4" t="n"/>
    </row>
    <row r="109">
      <c r="A109" s="3" t="n"/>
      <c r="B109" s="4" t="n"/>
      <c r="C109" s="5">
        <f>IFERROR(VLOOKUP(B109,Справочник!$A$2:$C$135,2,FALSE),"")</f>
        <v/>
      </c>
      <c r="D109" s="5">
        <f>IFERROR(VLOOKUP(B109,Справочник!$A$2:$C$135,3,FALSE),"")</f>
        <v/>
      </c>
      <c r="E109" s="4" t="n"/>
      <c r="F109" s="4" t="n"/>
      <c r="G109" s="5">
        <f>IF(E109="","",E109-N(F109))</f>
        <v/>
      </c>
      <c r="H109" s="4" t="n"/>
      <c r="I109" s="6">
        <f>IF(OR(E109="",H109=""),"",E109*H109)</f>
        <v/>
      </c>
      <c r="J109" s="4" t="n"/>
    </row>
    <row r="110">
      <c r="A110" s="3" t="n"/>
      <c r="B110" s="4" t="n"/>
      <c r="C110" s="5">
        <f>IFERROR(VLOOKUP(B110,Справочник!$A$2:$C$135,2,FALSE),"")</f>
        <v/>
      </c>
      <c r="D110" s="5">
        <f>IFERROR(VLOOKUP(B110,Справочник!$A$2:$C$135,3,FALSE),"")</f>
        <v/>
      </c>
      <c r="E110" s="4" t="n"/>
      <c r="F110" s="4" t="n"/>
      <c r="G110" s="5">
        <f>IF(E110="","",E110-N(F110))</f>
        <v/>
      </c>
      <c r="H110" s="4" t="n"/>
      <c r="I110" s="6">
        <f>IF(OR(E110="",H110=""),"",E110*H110)</f>
        <v/>
      </c>
      <c r="J110" s="4" t="n"/>
    </row>
    <row r="111">
      <c r="A111" s="3" t="n"/>
      <c r="B111" s="4" t="n"/>
      <c r="C111" s="5">
        <f>IFERROR(VLOOKUP(B111,Справочник!$A$2:$C$135,2,FALSE),"")</f>
        <v/>
      </c>
      <c r="D111" s="5">
        <f>IFERROR(VLOOKUP(B111,Справочник!$A$2:$C$135,3,FALSE),"")</f>
        <v/>
      </c>
      <c r="E111" s="4" t="n"/>
      <c r="F111" s="4" t="n"/>
      <c r="G111" s="5">
        <f>IF(E111="","",E111-N(F111))</f>
        <v/>
      </c>
      <c r="H111" s="4" t="n"/>
      <c r="I111" s="6">
        <f>IF(OR(E111="",H111=""),"",E111*H111)</f>
        <v/>
      </c>
      <c r="J111" s="4" t="n"/>
    </row>
    <row r="112">
      <c r="A112" s="3" t="n"/>
      <c r="B112" s="4" t="n"/>
      <c r="C112" s="5">
        <f>IFERROR(VLOOKUP(B112,Справочник!$A$2:$C$135,2,FALSE),"")</f>
        <v/>
      </c>
      <c r="D112" s="5">
        <f>IFERROR(VLOOKUP(B112,Справочник!$A$2:$C$135,3,FALSE),"")</f>
        <v/>
      </c>
      <c r="E112" s="4" t="n"/>
      <c r="F112" s="4" t="n"/>
      <c r="G112" s="5">
        <f>IF(E112="","",E112-N(F112))</f>
        <v/>
      </c>
      <c r="H112" s="4" t="n"/>
      <c r="I112" s="6">
        <f>IF(OR(E112="",H112=""),"",E112*H112)</f>
        <v/>
      </c>
      <c r="J112" s="4" t="n"/>
    </row>
    <row r="113">
      <c r="A113" s="3" t="n"/>
      <c r="B113" s="4" t="n"/>
      <c r="C113" s="5">
        <f>IFERROR(VLOOKUP(B113,Справочник!$A$2:$C$135,2,FALSE),"")</f>
        <v/>
      </c>
      <c r="D113" s="5">
        <f>IFERROR(VLOOKUP(B113,Справочник!$A$2:$C$135,3,FALSE),"")</f>
        <v/>
      </c>
      <c r="E113" s="4" t="n"/>
      <c r="F113" s="4" t="n"/>
      <c r="G113" s="5">
        <f>IF(E113="","",E113-N(F113))</f>
        <v/>
      </c>
      <c r="H113" s="4" t="n"/>
      <c r="I113" s="6">
        <f>IF(OR(E113="",H113=""),"",E113*H113)</f>
        <v/>
      </c>
      <c r="J113" s="4" t="n"/>
    </row>
    <row r="114">
      <c r="A114" s="3" t="n"/>
      <c r="B114" s="4" t="n"/>
      <c r="C114" s="5">
        <f>IFERROR(VLOOKUP(B114,Справочник!$A$2:$C$135,2,FALSE),"")</f>
        <v/>
      </c>
      <c r="D114" s="5">
        <f>IFERROR(VLOOKUP(B114,Справочник!$A$2:$C$135,3,FALSE),"")</f>
        <v/>
      </c>
      <c r="E114" s="4" t="n"/>
      <c r="F114" s="4" t="n"/>
      <c r="G114" s="5">
        <f>IF(E114="","",E114-N(F114))</f>
        <v/>
      </c>
      <c r="H114" s="4" t="n"/>
      <c r="I114" s="6">
        <f>IF(OR(E114="",H114=""),"",E114*H114)</f>
        <v/>
      </c>
      <c r="J114" s="4" t="n"/>
    </row>
    <row r="115">
      <c r="A115" s="3" t="n"/>
      <c r="B115" s="4" t="n"/>
      <c r="C115" s="5">
        <f>IFERROR(VLOOKUP(B115,Справочник!$A$2:$C$135,2,FALSE),"")</f>
        <v/>
      </c>
      <c r="D115" s="5">
        <f>IFERROR(VLOOKUP(B115,Справочник!$A$2:$C$135,3,FALSE),"")</f>
        <v/>
      </c>
      <c r="E115" s="4" t="n"/>
      <c r="F115" s="4" t="n"/>
      <c r="G115" s="5">
        <f>IF(E115="","",E115-N(F115))</f>
        <v/>
      </c>
      <c r="H115" s="4" t="n"/>
      <c r="I115" s="6">
        <f>IF(OR(E115="",H115=""),"",E115*H115)</f>
        <v/>
      </c>
      <c r="J115" s="4" t="n"/>
    </row>
    <row r="116">
      <c r="A116" s="3" t="n"/>
      <c r="B116" s="4" t="n"/>
      <c r="C116" s="5">
        <f>IFERROR(VLOOKUP(B116,Справочник!$A$2:$C$135,2,FALSE),"")</f>
        <v/>
      </c>
      <c r="D116" s="5">
        <f>IFERROR(VLOOKUP(B116,Справочник!$A$2:$C$135,3,FALSE),"")</f>
        <v/>
      </c>
      <c r="E116" s="4" t="n"/>
      <c r="F116" s="4" t="n"/>
      <c r="G116" s="5">
        <f>IF(E116="","",E116-N(F116))</f>
        <v/>
      </c>
      <c r="H116" s="4" t="n"/>
      <c r="I116" s="6">
        <f>IF(OR(E116="",H116=""),"",E116*H116)</f>
        <v/>
      </c>
      <c r="J116" s="4" t="n"/>
    </row>
    <row r="117">
      <c r="A117" s="3" t="n"/>
      <c r="B117" s="4" t="n"/>
      <c r="C117" s="5">
        <f>IFERROR(VLOOKUP(B117,Справочник!$A$2:$C$135,2,FALSE),"")</f>
        <v/>
      </c>
      <c r="D117" s="5">
        <f>IFERROR(VLOOKUP(B117,Справочник!$A$2:$C$135,3,FALSE),"")</f>
        <v/>
      </c>
      <c r="E117" s="4" t="n"/>
      <c r="F117" s="4" t="n"/>
      <c r="G117" s="5">
        <f>IF(E117="","",E117-N(F117))</f>
        <v/>
      </c>
      <c r="H117" s="4" t="n"/>
      <c r="I117" s="6">
        <f>IF(OR(E117="",H117=""),"",E117*H117)</f>
        <v/>
      </c>
      <c r="J117" s="4" t="n"/>
    </row>
    <row r="118">
      <c r="A118" s="3" t="n"/>
      <c r="B118" s="4" t="n"/>
      <c r="C118" s="5">
        <f>IFERROR(VLOOKUP(B118,Справочник!$A$2:$C$135,2,FALSE),"")</f>
        <v/>
      </c>
      <c r="D118" s="5">
        <f>IFERROR(VLOOKUP(B118,Справочник!$A$2:$C$135,3,FALSE),"")</f>
        <v/>
      </c>
      <c r="E118" s="4" t="n"/>
      <c r="F118" s="4" t="n"/>
      <c r="G118" s="5">
        <f>IF(E118="","",E118-N(F118))</f>
        <v/>
      </c>
      <c r="H118" s="4" t="n"/>
      <c r="I118" s="6">
        <f>IF(OR(E118="",H118=""),"",E118*H118)</f>
        <v/>
      </c>
      <c r="J118" s="4" t="n"/>
    </row>
    <row r="119">
      <c r="A119" s="3" t="n"/>
      <c r="B119" s="4" t="n"/>
      <c r="C119" s="5">
        <f>IFERROR(VLOOKUP(B119,Справочник!$A$2:$C$135,2,FALSE),"")</f>
        <v/>
      </c>
      <c r="D119" s="5">
        <f>IFERROR(VLOOKUP(B119,Справочник!$A$2:$C$135,3,FALSE),"")</f>
        <v/>
      </c>
      <c r="E119" s="4" t="n"/>
      <c r="F119" s="4" t="n"/>
      <c r="G119" s="5">
        <f>IF(E119="","",E119-N(F119))</f>
        <v/>
      </c>
      <c r="H119" s="4" t="n"/>
      <c r="I119" s="6">
        <f>IF(OR(E119="",H119=""),"",E119*H119)</f>
        <v/>
      </c>
      <c r="J119" s="4" t="n"/>
    </row>
    <row r="120">
      <c r="A120" s="3" t="n"/>
      <c r="B120" s="4" t="n"/>
      <c r="C120" s="5">
        <f>IFERROR(VLOOKUP(B120,Справочник!$A$2:$C$135,2,FALSE),"")</f>
        <v/>
      </c>
      <c r="D120" s="5">
        <f>IFERROR(VLOOKUP(B120,Справочник!$A$2:$C$135,3,FALSE),"")</f>
        <v/>
      </c>
      <c r="E120" s="4" t="n"/>
      <c r="F120" s="4" t="n"/>
      <c r="G120" s="5">
        <f>IF(E120="","",E120-N(F120))</f>
        <v/>
      </c>
      <c r="H120" s="4" t="n"/>
      <c r="I120" s="6">
        <f>IF(OR(E120="",H120=""),"",E120*H120)</f>
        <v/>
      </c>
      <c r="J120" s="4" t="n"/>
    </row>
    <row r="121">
      <c r="A121" s="3" t="n"/>
      <c r="B121" s="4" t="n"/>
      <c r="C121" s="5">
        <f>IFERROR(VLOOKUP(B121,Справочник!$A$2:$C$135,2,FALSE),"")</f>
        <v/>
      </c>
      <c r="D121" s="5">
        <f>IFERROR(VLOOKUP(B121,Справочник!$A$2:$C$135,3,FALSE),"")</f>
        <v/>
      </c>
      <c r="E121" s="4" t="n"/>
      <c r="F121" s="4" t="n"/>
      <c r="G121" s="5">
        <f>IF(E121="","",E121-N(F121))</f>
        <v/>
      </c>
      <c r="H121" s="4" t="n"/>
      <c r="I121" s="6">
        <f>IF(OR(E121="",H121=""),"",E121*H121)</f>
        <v/>
      </c>
      <c r="J121" s="4" t="n"/>
    </row>
    <row r="122">
      <c r="A122" s="3" t="n"/>
      <c r="B122" s="4" t="n"/>
      <c r="C122" s="5">
        <f>IFERROR(VLOOKUP(B122,Справочник!$A$2:$C$135,2,FALSE),"")</f>
        <v/>
      </c>
      <c r="D122" s="5">
        <f>IFERROR(VLOOKUP(B122,Справочник!$A$2:$C$135,3,FALSE),"")</f>
        <v/>
      </c>
      <c r="E122" s="4" t="n"/>
      <c r="F122" s="4" t="n"/>
      <c r="G122" s="5">
        <f>IF(E122="","",E122-N(F122))</f>
        <v/>
      </c>
      <c r="H122" s="4" t="n"/>
      <c r="I122" s="6">
        <f>IF(OR(E122="",H122=""),"",E122*H122)</f>
        <v/>
      </c>
      <c r="J122" s="4" t="n"/>
    </row>
    <row r="123">
      <c r="A123" s="3" t="n"/>
      <c r="B123" s="4" t="n"/>
      <c r="C123" s="5">
        <f>IFERROR(VLOOKUP(B123,Справочник!$A$2:$C$135,2,FALSE),"")</f>
        <v/>
      </c>
      <c r="D123" s="5">
        <f>IFERROR(VLOOKUP(B123,Справочник!$A$2:$C$135,3,FALSE),"")</f>
        <v/>
      </c>
      <c r="E123" s="4" t="n"/>
      <c r="F123" s="4" t="n"/>
      <c r="G123" s="5">
        <f>IF(E123="","",E123-N(F123))</f>
        <v/>
      </c>
      <c r="H123" s="4" t="n"/>
      <c r="I123" s="6">
        <f>IF(OR(E123="",H123=""),"",E123*H123)</f>
        <v/>
      </c>
      <c r="J123" s="4" t="n"/>
    </row>
    <row r="124">
      <c r="A124" s="3" t="n"/>
      <c r="B124" s="4" t="n"/>
      <c r="C124" s="5">
        <f>IFERROR(VLOOKUP(B124,Справочник!$A$2:$C$135,2,FALSE),"")</f>
        <v/>
      </c>
      <c r="D124" s="5">
        <f>IFERROR(VLOOKUP(B124,Справочник!$A$2:$C$135,3,FALSE),"")</f>
        <v/>
      </c>
      <c r="E124" s="4" t="n"/>
      <c r="F124" s="4" t="n"/>
      <c r="G124" s="5">
        <f>IF(E124="","",E124-N(F124))</f>
        <v/>
      </c>
      <c r="H124" s="4" t="n"/>
      <c r="I124" s="6">
        <f>IF(OR(E124="",H124=""),"",E124*H124)</f>
        <v/>
      </c>
      <c r="J124" s="4" t="n"/>
    </row>
    <row r="125">
      <c r="A125" s="3" t="n"/>
      <c r="B125" s="4" t="n"/>
      <c r="C125" s="5">
        <f>IFERROR(VLOOKUP(B125,Справочник!$A$2:$C$135,2,FALSE),"")</f>
        <v/>
      </c>
      <c r="D125" s="5">
        <f>IFERROR(VLOOKUP(B125,Справочник!$A$2:$C$135,3,FALSE),"")</f>
        <v/>
      </c>
      <c r="E125" s="4" t="n"/>
      <c r="F125" s="4" t="n"/>
      <c r="G125" s="5">
        <f>IF(E125="","",E125-N(F125))</f>
        <v/>
      </c>
      <c r="H125" s="4" t="n"/>
      <c r="I125" s="6">
        <f>IF(OR(E125="",H125=""),"",E125*H125)</f>
        <v/>
      </c>
      <c r="J125" s="4" t="n"/>
    </row>
    <row r="126">
      <c r="A126" s="3" t="n"/>
      <c r="B126" s="4" t="n"/>
      <c r="C126" s="5">
        <f>IFERROR(VLOOKUP(B126,Справочник!$A$2:$C$135,2,FALSE),"")</f>
        <v/>
      </c>
      <c r="D126" s="5">
        <f>IFERROR(VLOOKUP(B126,Справочник!$A$2:$C$135,3,FALSE),"")</f>
        <v/>
      </c>
      <c r="E126" s="4" t="n"/>
      <c r="F126" s="4" t="n"/>
      <c r="G126" s="5">
        <f>IF(E126="","",E126-N(F126))</f>
        <v/>
      </c>
      <c r="H126" s="4" t="n"/>
      <c r="I126" s="6">
        <f>IF(OR(E126="",H126=""),"",E126*H126)</f>
        <v/>
      </c>
      <c r="J126" s="4" t="n"/>
    </row>
    <row r="127">
      <c r="A127" s="3" t="n"/>
      <c r="B127" s="4" t="n"/>
      <c r="C127" s="5">
        <f>IFERROR(VLOOKUP(B127,Справочник!$A$2:$C$135,2,FALSE),"")</f>
        <v/>
      </c>
      <c r="D127" s="5">
        <f>IFERROR(VLOOKUP(B127,Справочник!$A$2:$C$135,3,FALSE),"")</f>
        <v/>
      </c>
      <c r="E127" s="4" t="n"/>
      <c r="F127" s="4" t="n"/>
      <c r="G127" s="5">
        <f>IF(E127="","",E127-N(F127))</f>
        <v/>
      </c>
      <c r="H127" s="4" t="n"/>
      <c r="I127" s="6">
        <f>IF(OR(E127="",H127=""),"",E127*H127)</f>
        <v/>
      </c>
      <c r="J127" s="4" t="n"/>
    </row>
    <row r="128">
      <c r="A128" s="3" t="n"/>
      <c r="B128" s="4" t="n"/>
      <c r="C128" s="5">
        <f>IFERROR(VLOOKUP(B128,Справочник!$A$2:$C$135,2,FALSE),"")</f>
        <v/>
      </c>
      <c r="D128" s="5">
        <f>IFERROR(VLOOKUP(B128,Справочник!$A$2:$C$135,3,FALSE),"")</f>
        <v/>
      </c>
      <c r="E128" s="4" t="n"/>
      <c r="F128" s="4" t="n"/>
      <c r="G128" s="5">
        <f>IF(E128="","",E128-N(F128))</f>
        <v/>
      </c>
      <c r="H128" s="4" t="n"/>
      <c r="I128" s="6">
        <f>IF(OR(E128="",H128=""),"",E128*H128)</f>
        <v/>
      </c>
      <c r="J128" s="4" t="n"/>
    </row>
    <row r="129">
      <c r="A129" s="3" t="n"/>
      <c r="B129" s="4" t="n"/>
      <c r="C129" s="5">
        <f>IFERROR(VLOOKUP(B129,Справочник!$A$2:$C$135,2,FALSE),"")</f>
        <v/>
      </c>
      <c r="D129" s="5">
        <f>IFERROR(VLOOKUP(B129,Справочник!$A$2:$C$135,3,FALSE),"")</f>
        <v/>
      </c>
      <c r="E129" s="4" t="n"/>
      <c r="F129" s="4" t="n"/>
      <c r="G129" s="5">
        <f>IF(E129="","",E129-N(F129))</f>
        <v/>
      </c>
      <c r="H129" s="4" t="n"/>
      <c r="I129" s="6">
        <f>IF(OR(E129="",H129=""),"",E129*H129)</f>
        <v/>
      </c>
      <c r="J129" s="4" t="n"/>
    </row>
    <row r="130">
      <c r="A130" s="3" t="n"/>
      <c r="B130" s="4" t="n"/>
      <c r="C130" s="5">
        <f>IFERROR(VLOOKUP(B130,Справочник!$A$2:$C$135,2,FALSE),"")</f>
        <v/>
      </c>
      <c r="D130" s="5">
        <f>IFERROR(VLOOKUP(B130,Справочник!$A$2:$C$135,3,FALSE),"")</f>
        <v/>
      </c>
      <c r="E130" s="4" t="n"/>
      <c r="F130" s="4" t="n"/>
      <c r="G130" s="5">
        <f>IF(E130="","",E130-N(F130))</f>
        <v/>
      </c>
      <c r="H130" s="4" t="n"/>
      <c r="I130" s="6">
        <f>IF(OR(E130="",H130=""),"",E130*H130)</f>
        <v/>
      </c>
      <c r="J130" s="4" t="n"/>
    </row>
    <row r="131">
      <c r="A131" s="3" t="n"/>
      <c r="B131" s="4" t="n"/>
      <c r="C131" s="5">
        <f>IFERROR(VLOOKUP(B131,Справочник!$A$2:$C$135,2,FALSE),"")</f>
        <v/>
      </c>
      <c r="D131" s="5">
        <f>IFERROR(VLOOKUP(B131,Справочник!$A$2:$C$135,3,FALSE),"")</f>
        <v/>
      </c>
      <c r="E131" s="4" t="n"/>
      <c r="F131" s="4" t="n"/>
      <c r="G131" s="5">
        <f>IF(E131="","",E131-N(F131))</f>
        <v/>
      </c>
      <c r="H131" s="4" t="n"/>
      <c r="I131" s="6">
        <f>IF(OR(E131="",H131=""),"",E131*H131)</f>
        <v/>
      </c>
      <c r="J131" s="4" t="n"/>
    </row>
    <row r="132">
      <c r="A132" s="3" t="n"/>
      <c r="B132" s="4" t="n"/>
      <c r="C132" s="5">
        <f>IFERROR(VLOOKUP(B132,Справочник!$A$2:$C$135,2,FALSE),"")</f>
        <v/>
      </c>
      <c r="D132" s="5">
        <f>IFERROR(VLOOKUP(B132,Справочник!$A$2:$C$135,3,FALSE),"")</f>
        <v/>
      </c>
      <c r="E132" s="4" t="n"/>
      <c r="F132" s="4" t="n"/>
      <c r="G132" s="5">
        <f>IF(E132="","",E132-N(F132))</f>
        <v/>
      </c>
      <c r="H132" s="4" t="n"/>
      <c r="I132" s="6">
        <f>IF(OR(E132="",H132=""),"",E132*H132)</f>
        <v/>
      </c>
      <c r="J132" s="4" t="n"/>
    </row>
    <row r="133">
      <c r="A133" s="3" t="n"/>
      <c r="B133" s="4" t="n"/>
      <c r="C133" s="5">
        <f>IFERROR(VLOOKUP(B133,Справочник!$A$2:$C$135,2,FALSE),"")</f>
        <v/>
      </c>
      <c r="D133" s="5">
        <f>IFERROR(VLOOKUP(B133,Справочник!$A$2:$C$135,3,FALSE),"")</f>
        <v/>
      </c>
      <c r="E133" s="4" t="n"/>
      <c r="F133" s="4" t="n"/>
      <c r="G133" s="5">
        <f>IF(E133="","",E133-N(F133))</f>
        <v/>
      </c>
      <c r="H133" s="4" t="n"/>
      <c r="I133" s="6">
        <f>IF(OR(E133="",H133=""),"",E133*H133)</f>
        <v/>
      </c>
      <c r="J133" s="4" t="n"/>
    </row>
    <row r="134">
      <c r="A134" s="3" t="n"/>
      <c r="B134" s="4" t="n"/>
      <c r="C134" s="5">
        <f>IFERROR(VLOOKUP(B134,Справочник!$A$2:$C$135,2,FALSE),"")</f>
        <v/>
      </c>
      <c r="D134" s="5">
        <f>IFERROR(VLOOKUP(B134,Справочник!$A$2:$C$135,3,FALSE),"")</f>
        <v/>
      </c>
      <c r="E134" s="4" t="n"/>
      <c r="F134" s="4" t="n"/>
      <c r="G134" s="5">
        <f>IF(E134="","",E134-N(F134))</f>
        <v/>
      </c>
      <c r="H134" s="4" t="n"/>
      <c r="I134" s="6">
        <f>IF(OR(E134="",H134=""),"",E134*H134)</f>
        <v/>
      </c>
      <c r="J134" s="4" t="n"/>
    </row>
    <row r="135">
      <c r="A135" s="3" t="n"/>
      <c r="B135" s="4" t="n"/>
      <c r="C135" s="5">
        <f>IFERROR(VLOOKUP(B135,Справочник!$A$2:$C$135,2,FALSE),"")</f>
        <v/>
      </c>
      <c r="D135" s="5">
        <f>IFERROR(VLOOKUP(B135,Справочник!$A$2:$C$135,3,FALSE),"")</f>
        <v/>
      </c>
      <c r="E135" s="4" t="n"/>
      <c r="F135" s="4" t="n"/>
      <c r="G135" s="5">
        <f>IF(E135="","",E135-N(F135))</f>
        <v/>
      </c>
      <c r="H135" s="4" t="n"/>
      <c r="I135" s="6">
        <f>IF(OR(E135="",H135=""),"",E135*H135)</f>
        <v/>
      </c>
      <c r="J135" s="4" t="n"/>
    </row>
    <row r="136">
      <c r="A136" s="3" t="n"/>
      <c r="B136" s="4" t="n"/>
      <c r="C136" s="5">
        <f>IFERROR(VLOOKUP(B136,Справочник!$A$2:$C$135,2,FALSE),"")</f>
        <v/>
      </c>
      <c r="D136" s="5">
        <f>IFERROR(VLOOKUP(B136,Справочник!$A$2:$C$135,3,FALSE),"")</f>
        <v/>
      </c>
      <c r="E136" s="4" t="n"/>
      <c r="F136" s="4" t="n"/>
      <c r="G136" s="5">
        <f>IF(E136="","",E136-N(F136))</f>
        <v/>
      </c>
      <c r="H136" s="4" t="n"/>
      <c r="I136" s="6">
        <f>IF(OR(E136="",H136=""),"",E136*H136)</f>
        <v/>
      </c>
      <c r="J136" s="4" t="n"/>
    </row>
    <row r="137">
      <c r="A137" s="3" t="n"/>
      <c r="B137" s="4" t="n"/>
      <c r="C137" s="5">
        <f>IFERROR(VLOOKUP(B137,Справочник!$A$2:$C$135,2,FALSE),"")</f>
        <v/>
      </c>
      <c r="D137" s="5">
        <f>IFERROR(VLOOKUP(B137,Справочник!$A$2:$C$135,3,FALSE),"")</f>
        <v/>
      </c>
      <c r="E137" s="4" t="n"/>
      <c r="F137" s="4" t="n"/>
      <c r="G137" s="5">
        <f>IF(E137="","",E137-N(F137))</f>
        <v/>
      </c>
      <c r="H137" s="4" t="n"/>
      <c r="I137" s="6">
        <f>IF(OR(E137="",H137=""),"",E137*H137)</f>
        <v/>
      </c>
      <c r="J137" s="4" t="n"/>
    </row>
    <row r="138">
      <c r="A138" s="3" t="n"/>
      <c r="B138" s="4" t="n"/>
      <c r="C138" s="5">
        <f>IFERROR(VLOOKUP(B138,Справочник!$A$2:$C$135,2,FALSE),"")</f>
        <v/>
      </c>
      <c r="D138" s="5">
        <f>IFERROR(VLOOKUP(B138,Справочник!$A$2:$C$135,3,FALSE),"")</f>
        <v/>
      </c>
      <c r="E138" s="4" t="n"/>
      <c r="F138" s="4" t="n"/>
      <c r="G138" s="5">
        <f>IF(E138="","",E138-N(F138))</f>
        <v/>
      </c>
      <c r="H138" s="4" t="n"/>
      <c r="I138" s="6">
        <f>IF(OR(E138="",H138=""),"",E138*H138)</f>
        <v/>
      </c>
      <c r="J138" s="4" t="n"/>
    </row>
    <row r="139">
      <c r="A139" s="3" t="n"/>
      <c r="B139" s="4" t="n"/>
      <c r="C139" s="5">
        <f>IFERROR(VLOOKUP(B139,Справочник!$A$2:$C$135,2,FALSE),"")</f>
        <v/>
      </c>
      <c r="D139" s="5">
        <f>IFERROR(VLOOKUP(B139,Справочник!$A$2:$C$135,3,FALSE),"")</f>
        <v/>
      </c>
      <c r="E139" s="4" t="n"/>
      <c r="F139" s="4" t="n"/>
      <c r="G139" s="5">
        <f>IF(E139="","",E139-N(F139))</f>
        <v/>
      </c>
      <c r="H139" s="4" t="n"/>
      <c r="I139" s="6">
        <f>IF(OR(E139="",H139=""),"",E139*H139)</f>
        <v/>
      </c>
      <c r="J139" s="4" t="n"/>
    </row>
    <row r="140">
      <c r="A140" s="3" t="n"/>
      <c r="B140" s="4" t="n"/>
      <c r="C140" s="5">
        <f>IFERROR(VLOOKUP(B140,Справочник!$A$2:$C$135,2,FALSE),"")</f>
        <v/>
      </c>
      <c r="D140" s="5">
        <f>IFERROR(VLOOKUP(B140,Справочник!$A$2:$C$135,3,FALSE),"")</f>
        <v/>
      </c>
      <c r="E140" s="4" t="n"/>
      <c r="F140" s="4" t="n"/>
      <c r="G140" s="5">
        <f>IF(E140="","",E140-N(F140))</f>
        <v/>
      </c>
      <c r="H140" s="4" t="n"/>
      <c r="I140" s="6">
        <f>IF(OR(E140="",H140=""),"",E140*H140)</f>
        <v/>
      </c>
      <c r="J140" s="4" t="n"/>
    </row>
    <row r="141">
      <c r="A141" s="3" t="n"/>
      <c r="B141" s="4" t="n"/>
      <c r="C141" s="5">
        <f>IFERROR(VLOOKUP(B141,Справочник!$A$2:$C$135,2,FALSE),"")</f>
        <v/>
      </c>
      <c r="D141" s="5">
        <f>IFERROR(VLOOKUP(B141,Справочник!$A$2:$C$135,3,FALSE),"")</f>
        <v/>
      </c>
      <c r="E141" s="4" t="n"/>
      <c r="F141" s="4" t="n"/>
      <c r="G141" s="5">
        <f>IF(E141="","",E141-N(F141))</f>
        <v/>
      </c>
      <c r="H141" s="4" t="n"/>
      <c r="I141" s="6">
        <f>IF(OR(E141="",H141=""),"",E141*H141)</f>
        <v/>
      </c>
      <c r="J141" s="4" t="n"/>
    </row>
    <row r="142">
      <c r="A142" s="3" t="n"/>
      <c r="B142" s="4" t="n"/>
      <c r="C142" s="5">
        <f>IFERROR(VLOOKUP(B142,Справочник!$A$2:$C$135,2,FALSE),"")</f>
        <v/>
      </c>
      <c r="D142" s="5">
        <f>IFERROR(VLOOKUP(B142,Справочник!$A$2:$C$135,3,FALSE),"")</f>
        <v/>
      </c>
      <c r="E142" s="4" t="n"/>
      <c r="F142" s="4" t="n"/>
      <c r="G142" s="5">
        <f>IF(E142="","",E142-N(F142))</f>
        <v/>
      </c>
      <c r="H142" s="4" t="n"/>
      <c r="I142" s="6">
        <f>IF(OR(E142="",H142=""),"",E142*H142)</f>
        <v/>
      </c>
      <c r="J142" s="4" t="n"/>
    </row>
    <row r="143">
      <c r="A143" s="3" t="n"/>
      <c r="B143" s="4" t="n"/>
      <c r="C143" s="5">
        <f>IFERROR(VLOOKUP(B143,Справочник!$A$2:$C$135,2,FALSE),"")</f>
        <v/>
      </c>
      <c r="D143" s="5">
        <f>IFERROR(VLOOKUP(B143,Справочник!$A$2:$C$135,3,FALSE),"")</f>
        <v/>
      </c>
      <c r="E143" s="4" t="n"/>
      <c r="F143" s="4" t="n"/>
      <c r="G143" s="5">
        <f>IF(E143="","",E143-N(F143))</f>
        <v/>
      </c>
      <c r="H143" s="4" t="n"/>
      <c r="I143" s="6">
        <f>IF(OR(E143="",H143=""),"",E143*H143)</f>
        <v/>
      </c>
      <c r="J143" s="4" t="n"/>
    </row>
    <row r="144">
      <c r="A144" s="3" t="n"/>
      <c r="B144" s="4" t="n"/>
      <c r="C144" s="5">
        <f>IFERROR(VLOOKUP(B144,Справочник!$A$2:$C$135,2,FALSE),"")</f>
        <v/>
      </c>
      <c r="D144" s="5">
        <f>IFERROR(VLOOKUP(B144,Справочник!$A$2:$C$135,3,FALSE),"")</f>
        <v/>
      </c>
      <c r="E144" s="4" t="n"/>
      <c r="F144" s="4" t="n"/>
      <c r="G144" s="5">
        <f>IF(E144="","",E144-N(F144))</f>
        <v/>
      </c>
      <c r="H144" s="4" t="n"/>
      <c r="I144" s="6">
        <f>IF(OR(E144="",H144=""),"",E144*H144)</f>
        <v/>
      </c>
      <c r="J144" s="4" t="n"/>
    </row>
    <row r="145">
      <c r="A145" s="3" t="n"/>
      <c r="B145" s="4" t="n"/>
      <c r="C145" s="5">
        <f>IFERROR(VLOOKUP(B145,Справочник!$A$2:$C$135,2,FALSE),"")</f>
        <v/>
      </c>
      <c r="D145" s="5">
        <f>IFERROR(VLOOKUP(B145,Справочник!$A$2:$C$135,3,FALSE),"")</f>
        <v/>
      </c>
      <c r="E145" s="4" t="n"/>
      <c r="F145" s="4" t="n"/>
      <c r="G145" s="5">
        <f>IF(E145="","",E145-N(F145))</f>
        <v/>
      </c>
      <c r="H145" s="4" t="n"/>
      <c r="I145" s="6">
        <f>IF(OR(E145="",H145=""),"",E145*H145)</f>
        <v/>
      </c>
      <c r="J145" s="4" t="n"/>
    </row>
    <row r="146">
      <c r="A146" s="3" t="n"/>
      <c r="B146" s="4" t="n"/>
      <c r="C146" s="5">
        <f>IFERROR(VLOOKUP(B146,Справочник!$A$2:$C$135,2,FALSE),"")</f>
        <v/>
      </c>
      <c r="D146" s="5">
        <f>IFERROR(VLOOKUP(B146,Справочник!$A$2:$C$135,3,FALSE),"")</f>
        <v/>
      </c>
      <c r="E146" s="4" t="n"/>
      <c r="F146" s="4" t="n"/>
      <c r="G146" s="5">
        <f>IF(E146="","",E146-N(F146))</f>
        <v/>
      </c>
      <c r="H146" s="4" t="n"/>
      <c r="I146" s="6">
        <f>IF(OR(E146="",H146=""),"",E146*H146)</f>
        <v/>
      </c>
      <c r="J146" s="4" t="n"/>
    </row>
    <row r="147">
      <c r="A147" s="3" t="n"/>
      <c r="B147" s="4" t="n"/>
      <c r="C147" s="5">
        <f>IFERROR(VLOOKUP(B147,Справочник!$A$2:$C$135,2,FALSE),"")</f>
        <v/>
      </c>
      <c r="D147" s="5">
        <f>IFERROR(VLOOKUP(B147,Справочник!$A$2:$C$135,3,FALSE),"")</f>
        <v/>
      </c>
      <c r="E147" s="4" t="n"/>
      <c r="F147" s="4" t="n"/>
      <c r="G147" s="5">
        <f>IF(E147="","",E147-N(F147))</f>
        <v/>
      </c>
      <c r="H147" s="4" t="n"/>
      <c r="I147" s="6">
        <f>IF(OR(E147="",H147=""),"",E147*H147)</f>
        <v/>
      </c>
      <c r="J147" s="4" t="n"/>
    </row>
    <row r="148">
      <c r="A148" s="3" t="n"/>
      <c r="B148" s="4" t="n"/>
      <c r="C148" s="5">
        <f>IFERROR(VLOOKUP(B148,Справочник!$A$2:$C$135,2,FALSE),"")</f>
        <v/>
      </c>
      <c r="D148" s="5">
        <f>IFERROR(VLOOKUP(B148,Справочник!$A$2:$C$135,3,FALSE),"")</f>
        <v/>
      </c>
      <c r="E148" s="4" t="n"/>
      <c r="F148" s="4" t="n"/>
      <c r="G148" s="5">
        <f>IF(E148="","",E148-N(F148))</f>
        <v/>
      </c>
      <c r="H148" s="4" t="n"/>
      <c r="I148" s="6">
        <f>IF(OR(E148="",H148=""),"",E148*H148)</f>
        <v/>
      </c>
      <c r="J148" s="4" t="n"/>
    </row>
    <row r="149">
      <c r="A149" s="3" t="n"/>
      <c r="B149" s="4" t="n"/>
      <c r="C149" s="5">
        <f>IFERROR(VLOOKUP(B149,Справочник!$A$2:$C$135,2,FALSE),"")</f>
        <v/>
      </c>
      <c r="D149" s="5">
        <f>IFERROR(VLOOKUP(B149,Справочник!$A$2:$C$135,3,FALSE),"")</f>
        <v/>
      </c>
      <c r="E149" s="4" t="n"/>
      <c r="F149" s="4" t="n"/>
      <c r="G149" s="5">
        <f>IF(E149="","",E149-N(F149))</f>
        <v/>
      </c>
      <c r="H149" s="4" t="n"/>
      <c r="I149" s="6">
        <f>IF(OR(E149="",H149=""),"",E149*H149)</f>
        <v/>
      </c>
      <c r="J149" s="4" t="n"/>
    </row>
    <row r="150">
      <c r="A150" s="3" t="n"/>
      <c r="B150" s="4" t="n"/>
      <c r="C150" s="5">
        <f>IFERROR(VLOOKUP(B150,Справочник!$A$2:$C$135,2,FALSE),"")</f>
        <v/>
      </c>
      <c r="D150" s="5">
        <f>IFERROR(VLOOKUP(B150,Справочник!$A$2:$C$135,3,FALSE),"")</f>
        <v/>
      </c>
      <c r="E150" s="4" t="n"/>
      <c r="F150" s="4" t="n"/>
      <c r="G150" s="5">
        <f>IF(E150="","",E150-N(F150))</f>
        <v/>
      </c>
      <c r="H150" s="4" t="n"/>
      <c r="I150" s="6">
        <f>IF(OR(E150="",H150=""),"",E150*H150)</f>
        <v/>
      </c>
      <c r="J150" s="4" t="n"/>
    </row>
    <row r="151">
      <c r="A151" s="3" t="n"/>
      <c r="B151" s="4" t="n"/>
      <c r="C151" s="5">
        <f>IFERROR(VLOOKUP(B151,Справочник!$A$2:$C$135,2,FALSE),"")</f>
        <v/>
      </c>
      <c r="D151" s="5">
        <f>IFERROR(VLOOKUP(B151,Справочник!$A$2:$C$135,3,FALSE),"")</f>
        <v/>
      </c>
      <c r="E151" s="4" t="n"/>
      <c r="F151" s="4" t="n"/>
      <c r="G151" s="5">
        <f>IF(E151="","",E151-N(F151))</f>
        <v/>
      </c>
      <c r="H151" s="4" t="n"/>
      <c r="I151" s="6">
        <f>IF(OR(E151="",H151=""),"",E151*H151)</f>
        <v/>
      </c>
      <c r="J151" s="4" t="n"/>
    </row>
    <row r="152">
      <c r="A152" s="3" t="n"/>
      <c r="B152" s="4" t="n"/>
      <c r="C152" s="5">
        <f>IFERROR(VLOOKUP(B152,Справочник!$A$2:$C$135,2,FALSE),"")</f>
        <v/>
      </c>
      <c r="D152" s="5">
        <f>IFERROR(VLOOKUP(B152,Справочник!$A$2:$C$135,3,FALSE),"")</f>
        <v/>
      </c>
      <c r="E152" s="4" t="n"/>
      <c r="F152" s="4" t="n"/>
      <c r="G152" s="5">
        <f>IF(E152="","",E152-N(F152))</f>
        <v/>
      </c>
      <c r="H152" s="4" t="n"/>
      <c r="I152" s="6">
        <f>IF(OR(E152="",H152=""),"",E152*H152)</f>
        <v/>
      </c>
      <c r="J152" s="4" t="n"/>
    </row>
    <row r="153">
      <c r="A153" s="3" t="n"/>
      <c r="B153" s="4" t="n"/>
      <c r="C153" s="5">
        <f>IFERROR(VLOOKUP(B153,Справочник!$A$2:$C$135,2,FALSE),"")</f>
        <v/>
      </c>
      <c r="D153" s="5">
        <f>IFERROR(VLOOKUP(B153,Справочник!$A$2:$C$135,3,FALSE),"")</f>
        <v/>
      </c>
      <c r="E153" s="4" t="n"/>
      <c r="F153" s="4" t="n"/>
      <c r="G153" s="5">
        <f>IF(E153="","",E153-N(F153))</f>
        <v/>
      </c>
      <c r="H153" s="4" t="n"/>
      <c r="I153" s="6">
        <f>IF(OR(E153="",H153=""),"",E153*H153)</f>
        <v/>
      </c>
      <c r="J153" s="4" t="n"/>
    </row>
    <row r="154">
      <c r="A154" s="3" t="n"/>
      <c r="B154" s="4" t="n"/>
      <c r="C154" s="5">
        <f>IFERROR(VLOOKUP(B154,Справочник!$A$2:$C$135,2,FALSE),"")</f>
        <v/>
      </c>
      <c r="D154" s="5">
        <f>IFERROR(VLOOKUP(B154,Справочник!$A$2:$C$135,3,FALSE),"")</f>
        <v/>
      </c>
      <c r="E154" s="4" t="n"/>
      <c r="F154" s="4" t="n"/>
      <c r="G154" s="5">
        <f>IF(E154="","",E154-N(F154))</f>
        <v/>
      </c>
      <c r="H154" s="4" t="n"/>
      <c r="I154" s="6">
        <f>IF(OR(E154="",H154=""),"",E154*H154)</f>
        <v/>
      </c>
      <c r="J154" s="4" t="n"/>
    </row>
    <row r="155">
      <c r="A155" s="3" t="n"/>
      <c r="B155" s="4" t="n"/>
      <c r="C155" s="5">
        <f>IFERROR(VLOOKUP(B155,Справочник!$A$2:$C$135,2,FALSE),"")</f>
        <v/>
      </c>
      <c r="D155" s="5">
        <f>IFERROR(VLOOKUP(B155,Справочник!$A$2:$C$135,3,FALSE),"")</f>
        <v/>
      </c>
      <c r="E155" s="4" t="n"/>
      <c r="F155" s="4" t="n"/>
      <c r="G155" s="5">
        <f>IF(E155="","",E155-N(F155))</f>
        <v/>
      </c>
      <c r="H155" s="4" t="n"/>
      <c r="I155" s="6">
        <f>IF(OR(E155="",H155=""),"",E155*H155)</f>
        <v/>
      </c>
      <c r="J155" s="4" t="n"/>
    </row>
    <row r="156">
      <c r="A156" s="3" t="n"/>
      <c r="B156" s="4" t="n"/>
      <c r="C156" s="5">
        <f>IFERROR(VLOOKUP(B156,Справочник!$A$2:$C$135,2,FALSE),"")</f>
        <v/>
      </c>
      <c r="D156" s="5">
        <f>IFERROR(VLOOKUP(B156,Справочник!$A$2:$C$135,3,FALSE),"")</f>
        <v/>
      </c>
      <c r="E156" s="4" t="n"/>
      <c r="F156" s="4" t="n"/>
      <c r="G156" s="5">
        <f>IF(E156="","",E156-N(F156))</f>
        <v/>
      </c>
      <c r="H156" s="4" t="n"/>
      <c r="I156" s="6">
        <f>IF(OR(E156="",H156=""),"",E156*H156)</f>
        <v/>
      </c>
      <c r="J156" s="4" t="n"/>
    </row>
    <row r="157">
      <c r="A157" s="3" t="n"/>
      <c r="B157" s="4" t="n"/>
      <c r="C157" s="5">
        <f>IFERROR(VLOOKUP(B157,Справочник!$A$2:$C$135,2,FALSE),"")</f>
        <v/>
      </c>
      <c r="D157" s="5">
        <f>IFERROR(VLOOKUP(B157,Справочник!$A$2:$C$135,3,FALSE),"")</f>
        <v/>
      </c>
      <c r="E157" s="4" t="n"/>
      <c r="F157" s="4" t="n"/>
      <c r="G157" s="5">
        <f>IF(E157="","",E157-N(F157))</f>
        <v/>
      </c>
      <c r="H157" s="4" t="n"/>
      <c r="I157" s="6">
        <f>IF(OR(E157="",H157=""),"",E157*H157)</f>
        <v/>
      </c>
      <c r="J157" s="4" t="n"/>
    </row>
    <row r="158">
      <c r="A158" s="3" t="n"/>
      <c r="B158" s="4" t="n"/>
      <c r="C158" s="5">
        <f>IFERROR(VLOOKUP(B158,Справочник!$A$2:$C$135,2,FALSE),"")</f>
        <v/>
      </c>
      <c r="D158" s="5">
        <f>IFERROR(VLOOKUP(B158,Справочник!$A$2:$C$135,3,FALSE),"")</f>
        <v/>
      </c>
      <c r="E158" s="4" t="n"/>
      <c r="F158" s="4" t="n"/>
      <c r="G158" s="5">
        <f>IF(E158="","",E158-N(F158))</f>
        <v/>
      </c>
      <c r="H158" s="4" t="n"/>
      <c r="I158" s="6">
        <f>IF(OR(E158="",H158=""),"",E158*H158)</f>
        <v/>
      </c>
      <c r="J158" s="4" t="n"/>
    </row>
    <row r="159">
      <c r="A159" s="3" t="n"/>
      <c r="B159" s="4" t="n"/>
      <c r="C159" s="5">
        <f>IFERROR(VLOOKUP(B159,Справочник!$A$2:$C$135,2,FALSE),"")</f>
        <v/>
      </c>
      <c r="D159" s="5">
        <f>IFERROR(VLOOKUP(B159,Справочник!$A$2:$C$135,3,FALSE),"")</f>
        <v/>
      </c>
      <c r="E159" s="4" t="n"/>
      <c r="F159" s="4" t="n"/>
      <c r="G159" s="5">
        <f>IF(E159="","",E159-N(F159))</f>
        <v/>
      </c>
      <c r="H159" s="4" t="n"/>
      <c r="I159" s="6">
        <f>IF(OR(E159="",H159=""),"",E159*H159)</f>
        <v/>
      </c>
      <c r="J159" s="4" t="n"/>
    </row>
    <row r="160">
      <c r="A160" s="3" t="n"/>
      <c r="B160" s="4" t="n"/>
      <c r="C160" s="5">
        <f>IFERROR(VLOOKUP(B160,Справочник!$A$2:$C$135,2,FALSE),"")</f>
        <v/>
      </c>
      <c r="D160" s="5">
        <f>IFERROR(VLOOKUP(B160,Справочник!$A$2:$C$135,3,FALSE),"")</f>
        <v/>
      </c>
      <c r="E160" s="4" t="n"/>
      <c r="F160" s="4" t="n"/>
      <c r="G160" s="5">
        <f>IF(E160="","",E160-N(F160))</f>
        <v/>
      </c>
      <c r="H160" s="4" t="n"/>
      <c r="I160" s="6">
        <f>IF(OR(E160="",H160=""),"",E160*H160)</f>
        <v/>
      </c>
      <c r="J160" s="4" t="n"/>
    </row>
    <row r="161">
      <c r="A161" s="3" t="n"/>
      <c r="B161" s="4" t="n"/>
      <c r="C161" s="5">
        <f>IFERROR(VLOOKUP(B161,Справочник!$A$2:$C$135,2,FALSE),"")</f>
        <v/>
      </c>
      <c r="D161" s="5">
        <f>IFERROR(VLOOKUP(B161,Справочник!$A$2:$C$135,3,FALSE),"")</f>
        <v/>
      </c>
      <c r="E161" s="4" t="n"/>
      <c r="F161" s="4" t="n"/>
      <c r="G161" s="5">
        <f>IF(E161="","",E161-N(F161))</f>
        <v/>
      </c>
      <c r="H161" s="4" t="n"/>
      <c r="I161" s="6">
        <f>IF(OR(E161="",H161=""),"",E161*H161)</f>
        <v/>
      </c>
      <c r="J161" s="4" t="n"/>
    </row>
    <row r="162">
      <c r="A162" s="3" t="n"/>
      <c r="B162" s="4" t="n"/>
      <c r="C162" s="5">
        <f>IFERROR(VLOOKUP(B162,Справочник!$A$2:$C$135,2,FALSE),"")</f>
        <v/>
      </c>
      <c r="D162" s="5">
        <f>IFERROR(VLOOKUP(B162,Справочник!$A$2:$C$135,3,FALSE),"")</f>
        <v/>
      </c>
      <c r="E162" s="4" t="n"/>
      <c r="F162" s="4" t="n"/>
      <c r="G162" s="5">
        <f>IF(E162="","",E162-N(F162))</f>
        <v/>
      </c>
      <c r="H162" s="4" t="n"/>
      <c r="I162" s="6">
        <f>IF(OR(E162="",H162=""),"",E162*H162)</f>
        <v/>
      </c>
      <c r="J162" s="4" t="n"/>
    </row>
    <row r="163">
      <c r="A163" s="3" t="n"/>
      <c r="B163" s="4" t="n"/>
      <c r="C163" s="5">
        <f>IFERROR(VLOOKUP(B163,Справочник!$A$2:$C$135,2,FALSE),"")</f>
        <v/>
      </c>
      <c r="D163" s="5">
        <f>IFERROR(VLOOKUP(B163,Справочник!$A$2:$C$135,3,FALSE),"")</f>
        <v/>
      </c>
      <c r="E163" s="4" t="n"/>
      <c r="F163" s="4" t="n"/>
      <c r="G163" s="5">
        <f>IF(E163="","",E163-N(F163))</f>
        <v/>
      </c>
      <c r="H163" s="4" t="n"/>
      <c r="I163" s="6">
        <f>IF(OR(E163="",H163=""),"",E163*H163)</f>
        <v/>
      </c>
      <c r="J163" s="4" t="n"/>
    </row>
    <row r="164">
      <c r="A164" s="3" t="n"/>
      <c r="B164" s="4" t="n"/>
      <c r="C164" s="5">
        <f>IFERROR(VLOOKUP(B164,Справочник!$A$2:$C$135,2,FALSE),"")</f>
        <v/>
      </c>
      <c r="D164" s="5">
        <f>IFERROR(VLOOKUP(B164,Справочник!$A$2:$C$135,3,FALSE),"")</f>
        <v/>
      </c>
      <c r="E164" s="4" t="n"/>
      <c r="F164" s="4" t="n"/>
      <c r="G164" s="5">
        <f>IF(E164="","",E164-N(F164))</f>
        <v/>
      </c>
      <c r="H164" s="4" t="n"/>
      <c r="I164" s="6">
        <f>IF(OR(E164="",H164=""),"",E164*H164)</f>
        <v/>
      </c>
      <c r="J164" s="4" t="n"/>
    </row>
    <row r="165">
      <c r="A165" s="3" t="n"/>
      <c r="B165" s="4" t="n"/>
      <c r="C165" s="5">
        <f>IFERROR(VLOOKUP(B165,Справочник!$A$2:$C$135,2,FALSE),"")</f>
        <v/>
      </c>
      <c r="D165" s="5">
        <f>IFERROR(VLOOKUP(B165,Справочник!$A$2:$C$135,3,FALSE),"")</f>
        <v/>
      </c>
      <c r="E165" s="4" t="n"/>
      <c r="F165" s="4" t="n"/>
      <c r="G165" s="5">
        <f>IF(E165="","",E165-N(F165))</f>
        <v/>
      </c>
      <c r="H165" s="4" t="n"/>
      <c r="I165" s="6">
        <f>IF(OR(E165="",H165=""),"",E165*H165)</f>
        <v/>
      </c>
      <c r="J165" s="4" t="n"/>
    </row>
    <row r="166">
      <c r="A166" s="3" t="n"/>
      <c r="B166" s="4" t="n"/>
      <c r="C166" s="5">
        <f>IFERROR(VLOOKUP(B166,Справочник!$A$2:$C$135,2,FALSE),"")</f>
        <v/>
      </c>
      <c r="D166" s="5">
        <f>IFERROR(VLOOKUP(B166,Справочник!$A$2:$C$135,3,FALSE),"")</f>
        <v/>
      </c>
      <c r="E166" s="4" t="n"/>
      <c r="F166" s="4" t="n"/>
      <c r="G166" s="5">
        <f>IF(E166="","",E166-N(F166))</f>
        <v/>
      </c>
      <c r="H166" s="4" t="n"/>
      <c r="I166" s="6">
        <f>IF(OR(E166="",H166=""),"",E166*H166)</f>
        <v/>
      </c>
      <c r="J166" s="4" t="n"/>
    </row>
    <row r="167">
      <c r="A167" s="3" t="n"/>
      <c r="B167" s="4" t="n"/>
      <c r="C167" s="5">
        <f>IFERROR(VLOOKUP(B167,Справочник!$A$2:$C$135,2,FALSE),"")</f>
        <v/>
      </c>
      <c r="D167" s="5">
        <f>IFERROR(VLOOKUP(B167,Справочник!$A$2:$C$135,3,FALSE),"")</f>
        <v/>
      </c>
      <c r="E167" s="4" t="n"/>
      <c r="F167" s="4" t="n"/>
      <c r="G167" s="5">
        <f>IF(E167="","",E167-N(F167))</f>
        <v/>
      </c>
      <c r="H167" s="4" t="n"/>
      <c r="I167" s="6">
        <f>IF(OR(E167="",H167=""),"",E167*H167)</f>
        <v/>
      </c>
      <c r="J167" s="4" t="n"/>
    </row>
    <row r="168">
      <c r="A168" s="3" t="n"/>
      <c r="B168" s="4" t="n"/>
      <c r="C168" s="5">
        <f>IFERROR(VLOOKUP(B168,Справочник!$A$2:$C$135,2,FALSE),"")</f>
        <v/>
      </c>
      <c r="D168" s="5">
        <f>IFERROR(VLOOKUP(B168,Справочник!$A$2:$C$135,3,FALSE),"")</f>
        <v/>
      </c>
      <c r="E168" s="4" t="n"/>
      <c r="F168" s="4" t="n"/>
      <c r="G168" s="5">
        <f>IF(E168="","",E168-N(F168))</f>
        <v/>
      </c>
      <c r="H168" s="4" t="n"/>
      <c r="I168" s="6">
        <f>IF(OR(E168="",H168=""),"",E168*H168)</f>
        <v/>
      </c>
      <c r="J168" s="4" t="n"/>
    </row>
    <row r="169">
      <c r="A169" s="3" t="n"/>
      <c r="B169" s="4" t="n"/>
      <c r="C169" s="5">
        <f>IFERROR(VLOOKUP(B169,Справочник!$A$2:$C$135,2,FALSE),"")</f>
        <v/>
      </c>
      <c r="D169" s="5">
        <f>IFERROR(VLOOKUP(B169,Справочник!$A$2:$C$135,3,FALSE),"")</f>
        <v/>
      </c>
      <c r="E169" s="4" t="n"/>
      <c r="F169" s="4" t="n"/>
      <c r="G169" s="5">
        <f>IF(E169="","",E169-N(F169))</f>
        <v/>
      </c>
      <c r="H169" s="4" t="n"/>
      <c r="I169" s="6">
        <f>IF(OR(E169="",H169=""),"",E169*H169)</f>
        <v/>
      </c>
      <c r="J169" s="4" t="n"/>
    </row>
    <row r="170">
      <c r="A170" s="3" t="n"/>
      <c r="B170" s="4" t="n"/>
      <c r="C170" s="5">
        <f>IFERROR(VLOOKUP(B170,Справочник!$A$2:$C$135,2,FALSE),"")</f>
        <v/>
      </c>
      <c r="D170" s="5">
        <f>IFERROR(VLOOKUP(B170,Справочник!$A$2:$C$135,3,FALSE),"")</f>
        <v/>
      </c>
      <c r="E170" s="4" t="n"/>
      <c r="F170" s="4" t="n"/>
      <c r="G170" s="5">
        <f>IF(E170="","",E170-N(F170))</f>
        <v/>
      </c>
      <c r="H170" s="4" t="n"/>
      <c r="I170" s="6">
        <f>IF(OR(E170="",H170=""),"",E170*H170)</f>
        <v/>
      </c>
      <c r="J170" s="4" t="n"/>
    </row>
    <row r="171">
      <c r="A171" s="3" t="n"/>
      <c r="B171" s="4" t="n"/>
      <c r="C171" s="5">
        <f>IFERROR(VLOOKUP(B171,Справочник!$A$2:$C$135,2,FALSE),"")</f>
        <v/>
      </c>
      <c r="D171" s="5">
        <f>IFERROR(VLOOKUP(B171,Справочник!$A$2:$C$135,3,FALSE),"")</f>
        <v/>
      </c>
      <c r="E171" s="4" t="n"/>
      <c r="F171" s="4" t="n"/>
      <c r="G171" s="5">
        <f>IF(E171="","",E171-N(F171))</f>
        <v/>
      </c>
      <c r="H171" s="4" t="n"/>
      <c r="I171" s="6">
        <f>IF(OR(E171="",H171=""),"",E171*H171)</f>
        <v/>
      </c>
      <c r="J171" s="4" t="n"/>
    </row>
    <row r="172">
      <c r="A172" s="3" t="n"/>
      <c r="B172" s="4" t="n"/>
      <c r="C172" s="5">
        <f>IFERROR(VLOOKUP(B172,Справочник!$A$2:$C$135,2,FALSE),"")</f>
        <v/>
      </c>
      <c r="D172" s="5">
        <f>IFERROR(VLOOKUP(B172,Справочник!$A$2:$C$135,3,FALSE),"")</f>
        <v/>
      </c>
      <c r="E172" s="4" t="n"/>
      <c r="F172" s="4" t="n"/>
      <c r="G172" s="5">
        <f>IF(E172="","",E172-N(F172))</f>
        <v/>
      </c>
      <c r="H172" s="4" t="n"/>
      <c r="I172" s="6">
        <f>IF(OR(E172="",H172=""),"",E172*H172)</f>
        <v/>
      </c>
      <c r="J172" s="4" t="n"/>
    </row>
    <row r="173">
      <c r="A173" s="3" t="n"/>
      <c r="B173" s="4" t="n"/>
      <c r="C173" s="5">
        <f>IFERROR(VLOOKUP(B173,Справочник!$A$2:$C$135,2,FALSE),"")</f>
        <v/>
      </c>
      <c r="D173" s="5">
        <f>IFERROR(VLOOKUP(B173,Справочник!$A$2:$C$135,3,FALSE),"")</f>
        <v/>
      </c>
      <c r="E173" s="4" t="n"/>
      <c r="F173" s="4" t="n"/>
      <c r="G173" s="5">
        <f>IF(E173="","",E173-N(F173))</f>
        <v/>
      </c>
      <c r="H173" s="4" t="n"/>
      <c r="I173" s="6">
        <f>IF(OR(E173="",H173=""),"",E173*H173)</f>
        <v/>
      </c>
      <c r="J173" s="4" t="n"/>
    </row>
    <row r="174">
      <c r="A174" s="3" t="n"/>
      <c r="B174" s="4" t="n"/>
      <c r="C174" s="5">
        <f>IFERROR(VLOOKUP(B174,Справочник!$A$2:$C$135,2,FALSE),"")</f>
        <v/>
      </c>
      <c r="D174" s="5">
        <f>IFERROR(VLOOKUP(B174,Справочник!$A$2:$C$135,3,FALSE),"")</f>
        <v/>
      </c>
      <c r="E174" s="4" t="n"/>
      <c r="F174" s="4" t="n"/>
      <c r="G174" s="5">
        <f>IF(E174="","",E174-N(F174))</f>
        <v/>
      </c>
      <c r="H174" s="4" t="n"/>
      <c r="I174" s="6">
        <f>IF(OR(E174="",H174=""),"",E174*H174)</f>
        <v/>
      </c>
      <c r="J174" s="4" t="n"/>
    </row>
    <row r="175">
      <c r="A175" s="3" t="n"/>
      <c r="B175" s="4" t="n"/>
      <c r="C175" s="5">
        <f>IFERROR(VLOOKUP(B175,Справочник!$A$2:$C$135,2,FALSE),"")</f>
        <v/>
      </c>
      <c r="D175" s="5">
        <f>IFERROR(VLOOKUP(B175,Справочник!$A$2:$C$135,3,FALSE),"")</f>
        <v/>
      </c>
      <c r="E175" s="4" t="n"/>
      <c r="F175" s="4" t="n"/>
      <c r="G175" s="5">
        <f>IF(E175="","",E175-N(F175))</f>
        <v/>
      </c>
      <c r="H175" s="4" t="n"/>
      <c r="I175" s="6">
        <f>IF(OR(E175="",H175=""),"",E175*H175)</f>
        <v/>
      </c>
      <c r="J175" s="4" t="n"/>
    </row>
    <row r="176">
      <c r="A176" s="3" t="n"/>
      <c r="B176" s="4" t="n"/>
      <c r="C176" s="5">
        <f>IFERROR(VLOOKUP(B176,Справочник!$A$2:$C$135,2,FALSE),"")</f>
        <v/>
      </c>
      <c r="D176" s="5">
        <f>IFERROR(VLOOKUP(B176,Справочник!$A$2:$C$135,3,FALSE),"")</f>
        <v/>
      </c>
      <c r="E176" s="4" t="n"/>
      <c r="F176" s="4" t="n"/>
      <c r="G176" s="5">
        <f>IF(E176="","",E176-N(F176))</f>
        <v/>
      </c>
      <c r="H176" s="4" t="n"/>
      <c r="I176" s="6">
        <f>IF(OR(E176="",H176=""),"",E176*H176)</f>
        <v/>
      </c>
      <c r="J176" s="4" t="n"/>
    </row>
    <row r="177">
      <c r="A177" s="3" t="n"/>
      <c r="B177" s="4" t="n"/>
      <c r="C177" s="5">
        <f>IFERROR(VLOOKUP(B177,Справочник!$A$2:$C$135,2,FALSE),"")</f>
        <v/>
      </c>
      <c r="D177" s="5">
        <f>IFERROR(VLOOKUP(B177,Справочник!$A$2:$C$135,3,FALSE),"")</f>
        <v/>
      </c>
      <c r="E177" s="4" t="n"/>
      <c r="F177" s="4" t="n"/>
      <c r="G177" s="5">
        <f>IF(E177="","",E177-N(F177))</f>
        <v/>
      </c>
      <c r="H177" s="4" t="n"/>
      <c r="I177" s="6">
        <f>IF(OR(E177="",H177=""),"",E177*H177)</f>
        <v/>
      </c>
      <c r="J177" s="4" t="n"/>
    </row>
    <row r="178">
      <c r="A178" s="3" t="n"/>
      <c r="B178" s="4" t="n"/>
      <c r="C178" s="5">
        <f>IFERROR(VLOOKUP(B178,Справочник!$A$2:$C$135,2,FALSE),"")</f>
        <v/>
      </c>
      <c r="D178" s="5">
        <f>IFERROR(VLOOKUP(B178,Справочник!$A$2:$C$135,3,FALSE),"")</f>
        <v/>
      </c>
      <c r="E178" s="4" t="n"/>
      <c r="F178" s="4" t="n"/>
      <c r="G178" s="5">
        <f>IF(E178="","",E178-N(F178))</f>
        <v/>
      </c>
      <c r="H178" s="4" t="n"/>
      <c r="I178" s="6">
        <f>IF(OR(E178="",H178=""),"",E178*H178)</f>
        <v/>
      </c>
      <c r="J178" s="4" t="n"/>
    </row>
    <row r="179">
      <c r="A179" s="3" t="n"/>
      <c r="B179" s="4" t="n"/>
      <c r="C179" s="5">
        <f>IFERROR(VLOOKUP(B179,Справочник!$A$2:$C$135,2,FALSE),"")</f>
        <v/>
      </c>
      <c r="D179" s="5">
        <f>IFERROR(VLOOKUP(B179,Справочник!$A$2:$C$135,3,FALSE),"")</f>
        <v/>
      </c>
      <c r="E179" s="4" t="n"/>
      <c r="F179" s="4" t="n"/>
      <c r="G179" s="5">
        <f>IF(E179="","",E179-N(F179))</f>
        <v/>
      </c>
      <c r="H179" s="4" t="n"/>
      <c r="I179" s="6">
        <f>IF(OR(E179="",H179=""),"",E179*H179)</f>
        <v/>
      </c>
      <c r="J179" s="4" t="n"/>
    </row>
    <row r="180">
      <c r="A180" s="3" t="n"/>
      <c r="B180" s="4" t="n"/>
      <c r="C180" s="5">
        <f>IFERROR(VLOOKUP(B180,Справочник!$A$2:$C$135,2,FALSE),"")</f>
        <v/>
      </c>
      <c r="D180" s="5">
        <f>IFERROR(VLOOKUP(B180,Справочник!$A$2:$C$135,3,FALSE),"")</f>
        <v/>
      </c>
      <c r="E180" s="4" t="n"/>
      <c r="F180" s="4" t="n"/>
      <c r="G180" s="5">
        <f>IF(E180="","",E180-N(F180))</f>
        <v/>
      </c>
      <c r="H180" s="4" t="n"/>
      <c r="I180" s="6">
        <f>IF(OR(E180="",H180=""),"",E180*H180)</f>
        <v/>
      </c>
      <c r="J180" s="4" t="n"/>
    </row>
    <row r="181">
      <c r="A181" s="3" t="n"/>
      <c r="B181" s="4" t="n"/>
      <c r="C181" s="5">
        <f>IFERROR(VLOOKUP(B181,Справочник!$A$2:$C$135,2,FALSE),"")</f>
        <v/>
      </c>
      <c r="D181" s="5">
        <f>IFERROR(VLOOKUP(B181,Справочник!$A$2:$C$135,3,FALSE),"")</f>
        <v/>
      </c>
      <c r="E181" s="4" t="n"/>
      <c r="F181" s="4" t="n"/>
      <c r="G181" s="5">
        <f>IF(E181="","",E181-N(F181))</f>
        <v/>
      </c>
      <c r="H181" s="4" t="n"/>
      <c r="I181" s="6">
        <f>IF(OR(E181="",H181=""),"",E181*H181)</f>
        <v/>
      </c>
      <c r="J181" s="4" t="n"/>
    </row>
    <row r="182">
      <c r="A182" s="3" t="n"/>
      <c r="B182" s="4" t="n"/>
      <c r="C182" s="5">
        <f>IFERROR(VLOOKUP(B182,Справочник!$A$2:$C$135,2,FALSE),"")</f>
        <v/>
      </c>
      <c r="D182" s="5">
        <f>IFERROR(VLOOKUP(B182,Справочник!$A$2:$C$135,3,FALSE),"")</f>
        <v/>
      </c>
      <c r="E182" s="4" t="n"/>
      <c r="F182" s="4" t="n"/>
      <c r="G182" s="5">
        <f>IF(E182="","",E182-N(F182))</f>
        <v/>
      </c>
      <c r="H182" s="4" t="n"/>
      <c r="I182" s="6">
        <f>IF(OR(E182="",H182=""),"",E182*H182)</f>
        <v/>
      </c>
      <c r="J182" s="4" t="n"/>
    </row>
    <row r="183">
      <c r="A183" s="3" t="n"/>
      <c r="B183" s="4" t="n"/>
      <c r="C183" s="5">
        <f>IFERROR(VLOOKUP(B183,Справочник!$A$2:$C$135,2,FALSE),"")</f>
        <v/>
      </c>
      <c r="D183" s="5">
        <f>IFERROR(VLOOKUP(B183,Справочник!$A$2:$C$135,3,FALSE),"")</f>
        <v/>
      </c>
      <c r="E183" s="4" t="n"/>
      <c r="F183" s="4" t="n"/>
      <c r="G183" s="5">
        <f>IF(E183="","",E183-N(F183))</f>
        <v/>
      </c>
      <c r="H183" s="4" t="n"/>
      <c r="I183" s="6">
        <f>IF(OR(E183="",H183=""),"",E183*H183)</f>
        <v/>
      </c>
      <c r="J183" s="4" t="n"/>
    </row>
    <row r="184">
      <c r="A184" s="3" t="n"/>
      <c r="B184" s="4" t="n"/>
      <c r="C184" s="5">
        <f>IFERROR(VLOOKUP(B184,Справочник!$A$2:$C$135,2,FALSE),"")</f>
        <v/>
      </c>
      <c r="D184" s="5">
        <f>IFERROR(VLOOKUP(B184,Справочник!$A$2:$C$135,3,FALSE),"")</f>
        <v/>
      </c>
      <c r="E184" s="4" t="n"/>
      <c r="F184" s="4" t="n"/>
      <c r="G184" s="5">
        <f>IF(E184="","",E184-N(F184))</f>
        <v/>
      </c>
      <c r="H184" s="4" t="n"/>
      <c r="I184" s="6">
        <f>IF(OR(E184="",H184=""),"",E184*H184)</f>
        <v/>
      </c>
      <c r="J184" s="4" t="n"/>
    </row>
    <row r="185">
      <c r="A185" s="3" t="n"/>
      <c r="B185" s="4" t="n"/>
      <c r="C185" s="5">
        <f>IFERROR(VLOOKUP(B185,Справочник!$A$2:$C$135,2,FALSE),"")</f>
        <v/>
      </c>
      <c r="D185" s="5">
        <f>IFERROR(VLOOKUP(B185,Справочник!$A$2:$C$135,3,FALSE),"")</f>
        <v/>
      </c>
      <c r="E185" s="4" t="n"/>
      <c r="F185" s="4" t="n"/>
      <c r="G185" s="5">
        <f>IF(E185="","",E185-N(F185))</f>
        <v/>
      </c>
      <c r="H185" s="4" t="n"/>
      <c r="I185" s="6">
        <f>IF(OR(E185="",H185=""),"",E185*H185)</f>
        <v/>
      </c>
      <c r="J185" s="4" t="n"/>
    </row>
    <row r="186">
      <c r="A186" s="3" t="n"/>
      <c r="B186" s="4" t="n"/>
      <c r="C186" s="5">
        <f>IFERROR(VLOOKUP(B186,Справочник!$A$2:$C$135,2,FALSE),"")</f>
        <v/>
      </c>
      <c r="D186" s="5">
        <f>IFERROR(VLOOKUP(B186,Справочник!$A$2:$C$135,3,FALSE),"")</f>
        <v/>
      </c>
      <c r="E186" s="4" t="n"/>
      <c r="F186" s="4" t="n"/>
      <c r="G186" s="5">
        <f>IF(E186="","",E186-N(F186))</f>
        <v/>
      </c>
      <c r="H186" s="4" t="n"/>
      <c r="I186" s="6">
        <f>IF(OR(E186="",H186=""),"",E186*H186)</f>
        <v/>
      </c>
      <c r="J186" s="4" t="n"/>
    </row>
    <row r="187">
      <c r="A187" s="3" t="n"/>
      <c r="B187" s="4" t="n"/>
      <c r="C187" s="5">
        <f>IFERROR(VLOOKUP(B187,Справочник!$A$2:$C$135,2,FALSE),"")</f>
        <v/>
      </c>
      <c r="D187" s="5">
        <f>IFERROR(VLOOKUP(B187,Справочник!$A$2:$C$135,3,FALSE),"")</f>
        <v/>
      </c>
      <c r="E187" s="4" t="n"/>
      <c r="F187" s="4" t="n"/>
      <c r="G187" s="5">
        <f>IF(E187="","",E187-N(F187))</f>
        <v/>
      </c>
      <c r="H187" s="4" t="n"/>
      <c r="I187" s="6">
        <f>IF(OR(E187="",H187=""),"",E187*H187)</f>
        <v/>
      </c>
      <c r="J187" s="4" t="n"/>
    </row>
    <row r="188">
      <c r="A188" s="3" t="n"/>
      <c r="B188" s="4" t="n"/>
      <c r="C188" s="5">
        <f>IFERROR(VLOOKUP(B188,Справочник!$A$2:$C$135,2,FALSE),"")</f>
        <v/>
      </c>
      <c r="D188" s="5">
        <f>IFERROR(VLOOKUP(B188,Справочник!$A$2:$C$135,3,FALSE),"")</f>
        <v/>
      </c>
      <c r="E188" s="4" t="n"/>
      <c r="F188" s="4" t="n"/>
      <c r="G188" s="5">
        <f>IF(E188="","",E188-N(F188))</f>
        <v/>
      </c>
      <c r="H188" s="4" t="n"/>
      <c r="I188" s="6">
        <f>IF(OR(E188="",H188=""),"",E188*H188)</f>
        <v/>
      </c>
      <c r="J188" s="4" t="n"/>
    </row>
    <row r="189">
      <c r="A189" s="3" t="n"/>
      <c r="B189" s="4" t="n"/>
      <c r="C189" s="5">
        <f>IFERROR(VLOOKUP(B189,Справочник!$A$2:$C$135,2,FALSE),"")</f>
        <v/>
      </c>
      <c r="D189" s="5">
        <f>IFERROR(VLOOKUP(B189,Справочник!$A$2:$C$135,3,FALSE),"")</f>
        <v/>
      </c>
      <c r="E189" s="4" t="n"/>
      <c r="F189" s="4" t="n"/>
      <c r="G189" s="5">
        <f>IF(E189="","",E189-N(F189))</f>
        <v/>
      </c>
      <c r="H189" s="4" t="n"/>
      <c r="I189" s="6">
        <f>IF(OR(E189="",H189=""),"",E189*H189)</f>
        <v/>
      </c>
      <c r="J189" s="4" t="n"/>
    </row>
    <row r="190">
      <c r="A190" s="3" t="n"/>
      <c r="B190" s="4" t="n"/>
      <c r="C190" s="5">
        <f>IFERROR(VLOOKUP(B190,Справочник!$A$2:$C$135,2,FALSE),"")</f>
        <v/>
      </c>
      <c r="D190" s="5">
        <f>IFERROR(VLOOKUP(B190,Справочник!$A$2:$C$135,3,FALSE),"")</f>
        <v/>
      </c>
      <c r="E190" s="4" t="n"/>
      <c r="F190" s="4" t="n"/>
      <c r="G190" s="5">
        <f>IF(E190="","",E190-N(F190))</f>
        <v/>
      </c>
      <c r="H190" s="4" t="n"/>
      <c r="I190" s="6">
        <f>IF(OR(E190="",H190=""),"",E190*H190)</f>
        <v/>
      </c>
      <c r="J190" s="4" t="n"/>
    </row>
    <row r="191">
      <c r="A191" s="3" t="n"/>
      <c r="B191" s="4" t="n"/>
      <c r="C191" s="5">
        <f>IFERROR(VLOOKUP(B191,Справочник!$A$2:$C$135,2,FALSE),"")</f>
        <v/>
      </c>
      <c r="D191" s="5">
        <f>IFERROR(VLOOKUP(B191,Справочник!$A$2:$C$135,3,FALSE),"")</f>
        <v/>
      </c>
      <c r="E191" s="4" t="n"/>
      <c r="F191" s="4" t="n"/>
      <c r="G191" s="5">
        <f>IF(E191="","",E191-N(F191))</f>
        <v/>
      </c>
      <c r="H191" s="4" t="n"/>
      <c r="I191" s="6">
        <f>IF(OR(E191="",H191=""),"",E191*H191)</f>
        <v/>
      </c>
      <c r="J191" s="4" t="n"/>
    </row>
    <row r="192">
      <c r="A192" s="3" t="n"/>
      <c r="B192" s="4" t="n"/>
      <c r="C192" s="5">
        <f>IFERROR(VLOOKUP(B192,Справочник!$A$2:$C$135,2,FALSE),"")</f>
        <v/>
      </c>
      <c r="D192" s="5">
        <f>IFERROR(VLOOKUP(B192,Справочник!$A$2:$C$135,3,FALSE),"")</f>
        <v/>
      </c>
      <c r="E192" s="4" t="n"/>
      <c r="F192" s="4" t="n"/>
      <c r="G192" s="5">
        <f>IF(E192="","",E192-N(F192))</f>
        <v/>
      </c>
      <c r="H192" s="4" t="n"/>
      <c r="I192" s="6">
        <f>IF(OR(E192="",H192=""),"",E192*H192)</f>
        <v/>
      </c>
      <c r="J192" s="4" t="n"/>
    </row>
    <row r="193">
      <c r="A193" s="3" t="n"/>
      <c r="B193" s="4" t="n"/>
      <c r="C193" s="5">
        <f>IFERROR(VLOOKUP(B193,Справочник!$A$2:$C$135,2,FALSE),"")</f>
        <v/>
      </c>
      <c r="D193" s="5">
        <f>IFERROR(VLOOKUP(B193,Справочник!$A$2:$C$135,3,FALSE),"")</f>
        <v/>
      </c>
      <c r="E193" s="4" t="n"/>
      <c r="F193" s="4" t="n"/>
      <c r="G193" s="5">
        <f>IF(E193="","",E193-N(F193))</f>
        <v/>
      </c>
      <c r="H193" s="4" t="n"/>
      <c r="I193" s="6">
        <f>IF(OR(E193="",H193=""),"",E193*H193)</f>
        <v/>
      </c>
      <c r="J193" s="4" t="n"/>
    </row>
    <row r="194">
      <c r="A194" s="3" t="n"/>
      <c r="B194" s="4" t="n"/>
      <c r="C194" s="5">
        <f>IFERROR(VLOOKUP(B194,Справочник!$A$2:$C$135,2,FALSE),"")</f>
        <v/>
      </c>
      <c r="D194" s="5">
        <f>IFERROR(VLOOKUP(B194,Справочник!$A$2:$C$135,3,FALSE),"")</f>
        <v/>
      </c>
      <c r="E194" s="4" t="n"/>
      <c r="F194" s="4" t="n"/>
      <c r="G194" s="5">
        <f>IF(E194="","",E194-N(F194))</f>
        <v/>
      </c>
      <c r="H194" s="4" t="n"/>
      <c r="I194" s="6">
        <f>IF(OR(E194="",H194=""),"",E194*H194)</f>
        <v/>
      </c>
      <c r="J194" s="4" t="n"/>
    </row>
    <row r="195">
      <c r="A195" s="3" t="n"/>
      <c r="B195" s="4" t="n"/>
      <c r="C195" s="5">
        <f>IFERROR(VLOOKUP(B195,Справочник!$A$2:$C$135,2,FALSE),"")</f>
        <v/>
      </c>
      <c r="D195" s="5">
        <f>IFERROR(VLOOKUP(B195,Справочник!$A$2:$C$135,3,FALSE),"")</f>
        <v/>
      </c>
      <c r="E195" s="4" t="n"/>
      <c r="F195" s="4" t="n"/>
      <c r="G195" s="5">
        <f>IF(E195="","",E195-N(F195))</f>
        <v/>
      </c>
      <c r="H195" s="4" t="n"/>
      <c r="I195" s="6">
        <f>IF(OR(E195="",H195=""),"",E195*H195)</f>
        <v/>
      </c>
      <c r="J195" s="4" t="n"/>
    </row>
    <row r="196">
      <c r="A196" s="3" t="n"/>
      <c r="B196" s="4" t="n"/>
      <c r="C196" s="5">
        <f>IFERROR(VLOOKUP(B196,Справочник!$A$2:$C$135,2,FALSE),"")</f>
        <v/>
      </c>
      <c r="D196" s="5">
        <f>IFERROR(VLOOKUP(B196,Справочник!$A$2:$C$135,3,FALSE),"")</f>
        <v/>
      </c>
      <c r="E196" s="4" t="n"/>
      <c r="F196" s="4" t="n"/>
      <c r="G196" s="5">
        <f>IF(E196="","",E196-N(F196))</f>
        <v/>
      </c>
      <c r="H196" s="4" t="n"/>
      <c r="I196" s="6">
        <f>IF(OR(E196="",H196=""),"",E196*H196)</f>
        <v/>
      </c>
      <c r="J196" s="4" t="n"/>
    </row>
    <row r="197">
      <c r="A197" s="3" t="n"/>
      <c r="B197" s="4" t="n"/>
      <c r="C197" s="5">
        <f>IFERROR(VLOOKUP(B197,Справочник!$A$2:$C$135,2,FALSE),"")</f>
        <v/>
      </c>
      <c r="D197" s="5">
        <f>IFERROR(VLOOKUP(B197,Справочник!$A$2:$C$135,3,FALSE),"")</f>
        <v/>
      </c>
      <c r="E197" s="4" t="n"/>
      <c r="F197" s="4" t="n"/>
      <c r="G197" s="5">
        <f>IF(E197="","",E197-N(F197))</f>
        <v/>
      </c>
      <c r="H197" s="4" t="n"/>
      <c r="I197" s="6">
        <f>IF(OR(E197="",H197=""),"",E197*H197)</f>
        <v/>
      </c>
      <c r="J197" s="4" t="n"/>
    </row>
    <row r="198">
      <c r="A198" s="3" t="n"/>
      <c r="B198" s="4" t="n"/>
      <c r="C198" s="5">
        <f>IFERROR(VLOOKUP(B198,Справочник!$A$2:$C$135,2,FALSE),"")</f>
        <v/>
      </c>
      <c r="D198" s="5">
        <f>IFERROR(VLOOKUP(B198,Справочник!$A$2:$C$135,3,FALSE),"")</f>
        <v/>
      </c>
      <c r="E198" s="4" t="n"/>
      <c r="F198" s="4" t="n"/>
      <c r="G198" s="5">
        <f>IF(E198="","",E198-N(F198))</f>
        <v/>
      </c>
      <c r="H198" s="4" t="n"/>
      <c r="I198" s="6">
        <f>IF(OR(E198="",H198=""),"",E198*H198)</f>
        <v/>
      </c>
      <c r="J198" s="4" t="n"/>
    </row>
    <row r="199">
      <c r="A199" s="3" t="n"/>
      <c r="B199" s="4" t="n"/>
      <c r="C199" s="5">
        <f>IFERROR(VLOOKUP(B199,Справочник!$A$2:$C$135,2,FALSE),"")</f>
        <v/>
      </c>
      <c r="D199" s="5">
        <f>IFERROR(VLOOKUP(B199,Справочник!$A$2:$C$135,3,FALSE),"")</f>
        <v/>
      </c>
      <c r="E199" s="4" t="n"/>
      <c r="F199" s="4" t="n"/>
      <c r="G199" s="5">
        <f>IF(E199="","",E199-N(F199))</f>
        <v/>
      </c>
      <c r="H199" s="4" t="n"/>
      <c r="I199" s="6">
        <f>IF(OR(E199="",H199=""),"",E199*H199)</f>
        <v/>
      </c>
      <c r="J199" s="4" t="n"/>
    </row>
    <row r="200">
      <c r="A200" s="3" t="n"/>
      <c r="B200" s="4" t="n"/>
      <c r="C200" s="5">
        <f>IFERROR(VLOOKUP(B200,Справочник!$A$2:$C$135,2,FALSE),"")</f>
        <v/>
      </c>
      <c r="D200" s="5">
        <f>IFERROR(VLOOKUP(B200,Справочник!$A$2:$C$135,3,FALSE),"")</f>
        <v/>
      </c>
      <c r="E200" s="4" t="n"/>
      <c r="F200" s="4" t="n"/>
      <c r="G200" s="5">
        <f>IF(E200="","",E200-N(F200))</f>
        <v/>
      </c>
      <c r="H200" s="4" t="n"/>
      <c r="I200" s="6">
        <f>IF(OR(E200="",H200=""),"",E200*H200)</f>
        <v/>
      </c>
      <c r="J200" s="4" t="n"/>
    </row>
    <row r="201">
      <c r="A201" s="3" t="n"/>
      <c r="B201" s="4" t="n"/>
      <c r="C201" s="5">
        <f>IFERROR(VLOOKUP(B201,Справочник!$A$2:$C$135,2,FALSE),"")</f>
        <v/>
      </c>
      <c r="D201" s="5">
        <f>IFERROR(VLOOKUP(B201,Справочник!$A$2:$C$135,3,FALSE),"")</f>
        <v/>
      </c>
      <c r="E201" s="4" t="n"/>
      <c r="F201" s="4" t="n"/>
      <c r="G201" s="5">
        <f>IF(E201="","",E201-N(F201))</f>
        <v/>
      </c>
      <c r="H201" s="4" t="n"/>
      <c r="I201" s="6">
        <f>IF(OR(E201="",H201=""),"",E201*H201)</f>
        <v/>
      </c>
      <c r="J201" s="4" t="n"/>
    </row>
    <row r="202">
      <c r="A202" s="3" t="n"/>
      <c r="B202" s="4" t="n"/>
      <c r="C202" s="5">
        <f>IFERROR(VLOOKUP(B202,Справочник!$A$2:$C$135,2,FALSE),"")</f>
        <v/>
      </c>
      <c r="D202" s="5">
        <f>IFERROR(VLOOKUP(B202,Справочник!$A$2:$C$135,3,FALSE),"")</f>
        <v/>
      </c>
      <c r="E202" s="4" t="n"/>
      <c r="F202" s="4" t="n"/>
      <c r="G202" s="5">
        <f>IF(E202="","",E202-N(F202))</f>
        <v/>
      </c>
      <c r="H202" s="4" t="n"/>
      <c r="I202" s="6">
        <f>IF(OR(E202="",H202=""),"",E202*H202)</f>
        <v/>
      </c>
      <c r="J202" s="4" t="n"/>
    </row>
    <row r="203">
      <c r="A203" s="3" t="n"/>
      <c r="B203" s="4" t="n"/>
      <c r="C203" s="5">
        <f>IFERROR(VLOOKUP(B203,Справочник!$A$2:$C$135,2,FALSE),"")</f>
        <v/>
      </c>
      <c r="D203" s="5">
        <f>IFERROR(VLOOKUP(B203,Справочник!$A$2:$C$135,3,FALSE),"")</f>
        <v/>
      </c>
      <c r="E203" s="4" t="n"/>
      <c r="F203" s="4" t="n"/>
      <c r="G203" s="5">
        <f>IF(E203="","",E203-N(F203))</f>
        <v/>
      </c>
      <c r="H203" s="4" t="n"/>
      <c r="I203" s="6">
        <f>IF(OR(E203="",H203=""),"",E203*H203)</f>
        <v/>
      </c>
      <c r="J203" s="4" t="n"/>
    </row>
    <row r="204">
      <c r="A204" s="3" t="n"/>
      <c r="B204" s="4" t="n"/>
      <c r="C204" s="5">
        <f>IFERROR(VLOOKUP(B204,Справочник!$A$2:$C$135,2,FALSE),"")</f>
        <v/>
      </c>
      <c r="D204" s="5">
        <f>IFERROR(VLOOKUP(B204,Справочник!$A$2:$C$135,3,FALSE),"")</f>
        <v/>
      </c>
      <c r="E204" s="4" t="n"/>
      <c r="F204" s="4" t="n"/>
      <c r="G204" s="5">
        <f>IF(E204="","",E204-N(F204))</f>
        <v/>
      </c>
      <c r="H204" s="4" t="n"/>
      <c r="I204" s="6">
        <f>IF(OR(E204="",H204=""),"",E204*H204)</f>
        <v/>
      </c>
      <c r="J204" s="4" t="n"/>
    </row>
    <row r="205">
      <c r="A205" s="3" t="n"/>
      <c r="B205" s="4" t="n"/>
      <c r="C205" s="5">
        <f>IFERROR(VLOOKUP(B205,Справочник!$A$2:$C$135,2,FALSE),"")</f>
        <v/>
      </c>
      <c r="D205" s="5">
        <f>IFERROR(VLOOKUP(B205,Справочник!$A$2:$C$135,3,FALSE),"")</f>
        <v/>
      </c>
      <c r="E205" s="4" t="n"/>
      <c r="F205" s="4" t="n"/>
      <c r="G205" s="5">
        <f>IF(E205="","",E205-N(F205))</f>
        <v/>
      </c>
      <c r="H205" s="4" t="n"/>
      <c r="I205" s="6">
        <f>IF(OR(E205="",H205=""),"",E205*H205)</f>
        <v/>
      </c>
      <c r="J205" s="4" t="n"/>
    </row>
    <row r="206">
      <c r="A206" s="3" t="n"/>
      <c r="B206" s="4" t="n"/>
      <c r="C206" s="5">
        <f>IFERROR(VLOOKUP(B206,Справочник!$A$2:$C$135,2,FALSE),"")</f>
        <v/>
      </c>
      <c r="D206" s="5">
        <f>IFERROR(VLOOKUP(B206,Справочник!$A$2:$C$135,3,FALSE),"")</f>
        <v/>
      </c>
      <c r="E206" s="4" t="n"/>
      <c r="F206" s="4" t="n"/>
      <c r="G206" s="5">
        <f>IF(E206="","",E206-N(F206))</f>
        <v/>
      </c>
      <c r="H206" s="4" t="n"/>
      <c r="I206" s="6">
        <f>IF(OR(E206="",H206=""),"",E206*H206)</f>
        <v/>
      </c>
      <c r="J206" s="4" t="n"/>
    </row>
    <row r="207">
      <c r="A207" s="3" t="n"/>
      <c r="B207" s="4" t="n"/>
      <c r="C207" s="5">
        <f>IFERROR(VLOOKUP(B207,Справочник!$A$2:$C$135,2,FALSE),"")</f>
        <v/>
      </c>
      <c r="D207" s="5">
        <f>IFERROR(VLOOKUP(B207,Справочник!$A$2:$C$135,3,FALSE),"")</f>
        <v/>
      </c>
      <c r="E207" s="4" t="n"/>
      <c r="F207" s="4" t="n"/>
      <c r="G207" s="5">
        <f>IF(E207="","",E207-N(F207))</f>
        <v/>
      </c>
      <c r="H207" s="4" t="n"/>
      <c r="I207" s="6">
        <f>IF(OR(E207="",H207=""),"",E207*H207)</f>
        <v/>
      </c>
      <c r="J207" s="4" t="n"/>
    </row>
    <row r="208">
      <c r="A208" s="3" t="n"/>
      <c r="B208" s="4" t="n"/>
      <c r="C208" s="5">
        <f>IFERROR(VLOOKUP(B208,Справочник!$A$2:$C$135,2,FALSE),"")</f>
        <v/>
      </c>
      <c r="D208" s="5">
        <f>IFERROR(VLOOKUP(B208,Справочник!$A$2:$C$135,3,FALSE),"")</f>
        <v/>
      </c>
      <c r="E208" s="4" t="n"/>
      <c r="F208" s="4" t="n"/>
      <c r="G208" s="5">
        <f>IF(E208="","",E208-N(F208))</f>
        <v/>
      </c>
      <c r="H208" s="4" t="n"/>
      <c r="I208" s="6">
        <f>IF(OR(E208="",H208=""),"",E208*H208)</f>
        <v/>
      </c>
      <c r="J208" s="4" t="n"/>
    </row>
    <row r="209">
      <c r="A209" s="3" t="n"/>
      <c r="B209" s="4" t="n"/>
      <c r="C209" s="5">
        <f>IFERROR(VLOOKUP(B209,Справочник!$A$2:$C$135,2,FALSE),"")</f>
        <v/>
      </c>
      <c r="D209" s="5">
        <f>IFERROR(VLOOKUP(B209,Справочник!$A$2:$C$135,3,FALSE),"")</f>
        <v/>
      </c>
      <c r="E209" s="4" t="n"/>
      <c r="F209" s="4" t="n"/>
      <c r="G209" s="5">
        <f>IF(E209="","",E209-N(F209))</f>
        <v/>
      </c>
      <c r="H209" s="4" t="n"/>
      <c r="I209" s="6">
        <f>IF(OR(E209="",H209=""),"",E209*H209)</f>
        <v/>
      </c>
      <c r="J209" s="4" t="n"/>
    </row>
    <row r="210">
      <c r="A210" s="3" t="n"/>
      <c r="B210" s="4" t="n"/>
      <c r="C210" s="5">
        <f>IFERROR(VLOOKUP(B210,Справочник!$A$2:$C$135,2,FALSE),"")</f>
        <v/>
      </c>
      <c r="D210" s="5">
        <f>IFERROR(VLOOKUP(B210,Справочник!$A$2:$C$135,3,FALSE),"")</f>
        <v/>
      </c>
      <c r="E210" s="4" t="n"/>
      <c r="F210" s="4" t="n"/>
      <c r="G210" s="5">
        <f>IF(E210="","",E210-N(F210))</f>
        <v/>
      </c>
      <c r="H210" s="4" t="n"/>
      <c r="I210" s="6">
        <f>IF(OR(E210="",H210=""),"",E210*H210)</f>
        <v/>
      </c>
      <c r="J210" s="4" t="n"/>
    </row>
    <row r="211">
      <c r="A211" s="3" t="n"/>
      <c r="B211" s="4" t="n"/>
      <c r="C211" s="5">
        <f>IFERROR(VLOOKUP(B211,Справочник!$A$2:$C$135,2,FALSE),"")</f>
        <v/>
      </c>
      <c r="D211" s="5">
        <f>IFERROR(VLOOKUP(B211,Справочник!$A$2:$C$135,3,FALSE),"")</f>
        <v/>
      </c>
      <c r="E211" s="4" t="n"/>
      <c r="F211" s="4" t="n"/>
      <c r="G211" s="5">
        <f>IF(E211="","",E211-N(F211))</f>
        <v/>
      </c>
      <c r="H211" s="4" t="n"/>
      <c r="I211" s="6">
        <f>IF(OR(E211="",H211=""),"",E211*H211)</f>
        <v/>
      </c>
      <c r="J211" s="4" t="n"/>
    </row>
    <row r="212">
      <c r="A212" s="3" t="n"/>
      <c r="B212" s="4" t="n"/>
      <c r="C212" s="5">
        <f>IFERROR(VLOOKUP(B212,Справочник!$A$2:$C$135,2,FALSE),"")</f>
        <v/>
      </c>
      <c r="D212" s="5">
        <f>IFERROR(VLOOKUP(B212,Справочник!$A$2:$C$135,3,FALSE),"")</f>
        <v/>
      </c>
      <c r="E212" s="4" t="n"/>
      <c r="F212" s="4" t="n"/>
      <c r="G212" s="5">
        <f>IF(E212="","",E212-N(F212))</f>
        <v/>
      </c>
      <c r="H212" s="4" t="n"/>
      <c r="I212" s="6">
        <f>IF(OR(E212="",H212=""),"",E212*H212)</f>
        <v/>
      </c>
      <c r="J212" s="4" t="n"/>
    </row>
    <row r="213">
      <c r="A213" s="3" t="n"/>
      <c r="B213" s="4" t="n"/>
      <c r="C213" s="5">
        <f>IFERROR(VLOOKUP(B213,Справочник!$A$2:$C$135,2,FALSE),"")</f>
        <v/>
      </c>
      <c r="D213" s="5">
        <f>IFERROR(VLOOKUP(B213,Справочник!$A$2:$C$135,3,FALSE),"")</f>
        <v/>
      </c>
      <c r="E213" s="4" t="n"/>
      <c r="F213" s="4" t="n"/>
      <c r="G213" s="5">
        <f>IF(E213="","",E213-N(F213))</f>
        <v/>
      </c>
      <c r="H213" s="4" t="n"/>
      <c r="I213" s="6">
        <f>IF(OR(E213="",H213=""),"",E213*H213)</f>
        <v/>
      </c>
      <c r="J213" s="4" t="n"/>
    </row>
    <row r="214">
      <c r="A214" s="3" t="n"/>
      <c r="B214" s="4" t="n"/>
      <c r="C214" s="5">
        <f>IFERROR(VLOOKUP(B214,Справочник!$A$2:$C$135,2,FALSE),"")</f>
        <v/>
      </c>
      <c r="D214" s="5">
        <f>IFERROR(VLOOKUP(B214,Справочник!$A$2:$C$135,3,FALSE),"")</f>
        <v/>
      </c>
      <c r="E214" s="4" t="n"/>
      <c r="F214" s="4" t="n"/>
      <c r="G214" s="5">
        <f>IF(E214="","",E214-N(F214))</f>
        <v/>
      </c>
      <c r="H214" s="4" t="n"/>
      <c r="I214" s="6">
        <f>IF(OR(E214="",H214=""),"",E214*H214)</f>
        <v/>
      </c>
      <c r="J214" s="4" t="n"/>
    </row>
    <row r="215">
      <c r="A215" s="3" t="n"/>
      <c r="B215" s="4" t="n"/>
      <c r="C215" s="5">
        <f>IFERROR(VLOOKUP(B215,Справочник!$A$2:$C$135,2,FALSE),"")</f>
        <v/>
      </c>
      <c r="D215" s="5">
        <f>IFERROR(VLOOKUP(B215,Справочник!$A$2:$C$135,3,FALSE),"")</f>
        <v/>
      </c>
      <c r="E215" s="4" t="n"/>
      <c r="F215" s="4" t="n"/>
      <c r="G215" s="5">
        <f>IF(E215="","",E215-N(F215))</f>
        <v/>
      </c>
      <c r="H215" s="4" t="n"/>
      <c r="I215" s="6">
        <f>IF(OR(E215="",H215=""),"",E215*H215)</f>
        <v/>
      </c>
      <c r="J215" s="4" t="n"/>
    </row>
    <row r="216">
      <c r="A216" s="3" t="n"/>
      <c r="B216" s="4" t="n"/>
      <c r="C216" s="5">
        <f>IFERROR(VLOOKUP(B216,Справочник!$A$2:$C$135,2,FALSE),"")</f>
        <v/>
      </c>
      <c r="D216" s="5">
        <f>IFERROR(VLOOKUP(B216,Справочник!$A$2:$C$135,3,FALSE),"")</f>
        <v/>
      </c>
      <c r="E216" s="4" t="n"/>
      <c r="F216" s="4" t="n"/>
      <c r="G216" s="5">
        <f>IF(E216="","",E216-N(F216))</f>
        <v/>
      </c>
      <c r="H216" s="4" t="n"/>
      <c r="I216" s="6">
        <f>IF(OR(E216="",H216=""),"",E216*H216)</f>
        <v/>
      </c>
      <c r="J216" s="4" t="n"/>
    </row>
    <row r="217">
      <c r="A217" s="3" t="n"/>
      <c r="B217" s="4" t="n"/>
      <c r="C217" s="5">
        <f>IFERROR(VLOOKUP(B217,Справочник!$A$2:$C$135,2,FALSE),"")</f>
        <v/>
      </c>
      <c r="D217" s="5">
        <f>IFERROR(VLOOKUP(B217,Справочник!$A$2:$C$135,3,FALSE),"")</f>
        <v/>
      </c>
      <c r="E217" s="4" t="n"/>
      <c r="F217" s="4" t="n"/>
      <c r="G217" s="5">
        <f>IF(E217="","",E217-N(F217))</f>
        <v/>
      </c>
      <c r="H217" s="4" t="n"/>
      <c r="I217" s="6">
        <f>IF(OR(E217="",H217=""),"",E217*H217)</f>
        <v/>
      </c>
      <c r="J217" s="4" t="n"/>
    </row>
    <row r="218">
      <c r="A218" s="3" t="n"/>
      <c r="B218" s="4" t="n"/>
      <c r="C218" s="5">
        <f>IFERROR(VLOOKUP(B218,Справочник!$A$2:$C$135,2,FALSE),"")</f>
        <v/>
      </c>
      <c r="D218" s="5">
        <f>IFERROR(VLOOKUP(B218,Справочник!$A$2:$C$135,3,FALSE),"")</f>
        <v/>
      </c>
      <c r="E218" s="4" t="n"/>
      <c r="F218" s="4" t="n"/>
      <c r="G218" s="5">
        <f>IF(E218="","",E218-N(F218))</f>
        <v/>
      </c>
      <c r="H218" s="4" t="n"/>
      <c r="I218" s="6">
        <f>IF(OR(E218="",H218=""),"",E218*H218)</f>
        <v/>
      </c>
      <c r="J218" s="4" t="n"/>
    </row>
    <row r="219">
      <c r="A219" s="3" t="n"/>
      <c r="B219" s="4" t="n"/>
      <c r="C219" s="5">
        <f>IFERROR(VLOOKUP(B219,Справочник!$A$2:$C$135,2,FALSE),"")</f>
        <v/>
      </c>
      <c r="D219" s="5">
        <f>IFERROR(VLOOKUP(B219,Справочник!$A$2:$C$135,3,FALSE),"")</f>
        <v/>
      </c>
      <c r="E219" s="4" t="n"/>
      <c r="F219" s="4" t="n"/>
      <c r="G219" s="5">
        <f>IF(E219="","",E219-N(F219))</f>
        <v/>
      </c>
      <c r="H219" s="4" t="n"/>
      <c r="I219" s="6">
        <f>IF(OR(E219="",H219=""),"",E219*H219)</f>
        <v/>
      </c>
      <c r="J219" s="4" t="n"/>
    </row>
    <row r="220">
      <c r="A220" s="3" t="n"/>
      <c r="B220" s="4" t="n"/>
      <c r="C220" s="5">
        <f>IFERROR(VLOOKUP(B220,Справочник!$A$2:$C$135,2,FALSE),"")</f>
        <v/>
      </c>
      <c r="D220" s="5">
        <f>IFERROR(VLOOKUP(B220,Справочник!$A$2:$C$135,3,FALSE),"")</f>
        <v/>
      </c>
      <c r="E220" s="4" t="n"/>
      <c r="F220" s="4" t="n"/>
      <c r="G220" s="5">
        <f>IF(E220="","",E220-N(F220))</f>
        <v/>
      </c>
      <c r="H220" s="4" t="n"/>
      <c r="I220" s="6">
        <f>IF(OR(E220="",H220=""),"",E220*H220)</f>
        <v/>
      </c>
      <c r="J220" s="4" t="n"/>
    </row>
    <row r="221">
      <c r="A221" s="3" t="n"/>
      <c r="B221" s="4" t="n"/>
      <c r="C221" s="5">
        <f>IFERROR(VLOOKUP(B221,Справочник!$A$2:$C$135,2,FALSE),"")</f>
        <v/>
      </c>
      <c r="D221" s="5">
        <f>IFERROR(VLOOKUP(B221,Справочник!$A$2:$C$135,3,FALSE),"")</f>
        <v/>
      </c>
      <c r="E221" s="4" t="n"/>
      <c r="F221" s="4" t="n"/>
      <c r="G221" s="5">
        <f>IF(E221="","",E221-N(F221))</f>
        <v/>
      </c>
      <c r="H221" s="4" t="n"/>
      <c r="I221" s="6">
        <f>IF(OR(E221="",H221=""),"",E221*H221)</f>
        <v/>
      </c>
      <c r="J221" s="4" t="n"/>
    </row>
    <row r="222">
      <c r="A222" s="3" t="n"/>
      <c r="B222" s="4" t="n"/>
      <c r="C222" s="5">
        <f>IFERROR(VLOOKUP(B222,Справочник!$A$2:$C$135,2,FALSE),"")</f>
        <v/>
      </c>
      <c r="D222" s="5">
        <f>IFERROR(VLOOKUP(B222,Справочник!$A$2:$C$135,3,FALSE),"")</f>
        <v/>
      </c>
      <c r="E222" s="4" t="n"/>
      <c r="F222" s="4" t="n"/>
      <c r="G222" s="5">
        <f>IF(E222="","",E222-N(F222))</f>
        <v/>
      </c>
      <c r="H222" s="4" t="n"/>
      <c r="I222" s="6">
        <f>IF(OR(E222="",H222=""),"",E222*H222)</f>
        <v/>
      </c>
      <c r="J222" s="4" t="n"/>
    </row>
    <row r="223">
      <c r="A223" s="3" t="n"/>
      <c r="B223" s="4" t="n"/>
      <c r="C223" s="5">
        <f>IFERROR(VLOOKUP(B223,Справочник!$A$2:$C$135,2,FALSE),"")</f>
        <v/>
      </c>
      <c r="D223" s="5">
        <f>IFERROR(VLOOKUP(B223,Справочник!$A$2:$C$135,3,FALSE),"")</f>
        <v/>
      </c>
      <c r="E223" s="4" t="n"/>
      <c r="F223" s="4" t="n"/>
      <c r="G223" s="5">
        <f>IF(E223="","",E223-N(F223))</f>
        <v/>
      </c>
      <c r="H223" s="4" t="n"/>
      <c r="I223" s="6">
        <f>IF(OR(E223="",H223=""),"",E223*H223)</f>
        <v/>
      </c>
      <c r="J223" s="4" t="n"/>
    </row>
    <row r="224">
      <c r="A224" s="3" t="n"/>
      <c r="B224" s="4" t="n"/>
      <c r="C224" s="5">
        <f>IFERROR(VLOOKUP(B224,Справочник!$A$2:$C$135,2,FALSE),"")</f>
        <v/>
      </c>
      <c r="D224" s="5">
        <f>IFERROR(VLOOKUP(B224,Справочник!$A$2:$C$135,3,FALSE),"")</f>
        <v/>
      </c>
      <c r="E224" s="4" t="n"/>
      <c r="F224" s="4" t="n"/>
      <c r="G224" s="5">
        <f>IF(E224="","",E224-N(F224))</f>
        <v/>
      </c>
      <c r="H224" s="4" t="n"/>
      <c r="I224" s="6">
        <f>IF(OR(E224="",H224=""),"",E224*H224)</f>
        <v/>
      </c>
      <c r="J224" s="4" t="n"/>
    </row>
    <row r="225">
      <c r="A225" s="3" t="n"/>
      <c r="B225" s="4" t="n"/>
      <c r="C225" s="5">
        <f>IFERROR(VLOOKUP(B225,Справочник!$A$2:$C$135,2,FALSE),"")</f>
        <v/>
      </c>
      <c r="D225" s="5">
        <f>IFERROR(VLOOKUP(B225,Справочник!$A$2:$C$135,3,FALSE),"")</f>
        <v/>
      </c>
      <c r="E225" s="4" t="n"/>
      <c r="F225" s="4" t="n"/>
      <c r="G225" s="5">
        <f>IF(E225="","",E225-N(F225))</f>
        <v/>
      </c>
      <c r="H225" s="4" t="n"/>
      <c r="I225" s="6">
        <f>IF(OR(E225="",H225=""),"",E225*H225)</f>
        <v/>
      </c>
      <c r="J225" s="4" t="n"/>
    </row>
    <row r="226">
      <c r="A226" s="3" t="n"/>
      <c r="B226" s="4" t="n"/>
      <c r="C226" s="5">
        <f>IFERROR(VLOOKUP(B226,Справочник!$A$2:$C$135,2,FALSE),"")</f>
        <v/>
      </c>
      <c r="D226" s="5">
        <f>IFERROR(VLOOKUP(B226,Справочник!$A$2:$C$135,3,FALSE),"")</f>
        <v/>
      </c>
      <c r="E226" s="4" t="n"/>
      <c r="F226" s="4" t="n"/>
      <c r="G226" s="5">
        <f>IF(E226="","",E226-N(F226))</f>
        <v/>
      </c>
      <c r="H226" s="4" t="n"/>
      <c r="I226" s="6">
        <f>IF(OR(E226="",H226=""),"",E226*H226)</f>
        <v/>
      </c>
      <c r="J226" s="4" t="n"/>
    </row>
    <row r="227">
      <c r="A227" s="3" t="n"/>
      <c r="B227" s="4" t="n"/>
      <c r="C227" s="5">
        <f>IFERROR(VLOOKUP(B227,Справочник!$A$2:$C$135,2,FALSE),"")</f>
        <v/>
      </c>
      <c r="D227" s="5">
        <f>IFERROR(VLOOKUP(B227,Справочник!$A$2:$C$135,3,FALSE),"")</f>
        <v/>
      </c>
      <c r="E227" s="4" t="n"/>
      <c r="F227" s="4" t="n"/>
      <c r="G227" s="5">
        <f>IF(E227="","",E227-N(F227))</f>
        <v/>
      </c>
      <c r="H227" s="4" t="n"/>
      <c r="I227" s="6">
        <f>IF(OR(E227="",H227=""),"",E227*H227)</f>
        <v/>
      </c>
      <c r="J227" s="4" t="n"/>
    </row>
    <row r="228">
      <c r="A228" s="3" t="n"/>
      <c r="B228" s="4" t="n"/>
      <c r="C228" s="5">
        <f>IFERROR(VLOOKUP(B228,Справочник!$A$2:$C$135,2,FALSE),"")</f>
        <v/>
      </c>
      <c r="D228" s="5">
        <f>IFERROR(VLOOKUP(B228,Справочник!$A$2:$C$135,3,FALSE),"")</f>
        <v/>
      </c>
      <c r="E228" s="4" t="n"/>
      <c r="F228" s="4" t="n"/>
      <c r="G228" s="5">
        <f>IF(E228="","",E228-N(F228))</f>
        <v/>
      </c>
      <c r="H228" s="4" t="n"/>
      <c r="I228" s="6">
        <f>IF(OR(E228="",H228=""),"",E228*H228)</f>
        <v/>
      </c>
      <c r="J228" s="4" t="n"/>
    </row>
    <row r="229">
      <c r="A229" s="3" t="n"/>
      <c r="B229" s="4" t="n"/>
      <c r="C229" s="5">
        <f>IFERROR(VLOOKUP(B229,Справочник!$A$2:$C$135,2,FALSE),"")</f>
        <v/>
      </c>
      <c r="D229" s="5">
        <f>IFERROR(VLOOKUP(B229,Справочник!$A$2:$C$135,3,FALSE),"")</f>
        <v/>
      </c>
      <c r="E229" s="4" t="n"/>
      <c r="F229" s="4" t="n"/>
      <c r="G229" s="5">
        <f>IF(E229="","",E229-N(F229))</f>
        <v/>
      </c>
      <c r="H229" s="4" t="n"/>
      <c r="I229" s="6">
        <f>IF(OR(E229="",H229=""),"",E229*H229)</f>
        <v/>
      </c>
      <c r="J229" s="4" t="n"/>
    </row>
    <row r="230">
      <c r="A230" s="3" t="n"/>
      <c r="B230" s="4" t="n"/>
      <c r="C230" s="5">
        <f>IFERROR(VLOOKUP(B230,Справочник!$A$2:$C$135,2,FALSE),"")</f>
        <v/>
      </c>
      <c r="D230" s="5">
        <f>IFERROR(VLOOKUP(B230,Справочник!$A$2:$C$135,3,FALSE),"")</f>
        <v/>
      </c>
      <c r="E230" s="4" t="n"/>
      <c r="F230" s="4" t="n"/>
      <c r="G230" s="5">
        <f>IF(E230="","",E230-N(F230))</f>
        <v/>
      </c>
      <c r="H230" s="4" t="n"/>
      <c r="I230" s="6">
        <f>IF(OR(E230="",H230=""),"",E230*H230)</f>
        <v/>
      </c>
      <c r="J230" s="4" t="n"/>
    </row>
    <row r="231">
      <c r="A231" s="3" t="n"/>
      <c r="B231" s="4" t="n"/>
      <c r="C231" s="5">
        <f>IFERROR(VLOOKUP(B231,Справочник!$A$2:$C$135,2,FALSE),"")</f>
        <v/>
      </c>
      <c r="D231" s="5">
        <f>IFERROR(VLOOKUP(B231,Справочник!$A$2:$C$135,3,FALSE),"")</f>
        <v/>
      </c>
      <c r="E231" s="4" t="n"/>
      <c r="F231" s="4" t="n"/>
      <c r="G231" s="5">
        <f>IF(E231="","",E231-N(F231))</f>
        <v/>
      </c>
      <c r="H231" s="4" t="n"/>
      <c r="I231" s="6">
        <f>IF(OR(E231="",H231=""),"",E231*H231)</f>
        <v/>
      </c>
      <c r="J231" s="4" t="n"/>
    </row>
    <row r="232">
      <c r="A232" s="3" t="n"/>
      <c r="B232" s="4" t="n"/>
      <c r="C232" s="5">
        <f>IFERROR(VLOOKUP(B232,Справочник!$A$2:$C$135,2,FALSE),"")</f>
        <v/>
      </c>
      <c r="D232" s="5">
        <f>IFERROR(VLOOKUP(B232,Справочник!$A$2:$C$135,3,FALSE),"")</f>
        <v/>
      </c>
      <c r="E232" s="4" t="n"/>
      <c r="F232" s="4" t="n"/>
      <c r="G232" s="5">
        <f>IF(E232="","",E232-N(F232))</f>
        <v/>
      </c>
      <c r="H232" s="4" t="n"/>
      <c r="I232" s="6">
        <f>IF(OR(E232="",H232=""),"",E232*H232)</f>
        <v/>
      </c>
      <c r="J232" s="4" t="n"/>
    </row>
    <row r="233">
      <c r="A233" s="3" t="n"/>
      <c r="B233" s="4" t="n"/>
      <c r="C233" s="5">
        <f>IFERROR(VLOOKUP(B233,Справочник!$A$2:$C$135,2,FALSE),"")</f>
        <v/>
      </c>
      <c r="D233" s="5">
        <f>IFERROR(VLOOKUP(B233,Справочник!$A$2:$C$135,3,FALSE),"")</f>
        <v/>
      </c>
      <c r="E233" s="4" t="n"/>
      <c r="F233" s="4" t="n"/>
      <c r="G233" s="5">
        <f>IF(E233="","",E233-N(F233))</f>
        <v/>
      </c>
      <c r="H233" s="4" t="n"/>
      <c r="I233" s="6">
        <f>IF(OR(E233="",H233=""),"",E233*H233)</f>
        <v/>
      </c>
      <c r="J233" s="4" t="n"/>
    </row>
    <row r="234">
      <c r="A234" s="3" t="n"/>
      <c r="B234" s="4" t="n"/>
      <c r="C234" s="5">
        <f>IFERROR(VLOOKUP(B234,Справочник!$A$2:$C$135,2,FALSE),"")</f>
        <v/>
      </c>
      <c r="D234" s="5">
        <f>IFERROR(VLOOKUP(B234,Справочник!$A$2:$C$135,3,FALSE),"")</f>
        <v/>
      </c>
      <c r="E234" s="4" t="n"/>
      <c r="F234" s="4" t="n"/>
      <c r="G234" s="5">
        <f>IF(E234="","",E234-N(F234))</f>
        <v/>
      </c>
      <c r="H234" s="4" t="n"/>
      <c r="I234" s="6">
        <f>IF(OR(E234="",H234=""),"",E234*H234)</f>
        <v/>
      </c>
      <c r="J234" s="4" t="n"/>
    </row>
    <row r="235">
      <c r="A235" s="3" t="n"/>
      <c r="B235" s="4" t="n"/>
      <c r="C235" s="5">
        <f>IFERROR(VLOOKUP(B235,Справочник!$A$2:$C$135,2,FALSE),"")</f>
        <v/>
      </c>
      <c r="D235" s="5">
        <f>IFERROR(VLOOKUP(B235,Справочник!$A$2:$C$135,3,FALSE),"")</f>
        <v/>
      </c>
      <c r="E235" s="4" t="n"/>
      <c r="F235" s="4" t="n"/>
      <c r="G235" s="5">
        <f>IF(E235="","",E235-N(F235))</f>
        <v/>
      </c>
      <c r="H235" s="4" t="n"/>
      <c r="I235" s="6">
        <f>IF(OR(E235="",H235=""),"",E235*H235)</f>
        <v/>
      </c>
      <c r="J235" s="4" t="n"/>
    </row>
    <row r="236">
      <c r="A236" s="3" t="n"/>
      <c r="B236" s="4" t="n"/>
      <c r="C236" s="5">
        <f>IFERROR(VLOOKUP(B236,Справочник!$A$2:$C$135,2,FALSE),"")</f>
        <v/>
      </c>
      <c r="D236" s="5">
        <f>IFERROR(VLOOKUP(B236,Справочник!$A$2:$C$135,3,FALSE),"")</f>
        <v/>
      </c>
      <c r="E236" s="4" t="n"/>
      <c r="F236" s="4" t="n"/>
      <c r="G236" s="5">
        <f>IF(E236="","",E236-N(F236))</f>
        <v/>
      </c>
      <c r="H236" s="4" t="n"/>
      <c r="I236" s="6">
        <f>IF(OR(E236="",H236=""),"",E236*H236)</f>
        <v/>
      </c>
      <c r="J236" s="4" t="n"/>
    </row>
    <row r="237">
      <c r="A237" s="3" t="n"/>
      <c r="B237" s="4" t="n"/>
      <c r="C237" s="5">
        <f>IFERROR(VLOOKUP(B237,Справочник!$A$2:$C$135,2,FALSE),"")</f>
        <v/>
      </c>
      <c r="D237" s="5">
        <f>IFERROR(VLOOKUP(B237,Справочник!$A$2:$C$135,3,FALSE),"")</f>
        <v/>
      </c>
      <c r="E237" s="4" t="n"/>
      <c r="F237" s="4" t="n"/>
      <c r="G237" s="5">
        <f>IF(E237="","",E237-N(F237))</f>
        <v/>
      </c>
      <c r="H237" s="4" t="n"/>
      <c r="I237" s="6">
        <f>IF(OR(E237="",H237=""),"",E237*H237)</f>
        <v/>
      </c>
      <c r="J237" s="4" t="n"/>
    </row>
    <row r="238">
      <c r="A238" s="3" t="n"/>
      <c r="B238" s="4" t="n"/>
      <c r="C238" s="5">
        <f>IFERROR(VLOOKUP(B238,Справочник!$A$2:$C$135,2,FALSE),"")</f>
        <v/>
      </c>
      <c r="D238" s="5">
        <f>IFERROR(VLOOKUP(B238,Справочник!$A$2:$C$135,3,FALSE),"")</f>
        <v/>
      </c>
      <c r="E238" s="4" t="n"/>
      <c r="F238" s="4" t="n"/>
      <c r="G238" s="5">
        <f>IF(E238="","",E238-N(F238))</f>
        <v/>
      </c>
      <c r="H238" s="4" t="n"/>
      <c r="I238" s="6">
        <f>IF(OR(E238="",H238=""),"",E238*H238)</f>
        <v/>
      </c>
      <c r="J238" s="4" t="n"/>
    </row>
    <row r="239">
      <c r="A239" s="3" t="n"/>
      <c r="B239" s="4" t="n"/>
      <c r="C239" s="5">
        <f>IFERROR(VLOOKUP(B239,Справочник!$A$2:$C$135,2,FALSE),"")</f>
        <v/>
      </c>
      <c r="D239" s="5">
        <f>IFERROR(VLOOKUP(B239,Справочник!$A$2:$C$135,3,FALSE),"")</f>
        <v/>
      </c>
      <c r="E239" s="4" t="n"/>
      <c r="F239" s="4" t="n"/>
      <c r="G239" s="5">
        <f>IF(E239="","",E239-N(F239))</f>
        <v/>
      </c>
      <c r="H239" s="4" t="n"/>
      <c r="I239" s="6">
        <f>IF(OR(E239="",H239=""),"",E239*H239)</f>
        <v/>
      </c>
      <c r="J239" s="4" t="n"/>
    </row>
    <row r="240">
      <c r="A240" s="3" t="n"/>
      <c r="B240" s="4" t="n"/>
      <c r="C240" s="5">
        <f>IFERROR(VLOOKUP(B240,Справочник!$A$2:$C$135,2,FALSE),"")</f>
        <v/>
      </c>
      <c r="D240" s="5">
        <f>IFERROR(VLOOKUP(B240,Справочник!$A$2:$C$135,3,FALSE),"")</f>
        <v/>
      </c>
      <c r="E240" s="4" t="n"/>
      <c r="F240" s="4" t="n"/>
      <c r="G240" s="5">
        <f>IF(E240="","",E240-N(F240))</f>
        <v/>
      </c>
      <c r="H240" s="4" t="n"/>
      <c r="I240" s="6">
        <f>IF(OR(E240="",H240=""),"",E240*H240)</f>
        <v/>
      </c>
      <c r="J240" s="4" t="n"/>
    </row>
    <row r="241">
      <c r="A241" s="3" t="n"/>
      <c r="B241" s="4" t="n"/>
      <c r="C241" s="5">
        <f>IFERROR(VLOOKUP(B241,Справочник!$A$2:$C$135,2,FALSE),"")</f>
        <v/>
      </c>
      <c r="D241" s="5">
        <f>IFERROR(VLOOKUP(B241,Справочник!$A$2:$C$135,3,FALSE),"")</f>
        <v/>
      </c>
      <c r="E241" s="4" t="n"/>
      <c r="F241" s="4" t="n"/>
      <c r="G241" s="5">
        <f>IF(E241="","",E241-N(F241))</f>
        <v/>
      </c>
      <c r="H241" s="4" t="n"/>
      <c r="I241" s="6">
        <f>IF(OR(E241="",H241=""),"",E241*H241)</f>
        <v/>
      </c>
      <c r="J241" s="4" t="n"/>
    </row>
    <row r="242">
      <c r="A242" s="3" t="n"/>
      <c r="B242" s="4" t="n"/>
      <c r="C242" s="5">
        <f>IFERROR(VLOOKUP(B242,Справочник!$A$2:$C$135,2,FALSE),"")</f>
        <v/>
      </c>
      <c r="D242" s="5">
        <f>IFERROR(VLOOKUP(B242,Справочник!$A$2:$C$135,3,FALSE),"")</f>
        <v/>
      </c>
      <c r="E242" s="4" t="n"/>
      <c r="F242" s="4" t="n"/>
      <c r="G242" s="5">
        <f>IF(E242="","",E242-N(F242))</f>
        <v/>
      </c>
      <c r="H242" s="4" t="n"/>
      <c r="I242" s="6">
        <f>IF(OR(E242="",H242=""),"",E242*H242)</f>
        <v/>
      </c>
      <c r="J242" s="4" t="n"/>
    </row>
    <row r="243">
      <c r="A243" s="3" t="n"/>
      <c r="B243" s="4" t="n"/>
      <c r="C243" s="5">
        <f>IFERROR(VLOOKUP(B243,Справочник!$A$2:$C$135,2,FALSE),"")</f>
        <v/>
      </c>
      <c r="D243" s="5">
        <f>IFERROR(VLOOKUP(B243,Справочник!$A$2:$C$135,3,FALSE),"")</f>
        <v/>
      </c>
      <c r="E243" s="4" t="n"/>
      <c r="F243" s="4" t="n"/>
      <c r="G243" s="5">
        <f>IF(E243="","",E243-N(F243))</f>
        <v/>
      </c>
      <c r="H243" s="4" t="n"/>
      <c r="I243" s="6">
        <f>IF(OR(E243="",H243=""),"",E243*H243)</f>
        <v/>
      </c>
      <c r="J243" s="4" t="n"/>
    </row>
    <row r="244">
      <c r="A244" s="3" t="n"/>
      <c r="B244" s="4" t="n"/>
      <c r="C244" s="5">
        <f>IFERROR(VLOOKUP(B244,Справочник!$A$2:$C$135,2,FALSE),"")</f>
        <v/>
      </c>
      <c r="D244" s="5">
        <f>IFERROR(VLOOKUP(B244,Справочник!$A$2:$C$135,3,FALSE),"")</f>
        <v/>
      </c>
      <c r="E244" s="4" t="n"/>
      <c r="F244" s="4" t="n"/>
      <c r="G244" s="5">
        <f>IF(E244="","",E244-N(F244))</f>
        <v/>
      </c>
      <c r="H244" s="4" t="n"/>
      <c r="I244" s="6">
        <f>IF(OR(E244="",H244=""),"",E244*H244)</f>
        <v/>
      </c>
      <c r="J244" s="4" t="n"/>
    </row>
    <row r="245">
      <c r="A245" s="3" t="n"/>
      <c r="B245" s="4" t="n"/>
      <c r="C245" s="5">
        <f>IFERROR(VLOOKUP(B245,Справочник!$A$2:$C$135,2,FALSE),"")</f>
        <v/>
      </c>
      <c r="D245" s="5">
        <f>IFERROR(VLOOKUP(B245,Справочник!$A$2:$C$135,3,FALSE),"")</f>
        <v/>
      </c>
      <c r="E245" s="4" t="n"/>
      <c r="F245" s="4" t="n"/>
      <c r="G245" s="5">
        <f>IF(E245="","",E245-N(F245))</f>
        <v/>
      </c>
      <c r="H245" s="4" t="n"/>
      <c r="I245" s="6">
        <f>IF(OR(E245="",H245=""),"",E245*H245)</f>
        <v/>
      </c>
      <c r="J245" s="4" t="n"/>
    </row>
    <row r="246">
      <c r="A246" s="3" t="n"/>
      <c r="B246" s="4" t="n"/>
      <c r="C246" s="5">
        <f>IFERROR(VLOOKUP(B246,Справочник!$A$2:$C$135,2,FALSE),"")</f>
        <v/>
      </c>
      <c r="D246" s="5">
        <f>IFERROR(VLOOKUP(B246,Справочник!$A$2:$C$135,3,FALSE),"")</f>
        <v/>
      </c>
      <c r="E246" s="4" t="n"/>
      <c r="F246" s="4" t="n"/>
      <c r="G246" s="5">
        <f>IF(E246="","",E246-N(F246))</f>
        <v/>
      </c>
      <c r="H246" s="4" t="n"/>
      <c r="I246" s="6">
        <f>IF(OR(E246="",H246=""),"",E246*H246)</f>
        <v/>
      </c>
      <c r="J246" s="4" t="n"/>
    </row>
    <row r="247">
      <c r="A247" s="3" t="n"/>
      <c r="B247" s="4" t="n"/>
      <c r="C247" s="5">
        <f>IFERROR(VLOOKUP(B247,Справочник!$A$2:$C$135,2,FALSE),"")</f>
        <v/>
      </c>
      <c r="D247" s="5">
        <f>IFERROR(VLOOKUP(B247,Справочник!$A$2:$C$135,3,FALSE),"")</f>
        <v/>
      </c>
      <c r="E247" s="4" t="n"/>
      <c r="F247" s="4" t="n"/>
      <c r="G247" s="5">
        <f>IF(E247="","",E247-N(F247))</f>
        <v/>
      </c>
      <c r="H247" s="4" t="n"/>
      <c r="I247" s="6">
        <f>IF(OR(E247="",H247=""),"",E247*H247)</f>
        <v/>
      </c>
      <c r="J247" s="4" t="n"/>
    </row>
    <row r="248">
      <c r="A248" s="3" t="n"/>
      <c r="B248" s="4" t="n"/>
      <c r="C248" s="5">
        <f>IFERROR(VLOOKUP(B248,Справочник!$A$2:$C$135,2,FALSE),"")</f>
        <v/>
      </c>
      <c r="D248" s="5">
        <f>IFERROR(VLOOKUP(B248,Справочник!$A$2:$C$135,3,FALSE),"")</f>
        <v/>
      </c>
      <c r="E248" s="4" t="n"/>
      <c r="F248" s="4" t="n"/>
      <c r="G248" s="5">
        <f>IF(E248="","",E248-N(F248))</f>
        <v/>
      </c>
      <c r="H248" s="4" t="n"/>
      <c r="I248" s="6">
        <f>IF(OR(E248="",H248=""),"",E248*H248)</f>
        <v/>
      </c>
      <c r="J248" s="4" t="n"/>
    </row>
    <row r="249">
      <c r="A249" s="3" t="n"/>
      <c r="B249" s="4" t="n"/>
      <c r="C249" s="5">
        <f>IFERROR(VLOOKUP(B249,Справочник!$A$2:$C$135,2,FALSE),"")</f>
        <v/>
      </c>
      <c r="D249" s="5">
        <f>IFERROR(VLOOKUP(B249,Справочник!$A$2:$C$135,3,FALSE),"")</f>
        <v/>
      </c>
      <c r="E249" s="4" t="n"/>
      <c r="F249" s="4" t="n"/>
      <c r="G249" s="5">
        <f>IF(E249="","",E249-N(F249))</f>
        <v/>
      </c>
      <c r="H249" s="4" t="n"/>
      <c r="I249" s="6">
        <f>IF(OR(E249="",H249=""),"",E249*H249)</f>
        <v/>
      </c>
      <c r="J249" s="4" t="n"/>
    </row>
    <row r="250">
      <c r="A250" s="3" t="n"/>
      <c r="B250" s="4" t="n"/>
      <c r="C250" s="5">
        <f>IFERROR(VLOOKUP(B250,Справочник!$A$2:$C$135,2,FALSE),"")</f>
        <v/>
      </c>
      <c r="D250" s="5">
        <f>IFERROR(VLOOKUP(B250,Справочник!$A$2:$C$135,3,FALSE),"")</f>
        <v/>
      </c>
      <c r="E250" s="4" t="n"/>
      <c r="F250" s="4" t="n"/>
      <c r="G250" s="5">
        <f>IF(E250="","",E250-N(F250))</f>
        <v/>
      </c>
      <c r="H250" s="4" t="n"/>
      <c r="I250" s="6">
        <f>IF(OR(E250="",H250=""),"",E250*H250)</f>
        <v/>
      </c>
      <c r="J250" s="4" t="n"/>
    </row>
    <row r="251">
      <c r="A251" s="3" t="n"/>
      <c r="B251" s="4" t="n"/>
      <c r="C251" s="5">
        <f>IFERROR(VLOOKUP(B251,Справочник!$A$2:$C$135,2,FALSE),"")</f>
        <v/>
      </c>
      <c r="D251" s="5">
        <f>IFERROR(VLOOKUP(B251,Справочник!$A$2:$C$135,3,FALSE),"")</f>
        <v/>
      </c>
      <c r="E251" s="4" t="n"/>
      <c r="F251" s="4" t="n"/>
      <c r="G251" s="5">
        <f>IF(E251="","",E251-N(F251))</f>
        <v/>
      </c>
      <c r="H251" s="4" t="n"/>
      <c r="I251" s="6">
        <f>IF(OR(E251="",H251=""),"",E251*H251)</f>
        <v/>
      </c>
      <c r="J251" s="4" t="n"/>
    </row>
    <row r="252">
      <c r="A252" s="3" t="n"/>
      <c r="B252" s="4" t="n"/>
      <c r="C252" s="5">
        <f>IFERROR(VLOOKUP(B252,Справочник!$A$2:$C$135,2,FALSE),"")</f>
        <v/>
      </c>
      <c r="D252" s="5">
        <f>IFERROR(VLOOKUP(B252,Справочник!$A$2:$C$135,3,FALSE),"")</f>
        <v/>
      </c>
      <c r="E252" s="4" t="n"/>
      <c r="F252" s="4" t="n"/>
      <c r="G252" s="5">
        <f>IF(E252="","",E252-N(F252))</f>
        <v/>
      </c>
      <c r="H252" s="4" t="n"/>
      <c r="I252" s="6">
        <f>IF(OR(E252="",H252=""),"",E252*H252)</f>
        <v/>
      </c>
      <c r="J252" s="4" t="n"/>
    </row>
    <row r="253">
      <c r="A253" s="3" t="n"/>
      <c r="B253" s="4" t="n"/>
      <c r="C253" s="5">
        <f>IFERROR(VLOOKUP(B253,Справочник!$A$2:$C$135,2,FALSE),"")</f>
        <v/>
      </c>
      <c r="D253" s="5">
        <f>IFERROR(VLOOKUP(B253,Справочник!$A$2:$C$135,3,FALSE),"")</f>
        <v/>
      </c>
      <c r="E253" s="4" t="n"/>
      <c r="F253" s="4" t="n"/>
      <c r="G253" s="5">
        <f>IF(E253="","",E253-N(F253))</f>
        <v/>
      </c>
      <c r="H253" s="4" t="n"/>
      <c r="I253" s="6">
        <f>IF(OR(E253="",H253=""),"",E253*H253)</f>
        <v/>
      </c>
      <c r="J253" s="4" t="n"/>
    </row>
    <row r="254">
      <c r="A254" s="3" t="n"/>
      <c r="B254" s="4" t="n"/>
      <c r="C254" s="5">
        <f>IFERROR(VLOOKUP(B254,Справочник!$A$2:$C$135,2,FALSE),"")</f>
        <v/>
      </c>
      <c r="D254" s="5">
        <f>IFERROR(VLOOKUP(B254,Справочник!$A$2:$C$135,3,FALSE),"")</f>
        <v/>
      </c>
      <c r="E254" s="4" t="n"/>
      <c r="F254" s="4" t="n"/>
      <c r="G254" s="5">
        <f>IF(E254="","",E254-N(F254))</f>
        <v/>
      </c>
      <c r="H254" s="4" t="n"/>
      <c r="I254" s="6">
        <f>IF(OR(E254="",H254=""),"",E254*H254)</f>
        <v/>
      </c>
      <c r="J254" s="4" t="n"/>
    </row>
    <row r="255">
      <c r="A255" s="3" t="n"/>
      <c r="B255" s="4" t="n"/>
      <c r="C255" s="5">
        <f>IFERROR(VLOOKUP(B255,Справочник!$A$2:$C$135,2,FALSE),"")</f>
        <v/>
      </c>
      <c r="D255" s="5">
        <f>IFERROR(VLOOKUP(B255,Справочник!$A$2:$C$135,3,FALSE),"")</f>
        <v/>
      </c>
      <c r="E255" s="4" t="n"/>
      <c r="F255" s="4" t="n"/>
      <c r="G255" s="5">
        <f>IF(E255="","",E255-N(F255))</f>
        <v/>
      </c>
      <c r="H255" s="4" t="n"/>
      <c r="I255" s="6">
        <f>IF(OR(E255="",H255=""),"",E255*H255)</f>
        <v/>
      </c>
      <c r="J255" s="4" t="n"/>
    </row>
    <row r="256">
      <c r="A256" s="3" t="n"/>
      <c r="B256" s="4" t="n"/>
      <c r="C256" s="5">
        <f>IFERROR(VLOOKUP(B256,Справочник!$A$2:$C$135,2,FALSE),"")</f>
        <v/>
      </c>
      <c r="D256" s="5">
        <f>IFERROR(VLOOKUP(B256,Справочник!$A$2:$C$135,3,FALSE),"")</f>
        <v/>
      </c>
      <c r="E256" s="4" t="n"/>
      <c r="F256" s="4" t="n"/>
      <c r="G256" s="5">
        <f>IF(E256="","",E256-N(F256))</f>
        <v/>
      </c>
      <c r="H256" s="4" t="n"/>
      <c r="I256" s="6">
        <f>IF(OR(E256="",H256=""),"",E256*H256)</f>
        <v/>
      </c>
      <c r="J256" s="4" t="n"/>
    </row>
    <row r="257">
      <c r="A257" s="3" t="n"/>
      <c r="B257" s="4" t="n"/>
      <c r="C257" s="5">
        <f>IFERROR(VLOOKUP(B257,Справочник!$A$2:$C$135,2,FALSE),"")</f>
        <v/>
      </c>
      <c r="D257" s="5">
        <f>IFERROR(VLOOKUP(B257,Справочник!$A$2:$C$135,3,FALSE),"")</f>
        <v/>
      </c>
      <c r="E257" s="4" t="n"/>
      <c r="F257" s="4" t="n"/>
      <c r="G257" s="5">
        <f>IF(E257="","",E257-N(F257))</f>
        <v/>
      </c>
      <c r="H257" s="4" t="n"/>
      <c r="I257" s="6">
        <f>IF(OR(E257="",H257=""),"",E257*H257)</f>
        <v/>
      </c>
      <c r="J257" s="4" t="n"/>
    </row>
    <row r="258">
      <c r="A258" s="3" t="n"/>
      <c r="B258" s="4" t="n"/>
      <c r="C258" s="5">
        <f>IFERROR(VLOOKUP(B258,Справочник!$A$2:$C$135,2,FALSE),"")</f>
        <v/>
      </c>
      <c r="D258" s="5">
        <f>IFERROR(VLOOKUP(B258,Справочник!$A$2:$C$135,3,FALSE),"")</f>
        <v/>
      </c>
      <c r="E258" s="4" t="n"/>
      <c r="F258" s="4" t="n"/>
      <c r="G258" s="5">
        <f>IF(E258="","",E258-N(F258))</f>
        <v/>
      </c>
      <c r="H258" s="4" t="n"/>
      <c r="I258" s="6">
        <f>IF(OR(E258="",H258=""),"",E258*H258)</f>
        <v/>
      </c>
      <c r="J258" s="4" t="n"/>
    </row>
    <row r="259">
      <c r="A259" s="3" t="n"/>
      <c r="B259" s="4" t="n"/>
      <c r="C259" s="5">
        <f>IFERROR(VLOOKUP(B259,Справочник!$A$2:$C$135,2,FALSE),"")</f>
        <v/>
      </c>
      <c r="D259" s="5">
        <f>IFERROR(VLOOKUP(B259,Справочник!$A$2:$C$135,3,FALSE),"")</f>
        <v/>
      </c>
      <c r="E259" s="4" t="n"/>
      <c r="F259" s="4" t="n"/>
      <c r="G259" s="5">
        <f>IF(E259="","",E259-N(F259))</f>
        <v/>
      </c>
      <c r="H259" s="4" t="n"/>
      <c r="I259" s="6">
        <f>IF(OR(E259="",H259=""),"",E259*H259)</f>
        <v/>
      </c>
      <c r="J259" s="4" t="n"/>
    </row>
    <row r="260">
      <c r="A260" s="3" t="n"/>
      <c r="B260" s="4" t="n"/>
      <c r="C260" s="5">
        <f>IFERROR(VLOOKUP(B260,Справочник!$A$2:$C$135,2,FALSE),"")</f>
        <v/>
      </c>
      <c r="D260" s="5">
        <f>IFERROR(VLOOKUP(B260,Справочник!$A$2:$C$135,3,FALSE),"")</f>
        <v/>
      </c>
      <c r="E260" s="4" t="n"/>
      <c r="F260" s="4" t="n"/>
      <c r="G260" s="5">
        <f>IF(E260="","",E260-N(F260))</f>
        <v/>
      </c>
      <c r="H260" s="4" t="n"/>
      <c r="I260" s="6">
        <f>IF(OR(E260="",H260=""),"",E260*H260)</f>
        <v/>
      </c>
      <c r="J260" s="4" t="n"/>
    </row>
    <row r="261">
      <c r="A261" s="3" t="n"/>
      <c r="B261" s="4" t="n"/>
      <c r="C261" s="5">
        <f>IFERROR(VLOOKUP(B261,Справочник!$A$2:$C$135,2,FALSE),"")</f>
        <v/>
      </c>
      <c r="D261" s="5">
        <f>IFERROR(VLOOKUP(B261,Справочник!$A$2:$C$135,3,FALSE),"")</f>
        <v/>
      </c>
      <c r="E261" s="4" t="n"/>
      <c r="F261" s="4" t="n"/>
      <c r="G261" s="5">
        <f>IF(E261="","",E261-N(F261))</f>
        <v/>
      </c>
      <c r="H261" s="4" t="n"/>
      <c r="I261" s="6">
        <f>IF(OR(E261="",H261=""),"",E261*H261)</f>
        <v/>
      </c>
      <c r="J261" s="4" t="n"/>
    </row>
    <row r="262">
      <c r="A262" s="3" t="n"/>
      <c r="B262" s="4" t="n"/>
      <c r="C262" s="5">
        <f>IFERROR(VLOOKUP(B262,Справочник!$A$2:$C$135,2,FALSE),"")</f>
        <v/>
      </c>
      <c r="D262" s="5">
        <f>IFERROR(VLOOKUP(B262,Справочник!$A$2:$C$135,3,FALSE),"")</f>
        <v/>
      </c>
      <c r="E262" s="4" t="n"/>
      <c r="F262" s="4" t="n"/>
      <c r="G262" s="5">
        <f>IF(E262="","",E262-N(F262))</f>
        <v/>
      </c>
      <c r="H262" s="4" t="n"/>
      <c r="I262" s="6">
        <f>IF(OR(E262="",H262=""),"",E262*H262)</f>
        <v/>
      </c>
      <c r="J262" s="4" t="n"/>
    </row>
    <row r="263">
      <c r="A263" s="3" t="n"/>
      <c r="B263" s="4" t="n"/>
      <c r="C263" s="5">
        <f>IFERROR(VLOOKUP(B263,Справочник!$A$2:$C$135,2,FALSE),"")</f>
        <v/>
      </c>
      <c r="D263" s="5">
        <f>IFERROR(VLOOKUP(B263,Справочник!$A$2:$C$135,3,FALSE),"")</f>
        <v/>
      </c>
      <c r="E263" s="4" t="n"/>
      <c r="F263" s="4" t="n"/>
      <c r="G263" s="5">
        <f>IF(E263="","",E263-N(F263))</f>
        <v/>
      </c>
      <c r="H263" s="4" t="n"/>
      <c r="I263" s="6">
        <f>IF(OR(E263="",H263=""),"",E263*H263)</f>
        <v/>
      </c>
      <c r="J263" s="4" t="n"/>
    </row>
    <row r="264">
      <c r="A264" s="3" t="n"/>
      <c r="B264" s="4" t="n"/>
      <c r="C264" s="5">
        <f>IFERROR(VLOOKUP(B264,Справочник!$A$2:$C$135,2,FALSE),"")</f>
        <v/>
      </c>
      <c r="D264" s="5">
        <f>IFERROR(VLOOKUP(B264,Справочник!$A$2:$C$135,3,FALSE),"")</f>
        <v/>
      </c>
      <c r="E264" s="4" t="n"/>
      <c r="F264" s="4" t="n"/>
      <c r="G264" s="5">
        <f>IF(E264="","",E264-N(F264))</f>
        <v/>
      </c>
      <c r="H264" s="4" t="n"/>
      <c r="I264" s="6">
        <f>IF(OR(E264="",H264=""),"",E264*H264)</f>
        <v/>
      </c>
      <c r="J264" s="4" t="n"/>
    </row>
    <row r="265">
      <c r="A265" s="3" t="n"/>
      <c r="B265" s="4" t="n"/>
      <c r="C265" s="5">
        <f>IFERROR(VLOOKUP(B265,Справочник!$A$2:$C$135,2,FALSE),"")</f>
        <v/>
      </c>
      <c r="D265" s="5">
        <f>IFERROR(VLOOKUP(B265,Справочник!$A$2:$C$135,3,FALSE),"")</f>
        <v/>
      </c>
      <c r="E265" s="4" t="n"/>
      <c r="F265" s="4" t="n"/>
      <c r="G265" s="5">
        <f>IF(E265="","",E265-N(F265))</f>
        <v/>
      </c>
      <c r="H265" s="4" t="n"/>
      <c r="I265" s="6">
        <f>IF(OR(E265="",H265=""),"",E265*H265)</f>
        <v/>
      </c>
      <c r="J265" s="4" t="n"/>
    </row>
    <row r="266">
      <c r="A266" s="3" t="n"/>
      <c r="B266" s="4" t="n"/>
      <c r="C266" s="5">
        <f>IFERROR(VLOOKUP(B266,Справочник!$A$2:$C$135,2,FALSE),"")</f>
        <v/>
      </c>
      <c r="D266" s="5">
        <f>IFERROR(VLOOKUP(B266,Справочник!$A$2:$C$135,3,FALSE),"")</f>
        <v/>
      </c>
      <c r="E266" s="4" t="n"/>
      <c r="F266" s="4" t="n"/>
      <c r="G266" s="5">
        <f>IF(E266="","",E266-N(F266))</f>
        <v/>
      </c>
      <c r="H266" s="4" t="n"/>
      <c r="I266" s="6">
        <f>IF(OR(E266="",H266=""),"",E266*H266)</f>
        <v/>
      </c>
      <c r="J266" s="4" t="n"/>
    </row>
    <row r="267">
      <c r="A267" s="3" t="n"/>
      <c r="B267" s="4" t="n"/>
      <c r="C267" s="5">
        <f>IFERROR(VLOOKUP(B267,Справочник!$A$2:$C$135,2,FALSE),"")</f>
        <v/>
      </c>
      <c r="D267" s="5">
        <f>IFERROR(VLOOKUP(B267,Справочник!$A$2:$C$135,3,FALSE),"")</f>
        <v/>
      </c>
      <c r="E267" s="4" t="n"/>
      <c r="F267" s="4" t="n"/>
      <c r="G267" s="5">
        <f>IF(E267="","",E267-N(F267))</f>
        <v/>
      </c>
      <c r="H267" s="4" t="n"/>
      <c r="I267" s="6">
        <f>IF(OR(E267="",H267=""),"",E267*H267)</f>
        <v/>
      </c>
      <c r="J267" s="4" t="n"/>
    </row>
    <row r="268">
      <c r="A268" s="3" t="n"/>
      <c r="B268" s="4" t="n"/>
      <c r="C268" s="5">
        <f>IFERROR(VLOOKUP(B268,Справочник!$A$2:$C$135,2,FALSE),"")</f>
        <v/>
      </c>
      <c r="D268" s="5">
        <f>IFERROR(VLOOKUP(B268,Справочник!$A$2:$C$135,3,FALSE),"")</f>
        <v/>
      </c>
      <c r="E268" s="4" t="n"/>
      <c r="F268" s="4" t="n"/>
      <c r="G268" s="5">
        <f>IF(E268="","",E268-N(F268))</f>
        <v/>
      </c>
      <c r="H268" s="4" t="n"/>
      <c r="I268" s="6">
        <f>IF(OR(E268="",H268=""),"",E268*H268)</f>
        <v/>
      </c>
      <c r="J268" s="4" t="n"/>
    </row>
    <row r="269">
      <c r="A269" s="3" t="n"/>
      <c r="B269" s="4" t="n"/>
      <c r="C269" s="5">
        <f>IFERROR(VLOOKUP(B269,Справочник!$A$2:$C$135,2,FALSE),"")</f>
        <v/>
      </c>
      <c r="D269" s="5">
        <f>IFERROR(VLOOKUP(B269,Справочник!$A$2:$C$135,3,FALSE),"")</f>
        <v/>
      </c>
      <c r="E269" s="4" t="n"/>
      <c r="F269" s="4" t="n"/>
      <c r="G269" s="5">
        <f>IF(E269="","",E269-N(F269))</f>
        <v/>
      </c>
      <c r="H269" s="4" t="n"/>
      <c r="I269" s="6">
        <f>IF(OR(E269="",H269=""),"",E269*H269)</f>
        <v/>
      </c>
      <c r="J269" s="4" t="n"/>
    </row>
    <row r="270">
      <c r="A270" s="3" t="n"/>
      <c r="B270" s="4" t="n"/>
      <c r="C270" s="5">
        <f>IFERROR(VLOOKUP(B270,Справочник!$A$2:$C$135,2,FALSE),"")</f>
        <v/>
      </c>
      <c r="D270" s="5">
        <f>IFERROR(VLOOKUP(B270,Справочник!$A$2:$C$135,3,FALSE),"")</f>
        <v/>
      </c>
      <c r="E270" s="4" t="n"/>
      <c r="F270" s="4" t="n"/>
      <c r="G270" s="5">
        <f>IF(E270="","",E270-N(F270))</f>
        <v/>
      </c>
      <c r="H270" s="4" t="n"/>
      <c r="I270" s="6">
        <f>IF(OR(E270="",H270=""),"",E270*H270)</f>
        <v/>
      </c>
      <c r="J270" s="4" t="n"/>
    </row>
    <row r="271">
      <c r="A271" s="3" t="n"/>
      <c r="B271" s="4" t="n"/>
      <c r="C271" s="5">
        <f>IFERROR(VLOOKUP(B271,Справочник!$A$2:$C$135,2,FALSE),"")</f>
        <v/>
      </c>
      <c r="D271" s="5">
        <f>IFERROR(VLOOKUP(B271,Справочник!$A$2:$C$135,3,FALSE),"")</f>
        <v/>
      </c>
      <c r="E271" s="4" t="n"/>
      <c r="F271" s="4" t="n"/>
      <c r="G271" s="5">
        <f>IF(E271="","",E271-N(F271))</f>
        <v/>
      </c>
      <c r="H271" s="4" t="n"/>
      <c r="I271" s="6">
        <f>IF(OR(E271="",H271=""),"",E271*H271)</f>
        <v/>
      </c>
      <c r="J271" s="4" t="n"/>
    </row>
    <row r="272">
      <c r="A272" s="3" t="n"/>
      <c r="B272" s="4" t="n"/>
      <c r="C272" s="5">
        <f>IFERROR(VLOOKUP(B272,Справочник!$A$2:$C$135,2,FALSE),"")</f>
        <v/>
      </c>
      <c r="D272" s="5">
        <f>IFERROR(VLOOKUP(B272,Справочник!$A$2:$C$135,3,FALSE),"")</f>
        <v/>
      </c>
      <c r="E272" s="4" t="n"/>
      <c r="F272" s="4" t="n"/>
      <c r="G272" s="5">
        <f>IF(E272="","",E272-N(F272))</f>
        <v/>
      </c>
      <c r="H272" s="4" t="n"/>
      <c r="I272" s="6">
        <f>IF(OR(E272="",H272=""),"",E272*H272)</f>
        <v/>
      </c>
      <c r="J272" s="4" t="n"/>
    </row>
    <row r="273">
      <c r="A273" s="3" t="n"/>
      <c r="B273" s="4" t="n"/>
      <c r="C273" s="5">
        <f>IFERROR(VLOOKUP(B273,Справочник!$A$2:$C$135,2,FALSE),"")</f>
        <v/>
      </c>
      <c r="D273" s="5">
        <f>IFERROR(VLOOKUP(B273,Справочник!$A$2:$C$135,3,FALSE),"")</f>
        <v/>
      </c>
      <c r="E273" s="4" t="n"/>
      <c r="F273" s="4" t="n"/>
      <c r="G273" s="5">
        <f>IF(E273="","",E273-N(F273))</f>
        <v/>
      </c>
      <c r="H273" s="4" t="n"/>
      <c r="I273" s="6">
        <f>IF(OR(E273="",H273=""),"",E273*H273)</f>
        <v/>
      </c>
      <c r="J273" s="4" t="n"/>
    </row>
    <row r="274">
      <c r="A274" s="3" t="n"/>
      <c r="B274" s="4" t="n"/>
      <c r="C274" s="5">
        <f>IFERROR(VLOOKUP(B274,Справочник!$A$2:$C$135,2,FALSE),"")</f>
        <v/>
      </c>
      <c r="D274" s="5">
        <f>IFERROR(VLOOKUP(B274,Справочник!$A$2:$C$135,3,FALSE),"")</f>
        <v/>
      </c>
      <c r="E274" s="4" t="n"/>
      <c r="F274" s="4" t="n"/>
      <c r="G274" s="5">
        <f>IF(E274="","",E274-N(F274))</f>
        <v/>
      </c>
      <c r="H274" s="4" t="n"/>
      <c r="I274" s="6">
        <f>IF(OR(E274="",H274=""),"",E274*H274)</f>
        <v/>
      </c>
      <c r="J274" s="4" t="n"/>
    </row>
    <row r="275">
      <c r="A275" s="3" t="n"/>
      <c r="B275" s="4" t="n"/>
      <c r="C275" s="5">
        <f>IFERROR(VLOOKUP(B275,Справочник!$A$2:$C$135,2,FALSE),"")</f>
        <v/>
      </c>
      <c r="D275" s="5">
        <f>IFERROR(VLOOKUP(B275,Справочник!$A$2:$C$135,3,FALSE),"")</f>
        <v/>
      </c>
      <c r="E275" s="4" t="n"/>
      <c r="F275" s="4" t="n"/>
      <c r="G275" s="5">
        <f>IF(E275="","",E275-N(F275))</f>
        <v/>
      </c>
      <c r="H275" s="4" t="n"/>
      <c r="I275" s="6">
        <f>IF(OR(E275="",H275=""),"",E275*H275)</f>
        <v/>
      </c>
      <c r="J275" s="4" t="n"/>
    </row>
    <row r="276">
      <c r="A276" s="3" t="n"/>
      <c r="B276" s="4" t="n"/>
      <c r="C276" s="5">
        <f>IFERROR(VLOOKUP(B276,Справочник!$A$2:$C$135,2,FALSE),"")</f>
        <v/>
      </c>
      <c r="D276" s="5">
        <f>IFERROR(VLOOKUP(B276,Справочник!$A$2:$C$135,3,FALSE),"")</f>
        <v/>
      </c>
      <c r="E276" s="4" t="n"/>
      <c r="F276" s="4" t="n"/>
      <c r="G276" s="5">
        <f>IF(E276="","",E276-N(F276))</f>
        <v/>
      </c>
      <c r="H276" s="4" t="n"/>
      <c r="I276" s="6">
        <f>IF(OR(E276="",H276=""),"",E276*H276)</f>
        <v/>
      </c>
      <c r="J276" s="4" t="n"/>
    </row>
    <row r="277">
      <c r="A277" s="3" t="n"/>
      <c r="B277" s="4" t="n"/>
      <c r="C277" s="5">
        <f>IFERROR(VLOOKUP(B277,Справочник!$A$2:$C$135,2,FALSE),"")</f>
        <v/>
      </c>
      <c r="D277" s="5">
        <f>IFERROR(VLOOKUP(B277,Справочник!$A$2:$C$135,3,FALSE),"")</f>
        <v/>
      </c>
      <c r="E277" s="4" t="n"/>
      <c r="F277" s="4" t="n"/>
      <c r="G277" s="5">
        <f>IF(E277="","",E277-N(F277))</f>
        <v/>
      </c>
      <c r="H277" s="4" t="n"/>
      <c r="I277" s="6">
        <f>IF(OR(E277="",H277=""),"",E277*H277)</f>
        <v/>
      </c>
      <c r="J277" s="4" t="n"/>
    </row>
    <row r="278">
      <c r="A278" s="3" t="n"/>
      <c r="B278" s="4" t="n"/>
      <c r="C278" s="5">
        <f>IFERROR(VLOOKUP(B278,Справочник!$A$2:$C$135,2,FALSE),"")</f>
        <v/>
      </c>
      <c r="D278" s="5">
        <f>IFERROR(VLOOKUP(B278,Справочник!$A$2:$C$135,3,FALSE),"")</f>
        <v/>
      </c>
      <c r="E278" s="4" t="n"/>
      <c r="F278" s="4" t="n"/>
      <c r="G278" s="5">
        <f>IF(E278="","",E278-N(F278))</f>
        <v/>
      </c>
      <c r="H278" s="4" t="n"/>
      <c r="I278" s="6">
        <f>IF(OR(E278="",H278=""),"",E278*H278)</f>
        <v/>
      </c>
      <c r="J278" s="4" t="n"/>
    </row>
    <row r="279">
      <c r="A279" s="3" t="n"/>
      <c r="B279" s="4" t="n"/>
      <c r="C279" s="5">
        <f>IFERROR(VLOOKUP(B279,Справочник!$A$2:$C$135,2,FALSE),"")</f>
        <v/>
      </c>
      <c r="D279" s="5">
        <f>IFERROR(VLOOKUP(B279,Справочник!$A$2:$C$135,3,FALSE),"")</f>
        <v/>
      </c>
      <c r="E279" s="4" t="n"/>
      <c r="F279" s="4" t="n"/>
      <c r="G279" s="5">
        <f>IF(E279="","",E279-N(F279))</f>
        <v/>
      </c>
      <c r="H279" s="4" t="n"/>
      <c r="I279" s="6">
        <f>IF(OR(E279="",H279=""),"",E279*H279)</f>
        <v/>
      </c>
      <c r="J279" s="4" t="n"/>
    </row>
    <row r="280">
      <c r="A280" s="3" t="n"/>
      <c r="B280" s="4" t="n"/>
      <c r="C280" s="5">
        <f>IFERROR(VLOOKUP(B280,Справочник!$A$2:$C$135,2,FALSE),"")</f>
        <v/>
      </c>
      <c r="D280" s="5">
        <f>IFERROR(VLOOKUP(B280,Справочник!$A$2:$C$135,3,FALSE),"")</f>
        <v/>
      </c>
      <c r="E280" s="4" t="n"/>
      <c r="F280" s="4" t="n"/>
      <c r="G280" s="5">
        <f>IF(E280="","",E280-N(F280))</f>
        <v/>
      </c>
      <c r="H280" s="4" t="n"/>
      <c r="I280" s="6">
        <f>IF(OR(E280="",H280=""),"",E280*H280)</f>
        <v/>
      </c>
      <c r="J280" s="4" t="n"/>
    </row>
    <row r="281">
      <c r="A281" s="3" t="n"/>
      <c r="B281" s="4" t="n"/>
      <c r="C281" s="5">
        <f>IFERROR(VLOOKUP(B281,Справочник!$A$2:$C$135,2,FALSE),"")</f>
        <v/>
      </c>
      <c r="D281" s="5">
        <f>IFERROR(VLOOKUP(B281,Справочник!$A$2:$C$135,3,FALSE),"")</f>
        <v/>
      </c>
      <c r="E281" s="4" t="n"/>
      <c r="F281" s="4" t="n"/>
      <c r="G281" s="5">
        <f>IF(E281="","",E281-N(F281))</f>
        <v/>
      </c>
      <c r="H281" s="4" t="n"/>
      <c r="I281" s="6">
        <f>IF(OR(E281="",H281=""),"",E281*H281)</f>
        <v/>
      </c>
      <c r="J281" s="4" t="n"/>
    </row>
    <row r="282">
      <c r="A282" s="3" t="n"/>
      <c r="B282" s="4" t="n"/>
      <c r="C282" s="5">
        <f>IFERROR(VLOOKUP(B282,Справочник!$A$2:$C$135,2,FALSE),"")</f>
        <v/>
      </c>
      <c r="D282" s="5">
        <f>IFERROR(VLOOKUP(B282,Справочник!$A$2:$C$135,3,FALSE),"")</f>
        <v/>
      </c>
      <c r="E282" s="4" t="n"/>
      <c r="F282" s="4" t="n"/>
      <c r="G282" s="5">
        <f>IF(E282="","",E282-N(F282))</f>
        <v/>
      </c>
      <c r="H282" s="4" t="n"/>
      <c r="I282" s="6">
        <f>IF(OR(E282="",H282=""),"",E282*H282)</f>
        <v/>
      </c>
      <c r="J282" s="4" t="n"/>
    </row>
    <row r="283">
      <c r="A283" s="3" t="n"/>
      <c r="B283" s="4" t="n"/>
      <c r="C283" s="5">
        <f>IFERROR(VLOOKUP(B283,Справочник!$A$2:$C$135,2,FALSE),"")</f>
        <v/>
      </c>
      <c r="D283" s="5">
        <f>IFERROR(VLOOKUP(B283,Справочник!$A$2:$C$135,3,FALSE),"")</f>
        <v/>
      </c>
      <c r="E283" s="4" t="n"/>
      <c r="F283" s="4" t="n"/>
      <c r="G283" s="5">
        <f>IF(E283="","",E283-N(F283))</f>
        <v/>
      </c>
      <c r="H283" s="4" t="n"/>
      <c r="I283" s="6">
        <f>IF(OR(E283="",H283=""),"",E283*H283)</f>
        <v/>
      </c>
      <c r="J283" s="4" t="n"/>
    </row>
    <row r="284">
      <c r="A284" s="3" t="n"/>
      <c r="B284" s="4" t="n"/>
      <c r="C284" s="5">
        <f>IFERROR(VLOOKUP(B284,Справочник!$A$2:$C$135,2,FALSE),"")</f>
        <v/>
      </c>
      <c r="D284" s="5">
        <f>IFERROR(VLOOKUP(B284,Справочник!$A$2:$C$135,3,FALSE),"")</f>
        <v/>
      </c>
      <c r="E284" s="4" t="n"/>
      <c r="F284" s="4" t="n"/>
      <c r="G284" s="5">
        <f>IF(E284="","",E284-N(F284))</f>
        <v/>
      </c>
      <c r="H284" s="4" t="n"/>
      <c r="I284" s="6">
        <f>IF(OR(E284="",H284=""),"",E284*H284)</f>
        <v/>
      </c>
      <c r="J284" s="4" t="n"/>
    </row>
    <row r="285">
      <c r="A285" s="3" t="n"/>
      <c r="B285" s="4" t="n"/>
      <c r="C285" s="5">
        <f>IFERROR(VLOOKUP(B285,Справочник!$A$2:$C$135,2,FALSE),"")</f>
        <v/>
      </c>
      <c r="D285" s="5">
        <f>IFERROR(VLOOKUP(B285,Справочник!$A$2:$C$135,3,FALSE),"")</f>
        <v/>
      </c>
      <c r="E285" s="4" t="n"/>
      <c r="F285" s="4" t="n"/>
      <c r="G285" s="5">
        <f>IF(E285="","",E285-N(F285))</f>
        <v/>
      </c>
      <c r="H285" s="4" t="n"/>
      <c r="I285" s="6">
        <f>IF(OR(E285="",H285=""),"",E285*H285)</f>
        <v/>
      </c>
      <c r="J285" s="4" t="n"/>
    </row>
    <row r="286">
      <c r="A286" s="3" t="n"/>
      <c r="B286" s="4" t="n"/>
      <c r="C286" s="5">
        <f>IFERROR(VLOOKUP(B286,Справочник!$A$2:$C$135,2,FALSE),"")</f>
        <v/>
      </c>
      <c r="D286" s="5">
        <f>IFERROR(VLOOKUP(B286,Справочник!$A$2:$C$135,3,FALSE),"")</f>
        <v/>
      </c>
      <c r="E286" s="4" t="n"/>
      <c r="F286" s="4" t="n"/>
      <c r="G286" s="5">
        <f>IF(E286="","",E286-N(F286))</f>
        <v/>
      </c>
      <c r="H286" s="4" t="n"/>
      <c r="I286" s="6">
        <f>IF(OR(E286="",H286=""),"",E286*H286)</f>
        <v/>
      </c>
      <c r="J286" s="4" t="n"/>
    </row>
    <row r="287">
      <c r="A287" s="3" t="n"/>
      <c r="B287" s="4" t="n"/>
      <c r="C287" s="5">
        <f>IFERROR(VLOOKUP(B287,Справочник!$A$2:$C$135,2,FALSE),"")</f>
        <v/>
      </c>
      <c r="D287" s="5">
        <f>IFERROR(VLOOKUP(B287,Справочник!$A$2:$C$135,3,FALSE),"")</f>
        <v/>
      </c>
      <c r="E287" s="4" t="n"/>
      <c r="F287" s="4" t="n"/>
      <c r="G287" s="5">
        <f>IF(E287="","",E287-N(F287))</f>
        <v/>
      </c>
      <c r="H287" s="4" t="n"/>
      <c r="I287" s="6">
        <f>IF(OR(E287="",H287=""),"",E287*H287)</f>
        <v/>
      </c>
      <c r="J287" s="4" t="n"/>
    </row>
    <row r="288">
      <c r="A288" s="3" t="n"/>
      <c r="B288" s="4" t="n"/>
      <c r="C288" s="5">
        <f>IFERROR(VLOOKUP(B288,Справочник!$A$2:$C$135,2,FALSE),"")</f>
        <v/>
      </c>
      <c r="D288" s="5">
        <f>IFERROR(VLOOKUP(B288,Справочник!$A$2:$C$135,3,FALSE),"")</f>
        <v/>
      </c>
      <c r="E288" s="4" t="n"/>
      <c r="F288" s="4" t="n"/>
      <c r="G288" s="5">
        <f>IF(E288="","",E288-N(F288))</f>
        <v/>
      </c>
      <c r="H288" s="4" t="n"/>
      <c r="I288" s="6">
        <f>IF(OR(E288="",H288=""),"",E288*H288)</f>
        <v/>
      </c>
      <c r="J288" s="4" t="n"/>
    </row>
    <row r="289">
      <c r="A289" s="3" t="n"/>
      <c r="B289" s="4" t="n"/>
      <c r="C289" s="5">
        <f>IFERROR(VLOOKUP(B289,Справочник!$A$2:$C$135,2,FALSE),"")</f>
        <v/>
      </c>
      <c r="D289" s="5">
        <f>IFERROR(VLOOKUP(B289,Справочник!$A$2:$C$135,3,FALSE),"")</f>
        <v/>
      </c>
      <c r="E289" s="4" t="n"/>
      <c r="F289" s="4" t="n"/>
      <c r="G289" s="5">
        <f>IF(E289="","",E289-N(F289))</f>
        <v/>
      </c>
      <c r="H289" s="4" t="n"/>
      <c r="I289" s="6">
        <f>IF(OR(E289="",H289=""),"",E289*H289)</f>
        <v/>
      </c>
      <c r="J289" s="4" t="n"/>
    </row>
    <row r="290">
      <c r="A290" s="3" t="n"/>
      <c r="B290" s="4" t="n"/>
      <c r="C290" s="5">
        <f>IFERROR(VLOOKUP(B290,Справочник!$A$2:$C$135,2,FALSE),"")</f>
        <v/>
      </c>
      <c r="D290" s="5">
        <f>IFERROR(VLOOKUP(B290,Справочник!$A$2:$C$135,3,FALSE),"")</f>
        <v/>
      </c>
      <c r="E290" s="4" t="n"/>
      <c r="F290" s="4" t="n"/>
      <c r="G290" s="5">
        <f>IF(E290="","",E290-N(F290))</f>
        <v/>
      </c>
      <c r="H290" s="4" t="n"/>
      <c r="I290" s="6">
        <f>IF(OR(E290="",H290=""),"",E290*H290)</f>
        <v/>
      </c>
      <c r="J290" s="4" t="n"/>
    </row>
    <row r="291">
      <c r="A291" s="3" t="n"/>
      <c r="B291" s="4" t="n"/>
      <c r="C291" s="5">
        <f>IFERROR(VLOOKUP(B291,Справочник!$A$2:$C$135,2,FALSE),"")</f>
        <v/>
      </c>
      <c r="D291" s="5">
        <f>IFERROR(VLOOKUP(B291,Справочник!$A$2:$C$135,3,FALSE),"")</f>
        <v/>
      </c>
      <c r="E291" s="4" t="n"/>
      <c r="F291" s="4" t="n"/>
      <c r="G291" s="5">
        <f>IF(E291="","",E291-N(F291))</f>
        <v/>
      </c>
      <c r="H291" s="4" t="n"/>
      <c r="I291" s="6">
        <f>IF(OR(E291="",H291=""),"",E291*H291)</f>
        <v/>
      </c>
      <c r="J291" s="4" t="n"/>
    </row>
    <row r="292">
      <c r="A292" s="3" t="n"/>
      <c r="B292" s="4" t="n"/>
      <c r="C292" s="5">
        <f>IFERROR(VLOOKUP(B292,Справочник!$A$2:$C$135,2,FALSE),"")</f>
        <v/>
      </c>
      <c r="D292" s="5">
        <f>IFERROR(VLOOKUP(B292,Справочник!$A$2:$C$135,3,FALSE),"")</f>
        <v/>
      </c>
      <c r="E292" s="4" t="n"/>
      <c r="F292" s="4" t="n"/>
      <c r="G292" s="5">
        <f>IF(E292="","",E292-N(F292))</f>
        <v/>
      </c>
      <c r="H292" s="4" t="n"/>
      <c r="I292" s="6">
        <f>IF(OR(E292="",H292=""),"",E292*H292)</f>
        <v/>
      </c>
      <c r="J292" s="4" t="n"/>
    </row>
    <row r="293">
      <c r="A293" s="3" t="n"/>
      <c r="B293" s="4" t="n"/>
      <c r="C293" s="5">
        <f>IFERROR(VLOOKUP(B293,Справочник!$A$2:$C$135,2,FALSE),"")</f>
        <v/>
      </c>
      <c r="D293" s="5">
        <f>IFERROR(VLOOKUP(B293,Справочник!$A$2:$C$135,3,FALSE),"")</f>
        <v/>
      </c>
      <c r="E293" s="4" t="n"/>
      <c r="F293" s="4" t="n"/>
      <c r="G293" s="5">
        <f>IF(E293="","",E293-N(F293))</f>
        <v/>
      </c>
      <c r="H293" s="4" t="n"/>
      <c r="I293" s="6">
        <f>IF(OR(E293="",H293=""),"",E293*H293)</f>
        <v/>
      </c>
      <c r="J293" s="4" t="n"/>
    </row>
    <row r="294">
      <c r="A294" s="3" t="n"/>
      <c r="B294" s="4" t="n"/>
      <c r="C294" s="5">
        <f>IFERROR(VLOOKUP(B294,Справочник!$A$2:$C$135,2,FALSE),"")</f>
        <v/>
      </c>
      <c r="D294" s="5">
        <f>IFERROR(VLOOKUP(B294,Справочник!$A$2:$C$135,3,FALSE),"")</f>
        <v/>
      </c>
      <c r="E294" s="4" t="n"/>
      <c r="F294" s="4" t="n"/>
      <c r="G294" s="5">
        <f>IF(E294="","",E294-N(F294))</f>
        <v/>
      </c>
      <c r="H294" s="4" t="n"/>
      <c r="I294" s="6">
        <f>IF(OR(E294="",H294=""),"",E294*H294)</f>
        <v/>
      </c>
      <c r="J294" s="4" t="n"/>
    </row>
    <row r="295">
      <c r="A295" s="3" t="n"/>
      <c r="B295" s="4" t="n"/>
      <c r="C295" s="5">
        <f>IFERROR(VLOOKUP(B295,Справочник!$A$2:$C$135,2,FALSE),"")</f>
        <v/>
      </c>
      <c r="D295" s="5">
        <f>IFERROR(VLOOKUP(B295,Справочник!$A$2:$C$135,3,FALSE),"")</f>
        <v/>
      </c>
      <c r="E295" s="4" t="n"/>
      <c r="F295" s="4" t="n"/>
      <c r="G295" s="5">
        <f>IF(E295="","",E295-N(F295))</f>
        <v/>
      </c>
      <c r="H295" s="4" t="n"/>
      <c r="I295" s="6">
        <f>IF(OR(E295="",H295=""),"",E295*H295)</f>
        <v/>
      </c>
      <c r="J295" s="4" t="n"/>
    </row>
    <row r="296">
      <c r="A296" s="3" t="n"/>
      <c r="B296" s="4" t="n"/>
      <c r="C296" s="5">
        <f>IFERROR(VLOOKUP(B296,Справочник!$A$2:$C$135,2,FALSE),"")</f>
        <v/>
      </c>
      <c r="D296" s="5">
        <f>IFERROR(VLOOKUP(B296,Справочник!$A$2:$C$135,3,FALSE),"")</f>
        <v/>
      </c>
      <c r="E296" s="4" t="n"/>
      <c r="F296" s="4" t="n"/>
      <c r="G296" s="5">
        <f>IF(E296="","",E296-N(F296))</f>
        <v/>
      </c>
      <c r="H296" s="4" t="n"/>
      <c r="I296" s="6">
        <f>IF(OR(E296="",H296=""),"",E296*H296)</f>
        <v/>
      </c>
      <c r="J296" s="4" t="n"/>
    </row>
    <row r="297">
      <c r="A297" s="3" t="n"/>
      <c r="B297" s="4" t="n"/>
      <c r="C297" s="5">
        <f>IFERROR(VLOOKUP(B297,Справочник!$A$2:$C$135,2,FALSE),"")</f>
        <v/>
      </c>
      <c r="D297" s="5">
        <f>IFERROR(VLOOKUP(B297,Справочник!$A$2:$C$135,3,FALSE),"")</f>
        <v/>
      </c>
      <c r="E297" s="4" t="n"/>
      <c r="F297" s="4" t="n"/>
      <c r="G297" s="5">
        <f>IF(E297="","",E297-N(F297))</f>
        <v/>
      </c>
      <c r="H297" s="4" t="n"/>
      <c r="I297" s="6">
        <f>IF(OR(E297="",H297=""),"",E297*H297)</f>
        <v/>
      </c>
      <c r="J297" s="4" t="n"/>
    </row>
    <row r="298">
      <c r="A298" s="3" t="n"/>
      <c r="B298" s="4" t="n"/>
      <c r="C298" s="5">
        <f>IFERROR(VLOOKUP(B298,Справочник!$A$2:$C$135,2,FALSE),"")</f>
        <v/>
      </c>
      <c r="D298" s="5">
        <f>IFERROR(VLOOKUP(B298,Справочник!$A$2:$C$135,3,FALSE),"")</f>
        <v/>
      </c>
      <c r="E298" s="4" t="n"/>
      <c r="F298" s="4" t="n"/>
      <c r="G298" s="5">
        <f>IF(E298="","",E298-N(F298))</f>
        <v/>
      </c>
      <c r="H298" s="4" t="n"/>
      <c r="I298" s="6">
        <f>IF(OR(E298="",H298=""),"",E298*H298)</f>
        <v/>
      </c>
      <c r="J298" s="4" t="n"/>
    </row>
    <row r="299">
      <c r="A299" s="3" t="n"/>
      <c r="B299" s="4" t="n"/>
      <c r="C299" s="5">
        <f>IFERROR(VLOOKUP(B299,Справочник!$A$2:$C$135,2,FALSE),"")</f>
        <v/>
      </c>
      <c r="D299" s="5">
        <f>IFERROR(VLOOKUP(B299,Справочник!$A$2:$C$135,3,FALSE),"")</f>
        <v/>
      </c>
      <c r="E299" s="4" t="n"/>
      <c r="F299" s="4" t="n"/>
      <c r="G299" s="5">
        <f>IF(E299="","",E299-N(F299))</f>
        <v/>
      </c>
      <c r="H299" s="4" t="n"/>
      <c r="I299" s="6">
        <f>IF(OR(E299="",H299=""),"",E299*H299)</f>
        <v/>
      </c>
      <c r="J299" s="4" t="n"/>
    </row>
    <row r="300">
      <c r="A300" s="3" t="n"/>
      <c r="B300" s="4" t="n"/>
      <c r="C300" s="5">
        <f>IFERROR(VLOOKUP(B300,Справочник!$A$2:$C$135,2,FALSE),"")</f>
        <v/>
      </c>
      <c r="D300" s="5">
        <f>IFERROR(VLOOKUP(B300,Справочник!$A$2:$C$135,3,FALSE),"")</f>
        <v/>
      </c>
      <c r="E300" s="4" t="n"/>
      <c r="F300" s="4" t="n"/>
      <c r="G300" s="5">
        <f>IF(E300="","",E300-N(F300))</f>
        <v/>
      </c>
      <c r="H300" s="4" t="n"/>
      <c r="I300" s="6">
        <f>IF(OR(E300="",H300=""),"",E300*H300)</f>
        <v/>
      </c>
      <c r="J300" s="4" t="n"/>
    </row>
    <row r="301">
      <c r="A301" s="3" t="n"/>
      <c r="B301" s="4" t="n"/>
      <c r="C301" s="5">
        <f>IFERROR(VLOOKUP(B301,Справочник!$A$2:$C$135,2,FALSE),"")</f>
        <v/>
      </c>
      <c r="D301" s="5">
        <f>IFERROR(VLOOKUP(B301,Справочник!$A$2:$C$135,3,FALSE),"")</f>
        <v/>
      </c>
      <c r="E301" s="4" t="n"/>
      <c r="F301" s="4" t="n"/>
      <c r="G301" s="5">
        <f>IF(E301="","",E301-N(F301))</f>
        <v/>
      </c>
      <c r="H301" s="4" t="n"/>
      <c r="I301" s="6">
        <f>IF(OR(E301="",H301=""),"",E301*H301)</f>
        <v/>
      </c>
      <c r="J301" s="4" t="n"/>
    </row>
    <row r="302">
      <c r="A302" s="3" t="n"/>
      <c r="B302" s="4" t="n"/>
      <c r="C302" s="5">
        <f>IFERROR(VLOOKUP(B302,Справочник!$A$2:$C$135,2,FALSE),"")</f>
        <v/>
      </c>
      <c r="D302" s="5">
        <f>IFERROR(VLOOKUP(B302,Справочник!$A$2:$C$135,3,FALSE),"")</f>
        <v/>
      </c>
      <c r="E302" s="4" t="n"/>
      <c r="F302" s="4" t="n"/>
      <c r="G302" s="5">
        <f>IF(E302="","",E302-N(F302))</f>
        <v/>
      </c>
      <c r="H302" s="4" t="n"/>
      <c r="I302" s="6">
        <f>IF(OR(E302="",H302=""),"",E302*H302)</f>
        <v/>
      </c>
      <c r="J302" s="4" t="n"/>
    </row>
    <row r="303">
      <c r="A303" s="3" t="n"/>
      <c r="B303" s="4" t="n"/>
      <c r="C303" s="5">
        <f>IFERROR(VLOOKUP(B303,Справочник!$A$2:$C$135,2,FALSE),"")</f>
        <v/>
      </c>
      <c r="D303" s="5">
        <f>IFERROR(VLOOKUP(B303,Справочник!$A$2:$C$135,3,FALSE),"")</f>
        <v/>
      </c>
      <c r="E303" s="4" t="n"/>
      <c r="F303" s="4" t="n"/>
      <c r="G303" s="5">
        <f>IF(E303="","",E303-N(F303))</f>
        <v/>
      </c>
      <c r="H303" s="4" t="n"/>
      <c r="I303" s="6">
        <f>IF(OR(E303="",H303=""),"",E303*H303)</f>
        <v/>
      </c>
      <c r="J303" s="4" t="n"/>
    </row>
    <row r="304">
      <c r="A304" s="3" t="n"/>
      <c r="B304" s="4" t="n"/>
      <c r="C304" s="5">
        <f>IFERROR(VLOOKUP(B304,Справочник!$A$2:$C$135,2,FALSE),"")</f>
        <v/>
      </c>
      <c r="D304" s="5">
        <f>IFERROR(VLOOKUP(B304,Справочник!$A$2:$C$135,3,FALSE),"")</f>
        <v/>
      </c>
      <c r="E304" s="4" t="n"/>
      <c r="F304" s="4" t="n"/>
      <c r="G304" s="5">
        <f>IF(E304="","",E304-N(F304))</f>
        <v/>
      </c>
      <c r="H304" s="4" t="n"/>
      <c r="I304" s="6">
        <f>IF(OR(E304="",H304=""),"",E304*H304)</f>
        <v/>
      </c>
      <c r="J304" s="4" t="n"/>
    </row>
    <row r="305">
      <c r="A305" s="3" t="n"/>
      <c r="B305" s="4" t="n"/>
      <c r="C305" s="5">
        <f>IFERROR(VLOOKUP(B305,Справочник!$A$2:$C$135,2,FALSE),"")</f>
        <v/>
      </c>
      <c r="D305" s="5">
        <f>IFERROR(VLOOKUP(B305,Справочник!$A$2:$C$135,3,FALSE),"")</f>
        <v/>
      </c>
      <c r="E305" s="4" t="n"/>
      <c r="F305" s="4" t="n"/>
      <c r="G305" s="5">
        <f>IF(E305="","",E305-N(F305))</f>
        <v/>
      </c>
      <c r="H305" s="4" t="n"/>
      <c r="I305" s="6">
        <f>IF(OR(E305="",H305=""),"",E305*H305)</f>
        <v/>
      </c>
      <c r="J305" s="4" t="n"/>
    </row>
    <row r="306">
      <c r="A306" s="3" t="n"/>
      <c r="B306" s="4" t="n"/>
      <c r="C306" s="5">
        <f>IFERROR(VLOOKUP(B306,Справочник!$A$2:$C$135,2,FALSE),"")</f>
        <v/>
      </c>
      <c r="D306" s="5">
        <f>IFERROR(VLOOKUP(B306,Справочник!$A$2:$C$135,3,FALSE),"")</f>
        <v/>
      </c>
      <c r="E306" s="4" t="n"/>
      <c r="F306" s="4" t="n"/>
      <c r="G306" s="5">
        <f>IF(E306="","",E306-N(F306))</f>
        <v/>
      </c>
      <c r="H306" s="4" t="n"/>
      <c r="I306" s="6">
        <f>IF(OR(E306="",H306=""),"",E306*H306)</f>
        <v/>
      </c>
      <c r="J306" s="4" t="n"/>
    </row>
    <row r="307">
      <c r="A307" s="3" t="n"/>
      <c r="B307" s="4" t="n"/>
      <c r="C307" s="5">
        <f>IFERROR(VLOOKUP(B307,Справочник!$A$2:$C$135,2,FALSE),"")</f>
        <v/>
      </c>
      <c r="D307" s="5">
        <f>IFERROR(VLOOKUP(B307,Справочник!$A$2:$C$135,3,FALSE),"")</f>
        <v/>
      </c>
      <c r="E307" s="4" t="n"/>
      <c r="F307" s="4" t="n"/>
      <c r="G307" s="5">
        <f>IF(E307="","",E307-N(F307))</f>
        <v/>
      </c>
      <c r="H307" s="4" t="n"/>
      <c r="I307" s="6">
        <f>IF(OR(E307="",H307=""),"",E307*H307)</f>
        <v/>
      </c>
      <c r="J307" s="4" t="n"/>
    </row>
    <row r="308">
      <c r="A308" s="3" t="n"/>
      <c r="B308" s="4" t="n"/>
      <c r="C308" s="5">
        <f>IFERROR(VLOOKUP(B308,Справочник!$A$2:$C$135,2,FALSE),"")</f>
        <v/>
      </c>
      <c r="D308" s="5">
        <f>IFERROR(VLOOKUP(B308,Справочник!$A$2:$C$135,3,FALSE),"")</f>
        <v/>
      </c>
      <c r="E308" s="4" t="n"/>
      <c r="F308" s="4" t="n"/>
      <c r="G308" s="5">
        <f>IF(E308="","",E308-N(F308))</f>
        <v/>
      </c>
      <c r="H308" s="4" t="n"/>
      <c r="I308" s="6">
        <f>IF(OR(E308="",H308=""),"",E308*H308)</f>
        <v/>
      </c>
      <c r="J308" s="4" t="n"/>
    </row>
    <row r="309">
      <c r="A309" s="3" t="n"/>
      <c r="B309" s="4" t="n"/>
      <c r="C309" s="5">
        <f>IFERROR(VLOOKUP(B309,Справочник!$A$2:$C$135,2,FALSE),"")</f>
        <v/>
      </c>
      <c r="D309" s="5">
        <f>IFERROR(VLOOKUP(B309,Справочник!$A$2:$C$135,3,FALSE),"")</f>
        <v/>
      </c>
      <c r="E309" s="4" t="n"/>
      <c r="F309" s="4" t="n"/>
      <c r="G309" s="5">
        <f>IF(E309="","",E309-N(F309))</f>
        <v/>
      </c>
      <c r="H309" s="4" t="n"/>
      <c r="I309" s="6">
        <f>IF(OR(E309="",H309=""),"",E309*H309)</f>
        <v/>
      </c>
      <c r="J309" s="4" t="n"/>
    </row>
    <row r="310">
      <c r="A310" s="3" t="n"/>
      <c r="B310" s="4" t="n"/>
      <c r="C310" s="5">
        <f>IFERROR(VLOOKUP(B310,Справочник!$A$2:$C$135,2,FALSE),"")</f>
        <v/>
      </c>
      <c r="D310" s="5">
        <f>IFERROR(VLOOKUP(B310,Справочник!$A$2:$C$135,3,FALSE),"")</f>
        <v/>
      </c>
      <c r="E310" s="4" t="n"/>
      <c r="F310" s="4" t="n"/>
      <c r="G310" s="5">
        <f>IF(E310="","",E310-N(F310))</f>
        <v/>
      </c>
      <c r="H310" s="4" t="n"/>
      <c r="I310" s="6">
        <f>IF(OR(E310="",H310=""),"",E310*H310)</f>
        <v/>
      </c>
      <c r="J310" s="4" t="n"/>
    </row>
    <row r="311">
      <c r="A311" s="3" t="n"/>
      <c r="B311" s="4" t="n"/>
      <c r="C311" s="5">
        <f>IFERROR(VLOOKUP(B311,Справочник!$A$2:$C$135,2,FALSE),"")</f>
        <v/>
      </c>
      <c r="D311" s="5">
        <f>IFERROR(VLOOKUP(B311,Справочник!$A$2:$C$135,3,FALSE),"")</f>
        <v/>
      </c>
      <c r="E311" s="4" t="n"/>
      <c r="F311" s="4" t="n"/>
      <c r="G311" s="5">
        <f>IF(E311="","",E311-N(F311))</f>
        <v/>
      </c>
      <c r="H311" s="4" t="n"/>
      <c r="I311" s="6">
        <f>IF(OR(E311="",H311=""),"",E311*H311)</f>
        <v/>
      </c>
      <c r="J311" s="4" t="n"/>
    </row>
    <row r="312">
      <c r="A312" s="3" t="n"/>
      <c r="B312" s="4" t="n"/>
      <c r="C312" s="5">
        <f>IFERROR(VLOOKUP(B312,Справочник!$A$2:$C$135,2,FALSE),"")</f>
        <v/>
      </c>
      <c r="D312" s="5">
        <f>IFERROR(VLOOKUP(B312,Справочник!$A$2:$C$135,3,FALSE),"")</f>
        <v/>
      </c>
      <c r="E312" s="4" t="n"/>
      <c r="F312" s="4" t="n"/>
      <c r="G312" s="5">
        <f>IF(E312="","",E312-N(F312))</f>
        <v/>
      </c>
      <c r="H312" s="4" t="n"/>
      <c r="I312" s="6">
        <f>IF(OR(E312="",H312=""),"",E312*H312)</f>
        <v/>
      </c>
      <c r="J312" s="4" t="n"/>
    </row>
    <row r="313">
      <c r="A313" s="3" t="n"/>
      <c r="B313" s="4" t="n"/>
      <c r="C313" s="5">
        <f>IFERROR(VLOOKUP(B313,Справочник!$A$2:$C$135,2,FALSE),"")</f>
        <v/>
      </c>
      <c r="D313" s="5">
        <f>IFERROR(VLOOKUP(B313,Справочник!$A$2:$C$135,3,FALSE),"")</f>
        <v/>
      </c>
      <c r="E313" s="4" t="n"/>
      <c r="F313" s="4" t="n"/>
      <c r="G313" s="5">
        <f>IF(E313="","",E313-N(F313))</f>
        <v/>
      </c>
      <c r="H313" s="4" t="n"/>
      <c r="I313" s="6">
        <f>IF(OR(E313="",H313=""),"",E313*H313)</f>
        <v/>
      </c>
      <c r="J313" s="4" t="n"/>
    </row>
    <row r="314">
      <c r="A314" s="3" t="n"/>
      <c r="B314" s="4" t="n"/>
      <c r="C314" s="5">
        <f>IFERROR(VLOOKUP(B314,Справочник!$A$2:$C$135,2,FALSE),"")</f>
        <v/>
      </c>
      <c r="D314" s="5">
        <f>IFERROR(VLOOKUP(B314,Справочник!$A$2:$C$135,3,FALSE),"")</f>
        <v/>
      </c>
      <c r="E314" s="4" t="n"/>
      <c r="F314" s="4" t="n"/>
      <c r="G314" s="5">
        <f>IF(E314="","",E314-N(F314))</f>
        <v/>
      </c>
      <c r="H314" s="4" t="n"/>
      <c r="I314" s="6">
        <f>IF(OR(E314="",H314=""),"",E314*H314)</f>
        <v/>
      </c>
      <c r="J314" s="4" t="n"/>
    </row>
    <row r="315">
      <c r="A315" s="3" t="n"/>
      <c r="B315" s="4" t="n"/>
      <c r="C315" s="5">
        <f>IFERROR(VLOOKUP(B315,Справочник!$A$2:$C$135,2,FALSE),"")</f>
        <v/>
      </c>
      <c r="D315" s="5">
        <f>IFERROR(VLOOKUP(B315,Справочник!$A$2:$C$135,3,FALSE),"")</f>
        <v/>
      </c>
      <c r="E315" s="4" t="n"/>
      <c r="F315" s="4" t="n"/>
      <c r="G315" s="5">
        <f>IF(E315="","",E315-N(F315))</f>
        <v/>
      </c>
      <c r="H315" s="4" t="n"/>
      <c r="I315" s="6">
        <f>IF(OR(E315="",H315=""),"",E315*H315)</f>
        <v/>
      </c>
      <c r="J315" s="4" t="n"/>
    </row>
    <row r="316">
      <c r="A316" s="3" t="n"/>
      <c r="B316" s="4" t="n"/>
      <c r="C316" s="5">
        <f>IFERROR(VLOOKUP(B316,Справочник!$A$2:$C$135,2,FALSE),"")</f>
        <v/>
      </c>
      <c r="D316" s="5">
        <f>IFERROR(VLOOKUP(B316,Справочник!$A$2:$C$135,3,FALSE),"")</f>
        <v/>
      </c>
      <c r="E316" s="4" t="n"/>
      <c r="F316" s="4" t="n"/>
      <c r="G316" s="5">
        <f>IF(E316="","",E316-N(F316))</f>
        <v/>
      </c>
      <c r="H316" s="4" t="n"/>
      <c r="I316" s="6">
        <f>IF(OR(E316="",H316=""),"",E316*H316)</f>
        <v/>
      </c>
      <c r="J316" s="4" t="n"/>
    </row>
    <row r="317">
      <c r="A317" s="3" t="n"/>
      <c r="B317" s="4" t="n"/>
      <c r="C317" s="5">
        <f>IFERROR(VLOOKUP(B317,Справочник!$A$2:$C$135,2,FALSE),"")</f>
        <v/>
      </c>
      <c r="D317" s="5">
        <f>IFERROR(VLOOKUP(B317,Справочник!$A$2:$C$135,3,FALSE),"")</f>
        <v/>
      </c>
      <c r="E317" s="4" t="n"/>
      <c r="F317" s="4" t="n"/>
      <c r="G317" s="5">
        <f>IF(E317="","",E317-N(F317))</f>
        <v/>
      </c>
      <c r="H317" s="4" t="n"/>
      <c r="I317" s="6">
        <f>IF(OR(E317="",H317=""),"",E317*H317)</f>
        <v/>
      </c>
      <c r="J317" s="4" t="n"/>
    </row>
    <row r="318">
      <c r="A318" s="3" t="n"/>
      <c r="B318" s="4" t="n"/>
      <c r="C318" s="5">
        <f>IFERROR(VLOOKUP(B318,Справочник!$A$2:$C$135,2,FALSE),"")</f>
        <v/>
      </c>
      <c r="D318" s="5">
        <f>IFERROR(VLOOKUP(B318,Справочник!$A$2:$C$135,3,FALSE),"")</f>
        <v/>
      </c>
      <c r="E318" s="4" t="n"/>
      <c r="F318" s="4" t="n"/>
      <c r="G318" s="5">
        <f>IF(E318="","",E318-N(F318))</f>
        <v/>
      </c>
      <c r="H318" s="4" t="n"/>
      <c r="I318" s="6">
        <f>IF(OR(E318="",H318=""),"",E318*H318)</f>
        <v/>
      </c>
      <c r="J318" s="4" t="n"/>
    </row>
    <row r="319">
      <c r="A319" s="3" t="n"/>
      <c r="B319" s="4" t="n"/>
      <c r="C319" s="5">
        <f>IFERROR(VLOOKUP(B319,Справочник!$A$2:$C$135,2,FALSE),"")</f>
        <v/>
      </c>
      <c r="D319" s="5">
        <f>IFERROR(VLOOKUP(B319,Справочник!$A$2:$C$135,3,FALSE),"")</f>
        <v/>
      </c>
      <c r="E319" s="4" t="n"/>
      <c r="F319" s="4" t="n"/>
      <c r="G319" s="5">
        <f>IF(E319="","",E319-N(F319))</f>
        <v/>
      </c>
      <c r="H319" s="4" t="n"/>
      <c r="I319" s="6">
        <f>IF(OR(E319="",H319=""),"",E319*H319)</f>
        <v/>
      </c>
      <c r="J319" s="4" t="n"/>
    </row>
    <row r="320">
      <c r="A320" s="3" t="n"/>
      <c r="B320" s="4" t="n"/>
      <c r="C320" s="5">
        <f>IFERROR(VLOOKUP(B320,Справочник!$A$2:$C$135,2,FALSE),"")</f>
        <v/>
      </c>
      <c r="D320" s="5">
        <f>IFERROR(VLOOKUP(B320,Справочник!$A$2:$C$135,3,FALSE),"")</f>
        <v/>
      </c>
      <c r="E320" s="4" t="n"/>
      <c r="F320" s="4" t="n"/>
      <c r="G320" s="5">
        <f>IF(E320="","",E320-N(F320))</f>
        <v/>
      </c>
      <c r="H320" s="4" t="n"/>
      <c r="I320" s="6">
        <f>IF(OR(E320="",H320=""),"",E320*H320)</f>
        <v/>
      </c>
      <c r="J320" s="4" t="n"/>
    </row>
    <row r="321">
      <c r="A321" s="3" t="n"/>
      <c r="B321" s="4" t="n"/>
      <c r="C321" s="5">
        <f>IFERROR(VLOOKUP(B321,Справочник!$A$2:$C$135,2,FALSE),"")</f>
        <v/>
      </c>
      <c r="D321" s="5">
        <f>IFERROR(VLOOKUP(B321,Справочник!$A$2:$C$135,3,FALSE),"")</f>
        <v/>
      </c>
      <c r="E321" s="4" t="n"/>
      <c r="F321" s="4" t="n"/>
      <c r="G321" s="5">
        <f>IF(E321="","",E321-N(F321))</f>
        <v/>
      </c>
      <c r="H321" s="4" t="n"/>
      <c r="I321" s="6">
        <f>IF(OR(E321="",H321=""),"",E321*H321)</f>
        <v/>
      </c>
      <c r="J321" s="4" t="n"/>
    </row>
    <row r="322">
      <c r="A322" s="3" t="n"/>
      <c r="B322" s="4" t="n"/>
      <c r="C322" s="5">
        <f>IFERROR(VLOOKUP(B322,Справочник!$A$2:$C$135,2,FALSE),"")</f>
        <v/>
      </c>
      <c r="D322" s="5">
        <f>IFERROR(VLOOKUP(B322,Справочник!$A$2:$C$135,3,FALSE),"")</f>
        <v/>
      </c>
      <c r="E322" s="4" t="n"/>
      <c r="F322" s="4" t="n"/>
      <c r="G322" s="5">
        <f>IF(E322="","",E322-N(F322))</f>
        <v/>
      </c>
      <c r="H322" s="4" t="n"/>
      <c r="I322" s="6">
        <f>IF(OR(E322="",H322=""),"",E322*H322)</f>
        <v/>
      </c>
      <c r="J322" s="4" t="n"/>
    </row>
    <row r="323">
      <c r="A323" s="3" t="n"/>
      <c r="B323" s="4" t="n"/>
      <c r="C323" s="5">
        <f>IFERROR(VLOOKUP(B323,Справочник!$A$2:$C$135,2,FALSE),"")</f>
        <v/>
      </c>
      <c r="D323" s="5">
        <f>IFERROR(VLOOKUP(B323,Справочник!$A$2:$C$135,3,FALSE),"")</f>
        <v/>
      </c>
      <c r="E323" s="4" t="n"/>
      <c r="F323" s="4" t="n"/>
      <c r="G323" s="5">
        <f>IF(E323="","",E323-N(F323))</f>
        <v/>
      </c>
      <c r="H323" s="4" t="n"/>
      <c r="I323" s="6">
        <f>IF(OR(E323="",H323=""),"",E323*H323)</f>
        <v/>
      </c>
      <c r="J323" s="4" t="n"/>
    </row>
    <row r="324">
      <c r="A324" s="3" t="n"/>
      <c r="B324" s="4" t="n"/>
      <c r="C324" s="5">
        <f>IFERROR(VLOOKUP(B324,Справочник!$A$2:$C$135,2,FALSE),"")</f>
        <v/>
      </c>
      <c r="D324" s="5">
        <f>IFERROR(VLOOKUP(B324,Справочник!$A$2:$C$135,3,FALSE),"")</f>
        <v/>
      </c>
      <c r="E324" s="4" t="n"/>
      <c r="F324" s="4" t="n"/>
      <c r="G324" s="5">
        <f>IF(E324="","",E324-N(F324))</f>
        <v/>
      </c>
      <c r="H324" s="4" t="n"/>
      <c r="I324" s="6">
        <f>IF(OR(E324="",H324=""),"",E324*H324)</f>
        <v/>
      </c>
      <c r="J324" s="4" t="n"/>
    </row>
    <row r="325">
      <c r="A325" s="3" t="n"/>
      <c r="B325" s="4" t="n"/>
      <c r="C325" s="5">
        <f>IFERROR(VLOOKUP(B325,Справочник!$A$2:$C$135,2,FALSE),"")</f>
        <v/>
      </c>
      <c r="D325" s="5">
        <f>IFERROR(VLOOKUP(B325,Справочник!$A$2:$C$135,3,FALSE),"")</f>
        <v/>
      </c>
      <c r="E325" s="4" t="n"/>
      <c r="F325" s="4" t="n"/>
      <c r="G325" s="5">
        <f>IF(E325="","",E325-N(F325))</f>
        <v/>
      </c>
      <c r="H325" s="4" t="n"/>
      <c r="I325" s="6">
        <f>IF(OR(E325="",H325=""),"",E325*H325)</f>
        <v/>
      </c>
      <c r="J325" s="4" t="n"/>
    </row>
    <row r="326">
      <c r="A326" s="3" t="n"/>
      <c r="B326" s="4" t="n"/>
      <c r="C326" s="5">
        <f>IFERROR(VLOOKUP(B326,Справочник!$A$2:$C$135,2,FALSE),"")</f>
        <v/>
      </c>
      <c r="D326" s="5">
        <f>IFERROR(VLOOKUP(B326,Справочник!$A$2:$C$135,3,FALSE),"")</f>
        <v/>
      </c>
      <c r="E326" s="4" t="n"/>
      <c r="F326" s="4" t="n"/>
      <c r="G326" s="5">
        <f>IF(E326="","",E326-N(F326))</f>
        <v/>
      </c>
      <c r="H326" s="4" t="n"/>
      <c r="I326" s="6">
        <f>IF(OR(E326="",H326=""),"",E326*H326)</f>
        <v/>
      </c>
      <c r="J326" s="4" t="n"/>
    </row>
    <row r="327">
      <c r="A327" s="3" t="n"/>
      <c r="B327" s="4" t="n"/>
      <c r="C327" s="5">
        <f>IFERROR(VLOOKUP(B327,Справочник!$A$2:$C$135,2,FALSE),"")</f>
        <v/>
      </c>
      <c r="D327" s="5">
        <f>IFERROR(VLOOKUP(B327,Справочник!$A$2:$C$135,3,FALSE),"")</f>
        <v/>
      </c>
      <c r="E327" s="4" t="n"/>
      <c r="F327" s="4" t="n"/>
      <c r="G327" s="5">
        <f>IF(E327="","",E327-N(F327))</f>
        <v/>
      </c>
      <c r="H327" s="4" t="n"/>
      <c r="I327" s="6">
        <f>IF(OR(E327="",H327=""),"",E327*H327)</f>
        <v/>
      </c>
      <c r="J327" s="4" t="n"/>
    </row>
    <row r="328">
      <c r="A328" s="3" t="n"/>
      <c r="B328" s="4" t="n"/>
      <c r="C328" s="5">
        <f>IFERROR(VLOOKUP(B328,Справочник!$A$2:$C$135,2,FALSE),"")</f>
        <v/>
      </c>
      <c r="D328" s="5">
        <f>IFERROR(VLOOKUP(B328,Справочник!$A$2:$C$135,3,FALSE),"")</f>
        <v/>
      </c>
      <c r="E328" s="4" t="n"/>
      <c r="F328" s="4" t="n"/>
      <c r="G328" s="5">
        <f>IF(E328="","",E328-N(F328))</f>
        <v/>
      </c>
      <c r="H328" s="4" t="n"/>
      <c r="I328" s="6">
        <f>IF(OR(E328="",H328=""),"",E328*H328)</f>
        <v/>
      </c>
      <c r="J328" s="4" t="n"/>
    </row>
    <row r="329">
      <c r="A329" s="3" t="n"/>
      <c r="B329" s="4" t="n"/>
      <c r="C329" s="5">
        <f>IFERROR(VLOOKUP(B329,Справочник!$A$2:$C$135,2,FALSE),"")</f>
        <v/>
      </c>
      <c r="D329" s="5">
        <f>IFERROR(VLOOKUP(B329,Справочник!$A$2:$C$135,3,FALSE),"")</f>
        <v/>
      </c>
      <c r="E329" s="4" t="n"/>
      <c r="F329" s="4" t="n"/>
      <c r="G329" s="5">
        <f>IF(E329="","",E329-N(F329))</f>
        <v/>
      </c>
      <c r="H329" s="4" t="n"/>
      <c r="I329" s="6">
        <f>IF(OR(E329="",H329=""),"",E329*H329)</f>
        <v/>
      </c>
      <c r="J329" s="4" t="n"/>
    </row>
    <row r="330">
      <c r="A330" s="3" t="n"/>
      <c r="B330" s="4" t="n"/>
      <c r="C330" s="5">
        <f>IFERROR(VLOOKUP(B330,Справочник!$A$2:$C$135,2,FALSE),"")</f>
        <v/>
      </c>
      <c r="D330" s="5">
        <f>IFERROR(VLOOKUP(B330,Справочник!$A$2:$C$135,3,FALSE),"")</f>
        <v/>
      </c>
      <c r="E330" s="4" t="n"/>
      <c r="F330" s="4" t="n"/>
      <c r="G330" s="5">
        <f>IF(E330="","",E330-N(F330))</f>
        <v/>
      </c>
      <c r="H330" s="4" t="n"/>
      <c r="I330" s="6">
        <f>IF(OR(E330="",H330=""),"",E330*H330)</f>
        <v/>
      </c>
      <c r="J330" s="4" t="n"/>
    </row>
    <row r="331">
      <c r="A331" s="3" t="n"/>
      <c r="B331" s="4" t="n"/>
      <c r="C331" s="5">
        <f>IFERROR(VLOOKUP(B331,Справочник!$A$2:$C$135,2,FALSE),"")</f>
        <v/>
      </c>
      <c r="D331" s="5">
        <f>IFERROR(VLOOKUP(B331,Справочник!$A$2:$C$135,3,FALSE),"")</f>
        <v/>
      </c>
      <c r="E331" s="4" t="n"/>
      <c r="F331" s="4" t="n"/>
      <c r="G331" s="5">
        <f>IF(E331="","",E331-N(F331))</f>
        <v/>
      </c>
      <c r="H331" s="4" t="n"/>
      <c r="I331" s="6">
        <f>IF(OR(E331="",H331=""),"",E331*H331)</f>
        <v/>
      </c>
      <c r="J331" s="4" t="n"/>
    </row>
    <row r="332">
      <c r="A332" s="3" t="n"/>
      <c r="B332" s="4" t="n"/>
      <c r="C332" s="5">
        <f>IFERROR(VLOOKUP(B332,Справочник!$A$2:$C$135,2,FALSE),"")</f>
        <v/>
      </c>
      <c r="D332" s="5">
        <f>IFERROR(VLOOKUP(B332,Справочник!$A$2:$C$135,3,FALSE),"")</f>
        <v/>
      </c>
      <c r="E332" s="4" t="n"/>
      <c r="F332" s="4" t="n"/>
      <c r="G332" s="5">
        <f>IF(E332="","",E332-N(F332))</f>
        <v/>
      </c>
      <c r="H332" s="4" t="n"/>
      <c r="I332" s="6">
        <f>IF(OR(E332="",H332=""),"",E332*H332)</f>
        <v/>
      </c>
      <c r="J332" s="4" t="n"/>
    </row>
    <row r="333">
      <c r="A333" s="3" t="n"/>
      <c r="B333" s="4" t="n"/>
      <c r="C333" s="5">
        <f>IFERROR(VLOOKUP(B333,Справочник!$A$2:$C$135,2,FALSE),"")</f>
        <v/>
      </c>
      <c r="D333" s="5">
        <f>IFERROR(VLOOKUP(B333,Справочник!$A$2:$C$135,3,FALSE),"")</f>
        <v/>
      </c>
      <c r="E333" s="4" t="n"/>
      <c r="F333" s="4" t="n"/>
      <c r="G333" s="5">
        <f>IF(E333="","",E333-N(F333))</f>
        <v/>
      </c>
      <c r="H333" s="4" t="n"/>
      <c r="I333" s="6">
        <f>IF(OR(E333="",H333=""),"",E333*H333)</f>
        <v/>
      </c>
      <c r="J333" s="4" t="n"/>
    </row>
    <row r="334">
      <c r="A334" s="3" t="n"/>
      <c r="B334" s="4" t="n"/>
      <c r="C334" s="5">
        <f>IFERROR(VLOOKUP(B334,Справочник!$A$2:$C$135,2,FALSE),"")</f>
        <v/>
      </c>
      <c r="D334" s="5">
        <f>IFERROR(VLOOKUP(B334,Справочник!$A$2:$C$135,3,FALSE),"")</f>
        <v/>
      </c>
      <c r="E334" s="4" t="n"/>
      <c r="F334" s="4" t="n"/>
      <c r="G334" s="5">
        <f>IF(E334="","",E334-N(F334))</f>
        <v/>
      </c>
      <c r="H334" s="4" t="n"/>
      <c r="I334" s="6">
        <f>IF(OR(E334="",H334=""),"",E334*H334)</f>
        <v/>
      </c>
      <c r="J334" s="4" t="n"/>
    </row>
    <row r="335">
      <c r="A335" s="3" t="n"/>
      <c r="B335" s="4" t="n"/>
      <c r="C335" s="5">
        <f>IFERROR(VLOOKUP(B335,Справочник!$A$2:$C$135,2,FALSE),"")</f>
        <v/>
      </c>
      <c r="D335" s="5">
        <f>IFERROR(VLOOKUP(B335,Справочник!$A$2:$C$135,3,FALSE),"")</f>
        <v/>
      </c>
      <c r="E335" s="4" t="n"/>
      <c r="F335" s="4" t="n"/>
      <c r="G335" s="5">
        <f>IF(E335="","",E335-N(F335))</f>
        <v/>
      </c>
      <c r="H335" s="4" t="n"/>
      <c r="I335" s="6">
        <f>IF(OR(E335="",H335=""),"",E335*H335)</f>
        <v/>
      </c>
      <c r="J335" s="4" t="n"/>
    </row>
    <row r="336">
      <c r="A336" s="3" t="n"/>
      <c r="B336" s="4" t="n"/>
      <c r="C336" s="5">
        <f>IFERROR(VLOOKUP(B336,Справочник!$A$2:$C$135,2,FALSE),"")</f>
        <v/>
      </c>
      <c r="D336" s="5">
        <f>IFERROR(VLOOKUP(B336,Справочник!$A$2:$C$135,3,FALSE),"")</f>
        <v/>
      </c>
      <c r="E336" s="4" t="n"/>
      <c r="F336" s="4" t="n"/>
      <c r="G336" s="5">
        <f>IF(E336="","",E336-N(F336))</f>
        <v/>
      </c>
      <c r="H336" s="4" t="n"/>
      <c r="I336" s="6">
        <f>IF(OR(E336="",H336=""),"",E336*H336)</f>
        <v/>
      </c>
      <c r="J336" s="4" t="n"/>
    </row>
    <row r="337">
      <c r="A337" s="3" t="n"/>
      <c r="B337" s="4" t="n"/>
      <c r="C337" s="5">
        <f>IFERROR(VLOOKUP(B337,Справочник!$A$2:$C$135,2,FALSE),"")</f>
        <v/>
      </c>
      <c r="D337" s="5">
        <f>IFERROR(VLOOKUP(B337,Справочник!$A$2:$C$135,3,FALSE),"")</f>
        <v/>
      </c>
      <c r="E337" s="4" t="n"/>
      <c r="F337" s="4" t="n"/>
      <c r="G337" s="5">
        <f>IF(E337="","",E337-N(F337))</f>
        <v/>
      </c>
      <c r="H337" s="4" t="n"/>
      <c r="I337" s="6">
        <f>IF(OR(E337="",H337=""),"",E337*H337)</f>
        <v/>
      </c>
      <c r="J337" s="4" t="n"/>
    </row>
    <row r="338">
      <c r="A338" s="3" t="n"/>
      <c r="B338" s="4" t="n"/>
      <c r="C338" s="5">
        <f>IFERROR(VLOOKUP(B338,Справочник!$A$2:$C$135,2,FALSE),"")</f>
        <v/>
      </c>
      <c r="D338" s="5">
        <f>IFERROR(VLOOKUP(B338,Справочник!$A$2:$C$135,3,FALSE),"")</f>
        <v/>
      </c>
      <c r="E338" s="4" t="n"/>
      <c r="F338" s="4" t="n"/>
      <c r="G338" s="5">
        <f>IF(E338="","",E338-N(F338))</f>
        <v/>
      </c>
      <c r="H338" s="4" t="n"/>
      <c r="I338" s="6">
        <f>IF(OR(E338="",H338=""),"",E338*H338)</f>
        <v/>
      </c>
      <c r="J338" s="4" t="n"/>
    </row>
    <row r="339">
      <c r="A339" s="3" t="n"/>
      <c r="B339" s="4" t="n"/>
      <c r="C339" s="5">
        <f>IFERROR(VLOOKUP(B339,Справочник!$A$2:$C$135,2,FALSE),"")</f>
        <v/>
      </c>
      <c r="D339" s="5">
        <f>IFERROR(VLOOKUP(B339,Справочник!$A$2:$C$135,3,FALSE),"")</f>
        <v/>
      </c>
      <c r="E339" s="4" t="n"/>
      <c r="F339" s="4" t="n"/>
      <c r="G339" s="5">
        <f>IF(E339="","",E339-N(F339))</f>
        <v/>
      </c>
      <c r="H339" s="4" t="n"/>
      <c r="I339" s="6">
        <f>IF(OR(E339="",H339=""),"",E339*H339)</f>
        <v/>
      </c>
      <c r="J339" s="4" t="n"/>
    </row>
    <row r="340">
      <c r="A340" s="3" t="n"/>
      <c r="B340" s="4" t="n"/>
      <c r="C340" s="5">
        <f>IFERROR(VLOOKUP(B340,Справочник!$A$2:$C$135,2,FALSE),"")</f>
        <v/>
      </c>
      <c r="D340" s="5">
        <f>IFERROR(VLOOKUP(B340,Справочник!$A$2:$C$135,3,FALSE),"")</f>
        <v/>
      </c>
      <c r="E340" s="4" t="n"/>
      <c r="F340" s="4" t="n"/>
      <c r="G340" s="5">
        <f>IF(E340="","",E340-N(F340))</f>
        <v/>
      </c>
      <c r="H340" s="4" t="n"/>
      <c r="I340" s="6">
        <f>IF(OR(E340="",H340=""),"",E340*H340)</f>
        <v/>
      </c>
      <c r="J340" s="4" t="n"/>
    </row>
    <row r="341">
      <c r="A341" s="3" t="n"/>
      <c r="B341" s="4" t="n"/>
      <c r="C341" s="5">
        <f>IFERROR(VLOOKUP(B341,Справочник!$A$2:$C$135,2,FALSE),"")</f>
        <v/>
      </c>
      <c r="D341" s="5">
        <f>IFERROR(VLOOKUP(B341,Справочник!$A$2:$C$135,3,FALSE),"")</f>
        <v/>
      </c>
      <c r="E341" s="4" t="n"/>
      <c r="F341" s="4" t="n"/>
      <c r="G341" s="5">
        <f>IF(E341="","",E341-N(F341))</f>
        <v/>
      </c>
      <c r="H341" s="4" t="n"/>
      <c r="I341" s="6">
        <f>IF(OR(E341="",H341=""),"",E341*H341)</f>
        <v/>
      </c>
      <c r="J341" s="4" t="n"/>
    </row>
    <row r="342">
      <c r="A342" s="3" t="n"/>
      <c r="B342" s="4" t="n"/>
      <c r="C342" s="5">
        <f>IFERROR(VLOOKUP(B342,Справочник!$A$2:$C$135,2,FALSE),"")</f>
        <v/>
      </c>
      <c r="D342" s="5">
        <f>IFERROR(VLOOKUP(B342,Справочник!$A$2:$C$135,3,FALSE),"")</f>
        <v/>
      </c>
      <c r="E342" s="4" t="n"/>
      <c r="F342" s="4" t="n"/>
      <c r="G342" s="5">
        <f>IF(E342="","",E342-N(F342))</f>
        <v/>
      </c>
      <c r="H342" s="4" t="n"/>
      <c r="I342" s="6">
        <f>IF(OR(E342="",H342=""),"",E342*H342)</f>
        <v/>
      </c>
      <c r="J342" s="4" t="n"/>
    </row>
    <row r="343">
      <c r="A343" s="3" t="n"/>
      <c r="B343" s="4" t="n"/>
      <c r="C343" s="5">
        <f>IFERROR(VLOOKUP(B343,Справочник!$A$2:$C$135,2,FALSE),"")</f>
        <v/>
      </c>
      <c r="D343" s="5">
        <f>IFERROR(VLOOKUP(B343,Справочник!$A$2:$C$135,3,FALSE),"")</f>
        <v/>
      </c>
      <c r="E343" s="4" t="n"/>
      <c r="F343" s="4" t="n"/>
      <c r="G343" s="5">
        <f>IF(E343="","",E343-N(F343))</f>
        <v/>
      </c>
      <c r="H343" s="4" t="n"/>
      <c r="I343" s="6">
        <f>IF(OR(E343="",H343=""),"",E343*H343)</f>
        <v/>
      </c>
      <c r="J343" s="4" t="n"/>
    </row>
    <row r="344">
      <c r="A344" s="3" t="n"/>
      <c r="B344" s="4" t="n"/>
      <c r="C344" s="5">
        <f>IFERROR(VLOOKUP(B344,Справочник!$A$2:$C$135,2,FALSE),"")</f>
        <v/>
      </c>
      <c r="D344" s="5">
        <f>IFERROR(VLOOKUP(B344,Справочник!$A$2:$C$135,3,FALSE),"")</f>
        <v/>
      </c>
      <c r="E344" s="4" t="n"/>
      <c r="F344" s="4" t="n"/>
      <c r="G344" s="5">
        <f>IF(E344="","",E344-N(F344))</f>
        <v/>
      </c>
      <c r="H344" s="4" t="n"/>
      <c r="I344" s="6">
        <f>IF(OR(E344="",H344=""),"",E344*H344)</f>
        <v/>
      </c>
      <c r="J344" s="4" t="n"/>
    </row>
    <row r="345">
      <c r="A345" s="3" t="n"/>
      <c r="B345" s="4" t="n"/>
      <c r="C345" s="5">
        <f>IFERROR(VLOOKUP(B345,Справочник!$A$2:$C$135,2,FALSE),"")</f>
        <v/>
      </c>
      <c r="D345" s="5">
        <f>IFERROR(VLOOKUP(B345,Справочник!$A$2:$C$135,3,FALSE),"")</f>
        <v/>
      </c>
      <c r="E345" s="4" t="n"/>
      <c r="F345" s="4" t="n"/>
      <c r="G345" s="5">
        <f>IF(E345="","",E345-N(F345))</f>
        <v/>
      </c>
      <c r="H345" s="4" t="n"/>
      <c r="I345" s="6">
        <f>IF(OR(E345="",H345=""),"",E345*H345)</f>
        <v/>
      </c>
      <c r="J345" s="4" t="n"/>
    </row>
    <row r="346">
      <c r="A346" s="3" t="n"/>
      <c r="B346" s="4" t="n"/>
      <c r="C346" s="5">
        <f>IFERROR(VLOOKUP(B346,Справочник!$A$2:$C$135,2,FALSE),"")</f>
        <v/>
      </c>
      <c r="D346" s="5">
        <f>IFERROR(VLOOKUP(B346,Справочник!$A$2:$C$135,3,FALSE),"")</f>
        <v/>
      </c>
      <c r="E346" s="4" t="n"/>
      <c r="F346" s="4" t="n"/>
      <c r="G346" s="5">
        <f>IF(E346="","",E346-N(F346))</f>
        <v/>
      </c>
      <c r="H346" s="4" t="n"/>
      <c r="I346" s="6">
        <f>IF(OR(E346="",H346=""),"",E346*H346)</f>
        <v/>
      </c>
      <c r="J346" s="4" t="n"/>
    </row>
    <row r="347">
      <c r="A347" s="3" t="n"/>
      <c r="B347" s="4" t="n"/>
      <c r="C347" s="5">
        <f>IFERROR(VLOOKUP(B347,Справочник!$A$2:$C$135,2,FALSE),"")</f>
        <v/>
      </c>
      <c r="D347" s="5">
        <f>IFERROR(VLOOKUP(B347,Справочник!$A$2:$C$135,3,FALSE),"")</f>
        <v/>
      </c>
      <c r="E347" s="4" t="n"/>
      <c r="F347" s="4" t="n"/>
      <c r="G347" s="5">
        <f>IF(E347="","",E347-N(F347))</f>
        <v/>
      </c>
      <c r="H347" s="4" t="n"/>
      <c r="I347" s="6">
        <f>IF(OR(E347="",H347=""),"",E347*H347)</f>
        <v/>
      </c>
      <c r="J347" s="4" t="n"/>
    </row>
    <row r="348">
      <c r="A348" s="3" t="n"/>
      <c r="B348" s="4" t="n"/>
      <c r="C348" s="5">
        <f>IFERROR(VLOOKUP(B348,Справочник!$A$2:$C$135,2,FALSE),"")</f>
        <v/>
      </c>
      <c r="D348" s="5">
        <f>IFERROR(VLOOKUP(B348,Справочник!$A$2:$C$135,3,FALSE),"")</f>
        <v/>
      </c>
      <c r="E348" s="4" t="n"/>
      <c r="F348" s="4" t="n"/>
      <c r="G348" s="5">
        <f>IF(E348="","",E348-N(F348))</f>
        <v/>
      </c>
      <c r="H348" s="4" t="n"/>
      <c r="I348" s="6">
        <f>IF(OR(E348="",H348=""),"",E348*H348)</f>
        <v/>
      </c>
      <c r="J348" s="4" t="n"/>
    </row>
    <row r="349">
      <c r="A349" s="3" t="n"/>
      <c r="B349" s="4" t="n"/>
      <c r="C349" s="5">
        <f>IFERROR(VLOOKUP(B349,Справочник!$A$2:$C$135,2,FALSE),"")</f>
        <v/>
      </c>
      <c r="D349" s="5">
        <f>IFERROR(VLOOKUP(B349,Справочник!$A$2:$C$135,3,FALSE),"")</f>
        <v/>
      </c>
      <c r="E349" s="4" t="n"/>
      <c r="F349" s="4" t="n"/>
      <c r="G349" s="5">
        <f>IF(E349="","",E349-N(F349))</f>
        <v/>
      </c>
      <c r="H349" s="4" t="n"/>
      <c r="I349" s="6">
        <f>IF(OR(E349="",H349=""),"",E349*H349)</f>
        <v/>
      </c>
      <c r="J349" s="4" t="n"/>
    </row>
    <row r="350">
      <c r="A350" s="3" t="n"/>
      <c r="B350" s="4" t="n"/>
      <c r="C350" s="5">
        <f>IFERROR(VLOOKUP(B350,Справочник!$A$2:$C$135,2,FALSE),"")</f>
        <v/>
      </c>
      <c r="D350" s="5">
        <f>IFERROR(VLOOKUP(B350,Справочник!$A$2:$C$135,3,FALSE),"")</f>
        <v/>
      </c>
      <c r="E350" s="4" t="n"/>
      <c r="F350" s="4" t="n"/>
      <c r="G350" s="5">
        <f>IF(E350="","",E350-N(F350))</f>
        <v/>
      </c>
      <c r="H350" s="4" t="n"/>
      <c r="I350" s="6">
        <f>IF(OR(E350="",H350=""),"",E350*H350)</f>
        <v/>
      </c>
      <c r="J350" s="4" t="n"/>
    </row>
    <row r="351">
      <c r="A351" s="3" t="n"/>
      <c r="B351" s="4" t="n"/>
      <c r="C351" s="5">
        <f>IFERROR(VLOOKUP(B351,Справочник!$A$2:$C$135,2,FALSE),"")</f>
        <v/>
      </c>
      <c r="D351" s="5">
        <f>IFERROR(VLOOKUP(B351,Справочник!$A$2:$C$135,3,FALSE),"")</f>
        <v/>
      </c>
      <c r="E351" s="4" t="n"/>
      <c r="F351" s="4" t="n"/>
      <c r="G351" s="5">
        <f>IF(E351="","",E351-N(F351))</f>
        <v/>
      </c>
      <c r="H351" s="4" t="n"/>
      <c r="I351" s="6">
        <f>IF(OR(E351="",H351=""),"",E351*H351)</f>
        <v/>
      </c>
      <c r="J351" s="4" t="n"/>
    </row>
    <row r="352">
      <c r="A352" s="3" t="n"/>
      <c r="B352" s="4" t="n"/>
      <c r="C352" s="5">
        <f>IFERROR(VLOOKUP(B352,Справочник!$A$2:$C$135,2,FALSE),"")</f>
        <v/>
      </c>
      <c r="D352" s="5">
        <f>IFERROR(VLOOKUP(B352,Справочник!$A$2:$C$135,3,FALSE),"")</f>
        <v/>
      </c>
      <c r="E352" s="4" t="n"/>
      <c r="F352" s="4" t="n"/>
      <c r="G352" s="5">
        <f>IF(E352="","",E352-N(F352))</f>
        <v/>
      </c>
      <c r="H352" s="4" t="n"/>
      <c r="I352" s="6">
        <f>IF(OR(E352="",H352=""),"",E352*H352)</f>
        <v/>
      </c>
      <c r="J352" s="4" t="n"/>
    </row>
    <row r="353">
      <c r="A353" s="3" t="n"/>
      <c r="B353" s="4" t="n"/>
      <c r="C353" s="5">
        <f>IFERROR(VLOOKUP(B353,Справочник!$A$2:$C$135,2,FALSE),"")</f>
        <v/>
      </c>
      <c r="D353" s="5">
        <f>IFERROR(VLOOKUP(B353,Справочник!$A$2:$C$135,3,FALSE),"")</f>
        <v/>
      </c>
      <c r="E353" s="4" t="n"/>
      <c r="F353" s="4" t="n"/>
      <c r="G353" s="5">
        <f>IF(E353="","",E353-N(F353))</f>
        <v/>
      </c>
      <c r="H353" s="4" t="n"/>
      <c r="I353" s="6">
        <f>IF(OR(E353="",H353=""),"",E353*H353)</f>
        <v/>
      </c>
      <c r="J353" s="4" t="n"/>
    </row>
    <row r="354">
      <c r="A354" s="3" t="n"/>
      <c r="B354" s="4" t="n"/>
      <c r="C354" s="5">
        <f>IFERROR(VLOOKUP(B354,Справочник!$A$2:$C$135,2,FALSE),"")</f>
        <v/>
      </c>
      <c r="D354" s="5">
        <f>IFERROR(VLOOKUP(B354,Справочник!$A$2:$C$135,3,FALSE),"")</f>
        <v/>
      </c>
      <c r="E354" s="4" t="n"/>
      <c r="F354" s="4" t="n"/>
      <c r="G354" s="5">
        <f>IF(E354="","",E354-N(F354))</f>
        <v/>
      </c>
      <c r="H354" s="4" t="n"/>
      <c r="I354" s="6">
        <f>IF(OR(E354="",H354=""),"",E354*H354)</f>
        <v/>
      </c>
      <c r="J354" s="4" t="n"/>
    </row>
    <row r="355">
      <c r="A355" s="3" t="n"/>
      <c r="B355" s="4" t="n"/>
      <c r="C355" s="5">
        <f>IFERROR(VLOOKUP(B355,Справочник!$A$2:$C$135,2,FALSE),"")</f>
        <v/>
      </c>
      <c r="D355" s="5">
        <f>IFERROR(VLOOKUP(B355,Справочник!$A$2:$C$135,3,FALSE),"")</f>
        <v/>
      </c>
      <c r="E355" s="4" t="n"/>
      <c r="F355" s="4" t="n"/>
      <c r="G355" s="5">
        <f>IF(E355="","",E355-N(F355))</f>
        <v/>
      </c>
      <c r="H355" s="4" t="n"/>
      <c r="I355" s="6">
        <f>IF(OR(E355="",H355=""),"",E355*H355)</f>
        <v/>
      </c>
      <c r="J355" s="4" t="n"/>
    </row>
    <row r="356">
      <c r="A356" s="3" t="n"/>
      <c r="B356" s="4" t="n"/>
      <c r="C356" s="5">
        <f>IFERROR(VLOOKUP(B356,Справочник!$A$2:$C$135,2,FALSE),"")</f>
        <v/>
      </c>
      <c r="D356" s="5">
        <f>IFERROR(VLOOKUP(B356,Справочник!$A$2:$C$135,3,FALSE),"")</f>
        <v/>
      </c>
      <c r="E356" s="4" t="n"/>
      <c r="F356" s="4" t="n"/>
      <c r="G356" s="5">
        <f>IF(E356="","",E356-N(F356))</f>
        <v/>
      </c>
      <c r="H356" s="4" t="n"/>
      <c r="I356" s="6">
        <f>IF(OR(E356="",H356=""),"",E356*H356)</f>
        <v/>
      </c>
      <c r="J356" s="4" t="n"/>
    </row>
    <row r="357">
      <c r="A357" s="3" t="n"/>
      <c r="B357" s="4" t="n"/>
      <c r="C357" s="5">
        <f>IFERROR(VLOOKUP(B357,Справочник!$A$2:$C$135,2,FALSE),"")</f>
        <v/>
      </c>
      <c r="D357" s="5">
        <f>IFERROR(VLOOKUP(B357,Справочник!$A$2:$C$135,3,FALSE),"")</f>
        <v/>
      </c>
      <c r="E357" s="4" t="n"/>
      <c r="F357" s="4" t="n"/>
      <c r="G357" s="5">
        <f>IF(E357="","",E357-N(F357))</f>
        <v/>
      </c>
      <c r="H357" s="4" t="n"/>
      <c r="I357" s="6">
        <f>IF(OR(E357="",H357=""),"",E357*H357)</f>
        <v/>
      </c>
      <c r="J357" s="4" t="n"/>
    </row>
    <row r="358">
      <c r="A358" s="3" t="n"/>
      <c r="B358" s="4" t="n"/>
      <c r="C358" s="5">
        <f>IFERROR(VLOOKUP(B358,Справочник!$A$2:$C$135,2,FALSE),"")</f>
        <v/>
      </c>
      <c r="D358" s="5">
        <f>IFERROR(VLOOKUP(B358,Справочник!$A$2:$C$135,3,FALSE),"")</f>
        <v/>
      </c>
      <c r="E358" s="4" t="n"/>
      <c r="F358" s="4" t="n"/>
      <c r="G358" s="5">
        <f>IF(E358="","",E358-N(F358))</f>
        <v/>
      </c>
      <c r="H358" s="4" t="n"/>
      <c r="I358" s="6">
        <f>IF(OR(E358="",H358=""),"",E358*H358)</f>
        <v/>
      </c>
      <c r="J358" s="4" t="n"/>
    </row>
    <row r="359">
      <c r="A359" s="3" t="n"/>
      <c r="B359" s="4" t="n"/>
      <c r="C359" s="5">
        <f>IFERROR(VLOOKUP(B359,Справочник!$A$2:$C$135,2,FALSE),"")</f>
        <v/>
      </c>
      <c r="D359" s="5">
        <f>IFERROR(VLOOKUP(B359,Справочник!$A$2:$C$135,3,FALSE),"")</f>
        <v/>
      </c>
      <c r="E359" s="4" t="n"/>
      <c r="F359" s="4" t="n"/>
      <c r="G359" s="5">
        <f>IF(E359="","",E359-N(F359))</f>
        <v/>
      </c>
      <c r="H359" s="4" t="n"/>
      <c r="I359" s="6">
        <f>IF(OR(E359="",H359=""),"",E359*H359)</f>
        <v/>
      </c>
      <c r="J359" s="4" t="n"/>
    </row>
    <row r="360">
      <c r="A360" s="3" t="n"/>
      <c r="B360" s="4" t="n"/>
      <c r="C360" s="5">
        <f>IFERROR(VLOOKUP(B360,Справочник!$A$2:$C$135,2,FALSE),"")</f>
        <v/>
      </c>
      <c r="D360" s="5">
        <f>IFERROR(VLOOKUP(B360,Справочник!$A$2:$C$135,3,FALSE),"")</f>
        <v/>
      </c>
      <c r="E360" s="4" t="n"/>
      <c r="F360" s="4" t="n"/>
      <c r="G360" s="5">
        <f>IF(E360="","",E360-N(F360))</f>
        <v/>
      </c>
      <c r="H360" s="4" t="n"/>
      <c r="I360" s="6">
        <f>IF(OR(E360="",H360=""),"",E360*H360)</f>
        <v/>
      </c>
      <c r="J360" s="4" t="n"/>
    </row>
    <row r="361">
      <c r="A361" s="3" t="n"/>
      <c r="B361" s="4" t="n"/>
      <c r="C361" s="5">
        <f>IFERROR(VLOOKUP(B361,Справочник!$A$2:$C$135,2,FALSE),"")</f>
        <v/>
      </c>
      <c r="D361" s="5">
        <f>IFERROR(VLOOKUP(B361,Справочник!$A$2:$C$135,3,FALSE),"")</f>
        <v/>
      </c>
      <c r="E361" s="4" t="n"/>
      <c r="F361" s="4" t="n"/>
      <c r="G361" s="5">
        <f>IF(E361="","",E361-N(F361))</f>
        <v/>
      </c>
      <c r="H361" s="4" t="n"/>
      <c r="I361" s="6">
        <f>IF(OR(E361="",H361=""),"",E361*H361)</f>
        <v/>
      </c>
      <c r="J361" s="4" t="n"/>
    </row>
    <row r="362">
      <c r="A362" s="3" t="n"/>
      <c r="B362" s="4" t="n"/>
      <c r="C362" s="5">
        <f>IFERROR(VLOOKUP(B362,Справочник!$A$2:$C$135,2,FALSE),"")</f>
        <v/>
      </c>
      <c r="D362" s="5">
        <f>IFERROR(VLOOKUP(B362,Справочник!$A$2:$C$135,3,FALSE),"")</f>
        <v/>
      </c>
      <c r="E362" s="4" t="n"/>
      <c r="F362" s="4" t="n"/>
      <c r="G362" s="5">
        <f>IF(E362="","",E362-N(F362))</f>
        <v/>
      </c>
      <c r="H362" s="4" t="n"/>
      <c r="I362" s="6">
        <f>IF(OR(E362="",H362=""),"",E362*H362)</f>
        <v/>
      </c>
      <c r="J362" s="4" t="n"/>
    </row>
    <row r="363">
      <c r="A363" s="3" t="n"/>
      <c r="B363" s="4" t="n"/>
      <c r="C363" s="5">
        <f>IFERROR(VLOOKUP(B363,Справочник!$A$2:$C$135,2,FALSE),"")</f>
        <v/>
      </c>
      <c r="D363" s="5">
        <f>IFERROR(VLOOKUP(B363,Справочник!$A$2:$C$135,3,FALSE),"")</f>
        <v/>
      </c>
      <c r="E363" s="4" t="n"/>
      <c r="F363" s="4" t="n"/>
      <c r="G363" s="5">
        <f>IF(E363="","",E363-N(F363))</f>
        <v/>
      </c>
      <c r="H363" s="4" t="n"/>
      <c r="I363" s="6">
        <f>IF(OR(E363="",H363=""),"",E363*H363)</f>
        <v/>
      </c>
      <c r="J363" s="4" t="n"/>
    </row>
    <row r="364">
      <c r="A364" s="3" t="n"/>
      <c r="B364" s="4" t="n"/>
      <c r="C364" s="5">
        <f>IFERROR(VLOOKUP(B364,Справочник!$A$2:$C$135,2,FALSE),"")</f>
        <v/>
      </c>
      <c r="D364" s="5">
        <f>IFERROR(VLOOKUP(B364,Справочник!$A$2:$C$135,3,FALSE),"")</f>
        <v/>
      </c>
      <c r="E364" s="4" t="n"/>
      <c r="F364" s="4" t="n"/>
      <c r="G364" s="5">
        <f>IF(E364="","",E364-N(F364))</f>
        <v/>
      </c>
      <c r="H364" s="4" t="n"/>
      <c r="I364" s="6">
        <f>IF(OR(E364="",H364=""),"",E364*H364)</f>
        <v/>
      </c>
      <c r="J364" s="4" t="n"/>
    </row>
    <row r="365">
      <c r="A365" s="3" t="n"/>
      <c r="B365" s="4" t="n"/>
      <c r="C365" s="5">
        <f>IFERROR(VLOOKUP(B365,Справочник!$A$2:$C$135,2,FALSE),"")</f>
        <v/>
      </c>
      <c r="D365" s="5">
        <f>IFERROR(VLOOKUP(B365,Справочник!$A$2:$C$135,3,FALSE),"")</f>
        <v/>
      </c>
      <c r="E365" s="4" t="n"/>
      <c r="F365" s="4" t="n"/>
      <c r="G365" s="5">
        <f>IF(E365="","",E365-N(F365))</f>
        <v/>
      </c>
      <c r="H365" s="4" t="n"/>
      <c r="I365" s="6">
        <f>IF(OR(E365="",H365=""),"",E365*H365)</f>
        <v/>
      </c>
      <c r="J365" s="4" t="n"/>
    </row>
    <row r="366">
      <c r="A366" s="3" t="n"/>
      <c r="B366" s="4" t="n"/>
      <c r="C366" s="5">
        <f>IFERROR(VLOOKUP(B366,Справочник!$A$2:$C$135,2,FALSE),"")</f>
        <v/>
      </c>
      <c r="D366" s="5">
        <f>IFERROR(VLOOKUP(B366,Справочник!$A$2:$C$135,3,FALSE),"")</f>
        <v/>
      </c>
      <c r="E366" s="4" t="n"/>
      <c r="F366" s="4" t="n"/>
      <c r="G366" s="5">
        <f>IF(E366="","",E366-N(F366))</f>
        <v/>
      </c>
      <c r="H366" s="4" t="n"/>
      <c r="I366" s="6">
        <f>IF(OR(E366="",H366=""),"",E366*H366)</f>
        <v/>
      </c>
      <c r="J366" s="4" t="n"/>
    </row>
    <row r="367">
      <c r="A367" s="3" t="n"/>
      <c r="B367" s="4" t="n"/>
      <c r="C367" s="5">
        <f>IFERROR(VLOOKUP(B367,Справочник!$A$2:$C$135,2,FALSE),"")</f>
        <v/>
      </c>
      <c r="D367" s="5">
        <f>IFERROR(VLOOKUP(B367,Справочник!$A$2:$C$135,3,FALSE),"")</f>
        <v/>
      </c>
      <c r="E367" s="4" t="n"/>
      <c r="F367" s="4" t="n"/>
      <c r="G367" s="5">
        <f>IF(E367="","",E367-N(F367))</f>
        <v/>
      </c>
      <c r="H367" s="4" t="n"/>
      <c r="I367" s="6">
        <f>IF(OR(E367="",H367=""),"",E367*H367)</f>
        <v/>
      </c>
      <c r="J367" s="4" t="n"/>
    </row>
    <row r="368">
      <c r="A368" s="3" t="n"/>
      <c r="B368" s="4" t="n"/>
      <c r="C368" s="5">
        <f>IFERROR(VLOOKUP(B368,Справочник!$A$2:$C$135,2,FALSE),"")</f>
        <v/>
      </c>
      <c r="D368" s="5">
        <f>IFERROR(VLOOKUP(B368,Справочник!$A$2:$C$135,3,FALSE),"")</f>
        <v/>
      </c>
      <c r="E368" s="4" t="n"/>
      <c r="F368" s="4" t="n"/>
      <c r="G368" s="5">
        <f>IF(E368="","",E368-N(F368))</f>
        <v/>
      </c>
      <c r="H368" s="4" t="n"/>
      <c r="I368" s="6">
        <f>IF(OR(E368="",H368=""),"",E368*H368)</f>
        <v/>
      </c>
      <c r="J368" s="4" t="n"/>
    </row>
    <row r="369">
      <c r="A369" s="3" t="n"/>
      <c r="B369" s="4" t="n"/>
      <c r="C369" s="5">
        <f>IFERROR(VLOOKUP(B369,Справочник!$A$2:$C$135,2,FALSE),"")</f>
        <v/>
      </c>
      <c r="D369" s="5">
        <f>IFERROR(VLOOKUP(B369,Справочник!$A$2:$C$135,3,FALSE),"")</f>
        <v/>
      </c>
      <c r="E369" s="4" t="n"/>
      <c r="F369" s="4" t="n"/>
      <c r="G369" s="5">
        <f>IF(E369="","",E369-N(F369))</f>
        <v/>
      </c>
      <c r="H369" s="4" t="n"/>
      <c r="I369" s="6">
        <f>IF(OR(E369="",H369=""),"",E369*H369)</f>
        <v/>
      </c>
      <c r="J369" s="4" t="n"/>
    </row>
    <row r="370">
      <c r="A370" s="3" t="n"/>
      <c r="B370" s="4" t="n"/>
      <c r="C370" s="5">
        <f>IFERROR(VLOOKUP(B370,Справочник!$A$2:$C$135,2,FALSE),"")</f>
        <v/>
      </c>
      <c r="D370" s="5">
        <f>IFERROR(VLOOKUP(B370,Справочник!$A$2:$C$135,3,FALSE),"")</f>
        <v/>
      </c>
      <c r="E370" s="4" t="n"/>
      <c r="F370" s="4" t="n"/>
      <c r="G370" s="5">
        <f>IF(E370="","",E370-N(F370))</f>
        <v/>
      </c>
      <c r="H370" s="4" t="n"/>
      <c r="I370" s="6">
        <f>IF(OR(E370="",H370=""),"",E370*H370)</f>
        <v/>
      </c>
      <c r="J370" s="4" t="n"/>
    </row>
    <row r="371">
      <c r="A371" s="3" t="n"/>
      <c r="B371" s="4" t="n"/>
      <c r="C371" s="5">
        <f>IFERROR(VLOOKUP(B371,Справочник!$A$2:$C$135,2,FALSE),"")</f>
        <v/>
      </c>
      <c r="D371" s="5">
        <f>IFERROR(VLOOKUP(B371,Справочник!$A$2:$C$135,3,FALSE),"")</f>
        <v/>
      </c>
      <c r="E371" s="4" t="n"/>
      <c r="F371" s="4" t="n"/>
      <c r="G371" s="5">
        <f>IF(E371="","",E371-N(F371))</f>
        <v/>
      </c>
      <c r="H371" s="4" t="n"/>
      <c r="I371" s="6">
        <f>IF(OR(E371="",H371=""),"",E371*H371)</f>
        <v/>
      </c>
      <c r="J371" s="4" t="n"/>
    </row>
    <row r="372">
      <c r="A372" s="3" t="n"/>
      <c r="B372" s="4" t="n"/>
      <c r="C372" s="5">
        <f>IFERROR(VLOOKUP(B372,Справочник!$A$2:$C$135,2,FALSE),"")</f>
        <v/>
      </c>
      <c r="D372" s="5">
        <f>IFERROR(VLOOKUP(B372,Справочник!$A$2:$C$135,3,FALSE),"")</f>
        <v/>
      </c>
      <c r="E372" s="4" t="n"/>
      <c r="F372" s="4" t="n"/>
      <c r="G372" s="5">
        <f>IF(E372="","",E372-N(F372))</f>
        <v/>
      </c>
      <c r="H372" s="4" t="n"/>
      <c r="I372" s="6">
        <f>IF(OR(E372="",H372=""),"",E372*H372)</f>
        <v/>
      </c>
      <c r="J372" s="4" t="n"/>
    </row>
    <row r="373">
      <c r="A373" s="3" t="n"/>
      <c r="B373" s="4" t="n"/>
      <c r="C373" s="5">
        <f>IFERROR(VLOOKUP(B373,Справочник!$A$2:$C$135,2,FALSE),"")</f>
        <v/>
      </c>
      <c r="D373" s="5">
        <f>IFERROR(VLOOKUP(B373,Справочник!$A$2:$C$135,3,FALSE),"")</f>
        <v/>
      </c>
      <c r="E373" s="4" t="n"/>
      <c r="F373" s="4" t="n"/>
      <c r="G373" s="5">
        <f>IF(E373="","",E373-N(F373))</f>
        <v/>
      </c>
      <c r="H373" s="4" t="n"/>
      <c r="I373" s="6">
        <f>IF(OR(E373="",H373=""),"",E373*H373)</f>
        <v/>
      </c>
      <c r="J373" s="4" t="n"/>
    </row>
    <row r="374">
      <c r="A374" s="3" t="n"/>
      <c r="B374" s="4" t="n"/>
      <c r="C374" s="5">
        <f>IFERROR(VLOOKUP(B374,Справочник!$A$2:$C$135,2,FALSE),"")</f>
        <v/>
      </c>
      <c r="D374" s="5">
        <f>IFERROR(VLOOKUP(B374,Справочник!$A$2:$C$135,3,FALSE),"")</f>
        <v/>
      </c>
      <c r="E374" s="4" t="n"/>
      <c r="F374" s="4" t="n"/>
      <c r="G374" s="5">
        <f>IF(E374="","",E374-N(F374))</f>
        <v/>
      </c>
      <c r="H374" s="4" t="n"/>
      <c r="I374" s="6">
        <f>IF(OR(E374="",H374=""),"",E374*H374)</f>
        <v/>
      </c>
      <c r="J374" s="4" t="n"/>
    </row>
    <row r="375">
      <c r="A375" s="3" t="n"/>
      <c r="B375" s="4" t="n"/>
      <c r="C375" s="5">
        <f>IFERROR(VLOOKUP(B375,Справочник!$A$2:$C$135,2,FALSE),"")</f>
        <v/>
      </c>
      <c r="D375" s="5">
        <f>IFERROR(VLOOKUP(B375,Справочник!$A$2:$C$135,3,FALSE),"")</f>
        <v/>
      </c>
      <c r="E375" s="4" t="n"/>
      <c r="F375" s="4" t="n"/>
      <c r="G375" s="5">
        <f>IF(E375="","",E375-N(F375))</f>
        <v/>
      </c>
      <c r="H375" s="4" t="n"/>
      <c r="I375" s="6">
        <f>IF(OR(E375="",H375=""),"",E375*H375)</f>
        <v/>
      </c>
      <c r="J375" s="4" t="n"/>
    </row>
    <row r="376">
      <c r="A376" s="3" t="n"/>
      <c r="B376" s="4" t="n"/>
      <c r="C376" s="5">
        <f>IFERROR(VLOOKUP(B376,Справочник!$A$2:$C$135,2,FALSE),"")</f>
        <v/>
      </c>
      <c r="D376" s="5">
        <f>IFERROR(VLOOKUP(B376,Справочник!$A$2:$C$135,3,FALSE),"")</f>
        <v/>
      </c>
      <c r="E376" s="4" t="n"/>
      <c r="F376" s="4" t="n"/>
      <c r="G376" s="5">
        <f>IF(E376="","",E376-N(F376))</f>
        <v/>
      </c>
      <c r="H376" s="4" t="n"/>
      <c r="I376" s="6">
        <f>IF(OR(E376="",H376=""),"",E376*H376)</f>
        <v/>
      </c>
      <c r="J376" s="4" t="n"/>
    </row>
    <row r="377">
      <c r="A377" s="3" t="n"/>
      <c r="B377" s="4" t="n"/>
      <c r="C377" s="5">
        <f>IFERROR(VLOOKUP(B377,Справочник!$A$2:$C$135,2,FALSE),"")</f>
        <v/>
      </c>
      <c r="D377" s="5">
        <f>IFERROR(VLOOKUP(B377,Справочник!$A$2:$C$135,3,FALSE),"")</f>
        <v/>
      </c>
      <c r="E377" s="4" t="n"/>
      <c r="F377" s="4" t="n"/>
      <c r="G377" s="5">
        <f>IF(E377="","",E377-N(F377))</f>
        <v/>
      </c>
      <c r="H377" s="4" t="n"/>
      <c r="I377" s="6">
        <f>IF(OR(E377="",H377=""),"",E377*H377)</f>
        <v/>
      </c>
      <c r="J377" s="4" t="n"/>
    </row>
    <row r="378">
      <c r="A378" s="3" t="n"/>
      <c r="B378" s="4" t="n"/>
      <c r="C378" s="5">
        <f>IFERROR(VLOOKUP(B378,Справочник!$A$2:$C$135,2,FALSE),"")</f>
        <v/>
      </c>
      <c r="D378" s="5">
        <f>IFERROR(VLOOKUP(B378,Справочник!$A$2:$C$135,3,FALSE),"")</f>
        <v/>
      </c>
      <c r="E378" s="4" t="n"/>
      <c r="F378" s="4" t="n"/>
      <c r="G378" s="5">
        <f>IF(E378="","",E378-N(F378))</f>
        <v/>
      </c>
      <c r="H378" s="4" t="n"/>
      <c r="I378" s="6">
        <f>IF(OR(E378="",H378=""),"",E378*H378)</f>
        <v/>
      </c>
      <c r="J378" s="4" t="n"/>
    </row>
    <row r="379">
      <c r="A379" s="3" t="n"/>
      <c r="B379" s="4" t="n"/>
      <c r="C379" s="5">
        <f>IFERROR(VLOOKUP(B379,Справочник!$A$2:$C$135,2,FALSE),"")</f>
        <v/>
      </c>
      <c r="D379" s="5">
        <f>IFERROR(VLOOKUP(B379,Справочник!$A$2:$C$135,3,FALSE),"")</f>
        <v/>
      </c>
      <c r="E379" s="4" t="n"/>
      <c r="F379" s="4" t="n"/>
      <c r="G379" s="5">
        <f>IF(E379="","",E379-N(F379))</f>
        <v/>
      </c>
      <c r="H379" s="4" t="n"/>
      <c r="I379" s="6">
        <f>IF(OR(E379="",H379=""),"",E379*H379)</f>
        <v/>
      </c>
      <c r="J379" s="4" t="n"/>
    </row>
    <row r="380">
      <c r="A380" s="3" t="n"/>
      <c r="B380" s="4" t="n"/>
      <c r="C380" s="5">
        <f>IFERROR(VLOOKUP(B380,Справочник!$A$2:$C$135,2,FALSE),"")</f>
        <v/>
      </c>
      <c r="D380" s="5">
        <f>IFERROR(VLOOKUP(B380,Справочник!$A$2:$C$135,3,FALSE),"")</f>
        <v/>
      </c>
      <c r="E380" s="4" t="n"/>
      <c r="F380" s="4" t="n"/>
      <c r="G380" s="5">
        <f>IF(E380="","",E380-N(F380))</f>
        <v/>
      </c>
      <c r="H380" s="4" t="n"/>
      <c r="I380" s="6">
        <f>IF(OR(E380="",H380=""),"",E380*H380)</f>
        <v/>
      </c>
      <c r="J380" s="4" t="n"/>
    </row>
    <row r="381">
      <c r="A381" s="3" t="n"/>
      <c r="B381" s="4" t="n"/>
      <c r="C381" s="5">
        <f>IFERROR(VLOOKUP(B381,Справочник!$A$2:$C$135,2,FALSE),"")</f>
        <v/>
      </c>
      <c r="D381" s="5">
        <f>IFERROR(VLOOKUP(B381,Справочник!$A$2:$C$135,3,FALSE),"")</f>
        <v/>
      </c>
      <c r="E381" s="4" t="n"/>
      <c r="F381" s="4" t="n"/>
      <c r="G381" s="5">
        <f>IF(E381="","",E381-N(F381))</f>
        <v/>
      </c>
      <c r="H381" s="4" t="n"/>
      <c r="I381" s="6">
        <f>IF(OR(E381="",H381=""),"",E381*H381)</f>
        <v/>
      </c>
      <c r="J381" s="4" t="n"/>
    </row>
    <row r="382">
      <c r="A382" s="3" t="n"/>
      <c r="B382" s="4" t="n"/>
      <c r="C382" s="5">
        <f>IFERROR(VLOOKUP(B382,Справочник!$A$2:$C$135,2,FALSE),"")</f>
        <v/>
      </c>
      <c r="D382" s="5">
        <f>IFERROR(VLOOKUP(B382,Справочник!$A$2:$C$135,3,FALSE),"")</f>
        <v/>
      </c>
      <c r="E382" s="4" t="n"/>
      <c r="F382" s="4" t="n"/>
      <c r="G382" s="5">
        <f>IF(E382="","",E382-N(F382))</f>
        <v/>
      </c>
      <c r="H382" s="4" t="n"/>
      <c r="I382" s="6">
        <f>IF(OR(E382="",H382=""),"",E382*H382)</f>
        <v/>
      </c>
      <c r="J382" s="4" t="n"/>
    </row>
    <row r="383">
      <c r="A383" s="3" t="n"/>
      <c r="B383" s="4" t="n"/>
      <c r="C383" s="5">
        <f>IFERROR(VLOOKUP(B383,Справочник!$A$2:$C$135,2,FALSE),"")</f>
        <v/>
      </c>
      <c r="D383" s="5">
        <f>IFERROR(VLOOKUP(B383,Справочник!$A$2:$C$135,3,FALSE),"")</f>
        <v/>
      </c>
      <c r="E383" s="4" t="n"/>
      <c r="F383" s="4" t="n"/>
      <c r="G383" s="5">
        <f>IF(E383="","",E383-N(F383))</f>
        <v/>
      </c>
      <c r="H383" s="4" t="n"/>
      <c r="I383" s="6">
        <f>IF(OR(E383="",H383=""),"",E383*H383)</f>
        <v/>
      </c>
      <c r="J383" s="4" t="n"/>
    </row>
    <row r="384">
      <c r="A384" s="3" t="n"/>
      <c r="B384" s="4" t="n"/>
      <c r="C384" s="5">
        <f>IFERROR(VLOOKUP(B384,Справочник!$A$2:$C$135,2,FALSE),"")</f>
        <v/>
      </c>
      <c r="D384" s="5">
        <f>IFERROR(VLOOKUP(B384,Справочник!$A$2:$C$135,3,FALSE),"")</f>
        <v/>
      </c>
      <c r="E384" s="4" t="n"/>
      <c r="F384" s="4" t="n"/>
      <c r="G384" s="5">
        <f>IF(E384="","",E384-N(F384))</f>
        <v/>
      </c>
      <c r="H384" s="4" t="n"/>
      <c r="I384" s="6">
        <f>IF(OR(E384="",H384=""),"",E384*H384)</f>
        <v/>
      </c>
      <c r="J384" s="4" t="n"/>
    </row>
    <row r="385">
      <c r="A385" s="3" t="n"/>
      <c r="B385" s="4" t="n"/>
      <c r="C385" s="5">
        <f>IFERROR(VLOOKUP(B385,Справочник!$A$2:$C$135,2,FALSE),"")</f>
        <v/>
      </c>
      <c r="D385" s="5">
        <f>IFERROR(VLOOKUP(B385,Справочник!$A$2:$C$135,3,FALSE),"")</f>
        <v/>
      </c>
      <c r="E385" s="4" t="n"/>
      <c r="F385" s="4" t="n"/>
      <c r="G385" s="5">
        <f>IF(E385="","",E385-N(F385))</f>
        <v/>
      </c>
      <c r="H385" s="4" t="n"/>
      <c r="I385" s="6">
        <f>IF(OR(E385="",H385=""),"",E385*H385)</f>
        <v/>
      </c>
      <c r="J385" s="4" t="n"/>
    </row>
    <row r="386">
      <c r="A386" s="3" t="n"/>
      <c r="B386" s="4" t="n"/>
      <c r="C386" s="5">
        <f>IFERROR(VLOOKUP(B386,Справочник!$A$2:$C$135,2,FALSE),"")</f>
        <v/>
      </c>
      <c r="D386" s="5">
        <f>IFERROR(VLOOKUP(B386,Справочник!$A$2:$C$135,3,FALSE),"")</f>
        <v/>
      </c>
      <c r="E386" s="4" t="n"/>
      <c r="F386" s="4" t="n"/>
      <c r="G386" s="5">
        <f>IF(E386="","",E386-N(F386))</f>
        <v/>
      </c>
      <c r="H386" s="4" t="n"/>
      <c r="I386" s="6">
        <f>IF(OR(E386="",H386=""),"",E386*H386)</f>
        <v/>
      </c>
      <c r="J386" s="4" t="n"/>
    </row>
    <row r="387">
      <c r="A387" s="3" t="n"/>
      <c r="B387" s="4" t="n"/>
      <c r="C387" s="5">
        <f>IFERROR(VLOOKUP(B387,Справочник!$A$2:$C$135,2,FALSE),"")</f>
        <v/>
      </c>
      <c r="D387" s="5">
        <f>IFERROR(VLOOKUP(B387,Справочник!$A$2:$C$135,3,FALSE),"")</f>
        <v/>
      </c>
      <c r="E387" s="4" t="n"/>
      <c r="F387" s="4" t="n"/>
      <c r="G387" s="5">
        <f>IF(E387="","",E387-N(F387))</f>
        <v/>
      </c>
      <c r="H387" s="4" t="n"/>
      <c r="I387" s="6">
        <f>IF(OR(E387="",H387=""),"",E387*H387)</f>
        <v/>
      </c>
      <c r="J387" s="4" t="n"/>
    </row>
    <row r="388">
      <c r="A388" s="3" t="n"/>
      <c r="B388" s="4" t="n"/>
      <c r="C388" s="5">
        <f>IFERROR(VLOOKUP(B388,Справочник!$A$2:$C$135,2,FALSE),"")</f>
        <v/>
      </c>
      <c r="D388" s="5">
        <f>IFERROR(VLOOKUP(B388,Справочник!$A$2:$C$135,3,FALSE),"")</f>
        <v/>
      </c>
      <c r="E388" s="4" t="n"/>
      <c r="F388" s="4" t="n"/>
      <c r="G388" s="5">
        <f>IF(E388="","",E388-N(F388))</f>
        <v/>
      </c>
      <c r="H388" s="4" t="n"/>
      <c r="I388" s="6">
        <f>IF(OR(E388="",H388=""),"",E388*H388)</f>
        <v/>
      </c>
      <c r="J388" s="4" t="n"/>
    </row>
    <row r="389">
      <c r="A389" s="3" t="n"/>
      <c r="B389" s="4" t="n"/>
      <c r="C389" s="5">
        <f>IFERROR(VLOOKUP(B389,Справочник!$A$2:$C$135,2,FALSE),"")</f>
        <v/>
      </c>
      <c r="D389" s="5">
        <f>IFERROR(VLOOKUP(B389,Справочник!$A$2:$C$135,3,FALSE),"")</f>
        <v/>
      </c>
      <c r="E389" s="4" t="n"/>
      <c r="F389" s="4" t="n"/>
      <c r="G389" s="5">
        <f>IF(E389="","",E389-N(F389))</f>
        <v/>
      </c>
      <c r="H389" s="4" t="n"/>
      <c r="I389" s="6">
        <f>IF(OR(E389="",H389=""),"",E389*H389)</f>
        <v/>
      </c>
      <c r="J389" s="4" t="n"/>
    </row>
    <row r="390">
      <c r="A390" s="3" t="n"/>
      <c r="B390" s="4" t="n"/>
      <c r="C390" s="5">
        <f>IFERROR(VLOOKUP(B390,Справочник!$A$2:$C$135,2,FALSE),"")</f>
        <v/>
      </c>
      <c r="D390" s="5">
        <f>IFERROR(VLOOKUP(B390,Справочник!$A$2:$C$135,3,FALSE),"")</f>
        <v/>
      </c>
      <c r="E390" s="4" t="n"/>
      <c r="F390" s="4" t="n"/>
      <c r="G390" s="5">
        <f>IF(E390="","",E390-N(F390))</f>
        <v/>
      </c>
      <c r="H390" s="4" t="n"/>
      <c r="I390" s="6">
        <f>IF(OR(E390="",H390=""),"",E390*H390)</f>
        <v/>
      </c>
      <c r="J390" s="4" t="n"/>
    </row>
    <row r="391">
      <c r="A391" s="3" t="n"/>
      <c r="B391" s="4" t="n"/>
      <c r="C391" s="5">
        <f>IFERROR(VLOOKUP(B391,Справочник!$A$2:$C$135,2,FALSE),"")</f>
        <v/>
      </c>
      <c r="D391" s="5">
        <f>IFERROR(VLOOKUP(B391,Справочник!$A$2:$C$135,3,FALSE),"")</f>
        <v/>
      </c>
      <c r="E391" s="4" t="n"/>
      <c r="F391" s="4" t="n"/>
      <c r="G391" s="5">
        <f>IF(E391="","",E391-N(F391))</f>
        <v/>
      </c>
      <c r="H391" s="4" t="n"/>
      <c r="I391" s="6">
        <f>IF(OR(E391="",H391=""),"",E391*H391)</f>
        <v/>
      </c>
      <c r="J391" s="4" t="n"/>
    </row>
    <row r="392">
      <c r="A392" s="3" t="n"/>
      <c r="B392" s="4" t="n"/>
      <c r="C392" s="5">
        <f>IFERROR(VLOOKUP(B392,Справочник!$A$2:$C$135,2,FALSE),"")</f>
        <v/>
      </c>
      <c r="D392" s="5">
        <f>IFERROR(VLOOKUP(B392,Справочник!$A$2:$C$135,3,FALSE),"")</f>
        <v/>
      </c>
      <c r="E392" s="4" t="n"/>
      <c r="F392" s="4" t="n"/>
      <c r="G392" s="5">
        <f>IF(E392="","",E392-N(F392))</f>
        <v/>
      </c>
      <c r="H392" s="4" t="n"/>
      <c r="I392" s="6">
        <f>IF(OR(E392="",H392=""),"",E392*H392)</f>
        <v/>
      </c>
      <c r="J392" s="4" t="n"/>
    </row>
    <row r="393">
      <c r="A393" s="3" t="n"/>
      <c r="B393" s="4" t="n"/>
      <c r="C393" s="5">
        <f>IFERROR(VLOOKUP(B393,Справочник!$A$2:$C$135,2,FALSE),"")</f>
        <v/>
      </c>
      <c r="D393" s="5">
        <f>IFERROR(VLOOKUP(B393,Справочник!$A$2:$C$135,3,FALSE),"")</f>
        <v/>
      </c>
      <c r="E393" s="4" t="n"/>
      <c r="F393" s="4" t="n"/>
      <c r="G393" s="5">
        <f>IF(E393="","",E393-N(F393))</f>
        <v/>
      </c>
      <c r="H393" s="4" t="n"/>
      <c r="I393" s="6">
        <f>IF(OR(E393="",H393=""),"",E393*H393)</f>
        <v/>
      </c>
      <c r="J393" s="4" t="n"/>
    </row>
    <row r="394">
      <c r="A394" s="3" t="n"/>
      <c r="B394" s="4" t="n"/>
      <c r="C394" s="5">
        <f>IFERROR(VLOOKUP(B394,Справочник!$A$2:$C$135,2,FALSE),"")</f>
        <v/>
      </c>
      <c r="D394" s="5">
        <f>IFERROR(VLOOKUP(B394,Справочник!$A$2:$C$135,3,FALSE),"")</f>
        <v/>
      </c>
      <c r="E394" s="4" t="n"/>
      <c r="F394" s="4" t="n"/>
      <c r="G394" s="5">
        <f>IF(E394="","",E394-N(F394))</f>
        <v/>
      </c>
      <c r="H394" s="4" t="n"/>
      <c r="I394" s="6">
        <f>IF(OR(E394="",H394=""),"",E394*H394)</f>
        <v/>
      </c>
      <c r="J394" s="4" t="n"/>
    </row>
    <row r="395">
      <c r="A395" s="3" t="n"/>
      <c r="B395" s="4" t="n"/>
      <c r="C395" s="5">
        <f>IFERROR(VLOOKUP(B395,Справочник!$A$2:$C$135,2,FALSE),"")</f>
        <v/>
      </c>
      <c r="D395" s="5">
        <f>IFERROR(VLOOKUP(B395,Справочник!$A$2:$C$135,3,FALSE),"")</f>
        <v/>
      </c>
      <c r="E395" s="4" t="n"/>
      <c r="F395" s="4" t="n"/>
      <c r="G395" s="5">
        <f>IF(E395="","",E395-N(F395))</f>
        <v/>
      </c>
      <c r="H395" s="4" t="n"/>
      <c r="I395" s="6">
        <f>IF(OR(E395="",H395=""),"",E395*H395)</f>
        <v/>
      </c>
      <c r="J395" s="4" t="n"/>
    </row>
    <row r="396">
      <c r="A396" s="3" t="n"/>
      <c r="B396" s="4" t="n"/>
      <c r="C396" s="5">
        <f>IFERROR(VLOOKUP(B396,Справочник!$A$2:$C$135,2,FALSE),"")</f>
        <v/>
      </c>
      <c r="D396" s="5">
        <f>IFERROR(VLOOKUP(B396,Справочник!$A$2:$C$135,3,FALSE),"")</f>
        <v/>
      </c>
      <c r="E396" s="4" t="n"/>
      <c r="F396" s="4" t="n"/>
      <c r="G396" s="5">
        <f>IF(E396="","",E396-N(F396))</f>
        <v/>
      </c>
      <c r="H396" s="4" t="n"/>
      <c r="I396" s="6">
        <f>IF(OR(E396="",H396=""),"",E396*H396)</f>
        <v/>
      </c>
      <c r="J396" s="4" t="n"/>
    </row>
    <row r="397">
      <c r="A397" s="3" t="n"/>
      <c r="B397" s="4" t="n"/>
      <c r="C397" s="5">
        <f>IFERROR(VLOOKUP(B397,Справочник!$A$2:$C$135,2,FALSE),"")</f>
        <v/>
      </c>
      <c r="D397" s="5">
        <f>IFERROR(VLOOKUP(B397,Справочник!$A$2:$C$135,3,FALSE),"")</f>
        <v/>
      </c>
      <c r="E397" s="4" t="n"/>
      <c r="F397" s="4" t="n"/>
      <c r="G397" s="5">
        <f>IF(E397="","",E397-N(F397))</f>
        <v/>
      </c>
      <c r="H397" s="4" t="n"/>
      <c r="I397" s="6">
        <f>IF(OR(E397="",H397=""),"",E397*H397)</f>
        <v/>
      </c>
      <c r="J397" s="4" t="n"/>
    </row>
    <row r="398">
      <c r="A398" s="3" t="n"/>
      <c r="B398" s="4" t="n"/>
      <c r="C398" s="5">
        <f>IFERROR(VLOOKUP(B398,Справочник!$A$2:$C$135,2,FALSE),"")</f>
        <v/>
      </c>
      <c r="D398" s="5">
        <f>IFERROR(VLOOKUP(B398,Справочник!$A$2:$C$135,3,FALSE),"")</f>
        <v/>
      </c>
      <c r="E398" s="4" t="n"/>
      <c r="F398" s="4" t="n"/>
      <c r="G398" s="5">
        <f>IF(E398="","",E398-N(F398))</f>
        <v/>
      </c>
      <c r="H398" s="4" t="n"/>
      <c r="I398" s="6">
        <f>IF(OR(E398="",H398=""),"",E398*H398)</f>
        <v/>
      </c>
      <c r="J398" s="4" t="n"/>
    </row>
    <row r="399">
      <c r="A399" s="3" t="n"/>
      <c r="B399" s="4" t="n"/>
      <c r="C399" s="5">
        <f>IFERROR(VLOOKUP(B399,Справочник!$A$2:$C$135,2,FALSE),"")</f>
        <v/>
      </c>
      <c r="D399" s="5">
        <f>IFERROR(VLOOKUP(B399,Справочник!$A$2:$C$135,3,FALSE),"")</f>
        <v/>
      </c>
      <c r="E399" s="4" t="n"/>
      <c r="F399" s="4" t="n"/>
      <c r="G399" s="5">
        <f>IF(E399="","",E399-N(F399))</f>
        <v/>
      </c>
      <c r="H399" s="4" t="n"/>
      <c r="I399" s="6">
        <f>IF(OR(E399="",H399=""),"",E399*H399)</f>
        <v/>
      </c>
      <c r="J399" s="4" t="n"/>
    </row>
    <row r="400">
      <c r="A400" s="3" t="n"/>
      <c r="B400" s="4" t="n"/>
      <c r="C400" s="5">
        <f>IFERROR(VLOOKUP(B400,Справочник!$A$2:$C$135,2,FALSE),"")</f>
        <v/>
      </c>
      <c r="D400" s="5">
        <f>IFERROR(VLOOKUP(B400,Справочник!$A$2:$C$135,3,FALSE),"")</f>
        <v/>
      </c>
      <c r="E400" s="4" t="n"/>
      <c r="F400" s="4" t="n"/>
      <c r="G400" s="5">
        <f>IF(E400="","",E400-N(F400))</f>
        <v/>
      </c>
      <c r="H400" s="4" t="n"/>
      <c r="I400" s="6">
        <f>IF(OR(E400="",H400=""),"",E400*H400)</f>
        <v/>
      </c>
      <c r="J400" s="4" t="n"/>
    </row>
    <row r="401">
      <c r="A401" s="3" t="n"/>
      <c r="B401" s="4" t="n"/>
      <c r="C401" s="5">
        <f>IFERROR(VLOOKUP(B401,Справочник!$A$2:$C$135,2,FALSE),"")</f>
        <v/>
      </c>
      <c r="D401" s="5">
        <f>IFERROR(VLOOKUP(B401,Справочник!$A$2:$C$135,3,FALSE),"")</f>
        <v/>
      </c>
      <c r="E401" s="4" t="n"/>
      <c r="F401" s="4" t="n"/>
      <c r="G401" s="5">
        <f>IF(E401="","",E401-N(F401))</f>
        <v/>
      </c>
      <c r="H401" s="4" t="n"/>
      <c r="I401" s="6">
        <f>IF(OR(E401="",H401=""),"",E401*H401)</f>
        <v/>
      </c>
      <c r="J401" s="4" t="n"/>
    </row>
  </sheetData>
  <dataValidations count="1">
    <dataValidation sqref="B2:B401" showDropDown="0" showInputMessage="0" showErrorMessage="0" allowBlank="1" type="list">
      <formula1>=Справочник!$A$2:$A$135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4" customWidth="1" min="3" max="3"/>
    <col width="14" customWidth="1" min="4" max="4"/>
    <col width="11" customWidth="1" min="5" max="5"/>
    <col width="13" customWidth="1" min="6" max="6"/>
    <col width="13" customWidth="1" min="7" max="7"/>
  </cols>
  <sheetData>
    <row r="1">
      <c r="A1" s="7" t="inlineStr">
        <is>
          <t>Артикул ВБ</t>
        </is>
      </c>
      <c r="B1" s="7" t="inlineStr">
        <is>
          <t>Название</t>
        </is>
      </c>
      <c r="C1" s="7" t="inlineStr">
        <is>
          <t>Всего заказано</t>
        </is>
      </c>
      <c r="D1" s="7" t="inlineStr">
        <is>
          <t>Всего забрано</t>
        </is>
      </c>
      <c r="E1" s="7" t="inlineStr">
        <is>
          <t>Осталось</t>
        </is>
      </c>
      <c r="F1" s="7" t="inlineStr">
        <is>
          <t>Средняя цена</t>
        </is>
      </c>
      <c r="G1" s="7" t="inlineStr">
        <is>
          <t>Сумма выкупа</t>
        </is>
      </c>
    </row>
    <row r="2">
      <c r="A2" s="8" t="n">
        <v>1119249556</v>
      </c>
      <c r="B2" s="8" t="inlineStr">
        <is>
          <t>PDRN сыворотка для лица VT Essence 100, 30 мл</t>
        </is>
      </c>
      <c r="C2" s="8">
        <f>SUMIF('Учёт самовыкупов'!$B$2:$B$401,A2,'Учёт самовыкупов'!$E$2:$E$401)</f>
        <v/>
      </c>
      <c r="D2" s="8">
        <f>SUMIF('Учёт самовыкупов'!$B$2:$B$401,A2,'Учёт самовыкупов'!$F$2:$F$401)</f>
        <v/>
      </c>
      <c r="E2" s="8">
        <f>C2-D2</f>
        <v/>
      </c>
      <c r="F2" s="8">
        <f>IFERROR(SUMIF('Учёт самовыкупов'!$B$2:$B$401,A2,'Учёт самовыкупов'!$I$2:$I$401)/C2,"")</f>
        <v/>
      </c>
      <c r="G2" s="8">
        <f>SUMIF('Учёт самовыкупов'!$B$2:$B$401,A2,'Учёт самовыкупов'!$I$2:$I$401)</f>
        <v/>
      </c>
    </row>
    <row r="3">
      <c r="A3" s="8" t="n">
        <v>1123494802</v>
      </c>
      <c r="B3" s="8" t="inlineStr">
        <is>
          <t>Бустер-сыворотка с микроиглами VT Reedle Shot 100</t>
        </is>
      </c>
      <c r="C3" s="8">
        <f>SUMIF('Учёт самовыкупов'!$B$2:$B$401,A3,'Учёт самовыкупов'!$E$2:$E$401)</f>
        <v/>
      </c>
      <c r="D3" s="8">
        <f>SUMIF('Учёт самовыкупов'!$B$2:$B$401,A3,'Учёт самовыкупов'!$F$2:$F$401)</f>
        <v/>
      </c>
      <c r="E3" s="8">
        <f>C3-D3</f>
        <v/>
      </c>
      <c r="F3" s="8">
        <f>IFERROR(SUMIF('Учёт самовыкупов'!$B$2:$B$401,A3,'Учёт самовыкупов'!$I$2:$I$401)/C3,"")</f>
        <v/>
      </c>
      <c r="G3" s="8">
        <f>SUMIF('Учёт самовыкупов'!$B$2:$B$401,A3,'Учёт самовыкупов'!$I$2:$I$401)</f>
        <v/>
      </c>
    </row>
    <row r="4">
      <c r="A4" s="8" t="n">
        <v>1123574113</v>
      </c>
      <c r="B4" s="8" t="inlineStr">
        <is>
          <t>Тонер с морской водой Dokdo Toner 1025, 200 мл</t>
        </is>
      </c>
      <c r="C4" s="8">
        <f>SUMIF('Учёт самовыкупов'!$B$2:$B$401,A4,'Учёт самовыкупов'!$E$2:$E$401)</f>
        <v/>
      </c>
      <c r="D4" s="8">
        <f>SUMIF('Учёт самовыкупов'!$B$2:$B$401,A4,'Учёт самовыкупов'!$F$2:$F$401)</f>
        <v/>
      </c>
      <c r="E4" s="8">
        <f>C4-D4</f>
        <v/>
      </c>
      <c r="F4" s="8">
        <f>IFERROR(SUMIF('Учёт самовыкупов'!$B$2:$B$401,A4,'Учёт самовыкупов'!$I$2:$I$401)/C4,"")</f>
        <v/>
      </c>
      <c r="G4" s="8">
        <f>SUMIF('Учёт самовыкупов'!$B$2:$B$401,A4,'Учёт самовыкупов'!$I$2:$I$401)</f>
        <v/>
      </c>
    </row>
    <row r="5">
      <c r="A5" s="8" t="n">
        <v>1152680017</v>
      </c>
      <c r="B5" s="8" t="inlineStr">
        <is>
          <t>Крем-бустер для лица с ретинолом и микроиглами от морщин</t>
        </is>
      </c>
      <c r="C5" s="8">
        <f>SUMIF('Учёт самовыкупов'!$B$2:$B$401,A5,'Учёт самовыкупов'!$E$2:$E$401)</f>
        <v/>
      </c>
      <c r="D5" s="8">
        <f>SUMIF('Учёт самовыкупов'!$B$2:$B$401,A5,'Учёт самовыкупов'!$F$2:$F$401)</f>
        <v/>
      </c>
      <c r="E5" s="8">
        <f>C5-D5</f>
        <v/>
      </c>
      <c r="F5" s="8">
        <f>IFERROR(SUMIF('Учёт самовыкупов'!$B$2:$B$401,A5,'Учёт самовыкупов'!$I$2:$I$401)/C5,"")</f>
        <v/>
      </c>
      <c r="G5" s="8">
        <f>SUMIF('Учёт самовыкупов'!$B$2:$B$401,A5,'Учёт самовыкупов'!$I$2:$I$401)</f>
        <v/>
      </c>
    </row>
    <row r="6">
      <c r="A6" s="8" t="n">
        <v>1175175447</v>
      </c>
      <c r="B6" s="8" t="inlineStr">
        <is>
          <t>Гидрогелевые маски для лица набор увлажняющие корейские 6 шт</t>
        </is>
      </c>
      <c r="C6" s="8">
        <f>SUMIF('Учёт самовыкупов'!$B$2:$B$401,A6,'Учёт самовыкупов'!$E$2:$E$401)</f>
        <v/>
      </c>
      <c r="D6" s="8">
        <f>SUMIF('Учёт самовыкупов'!$B$2:$B$401,A6,'Учёт самовыкупов'!$F$2:$F$401)</f>
        <v/>
      </c>
      <c r="E6" s="8">
        <f>C6-D6</f>
        <v/>
      </c>
      <c r="F6" s="8">
        <f>IFERROR(SUMIF('Учёт самовыкупов'!$B$2:$B$401,A6,'Учёт самовыкупов'!$I$2:$I$401)/C6,"")</f>
        <v/>
      </c>
      <c r="G6" s="8">
        <f>SUMIF('Учёт самовыкупов'!$B$2:$B$401,A6,'Учёт самовыкупов'!$I$2:$I$401)</f>
        <v/>
      </c>
    </row>
    <row r="7">
      <c r="A7" s="8" t="n">
        <v>1177994944</v>
      </c>
      <c r="B7" s="8" t="inlineStr">
        <is>
          <t>Гидрогелевые маски для лица набор увлажняющие корейские 5 шт</t>
        </is>
      </c>
      <c r="C7" s="8">
        <f>SUMIF('Учёт самовыкупов'!$B$2:$B$401,A7,'Учёт самовыкупов'!$E$2:$E$401)</f>
        <v/>
      </c>
      <c r="D7" s="8">
        <f>SUMIF('Учёт самовыкупов'!$B$2:$B$401,A7,'Учёт самовыкупов'!$F$2:$F$401)</f>
        <v/>
      </c>
      <c r="E7" s="8">
        <f>C7-D7</f>
        <v/>
      </c>
      <c r="F7" s="8">
        <f>IFERROR(SUMIF('Учёт самовыкупов'!$B$2:$B$401,A7,'Учёт самовыкупов'!$I$2:$I$401)/C7,"")</f>
        <v/>
      </c>
      <c r="G7" s="8">
        <f>SUMIF('Учёт самовыкупов'!$B$2:$B$401,A7,'Учёт самовыкупов'!$I$2:$I$401)</f>
        <v/>
      </c>
    </row>
    <row r="8">
      <c r="A8" s="8" t="n">
        <v>1177994945</v>
      </c>
      <c r="B8" s="8" t="inlineStr">
        <is>
          <t>Гидрогелевые маски для лица набор увлажняющие корейские 7 шт</t>
        </is>
      </c>
      <c r="C8" s="8">
        <f>SUMIF('Учёт самовыкупов'!$B$2:$B$401,A8,'Учёт самовыкупов'!$E$2:$E$401)</f>
        <v/>
      </c>
      <c r="D8" s="8">
        <f>SUMIF('Учёт самовыкупов'!$B$2:$B$401,A8,'Учёт самовыкупов'!$F$2:$F$401)</f>
        <v/>
      </c>
      <c r="E8" s="8">
        <f>C8-D8</f>
        <v/>
      </c>
      <c r="F8" s="8">
        <f>IFERROR(SUMIF('Учёт самовыкупов'!$B$2:$B$401,A8,'Учёт самовыкупов'!$I$2:$I$401)/C8,"")</f>
        <v/>
      </c>
      <c r="G8" s="8">
        <f>SUMIF('Учёт самовыкупов'!$B$2:$B$401,A8,'Учёт самовыкупов'!$I$2:$I$401)</f>
        <v/>
      </c>
    </row>
    <row r="9">
      <c r="A9" s="8" t="n">
        <v>150925321</v>
      </c>
      <c r="B9" s="8" t="inlineStr">
        <is>
          <t>Увлажняющий тональный крем для лица матовый Collagen тон 13</t>
        </is>
      </c>
      <c r="C9" s="8">
        <f>SUMIF('Учёт самовыкупов'!$B$2:$B$401,A9,'Учёт самовыкупов'!$E$2:$E$401)</f>
        <v/>
      </c>
      <c r="D9" s="8">
        <f>SUMIF('Учёт самовыкупов'!$B$2:$B$401,A9,'Учёт самовыкупов'!$F$2:$F$401)</f>
        <v/>
      </c>
      <c r="E9" s="8">
        <f>C9-D9</f>
        <v/>
      </c>
      <c r="F9" s="8">
        <f>IFERROR(SUMIF('Учёт самовыкупов'!$B$2:$B$401,A9,'Учёт самовыкупов'!$I$2:$I$401)/C9,"")</f>
        <v/>
      </c>
      <c r="G9" s="8">
        <f>SUMIF('Учёт самовыкупов'!$B$2:$B$401,A9,'Учёт самовыкупов'!$I$2:$I$401)</f>
        <v/>
      </c>
    </row>
    <row r="10">
      <c r="A10" s="8" t="n">
        <v>150925322</v>
      </c>
      <c r="B10" s="8" t="inlineStr">
        <is>
          <t>Увлажняющий тональный крем для лица матовый Collagen тон 21</t>
        </is>
      </c>
      <c r="C10" s="8">
        <f>SUMIF('Учёт самовыкупов'!$B$2:$B$401,A10,'Учёт самовыкупов'!$E$2:$E$401)</f>
        <v/>
      </c>
      <c r="D10" s="8">
        <f>SUMIF('Учёт самовыкупов'!$B$2:$B$401,A10,'Учёт самовыкупов'!$F$2:$F$401)</f>
        <v/>
      </c>
      <c r="E10" s="8">
        <f>C10-D10</f>
        <v/>
      </c>
      <c r="F10" s="8">
        <f>IFERROR(SUMIF('Учёт самовыкупов'!$B$2:$B$401,A10,'Учёт самовыкупов'!$I$2:$I$401)/C10,"")</f>
        <v/>
      </c>
      <c r="G10" s="8">
        <f>SUMIF('Учёт самовыкупов'!$B$2:$B$401,A10,'Учёт самовыкупов'!$I$2:$I$401)</f>
        <v/>
      </c>
    </row>
    <row r="11">
      <c r="A11" s="8" t="n">
        <v>151132051</v>
      </c>
      <c r="B11" s="8" t="inlineStr">
        <is>
          <t>Отбеливающий тональный крем для лица 3в1 тон 13</t>
        </is>
      </c>
      <c r="C11" s="8">
        <f>SUMIF('Учёт самовыкупов'!$B$2:$B$401,A11,'Учёт самовыкупов'!$E$2:$E$401)</f>
        <v/>
      </c>
      <c r="D11" s="8">
        <f>SUMIF('Учёт самовыкупов'!$B$2:$B$401,A11,'Учёт самовыкупов'!$F$2:$F$401)</f>
        <v/>
      </c>
      <c r="E11" s="8">
        <f>C11-D11</f>
        <v/>
      </c>
      <c r="F11" s="8">
        <f>IFERROR(SUMIF('Учёт самовыкупов'!$B$2:$B$401,A11,'Учёт самовыкупов'!$I$2:$I$401)/C11,"")</f>
        <v/>
      </c>
      <c r="G11" s="8">
        <f>SUMIF('Учёт самовыкупов'!$B$2:$B$401,A11,'Учёт самовыкупов'!$I$2:$I$401)</f>
        <v/>
      </c>
    </row>
    <row r="12">
      <c r="A12" s="8" t="n">
        <v>151132052</v>
      </c>
      <c r="B12" s="8" t="inlineStr">
        <is>
          <t>Отбеливающий тональный крем для лица 3в1 тон 21</t>
        </is>
      </c>
      <c r="C12" s="8">
        <f>SUMIF('Учёт самовыкупов'!$B$2:$B$401,A12,'Учёт самовыкупов'!$E$2:$E$401)</f>
        <v/>
      </c>
      <c r="D12" s="8">
        <f>SUMIF('Учёт самовыкупов'!$B$2:$B$401,A12,'Учёт самовыкупов'!$F$2:$F$401)</f>
        <v/>
      </c>
      <c r="E12" s="8">
        <f>C12-D12</f>
        <v/>
      </c>
      <c r="F12" s="8">
        <f>IFERROR(SUMIF('Учёт самовыкупов'!$B$2:$B$401,A12,'Учёт самовыкупов'!$I$2:$I$401)/C12,"")</f>
        <v/>
      </c>
      <c r="G12" s="8">
        <f>SUMIF('Учёт самовыкупов'!$B$2:$B$401,A12,'Учёт самовыкупов'!$I$2:$I$401)</f>
        <v/>
      </c>
    </row>
    <row r="13">
      <c r="A13" s="8" t="n">
        <v>151175877</v>
      </c>
      <c r="B13" s="8" t="inlineStr">
        <is>
          <t>Гидрогелевые патчи от отеков и мешков под глазами</t>
        </is>
      </c>
      <c r="C13" s="8">
        <f>SUMIF('Учёт самовыкупов'!$B$2:$B$401,A13,'Учёт самовыкупов'!$E$2:$E$401)</f>
        <v/>
      </c>
      <c r="D13" s="8">
        <f>SUMIF('Учёт самовыкупов'!$B$2:$B$401,A13,'Учёт самовыкупов'!$F$2:$F$401)</f>
        <v/>
      </c>
      <c r="E13" s="8">
        <f>C13-D13</f>
        <v/>
      </c>
      <c r="F13" s="8">
        <f>IFERROR(SUMIF('Учёт самовыкупов'!$B$2:$B$401,A13,'Учёт самовыкупов'!$I$2:$I$401)/C13,"")</f>
        <v/>
      </c>
      <c r="G13" s="8">
        <f>SUMIF('Учёт самовыкупов'!$B$2:$B$401,A13,'Учёт самовыкупов'!$I$2:$I$401)</f>
        <v/>
      </c>
    </row>
    <row r="14">
      <c r="A14" s="8" t="n">
        <v>151175880</v>
      </c>
      <c r="B14" s="8" t="inlineStr">
        <is>
          <t>Патчи для глаз Корея антивозрастные жемчуг и золото</t>
        </is>
      </c>
      <c r="C14" s="8">
        <f>SUMIF('Учёт самовыкупов'!$B$2:$B$401,A14,'Учёт самовыкупов'!$E$2:$E$401)</f>
        <v/>
      </c>
      <c r="D14" s="8">
        <f>SUMIF('Учёт самовыкупов'!$B$2:$B$401,A14,'Учёт самовыкупов'!$F$2:$F$401)</f>
        <v/>
      </c>
      <c r="E14" s="8">
        <f>C14-D14</f>
        <v/>
      </c>
      <c r="F14" s="8">
        <f>IFERROR(SUMIF('Учёт самовыкупов'!$B$2:$B$401,A14,'Учёт самовыкупов'!$I$2:$I$401)/C14,"")</f>
        <v/>
      </c>
      <c r="G14" s="8">
        <f>SUMIF('Учёт самовыкупов'!$B$2:$B$401,A14,'Учёт самовыкупов'!$I$2:$I$401)</f>
        <v/>
      </c>
    </row>
    <row r="15">
      <c r="A15" s="8" t="n">
        <v>151313163</v>
      </c>
      <c r="B15" s="8" t="inlineStr">
        <is>
          <t>Скраб для лица Baking Powder с содой Корейский</t>
        </is>
      </c>
      <c r="C15" s="8">
        <f>SUMIF('Учёт самовыкупов'!$B$2:$B$401,A15,'Учёт самовыкупов'!$E$2:$E$401)</f>
        <v/>
      </c>
      <c r="D15" s="8">
        <f>SUMIF('Учёт самовыкупов'!$B$2:$B$401,A15,'Учёт самовыкупов'!$F$2:$F$401)</f>
        <v/>
      </c>
      <c r="E15" s="8">
        <f>C15-D15</f>
        <v/>
      </c>
      <c r="F15" s="8">
        <f>IFERROR(SUMIF('Учёт самовыкупов'!$B$2:$B$401,A15,'Учёт самовыкупов'!$I$2:$I$401)/C15,"")</f>
        <v/>
      </c>
      <c r="G15" s="8">
        <f>SUMIF('Учёт самовыкупов'!$B$2:$B$401,A15,'Учёт самовыкупов'!$I$2:$I$401)</f>
        <v/>
      </c>
    </row>
    <row r="16">
      <c r="A16" s="8" t="n">
        <v>154159632</v>
      </c>
      <c r="B16" s="8" t="inlineStr">
        <is>
          <t>Очищающая пенка для снятия макияжа Baking Powder 30ml</t>
        </is>
      </c>
      <c r="C16" s="8">
        <f>SUMIF('Учёт самовыкупов'!$B$2:$B$401,A16,'Учёт самовыкупов'!$E$2:$E$401)</f>
        <v/>
      </c>
      <c r="D16" s="8">
        <f>SUMIF('Учёт самовыкупов'!$B$2:$B$401,A16,'Учёт самовыкупов'!$F$2:$F$401)</f>
        <v/>
      </c>
      <c r="E16" s="8">
        <f>C16-D16</f>
        <v/>
      </c>
      <c r="F16" s="8">
        <f>IFERROR(SUMIF('Учёт самовыкупов'!$B$2:$B$401,A16,'Учёт самовыкупов'!$I$2:$I$401)/C16,"")</f>
        <v/>
      </c>
      <c r="G16" s="8">
        <f>SUMIF('Учёт самовыкупов'!$B$2:$B$401,A16,'Учёт самовыкупов'!$I$2:$I$401)</f>
        <v/>
      </c>
    </row>
    <row r="17">
      <c r="A17" s="8" t="n">
        <v>154160085</v>
      </c>
      <c r="B17" s="8" t="inlineStr">
        <is>
          <t>Корейский скраб для лица Baking Powder с содой</t>
        </is>
      </c>
      <c r="C17" s="8">
        <f>SUMIF('Учёт самовыкупов'!$B$2:$B$401,A17,'Учёт самовыкупов'!$E$2:$E$401)</f>
        <v/>
      </c>
      <c r="D17" s="8">
        <f>SUMIF('Учёт самовыкупов'!$B$2:$B$401,A17,'Учёт самовыкупов'!$F$2:$F$401)</f>
        <v/>
      </c>
      <c r="E17" s="8">
        <f>C17-D17</f>
        <v/>
      </c>
      <c r="F17" s="8">
        <f>IFERROR(SUMIF('Учёт самовыкупов'!$B$2:$B$401,A17,'Учёт самовыкупов'!$I$2:$I$401)/C17,"")</f>
        <v/>
      </c>
      <c r="G17" s="8">
        <f>SUMIF('Учёт самовыкупов'!$B$2:$B$401,A17,'Учёт самовыкупов'!$I$2:$I$401)</f>
        <v/>
      </c>
    </row>
    <row r="18">
      <c r="A18" s="8" t="n">
        <v>165002270</v>
      </c>
      <c r="B18" s="8" t="inlineStr">
        <is>
          <t>BB крем тональный солнцезащитный с коллагеном</t>
        </is>
      </c>
      <c r="C18" s="8">
        <f>SUMIF('Учёт самовыкупов'!$B$2:$B$401,A18,'Учёт самовыкупов'!$E$2:$E$401)</f>
        <v/>
      </c>
      <c r="D18" s="8">
        <f>SUMIF('Учёт самовыкупов'!$B$2:$B$401,A18,'Учёт самовыкупов'!$F$2:$F$401)</f>
        <v/>
      </c>
      <c r="E18" s="8">
        <f>C18-D18</f>
        <v/>
      </c>
      <c r="F18" s="8">
        <f>IFERROR(SUMIF('Учёт самовыкупов'!$B$2:$B$401,A18,'Учёт самовыкупов'!$I$2:$I$401)/C18,"")</f>
        <v/>
      </c>
      <c r="G18" s="8">
        <f>SUMIF('Учёт самовыкупов'!$B$2:$B$401,A18,'Учёт самовыкупов'!$I$2:$I$401)</f>
        <v/>
      </c>
    </row>
    <row r="19">
      <c r="A19" s="8" t="n">
        <v>168956391</v>
      </c>
      <c r="B19" s="8" t="inlineStr">
        <is>
          <t>Сыворотка для лица увлажняющая 3в1 с коллагеном</t>
        </is>
      </c>
      <c r="C19" s="8">
        <f>SUMIF('Учёт самовыкупов'!$B$2:$B$401,A19,'Учёт самовыкупов'!$E$2:$E$401)</f>
        <v/>
      </c>
      <c r="D19" s="8">
        <f>SUMIF('Учёт самовыкупов'!$B$2:$B$401,A19,'Учёт самовыкупов'!$F$2:$F$401)</f>
        <v/>
      </c>
      <c r="E19" s="8">
        <f>C19-D19</f>
        <v/>
      </c>
      <c r="F19" s="8">
        <f>IFERROR(SUMIF('Учёт самовыкупов'!$B$2:$B$401,A19,'Учёт самовыкупов'!$I$2:$I$401)/C19,"")</f>
        <v/>
      </c>
      <c r="G19" s="8">
        <f>SUMIF('Учёт самовыкупов'!$B$2:$B$401,A19,'Учёт самовыкупов'!$I$2:$I$401)</f>
        <v/>
      </c>
    </row>
    <row r="20">
      <c r="A20" s="8" t="n">
        <v>169076150</v>
      </c>
      <c r="B20" s="8" t="inlineStr">
        <is>
          <t>Антивозрастной крем для лица от морщин</t>
        </is>
      </c>
      <c r="C20" s="8">
        <f>SUMIF('Учёт самовыкупов'!$B$2:$B$401,A20,'Учёт самовыкупов'!$E$2:$E$401)</f>
        <v/>
      </c>
      <c r="D20" s="8">
        <f>SUMIF('Учёт самовыкупов'!$B$2:$B$401,A20,'Учёт самовыкупов'!$F$2:$F$401)</f>
        <v/>
      </c>
      <c r="E20" s="8">
        <f>C20-D20</f>
        <v/>
      </c>
      <c r="F20" s="8">
        <f>IFERROR(SUMIF('Учёт самовыкупов'!$B$2:$B$401,A20,'Учёт самовыкупов'!$I$2:$I$401)/C20,"")</f>
        <v/>
      </c>
      <c r="G20" s="8">
        <f>SUMIF('Учёт самовыкупов'!$B$2:$B$401,A20,'Учёт самовыкупов'!$I$2:$I$401)</f>
        <v/>
      </c>
    </row>
    <row r="21">
      <c r="A21" s="8" t="n">
        <v>169198316</v>
      </c>
      <c r="B21" s="8" t="inlineStr">
        <is>
          <t>Пенка для умывания от черных точек Baking Powder 160ml</t>
        </is>
      </c>
      <c r="C21" s="8">
        <f>SUMIF('Учёт самовыкупов'!$B$2:$B$401,A21,'Учёт самовыкупов'!$E$2:$E$401)</f>
        <v/>
      </c>
      <c r="D21" s="8">
        <f>SUMIF('Учёт самовыкупов'!$B$2:$B$401,A21,'Учёт самовыкупов'!$F$2:$F$401)</f>
        <v/>
      </c>
      <c r="E21" s="8">
        <f>C21-D21</f>
        <v/>
      </c>
      <c r="F21" s="8">
        <f>IFERROR(SUMIF('Учёт самовыкупов'!$B$2:$B$401,A21,'Учёт самовыкупов'!$I$2:$I$401)/C21,"")</f>
        <v/>
      </c>
      <c r="G21" s="8">
        <f>SUMIF('Учёт самовыкупов'!$B$2:$B$401,A21,'Учёт самовыкупов'!$I$2:$I$401)</f>
        <v/>
      </c>
    </row>
    <row r="22">
      <c r="A22" s="8" t="n">
        <v>170198109</v>
      </c>
      <c r="B22" s="8" t="inlineStr">
        <is>
          <t>Тональный крем для лица увлажняющий эффект сияния</t>
        </is>
      </c>
      <c r="C22" s="8">
        <f>SUMIF('Учёт самовыкупов'!$B$2:$B$401,A22,'Учёт самовыкупов'!$E$2:$E$401)</f>
        <v/>
      </c>
      <c r="D22" s="8">
        <f>SUMIF('Учёт самовыкупов'!$B$2:$B$401,A22,'Учёт самовыкупов'!$F$2:$F$401)</f>
        <v/>
      </c>
      <c r="E22" s="8">
        <f>C22-D22</f>
        <v/>
      </c>
      <c r="F22" s="8">
        <f>IFERROR(SUMIF('Учёт самовыкупов'!$B$2:$B$401,A22,'Учёт самовыкупов'!$I$2:$I$401)/C22,"")</f>
        <v/>
      </c>
      <c r="G22" s="8">
        <f>SUMIF('Учёт самовыкупов'!$B$2:$B$401,A22,'Учёт самовыкупов'!$I$2:$I$401)</f>
        <v/>
      </c>
    </row>
    <row r="23">
      <c r="A23" s="8" t="n">
        <v>170198180</v>
      </c>
      <c r="B23" s="8" t="inlineStr">
        <is>
          <t>Тональный крем для лица увлажняющий эффект сияния</t>
        </is>
      </c>
      <c r="C23" s="8">
        <f>SUMIF('Учёт самовыкупов'!$B$2:$B$401,A23,'Учёт самовыкупов'!$E$2:$E$401)</f>
        <v/>
      </c>
      <c r="D23" s="8">
        <f>SUMIF('Учёт самовыкупов'!$B$2:$B$401,A23,'Учёт самовыкупов'!$F$2:$F$401)</f>
        <v/>
      </c>
      <c r="E23" s="8">
        <f>C23-D23</f>
        <v/>
      </c>
      <c r="F23" s="8">
        <f>IFERROR(SUMIF('Учёт самовыкупов'!$B$2:$B$401,A23,'Учёт самовыкупов'!$I$2:$I$401)/C23,"")</f>
        <v/>
      </c>
      <c r="G23" s="8">
        <f>SUMIF('Учёт самовыкупов'!$B$2:$B$401,A23,'Учёт самовыкупов'!$I$2:$I$401)</f>
        <v/>
      </c>
    </row>
    <row r="24">
      <c r="A24" s="8" t="n">
        <v>170198337</v>
      </c>
      <c r="B24" s="8" t="inlineStr">
        <is>
          <t>Корейский тональный крем с пептидами 21 тон</t>
        </is>
      </c>
      <c r="C24" s="8">
        <f>SUMIF('Учёт самовыкупов'!$B$2:$B$401,A24,'Учёт самовыкупов'!$E$2:$E$401)</f>
        <v/>
      </c>
      <c r="D24" s="8">
        <f>SUMIF('Учёт самовыкупов'!$B$2:$B$401,A24,'Учёт самовыкупов'!$F$2:$F$401)</f>
        <v/>
      </c>
      <c r="E24" s="8">
        <f>C24-D24</f>
        <v/>
      </c>
      <c r="F24" s="8">
        <f>IFERROR(SUMIF('Учёт самовыкупов'!$B$2:$B$401,A24,'Учёт самовыкупов'!$I$2:$I$401)/C24,"")</f>
        <v/>
      </c>
      <c r="G24" s="8">
        <f>SUMIF('Учёт самовыкупов'!$B$2:$B$401,A24,'Учёт самовыкупов'!$I$2:$I$401)</f>
        <v/>
      </c>
    </row>
    <row r="25">
      <c r="A25" s="8" t="n">
        <v>170198738</v>
      </c>
      <c r="B25" s="8" t="inlineStr">
        <is>
          <t>Корейский тональный крем с пептидами 13 тон</t>
        </is>
      </c>
      <c r="C25" s="8">
        <f>SUMIF('Учёт самовыкупов'!$B$2:$B$401,A25,'Учёт самовыкупов'!$E$2:$E$401)</f>
        <v/>
      </c>
      <c r="D25" s="8">
        <f>SUMIF('Учёт самовыкупов'!$B$2:$B$401,A25,'Учёт самовыкупов'!$F$2:$F$401)</f>
        <v/>
      </c>
      <c r="E25" s="8">
        <f>C25-D25</f>
        <v/>
      </c>
      <c r="F25" s="8">
        <f>IFERROR(SUMIF('Учёт самовыкупов'!$B$2:$B$401,A25,'Учёт самовыкупов'!$I$2:$I$401)/C25,"")</f>
        <v/>
      </c>
      <c r="G25" s="8">
        <f>SUMIF('Учёт самовыкупов'!$B$2:$B$401,A25,'Учёт самовыкупов'!$I$2:$I$401)</f>
        <v/>
      </c>
    </row>
    <row r="26">
      <c r="A26" s="8" t="n">
        <v>170198876</v>
      </c>
      <c r="B26" s="8" t="inlineStr">
        <is>
          <t>Тональный крем для лица увлажняющий матовый коллаген</t>
        </is>
      </c>
      <c r="C26" s="8">
        <f>SUMIF('Учёт самовыкупов'!$B$2:$B$401,A26,'Учёт самовыкупов'!$E$2:$E$401)</f>
        <v/>
      </c>
      <c r="D26" s="8">
        <f>SUMIF('Учёт самовыкупов'!$B$2:$B$401,A26,'Учёт самовыкупов'!$F$2:$F$401)</f>
        <v/>
      </c>
      <c r="E26" s="8">
        <f>C26-D26</f>
        <v/>
      </c>
      <c r="F26" s="8">
        <f>IFERROR(SUMIF('Учёт самовыкупов'!$B$2:$B$401,A26,'Учёт самовыкупов'!$I$2:$I$401)/C26,"")</f>
        <v/>
      </c>
      <c r="G26" s="8">
        <f>SUMIF('Учёт самовыкупов'!$B$2:$B$401,A26,'Учёт самовыкупов'!$I$2:$I$401)</f>
        <v/>
      </c>
    </row>
    <row r="27">
      <c r="A27" s="8" t="n">
        <v>174668134</v>
      </c>
      <c r="B27" s="8" t="inlineStr">
        <is>
          <t>Перкуссионный массажер для тела от целлюлита</t>
        </is>
      </c>
      <c r="C27" s="8">
        <f>SUMIF('Учёт самовыкупов'!$B$2:$B$401,A27,'Учёт самовыкупов'!$E$2:$E$401)</f>
        <v/>
      </c>
      <c r="D27" s="8">
        <f>SUMIF('Учёт самовыкупов'!$B$2:$B$401,A27,'Учёт самовыкупов'!$F$2:$F$401)</f>
        <v/>
      </c>
      <c r="E27" s="8">
        <f>C27-D27</f>
        <v/>
      </c>
      <c r="F27" s="8">
        <f>IFERROR(SUMIF('Учёт самовыкупов'!$B$2:$B$401,A27,'Учёт самовыкупов'!$I$2:$I$401)/C27,"")</f>
        <v/>
      </c>
      <c r="G27" s="8">
        <f>SUMIF('Учёт самовыкупов'!$B$2:$B$401,A27,'Учёт самовыкупов'!$I$2:$I$401)</f>
        <v/>
      </c>
    </row>
    <row r="28">
      <c r="A28" s="8" t="n">
        <v>176944957</v>
      </c>
      <c r="B28" s="8" t="inlineStr">
        <is>
          <t>Робот мойщик окон с распылением мощный</t>
        </is>
      </c>
      <c r="C28" s="8">
        <f>SUMIF('Учёт самовыкупов'!$B$2:$B$401,A28,'Учёт самовыкупов'!$E$2:$E$401)</f>
        <v/>
      </c>
      <c r="D28" s="8">
        <f>SUMIF('Учёт самовыкупов'!$B$2:$B$401,A28,'Учёт самовыкупов'!$F$2:$F$401)</f>
        <v/>
      </c>
      <c r="E28" s="8">
        <f>C28-D28</f>
        <v/>
      </c>
      <c r="F28" s="8">
        <f>IFERROR(SUMIF('Учёт самовыкупов'!$B$2:$B$401,A28,'Учёт самовыкупов'!$I$2:$I$401)/C28,"")</f>
        <v/>
      </c>
      <c r="G28" s="8">
        <f>SUMIF('Учёт самовыкупов'!$B$2:$B$401,A28,'Учёт самовыкупов'!$I$2:$I$401)</f>
        <v/>
      </c>
    </row>
    <row r="29">
      <c r="A29" s="8" t="n">
        <v>179611207</v>
      </c>
      <c r="B29" s="8" t="inlineStr">
        <is>
          <t>Гидрогелевые патчи для глаз Корея антивозрастные от отеков</t>
        </is>
      </c>
      <c r="C29" s="8">
        <f>SUMIF('Учёт самовыкупов'!$B$2:$B$401,A29,'Учёт самовыкупов'!$E$2:$E$401)</f>
        <v/>
      </c>
      <c r="D29" s="8">
        <f>SUMIF('Учёт самовыкупов'!$B$2:$B$401,A29,'Учёт самовыкупов'!$F$2:$F$401)</f>
        <v/>
      </c>
      <c r="E29" s="8">
        <f>C29-D29</f>
        <v/>
      </c>
      <c r="F29" s="8">
        <f>IFERROR(SUMIF('Учёт самовыкупов'!$B$2:$B$401,A29,'Учёт самовыкупов'!$I$2:$I$401)/C29,"")</f>
        <v/>
      </c>
      <c r="G29" s="8">
        <f>SUMIF('Учёт самовыкупов'!$B$2:$B$401,A29,'Учёт самовыкупов'!$I$2:$I$401)</f>
        <v/>
      </c>
    </row>
    <row r="30">
      <c r="A30" s="8" t="n">
        <v>179611231</v>
      </c>
      <c r="B30" s="8" t="inlineStr">
        <is>
          <t>Гидрогелевые патчи для глаз Корея от отеков</t>
        </is>
      </c>
      <c r="C30" s="8">
        <f>SUMIF('Учёт самовыкупов'!$B$2:$B$401,A30,'Учёт самовыкупов'!$E$2:$E$401)</f>
        <v/>
      </c>
      <c r="D30" s="8">
        <f>SUMIF('Учёт самовыкупов'!$B$2:$B$401,A30,'Учёт самовыкупов'!$F$2:$F$401)</f>
        <v/>
      </c>
      <c r="E30" s="8">
        <f>C30-D30</f>
        <v/>
      </c>
      <c r="F30" s="8">
        <f>IFERROR(SUMIF('Учёт самовыкупов'!$B$2:$B$401,A30,'Учёт самовыкупов'!$I$2:$I$401)/C30,"")</f>
        <v/>
      </c>
      <c r="G30" s="8">
        <f>SUMIF('Учёт самовыкупов'!$B$2:$B$401,A30,'Учёт самовыкупов'!$I$2:$I$401)</f>
        <v/>
      </c>
    </row>
    <row r="31">
      <c r="A31" s="8" t="n">
        <v>179611278</v>
      </c>
      <c r="B31" s="8" t="inlineStr">
        <is>
          <t>Патчи под глаза гидрогелевые с артишоком</t>
        </is>
      </c>
      <c r="C31" s="8">
        <f>SUMIF('Учёт самовыкупов'!$B$2:$B$401,A31,'Учёт самовыкупов'!$E$2:$E$401)</f>
        <v/>
      </c>
      <c r="D31" s="8">
        <f>SUMIF('Учёт самовыкупов'!$B$2:$B$401,A31,'Учёт самовыкупов'!$F$2:$F$401)</f>
        <v/>
      </c>
      <c r="E31" s="8">
        <f>C31-D31</f>
        <v/>
      </c>
      <c r="F31" s="8">
        <f>IFERROR(SUMIF('Учёт самовыкупов'!$B$2:$B$401,A31,'Учёт самовыкупов'!$I$2:$I$401)/C31,"")</f>
        <v/>
      </c>
      <c r="G31" s="8">
        <f>SUMIF('Учёт самовыкупов'!$B$2:$B$401,A31,'Учёт самовыкупов'!$I$2:$I$401)</f>
        <v/>
      </c>
    </row>
    <row r="32">
      <c r="A32" s="8" t="n">
        <v>179611304</v>
      </c>
      <c r="B32" s="8" t="inlineStr">
        <is>
          <t>Тонизирующие патчи для глаз гидрогелевые с какао</t>
        </is>
      </c>
      <c r="C32" s="8">
        <f>SUMIF('Учёт самовыкупов'!$B$2:$B$401,A32,'Учёт самовыкупов'!$E$2:$E$401)</f>
        <v/>
      </c>
      <c r="D32" s="8">
        <f>SUMIF('Учёт самовыкупов'!$B$2:$B$401,A32,'Учёт самовыкупов'!$F$2:$F$401)</f>
        <v/>
      </c>
      <c r="E32" s="8">
        <f>C32-D32</f>
        <v/>
      </c>
      <c r="F32" s="8">
        <f>IFERROR(SUMIF('Учёт самовыкупов'!$B$2:$B$401,A32,'Учёт самовыкупов'!$I$2:$I$401)/C32,"")</f>
        <v/>
      </c>
      <c r="G32" s="8">
        <f>SUMIF('Учёт самовыкупов'!$B$2:$B$401,A32,'Учёт самовыкупов'!$I$2:$I$401)</f>
        <v/>
      </c>
    </row>
    <row r="33">
      <c r="A33" s="8" t="n">
        <v>179611318</v>
      </c>
      <c r="B33" s="8" t="inlineStr">
        <is>
          <t>Гидрогелевые патчи для глаз от отеков и морщин</t>
        </is>
      </c>
      <c r="C33" s="8">
        <f>SUMIF('Учёт самовыкупов'!$B$2:$B$401,A33,'Учёт самовыкупов'!$E$2:$E$401)</f>
        <v/>
      </c>
      <c r="D33" s="8">
        <f>SUMIF('Учёт самовыкупов'!$B$2:$B$401,A33,'Учёт самовыкупов'!$F$2:$F$401)</f>
        <v/>
      </c>
      <c r="E33" s="8">
        <f>C33-D33</f>
        <v/>
      </c>
      <c r="F33" s="8">
        <f>IFERROR(SUMIF('Учёт самовыкупов'!$B$2:$B$401,A33,'Учёт самовыкупов'!$I$2:$I$401)/C33,"")</f>
        <v/>
      </c>
      <c r="G33" s="8">
        <f>SUMIF('Учёт самовыкупов'!$B$2:$B$401,A33,'Учёт самовыкупов'!$I$2:$I$401)</f>
        <v/>
      </c>
    </row>
    <row r="34">
      <c r="A34" s="8" t="n">
        <v>180711041</v>
      </c>
      <c r="B34" s="8" t="inlineStr">
        <is>
          <t>Антивозрастные гидрогелевые патчи с золотом и EGF</t>
        </is>
      </c>
      <c r="C34" s="8">
        <f>SUMIF('Учёт самовыкупов'!$B$2:$B$401,A34,'Учёт самовыкупов'!$E$2:$E$401)</f>
        <v/>
      </c>
      <c r="D34" s="8">
        <f>SUMIF('Учёт самовыкупов'!$B$2:$B$401,A34,'Учёт самовыкупов'!$F$2:$F$401)</f>
        <v/>
      </c>
      <c r="E34" s="8">
        <f>C34-D34</f>
        <v/>
      </c>
      <c r="F34" s="8">
        <f>IFERROR(SUMIF('Учёт самовыкупов'!$B$2:$B$401,A34,'Учёт самовыкупов'!$I$2:$I$401)/C34,"")</f>
        <v/>
      </c>
      <c r="G34" s="8">
        <f>SUMIF('Учёт самовыкупов'!$B$2:$B$401,A34,'Учёт самовыкупов'!$I$2:$I$401)</f>
        <v/>
      </c>
    </row>
    <row r="35">
      <c r="A35" s="8" t="n">
        <v>180711104</v>
      </c>
      <c r="B35" s="8" t="inlineStr">
        <is>
          <t>Гидрогелевые патчи для глаз с золотом</t>
        </is>
      </c>
      <c r="C35" s="8">
        <f>SUMIF('Учёт самовыкупов'!$B$2:$B$401,A35,'Учёт самовыкупов'!$E$2:$E$401)</f>
        <v/>
      </c>
      <c r="D35" s="8">
        <f>SUMIF('Учёт самовыкупов'!$B$2:$B$401,A35,'Учёт самовыкупов'!$F$2:$F$401)</f>
        <v/>
      </c>
      <c r="E35" s="8">
        <f>C35-D35</f>
        <v/>
      </c>
      <c r="F35" s="8">
        <f>IFERROR(SUMIF('Учёт самовыкупов'!$B$2:$B$401,A35,'Учёт самовыкупов'!$I$2:$I$401)/C35,"")</f>
        <v/>
      </c>
      <c r="G35" s="8">
        <f>SUMIF('Учёт самовыкупов'!$B$2:$B$401,A35,'Учёт самовыкупов'!$I$2:$I$401)</f>
        <v/>
      </c>
    </row>
    <row r="36">
      <c r="A36" s="8" t="n">
        <v>180852804</v>
      </c>
      <c r="B36" s="8" t="inlineStr">
        <is>
          <t>Скалер для чистки и отбеливания зубов</t>
        </is>
      </c>
      <c r="C36" s="8">
        <f>SUMIF('Учёт самовыкупов'!$B$2:$B$401,A36,'Учёт самовыкупов'!$E$2:$E$401)</f>
        <v/>
      </c>
      <c r="D36" s="8">
        <f>SUMIF('Учёт самовыкупов'!$B$2:$B$401,A36,'Учёт самовыкупов'!$F$2:$F$401)</f>
        <v/>
      </c>
      <c r="E36" s="8">
        <f>C36-D36</f>
        <v/>
      </c>
      <c r="F36" s="8">
        <f>IFERROR(SUMIF('Учёт самовыкупов'!$B$2:$B$401,A36,'Учёт самовыкупов'!$I$2:$I$401)/C36,"")</f>
        <v/>
      </c>
      <c r="G36" s="8">
        <f>SUMIF('Учёт самовыкупов'!$B$2:$B$401,A36,'Учёт самовыкупов'!$I$2:$I$401)</f>
        <v/>
      </c>
    </row>
    <row r="37">
      <c r="A37" s="8" t="n">
        <v>180987509</v>
      </c>
      <c r="B37" s="8" t="inlineStr">
        <is>
          <t>Тканевые патчи под глаза от темных кругов</t>
        </is>
      </c>
      <c r="C37" s="8">
        <f>SUMIF('Учёт самовыкупов'!$B$2:$B$401,A37,'Учёт самовыкупов'!$E$2:$E$401)</f>
        <v/>
      </c>
      <c r="D37" s="8">
        <f>SUMIF('Учёт самовыкупов'!$B$2:$B$401,A37,'Учёт самовыкупов'!$F$2:$F$401)</f>
        <v/>
      </c>
      <c r="E37" s="8">
        <f>C37-D37</f>
        <v/>
      </c>
      <c r="F37" s="8">
        <f>IFERROR(SUMIF('Учёт самовыкупов'!$B$2:$B$401,A37,'Учёт самовыкупов'!$I$2:$I$401)/C37,"")</f>
        <v/>
      </c>
      <c r="G37" s="8">
        <f>SUMIF('Учёт самовыкупов'!$B$2:$B$401,A37,'Учёт самовыкупов'!$I$2:$I$401)</f>
        <v/>
      </c>
    </row>
    <row r="38">
      <c r="A38" s="8" t="n">
        <v>180988755</v>
      </c>
      <c r="B38" s="8" t="inlineStr">
        <is>
          <t>Тканевые патчи для глаз и век увлажняющие</t>
        </is>
      </c>
      <c r="C38" s="8">
        <f>SUMIF('Учёт самовыкупов'!$B$2:$B$401,A38,'Учёт самовыкупов'!$E$2:$E$401)</f>
        <v/>
      </c>
      <c r="D38" s="8">
        <f>SUMIF('Учёт самовыкупов'!$B$2:$B$401,A38,'Учёт самовыкупов'!$F$2:$F$401)</f>
        <v/>
      </c>
      <c r="E38" s="8">
        <f>C38-D38</f>
        <v/>
      </c>
      <c r="F38" s="8">
        <f>IFERROR(SUMIF('Учёт самовыкупов'!$B$2:$B$401,A38,'Учёт самовыкупов'!$I$2:$I$401)/C38,"")</f>
        <v/>
      </c>
      <c r="G38" s="8">
        <f>SUMIF('Учёт самовыкупов'!$B$2:$B$401,A38,'Учёт самовыкупов'!$I$2:$I$401)</f>
        <v/>
      </c>
    </row>
    <row r="39">
      <c r="A39" s="8" t="n">
        <v>180992464</v>
      </c>
      <c r="B39" s="8" t="inlineStr">
        <is>
          <t>Охлаждающие гидрогелевые патчи для области вокруг глаз</t>
        </is>
      </c>
      <c r="C39" s="8">
        <f>SUMIF('Учёт самовыкупов'!$B$2:$B$401,A39,'Учёт самовыкупов'!$E$2:$E$401)</f>
        <v/>
      </c>
      <c r="D39" s="8">
        <f>SUMIF('Учёт самовыкупов'!$B$2:$B$401,A39,'Учёт самовыкупов'!$F$2:$F$401)</f>
        <v/>
      </c>
      <c r="E39" s="8">
        <f>C39-D39</f>
        <v/>
      </c>
      <c r="F39" s="8">
        <f>IFERROR(SUMIF('Учёт самовыкупов'!$B$2:$B$401,A39,'Учёт самовыкупов'!$I$2:$I$401)/C39,"")</f>
        <v/>
      </c>
      <c r="G39" s="8">
        <f>SUMIF('Учёт самовыкупов'!$B$2:$B$401,A39,'Учёт самовыкупов'!$I$2:$I$401)</f>
        <v/>
      </c>
    </row>
    <row r="40">
      <c r="A40" s="8" t="n">
        <v>183030830</v>
      </c>
      <c r="B40" s="8" t="inlineStr">
        <is>
          <t>Masil набор для волос</t>
        </is>
      </c>
      <c r="C40" s="8">
        <f>SUMIF('Учёт самовыкупов'!$B$2:$B$401,A40,'Учёт самовыкупов'!$E$2:$E$401)</f>
        <v/>
      </c>
      <c r="D40" s="8">
        <f>SUMIF('Учёт самовыкупов'!$B$2:$B$401,A40,'Учёт самовыкупов'!$F$2:$F$401)</f>
        <v/>
      </c>
      <c r="E40" s="8">
        <f>C40-D40</f>
        <v/>
      </c>
      <c r="F40" s="8">
        <f>IFERROR(SUMIF('Учёт самовыкупов'!$B$2:$B$401,A40,'Учёт самовыкупов'!$I$2:$I$401)/C40,"")</f>
        <v/>
      </c>
      <c r="G40" s="8">
        <f>SUMIF('Учёт самовыкупов'!$B$2:$B$401,A40,'Учёт самовыкупов'!$I$2:$I$401)</f>
        <v/>
      </c>
    </row>
    <row r="41">
      <c r="A41" s="8" t="n">
        <v>190159348</v>
      </c>
      <c r="B41" s="8" t="inlineStr">
        <is>
          <t>Очищающая пенка для лица с настоящим золотом</t>
        </is>
      </c>
      <c r="C41" s="8">
        <f>SUMIF('Учёт самовыкупов'!$B$2:$B$401,A41,'Учёт самовыкупов'!$E$2:$E$401)</f>
        <v/>
      </c>
      <c r="D41" s="8">
        <f>SUMIF('Учёт самовыкупов'!$B$2:$B$401,A41,'Учёт самовыкупов'!$F$2:$F$401)</f>
        <v/>
      </c>
      <c r="E41" s="8">
        <f>C41-D41</f>
        <v/>
      </c>
      <c r="F41" s="8">
        <f>IFERROR(SUMIF('Учёт самовыкупов'!$B$2:$B$401,A41,'Учёт самовыкупов'!$I$2:$I$401)/C41,"")</f>
        <v/>
      </c>
      <c r="G41" s="8">
        <f>SUMIF('Учёт самовыкупов'!$B$2:$B$401,A41,'Учёт самовыкупов'!$I$2:$I$401)</f>
        <v/>
      </c>
    </row>
    <row r="42">
      <c r="A42" s="8" t="n">
        <v>190160008</v>
      </c>
      <c r="B42" s="8" t="inlineStr">
        <is>
          <t>Крем для лица с ретинолом антивозрастной</t>
        </is>
      </c>
      <c r="C42" s="8">
        <f>SUMIF('Учёт самовыкупов'!$B$2:$B$401,A42,'Учёт самовыкупов'!$E$2:$E$401)</f>
        <v/>
      </c>
      <c r="D42" s="8">
        <f>SUMIF('Учёт самовыкупов'!$B$2:$B$401,A42,'Учёт самовыкупов'!$F$2:$F$401)</f>
        <v/>
      </c>
      <c r="E42" s="8">
        <f>C42-D42</f>
        <v/>
      </c>
      <c r="F42" s="8">
        <f>IFERROR(SUMIF('Учёт самовыкупов'!$B$2:$B$401,A42,'Учёт самовыкупов'!$I$2:$I$401)/C42,"")</f>
        <v/>
      </c>
      <c r="G42" s="8">
        <f>SUMIF('Учёт самовыкупов'!$B$2:$B$401,A42,'Учёт самовыкупов'!$I$2:$I$401)</f>
        <v/>
      </c>
    </row>
    <row r="43">
      <c r="A43" s="8" t="n">
        <v>198143251</v>
      </c>
      <c r="B43" s="8" t="inlineStr">
        <is>
          <t>Лосьон для лица Bifida Biome Ampoule Lotion</t>
        </is>
      </c>
      <c r="C43" s="8">
        <f>SUMIF('Учёт самовыкупов'!$B$2:$B$401,A43,'Учёт самовыкупов'!$E$2:$E$401)</f>
        <v/>
      </c>
      <c r="D43" s="8">
        <f>SUMIF('Учёт самовыкупов'!$B$2:$B$401,A43,'Учёт самовыкупов'!$F$2:$F$401)</f>
        <v/>
      </c>
      <c r="E43" s="8">
        <f>C43-D43</f>
        <v/>
      </c>
      <c r="F43" s="8">
        <f>IFERROR(SUMIF('Учёт самовыкупов'!$B$2:$B$401,A43,'Учёт самовыкупов'!$I$2:$I$401)/C43,"")</f>
        <v/>
      </c>
      <c r="G43" s="8">
        <f>SUMIF('Учёт самовыкупов'!$B$2:$B$401,A43,'Учёт самовыкупов'!$I$2:$I$401)</f>
        <v/>
      </c>
    </row>
    <row r="44">
      <c r="A44" s="8" t="n">
        <v>198147185</v>
      </c>
      <c r="B44" s="8" t="inlineStr">
        <is>
          <t>Восстанавливающая сыворотка для лица с бифидобактериями</t>
        </is>
      </c>
      <c r="C44" s="8">
        <f>SUMIF('Учёт самовыкупов'!$B$2:$B$401,A44,'Учёт самовыкупов'!$E$2:$E$401)</f>
        <v/>
      </c>
      <c r="D44" s="8">
        <f>SUMIF('Учёт самовыкупов'!$B$2:$B$401,A44,'Учёт самовыкупов'!$F$2:$F$401)</f>
        <v/>
      </c>
      <c r="E44" s="8">
        <f>C44-D44</f>
        <v/>
      </c>
      <c r="F44" s="8">
        <f>IFERROR(SUMIF('Учёт самовыкупов'!$B$2:$B$401,A44,'Учёт самовыкупов'!$I$2:$I$401)/C44,"")</f>
        <v/>
      </c>
      <c r="G44" s="8">
        <f>SUMIF('Учёт самовыкупов'!$B$2:$B$401,A44,'Учёт самовыкупов'!$I$2:$I$401)</f>
        <v/>
      </c>
    </row>
    <row r="45">
      <c r="A45" s="8" t="n">
        <v>198156472</v>
      </c>
      <c r="B45" s="8" t="inlineStr">
        <is>
          <t>Отбеливающая сыворотка для лица с витамином С</t>
        </is>
      </c>
      <c r="C45" s="8">
        <f>SUMIF('Учёт самовыкупов'!$B$2:$B$401,A45,'Учёт самовыкупов'!$E$2:$E$401)</f>
        <v/>
      </c>
      <c r="D45" s="8">
        <f>SUMIF('Учёт самовыкупов'!$B$2:$B$401,A45,'Учёт самовыкупов'!$F$2:$F$401)</f>
        <v/>
      </c>
      <c r="E45" s="8">
        <f>C45-D45</f>
        <v/>
      </c>
      <c r="F45" s="8">
        <f>IFERROR(SUMIF('Учёт самовыкупов'!$B$2:$B$401,A45,'Учёт самовыкупов'!$I$2:$I$401)/C45,"")</f>
        <v/>
      </c>
      <c r="G45" s="8">
        <f>SUMIF('Учёт самовыкупов'!$B$2:$B$401,A45,'Учёт самовыкупов'!$I$2:$I$401)</f>
        <v/>
      </c>
    </row>
    <row r="46">
      <c r="A46" s="8" t="n">
        <v>198156698</v>
      </c>
      <c r="B46" s="8" t="inlineStr">
        <is>
          <t>Гидрофильное масло Ma:nyo Pure Cleansing Oil для умывания</t>
        </is>
      </c>
      <c r="C46" s="8">
        <f>SUMIF('Учёт самовыкупов'!$B$2:$B$401,A46,'Учёт самовыкупов'!$E$2:$E$401)</f>
        <v/>
      </c>
      <c r="D46" s="8">
        <f>SUMIF('Учёт самовыкупов'!$B$2:$B$401,A46,'Учёт самовыкупов'!$F$2:$F$401)</f>
        <v/>
      </c>
      <c r="E46" s="8">
        <f>C46-D46</f>
        <v/>
      </c>
      <c r="F46" s="8">
        <f>IFERROR(SUMIF('Учёт самовыкупов'!$B$2:$B$401,A46,'Учёт самовыкупов'!$I$2:$I$401)/C46,"")</f>
        <v/>
      </c>
      <c r="G46" s="8">
        <f>SUMIF('Учёт самовыкупов'!$B$2:$B$401,A46,'Учёт самовыкупов'!$I$2:$I$401)</f>
        <v/>
      </c>
    </row>
    <row r="47">
      <c r="A47" s="8" t="n">
        <v>199427475</v>
      </c>
      <c r="B47" s="8" t="inlineStr">
        <is>
          <t>Тоник для лица увлажняющий Teatreatment Toner</t>
        </is>
      </c>
      <c r="C47" s="8">
        <f>SUMIF('Учёт самовыкупов'!$B$2:$B$401,A47,'Учёт самовыкупов'!$E$2:$E$401)</f>
        <v/>
      </c>
      <c r="D47" s="8">
        <f>SUMIF('Учёт самовыкупов'!$B$2:$B$401,A47,'Учёт самовыкупов'!$F$2:$F$401)</f>
        <v/>
      </c>
      <c r="E47" s="8">
        <f>C47-D47</f>
        <v/>
      </c>
      <c r="F47" s="8">
        <f>IFERROR(SUMIF('Учёт самовыкупов'!$B$2:$B$401,A47,'Учёт самовыкупов'!$I$2:$I$401)/C47,"")</f>
        <v/>
      </c>
      <c r="G47" s="8">
        <f>SUMIF('Учёт самовыкупов'!$B$2:$B$401,A47,'Учёт самовыкупов'!$I$2:$I$401)</f>
        <v/>
      </c>
    </row>
    <row r="48">
      <c r="A48" s="8" t="n">
        <v>204258828</v>
      </c>
      <c r="B48" s="8" t="inlineStr">
        <is>
          <t>Пенка для умывания от прыщей</t>
        </is>
      </c>
      <c r="C48" s="8">
        <f>SUMIF('Учёт самовыкупов'!$B$2:$B$401,A48,'Учёт самовыкупов'!$E$2:$E$401)</f>
        <v/>
      </c>
      <c r="D48" s="8">
        <f>SUMIF('Учёт самовыкупов'!$B$2:$B$401,A48,'Учёт самовыкупов'!$F$2:$F$401)</f>
        <v/>
      </c>
      <c r="E48" s="8">
        <f>C48-D48</f>
        <v/>
      </c>
      <c r="F48" s="8">
        <f>IFERROR(SUMIF('Учёт самовыкупов'!$B$2:$B$401,A48,'Учёт самовыкупов'!$I$2:$I$401)/C48,"")</f>
        <v/>
      </c>
      <c r="G48" s="8">
        <f>SUMIF('Учёт самовыкупов'!$B$2:$B$401,A48,'Учёт самовыкупов'!$I$2:$I$401)</f>
        <v/>
      </c>
    </row>
    <row r="49">
      <c r="A49" s="8" t="n">
        <v>206057411</v>
      </c>
      <c r="B49" s="8" t="inlineStr">
        <is>
          <t>Корейский тоник для лица от черных точек</t>
        </is>
      </c>
      <c r="C49" s="8">
        <f>SUMIF('Учёт самовыкупов'!$B$2:$B$401,A49,'Учёт самовыкупов'!$E$2:$E$401)</f>
        <v/>
      </c>
      <c r="D49" s="8">
        <f>SUMIF('Учёт самовыкупов'!$B$2:$B$401,A49,'Учёт самовыкупов'!$F$2:$F$401)</f>
        <v/>
      </c>
      <c r="E49" s="8">
        <f>C49-D49</f>
        <v/>
      </c>
      <c r="F49" s="8">
        <f>IFERROR(SUMIF('Учёт самовыкупов'!$B$2:$B$401,A49,'Учёт самовыкупов'!$I$2:$I$401)/C49,"")</f>
        <v/>
      </c>
      <c r="G49" s="8">
        <f>SUMIF('Учёт самовыкупов'!$B$2:$B$401,A49,'Учёт самовыкупов'!$I$2:$I$401)</f>
        <v/>
      </c>
    </row>
    <row r="50">
      <c r="A50" s="8" t="n">
        <v>206058262</v>
      </c>
      <c r="B50" s="8" t="inlineStr">
        <is>
          <t>Увлажняющая сыворотка для лица Корея</t>
        </is>
      </c>
      <c r="C50" s="8">
        <f>SUMIF('Учёт самовыкупов'!$B$2:$B$401,A50,'Учёт самовыкупов'!$E$2:$E$401)</f>
        <v/>
      </c>
      <c r="D50" s="8">
        <f>SUMIF('Учёт самовыкупов'!$B$2:$B$401,A50,'Учёт самовыкупов'!$F$2:$F$401)</f>
        <v/>
      </c>
      <c r="E50" s="8">
        <f>C50-D50</f>
        <v/>
      </c>
      <c r="F50" s="8">
        <f>IFERROR(SUMIF('Учёт самовыкупов'!$B$2:$B$401,A50,'Учёт самовыкупов'!$I$2:$I$401)/C50,"")</f>
        <v/>
      </c>
      <c r="G50" s="8">
        <f>SUMIF('Учёт самовыкупов'!$B$2:$B$401,A50,'Учёт самовыкупов'!$I$2:$I$401)</f>
        <v/>
      </c>
    </row>
    <row r="51">
      <c r="A51" s="8" t="n">
        <v>206126372</v>
      </c>
      <c r="B51" s="8" t="inlineStr">
        <is>
          <t>Крем для лица с витамином C осветляющий</t>
        </is>
      </c>
      <c r="C51" s="8">
        <f>SUMIF('Учёт самовыкупов'!$B$2:$B$401,A51,'Учёт самовыкупов'!$E$2:$E$401)</f>
        <v/>
      </c>
      <c r="D51" s="8">
        <f>SUMIF('Учёт самовыкупов'!$B$2:$B$401,A51,'Учёт самовыкупов'!$F$2:$F$401)</f>
        <v/>
      </c>
      <c r="E51" s="8">
        <f>C51-D51</f>
        <v/>
      </c>
      <c r="F51" s="8">
        <f>IFERROR(SUMIF('Учёт самовыкупов'!$B$2:$B$401,A51,'Учёт самовыкупов'!$I$2:$I$401)/C51,"")</f>
        <v/>
      </c>
      <c r="G51" s="8">
        <f>SUMIF('Учёт самовыкупов'!$B$2:$B$401,A51,'Учёт самовыкупов'!$I$2:$I$401)</f>
        <v/>
      </c>
    </row>
    <row r="52">
      <c r="A52" s="8" t="n">
        <v>207465786</v>
      </c>
      <c r="B52" s="8" t="inlineStr">
        <is>
          <t>Гидрофильное масло бальзам для лица очищающее</t>
        </is>
      </c>
      <c r="C52" s="8">
        <f>SUMIF('Учёт самовыкупов'!$B$2:$B$401,A52,'Учёт самовыкупов'!$E$2:$E$401)</f>
        <v/>
      </c>
      <c r="D52" s="8">
        <f>SUMIF('Учёт самовыкупов'!$B$2:$B$401,A52,'Учёт самовыкупов'!$F$2:$F$401)</f>
        <v/>
      </c>
      <c r="E52" s="8">
        <f>C52-D52</f>
        <v/>
      </c>
      <c r="F52" s="8">
        <f>IFERROR(SUMIF('Учёт самовыкупов'!$B$2:$B$401,A52,'Учёт самовыкупов'!$I$2:$I$401)/C52,"")</f>
        <v/>
      </c>
      <c r="G52" s="8">
        <f>SUMIF('Учёт самовыкупов'!$B$2:$B$401,A52,'Учёт самовыкупов'!$I$2:$I$401)</f>
        <v/>
      </c>
    </row>
    <row r="53">
      <c r="A53" s="8" t="n">
        <v>207466866</v>
      </c>
      <c r="B53" s="8" t="inlineStr">
        <is>
          <t>Корейская база под макияж с шиммером</t>
        </is>
      </c>
      <c r="C53" s="8">
        <f>SUMIF('Учёт самовыкупов'!$B$2:$B$401,A53,'Учёт самовыкупов'!$E$2:$E$401)</f>
        <v/>
      </c>
      <c r="D53" s="8">
        <f>SUMIF('Учёт самовыкупов'!$B$2:$B$401,A53,'Учёт самовыкупов'!$F$2:$F$401)</f>
        <v/>
      </c>
      <c r="E53" s="8">
        <f>C53-D53</f>
        <v/>
      </c>
      <c r="F53" s="8">
        <f>IFERROR(SUMIF('Учёт самовыкупов'!$B$2:$B$401,A53,'Учёт самовыкупов'!$I$2:$I$401)/C53,"")</f>
        <v/>
      </c>
      <c r="G53" s="8">
        <f>SUMIF('Учёт самовыкупов'!$B$2:$B$401,A53,'Учёт самовыкупов'!$I$2:$I$401)</f>
        <v/>
      </c>
    </row>
    <row r="54">
      <c r="A54" s="8" t="n">
        <v>207469760</v>
      </c>
      <c r="B54" s="8" t="inlineStr">
        <is>
          <t>Корейский крем для лица антивозрастной премиум</t>
        </is>
      </c>
      <c r="C54" s="8">
        <f>SUMIF('Учёт самовыкупов'!$B$2:$B$401,A54,'Учёт самовыкупов'!$E$2:$E$401)</f>
        <v/>
      </c>
      <c r="D54" s="8">
        <f>SUMIF('Учёт самовыкупов'!$B$2:$B$401,A54,'Учёт самовыкупов'!$F$2:$F$401)</f>
        <v/>
      </c>
      <c r="E54" s="8">
        <f>C54-D54</f>
        <v/>
      </c>
      <c r="F54" s="8">
        <f>IFERROR(SUMIF('Учёт самовыкупов'!$B$2:$B$401,A54,'Учёт самовыкупов'!$I$2:$I$401)/C54,"")</f>
        <v/>
      </c>
      <c r="G54" s="8">
        <f>SUMIF('Учёт самовыкупов'!$B$2:$B$401,A54,'Учёт самовыкупов'!$I$2:$I$401)</f>
        <v/>
      </c>
    </row>
    <row r="55">
      <c r="A55" s="8" t="n">
        <v>207472742</v>
      </c>
      <c r="B55" s="8" t="inlineStr">
        <is>
          <t>Корейский шампунь против выпадения волос с черным чесноком</t>
        </is>
      </c>
      <c r="C55" s="8">
        <f>SUMIF('Учёт самовыкупов'!$B$2:$B$401,A55,'Учёт самовыкупов'!$E$2:$E$401)</f>
        <v/>
      </c>
      <c r="D55" s="8">
        <f>SUMIF('Учёт самовыкупов'!$B$2:$B$401,A55,'Учёт самовыкупов'!$F$2:$F$401)</f>
        <v/>
      </c>
      <c r="E55" s="8">
        <f>C55-D55</f>
        <v/>
      </c>
      <c r="F55" s="8">
        <f>IFERROR(SUMIF('Учёт самовыкупов'!$B$2:$B$401,A55,'Учёт самовыкупов'!$I$2:$I$401)/C55,"")</f>
        <v/>
      </c>
      <c r="G55" s="8">
        <f>SUMIF('Учёт самовыкупов'!$B$2:$B$401,A55,'Учёт самовыкупов'!$I$2:$I$401)</f>
        <v/>
      </c>
    </row>
    <row r="56">
      <c r="A56" s="8" t="n">
        <v>207475898</v>
      </c>
      <c r="B56" s="8" t="inlineStr">
        <is>
          <t>Корейский шампунь для волос с коллагеном</t>
        </is>
      </c>
      <c r="C56" s="8">
        <f>SUMIF('Учёт самовыкупов'!$B$2:$B$401,A56,'Учёт самовыкупов'!$E$2:$E$401)</f>
        <v/>
      </c>
      <c r="D56" s="8">
        <f>SUMIF('Учёт самовыкупов'!$B$2:$B$401,A56,'Учёт самовыкупов'!$F$2:$F$401)</f>
        <v/>
      </c>
      <c r="E56" s="8">
        <f>C56-D56</f>
        <v/>
      </c>
      <c r="F56" s="8">
        <f>IFERROR(SUMIF('Учёт самовыкупов'!$B$2:$B$401,A56,'Учёт самовыкупов'!$I$2:$I$401)/C56,"")</f>
        <v/>
      </c>
      <c r="G56" s="8">
        <f>SUMIF('Учёт самовыкупов'!$B$2:$B$401,A56,'Учёт самовыкупов'!$I$2:$I$401)</f>
        <v/>
      </c>
    </row>
    <row r="57">
      <c r="A57" s="8" t="n">
        <v>207476309</v>
      </c>
      <c r="B57" s="8" t="inlineStr">
        <is>
          <t>Корейский шампунь для волос с аргановым маслом</t>
        </is>
      </c>
      <c r="C57" s="8">
        <f>SUMIF('Учёт самовыкупов'!$B$2:$B$401,A57,'Учёт самовыкупов'!$E$2:$E$401)</f>
        <v/>
      </c>
      <c r="D57" s="8">
        <f>SUMIF('Учёт самовыкупов'!$B$2:$B$401,A57,'Учёт самовыкупов'!$F$2:$F$401)</f>
        <v/>
      </c>
      <c r="E57" s="8">
        <f>C57-D57</f>
        <v/>
      </c>
      <c r="F57" s="8">
        <f>IFERROR(SUMIF('Учёт самовыкупов'!$B$2:$B$401,A57,'Учёт самовыкупов'!$I$2:$I$401)/C57,"")</f>
        <v/>
      </c>
      <c r="G57" s="8">
        <f>SUMIF('Учёт самовыкупов'!$B$2:$B$401,A57,'Учёт самовыкупов'!$I$2:$I$401)</f>
        <v/>
      </c>
    </row>
    <row r="58">
      <c r="A58" s="8" t="n">
        <v>207476777</v>
      </c>
      <c r="B58" s="8" t="inlineStr">
        <is>
          <t>Корейская пенка для умывания лица увлажняющая</t>
        </is>
      </c>
      <c r="C58" s="8">
        <f>SUMIF('Учёт самовыкупов'!$B$2:$B$401,A58,'Учёт самовыкупов'!$E$2:$E$401)</f>
        <v/>
      </c>
      <c r="D58" s="8">
        <f>SUMIF('Учёт самовыкупов'!$B$2:$B$401,A58,'Учёт самовыкупов'!$F$2:$F$401)</f>
        <v/>
      </c>
      <c r="E58" s="8">
        <f>C58-D58</f>
        <v/>
      </c>
      <c r="F58" s="8">
        <f>IFERROR(SUMIF('Учёт самовыкупов'!$B$2:$B$401,A58,'Учёт самовыкупов'!$I$2:$I$401)/C58,"")</f>
        <v/>
      </c>
      <c r="G58" s="8">
        <f>SUMIF('Учёт самовыкупов'!$B$2:$B$401,A58,'Учёт самовыкупов'!$I$2:$I$401)</f>
        <v/>
      </c>
    </row>
    <row r="59">
      <c r="A59" s="8" t="n">
        <v>207477077</v>
      </c>
      <c r="B59" s="8" t="inlineStr">
        <is>
          <t>Увлажняющий крем для лица с коллагеном</t>
        </is>
      </c>
      <c r="C59" s="8">
        <f>SUMIF('Учёт самовыкупов'!$B$2:$B$401,A59,'Учёт самовыкупов'!$E$2:$E$401)</f>
        <v/>
      </c>
      <c r="D59" s="8">
        <f>SUMIF('Учёт самовыкупов'!$B$2:$B$401,A59,'Учёт самовыкупов'!$F$2:$F$401)</f>
        <v/>
      </c>
      <c r="E59" s="8">
        <f>C59-D59</f>
        <v/>
      </c>
      <c r="F59" s="8">
        <f>IFERROR(SUMIF('Учёт самовыкупов'!$B$2:$B$401,A59,'Учёт самовыкупов'!$I$2:$I$401)/C59,"")</f>
        <v/>
      </c>
      <c r="G59" s="8">
        <f>SUMIF('Учёт самовыкупов'!$B$2:$B$401,A59,'Учёт самовыкупов'!$I$2:$I$401)</f>
        <v/>
      </c>
    </row>
    <row r="60">
      <c r="A60" s="8" t="n">
        <v>207481251</v>
      </c>
      <c r="B60" s="8" t="inlineStr">
        <is>
          <t>Корейская эссенция для лица увлажняющая</t>
        </is>
      </c>
      <c r="C60" s="8">
        <f>SUMIF('Учёт самовыкупов'!$B$2:$B$401,A60,'Учёт самовыкупов'!$E$2:$E$401)</f>
        <v/>
      </c>
      <c r="D60" s="8">
        <f>SUMIF('Учёт самовыкупов'!$B$2:$B$401,A60,'Учёт самовыкупов'!$F$2:$F$401)</f>
        <v/>
      </c>
      <c r="E60" s="8">
        <f>C60-D60</f>
        <v/>
      </c>
      <c r="F60" s="8">
        <f>IFERROR(SUMIF('Учёт самовыкупов'!$B$2:$B$401,A60,'Учёт самовыкупов'!$I$2:$I$401)/C60,"")</f>
        <v/>
      </c>
      <c r="G60" s="8">
        <f>SUMIF('Учёт самовыкупов'!$B$2:$B$401,A60,'Учёт самовыкупов'!$I$2:$I$401)</f>
        <v/>
      </c>
    </row>
    <row r="61">
      <c r="A61" s="8" t="n">
        <v>207482718</v>
      </c>
      <c r="B61" s="8" t="inlineStr">
        <is>
          <t>Крем для лица антивозрастной Snail Lifting Cream</t>
        </is>
      </c>
      <c r="C61" s="8">
        <f>SUMIF('Учёт самовыкупов'!$B$2:$B$401,A61,'Учёт самовыкупов'!$E$2:$E$401)</f>
        <v/>
      </c>
      <c r="D61" s="8">
        <f>SUMIF('Учёт самовыкупов'!$B$2:$B$401,A61,'Учёт самовыкупов'!$F$2:$F$401)</f>
        <v/>
      </c>
      <c r="E61" s="8">
        <f>C61-D61</f>
        <v/>
      </c>
      <c r="F61" s="8">
        <f>IFERROR(SUMIF('Учёт самовыкупов'!$B$2:$B$401,A61,'Учёт самовыкупов'!$I$2:$I$401)/C61,"")</f>
        <v/>
      </c>
      <c r="G61" s="8">
        <f>SUMIF('Учёт самовыкупов'!$B$2:$B$401,A61,'Учёт самовыкупов'!$I$2:$I$401)</f>
        <v/>
      </c>
    </row>
    <row r="62">
      <c r="A62" s="8" t="n">
        <v>207483179</v>
      </c>
      <c r="B62" s="8" t="inlineStr">
        <is>
          <t>Восстанавливающий крем для лица антивозрастной</t>
        </is>
      </c>
      <c r="C62" s="8">
        <f>SUMIF('Учёт самовыкупов'!$B$2:$B$401,A62,'Учёт самовыкупов'!$E$2:$E$401)</f>
        <v/>
      </c>
      <c r="D62" s="8">
        <f>SUMIF('Учёт самовыкупов'!$B$2:$B$401,A62,'Учёт самовыкупов'!$F$2:$F$401)</f>
        <v/>
      </c>
      <c r="E62" s="8">
        <f>C62-D62</f>
        <v/>
      </c>
      <c r="F62" s="8">
        <f>IFERROR(SUMIF('Учёт самовыкупов'!$B$2:$B$401,A62,'Учёт самовыкупов'!$I$2:$I$401)/C62,"")</f>
        <v/>
      </c>
      <c r="G62" s="8">
        <f>SUMIF('Учёт самовыкупов'!$B$2:$B$401,A62,'Учёт самовыкупов'!$I$2:$I$401)</f>
        <v/>
      </c>
    </row>
    <row r="63">
      <c r="A63" s="8" t="n">
        <v>207483780</v>
      </c>
      <c r="B63" s="8" t="inlineStr">
        <is>
          <t>Корейский крем для лица антивозрастной от морщин</t>
        </is>
      </c>
      <c r="C63" s="8">
        <f>SUMIF('Учёт самовыкупов'!$B$2:$B$401,A63,'Учёт самовыкупов'!$E$2:$E$401)</f>
        <v/>
      </c>
      <c r="D63" s="8">
        <f>SUMIF('Учёт самовыкупов'!$B$2:$B$401,A63,'Учёт самовыкупов'!$F$2:$F$401)</f>
        <v/>
      </c>
      <c r="E63" s="8">
        <f>C63-D63</f>
        <v/>
      </c>
      <c r="F63" s="8">
        <f>IFERROR(SUMIF('Учёт самовыкупов'!$B$2:$B$401,A63,'Учёт самовыкупов'!$I$2:$I$401)/C63,"")</f>
        <v/>
      </c>
      <c r="G63" s="8">
        <f>SUMIF('Учёт самовыкупов'!$B$2:$B$401,A63,'Учёт самовыкупов'!$I$2:$I$401)</f>
        <v/>
      </c>
    </row>
    <row r="64">
      <c r="A64" s="8" t="n">
        <v>207796350</v>
      </c>
      <c r="B64" s="8" t="inlineStr">
        <is>
          <t>Маска для волос увлажняющая с коллагеном</t>
        </is>
      </c>
      <c r="C64" s="8">
        <f>SUMIF('Учёт самовыкупов'!$B$2:$B$401,A64,'Учёт самовыкупов'!$E$2:$E$401)</f>
        <v/>
      </c>
      <c r="D64" s="8">
        <f>SUMIF('Учёт самовыкупов'!$B$2:$B$401,A64,'Учёт самовыкупов'!$F$2:$F$401)</f>
        <v/>
      </c>
      <c r="E64" s="8">
        <f>C64-D64</f>
        <v/>
      </c>
      <c r="F64" s="8">
        <f>IFERROR(SUMIF('Учёт самовыкупов'!$B$2:$B$401,A64,'Учёт самовыкупов'!$I$2:$I$401)/C64,"")</f>
        <v/>
      </c>
      <c r="G64" s="8">
        <f>SUMIF('Учёт самовыкупов'!$B$2:$B$401,A64,'Учёт самовыкупов'!$I$2:$I$401)</f>
        <v/>
      </c>
    </row>
    <row r="65">
      <c r="A65" s="8" t="n">
        <v>207796563</v>
      </c>
      <c r="B65" s="8" t="inlineStr">
        <is>
          <t>Крем для лица Aqua Hyaluronic Acid Water Drop</t>
        </is>
      </c>
      <c r="C65" s="8">
        <f>SUMIF('Учёт самовыкупов'!$B$2:$B$401,A65,'Учёт самовыкупов'!$E$2:$E$401)</f>
        <v/>
      </c>
      <c r="D65" s="8">
        <f>SUMIF('Учёт самовыкупов'!$B$2:$B$401,A65,'Учёт самовыкупов'!$F$2:$F$401)</f>
        <v/>
      </c>
      <c r="E65" s="8">
        <f>C65-D65</f>
        <v/>
      </c>
      <c r="F65" s="8">
        <f>IFERROR(SUMIF('Учёт самовыкупов'!$B$2:$B$401,A65,'Учёт самовыкупов'!$I$2:$I$401)/C65,"")</f>
        <v/>
      </c>
      <c r="G65" s="8">
        <f>SUMIF('Учёт самовыкупов'!$B$2:$B$401,A65,'Учёт самовыкупов'!$I$2:$I$401)</f>
        <v/>
      </c>
    </row>
    <row r="66">
      <c r="A66" s="8" t="n">
        <v>207796789</v>
      </c>
      <c r="B66" s="8" t="inlineStr">
        <is>
          <t>Тональный крем для лица матовый увлажняющий с муцином</t>
        </is>
      </c>
      <c r="C66" s="8">
        <f>SUMIF('Учёт самовыкупов'!$B$2:$B$401,A66,'Учёт самовыкупов'!$E$2:$E$401)</f>
        <v/>
      </c>
      <c r="D66" s="8">
        <f>SUMIF('Учёт самовыкупов'!$B$2:$B$401,A66,'Учёт самовыкупов'!$F$2:$F$401)</f>
        <v/>
      </c>
      <c r="E66" s="8">
        <f>C66-D66</f>
        <v/>
      </c>
      <c r="F66" s="8">
        <f>IFERROR(SUMIF('Учёт самовыкупов'!$B$2:$B$401,A66,'Учёт самовыкупов'!$I$2:$I$401)/C66,"")</f>
        <v/>
      </c>
      <c r="G66" s="8">
        <f>SUMIF('Учёт самовыкупов'!$B$2:$B$401,A66,'Учёт самовыкупов'!$I$2:$I$401)</f>
        <v/>
      </c>
    </row>
    <row r="67">
      <c r="A67" s="8" t="n">
        <v>207796898</v>
      </c>
      <c r="B67" s="8" t="inlineStr">
        <is>
          <t>Тональный крем для лица матовый увлажняющий с муцином</t>
        </is>
      </c>
      <c r="C67" s="8">
        <f>SUMIF('Учёт самовыкупов'!$B$2:$B$401,A67,'Учёт самовыкупов'!$E$2:$E$401)</f>
        <v/>
      </c>
      <c r="D67" s="8">
        <f>SUMIF('Учёт самовыкупов'!$B$2:$B$401,A67,'Учёт самовыкупов'!$F$2:$F$401)</f>
        <v/>
      </c>
      <c r="E67" s="8">
        <f>C67-D67</f>
        <v/>
      </c>
      <c r="F67" s="8">
        <f>IFERROR(SUMIF('Учёт самовыкупов'!$B$2:$B$401,A67,'Учёт самовыкупов'!$I$2:$I$401)/C67,"")</f>
        <v/>
      </c>
      <c r="G67" s="8">
        <f>SUMIF('Учёт самовыкупов'!$B$2:$B$401,A67,'Учёт самовыкупов'!$I$2:$I$401)</f>
        <v/>
      </c>
    </row>
    <row r="68">
      <c r="A68" s="8" t="n">
        <v>207818000</v>
      </c>
      <c r="B68" s="8" t="inlineStr">
        <is>
          <t>Сыворотка для глубокого очищения лица</t>
        </is>
      </c>
      <c r="C68" s="8">
        <f>SUMIF('Учёт самовыкупов'!$B$2:$B$401,A68,'Учёт самовыкупов'!$E$2:$E$401)</f>
        <v/>
      </c>
      <c r="D68" s="8">
        <f>SUMIF('Учёт самовыкупов'!$B$2:$B$401,A68,'Учёт самовыкупов'!$F$2:$F$401)</f>
        <v/>
      </c>
      <c r="E68" s="8">
        <f>C68-D68</f>
        <v/>
      </c>
      <c r="F68" s="8">
        <f>IFERROR(SUMIF('Учёт самовыкупов'!$B$2:$B$401,A68,'Учёт самовыкупов'!$I$2:$I$401)/C68,"")</f>
        <v/>
      </c>
      <c r="G68" s="8">
        <f>SUMIF('Учёт самовыкупов'!$B$2:$B$401,A68,'Учёт самовыкупов'!$I$2:$I$401)</f>
        <v/>
      </c>
    </row>
    <row r="69">
      <c r="A69" s="8" t="n">
        <v>207818642</v>
      </c>
      <c r="B69" s="8" t="inlineStr">
        <is>
          <t>Увлажняющий крем для кожи вокруг глаз</t>
        </is>
      </c>
      <c r="C69" s="8">
        <f>SUMIF('Учёт самовыкупов'!$B$2:$B$401,A69,'Учёт самовыкупов'!$E$2:$E$401)</f>
        <v/>
      </c>
      <c r="D69" s="8">
        <f>SUMIF('Учёт самовыкупов'!$B$2:$B$401,A69,'Учёт самовыкупов'!$F$2:$F$401)</f>
        <v/>
      </c>
      <c r="E69" s="8">
        <f>C69-D69</f>
        <v/>
      </c>
      <c r="F69" s="8">
        <f>IFERROR(SUMIF('Учёт самовыкупов'!$B$2:$B$401,A69,'Учёт самовыкупов'!$I$2:$I$401)/C69,"")</f>
        <v/>
      </c>
      <c r="G69" s="8">
        <f>SUMIF('Учёт самовыкупов'!$B$2:$B$401,A69,'Учёт самовыкупов'!$I$2:$I$401)</f>
        <v/>
      </c>
    </row>
    <row r="70">
      <c r="A70" s="8" t="n">
        <v>208202076</v>
      </c>
      <c r="B70" s="8" t="inlineStr">
        <is>
          <t>Увлажняющий крем для лица с коллагеном ампульный</t>
        </is>
      </c>
      <c r="C70" s="8">
        <f>SUMIF('Учёт самовыкупов'!$B$2:$B$401,A70,'Учёт самовыкупов'!$E$2:$E$401)</f>
        <v/>
      </c>
      <c r="D70" s="8">
        <f>SUMIF('Учёт самовыкупов'!$B$2:$B$401,A70,'Учёт самовыкупов'!$F$2:$F$401)</f>
        <v/>
      </c>
      <c r="E70" s="8">
        <f>C70-D70</f>
        <v/>
      </c>
      <c r="F70" s="8">
        <f>IFERROR(SUMIF('Учёт самовыкупов'!$B$2:$B$401,A70,'Учёт самовыкупов'!$I$2:$I$401)/C70,"")</f>
        <v/>
      </c>
      <c r="G70" s="8">
        <f>SUMIF('Учёт самовыкупов'!$B$2:$B$401,A70,'Учёт самовыкупов'!$I$2:$I$401)</f>
        <v/>
      </c>
    </row>
    <row r="71">
      <c r="A71" s="8" t="n">
        <v>208208674</v>
      </c>
      <c r="B71" s="8" t="inlineStr">
        <is>
          <t>Рация UV-82 Баофенг</t>
        </is>
      </c>
      <c r="C71" s="8">
        <f>SUMIF('Учёт самовыкупов'!$B$2:$B$401,A71,'Учёт самовыкупов'!$E$2:$E$401)</f>
        <v/>
      </c>
      <c r="D71" s="8">
        <f>SUMIF('Учёт самовыкупов'!$B$2:$B$401,A71,'Учёт самовыкупов'!$F$2:$F$401)</f>
        <v/>
      </c>
      <c r="E71" s="8">
        <f>C71-D71</f>
        <v/>
      </c>
      <c r="F71" s="8">
        <f>IFERROR(SUMIF('Учёт самовыкупов'!$B$2:$B$401,A71,'Учёт самовыкупов'!$I$2:$I$401)/C71,"")</f>
        <v/>
      </c>
      <c r="G71" s="8">
        <f>SUMIF('Учёт самовыкупов'!$B$2:$B$401,A71,'Учёт самовыкупов'!$I$2:$I$401)</f>
        <v/>
      </c>
    </row>
    <row r="72">
      <c r="A72" s="8" t="n">
        <v>210575566</v>
      </c>
      <c r="B72" s="8" t="inlineStr">
        <is>
          <t>Увлажняющий крем для кожи вокруг глаз</t>
        </is>
      </c>
      <c r="C72" s="8">
        <f>SUMIF('Учёт самовыкупов'!$B$2:$B$401,A72,'Учёт самовыкупов'!$E$2:$E$401)</f>
        <v/>
      </c>
      <c r="D72" s="8">
        <f>SUMIF('Учёт самовыкупов'!$B$2:$B$401,A72,'Учёт самовыкупов'!$F$2:$F$401)</f>
        <v/>
      </c>
      <c r="E72" s="8">
        <f>C72-D72</f>
        <v/>
      </c>
      <c r="F72" s="8">
        <f>IFERROR(SUMIF('Учёт самовыкупов'!$B$2:$B$401,A72,'Учёт самовыкупов'!$I$2:$I$401)/C72,"")</f>
        <v/>
      </c>
      <c r="G72" s="8">
        <f>SUMIF('Учёт самовыкупов'!$B$2:$B$401,A72,'Учёт самовыкупов'!$I$2:$I$401)</f>
        <v/>
      </c>
    </row>
    <row r="73">
      <c r="A73" s="8" t="n">
        <v>212719009</v>
      </c>
      <c r="B73" s="8" t="inlineStr">
        <is>
          <t>Корректирующий СС крем для лица тональный</t>
        </is>
      </c>
      <c r="C73" s="8">
        <f>SUMIF('Учёт самовыкупов'!$B$2:$B$401,A73,'Учёт самовыкупов'!$E$2:$E$401)</f>
        <v/>
      </c>
      <c r="D73" s="8">
        <f>SUMIF('Учёт самовыкупов'!$B$2:$B$401,A73,'Учёт самовыкупов'!$F$2:$F$401)</f>
        <v/>
      </c>
      <c r="E73" s="8">
        <f>C73-D73</f>
        <v/>
      </c>
      <c r="F73" s="8">
        <f>IFERROR(SUMIF('Учёт самовыкупов'!$B$2:$B$401,A73,'Учёт самовыкупов'!$I$2:$I$401)/C73,"")</f>
        <v/>
      </c>
      <c r="G73" s="8">
        <f>SUMIF('Учёт самовыкупов'!$B$2:$B$401,A73,'Учёт самовыкупов'!$I$2:$I$401)</f>
        <v/>
      </c>
    </row>
    <row r="74">
      <c r="A74" s="8" t="n">
        <v>212753217</v>
      </c>
      <c r="B74" s="8" t="inlineStr">
        <is>
          <t>Крем для лица с коллагеном</t>
        </is>
      </c>
      <c r="C74" s="8">
        <f>SUMIF('Учёт самовыкупов'!$B$2:$B$401,A74,'Учёт самовыкупов'!$E$2:$E$401)</f>
        <v/>
      </c>
      <c r="D74" s="8">
        <f>SUMIF('Учёт самовыкупов'!$B$2:$B$401,A74,'Учёт самовыкупов'!$F$2:$F$401)</f>
        <v/>
      </c>
      <c r="E74" s="8">
        <f>C74-D74</f>
        <v/>
      </c>
      <c r="F74" s="8">
        <f>IFERROR(SUMIF('Учёт самовыкупов'!$B$2:$B$401,A74,'Учёт самовыкупов'!$I$2:$I$401)/C74,"")</f>
        <v/>
      </c>
      <c r="G74" s="8">
        <f>SUMIF('Учёт самовыкупов'!$B$2:$B$401,A74,'Учёт самовыкупов'!$I$2:$I$401)</f>
        <v/>
      </c>
    </row>
    <row r="75">
      <c r="A75" s="8" t="n">
        <v>212757456</v>
      </c>
      <c r="B75" s="8" t="inlineStr">
        <is>
          <t>Корейский тонер для лица увлажняющий с центеллой</t>
        </is>
      </c>
      <c r="C75" s="8">
        <f>SUMIF('Учёт самовыкупов'!$B$2:$B$401,A75,'Учёт самовыкупов'!$E$2:$E$401)</f>
        <v/>
      </c>
      <c r="D75" s="8">
        <f>SUMIF('Учёт самовыкупов'!$B$2:$B$401,A75,'Учёт самовыкупов'!$F$2:$F$401)</f>
        <v/>
      </c>
      <c r="E75" s="8">
        <f>C75-D75</f>
        <v/>
      </c>
      <c r="F75" s="8">
        <f>IFERROR(SUMIF('Учёт самовыкупов'!$B$2:$B$401,A75,'Учёт самовыкупов'!$I$2:$I$401)/C75,"")</f>
        <v/>
      </c>
      <c r="G75" s="8">
        <f>SUMIF('Учёт самовыкупов'!$B$2:$B$401,A75,'Учёт самовыкупов'!$I$2:$I$401)</f>
        <v/>
      </c>
    </row>
    <row r="76">
      <c r="A76" s="8" t="n">
        <v>212759698</v>
      </c>
      <c r="B76" s="8" t="inlineStr">
        <is>
          <t>Корейский успокаивающий тонер с алоэ</t>
        </is>
      </c>
      <c r="C76" s="8">
        <f>SUMIF('Учёт самовыкупов'!$B$2:$B$401,A76,'Учёт самовыкупов'!$E$2:$E$401)</f>
        <v/>
      </c>
      <c r="D76" s="8">
        <f>SUMIF('Учёт самовыкупов'!$B$2:$B$401,A76,'Учёт самовыкупов'!$F$2:$F$401)</f>
        <v/>
      </c>
      <c r="E76" s="8">
        <f>C76-D76</f>
        <v/>
      </c>
      <c r="F76" s="8">
        <f>IFERROR(SUMIF('Учёт самовыкупов'!$B$2:$B$401,A76,'Учёт самовыкупов'!$I$2:$I$401)/C76,"")</f>
        <v/>
      </c>
      <c r="G76" s="8">
        <f>SUMIF('Учёт самовыкупов'!$B$2:$B$401,A76,'Учёт самовыкупов'!$I$2:$I$401)</f>
        <v/>
      </c>
    </row>
    <row r="77">
      <c r="A77" s="8" t="n">
        <v>212760119</v>
      </c>
      <c r="B77" s="8" t="inlineStr">
        <is>
          <t>Корейский тонер для лица антивозрастной</t>
        </is>
      </c>
      <c r="C77" s="8">
        <f>SUMIF('Учёт самовыкупов'!$B$2:$B$401,A77,'Учёт самовыкупов'!$E$2:$E$401)</f>
        <v/>
      </c>
      <c r="D77" s="8">
        <f>SUMIF('Учёт самовыкупов'!$B$2:$B$401,A77,'Учёт самовыкупов'!$F$2:$F$401)</f>
        <v/>
      </c>
      <c r="E77" s="8">
        <f>C77-D77</f>
        <v/>
      </c>
      <c r="F77" s="8">
        <f>IFERROR(SUMIF('Учёт самовыкупов'!$B$2:$B$401,A77,'Учёт самовыкупов'!$I$2:$I$401)/C77,"")</f>
        <v/>
      </c>
      <c r="G77" s="8">
        <f>SUMIF('Учёт самовыкупов'!$B$2:$B$401,A77,'Учёт самовыкупов'!$I$2:$I$401)</f>
        <v/>
      </c>
    </row>
    <row r="78">
      <c r="A78" s="8" t="n">
        <v>212883090</v>
      </c>
      <c r="B78" s="8" t="inlineStr">
        <is>
          <t>Увлажняюший тонер для лица с гиалуроновой кислотой</t>
        </is>
      </c>
      <c r="C78" s="8">
        <f>SUMIF('Учёт самовыкупов'!$B$2:$B$401,A78,'Учёт самовыкупов'!$E$2:$E$401)</f>
        <v/>
      </c>
      <c r="D78" s="8">
        <f>SUMIF('Учёт самовыкупов'!$B$2:$B$401,A78,'Учёт самовыкупов'!$F$2:$F$401)</f>
        <v/>
      </c>
      <c r="E78" s="8">
        <f>C78-D78</f>
        <v/>
      </c>
      <c r="F78" s="8">
        <f>IFERROR(SUMIF('Учёт самовыкупов'!$B$2:$B$401,A78,'Учёт самовыкупов'!$I$2:$I$401)/C78,"")</f>
        <v/>
      </c>
      <c r="G78" s="8">
        <f>SUMIF('Учёт самовыкупов'!$B$2:$B$401,A78,'Учёт самовыкупов'!$I$2:$I$401)</f>
        <v/>
      </c>
    </row>
    <row r="79">
      <c r="A79" s="8" t="n">
        <v>212885914</v>
      </c>
      <c r="B79" s="8" t="inlineStr">
        <is>
          <t>Сыворотка роллер для глаз увлажняющая</t>
        </is>
      </c>
      <c r="C79" s="8">
        <f>SUMIF('Учёт самовыкупов'!$B$2:$B$401,A79,'Учёт самовыкупов'!$E$2:$E$401)</f>
        <v/>
      </c>
      <c r="D79" s="8">
        <f>SUMIF('Учёт самовыкупов'!$B$2:$B$401,A79,'Учёт самовыкупов'!$F$2:$F$401)</f>
        <v/>
      </c>
      <c r="E79" s="8">
        <f>C79-D79</f>
        <v/>
      </c>
      <c r="F79" s="8">
        <f>IFERROR(SUMIF('Учёт самовыкупов'!$B$2:$B$401,A79,'Учёт самовыкупов'!$I$2:$I$401)/C79,"")</f>
        <v/>
      </c>
      <c r="G79" s="8">
        <f>SUMIF('Учёт самовыкупов'!$B$2:$B$401,A79,'Учёт самовыкупов'!$I$2:$I$401)</f>
        <v/>
      </c>
    </row>
    <row r="80">
      <c r="A80" s="8" t="n">
        <v>212889025</v>
      </c>
      <c r="B80" s="8" t="inlineStr">
        <is>
          <t>Консилер для лица плотный 01, корректор светлый</t>
        </is>
      </c>
      <c r="C80" s="8">
        <f>SUMIF('Учёт самовыкупов'!$B$2:$B$401,A80,'Учёт самовыкупов'!$E$2:$E$401)</f>
        <v/>
      </c>
      <c r="D80" s="8">
        <f>SUMIF('Учёт самовыкупов'!$B$2:$B$401,A80,'Учёт самовыкупов'!$F$2:$F$401)</f>
        <v/>
      </c>
      <c r="E80" s="8">
        <f>C80-D80</f>
        <v/>
      </c>
      <c r="F80" s="8">
        <f>IFERROR(SUMIF('Учёт самовыкупов'!$B$2:$B$401,A80,'Учёт самовыкупов'!$I$2:$I$401)/C80,"")</f>
        <v/>
      </c>
      <c r="G80" s="8">
        <f>SUMIF('Учёт самовыкупов'!$B$2:$B$401,A80,'Учёт самовыкупов'!$I$2:$I$401)</f>
        <v/>
      </c>
    </row>
    <row r="81">
      <c r="A81" s="8" t="n">
        <v>212889027</v>
      </c>
      <c r="B81" s="8" t="inlineStr">
        <is>
          <t>Консилер для лица плотный 02 корректор</t>
        </is>
      </c>
      <c r="C81" s="8">
        <f>SUMIF('Учёт самовыкупов'!$B$2:$B$401,A81,'Учёт самовыкупов'!$E$2:$E$401)</f>
        <v/>
      </c>
      <c r="D81" s="8">
        <f>SUMIF('Учёт самовыкупов'!$B$2:$B$401,A81,'Учёт самовыкупов'!$F$2:$F$401)</f>
        <v/>
      </c>
      <c r="E81" s="8">
        <f>C81-D81</f>
        <v/>
      </c>
      <c r="F81" s="8">
        <f>IFERROR(SUMIF('Учёт самовыкупов'!$B$2:$B$401,A81,'Учёт самовыкупов'!$I$2:$I$401)/C81,"")</f>
        <v/>
      </c>
      <c r="G81" s="8">
        <f>SUMIF('Учёт самовыкупов'!$B$2:$B$401,A81,'Учёт самовыкупов'!$I$2:$I$401)</f>
        <v/>
      </c>
    </row>
    <row r="82">
      <c r="A82" s="8" t="n">
        <v>212889028</v>
      </c>
      <c r="B82" s="8" t="inlineStr">
        <is>
          <t>Консилер для лица плотный 03 корректор</t>
        </is>
      </c>
      <c r="C82" s="8">
        <f>SUMIF('Учёт самовыкупов'!$B$2:$B$401,A82,'Учёт самовыкупов'!$E$2:$E$401)</f>
        <v/>
      </c>
      <c r="D82" s="8">
        <f>SUMIF('Учёт самовыкупов'!$B$2:$B$401,A82,'Учёт самовыкупов'!$F$2:$F$401)</f>
        <v/>
      </c>
      <c r="E82" s="8">
        <f>C82-D82</f>
        <v/>
      </c>
      <c r="F82" s="8">
        <f>IFERROR(SUMIF('Учёт самовыкупов'!$B$2:$B$401,A82,'Учёт самовыкупов'!$I$2:$I$401)/C82,"")</f>
        <v/>
      </c>
      <c r="G82" s="8">
        <f>SUMIF('Учёт самовыкупов'!$B$2:$B$401,A82,'Учёт самовыкупов'!$I$2:$I$401)</f>
        <v/>
      </c>
    </row>
    <row r="83">
      <c r="A83" s="8" t="n">
        <v>214304883</v>
      </c>
      <c r="B83" s="8" t="inlineStr">
        <is>
          <t>Корейский крем для лица антивозрастной</t>
        </is>
      </c>
      <c r="C83" s="8">
        <f>SUMIF('Учёт самовыкупов'!$B$2:$B$401,A83,'Учёт самовыкупов'!$E$2:$E$401)</f>
        <v/>
      </c>
      <c r="D83" s="8">
        <f>SUMIF('Учёт самовыкупов'!$B$2:$B$401,A83,'Учёт самовыкупов'!$F$2:$F$401)</f>
        <v/>
      </c>
      <c r="E83" s="8">
        <f>C83-D83</f>
        <v/>
      </c>
      <c r="F83" s="8">
        <f>IFERROR(SUMIF('Учёт самовыкупов'!$B$2:$B$401,A83,'Учёт самовыкупов'!$I$2:$I$401)/C83,"")</f>
        <v/>
      </c>
      <c r="G83" s="8">
        <f>SUMIF('Учёт самовыкупов'!$B$2:$B$401,A83,'Учёт самовыкупов'!$I$2:$I$401)</f>
        <v/>
      </c>
    </row>
    <row r="84">
      <c r="A84" s="8" t="n">
        <v>214305722</v>
      </c>
      <c r="B84" s="8" t="inlineStr">
        <is>
          <t>Шампунь для волос женский и бальзам c черным чесноком набор</t>
        </is>
      </c>
      <c r="C84" s="8">
        <f>SUMIF('Учёт самовыкупов'!$B$2:$B$401,A84,'Учёт самовыкупов'!$E$2:$E$401)</f>
        <v/>
      </c>
      <c r="D84" s="8">
        <f>SUMIF('Учёт самовыкупов'!$B$2:$B$401,A84,'Учёт самовыкупов'!$F$2:$F$401)</f>
        <v/>
      </c>
      <c r="E84" s="8">
        <f>C84-D84</f>
        <v/>
      </c>
      <c r="F84" s="8">
        <f>IFERROR(SUMIF('Учёт самовыкупов'!$B$2:$B$401,A84,'Учёт самовыкупов'!$I$2:$I$401)/C84,"")</f>
        <v/>
      </c>
      <c r="G84" s="8">
        <f>SUMIF('Учёт самовыкупов'!$B$2:$B$401,A84,'Учёт самовыкупов'!$I$2:$I$401)</f>
        <v/>
      </c>
    </row>
    <row r="85">
      <c r="A85" s="8" t="n">
        <v>214311963</v>
      </c>
      <c r="B85" s="8" t="inlineStr">
        <is>
          <t>Сыворотка Корея увлажняющая против морщин</t>
        </is>
      </c>
      <c r="C85" s="8">
        <f>SUMIF('Учёт самовыкупов'!$B$2:$B$401,A85,'Учёт самовыкупов'!$E$2:$E$401)</f>
        <v/>
      </c>
      <c r="D85" s="8">
        <f>SUMIF('Учёт самовыкупов'!$B$2:$B$401,A85,'Учёт самовыкупов'!$F$2:$F$401)</f>
        <v/>
      </c>
      <c r="E85" s="8">
        <f>C85-D85</f>
        <v/>
      </c>
      <c r="F85" s="8">
        <f>IFERROR(SUMIF('Учёт самовыкупов'!$B$2:$B$401,A85,'Учёт самовыкупов'!$I$2:$I$401)/C85,"")</f>
        <v/>
      </c>
      <c r="G85" s="8">
        <f>SUMIF('Учёт самовыкупов'!$B$2:$B$401,A85,'Учёт самовыкупов'!$I$2:$I$401)</f>
        <v/>
      </c>
    </row>
    <row r="86">
      <c r="A86" s="8" t="n">
        <v>214312149</v>
      </c>
      <c r="B86" s="8" t="inlineStr">
        <is>
          <t>Увлажняющая ночная маска для сухой кожи</t>
        </is>
      </c>
      <c r="C86" s="8">
        <f>SUMIF('Учёт самовыкупов'!$B$2:$B$401,A86,'Учёт самовыкупов'!$E$2:$E$401)</f>
        <v/>
      </c>
      <c r="D86" s="8">
        <f>SUMIF('Учёт самовыкупов'!$B$2:$B$401,A86,'Учёт самовыкупов'!$F$2:$F$401)</f>
        <v/>
      </c>
      <c r="E86" s="8">
        <f>C86-D86</f>
        <v/>
      </c>
      <c r="F86" s="8">
        <f>IFERROR(SUMIF('Учёт самовыкупов'!$B$2:$B$401,A86,'Учёт самовыкупов'!$I$2:$I$401)/C86,"")</f>
        <v/>
      </c>
      <c r="G86" s="8">
        <f>SUMIF('Учёт самовыкупов'!$B$2:$B$401,A86,'Учёт самовыкупов'!$I$2:$I$401)</f>
        <v/>
      </c>
    </row>
    <row r="87">
      <c r="A87" s="8" t="n">
        <v>214312385</v>
      </c>
      <c r="B87" s="8" t="inlineStr">
        <is>
          <t>Антивозрастная сыворотка для лица с аргирелином 10%</t>
        </is>
      </c>
      <c r="C87" s="8">
        <f>SUMIF('Учёт самовыкупов'!$B$2:$B$401,A87,'Учёт самовыкупов'!$E$2:$E$401)</f>
        <v/>
      </c>
      <c r="D87" s="8">
        <f>SUMIF('Учёт самовыкупов'!$B$2:$B$401,A87,'Учёт самовыкупов'!$F$2:$F$401)</f>
        <v/>
      </c>
      <c r="E87" s="8">
        <f>C87-D87</f>
        <v/>
      </c>
      <c r="F87" s="8">
        <f>IFERROR(SUMIF('Учёт самовыкупов'!$B$2:$B$401,A87,'Учёт самовыкупов'!$I$2:$I$401)/C87,"")</f>
        <v/>
      </c>
      <c r="G87" s="8">
        <f>SUMIF('Учёт самовыкупов'!$B$2:$B$401,A87,'Учёт самовыкупов'!$I$2:$I$401)</f>
        <v/>
      </c>
    </row>
    <row r="88">
      <c r="A88" s="8" t="n">
        <v>214964091</v>
      </c>
      <c r="B88" s="8" t="inlineStr">
        <is>
          <t>Набор корейских тканевых масок для лица 10 шт</t>
        </is>
      </c>
      <c r="C88" s="8">
        <f>SUMIF('Учёт самовыкупов'!$B$2:$B$401,A88,'Учёт самовыкупов'!$E$2:$E$401)</f>
        <v/>
      </c>
      <c r="D88" s="8">
        <f>SUMIF('Учёт самовыкупов'!$B$2:$B$401,A88,'Учёт самовыкупов'!$F$2:$F$401)</f>
        <v/>
      </c>
      <c r="E88" s="8">
        <f>C88-D88</f>
        <v/>
      </c>
      <c r="F88" s="8">
        <f>IFERROR(SUMIF('Учёт самовыкупов'!$B$2:$B$401,A88,'Учёт самовыкупов'!$I$2:$I$401)/C88,"")</f>
        <v/>
      </c>
      <c r="G88" s="8">
        <f>SUMIF('Учёт самовыкупов'!$B$2:$B$401,A88,'Учёт самовыкупов'!$I$2:$I$401)</f>
        <v/>
      </c>
    </row>
    <row r="89">
      <c r="A89" s="8" t="n">
        <v>214977901</v>
      </c>
      <c r="B89" s="8" t="inlineStr">
        <is>
          <t>Маски для лица тканевые</t>
        </is>
      </c>
      <c r="C89" s="8">
        <f>SUMIF('Учёт самовыкупов'!$B$2:$B$401,A89,'Учёт самовыкупов'!$E$2:$E$401)</f>
        <v/>
      </c>
      <c r="D89" s="8">
        <f>SUMIF('Учёт самовыкупов'!$B$2:$B$401,A89,'Учёт самовыкупов'!$F$2:$F$401)</f>
        <v/>
      </c>
      <c r="E89" s="8">
        <f>C89-D89</f>
        <v/>
      </c>
      <c r="F89" s="8">
        <f>IFERROR(SUMIF('Учёт самовыкупов'!$B$2:$B$401,A89,'Учёт самовыкупов'!$I$2:$I$401)/C89,"")</f>
        <v/>
      </c>
      <c r="G89" s="8">
        <f>SUMIF('Учёт самовыкупов'!$B$2:$B$401,A89,'Учёт самовыкупов'!$I$2:$I$401)</f>
        <v/>
      </c>
    </row>
    <row r="90">
      <c r="A90" s="8" t="n">
        <v>226114831</v>
      </c>
      <c r="B90" s="8" t="inlineStr">
        <is>
          <t>Корейские гидрогелевые маски для лица с артишоком</t>
        </is>
      </c>
      <c r="C90" s="8">
        <f>SUMIF('Учёт самовыкупов'!$B$2:$B$401,A90,'Учёт самовыкупов'!$E$2:$E$401)</f>
        <v/>
      </c>
      <c r="D90" s="8">
        <f>SUMIF('Учёт самовыкупов'!$B$2:$B$401,A90,'Учёт самовыкупов'!$F$2:$F$401)</f>
        <v/>
      </c>
      <c r="E90" s="8">
        <f>C90-D90</f>
        <v/>
      </c>
      <c r="F90" s="8">
        <f>IFERROR(SUMIF('Учёт самовыкупов'!$B$2:$B$401,A90,'Учёт самовыкупов'!$I$2:$I$401)/C90,"")</f>
        <v/>
      </c>
      <c r="G90" s="8">
        <f>SUMIF('Учёт самовыкупов'!$B$2:$B$401,A90,'Учёт самовыкупов'!$I$2:$I$401)</f>
        <v/>
      </c>
    </row>
    <row r="91">
      <c r="A91" s="8" t="n">
        <v>226114935</v>
      </c>
      <c r="B91" s="8" t="inlineStr">
        <is>
          <t>Маски для лица с золотом</t>
        </is>
      </c>
      <c r="C91" s="8">
        <f>SUMIF('Учёт самовыкупов'!$B$2:$B$401,A91,'Учёт самовыкупов'!$E$2:$E$401)</f>
        <v/>
      </c>
      <c r="D91" s="8">
        <f>SUMIF('Учёт самовыкупов'!$B$2:$B$401,A91,'Учёт самовыкупов'!$F$2:$F$401)</f>
        <v/>
      </c>
      <c r="E91" s="8">
        <f>C91-D91</f>
        <v/>
      </c>
      <c r="F91" s="8">
        <f>IFERROR(SUMIF('Учёт самовыкупов'!$B$2:$B$401,A91,'Учёт самовыкупов'!$I$2:$I$401)/C91,"")</f>
        <v/>
      </c>
      <c r="G91" s="8">
        <f>SUMIF('Учёт самовыкупов'!$B$2:$B$401,A91,'Учёт самовыкупов'!$I$2:$I$401)</f>
        <v/>
      </c>
    </row>
    <row r="92">
      <c r="A92" s="8" t="n">
        <v>226115141</v>
      </c>
      <c r="B92" s="8" t="inlineStr">
        <is>
          <t>Корейские гидрогелевые маски для лица против морщин</t>
        </is>
      </c>
      <c r="C92" s="8">
        <f>SUMIF('Учёт самовыкупов'!$B$2:$B$401,A92,'Учёт самовыкупов'!$E$2:$E$401)</f>
        <v/>
      </c>
      <c r="D92" s="8">
        <f>SUMIF('Учёт самовыкупов'!$B$2:$B$401,A92,'Учёт самовыкупов'!$F$2:$F$401)</f>
        <v/>
      </c>
      <c r="E92" s="8">
        <f>C92-D92</f>
        <v/>
      </c>
      <c r="F92" s="8">
        <f>IFERROR(SUMIF('Учёт самовыкупов'!$B$2:$B$401,A92,'Учёт самовыкупов'!$I$2:$I$401)/C92,"")</f>
        <v/>
      </c>
      <c r="G92" s="8">
        <f>SUMIF('Учёт самовыкупов'!$B$2:$B$401,A92,'Учёт самовыкупов'!$I$2:$I$401)</f>
        <v/>
      </c>
    </row>
    <row r="93">
      <c r="A93" s="8" t="n">
        <v>226115248</v>
      </c>
      <c r="B93" s="8" t="inlineStr">
        <is>
          <t>Корейские гидрогелевые маски для лица тонизирующие</t>
        </is>
      </c>
      <c r="C93" s="8">
        <f>SUMIF('Учёт самовыкупов'!$B$2:$B$401,A93,'Учёт самовыкупов'!$E$2:$E$401)</f>
        <v/>
      </c>
      <c r="D93" s="8">
        <f>SUMIF('Учёт самовыкупов'!$B$2:$B$401,A93,'Учёт самовыкупов'!$F$2:$F$401)</f>
        <v/>
      </c>
      <c r="E93" s="8">
        <f>C93-D93</f>
        <v/>
      </c>
      <c r="F93" s="8">
        <f>IFERROR(SUMIF('Учёт самовыкупов'!$B$2:$B$401,A93,'Учёт самовыкупов'!$I$2:$I$401)/C93,"")</f>
        <v/>
      </c>
      <c r="G93" s="8">
        <f>SUMIF('Учёт самовыкупов'!$B$2:$B$401,A93,'Учёт самовыкупов'!$I$2:$I$401)</f>
        <v/>
      </c>
    </row>
    <row r="94">
      <c r="A94" s="8" t="n">
        <v>226115324</v>
      </c>
      <c r="B94" s="8" t="inlineStr">
        <is>
          <t>Корейские гидрогелевые маски для лица охлаждающие с агавой</t>
        </is>
      </c>
      <c r="C94" s="8">
        <f>SUMIF('Учёт самовыкупов'!$B$2:$B$401,A94,'Учёт самовыкупов'!$E$2:$E$401)</f>
        <v/>
      </c>
      <c r="D94" s="8">
        <f>SUMIF('Учёт самовыкупов'!$B$2:$B$401,A94,'Учёт самовыкупов'!$F$2:$F$401)</f>
        <v/>
      </c>
      <c r="E94" s="8">
        <f>C94-D94</f>
        <v/>
      </c>
      <c r="F94" s="8">
        <f>IFERROR(SUMIF('Учёт самовыкупов'!$B$2:$B$401,A94,'Учёт самовыкупов'!$I$2:$I$401)/C94,"")</f>
        <v/>
      </c>
      <c r="G94" s="8">
        <f>SUMIF('Учёт самовыкупов'!$B$2:$B$401,A94,'Учёт самовыкупов'!$I$2:$I$401)</f>
        <v/>
      </c>
    </row>
    <row r="95">
      <c r="A95" s="8" t="n">
        <v>226115478</v>
      </c>
      <c r="B95" s="8" t="inlineStr">
        <is>
          <t>Корейские гидрогелевые маски для лица с золотом и жемчугом</t>
        </is>
      </c>
      <c r="C95" s="8">
        <f>SUMIF('Учёт самовыкупов'!$B$2:$B$401,A95,'Учёт самовыкупов'!$E$2:$E$401)</f>
        <v/>
      </c>
      <c r="D95" s="8">
        <f>SUMIF('Учёт самовыкупов'!$B$2:$B$401,A95,'Учёт самовыкупов'!$F$2:$F$401)</f>
        <v/>
      </c>
      <c r="E95" s="8">
        <f>C95-D95</f>
        <v/>
      </c>
      <c r="F95" s="8">
        <f>IFERROR(SUMIF('Учёт самовыкупов'!$B$2:$B$401,A95,'Учёт самовыкупов'!$I$2:$I$401)/C95,"")</f>
        <v/>
      </c>
      <c r="G95" s="8">
        <f>SUMIF('Учёт самовыкупов'!$B$2:$B$401,A95,'Учёт самовыкупов'!$I$2:$I$401)</f>
        <v/>
      </c>
    </row>
    <row r="96">
      <c r="A96" s="8" t="n">
        <v>236825103</v>
      </c>
      <c r="B96" s="8" t="inlineStr">
        <is>
          <t>Трехшаговый набор тканевых масок для лица 10 шт.</t>
        </is>
      </c>
      <c r="C96" s="8">
        <f>SUMIF('Учёт самовыкупов'!$B$2:$B$401,A96,'Учёт самовыкупов'!$E$2:$E$401)</f>
        <v/>
      </c>
      <c r="D96" s="8">
        <f>SUMIF('Учёт самовыкупов'!$B$2:$B$401,A96,'Учёт самовыкупов'!$F$2:$F$401)</f>
        <v/>
      </c>
      <c r="E96" s="8">
        <f>C96-D96</f>
        <v/>
      </c>
      <c r="F96" s="8">
        <f>IFERROR(SUMIF('Учёт самовыкупов'!$B$2:$B$401,A96,'Учёт самовыкупов'!$I$2:$I$401)/C96,"")</f>
        <v/>
      </c>
      <c r="G96" s="8">
        <f>SUMIF('Учёт самовыкупов'!$B$2:$B$401,A96,'Учёт самовыкупов'!$I$2:$I$401)</f>
        <v/>
      </c>
    </row>
    <row r="97">
      <c r="A97" s="8" t="n">
        <v>238358954</v>
      </c>
      <c r="B97" s="8" t="inlineStr">
        <is>
          <t>Солнцезащитный крем СПФ 50 для лица и тела</t>
        </is>
      </c>
      <c r="C97" s="8">
        <f>SUMIF('Учёт самовыкупов'!$B$2:$B$401,A97,'Учёт самовыкупов'!$E$2:$E$401)</f>
        <v/>
      </c>
      <c r="D97" s="8">
        <f>SUMIF('Учёт самовыкупов'!$B$2:$B$401,A97,'Учёт самовыкупов'!$F$2:$F$401)</f>
        <v/>
      </c>
      <c r="E97" s="8">
        <f>C97-D97</f>
        <v/>
      </c>
      <c r="F97" s="8">
        <f>IFERROR(SUMIF('Учёт самовыкупов'!$B$2:$B$401,A97,'Учёт самовыкупов'!$I$2:$I$401)/C97,"")</f>
        <v/>
      </c>
      <c r="G97" s="8">
        <f>SUMIF('Учёт самовыкупов'!$B$2:$B$401,A97,'Учёт самовыкупов'!$I$2:$I$401)</f>
        <v/>
      </c>
    </row>
    <row r="98">
      <c r="A98" s="8" t="n">
        <v>238413828</v>
      </c>
      <c r="B98" s="8" t="inlineStr">
        <is>
          <t>BB-крем тональный увлажняющий для лица с коллагеном</t>
        </is>
      </c>
      <c r="C98" s="8">
        <f>SUMIF('Учёт самовыкупов'!$B$2:$B$401,A98,'Учёт самовыкупов'!$E$2:$E$401)</f>
        <v/>
      </c>
      <c r="D98" s="8">
        <f>SUMIF('Учёт самовыкупов'!$B$2:$B$401,A98,'Учёт самовыкупов'!$F$2:$F$401)</f>
        <v/>
      </c>
      <c r="E98" s="8">
        <f>C98-D98</f>
        <v/>
      </c>
      <c r="F98" s="8">
        <f>IFERROR(SUMIF('Учёт самовыкупов'!$B$2:$B$401,A98,'Учёт самовыкупов'!$I$2:$I$401)/C98,"")</f>
        <v/>
      </c>
      <c r="G98" s="8">
        <f>SUMIF('Учёт самовыкупов'!$B$2:$B$401,A98,'Учёт самовыкупов'!$I$2:$I$401)</f>
        <v/>
      </c>
    </row>
    <row r="99">
      <c r="A99" s="8" t="n">
        <v>238415286</v>
      </c>
      <c r="B99" s="8" t="inlineStr">
        <is>
          <t>Увлажняющий крем для лица Корея Collagen</t>
        </is>
      </c>
      <c r="C99" s="8">
        <f>SUMIF('Учёт самовыкупов'!$B$2:$B$401,A99,'Учёт самовыкупов'!$E$2:$E$401)</f>
        <v/>
      </c>
      <c r="D99" s="8">
        <f>SUMIF('Учёт самовыкупов'!$B$2:$B$401,A99,'Учёт самовыкупов'!$F$2:$F$401)</f>
        <v/>
      </c>
      <c r="E99" s="8">
        <f>C99-D99</f>
        <v/>
      </c>
      <c r="F99" s="8">
        <f>IFERROR(SUMIF('Учёт самовыкупов'!$B$2:$B$401,A99,'Учёт самовыкупов'!$I$2:$I$401)/C99,"")</f>
        <v/>
      </c>
      <c r="G99" s="8">
        <f>SUMIF('Учёт самовыкупов'!$B$2:$B$401,A99,'Учёт самовыкупов'!$I$2:$I$401)</f>
        <v/>
      </c>
    </row>
    <row r="100">
      <c r="A100" s="8" t="n">
        <v>238416010</v>
      </c>
      <c r="B100" s="8" t="inlineStr">
        <is>
          <t>Корейский крем для лица отбеливающий 3в1 коллаген</t>
        </is>
      </c>
      <c r="C100" s="8">
        <f>SUMIF('Учёт самовыкупов'!$B$2:$B$401,A100,'Учёт самовыкупов'!$E$2:$E$401)</f>
        <v/>
      </c>
      <c r="D100" s="8">
        <f>SUMIF('Учёт самовыкупов'!$B$2:$B$401,A100,'Учёт самовыкупов'!$F$2:$F$401)</f>
        <v/>
      </c>
      <c r="E100" s="8">
        <f>C100-D100</f>
        <v/>
      </c>
      <c r="F100" s="8">
        <f>IFERROR(SUMIF('Учёт самовыкупов'!$B$2:$B$401,A100,'Учёт самовыкупов'!$I$2:$I$401)/C100,"")</f>
        <v/>
      </c>
      <c r="G100" s="8">
        <f>SUMIF('Учёт самовыкупов'!$B$2:$B$401,A100,'Учёт самовыкупов'!$I$2:$I$401)</f>
        <v/>
      </c>
    </row>
    <row r="101">
      <c r="A101" s="8" t="n">
        <v>247275092</v>
      </c>
      <c r="B101" s="8" t="inlineStr">
        <is>
          <t>Кислотный тоник для лица от прыщей Glycolic Acid 7%</t>
        </is>
      </c>
      <c r="C101" s="8">
        <f>SUMIF('Учёт самовыкупов'!$B$2:$B$401,A101,'Учёт самовыкупов'!$E$2:$E$401)</f>
        <v/>
      </c>
      <c r="D101" s="8">
        <f>SUMIF('Учёт самовыкупов'!$B$2:$B$401,A101,'Учёт самовыкупов'!$F$2:$F$401)</f>
        <v/>
      </c>
      <c r="E101" s="8">
        <f>C101-D101</f>
        <v/>
      </c>
      <c r="F101" s="8">
        <f>IFERROR(SUMIF('Учёт самовыкупов'!$B$2:$B$401,A101,'Учёт самовыкупов'!$I$2:$I$401)/C101,"")</f>
        <v/>
      </c>
      <c r="G101" s="8">
        <f>SUMIF('Учёт самовыкупов'!$B$2:$B$401,A101,'Учёт самовыкупов'!$I$2:$I$401)</f>
        <v/>
      </c>
    </row>
    <row r="102">
      <c r="A102" s="8" t="n">
        <v>248928046</v>
      </c>
      <c r="B102" s="8" t="inlineStr">
        <is>
          <t>Корейское мыло для лица от прыщей</t>
        </is>
      </c>
      <c r="C102" s="8">
        <f>SUMIF('Учёт самовыкупов'!$B$2:$B$401,A102,'Учёт самовыкупов'!$E$2:$E$401)</f>
        <v/>
      </c>
      <c r="D102" s="8">
        <f>SUMIF('Учёт самовыкупов'!$B$2:$B$401,A102,'Учёт самовыкупов'!$F$2:$F$401)</f>
        <v/>
      </c>
      <c r="E102" s="8">
        <f>C102-D102</f>
        <v/>
      </c>
      <c r="F102" s="8">
        <f>IFERROR(SUMIF('Учёт самовыкупов'!$B$2:$B$401,A102,'Учёт самовыкупов'!$I$2:$I$401)/C102,"")</f>
        <v/>
      </c>
      <c r="G102" s="8">
        <f>SUMIF('Учёт самовыкупов'!$B$2:$B$401,A102,'Учёт самовыкупов'!$I$2:$I$401)</f>
        <v/>
      </c>
    </row>
    <row r="103">
      <c r="A103" s="8" t="n">
        <v>248929125</v>
      </c>
      <c r="B103" s="8" t="inlineStr">
        <is>
          <t>Крем для лица от прыщей для проблемной кожи</t>
        </is>
      </c>
      <c r="C103" s="8">
        <f>SUMIF('Учёт самовыкупов'!$B$2:$B$401,A103,'Учёт самовыкупов'!$E$2:$E$401)</f>
        <v/>
      </c>
      <c r="D103" s="8">
        <f>SUMIF('Учёт самовыкупов'!$B$2:$B$401,A103,'Учёт самовыкупов'!$F$2:$F$401)</f>
        <v/>
      </c>
      <c r="E103" s="8">
        <f>C103-D103</f>
        <v/>
      </c>
      <c r="F103" s="8">
        <f>IFERROR(SUMIF('Учёт самовыкупов'!$B$2:$B$401,A103,'Учёт самовыкупов'!$I$2:$I$401)/C103,"")</f>
        <v/>
      </c>
      <c r="G103" s="8">
        <f>SUMIF('Учёт самовыкупов'!$B$2:$B$401,A103,'Учёт самовыкупов'!$I$2:$I$401)</f>
        <v/>
      </c>
    </row>
    <row r="104">
      <c r="A104" s="8" t="n">
        <v>255574453</v>
      </c>
      <c r="B104" s="8" t="inlineStr">
        <is>
          <t>Увлажняющие тканевые маски для лица Корея 15 штук</t>
        </is>
      </c>
      <c r="C104" s="8">
        <f>SUMIF('Учёт самовыкупов'!$B$2:$B$401,A104,'Учёт самовыкупов'!$E$2:$E$401)</f>
        <v/>
      </c>
      <c r="D104" s="8">
        <f>SUMIF('Учёт самовыкупов'!$B$2:$B$401,A104,'Учёт самовыкупов'!$F$2:$F$401)</f>
        <v/>
      </c>
      <c r="E104" s="8">
        <f>C104-D104</f>
        <v/>
      </c>
      <c r="F104" s="8">
        <f>IFERROR(SUMIF('Учёт самовыкупов'!$B$2:$B$401,A104,'Учёт самовыкупов'!$I$2:$I$401)/C104,"")</f>
        <v/>
      </c>
      <c r="G104" s="8">
        <f>SUMIF('Учёт самовыкупов'!$B$2:$B$401,A104,'Учёт самовыкупов'!$I$2:$I$401)</f>
        <v/>
      </c>
    </row>
    <row r="105">
      <c r="A105" s="8" t="n">
        <v>307073881</v>
      </c>
      <c r="B105" s="8" t="inlineStr">
        <is>
          <t>Очищающая пенка для снятия макияжа Baking Powder 160ml</t>
        </is>
      </c>
      <c r="C105" s="8">
        <f>SUMIF('Учёт самовыкупов'!$B$2:$B$401,A105,'Учёт самовыкупов'!$E$2:$E$401)</f>
        <v/>
      </c>
      <c r="D105" s="8">
        <f>SUMIF('Учёт самовыкупов'!$B$2:$B$401,A105,'Учёт самовыкупов'!$F$2:$F$401)</f>
        <v/>
      </c>
      <c r="E105" s="8">
        <f>C105-D105</f>
        <v/>
      </c>
      <c r="F105" s="8">
        <f>IFERROR(SUMIF('Учёт самовыкупов'!$B$2:$B$401,A105,'Учёт самовыкупов'!$I$2:$I$401)/C105,"")</f>
        <v/>
      </c>
      <c r="G105" s="8">
        <f>SUMIF('Учёт самовыкупов'!$B$2:$B$401,A105,'Учёт самовыкупов'!$I$2:$I$401)</f>
        <v/>
      </c>
    </row>
    <row r="106">
      <c r="A106" s="8" t="n">
        <v>315688951</v>
      </c>
      <c r="B106" s="8" t="inlineStr">
        <is>
          <t>Триммер для бритья бороды мужской</t>
        </is>
      </c>
      <c r="C106" s="8">
        <f>SUMIF('Учёт самовыкупов'!$B$2:$B$401,A106,'Учёт самовыкупов'!$E$2:$E$401)</f>
        <v/>
      </c>
      <c r="D106" s="8">
        <f>SUMIF('Учёт самовыкупов'!$B$2:$B$401,A106,'Учёт самовыкупов'!$F$2:$F$401)</f>
        <v/>
      </c>
      <c r="E106" s="8">
        <f>C106-D106</f>
        <v/>
      </c>
      <c r="F106" s="8">
        <f>IFERROR(SUMIF('Учёт самовыкупов'!$B$2:$B$401,A106,'Учёт самовыкупов'!$I$2:$I$401)/C106,"")</f>
        <v/>
      </c>
      <c r="G106" s="8">
        <f>SUMIF('Учёт самовыкупов'!$B$2:$B$401,A106,'Учёт самовыкупов'!$I$2:$I$401)</f>
        <v/>
      </c>
    </row>
    <row r="107">
      <c r="A107" s="8" t="n">
        <v>340752919</v>
      </c>
      <c r="B107" s="8" t="inlineStr">
        <is>
          <t>Патчи для глаз Корея комплект</t>
        </is>
      </c>
      <c r="C107" s="8">
        <f>SUMIF('Учёт самовыкупов'!$B$2:$B$401,A107,'Учёт самовыкупов'!$E$2:$E$401)</f>
        <v/>
      </c>
      <c r="D107" s="8">
        <f>SUMIF('Учёт самовыкупов'!$B$2:$B$401,A107,'Учёт самовыкупов'!$F$2:$F$401)</f>
        <v/>
      </c>
      <c r="E107" s="8">
        <f>C107-D107</f>
        <v/>
      </c>
      <c r="F107" s="8">
        <f>IFERROR(SUMIF('Учёт самовыкупов'!$B$2:$B$401,A107,'Учёт самовыкупов'!$I$2:$I$401)/C107,"")</f>
        <v/>
      </c>
      <c r="G107" s="8">
        <f>SUMIF('Учёт самовыкупов'!$B$2:$B$401,A107,'Учёт самовыкупов'!$I$2:$I$401)</f>
        <v/>
      </c>
    </row>
    <row r="108">
      <c r="A108" s="8" t="n">
        <v>419630142</v>
      </c>
      <c r="B108" s="8" t="inlineStr">
        <is>
          <t>Сыворотка для лица увлажняющая c муцыном улитки</t>
        </is>
      </c>
      <c r="C108" s="8">
        <f>SUMIF('Учёт самовыкупов'!$B$2:$B$401,A108,'Учёт самовыкупов'!$E$2:$E$401)</f>
        <v/>
      </c>
      <c r="D108" s="8">
        <f>SUMIF('Учёт самовыкупов'!$B$2:$B$401,A108,'Учёт самовыкупов'!$F$2:$F$401)</f>
        <v/>
      </c>
      <c r="E108" s="8">
        <f>C108-D108</f>
        <v/>
      </c>
      <c r="F108" s="8">
        <f>IFERROR(SUMIF('Учёт самовыкупов'!$B$2:$B$401,A108,'Учёт самовыкупов'!$I$2:$I$401)/C108,"")</f>
        <v/>
      </c>
      <c r="G108" s="8">
        <f>SUMIF('Учёт самовыкупов'!$B$2:$B$401,A108,'Учёт самовыкупов'!$I$2:$I$401)</f>
        <v/>
      </c>
    </row>
    <row r="109">
      <c r="A109" s="8" t="n">
        <v>437154709</v>
      </c>
      <c r="B109" s="8" t="inlineStr">
        <is>
          <t>Увлажняющая пенка для умывания лица Корея</t>
        </is>
      </c>
      <c r="C109" s="8">
        <f>SUMIF('Учёт самовыкупов'!$B$2:$B$401,A109,'Учёт самовыкупов'!$E$2:$E$401)</f>
        <v/>
      </c>
      <c r="D109" s="8">
        <f>SUMIF('Учёт самовыкупов'!$B$2:$B$401,A109,'Учёт самовыкупов'!$F$2:$F$401)</f>
        <v/>
      </c>
      <c r="E109" s="8">
        <f>C109-D109</f>
        <v/>
      </c>
      <c r="F109" s="8">
        <f>IFERROR(SUMIF('Учёт самовыкупов'!$B$2:$B$401,A109,'Учёт самовыкупов'!$I$2:$I$401)/C109,"")</f>
        <v/>
      </c>
      <c r="G109" s="8">
        <f>SUMIF('Учёт самовыкупов'!$B$2:$B$401,A109,'Учёт самовыкупов'!$I$2:$I$401)</f>
        <v/>
      </c>
    </row>
    <row r="110">
      <c r="A110" s="8" t="n">
        <v>437190353</v>
      </c>
      <c r="B110" s="8" t="inlineStr">
        <is>
          <t>Увлажняющий крем для лица с берёзовым соком Корея</t>
        </is>
      </c>
      <c r="C110" s="8">
        <f>SUMIF('Учёт самовыкупов'!$B$2:$B$401,A110,'Учёт самовыкупов'!$E$2:$E$401)</f>
        <v/>
      </c>
      <c r="D110" s="8">
        <f>SUMIF('Учёт самовыкупов'!$B$2:$B$401,A110,'Учёт самовыкупов'!$F$2:$F$401)</f>
        <v/>
      </c>
      <c r="E110" s="8">
        <f>C110-D110</f>
        <v/>
      </c>
      <c r="F110" s="8">
        <f>IFERROR(SUMIF('Учёт самовыкупов'!$B$2:$B$401,A110,'Учёт самовыкупов'!$I$2:$I$401)/C110,"")</f>
        <v/>
      </c>
      <c r="G110" s="8">
        <f>SUMIF('Учёт самовыкупов'!$B$2:$B$401,A110,'Учёт самовыкупов'!$I$2:$I$401)</f>
        <v/>
      </c>
    </row>
    <row r="111">
      <c r="A111" s="8" t="n">
        <v>437242640</v>
      </c>
      <c r="B111" s="8" t="inlineStr">
        <is>
          <t>Очищающая пенка для умывания лица от прыщей и акне Корея</t>
        </is>
      </c>
      <c r="C111" s="8">
        <f>SUMIF('Учёт самовыкупов'!$B$2:$B$401,A111,'Учёт самовыкупов'!$E$2:$E$401)</f>
        <v/>
      </c>
      <c r="D111" s="8">
        <f>SUMIF('Учёт самовыкупов'!$B$2:$B$401,A111,'Учёт самовыкупов'!$F$2:$F$401)</f>
        <v/>
      </c>
      <c r="E111" s="8">
        <f>C111-D111</f>
        <v/>
      </c>
      <c r="F111" s="8">
        <f>IFERROR(SUMIF('Учёт самовыкупов'!$B$2:$B$401,A111,'Учёт самовыкупов'!$I$2:$I$401)/C111,"")</f>
        <v/>
      </c>
      <c r="G111" s="8">
        <f>SUMIF('Учёт самовыкупов'!$B$2:$B$401,A111,'Учёт самовыкупов'!$I$2:$I$401)</f>
        <v/>
      </c>
    </row>
    <row r="112">
      <c r="A112" s="8" t="n">
        <v>437254254</v>
      </c>
      <c r="B112" s="8" t="inlineStr">
        <is>
          <t>Крем для лица с чёрной соей и пантенолом успокаивающий Корея</t>
        </is>
      </c>
      <c r="C112" s="8">
        <f>SUMIF('Учёт самовыкупов'!$B$2:$B$401,A112,'Учёт самовыкупов'!$E$2:$E$401)</f>
        <v/>
      </c>
      <c r="D112" s="8">
        <f>SUMIF('Учёт самовыкупов'!$B$2:$B$401,A112,'Учёт самовыкупов'!$F$2:$F$401)</f>
        <v/>
      </c>
      <c r="E112" s="8">
        <f>C112-D112</f>
        <v/>
      </c>
      <c r="F112" s="8">
        <f>IFERROR(SUMIF('Учёт самовыкупов'!$B$2:$B$401,A112,'Учёт самовыкупов'!$I$2:$I$401)/C112,"")</f>
        <v/>
      </c>
      <c r="G112" s="8">
        <f>SUMIF('Учёт самовыкупов'!$B$2:$B$401,A112,'Учёт самовыкупов'!$I$2:$I$401)</f>
        <v/>
      </c>
    </row>
    <row r="113">
      <c r="A113" s="8" t="n">
        <v>437776835</v>
      </c>
      <c r="B113" s="8" t="inlineStr">
        <is>
          <t>Сыворотка для жирной кожи лица увлажняющая с центеллой</t>
        </is>
      </c>
      <c r="C113" s="8">
        <f>SUMIF('Учёт самовыкупов'!$B$2:$B$401,A113,'Учёт самовыкупов'!$E$2:$E$401)</f>
        <v/>
      </c>
      <c r="D113" s="8">
        <f>SUMIF('Учёт самовыкупов'!$B$2:$B$401,A113,'Учёт самовыкупов'!$F$2:$F$401)</f>
        <v/>
      </c>
      <c r="E113" s="8">
        <f>C113-D113</f>
        <v/>
      </c>
      <c r="F113" s="8">
        <f>IFERROR(SUMIF('Учёт самовыкупов'!$B$2:$B$401,A113,'Учёт самовыкупов'!$I$2:$I$401)/C113,"")</f>
        <v/>
      </c>
      <c r="G113" s="8">
        <f>SUMIF('Учёт самовыкупов'!$B$2:$B$401,A113,'Учёт самовыкупов'!$I$2:$I$401)</f>
        <v/>
      </c>
    </row>
    <row r="114">
      <c r="A114" s="8" t="n">
        <v>437850261</v>
      </c>
      <c r="B114" s="8" t="inlineStr">
        <is>
          <t>Гидрофильное масло для лица для умывания Корея</t>
        </is>
      </c>
      <c r="C114" s="8">
        <f>SUMIF('Учёт самовыкупов'!$B$2:$B$401,A114,'Учёт самовыкупов'!$E$2:$E$401)</f>
        <v/>
      </c>
      <c r="D114" s="8">
        <f>SUMIF('Учёт самовыкупов'!$B$2:$B$401,A114,'Учёт самовыкупов'!$F$2:$F$401)</f>
        <v/>
      </c>
      <c r="E114" s="8">
        <f>C114-D114</f>
        <v/>
      </c>
      <c r="F114" s="8">
        <f>IFERROR(SUMIF('Учёт самовыкупов'!$B$2:$B$401,A114,'Учёт самовыкупов'!$I$2:$I$401)/C114,"")</f>
        <v/>
      </c>
      <c r="G114" s="8">
        <f>SUMIF('Учёт самовыкупов'!$B$2:$B$401,A114,'Учёт самовыкупов'!$I$2:$I$401)</f>
        <v/>
      </c>
    </row>
    <row r="115">
      <c r="A115" s="8" t="n">
        <v>48905926</v>
      </c>
      <c r="B115" s="8" t="inlineStr">
        <is>
          <t>Дед Мороз под елку 35 см</t>
        </is>
      </c>
      <c r="C115" s="8">
        <f>SUMIF('Учёт самовыкупов'!$B$2:$B$401,A115,'Учёт самовыкупов'!$E$2:$E$401)</f>
        <v/>
      </c>
      <c r="D115" s="8">
        <f>SUMIF('Учёт самовыкупов'!$B$2:$B$401,A115,'Учёт самовыкупов'!$F$2:$F$401)</f>
        <v/>
      </c>
      <c r="E115" s="8">
        <f>C115-D115</f>
        <v/>
      </c>
      <c r="F115" s="8">
        <f>IFERROR(SUMIF('Учёт самовыкупов'!$B$2:$B$401,A115,'Учёт самовыкупов'!$I$2:$I$401)/C115,"")</f>
        <v/>
      </c>
      <c r="G115" s="8">
        <f>SUMIF('Учёт самовыкупов'!$B$2:$B$401,A115,'Учёт самовыкупов'!$I$2:$I$401)</f>
        <v/>
      </c>
    </row>
    <row r="116">
      <c r="A116" s="8" t="n">
        <v>551387355</v>
      </c>
      <c r="B116" s="8" t="inlineStr">
        <is>
          <t>Крем-Бустер для лица с микроиглами и ретинолом</t>
        </is>
      </c>
      <c r="C116" s="8">
        <f>SUMIF('Учёт самовыкупов'!$B$2:$B$401,A116,'Учёт самовыкупов'!$E$2:$E$401)</f>
        <v/>
      </c>
      <c r="D116" s="8">
        <f>SUMIF('Учёт самовыкупов'!$B$2:$B$401,A116,'Учёт самовыкупов'!$F$2:$F$401)</f>
        <v/>
      </c>
      <c r="E116" s="8">
        <f>C116-D116</f>
        <v/>
      </c>
      <c r="F116" s="8">
        <f>IFERROR(SUMIF('Учёт самовыкупов'!$B$2:$B$401,A116,'Учёт самовыкупов'!$I$2:$I$401)/C116,"")</f>
        <v/>
      </c>
      <c r="G116" s="8">
        <f>SUMIF('Учёт самовыкупов'!$B$2:$B$401,A116,'Учёт самовыкупов'!$I$2:$I$401)</f>
        <v/>
      </c>
    </row>
    <row r="117">
      <c r="A117" s="8" t="n">
        <v>551392965</v>
      </c>
      <c r="B117" s="8" t="inlineStr">
        <is>
          <t>Крем для восстановления барьера лица</t>
        </is>
      </c>
      <c r="C117" s="8">
        <f>SUMIF('Учёт самовыкупов'!$B$2:$B$401,A117,'Учёт самовыкупов'!$E$2:$E$401)</f>
        <v/>
      </c>
      <c r="D117" s="8">
        <f>SUMIF('Учёт самовыкупов'!$B$2:$B$401,A117,'Учёт самовыкупов'!$F$2:$F$401)</f>
        <v/>
      </c>
      <c r="E117" s="8">
        <f>C117-D117</f>
        <v/>
      </c>
      <c r="F117" s="8">
        <f>IFERROR(SUMIF('Учёт самовыкупов'!$B$2:$B$401,A117,'Учёт самовыкупов'!$I$2:$I$401)/C117,"")</f>
        <v/>
      </c>
      <c r="G117" s="8">
        <f>SUMIF('Учёт самовыкупов'!$B$2:$B$401,A117,'Учёт самовыкупов'!$I$2:$I$401)</f>
        <v/>
      </c>
    </row>
    <row r="118">
      <c r="A118" s="8" t="n">
        <v>551447345</v>
      </c>
      <c r="B118" s="8" t="inlineStr">
        <is>
          <t>Отбеливающий крем для выравнивания тона и микрорельефа</t>
        </is>
      </c>
      <c r="C118" s="8">
        <f>SUMIF('Учёт самовыкупов'!$B$2:$B$401,A118,'Учёт самовыкупов'!$E$2:$E$401)</f>
        <v/>
      </c>
      <c r="D118" s="8">
        <f>SUMIF('Учёт самовыкупов'!$B$2:$B$401,A118,'Учёт самовыкупов'!$F$2:$F$401)</f>
        <v/>
      </c>
      <c r="E118" s="8">
        <f>C118-D118</f>
        <v/>
      </c>
      <c r="F118" s="8">
        <f>IFERROR(SUMIF('Учёт самовыкупов'!$B$2:$B$401,A118,'Учёт самовыкупов'!$I$2:$I$401)/C118,"")</f>
        <v/>
      </c>
      <c r="G118" s="8">
        <f>SUMIF('Учёт самовыкупов'!$B$2:$B$401,A118,'Учёт самовыкупов'!$I$2:$I$401)</f>
        <v/>
      </c>
    </row>
    <row r="119">
      <c r="A119" s="8" t="n">
        <v>551465879</v>
      </c>
      <c r="B119" s="8" t="inlineStr">
        <is>
          <t>Лифтинг-сыворотка для лица с микроиглами и ретинолом</t>
        </is>
      </c>
      <c r="C119" s="8">
        <f>SUMIF('Учёт самовыкупов'!$B$2:$B$401,A119,'Учёт самовыкупов'!$E$2:$E$401)</f>
        <v/>
      </c>
      <c r="D119" s="8">
        <f>SUMIF('Учёт самовыкупов'!$B$2:$B$401,A119,'Учёт самовыкупов'!$F$2:$F$401)</f>
        <v/>
      </c>
      <c r="E119" s="8">
        <f>C119-D119</f>
        <v/>
      </c>
      <c r="F119" s="8">
        <f>IFERROR(SUMIF('Учёт самовыкупов'!$B$2:$B$401,A119,'Учёт самовыкупов'!$I$2:$I$401)/C119,"")</f>
        <v/>
      </c>
      <c r="G119" s="8">
        <f>SUMIF('Учёт самовыкупов'!$B$2:$B$401,A119,'Учёт самовыкупов'!$I$2:$I$401)</f>
        <v/>
      </c>
    </row>
    <row r="120">
      <c r="A120" s="8" t="n">
        <v>551472457</v>
      </c>
      <c r="B120" s="8" t="inlineStr">
        <is>
          <t>Сыворотка для лица с экстрактом нони</t>
        </is>
      </c>
      <c r="C120" s="8">
        <f>SUMIF('Учёт самовыкупов'!$B$2:$B$401,A120,'Учёт самовыкупов'!$E$2:$E$401)</f>
        <v/>
      </c>
      <c r="D120" s="8">
        <f>SUMIF('Учёт самовыкупов'!$B$2:$B$401,A120,'Учёт самовыкупов'!$F$2:$F$401)</f>
        <v/>
      </c>
      <c r="E120" s="8">
        <f>C120-D120</f>
        <v/>
      </c>
      <c r="F120" s="8">
        <f>IFERROR(SUMIF('Учёт самовыкупов'!$B$2:$B$401,A120,'Учёт самовыкупов'!$I$2:$I$401)/C120,"")</f>
        <v/>
      </c>
      <c r="G120" s="8">
        <f>SUMIF('Учёт самовыкупов'!$B$2:$B$401,A120,'Учёт самовыкупов'!$I$2:$I$401)</f>
        <v/>
      </c>
    </row>
    <row r="121">
      <c r="A121" s="8" t="n">
        <v>551482493</v>
      </c>
      <c r="B121" s="8" t="inlineStr">
        <is>
          <t>Сыворотка для лица отбеливающая</t>
        </is>
      </c>
      <c r="C121" s="8">
        <f>SUMIF('Учёт самовыкупов'!$B$2:$B$401,A121,'Учёт самовыкупов'!$E$2:$E$401)</f>
        <v/>
      </c>
      <c r="D121" s="8">
        <f>SUMIF('Учёт самовыкупов'!$B$2:$B$401,A121,'Учёт самовыкупов'!$F$2:$F$401)</f>
        <v/>
      </c>
      <c r="E121" s="8">
        <f>C121-D121</f>
        <v/>
      </c>
      <c r="F121" s="8">
        <f>IFERROR(SUMIF('Учёт самовыкупов'!$B$2:$B$401,A121,'Учёт самовыкупов'!$I$2:$I$401)/C121,"")</f>
        <v/>
      </c>
      <c r="G121" s="8">
        <f>SUMIF('Учёт самовыкупов'!$B$2:$B$401,A121,'Учёт самовыкупов'!$I$2:$I$401)</f>
        <v/>
      </c>
    </row>
    <row r="122">
      <c r="A122" s="8" t="n">
        <v>551490295</v>
      </c>
      <c r="B122" s="8" t="inlineStr">
        <is>
          <t>Сыворотка для лица осветляющая</t>
        </is>
      </c>
      <c r="C122" s="8">
        <f>SUMIF('Учёт самовыкупов'!$B$2:$B$401,A122,'Учёт самовыкупов'!$E$2:$E$401)</f>
        <v/>
      </c>
      <c r="D122" s="8">
        <f>SUMIF('Учёт самовыкупов'!$B$2:$B$401,A122,'Учёт самовыкупов'!$F$2:$F$401)</f>
        <v/>
      </c>
      <c r="E122" s="8">
        <f>C122-D122</f>
        <v/>
      </c>
      <c r="F122" s="8">
        <f>IFERROR(SUMIF('Учёт самовыкупов'!$B$2:$B$401,A122,'Учёт самовыкупов'!$I$2:$I$401)/C122,"")</f>
        <v/>
      </c>
      <c r="G122" s="8">
        <f>SUMIF('Учёт самовыкупов'!$B$2:$B$401,A122,'Учёт самовыкупов'!$I$2:$I$401)</f>
        <v/>
      </c>
    </row>
    <row r="123">
      <c r="A123" s="8" t="n">
        <v>551518955</v>
      </c>
      <c r="B123" s="8" t="inlineStr">
        <is>
          <t>Увлажняющий тонер для лица с экстрактом нони</t>
        </is>
      </c>
      <c r="C123" s="8">
        <f>SUMIF('Учёт самовыкупов'!$B$2:$B$401,A123,'Учёт самовыкупов'!$E$2:$E$401)</f>
        <v/>
      </c>
      <c r="D123" s="8">
        <f>SUMIF('Учёт самовыкупов'!$B$2:$B$401,A123,'Учёт самовыкупов'!$F$2:$F$401)</f>
        <v/>
      </c>
      <c r="E123" s="8">
        <f>C123-D123</f>
        <v/>
      </c>
      <c r="F123" s="8">
        <f>IFERROR(SUMIF('Учёт самовыкупов'!$B$2:$B$401,A123,'Учёт самовыкупов'!$I$2:$I$401)/C123,"")</f>
        <v/>
      </c>
      <c r="G123" s="8">
        <f>SUMIF('Учёт самовыкупов'!$B$2:$B$401,A123,'Учёт самовыкупов'!$I$2:$I$401)</f>
        <v/>
      </c>
    </row>
    <row r="124">
      <c r="A124" s="8" t="n">
        <v>551540924</v>
      </c>
      <c r="B124" s="8" t="inlineStr">
        <is>
          <t>Отбеливающие тонер пэды для лица</t>
        </is>
      </c>
      <c r="C124" s="8">
        <f>SUMIF('Учёт самовыкупов'!$B$2:$B$401,A124,'Учёт самовыкупов'!$E$2:$E$401)</f>
        <v/>
      </c>
      <c r="D124" s="8">
        <f>SUMIF('Учёт самовыкупов'!$B$2:$B$401,A124,'Учёт самовыкупов'!$F$2:$F$401)</f>
        <v/>
      </c>
      <c r="E124" s="8">
        <f>C124-D124</f>
        <v/>
      </c>
      <c r="F124" s="8">
        <f>IFERROR(SUMIF('Учёт самовыкупов'!$B$2:$B$401,A124,'Учёт самовыкупов'!$I$2:$I$401)/C124,"")</f>
        <v/>
      </c>
      <c r="G124" s="8">
        <f>SUMIF('Учёт самовыкупов'!$B$2:$B$401,A124,'Учёт самовыкупов'!$I$2:$I$401)</f>
        <v/>
      </c>
    </row>
    <row r="125">
      <c r="A125" s="8" t="n">
        <v>551600265</v>
      </c>
      <c r="B125" s="8" t="inlineStr">
        <is>
          <t>Успокаивающие тонер пэды для лица с кислотами</t>
        </is>
      </c>
      <c r="C125" s="8">
        <f>SUMIF('Учёт самовыкупов'!$B$2:$B$401,A125,'Учёт самовыкупов'!$E$2:$E$401)</f>
        <v/>
      </c>
      <c r="D125" s="8">
        <f>SUMIF('Учёт самовыкупов'!$B$2:$B$401,A125,'Учёт самовыкупов'!$F$2:$F$401)</f>
        <v/>
      </c>
      <c r="E125" s="8">
        <f>C125-D125</f>
        <v/>
      </c>
      <c r="F125" s="8">
        <f>IFERROR(SUMIF('Учёт самовыкупов'!$B$2:$B$401,A125,'Учёт самовыкупов'!$I$2:$I$401)/C125,"")</f>
        <v/>
      </c>
      <c r="G125" s="8">
        <f>SUMIF('Учёт самовыкупов'!$B$2:$B$401,A125,'Учёт самовыкупов'!$I$2:$I$401)</f>
        <v/>
      </c>
    </row>
    <row r="126">
      <c r="A126" s="8" t="n">
        <v>551607905</v>
      </c>
      <c r="B126" s="8" t="inlineStr">
        <is>
          <t>Успокаивающие тонер пэды для лица с кислотами</t>
        </is>
      </c>
      <c r="C126" s="8">
        <f>SUMIF('Учёт самовыкупов'!$B$2:$B$401,A126,'Учёт самовыкупов'!$E$2:$E$401)</f>
        <v/>
      </c>
      <c r="D126" s="8">
        <f>SUMIF('Учёт самовыкупов'!$B$2:$B$401,A126,'Учёт самовыкупов'!$F$2:$F$401)</f>
        <v/>
      </c>
      <c r="E126" s="8">
        <f>C126-D126</f>
        <v/>
      </c>
      <c r="F126" s="8">
        <f>IFERROR(SUMIF('Учёт самовыкупов'!$B$2:$B$401,A126,'Учёт самовыкупов'!$I$2:$I$401)/C126,"")</f>
        <v/>
      </c>
      <c r="G126" s="8">
        <f>SUMIF('Учёт самовыкупов'!$B$2:$B$401,A126,'Учёт самовыкупов'!$I$2:$I$401)</f>
        <v/>
      </c>
    </row>
    <row r="127">
      <c r="A127" s="8" t="n">
        <v>551616449</v>
      </c>
      <c r="B127" s="8" t="inlineStr">
        <is>
          <t>Увлажняющий набор уходовых средств для лица</t>
        </is>
      </c>
      <c r="C127" s="8">
        <f>SUMIF('Учёт самовыкупов'!$B$2:$B$401,A127,'Учёт самовыкупов'!$E$2:$E$401)</f>
        <v/>
      </c>
      <c r="D127" s="8">
        <f>SUMIF('Учёт самовыкупов'!$B$2:$B$401,A127,'Учёт самовыкупов'!$F$2:$F$401)</f>
        <v/>
      </c>
      <c r="E127" s="8">
        <f>C127-D127</f>
        <v/>
      </c>
      <c r="F127" s="8">
        <f>IFERROR(SUMIF('Учёт самовыкупов'!$B$2:$B$401,A127,'Учёт самовыкупов'!$I$2:$I$401)/C127,"")</f>
        <v/>
      </c>
      <c r="G127" s="8">
        <f>SUMIF('Учёт самовыкупов'!$B$2:$B$401,A127,'Учёт самовыкупов'!$I$2:$I$401)</f>
        <v/>
      </c>
    </row>
    <row r="128">
      <c r="A128" s="8" t="n">
        <v>608624295</v>
      </c>
      <c r="B128" s="8" t="inlineStr">
        <is>
          <t>Шампунь для волос женский c черным</t>
        </is>
      </c>
      <c r="C128" s="8">
        <f>SUMIF('Учёт самовыкупов'!$B$2:$B$401,A128,'Учёт самовыкупов'!$E$2:$E$401)</f>
        <v/>
      </c>
      <c r="D128" s="8">
        <f>SUMIF('Учёт самовыкупов'!$B$2:$B$401,A128,'Учёт самовыкупов'!$F$2:$F$401)</f>
        <v/>
      </c>
      <c r="E128" s="8">
        <f>C128-D128</f>
        <v/>
      </c>
      <c r="F128" s="8">
        <f>IFERROR(SUMIF('Учёт самовыкупов'!$B$2:$B$401,A128,'Учёт самовыкупов'!$I$2:$I$401)/C128,"")</f>
        <v/>
      </c>
      <c r="G128" s="8">
        <f>SUMIF('Учёт самовыкупов'!$B$2:$B$401,A128,'Учёт самовыкупов'!$I$2:$I$401)</f>
        <v/>
      </c>
    </row>
    <row r="129">
      <c r="A129" s="8" t="n">
        <v>608837066</v>
      </c>
      <c r="B129" s="8" t="inlineStr">
        <is>
          <t>Шампунь для волос женский c черным чесноком</t>
        </is>
      </c>
      <c r="C129" s="8">
        <f>SUMIF('Учёт самовыкупов'!$B$2:$B$401,A129,'Учёт самовыкупов'!$E$2:$E$401)</f>
        <v/>
      </c>
      <c r="D129" s="8">
        <f>SUMIF('Учёт самовыкупов'!$B$2:$B$401,A129,'Учёт самовыкупов'!$F$2:$F$401)</f>
        <v/>
      </c>
      <c r="E129" s="8">
        <f>C129-D129</f>
        <v/>
      </c>
      <c r="F129" s="8">
        <f>IFERROR(SUMIF('Учёт самовыкупов'!$B$2:$B$401,A129,'Учёт самовыкупов'!$I$2:$I$401)/C129,"")</f>
        <v/>
      </c>
      <c r="G129" s="8">
        <f>SUMIF('Учёт самовыкупов'!$B$2:$B$401,A129,'Учёт самовыкупов'!$I$2:$I$401)</f>
        <v/>
      </c>
    </row>
    <row r="130">
      <c r="A130" s="8" t="n">
        <v>608841921</v>
      </c>
      <c r="B130" s="8" t="inlineStr">
        <is>
          <t>Шампунь для волос женский c черным чесноком</t>
        </is>
      </c>
      <c r="C130" s="8">
        <f>SUMIF('Учёт самовыкупов'!$B$2:$B$401,A130,'Учёт самовыкупов'!$E$2:$E$401)</f>
        <v/>
      </c>
      <c r="D130" s="8">
        <f>SUMIF('Учёт самовыкупов'!$B$2:$B$401,A130,'Учёт самовыкупов'!$F$2:$F$401)</f>
        <v/>
      </c>
      <c r="E130" s="8">
        <f>C130-D130</f>
        <v/>
      </c>
      <c r="F130" s="8">
        <f>IFERROR(SUMIF('Учёт самовыкупов'!$B$2:$B$401,A130,'Учёт самовыкупов'!$I$2:$I$401)/C130,"")</f>
        <v/>
      </c>
      <c r="G130" s="8">
        <f>SUMIF('Учёт самовыкупов'!$B$2:$B$401,A130,'Учёт самовыкупов'!$I$2:$I$401)</f>
        <v/>
      </c>
    </row>
    <row r="131">
      <c r="A131" s="8" t="n">
        <v>663654300</v>
      </c>
      <c r="B131" s="8" t="inlineStr">
        <is>
          <t>Камера видеонаблюдения уличная от сим карты 4G</t>
        </is>
      </c>
      <c r="C131" s="8">
        <f>SUMIF('Учёт самовыкупов'!$B$2:$B$401,A131,'Учёт самовыкупов'!$E$2:$E$401)</f>
        <v/>
      </c>
      <c r="D131" s="8">
        <f>SUMIF('Учёт самовыкупов'!$B$2:$B$401,A131,'Учёт самовыкупов'!$F$2:$F$401)</f>
        <v/>
      </c>
      <c r="E131" s="8">
        <f>C131-D131</f>
        <v/>
      </c>
      <c r="F131" s="8">
        <f>IFERROR(SUMIF('Учёт самовыкупов'!$B$2:$B$401,A131,'Учёт самовыкупов'!$I$2:$I$401)/C131,"")</f>
        <v/>
      </c>
      <c r="G131" s="8">
        <f>SUMIF('Учёт самовыкупов'!$B$2:$B$401,A131,'Учёт самовыкупов'!$I$2:$I$401)</f>
        <v/>
      </c>
    </row>
    <row r="132">
      <c r="A132" s="8" t="n">
        <v>868516027</v>
      </c>
      <c r="B132" s="8" t="inlineStr">
        <is>
          <t>Кремовый тонер с молочной текстурой Dual Barrier</t>
        </is>
      </c>
      <c r="C132" s="8">
        <f>SUMIF('Учёт самовыкупов'!$B$2:$B$401,A132,'Учёт самовыкупов'!$E$2:$E$401)</f>
        <v/>
      </c>
      <c r="D132" s="8">
        <f>SUMIF('Учёт самовыкупов'!$B$2:$B$401,A132,'Учёт самовыкупов'!$F$2:$F$401)</f>
        <v/>
      </c>
      <c r="E132" s="8">
        <f>C132-D132</f>
        <v/>
      </c>
      <c r="F132" s="8">
        <f>IFERROR(SUMIF('Учёт самовыкупов'!$B$2:$B$401,A132,'Учёт самовыкупов'!$I$2:$I$401)/C132,"")</f>
        <v/>
      </c>
      <c r="G132" s="8">
        <f>SUMIF('Учёт самовыкупов'!$B$2:$B$401,A132,'Учёт самовыкупов'!$I$2:$I$401)</f>
        <v/>
      </c>
    </row>
    <row r="133">
      <c r="A133" s="8" t="n">
        <v>868575374</v>
      </c>
      <c r="B133" s="8" t="inlineStr">
        <is>
          <t>Гель пенка для умывания Bifida Complex Ampoule Gel Cleanser</t>
        </is>
      </c>
      <c r="C133" s="8">
        <f>SUMIF('Учёт самовыкупов'!$B$2:$B$401,A133,'Учёт самовыкупов'!$E$2:$E$401)</f>
        <v/>
      </c>
      <c r="D133" s="8">
        <f>SUMIF('Учёт самовыкупов'!$B$2:$B$401,A133,'Учёт самовыкупов'!$F$2:$F$401)</f>
        <v/>
      </c>
      <c r="E133" s="8">
        <f>C133-D133</f>
        <v/>
      </c>
      <c r="F133" s="8">
        <f>IFERROR(SUMIF('Учёт самовыкупов'!$B$2:$B$401,A133,'Учёт самовыкупов'!$I$2:$I$401)/C133,"")</f>
        <v/>
      </c>
      <c r="G133" s="8">
        <f>SUMIF('Учёт самовыкупов'!$B$2:$B$401,A133,'Учёт самовыкупов'!$I$2:$I$401)</f>
        <v/>
      </c>
    </row>
    <row r="134">
      <c r="A134" s="8" t="n">
        <v>868700077</v>
      </c>
      <c r="B134" s="8" t="inlineStr">
        <is>
          <t>Сыворотка с микроиглами 1Dx для интенсивного ухода</t>
        </is>
      </c>
      <c r="C134" s="8">
        <f>SUMIF('Учёт самовыкупов'!$B$2:$B$401,A134,'Учёт самовыкупов'!$E$2:$E$401)</f>
        <v/>
      </c>
      <c r="D134" s="8">
        <f>SUMIF('Учёт самовыкупов'!$B$2:$B$401,A134,'Учёт самовыкупов'!$F$2:$F$401)</f>
        <v/>
      </c>
      <c r="E134" s="8">
        <f>C134-D134</f>
        <v/>
      </c>
      <c r="F134" s="8">
        <f>IFERROR(SUMIF('Учёт самовыкупов'!$B$2:$B$401,A134,'Учёт самовыкупов'!$I$2:$I$401)/C134,"")</f>
        <v/>
      </c>
      <c r="G134" s="8">
        <f>SUMIF('Учёт самовыкупов'!$B$2:$B$401,A134,'Учёт самовыкупов'!$I$2:$I$401)</f>
        <v/>
      </c>
    </row>
    <row r="135">
      <c r="A135" s="8" t="n">
        <v>868761530</v>
      </c>
      <c r="B135" s="8" t="inlineStr">
        <is>
          <t>Бальзам маска для губ Lip Sleeping Mask Berry</t>
        </is>
      </c>
      <c r="C135" s="8">
        <f>SUMIF('Учёт самовыкупов'!$B$2:$B$401,A135,'Учёт самовыкупов'!$E$2:$E$401)</f>
        <v/>
      </c>
      <c r="D135" s="8">
        <f>SUMIF('Учёт самовыкупов'!$B$2:$B$401,A135,'Учёт самовыкупов'!$F$2:$F$401)</f>
        <v/>
      </c>
      <c r="E135" s="8">
        <f>C135-D135</f>
        <v/>
      </c>
      <c r="F135" s="8">
        <f>IFERROR(SUMIF('Учёт самовыкупов'!$B$2:$B$401,A135,'Учёт самовыкупов'!$I$2:$I$401)/C135,"")</f>
        <v/>
      </c>
      <c r="G135" s="8">
        <f>SUMIF('Учёт самовыкупов'!$B$2:$B$401,A135,'Учёт самовыкупов'!$I$2:$I$401)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2026-09-25T16:15:59Z</dcterms:created>
  <dcterms:modified xsi:type="dcterms:W3CDTF">2026-09-25T16:15:59Z</dcterms:modified>
</cp:coreProperties>
</file>
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color rgb="00C00000"/>
      <sz val="9"/>
    </font>
    <font>
      <i val="1"/>
      <color rgb="0080808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44" customWidth="1" min="4" max="4"/>
    <col width="8" customWidth="1" min="5" max="5"/>
    <col width="9" customWidth="1" min="6" max="6"/>
    <col width="7" customWidth="1" min="7" max="7"/>
    <col width="9" customWidth="1" min="8" max="8"/>
    <col width="11" customWidth="1" min="9" max="9"/>
    <col width="8" customWidth="1" min="10" max="10"/>
    <col width="8" customWidth="1" min="11" max="11"/>
    <col width="8" customWidth="1" min="12" max="12"/>
    <col width="9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D1" s="1" t="inlineStr">
        <is>
          <t>Мес. покрытия</t>
        </is>
      </c>
      <c r="AE1" s="2" t="n">
        <v>6</v>
      </c>
    </row>
    <row r="2">
      <c r="AD2" s="1" t="inlineStr">
        <is>
          <t>Доля маг2</t>
        </is>
      </c>
      <c r="AE2" s="2" t="n">
        <v>0.5</v>
      </c>
    </row>
    <row r="3">
      <c r="AD3" s="3" t="inlineStr">
        <is>
          <t>(контейнер придёт через 3 мес; покрытие = до следующего контейнера)</t>
        </is>
      </c>
    </row>
    <row r="4">
      <c r="A4" s="4" t="inlineStr">
        <is>
          <t>Бренд</t>
        </is>
      </c>
      <c r="B4" s="4" t="inlineStr">
        <is>
          <t>Артикул</t>
        </is>
      </c>
      <c r="C4" s="4" t="inlineStr">
        <is>
          <t>Баркод</t>
        </is>
      </c>
      <c r="D4" s="4" t="inlineStr">
        <is>
          <t>Название</t>
        </is>
      </c>
      <c r="E4" s="4" t="inlineStr">
        <is>
          <t>Себес,₽</t>
        </is>
      </c>
      <c r="F4" s="4" t="inlineStr">
        <is>
          <t>Цена с СПП,₽</t>
        </is>
      </c>
      <c r="G4" s="4" t="inlineStr">
        <is>
          <t>ROI %</t>
        </is>
      </c>
      <c r="H4" s="4" t="inlineStr">
        <is>
          <t>Маржа/ед,₽</t>
        </is>
      </c>
      <c r="I4" s="4" t="inlineStr">
        <is>
          <t>Ист. юнитки</t>
        </is>
      </c>
      <c r="J4" s="4" t="inlineStr">
        <is>
          <t>Ост.склад</t>
        </is>
      </c>
      <c r="K4" s="4" t="inlineStr">
        <is>
          <t>Ост.ВБ</t>
        </is>
      </c>
      <c r="L4" s="4" t="inlineStr">
        <is>
          <t>В пути</t>
        </is>
      </c>
      <c r="M4" s="4" t="inlineStr">
        <is>
          <t>Итого дост.</t>
        </is>
      </c>
      <c r="N4" s="4" t="inlineStr">
        <is>
          <t>Авг26</t>
        </is>
      </c>
      <c r="O4" s="4" t="inlineStr">
        <is>
          <t>Сен</t>
        </is>
      </c>
      <c r="P4" s="4" t="inlineStr">
        <is>
          <t>Окт</t>
        </is>
      </c>
      <c r="Q4" s="4" t="inlineStr">
        <is>
          <t>Ноя</t>
        </is>
      </c>
      <c r="R4" s="4" t="inlineStr">
        <is>
          <t>Дек</t>
        </is>
      </c>
      <c r="S4" s="4" t="inlineStr">
        <is>
          <t>Янв27</t>
        </is>
      </c>
      <c r="T4" s="4" t="inlineStr">
        <is>
          <t>Фев</t>
        </is>
      </c>
      <c r="U4" s="4" t="inlineStr">
        <is>
          <t>Мар</t>
        </is>
      </c>
      <c r="V4" s="4" t="inlineStr">
        <is>
          <t>Спрос маг1</t>
        </is>
      </c>
      <c r="W4" s="4" t="inlineStr">
        <is>
          <t>Спрос маг2</t>
        </is>
      </c>
      <c r="X4" s="4" t="inlineStr">
        <is>
          <t>Спрос итого</t>
        </is>
      </c>
      <c r="Y4" s="4" t="inlineStr">
        <is>
          <t>Заказ маг1</t>
        </is>
      </c>
      <c r="Z4" s="4" t="inlineStr">
        <is>
          <t>Заказ маг2</t>
        </is>
      </c>
      <c r="AA4" s="4" t="inlineStr">
        <is>
          <t>Заказ итого</t>
        </is>
      </c>
    </row>
    <row r="5">
      <c r="A5" s="5" t="inlineStr">
        <is>
          <t>DEOPROCE-CREAM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7" t="inlineStr">
        <is>
          <t>DEOPROCE-CREAM</t>
        </is>
      </c>
      <c r="B6" s="7" t="n">
        <v>214304883</v>
      </c>
      <c r="C6" s="7" t="n">
        <v>8809240760659</v>
      </c>
      <c r="D6" s="7" t="inlineStr">
        <is>
          <t>DEOPROCE - SNAIL RECOVERY CREAM [100g] / Крем восстанавливающий с муцином улитки</t>
        </is>
      </c>
      <c r="E6" s="7" t="n">
        <v>594.6</v>
      </c>
      <c r="F6" s="7" t="n">
        <v>1316</v>
      </c>
      <c r="G6" s="7" t="n">
        <v>94.09999999999999</v>
      </c>
      <c r="H6" s="7" t="n">
        <v>559.7</v>
      </c>
      <c r="I6" s="7" t="inlineStr">
        <is>
          <t>Ракета факт</t>
        </is>
      </c>
      <c r="J6" s="7" t="n">
        <v>0</v>
      </c>
      <c r="K6" s="7" t="n">
        <v>116</v>
      </c>
      <c r="L6" s="7" t="n">
        <v>0</v>
      </c>
      <c r="M6" s="7">
        <f>J6+K6+L6</f>
        <v/>
      </c>
      <c r="N6" s="7" t="n">
        <v>20</v>
      </c>
      <c r="O6" s="7" t="n">
        <v>25</v>
      </c>
      <c r="P6" s="7" t="n">
        <v>35</v>
      </c>
      <c r="Q6" s="7" t="n">
        <v>50</v>
      </c>
      <c r="R6" s="7" t="n">
        <v>65</v>
      </c>
      <c r="S6" s="7" t="n">
        <v>60</v>
      </c>
      <c r="T6" s="7" t="n">
        <v>50</v>
      </c>
      <c r="U6" s="7" t="n">
        <v>50</v>
      </c>
      <c r="V6" s="7">
        <f>SUM(OFFSET(N6,0,0,1,$AE$1))</f>
        <v/>
      </c>
      <c r="W6" s="7">
        <f>V6*$AE$2</f>
        <v/>
      </c>
      <c r="X6" s="7">
        <f>V6+W6</f>
        <v/>
      </c>
      <c r="Y6" s="7">
        <f>MAX(0,ROUND(V6-M6,0))</f>
        <v/>
      </c>
      <c r="Z6" s="7">
        <f>ROUND(W6,0)</f>
        <v/>
      </c>
      <c r="AA6" s="7">
        <f>Y6+Z6</f>
        <v/>
      </c>
    </row>
    <row r="7">
      <c r="A7" s="5" t="inlineStr">
        <is>
          <t>DEOPROCE-SHAMPOO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7" t="inlineStr">
        <is>
          <t>DEOPROCE-SHAMPOO</t>
        </is>
      </c>
      <c r="B8" s="7" t="n">
        <v>214305705</v>
      </c>
      <c r="C8" s="7" t="n">
        <v>8809410031510</v>
      </c>
      <c r="D8" s="7" t="inlineStr">
        <is>
          <t>DEOPROCE SHAMPOO - ARGAN SILKY MOISTURE [1000ml] / Шампунь для волос с аргановым маслом</t>
        </is>
      </c>
      <c r="E8" s="7" t="n">
        <v>367.9</v>
      </c>
      <c r="F8" s="7" t="n">
        <v>1410</v>
      </c>
      <c r="G8" s="7" t="n">
        <v>26.8</v>
      </c>
      <c r="H8" s="7" t="n">
        <v>105.4</v>
      </c>
      <c r="I8" s="7" t="inlineStr">
        <is>
          <t>юнитка ф3</t>
        </is>
      </c>
      <c r="J8" s="7" t="n">
        <v>0</v>
      </c>
      <c r="K8" s="7" t="n">
        <v>0</v>
      </c>
      <c r="L8" s="7" t="n">
        <v>0</v>
      </c>
      <c r="M8" s="7">
        <f>J8+K8+L8</f>
        <v/>
      </c>
      <c r="N8" s="7" t="n">
        <v>0</v>
      </c>
      <c r="O8" s="7" t="n">
        <v>0</v>
      </c>
      <c r="P8" s="7" t="n">
        <v>100</v>
      </c>
      <c r="Q8" s="7" t="n">
        <v>130</v>
      </c>
      <c r="R8" s="7" t="n">
        <v>160</v>
      </c>
      <c r="S8" s="7" t="n">
        <v>150</v>
      </c>
      <c r="T8" s="7" t="n">
        <v>130</v>
      </c>
      <c r="U8" s="7" t="n">
        <v>130</v>
      </c>
      <c r="V8" s="7">
        <f>SUM(OFFSET(N8,0,0,1,$AE$1))</f>
        <v/>
      </c>
      <c r="W8" s="7">
        <f>V8*$AE$2</f>
        <v/>
      </c>
      <c r="X8" s="7">
        <f>V8+W8</f>
        <v/>
      </c>
      <c r="Y8" s="7">
        <f>MAX(0,ROUND(V8-M8,0))</f>
        <v/>
      </c>
      <c r="Z8" s="7">
        <f>ROUND(W8,0)</f>
        <v/>
      </c>
      <c r="AA8" s="7">
        <f>Y8+Z8</f>
        <v/>
      </c>
    </row>
    <row r="9">
      <c r="A9" s="7" t="inlineStr">
        <is>
          <t>DEOPROCE-SHAMPOO</t>
        </is>
      </c>
      <c r="B9" s="7" t="n">
        <v>608841921</v>
      </c>
      <c r="C9" s="7" t="n">
        <v>8809410033545</v>
      </c>
      <c r="D9" s="7" t="inlineStr">
        <is>
          <t>DEOPROCE SHAMPOO - BLACK GARLIC INTENSME ENERGY [200ml]/ Шампунь с черным чесноком против выпадения волос</t>
        </is>
      </c>
      <c r="E9" s="7" t="n">
        <v>151.1</v>
      </c>
      <c r="F9" s="7" t="n">
        <v>541</v>
      </c>
      <c r="G9" s="7" t="n">
        <v>136.8</v>
      </c>
      <c r="H9" s="7" t="n">
        <v>206.8</v>
      </c>
      <c r="I9" s="7" t="inlineStr">
        <is>
          <t>Ракета факт</t>
        </is>
      </c>
      <c r="J9" s="7" t="n">
        <v>370</v>
      </c>
      <c r="K9" s="7" t="n">
        <v>285</v>
      </c>
      <c r="L9" s="7" t="n">
        <v>0</v>
      </c>
      <c r="M9" s="7">
        <f>J9+K9+L9</f>
        <v/>
      </c>
      <c r="N9" s="7" t="n">
        <v>50</v>
      </c>
      <c r="O9" s="7" t="n">
        <v>60</v>
      </c>
      <c r="P9" s="7" t="n">
        <v>60</v>
      </c>
      <c r="Q9" s="7" t="n">
        <v>70</v>
      </c>
      <c r="R9" s="7" t="n">
        <v>80</v>
      </c>
      <c r="S9" s="7" t="n">
        <v>70</v>
      </c>
      <c r="T9" s="7" t="n">
        <v>60</v>
      </c>
      <c r="U9" s="7" t="n">
        <v>60</v>
      </c>
      <c r="V9" s="7">
        <f>SUM(OFFSET(N9,0,0,1,$AE$1))</f>
        <v/>
      </c>
      <c r="W9" s="7">
        <f>V9*$AE$2</f>
        <v/>
      </c>
      <c r="X9" s="7">
        <f>V9+W9</f>
        <v/>
      </c>
      <c r="Y9" s="7">
        <f>MAX(0,ROUND(V9-M9,0))</f>
        <v/>
      </c>
      <c r="Z9" s="7">
        <f>ROUND(W9,0)</f>
        <v/>
      </c>
      <c r="AA9" s="7">
        <f>Y9+Z9</f>
        <v/>
      </c>
    </row>
    <row r="10">
      <c r="A10" s="7" t="inlineStr">
        <is>
          <t>DEOPROCE-SHAMPOO</t>
        </is>
      </c>
      <c r="B10" s="7" t="n">
        <v>608837066</v>
      </c>
      <c r="C10" s="7" t="n">
        <v>8809975191773</v>
      </c>
      <c r="D10" s="7" t="inlineStr">
        <is>
          <t>DEOPROCE SHAMPOO - BLACK GARLIC INTENSME ENERGY [600ml] мягкая упаковка Шампунь с черным чесноком против выпадения волос</t>
        </is>
      </c>
      <c r="E10" s="7" t="n">
        <v>269.9</v>
      </c>
      <c r="F10" s="7" t="n">
        <v>794</v>
      </c>
      <c r="G10" s="7" t="n">
        <v>127.4</v>
      </c>
      <c r="H10" s="7" t="n">
        <v>343.9</v>
      </c>
      <c r="I10" s="7" t="inlineStr">
        <is>
          <t>Ракета факт</t>
        </is>
      </c>
      <c r="J10" s="7" t="n">
        <v>75</v>
      </c>
      <c r="K10" s="7" t="n">
        <v>88</v>
      </c>
      <c r="L10" s="7" t="n">
        <v>0</v>
      </c>
      <c r="M10" s="7">
        <f>J10+K10+L10</f>
        <v/>
      </c>
      <c r="N10" s="7" t="n">
        <v>50</v>
      </c>
      <c r="O10" s="7" t="n">
        <v>60</v>
      </c>
      <c r="P10" s="7" t="n">
        <v>60</v>
      </c>
      <c r="Q10" s="7" t="n">
        <v>70</v>
      </c>
      <c r="R10" s="7" t="n">
        <v>80</v>
      </c>
      <c r="S10" s="7" t="n">
        <v>70</v>
      </c>
      <c r="T10" s="7" t="n">
        <v>60</v>
      </c>
      <c r="U10" s="7" t="n">
        <v>60</v>
      </c>
      <c r="V10" s="7">
        <f>SUM(OFFSET(N10,0,0,1,$AE$1))</f>
        <v/>
      </c>
      <c r="W10" s="7">
        <f>V10*$AE$2</f>
        <v/>
      </c>
      <c r="X10" s="7">
        <f>V10+W10</f>
        <v/>
      </c>
      <c r="Y10" s="7">
        <f>MAX(0,ROUND(V10-M10,0))</f>
        <v/>
      </c>
      <c r="Z10" s="7">
        <f>ROUND(W10,0)</f>
        <v/>
      </c>
      <c r="AA10" s="7">
        <f>Y10+Z10</f>
        <v/>
      </c>
    </row>
    <row r="11">
      <c r="A11" s="7" t="inlineStr">
        <is>
          <t>DEOPROCE-SHAMPOO</t>
        </is>
      </c>
      <c r="B11" s="7" t="n">
        <v>608624295</v>
      </c>
      <c r="C11" s="7" t="n">
        <v>8809975191766</v>
      </c>
      <c r="D11" s="7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E11" s="7" t="n">
        <v>314.9</v>
      </c>
      <c r="F11" s="7" t="n">
        <v>866</v>
      </c>
      <c r="G11" s="7" t="n">
        <v>82</v>
      </c>
      <c r="H11" s="7" t="n">
        <v>258.3</v>
      </c>
      <c r="I11" s="7" t="inlineStr">
        <is>
          <t>Ракета факт</t>
        </is>
      </c>
      <c r="J11" s="7" t="n">
        <v>25</v>
      </c>
      <c r="K11" s="7" t="n">
        <v>162</v>
      </c>
      <c r="L11" s="7" t="n">
        <v>0</v>
      </c>
      <c r="M11" s="7">
        <f>J11+K11+L11</f>
        <v/>
      </c>
      <c r="N11" s="7" t="n">
        <v>50</v>
      </c>
      <c r="O11" s="7" t="n">
        <v>60</v>
      </c>
      <c r="P11" s="7" t="n">
        <v>60</v>
      </c>
      <c r="Q11" s="7" t="n">
        <v>70</v>
      </c>
      <c r="R11" s="7" t="n">
        <v>80</v>
      </c>
      <c r="S11" s="7" t="n">
        <v>70</v>
      </c>
      <c r="T11" s="7" t="n">
        <v>60</v>
      </c>
      <c r="U11" s="7" t="n">
        <v>60</v>
      </c>
      <c r="V11" s="7">
        <f>SUM(OFFSET(N11,0,0,1,$AE$1))</f>
        <v/>
      </c>
      <c r="W11" s="7">
        <f>V11*$AE$2</f>
        <v/>
      </c>
      <c r="X11" s="7">
        <f>V11+W11</f>
        <v/>
      </c>
      <c r="Y11" s="7">
        <f>MAX(0,ROUND(V11-M11,0))</f>
        <v/>
      </c>
      <c r="Z11" s="7">
        <f>ROUND(W11,0)</f>
        <v/>
      </c>
      <c r="AA11" s="7">
        <f>Y11+Z11</f>
        <v/>
      </c>
    </row>
    <row r="12">
      <c r="A12" s="5" t="inlineStr">
        <is>
          <t>НАБОР ШАМПУНЬ+БАЛЬЗАМ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7" t="inlineStr">
        <is>
          <t>НАБОР ШАМПУНЬ+БАЛЬЗАМ</t>
        </is>
      </c>
      <c r="B13" s="7" t="n">
        <v>214305722</v>
      </c>
      <c r="C13" s="7" t="n"/>
      <c r="D13" s="7" t="inlineStr">
        <is>
          <t>DEOPROCE SHAMPOO+BALSAM - BLACK GARLIC[2000ml]</t>
        </is>
      </c>
      <c r="E13" s="7" t="n">
        <v>726.9</v>
      </c>
      <c r="F13" s="7" t="n">
        <v>1400</v>
      </c>
      <c r="G13" s="7" t="n">
        <v>23</v>
      </c>
      <c r="H13" s="7" t="n">
        <v>90.40000000000001</v>
      </c>
      <c r="I13" s="7" t="inlineStr">
        <is>
          <t>юнитка ф3</t>
        </is>
      </c>
      <c r="J13" s="7" t="n">
        <v>454</v>
      </c>
      <c r="K13" s="7" t="n">
        <v>87</v>
      </c>
      <c r="L13" s="7" t="n">
        <v>0</v>
      </c>
      <c r="M13" s="7">
        <f>J13+K13+L13</f>
        <v/>
      </c>
      <c r="N13" s="7" t="n">
        <v>100</v>
      </c>
      <c r="O13" s="7" t="n">
        <v>130</v>
      </c>
      <c r="P13" s="7" t="n">
        <v>130</v>
      </c>
      <c r="Q13" s="7" t="n">
        <v>140</v>
      </c>
      <c r="R13" s="7" t="n">
        <v>160</v>
      </c>
      <c r="S13" s="7" t="n">
        <v>150</v>
      </c>
      <c r="T13" s="7" t="n">
        <v>130</v>
      </c>
      <c r="U13" s="7" t="n">
        <v>130</v>
      </c>
      <c r="V13" s="7">
        <f>SUM(OFFSET(N13,0,0,1,$AE$1))</f>
        <v/>
      </c>
      <c r="W13" s="7">
        <f>V13*$AE$2</f>
        <v/>
      </c>
      <c r="X13" s="7">
        <f>V13+W13</f>
        <v/>
      </c>
      <c r="Y13" s="7">
        <f>MAX(0,ROUND(V13-M13,0))</f>
        <v/>
      </c>
      <c r="Z13" s="7">
        <f>ROUND(W13,0)</f>
        <v/>
      </c>
      <c r="AA13" s="7">
        <f>Y13+Z13</f>
        <v/>
      </c>
    </row>
    <row r="14">
      <c r="A14" s="5" t="inlineStr">
        <is>
          <t>ENOUGH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7" t="inlineStr">
        <is>
          <t>ENOUGH</t>
        </is>
      </c>
      <c r="B15" s="7" t="n">
        <v>238415286</v>
      </c>
      <c r="C15" s="7" t="n">
        <v>8809755463335</v>
      </c>
      <c r="D15" s="7" t="inlineStr">
        <is>
          <t>ENOUGH - Collagen Moisture Essential Cream [50ml] / Увлажняющий крем для лица с коллагеном</t>
        </is>
      </c>
      <c r="E15" s="7" t="n">
        <v>161.3</v>
      </c>
      <c r="F15" s="7" t="n">
        <v>475</v>
      </c>
      <c r="G15" s="7" t="n">
        <v>34.8</v>
      </c>
      <c r="H15" s="7" t="n">
        <v>56.1</v>
      </c>
      <c r="I15" s="7" t="inlineStr">
        <is>
          <t>Ракета факт</t>
        </is>
      </c>
      <c r="J15" s="7" t="n">
        <v>8556</v>
      </c>
      <c r="K15" s="7" t="n">
        <v>1729</v>
      </c>
      <c r="L15" s="7" t="n">
        <v>0</v>
      </c>
      <c r="M15" s="7">
        <f>J15+K15+L15</f>
        <v/>
      </c>
      <c r="N15" s="7" t="n">
        <v>1100</v>
      </c>
      <c r="O15" s="7" t="n">
        <v>1600</v>
      </c>
      <c r="P15" s="7" t="n">
        <v>2000</v>
      </c>
      <c r="Q15" s="7" t="n">
        <v>2000</v>
      </c>
      <c r="R15" s="7" t="n">
        <v>2100</v>
      </c>
      <c r="S15" s="7" t="n">
        <v>2500</v>
      </c>
      <c r="T15" s="7" t="n">
        <v>2200</v>
      </c>
      <c r="U15" s="7" t="n">
        <v>2200</v>
      </c>
      <c r="V15" s="7">
        <f>SUM(OFFSET(N15,0,0,1,$AE$1))</f>
        <v/>
      </c>
      <c r="W15" s="7">
        <f>V15*$AE$2</f>
        <v/>
      </c>
      <c r="X15" s="7">
        <f>V15+W15</f>
        <v/>
      </c>
      <c r="Y15" s="7">
        <f>MAX(0,ROUND(V15-M15,0))</f>
        <v/>
      </c>
      <c r="Z15" s="7">
        <f>ROUND(W15,0)</f>
        <v/>
      </c>
      <c r="AA15" s="7">
        <f>Y15+Z15</f>
        <v/>
      </c>
    </row>
    <row r="16">
      <c r="A16" s="7" t="inlineStr">
        <is>
          <t>ENOUGH</t>
        </is>
      </c>
      <c r="B16" s="7" t="n">
        <v>150925321</v>
      </c>
      <c r="C16" s="7" t="n">
        <v>8809280062362</v>
      </c>
      <c r="D16" s="7" t="inlineStr">
        <is>
          <t>ENOUGH - Collagen Moisture Foundation [Tone 13] / Тональный крем для лица с коллагеном 13 тон</t>
        </is>
      </c>
      <c r="E16" s="7" t="n">
        <v>216.4</v>
      </c>
      <c r="F16" s="7" t="n">
        <v>634</v>
      </c>
      <c r="G16" s="7" t="n">
        <v>53.9</v>
      </c>
      <c r="H16" s="7" t="n">
        <v>116.7</v>
      </c>
      <c r="I16" s="7" t="inlineStr">
        <is>
          <t>Ракета факт</t>
        </is>
      </c>
      <c r="J16" s="7" t="n">
        <v>1193</v>
      </c>
      <c r="K16" s="7" t="n">
        <v>941</v>
      </c>
      <c r="L16" s="7" t="n">
        <v>0</v>
      </c>
      <c r="M16" s="7">
        <f>J16+K16+L16</f>
        <v/>
      </c>
      <c r="N16" s="7" t="n">
        <v>1000</v>
      </c>
      <c r="O16" s="7" t="n">
        <v>1100</v>
      </c>
      <c r="P16" s="7" t="n">
        <v>1200</v>
      </c>
      <c r="Q16" s="7" t="n">
        <v>1300</v>
      </c>
      <c r="R16" s="7" t="n">
        <v>1500</v>
      </c>
      <c r="S16" s="7" t="n">
        <v>1400</v>
      </c>
      <c r="T16" s="7" t="n">
        <v>1300</v>
      </c>
      <c r="U16" s="7" t="n">
        <v>1300</v>
      </c>
      <c r="V16" s="7">
        <f>SUM(OFFSET(N16,0,0,1,$AE$1))</f>
        <v/>
      </c>
      <c r="W16" s="7">
        <f>V16*$AE$2</f>
        <v/>
      </c>
      <c r="X16" s="7">
        <f>V16+W16</f>
        <v/>
      </c>
      <c r="Y16" s="7">
        <f>MAX(0,ROUND(V16-M16,0))</f>
        <v/>
      </c>
      <c r="Z16" s="7">
        <f>ROUND(W16,0)</f>
        <v/>
      </c>
      <c r="AA16" s="7">
        <f>Y16+Z16</f>
        <v/>
      </c>
    </row>
    <row r="17">
      <c r="A17" s="7" t="inlineStr">
        <is>
          <t>ENOUGH</t>
        </is>
      </c>
      <c r="B17" s="7" t="n">
        <v>150925322</v>
      </c>
      <c r="C17" s="7" t="n">
        <v>8809280062379</v>
      </c>
      <c r="D17" s="7" t="inlineStr">
        <is>
          <t>ENOUGH - Collagen Moisture Foundation [Tone 21] / Тональный крем для лица с коллагеном 21 тон</t>
        </is>
      </c>
      <c r="E17" s="7" t="n">
        <v>242.9</v>
      </c>
      <c r="F17" s="7" t="n">
        <v>634</v>
      </c>
      <c r="G17" s="7" t="n">
        <v>-69.7</v>
      </c>
      <c r="H17" s="7" t="n">
        <v>-169.3</v>
      </c>
      <c r="I17" s="7" t="inlineStr">
        <is>
          <t>Ракета факт</t>
        </is>
      </c>
      <c r="J17" s="7" t="n">
        <v>2315</v>
      </c>
      <c r="K17" s="7" t="n">
        <v>382</v>
      </c>
      <c r="L17" s="7" t="n">
        <v>0</v>
      </c>
      <c r="M17" s="7">
        <f>J17+K17+L17</f>
        <v/>
      </c>
      <c r="N17" s="7" t="n">
        <v>750</v>
      </c>
      <c r="O17" s="7" t="n">
        <v>800</v>
      </c>
      <c r="P17" s="7" t="n">
        <v>850</v>
      </c>
      <c r="Q17" s="7" t="n">
        <v>900</v>
      </c>
      <c r="R17" s="7" t="n">
        <v>1100</v>
      </c>
      <c r="S17" s="7" t="n">
        <v>1000</v>
      </c>
      <c r="T17" s="7" t="n">
        <v>900</v>
      </c>
      <c r="U17" s="7" t="n">
        <v>900</v>
      </c>
      <c r="V17" s="7">
        <f>SUM(OFFSET(N17,0,0,1,$AE$1))</f>
        <v/>
      </c>
      <c r="W17" s="7">
        <f>V17*$AE$2</f>
        <v/>
      </c>
      <c r="X17" s="7">
        <f>V17+W17</f>
        <v/>
      </c>
      <c r="Y17" s="7">
        <f>MAX(0,ROUND(V17-M17,0))</f>
        <v/>
      </c>
      <c r="Z17" s="7">
        <f>ROUND(W17,0)</f>
        <v/>
      </c>
      <c r="AA17" s="7">
        <f>Y17+Z17</f>
        <v/>
      </c>
    </row>
    <row r="18">
      <c r="A18" s="7" t="inlineStr">
        <is>
          <t>ENOUGH</t>
        </is>
      </c>
      <c r="B18" s="7" t="n">
        <v>611747838</v>
      </c>
      <c r="C18" s="7" t="n">
        <v>8809280062386</v>
      </c>
      <c r="D18" s="7" t="inlineStr">
        <is>
          <t>ENOUGH - Collagen Moisture Foundation [Tone 23] / Тональный крем для лица с коллагеном 23 тон</t>
        </is>
      </c>
      <c r="E18" s="7" t="n">
        <v>242.9</v>
      </c>
      <c r="F18" s="7" t="n">
        <v>634</v>
      </c>
      <c r="G18" s="7" t="n">
        <v>85</v>
      </c>
      <c r="H18" s="7" t="n">
        <v>206.5</v>
      </c>
      <c r="I18" s="7" t="inlineStr">
        <is>
          <t>Ракета факт</t>
        </is>
      </c>
      <c r="J18" s="7" t="n">
        <v>0</v>
      </c>
      <c r="K18" s="7" t="n">
        <v>27</v>
      </c>
      <c r="L18" s="7" t="n">
        <v>0</v>
      </c>
      <c r="M18" s="7">
        <f>J18+K18+L18</f>
        <v/>
      </c>
      <c r="N18" s="7" t="n">
        <v>100</v>
      </c>
      <c r="O18" s="7" t="n">
        <v>150</v>
      </c>
      <c r="P18" s="7" t="n">
        <v>200</v>
      </c>
      <c r="Q18" s="7" t="n">
        <v>250</v>
      </c>
      <c r="R18" s="7" t="n">
        <v>300</v>
      </c>
      <c r="S18" s="7" t="n">
        <v>250</v>
      </c>
      <c r="T18" s="7" t="n">
        <v>200</v>
      </c>
      <c r="U18" s="7" t="n">
        <v>200</v>
      </c>
      <c r="V18" s="7">
        <f>SUM(OFFSET(N18,0,0,1,$AE$1))</f>
        <v/>
      </c>
      <c r="W18" s="7">
        <f>V18*$AE$2</f>
        <v/>
      </c>
      <c r="X18" s="7">
        <f>V18+W18</f>
        <v/>
      </c>
      <c r="Y18" s="7">
        <f>MAX(0,ROUND(V18-M18,0))</f>
        <v/>
      </c>
      <c r="Z18" s="7">
        <f>ROUND(W18,0)</f>
        <v/>
      </c>
      <c r="AA18" s="7">
        <f>Y18+Z18</f>
        <v/>
      </c>
    </row>
    <row r="19">
      <c r="A19" s="7" t="inlineStr">
        <is>
          <t>ENOUGH</t>
        </is>
      </c>
      <c r="B19" s="7" t="n">
        <v>207796789</v>
      </c>
      <c r="C19" s="7" t="n">
        <v>8809474498809</v>
      </c>
      <c r="D19" s="7" t="inlineStr">
        <is>
          <t>ENOUGH - Gold Snail Moisture Foundation [Tone 13] / Тональный крем с муцином улитки 13 тон</t>
        </is>
      </c>
      <c r="E19" s="7" t="n">
        <v>245.7</v>
      </c>
      <c r="F19" s="7" t="n">
        <v>631</v>
      </c>
      <c r="G19" s="7" t="n">
        <v>72.5</v>
      </c>
      <c r="H19" s="7" t="n">
        <v>178.2</v>
      </c>
      <c r="I19" s="7" t="inlineStr">
        <is>
          <t>Ракета факт</t>
        </is>
      </c>
      <c r="J19" s="7" t="n">
        <v>30</v>
      </c>
      <c r="K19" s="7" t="n">
        <v>204</v>
      </c>
      <c r="L19" s="7" t="n">
        <v>700</v>
      </c>
      <c r="M19" s="7">
        <f>J19+K19+L19</f>
        <v/>
      </c>
      <c r="N19" s="7" t="n">
        <v>300</v>
      </c>
      <c r="O19" s="7" t="n">
        <v>350</v>
      </c>
      <c r="P19" s="7" t="n">
        <v>350</v>
      </c>
      <c r="Q19" s="7" t="n">
        <v>350</v>
      </c>
      <c r="R19" s="7" t="n">
        <v>450</v>
      </c>
      <c r="S19" s="7" t="n">
        <v>450</v>
      </c>
      <c r="T19" s="7" t="n">
        <v>400</v>
      </c>
      <c r="U19" s="7" t="n">
        <v>400</v>
      </c>
      <c r="V19" s="7">
        <f>SUM(OFFSET(N19,0,0,1,$AE$1))</f>
        <v/>
      </c>
      <c r="W19" s="7">
        <f>V19*$AE$2</f>
        <v/>
      </c>
      <c r="X19" s="7">
        <f>V19+W19</f>
        <v/>
      </c>
      <c r="Y19" s="7">
        <f>MAX(0,ROUND(V19-M19,0))</f>
        <v/>
      </c>
      <c r="Z19" s="7">
        <f>ROUND(W19,0)</f>
        <v/>
      </c>
      <c r="AA19" s="7">
        <f>Y19+Z19</f>
        <v/>
      </c>
    </row>
    <row r="20">
      <c r="A20" s="7" t="inlineStr">
        <is>
          <t>ENOUGH</t>
        </is>
      </c>
      <c r="B20" s="7" t="n">
        <v>207796898</v>
      </c>
      <c r="C20" s="7" t="n">
        <v>8809474498816</v>
      </c>
      <c r="D20" s="7" t="inlineStr">
        <is>
          <t>ENOUGH - Gold Snail Moisture Foundation [Tone 21] / Тональный крем с муцином улитки 21 тон</t>
        </is>
      </c>
      <c r="E20" s="7" t="n">
        <v>270.8</v>
      </c>
      <c r="F20" s="7" t="n">
        <v>570</v>
      </c>
      <c r="G20" s="7" t="n">
        <v>30.4</v>
      </c>
      <c r="H20" s="7" t="n">
        <v>82.2</v>
      </c>
      <c r="I20" s="7" t="inlineStr">
        <is>
          <t>Ракета факт</t>
        </is>
      </c>
      <c r="J20" s="7" t="n">
        <v>101</v>
      </c>
      <c r="K20" s="7" t="n">
        <v>91</v>
      </c>
      <c r="L20" s="7" t="n">
        <v>400</v>
      </c>
      <c r="M20" s="7">
        <f>J20+K20+L20</f>
        <v/>
      </c>
      <c r="N20" s="7" t="n">
        <v>200</v>
      </c>
      <c r="O20" s="7" t="n">
        <v>250</v>
      </c>
      <c r="P20" s="7" t="n">
        <v>250</v>
      </c>
      <c r="Q20" s="7" t="n">
        <v>250</v>
      </c>
      <c r="R20" s="7" t="n">
        <v>350</v>
      </c>
      <c r="S20" s="7" t="n">
        <v>350</v>
      </c>
      <c r="T20" s="7" t="n">
        <v>300</v>
      </c>
      <c r="U20" s="7" t="n">
        <v>300</v>
      </c>
      <c r="V20" s="7">
        <f>SUM(OFFSET(N20,0,0,1,$AE$1))</f>
        <v/>
      </c>
      <c r="W20" s="7">
        <f>V20*$AE$2</f>
        <v/>
      </c>
      <c r="X20" s="7">
        <f>V20+W20</f>
        <v/>
      </c>
      <c r="Y20" s="7">
        <f>MAX(0,ROUND(V20-M20,0))</f>
        <v/>
      </c>
      <c r="Z20" s="7">
        <f>ROUND(W20,0)</f>
        <v/>
      </c>
      <c r="AA20" s="7">
        <f>Y20+Z20</f>
        <v/>
      </c>
    </row>
    <row r="21">
      <c r="A21" s="7" t="inlineStr">
        <is>
          <t>ENOUGH</t>
        </is>
      </c>
      <c r="B21" s="7" t="n">
        <v>170198835</v>
      </c>
      <c r="C21" s="7" t="n">
        <v>8809605870993</v>
      </c>
      <c r="D21" s="7" t="inlineStr">
        <is>
          <t>ENOUGH - Premium Ultra X10 Cover Up Collagen Foundation [Tone 13] / Тональный крем с коллагеном 13 тон</t>
        </is>
      </c>
      <c r="E21" s="7" t="n">
        <v>315.4</v>
      </c>
      <c r="F21" s="7" t="n"/>
      <c r="G21" s="7" t="n"/>
      <c r="H21" s="7" t="n"/>
      <c r="I21" s="7" t="inlineStr">
        <is>
          <t>нет данных</t>
        </is>
      </c>
      <c r="J21" s="7" t="n">
        <v>0</v>
      </c>
      <c r="K21" s="7" t="n">
        <v>0</v>
      </c>
      <c r="L21" s="7" t="n">
        <v>1000</v>
      </c>
      <c r="M21" s="7">
        <f>J21+K21+L21</f>
        <v/>
      </c>
      <c r="N21" s="7" t="n">
        <v>150</v>
      </c>
      <c r="O21" s="7" t="n">
        <v>200</v>
      </c>
      <c r="P21" s="7" t="n">
        <v>250</v>
      </c>
      <c r="Q21" s="7" t="n">
        <v>250</v>
      </c>
      <c r="R21" s="7" t="n">
        <v>400</v>
      </c>
      <c r="S21" s="7" t="n">
        <v>400</v>
      </c>
      <c r="T21" s="7" t="n">
        <v>350</v>
      </c>
      <c r="U21" s="7" t="n">
        <v>350</v>
      </c>
      <c r="V21" s="7">
        <f>SUM(OFFSET(N21,0,0,1,$AE$1))</f>
        <v/>
      </c>
      <c r="W21" s="7">
        <f>V21*$AE$2</f>
        <v/>
      </c>
      <c r="X21" s="7">
        <f>V21+W21</f>
        <v/>
      </c>
      <c r="Y21" s="7">
        <f>MAX(0,ROUND(V21-M21,0))</f>
        <v/>
      </c>
      <c r="Z21" s="7">
        <f>ROUND(W21,0)</f>
        <v/>
      </c>
      <c r="AA21" s="7">
        <f>Y21+Z21</f>
        <v/>
      </c>
    </row>
    <row r="22">
      <c r="A22" s="7" t="inlineStr">
        <is>
          <t>ENOUGH</t>
        </is>
      </c>
      <c r="B22" s="7" t="n">
        <v>170198876</v>
      </c>
      <c r="C22" s="7" t="n">
        <v>8809605871006</v>
      </c>
      <c r="D22" s="7" t="inlineStr">
        <is>
          <t>ENOUGH - Premium Ultra X10 Cover Up Collagen Foundation [Tone 21] / Тональный крем с коллагеном 21 тон</t>
        </is>
      </c>
      <c r="E22" s="7" t="n">
        <v>315.4</v>
      </c>
      <c r="F22" s="7" t="n">
        <v>920</v>
      </c>
      <c r="G22" s="7" t="n">
        <v>33.5</v>
      </c>
      <c r="H22" s="7" t="n">
        <v>77.2</v>
      </c>
      <c r="I22" s="7" t="inlineStr">
        <is>
          <t>юнитка ф3</t>
        </is>
      </c>
      <c r="J22" s="7" t="n">
        <v>0</v>
      </c>
      <c r="K22" s="7" t="n">
        <v>37</v>
      </c>
      <c r="L22" s="7" t="n">
        <v>200</v>
      </c>
      <c r="M22" s="7">
        <f>J22+K22+L22</f>
        <v/>
      </c>
      <c r="N22" s="7" t="n">
        <v>100</v>
      </c>
      <c r="O22" s="7" t="n">
        <v>125</v>
      </c>
      <c r="P22" s="7" t="n">
        <v>125</v>
      </c>
      <c r="Q22" s="7" t="n">
        <v>150</v>
      </c>
      <c r="R22" s="7" t="n">
        <v>200</v>
      </c>
      <c r="S22" s="7" t="n">
        <v>150</v>
      </c>
      <c r="T22" s="7" t="n">
        <v>125</v>
      </c>
      <c r="U22" s="7" t="n">
        <v>125</v>
      </c>
      <c r="V22" s="7">
        <f>SUM(OFFSET(N22,0,0,1,$AE$1))</f>
        <v/>
      </c>
      <c r="W22" s="7">
        <f>V22*$AE$2</f>
        <v/>
      </c>
      <c r="X22" s="7">
        <f>V22+W22</f>
        <v/>
      </c>
      <c r="Y22" s="7">
        <f>MAX(0,ROUND(V22-M22,0))</f>
        <v/>
      </c>
      <c r="Z22" s="7">
        <f>ROUND(W22,0)</f>
        <v/>
      </c>
      <c r="AA22" s="7">
        <f>Y22+Z22</f>
        <v/>
      </c>
    </row>
    <row r="23">
      <c r="A23" s="7" t="inlineStr">
        <is>
          <t>ENOUGH</t>
        </is>
      </c>
      <c r="B23" s="7" t="n">
        <v>170198180</v>
      </c>
      <c r="C23" s="7" t="n">
        <v>8809605871938</v>
      </c>
      <c r="D23" s="7" t="inlineStr">
        <is>
          <t>ENOUGH - Premium Rich Gold Double Wear Radiance Foundation [Tone 13] / Тональный крем с частичками золота 13 тон</t>
        </is>
      </c>
      <c r="E23" s="7" t="n">
        <v>269.6</v>
      </c>
      <c r="F23" s="7" t="n">
        <v>606</v>
      </c>
      <c r="G23" s="7" t="n">
        <v>56.6</v>
      </c>
      <c r="H23" s="7" t="n">
        <v>152.7</v>
      </c>
      <c r="I23" s="7" t="inlineStr">
        <is>
          <t>Ракета факт</t>
        </is>
      </c>
      <c r="J23" s="7" t="n">
        <v>0</v>
      </c>
      <c r="K23" s="7" t="n">
        <v>375</v>
      </c>
      <c r="L23" s="7" t="n">
        <v>200</v>
      </c>
      <c r="M23" s="7">
        <f>J23+K23+L23</f>
        <v/>
      </c>
      <c r="N23" s="7" t="n">
        <v>170</v>
      </c>
      <c r="O23" s="7" t="n">
        <v>180</v>
      </c>
      <c r="P23" s="7" t="n">
        <v>190</v>
      </c>
      <c r="Q23" s="7" t="n">
        <v>210</v>
      </c>
      <c r="R23" s="7" t="n">
        <v>250</v>
      </c>
      <c r="S23" s="7" t="n">
        <v>230</v>
      </c>
      <c r="T23" s="7" t="n">
        <v>210</v>
      </c>
      <c r="U23" s="7" t="n">
        <v>210</v>
      </c>
      <c r="V23" s="7">
        <f>SUM(OFFSET(N23,0,0,1,$AE$1))</f>
        <v/>
      </c>
      <c r="W23" s="7">
        <f>V23*$AE$2</f>
        <v/>
      </c>
      <c r="X23" s="7">
        <f>V23+W23</f>
        <v/>
      </c>
      <c r="Y23" s="7">
        <f>MAX(0,ROUND(V23-M23,0))</f>
        <v/>
      </c>
      <c r="Z23" s="7">
        <f>ROUND(W23,0)</f>
        <v/>
      </c>
      <c r="AA23" s="7">
        <f>Y23+Z23</f>
        <v/>
      </c>
    </row>
    <row r="24">
      <c r="A24" s="7" t="inlineStr">
        <is>
          <t>ENOUGH</t>
        </is>
      </c>
      <c r="B24" s="7" t="n">
        <v>170198109</v>
      </c>
      <c r="C24" s="7" t="n">
        <v>8809605871945</v>
      </c>
      <c r="D24" s="7" t="inlineStr">
        <is>
          <t>ENOUGH - Premium Rich Gold Double Wear Radiance Foundation [Tone 21] / Тональный крем с частичками золота 21 тон</t>
        </is>
      </c>
      <c r="E24" s="7" t="n">
        <v>269.6</v>
      </c>
      <c r="F24" s="7" t="n">
        <v>642</v>
      </c>
      <c r="G24" s="7" t="n">
        <v>76</v>
      </c>
      <c r="H24" s="7" t="n">
        <v>204.9</v>
      </c>
      <c r="I24" s="7" t="inlineStr">
        <is>
          <t>Ракета факт</t>
        </is>
      </c>
      <c r="J24" s="7" t="n">
        <v>0</v>
      </c>
      <c r="K24" s="7" t="n">
        <v>103</v>
      </c>
      <c r="L24" s="7" t="n">
        <v>400</v>
      </c>
      <c r="M24" s="7">
        <f>J24+K24+L24</f>
        <v/>
      </c>
      <c r="N24" s="7" t="n">
        <v>140</v>
      </c>
      <c r="O24" s="7" t="n">
        <v>150</v>
      </c>
      <c r="P24" s="7" t="n">
        <v>160</v>
      </c>
      <c r="Q24" s="7" t="n">
        <v>180</v>
      </c>
      <c r="R24" s="7" t="n">
        <v>210</v>
      </c>
      <c r="S24" s="7" t="n">
        <v>200</v>
      </c>
      <c r="T24" s="7" t="n">
        <v>180</v>
      </c>
      <c r="U24" s="7" t="n">
        <v>180</v>
      </c>
      <c r="V24" s="7">
        <f>SUM(OFFSET(N24,0,0,1,$AE$1))</f>
        <v/>
      </c>
      <c r="W24" s="7">
        <f>V24*$AE$2</f>
        <v/>
      </c>
      <c r="X24" s="7">
        <f>V24+W24</f>
        <v/>
      </c>
      <c r="Y24" s="7">
        <f>MAX(0,ROUND(V24-M24,0))</f>
        <v/>
      </c>
      <c r="Z24" s="7">
        <f>ROUND(W24,0)</f>
        <v/>
      </c>
      <c r="AA24" s="7">
        <f>Y24+Z24</f>
        <v/>
      </c>
    </row>
    <row r="25">
      <c r="A25" s="7" t="inlineStr">
        <is>
          <t>ENOUGH</t>
        </is>
      </c>
      <c r="B25" s="7" t="n">
        <v>170198738</v>
      </c>
      <c r="C25" s="7" t="n">
        <v>8809605870962</v>
      </c>
      <c r="D25" s="7" t="inlineStr">
        <is>
          <t>ENOUGH - Premium 8 Peptide Full Cover Perfect Foundation [Tone 13] / Тональный крем с пептидами 13 тон</t>
        </is>
      </c>
      <c r="E25" s="7" t="n">
        <v>335.9</v>
      </c>
      <c r="F25" s="7" t="n"/>
      <c r="G25" s="7" t="n"/>
      <c r="H25" s="7" t="n"/>
      <c r="I25" s="7" t="inlineStr">
        <is>
          <t>нет данных</t>
        </is>
      </c>
      <c r="J25" s="7" t="n">
        <v>480</v>
      </c>
      <c r="K25" s="7" t="n">
        <v>1200</v>
      </c>
      <c r="L25" s="7" t="n">
        <v>0</v>
      </c>
      <c r="M25" s="7">
        <f>J25+K25+L25</f>
        <v/>
      </c>
      <c r="N25" s="7" t="n">
        <v>150</v>
      </c>
      <c r="O25" s="7" t="n">
        <v>160</v>
      </c>
      <c r="P25" s="7" t="n">
        <v>170</v>
      </c>
      <c r="Q25" s="7" t="n">
        <v>180</v>
      </c>
      <c r="R25" s="7" t="n">
        <v>200</v>
      </c>
      <c r="S25" s="7" t="n">
        <v>180</v>
      </c>
      <c r="T25" s="7" t="n">
        <v>170</v>
      </c>
      <c r="U25" s="7" t="n">
        <v>170</v>
      </c>
      <c r="V25" s="7">
        <f>SUM(OFFSET(N25,0,0,1,$AE$1))</f>
        <v/>
      </c>
      <c r="W25" s="7">
        <f>V25*$AE$2</f>
        <v/>
      </c>
      <c r="X25" s="7">
        <f>V25+W25</f>
        <v/>
      </c>
      <c r="Y25" s="7">
        <f>MAX(0,ROUND(V25-M25,0))</f>
        <v/>
      </c>
      <c r="Z25" s="7">
        <f>ROUND(W25,0)</f>
        <v/>
      </c>
      <c r="AA25" s="7">
        <f>Y25+Z25</f>
        <v/>
      </c>
    </row>
    <row r="26">
      <c r="A26" s="7" t="inlineStr">
        <is>
          <t>ENOUGH</t>
        </is>
      </c>
      <c r="B26" s="7" t="n">
        <v>170198337</v>
      </c>
      <c r="C26" s="7" t="n">
        <v>8809605870979</v>
      </c>
      <c r="D26" s="7" t="inlineStr">
        <is>
          <t>ENOUGH - Premium 8 Peptide Full Cover Perfect Foundation [Tone 21] / Тональный крем с пептидами 21 тон</t>
        </is>
      </c>
      <c r="E26" s="7" t="n">
        <v>304.8</v>
      </c>
      <c r="F26" s="7" t="n">
        <v>747</v>
      </c>
      <c r="G26" s="7" t="n">
        <v>85</v>
      </c>
      <c r="H26" s="7" t="n">
        <v>259.1</v>
      </c>
      <c r="I26" s="7" t="inlineStr">
        <is>
          <t>Ракета факт</t>
        </is>
      </c>
      <c r="J26" s="7" t="n">
        <v>232</v>
      </c>
      <c r="K26" s="7" t="n">
        <v>359</v>
      </c>
      <c r="L26" s="7" t="n">
        <v>0</v>
      </c>
      <c r="M26" s="7">
        <f>J26+K26+L26</f>
        <v/>
      </c>
      <c r="N26" s="7" t="n">
        <v>150</v>
      </c>
      <c r="O26" s="7" t="n">
        <v>160</v>
      </c>
      <c r="P26" s="7" t="n">
        <v>170</v>
      </c>
      <c r="Q26" s="7" t="n">
        <v>180</v>
      </c>
      <c r="R26" s="7" t="n">
        <v>200</v>
      </c>
      <c r="S26" s="7" t="n">
        <v>180</v>
      </c>
      <c r="T26" s="7" t="n">
        <v>170</v>
      </c>
      <c r="U26" s="7" t="n">
        <v>170</v>
      </c>
      <c r="V26" s="7">
        <f>SUM(OFFSET(N26,0,0,1,$AE$1))</f>
        <v/>
      </c>
      <c r="W26" s="7">
        <f>V26*$AE$2</f>
        <v/>
      </c>
      <c r="X26" s="7">
        <f>V26+W26</f>
        <v/>
      </c>
      <c r="Y26" s="7">
        <f>MAX(0,ROUND(V26-M26,0))</f>
        <v/>
      </c>
      <c r="Z26" s="7">
        <f>ROUND(W26,0)</f>
        <v/>
      </c>
      <c r="AA26" s="7">
        <f>Y26+Z26</f>
        <v/>
      </c>
    </row>
    <row r="27">
      <c r="A27" s="7" t="inlineStr">
        <is>
          <t>ENOUGH</t>
        </is>
      </c>
      <c r="B27" s="7" t="n">
        <v>151132051</v>
      </c>
      <c r="C27" s="7" t="n">
        <v>8809474497062</v>
      </c>
      <c r="D27" s="7" t="inlineStr">
        <is>
          <t>ENOUGH - Collagen 3in1 Whitening Moisture Foundation [Tone 13] / Тональный крем для лица с коллагеном 3в1 [13 тон]</t>
        </is>
      </c>
      <c r="E27" s="7" t="n">
        <v>238.1</v>
      </c>
      <c r="F27" s="7" t="n">
        <v>634</v>
      </c>
      <c r="G27" s="7" t="n">
        <v>87.5</v>
      </c>
      <c r="H27" s="7" t="n">
        <v>208.3</v>
      </c>
      <c r="I27" s="7" t="inlineStr">
        <is>
          <t>Ракета факт</t>
        </is>
      </c>
      <c r="J27" s="7" t="n">
        <v>300</v>
      </c>
      <c r="K27" s="7" t="n">
        <v>323</v>
      </c>
      <c r="L27" s="7" t="n">
        <v>0</v>
      </c>
      <c r="M27" s="7">
        <f>J27+K27+L27</f>
        <v/>
      </c>
      <c r="N27" s="7" t="n">
        <v>110</v>
      </c>
      <c r="O27" s="7" t="n">
        <v>120</v>
      </c>
      <c r="P27" s="7" t="n">
        <v>120</v>
      </c>
      <c r="Q27" s="7" t="n">
        <v>130</v>
      </c>
      <c r="R27" s="7" t="n">
        <v>150</v>
      </c>
      <c r="S27" s="7" t="n">
        <v>130</v>
      </c>
      <c r="T27" s="7" t="n">
        <v>120</v>
      </c>
      <c r="U27" s="7" t="n">
        <v>120</v>
      </c>
      <c r="V27" s="7">
        <f>SUM(OFFSET(N27,0,0,1,$AE$1))</f>
        <v/>
      </c>
      <c r="W27" s="7">
        <f>V27*$AE$2</f>
        <v/>
      </c>
      <c r="X27" s="7">
        <f>V27+W27</f>
        <v/>
      </c>
      <c r="Y27" s="7">
        <f>MAX(0,ROUND(V27-M27,0))</f>
        <v/>
      </c>
      <c r="Z27" s="7">
        <f>ROUND(W27,0)</f>
        <v/>
      </c>
      <c r="AA27" s="7">
        <f>Y27+Z27</f>
        <v/>
      </c>
    </row>
    <row r="28">
      <c r="A28" s="7" t="inlineStr">
        <is>
          <t>ENOUGH</t>
        </is>
      </c>
      <c r="B28" s="7" t="n">
        <v>151132052</v>
      </c>
      <c r="C28" s="7" t="n">
        <v>8809474497079</v>
      </c>
      <c r="D28" s="7" t="inlineStr">
        <is>
          <t>ENOUGH - Collagen 3in1 Whitening Moisture Foundation [Tone 21] / Тональный крем для лица с коллагеном 3в1 [21 тон]</t>
        </is>
      </c>
      <c r="E28" s="7" t="n">
        <v>223.3</v>
      </c>
      <c r="F28" s="7" t="n">
        <v>612</v>
      </c>
      <c r="G28" s="7" t="n">
        <v>92.09999999999999</v>
      </c>
      <c r="H28" s="7" t="n">
        <v>205.8</v>
      </c>
      <c r="I28" s="7" t="inlineStr">
        <is>
          <t>Ракета факт</t>
        </is>
      </c>
      <c r="J28" s="7" t="n">
        <v>86</v>
      </c>
      <c r="K28" s="7" t="n">
        <v>659</v>
      </c>
      <c r="L28" s="7" t="n">
        <v>0</v>
      </c>
      <c r="M28" s="7">
        <f>J28+K28+L28</f>
        <v/>
      </c>
      <c r="N28" s="7" t="n">
        <v>70</v>
      </c>
      <c r="O28" s="7" t="n">
        <v>80</v>
      </c>
      <c r="P28" s="7" t="n">
        <v>80</v>
      </c>
      <c r="Q28" s="7" t="n">
        <v>90</v>
      </c>
      <c r="R28" s="7" t="n">
        <v>110</v>
      </c>
      <c r="S28" s="7" t="n">
        <v>90</v>
      </c>
      <c r="T28" s="7" t="n">
        <v>80</v>
      </c>
      <c r="U28" s="7" t="n">
        <v>80</v>
      </c>
      <c r="V28" s="7">
        <f>SUM(OFFSET(N28,0,0,1,$AE$1))</f>
        <v/>
      </c>
      <c r="W28" s="7">
        <f>V28*$AE$2</f>
        <v/>
      </c>
      <c r="X28" s="7">
        <f>V28+W28</f>
        <v/>
      </c>
      <c r="Y28" s="7">
        <f>MAX(0,ROUND(V28-M28,0))</f>
        <v/>
      </c>
      <c r="Z28" s="7">
        <f>ROUND(W28,0)</f>
        <v/>
      </c>
      <c r="AA28" s="7">
        <f>Y28+Z28</f>
        <v/>
      </c>
    </row>
    <row r="29">
      <c r="A29" s="7" t="inlineStr">
        <is>
          <t>ENOUGH</t>
        </is>
      </c>
      <c r="B29" s="7" t="n">
        <v>238416010</v>
      </c>
      <c r="C29" s="7" t="n">
        <v>8809480652165</v>
      </c>
      <c r="D29" s="7" t="inlineStr">
        <is>
          <t>ENOUGH - Collagen Whitening Moisture Cream 3in1 [50g] / Антивозрастной отбеливающий крем с коллагеном</t>
        </is>
      </c>
      <c r="E29" s="7" t="n">
        <v>183.9</v>
      </c>
      <c r="F29" s="7" t="n">
        <v>421</v>
      </c>
      <c r="G29" s="7" t="n">
        <v>-41.9</v>
      </c>
      <c r="H29" s="7" t="n">
        <v>-77.09999999999999</v>
      </c>
      <c r="I29" s="7" t="inlineStr">
        <is>
          <t>Ракета факт</t>
        </is>
      </c>
      <c r="J29" s="7" t="n">
        <v>783</v>
      </c>
      <c r="K29" s="7" t="n">
        <v>567</v>
      </c>
      <c r="L29" s="7" t="n">
        <v>0</v>
      </c>
      <c r="M29" s="7">
        <f>J29+K29+L29</f>
        <v/>
      </c>
      <c r="N29" s="7" t="n">
        <v>150</v>
      </c>
      <c r="O29" s="7" t="n">
        <v>175</v>
      </c>
      <c r="P29" s="7" t="n">
        <v>175</v>
      </c>
      <c r="Q29" s="7" t="n">
        <v>250</v>
      </c>
      <c r="R29" s="7" t="n">
        <v>350</v>
      </c>
      <c r="S29" s="7" t="n">
        <v>300</v>
      </c>
      <c r="T29" s="7" t="n">
        <v>250</v>
      </c>
      <c r="U29" s="7" t="n">
        <v>250</v>
      </c>
      <c r="V29" s="7">
        <f>SUM(OFFSET(N29,0,0,1,$AE$1))</f>
        <v/>
      </c>
      <c r="W29" s="7">
        <f>V29*$AE$2</f>
        <v/>
      </c>
      <c r="X29" s="7">
        <f>V29+W29</f>
        <v/>
      </c>
      <c r="Y29" s="7">
        <f>MAX(0,ROUND(V29-M29,0))</f>
        <v/>
      </c>
      <c r="Z29" s="7">
        <f>ROUND(W29,0)</f>
        <v/>
      </c>
      <c r="AA29" s="7">
        <f>Y29+Z29</f>
        <v/>
      </c>
    </row>
    <row r="30">
      <c r="A30" s="7" t="inlineStr">
        <is>
          <t>ENOUGH</t>
        </is>
      </c>
      <c r="B30" s="7" t="n">
        <v>212889027</v>
      </c>
      <c r="C30" s="7" t="n"/>
      <c r="D30" s="7" t="inlineStr">
        <is>
          <t>ENOUGH Collagen whitening cover tip concealer #02 [9g]/Консилер для лица (основная карточка)</t>
        </is>
      </c>
      <c r="E30" s="7" t="n">
        <v>183.2</v>
      </c>
      <c r="F30" s="7" t="n">
        <v>754</v>
      </c>
      <c r="G30" s="7" t="n">
        <v>76</v>
      </c>
      <c r="H30" s="7" t="n">
        <v>139.2</v>
      </c>
      <c r="I30" s="7" t="inlineStr">
        <is>
          <t>Ракета факт</t>
        </is>
      </c>
      <c r="J30" s="7" t="n">
        <v>760</v>
      </c>
      <c r="K30" s="7" t="n">
        <v>100</v>
      </c>
      <c r="L30" s="7" t="n">
        <v>0</v>
      </c>
      <c r="M30" s="7">
        <f>J30+K30+L30</f>
        <v/>
      </c>
      <c r="N30" s="7" t="n">
        <v>78</v>
      </c>
      <c r="O30" s="7" t="n">
        <v>63</v>
      </c>
      <c r="P30" s="7" t="n">
        <v>63</v>
      </c>
      <c r="Q30" s="7" t="n">
        <v>63</v>
      </c>
      <c r="R30" s="7" t="n">
        <v>77</v>
      </c>
      <c r="S30" s="7" t="n">
        <v>79</v>
      </c>
      <c r="T30" s="7" t="n">
        <v>64</v>
      </c>
      <c r="U30" s="7" t="n">
        <v>69</v>
      </c>
      <c r="V30" s="7">
        <f>SUM(OFFSET(N30,0,0,1,$AE$1))</f>
        <v/>
      </c>
      <c r="W30" s="7">
        <f>V30*$AE$2</f>
        <v/>
      </c>
      <c r="X30" s="7">
        <f>V30+W30</f>
        <v/>
      </c>
      <c r="Y30" s="7">
        <f>MAX(0,ROUND(V30-M30,0))</f>
        <v/>
      </c>
      <c r="Z30" s="7">
        <f>ROUND(W30,0)</f>
        <v/>
      </c>
      <c r="AA30" s="7">
        <f>Y30+Z30</f>
        <v/>
      </c>
    </row>
    <row r="31">
      <c r="A31" s="7" t="inlineStr">
        <is>
          <t>ENOUGH</t>
        </is>
      </c>
      <c r="B31" s="7" t="n">
        <v>212889025</v>
      </c>
      <c r="C31" s="7" t="n"/>
      <c r="D31" s="7" t="inlineStr">
        <is>
          <t>ENOUGH Collagen whitening cover tip concealer #01 [9g]/Консилер для лица (основная карточка) 4.5 рейтинг</t>
        </is>
      </c>
      <c r="E31" s="7" t="n">
        <v>183.2</v>
      </c>
      <c r="F31" s="7" t="n">
        <v>754</v>
      </c>
      <c r="G31" s="7" t="n">
        <v>45.9</v>
      </c>
      <c r="H31" s="7" t="n">
        <v>84.09999999999999</v>
      </c>
      <c r="I31" s="7" t="inlineStr">
        <is>
          <t>Ракета факт</t>
        </is>
      </c>
      <c r="J31" s="7" t="n">
        <v>610</v>
      </c>
      <c r="K31" s="7" t="n">
        <v>256</v>
      </c>
      <c r="L31" s="7" t="n">
        <v>0</v>
      </c>
      <c r="M31" s="7">
        <f>J31+K31+L31</f>
        <v/>
      </c>
      <c r="N31" s="7" t="n">
        <v>75</v>
      </c>
      <c r="O31" s="7" t="n">
        <v>61</v>
      </c>
      <c r="P31" s="7" t="n">
        <v>61</v>
      </c>
      <c r="Q31" s="7" t="n">
        <v>61</v>
      </c>
      <c r="R31" s="7" t="n">
        <v>74</v>
      </c>
      <c r="S31" s="7" t="n">
        <v>76</v>
      </c>
      <c r="T31" s="7" t="n">
        <v>62</v>
      </c>
      <c r="U31" s="7" t="n">
        <v>67</v>
      </c>
      <c r="V31" s="7">
        <f>SUM(OFFSET(N31,0,0,1,$AE$1))</f>
        <v/>
      </c>
      <c r="W31" s="7">
        <f>V31*$AE$2</f>
        <v/>
      </c>
      <c r="X31" s="7">
        <f>V31+W31</f>
        <v/>
      </c>
      <c r="Y31" s="7">
        <f>MAX(0,ROUND(V31-M31,0))</f>
        <v/>
      </c>
      <c r="Z31" s="7">
        <f>ROUND(W31,0)</f>
        <v/>
      </c>
      <c r="AA31" s="7">
        <f>Y31+Z31</f>
        <v/>
      </c>
    </row>
    <row r="32">
      <c r="A32" s="7" t="inlineStr">
        <is>
          <t>ENOUGH</t>
        </is>
      </c>
      <c r="B32" s="7" t="n">
        <v>212889028</v>
      </c>
      <c r="C32" s="7" t="n"/>
      <c r="D32" s="7" t="inlineStr">
        <is>
          <t>ENOUGH Collagen whitening cover tip concealer #03 [9g]/ Консилер для лица (основаная карточка)</t>
        </is>
      </c>
      <c r="E32" s="7" t="n">
        <v>183.2</v>
      </c>
      <c r="F32" s="7" t="n">
        <v>754</v>
      </c>
      <c r="G32" s="7" t="n">
        <v>-110.1</v>
      </c>
      <c r="H32" s="7" t="n">
        <v>-201.7</v>
      </c>
      <c r="I32" s="7" t="inlineStr">
        <is>
          <t>Ракета факт</t>
        </is>
      </c>
      <c r="J32" s="7" t="n">
        <v>812</v>
      </c>
      <c r="K32" s="7" t="n">
        <v>162</v>
      </c>
      <c r="L32" s="7" t="n">
        <v>0</v>
      </c>
      <c r="M32" s="7">
        <f>J32+K32+L32</f>
        <v/>
      </c>
      <c r="N32" s="7" t="n">
        <v>54</v>
      </c>
      <c r="O32" s="7" t="n">
        <v>43</v>
      </c>
      <c r="P32" s="7" t="n">
        <v>43</v>
      </c>
      <c r="Q32" s="7" t="n">
        <v>43</v>
      </c>
      <c r="R32" s="7" t="n">
        <v>53</v>
      </c>
      <c r="S32" s="7" t="n">
        <v>54</v>
      </c>
      <c r="T32" s="7" t="n">
        <v>44</v>
      </c>
      <c r="U32" s="7" t="n">
        <v>48</v>
      </c>
      <c r="V32" s="7">
        <f>SUM(OFFSET(N32,0,0,1,$AE$1))</f>
        <v/>
      </c>
      <c r="W32" s="7">
        <f>V32*$AE$2</f>
        <v/>
      </c>
      <c r="X32" s="7">
        <f>V32+W32</f>
        <v/>
      </c>
      <c r="Y32" s="7">
        <f>MAX(0,ROUND(V32-M32,0))</f>
        <v/>
      </c>
      <c r="Z32" s="7">
        <f>ROUND(W32,0)</f>
        <v/>
      </c>
      <c r="AA32" s="7">
        <f>Y32+Z32</f>
        <v/>
      </c>
    </row>
    <row r="33">
      <c r="A33" s="5" t="inlineStr">
        <is>
          <t>ETUDEHOUSE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7" t="inlineStr">
        <is>
          <t>ETUDEHOUSE</t>
        </is>
      </c>
      <c r="B34" s="7" t="n">
        <v>151313163</v>
      </c>
      <c r="C34" s="7" t="n">
        <v>8809820683118</v>
      </c>
      <c r="D34" s="7" t="inlineStr">
        <is>
          <t>ETUDE - Baking Powder Crunch Pore Scrub [200ml] / Очищающий скраб для лица с содой</t>
        </is>
      </c>
      <c r="E34" s="7" t="n">
        <v>361</v>
      </c>
      <c r="F34" s="7" t="n">
        <v>878</v>
      </c>
      <c r="G34" s="7" t="n">
        <v>49.8</v>
      </c>
      <c r="H34" s="7" t="n">
        <v>179.7</v>
      </c>
      <c r="I34" s="7" t="inlineStr">
        <is>
          <t>Ракета факт</t>
        </is>
      </c>
      <c r="J34" s="7" t="n">
        <v>8172</v>
      </c>
      <c r="K34" s="7" t="n">
        <v>450</v>
      </c>
      <c r="L34" s="7" t="n">
        <v>0</v>
      </c>
      <c r="M34" s="7">
        <f>J34+K34+L34</f>
        <v/>
      </c>
      <c r="N34" s="7" t="n">
        <v>800</v>
      </c>
      <c r="O34" s="7" t="n">
        <v>950</v>
      </c>
      <c r="P34" s="7" t="n">
        <v>1050</v>
      </c>
      <c r="Q34" s="7" t="n">
        <v>1250</v>
      </c>
      <c r="R34" s="7" t="n">
        <v>1500</v>
      </c>
      <c r="S34" s="7" t="n">
        <v>1400</v>
      </c>
      <c r="T34" s="7" t="n">
        <v>1400</v>
      </c>
      <c r="U34" s="7" t="n">
        <v>1300</v>
      </c>
      <c r="V34" s="7">
        <f>SUM(OFFSET(N34,0,0,1,$AE$1))</f>
        <v/>
      </c>
      <c r="W34" s="7">
        <f>V34*$AE$2</f>
        <v/>
      </c>
      <c r="X34" s="7">
        <f>V34+W34</f>
        <v/>
      </c>
      <c r="Y34" s="7">
        <f>MAX(0,ROUND(V34-M34,0))</f>
        <v/>
      </c>
      <c r="Z34" s="7">
        <f>ROUND(W34,0)</f>
        <v/>
      </c>
      <c r="AA34" s="7">
        <f>Y34+Z34</f>
        <v/>
      </c>
    </row>
    <row r="35">
      <c r="A35" s="7" t="inlineStr">
        <is>
          <t>ETUDEHOUSE</t>
        </is>
      </c>
      <c r="B35" s="7" t="n">
        <v>169198316</v>
      </c>
      <c r="C35" s="7" t="n">
        <v>8809668028089</v>
      </c>
      <c r="D35" s="7" t="inlineStr">
        <is>
          <t>ETUDE - Baking Powder Pore Cleansing Foam [160ml] / Пенка для умывания с содой</t>
        </is>
      </c>
      <c r="E35" s="7" t="n">
        <v>260.3</v>
      </c>
      <c r="F35" s="7" t="n">
        <v>733</v>
      </c>
      <c r="G35" s="7" t="n">
        <v>-11.8</v>
      </c>
      <c r="H35" s="7" t="n">
        <v>-30.6</v>
      </c>
      <c r="I35" s="7" t="inlineStr">
        <is>
          <t>Ракета факт</t>
        </is>
      </c>
      <c r="J35" s="7" t="n">
        <v>0</v>
      </c>
      <c r="K35" s="7" t="n">
        <v>0</v>
      </c>
      <c r="L35" s="7" t="n">
        <v>0</v>
      </c>
      <c r="M35" s="7">
        <f>J35+K35+L35</f>
        <v/>
      </c>
      <c r="N35" s="7" t="n">
        <v>0</v>
      </c>
      <c r="O35" s="7" t="n">
        <v>0</v>
      </c>
      <c r="P35" s="7" t="n">
        <v>200</v>
      </c>
      <c r="Q35" s="7" t="n">
        <v>200</v>
      </c>
      <c r="R35" s="7" t="n">
        <v>300</v>
      </c>
      <c r="S35" s="7" t="n">
        <v>300</v>
      </c>
      <c r="T35" s="7" t="n">
        <v>250</v>
      </c>
      <c r="U35" s="7" t="n">
        <v>250</v>
      </c>
      <c r="V35" s="7">
        <f>SUM(OFFSET(N35,0,0,1,$AE$1))</f>
        <v/>
      </c>
      <c r="W35" s="7">
        <f>V35*$AE$2</f>
        <v/>
      </c>
      <c r="X35" s="7">
        <f>V35+W35</f>
        <v/>
      </c>
      <c r="Y35" s="7">
        <f>MAX(0,ROUND(V35-M35,0))</f>
        <v/>
      </c>
      <c r="Z35" s="7">
        <f>ROUND(W35,0)</f>
        <v/>
      </c>
      <c r="AA35" s="7">
        <f>Y35+Z35</f>
        <v/>
      </c>
    </row>
    <row r="36">
      <c r="A36" s="7" t="inlineStr">
        <is>
          <t>ETUDEHOUSE</t>
        </is>
      </c>
      <c r="B36" s="7" t="n">
        <v>307073881</v>
      </c>
      <c r="C36" s="7" t="n">
        <v>8809668028041</v>
      </c>
      <c r="D36" s="7" t="inlineStr">
        <is>
          <t>ETUDE - Baking Powder BB Deep Cleansing Foam [160ml] / Пенка с содой для глубокого очищения и снятия макияжа</t>
        </is>
      </c>
      <c r="E36" s="7" t="n">
        <v>292.9</v>
      </c>
      <c r="F36" s="7" t="n">
        <v>769</v>
      </c>
      <c r="G36" s="7" t="n">
        <v>50.2</v>
      </c>
      <c r="H36" s="7" t="n">
        <v>146.9</v>
      </c>
      <c r="I36" s="7" t="inlineStr">
        <is>
          <t>Ракета факт</t>
        </is>
      </c>
      <c r="J36" s="7" t="n">
        <v>322</v>
      </c>
      <c r="K36" s="7" t="n">
        <v>0</v>
      </c>
      <c r="L36" s="7" t="n">
        <v>0</v>
      </c>
      <c r="M36" s="7">
        <f>J36+K36+L36</f>
        <v/>
      </c>
      <c r="N36" s="7" t="n">
        <v>150</v>
      </c>
      <c r="O36" s="7" t="n">
        <v>160</v>
      </c>
      <c r="P36" s="7" t="n">
        <v>160</v>
      </c>
      <c r="Q36" s="7" t="n">
        <v>180</v>
      </c>
      <c r="R36" s="7" t="n">
        <v>220</v>
      </c>
      <c r="S36" s="7" t="n">
        <v>200</v>
      </c>
      <c r="T36" s="7" t="n">
        <v>180</v>
      </c>
      <c r="U36" s="7" t="n">
        <v>180</v>
      </c>
      <c r="V36" s="7">
        <f>SUM(OFFSET(N36,0,0,1,$AE$1))</f>
        <v/>
      </c>
      <c r="W36" s="7">
        <f>V36*$AE$2</f>
        <v/>
      </c>
      <c r="X36" s="7">
        <f>V36+W36</f>
        <v/>
      </c>
      <c r="Y36" s="7">
        <f>MAX(0,ROUND(V36-M36,0))</f>
        <v/>
      </c>
      <c r="Z36" s="7">
        <f>ROUND(W36,0)</f>
        <v/>
      </c>
      <c r="AA36" s="7">
        <f>Y36+Z36</f>
        <v/>
      </c>
    </row>
    <row r="37">
      <c r="A37" s="7" t="inlineStr">
        <is>
          <t>ETUDEHOUSE</t>
        </is>
      </c>
      <c r="B37" s="7" t="n">
        <v>154160085</v>
      </c>
      <c r="C37" s="7" t="n">
        <v>8809820692707</v>
      </c>
      <c r="D37" s="7" t="inlineStr">
        <is>
          <t>ETUDE - Baking Powder Crunch Pore Scrub [24*7ml] / Очищающий скраб для лица с содой</t>
        </is>
      </c>
      <c r="E37" s="7" t="n">
        <v>390</v>
      </c>
      <c r="F37" s="7" t="n">
        <v>1025</v>
      </c>
      <c r="G37" s="7" t="n">
        <v>26.9</v>
      </c>
      <c r="H37" s="7" t="n">
        <v>105.1</v>
      </c>
      <c r="I37" s="7" t="inlineStr">
        <is>
          <t>Ракета факт</t>
        </is>
      </c>
      <c r="J37" s="7" t="n">
        <v>233</v>
      </c>
      <c r="K37" s="7" t="n">
        <v>64</v>
      </c>
      <c r="L37" s="7" t="n">
        <v>0</v>
      </c>
      <c r="M37" s="7">
        <f>J37+K37+L37</f>
        <v/>
      </c>
      <c r="N37" s="7" t="n">
        <v>70</v>
      </c>
      <c r="O37" s="7" t="n">
        <v>80</v>
      </c>
      <c r="P37" s="7" t="n">
        <v>90</v>
      </c>
      <c r="Q37" s="7" t="n">
        <v>100</v>
      </c>
      <c r="R37" s="7" t="n">
        <v>120</v>
      </c>
      <c r="S37" s="7" t="n">
        <v>110</v>
      </c>
      <c r="T37" s="7" t="n">
        <v>100</v>
      </c>
      <c r="U37" s="7" t="n">
        <v>100</v>
      </c>
      <c r="V37" s="7">
        <f>SUM(OFFSET(N37,0,0,1,$AE$1))</f>
        <v/>
      </c>
      <c r="W37" s="7">
        <f>V37*$AE$2</f>
        <v/>
      </c>
      <c r="X37" s="7">
        <f>V37+W37</f>
        <v/>
      </c>
      <c r="Y37" s="7">
        <f>MAX(0,ROUND(V37-M37,0))</f>
        <v/>
      </c>
      <c r="Z37" s="7">
        <f>ROUND(W37,0)</f>
        <v/>
      </c>
      <c r="AA37" s="7">
        <f>Y37+Z37</f>
        <v/>
      </c>
    </row>
    <row r="38">
      <c r="A38" s="5" t="inlineStr">
        <is>
          <t>FARMSTAY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7" t="inlineStr">
        <is>
          <t>FARMSTAY</t>
        </is>
      </c>
      <c r="B39" s="7" t="n">
        <v>168956391</v>
      </c>
      <c r="C39" s="7" t="n">
        <v>8809469770002</v>
      </c>
      <c r="D39" s="7" t="inlineStr">
        <is>
          <t>FARMSTAY - Collagen &amp; Hyaluronic Acid All-In One Ampoule [250ml] / Сыворотка с коллагеном и гиалуроновой кислотой</t>
        </is>
      </c>
      <c r="E39" s="7" t="n">
        <v>347.8</v>
      </c>
      <c r="F39" s="7" t="n">
        <v>777</v>
      </c>
      <c r="G39" s="7" t="n">
        <v>65.8</v>
      </c>
      <c r="H39" s="7" t="n">
        <v>228.9</v>
      </c>
      <c r="I39" s="7" t="inlineStr">
        <is>
          <t>Ракета факт</t>
        </is>
      </c>
      <c r="J39" s="7" t="n">
        <v>6483</v>
      </c>
      <c r="K39" s="7" t="n">
        <v>311</v>
      </c>
      <c r="L39" s="7" t="n">
        <v>0</v>
      </c>
      <c r="M39" s="7">
        <f>J39+K39+L39</f>
        <v/>
      </c>
      <c r="N39" s="7" t="n">
        <v>1800</v>
      </c>
      <c r="O39" s="7" t="n">
        <v>2000</v>
      </c>
      <c r="P39" s="7" t="n">
        <v>2000</v>
      </c>
      <c r="Q39" s="7" t="n">
        <v>2200</v>
      </c>
      <c r="R39" s="7" t="n">
        <v>2200</v>
      </c>
      <c r="S39" s="7" t="n">
        <v>2100</v>
      </c>
      <c r="T39" s="7" t="n">
        <v>2000</v>
      </c>
      <c r="U39" s="7" t="n">
        <v>2000</v>
      </c>
      <c r="V39" s="7">
        <f>SUM(OFFSET(N39,0,0,1,$AE$1))</f>
        <v/>
      </c>
      <c r="W39" s="7">
        <f>V39*$AE$2</f>
        <v/>
      </c>
      <c r="X39" s="7">
        <f>V39+W39</f>
        <v/>
      </c>
      <c r="Y39" s="7">
        <f>MAX(0,ROUND(V39-M39,0))</f>
        <v/>
      </c>
      <c r="Z39" s="7">
        <f>ROUND(W39,0)</f>
        <v/>
      </c>
      <c r="AA39" s="7">
        <f>Y39+Z39</f>
        <v/>
      </c>
    </row>
    <row r="40">
      <c r="A40" s="7" t="inlineStr">
        <is>
          <t>FARMSTAY</t>
        </is>
      </c>
      <c r="B40" s="7" t="n">
        <v>207472742</v>
      </c>
      <c r="C40" s="7" t="n">
        <v>8809595056384</v>
      </c>
      <c r="D40" s="7" t="inlineStr">
        <is>
          <t>FARMSTAY - Black Garlic Nourishing Shampoo [530ml] / Шампунь-кондиционер 2в1 с экстрактом черного чеснока</t>
        </is>
      </c>
      <c r="E40" s="7" t="n">
        <v>396.7</v>
      </c>
      <c r="F40" s="7" t="n">
        <v>960</v>
      </c>
      <c r="G40" s="7" t="n">
        <v>40.5</v>
      </c>
      <c r="H40" s="7" t="n">
        <v>160.6</v>
      </c>
      <c r="I40" s="7" t="inlineStr">
        <is>
          <t>Ракета факт</t>
        </is>
      </c>
      <c r="J40" s="7" t="n">
        <v>3595</v>
      </c>
      <c r="K40" s="7" t="n">
        <v>499</v>
      </c>
      <c r="L40" s="7" t="n">
        <v>0</v>
      </c>
      <c r="M40" s="7">
        <f>J40+K40+L40</f>
        <v/>
      </c>
      <c r="N40" s="7" t="n">
        <v>900</v>
      </c>
      <c r="O40" s="7" t="n">
        <v>1000</v>
      </c>
      <c r="P40" s="7" t="n">
        <v>1000</v>
      </c>
      <c r="Q40" s="7" t="n">
        <v>1200</v>
      </c>
      <c r="R40" s="7" t="n">
        <v>1500</v>
      </c>
      <c r="S40" s="7" t="n">
        <v>1300</v>
      </c>
      <c r="T40" s="7" t="n">
        <v>1100</v>
      </c>
      <c r="U40" s="7" t="n">
        <v>1100</v>
      </c>
      <c r="V40" s="7">
        <f>SUM(OFFSET(N40,0,0,1,$AE$1))</f>
        <v/>
      </c>
      <c r="W40" s="7">
        <f>V40*$AE$2</f>
        <v/>
      </c>
      <c r="X40" s="7">
        <f>V40+W40</f>
        <v/>
      </c>
      <c r="Y40" s="7">
        <f>MAX(0,ROUND(V40-M40,0))</f>
        <v/>
      </c>
      <c r="Z40" s="7">
        <f>ROUND(W40,0)</f>
        <v/>
      </c>
      <c r="AA40" s="7">
        <f>Y40+Z40</f>
        <v/>
      </c>
    </row>
    <row r="41">
      <c r="A41" s="7" t="inlineStr">
        <is>
          <t>FARMSTAY</t>
        </is>
      </c>
      <c r="B41" s="7" t="n">
        <v>207476309</v>
      </c>
      <c r="C41" s="7" t="n">
        <v>8809595053659</v>
      </c>
      <c r="D41" s="7" t="inlineStr">
        <is>
          <t>FARMSTAY - Argan Oil Complete Volume Up Shampoo &amp; Conditioner [530ml] / Шампунь-кондиционер с аргановым маслом</t>
        </is>
      </c>
      <c r="E41" s="7" t="n">
        <v>400.8</v>
      </c>
      <c r="F41" s="7" t="n">
        <v>886</v>
      </c>
      <c r="G41" s="7" t="n">
        <v>8.5</v>
      </c>
      <c r="H41" s="7" t="n">
        <v>34</v>
      </c>
      <c r="I41" s="7" t="inlineStr">
        <is>
          <t>Ракета факт</t>
        </is>
      </c>
      <c r="J41" s="7" t="n">
        <v>2552</v>
      </c>
      <c r="K41" s="7" t="n">
        <v>513</v>
      </c>
      <c r="L41" s="7" t="n">
        <v>0</v>
      </c>
      <c r="M41" s="7">
        <f>J41+K41+L41</f>
        <v/>
      </c>
      <c r="N41" s="7" t="n">
        <v>400</v>
      </c>
      <c r="O41" s="7" t="n">
        <v>450</v>
      </c>
      <c r="P41" s="7" t="n">
        <v>500</v>
      </c>
      <c r="Q41" s="7" t="n">
        <v>500</v>
      </c>
      <c r="R41" s="7" t="n">
        <v>600</v>
      </c>
      <c r="S41" s="7" t="n">
        <v>500</v>
      </c>
      <c r="T41" s="7" t="n">
        <v>500</v>
      </c>
      <c r="U41" s="7" t="n">
        <v>500</v>
      </c>
      <c r="V41" s="7">
        <f>SUM(OFFSET(N41,0,0,1,$AE$1))</f>
        <v/>
      </c>
      <c r="W41" s="7">
        <f>V41*$AE$2</f>
        <v/>
      </c>
      <c r="X41" s="7">
        <f>V41+W41</f>
        <v/>
      </c>
      <c r="Y41" s="7">
        <f>MAX(0,ROUND(V41-M41,0))</f>
        <v/>
      </c>
      <c r="Z41" s="7">
        <f>ROUND(W41,0)</f>
        <v/>
      </c>
      <c r="AA41" s="7">
        <f>Y41+Z41</f>
        <v/>
      </c>
    </row>
    <row r="42">
      <c r="A42" s="7" t="inlineStr">
        <is>
          <t>FARMSTAY</t>
        </is>
      </c>
      <c r="B42" s="7" t="n">
        <v>207475898</v>
      </c>
      <c r="C42" s="7" t="n">
        <v>8809595053284</v>
      </c>
      <c r="D42" s="7" t="inlineStr">
        <is>
          <t>FARMSTAY - Collagen Water Full Shampoo &amp; Conditioner [530ml] / Шампунь-кондиционер 2в1 с коллагеном</t>
        </is>
      </c>
      <c r="E42" s="7" t="n">
        <v>396.7</v>
      </c>
      <c r="F42" s="7" t="n">
        <v>886</v>
      </c>
      <c r="G42" s="7" t="n">
        <v>44.1</v>
      </c>
      <c r="H42" s="7" t="n">
        <v>175</v>
      </c>
      <c r="I42" s="7" t="inlineStr">
        <is>
          <t>Ракета факт</t>
        </is>
      </c>
      <c r="J42" s="7" t="n">
        <v>3699</v>
      </c>
      <c r="K42" s="7" t="n">
        <v>528</v>
      </c>
      <c r="L42" s="7" t="n">
        <v>0</v>
      </c>
      <c r="M42" s="7">
        <f>J42+K42+L42</f>
        <v/>
      </c>
      <c r="N42" s="7" t="n">
        <v>250</v>
      </c>
      <c r="O42" s="7" t="n">
        <v>300</v>
      </c>
      <c r="P42" s="7" t="n">
        <v>350</v>
      </c>
      <c r="Q42" s="7" t="n">
        <v>350</v>
      </c>
      <c r="R42" s="7" t="n">
        <v>400</v>
      </c>
      <c r="S42" s="7" t="n">
        <v>350</v>
      </c>
      <c r="T42" s="7" t="n">
        <v>300</v>
      </c>
      <c r="U42" s="7" t="n">
        <v>300</v>
      </c>
      <c r="V42" s="7">
        <f>SUM(OFFSET(N42,0,0,1,$AE$1))</f>
        <v/>
      </c>
      <c r="W42" s="7">
        <f>V42*$AE$2</f>
        <v/>
      </c>
      <c r="X42" s="7">
        <f>V42+W42</f>
        <v/>
      </c>
      <c r="Y42" s="7">
        <f>MAX(0,ROUND(V42-M42,0))</f>
        <v/>
      </c>
      <c r="Z42" s="7">
        <f>ROUND(W42,0)</f>
        <v/>
      </c>
      <c r="AA42" s="7">
        <f>Y42+Z42</f>
        <v/>
      </c>
    </row>
    <row r="43">
      <c r="A43" s="7" t="inlineStr">
        <is>
          <t>FARMSTAY</t>
        </is>
      </c>
      <c r="B43" s="7" t="n">
        <v>169076150</v>
      </c>
      <c r="C43" s="7" t="n">
        <v>8809317289274</v>
      </c>
      <c r="D43" s="7" t="inlineStr">
        <is>
          <t>FARMSTAY - Escargot Noblesse Intensive Cream [50g] / Крем с муцином королевской улитки</t>
        </is>
      </c>
      <c r="E43" s="7" t="n">
        <v>313.8</v>
      </c>
      <c r="F43" s="7" t="n">
        <v>689</v>
      </c>
      <c r="G43" s="7" t="n">
        <v>45.7</v>
      </c>
      <c r="H43" s="7" t="n">
        <v>143.3</v>
      </c>
      <c r="I43" s="7" t="inlineStr">
        <is>
          <t>Ракета факт</t>
        </is>
      </c>
      <c r="J43" s="7" t="n">
        <v>988</v>
      </c>
      <c r="K43" s="7" t="n">
        <v>573</v>
      </c>
      <c r="L43" s="7" t="n">
        <v>0</v>
      </c>
      <c r="M43" s="7">
        <f>J43+K43+L43</f>
        <v/>
      </c>
      <c r="N43" s="7" t="n">
        <v>550</v>
      </c>
      <c r="O43" s="7" t="n">
        <v>600</v>
      </c>
      <c r="P43" s="7" t="n">
        <v>800</v>
      </c>
      <c r="Q43" s="7" t="n">
        <v>1000</v>
      </c>
      <c r="R43" s="7" t="n">
        <v>1300</v>
      </c>
      <c r="S43" s="7" t="n">
        <v>1100</v>
      </c>
      <c r="T43" s="7" t="n">
        <v>1000</v>
      </c>
      <c r="U43" s="7" t="n">
        <v>1000</v>
      </c>
      <c r="V43" s="7">
        <f>SUM(OFFSET(N43,0,0,1,$AE$1))</f>
        <v/>
      </c>
      <c r="W43" s="7">
        <f>V43*$AE$2</f>
        <v/>
      </c>
      <c r="X43" s="7">
        <f>V43+W43</f>
        <v/>
      </c>
      <c r="Y43" s="7">
        <f>MAX(0,ROUND(V43-M43,0))</f>
        <v/>
      </c>
      <c r="Z43" s="7">
        <f>ROUND(W43,0)</f>
        <v/>
      </c>
      <c r="AA43" s="7">
        <f>Y43+Z43</f>
        <v/>
      </c>
    </row>
    <row r="44">
      <c r="A44" s="7" t="inlineStr">
        <is>
          <t>FARMSTAY</t>
        </is>
      </c>
      <c r="B44" s="7" t="n">
        <v>207469760</v>
      </c>
      <c r="C44" s="7" t="n">
        <v>8809480770975</v>
      </c>
      <c r="D44" s="7" t="inlineStr">
        <is>
          <t>FARMSTAY - Gold Snail Premium Cream [50ml] / Омолаживающий крем с муцином улитки и коллоидным золотом</t>
        </is>
      </c>
      <c r="E44" s="7" t="n">
        <v>431.1</v>
      </c>
      <c r="F44" s="7" t="n">
        <v>863</v>
      </c>
      <c r="G44" s="7" t="n">
        <v>16.5</v>
      </c>
      <c r="H44" s="7" t="n">
        <v>71</v>
      </c>
      <c r="I44" s="7" t="inlineStr">
        <is>
          <t>Ракета факт</t>
        </is>
      </c>
      <c r="J44" s="7" t="n">
        <v>1128</v>
      </c>
      <c r="K44" s="7" t="n">
        <v>468</v>
      </c>
      <c r="L44" s="7" t="n">
        <v>0</v>
      </c>
      <c r="M44" s="7">
        <f>J44+K44+L44</f>
        <v/>
      </c>
      <c r="N44" s="7" t="n">
        <v>450</v>
      </c>
      <c r="O44" s="7" t="n">
        <v>450</v>
      </c>
      <c r="P44" s="7" t="n">
        <v>500</v>
      </c>
      <c r="Q44" s="7" t="n">
        <v>800</v>
      </c>
      <c r="R44" s="7" t="n">
        <v>1100</v>
      </c>
      <c r="S44" s="7" t="n">
        <v>1000</v>
      </c>
      <c r="T44" s="7" t="n">
        <v>900</v>
      </c>
      <c r="U44" s="7" t="n">
        <v>900</v>
      </c>
      <c r="V44" s="7">
        <f>SUM(OFFSET(N44,0,0,1,$AE$1))</f>
        <v/>
      </c>
      <c r="W44" s="7">
        <f>V44*$AE$2</f>
        <v/>
      </c>
      <c r="X44" s="7">
        <f>V44+W44</f>
        <v/>
      </c>
      <c r="Y44" s="7">
        <f>MAX(0,ROUND(V44-M44,0))</f>
        <v/>
      </c>
      <c r="Z44" s="7">
        <f>ROUND(W44,0)</f>
        <v/>
      </c>
      <c r="AA44" s="7">
        <f>Y44+Z44</f>
        <v/>
      </c>
    </row>
    <row r="45">
      <c r="A45" s="7" t="inlineStr">
        <is>
          <t>FARMSTAY</t>
        </is>
      </c>
      <c r="B45" s="7" t="n">
        <v>419630142</v>
      </c>
      <c r="C45" s="7" t="n">
        <v>8809469772778</v>
      </c>
      <c r="D45" s="7" t="inlineStr">
        <is>
          <t xml:space="preserve">FARMSTAY ESCARGOT NOBLESSE INTENSIVE AMPOULE/ сыворотка с улиткой </t>
        </is>
      </c>
      <c r="E45" s="7" t="n">
        <v>390.5</v>
      </c>
      <c r="F45" s="7" t="n">
        <v>777</v>
      </c>
      <c r="G45" s="7" t="n">
        <v>40.1</v>
      </c>
      <c r="H45" s="7" t="n">
        <v>156.5</v>
      </c>
      <c r="I45" s="7" t="inlineStr">
        <is>
          <t>Ракета факт</t>
        </is>
      </c>
      <c r="J45" s="7" t="n">
        <v>1039</v>
      </c>
      <c r="K45" s="7" t="n">
        <v>155</v>
      </c>
      <c r="L45" s="7" t="n">
        <v>0</v>
      </c>
      <c r="M45" s="7">
        <f>J45+K45+L45</f>
        <v/>
      </c>
      <c r="N45" s="7" t="n">
        <v>200</v>
      </c>
      <c r="O45" s="7" t="n">
        <v>200</v>
      </c>
      <c r="P45" s="7" t="n">
        <v>250</v>
      </c>
      <c r="Q45" s="7" t="n">
        <v>350</v>
      </c>
      <c r="R45" s="7" t="n">
        <v>400</v>
      </c>
      <c r="S45" s="7" t="n">
        <v>350</v>
      </c>
      <c r="T45" s="7" t="n">
        <v>300</v>
      </c>
      <c r="U45" s="7" t="n">
        <v>300</v>
      </c>
      <c r="V45" s="7">
        <f>SUM(OFFSET(N45,0,0,1,$AE$1))</f>
        <v/>
      </c>
      <c r="W45" s="7">
        <f>V45*$AE$2</f>
        <v/>
      </c>
      <c r="X45" s="7">
        <f>V45+W45</f>
        <v/>
      </c>
      <c r="Y45" s="7">
        <f>MAX(0,ROUND(V45-M45,0))</f>
        <v/>
      </c>
      <c r="Z45" s="7">
        <f>ROUND(W45,0)</f>
        <v/>
      </c>
      <c r="AA45" s="7">
        <f>Y45+Z45</f>
        <v/>
      </c>
    </row>
    <row r="46">
      <c r="A46" s="7" t="inlineStr">
        <is>
          <t>FARMSTAY</t>
        </is>
      </c>
      <c r="B46" s="7" t="n">
        <v>207477077</v>
      </c>
      <c r="C46" s="7" t="n">
        <v>8802221001338</v>
      </c>
      <c r="D46" s="7" t="inlineStr">
        <is>
          <t>FARMSTAY - Collagen Water Full Moist Cream [100g] / Увлажняющий крем с коллагеном</t>
        </is>
      </c>
      <c r="E46" s="7" t="n">
        <v>484.4</v>
      </c>
      <c r="F46" s="7" t="n">
        <v>987</v>
      </c>
      <c r="G46" s="7" t="n">
        <v>38.5</v>
      </c>
      <c r="H46" s="7" t="n">
        <v>186.4</v>
      </c>
      <c r="I46" s="7" t="inlineStr">
        <is>
          <t>Ракета факт</t>
        </is>
      </c>
      <c r="J46" s="7" t="n">
        <v>295</v>
      </c>
      <c r="K46" s="7" t="n">
        <v>175</v>
      </c>
      <c r="L46" s="7" t="n">
        <v>0</v>
      </c>
      <c r="M46" s="7">
        <f>J46+K46+L46</f>
        <v/>
      </c>
      <c r="N46" s="7" t="n">
        <v>200</v>
      </c>
      <c r="O46" s="7" t="n">
        <v>200</v>
      </c>
      <c r="P46" s="7" t="n">
        <v>250</v>
      </c>
      <c r="Q46" s="7" t="n">
        <v>300</v>
      </c>
      <c r="R46" s="7" t="n">
        <v>350</v>
      </c>
      <c r="S46" s="7" t="n">
        <v>300</v>
      </c>
      <c r="T46" s="7" t="n">
        <v>250</v>
      </c>
      <c r="U46" s="7" t="n">
        <v>250</v>
      </c>
      <c r="V46" s="7">
        <f>SUM(OFFSET(N46,0,0,1,$AE$1))</f>
        <v/>
      </c>
      <c r="W46" s="7">
        <f>V46*$AE$2</f>
        <v/>
      </c>
      <c r="X46" s="7">
        <f>V46+W46</f>
        <v/>
      </c>
      <c r="Y46" s="7">
        <f>MAX(0,ROUND(V46-M46,0))</f>
        <v/>
      </c>
      <c r="Z46" s="7">
        <f>ROUND(W46,0)</f>
        <v/>
      </c>
      <c r="AA46" s="7">
        <f>Y46+Z46</f>
        <v/>
      </c>
    </row>
    <row r="47">
      <c r="A47" s="7" t="inlineStr">
        <is>
          <t>FARMSTAY</t>
        </is>
      </c>
      <c r="B47" s="7" t="n">
        <v>212885914</v>
      </c>
      <c r="C47" s="7" t="n">
        <v>8809480772504</v>
      </c>
      <c r="D47" s="7" t="inlineStr">
        <is>
          <t>FARMSTAY - Collagen Water Full Moist Rolling Eye Serum [25ml] / Сыворотка роллер для глаз</t>
        </is>
      </c>
      <c r="E47" s="7" t="n">
        <v>231.7</v>
      </c>
      <c r="F47" s="7" t="n">
        <v>2442</v>
      </c>
      <c r="G47" s="7" t="n">
        <v>29.2</v>
      </c>
      <c r="H47" s="7" t="n">
        <v>67.59999999999999</v>
      </c>
      <c r="I47" s="7" t="inlineStr">
        <is>
          <t>юнитка ф3</t>
        </is>
      </c>
      <c r="J47" s="7" t="n">
        <v>504</v>
      </c>
      <c r="K47" s="7" t="n">
        <v>48</v>
      </c>
      <c r="L47" s="7" t="n">
        <v>0</v>
      </c>
      <c r="M47" s="7">
        <f>J47+K47+L47</f>
        <v/>
      </c>
      <c r="N47" s="7" t="n">
        <v>100</v>
      </c>
      <c r="O47" s="7" t="n">
        <v>100</v>
      </c>
      <c r="P47" s="7" t="n">
        <v>125</v>
      </c>
      <c r="Q47" s="7" t="n">
        <v>150</v>
      </c>
      <c r="R47" s="7" t="n">
        <v>200</v>
      </c>
      <c r="S47" s="7" t="n">
        <v>200</v>
      </c>
      <c r="T47" s="7" t="n">
        <v>150</v>
      </c>
      <c r="U47" s="7" t="n">
        <v>150</v>
      </c>
      <c r="V47" s="7">
        <f>SUM(OFFSET(N47,0,0,1,$AE$1))</f>
        <v/>
      </c>
      <c r="W47" s="7">
        <f>V47*$AE$2</f>
        <v/>
      </c>
      <c r="X47" s="7">
        <f>V47+W47</f>
        <v/>
      </c>
      <c r="Y47" s="7">
        <f>MAX(0,ROUND(V47-M47,0))</f>
        <v/>
      </c>
      <c r="Z47" s="7">
        <f>ROUND(W47,0)</f>
        <v/>
      </c>
      <c r="AA47" s="7">
        <f>Y47+Z47</f>
        <v/>
      </c>
    </row>
    <row r="48">
      <c r="A48" s="7" t="inlineStr">
        <is>
          <t>FARMSTAY</t>
        </is>
      </c>
      <c r="B48" s="7" t="n">
        <v>207476777</v>
      </c>
      <c r="C48" s="7" t="n">
        <v>8809317289472</v>
      </c>
      <c r="D48" s="7" t="inlineStr">
        <is>
          <t xml:space="preserve">FARMSTAY - Collagen Pure Cleansing Foam [180ml]/Пенка для умывания </t>
        </is>
      </c>
      <c r="E48" s="7" t="n">
        <v>161.5</v>
      </c>
      <c r="F48" s="7" t="n">
        <v>511</v>
      </c>
      <c r="G48" s="7" t="n">
        <v>85.5</v>
      </c>
      <c r="H48" s="7" t="n">
        <v>138.1</v>
      </c>
      <c r="I48" s="7" t="inlineStr">
        <is>
          <t>Ракета факт</t>
        </is>
      </c>
      <c r="J48" s="7" t="n">
        <v>515</v>
      </c>
      <c r="K48" s="7" t="n">
        <v>158</v>
      </c>
      <c r="L48" s="7" t="n">
        <v>0</v>
      </c>
      <c r="M48" s="7">
        <f>J48+K48+L48</f>
        <v/>
      </c>
      <c r="N48" s="7" t="n">
        <v>45</v>
      </c>
      <c r="O48" s="7" t="n">
        <v>45</v>
      </c>
      <c r="P48" s="7" t="n">
        <v>50</v>
      </c>
      <c r="Q48" s="7" t="n">
        <v>60</v>
      </c>
      <c r="R48" s="7" t="n">
        <v>70</v>
      </c>
      <c r="S48" s="7" t="n">
        <v>60</v>
      </c>
      <c r="T48" s="7" t="n">
        <v>50</v>
      </c>
      <c r="U48" s="7" t="n">
        <v>50</v>
      </c>
      <c r="V48" s="7">
        <f>SUM(OFFSET(N48,0,0,1,$AE$1))</f>
        <v/>
      </c>
      <c r="W48" s="7">
        <f>V48*$AE$2</f>
        <v/>
      </c>
      <c r="X48" s="7">
        <f>V48+W48</f>
        <v/>
      </c>
      <c r="Y48" s="7">
        <f>MAX(0,ROUND(V48-M48,0))</f>
        <v/>
      </c>
      <c r="Z48" s="7">
        <f>ROUND(W48,0)</f>
        <v/>
      </c>
      <c r="AA48" s="7">
        <f>Y48+Z48</f>
        <v/>
      </c>
    </row>
    <row r="49">
      <c r="A49" s="5" t="inlineStr">
        <is>
          <t>HEIMISH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7" t="inlineStr">
        <is>
          <t>HEIMISH</t>
        </is>
      </c>
      <c r="B50" s="7" t="n">
        <v>207466866</v>
      </c>
      <c r="C50" s="7" t="n">
        <v>8809481760463</v>
      </c>
      <c r="D50" s="7" t="inlineStr">
        <is>
          <t>HEIMISH - Artless Glow Base SPF50+ PA+++(Renew) [40ml] / База под макияж SPF50+ PA+++</t>
        </is>
      </c>
      <c r="E50" s="7" t="n">
        <v>770.5</v>
      </c>
      <c r="F50" s="7" t="n">
        <v>1532</v>
      </c>
      <c r="G50" s="7" t="n">
        <v>50</v>
      </c>
      <c r="H50" s="7" t="n">
        <v>385.3</v>
      </c>
      <c r="I50" s="7" t="inlineStr">
        <is>
          <t>Ракета факт</t>
        </is>
      </c>
      <c r="J50" s="7" t="n">
        <v>1134</v>
      </c>
      <c r="K50" s="7" t="n">
        <v>282</v>
      </c>
      <c r="L50" s="7" t="n">
        <v>0</v>
      </c>
      <c r="M50" s="7">
        <f>J50+K50+L50</f>
        <v/>
      </c>
      <c r="N50" s="7" t="n">
        <v>150</v>
      </c>
      <c r="O50" s="7" t="n">
        <v>200</v>
      </c>
      <c r="P50" s="7" t="n">
        <v>200</v>
      </c>
      <c r="Q50" s="7" t="n">
        <v>250</v>
      </c>
      <c r="R50" s="7" t="n">
        <v>300</v>
      </c>
      <c r="S50" s="7" t="n">
        <v>250</v>
      </c>
      <c r="T50" s="7" t="n">
        <v>225</v>
      </c>
      <c r="U50" s="7" t="n">
        <v>225</v>
      </c>
      <c r="V50" s="7">
        <f>SUM(OFFSET(N50,0,0,1,$AE$1))</f>
        <v/>
      </c>
      <c r="W50" s="7">
        <f>V50*$AE$2</f>
        <v/>
      </c>
      <c r="X50" s="7">
        <f>V50+W50</f>
        <v/>
      </c>
      <c r="Y50" s="7">
        <f>MAX(0,ROUND(V50-M50,0))</f>
        <v/>
      </c>
      <c r="Z50" s="7">
        <f>ROUND(W50,0)</f>
        <v/>
      </c>
      <c r="AA50" s="7">
        <f>Y50+Z50</f>
        <v/>
      </c>
    </row>
    <row r="51">
      <c r="A51" s="5" t="inlineStr">
        <is>
          <t>I'MSORRYFORMYSKIN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7" t="inlineStr">
        <is>
          <t>I'MSORRYFORMYSKIN</t>
        </is>
      </c>
      <c r="B52" s="7" t="n">
        <v>206135397</v>
      </c>
      <c r="C52" s="7" t="n">
        <v>8809665594457</v>
      </c>
      <c r="D52" s="7" t="inlineStr">
        <is>
          <t>I'm Sorry For My Skin - Age Capture Hydrating Cream / Увлажняющий капсульный крем</t>
        </is>
      </c>
      <c r="E52" s="7" t="n">
        <v>616.1</v>
      </c>
      <c r="F52" s="7" t="n">
        <v>1500</v>
      </c>
      <c r="G52" s="7" t="n">
        <v>48.6</v>
      </c>
      <c r="H52" s="7" t="n">
        <v>189.8</v>
      </c>
      <c r="I52" s="7" t="inlineStr">
        <is>
          <t>юнитка ф3</t>
        </is>
      </c>
      <c r="J52" s="7" t="n">
        <v>0</v>
      </c>
      <c r="K52" s="7" t="n">
        <v>0</v>
      </c>
      <c r="L52" s="7" t="n">
        <v>840</v>
      </c>
      <c r="M52" s="7">
        <f>J52+K52+L52</f>
        <v/>
      </c>
      <c r="N52" s="7" t="n">
        <v>0</v>
      </c>
      <c r="O52" s="7" t="n">
        <v>0</v>
      </c>
      <c r="P52" s="7" t="n">
        <v>70</v>
      </c>
      <c r="Q52" s="7" t="n">
        <v>70</v>
      </c>
      <c r="R52" s="7" t="n">
        <v>100</v>
      </c>
      <c r="S52" s="7" t="n">
        <v>100</v>
      </c>
      <c r="T52" s="7" t="n">
        <v>90</v>
      </c>
      <c r="U52" s="7" t="n">
        <v>120</v>
      </c>
      <c r="V52" s="7">
        <f>SUM(OFFSET(N52,0,0,1,$AE$1))</f>
        <v/>
      </c>
      <c r="W52" s="7">
        <f>V52*$AE$2</f>
        <v/>
      </c>
      <c r="X52" s="7">
        <f>V52+W52</f>
        <v/>
      </c>
      <c r="Y52" s="7">
        <f>MAX(0,ROUND(V52-M52,0))</f>
        <v/>
      </c>
      <c r="Z52" s="7">
        <f>ROUND(W52,0)</f>
        <v/>
      </c>
      <c r="AA52" s="7">
        <f>Y52+Z52</f>
        <v/>
      </c>
    </row>
    <row r="53">
      <c r="A53" s="7" t="inlineStr">
        <is>
          <t>I'MSORRYFORMYSKIN</t>
        </is>
      </c>
      <c r="B53" s="7" t="n">
        <v>206122859</v>
      </c>
      <c r="C53" s="7" t="n">
        <v>8809665594488</v>
      </c>
      <c r="D53" s="7" t="inlineStr">
        <is>
          <t>I'm Sorry For My Skin - Age Capture Firming Enriched Cream / Увлажняющий капсульный крем</t>
        </is>
      </c>
      <c r="E53" s="7" t="n">
        <v>573.2</v>
      </c>
      <c r="F53" s="7" t="n">
        <v>1500</v>
      </c>
      <c r="G53" s="7" t="n">
        <v>48.9</v>
      </c>
      <c r="H53" s="7" t="n">
        <v>190.7</v>
      </c>
      <c r="I53" s="7" t="inlineStr">
        <is>
          <t>юнитка ф3</t>
        </is>
      </c>
      <c r="J53" s="7" t="n">
        <v>0</v>
      </c>
      <c r="K53" s="7" t="n">
        <v>0</v>
      </c>
      <c r="L53" s="7" t="n">
        <v>840</v>
      </c>
      <c r="M53" s="7">
        <f>J53+K53+L53</f>
        <v/>
      </c>
      <c r="N53" s="7" t="n">
        <v>0</v>
      </c>
      <c r="O53" s="7" t="n">
        <v>0</v>
      </c>
      <c r="P53" s="7" t="n">
        <v>70</v>
      </c>
      <c r="Q53" s="7" t="n">
        <v>70</v>
      </c>
      <c r="R53" s="7" t="n">
        <v>100</v>
      </c>
      <c r="S53" s="7" t="n">
        <v>100</v>
      </c>
      <c r="T53" s="7" t="n">
        <v>90</v>
      </c>
      <c r="U53" s="7" t="n">
        <v>120</v>
      </c>
      <c r="V53" s="7">
        <f>SUM(OFFSET(N53,0,0,1,$AE$1))</f>
        <v/>
      </c>
      <c r="W53" s="7">
        <f>V53*$AE$2</f>
        <v/>
      </c>
      <c r="X53" s="7">
        <f>V53+W53</f>
        <v/>
      </c>
      <c r="Y53" s="7">
        <f>MAX(0,ROUND(V53-M53,0))</f>
        <v/>
      </c>
      <c r="Z53" s="7">
        <f>ROUND(W53,0)</f>
        <v/>
      </c>
      <c r="AA53" s="7">
        <f>Y53+Z53</f>
        <v/>
      </c>
    </row>
    <row r="54">
      <c r="A54" s="7" t="inlineStr">
        <is>
          <t>I'MSORRYFORMYSKIN</t>
        </is>
      </c>
      <c r="B54" s="7" t="n">
        <v>206126372</v>
      </c>
      <c r="C54" s="7" t="n">
        <v>8809665594471</v>
      </c>
      <c r="D54" s="7" t="inlineStr">
        <is>
          <t>I'm Sorry For My Skin - Age Capture Vitalizer Cream / Увлажняющий капсульный крем</t>
        </is>
      </c>
      <c r="E54" s="7" t="n">
        <v>573.2</v>
      </c>
      <c r="F54" s="7" t="n">
        <v>1500</v>
      </c>
      <c r="G54" s="7" t="n">
        <v>50.8</v>
      </c>
      <c r="H54" s="7" t="n">
        <v>198.1</v>
      </c>
      <c r="I54" s="7" t="inlineStr">
        <is>
          <t>юнитка ф3</t>
        </is>
      </c>
      <c r="J54" s="7" t="n">
        <v>0</v>
      </c>
      <c r="K54" s="7" t="n">
        <v>142</v>
      </c>
      <c r="L54" s="7" t="n">
        <v>480</v>
      </c>
      <c r="M54" s="7">
        <f>J54+K54+L54</f>
        <v/>
      </c>
      <c r="N54" s="7" t="n">
        <v>0</v>
      </c>
      <c r="O54" s="7" t="n">
        <v>0</v>
      </c>
      <c r="P54" s="7" t="n">
        <v>40</v>
      </c>
      <c r="Q54" s="7" t="n">
        <v>40</v>
      </c>
      <c r="R54" s="7" t="n">
        <v>70</v>
      </c>
      <c r="S54" s="7" t="n">
        <v>70</v>
      </c>
      <c r="T54" s="7" t="n">
        <v>60</v>
      </c>
      <c r="U54" s="7" t="n">
        <v>100</v>
      </c>
      <c r="V54" s="7">
        <f>SUM(OFFSET(N54,0,0,1,$AE$1))</f>
        <v/>
      </c>
      <c r="W54" s="7">
        <f>V54*$AE$2</f>
        <v/>
      </c>
      <c r="X54" s="7">
        <f>V54+W54</f>
        <v/>
      </c>
      <c r="Y54" s="7">
        <f>MAX(0,ROUND(V54-M54,0))</f>
        <v/>
      </c>
      <c r="Z54" s="7">
        <f>ROUND(W54,0)</f>
        <v/>
      </c>
      <c r="AA54" s="7">
        <f>Y54+Z54</f>
        <v/>
      </c>
    </row>
    <row r="55">
      <c r="A55" s="7" t="inlineStr">
        <is>
          <t>I'MSORRYFORMYSKIN</t>
        </is>
      </c>
      <c r="B55" s="7" t="n">
        <v>206125905</v>
      </c>
      <c r="C55" s="7" t="n">
        <v>8809665594464</v>
      </c>
      <c r="D55" s="7" t="inlineStr">
        <is>
          <t>I'm Sorry For My Skin - Age Capture Skin Relief Cream / Увлажняющий капсульный крем</t>
        </is>
      </c>
      <c r="E55" s="7" t="n">
        <v>616.1</v>
      </c>
      <c r="F55" s="7" t="n">
        <v>1500</v>
      </c>
      <c r="G55" s="7" t="n">
        <v>50.5</v>
      </c>
      <c r="H55" s="7" t="n">
        <v>196.9</v>
      </c>
      <c r="I55" s="7" t="inlineStr">
        <is>
          <t>юнитка ф3</t>
        </is>
      </c>
      <c r="J55" s="7" t="n">
        <v>0</v>
      </c>
      <c r="K55" s="7" t="n">
        <v>0</v>
      </c>
      <c r="L55" s="7" t="n">
        <v>480</v>
      </c>
      <c r="M55" s="7">
        <f>J55+K55+L55</f>
        <v/>
      </c>
      <c r="N55" s="7" t="n">
        <v>0</v>
      </c>
      <c r="O55" s="7" t="n">
        <v>0</v>
      </c>
      <c r="P55" s="7" t="n">
        <v>40</v>
      </c>
      <c r="Q55" s="7" t="n">
        <v>40</v>
      </c>
      <c r="R55" s="7" t="n">
        <v>70</v>
      </c>
      <c r="S55" s="7" t="n">
        <v>70</v>
      </c>
      <c r="T55" s="7" t="n">
        <v>60</v>
      </c>
      <c r="U55" s="7" t="n">
        <v>100</v>
      </c>
      <c r="V55" s="7">
        <f>SUM(OFFSET(N55,0,0,1,$AE$1))</f>
        <v/>
      </c>
      <c r="W55" s="7">
        <f>V55*$AE$2</f>
        <v/>
      </c>
      <c r="X55" s="7">
        <f>V55+W55</f>
        <v/>
      </c>
      <c r="Y55" s="7">
        <f>MAX(0,ROUND(V55-M55,0))</f>
        <v/>
      </c>
      <c r="Z55" s="7">
        <f>ROUND(W55,0)</f>
        <v/>
      </c>
      <c r="AA55" s="7">
        <f>Y55+Z55</f>
        <v/>
      </c>
    </row>
    <row r="56">
      <c r="A56" s="5" t="inlineStr">
        <is>
          <t>JIGOTT-CREAM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7" t="inlineStr">
        <is>
          <t>JIGOTT-CREAM</t>
        </is>
      </c>
      <c r="B57" s="7" t="n">
        <v>207482718</v>
      </c>
      <c r="C57" s="7" t="n">
        <v>8809210034124</v>
      </c>
      <c r="D57" s="7" t="inlineStr">
        <is>
          <t>JIGOTT - Snail Lifting Cream [70ml] / Крем для лица увлажняющий антивозрастной</t>
        </is>
      </c>
      <c r="E57" s="7" t="n">
        <v>202.3</v>
      </c>
      <c r="F57" s="7" t="n">
        <v>460</v>
      </c>
      <c r="G57" s="7" t="n">
        <v>9.5</v>
      </c>
      <c r="H57" s="7" t="n">
        <v>19.3</v>
      </c>
      <c r="I57" s="7" t="inlineStr">
        <is>
          <t>Ракета факт</t>
        </is>
      </c>
      <c r="J57" s="7" t="n">
        <v>7944</v>
      </c>
      <c r="K57" s="7" t="n">
        <v>389</v>
      </c>
      <c r="L57" s="7" t="n">
        <v>0</v>
      </c>
      <c r="M57" s="7">
        <f>J57+K57+L57</f>
        <v/>
      </c>
      <c r="N57" s="7" t="n">
        <v>500</v>
      </c>
      <c r="O57" s="7" t="n">
        <v>700</v>
      </c>
      <c r="P57" s="7" t="n">
        <v>800</v>
      </c>
      <c r="Q57" s="7" t="n">
        <v>1200</v>
      </c>
      <c r="R57" s="7" t="n">
        <v>1400</v>
      </c>
      <c r="S57" s="7" t="n">
        <v>1600</v>
      </c>
      <c r="T57" s="7" t="n">
        <v>1600</v>
      </c>
      <c r="U57" s="7" t="n">
        <v>1400</v>
      </c>
      <c r="V57" s="7">
        <f>SUM(OFFSET(N57,0,0,1,$AE$1))</f>
        <v/>
      </c>
      <c r="W57" s="7">
        <f>V57*$AE$2</f>
        <v/>
      </c>
      <c r="X57" s="7">
        <f>V57+W57</f>
        <v/>
      </c>
      <c r="Y57" s="7">
        <f>MAX(0,ROUND(V57-M57,0))</f>
        <v/>
      </c>
      <c r="Z57" s="7">
        <f>ROUND(W57,0)</f>
        <v/>
      </c>
      <c r="AA57" s="7">
        <f>Y57+Z57</f>
        <v/>
      </c>
    </row>
    <row r="58">
      <c r="A58" s="7" t="inlineStr">
        <is>
          <t>JIGOTT-CREAM</t>
        </is>
      </c>
      <c r="B58" s="7" t="n">
        <v>207483179</v>
      </c>
      <c r="C58" s="7" t="n">
        <v>8809210036517</v>
      </c>
      <c r="D58" s="7" t="inlineStr">
        <is>
          <t>JIGOTT - Snail Reparing Cream [100ml] / Крем для лица увлажняющий антивозрастной с муцином улитки</t>
        </is>
      </c>
      <c r="E58" s="7" t="n">
        <v>185.9</v>
      </c>
      <c r="F58" s="7" t="n">
        <v>460</v>
      </c>
      <c r="G58" s="7" t="n">
        <v>32.1</v>
      </c>
      <c r="H58" s="7" t="n">
        <v>59.7</v>
      </c>
      <c r="I58" s="7" t="inlineStr">
        <is>
          <t>Ракета факт</t>
        </is>
      </c>
      <c r="J58" s="7" t="n">
        <v>1266</v>
      </c>
      <c r="K58" s="7" t="n">
        <v>108</v>
      </c>
      <c r="L58" s="7" t="n">
        <v>0</v>
      </c>
      <c r="M58" s="7">
        <f>J58+K58+L58</f>
        <v/>
      </c>
      <c r="N58" s="7" t="n">
        <v>200</v>
      </c>
      <c r="O58" s="7" t="n">
        <v>200</v>
      </c>
      <c r="P58" s="7" t="n">
        <v>250</v>
      </c>
      <c r="Q58" s="7" t="n">
        <v>350</v>
      </c>
      <c r="R58" s="7" t="n">
        <v>650</v>
      </c>
      <c r="S58" s="7" t="n">
        <v>600</v>
      </c>
      <c r="T58" s="7" t="n">
        <v>500</v>
      </c>
      <c r="U58" s="7" t="n">
        <v>500</v>
      </c>
      <c r="V58" s="7">
        <f>SUM(OFFSET(N58,0,0,1,$AE$1))</f>
        <v/>
      </c>
      <c r="W58" s="7">
        <f>V58*$AE$2</f>
        <v/>
      </c>
      <c r="X58" s="7">
        <f>V58+W58</f>
        <v/>
      </c>
      <c r="Y58" s="7">
        <f>MAX(0,ROUND(V58-M58,0))</f>
        <v/>
      </c>
      <c r="Z58" s="7">
        <f>ROUND(W58,0)</f>
        <v/>
      </c>
      <c r="AA58" s="7">
        <f>Y58+Z58</f>
        <v/>
      </c>
    </row>
    <row r="59">
      <c r="A59" s="7" t="inlineStr">
        <is>
          <t>JIGOTT-CREAM</t>
        </is>
      </c>
      <c r="B59" s="7" t="n">
        <v>207483780</v>
      </c>
      <c r="C59" s="7" t="n">
        <v>8809210034087</v>
      </c>
      <c r="D59" s="7" t="inlineStr">
        <is>
          <t>JIGOTT - Birds Nest Firming Cream [70ml] / Антивозрастной крем с экстрактом ласточкиного гнезда</t>
        </is>
      </c>
      <c r="E59" s="7" t="n">
        <v>202.3</v>
      </c>
      <c r="F59" s="7" t="n">
        <v>493</v>
      </c>
      <c r="G59" s="7" t="n">
        <v>66.3</v>
      </c>
      <c r="H59" s="7" t="n">
        <v>134.1</v>
      </c>
      <c r="I59" s="7" t="inlineStr">
        <is>
          <t>Ракета факт</t>
        </is>
      </c>
      <c r="J59" s="7" t="n">
        <v>1775</v>
      </c>
      <c r="K59" s="7" t="n">
        <v>141</v>
      </c>
      <c r="L59" s="7" t="n">
        <v>0</v>
      </c>
      <c r="M59" s="7">
        <f>J59+K59+L59</f>
        <v/>
      </c>
      <c r="N59" s="7" t="n">
        <v>100</v>
      </c>
      <c r="O59" s="7" t="n">
        <v>150</v>
      </c>
      <c r="P59" s="7" t="n">
        <v>170</v>
      </c>
      <c r="Q59" s="7" t="n">
        <v>200</v>
      </c>
      <c r="R59" s="7" t="n">
        <v>350</v>
      </c>
      <c r="S59" s="7" t="n">
        <v>350</v>
      </c>
      <c r="T59" s="7" t="n">
        <v>250</v>
      </c>
      <c r="U59" s="7" t="n">
        <v>250</v>
      </c>
      <c r="V59" s="7">
        <f>SUM(OFFSET(N59,0,0,1,$AE$1))</f>
        <v/>
      </c>
      <c r="W59" s="7">
        <f>V59*$AE$2</f>
        <v/>
      </c>
      <c r="X59" s="7">
        <f>V59+W59</f>
        <v/>
      </c>
      <c r="Y59" s="7">
        <f>MAX(0,ROUND(V59-M59,0))</f>
        <v/>
      </c>
      <c r="Z59" s="7">
        <f>ROUND(W59,0)</f>
        <v/>
      </c>
      <c r="AA59" s="7">
        <f>Y59+Z59</f>
        <v/>
      </c>
    </row>
    <row r="60">
      <c r="A60" s="7" t="inlineStr">
        <is>
          <t>JIGOTT-CREAM</t>
        </is>
      </c>
      <c r="B60" s="7" t="n">
        <v>212753217</v>
      </c>
      <c r="C60" s="7" t="n">
        <v>8809210036524</v>
      </c>
      <c r="D60" s="7" t="inlineStr">
        <is>
          <t>JIGOTT - Collagen Healing Cream [100ml] / Крем для лица с коллагеном</t>
        </is>
      </c>
      <c r="E60" s="7" t="n">
        <v>175.4</v>
      </c>
      <c r="F60" s="7" t="n">
        <v>493</v>
      </c>
      <c r="G60" s="7" t="n">
        <v>110.2</v>
      </c>
      <c r="H60" s="7" t="n">
        <v>193.3</v>
      </c>
      <c r="I60" s="7" t="inlineStr">
        <is>
          <t>Ракета факт</t>
        </is>
      </c>
      <c r="J60" s="7" t="n">
        <v>0</v>
      </c>
      <c r="K60" s="7" t="n">
        <v>127</v>
      </c>
      <c r="L60" s="7" t="n">
        <v>0</v>
      </c>
      <c r="M60" s="7">
        <f>J60+K60+L60</f>
        <v/>
      </c>
      <c r="N60" s="7" t="n">
        <v>40</v>
      </c>
      <c r="O60" s="7" t="n">
        <v>50</v>
      </c>
      <c r="P60" s="7" t="n">
        <v>50</v>
      </c>
      <c r="Q60" s="7" t="n">
        <v>60</v>
      </c>
      <c r="R60" s="7" t="n">
        <v>70</v>
      </c>
      <c r="S60" s="7" t="n">
        <v>70</v>
      </c>
      <c r="T60" s="7" t="n">
        <v>60</v>
      </c>
      <c r="U60" s="7" t="n">
        <v>60</v>
      </c>
      <c r="V60" s="7">
        <f>SUM(OFFSET(N60,0,0,1,$AE$1))</f>
        <v/>
      </c>
      <c r="W60" s="7">
        <f>V60*$AE$2</f>
        <v/>
      </c>
      <c r="X60" s="7">
        <f>V60+W60</f>
        <v/>
      </c>
      <c r="Y60" s="7">
        <f>MAX(0,ROUND(V60-M60,0))</f>
        <v/>
      </c>
      <c r="Z60" s="7">
        <f>ROUND(W60,0)</f>
        <v/>
      </c>
      <c r="AA60" s="7">
        <f>Y60+Z60</f>
        <v/>
      </c>
    </row>
    <row r="61">
      <c r="A61" s="5" t="inlineStr">
        <is>
          <t>JIGOTT-MASK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7" t="inlineStr">
        <is>
          <t>JIGOTT-MASK</t>
        </is>
      </c>
      <c r="B62" s="7" t="n">
        <v>255574453</v>
      </c>
      <c r="C62" s="7" t="n"/>
      <c r="D62" s="7" t="inlineStr">
        <is>
          <t>JIGOTT - Ассорти набор масок [27ml х 15]</t>
        </is>
      </c>
      <c r="E62" s="7" t="n">
        <v>334.1</v>
      </c>
      <c r="F62" s="7" t="n">
        <v>866</v>
      </c>
      <c r="G62" s="7" t="n">
        <v>84.3</v>
      </c>
      <c r="H62" s="7" t="n">
        <v>281.5</v>
      </c>
      <c r="I62" s="7" t="inlineStr">
        <is>
          <t>Ракета факт</t>
        </is>
      </c>
      <c r="J62" s="7" t="n">
        <v>1350</v>
      </c>
      <c r="K62" s="7" t="n">
        <v>499</v>
      </c>
      <c r="L62" s="7" t="n">
        <v>0</v>
      </c>
      <c r="M62" s="7">
        <f>J62+K62+L62</f>
        <v/>
      </c>
      <c r="N62" s="7" t="n">
        <v>150</v>
      </c>
      <c r="O62" s="7" t="n">
        <v>175</v>
      </c>
      <c r="P62" s="7" t="n">
        <v>200</v>
      </c>
      <c r="Q62" s="7" t="n">
        <v>250</v>
      </c>
      <c r="R62" s="7" t="n">
        <v>400</v>
      </c>
      <c r="S62" s="7" t="n">
        <v>400</v>
      </c>
      <c r="T62" s="7" t="n">
        <v>300</v>
      </c>
      <c r="U62" s="7" t="n">
        <v>300</v>
      </c>
      <c r="V62" s="7">
        <f>SUM(OFFSET(N62,0,0,1,$AE$1))</f>
        <v/>
      </c>
      <c r="W62" s="7">
        <f>V62*$AE$2</f>
        <v/>
      </c>
      <c r="X62" s="7">
        <f>V62+W62</f>
        <v/>
      </c>
      <c r="Y62" s="7">
        <f>MAX(0,ROUND(V62-M62,0))</f>
        <v/>
      </c>
      <c r="Z62" s="7">
        <f>ROUND(W62,0)</f>
        <v/>
      </c>
      <c r="AA62" s="7">
        <f>Y62+Z62</f>
        <v/>
      </c>
    </row>
    <row r="63">
      <c r="A63" s="5" t="inlineStr">
        <is>
          <t>JIGOTT-TONER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7" t="inlineStr">
        <is>
          <t>JIGOTT-TONER</t>
        </is>
      </c>
      <c r="B64" s="7" t="n">
        <v>212757456</v>
      </c>
      <c r="C64" s="7" t="n">
        <v>8809541282447</v>
      </c>
      <c r="D64" s="7" t="inlineStr">
        <is>
          <t>JIGOTT - Daily Real Cica Toner [300ml] / Тонер для лица с центеллой азиатской</t>
        </is>
      </c>
      <c r="E64" s="7" t="n">
        <v>265.4</v>
      </c>
      <c r="F64" s="7" t="n">
        <v>641</v>
      </c>
      <c r="G64" s="7" t="n">
        <v>12.9</v>
      </c>
      <c r="H64" s="7" t="n">
        <v>34.4</v>
      </c>
      <c r="I64" s="7" t="inlineStr">
        <is>
          <t>Ракета факт</t>
        </is>
      </c>
      <c r="J64" s="7" t="n">
        <v>1502</v>
      </c>
      <c r="K64" s="7" t="n">
        <v>540</v>
      </c>
      <c r="L64" s="7" t="n">
        <v>0</v>
      </c>
      <c r="M64" s="7">
        <f>J64+K64+L64</f>
        <v/>
      </c>
      <c r="N64" s="7" t="n">
        <v>200</v>
      </c>
      <c r="O64" s="7" t="n">
        <v>250</v>
      </c>
      <c r="P64" s="7" t="n">
        <v>300</v>
      </c>
      <c r="Q64" s="7" t="n">
        <v>300</v>
      </c>
      <c r="R64" s="7" t="n">
        <v>400</v>
      </c>
      <c r="S64" s="7" t="n">
        <v>400</v>
      </c>
      <c r="T64" s="7" t="n">
        <v>350</v>
      </c>
      <c r="U64" s="7" t="n">
        <v>350</v>
      </c>
      <c r="V64" s="7">
        <f>SUM(OFFSET(N64,0,0,1,$AE$1))</f>
        <v/>
      </c>
      <c r="W64" s="7">
        <f>V64*$AE$2</f>
        <v/>
      </c>
      <c r="X64" s="7">
        <f>V64+W64</f>
        <v/>
      </c>
      <c r="Y64" s="7">
        <f>MAX(0,ROUND(V64-M64,0))</f>
        <v/>
      </c>
      <c r="Z64" s="7">
        <f>ROUND(W64,0)</f>
        <v/>
      </c>
      <c r="AA64" s="7">
        <f>Y64+Z64</f>
        <v/>
      </c>
    </row>
    <row r="65">
      <c r="A65" s="7" t="inlineStr">
        <is>
          <t>JIGOTT-TONER</t>
        </is>
      </c>
      <c r="B65" s="7" t="n">
        <v>212760119</v>
      </c>
      <c r="C65" s="7" t="n">
        <v>8809541282461</v>
      </c>
      <c r="D65" s="7" t="inlineStr">
        <is>
          <t>JIGOTT - Ultimate Real Collagen Toner [300ml] / тонер с коллагеном антивозрастной</t>
        </is>
      </c>
      <c r="E65" s="7" t="n">
        <v>265.4</v>
      </c>
      <c r="F65" s="7" t="n">
        <v>641</v>
      </c>
      <c r="G65" s="7" t="n">
        <v>55.2</v>
      </c>
      <c r="H65" s="7" t="n">
        <v>146.5</v>
      </c>
      <c r="I65" s="7" t="inlineStr">
        <is>
          <t>Ракета факт</t>
        </is>
      </c>
      <c r="J65" s="7" t="n">
        <v>1296</v>
      </c>
      <c r="K65" s="7" t="n">
        <v>596</v>
      </c>
      <c r="L65" s="7" t="n">
        <v>0</v>
      </c>
      <c r="M65" s="7">
        <f>J65+K65+L65</f>
        <v/>
      </c>
      <c r="N65" s="7" t="n">
        <v>150</v>
      </c>
      <c r="O65" s="7" t="n">
        <v>200</v>
      </c>
      <c r="P65" s="7" t="n">
        <v>250</v>
      </c>
      <c r="Q65" s="7" t="n">
        <v>250</v>
      </c>
      <c r="R65" s="7" t="n">
        <v>350</v>
      </c>
      <c r="S65" s="7" t="n">
        <v>350</v>
      </c>
      <c r="T65" s="7" t="n">
        <v>300</v>
      </c>
      <c r="U65" s="7" t="n">
        <v>300</v>
      </c>
      <c r="V65" s="7">
        <f>SUM(OFFSET(N65,0,0,1,$AE$1))</f>
        <v/>
      </c>
      <c r="W65" s="7">
        <f>V65*$AE$2</f>
        <v/>
      </c>
      <c r="X65" s="7">
        <f>V65+W65</f>
        <v/>
      </c>
      <c r="Y65" s="7">
        <f>MAX(0,ROUND(V65-M65,0))</f>
        <v/>
      </c>
      <c r="Z65" s="7">
        <f>ROUND(W65,0)</f>
        <v/>
      </c>
      <c r="AA65" s="7">
        <f>Y65+Z65</f>
        <v/>
      </c>
    </row>
    <row r="66">
      <c r="A66" s="7" t="inlineStr">
        <is>
          <t>JIGOTT-TONER</t>
        </is>
      </c>
      <c r="B66" s="7" t="n">
        <v>212759698</v>
      </c>
      <c r="C66" s="7" t="n">
        <v>8809541282508</v>
      </c>
      <c r="D66" s="7" t="inlineStr">
        <is>
          <t>JIGOTT - Moisture Real Aloe Vera Toner [300ml] / Тонер для лица увлажняющий с экстрактом алоэ</t>
        </is>
      </c>
      <c r="E66" s="7" t="n">
        <v>265.4</v>
      </c>
      <c r="F66" s="7" t="n"/>
      <c r="G66" s="7" t="n"/>
      <c r="H66" s="7" t="n"/>
      <c r="I66" s="7" t="inlineStr">
        <is>
          <t>нет данных</t>
        </is>
      </c>
      <c r="J66" s="7" t="n">
        <v>369</v>
      </c>
      <c r="K66" s="7" t="n">
        <v>106</v>
      </c>
      <c r="L66" s="7" t="n">
        <v>0</v>
      </c>
      <c r="M66" s="7">
        <f>J66+K66+L66</f>
        <v/>
      </c>
      <c r="N66" s="7" t="n">
        <v>100</v>
      </c>
      <c r="O66" s="7" t="n">
        <v>125</v>
      </c>
      <c r="P66" s="7" t="n">
        <v>125</v>
      </c>
      <c r="Q66" s="7" t="n">
        <v>150</v>
      </c>
      <c r="R66" s="7" t="n">
        <v>200</v>
      </c>
      <c r="S66" s="7" t="n">
        <v>200</v>
      </c>
      <c r="T66" s="7" t="n">
        <v>150</v>
      </c>
      <c r="U66" s="7" t="n">
        <v>150</v>
      </c>
      <c r="V66" s="7">
        <f>SUM(OFFSET(N66,0,0,1,$AE$1))</f>
        <v/>
      </c>
      <c r="W66" s="7">
        <f>V66*$AE$2</f>
        <v/>
      </c>
      <c r="X66" s="7">
        <f>V66+W66</f>
        <v/>
      </c>
      <c r="Y66" s="7">
        <f>MAX(0,ROUND(V66-M66,0))</f>
        <v/>
      </c>
      <c r="Z66" s="7">
        <f>ROUND(W66,0)</f>
        <v/>
      </c>
      <c r="AA66" s="7">
        <f>Y66+Z66</f>
        <v/>
      </c>
    </row>
    <row r="67">
      <c r="A67" s="7" t="inlineStr">
        <is>
          <t>JIGOTT-TONER</t>
        </is>
      </c>
      <c r="B67" s="7" t="n">
        <v>212883090</v>
      </c>
      <c r="C67" s="7" t="n">
        <v>8809541282485</v>
      </c>
      <c r="D67" s="7" t="inlineStr">
        <is>
          <t>JIGOTT - Aura Secret Hyaluronec Acid Toner [300ml] / Тонер с гиалуроновой кислотой антивозрастной</t>
        </is>
      </c>
      <c r="E67" s="7" t="n">
        <v>265.4</v>
      </c>
      <c r="F67" s="7" t="n">
        <v>641</v>
      </c>
      <c r="G67" s="7" t="n">
        <v>49.9</v>
      </c>
      <c r="H67" s="7" t="n">
        <v>132.3</v>
      </c>
      <c r="I67" s="7" t="inlineStr">
        <is>
          <t>Ракета факт</t>
        </is>
      </c>
      <c r="J67" s="7" t="n">
        <v>430</v>
      </c>
      <c r="K67" s="7" t="n">
        <v>204</v>
      </c>
      <c r="L67" s="7" t="n">
        <v>0</v>
      </c>
      <c r="M67" s="7">
        <f>J67+K67+L67</f>
        <v/>
      </c>
      <c r="N67" s="7" t="n">
        <v>50</v>
      </c>
      <c r="O67" s="7" t="n">
        <v>70</v>
      </c>
      <c r="P67" s="7" t="n">
        <v>70</v>
      </c>
      <c r="Q67" s="7" t="n">
        <v>90</v>
      </c>
      <c r="R67" s="7" t="n">
        <v>120</v>
      </c>
      <c r="S67" s="7" t="n">
        <v>120</v>
      </c>
      <c r="T67" s="7" t="n">
        <v>90</v>
      </c>
      <c r="U67" s="7" t="n">
        <v>90</v>
      </c>
      <c r="V67" s="7">
        <f>SUM(OFFSET(N67,0,0,1,$AE$1))</f>
        <v/>
      </c>
      <c r="W67" s="7">
        <f>V67*$AE$2</f>
        <v/>
      </c>
      <c r="X67" s="7">
        <f>V67+W67</f>
        <v/>
      </c>
      <c r="Y67" s="7">
        <f>MAX(0,ROUND(V67-M67,0))</f>
        <v/>
      </c>
      <c r="Z67" s="7">
        <f>ROUND(W67,0)</f>
        <v/>
      </c>
      <c r="AA67" s="7">
        <f>Y67+Z67</f>
        <v/>
      </c>
    </row>
    <row r="68">
      <c r="A68" s="5" t="inlineStr">
        <is>
          <t>JM-MASKPACKBLACK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7" t="inlineStr">
        <is>
          <t>JM-MASKPACKBLACK</t>
        </is>
      </c>
      <c r="B69" s="7" t="n">
        <v>214977901</v>
      </c>
      <c r="C69" s="7" t="n"/>
      <c r="D69" s="7" t="inlineStr">
        <is>
          <t>JMSOLUTION - MASK PACK BLACK [30ml*10ea] - ассорти набор 10шт в упаковке</t>
        </is>
      </c>
      <c r="E69" s="7" t="n">
        <v>463.2</v>
      </c>
      <c r="F69" s="7" t="n">
        <v>1021</v>
      </c>
      <c r="G69" s="7" t="n">
        <v>61.7</v>
      </c>
      <c r="H69" s="7" t="n">
        <v>285.9</v>
      </c>
      <c r="I69" s="7" t="inlineStr">
        <is>
          <t>Ракета факт</t>
        </is>
      </c>
      <c r="J69" s="7" t="n">
        <v>1042</v>
      </c>
      <c r="K69" s="7" t="n">
        <v>401</v>
      </c>
      <c r="L69" s="7" t="n">
        <v>0</v>
      </c>
      <c r="M69" s="7">
        <f>J69+K69+L69</f>
        <v/>
      </c>
      <c r="N69" s="7" t="n">
        <v>100</v>
      </c>
      <c r="O69" s="7" t="n">
        <v>125</v>
      </c>
      <c r="P69" s="7" t="n">
        <v>150</v>
      </c>
      <c r="Q69" s="7" t="n">
        <v>175</v>
      </c>
      <c r="R69" s="7" t="n">
        <v>250</v>
      </c>
      <c r="S69" s="7" t="n">
        <v>250</v>
      </c>
      <c r="T69" s="7" t="n">
        <v>200</v>
      </c>
      <c r="U69" s="7" t="n">
        <v>200</v>
      </c>
      <c r="V69" s="7">
        <f>SUM(OFFSET(N69,0,0,1,$AE$1))</f>
        <v/>
      </c>
      <c r="W69" s="7">
        <f>V69*$AE$2</f>
        <v/>
      </c>
      <c r="X69" s="7">
        <f>V69+W69</f>
        <v/>
      </c>
      <c r="Y69" s="7">
        <f>MAX(0,ROUND(V69-M69,0))</f>
        <v/>
      </c>
      <c r="Z69" s="7">
        <f>ROUND(W69,0)</f>
        <v/>
      </c>
      <c r="AA69" s="7">
        <f>Y69+Z69</f>
        <v/>
      </c>
    </row>
    <row r="70">
      <c r="A70" s="5" t="inlineStr">
        <is>
          <t>JM-MASKPACKDISNEY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7" t="inlineStr">
        <is>
          <t>JM-MASKPACKDISNEY</t>
        </is>
      </c>
      <c r="B71" s="7" t="n">
        <v>214964091</v>
      </c>
      <c r="C71" s="7" t="n"/>
      <c r="D71" s="7" t="inlineStr">
        <is>
          <t>JMSOLUTION - MASK PACK DISNEY [30ml*10ea]  - ассорти набор из 10шт</t>
        </is>
      </c>
      <c r="E71" s="7" t="n">
        <v>463.2</v>
      </c>
      <c r="F71" s="7" t="n">
        <v>1144</v>
      </c>
      <c r="G71" s="7" t="n">
        <v>85.3</v>
      </c>
      <c r="H71" s="7" t="n">
        <v>395.4</v>
      </c>
      <c r="I71" s="7" t="inlineStr">
        <is>
          <t>Ракета факт</t>
        </is>
      </c>
      <c r="J71" s="7" t="n">
        <v>835</v>
      </c>
      <c r="K71" s="7" t="n">
        <v>109</v>
      </c>
      <c r="L71" s="7" t="n">
        <v>0</v>
      </c>
      <c r="M71" s="7">
        <f>J71+K71+L71</f>
        <v/>
      </c>
      <c r="N71" s="7" t="n">
        <v>100</v>
      </c>
      <c r="O71" s="7" t="n">
        <v>125</v>
      </c>
      <c r="P71" s="7" t="n">
        <v>150</v>
      </c>
      <c r="Q71" s="7" t="n">
        <v>175</v>
      </c>
      <c r="R71" s="7" t="n">
        <v>250</v>
      </c>
      <c r="S71" s="7" t="n">
        <v>250</v>
      </c>
      <c r="T71" s="7" t="n">
        <v>200</v>
      </c>
      <c r="U71" s="7" t="n">
        <v>200</v>
      </c>
      <c r="V71" s="7">
        <f>SUM(OFFSET(N71,0,0,1,$AE$1))</f>
        <v/>
      </c>
      <c r="W71" s="7">
        <f>V71*$AE$2</f>
        <v/>
      </c>
      <c r="X71" s="7">
        <f>V71+W71</f>
        <v/>
      </c>
      <c r="Y71" s="7">
        <f>MAX(0,ROUND(V71-M71,0))</f>
        <v/>
      </c>
      <c r="Z71" s="7">
        <f>ROUND(W71,0)</f>
        <v/>
      </c>
      <c r="AA71" s="7">
        <f>Y71+Z71</f>
        <v/>
      </c>
    </row>
    <row r="72">
      <c r="A72" s="5" t="inlineStr">
        <is>
          <t>LANEIGE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7" t="inlineStr">
        <is>
          <t>LANEIGE</t>
        </is>
      </c>
      <c r="B73" s="7" t="n">
        <v>868761530</v>
      </c>
      <c r="C73" s="7" t="n"/>
      <c r="D73" s="7" t="inlineStr">
        <is>
          <t>LANEIGE LIP SLEEPING MASK-BERRY [3g]</t>
        </is>
      </c>
      <c r="E73" s="7" t="n">
        <v>130.9</v>
      </c>
      <c r="F73" s="7" t="n">
        <v>432</v>
      </c>
      <c r="G73" s="7" t="n">
        <v>21.3</v>
      </c>
      <c r="H73" s="7" t="n">
        <v>27.8</v>
      </c>
      <c r="I73" s="7" t="inlineStr">
        <is>
          <t>Ракета факт</t>
        </is>
      </c>
      <c r="J73" s="7" t="n">
        <v>350</v>
      </c>
      <c r="K73" s="7" t="n">
        <v>550</v>
      </c>
      <c r="L73" s="7" t="n">
        <v>0</v>
      </c>
      <c r="M73" s="7">
        <f>J73+K73+L73</f>
        <v/>
      </c>
      <c r="N73" s="7" t="n">
        <v>93</v>
      </c>
      <c r="O73" s="7" t="n">
        <v>76</v>
      </c>
      <c r="P73" s="7" t="n">
        <v>76</v>
      </c>
      <c r="Q73" s="7" t="n">
        <v>76</v>
      </c>
      <c r="R73" s="7" t="n">
        <v>92</v>
      </c>
      <c r="S73" s="7" t="n">
        <v>94</v>
      </c>
      <c r="T73" s="7" t="n">
        <v>76</v>
      </c>
      <c r="U73" s="7" t="n">
        <v>83</v>
      </c>
      <c r="V73" s="7">
        <f>SUM(OFFSET(N73,0,0,1,$AE$1))</f>
        <v/>
      </c>
      <c r="W73" s="7">
        <f>V73*$AE$2</f>
        <v/>
      </c>
      <c r="X73" s="7">
        <f>V73+W73</f>
        <v/>
      </c>
      <c r="Y73" s="7">
        <f>MAX(0,ROUND(V73-M73,0))</f>
        <v/>
      </c>
      <c r="Z73" s="7">
        <f>ROUND(W73,0)</f>
        <v/>
      </c>
      <c r="AA73" s="7">
        <f>Y73+Z73</f>
        <v/>
      </c>
    </row>
    <row r="74">
      <c r="A74" s="5" t="inlineStr">
        <is>
          <t>MANYO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7" t="inlineStr">
        <is>
          <t>MANYO</t>
        </is>
      </c>
      <c r="B75" s="7" t="n">
        <v>198156472</v>
      </c>
      <c r="C75" s="7" t="n">
        <v>8809730952014</v>
      </c>
      <c r="D75" s="7" t="inlineStr">
        <is>
          <t>MANYO - Galac Whitening Vita Serum [50ml] / Осветляющая сыворотка с Витамином C</t>
        </is>
      </c>
      <c r="E75" s="7" t="n">
        <v>646.8</v>
      </c>
      <c r="F75" s="7" t="n">
        <v>1497</v>
      </c>
      <c r="G75" s="7" t="n">
        <v>108.4</v>
      </c>
      <c r="H75" s="7" t="n">
        <v>700.9</v>
      </c>
      <c r="I75" s="7" t="inlineStr">
        <is>
          <t>Ракета факт</t>
        </is>
      </c>
      <c r="J75" s="7" t="n">
        <v>893</v>
      </c>
      <c r="K75" s="7" t="n">
        <v>87</v>
      </c>
      <c r="L75" s="7" t="n">
        <v>0</v>
      </c>
      <c r="M75" s="7">
        <f>J75+K75+L75</f>
        <v/>
      </c>
      <c r="N75" s="7" t="n">
        <v>200</v>
      </c>
      <c r="O75" s="7" t="n">
        <v>225</v>
      </c>
      <c r="P75" s="7" t="n">
        <v>225</v>
      </c>
      <c r="Q75" s="7" t="n">
        <v>250</v>
      </c>
      <c r="R75" s="7" t="n">
        <v>275</v>
      </c>
      <c r="S75" s="7" t="n">
        <v>250</v>
      </c>
      <c r="T75" s="7" t="n">
        <v>225</v>
      </c>
      <c r="U75" s="7" t="n">
        <v>225</v>
      </c>
      <c r="V75" s="7">
        <f>SUM(OFFSET(N75,0,0,1,$AE$1))</f>
        <v/>
      </c>
      <c r="W75" s="7">
        <f>V75*$AE$2</f>
        <v/>
      </c>
      <c r="X75" s="7">
        <f>V75+W75</f>
        <v/>
      </c>
      <c r="Y75" s="7">
        <f>MAX(0,ROUND(V75-M75,0))</f>
        <v/>
      </c>
      <c r="Z75" s="7">
        <f>ROUND(W75,0)</f>
        <v/>
      </c>
      <c r="AA75" s="7">
        <f>Y75+Z75</f>
        <v/>
      </c>
    </row>
    <row r="76">
      <c r="A76" s="7" t="inlineStr">
        <is>
          <t>MANYO</t>
        </is>
      </c>
      <c r="B76" s="7" t="n">
        <v>198156698</v>
      </c>
      <c r="C76" s="7" t="n">
        <v>8809082392292</v>
      </c>
      <c r="D76" s="7" t="inlineStr">
        <is>
          <t>MANYO - Pure Cleansing Oil [200ml] / Гидрофильное масло для глубокого очищения</t>
        </is>
      </c>
      <c r="E76" s="7" t="n">
        <v>853</v>
      </c>
      <c r="F76" s="7" t="n">
        <v>2103</v>
      </c>
      <c r="G76" s="7" t="n">
        <v>92.5</v>
      </c>
      <c r="H76" s="7" t="n">
        <v>788.8</v>
      </c>
      <c r="I76" s="7" t="inlineStr">
        <is>
          <t>Ракета факт</t>
        </is>
      </c>
      <c r="J76" s="7" t="n">
        <v>255</v>
      </c>
      <c r="K76" s="7" t="n">
        <v>58</v>
      </c>
      <c r="L76" s="7" t="n">
        <v>0</v>
      </c>
      <c r="M76" s="7">
        <f>J76+K76+L76</f>
        <v/>
      </c>
      <c r="N76" s="7" t="n">
        <v>120</v>
      </c>
      <c r="O76" s="7" t="n">
        <v>125</v>
      </c>
      <c r="P76" s="7" t="n">
        <v>135</v>
      </c>
      <c r="Q76" s="7" t="n">
        <v>150</v>
      </c>
      <c r="R76" s="7" t="n">
        <v>200</v>
      </c>
      <c r="S76" s="7" t="n">
        <v>200</v>
      </c>
      <c r="T76" s="7" t="n">
        <v>150</v>
      </c>
      <c r="U76" s="7" t="n">
        <v>150</v>
      </c>
      <c r="V76" s="7">
        <f>SUM(OFFSET(N76,0,0,1,$AE$1))</f>
        <v/>
      </c>
      <c r="W76" s="7">
        <f>V76*$AE$2</f>
        <v/>
      </c>
      <c r="X76" s="7">
        <f>V76+W76</f>
        <v/>
      </c>
      <c r="Y76" s="7">
        <f>MAX(0,ROUND(V76-M76,0))</f>
        <v/>
      </c>
      <c r="Z76" s="7">
        <f>ROUND(W76,0)</f>
        <v/>
      </c>
      <c r="AA76" s="7">
        <f>Y76+Z76</f>
        <v/>
      </c>
    </row>
    <row r="77">
      <c r="A77" s="7" t="inlineStr">
        <is>
          <t>MANYO</t>
        </is>
      </c>
      <c r="B77" s="7" t="n">
        <v>198147185</v>
      </c>
      <c r="C77" s="7" t="n">
        <v>8809657114700</v>
      </c>
      <c r="D77" s="7" t="inlineStr">
        <is>
          <t>MANYO - Bifida Biome Complex Ampoule [50ml] / Антивозрастная сыворотка для лица</t>
        </is>
      </c>
      <c r="E77" s="7" t="n">
        <v>899.8</v>
      </c>
      <c r="F77" s="7" t="n">
        <v>2176</v>
      </c>
      <c r="G77" s="7" t="n">
        <v>141.1</v>
      </c>
      <c r="H77" s="7" t="n">
        <v>1269.2</v>
      </c>
      <c r="I77" s="7" t="inlineStr">
        <is>
          <t>Ракета факт</t>
        </is>
      </c>
      <c r="J77" s="7" t="n">
        <v>1496</v>
      </c>
      <c r="K77" s="7" t="n">
        <v>303</v>
      </c>
      <c r="L77" s="7" t="n">
        <v>0</v>
      </c>
      <c r="M77" s="7">
        <f>J77+K77+L77</f>
        <v/>
      </c>
      <c r="N77" s="7" t="n">
        <v>140</v>
      </c>
      <c r="O77" s="7" t="n">
        <v>160</v>
      </c>
      <c r="P77" s="7" t="n">
        <v>170</v>
      </c>
      <c r="Q77" s="7" t="n">
        <v>180</v>
      </c>
      <c r="R77" s="7" t="n">
        <v>220</v>
      </c>
      <c r="S77" s="7" t="n">
        <v>220</v>
      </c>
      <c r="T77" s="7" t="n">
        <v>200</v>
      </c>
      <c r="U77" s="7" t="n">
        <v>200</v>
      </c>
      <c r="V77" s="7">
        <f>SUM(OFFSET(N77,0,0,1,$AE$1))</f>
        <v/>
      </c>
      <c r="W77" s="7">
        <f>V77*$AE$2</f>
        <v/>
      </c>
      <c r="X77" s="7">
        <f>V77+W77</f>
        <v/>
      </c>
      <c r="Y77" s="7">
        <f>MAX(0,ROUND(V77-M77,0))</f>
        <v/>
      </c>
      <c r="Z77" s="7">
        <f>ROUND(W77,0)</f>
        <v/>
      </c>
      <c r="AA77" s="7">
        <f>Y77+Z77</f>
        <v/>
      </c>
    </row>
    <row r="78">
      <c r="A78" s="7" t="inlineStr">
        <is>
          <t>MANYO</t>
        </is>
      </c>
      <c r="B78" s="7" t="n">
        <v>198143251</v>
      </c>
      <c r="C78" s="7" t="n">
        <v>8809730952236</v>
      </c>
      <c r="D78" s="7" t="inlineStr">
        <is>
          <t>MANYO - Bifida Biome Ampoule Lotion [300ml] / Укрепляющий лосьон с бифидобактериями</t>
        </is>
      </c>
      <c r="E78" s="7" t="n">
        <v>735.3</v>
      </c>
      <c r="F78" s="7" t="n">
        <v>1283</v>
      </c>
      <c r="G78" s="7" t="n">
        <v>68.5</v>
      </c>
      <c r="H78" s="7" t="n">
        <v>503.4</v>
      </c>
      <c r="I78" s="7" t="inlineStr">
        <is>
          <t>Ракета факт</t>
        </is>
      </c>
      <c r="J78" s="7" t="n">
        <v>820</v>
      </c>
      <c r="K78" s="7" t="n">
        <v>97</v>
      </c>
      <c r="L78" s="7" t="n">
        <v>0</v>
      </c>
      <c r="M78" s="7">
        <f>J78+K78+L78</f>
        <v/>
      </c>
      <c r="N78" s="7" t="n">
        <v>140</v>
      </c>
      <c r="O78" s="7" t="n">
        <v>160</v>
      </c>
      <c r="P78" s="7" t="n">
        <v>170</v>
      </c>
      <c r="Q78" s="7" t="n">
        <v>180</v>
      </c>
      <c r="R78" s="7" t="n">
        <v>220</v>
      </c>
      <c r="S78" s="7" t="n">
        <v>220</v>
      </c>
      <c r="T78" s="7" t="n">
        <v>200</v>
      </c>
      <c r="U78" s="7" t="n">
        <v>200</v>
      </c>
      <c r="V78" s="7">
        <f>SUM(OFFSET(N78,0,0,1,$AE$1))</f>
        <v/>
      </c>
      <c r="W78" s="7">
        <f>V78*$AE$2</f>
        <v/>
      </c>
      <c r="X78" s="7">
        <f>V78+W78</f>
        <v/>
      </c>
      <c r="Y78" s="7">
        <f>MAX(0,ROUND(V78-M78,0))</f>
        <v/>
      </c>
      <c r="Z78" s="7">
        <f>ROUND(W78,0)</f>
        <v/>
      </c>
      <c r="AA78" s="7">
        <f>Y78+Z78</f>
        <v/>
      </c>
    </row>
    <row r="79">
      <c r="A79" s="7" t="inlineStr">
        <is>
          <t>MANYO</t>
        </is>
      </c>
      <c r="B79" s="7" t="n">
        <v>868575374</v>
      </c>
      <c r="C79" s="7" t="n">
        <v>8809567929722</v>
      </c>
      <c r="D79" s="7" t="inlineStr">
        <is>
          <t>MANYO BIFIDA COMPLEX AMPOULE GEL CLEANSER [400ml] / Гель для умывания с бифидобактериями</t>
        </is>
      </c>
      <c r="E79" s="7" t="n">
        <v>739.9</v>
      </c>
      <c r="F79" s="7" t="n">
        <v>1758</v>
      </c>
      <c r="G79" s="7" t="n">
        <v>78.59999999999999</v>
      </c>
      <c r="H79" s="7" t="n">
        <v>581.3</v>
      </c>
      <c r="I79" s="7" t="inlineStr">
        <is>
          <t>Ракета факт</t>
        </is>
      </c>
      <c r="J79" s="7" t="n">
        <v>830</v>
      </c>
      <c r="K79" s="7" t="n">
        <v>282</v>
      </c>
      <c r="L79" s="7" t="n">
        <v>0</v>
      </c>
      <c r="M79" s="7">
        <f>J79+K79+L79</f>
        <v/>
      </c>
      <c r="N79" s="7" t="n">
        <v>80</v>
      </c>
      <c r="O79" s="7" t="n">
        <v>90</v>
      </c>
      <c r="P79" s="7" t="n">
        <v>100</v>
      </c>
      <c r="Q79" s="7" t="n">
        <v>110</v>
      </c>
      <c r="R79" s="7" t="n">
        <v>130</v>
      </c>
      <c r="S79" s="7" t="n">
        <v>120</v>
      </c>
      <c r="T79" s="7" t="n">
        <v>110</v>
      </c>
      <c r="U79" s="7" t="n">
        <v>110</v>
      </c>
      <c r="V79" s="7">
        <f>SUM(OFFSET(N79,0,0,1,$AE$1))</f>
        <v/>
      </c>
      <c r="W79" s="7">
        <f>V79*$AE$2</f>
        <v/>
      </c>
      <c r="X79" s="7">
        <f>V79+W79</f>
        <v/>
      </c>
      <c r="Y79" s="7">
        <f>MAX(0,ROUND(V79-M79,0))</f>
        <v/>
      </c>
      <c r="Z79" s="7">
        <f>ROUND(W79,0)</f>
        <v/>
      </c>
      <c r="AA79" s="7">
        <f>Y79+Z79</f>
        <v/>
      </c>
    </row>
    <row r="80">
      <c r="A80" s="7" t="inlineStr">
        <is>
          <t>MANYO</t>
        </is>
      </c>
      <c r="B80" s="7" t="n">
        <v>868700077</v>
      </c>
      <c r="C80" s="7" t="n">
        <v>8809730957705</v>
      </c>
      <c r="D80" s="7" t="inlineStr">
        <is>
          <t>MANYO BIFIDA INFUSION SHOT AMPOULE 1DX [50ml] / Сыворотка с микроиглами и пробиотиками</t>
        </is>
      </c>
      <c r="E80" s="7" t="n">
        <v>996.8</v>
      </c>
      <c r="F80" s="7" t="n">
        <v>2373</v>
      </c>
      <c r="G80" s="7" t="n">
        <v>102.6</v>
      </c>
      <c r="H80" s="7" t="n">
        <v>1022.9</v>
      </c>
      <c r="I80" s="7" t="inlineStr">
        <is>
          <t>Ракета факт</t>
        </is>
      </c>
      <c r="J80" s="7" t="n">
        <v>895</v>
      </c>
      <c r="K80" s="7" t="n">
        <v>108</v>
      </c>
      <c r="L80" s="7" t="n">
        <v>0</v>
      </c>
      <c r="M80" s="7">
        <f>J80+K80+L80</f>
        <v/>
      </c>
      <c r="N80" s="7" t="n">
        <v>50</v>
      </c>
      <c r="O80" s="7" t="n">
        <v>60</v>
      </c>
      <c r="P80" s="7" t="n">
        <v>65</v>
      </c>
      <c r="Q80" s="7" t="n">
        <v>70</v>
      </c>
      <c r="R80" s="7" t="n">
        <v>80</v>
      </c>
      <c r="S80" s="7" t="n">
        <v>70</v>
      </c>
      <c r="T80" s="7" t="n">
        <v>65</v>
      </c>
      <c r="U80" s="7" t="n">
        <v>65</v>
      </c>
      <c r="V80" s="7">
        <f>SUM(OFFSET(N80,0,0,1,$AE$1))</f>
        <v/>
      </c>
      <c r="W80" s="7">
        <f>V80*$AE$2</f>
        <v/>
      </c>
      <c r="X80" s="7">
        <f>V80+W80</f>
        <v/>
      </c>
      <c r="Y80" s="7">
        <f>MAX(0,ROUND(V80-M80,0))</f>
        <v/>
      </c>
      <c r="Z80" s="7">
        <f>ROUND(W80,0)</f>
        <v/>
      </c>
      <c r="AA80" s="7">
        <f>Y80+Z80</f>
        <v/>
      </c>
    </row>
    <row r="81">
      <c r="A81" s="5" t="inlineStr">
        <is>
          <t>PETITFEE-EYEPATCH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7" t="inlineStr">
        <is>
          <t>PETITFEE-EYEPATCH</t>
        </is>
      </c>
      <c r="B82" s="7" t="n">
        <v>151175877</v>
      </c>
      <c r="C82" s="7" t="n">
        <v>8809508850429</v>
      </c>
      <c r="D82" s="7" t="inlineStr">
        <is>
          <t>PETITFEE - Agave Cooling Hydrogel Eye Patch [60ea] / Охлаждающие гидрогелевые патчи для глаз с экстрактом агавы</t>
        </is>
      </c>
      <c r="E82" s="7" t="n">
        <v>415.5</v>
      </c>
      <c r="F82" s="7" t="n">
        <v>891</v>
      </c>
      <c r="G82" s="7" t="n">
        <v>51.8</v>
      </c>
      <c r="H82" s="7" t="n">
        <v>215.2</v>
      </c>
      <c r="I82" s="7" t="inlineStr">
        <is>
          <t>Ракета факт</t>
        </is>
      </c>
      <c r="J82" s="7" t="n">
        <v>984</v>
      </c>
      <c r="K82" s="7" t="n">
        <v>100</v>
      </c>
      <c r="L82" s="7" t="n">
        <v>0</v>
      </c>
      <c r="M82" s="7">
        <f>J82+K82+L82</f>
        <v/>
      </c>
      <c r="N82" s="7" t="n">
        <v>150</v>
      </c>
      <c r="O82" s="7" t="n">
        <v>160</v>
      </c>
      <c r="P82" s="7" t="n">
        <v>170</v>
      </c>
      <c r="Q82" s="7" t="n">
        <v>180</v>
      </c>
      <c r="R82" s="7" t="n">
        <v>250</v>
      </c>
      <c r="S82" s="7" t="n">
        <v>240</v>
      </c>
      <c r="T82" s="7" t="n">
        <v>230</v>
      </c>
      <c r="U82" s="7" t="n">
        <v>230</v>
      </c>
      <c r="V82" s="7">
        <f>SUM(OFFSET(N82,0,0,1,$AE$1))</f>
        <v/>
      </c>
      <c r="W82" s="7">
        <f>V82*$AE$2</f>
        <v/>
      </c>
      <c r="X82" s="7">
        <f>V82+W82</f>
        <v/>
      </c>
      <c r="Y82" s="7">
        <f>MAX(0,ROUND(V82-M82,0))</f>
        <v/>
      </c>
      <c r="Z82" s="7">
        <f>ROUND(W82,0)</f>
        <v/>
      </c>
      <c r="AA82" s="7">
        <f>Y82+Z82</f>
        <v/>
      </c>
    </row>
    <row r="83">
      <c r="A83" s="7" t="inlineStr">
        <is>
          <t>PETITFEE-EYEPATCH</t>
        </is>
      </c>
      <c r="B83" s="7" t="n">
        <v>151175880</v>
      </c>
      <c r="C83" s="7" t="n">
        <v>8809239801820</v>
      </c>
      <c r="D83" s="7" t="inlineStr">
        <is>
          <t>PETITFEE - Black Pearl &amp; Gold Hydrogel Eye Patch [60ea] / Гидрогелевые патчи для глаз с черным жемчугом и золотом</t>
        </is>
      </c>
      <c r="E83" s="7" t="n">
        <v>387.7</v>
      </c>
      <c r="F83" s="7" t="n">
        <v>825</v>
      </c>
      <c r="G83" s="7" t="n">
        <v>46.1</v>
      </c>
      <c r="H83" s="7" t="n">
        <v>178.8</v>
      </c>
      <c r="I83" s="7" t="inlineStr">
        <is>
          <t>Ракета факт</t>
        </is>
      </c>
      <c r="J83" s="7" t="n">
        <v>972</v>
      </c>
      <c r="K83" s="7" t="n">
        <v>128</v>
      </c>
      <c r="L83" s="7" t="n">
        <v>0</v>
      </c>
      <c r="M83" s="7">
        <f>J83+K83+L83</f>
        <v/>
      </c>
      <c r="N83" s="7" t="n">
        <v>200</v>
      </c>
      <c r="O83" s="7" t="n">
        <v>210</v>
      </c>
      <c r="P83" s="7" t="n">
        <v>220</v>
      </c>
      <c r="Q83" s="7" t="n">
        <v>230</v>
      </c>
      <c r="R83" s="7" t="n">
        <v>300</v>
      </c>
      <c r="S83" s="7" t="n">
        <v>280</v>
      </c>
      <c r="T83" s="7" t="n">
        <v>270</v>
      </c>
      <c r="U83" s="7" t="n">
        <v>270</v>
      </c>
      <c r="V83" s="7">
        <f>SUM(OFFSET(N83,0,0,1,$AE$1))</f>
        <v/>
      </c>
      <c r="W83" s="7">
        <f>V83*$AE$2</f>
        <v/>
      </c>
      <c r="X83" s="7">
        <f>V83+W83</f>
        <v/>
      </c>
      <c r="Y83" s="7">
        <f>MAX(0,ROUND(V83-M83,0))</f>
        <v/>
      </c>
      <c r="Z83" s="7">
        <f>ROUND(W83,0)</f>
        <v/>
      </c>
      <c r="AA83" s="7">
        <f>Y83+Z83</f>
        <v/>
      </c>
    </row>
    <row r="84">
      <c r="A84" s="7" t="inlineStr">
        <is>
          <t>PETITFEE-EYEPATCH</t>
        </is>
      </c>
      <c r="B84" s="7" t="n">
        <v>179611278</v>
      </c>
      <c r="C84" s="7" t="n">
        <v>8809508850559</v>
      </c>
      <c r="D84" s="7" t="inlineStr">
        <is>
          <t>PETITFEE - Artichoke Soothing Hydrogel Eye Patch [60ea] / Смягчающие гидрогелевые патчи для глаз с экстрактом артишока</t>
        </is>
      </c>
      <c r="E84" s="7" t="n">
        <v>415.5</v>
      </c>
      <c r="F84" s="7" t="n">
        <v>903</v>
      </c>
      <c r="G84" s="7" t="n">
        <v>50.8</v>
      </c>
      <c r="H84" s="7" t="n">
        <v>211</v>
      </c>
      <c r="I84" s="7" t="inlineStr">
        <is>
          <t>Ракета факт</t>
        </is>
      </c>
      <c r="J84" s="7" t="n">
        <v>308</v>
      </c>
      <c r="K84" s="7" t="n">
        <v>98</v>
      </c>
      <c r="L84" s="7" t="n">
        <v>0</v>
      </c>
      <c r="M84" s="7">
        <f>J84+K84+L84</f>
        <v/>
      </c>
      <c r="N84" s="7" t="n">
        <v>50</v>
      </c>
      <c r="O84" s="7" t="n">
        <v>65</v>
      </c>
      <c r="P84" s="7" t="n">
        <v>80</v>
      </c>
      <c r="Q84" s="7" t="n">
        <v>110</v>
      </c>
      <c r="R84" s="7" t="n">
        <v>150</v>
      </c>
      <c r="S84" s="7" t="n">
        <v>150</v>
      </c>
      <c r="T84" s="7" t="n">
        <v>140</v>
      </c>
      <c r="U84" s="7" t="n">
        <v>140</v>
      </c>
      <c r="V84" s="7">
        <f>SUM(OFFSET(N84,0,0,1,$AE$1))</f>
        <v/>
      </c>
      <c r="W84" s="7">
        <f>V84*$AE$2</f>
        <v/>
      </c>
      <c r="X84" s="7">
        <f>V84+W84</f>
        <v/>
      </c>
      <c r="Y84" s="7">
        <f>MAX(0,ROUND(V84-M84,0))</f>
        <v/>
      </c>
      <c r="Z84" s="7">
        <f>ROUND(W84,0)</f>
        <v/>
      </c>
      <c r="AA84" s="7">
        <f>Y84+Z84</f>
        <v/>
      </c>
    </row>
    <row r="85">
      <c r="A85" s="7" t="inlineStr">
        <is>
          <t>PETITFEE-EYEPATCH</t>
        </is>
      </c>
      <c r="B85" s="7" t="n">
        <v>179611207</v>
      </c>
      <c r="C85" s="7" t="n">
        <v>8809239802872</v>
      </c>
      <c r="D85" s="7" t="inlineStr">
        <is>
          <t>PETITFEE - Gold &amp; Snail Hydrogel Eye Patch [60ea] / Гидрогелевые патчи для глаз с золотом и улиткой</t>
        </is>
      </c>
      <c r="E85" s="7" t="n">
        <v>415.5</v>
      </c>
      <c r="F85" s="7" t="n">
        <v>783</v>
      </c>
      <c r="G85" s="7" t="n">
        <v>39</v>
      </c>
      <c r="H85" s="7" t="n">
        <v>162.1</v>
      </c>
      <c r="I85" s="7" t="inlineStr">
        <is>
          <t>Ракета факт</t>
        </is>
      </c>
      <c r="J85" s="7" t="n">
        <v>974</v>
      </c>
      <c r="K85" s="7" t="n">
        <v>80</v>
      </c>
      <c r="L85" s="7" t="n">
        <v>0</v>
      </c>
      <c r="M85" s="7">
        <f>J85+K85+L85</f>
        <v/>
      </c>
      <c r="N85" s="7" t="n">
        <v>120</v>
      </c>
      <c r="O85" s="7" t="n">
        <v>140</v>
      </c>
      <c r="P85" s="7" t="n">
        <v>160</v>
      </c>
      <c r="Q85" s="7" t="n">
        <v>180</v>
      </c>
      <c r="R85" s="7" t="n">
        <v>260</v>
      </c>
      <c r="S85" s="7" t="n">
        <v>260</v>
      </c>
      <c r="T85" s="7" t="n">
        <v>240</v>
      </c>
      <c r="U85" s="7" t="n">
        <v>240</v>
      </c>
      <c r="V85" s="7">
        <f>SUM(OFFSET(N85,0,0,1,$AE$1))</f>
        <v/>
      </c>
      <c r="W85" s="7">
        <f>V85*$AE$2</f>
        <v/>
      </c>
      <c r="X85" s="7">
        <f>V85+W85</f>
        <v/>
      </c>
      <c r="Y85" s="7">
        <f>MAX(0,ROUND(V85-M85,0))</f>
        <v/>
      </c>
      <c r="Z85" s="7">
        <f>ROUND(W85,0)</f>
        <v/>
      </c>
      <c r="AA85" s="7">
        <f>Y85+Z85</f>
        <v/>
      </c>
    </row>
    <row r="86">
      <c r="A86" s="7" t="inlineStr">
        <is>
          <t>PETITFEE-EYEPATCH</t>
        </is>
      </c>
      <c r="B86" s="7" t="n">
        <v>180988755</v>
      </c>
      <c r="C86" s="7" t="n">
        <v>8809508850504</v>
      </c>
      <c r="D86" s="7" t="inlineStr">
        <is>
          <t>PETITFEE - Bera Glucan Deep Firming Eye Patch [60ea] / Тканевые патчи для век увлажняющие</t>
        </is>
      </c>
      <c r="E86" s="7" t="n">
        <v>486.7</v>
      </c>
      <c r="F86" s="7" t="n">
        <v>1070</v>
      </c>
      <c r="G86" s="7" t="n">
        <v>59.3</v>
      </c>
      <c r="H86" s="7" t="n">
        <v>288.7</v>
      </c>
      <c r="I86" s="7" t="inlineStr">
        <is>
          <t>Ракета факт</t>
        </is>
      </c>
      <c r="J86" s="7" t="n">
        <v>596</v>
      </c>
      <c r="K86" s="7" t="n">
        <v>257</v>
      </c>
      <c r="L86" s="7" t="n">
        <v>0</v>
      </c>
      <c r="M86" s="7">
        <f>J86+K86+L86</f>
        <v/>
      </c>
      <c r="N86" s="7" t="n">
        <v>40</v>
      </c>
      <c r="O86" s="7" t="n">
        <v>50</v>
      </c>
      <c r="P86" s="7" t="n">
        <v>60</v>
      </c>
      <c r="Q86" s="7" t="n">
        <v>65</v>
      </c>
      <c r="R86" s="7" t="n">
        <v>80</v>
      </c>
      <c r="S86" s="7" t="n">
        <v>70</v>
      </c>
      <c r="T86" s="7" t="n">
        <v>60</v>
      </c>
      <c r="U86" s="7" t="n">
        <v>60</v>
      </c>
      <c r="V86" s="7">
        <f>SUM(OFFSET(N86,0,0,1,$AE$1))</f>
        <v/>
      </c>
      <c r="W86" s="7">
        <f>V86*$AE$2</f>
        <v/>
      </c>
      <c r="X86" s="7">
        <f>V86+W86</f>
        <v/>
      </c>
      <c r="Y86" s="7">
        <f>MAX(0,ROUND(V86-M86,0))</f>
        <v/>
      </c>
      <c r="Z86" s="7">
        <f>ROUND(W86,0)</f>
        <v/>
      </c>
      <c r="AA86" s="7">
        <f>Y86+Z86</f>
        <v/>
      </c>
    </row>
    <row r="87">
      <c r="A87" s="7" t="inlineStr">
        <is>
          <t>PETITFEE-EYEPATCH</t>
        </is>
      </c>
      <c r="B87" s="7" t="n">
        <v>179611318</v>
      </c>
      <c r="C87" s="7" t="n">
        <v>8809508850412</v>
      </c>
      <c r="D87" s="7" t="inlineStr">
        <is>
          <t>PETITFEE - Chamomile Lightening Hydrogel Eye Patch [60ea] / Успокаивающие гидрогелевые патчи для глаз с экстрактом ромашки</t>
        </is>
      </c>
      <c r="E87" s="7" t="n">
        <v>415.5</v>
      </c>
      <c r="F87" s="7" t="n">
        <v>1003</v>
      </c>
      <c r="G87" s="7" t="n">
        <v>14</v>
      </c>
      <c r="H87" s="7" t="n">
        <v>58.2</v>
      </c>
      <c r="I87" s="7" t="inlineStr">
        <is>
          <t>Ракета факт</t>
        </is>
      </c>
      <c r="J87" s="7" t="n">
        <v>300</v>
      </c>
      <c r="K87" s="7" t="n">
        <v>267</v>
      </c>
      <c r="L87" s="7" t="n">
        <v>0</v>
      </c>
      <c r="M87" s="7">
        <f>J87+K87+L87</f>
        <v/>
      </c>
      <c r="N87" s="7" t="n">
        <v>40</v>
      </c>
      <c r="O87" s="7" t="n">
        <v>50</v>
      </c>
      <c r="P87" s="7" t="n">
        <v>60</v>
      </c>
      <c r="Q87" s="7" t="n">
        <v>65</v>
      </c>
      <c r="R87" s="7" t="n">
        <v>80</v>
      </c>
      <c r="S87" s="7" t="n">
        <v>70</v>
      </c>
      <c r="T87" s="7" t="n">
        <v>60</v>
      </c>
      <c r="U87" s="7" t="n">
        <v>60</v>
      </c>
      <c r="V87" s="7">
        <f>SUM(OFFSET(N87,0,0,1,$AE$1))</f>
        <v/>
      </c>
      <c r="W87" s="7">
        <f>V87*$AE$2</f>
        <v/>
      </c>
      <c r="X87" s="7">
        <f>V87+W87</f>
        <v/>
      </c>
      <c r="Y87" s="7">
        <f>MAX(0,ROUND(V87-M87,0))</f>
        <v/>
      </c>
      <c r="Z87" s="7">
        <f>ROUND(W87,0)</f>
        <v/>
      </c>
      <c r="AA87" s="7">
        <f>Y87+Z87</f>
        <v/>
      </c>
    </row>
    <row r="88">
      <c r="A88" s="7" t="inlineStr">
        <is>
          <t>PETITFEE-EYEPATCH</t>
        </is>
      </c>
      <c r="B88" s="7" t="n">
        <v>180711104</v>
      </c>
      <c r="C88" s="7" t="n">
        <v>8809239803596</v>
      </c>
      <c r="D88" s="7" t="inlineStr">
        <is>
          <t>PETITFEE - Gold Hydrogel Eye Patch [60ea] / гидрогелевые патчи для глаз с золотом</t>
        </is>
      </c>
      <c r="E88" s="7" t="n">
        <v>415.5</v>
      </c>
      <c r="F88" s="7" t="n">
        <v>1003</v>
      </c>
      <c r="G88" s="7" t="n">
        <v>74.7</v>
      </c>
      <c r="H88" s="7" t="n">
        <v>310.5</v>
      </c>
      <c r="I88" s="7" t="inlineStr">
        <is>
          <t>Ракета факт</t>
        </is>
      </c>
      <c r="J88" s="7" t="n">
        <v>702</v>
      </c>
      <c r="K88" s="7" t="n">
        <v>89</v>
      </c>
      <c r="L88" s="7" t="n">
        <v>0</v>
      </c>
      <c r="M88" s="7">
        <f>J88+K88+L88</f>
        <v/>
      </c>
      <c r="N88" s="7" t="n">
        <v>40</v>
      </c>
      <c r="O88" s="7" t="n">
        <v>50</v>
      </c>
      <c r="P88" s="7" t="n">
        <v>60</v>
      </c>
      <c r="Q88" s="7" t="n">
        <v>70</v>
      </c>
      <c r="R88" s="7" t="n">
        <v>100</v>
      </c>
      <c r="S88" s="7" t="n">
        <v>100</v>
      </c>
      <c r="T88" s="7" t="n">
        <v>80</v>
      </c>
      <c r="U88" s="7" t="n">
        <v>80</v>
      </c>
      <c r="V88" s="7">
        <f>SUM(OFFSET(N88,0,0,1,$AE$1))</f>
        <v/>
      </c>
      <c r="W88" s="7">
        <f>V88*$AE$2</f>
        <v/>
      </c>
      <c r="X88" s="7">
        <f>V88+W88</f>
        <v/>
      </c>
      <c r="Y88" s="7">
        <f>MAX(0,ROUND(V88-M88,0))</f>
        <v/>
      </c>
      <c r="Z88" s="7">
        <f>ROUND(W88,0)</f>
        <v/>
      </c>
      <c r="AA88" s="7">
        <f>Y88+Z88</f>
        <v/>
      </c>
    </row>
    <row r="89">
      <c r="A89" s="7" t="inlineStr">
        <is>
          <t>PETITFEE-EYEPATCH</t>
        </is>
      </c>
      <c r="B89" s="7" t="n">
        <v>179611231</v>
      </c>
      <c r="C89" s="7" t="n">
        <v>8809239800458</v>
      </c>
      <c r="D89" s="7" t="inlineStr">
        <is>
          <t>PETITFEE - Collagen &amp; CoQ10 Hydrogel Eye Patch [60ea] / Гидрогелевые патчи для глаз с коллагеном и коэнзимом Q10</t>
        </is>
      </c>
      <c r="E89" s="7" t="n">
        <v>385.1</v>
      </c>
      <c r="F89" s="7" t="n">
        <v>956</v>
      </c>
      <c r="G89" s="7" t="n">
        <v>73.8</v>
      </c>
      <c r="H89" s="7" t="n">
        <v>284</v>
      </c>
      <c r="I89" s="7" t="inlineStr">
        <is>
          <t>Ракета факт</t>
        </is>
      </c>
      <c r="J89" s="7" t="n">
        <v>1027</v>
      </c>
      <c r="K89" s="7" t="n">
        <v>227</v>
      </c>
      <c r="L89" s="7" t="n">
        <v>0</v>
      </c>
      <c r="M89" s="7">
        <f>J89+K89+L89</f>
        <v/>
      </c>
      <c r="N89" s="7" t="n">
        <v>40</v>
      </c>
      <c r="O89" s="7" t="n">
        <v>50</v>
      </c>
      <c r="P89" s="7" t="n">
        <v>60</v>
      </c>
      <c r="Q89" s="7" t="n">
        <v>70</v>
      </c>
      <c r="R89" s="7" t="n">
        <v>100</v>
      </c>
      <c r="S89" s="7" t="n">
        <v>100</v>
      </c>
      <c r="T89" s="7" t="n">
        <v>80</v>
      </c>
      <c r="U89" s="7" t="n">
        <v>80</v>
      </c>
      <c r="V89" s="7">
        <f>SUM(OFFSET(N89,0,0,1,$AE$1))</f>
        <v/>
      </c>
      <c r="W89" s="7">
        <f>V89*$AE$2</f>
        <v/>
      </c>
      <c r="X89" s="7">
        <f>V89+W89</f>
        <v/>
      </c>
      <c r="Y89" s="7">
        <f>MAX(0,ROUND(V89-M89,0))</f>
        <v/>
      </c>
      <c r="Z89" s="7">
        <f>ROUND(W89,0)</f>
        <v/>
      </c>
      <c r="AA89" s="7">
        <f>Y89+Z89</f>
        <v/>
      </c>
    </row>
    <row r="90">
      <c r="A90" s="7" t="inlineStr">
        <is>
          <t>PETITFEE-EYEPATCH</t>
        </is>
      </c>
      <c r="B90" s="7" t="n">
        <v>180987509</v>
      </c>
      <c r="C90" s="7" t="n">
        <v>8809508850498</v>
      </c>
      <c r="D90" s="7" t="inlineStr">
        <is>
          <t>PETITFEE - Pink Vita Brightening Eye Patch [60ea] / Тканевые патчи для век увлажняющие</t>
        </is>
      </c>
      <c r="E90" s="7" t="n">
        <v>486.7</v>
      </c>
      <c r="F90" s="7" t="n">
        <v>1114</v>
      </c>
      <c r="G90" s="7" t="n">
        <v>69</v>
      </c>
      <c r="H90" s="7" t="n">
        <v>335.6</v>
      </c>
      <c r="I90" s="7" t="inlineStr">
        <is>
          <t>Ракета факт</t>
        </is>
      </c>
      <c r="J90" s="7" t="n">
        <v>270</v>
      </c>
      <c r="K90" s="7" t="n">
        <v>0</v>
      </c>
      <c r="L90" s="7" t="n">
        <v>0</v>
      </c>
      <c r="M90" s="7">
        <f>J90+K90+L90</f>
        <v/>
      </c>
      <c r="N90" s="7" t="n">
        <v>20</v>
      </c>
      <c r="O90" s="7" t="n">
        <v>20</v>
      </c>
      <c r="P90" s="7" t="n">
        <v>25</v>
      </c>
      <c r="Q90" s="7" t="n">
        <v>25</v>
      </c>
      <c r="R90" s="7" t="n">
        <v>30</v>
      </c>
      <c r="S90" s="7" t="n">
        <v>25</v>
      </c>
      <c r="T90" s="7" t="n">
        <v>20</v>
      </c>
      <c r="U90" s="7" t="n">
        <v>20</v>
      </c>
      <c r="V90" s="7">
        <f>SUM(OFFSET(N90,0,0,1,$AE$1))</f>
        <v/>
      </c>
      <c r="W90" s="7">
        <f>V90*$AE$2</f>
        <v/>
      </c>
      <c r="X90" s="7">
        <f>V90+W90</f>
        <v/>
      </c>
      <c r="Y90" s="7">
        <f>MAX(0,ROUND(V90-M90,0))</f>
        <v/>
      </c>
      <c r="Z90" s="7">
        <f>ROUND(W90,0)</f>
        <v/>
      </c>
      <c r="AA90" s="7">
        <f>Y90+Z90</f>
        <v/>
      </c>
    </row>
    <row r="91">
      <c r="A91" s="7" t="inlineStr">
        <is>
          <t>PETITFEE-EYEPATCH</t>
        </is>
      </c>
      <c r="B91" s="7" t="n">
        <v>180711041</v>
      </c>
      <c r="C91" s="7" t="n">
        <v>8809239800618</v>
      </c>
      <c r="D91" s="7" t="inlineStr">
        <is>
          <t>PETITFEE - Gold &amp; EGF Hydrogel Eye &amp; Spot Patch [60ea]/ гидрогелевые патчи с золотом и EGF</t>
        </is>
      </c>
      <c r="E91" s="7" t="n">
        <v>385.1</v>
      </c>
      <c r="F91" s="7" t="n">
        <v>1003</v>
      </c>
      <c r="G91" s="7" t="n">
        <v>43.5</v>
      </c>
      <c r="H91" s="7" t="n">
        <v>167.6</v>
      </c>
      <c r="I91" s="7" t="inlineStr">
        <is>
          <t>Ракета факт</t>
        </is>
      </c>
      <c r="J91" s="7" t="n">
        <v>72</v>
      </c>
      <c r="K91" s="7" t="n">
        <v>59</v>
      </c>
      <c r="L91" s="7" t="n">
        <v>0</v>
      </c>
      <c r="M91" s="7">
        <f>J91+K91+L91</f>
        <v/>
      </c>
      <c r="N91" s="7" t="n">
        <v>10</v>
      </c>
      <c r="O91" s="7" t="n">
        <v>10</v>
      </c>
      <c r="P91" s="7" t="n">
        <v>12</v>
      </c>
      <c r="Q91" s="7" t="n">
        <v>12</v>
      </c>
      <c r="R91" s="7" t="n">
        <v>20</v>
      </c>
      <c r="S91" s="7" t="n">
        <v>20</v>
      </c>
      <c r="T91" s="7" t="n">
        <v>15</v>
      </c>
      <c r="U91" s="7" t="n">
        <v>15</v>
      </c>
      <c r="V91" s="7">
        <f>SUM(OFFSET(N91,0,0,1,$AE$1))</f>
        <v/>
      </c>
      <c r="W91" s="7">
        <f>V91*$AE$2</f>
        <v/>
      </c>
      <c r="X91" s="7">
        <f>V91+W91</f>
        <v/>
      </c>
      <c r="Y91" s="7">
        <f>MAX(0,ROUND(V91-M91,0))</f>
        <v/>
      </c>
      <c r="Z91" s="7">
        <f>ROUND(W91,0)</f>
        <v/>
      </c>
      <c r="AA91" s="7">
        <f>Y91+Z91</f>
        <v/>
      </c>
    </row>
    <row r="92">
      <c r="A92" s="7" t="inlineStr">
        <is>
          <t>PETITFEE-EYEPATCH</t>
        </is>
      </c>
      <c r="B92" s="7" t="n">
        <v>180992464</v>
      </c>
      <c r="C92" s="7" t="n">
        <v>8809508850801</v>
      </c>
      <c r="D92" s="7" t="inlineStr">
        <is>
          <t>PETITFEE - Aura Quartz Hydrogel Eye Patch [60ea]</t>
        </is>
      </c>
      <c r="E92" s="7" t="n">
        <v>591.3</v>
      </c>
      <c r="F92" s="7" t="n">
        <v>1293</v>
      </c>
      <c r="G92" s="7" t="n">
        <v>64.2</v>
      </c>
      <c r="H92" s="7" t="n">
        <v>379.5</v>
      </c>
      <c r="I92" s="7" t="inlineStr">
        <is>
          <t>Ракета факт</t>
        </is>
      </c>
      <c r="J92" s="7" t="n">
        <v>105</v>
      </c>
      <c r="K92" s="7" t="n">
        <v>18</v>
      </c>
      <c r="L92" s="7" t="n">
        <v>0</v>
      </c>
      <c r="M92" s="7">
        <f>J92+K92+L92</f>
        <v/>
      </c>
      <c r="N92" s="7" t="n">
        <v>20</v>
      </c>
      <c r="O92" s="7" t="n">
        <v>20</v>
      </c>
      <c r="P92" s="7" t="n">
        <v>25</v>
      </c>
      <c r="Q92" s="7" t="n">
        <v>25</v>
      </c>
      <c r="R92" s="7" t="n">
        <v>30</v>
      </c>
      <c r="S92" s="7" t="n">
        <v>25</v>
      </c>
      <c r="T92" s="7" t="n">
        <v>20</v>
      </c>
      <c r="U92" s="7" t="n">
        <v>20</v>
      </c>
      <c r="V92" s="7">
        <f>SUM(OFFSET(N92,0,0,1,$AE$1))</f>
        <v/>
      </c>
      <c r="W92" s="7">
        <f>V92*$AE$2</f>
        <v/>
      </c>
      <c r="X92" s="7">
        <f>V92+W92</f>
        <v/>
      </c>
      <c r="Y92" s="7">
        <f>MAX(0,ROUND(V92-M92,0))</f>
        <v/>
      </c>
      <c r="Z92" s="7">
        <f>ROUND(W92,0)</f>
        <v/>
      </c>
      <c r="AA92" s="7">
        <f>Y92+Z92</f>
        <v/>
      </c>
    </row>
    <row r="93">
      <c r="A93" s="7" t="inlineStr">
        <is>
          <t>PETITFEE-EYEPATCH</t>
        </is>
      </c>
      <c r="B93" s="7" t="n">
        <v>179611304</v>
      </c>
      <c r="C93" s="7" t="n">
        <v>8809508850696</v>
      </c>
      <c r="D93" s="7" t="inlineStr">
        <is>
          <t>PETITFEE - Cacao Energizing Hydrogel Eye Patch [60ea] / Тонизирующие гидрогелевые патчи для глаз с экстрактом какао</t>
        </is>
      </c>
      <c r="E93" s="7" t="n">
        <v>415.5</v>
      </c>
      <c r="F93" s="7" t="n">
        <v>1003</v>
      </c>
      <c r="G93" s="7" t="n">
        <v>70.09999999999999</v>
      </c>
      <c r="H93" s="7" t="n">
        <v>291.1</v>
      </c>
      <c r="I93" s="7" t="inlineStr">
        <is>
          <t>Ракета факт</t>
        </is>
      </c>
      <c r="J93" s="7" t="n">
        <v>717</v>
      </c>
      <c r="K93" s="7" t="n">
        <v>211</v>
      </c>
      <c r="L93" s="7" t="n">
        <v>0</v>
      </c>
      <c r="M93" s="7">
        <f>J93+K93+L93</f>
        <v/>
      </c>
      <c r="N93" s="7" t="n">
        <v>20</v>
      </c>
      <c r="O93" s="7" t="n">
        <v>20</v>
      </c>
      <c r="P93" s="7" t="n">
        <v>25</v>
      </c>
      <c r="Q93" s="7" t="n">
        <v>25</v>
      </c>
      <c r="R93" s="7" t="n">
        <v>30</v>
      </c>
      <c r="S93" s="7" t="n">
        <v>25</v>
      </c>
      <c r="T93" s="7" t="n">
        <v>20</v>
      </c>
      <c r="U93" s="7" t="n">
        <v>20</v>
      </c>
      <c r="V93" s="7">
        <f>SUM(OFFSET(N93,0,0,1,$AE$1))</f>
        <v/>
      </c>
      <c r="W93" s="7">
        <f>V93*$AE$2</f>
        <v/>
      </c>
      <c r="X93" s="7">
        <f>V93+W93</f>
        <v/>
      </c>
      <c r="Y93" s="7">
        <f>MAX(0,ROUND(V93-M93,0))</f>
        <v/>
      </c>
      <c r="Z93" s="7">
        <f>ROUND(W93,0)</f>
        <v/>
      </c>
      <c r="AA93" s="7">
        <f>Y93+Z93</f>
        <v/>
      </c>
    </row>
    <row r="94">
      <c r="A94" s="5" t="inlineStr">
        <is>
          <t>PETITFEE-FACEMASK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7" t="inlineStr">
        <is>
          <t>PETITFEE-FACEMASK</t>
        </is>
      </c>
      <c r="B95" s="7" t="n">
        <v>226115324</v>
      </c>
      <c r="C95" s="7" t="n">
        <v>8809508850443</v>
      </c>
      <c r="D95" s="7" t="inlineStr">
        <is>
          <t>PETITFEE - Agave Cooling Hydrogel Face Mask [5pcs] / Охлаждающая гидрогелевая маска для лица с экстрактом агавы</t>
        </is>
      </c>
      <c r="E95" s="7" t="n">
        <v>486.4</v>
      </c>
      <c r="F95" s="7" t="n"/>
      <c r="G95" s="7" t="n"/>
      <c r="H95" s="7" t="n"/>
      <c r="I95" s="7" t="inlineStr">
        <is>
          <t>нет данных</t>
        </is>
      </c>
      <c r="J95" s="7" t="n">
        <v>977</v>
      </c>
      <c r="K95" s="7" t="n">
        <v>52</v>
      </c>
      <c r="L95" s="7" t="n">
        <v>0</v>
      </c>
      <c r="M95" s="7">
        <f>J95+K95+L95</f>
        <v/>
      </c>
      <c r="N95" s="7" t="n">
        <v>200</v>
      </c>
      <c r="O95" s="7" t="n">
        <v>210</v>
      </c>
      <c r="P95" s="7" t="n">
        <v>220</v>
      </c>
      <c r="Q95" s="7" t="n">
        <v>230</v>
      </c>
      <c r="R95" s="7" t="n">
        <v>250</v>
      </c>
      <c r="S95" s="7" t="n">
        <v>240</v>
      </c>
      <c r="T95" s="7" t="n">
        <v>230</v>
      </c>
      <c r="U95" s="7" t="n">
        <v>230</v>
      </c>
      <c r="V95" s="7">
        <f>SUM(OFFSET(N95,0,0,1,$AE$1))</f>
        <v/>
      </c>
      <c r="W95" s="7">
        <f>V95*$AE$2</f>
        <v/>
      </c>
      <c r="X95" s="7">
        <f>V95+W95</f>
        <v/>
      </c>
      <c r="Y95" s="7">
        <f>MAX(0,ROUND(V95-M95,0))</f>
        <v/>
      </c>
      <c r="Z95" s="7">
        <f>ROUND(W95,0)</f>
        <v/>
      </c>
      <c r="AA95" s="7">
        <f>Y95+Z95</f>
        <v/>
      </c>
    </row>
    <row r="96">
      <c r="A96" s="7" t="inlineStr">
        <is>
          <t>PETITFEE-FACEMASK</t>
        </is>
      </c>
      <c r="B96" s="7" t="n">
        <v>226114935</v>
      </c>
      <c r="C96" s="7" t="n">
        <v>4626999886126</v>
      </c>
      <c r="D96" s="7" t="inlineStr">
        <is>
          <t>PETITFEE - Gold Hydrogel Mask Pack [5pcs] / Гидрогелевая маска для лица с золотом</t>
        </is>
      </c>
      <c r="E96" s="7" t="n">
        <v>507.2</v>
      </c>
      <c r="F96" s="7" t="n"/>
      <c r="G96" s="7" t="n"/>
      <c r="H96" s="7" t="n"/>
      <c r="I96" s="7" t="inlineStr">
        <is>
          <t>нет данных</t>
        </is>
      </c>
      <c r="J96" s="7" t="n">
        <v>760</v>
      </c>
      <c r="K96" s="7" t="n">
        <v>68</v>
      </c>
      <c r="L96" s="7" t="n">
        <v>0</v>
      </c>
      <c r="M96" s="7">
        <f>J96+K96+L96</f>
        <v/>
      </c>
      <c r="N96" s="7" t="n">
        <v>50</v>
      </c>
      <c r="O96" s="7" t="n">
        <v>65</v>
      </c>
      <c r="P96" s="7" t="n">
        <v>80</v>
      </c>
      <c r="Q96" s="7" t="n">
        <v>110</v>
      </c>
      <c r="R96" s="7" t="n">
        <v>150</v>
      </c>
      <c r="S96" s="7" t="n">
        <v>150</v>
      </c>
      <c r="T96" s="7" t="n">
        <v>140</v>
      </c>
      <c r="U96" s="7" t="n">
        <v>140</v>
      </c>
      <c r="V96" s="7">
        <f>SUM(OFFSET(N96,0,0,1,$AE$1))</f>
        <v/>
      </c>
      <c r="W96" s="7">
        <f>V96*$AE$2</f>
        <v/>
      </c>
      <c r="X96" s="7">
        <f>V96+W96</f>
        <v/>
      </c>
      <c r="Y96" s="7">
        <f>MAX(0,ROUND(V96-M96,0))</f>
        <v/>
      </c>
      <c r="Z96" s="7">
        <f>ROUND(W96,0)</f>
        <v/>
      </c>
      <c r="AA96" s="7">
        <f>Y96+Z96</f>
        <v/>
      </c>
    </row>
    <row r="97">
      <c r="A97" s="7" t="inlineStr">
        <is>
          <t>PETITFEE-FACEMASK</t>
        </is>
      </c>
      <c r="B97" s="7" t="n">
        <v>226115141</v>
      </c>
      <c r="C97" s="7" t="n">
        <v>4626999886010</v>
      </c>
      <c r="D97" s="7" t="inlineStr">
        <is>
          <t>PETITFEE - Gold &amp; Snail Hydrogel Mask Pack [5pcs] / Гидрогелевая маска для лица с золотом и экстрактом улитки</t>
        </is>
      </c>
      <c r="E97" s="7" t="n">
        <v>478.2</v>
      </c>
      <c r="F97" s="7" t="n">
        <v>958</v>
      </c>
      <c r="G97" s="7" t="n">
        <v>7.5</v>
      </c>
      <c r="H97" s="7" t="n">
        <v>36.1</v>
      </c>
      <c r="I97" s="7" t="inlineStr">
        <is>
          <t>Ракета факт</t>
        </is>
      </c>
      <c r="J97" s="7" t="n">
        <v>485</v>
      </c>
      <c r="K97" s="7" t="n">
        <v>112</v>
      </c>
      <c r="L97" s="7" t="n">
        <v>0</v>
      </c>
      <c r="M97" s="7">
        <f>J97+K97+L97</f>
        <v/>
      </c>
      <c r="N97" s="7" t="n">
        <v>60</v>
      </c>
      <c r="O97" s="7" t="n">
        <v>70</v>
      </c>
      <c r="P97" s="7" t="n">
        <v>80</v>
      </c>
      <c r="Q97" s="7" t="n">
        <v>90</v>
      </c>
      <c r="R97" s="7" t="n">
        <v>130</v>
      </c>
      <c r="S97" s="7" t="n">
        <v>130</v>
      </c>
      <c r="T97" s="7" t="n">
        <v>120</v>
      </c>
      <c r="U97" s="7" t="n">
        <v>120</v>
      </c>
      <c r="V97" s="7">
        <f>SUM(OFFSET(N97,0,0,1,$AE$1))</f>
        <v/>
      </c>
      <c r="W97" s="7">
        <f>V97*$AE$2</f>
        <v/>
      </c>
      <c r="X97" s="7">
        <f>V97+W97</f>
        <v/>
      </c>
      <c r="Y97" s="7">
        <f>MAX(0,ROUND(V97-M97,0))</f>
        <v/>
      </c>
      <c r="Z97" s="7">
        <f>ROUND(W97,0)</f>
        <v/>
      </c>
      <c r="AA97" s="7">
        <f>Y97+Z97</f>
        <v/>
      </c>
    </row>
    <row r="98">
      <c r="A98" s="7" t="inlineStr">
        <is>
          <t>PETITFEE-FACEMASK</t>
        </is>
      </c>
      <c r="B98" s="7" t="n">
        <v>226117746</v>
      </c>
      <c r="C98" s="7" t="n">
        <v>8809508850436</v>
      </c>
      <c r="D98" s="7" t="inlineStr">
        <is>
          <t>PETITFEE - Chamomile Lightening Hydrogel Mask Pack [5pcs] / Успокаивающая гидрогелевая маска для лица с экстрактом ромашки</t>
        </is>
      </c>
      <c r="E98" s="7" t="n">
        <v>497.3</v>
      </c>
      <c r="F98" s="7" t="n">
        <v>895</v>
      </c>
      <c r="G98" s="7" t="n">
        <v>37.6</v>
      </c>
      <c r="H98" s="7" t="n">
        <v>187.1</v>
      </c>
      <c r="I98" s="7" t="inlineStr">
        <is>
          <t>Ракета факт</t>
        </is>
      </c>
      <c r="J98" s="7" t="n">
        <v>129</v>
      </c>
      <c r="K98" s="7" t="n">
        <v>0</v>
      </c>
      <c r="L98" s="7" t="n">
        <v>0</v>
      </c>
      <c r="M98" s="7">
        <f>J98+K98+L98</f>
        <v/>
      </c>
      <c r="N98" s="7" t="n">
        <v>40</v>
      </c>
      <c r="O98" s="7" t="n">
        <v>50</v>
      </c>
      <c r="P98" s="7" t="n">
        <v>60</v>
      </c>
      <c r="Q98" s="7" t="n">
        <v>65</v>
      </c>
      <c r="R98" s="7" t="n">
        <v>80</v>
      </c>
      <c r="S98" s="7" t="n">
        <v>70</v>
      </c>
      <c r="T98" s="7" t="n">
        <v>60</v>
      </c>
      <c r="U98" s="7" t="n">
        <v>60</v>
      </c>
      <c r="V98" s="7">
        <f>SUM(OFFSET(N98,0,0,1,$AE$1))</f>
        <v/>
      </c>
      <c r="W98" s="7">
        <f>V98*$AE$2</f>
        <v/>
      </c>
      <c r="X98" s="7">
        <f>V98+W98</f>
        <v/>
      </c>
      <c r="Y98" s="7">
        <f>MAX(0,ROUND(V98-M98,0))</f>
        <v/>
      </c>
      <c r="Z98" s="7">
        <f>ROUND(W98,0)</f>
        <v/>
      </c>
      <c r="AA98" s="7">
        <f>Y98+Z98</f>
        <v/>
      </c>
    </row>
    <row r="99">
      <c r="A99" s="7" t="inlineStr">
        <is>
          <t>PETITFEE-FACEMASK</t>
        </is>
      </c>
      <c r="B99" s="7" t="n">
        <v>226115248</v>
      </c>
      <c r="C99" s="7" t="n">
        <v>8809508850672</v>
      </c>
      <c r="D99" s="7" t="inlineStr">
        <is>
          <t>PETITFEE - Cacao Energizing Hydrogel Mask Pack [5pcs] / Тонизирующая гидрогелевая маска для лица с экстрактом какао</t>
        </is>
      </c>
      <c r="E99" s="7" t="n">
        <v>496.9</v>
      </c>
      <c r="F99" s="7" t="n"/>
      <c r="G99" s="7" t="n"/>
      <c r="H99" s="7" t="n"/>
      <c r="I99" s="7" t="inlineStr">
        <is>
          <t>нет данных</t>
        </is>
      </c>
      <c r="J99" s="7" t="n">
        <v>619</v>
      </c>
      <c r="K99" s="7" t="n">
        <v>48</v>
      </c>
      <c r="L99" s="7" t="n">
        <v>0</v>
      </c>
      <c r="M99" s="7">
        <f>J99+K99+L99</f>
        <v/>
      </c>
      <c r="N99" s="7" t="n">
        <v>50</v>
      </c>
      <c r="O99" s="7" t="n">
        <v>65</v>
      </c>
      <c r="P99" s="7" t="n">
        <v>80</v>
      </c>
      <c r="Q99" s="7" t="n">
        <v>110</v>
      </c>
      <c r="R99" s="7" t="n">
        <v>150</v>
      </c>
      <c r="S99" s="7" t="n">
        <v>150</v>
      </c>
      <c r="T99" s="7" t="n">
        <v>140</v>
      </c>
      <c r="U99" s="7" t="n">
        <v>140</v>
      </c>
      <c r="V99" s="7">
        <f>SUM(OFFSET(N99,0,0,1,$AE$1))</f>
        <v/>
      </c>
      <c r="W99" s="7">
        <f>V99*$AE$2</f>
        <v/>
      </c>
      <c r="X99" s="7">
        <f>V99+W99</f>
        <v/>
      </c>
      <c r="Y99" s="7">
        <f>MAX(0,ROUND(V99-M99,0))</f>
        <v/>
      </c>
      <c r="Z99" s="7">
        <f>ROUND(W99,0)</f>
        <v/>
      </c>
      <c r="AA99" s="7">
        <f>Y99+Z99</f>
        <v/>
      </c>
    </row>
    <row r="100">
      <c r="A100" s="7" t="inlineStr">
        <is>
          <t>PETITFEE-FACEMASK</t>
        </is>
      </c>
      <c r="B100" s="7" t="n">
        <v>226115478</v>
      </c>
      <c r="C100" s="7" t="n">
        <v>4626999886003</v>
      </c>
      <c r="D100" s="7" t="inlineStr">
        <is>
          <t>PETITFEE - Black Pearl &amp; Gold Hydrogel Mask Pack [5pcs] / Гидрогелевая маска для лица с черным жемчугом и золотом</t>
        </is>
      </c>
      <c r="E100" s="7" t="n">
        <v>478.1</v>
      </c>
      <c r="F100" s="7" t="n">
        <v>974</v>
      </c>
      <c r="G100" s="7" t="n">
        <v>47.8</v>
      </c>
      <c r="H100" s="7" t="n">
        <v>228.4</v>
      </c>
      <c r="I100" s="7" t="inlineStr">
        <is>
          <t>Ракета факт</t>
        </is>
      </c>
      <c r="J100" s="7" t="n">
        <v>556</v>
      </c>
      <c r="K100" s="7" t="n">
        <v>81</v>
      </c>
      <c r="L100" s="7" t="n">
        <v>0</v>
      </c>
      <c r="M100" s="7">
        <f>J100+K100+L100</f>
        <v/>
      </c>
      <c r="N100" s="7" t="n">
        <v>50</v>
      </c>
      <c r="O100" s="7" t="n">
        <v>65</v>
      </c>
      <c r="P100" s="7" t="n">
        <v>80</v>
      </c>
      <c r="Q100" s="7" t="n">
        <v>110</v>
      </c>
      <c r="R100" s="7" t="n">
        <v>150</v>
      </c>
      <c r="S100" s="7" t="n">
        <v>150</v>
      </c>
      <c r="T100" s="7" t="n">
        <v>140</v>
      </c>
      <c r="U100" s="7" t="n">
        <v>140</v>
      </c>
      <c r="V100" s="7">
        <f>SUM(OFFSET(N100,0,0,1,$AE$1))</f>
        <v/>
      </c>
      <c r="W100" s="7">
        <f>V100*$AE$2</f>
        <v/>
      </c>
      <c r="X100" s="7">
        <f>V100+W100</f>
        <v/>
      </c>
      <c r="Y100" s="7">
        <f>MAX(0,ROUND(V100-M100,0))</f>
        <v/>
      </c>
      <c r="Z100" s="7">
        <f>ROUND(W100,0)</f>
        <v/>
      </c>
      <c r="AA100" s="7">
        <f>Y100+Z100</f>
        <v/>
      </c>
    </row>
    <row r="101">
      <c r="A101" s="7" t="inlineStr">
        <is>
          <t>PETITFEE-FACEMASK</t>
        </is>
      </c>
      <c r="B101" s="7" t="n">
        <v>226114831</v>
      </c>
      <c r="C101" s="7" t="n">
        <v>8809508850511</v>
      </c>
      <c r="D101" s="7" t="inlineStr">
        <is>
          <t>PETITFEE - Artichoke Soothing Hydrogel Face Mask [5pcs] / Смягчающая гидрогелевая маска для лица с экстрактом артишока</t>
        </is>
      </c>
      <c r="E101" s="7" t="n">
        <v>498.5</v>
      </c>
      <c r="F101" s="7" t="n">
        <v>933</v>
      </c>
      <c r="G101" s="7" t="n">
        <v>54</v>
      </c>
      <c r="H101" s="7" t="n">
        <v>269.4</v>
      </c>
      <c r="I101" s="7" t="inlineStr">
        <is>
          <t>Ракета факт</t>
        </is>
      </c>
      <c r="J101" s="7" t="n">
        <v>598</v>
      </c>
      <c r="K101" s="7" t="n">
        <v>51</v>
      </c>
      <c r="L101" s="7" t="n">
        <v>0</v>
      </c>
      <c r="M101" s="7">
        <f>J101+K101+L101</f>
        <v/>
      </c>
      <c r="N101" s="7" t="n">
        <v>50</v>
      </c>
      <c r="O101" s="7" t="n">
        <v>65</v>
      </c>
      <c r="P101" s="7" t="n">
        <v>80</v>
      </c>
      <c r="Q101" s="7" t="n">
        <v>110</v>
      </c>
      <c r="R101" s="7" t="n">
        <v>150</v>
      </c>
      <c r="S101" s="7" t="n">
        <v>150</v>
      </c>
      <c r="T101" s="7" t="n">
        <v>140</v>
      </c>
      <c r="U101" s="7" t="n">
        <v>140</v>
      </c>
      <c r="V101" s="7">
        <f>SUM(OFFSET(N101,0,0,1,$AE$1))</f>
        <v/>
      </c>
      <c r="W101" s="7">
        <f>V101*$AE$2</f>
        <v/>
      </c>
      <c r="X101" s="7">
        <f>V101+W101</f>
        <v/>
      </c>
      <c r="Y101" s="7">
        <f>MAX(0,ROUND(V101-M101,0))</f>
        <v/>
      </c>
      <c r="Z101" s="7">
        <f>ROUND(W101,0)</f>
        <v/>
      </c>
      <c r="AA101" s="7">
        <f>Y101+Z101</f>
        <v/>
      </c>
    </row>
    <row r="102">
      <c r="A102" s="5" t="inlineStr">
        <is>
          <t>ROUND LAB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7" t="inlineStr">
        <is>
          <t>ROUND LAB</t>
        </is>
      </c>
      <c r="B103" s="7" t="n">
        <v>437154709</v>
      </c>
      <c r="C103" s="7" t="n">
        <v>8809738608364</v>
      </c>
      <c r="D103" s="7" t="inlineStr">
        <is>
          <t>ROUND LAB 1025 DOKDO CLEANSER_150ml - Увлажняющая пенка для умывания лица</t>
        </is>
      </c>
      <c r="E103" s="7" t="n">
        <v>463.2</v>
      </c>
      <c r="F103" s="7" t="n">
        <v>1500</v>
      </c>
      <c r="G103" s="7" t="n">
        <v>61.3</v>
      </c>
      <c r="H103" s="7" t="n">
        <v>225.7</v>
      </c>
      <c r="I103" s="7" t="inlineStr">
        <is>
          <t>юнитка ф3</t>
        </is>
      </c>
      <c r="J103" s="7" t="n">
        <v>7675</v>
      </c>
      <c r="K103" s="7" t="n">
        <v>3055</v>
      </c>
      <c r="L103" s="7" t="n">
        <v>25020</v>
      </c>
      <c r="M103" s="7">
        <f>J103+K103+L103</f>
        <v/>
      </c>
      <c r="N103" s="7" t="n">
        <v>4000</v>
      </c>
      <c r="O103" s="7" t="n">
        <v>4000</v>
      </c>
      <c r="P103" s="7" t="n">
        <v>4500</v>
      </c>
      <c r="Q103" s="7" t="n">
        <v>4500</v>
      </c>
      <c r="R103" s="7" t="n">
        <v>5500</v>
      </c>
      <c r="S103" s="7" t="n">
        <v>5500</v>
      </c>
      <c r="T103" s="7" t="n">
        <v>5000</v>
      </c>
      <c r="U103" s="7" t="n">
        <v>5000</v>
      </c>
      <c r="V103" s="7">
        <f>SUM(OFFSET(N103,0,0,1,$AE$1))</f>
        <v/>
      </c>
      <c r="W103" s="7">
        <f>V103*$AE$2</f>
        <v/>
      </c>
      <c r="X103" s="7">
        <f>V103+W103</f>
        <v/>
      </c>
      <c r="Y103" s="7">
        <f>MAX(0,ROUND(V103-M103,0))</f>
        <v/>
      </c>
      <c r="Z103" s="7">
        <f>ROUND(W103,0)</f>
        <v/>
      </c>
      <c r="AA103" s="7">
        <f>Y103+Z103</f>
        <v/>
      </c>
    </row>
    <row r="104">
      <c r="A104" s="7" t="inlineStr">
        <is>
          <t>ROUND LAB</t>
        </is>
      </c>
      <c r="B104" s="7" t="n">
        <v>1123574113</v>
      </c>
      <c r="C104" s="7" t="n">
        <v>8809657114731</v>
      </c>
      <c r="D104" s="7" t="inlineStr">
        <is>
          <t>ROUND LAB 1025 DOKDO TONER_200ml / Отшелушивающий тоник с морской водой</t>
        </is>
      </c>
      <c r="E104" s="7" t="n">
        <v>484.9</v>
      </c>
      <c r="F104" s="7" t="n">
        <v>1099</v>
      </c>
      <c r="G104" s="7" t="n">
        <v>110.3</v>
      </c>
      <c r="H104" s="7" t="n">
        <v>534.7</v>
      </c>
      <c r="I104" s="7" t="inlineStr">
        <is>
          <t>Ракета факт</t>
        </is>
      </c>
      <c r="J104" s="7" t="n">
        <v>1028</v>
      </c>
      <c r="K104" s="7" t="n">
        <v>15</v>
      </c>
      <c r="L104" s="7" t="n">
        <v>360</v>
      </c>
      <c r="M104" s="7">
        <f>J104+K104+L104</f>
        <v/>
      </c>
      <c r="N104" s="7" t="n">
        <v>250</v>
      </c>
      <c r="O104" s="7" t="n">
        <v>300</v>
      </c>
      <c r="P104" s="7" t="n">
        <v>300</v>
      </c>
      <c r="Q104" s="7" t="n">
        <v>350</v>
      </c>
      <c r="R104" s="7" t="n">
        <v>450</v>
      </c>
      <c r="S104" s="7" t="n">
        <v>400</v>
      </c>
      <c r="T104" s="7" t="n">
        <v>350</v>
      </c>
      <c r="U104" s="7" t="n">
        <v>350</v>
      </c>
      <c r="V104" s="7">
        <f>SUM(OFFSET(N104,0,0,1,$AE$1))</f>
        <v/>
      </c>
      <c r="W104" s="7">
        <f>V104*$AE$2</f>
        <v/>
      </c>
      <c r="X104" s="7">
        <f>V104+W104</f>
        <v/>
      </c>
      <c r="Y104" s="7">
        <f>MAX(0,ROUND(V104-M104,0))</f>
        <v/>
      </c>
      <c r="Z104" s="7">
        <f>ROUND(W104,0)</f>
        <v/>
      </c>
      <c r="AA104" s="7">
        <f>Y104+Z104</f>
        <v/>
      </c>
    </row>
    <row r="105">
      <c r="A105" s="7" t="inlineStr">
        <is>
          <t>ROUND LAB</t>
        </is>
      </c>
      <c r="B105" s="7" t="n">
        <v>437242640</v>
      </c>
      <c r="C105" s="7" t="n">
        <v>8809738593080</v>
      </c>
      <c r="D105" s="7" t="inlineStr">
        <is>
          <t>ROUND LAB MUGWORT CALMING CLEANSER_150ml - Очищающая пенка для умывания лица от прыщей и акне</t>
        </is>
      </c>
      <c r="E105" s="7" t="n">
        <v>512.3</v>
      </c>
      <c r="F105" s="7" t="n">
        <v>1044</v>
      </c>
      <c r="G105" s="7" t="n">
        <v>32</v>
      </c>
      <c r="H105" s="7" t="n">
        <v>164.1</v>
      </c>
      <c r="I105" s="7" t="inlineStr">
        <is>
          <t>Ракета факт</t>
        </is>
      </c>
      <c r="J105" s="7" t="n">
        <v>1422</v>
      </c>
      <c r="K105" s="7" t="n">
        <v>746</v>
      </c>
      <c r="L105" s="7" t="n">
        <v>0</v>
      </c>
      <c r="M105" s="7">
        <f>J105+K105+L105</f>
        <v/>
      </c>
      <c r="N105" s="7" t="n">
        <v>300</v>
      </c>
      <c r="O105" s="7" t="n">
        <v>300</v>
      </c>
      <c r="P105" s="7" t="n">
        <v>350</v>
      </c>
      <c r="Q105" s="7" t="n">
        <v>350</v>
      </c>
      <c r="R105" s="7" t="n">
        <v>400</v>
      </c>
      <c r="S105" s="7" t="n">
        <v>350</v>
      </c>
      <c r="T105" s="7" t="n">
        <v>300</v>
      </c>
      <c r="U105" s="7" t="n">
        <v>300</v>
      </c>
      <c r="V105" s="7">
        <f>SUM(OFFSET(N105,0,0,1,$AE$1))</f>
        <v/>
      </c>
      <c r="W105" s="7">
        <f>V105*$AE$2</f>
        <v/>
      </c>
      <c r="X105" s="7">
        <f>V105+W105</f>
        <v/>
      </c>
      <c r="Y105" s="7">
        <f>MAX(0,ROUND(V105-M105,0))</f>
        <v/>
      </c>
      <c r="Z105" s="7">
        <f>ROUND(W105,0)</f>
        <v/>
      </c>
      <c r="AA105" s="7">
        <f>Y105+Z105</f>
        <v/>
      </c>
    </row>
    <row r="106">
      <c r="A106" s="7" t="inlineStr">
        <is>
          <t>ROUND LAB</t>
        </is>
      </c>
      <c r="B106" s="7" t="n">
        <v>437203627</v>
      </c>
      <c r="C106" s="7" t="n">
        <v>8809738600238</v>
      </c>
      <c r="D106" s="7" t="inlineStr">
        <is>
          <t>ROUND LAB BIRCH JUICE MOISTURIZING CLEANSER_150ml - Гель для умывания лица увлажняющий</t>
        </is>
      </c>
      <c r="E106" s="7" t="n">
        <v>512.3</v>
      </c>
      <c r="F106" s="7" t="n"/>
      <c r="G106" s="7" t="n"/>
      <c r="H106" s="7" t="n"/>
      <c r="I106" s="7" t="inlineStr">
        <is>
          <t>нет данных</t>
        </is>
      </c>
      <c r="J106" s="7" t="n">
        <v>0</v>
      </c>
      <c r="K106" s="7" t="n">
        <v>0</v>
      </c>
      <c r="L106" s="7" t="n">
        <v>0</v>
      </c>
      <c r="M106" s="7">
        <f>J106+K106+L106</f>
        <v/>
      </c>
      <c r="N106" s="7" t="n">
        <v>0</v>
      </c>
      <c r="O106" s="7" t="n">
        <v>0</v>
      </c>
      <c r="P106" s="7" t="n">
        <v>250</v>
      </c>
      <c r="Q106" s="7" t="n">
        <v>300</v>
      </c>
      <c r="R106" s="7" t="n">
        <v>350</v>
      </c>
      <c r="S106" s="7" t="n">
        <v>300</v>
      </c>
      <c r="T106" s="7" t="n">
        <v>250</v>
      </c>
      <c r="U106" s="7" t="n">
        <v>250</v>
      </c>
      <c r="V106" s="7">
        <f>SUM(OFFSET(N106,0,0,1,$AE$1))</f>
        <v/>
      </c>
      <c r="W106" s="7">
        <f>V106*$AE$2</f>
        <v/>
      </c>
      <c r="X106" s="7">
        <f>V106+W106</f>
        <v/>
      </c>
      <c r="Y106" s="7">
        <f>MAX(0,ROUND(V106-M106,0))</f>
        <v/>
      </c>
      <c r="Z106" s="7">
        <f>ROUND(W106,0)</f>
        <v/>
      </c>
      <c r="AA106" s="7">
        <f>Y106+Z106</f>
        <v/>
      </c>
    </row>
    <row r="107">
      <c r="A107" s="7" t="inlineStr">
        <is>
          <t>ROUND LAB</t>
        </is>
      </c>
      <c r="B107" s="7" t="n">
        <v>437190353</v>
      </c>
      <c r="C107" s="7" t="n">
        <v>8809738600221</v>
      </c>
      <c r="D107" s="7" t="inlineStr">
        <is>
          <t>ROUND LAB BIRCH JUICE MOISTURIZING CREAM_80ml -Увлажняющий крем  с березовым соком</t>
        </is>
      </c>
      <c r="E107" s="7" t="n">
        <v>1093</v>
      </c>
      <c r="F107" s="7" t="n">
        <v>1555</v>
      </c>
      <c r="G107" s="7" t="n">
        <v>-40</v>
      </c>
      <c r="H107" s="7" t="n">
        <v>-437.3</v>
      </c>
      <c r="I107" s="7" t="inlineStr">
        <is>
          <t>Ракета факт</t>
        </is>
      </c>
      <c r="J107" s="7" t="n">
        <v>262</v>
      </c>
      <c r="K107" s="7" t="n">
        <v>706</v>
      </c>
      <c r="L107" s="7" t="n">
        <v>0</v>
      </c>
      <c r="M107" s="7">
        <f>J107+K107+L107</f>
        <v/>
      </c>
      <c r="N107" s="7" t="n">
        <v>60</v>
      </c>
      <c r="O107" s="7" t="n">
        <v>80</v>
      </c>
      <c r="P107" s="7" t="n">
        <v>100</v>
      </c>
      <c r="Q107" s="7" t="n">
        <v>125</v>
      </c>
      <c r="R107" s="7" t="n">
        <v>150</v>
      </c>
      <c r="S107" s="7" t="n">
        <v>150</v>
      </c>
      <c r="T107" s="7" t="n">
        <v>125</v>
      </c>
      <c r="U107" s="7" t="n">
        <v>125</v>
      </c>
      <c r="V107" s="7">
        <f>SUM(OFFSET(N107,0,0,1,$AE$1))</f>
        <v/>
      </c>
      <c r="W107" s="7">
        <f>V107*$AE$2</f>
        <v/>
      </c>
      <c r="X107" s="7">
        <f>V107+W107</f>
        <v/>
      </c>
      <c r="Y107" s="7">
        <f>MAX(0,ROUND(V107-M107,0))</f>
        <v/>
      </c>
      <c r="Z107" s="7">
        <f>ROUND(W107,0)</f>
        <v/>
      </c>
      <c r="AA107" s="7">
        <f>Y107+Z107</f>
        <v/>
      </c>
    </row>
    <row r="108">
      <c r="A108" s="7" t="inlineStr">
        <is>
          <t>ROUND LAB</t>
        </is>
      </c>
      <c r="B108" s="7" t="n">
        <v>437254254</v>
      </c>
      <c r="C108" s="7" t="n">
        <v>8809875907337</v>
      </c>
      <c r="D108" s="7" t="inlineStr">
        <is>
          <t>ROUND LAB SOYBEAN PANTHENOL CREAM_80ml - Крем для лица с чёрной соей и пантенолом успокаивающий</t>
        </is>
      </c>
      <c r="E108" s="7" t="n">
        <v>1161.4</v>
      </c>
      <c r="F108" s="7" t="n">
        <v>1841</v>
      </c>
      <c r="G108" s="7" t="n">
        <v>7.1</v>
      </c>
      <c r="H108" s="7" t="n">
        <v>82.40000000000001</v>
      </c>
      <c r="I108" s="7" t="inlineStr">
        <is>
          <t>Ракета факт</t>
        </is>
      </c>
      <c r="J108" s="7" t="n">
        <v>150</v>
      </c>
      <c r="K108" s="7" t="n">
        <v>211</v>
      </c>
      <c r="L108" s="7" t="n">
        <v>0</v>
      </c>
      <c r="M108" s="7">
        <f>J108+K108+L108</f>
        <v/>
      </c>
      <c r="N108" s="7" t="n">
        <v>40</v>
      </c>
      <c r="O108" s="7" t="n">
        <v>50</v>
      </c>
      <c r="P108" s="7" t="n">
        <v>60</v>
      </c>
      <c r="Q108" s="7" t="n">
        <v>70</v>
      </c>
      <c r="R108" s="7" t="n">
        <v>90</v>
      </c>
      <c r="S108" s="7" t="n">
        <v>90</v>
      </c>
      <c r="T108" s="7" t="n">
        <v>80</v>
      </c>
      <c r="U108" s="7" t="n">
        <v>80</v>
      </c>
      <c r="V108" s="7">
        <f>SUM(OFFSET(N108,0,0,1,$AE$1))</f>
        <v/>
      </c>
      <c r="W108" s="7">
        <f>V108*$AE$2</f>
        <v/>
      </c>
      <c r="X108" s="7">
        <f>V108+W108</f>
        <v/>
      </c>
      <c r="Y108" s="7">
        <f>MAX(0,ROUND(V108-M108,0))</f>
        <v/>
      </c>
      <c r="Z108" s="7">
        <f>ROUND(W108,0)</f>
        <v/>
      </c>
      <c r="AA108" s="7">
        <f>Y108+Z108</f>
        <v/>
      </c>
    </row>
    <row r="109">
      <c r="A109" s="5" t="inlineStr">
        <is>
          <t>CELIMAX</t>
        </is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7" t="inlineStr">
        <is>
          <t>CELIMAX</t>
        </is>
      </c>
      <c r="B110" s="7" t="n">
        <v>868516027</v>
      </c>
      <c r="C110" s="7" t="n">
        <v>8809606850475</v>
      </c>
      <c r="D110" s="7" t="inlineStr">
        <is>
          <t>Celimax Dual Barrier Creamy Toner, тонер 150 мл</t>
        </is>
      </c>
      <c r="E110" s="7" t="n">
        <v>663.9</v>
      </c>
      <c r="F110" s="7" t="n">
        <v>1950</v>
      </c>
      <c r="G110" s="7" t="n">
        <v>39.8</v>
      </c>
      <c r="H110" s="7" t="n">
        <v>205.7</v>
      </c>
      <c r="I110" s="7" t="inlineStr">
        <is>
          <t>юнитка ф3</t>
        </is>
      </c>
      <c r="J110" s="7" t="n">
        <v>-924</v>
      </c>
      <c r="K110" s="7" t="n">
        <v>1087</v>
      </c>
      <c r="L110" s="7" t="n">
        <v>40008</v>
      </c>
      <c r="M110" s="7">
        <f>J110+K110+L110</f>
        <v/>
      </c>
      <c r="N110" s="7" t="n">
        <v>4500</v>
      </c>
      <c r="O110" s="7" t="n">
        <v>5000</v>
      </c>
      <c r="P110" s="7" t="n">
        <v>5000</v>
      </c>
      <c r="Q110" s="7" t="n">
        <v>5500</v>
      </c>
      <c r="R110" s="7" t="n">
        <v>6000</v>
      </c>
      <c r="S110" s="7" t="n">
        <v>5500</v>
      </c>
      <c r="T110" s="7" t="n">
        <v>5000</v>
      </c>
      <c r="U110" s="7" t="n">
        <v>5000</v>
      </c>
      <c r="V110" s="7">
        <f>SUM(OFFSET(N110,0,0,1,$AE$1))</f>
        <v/>
      </c>
      <c r="W110" s="7">
        <f>V110*$AE$2</f>
        <v/>
      </c>
      <c r="X110" s="7">
        <f>V110+W110</f>
        <v/>
      </c>
      <c r="Y110" s="7">
        <f>MAX(0,ROUND(V110-M110,0))</f>
        <v/>
      </c>
      <c r="Z110" s="7">
        <f>ROUND(W110,0)</f>
        <v/>
      </c>
      <c r="AA110" s="7">
        <f>Y110+Z110</f>
        <v/>
      </c>
    </row>
    <row r="111">
      <c r="A111" s="7" t="inlineStr">
        <is>
          <t>CELIMAX</t>
        </is>
      </c>
      <c r="B111" s="7" t="n">
        <v>551465879</v>
      </c>
      <c r="C111" s="7" t="n">
        <v>8809700320805</v>
      </c>
      <c r="D111" s="7" t="inlineStr">
        <is>
          <t>CELIMAX THE VITA-A RETINOL SHOT TIGHTENING SERUM [30ml]/Сыворотка с ретинолом и микроиглами для лица</t>
        </is>
      </c>
      <c r="E111" s="7" t="n">
        <v>532.1</v>
      </c>
      <c r="F111" s="7" t="n">
        <v>1253</v>
      </c>
      <c r="G111" s="7" t="n">
        <v>69.90000000000001</v>
      </c>
      <c r="H111" s="7" t="n">
        <v>372.1</v>
      </c>
      <c r="I111" s="7" t="inlineStr">
        <is>
          <t>Ракета факт</t>
        </is>
      </c>
      <c r="J111" s="7" t="n">
        <v>3780</v>
      </c>
      <c r="K111" s="7" t="n">
        <v>850</v>
      </c>
      <c r="L111" s="7" t="n">
        <v>0</v>
      </c>
      <c r="M111" s="7">
        <f>J111+K111+L111</f>
        <v/>
      </c>
      <c r="N111" s="7" t="n">
        <v>550</v>
      </c>
      <c r="O111" s="7" t="n">
        <v>600</v>
      </c>
      <c r="P111" s="7" t="n">
        <v>600</v>
      </c>
      <c r="Q111" s="7" t="n">
        <v>650</v>
      </c>
      <c r="R111" s="7" t="n">
        <v>700</v>
      </c>
      <c r="S111" s="7" t="n">
        <v>650</v>
      </c>
      <c r="T111" s="7" t="n">
        <v>600</v>
      </c>
      <c r="U111" s="7" t="n">
        <v>600</v>
      </c>
      <c r="V111" s="7">
        <f>SUM(OFFSET(N111,0,0,1,$AE$1))</f>
        <v/>
      </c>
      <c r="W111" s="7">
        <f>V111*$AE$2</f>
        <v/>
      </c>
      <c r="X111" s="7">
        <f>V111+W111</f>
        <v/>
      </c>
      <c r="Y111" s="7">
        <f>MAX(0,ROUND(V111-M111,0))</f>
        <v/>
      </c>
      <c r="Z111" s="7">
        <f>ROUND(W111,0)</f>
        <v/>
      </c>
      <c r="AA111" s="7">
        <f>Y111+Z111</f>
        <v/>
      </c>
    </row>
    <row r="112">
      <c r="A112" s="7" t="inlineStr">
        <is>
          <t>CELIMAX</t>
        </is>
      </c>
      <c r="B112" s="7" t="n">
        <v>551387355</v>
      </c>
      <c r="C112" s="7" t="n">
        <v>8809700320812</v>
      </c>
      <c r="D112" s="7" t="inlineStr">
        <is>
          <t>CELIMAX THE VITA-A RETINAL SHOT TIGHTENING BOOSTER [15ml]/Подтягивающий бустер-крем с ретинолом для лица</t>
        </is>
      </c>
      <c r="E112" s="7" t="n">
        <v>512.2</v>
      </c>
      <c r="F112" s="7" t="n">
        <v>1183</v>
      </c>
      <c r="G112" s="7" t="n">
        <v>57.6</v>
      </c>
      <c r="H112" s="7" t="n">
        <v>295.2</v>
      </c>
      <c r="I112" s="7" t="inlineStr">
        <is>
          <t>Ракета факт</t>
        </is>
      </c>
      <c r="J112" s="7" t="n">
        <v>9870</v>
      </c>
      <c r="K112" s="7" t="n">
        <v>659</v>
      </c>
      <c r="L112" s="7" t="n">
        <v>0</v>
      </c>
      <c r="M112" s="7">
        <f>J112+K112+L112</f>
        <v/>
      </c>
      <c r="N112" s="7" t="n">
        <v>250</v>
      </c>
      <c r="O112" s="7" t="n">
        <v>350</v>
      </c>
      <c r="P112" s="7" t="n">
        <v>500</v>
      </c>
      <c r="Q112" s="7" t="n">
        <v>700</v>
      </c>
      <c r="R112" s="7" t="n">
        <v>900</v>
      </c>
      <c r="S112" s="7" t="n">
        <v>800</v>
      </c>
      <c r="T112" s="7" t="n">
        <v>700</v>
      </c>
      <c r="U112" s="7" t="n">
        <v>700</v>
      </c>
      <c r="V112" s="7">
        <f>SUM(OFFSET(N112,0,0,1,$AE$1))</f>
        <v/>
      </c>
      <c r="W112" s="7">
        <f>V112*$AE$2</f>
        <v/>
      </c>
      <c r="X112" s="7">
        <f>V112+W112</f>
        <v/>
      </c>
      <c r="Y112" s="7">
        <f>MAX(0,ROUND(V112-M112,0))</f>
        <v/>
      </c>
      <c r="Z112" s="7">
        <f>ROUND(W112,0)</f>
        <v/>
      </c>
      <c r="AA112" s="7">
        <f>Y112+Z112</f>
        <v/>
      </c>
    </row>
    <row r="113">
      <c r="A113" s="7" t="inlineStr">
        <is>
          <t>CELIMAX</t>
        </is>
      </c>
      <c r="B113" s="7" t="n">
        <v>551607905</v>
      </c>
      <c r="C113" s="7" t="n">
        <v>8809783321225</v>
      </c>
      <c r="D113" s="7" t="inlineStr">
        <is>
          <t>CELIMAX JI WOO GAE CICA BHA BLEMISH TONER PAD [170ml / 60pads]/Тонер-пэды от воспалений</t>
        </is>
      </c>
      <c r="E113" s="7" t="n">
        <v>707.9</v>
      </c>
      <c r="F113" s="7" t="n">
        <v>1187</v>
      </c>
      <c r="G113" s="7" t="n">
        <v>-8.300000000000001</v>
      </c>
      <c r="H113" s="7" t="n">
        <v>-58.5</v>
      </c>
      <c r="I113" s="7" t="inlineStr">
        <is>
          <t>Ракета факт</t>
        </is>
      </c>
      <c r="J113" s="7" t="n">
        <v>1641</v>
      </c>
      <c r="K113" s="7" t="n">
        <v>228</v>
      </c>
      <c r="L113" s="7" t="n">
        <v>0</v>
      </c>
      <c r="M113" s="7">
        <f>J113+K113+L113</f>
        <v/>
      </c>
      <c r="N113" s="7" t="n">
        <v>200</v>
      </c>
      <c r="O113" s="7" t="n">
        <v>250</v>
      </c>
      <c r="P113" s="7" t="n">
        <v>250</v>
      </c>
      <c r="Q113" s="7" t="n">
        <v>300</v>
      </c>
      <c r="R113" s="7" t="n">
        <v>350</v>
      </c>
      <c r="S113" s="7" t="n">
        <v>300</v>
      </c>
      <c r="T113" s="7" t="n">
        <v>250</v>
      </c>
      <c r="U113" s="7" t="n">
        <v>250</v>
      </c>
      <c r="V113" s="7">
        <f>SUM(OFFSET(N113,0,0,1,$AE$1))</f>
        <v/>
      </c>
      <c r="W113" s="7">
        <f>V113*$AE$2</f>
        <v/>
      </c>
      <c r="X113" s="7">
        <f>V113+W113</f>
        <v/>
      </c>
      <c r="Y113" s="7">
        <f>MAX(0,ROUND(V113-M113,0))</f>
        <v/>
      </c>
      <c r="Z113" s="7">
        <f>ROUND(W113,0)</f>
        <v/>
      </c>
      <c r="AA113" s="7">
        <f>Y113+Z113</f>
        <v/>
      </c>
    </row>
    <row r="114">
      <c r="A114" s="7" t="inlineStr">
        <is>
          <t>CELIMAX</t>
        </is>
      </c>
      <c r="B114" s="7" t="n">
        <v>551540924</v>
      </c>
      <c r="C114" s="7" t="n">
        <v>8809743546323</v>
      </c>
      <c r="D114" s="7" t="inlineStr">
        <is>
          <t>CELIMAX PORE+DARK SPOT BRIGHTENING PAD [100ml / 40pads]/Тонер-пэды для выравнивания тона и рельефа кожи</t>
        </is>
      </c>
      <c r="E114" s="7" t="n">
        <v>556.2</v>
      </c>
      <c r="F114" s="7" t="n">
        <v>1273</v>
      </c>
      <c r="G114" s="7" t="n">
        <v>-552.3</v>
      </c>
      <c r="H114" s="7" t="n">
        <v>-3071.7</v>
      </c>
      <c r="I114" s="7" t="inlineStr">
        <is>
          <t>Ракета факт</t>
        </is>
      </c>
      <c r="J114" s="7" t="n">
        <v>1797</v>
      </c>
      <c r="K114" s="7" t="n">
        <v>247</v>
      </c>
      <c r="L114" s="7" t="n">
        <v>0</v>
      </c>
      <c r="M114" s="7">
        <f>J114+K114+L114</f>
        <v/>
      </c>
      <c r="N114" s="7" t="n">
        <v>200</v>
      </c>
      <c r="O114" s="7" t="n">
        <v>250</v>
      </c>
      <c r="P114" s="7" t="n">
        <v>250</v>
      </c>
      <c r="Q114" s="7" t="n">
        <v>300</v>
      </c>
      <c r="R114" s="7" t="n">
        <v>350</v>
      </c>
      <c r="S114" s="7" t="n">
        <v>300</v>
      </c>
      <c r="T114" s="7" t="n">
        <v>250</v>
      </c>
      <c r="U114" s="7" t="n">
        <v>250</v>
      </c>
      <c r="V114" s="7">
        <f>SUM(OFFSET(N114,0,0,1,$AE$1))</f>
        <v/>
      </c>
      <c r="W114" s="7">
        <f>V114*$AE$2</f>
        <v/>
      </c>
      <c r="X114" s="7">
        <f>V114+W114</f>
        <v/>
      </c>
      <c r="Y114" s="7">
        <f>MAX(0,ROUND(V114-M114,0))</f>
        <v/>
      </c>
      <c r="Z114" s="7">
        <f>ROUND(W114,0)</f>
        <v/>
      </c>
      <c r="AA114" s="7">
        <f>Y114+Z114</f>
        <v/>
      </c>
    </row>
    <row r="115">
      <c r="A115" s="7" t="inlineStr">
        <is>
          <t>CELIMAX</t>
        </is>
      </c>
      <c r="B115" s="7" t="n">
        <v>551600265</v>
      </c>
      <c r="C115" s="7" t="n">
        <v>8809783323519</v>
      </c>
      <c r="D115" s="7" t="inlineStr">
        <is>
          <t>CELIMAX JI WOO GAE CICA BHA BLEMISH TONER PAD_10EA [30ml]/успокаивающие тонер-пэды</t>
        </is>
      </c>
      <c r="E115" s="7" t="n">
        <v>96.90000000000001</v>
      </c>
      <c r="F115" s="7" t="n">
        <v>311</v>
      </c>
      <c r="G115" s="7" t="n">
        <v>141.7</v>
      </c>
      <c r="H115" s="7" t="n">
        <v>137.3</v>
      </c>
      <c r="I115" s="7" t="inlineStr">
        <is>
          <t>Ракета факт</t>
        </is>
      </c>
      <c r="J115" s="7" t="n">
        <v>1806</v>
      </c>
      <c r="K115" s="7" t="n">
        <v>140</v>
      </c>
      <c r="L115" s="7" t="n">
        <v>0</v>
      </c>
      <c r="M115" s="7">
        <f>J115+K115+L115</f>
        <v/>
      </c>
      <c r="N115" s="7" t="n">
        <v>200</v>
      </c>
      <c r="O115" s="7" t="n">
        <v>250</v>
      </c>
      <c r="P115" s="7" t="n">
        <v>250</v>
      </c>
      <c r="Q115" s="7" t="n">
        <v>300</v>
      </c>
      <c r="R115" s="7" t="n">
        <v>350</v>
      </c>
      <c r="S115" s="7" t="n">
        <v>300</v>
      </c>
      <c r="T115" s="7" t="n">
        <v>250</v>
      </c>
      <c r="U115" s="7" t="n">
        <v>250</v>
      </c>
      <c r="V115" s="7">
        <f>SUM(OFFSET(N115,0,0,1,$AE$1))</f>
        <v/>
      </c>
      <c r="W115" s="7">
        <f>V115*$AE$2</f>
        <v/>
      </c>
      <c r="X115" s="7">
        <f>V115+W115</f>
        <v/>
      </c>
      <c r="Y115" s="7">
        <f>MAX(0,ROUND(V115-M115,0))</f>
        <v/>
      </c>
      <c r="Z115" s="7">
        <f>ROUND(W115,0)</f>
        <v/>
      </c>
      <c r="AA115" s="7">
        <f>Y115+Z115</f>
        <v/>
      </c>
    </row>
    <row r="116">
      <c r="A116" s="7" t="inlineStr">
        <is>
          <t>CELIMAX</t>
        </is>
      </c>
      <c r="B116" s="7" t="n">
        <v>551616449</v>
      </c>
      <c r="C116" s="7" t="n">
        <v>8809971482349</v>
      </c>
      <c r="D116" s="7" t="inlineStr">
        <is>
          <t>CELIMAX THE REAL NONI STARTER KIT (NEW) [30ml+10ml+10ml]/Восстанавливающий набор миниатюр с нони (Тоник, сыворотка, крем )</t>
        </is>
      </c>
      <c r="E116" s="7" t="n">
        <v>634.3</v>
      </c>
      <c r="F116" s="7" t="n">
        <v>1770</v>
      </c>
      <c r="G116" s="7" t="n">
        <v>68.59999999999999</v>
      </c>
      <c r="H116" s="7" t="n">
        <v>294</v>
      </c>
      <c r="I116" s="7" t="inlineStr">
        <is>
          <t>юнитка ф3</t>
        </is>
      </c>
      <c r="J116" s="7" t="n">
        <v>0</v>
      </c>
      <c r="K116" s="7" t="n">
        <v>14</v>
      </c>
      <c r="L116" s="7" t="n">
        <v>480</v>
      </c>
      <c r="M116" s="7">
        <f>J116+K116+L116</f>
        <v/>
      </c>
      <c r="N116" s="7" t="n">
        <v>35</v>
      </c>
      <c r="O116" s="7" t="n">
        <v>40</v>
      </c>
      <c r="P116" s="7" t="n">
        <v>40</v>
      </c>
      <c r="Q116" s="7" t="n">
        <v>50</v>
      </c>
      <c r="R116" s="7" t="n">
        <v>150</v>
      </c>
      <c r="S116" s="7" t="n">
        <v>150</v>
      </c>
      <c r="T116" s="7" t="n">
        <v>125</v>
      </c>
      <c r="U116" s="7" t="n">
        <v>125</v>
      </c>
      <c r="V116" s="7">
        <f>SUM(OFFSET(N116,0,0,1,$AE$1))</f>
        <v/>
      </c>
      <c r="W116" s="7">
        <f>V116*$AE$2</f>
        <v/>
      </c>
      <c r="X116" s="7">
        <f>V116+W116</f>
        <v/>
      </c>
      <c r="Y116" s="7">
        <f>MAX(0,ROUND(V116-M116,0))</f>
        <v/>
      </c>
      <c r="Z116" s="7">
        <f>ROUND(W116,0)</f>
        <v/>
      </c>
      <c r="AA116" s="7">
        <f>Y116+Z116</f>
        <v/>
      </c>
    </row>
    <row r="117">
      <c r="A117" s="7" t="inlineStr">
        <is>
          <t>CELIMAX</t>
        </is>
      </c>
      <c r="B117" s="7" t="n">
        <v>551490295</v>
      </c>
      <c r="C117" s="7" t="n">
        <v>8809971480390</v>
      </c>
      <c r="D117" s="7" t="inlineStr">
        <is>
          <t>CELIMAX PORE+DARK SPOT BRIGHTENING SERUM_10ml [10ml]/Сыворотка для выравнивания тона и рельефа кожи лица</t>
        </is>
      </c>
      <c r="E117" s="7" t="n">
        <v>272.4</v>
      </c>
      <c r="F117" s="7" t="n">
        <v>388</v>
      </c>
      <c r="G117" s="7" t="n">
        <v>-18.9</v>
      </c>
      <c r="H117" s="7" t="n">
        <v>-51.4</v>
      </c>
      <c r="I117" s="7" t="inlineStr">
        <is>
          <t>Ракета факт</t>
        </is>
      </c>
      <c r="J117" s="7" t="n">
        <v>0</v>
      </c>
      <c r="K117" s="7" t="n">
        <v>101</v>
      </c>
      <c r="L117" s="7" t="n">
        <v>0</v>
      </c>
      <c r="M117" s="7">
        <f>J117+K117+L117</f>
        <v/>
      </c>
      <c r="N117" s="7" t="n">
        <v>20</v>
      </c>
      <c r="O117" s="7" t="n">
        <v>30</v>
      </c>
      <c r="P117" s="7" t="n">
        <v>30</v>
      </c>
      <c r="Q117" s="7" t="n">
        <v>60</v>
      </c>
      <c r="R117" s="7" t="n">
        <v>80</v>
      </c>
      <c r="S117" s="7" t="n">
        <v>80</v>
      </c>
      <c r="T117" s="7" t="n">
        <v>60</v>
      </c>
      <c r="U117" s="7" t="n">
        <v>60</v>
      </c>
      <c r="V117" s="7">
        <f>SUM(OFFSET(N117,0,0,1,$AE$1))</f>
        <v/>
      </c>
      <c r="W117" s="7">
        <f>V117*$AE$2</f>
        <v/>
      </c>
      <c r="X117" s="7">
        <f>V117+W117</f>
        <v/>
      </c>
      <c r="Y117" s="7">
        <f>MAX(0,ROUND(V117-M117,0))</f>
        <v/>
      </c>
      <c r="Z117" s="7">
        <f>ROUND(W117,0)</f>
        <v/>
      </c>
      <c r="AA117" s="7">
        <f>Y117+Z117</f>
        <v/>
      </c>
    </row>
    <row r="118">
      <c r="A118" s="7" t="inlineStr">
        <is>
          <t>CELIMAX</t>
        </is>
      </c>
      <c r="B118" s="7" t="n">
        <v>551472457</v>
      </c>
      <c r="C118" s="7" t="n">
        <v>8809875907795</v>
      </c>
      <c r="D118" s="7" t="inlineStr">
        <is>
          <t>CELIMAX THE REAL NONI ENERGY AMPOULE_30ML (NEW) [30ml]/Восстанавливающая сыворотка с экстрактом нони для лица</t>
        </is>
      </c>
      <c r="E118" s="7" t="n">
        <v>763.8</v>
      </c>
      <c r="F118" s="7" t="n">
        <v>1282</v>
      </c>
      <c r="G118" s="7" t="n">
        <v>47.4</v>
      </c>
      <c r="H118" s="7" t="n">
        <v>361.8</v>
      </c>
      <c r="I118" s="7" t="inlineStr">
        <is>
          <t>Ракета факт</t>
        </is>
      </c>
      <c r="J118" s="7" t="n">
        <v>62</v>
      </c>
      <c r="K118" s="7" t="n">
        <v>155</v>
      </c>
      <c r="L118" s="7" t="n">
        <v>0</v>
      </c>
      <c r="M118" s="7">
        <f>J118+K118+L118</f>
        <v/>
      </c>
      <c r="N118" s="7" t="n">
        <v>20</v>
      </c>
      <c r="O118" s="7" t="n">
        <v>25</v>
      </c>
      <c r="P118" s="7" t="n">
        <v>30</v>
      </c>
      <c r="Q118" s="7" t="n">
        <v>35</v>
      </c>
      <c r="R118" s="7" t="n">
        <v>40</v>
      </c>
      <c r="S118" s="7" t="n">
        <v>35</v>
      </c>
      <c r="T118" s="7" t="n">
        <v>30</v>
      </c>
      <c r="U118" s="7" t="n">
        <v>30</v>
      </c>
      <c r="V118" s="7">
        <f>SUM(OFFSET(N118,0,0,1,$AE$1))</f>
        <v/>
      </c>
      <c r="W118" s="7">
        <f>V118*$AE$2</f>
        <v/>
      </c>
      <c r="X118" s="7">
        <f>V118+W118</f>
        <v/>
      </c>
      <c r="Y118" s="7">
        <f>MAX(0,ROUND(V118-M118,0))</f>
        <v/>
      </c>
      <c r="Z118" s="7">
        <f>ROUND(W118,0)</f>
        <v/>
      </c>
      <c r="AA118" s="7">
        <f>Y118+Z118</f>
        <v/>
      </c>
    </row>
    <row r="119">
      <c r="A119" s="7" t="inlineStr">
        <is>
          <t>CELIMAX</t>
        </is>
      </c>
      <c r="B119" s="7" t="n">
        <v>551447345</v>
      </c>
      <c r="C119" s="7" t="n">
        <v>8809971484503</v>
      </c>
      <c r="D119" s="7" t="inlineStr">
        <is>
          <t>CELIMAX PORE+DARK SPOT BRIGHTENING CREAM [35ml]/Крем для выравнивания тона и рельефа кожи лица</t>
        </is>
      </c>
      <c r="E119" s="7" t="n">
        <v>623.4</v>
      </c>
      <c r="F119" s="7" t="n">
        <v>1560</v>
      </c>
      <c r="G119" s="7" t="n">
        <v>122.9</v>
      </c>
      <c r="H119" s="7" t="n">
        <v>766.2</v>
      </c>
      <c r="I119" s="7" t="inlineStr">
        <is>
          <t>Ракета факт</t>
        </is>
      </c>
      <c r="J119" s="7" t="n">
        <v>99</v>
      </c>
      <c r="K119" s="7" t="n">
        <v>191</v>
      </c>
      <c r="L119" s="7" t="n">
        <v>0</v>
      </c>
      <c r="M119" s="7">
        <f>J119+K119+L119</f>
        <v/>
      </c>
      <c r="N119" s="7" t="n">
        <v>10</v>
      </c>
      <c r="O119" s="7" t="n">
        <v>15</v>
      </c>
      <c r="P119" s="7" t="n">
        <v>20</v>
      </c>
      <c r="Q119" s="7" t="n">
        <v>25</v>
      </c>
      <c r="R119" s="7" t="n">
        <v>30</v>
      </c>
      <c r="S119" s="7" t="n">
        <v>30</v>
      </c>
      <c r="T119" s="7" t="n">
        <v>25</v>
      </c>
      <c r="U119" s="7" t="n">
        <v>20</v>
      </c>
      <c r="V119" s="7">
        <f>SUM(OFFSET(N119,0,0,1,$AE$1))</f>
        <v/>
      </c>
      <c r="W119" s="7">
        <f>V119*$AE$2</f>
        <v/>
      </c>
      <c r="X119" s="7">
        <f>V119+W119</f>
        <v/>
      </c>
      <c r="Y119" s="7">
        <f>MAX(0,ROUND(V119-M119,0))</f>
        <v/>
      </c>
      <c r="Z119" s="7">
        <f>ROUND(W119,0)</f>
        <v/>
      </c>
      <c r="AA119" s="7">
        <f>Y119+Z119</f>
        <v/>
      </c>
    </row>
    <row r="120">
      <c r="A120" s="7" t="inlineStr">
        <is>
          <t>CELIMAX</t>
        </is>
      </c>
      <c r="B120" s="7" t="n">
        <v>551482493</v>
      </c>
      <c r="C120" s="7" t="n">
        <v>8809875907412</v>
      </c>
      <c r="D120" s="7" t="inlineStr">
        <is>
          <t>CELIMAX PORE+DARK SPOT BRIGHTENING SERUM_30ml [30ml]/Сыворотка для выравнивания тона и рельефа кожи лица</t>
        </is>
      </c>
      <c r="E120" s="7" t="n">
        <v>687.6</v>
      </c>
      <c r="F120" s="7" t="n">
        <v>1418</v>
      </c>
      <c r="G120" s="7" t="n">
        <v>77</v>
      </c>
      <c r="H120" s="7" t="n">
        <v>529.6</v>
      </c>
      <c r="I120" s="7" t="inlineStr">
        <is>
          <t>Ракета факт</t>
        </is>
      </c>
      <c r="J120" s="7" t="n">
        <v>124</v>
      </c>
      <c r="K120" s="7" t="n">
        <v>111</v>
      </c>
      <c r="L120" s="7" t="n">
        <v>0</v>
      </c>
      <c r="M120" s="7">
        <f>J120+K120+L120</f>
        <v/>
      </c>
      <c r="N120" s="7" t="n">
        <v>10</v>
      </c>
      <c r="O120" s="7" t="n">
        <v>15</v>
      </c>
      <c r="P120" s="7" t="n">
        <v>20</v>
      </c>
      <c r="Q120" s="7" t="n">
        <v>25</v>
      </c>
      <c r="R120" s="7" t="n">
        <v>30</v>
      </c>
      <c r="S120" s="7" t="n">
        <v>30</v>
      </c>
      <c r="T120" s="7" t="n">
        <v>25</v>
      </c>
      <c r="U120" s="7" t="n">
        <v>20</v>
      </c>
      <c r="V120" s="7">
        <f>SUM(OFFSET(N120,0,0,1,$AE$1))</f>
        <v/>
      </c>
      <c r="W120" s="7">
        <f>V120*$AE$2</f>
        <v/>
      </c>
      <c r="X120" s="7">
        <f>V120+W120</f>
        <v/>
      </c>
      <c r="Y120" s="7">
        <f>MAX(0,ROUND(V120-M120,0))</f>
        <v/>
      </c>
      <c r="Z120" s="7">
        <f>ROUND(W120,0)</f>
        <v/>
      </c>
      <c r="AA120" s="7">
        <f>Y120+Z120</f>
        <v/>
      </c>
    </row>
    <row r="121">
      <c r="A121" s="7" t="inlineStr">
        <is>
          <t>CELIMAX</t>
        </is>
      </c>
      <c r="B121" s="7" t="n">
        <v>551392965</v>
      </c>
      <c r="C121" s="7" t="n">
        <v>8809606850505</v>
      </c>
      <c r="D121" s="7" t="inlineStr">
        <is>
          <t>CELIMAX DUAL BARRIER SKIN WEARABLE CREAM [50ml]/Крем для восстановления защитного барьера кожи лица</t>
        </is>
      </c>
      <c r="E121" s="7" t="n">
        <v>864.1</v>
      </c>
      <c r="F121" s="7" t="n">
        <v>1579</v>
      </c>
      <c r="G121" s="7" t="n">
        <v>62.8</v>
      </c>
      <c r="H121" s="7" t="n">
        <v>542.4</v>
      </c>
      <c r="I121" s="7" t="inlineStr">
        <is>
          <t>Ракета факт</t>
        </is>
      </c>
      <c r="J121" s="7" t="n">
        <v>446</v>
      </c>
      <c r="K121" s="7" t="n">
        <v>364</v>
      </c>
      <c r="L121" s="7" t="n">
        <v>0</v>
      </c>
      <c r="M121" s="7">
        <f>J121+K121+L121</f>
        <v/>
      </c>
      <c r="N121" s="7" t="n">
        <v>10</v>
      </c>
      <c r="O121" s="7" t="n">
        <v>15</v>
      </c>
      <c r="P121" s="7" t="n">
        <v>20</v>
      </c>
      <c r="Q121" s="7" t="n">
        <v>25</v>
      </c>
      <c r="R121" s="7" t="n">
        <v>30</v>
      </c>
      <c r="S121" s="7" t="n">
        <v>30</v>
      </c>
      <c r="T121" s="7" t="n">
        <v>25</v>
      </c>
      <c r="U121" s="7" t="n">
        <v>20</v>
      </c>
      <c r="V121" s="7">
        <f>SUM(OFFSET(N121,0,0,1,$AE$1))</f>
        <v/>
      </c>
      <c r="W121" s="7">
        <f>V121*$AE$2</f>
        <v/>
      </c>
      <c r="X121" s="7">
        <f>V121+W121</f>
        <v/>
      </c>
      <c r="Y121" s="7">
        <f>MAX(0,ROUND(V121-M121,0))</f>
        <v/>
      </c>
      <c r="Z121" s="7">
        <f>ROUND(W121,0)</f>
        <v/>
      </c>
      <c r="AA121" s="7">
        <f>Y121+Z121</f>
        <v/>
      </c>
    </row>
    <row r="122">
      <c r="D122" s="8" t="inlineStr">
        <is>
          <t>ИТОГО</t>
        </is>
      </c>
      <c r="Y122" s="8">
        <f>SUM(Y5:Y121)</f>
        <v/>
      </c>
      <c r="Z122" s="8">
        <f>SUM(Z5:Z121)</f>
        <v/>
      </c>
      <c r="AA122" s="8">
        <f>SUM(AA5:AA121)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2026-07-17T11:39:03Z</dcterms:created>
  <dcterms:modified xsi:type="dcterms:W3CDTF">2026-07-17T11:39:03Z</dcterms:modified>
</cp:coreProperties>
</file>
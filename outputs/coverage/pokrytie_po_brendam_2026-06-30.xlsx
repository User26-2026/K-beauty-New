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крыт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8CBAD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44" customWidth="1" min="3" max="3"/>
    <col width="9" customWidth="1" min="4" max="4"/>
    <col width="8" customWidth="1" min="5" max="5"/>
    <col width="8" customWidth="1" min="6" max="6"/>
    <col width="12" customWidth="1" min="7" max="7"/>
    <col width="18" customWidth="1" min="8" max="8"/>
    <col width="14" customWidth="1" min="9" max="9"/>
    <col width="11" customWidth="1" min="10" max="10"/>
  </cols>
  <sheetData>
    <row r="1">
      <c r="M1" s="1" t="inlineStr">
        <is>
          <t>Множитель 2 маг</t>
        </is>
      </c>
      <c r="N1" s="2" t="n">
        <v>1.65</v>
      </c>
    </row>
    <row r="2">
      <c r="A2" s="3" t="inlineStr">
        <is>
          <t>Бренд</t>
        </is>
      </c>
      <c r="B2" s="3" t="inlineStr">
        <is>
          <t>Артикул</t>
        </is>
      </c>
      <c r="C2" s="3" t="inlineStr">
        <is>
          <t>Название</t>
        </is>
      </c>
      <c r="D2" s="3" t="inlineStr">
        <is>
          <t>Остаток</t>
        </is>
      </c>
      <c r="E2" s="3" t="inlineStr">
        <is>
          <t>Заказ</t>
        </is>
      </c>
      <c r="F2" s="3" t="inlineStr">
        <is>
          <t>Карго</t>
        </is>
      </c>
      <c r="G2" s="3" t="inlineStr">
        <is>
          <t>Итого товара</t>
        </is>
      </c>
      <c r="H2" s="3" t="inlineStr">
        <is>
          <t>Продажи/мес (Ракета 2026)</t>
        </is>
      </c>
      <c r="I2" s="3" t="inlineStr">
        <is>
          <t>Спрос 2маг/мес</t>
        </is>
      </c>
      <c r="J2" s="3" t="inlineStr">
        <is>
          <t>Хватит дней</t>
        </is>
      </c>
    </row>
    <row r="3">
      <c r="A3" t="inlineStr">
        <is>
          <t>COSRX</t>
        </is>
      </c>
      <c r="B3" t="inlineStr">
        <is>
          <t>207481251</t>
        </is>
      </c>
      <c r="C3" t="inlineStr">
        <is>
          <t>COSRX - Advanced Snail 96 Mucin Power Essence [100ml] /</t>
        </is>
      </c>
      <c r="D3" t="n">
        <v>38</v>
      </c>
      <c r="E3" t="n">
        <v>0</v>
      </c>
      <c r="F3" t="n">
        <v>0</v>
      </c>
      <c r="G3">
        <f>D3+E3+F3</f>
        <v/>
      </c>
      <c r="H3" t="n">
        <v>46</v>
      </c>
      <c r="I3">
        <f>H3*$N$1</f>
        <v/>
      </c>
      <c r="J3">
        <f>IF(I3=0,"",ROUND(G3/(I3/30),0))</f>
        <v/>
      </c>
    </row>
    <row r="4">
      <c r="A4" t="inlineStr">
        <is>
          <t>COSRX</t>
        </is>
      </c>
      <c r="B4" t="inlineStr">
        <is>
          <t>204258828</t>
        </is>
      </c>
      <c r="C4" t="inlineStr">
        <is>
          <t xml:space="preserve">COSRX - Salicylic Acid Daily Gentle Cleanser [150ml] / </t>
        </is>
      </c>
      <c r="D4" t="n">
        <v>571</v>
      </c>
      <c r="E4" t="n">
        <v>0</v>
      </c>
      <c r="F4" t="n">
        <v>0</v>
      </c>
      <c r="G4">
        <f>D4+E4+F4</f>
        <v/>
      </c>
      <c r="H4" t="n">
        <v>44</v>
      </c>
      <c r="I4">
        <f>H4*$N$1</f>
        <v/>
      </c>
      <c r="J4">
        <f>IF(I4=0,"",ROUND(G4/(I4/30),0))</f>
        <v/>
      </c>
    </row>
    <row r="5">
      <c r="A5" t="inlineStr">
        <is>
          <t>DEOPROCE</t>
        </is>
      </c>
      <c r="B5" t="inlineStr">
        <is>
          <t>214305722</t>
        </is>
      </c>
      <c r="C5" t="inlineStr">
        <is>
          <t>DEOPROCE SHAMPOO+BALSAM - BLACK GARLIC[2000ml]</t>
        </is>
      </c>
      <c r="D5" t="n">
        <v>570</v>
      </c>
      <c r="E5" t="n">
        <v>0</v>
      </c>
      <c r="F5" t="n">
        <v>0</v>
      </c>
      <c r="G5">
        <f>D5+E5+F5</f>
        <v/>
      </c>
      <c r="H5" t="n">
        <v>94</v>
      </c>
      <c r="I5">
        <f>H5*$N$1</f>
        <v/>
      </c>
      <c r="J5">
        <f>IF(I5=0,"",ROUND(G5/(I5/30),0))</f>
        <v/>
      </c>
    </row>
    <row r="6">
      <c r="A6" t="inlineStr">
        <is>
          <t>DEOPROCE</t>
        </is>
      </c>
      <c r="B6" t="inlineStr">
        <is>
          <t>608841921</t>
        </is>
      </c>
      <c r="C6" t="inlineStr">
        <is>
          <t>DEOPROCE SHAMPOO - BLACK GARLIC INTENSME ENERGY [200ml]</t>
        </is>
      </c>
      <c r="D6" t="n">
        <v>545</v>
      </c>
      <c r="E6" t="n">
        <v>0</v>
      </c>
      <c r="F6" t="n">
        <v>0</v>
      </c>
      <c r="G6">
        <f>D6+E6+F6</f>
        <v/>
      </c>
      <c r="H6" t="n">
        <v>55</v>
      </c>
      <c r="I6">
        <f>H6*$N$1</f>
        <v/>
      </c>
      <c r="J6">
        <f>IF(I6=0,"",ROUND(G6/(I6/30),0))</f>
        <v/>
      </c>
    </row>
    <row r="7">
      <c r="A7" t="inlineStr">
        <is>
          <t>DEOPROCE</t>
        </is>
      </c>
      <c r="B7" t="inlineStr">
        <is>
          <t>608837066</t>
        </is>
      </c>
      <c r="C7" t="inlineStr">
        <is>
          <t>DEOPROCE SHAMPOO - BLACK GARLIC INTENSME ENERGY [600ml]</t>
        </is>
      </c>
      <c r="D7" t="n">
        <v>122</v>
      </c>
      <c r="E7" t="n">
        <v>0</v>
      </c>
      <c r="F7" t="n">
        <v>0</v>
      </c>
      <c r="G7">
        <f>D7+E7+F7</f>
        <v/>
      </c>
      <c r="H7" t="n">
        <v>39</v>
      </c>
      <c r="I7">
        <f>H7*$N$1</f>
        <v/>
      </c>
      <c r="J7">
        <f>IF(I7=0,"",ROUND(G7/(I7/30),0))</f>
        <v/>
      </c>
    </row>
    <row r="8">
      <c r="A8" t="inlineStr">
        <is>
          <t>DEOPROCE</t>
        </is>
      </c>
      <c r="B8" t="inlineStr">
        <is>
          <t>608624295</t>
        </is>
      </c>
      <c r="C8" t="inlineStr">
        <is>
          <t>DEOPROCE SHAMPOO - BLACK GARLIC INTENSME ENERGY [600ml]</t>
        </is>
      </c>
      <c r="D8" t="n">
        <v>143</v>
      </c>
      <c r="E8" t="n">
        <v>0</v>
      </c>
      <c r="F8" t="n">
        <v>0</v>
      </c>
      <c r="G8">
        <f>D8+E8+F8</f>
        <v/>
      </c>
      <c r="H8" t="n">
        <v>31</v>
      </c>
      <c r="I8">
        <f>H8*$N$1</f>
        <v/>
      </c>
      <c r="J8">
        <f>IF(I8=0,"",ROUND(G8/(I8/30),0))</f>
        <v/>
      </c>
    </row>
    <row r="9">
      <c r="A9" t="inlineStr">
        <is>
          <t>DEOPROCE</t>
        </is>
      </c>
      <c r="B9" t="inlineStr">
        <is>
          <t>214304883</t>
        </is>
      </c>
      <c r="C9" t="inlineStr">
        <is>
          <t>DEOPROCE - SNAIL RECOVERY CREAM [100g] / Крем восстанав</t>
        </is>
      </c>
      <c r="D9" t="n">
        <v>57</v>
      </c>
      <c r="E9" t="n">
        <v>0</v>
      </c>
      <c r="F9" t="n">
        <v>0</v>
      </c>
      <c r="G9">
        <f>D9+E9+F9</f>
        <v/>
      </c>
      <c r="H9" t="n">
        <v>22</v>
      </c>
      <c r="I9">
        <f>H9*$N$1</f>
        <v/>
      </c>
      <c r="J9">
        <f>IF(I9=0,"",ROUND(G9/(I9/30),0))</f>
        <v/>
      </c>
    </row>
    <row r="10">
      <c r="A10" t="inlineStr">
        <is>
          <t>DR.JART</t>
        </is>
      </c>
      <c r="B10" t="inlineStr">
        <is>
          <t>199427475</t>
        </is>
      </c>
      <c r="C10" t="inlineStr">
        <is>
          <t>DR. JART - Ctrl+A Teatreatment Toner [120ml] / Тонер то</t>
        </is>
      </c>
      <c r="D10" t="n">
        <v>285</v>
      </c>
      <c r="E10" t="n">
        <v>0</v>
      </c>
      <c r="F10" t="n">
        <v>0</v>
      </c>
      <c r="G10">
        <f>D10+E10+F10</f>
        <v/>
      </c>
      <c r="H10" t="n">
        <v>15</v>
      </c>
      <c r="I10">
        <f>H10*$N$1</f>
        <v/>
      </c>
      <c r="J10">
        <f>IF(I10=0,"",ROUND(G10/(I10/30),0))</f>
        <v/>
      </c>
    </row>
    <row r="11">
      <c r="A11" t="inlineStr">
        <is>
          <t>EKEL</t>
        </is>
      </c>
      <c r="B11" t="inlineStr">
        <is>
          <t>208202076</t>
        </is>
      </c>
      <c r="C11" t="inlineStr">
        <is>
          <t>EKEL - Ampule Сream Сollagen [70ml] / Крем для лица амп</t>
        </is>
      </c>
      <c r="D11" t="n">
        <v>324</v>
      </c>
      <c r="E11" t="n">
        <v>0</v>
      </c>
      <c r="F11" t="n">
        <v>0</v>
      </c>
      <c r="G11">
        <f>D11+E11+F11</f>
        <v/>
      </c>
      <c r="H11" t="n">
        <v>85</v>
      </c>
      <c r="I11">
        <f>H11*$N$1</f>
        <v/>
      </c>
      <c r="J11">
        <f>IF(I11=0,"",ROUND(G11/(I11/30),0))</f>
        <v/>
      </c>
    </row>
    <row r="12">
      <c r="A12" t="inlineStr">
        <is>
          <t>ELIZAVECCA</t>
        </is>
      </c>
      <c r="B12" t="inlineStr">
        <is>
          <t>207796563</t>
        </is>
      </c>
      <c r="C12" t="inlineStr">
        <is>
          <t>ELIZAVECCA - Aqua Hyaluronic Acid Water Drop Cream / Ув</t>
        </is>
      </c>
      <c r="D12" t="n">
        <v>45</v>
      </c>
      <c r="E12" t="n">
        <v>0</v>
      </c>
      <c r="F12" t="n">
        <v>0</v>
      </c>
      <c r="G12">
        <f>D12+E12+F12</f>
        <v/>
      </c>
      <c r="H12" t="n">
        <v>176</v>
      </c>
      <c r="I12">
        <f>H12*$N$1</f>
        <v/>
      </c>
      <c r="J12">
        <f>IF(I12=0,"",ROUND(G12/(I12/30),0))</f>
        <v/>
      </c>
    </row>
    <row r="13">
      <c r="A13" t="inlineStr">
        <is>
          <t>ELIZAVECCA</t>
        </is>
      </c>
      <c r="B13" t="inlineStr">
        <is>
          <t>207796439</t>
        </is>
      </c>
      <c r="C13" t="inlineStr">
        <is>
          <t>ELIZAVECCA - Natural 90% Olive Cleansing Oil / Очищающе</t>
        </is>
      </c>
      <c r="D13" t="n">
        <v>5</v>
      </c>
      <c r="E13" t="n">
        <v>0</v>
      </c>
      <c r="F13" t="n">
        <v>0</v>
      </c>
      <c r="G13">
        <f>D13+E13+F13</f>
        <v/>
      </c>
      <c r="H13" t="n">
        <v>117</v>
      </c>
      <c r="I13">
        <f>H13*$N$1</f>
        <v/>
      </c>
      <c r="J13">
        <f>IF(I13=0,"",ROUND(G13/(I13/30),0))</f>
        <v/>
      </c>
    </row>
    <row r="14">
      <c r="A14" t="inlineStr">
        <is>
          <t>ELIZAVECCA</t>
        </is>
      </c>
      <c r="B14" t="inlineStr">
        <is>
          <t>206057411</t>
        </is>
      </c>
      <c r="C14" t="inlineStr">
        <is>
          <t>ELIZAVECCA - Hell pore clean up aha fruit toner [ 200ml</t>
        </is>
      </c>
      <c r="D14" t="n">
        <v>458</v>
      </c>
      <c r="E14" t="n">
        <v>0</v>
      </c>
      <c r="F14" t="n">
        <v>0</v>
      </c>
      <c r="G14">
        <f>D14+E14+F14</f>
        <v/>
      </c>
      <c r="H14" t="n">
        <v>104</v>
      </c>
      <c r="I14">
        <f>H14*$N$1</f>
        <v/>
      </c>
      <c r="J14">
        <f>IF(I14=0,"",ROUND(G14/(I14/30),0))</f>
        <v/>
      </c>
    </row>
    <row r="15">
      <c r="A15" t="inlineStr">
        <is>
          <t>ELIZAVECCA</t>
        </is>
      </c>
      <c r="B15" t="inlineStr">
        <is>
          <t>190159348</t>
        </is>
      </c>
      <c r="C15" t="inlineStr">
        <is>
          <t>ELIZAVECCA - 24K Gold Snail Cleansing Foam [180ml] / Зо</t>
        </is>
      </c>
      <c r="D15" t="n">
        <v>45</v>
      </c>
      <c r="E15" t="n">
        <v>0</v>
      </c>
      <c r="F15" t="n">
        <v>0</v>
      </c>
      <c r="G15">
        <f>D15+E15+F15</f>
        <v/>
      </c>
      <c r="H15" t="n">
        <v>97</v>
      </c>
      <c r="I15">
        <f>H15*$N$1</f>
        <v/>
      </c>
      <c r="J15">
        <f>IF(I15=0,"",ROUND(G15/(I15/30),0))</f>
        <v/>
      </c>
    </row>
    <row r="16">
      <c r="A16" t="inlineStr">
        <is>
          <t>ELIZAVECCA</t>
        </is>
      </c>
      <c r="B16" t="inlineStr">
        <is>
          <t>207796350</t>
        </is>
      </c>
      <c r="C16" t="inlineStr">
        <is>
          <t xml:space="preserve">ELIZAVECCA - CER-100 Collagen Ceramide Coating Protein </t>
        </is>
      </c>
      <c r="D16" t="n">
        <v>831</v>
      </c>
      <c r="E16" t="n">
        <v>0</v>
      </c>
      <c r="F16" t="n">
        <v>0</v>
      </c>
      <c r="G16">
        <f>D16+E16+F16</f>
        <v/>
      </c>
      <c r="H16" t="n">
        <v>24</v>
      </c>
      <c r="I16">
        <f>H16*$N$1</f>
        <v/>
      </c>
      <c r="J16">
        <f>IF(I16=0,"",ROUND(G16/(I16/30),0))</f>
        <v/>
      </c>
    </row>
    <row r="17">
      <c r="A17" t="inlineStr">
        <is>
          <t>ELIZAVECCA</t>
        </is>
      </c>
      <c r="B17" t="inlineStr">
        <is>
          <t>190160008</t>
        </is>
      </c>
      <c r="C17" t="inlineStr">
        <is>
          <t xml:space="preserve">ELIZAVECCA - Milky Piggy EGF elastic retinol [100ml] / </t>
        </is>
      </c>
      <c r="D17" t="n">
        <v>451</v>
      </c>
      <c r="E17" t="n">
        <v>0</v>
      </c>
      <c r="F17" t="n">
        <v>0</v>
      </c>
      <c r="G17">
        <f>D17+E17+F17</f>
        <v/>
      </c>
      <c r="H17" t="n">
        <v>4</v>
      </c>
      <c r="I17">
        <f>H17*$N$1</f>
        <v/>
      </c>
      <c r="J17">
        <f>IF(I17=0,"",ROUND(G17/(I17/30),0))</f>
        <v/>
      </c>
    </row>
    <row r="18">
      <c r="A18" t="inlineStr">
        <is>
          <t>ELIZAVECCA</t>
        </is>
      </c>
      <c r="B18" t="inlineStr">
        <is>
          <t>206058262</t>
        </is>
      </c>
      <c r="C18" t="inlineStr">
        <is>
          <t>ELIZAVECCA - Hell-Pore Galactomyces Pure Ample / Сыворо</t>
        </is>
      </c>
      <c r="D18" t="n">
        <v>178</v>
      </c>
      <c r="E18" t="n">
        <v>0</v>
      </c>
      <c r="F18" t="n">
        <v>0</v>
      </c>
      <c r="G18">
        <f>D18+E18+F18</f>
        <v/>
      </c>
      <c r="H18" t="n">
        <v>3</v>
      </c>
      <c r="I18">
        <f>H18*$N$1</f>
        <v/>
      </c>
      <c r="J18">
        <f>IF(I18=0,"",ROUND(G18/(I18/30),0))</f>
        <v/>
      </c>
    </row>
    <row r="19">
      <c r="A19" t="inlineStr">
        <is>
          <t>ENOUGH</t>
        </is>
      </c>
      <c r="B19" t="inlineStr">
        <is>
          <t>238415286</t>
        </is>
      </c>
      <c r="C19" t="inlineStr">
        <is>
          <t>ENOUGH - Collagen Moisture Essential Cream [50ml] / Увл</t>
        </is>
      </c>
      <c r="D19" t="n">
        <v>10832</v>
      </c>
      <c r="E19" t="n">
        <v>0</v>
      </c>
      <c r="F19" t="n">
        <v>0</v>
      </c>
      <c r="G19">
        <f>D19+E19+F19</f>
        <v/>
      </c>
      <c r="H19" t="n">
        <v>1392</v>
      </c>
      <c r="I19">
        <f>H19*$N$1</f>
        <v/>
      </c>
      <c r="J19">
        <f>IF(I19=0,"",ROUND(G19/(I19/30),0))</f>
        <v/>
      </c>
    </row>
    <row r="20">
      <c r="A20" t="inlineStr">
        <is>
          <t>ENOUGH</t>
        </is>
      </c>
      <c r="B20" t="inlineStr">
        <is>
          <t>238358954</t>
        </is>
      </c>
      <c r="C20" t="inlineStr">
        <is>
          <t>ENOUGH - Collagen 3in1 Sun Cream SPF50 PA+++ [50ml] / о</t>
        </is>
      </c>
      <c r="D20" t="n">
        <v>318</v>
      </c>
      <c r="E20" t="n">
        <v>0</v>
      </c>
      <c r="F20" t="n">
        <v>0</v>
      </c>
      <c r="G20">
        <f>D20+E20+F20</f>
        <v/>
      </c>
      <c r="H20" t="n">
        <v>594</v>
      </c>
      <c r="I20">
        <f>H20*$N$1</f>
        <v/>
      </c>
      <c r="J20">
        <f>IF(I20=0,"",ROUND(G20/(I20/30),0))</f>
        <v/>
      </c>
    </row>
    <row r="21">
      <c r="A21" t="inlineStr">
        <is>
          <t>ENOUGH</t>
        </is>
      </c>
      <c r="B21" t="inlineStr">
        <is>
          <t>207796789</t>
        </is>
      </c>
      <c r="C21" t="inlineStr">
        <is>
          <t>ENOUGH - Gold Snail Moisture Foundation [Tone 13] / Тон</t>
        </is>
      </c>
      <c r="D21" t="n">
        <v>336</v>
      </c>
      <c r="E21" t="n">
        <v>0</v>
      </c>
      <c r="F21" t="n">
        <v>700</v>
      </c>
      <c r="G21">
        <f>D21+E21+F21</f>
        <v/>
      </c>
      <c r="H21" t="n">
        <v>297</v>
      </c>
      <c r="I21">
        <f>H21*$N$1</f>
        <v/>
      </c>
      <c r="J21">
        <f>IF(I21=0,"",ROUND(G21/(I21/30),0))</f>
        <v/>
      </c>
    </row>
    <row r="22">
      <c r="A22" t="inlineStr">
        <is>
          <t>ENOUGH</t>
        </is>
      </c>
      <c r="B22" t="inlineStr">
        <is>
          <t>150925321</t>
        </is>
      </c>
      <c r="C22" t="inlineStr">
        <is>
          <t>ENOUGH - Collagen Moisture Foundation [Tone 13] / Тонал</t>
        </is>
      </c>
      <c r="D22" t="n">
        <v>2486</v>
      </c>
      <c r="E22" t="n">
        <v>0</v>
      </c>
      <c r="F22" t="n">
        <v>0</v>
      </c>
      <c r="G22">
        <f>D22+E22+F22</f>
        <v/>
      </c>
      <c r="H22" t="n">
        <v>240</v>
      </c>
      <c r="I22">
        <f>H22*$N$1</f>
        <v/>
      </c>
      <c r="J22">
        <f>IF(I22=0,"",ROUND(G22/(I22/30),0))</f>
        <v/>
      </c>
    </row>
    <row r="23">
      <c r="A23" t="inlineStr">
        <is>
          <t>ENOUGH</t>
        </is>
      </c>
      <c r="B23" t="inlineStr">
        <is>
          <t>207796898</t>
        </is>
      </c>
      <c r="C23" t="inlineStr">
        <is>
          <t>ENOUGH - Gold Snail Moisture Foundation [Tone 21] / Тон</t>
        </is>
      </c>
      <c r="D23" t="n">
        <v>284</v>
      </c>
      <c r="E23" t="n">
        <v>0</v>
      </c>
      <c r="F23" t="n">
        <v>400</v>
      </c>
      <c r="G23">
        <f>D23+E23+F23</f>
        <v/>
      </c>
      <c r="H23" t="n">
        <v>175</v>
      </c>
      <c r="I23">
        <f>H23*$N$1</f>
        <v/>
      </c>
      <c r="J23">
        <f>IF(I23=0,"",ROUND(G23/(I23/30),0))</f>
        <v/>
      </c>
    </row>
    <row r="24">
      <c r="A24" t="inlineStr">
        <is>
          <t>ENOUGH</t>
        </is>
      </c>
      <c r="B24" t="inlineStr">
        <is>
          <t>170198337</t>
        </is>
      </c>
      <c r="C24" t="inlineStr">
        <is>
          <t>ENOUGH - Premium 8 Peptide Full Cover Perfect Foundatio</t>
        </is>
      </c>
      <c r="D24" t="n">
        <v>632</v>
      </c>
      <c r="E24" t="n">
        <v>0</v>
      </c>
      <c r="F24" t="n">
        <v>0</v>
      </c>
      <c r="G24">
        <f>D24+E24+F24</f>
        <v/>
      </c>
      <c r="H24" t="n">
        <v>150</v>
      </c>
      <c r="I24">
        <f>H24*$N$1</f>
        <v/>
      </c>
      <c r="J24">
        <f>IF(I24=0,"",ROUND(G24/(I24/30),0))</f>
        <v/>
      </c>
    </row>
    <row r="25">
      <c r="A25" t="inlineStr">
        <is>
          <t>ENOUGH</t>
        </is>
      </c>
      <c r="B25" t="inlineStr">
        <is>
          <t>170198835</t>
        </is>
      </c>
      <c r="C25" t="inlineStr">
        <is>
          <t>ENOUGH - Premium Ultra X10 Cover Up Collagen Foundation</t>
        </is>
      </c>
      <c r="D25" t="n">
        <v>0</v>
      </c>
      <c r="E25" t="n">
        <v>0</v>
      </c>
      <c r="F25" t="n">
        <v>1000</v>
      </c>
      <c r="G25">
        <f>D25+E25+F25</f>
        <v/>
      </c>
      <c r="H25" t="n">
        <v>141</v>
      </c>
      <c r="I25">
        <f>H25*$N$1</f>
        <v/>
      </c>
      <c r="J25">
        <f>IF(I25=0,"",ROUND(G25/(I25/30),0))</f>
        <v/>
      </c>
    </row>
    <row r="26">
      <c r="A26" t="inlineStr">
        <is>
          <t>ENOUGH</t>
        </is>
      </c>
      <c r="B26" t="inlineStr">
        <is>
          <t>238416010</t>
        </is>
      </c>
      <c r="C26" t="inlineStr">
        <is>
          <t>ENOUGH - Collagen Whitening Moisture Cream 3in1 [50g] /</t>
        </is>
      </c>
      <c r="D26" t="n">
        <v>1221</v>
      </c>
      <c r="E26" t="n">
        <v>0</v>
      </c>
      <c r="F26" t="n">
        <v>0</v>
      </c>
      <c r="G26">
        <f>D26+E26+F26</f>
        <v/>
      </c>
      <c r="H26" t="n">
        <v>132</v>
      </c>
      <c r="I26">
        <f>H26*$N$1</f>
        <v/>
      </c>
      <c r="J26">
        <f>IF(I26=0,"",ROUND(G26/(I26/30),0))</f>
        <v/>
      </c>
    </row>
    <row r="27">
      <c r="A27" t="inlineStr">
        <is>
          <t>ENOUGH</t>
        </is>
      </c>
      <c r="B27" t="inlineStr">
        <is>
          <t>170198180</t>
        </is>
      </c>
      <c r="C27" t="inlineStr">
        <is>
          <t>ENOUGH - Premium Rich Gold Double Wear Radiance Foundat</t>
        </is>
      </c>
      <c r="D27" t="n">
        <v>427</v>
      </c>
      <c r="E27" t="n">
        <v>0</v>
      </c>
      <c r="F27" t="n">
        <v>200</v>
      </c>
      <c r="G27">
        <f>D27+E27+F27</f>
        <v/>
      </c>
      <c r="H27" t="n">
        <v>125</v>
      </c>
      <c r="I27">
        <f>H27*$N$1</f>
        <v/>
      </c>
      <c r="J27">
        <f>IF(I27=0,"",ROUND(G27/(I27/30),0))</f>
        <v/>
      </c>
    </row>
    <row r="28">
      <c r="A28" t="inlineStr">
        <is>
          <t>ENOUGH</t>
        </is>
      </c>
      <c r="B28" t="inlineStr">
        <is>
          <t>170198109</t>
        </is>
      </c>
      <c r="C28" t="inlineStr">
        <is>
          <t>ENOUGH - Premium Rich Gold Double Wear Radiance Foundat</t>
        </is>
      </c>
      <c r="D28" t="n">
        <v>140</v>
      </c>
      <c r="E28" t="n">
        <v>0</v>
      </c>
      <c r="F28" t="n">
        <v>400</v>
      </c>
      <c r="G28">
        <f>D28+E28+F28</f>
        <v/>
      </c>
      <c r="H28" t="n">
        <v>118</v>
      </c>
      <c r="I28">
        <f>H28*$N$1</f>
        <v/>
      </c>
      <c r="J28">
        <f>IF(I28=0,"",ROUND(G28/(I28/30),0))</f>
        <v/>
      </c>
    </row>
    <row r="29">
      <c r="A29" t="inlineStr">
        <is>
          <t>ENOUGH</t>
        </is>
      </c>
      <c r="B29" t="inlineStr">
        <is>
          <t>238413828</t>
        </is>
      </c>
      <c r="C29" t="inlineStr">
        <is>
          <t xml:space="preserve">ENOUGH - Collagen Moisture BB Cream SPF47 PA+++ [50ml] </t>
        </is>
      </c>
      <c r="D29" t="n">
        <v>1378</v>
      </c>
      <c r="E29" t="n">
        <v>0</v>
      </c>
      <c r="F29" t="n">
        <v>0</v>
      </c>
      <c r="G29">
        <f>D29+E29+F29</f>
        <v/>
      </c>
      <c r="H29" t="n">
        <v>96</v>
      </c>
      <c r="I29">
        <f>H29*$N$1</f>
        <v/>
      </c>
      <c r="J29">
        <f>IF(I29=0,"",ROUND(G29/(I29/30),0))</f>
        <v/>
      </c>
    </row>
    <row r="30">
      <c r="A30" t="inlineStr">
        <is>
          <t>ENOUGH</t>
        </is>
      </c>
      <c r="B30" t="inlineStr">
        <is>
          <t>170198876</t>
        </is>
      </c>
      <c r="C30" t="inlineStr">
        <is>
          <t>ENOUGH - Premium Ultra X10 Cover Up Collagen Foundation</t>
        </is>
      </c>
      <c r="D30" t="n">
        <v>78</v>
      </c>
      <c r="E30" t="n">
        <v>200</v>
      </c>
      <c r="F30" t="n">
        <v>0</v>
      </c>
      <c r="G30">
        <f>D30+E30+F30</f>
        <v/>
      </c>
      <c r="H30" t="n">
        <v>93</v>
      </c>
      <c r="I30">
        <f>H30*$N$1</f>
        <v/>
      </c>
      <c r="J30">
        <f>IF(I30=0,"",ROUND(G30/(I30/30),0))</f>
        <v/>
      </c>
    </row>
    <row r="31">
      <c r="A31" t="inlineStr">
        <is>
          <t>ENOUGH</t>
        </is>
      </c>
      <c r="B31" t="inlineStr">
        <is>
          <t>150925322</t>
        </is>
      </c>
      <c r="C31" t="inlineStr">
        <is>
          <t>ENOUGH - Collagen Moisture Foundation [Tone 21] / Тонал</t>
        </is>
      </c>
      <c r="D31" t="n">
        <v>3099</v>
      </c>
      <c r="E31" t="n">
        <v>0</v>
      </c>
      <c r="F31" t="n">
        <v>0</v>
      </c>
      <c r="G31">
        <f>D31+E31+F31</f>
        <v/>
      </c>
      <c r="H31" t="n">
        <v>89</v>
      </c>
      <c r="I31">
        <f>H31*$N$1</f>
        <v/>
      </c>
      <c r="J31">
        <f>IF(I31=0,"",ROUND(G31/(I31/30),0))</f>
        <v/>
      </c>
    </row>
    <row r="32">
      <c r="A32" t="inlineStr">
        <is>
          <t>ENOUGH</t>
        </is>
      </c>
      <c r="B32" t="inlineStr">
        <is>
          <t>170198738</t>
        </is>
      </c>
      <c r="C32" t="inlineStr">
        <is>
          <t>ENOUGH - Premium 8 Peptide Full Cover Perfect Foundatio</t>
        </is>
      </c>
      <c r="D32" t="n">
        <v>1580</v>
      </c>
      <c r="E32" t="n">
        <v>0</v>
      </c>
      <c r="F32" t="n">
        <v>0</v>
      </c>
      <c r="G32">
        <f>D32+E32+F32</f>
        <v/>
      </c>
      <c r="H32" t="n">
        <v>88</v>
      </c>
      <c r="I32">
        <f>H32*$N$1</f>
        <v/>
      </c>
      <c r="J32">
        <f>IF(I32=0,"",ROUND(G32/(I32/30),0))</f>
        <v/>
      </c>
    </row>
    <row r="33">
      <c r="A33" t="inlineStr">
        <is>
          <t>ENOUGH</t>
        </is>
      </c>
      <c r="B33" t="inlineStr">
        <is>
          <t>151132051</t>
        </is>
      </c>
      <c r="C33" t="inlineStr">
        <is>
          <t>ENOUGH - Collagen 3in1 Whitening Moisture Foundation [T</t>
        </is>
      </c>
      <c r="D33" t="n">
        <v>669</v>
      </c>
      <c r="E33" t="n">
        <v>0</v>
      </c>
      <c r="F33" t="n">
        <v>0</v>
      </c>
      <c r="G33">
        <f>D33+E33+F33</f>
        <v/>
      </c>
      <c r="H33" t="n">
        <v>79</v>
      </c>
      <c r="I33">
        <f>H33*$N$1</f>
        <v/>
      </c>
      <c r="J33">
        <f>IF(I33=0,"",ROUND(G33/(I33/30),0))</f>
        <v/>
      </c>
    </row>
    <row r="34">
      <c r="A34" t="inlineStr">
        <is>
          <t>ENOUGH</t>
        </is>
      </c>
      <c r="B34" t="inlineStr">
        <is>
          <t>611747838</t>
        </is>
      </c>
      <c r="C34" t="inlineStr">
        <is>
          <t>ENOUGH - Collagen Moisture Foundation [Tone 23] / Тонал</t>
        </is>
      </c>
      <c r="D34" t="n">
        <v>90</v>
      </c>
      <c r="E34" t="n">
        <v>0</v>
      </c>
      <c r="F34" t="n">
        <v>0</v>
      </c>
      <c r="G34">
        <f>D34+E34+F34</f>
        <v/>
      </c>
      <c r="H34" t="n">
        <v>35</v>
      </c>
      <c r="I34">
        <f>H34*$N$1</f>
        <v/>
      </c>
      <c r="J34">
        <f>IF(I34=0,"",ROUND(G34/(I34/30),0))</f>
        <v/>
      </c>
    </row>
    <row r="35">
      <c r="A35" t="inlineStr">
        <is>
          <t>ENOUGH</t>
        </is>
      </c>
      <c r="B35" t="inlineStr">
        <is>
          <t>151132052</t>
        </is>
      </c>
      <c r="C35" t="inlineStr">
        <is>
          <t>ENOUGH - Collagen 3in1 Whitening Moisture Foundation [T</t>
        </is>
      </c>
      <c r="D35" t="n">
        <v>769</v>
      </c>
      <c r="E35" t="n">
        <v>0</v>
      </c>
      <c r="F35" t="n">
        <v>0</v>
      </c>
      <c r="G35">
        <f>D35+E35+F35</f>
        <v/>
      </c>
      <c r="H35" t="n">
        <v>35</v>
      </c>
      <c r="I35">
        <f>H35*$N$1</f>
        <v/>
      </c>
      <c r="J35">
        <f>IF(I35=0,"",ROUND(G35/(I35/30),0))</f>
        <v/>
      </c>
    </row>
    <row r="36">
      <c r="A36" t="inlineStr">
        <is>
          <t>ENOUGH</t>
        </is>
      </c>
      <c r="B36" t="inlineStr">
        <is>
          <t>611744611</t>
        </is>
      </c>
      <c r="C36" t="inlineStr">
        <is>
          <t>ENOUGH Collagen whitening cover tip concealer #02 [9g]/</t>
        </is>
      </c>
      <c r="D36" t="n">
        <v>5</v>
      </c>
      <c r="E36" t="n">
        <v>0</v>
      </c>
      <c r="F36" t="n">
        <v>0</v>
      </c>
      <c r="G36">
        <f>D36+E36+F36</f>
        <v/>
      </c>
      <c r="H36" t="n">
        <v>6</v>
      </c>
      <c r="I36">
        <f>H36*$N$1</f>
        <v/>
      </c>
      <c r="J36">
        <f>IF(I36=0,"",ROUND(G36/(I36/30),0))</f>
        <v/>
      </c>
    </row>
    <row r="37">
      <c r="A37" t="inlineStr">
        <is>
          <t>ENOUGH</t>
        </is>
      </c>
      <c r="B37" t="inlineStr">
        <is>
          <t>611745490</t>
        </is>
      </c>
      <c r="C37" t="inlineStr">
        <is>
          <t>ENOUGH Collagen whitening cover tip concealer #03 [9g]/</t>
        </is>
      </c>
      <c r="D37" t="n">
        <v>23</v>
      </c>
      <c r="E37" t="n">
        <v>0</v>
      </c>
      <c r="F37" t="n">
        <v>0</v>
      </c>
      <c r="G37">
        <f>D37+E37+F37</f>
        <v/>
      </c>
      <c r="H37" t="n">
        <v>1</v>
      </c>
      <c r="I37">
        <f>H37*$N$1</f>
        <v/>
      </c>
      <c r="J37">
        <f>IF(I37=0,"",ROUND(G37/(I37/30),0))</f>
        <v/>
      </c>
    </row>
    <row r="38">
      <c r="A38" t="inlineStr">
        <is>
          <t>ETUDEHOUSE</t>
        </is>
      </c>
      <c r="B38" t="inlineStr">
        <is>
          <t>151313163</t>
        </is>
      </c>
      <c r="C38" t="inlineStr">
        <is>
          <t>ETUDE - Baking Powder Crunch Pore Scrub [200ml] / Очища</t>
        </is>
      </c>
      <c r="D38" t="n">
        <v>9073</v>
      </c>
      <c r="E38" t="n">
        <v>0</v>
      </c>
      <c r="F38" t="n">
        <v>0</v>
      </c>
      <c r="G38">
        <f>D38+E38+F38</f>
        <v/>
      </c>
      <c r="H38" t="n">
        <v>785</v>
      </c>
      <c r="I38">
        <f>H38*$N$1</f>
        <v/>
      </c>
      <c r="J38">
        <f>IF(I38=0,"",ROUND(G38/(I38/30),0))</f>
        <v/>
      </c>
    </row>
    <row r="39">
      <c r="A39" t="inlineStr">
        <is>
          <t>ETUDEHOUSE</t>
        </is>
      </c>
      <c r="B39" t="inlineStr">
        <is>
          <t>154160085</t>
        </is>
      </c>
      <c r="C39" t="inlineStr">
        <is>
          <t>ETUDE - Baking Powder Crunch Pore Scrub [24*7ml] / Очищ</t>
        </is>
      </c>
      <c r="D39" t="n">
        <v>309</v>
      </c>
      <c r="E39" t="n">
        <v>0</v>
      </c>
      <c r="F39" t="n">
        <v>0</v>
      </c>
      <c r="G39">
        <f>D39+E39+F39</f>
        <v/>
      </c>
      <c r="H39" t="n">
        <v>61</v>
      </c>
      <c r="I39">
        <f>H39*$N$1</f>
        <v/>
      </c>
      <c r="J39">
        <f>IF(I39=0,"",ROUND(G39/(I39/30),0))</f>
        <v/>
      </c>
    </row>
    <row r="40">
      <c r="A40" t="inlineStr">
        <is>
          <t>ETUDEHOUSE</t>
        </is>
      </c>
      <c r="B40" t="inlineStr">
        <is>
          <t>307073881</t>
        </is>
      </c>
      <c r="C40" t="inlineStr">
        <is>
          <t xml:space="preserve">ETUDE - Baking Powder BB Deep Cleansing Foam [160ml] / </t>
        </is>
      </c>
      <c r="D40" t="n">
        <v>392</v>
      </c>
      <c r="E40" t="n">
        <v>0</v>
      </c>
      <c r="F40" t="n">
        <v>0</v>
      </c>
      <c r="G40">
        <f>D40+E40+F40</f>
        <v/>
      </c>
      <c r="H40" t="n">
        <v>54</v>
      </c>
      <c r="I40">
        <f>H40*$N$1</f>
        <v/>
      </c>
      <c r="J40">
        <f>IF(I40=0,"",ROUND(G40/(I40/30),0))</f>
        <v/>
      </c>
    </row>
    <row r="41">
      <c r="A41" t="inlineStr">
        <is>
          <t>ETUDEHOUSE</t>
        </is>
      </c>
      <c r="B41" t="inlineStr">
        <is>
          <t>154159632</t>
        </is>
      </c>
      <c r="C41" t="inlineStr">
        <is>
          <t>ETUDE - Baking Powder BB Deep Cleansing Foam [30ml] / П</t>
        </is>
      </c>
      <c r="D41" t="n">
        <v>175</v>
      </c>
      <c r="E41" t="n">
        <v>0</v>
      </c>
      <c r="F41" t="n">
        <v>0</v>
      </c>
      <c r="G41">
        <f>D41+E41+F41</f>
        <v/>
      </c>
      <c r="H41" t="n">
        <v>47</v>
      </c>
      <c r="I41">
        <f>H41*$N$1</f>
        <v/>
      </c>
      <c r="J41">
        <f>IF(I41=0,"",ROUND(G41/(I41/30),0))</f>
        <v/>
      </c>
    </row>
    <row r="42">
      <c r="A42" t="inlineStr">
        <is>
          <t>FARMSTAY</t>
        </is>
      </c>
      <c r="B42" t="inlineStr">
        <is>
          <t>168956391</t>
        </is>
      </c>
      <c r="C42" t="inlineStr">
        <is>
          <t>FARMSTAY - Collagen &amp; Hyaluronic Acid All-In One Ampoul</t>
        </is>
      </c>
      <c r="D42" t="n">
        <v>7859</v>
      </c>
      <c r="E42" t="n">
        <v>0</v>
      </c>
      <c r="F42" t="n">
        <v>0</v>
      </c>
      <c r="G42">
        <f>D42+E42+F42</f>
        <v/>
      </c>
      <c r="H42" t="n">
        <v>1692</v>
      </c>
      <c r="I42">
        <f>H42*$N$1</f>
        <v/>
      </c>
      <c r="J42">
        <f>IF(I42=0,"",ROUND(G42/(I42/30),0))</f>
        <v/>
      </c>
    </row>
    <row r="43">
      <c r="A43" t="inlineStr">
        <is>
          <t>FARMSTAY</t>
        </is>
      </c>
      <c r="B43" t="inlineStr">
        <is>
          <t>207472742</t>
        </is>
      </c>
      <c r="C43" t="inlineStr">
        <is>
          <t>FARMSTAY - Black Garlic Nourishing Shampoo [530ml] / Ша</t>
        </is>
      </c>
      <c r="D43" t="n">
        <v>4470</v>
      </c>
      <c r="E43" t="n">
        <v>0</v>
      </c>
      <c r="F43" t="n">
        <v>0</v>
      </c>
      <c r="G43">
        <f>D43+E43+F43</f>
        <v/>
      </c>
      <c r="H43" t="n">
        <v>1069</v>
      </c>
      <c r="I43">
        <f>H43*$N$1</f>
        <v/>
      </c>
      <c r="J43">
        <f>IF(I43=0,"",ROUND(G43/(I43/30),0))</f>
        <v/>
      </c>
    </row>
    <row r="44">
      <c r="A44" t="inlineStr">
        <is>
          <t>FARMSTAY</t>
        </is>
      </c>
      <c r="B44" t="inlineStr">
        <is>
          <t>169076150</t>
        </is>
      </c>
      <c r="C44" t="inlineStr">
        <is>
          <t>FARMSTAY - Escargot Noblesse Intensive Cream [50g] / Кр</t>
        </is>
      </c>
      <c r="D44" t="n">
        <v>1916</v>
      </c>
      <c r="E44" t="n">
        <v>0</v>
      </c>
      <c r="F44" t="n">
        <v>0</v>
      </c>
      <c r="G44">
        <f>D44+E44+F44</f>
        <v/>
      </c>
      <c r="H44" t="n">
        <v>554</v>
      </c>
      <c r="I44">
        <f>H44*$N$1</f>
        <v/>
      </c>
      <c r="J44">
        <f>IF(I44=0,"",ROUND(G44/(I44/30),0))</f>
        <v/>
      </c>
    </row>
    <row r="45">
      <c r="A45" t="inlineStr">
        <is>
          <t>FARMSTAY</t>
        </is>
      </c>
      <c r="B45" t="inlineStr">
        <is>
          <t>207469760</t>
        </is>
      </c>
      <c r="C45" t="inlineStr">
        <is>
          <t>FARMSTAY - Gold Snail Premium Cream [50ml] / Омолаживаю</t>
        </is>
      </c>
      <c r="D45" t="n">
        <v>1832</v>
      </c>
      <c r="E45" t="n">
        <v>0</v>
      </c>
      <c r="F45" t="n">
        <v>0</v>
      </c>
      <c r="G45">
        <f>D45+E45+F45</f>
        <v/>
      </c>
      <c r="H45" t="n">
        <v>535</v>
      </c>
      <c r="I45">
        <f>H45*$N$1</f>
        <v/>
      </c>
      <c r="J45">
        <f>IF(I45=0,"",ROUND(G45/(I45/30),0))</f>
        <v/>
      </c>
    </row>
    <row r="46">
      <c r="A46" t="inlineStr">
        <is>
          <t>FARMSTAY</t>
        </is>
      </c>
      <c r="B46" t="inlineStr">
        <is>
          <t>207476309</t>
        </is>
      </c>
      <c r="C46" t="inlineStr">
        <is>
          <t>FARMSTAY - Argan Oil Complete Volume Up Shampoo &amp; Condi</t>
        </is>
      </c>
      <c r="D46" t="n">
        <v>3164</v>
      </c>
      <c r="E46" t="n">
        <v>0</v>
      </c>
      <c r="F46" t="n">
        <v>0</v>
      </c>
      <c r="G46">
        <f>D46+E46+F46</f>
        <v/>
      </c>
      <c r="H46" t="n">
        <v>421</v>
      </c>
      <c r="I46">
        <f>H46*$N$1</f>
        <v/>
      </c>
      <c r="J46">
        <f>IF(I46=0,"",ROUND(G46/(I46/30),0))</f>
        <v/>
      </c>
    </row>
    <row r="47">
      <c r="A47" t="inlineStr">
        <is>
          <t>FARMSTAY</t>
        </is>
      </c>
      <c r="B47" t="inlineStr">
        <is>
          <t>207475898</t>
        </is>
      </c>
      <c r="C47" t="inlineStr">
        <is>
          <t>FARMSTAY - Collagen Water Full Shampoo &amp; Conditioner [5</t>
        </is>
      </c>
      <c r="D47" t="n">
        <v>4291</v>
      </c>
      <c r="E47" t="n">
        <v>0</v>
      </c>
      <c r="F47" t="n">
        <v>0</v>
      </c>
      <c r="G47">
        <f>D47+E47+F47</f>
        <v/>
      </c>
      <c r="H47" t="n">
        <v>304</v>
      </c>
      <c r="I47">
        <f>H47*$N$1</f>
        <v/>
      </c>
      <c r="J47">
        <f>IF(I47=0,"",ROUND(G47/(I47/30),0))</f>
        <v/>
      </c>
    </row>
    <row r="48">
      <c r="A48" t="inlineStr">
        <is>
          <t>FARMSTAY</t>
        </is>
      </c>
      <c r="B48" t="inlineStr">
        <is>
          <t>419630142</t>
        </is>
      </c>
      <c r="C48" t="inlineStr">
        <is>
          <t>FARMSTAY ESCARGOT NOBLESSE INTENSIVE AMPOULE/ сыворотка</t>
        </is>
      </c>
      <c r="D48" t="n">
        <v>1273</v>
      </c>
      <c r="E48" t="n">
        <v>0</v>
      </c>
      <c r="F48" t="n">
        <v>0</v>
      </c>
      <c r="G48">
        <f>D48+E48+F48</f>
        <v/>
      </c>
      <c r="H48" t="n">
        <v>210</v>
      </c>
      <c r="I48">
        <f>H48*$N$1</f>
        <v/>
      </c>
      <c r="J48">
        <f>IF(I48=0,"",ROUND(G48/(I48/30),0))</f>
        <v/>
      </c>
    </row>
    <row r="49">
      <c r="A49" t="inlineStr">
        <is>
          <t>FARMSTAY</t>
        </is>
      </c>
      <c r="B49" t="inlineStr">
        <is>
          <t>207477077</t>
        </is>
      </c>
      <c r="C49" t="inlineStr">
        <is>
          <t>FARMSTAY - Collagen Water Full Moist Cream [100g] / Увл</t>
        </is>
      </c>
      <c r="D49" t="n">
        <v>520</v>
      </c>
      <c r="E49" t="n">
        <v>0</v>
      </c>
      <c r="F49" t="n">
        <v>0</v>
      </c>
      <c r="G49">
        <f>D49+E49+F49</f>
        <v/>
      </c>
      <c r="H49" t="n">
        <v>176</v>
      </c>
      <c r="I49">
        <f>H49*$N$1</f>
        <v/>
      </c>
      <c r="J49">
        <f>IF(I49=0,"",ROUND(G49/(I49/30),0))</f>
        <v/>
      </c>
    </row>
    <row r="50">
      <c r="A50" t="inlineStr">
        <is>
          <t>FARMSTAY</t>
        </is>
      </c>
      <c r="B50" t="inlineStr">
        <is>
          <t>207476777</t>
        </is>
      </c>
      <c r="C50" t="inlineStr">
        <is>
          <t>FARMSTAY - Collagen Pure Cleansing Foam [180ml]/Пенка д</t>
        </is>
      </c>
      <c r="D50" t="n">
        <v>684</v>
      </c>
      <c r="E50" t="n">
        <v>0</v>
      </c>
      <c r="F50" t="n">
        <v>0</v>
      </c>
      <c r="G50">
        <f>D50+E50+F50</f>
        <v/>
      </c>
      <c r="H50" t="n">
        <v>47</v>
      </c>
      <c r="I50">
        <f>H50*$N$1</f>
        <v/>
      </c>
      <c r="J50">
        <f>IF(I50=0,"",ROUND(G50/(I50/30),0))</f>
        <v/>
      </c>
    </row>
    <row r="51">
      <c r="A51" t="inlineStr">
        <is>
          <t>FARMSTAY</t>
        </is>
      </c>
      <c r="B51" t="inlineStr">
        <is>
          <t>212885914</t>
        </is>
      </c>
      <c r="C51" t="inlineStr">
        <is>
          <t xml:space="preserve">FARMSTAY - Collagen Water Full Moist Rolling Eye Serum </t>
        </is>
      </c>
      <c r="D51" t="n">
        <v>578</v>
      </c>
      <c r="E51" t="n">
        <v>0</v>
      </c>
      <c r="F51" t="n">
        <v>0</v>
      </c>
      <c r="G51">
        <f>D51+E51+F51</f>
        <v/>
      </c>
      <c r="H51" t="n">
        <v>26</v>
      </c>
      <c r="I51">
        <f>H51*$N$1</f>
        <v/>
      </c>
      <c r="J51">
        <f>IF(I51=0,"",ROUND(G51/(I51/30),0))</f>
        <v/>
      </c>
    </row>
    <row r="52">
      <c r="A52" t="inlineStr">
        <is>
          <t>HEIMISH</t>
        </is>
      </c>
      <c r="B52" t="inlineStr">
        <is>
          <t>207466866</t>
        </is>
      </c>
      <c r="C52" t="inlineStr">
        <is>
          <t xml:space="preserve">HEIMISH - Artless Glow Base SPF50+ PA+++(Renew) [40ml] </t>
        </is>
      </c>
      <c r="D52" t="n">
        <v>1639</v>
      </c>
      <c r="E52" t="n">
        <v>0</v>
      </c>
      <c r="F52" t="n">
        <v>0</v>
      </c>
      <c r="G52">
        <f>D52+E52+F52</f>
        <v/>
      </c>
      <c r="H52" t="n">
        <v>133</v>
      </c>
      <c r="I52">
        <f>H52*$N$1</f>
        <v/>
      </c>
      <c r="J52">
        <f>IF(I52=0,"",ROUND(G52/(I52/30),0))</f>
        <v/>
      </c>
    </row>
    <row r="53">
      <c r="A53" t="inlineStr">
        <is>
          <t>HEIMISH</t>
        </is>
      </c>
      <c r="B53" t="inlineStr">
        <is>
          <t>207465786</t>
        </is>
      </c>
      <c r="C53" t="inlineStr">
        <is>
          <t>HEIMISH - All Clean Balm Mandarin [120ml] / Очищающий г</t>
        </is>
      </c>
      <c r="D53" t="n">
        <v>108</v>
      </c>
      <c r="E53" t="n">
        <v>0</v>
      </c>
      <c r="F53" t="n">
        <v>0</v>
      </c>
      <c r="G53">
        <f>D53+E53+F53</f>
        <v/>
      </c>
      <c r="H53" t="n">
        <v>71</v>
      </c>
      <c r="I53">
        <f>H53*$N$1</f>
        <v/>
      </c>
      <c r="J53">
        <f>IF(I53=0,"",ROUND(G53/(I53/30),0))</f>
        <v/>
      </c>
    </row>
    <row r="54">
      <c r="A54" t="inlineStr">
        <is>
          <t>I'MSORRYFORMYSKIN</t>
        </is>
      </c>
      <c r="B54" t="inlineStr">
        <is>
          <t>206126372</t>
        </is>
      </c>
      <c r="C54" t="inlineStr">
        <is>
          <t>I'm Sorry For My Skin - Age Capture Vitalizer Cream / У</t>
        </is>
      </c>
      <c r="D54" t="n">
        <v>152</v>
      </c>
      <c r="E54" t="n">
        <v>320</v>
      </c>
      <c r="F54" t="n">
        <v>0</v>
      </c>
      <c r="G54">
        <f>D54+E54+F54</f>
        <v/>
      </c>
      <c r="H54" t="n">
        <v>52</v>
      </c>
      <c r="I54">
        <f>H54*$N$1</f>
        <v/>
      </c>
      <c r="J54">
        <f>IF(I54=0,"",ROUND(G54/(I54/30),0))</f>
        <v/>
      </c>
    </row>
    <row r="55">
      <c r="A55" t="inlineStr">
        <is>
          <t>I'MSORRYFORMYSKIN</t>
        </is>
      </c>
      <c r="B55" t="inlineStr">
        <is>
          <t>206135397</t>
        </is>
      </c>
      <c r="C55" t="inlineStr">
        <is>
          <t>I'm Sorry For My Skin - Age Capture Hydrating Cream / У</t>
        </is>
      </c>
      <c r="D55" t="n">
        <v>0</v>
      </c>
      <c r="E55" t="n">
        <v>560</v>
      </c>
      <c r="F55" t="n">
        <v>0</v>
      </c>
      <c r="G55">
        <f>D55+E55+F55</f>
        <v/>
      </c>
      <c r="H55" t="n">
        <v>50</v>
      </c>
      <c r="I55">
        <f>H55*$N$1</f>
        <v/>
      </c>
      <c r="J55">
        <f>IF(I55=0,"",ROUND(G55/(I55/30),0))</f>
        <v/>
      </c>
    </row>
    <row r="56">
      <c r="A56" t="inlineStr">
        <is>
          <t>I'MSORRYFORMYSKIN</t>
        </is>
      </c>
      <c r="B56" t="inlineStr">
        <is>
          <t>206122859</t>
        </is>
      </c>
      <c r="C56" t="inlineStr">
        <is>
          <t>I'm Sorry For My Skin - Age Capture Firming Enriched Cr</t>
        </is>
      </c>
      <c r="D56" t="n">
        <v>0</v>
      </c>
      <c r="E56" t="n">
        <v>560</v>
      </c>
      <c r="F56" t="n">
        <v>0</v>
      </c>
      <c r="G56">
        <f>D56+E56+F56</f>
        <v/>
      </c>
      <c r="H56" t="n">
        <v>0</v>
      </c>
      <c r="I56">
        <f>H56*$N$1</f>
        <v/>
      </c>
      <c r="J56">
        <f>IF(I56=0,"",ROUND(G56/(I56/30),0))</f>
        <v/>
      </c>
    </row>
    <row r="57">
      <c r="A57" t="inlineStr">
        <is>
          <t>I'MSORRYFORMYSKIN</t>
        </is>
      </c>
      <c r="B57" t="inlineStr">
        <is>
          <t>206125905</t>
        </is>
      </c>
      <c r="C57" t="inlineStr">
        <is>
          <t>I'm Sorry For My Skin - Age Capture Skin Relief Cream /</t>
        </is>
      </c>
      <c r="D57" t="n">
        <v>0</v>
      </c>
      <c r="E57" t="n">
        <v>320</v>
      </c>
      <c r="F57" t="n">
        <v>0</v>
      </c>
      <c r="G57">
        <f>D57+E57+F57</f>
        <v/>
      </c>
      <c r="H57" t="n">
        <v>0</v>
      </c>
      <c r="I57">
        <f>H57*$N$1</f>
        <v/>
      </c>
      <c r="J57">
        <f>IF(I57=0,"",ROUND(G57/(I57/30),0))</f>
        <v/>
      </c>
    </row>
    <row r="58">
      <c r="A58" t="inlineStr">
        <is>
          <t>ISNTREE</t>
        </is>
      </c>
      <c r="B58" t="inlineStr">
        <is>
          <t>207818000</t>
        </is>
      </c>
      <c r="C58" t="inlineStr">
        <is>
          <t>ISNTREE - Chestnut AHA 8% Clear Essence Sample [20ml] /</t>
        </is>
      </c>
      <c r="D58" t="n">
        <v>60</v>
      </c>
      <c r="E58" t="n">
        <v>0</v>
      </c>
      <c r="F58" t="n">
        <v>0</v>
      </c>
      <c r="G58">
        <f>D58+E58+F58</f>
        <v/>
      </c>
      <c r="H58" t="n">
        <v>13</v>
      </c>
      <c r="I58">
        <f>H58*$N$1</f>
        <v/>
      </c>
      <c r="J58">
        <f>IF(I58=0,"",ROUND(G58/(I58/30),0))</f>
        <v/>
      </c>
    </row>
    <row r="59">
      <c r="A59" t="inlineStr">
        <is>
          <t>JIGOTT</t>
        </is>
      </c>
      <c r="B59" t="inlineStr">
        <is>
          <t>207482718</t>
        </is>
      </c>
      <c r="C59" t="inlineStr">
        <is>
          <t>JIGOTT - Snail Lifting Cream [70ml] / Крем для лица увл</t>
        </is>
      </c>
      <c r="D59" t="n">
        <v>8853</v>
      </c>
      <c r="E59" t="n">
        <v>0</v>
      </c>
      <c r="F59" t="n">
        <v>0</v>
      </c>
      <c r="G59">
        <f>D59+E59+F59</f>
        <v/>
      </c>
      <c r="H59" t="n">
        <v>702</v>
      </c>
      <c r="I59">
        <f>H59*$N$1</f>
        <v/>
      </c>
      <c r="J59">
        <f>IF(I59=0,"",ROUND(G59/(I59/30),0))</f>
        <v/>
      </c>
    </row>
    <row r="60">
      <c r="A60" t="inlineStr">
        <is>
          <t>JIGOTT</t>
        </is>
      </c>
      <c r="B60" t="inlineStr">
        <is>
          <t>207483179</t>
        </is>
      </c>
      <c r="C60" t="inlineStr">
        <is>
          <t>JIGOTT - Snail Reparing Cream [100ml] / Крем для лица у</t>
        </is>
      </c>
      <c r="D60" t="n">
        <v>1540</v>
      </c>
      <c r="E60" t="n">
        <v>0</v>
      </c>
      <c r="F60" t="n">
        <v>0</v>
      </c>
      <c r="G60">
        <f>D60+E60+F60</f>
        <v/>
      </c>
      <c r="H60" t="n">
        <v>223</v>
      </c>
      <c r="I60">
        <f>H60*$N$1</f>
        <v/>
      </c>
      <c r="J60">
        <f>IF(I60=0,"",ROUND(G60/(I60/30),0))</f>
        <v/>
      </c>
    </row>
    <row r="61">
      <c r="A61" t="inlineStr">
        <is>
          <t>JIGOTT</t>
        </is>
      </c>
      <c r="B61" t="inlineStr">
        <is>
          <t>212757456</t>
        </is>
      </c>
      <c r="C61" t="inlineStr">
        <is>
          <t>JIGOTT - Daily Real Cica Toner [300ml] / Тонер для лица</t>
        </is>
      </c>
      <c r="D61" t="n">
        <v>2102</v>
      </c>
      <c r="E61" t="n">
        <v>0</v>
      </c>
      <c r="F61" t="n">
        <v>0</v>
      </c>
      <c r="G61">
        <f>D61+E61+F61</f>
        <v/>
      </c>
      <c r="H61" t="n">
        <v>126</v>
      </c>
      <c r="I61">
        <f>H61*$N$1</f>
        <v/>
      </c>
      <c r="J61">
        <f>IF(I61=0,"",ROUND(G61/(I61/30),0))</f>
        <v/>
      </c>
    </row>
    <row r="62">
      <c r="A62" t="inlineStr">
        <is>
          <t>JIGOTT</t>
        </is>
      </c>
      <c r="B62" t="inlineStr">
        <is>
          <t>207483780</t>
        </is>
      </c>
      <c r="C62" t="inlineStr">
        <is>
          <t>JIGOTT - Birds Nest Firming Cream [70ml] / Антивозрастн</t>
        </is>
      </c>
      <c r="D62" t="n">
        <v>1978</v>
      </c>
      <c r="E62" t="n">
        <v>0</v>
      </c>
      <c r="F62" t="n">
        <v>0</v>
      </c>
      <c r="G62">
        <f>D62+E62+F62</f>
        <v/>
      </c>
      <c r="H62" t="n">
        <v>113</v>
      </c>
      <c r="I62">
        <f>H62*$N$1</f>
        <v/>
      </c>
      <c r="J62">
        <f>IF(I62=0,"",ROUND(G62/(I62/30),0))</f>
        <v/>
      </c>
    </row>
    <row r="63">
      <c r="A63" t="inlineStr">
        <is>
          <t>JIGOTT</t>
        </is>
      </c>
      <c r="B63" t="inlineStr">
        <is>
          <t>212760119</t>
        </is>
      </c>
      <c r="C63" t="inlineStr">
        <is>
          <t>JIGOTT - Ultimate Real Collagen Toner [300ml] / тонер с</t>
        </is>
      </c>
      <c r="D63" t="n">
        <v>1936</v>
      </c>
      <c r="E63" t="n">
        <v>0</v>
      </c>
      <c r="F63" t="n">
        <v>0</v>
      </c>
      <c r="G63">
        <f>D63+E63+F63</f>
        <v/>
      </c>
      <c r="H63" t="n">
        <v>96</v>
      </c>
      <c r="I63">
        <f>H63*$N$1</f>
        <v/>
      </c>
      <c r="J63">
        <f>IF(I63=0,"",ROUND(G63/(I63/30),0))</f>
        <v/>
      </c>
    </row>
    <row r="64">
      <c r="A64" t="inlineStr">
        <is>
          <t>JIGOTT</t>
        </is>
      </c>
      <c r="B64" t="inlineStr">
        <is>
          <t>212759698</t>
        </is>
      </c>
      <c r="C64" t="inlineStr">
        <is>
          <t xml:space="preserve">JIGOTT - Moisture Real Aloe Vera Toner [300ml] / Тонер </t>
        </is>
      </c>
      <c r="D64" t="n">
        <v>450</v>
      </c>
      <c r="E64" t="n">
        <v>0</v>
      </c>
      <c r="F64" t="n">
        <v>0</v>
      </c>
      <c r="G64">
        <f>D64+E64+F64</f>
        <v/>
      </c>
      <c r="H64" t="n">
        <v>47</v>
      </c>
      <c r="I64">
        <f>H64*$N$1</f>
        <v/>
      </c>
      <c r="J64">
        <f>IF(I64=0,"",ROUND(G64/(I64/30),0))</f>
        <v/>
      </c>
    </row>
    <row r="65">
      <c r="A65" t="inlineStr">
        <is>
          <t>JIGOTT</t>
        </is>
      </c>
      <c r="B65" t="inlineStr">
        <is>
          <t>212883090</t>
        </is>
      </c>
      <c r="C65" t="inlineStr">
        <is>
          <t>JIGOTT - Aura Secret Hyaluronec Acid Toner [300ml] / То</t>
        </is>
      </c>
      <c r="D65" t="n">
        <v>520</v>
      </c>
      <c r="E65" t="n">
        <v>0</v>
      </c>
      <c r="F65" t="n">
        <v>0</v>
      </c>
      <c r="G65">
        <f>D65+E65+F65</f>
        <v/>
      </c>
      <c r="H65" t="n">
        <v>42</v>
      </c>
      <c r="I65">
        <f>H65*$N$1</f>
        <v/>
      </c>
      <c r="J65">
        <f>IF(I65=0,"",ROUND(G65/(I65/30),0))</f>
        <v/>
      </c>
    </row>
    <row r="66">
      <c r="A66" t="inlineStr">
        <is>
          <t>JIGOTT</t>
        </is>
      </c>
      <c r="B66" t="inlineStr">
        <is>
          <t>212753217</t>
        </is>
      </c>
      <c r="C66" t="inlineStr">
        <is>
          <t>JIGOTT - Collagen Healing Cream [100ml] / Крем для лица</t>
        </is>
      </c>
      <c r="D66" t="n">
        <v>133</v>
      </c>
      <c r="E66" t="n">
        <v>0</v>
      </c>
      <c r="F66" t="n">
        <v>0</v>
      </c>
      <c r="G66">
        <f>D66+E66+F66</f>
        <v/>
      </c>
      <c r="H66" t="n">
        <v>34</v>
      </c>
      <c r="I66">
        <f>H66*$N$1</f>
        <v/>
      </c>
      <c r="J66">
        <f>IF(I66=0,"",ROUND(G66/(I66/30),0))</f>
        <v/>
      </c>
    </row>
    <row r="67">
      <c r="A67" t="inlineStr">
        <is>
          <t>JMSOLUTION</t>
        </is>
      </c>
      <c r="B67" t="inlineStr">
        <is>
          <t>236825103</t>
        </is>
      </c>
      <c r="C67" t="inlineStr">
        <is>
          <t>JMSOLUTION - Marine Luminous Pearl Deep Moisture Mask P</t>
        </is>
      </c>
      <c r="D67" t="n">
        <v>70</v>
      </c>
      <c r="E67" t="n">
        <v>0</v>
      </c>
      <c r="F67" t="n">
        <v>0</v>
      </c>
      <c r="G67">
        <f>D67+E67+F67</f>
        <v/>
      </c>
      <c r="H67" t="n">
        <v>6</v>
      </c>
      <c r="I67">
        <f>H67*$N$1</f>
        <v/>
      </c>
      <c r="J67">
        <f>IF(I67=0,"",ROUND(G67/(I67/30),0))</f>
        <v/>
      </c>
    </row>
    <row r="68">
      <c r="A68" t="inlineStr">
        <is>
          <t>LEBELAGE</t>
        </is>
      </c>
      <c r="B68" t="inlineStr">
        <is>
          <t>210575566</t>
        </is>
      </c>
      <c r="C68" t="inlineStr">
        <is>
          <t>LEBELAGE - Dr. Peptide Derma Eye Cream [40ml] / Крем дл</t>
        </is>
      </c>
      <c r="D68" t="n">
        <v>464</v>
      </c>
      <c r="E68" t="n">
        <v>0</v>
      </c>
      <c r="F68" t="n">
        <v>0</v>
      </c>
      <c r="G68">
        <f>D68+E68+F68</f>
        <v/>
      </c>
      <c r="H68" t="n">
        <v>21</v>
      </c>
      <c r="I68">
        <f>H68*$N$1</f>
        <v/>
      </c>
      <c r="J68">
        <f>IF(I68=0,"",ROUND(G68/(I68/30),0))</f>
        <v/>
      </c>
    </row>
    <row r="69">
      <c r="A69" t="inlineStr">
        <is>
          <t>LEBELAGE</t>
        </is>
      </c>
      <c r="B69" t="inlineStr">
        <is>
          <t>207818642</t>
        </is>
      </c>
      <c r="C69" t="inlineStr">
        <is>
          <t>LEBELAGE - Dr. Hyaluronic Derma Eye Cream [40ml] / Крем</t>
        </is>
      </c>
      <c r="D69" t="n">
        <v>39</v>
      </c>
      <c r="E69" t="n">
        <v>0</v>
      </c>
      <c r="F69" t="n">
        <v>0</v>
      </c>
      <c r="G69">
        <f>D69+E69+F69</f>
        <v/>
      </c>
      <c r="H69" t="n">
        <v>21</v>
      </c>
      <c r="I69">
        <f>H69*$N$1</f>
        <v/>
      </c>
      <c r="J69">
        <f>IF(I69=0,"",ROUND(G69/(I69/30),0))</f>
        <v/>
      </c>
    </row>
    <row r="70">
      <c r="A70" t="inlineStr">
        <is>
          <t>MANYO</t>
        </is>
      </c>
      <c r="B70" t="inlineStr">
        <is>
          <t>198156472</t>
        </is>
      </c>
      <c r="C70" t="inlineStr">
        <is>
          <t>MANYO - Galac Whitening Vita Serum [50ml] / Осветляющая</t>
        </is>
      </c>
      <c r="D70" t="n">
        <v>1142</v>
      </c>
      <c r="E70" t="n">
        <v>0</v>
      </c>
      <c r="F70" t="n">
        <v>0</v>
      </c>
      <c r="G70">
        <f>D70+E70+F70</f>
        <v/>
      </c>
      <c r="H70" t="n">
        <v>227</v>
      </c>
      <c r="I70">
        <f>H70*$N$1</f>
        <v/>
      </c>
      <c r="J70">
        <f>IF(I70=0,"",ROUND(G70/(I70/30),0))</f>
        <v/>
      </c>
    </row>
    <row r="71">
      <c r="A71" t="inlineStr">
        <is>
          <t>MANYO</t>
        </is>
      </c>
      <c r="B71" t="inlineStr">
        <is>
          <t>198147185</t>
        </is>
      </c>
      <c r="C71" t="inlineStr">
        <is>
          <t>MANYO - Bifida Biome Complex Ampoule [50ml] / Антивозра</t>
        </is>
      </c>
      <c r="D71" t="n">
        <v>1914</v>
      </c>
      <c r="E71" t="n">
        <v>0</v>
      </c>
      <c r="F71" t="n">
        <v>0</v>
      </c>
      <c r="G71">
        <f>D71+E71+F71</f>
        <v/>
      </c>
      <c r="H71" t="n">
        <v>162</v>
      </c>
      <c r="I71">
        <f>H71*$N$1</f>
        <v/>
      </c>
      <c r="J71">
        <f>IF(I71=0,"",ROUND(G71/(I71/30),0))</f>
        <v/>
      </c>
    </row>
    <row r="72">
      <c r="A72" t="inlineStr">
        <is>
          <t>MANYO</t>
        </is>
      </c>
      <c r="B72" t="inlineStr">
        <is>
          <t>205054338</t>
        </is>
      </c>
      <c r="C72" t="inlineStr">
        <is>
          <t xml:space="preserve">MANYO - Bifida Biome Ampoule Toner [400ml] / Ампульный </t>
        </is>
      </c>
      <c r="D72" t="n">
        <v>1</v>
      </c>
      <c r="E72" t="n">
        <v>0</v>
      </c>
      <c r="F72" t="n">
        <v>0</v>
      </c>
      <c r="G72">
        <f>D72+E72+F72</f>
        <v/>
      </c>
      <c r="H72" t="n">
        <v>116</v>
      </c>
      <c r="I72">
        <f>H72*$N$1</f>
        <v/>
      </c>
      <c r="J72">
        <f>IF(I72=0,"",ROUND(G72/(I72/30),0))</f>
        <v/>
      </c>
    </row>
    <row r="73">
      <c r="A73" t="inlineStr">
        <is>
          <t>MANYO</t>
        </is>
      </c>
      <c r="B73" t="inlineStr">
        <is>
          <t>198156698</t>
        </is>
      </c>
      <c r="C73" t="inlineStr">
        <is>
          <t>MANYO - Pure Cleansing Oil [200ml] / Гидрофильное масло</t>
        </is>
      </c>
      <c r="D73" t="n">
        <v>368</v>
      </c>
      <c r="E73" t="n">
        <v>0</v>
      </c>
      <c r="F73" t="n">
        <v>0</v>
      </c>
      <c r="G73">
        <f>D73+E73+F73</f>
        <v/>
      </c>
      <c r="H73" t="n">
        <v>97</v>
      </c>
      <c r="I73">
        <f>H73*$N$1</f>
        <v/>
      </c>
      <c r="J73">
        <f>IF(I73=0,"",ROUND(G73/(I73/30),0))</f>
        <v/>
      </c>
    </row>
    <row r="74">
      <c r="A74" t="inlineStr">
        <is>
          <t>MANYO</t>
        </is>
      </c>
      <c r="B74" t="inlineStr">
        <is>
          <t>868575374</t>
        </is>
      </c>
      <c r="C74" t="inlineStr">
        <is>
          <t>MANYO BIFIDA COMPLEX AMPOULE GEL CLEANSER [400ml] / Гел</t>
        </is>
      </c>
      <c r="D74" t="n">
        <v>927</v>
      </c>
      <c r="E74" t="n">
        <v>0</v>
      </c>
      <c r="F74" t="n">
        <v>0</v>
      </c>
      <c r="G74">
        <f>D74+E74+F74</f>
        <v/>
      </c>
      <c r="H74" t="n">
        <v>62</v>
      </c>
      <c r="I74">
        <f>H74*$N$1</f>
        <v/>
      </c>
      <c r="J74">
        <f>IF(I74=0,"",ROUND(G74/(I74/30),0))</f>
        <v/>
      </c>
    </row>
    <row r="75">
      <c r="A75" t="inlineStr">
        <is>
          <t>MANYO</t>
        </is>
      </c>
      <c r="B75" t="inlineStr">
        <is>
          <t>868700077</t>
        </is>
      </c>
      <c r="C75" t="inlineStr">
        <is>
          <t>MANYO BIFIDA INFUSION SHOT AMPOULE 1DX [50ml] / Сыворот</t>
        </is>
      </c>
      <c r="D75" t="n">
        <v>1020</v>
      </c>
      <c r="E75" t="n">
        <v>0</v>
      </c>
      <c r="F75" t="n">
        <v>0</v>
      </c>
      <c r="G75">
        <f>D75+E75+F75</f>
        <v/>
      </c>
      <c r="H75" t="n">
        <v>41</v>
      </c>
      <c r="I75">
        <f>H75*$N$1</f>
        <v/>
      </c>
      <c r="J75">
        <f>IF(I75=0,"",ROUND(G75/(I75/30),0))</f>
        <v/>
      </c>
    </row>
    <row r="76">
      <c r="A76" t="inlineStr">
        <is>
          <t>MANYO</t>
        </is>
      </c>
      <c r="B76" t="inlineStr">
        <is>
          <t>198143251</t>
        </is>
      </c>
      <c r="C76" t="inlineStr">
        <is>
          <t>MANYO - Bifida Biome Ampoule Lotion [300ml] / Укрепляющ</t>
        </is>
      </c>
      <c r="D76" t="n">
        <v>1053</v>
      </c>
      <c r="E76" t="n">
        <v>0</v>
      </c>
      <c r="F76" t="n">
        <v>0</v>
      </c>
      <c r="G76">
        <f>D76+E76+F76</f>
        <v/>
      </c>
      <c r="H76" t="n">
        <v>37</v>
      </c>
      <c r="I76">
        <f>H76*$N$1</f>
        <v/>
      </c>
      <c r="J76">
        <f>IF(I76=0,"",ROUND(G76/(I76/30),0))</f>
        <v/>
      </c>
    </row>
    <row r="77">
      <c r="A77" t="inlineStr">
        <is>
          <t>MASIL</t>
        </is>
      </c>
      <c r="B77" t="inlineStr">
        <is>
          <t>183030830</t>
        </is>
      </c>
      <c r="C77" t="inlineStr">
        <is>
          <t>MASIL - 8 Seconds Salon Hair Mask 350ml Set [350ml+8ml*</t>
        </is>
      </c>
      <c r="D77" t="n">
        <v>122</v>
      </c>
      <c r="E77" t="n">
        <v>0</v>
      </c>
      <c r="F77" t="n">
        <v>0</v>
      </c>
      <c r="G77">
        <f>D77+E77+F77</f>
        <v/>
      </c>
      <c r="H77" t="n">
        <v>11</v>
      </c>
      <c r="I77">
        <f>H77*$N$1</f>
        <v/>
      </c>
      <c r="J77">
        <f>IF(I77=0,"",ROUND(G77/(I77/30),0))</f>
        <v/>
      </c>
    </row>
    <row r="78">
      <c r="A78" t="inlineStr">
        <is>
          <t>PETITFEE</t>
        </is>
      </c>
      <c r="B78" t="inlineStr">
        <is>
          <t>151175880</t>
        </is>
      </c>
      <c r="C78" t="inlineStr">
        <is>
          <t>PETITFEE - Black Pearl &amp; Gold Hydrogel Eye Patch [60ea]</t>
        </is>
      </c>
      <c r="D78" t="n">
        <v>1185</v>
      </c>
      <c r="E78" t="n">
        <v>0</v>
      </c>
      <c r="F78" t="n">
        <v>0</v>
      </c>
      <c r="G78">
        <f>D78+E78+F78</f>
        <v/>
      </c>
      <c r="H78" t="n">
        <v>196</v>
      </c>
      <c r="I78">
        <f>H78*$N$1</f>
        <v/>
      </c>
      <c r="J78">
        <f>IF(I78=0,"",ROUND(G78/(I78/30),0))</f>
        <v/>
      </c>
    </row>
    <row r="79">
      <c r="A79" t="inlineStr">
        <is>
          <t>PETITFEE</t>
        </is>
      </c>
      <c r="B79" t="inlineStr">
        <is>
          <t>226115324</t>
        </is>
      </c>
      <c r="C79" t="inlineStr">
        <is>
          <t>PETITFEE - Agave Cooling Hydrogel Face Mask [5pcs] / Ох</t>
        </is>
      </c>
      <c r="D79" t="n">
        <v>1197</v>
      </c>
      <c r="E79" t="n">
        <v>0</v>
      </c>
      <c r="F79" t="n">
        <v>0</v>
      </c>
      <c r="G79">
        <f>D79+E79+F79</f>
        <v/>
      </c>
      <c r="H79" t="n">
        <v>159</v>
      </c>
      <c r="I79">
        <f>H79*$N$1</f>
        <v/>
      </c>
      <c r="J79">
        <f>IF(I79=0,"",ROUND(G79/(I79/30),0))</f>
        <v/>
      </c>
    </row>
    <row r="80">
      <c r="A80" t="inlineStr">
        <is>
          <t>PETITFEE</t>
        </is>
      </c>
      <c r="B80" t="inlineStr">
        <is>
          <t>151175877</t>
        </is>
      </c>
      <c r="C80" t="inlineStr">
        <is>
          <t>PETITFEE - Agave Cooling Hydrogel Eye Patch [60ea] / Ох</t>
        </is>
      </c>
      <c r="D80" t="n">
        <v>1186</v>
      </c>
      <c r="E80" t="n">
        <v>0</v>
      </c>
      <c r="F80" t="n">
        <v>0</v>
      </c>
      <c r="G80">
        <f>D80+E80+F80</f>
        <v/>
      </c>
      <c r="H80" t="n">
        <v>141</v>
      </c>
      <c r="I80">
        <f>H80*$N$1</f>
        <v/>
      </c>
      <c r="J80">
        <f>IF(I80=0,"",ROUND(G80/(I80/30),0))</f>
        <v/>
      </c>
    </row>
    <row r="81">
      <c r="A81" t="inlineStr">
        <is>
          <t>PETITFEE</t>
        </is>
      </c>
      <c r="B81" t="inlineStr">
        <is>
          <t>179611207</t>
        </is>
      </c>
      <c r="C81" t="inlineStr">
        <is>
          <t>PETITFEE - Gold &amp; Snail Hydrogel Eye Patch [60ea] / Гид</t>
        </is>
      </c>
      <c r="D81" t="n">
        <v>1036</v>
      </c>
      <c r="E81" t="n">
        <v>0</v>
      </c>
      <c r="F81" t="n">
        <v>0</v>
      </c>
      <c r="G81">
        <f>D81+E81+F81</f>
        <v/>
      </c>
      <c r="H81" t="n">
        <v>113</v>
      </c>
      <c r="I81">
        <f>H81*$N$1</f>
        <v/>
      </c>
      <c r="J81">
        <f>IF(I81=0,"",ROUND(G81/(I81/30),0))</f>
        <v/>
      </c>
    </row>
    <row r="82">
      <c r="A82" t="inlineStr">
        <is>
          <t>PETITFEE</t>
        </is>
      </c>
      <c r="B82" t="inlineStr">
        <is>
          <t>226117746</t>
        </is>
      </c>
      <c r="C82" t="inlineStr">
        <is>
          <t>PETITFEE - Chamomile Lightening Hydrogel Mask Pack [5pc</t>
        </is>
      </c>
      <c r="D82" t="n">
        <v>129</v>
      </c>
      <c r="E82" t="n">
        <v>0</v>
      </c>
      <c r="F82" t="n">
        <v>0</v>
      </c>
      <c r="G82">
        <f>D82+E82+F82</f>
        <v/>
      </c>
      <c r="H82" t="n">
        <v>88</v>
      </c>
      <c r="I82">
        <f>H82*$N$1</f>
        <v/>
      </c>
      <c r="J82">
        <f>IF(I82=0,"",ROUND(G82/(I82/30),0))</f>
        <v/>
      </c>
    </row>
    <row r="83">
      <c r="A83" t="inlineStr">
        <is>
          <t>PETITFEE</t>
        </is>
      </c>
      <c r="B83" t="inlineStr">
        <is>
          <t>226115141</t>
        </is>
      </c>
      <c r="C83" t="inlineStr">
        <is>
          <t>PETITFEE - Gold &amp; Snail Hydrogel Mask Pack [5pcs] / Гид</t>
        </is>
      </c>
      <c r="D83" t="n">
        <v>632</v>
      </c>
      <c r="E83" t="n">
        <v>0</v>
      </c>
      <c r="F83" t="n">
        <v>0</v>
      </c>
      <c r="G83">
        <f>D83+E83+F83</f>
        <v/>
      </c>
      <c r="H83" t="n">
        <v>80</v>
      </c>
      <c r="I83">
        <f>H83*$N$1</f>
        <v/>
      </c>
      <c r="J83">
        <f>IF(I83=0,"",ROUND(G83/(I83/30),0))</f>
        <v/>
      </c>
    </row>
    <row r="84">
      <c r="A84" t="inlineStr">
        <is>
          <t>PETITFEE</t>
        </is>
      </c>
      <c r="B84" t="inlineStr">
        <is>
          <t>226114935</t>
        </is>
      </c>
      <c r="C84" t="inlineStr">
        <is>
          <t>PETITFEE - Gold Hydrogel Mask Pack [5pcs] / Гидрогелева</t>
        </is>
      </c>
      <c r="D84" t="n">
        <v>869</v>
      </c>
      <c r="E84" t="n">
        <v>0</v>
      </c>
      <c r="F84" t="n">
        <v>0</v>
      </c>
      <c r="G84">
        <f>D84+E84+F84</f>
        <v/>
      </c>
      <c r="H84" t="n">
        <v>65</v>
      </c>
      <c r="I84">
        <f>H84*$N$1</f>
        <v/>
      </c>
      <c r="J84">
        <f>IF(I84=0,"",ROUND(G84/(I84/30),0))</f>
        <v/>
      </c>
    </row>
    <row r="85">
      <c r="A85" t="inlineStr">
        <is>
          <t>PETITFEE</t>
        </is>
      </c>
      <c r="B85" t="inlineStr">
        <is>
          <t>179611318</t>
        </is>
      </c>
      <c r="C85" t="inlineStr">
        <is>
          <t>PETITFEE - Chamomile Lightening Hydrogel Eye Patch [60e</t>
        </is>
      </c>
      <c r="D85" t="n">
        <v>357</v>
      </c>
      <c r="E85" t="n">
        <v>0</v>
      </c>
      <c r="F85" t="n">
        <v>0</v>
      </c>
      <c r="G85">
        <f>D85+E85+F85</f>
        <v/>
      </c>
      <c r="H85" t="n">
        <v>49</v>
      </c>
      <c r="I85">
        <f>H85*$N$1</f>
        <v/>
      </c>
      <c r="J85">
        <f>IF(I85=0,"",ROUND(G85/(I85/30),0))</f>
        <v/>
      </c>
    </row>
    <row r="86">
      <c r="A86" t="inlineStr">
        <is>
          <t>PETITFEE</t>
        </is>
      </c>
      <c r="B86" t="inlineStr">
        <is>
          <t>180988755</t>
        </is>
      </c>
      <c r="C86" t="inlineStr">
        <is>
          <t xml:space="preserve">PETITFEE - Bera Glucan Deep Firming Eye Patch [60ea] / </t>
        </is>
      </c>
      <c r="D86" t="n">
        <v>682</v>
      </c>
      <c r="E86" t="n">
        <v>0</v>
      </c>
      <c r="F86" t="n">
        <v>0</v>
      </c>
      <c r="G86">
        <f>D86+E86+F86</f>
        <v/>
      </c>
      <c r="H86" t="n">
        <v>47</v>
      </c>
      <c r="I86">
        <f>H86*$N$1</f>
        <v/>
      </c>
      <c r="J86">
        <f>IF(I86=0,"",ROUND(G86/(I86/30),0))</f>
        <v/>
      </c>
    </row>
    <row r="87">
      <c r="A87" t="inlineStr">
        <is>
          <t>PETITFEE</t>
        </is>
      </c>
      <c r="B87" t="inlineStr">
        <is>
          <t>179611278</t>
        </is>
      </c>
      <c r="C87" t="inlineStr">
        <is>
          <t>PETITFEE - Artichoke Soothing Hydrogel Eye Patch [60ea]</t>
        </is>
      </c>
      <c r="D87" t="n">
        <v>430</v>
      </c>
      <c r="E87" t="n">
        <v>0</v>
      </c>
      <c r="F87" t="n">
        <v>0</v>
      </c>
      <c r="G87">
        <f>D87+E87+F87</f>
        <v/>
      </c>
      <c r="H87" t="n">
        <v>41</v>
      </c>
      <c r="I87">
        <f>H87*$N$1</f>
        <v/>
      </c>
      <c r="J87">
        <f>IF(I87=0,"",ROUND(G87/(I87/30),0))</f>
        <v/>
      </c>
    </row>
    <row r="88">
      <c r="A88" t="inlineStr">
        <is>
          <t>PETITFEE</t>
        </is>
      </c>
      <c r="B88" t="inlineStr">
        <is>
          <t>180711104</t>
        </is>
      </c>
      <c r="C88" t="inlineStr">
        <is>
          <t>PETITFEE - Gold Hydrogel Eye Patch [60ea] / гидрогелевы</t>
        </is>
      </c>
      <c r="D88" t="n">
        <v>801</v>
      </c>
      <c r="E88" t="n">
        <v>0</v>
      </c>
      <c r="F88" t="n">
        <v>0</v>
      </c>
      <c r="G88">
        <f>D88+E88+F88</f>
        <v/>
      </c>
      <c r="H88" t="n">
        <v>40</v>
      </c>
      <c r="I88">
        <f>H88*$N$1</f>
        <v/>
      </c>
      <c r="J88">
        <f>IF(I88=0,"",ROUND(G88/(I88/30),0))</f>
        <v/>
      </c>
    </row>
    <row r="89">
      <c r="A89" t="inlineStr">
        <is>
          <t>PETITFEE</t>
        </is>
      </c>
      <c r="B89" t="inlineStr">
        <is>
          <t>179611231</t>
        </is>
      </c>
      <c r="C89" t="inlineStr">
        <is>
          <t>PETITFEE - Collagen &amp; CoQ10 Hydrogel Eye Patch [60ea] /</t>
        </is>
      </c>
      <c r="D89" t="n">
        <v>1275</v>
      </c>
      <c r="E89" t="n">
        <v>0</v>
      </c>
      <c r="F89" t="n">
        <v>0</v>
      </c>
      <c r="G89">
        <f>D89+E89+F89</f>
        <v/>
      </c>
      <c r="H89" t="n">
        <v>39</v>
      </c>
      <c r="I89">
        <f>H89*$N$1</f>
        <v/>
      </c>
      <c r="J89">
        <f>IF(I89=0,"",ROUND(G89/(I89/30),0))</f>
        <v/>
      </c>
    </row>
    <row r="90">
      <c r="A90" t="inlineStr">
        <is>
          <t>PETITFEE</t>
        </is>
      </c>
      <c r="B90" t="inlineStr">
        <is>
          <t>179611304</t>
        </is>
      </c>
      <c r="C90" t="inlineStr">
        <is>
          <t>PETITFEE - Cacao Energizing Hydrogel Eye Patch [60ea] /</t>
        </is>
      </c>
      <c r="D90" t="n">
        <v>938</v>
      </c>
      <c r="E90" t="n">
        <v>0</v>
      </c>
      <c r="F90" t="n">
        <v>0</v>
      </c>
      <c r="G90">
        <f>D90+E90+F90</f>
        <v/>
      </c>
      <c r="H90" t="n">
        <v>20</v>
      </c>
      <c r="I90">
        <f>H90*$N$1</f>
        <v/>
      </c>
      <c r="J90">
        <f>IF(I90=0,"",ROUND(G90/(I90/30),0))</f>
        <v/>
      </c>
    </row>
    <row r="91">
      <c r="A91" t="inlineStr">
        <is>
          <t>PETITFEE</t>
        </is>
      </c>
      <c r="B91" t="inlineStr">
        <is>
          <t>180992464</t>
        </is>
      </c>
      <c r="C91" t="inlineStr">
        <is>
          <t>PETITFEE - Aura Quartz Hydrogel Eye Patch [60ea]</t>
        </is>
      </c>
      <c r="D91" t="n">
        <v>126</v>
      </c>
      <c r="E91" t="n">
        <v>0</v>
      </c>
      <c r="F91" t="n">
        <v>0</v>
      </c>
      <c r="G91">
        <f>D91+E91+F91</f>
        <v/>
      </c>
      <c r="H91" t="n">
        <v>20</v>
      </c>
      <c r="I91">
        <f>H91*$N$1</f>
        <v/>
      </c>
      <c r="J91">
        <f>IF(I91=0,"",ROUND(G91/(I91/30),0))</f>
        <v/>
      </c>
    </row>
    <row r="92">
      <c r="A92" t="inlineStr">
        <is>
          <t>PETITFEE</t>
        </is>
      </c>
      <c r="B92" t="inlineStr">
        <is>
          <t>180987509</t>
        </is>
      </c>
      <c r="C92" t="inlineStr">
        <is>
          <t>PETITFEE - Pink Vita Brightening Eye Patch [60ea] / Тка</t>
        </is>
      </c>
      <c r="D92" t="n">
        <v>270</v>
      </c>
      <c r="E92" t="n">
        <v>0</v>
      </c>
      <c r="F92" t="n">
        <v>0</v>
      </c>
      <c r="G92">
        <f>D92+E92+F92</f>
        <v/>
      </c>
      <c r="H92" t="n">
        <v>19</v>
      </c>
      <c r="I92">
        <f>H92*$N$1</f>
        <v/>
      </c>
      <c r="J92">
        <f>IF(I92=0,"",ROUND(G92/(I92/30),0))</f>
        <v/>
      </c>
    </row>
    <row r="93">
      <c r="A93" t="inlineStr">
        <is>
          <t>PETITFEE</t>
        </is>
      </c>
      <c r="B93" t="inlineStr">
        <is>
          <t>180711041</t>
        </is>
      </c>
      <c r="C93" t="inlineStr">
        <is>
          <t>PETITFEE - Gold &amp; EGF Hydrogel Eye &amp; Spot Patch [60ea]/</t>
        </is>
      </c>
      <c r="D93" t="n">
        <v>133</v>
      </c>
      <c r="E93" t="n">
        <v>0</v>
      </c>
      <c r="F93" t="n">
        <v>0</v>
      </c>
      <c r="G93">
        <f>D93+E93+F93</f>
        <v/>
      </c>
      <c r="H93" t="n">
        <v>11</v>
      </c>
      <c r="I93">
        <f>H93*$N$1</f>
        <v/>
      </c>
      <c r="J93">
        <f>IF(I93=0,"",ROUND(G93/(I93/30),0))</f>
        <v/>
      </c>
    </row>
    <row r="94">
      <c r="A94" t="inlineStr">
        <is>
          <t>PETITFEE</t>
        </is>
      </c>
      <c r="B94" t="inlineStr">
        <is>
          <t>226115478</t>
        </is>
      </c>
      <c r="C94" t="inlineStr">
        <is>
          <t>PETITFEE - Black Pearl &amp; Gold Hydrogel Mask Pack [5pcs]</t>
        </is>
      </c>
      <c r="D94" t="n">
        <v>672</v>
      </c>
      <c r="E94" t="n">
        <v>0</v>
      </c>
      <c r="F94" t="n">
        <v>0</v>
      </c>
      <c r="G94">
        <f>D94+E94+F94</f>
        <v/>
      </c>
      <c r="H94" t="n">
        <v>10</v>
      </c>
      <c r="I94">
        <f>H94*$N$1</f>
        <v/>
      </c>
      <c r="J94">
        <f>IF(I94=0,"",ROUND(G94/(I94/30),0))</f>
        <v/>
      </c>
    </row>
    <row r="95">
      <c r="A95" t="inlineStr">
        <is>
          <t>PETITFEE</t>
        </is>
      </c>
      <c r="B95" t="inlineStr">
        <is>
          <t>226115248</t>
        </is>
      </c>
      <c r="C95" t="inlineStr">
        <is>
          <t>PETITFEE - Cacao Energizing Hydrogel Mask Pack [5pcs] /</t>
        </is>
      </c>
      <c r="D95" t="n">
        <v>732</v>
      </c>
      <c r="E95" t="n">
        <v>0</v>
      </c>
      <c r="F95" t="n">
        <v>0</v>
      </c>
      <c r="G95">
        <f>D95+E95+F95</f>
        <v/>
      </c>
      <c r="H95" t="n">
        <v>10</v>
      </c>
      <c r="I95">
        <f>H95*$N$1</f>
        <v/>
      </c>
      <c r="J95">
        <f>IF(I95=0,"",ROUND(G95/(I95/30),0))</f>
        <v/>
      </c>
    </row>
    <row r="96">
      <c r="A96" t="inlineStr">
        <is>
          <t>PETITFEE</t>
        </is>
      </c>
      <c r="B96" t="inlineStr">
        <is>
          <t>226114831</t>
        </is>
      </c>
      <c r="C96" t="inlineStr">
        <is>
          <t>PETITFEE - Artichoke Soothing Hydrogel Face Mask [5pcs]</t>
        </is>
      </c>
      <c r="D96" t="n">
        <v>717</v>
      </c>
      <c r="E96" t="n">
        <v>0</v>
      </c>
      <c r="F96" t="n">
        <v>0</v>
      </c>
      <c r="G96">
        <f>D96+E96+F96</f>
        <v/>
      </c>
      <c r="H96" t="n">
        <v>9</v>
      </c>
      <c r="I96">
        <f>H96*$N$1</f>
        <v/>
      </c>
      <c r="J96">
        <f>IF(I96=0,"",ROUND(G96/(I96/30),0))</f>
        <v/>
      </c>
    </row>
    <row r="97">
      <c r="A97" t="inlineStr">
        <is>
          <t>ROUND LAB</t>
        </is>
      </c>
      <c r="B97" t="inlineStr">
        <is>
          <t>437154709</t>
        </is>
      </c>
      <c r="C97" t="inlineStr">
        <is>
          <t>ROUND LAB 1025 DOKDO CLEANSER_150ml - Увлажняющая пенка</t>
        </is>
      </c>
      <c r="D97" t="n">
        <v>12648</v>
      </c>
      <c r="E97" t="n">
        <v>25020</v>
      </c>
      <c r="F97" t="n">
        <v>0</v>
      </c>
      <c r="G97">
        <f>D97+E97+F97</f>
        <v/>
      </c>
      <c r="H97" t="n">
        <v>2158</v>
      </c>
      <c r="I97">
        <f>H97*$N$1</f>
        <v/>
      </c>
      <c r="J97">
        <f>IF(I97=0,"",ROUND(G97/(I97/30),0))</f>
        <v/>
      </c>
    </row>
    <row r="98">
      <c r="A98" t="inlineStr">
        <is>
          <t>ROUND LAB</t>
        </is>
      </c>
      <c r="B98" t="inlineStr">
        <is>
          <t>437242640</t>
        </is>
      </c>
      <c r="C98" t="inlineStr">
        <is>
          <t>ROUND LAB MUGWORT CALMING CLEANSER_150ml - Очищающая пе</t>
        </is>
      </c>
      <c r="D98" t="n">
        <v>2322</v>
      </c>
      <c r="E98" t="n">
        <v>0</v>
      </c>
      <c r="F98" t="n">
        <v>0</v>
      </c>
      <c r="G98">
        <f>D98+E98+F98</f>
        <v/>
      </c>
      <c r="H98" t="n">
        <v>179</v>
      </c>
      <c r="I98">
        <f>H98*$N$1</f>
        <v/>
      </c>
      <c r="J98">
        <f>IF(I98=0,"",ROUND(G98/(I98/30),0))</f>
        <v/>
      </c>
    </row>
    <row r="99">
      <c r="A99" t="inlineStr">
        <is>
          <t>ROUND LAB</t>
        </is>
      </c>
      <c r="B99" t="inlineStr">
        <is>
          <t>437254254</t>
        </is>
      </c>
      <c r="C99" t="inlineStr">
        <is>
          <t xml:space="preserve">ROUND LAB SOYBEAN PANTHENOL CREAM_80ml - Крем для лица </t>
        </is>
      </c>
      <c r="D99" t="n">
        <v>310</v>
      </c>
      <c r="E99" t="n">
        <v>0</v>
      </c>
      <c r="F99" t="n">
        <v>0</v>
      </c>
      <c r="G99">
        <f>D99+E99+F99</f>
        <v/>
      </c>
      <c r="H99" t="n">
        <v>65</v>
      </c>
      <c r="I99">
        <f>H99*$N$1</f>
        <v/>
      </c>
      <c r="J99">
        <f>IF(I99=0,"",ROUND(G99/(I99/30),0))</f>
        <v/>
      </c>
    </row>
    <row r="100">
      <c r="A100" t="inlineStr">
        <is>
          <t>ROUND LAB</t>
        </is>
      </c>
      <c r="B100" t="inlineStr">
        <is>
          <t>437190353</t>
        </is>
      </c>
      <c r="C100" t="inlineStr">
        <is>
          <t>ROUND LAB BIRCH JUICE MOISTURIZING CREAM_80ml -Увлажняю</t>
        </is>
      </c>
      <c r="D100" t="n">
        <v>844</v>
      </c>
      <c r="E100" t="n">
        <v>0</v>
      </c>
      <c r="F100" t="n">
        <v>0</v>
      </c>
      <c r="G100">
        <f>D100+E100+F100</f>
        <v/>
      </c>
      <c r="H100" t="n">
        <v>52</v>
      </c>
      <c r="I100">
        <f>H100*$N$1</f>
        <v/>
      </c>
      <c r="J100">
        <f>IF(I100=0,"",ROUND(G100/(I100/30),0))</f>
        <v/>
      </c>
    </row>
    <row r="101">
      <c r="A101" t="inlineStr">
        <is>
          <t>ROUND LAB</t>
        </is>
      </c>
      <c r="B101" t="inlineStr">
        <is>
          <t>437797551</t>
        </is>
      </c>
      <c r="C101" t="inlineStr">
        <is>
          <t>ROUND LAB VITA NIACINAMIDE DARK SPOT SERUM 30ml - Сывор</t>
        </is>
      </c>
      <c r="D101" t="n">
        <v>62</v>
      </c>
      <c r="E101" t="n">
        <v>0</v>
      </c>
      <c r="F101" t="n">
        <v>0</v>
      </c>
      <c r="G101">
        <f>D101+E101+F101</f>
        <v/>
      </c>
      <c r="H101" t="n">
        <v>40</v>
      </c>
      <c r="I101">
        <f>H101*$N$1</f>
        <v/>
      </c>
      <c r="J101">
        <f>IF(I101=0,"",ROUND(G101/(I101/30),0))</f>
        <v/>
      </c>
    </row>
    <row r="102">
      <c r="A102" t="inlineStr">
        <is>
          <t>ROUND LAB</t>
        </is>
      </c>
      <c r="B102" t="inlineStr">
        <is>
          <t>437776835</t>
        </is>
      </c>
      <c r="C102" t="inlineStr">
        <is>
          <t>ROUND LAB PINE CALMING CICA AMPOULE_30ml - Сыворотка дл</t>
        </is>
      </c>
      <c r="D102" t="n">
        <v>103</v>
      </c>
      <c r="E102" t="n">
        <v>0</v>
      </c>
      <c r="F102" t="n">
        <v>0</v>
      </c>
      <c r="G102">
        <f>D102+E102+F102</f>
        <v/>
      </c>
      <c r="H102" t="n">
        <v>32</v>
      </c>
      <c r="I102">
        <f>H102*$N$1</f>
        <v/>
      </c>
      <c r="J102">
        <f>IF(I102=0,"",ROUND(G102/(I102/30),0))</f>
        <v/>
      </c>
    </row>
    <row r="103">
      <c r="A103" t="inlineStr">
        <is>
          <t>ROUND LAB</t>
        </is>
      </c>
      <c r="B103" t="inlineStr">
        <is>
          <t>437850261</t>
        </is>
      </c>
      <c r="C103" t="inlineStr">
        <is>
          <t>ROUND LAB SOYBEAN CLEANSING OIL_200ml - Гидрофильное ма</t>
        </is>
      </c>
      <c r="D103" t="n">
        <v>30</v>
      </c>
      <c r="E103" t="n">
        <v>0</v>
      </c>
      <c r="F103" t="n">
        <v>0</v>
      </c>
      <c r="G103">
        <f>D103+E103+F103</f>
        <v/>
      </c>
      <c r="H103" t="n">
        <v>12</v>
      </c>
      <c r="I103">
        <f>H103*$N$1</f>
        <v/>
      </c>
      <c r="J103">
        <f>IF(I103=0,"",ROUND(G103/(I103/30),0))</f>
        <v/>
      </c>
    </row>
    <row r="104">
      <c r="A104" t="inlineStr">
        <is>
          <t>ROUND LAB</t>
        </is>
      </c>
      <c r="B104" t="inlineStr">
        <is>
          <t>1123574113</t>
        </is>
      </c>
      <c r="C104" t="inlineStr">
        <is>
          <t>ROUND LAB 1025 DOKDO TONER_200ml / Отшелушивающий тоник</t>
        </is>
      </c>
      <c r="D104" t="n">
        <v>1194</v>
      </c>
      <c r="E104" t="n">
        <v>360</v>
      </c>
      <c r="F104" t="n">
        <v>0</v>
      </c>
      <c r="G104">
        <f>D104+E104+F104</f>
        <v/>
      </c>
      <c r="H104" t="n">
        <v>2</v>
      </c>
      <c r="I104">
        <f>H104*$N$1</f>
        <v/>
      </c>
      <c r="J104">
        <f>IF(I104=0,"",ROUND(G104/(I104/30),0))</f>
        <v/>
      </c>
    </row>
    <row r="105">
      <c r="A105" t="inlineStr">
        <is>
          <t>SKIN1004</t>
        </is>
      </c>
      <c r="B105" t="inlineStr">
        <is>
          <t>214311963</t>
        </is>
      </c>
      <c r="C105" t="inlineStr">
        <is>
          <t>SKIN1004 - Madagascar Centella Ampoule [30ml] / Сыворот</t>
        </is>
      </c>
      <c r="D105" t="n">
        <v>134</v>
      </c>
      <c r="E105" t="n">
        <v>0</v>
      </c>
      <c r="F105" t="n">
        <v>0</v>
      </c>
      <c r="G105">
        <f>D105+E105+F105</f>
        <v/>
      </c>
      <c r="H105" t="n">
        <v>13</v>
      </c>
      <c r="I105">
        <f>H105*$N$1</f>
        <v/>
      </c>
      <c r="J105">
        <f>IF(I105=0,"",ROUND(G105/(I105/30),0))</f>
        <v/>
      </c>
    </row>
    <row r="106">
      <c r="A106" t="inlineStr">
        <is>
          <t>SKIN1004</t>
        </is>
      </c>
      <c r="B106" t="inlineStr">
        <is>
          <t>214312149</t>
        </is>
      </c>
      <c r="C106" t="inlineStr">
        <is>
          <t>SKIN1004 - Madagascar Centella Hyalu-Cica Sleeping Pack</t>
        </is>
      </c>
      <c r="D106" t="n">
        <v>141</v>
      </c>
      <c r="E106" t="n">
        <v>0</v>
      </c>
      <c r="F106" t="n">
        <v>0</v>
      </c>
      <c r="G106">
        <f>D106+E106+F106</f>
        <v/>
      </c>
      <c r="H106" t="n">
        <v>6</v>
      </c>
      <c r="I106">
        <f>H106*$N$1</f>
        <v/>
      </c>
      <c r="J106">
        <f>IF(I106=0,"",ROUND(G106/(I106/30),0))</f>
        <v/>
      </c>
    </row>
    <row r="107">
      <c r="A107" t="inlineStr">
        <is>
          <t>SOMEBYMI</t>
        </is>
      </c>
      <c r="B107" t="inlineStr">
        <is>
          <t>248928046</t>
        </is>
      </c>
      <c r="C107" t="inlineStr">
        <is>
          <t xml:space="preserve">SOME BY MI - AHA-BHA-PHA 30 Days Miracle Cleansing Bar </t>
        </is>
      </c>
      <c r="D107" t="n">
        <v>551</v>
      </c>
      <c r="E107" t="n">
        <v>0</v>
      </c>
      <c r="F107" t="n">
        <v>0</v>
      </c>
      <c r="G107">
        <f>D107+E107+F107</f>
        <v/>
      </c>
      <c r="H107" t="n">
        <v>3</v>
      </c>
      <c r="I107">
        <f>H107*$N$1</f>
        <v/>
      </c>
      <c r="J107">
        <f>IF(I107=0,"",ROUND(G107/(I107/30),0))</f>
        <v/>
      </c>
    </row>
    <row r="108">
      <c r="A108" t="inlineStr">
        <is>
          <t>TheOrdinary</t>
        </is>
      </c>
      <c r="B108" t="inlineStr">
        <is>
          <t>214312385</t>
        </is>
      </c>
      <c r="C108" t="inlineStr">
        <is>
          <t>THE ORDINARY - Argireline Solution 10% [30ml] / Сыворот</t>
        </is>
      </c>
      <c r="D108" t="n">
        <v>127</v>
      </c>
      <c r="E108" t="n">
        <v>0</v>
      </c>
      <c r="F108" t="n">
        <v>0</v>
      </c>
      <c r="G108">
        <f>D108+E108+F108</f>
        <v/>
      </c>
      <c r="H108" t="n">
        <v>19</v>
      </c>
      <c r="I108">
        <f>H108*$N$1</f>
        <v/>
      </c>
      <c r="J108">
        <f>IF(I108=0,"",ROUND(G108/(I108/30),0))</f>
        <v/>
      </c>
    </row>
    <row r="109">
      <c r="A109" t="inlineStr">
        <is>
          <t>TheOrdinary</t>
        </is>
      </c>
      <c r="B109" t="inlineStr">
        <is>
          <t>247275092</t>
        </is>
      </c>
      <c r="C109" t="inlineStr">
        <is>
          <t>THE ORDINARY - Glycolic Acid 7% Toning Solution [KOR] [</t>
        </is>
      </c>
      <c r="D109" t="n">
        <v>72</v>
      </c>
      <c r="E109" t="n">
        <v>0</v>
      </c>
      <c r="F109" t="n">
        <v>0</v>
      </c>
      <c r="G109">
        <f>D109+E109+F109</f>
        <v/>
      </c>
      <c r="H109" t="n">
        <v>5</v>
      </c>
      <c r="I109">
        <f>H109*$N$1</f>
        <v/>
      </c>
      <c r="J109">
        <f>IF(I109=0,"",ROUND(G109/(I109/30),0))</f>
        <v/>
      </c>
    </row>
    <row r="110">
      <c r="A110" t="inlineStr">
        <is>
          <t>CELIMAX</t>
        </is>
      </c>
      <c r="B110" t="inlineStr">
        <is>
          <t>868516027</t>
        </is>
      </c>
      <c r="C110" t="inlineStr">
        <is>
          <t>Celimax Dual Barrier Creamy Toner, тонер 150 мл</t>
        </is>
      </c>
      <c r="D110" t="n">
        <v>1417</v>
      </c>
      <c r="E110" t="n">
        <v>25008</v>
      </c>
      <c r="F110" t="n">
        <v>15000</v>
      </c>
      <c r="G110">
        <f>D110+E110+F110</f>
        <v/>
      </c>
      <c r="H110" t="n">
        <v>3149</v>
      </c>
      <c r="I110">
        <f>H110*$N$1</f>
        <v/>
      </c>
      <c r="J110">
        <f>IF(I110=0,"",ROUND(G110/(I110/30),0))</f>
        <v/>
      </c>
    </row>
    <row r="111">
      <c r="A111" t="inlineStr">
        <is>
          <t>CELIMAX</t>
        </is>
      </c>
      <c r="B111" t="inlineStr">
        <is>
          <t>551465879</t>
        </is>
      </c>
      <c r="C111" t="inlineStr">
        <is>
          <t>CELIMAX THE VITA-A RETINOL SHOT TIGHTENING SERUM [30ml]</t>
        </is>
      </c>
      <c r="D111" t="n">
        <v>4856</v>
      </c>
      <c r="E111" t="n">
        <v>0</v>
      </c>
      <c r="F111" t="n">
        <v>0</v>
      </c>
      <c r="G111">
        <f>D111+E111+F111</f>
        <v/>
      </c>
      <c r="H111" t="n">
        <v>585</v>
      </c>
      <c r="I111">
        <f>H111*$N$1</f>
        <v/>
      </c>
      <c r="J111">
        <f>IF(I111=0,"",ROUND(G111/(I111/30),0))</f>
        <v/>
      </c>
    </row>
    <row r="112">
      <c r="A112" t="inlineStr">
        <is>
          <t>CELIMAX</t>
        </is>
      </c>
      <c r="B112" t="inlineStr">
        <is>
          <t>551607905</t>
        </is>
      </c>
      <c r="C112" t="inlineStr">
        <is>
          <t xml:space="preserve">CELIMAX JI WOO GAE CICA BHA BLEMISH TONER PAD [170ml / </t>
        </is>
      </c>
      <c r="D112" t="n">
        <v>1957</v>
      </c>
      <c r="E112" t="n">
        <v>0</v>
      </c>
      <c r="F112" t="n">
        <v>0</v>
      </c>
      <c r="G112">
        <f>D112+E112+F112</f>
        <v/>
      </c>
      <c r="H112" t="n">
        <v>124</v>
      </c>
      <c r="I112">
        <f>H112*$N$1</f>
        <v/>
      </c>
      <c r="J112">
        <f>IF(I112=0,"",ROUND(G112/(I112/30),0))</f>
        <v/>
      </c>
    </row>
    <row r="113">
      <c r="A113" t="inlineStr">
        <is>
          <t>CELIMAX</t>
        </is>
      </c>
      <c r="B113" t="inlineStr">
        <is>
          <t>551387355</t>
        </is>
      </c>
      <c r="C113" t="inlineStr">
        <is>
          <t>CELIMAX THE VITA-A RETINAL SHOT TIGHTENING BOOSTER [15m</t>
        </is>
      </c>
      <c r="D113" t="n">
        <v>10951</v>
      </c>
      <c r="E113" t="n">
        <v>0</v>
      </c>
      <c r="F113" t="n">
        <v>0</v>
      </c>
      <c r="G113">
        <f>D113+E113+F113</f>
        <v/>
      </c>
      <c r="H113" t="n">
        <v>33</v>
      </c>
      <c r="I113">
        <f>H113*$N$1</f>
        <v/>
      </c>
      <c r="J113">
        <f>IF(I113=0,"",ROUND(G113/(I113/30),0))</f>
        <v/>
      </c>
    </row>
    <row r="114">
      <c r="A114" t="inlineStr">
        <is>
          <t>CELIMAX</t>
        </is>
      </c>
      <c r="B114" t="inlineStr">
        <is>
          <t>551540924</t>
        </is>
      </c>
      <c r="C114" t="inlineStr">
        <is>
          <t>CELIMAX PORE+DARK SPOT BRIGHTENING PAD [100ml / 40pads]</t>
        </is>
      </c>
      <c r="D114" t="n">
        <v>2059</v>
      </c>
      <c r="E114" t="n">
        <v>0</v>
      </c>
      <c r="F114" t="n">
        <v>0</v>
      </c>
      <c r="G114">
        <f>D114+E114+F114</f>
        <v/>
      </c>
      <c r="H114" t="n">
        <v>32</v>
      </c>
      <c r="I114">
        <f>H114*$N$1</f>
        <v/>
      </c>
      <c r="J114">
        <f>IF(I114=0,"",ROUND(G114/(I114/30),0))</f>
        <v/>
      </c>
    </row>
    <row r="115">
      <c r="A115" t="inlineStr">
        <is>
          <t>CELIMAX</t>
        </is>
      </c>
      <c r="B115" t="inlineStr">
        <is>
          <t>551472457</t>
        </is>
      </c>
      <c r="C115" t="inlineStr">
        <is>
          <t>CELIMAX THE REAL NONI ENERGY AMPOULE_30ML (NEW) [30ml]/</t>
        </is>
      </c>
      <c r="D115" t="n">
        <v>217</v>
      </c>
      <c r="E115" t="n">
        <v>0</v>
      </c>
      <c r="F115" t="n">
        <v>0</v>
      </c>
      <c r="G115">
        <f>D115+E115+F115</f>
        <v/>
      </c>
      <c r="H115" t="n">
        <v>14</v>
      </c>
      <c r="I115">
        <f>H115*$N$1</f>
        <v/>
      </c>
      <c r="J115">
        <f>IF(I115=0,"",ROUND(G115/(I115/30),0))</f>
        <v/>
      </c>
    </row>
    <row r="116">
      <c r="A116" t="inlineStr">
        <is>
          <t>CELIMAX</t>
        </is>
      </c>
      <c r="B116" t="inlineStr">
        <is>
          <t>551600265</t>
        </is>
      </c>
      <c r="C116" t="inlineStr">
        <is>
          <t>CELIMAX JI WOO GAE CICA BHA BLEMISH TONER PAD_10EA [30m</t>
        </is>
      </c>
      <c r="D116" t="n">
        <v>1960</v>
      </c>
      <c r="E116" t="n">
        <v>0</v>
      </c>
      <c r="F116" t="n">
        <v>0</v>
      </c>
      <c r="G116">
        <f>D116+E116+F116</f>
        <v/>
      </c>
      <c r="H116" t="n">
        <v>14</v>
      </c>
      <c r="I116">
        <f>H116*$N$1</f>
        <v/>
      </c>
      <c r="J116">
        <f>IF(I116=0,"",ROUND(G116/(I116/30),0))</f>
        <v/>
      </c>
    </row>
    <row r="117">
      <c r="A117" t="inlineStr">
        <is>
          <t>CELIMAX</t>
        </is>
      </c>
      <c r="B117" t="inlineStr">
        <is>
          <t>551490295</t>
        </is>
      </c>
      <c r="C117" t="inlineStr">
        <is>
          <t>CELIMAX PORE+DARK SPOT BRIGHTENING SERUM_10ml [10ml]/Сы</t>
        </is>
      </c>
      <c r="D117" t="n">
        <v>100</v>
      </c>
      <c r="E117" t="n">
        <v>0</v>
      </c>
      <c r="F117" t="n">
        <v>0</v>
      </c>
      <c r="G117">
        <f>D117+E117+F117</f>
        <v/>
      </c>
      <c r="H117" t="n">
        <v>10</v>
      </c>
      <c r="I117">
        <f>H117*$N$1</f>
        <v/>
      </c>
      <c r="J117">
        <f>IF(I117=0,"",ROUND(G117/(I117/30),0))</f>
        <v/>
      </c>
    </row>
    <row r="118">
      <c r="A118" t="inlineStr">
        <is>
          <t>CELIMAX</t>
        </is>
      </c>
      <c r="B118" t="inlineStr">
        <is>
          <t>551392965</t>
        </is>
      </c>
      <c r="C118" t="inlineStr">
        <is>
          <t>CELIMAX DUAL BARRIER SKIN WEARABLE CREAM [50ml]/Крем дл</t>
        </is>
      </c>
      <c r="D118" t="n">
        <v>611</v>
      </c>
      <c r="E118" t="n">
        <v>0</v>
      </c>
      <c r="F118" t="n">
        <v>0</v>
      </c>
      <c r="G118">
        <f>D118+E118+F118</f>
        <v/>
      </c>
      <c r="H118" t="n">
        <v>7</v>
      </c>
      <c r="I118">
        <f>H118*$N$1</f>
        <v/>
      </c>
      <c r="J118">
        <f>IF(I118=0,"",ROUND(G118/(I118/30),0))</f>
        <v/>
      </c>
    </row>
    <row r="119">
      <c r="A119" t="inlineStr">
        <is>
          <t>CELIMAX</t>
        </is>
      </c>
      <c r="B119" t="inlineStr">
        <is>
          <t>551447345</t>
        </is>
      </c>
      <c r="C119" t="inlineStr">
        <is>
          <t>CELIMAX PORE+DARK SPOT BRIGHTENING CREAM [35ml]/Крем дл</t>
        </is>
      </c>
      <c r="D119" t="n">
        <v>291</v>
      </c>
      <c r="E119" t="n">
        <v>0</v>
      </c>
      <c r="F119" t="n">
        <v>0</v>
      </c>
      <c r="G119">
        <f>D119+E119+F119</f>
        <v/>
      </c>
      <c r="H119" t="n">
        <v>6</v>
      </c>
      <c r="I119">
        <f>H119*$N$1</f>
        <v/>
      </c>
      <c r="J119">
        <f>IF(I119=0,"",ROUND(G119/(I119/30),0))</f>
        <v/>
      </c>
    </row>
    <row r="120">
      <c r="A120" t="inlineStr">
        <is>
          <t>CELIMAX</t>
        </is>
      </c>
      <c r="B120" t="inlineStr">
        <is>
          <t>551482493</t>
        </is>
      </c>
      <c r="C120" t="inlineStr">
        <is>
          <t>CELIMAX PORE+DARK SPOT BRIGHTENING SERUM_30ml [30ml]/Сы</t>
        </is>
      </c>
      <c r="D120" t="n">
        <v>234</v>
      </c>
      <c r="E120" t="n">
        <v>0</v>
      </c>
      <c r="F120" t="n">
        <v>0</v>
      </c>
      <c r="G120">
        <f>D120+E120+F120</f>
        <v/>
      </c>
      <c r="H120" t="n">
        <v>5</v>
      </c>
      <c r="I120">
        <f>H120*$N$1</f>
        <v/>
      </c>
      <c r="J120">
        <f>IF(I120=0,"",ROUND(G120/(I120/30),0))</f>
        <v/>
      </c>
    </row>
    <row r="121">
      <c r="A121" t="inlineStr">
        <is>
          <t>CELIMAX</t>
        </is>
      </c>
      <c r="B121" t="inlineStr">
        <is>
          <t>551616449</t>
        </is>
      </c>
      <c r="C121" t="inlineStr">
        <is>
          <t>CELIMAX THE REAL NONI STARTER KIT (NEW) [30ml+10ml+10ml</t>
        </is>
      </c>
      <c r="D121" t="n">
        <v>14</v>
      </c>
      <c r="E121" t="n">
        <v>480</v>
      </c>
      <c r="F121" t="n">
        <v>0</v>
      </c>
      <c r="G121">
        <f>D121+E121+F121</f>
        <v/>
      </c>
      <c r="H121" t="n">
        <v>5</v>
      </c>
      <c r="I121">
        <f>H121*$N$1</f>
        <v/>
      </c>
      <c r="J121">
        <f>IF(I121=0,"",ROUND(G121/(I121/30),0))</f>
        <v/>
      </c>
    </row>
    <row r="122">
      <c r="A122" t="inlineStr">
        <is>
          <t>CELIMAX</t>
        </is>
      </c>
      <c r="B122" t="inlineStr">
        <is>
          <t>551518955</t>
        </is>
      </c>
      <c r="C122" t="inlineStr">
        <is>
          <t>CELIMAX THE REAL NONI MOISTURE BALANCING TONER (NEW) [1</t>
        </is>
      </c>
      <c r="D122" t="n">
        <v>258</v>
      </c>
      <c r="E122" t="n">
        <v>0</v>
      </c>
      <c r="F122" t="n">
        <v>0</v>
      </c>
      <c r="G122">
        <f>D122+E122+F122</f>
        <v/>
      </c>
      <c r="H122" t="n">
        <v>2</v>
      </c>
      <c r="I122">
        <f>H122*$N$1</f>
        <v/>
      </c>
      <c r="J122">
        <f>IF(I122=0,"",ROUND(G122/(I122/30),0))</f>
        <v/>
      </c>
    </row>
    <row r="123">
      <c r="A123" t="inlineStr">
        <is>
          <t>CELIMAX</t>
        </is>
      </c>
      <c r="B123" t="inlineStr">
        <is>
          <t>551626041</t>
        </is>
      </c>
      <c r="C123" t="inlineStr">
        <is>
          <t>CELIMAX DUAL BARRIER TRIAL KIT [20ml+10ml]/набор для во</t>
        </is>
      </c>
      <c r="D123" t="n">
        <v>0</v>
      </c>
      <c r="E123" t="n">
        <v>448</v>
      </c>
      <c r="F123" t="n">
        <v>0</v>
      </c>
      <c r="G123">
        <f>D123+E123+F123</f>
        <v/>
      </c>
      <c r="H123" t="n">
        <v>0</v>
      </c>
      <c r="I123">
        <f>H123*$N$1</f>
        <v/>
      </c>
      <c r="J123">
        <f>IF(I123=0,"",ROUND(G123/(I123/30),0))</f>
        <v/>
      </c>
    </row>
    <row r="124">
      <c r="A124" t="inlineStr">
        <is>
          <t>VT</t>
        </is>
      </c>
      <c r="B124" t="inlineStr">
        <is>
          <t>1119249556</t>
        </is>
      </c>
      <c r="C124" t="inlineStr">
        <is>
          <t>VT PDRN ESSENCE 100 / Укрепляющая бустер-эссенция с ПДР</t>
        </is>
      </c>
      <c r="D124" t="n">
        <v>1260</v>
      </c>
      <c r="E124" t="n">
        <v>0</v>
      </c>
      <c r="F124" t="n">
        <v>0</v>
      </c>
      <c r="G124">
        <f>D124+E124+F124</f>
        <v/>
      </c>
      <c r="H124" t="n">
        <v>0</v>
      </c>
      <c r="I124">
        <f>H124*$N$1</f>
        <v/>
      </c>
      <c r="J124">
        <f>IF(I124=0,"",ROUND(G124/(I124/30),0))</f>
        <v/>
      </c>
    </row>
    <row r="125">
      <c r="A125" t="inlineStr">
        <is>
          <t>VT</t>
        </is>
      </c>
      <c r="B125" t="inlineStr">
        <is>
          <t>1123494802</t>
        </is>
      </c>
      <c r="C125" t="inlineStr">
        <is>
          <t>VT REEDLE SHOT 100 / Бустер-сыворотка с микроиглами</t>
        </is>
      </c>
      <c r="D125" t="n">
        <v>769</v>
      </c>
      <c r="E125" t="n">
        <v>0</v>
      </c>
      <c r="F125" t="n">
        <v>0</v>
      </c>
      <c r="G125">
        <f>D125+E125+F125</f>
        <v/>
      </c>
      <c r="H125" t="n">
        <v>0</v>
      </c>
      <c r="I125">
        <f>H125*$N$1</f>
        <v/>
      </c>
      <c r="J125">
        <f>IF(I125=0,"",ROUND(G125/(I125/30),0))</f>
        <v/>
      </c>
    </row>
    <row r="126">
      <c r="A126" t="inlineStr">
        <is>
          <t>НОВЫЕ</t>
        </is>
      </c>
      <c r="B126" t="inlineStr"/>
      <c r="C126" t="inlineStr">
        <is>
          <t>Осветляющий Крем от пигментации с Транексамовой Кислото</t>
        </is>
      </c>
      <c r="D126" t="n">
        <v>0</v>
      </c>
      <c r="E126" t="n">
        <v>1344</v>
      </c>
      <c r="F126" t="n">
        <v>0</v>
      </c>
      <c r="G126">
        <f>D126+E126+F126</f>
        <v/>
      </c>
      <c r="H126" t="n">
        <v>0</v>
      </c>
      <c r="I126">
        <f>H126*$N$1</f>
        <v/>
      </c>
      <c r="J126">
        <f>IF(I126=0,"",ROUND(G126/(I126/30),0))</f>
        <v/>
      </c>
    </row>
    <row r="127">
      <c r="A127" t="inlineStr">
        <is>
          <t>НОВЫЕ</t>
        </is>
      </c>
      <c r="B127" t="inlineStr"/>
      <c r="C127" t="inlineStr">
        <is>
          <t>Сыворотка для лица от морщин с микроиглами 7500 и пдрн/</t>
        </is>
      </c>
      <c r="D127" t="n">
        <v>0</v>
      </c>
      <c r="E127" t="n">
        <v>400</v>
      </c>
      <c r="F127" t="n">
        <v>0</v>
      </c>
      <c r="G127">
        <f>D127+E127+F127</f>
        <v/>
      </c>
      <c r="H127" t="n">
        <v>0</v>
      </c>
      <c r="I127">
        <f>H127*$N$1</f>
        <v/>
      </c>
      <c r="J127">
        <f>IF(I127=0,"",ROUND(G127/(I127/30),0))</f>
        <v/>
      </c>
    </row>
    <row r="128">
      <c r="A128" t="inlineStr">
        <is>
          <t>НОВЫЕ</t>
        </is>
      </c>
      <c r="B128" t="inlineStr"/>
      <c r="C128" t="inlineStr">
        <is>
          <t>Гель для душа от прыщей с кислотами/PINE CALMING CICA B</t>
        </is>
      </c>
      <c r="D128" t="n">
        <v>0</v>
      </c>
      <c r="E128" t="n">
        <v>400</v>
      </c>
      <c r="F128" t="n">
        <v>0</v>
      </c>
      <c r="G128">
        <f>D128+E128+F128</f>
        <v/>
      </c>
      <c r="H128" t="n">
        <v>0</v>
      </c>
      <c r="I128">
        <f>H128*$N$1</f>
        <v/>
      </c>
      <c r="J128">
        <f>IF(I128=0,"",ROUND(G128/(I128/30),0))</f>
        <v/>
      </c>
    </row>
    <row r="129">
      <c r="A129" t="inlineStr">
        <is>
          <t>НОВЫЕ</t>
        </is>
      </c>
      <c r="B129" t="inlineStr"/>
      <c r="C129" t="inlineStr">
        <is>
          <t xml:space="preserve">1025 DOKDO BUBBLE FOAM_150ml (дозатор ) </t>
        </is>
      </c>
      <c r="D129" t="n">
        <v>0</v>
      </c>
      <c r="E129" t="n">
        <v>600</v>
      </c>
      <c r="F129" t="n">
        <v>0</v>
      </c>
      <c r="G129">
        <f>D129+E129+F129</f>
        <v/>
      </c>
      <c r="H129" t="n">
        <v>0</v>
      </c>
      <c r="I129">
        <f>H129*$N$1</f>
        <v/>
      </c>
      <c r="J129">
        <f>IF(I129=0,"",ROUND(G129/(I129/30),0))</f>
        <v/>
      </c>
    </row>
    <row r="130">
      <c r="A130" t="inlineStr">
        <is>
          <t>НОВЫЕ</t>
        </is>
      </c>
      <c r="B130" t="inlineStr"/>
      <c r="C130" t="inlineStr">
        <is>
          <t>Блеск Плампер для губ VT REEDLE SHOT LIP PLUMPER EXPERT</t>
        </is>
      </c>
      <c r="D130" t="n">
        <v>0</v>
      </c>
      <c r="E130" t="n">
        <v>528</v>
      </c>
      <c r="F130" t="n">
        <v>0</v>
      </c>
      <c r="G130">
        <f>D130+E130+F130</f>
        <v/>
      </c>
      <c r="H130" t="n">
        <v>0</v>
      </c>
      <c r="I130">
        <f>H130*$N$1</f>
        <v/>
      </c>
      <c r="J130">
        <f>IF(I130=0,"",ROUND(G130/(I130/30),0))</f>
        <v/>
      </c>
    </row>
    <row r="131">
      <c r="A131" t="inlineStr">
        <is>
          <t>НОВЫЕ</t>
        </is>
      </c>
      <c r="B131" t="inlineStr"/>
      <c r="C131" t="inlineStr">
        <is>
          <t>CELIMAX THE REAL NONI REFRESH CLAY MASK 120G</t>
        </is>
      </c>
      <c r="D131" t="n">
        <v>0</v>
      </c>
      <c r="E131" t="n">
        <v>408</v>
      </c>
      <c r="F131" t="n">
        <v>0</v>
      </c>
      <c r="G131">
        <f>D131+E131+F131</f>
        <v/>
      </c>
      <c r="H131" t="n">
        <v>0</v>
      </c>
      <c r="I131">
        <f>H131*$N$1</f>
        <v/>
      </c>
      <c r="J131">
        <f>IF(I131=0,"",ROUND(G131/(I131/30),0))</f>
        <v/>
      </c>
    </row>
    <row r="132">
      <c r="A132" t="inlineStr">
        <is>
          <t>НОВЫЕ</t>
        </is>
      </c>
      <c r="B132" t="inlineStr"/>
      <c r="C132" t="inlineStr">
        <is>
          <t xml:space="preserve">CELIMAX DUAL BARRIER MILD GEL CLEANSER 200ML(дозатор) </t>
        </is>
      </c>
      <c r="D132" t="n">
        <v>0</v>
      </c>
      <c r="E132" t="n">
        <v>288</v>
      </c>
      <c r="F132" t="n">
        <v>0</v>
      </c>
      <c r="G132">
        <f>D132+E132+F132</f>
        <v/>
      </c>
      <c r="H132" t="n">
        <v>0</v>
      </c>
      <c r="I132">
        <f>H132*$N$1</f>
        <v/>
      </c>
      <c r="J132">
        <f>IF(I132=0,"",ROUND(G132/(I132/30),0))</f>
        <v/>
      </c>
    </row>
    <row r="133">
      <c r="A133" t="inlineStr">
        <is>
          <t>НОВЫЕ</t>
        </is>
      </c>
      <c r="B133" t="inlineStr"/>
      <c r="C133" t="inlineStr">
        <is>
          <t>Тонер  для лица увлажняющий от прыщей Корея/EXOSOME CIC</t>
        </is>
      </c>
      <c r="D133" t="n">
        <v>0</v>
      </c>
      <c r="E133" t="n">
        <v>240</v>
      </c>
      <c r="F133" t="n">
        <v>0</v>
      </c>
      <c r="G133">
        <f>D133+E133+F133</f>
        <v/>
      </c>
      <c r="H133" t="n">
        <v>0</v>
      </c>
      <c r="I133">
        <f>H133*$N$1</f>
        <v/>
      </c>
      <c r="J133">
        <f>IF(I133=0,"",ROUND(G133/(I133/30),0))</f>
        <v/>
      </c>
    </row>
    <row r="134">
      <c r="A134" t="inlineStr">
        <is>
          <t>НОВЫЕ</t>
        </is>
      </c>
      <c r="B134" t="inlineStr"/>
      <c r="C134" t="inlineStr">
        <is>
          <t>CELIMAX PORE+DARK SPOT BRIGHTENING KIT</t>
        </is>
      </c>
      <c r="D134" t="n">
        <v>0</v>
      </c>
      <c r="E134" t="n">
        <v>576</v>
      </c>
      <c r="F134" t="n">
        <v>0</v>
      </c>
      <c r="G134">
        <f>D134+E134+F134</f>
        <v/>
      </c>
      <c r="H134" t="n">
        <v>0</v>
      </c>
      <c r="I134">
        <f>H134*$N$1</f>
        <v/>
      </c>
      <c r="J134">
        <f>IF(I134=0,"",ROUND(G134/(I134/30),0))</f>
        <v/>
      </c>
    </row>
    <row r="135">
      <c r="A135" t="inlineStr">
        <is>
          <t>НОВЫЕ</t>
        </is>
      </c>
      <c r="B135" t="inlineStr"/>
      <c r="C135" t="inlineStr">
        <is>
          <t>BIFIDA BIOME AMPOULE TONER 210 мл</t>
        </is>
      </c>
      <c r="D135" t="n">
        <v>0</v>
      </c>
      <c r="E135" t="n">
        <v>1200</v>
      </c>
      <c r="F135" t="n">
        <v>0</v>
      </c>
      <c r="G135">
        <f>D135+E135+F135</f>
        <v/>
      </c>
      <c r="H135" t="n">
        <v>0</v>
      </c>
      <c r="I135">
        <f>H135*$N$1</f>
        <v/>
      </c>
      <c r="J135">
        <f>IF(I135=0,"",ROUND(G135/(I135/30),0))</f>
        <v/>
      </c>
    </row>
    <row r="136">
      <c r="A136" t="inlineStr">
        <is>
          <t>НОВЫЕ</t>
        </is>
      </c>
      <c r="B136" t="inlineStr"/>
      <c r="C136" t="inlineStr">
        <is>
          <t>SKIN1004 Madagascar Centella Soothing Cream 75ml</t>
        </is>
      </c>
      <c r="D136" t="n">
        <v>0</v>
      </c>
      <c r="E136" t="n">
        <v>920</v>
      </c>
      <c r="F136" t="n">
        <v>0</v>
      </c>
      <c r="G136">
        <f>D136+E136+F136</f>
        <v/>
      </c>
      <c r="H136" t="n">
        <v>0</v>
      </c>
      <c r="I136">
        <f>H136*$N$1</f>
        <v/>
      </c>
      <c r="J136">
        <f>IF(I136=0,"",ROUND(G136/(I136/30),0))</f>
        <v/>
      </c>
    </row>
    <row r="137">
      <c r="A137" t="inlineStr">
        <is>
          <t>НОВЫЕ</t>
        </is>
      </c>
      <c r="B137" t="inlineStr"/>
      <c r="C137" t="inlineStr">
        <is>
          <t>CELIMAX OIL CONTROL MOISTURIZING CREAM 80ML</t>
        </is>
      </c>
      <c r="D137" t="n">
        <v>0</v>
      </c>
      <c r="E137" t="n">
        <v>600</v>
      </c>
      <c r="F137" t="n">
        <v>0</v>
      </c>
      <c r="G137">
        <f>D137+E137+F137</f>
        <v/>
      </c>
      <c r="H137" t="n">
        <v>0</v>
      </c>
      <c r="I137">
        <f>H137*$N$1</f>
        <v/>
      </c>
      <c r="J137">
        <f>IF(I137=0,"",ROUND(G137/(I137/30),0))</f>
        <v/>
      </c>
    </row>
    <row r="138">
      <c r="A138" t="inlineStr">
        <is>
          <t>НОВЫЕ</t>
        </is>
      </c>
      <c r="B138" t="inlineStr"/>
      <c r="C138" t="inlineStr">
        <is>
          <t xml:space="preserve">Сыворотка с пептидами Матриксил 15% от морщин/ </t>
        </is>
      </c>
      <c r="D138" t="n">
        <v>0</v>
      </c>
      <c r="E138" t="n">
        <v>420</v>
      </c>
      <c r="F138" t="n">
        <v>0</v>
      </c>
      <c r="G138">
        <f>D138+E138+F138</f>
        <v/>
      </c>
      <c r="H138" t="n">
        <v>0</v>
      </c>
      <c r="I138">
        <f>H138*$N$1</f>
        <v/>
      </c>
      <c r="J138">
        <f>IF(I138=0,"",ROUND(G138/(I138/30),0))</f>
        <v/>
      </c>
    </row>
    <row r="139">
      <c r="A139" t="inlineStr">
        <is>
          <t>НОВЫЕ</t>
        </is>
      </c>
      <c r="B139" t="inlineStr"/>
      <c r="C139" t="inlineStr">
        <is>
          <t>Увлажняющий тонер-эссенция для лица с аденозином 7500 p</t>
        </is>
      </c>
      <c r="D139" t="n">
        <v>0</v>
      </c>
      <c r="E139" t="n">
        <v>400</v>
      </c>
      <c r="F139" t="n">
        <v>0</v>
      </c>
      <c r="G139">
        <f>D139+E139+F139</f>
        <v/>
      </c>
      <c r="H139" t="n">
        <v>0</v>
      </c>
      <c r="I139">
        <f>H139*$N$1</f>
        <v/>
      </c>
      <c r="J139">
        <f>IF(I139=0,"",ROUND(G139/(I139/30),0))</f>
        <v/>
      </c>
    </row>
    <row r="140">
      <c r="A140" t="inlineStr">
        <is>
          <t>НОВЫЕ</t>
        </is>
      </c>
      <c r="B140" t="inlineStr"/>
      <c r="C140" t="inlineStr">
        <is>
          <t>DEOPROCE SHAMPOO - BLACK GARLIC INTENSME ENERGY [1000ml</t>
        </is>
      </c>
      <c r="D140" t="n">
        <v>0</v>
      </c>
      <c r="E140" t="n">
        <v>2000</v>
      </c>
      <c r="F140" t="n">
        <v>0</v>
      </c>
      <c r="G140">
        <f>D140+E140+F140</f>
        <v/>
      </c>
      <c r="H140" t="n">
        <v>0</v>
      </c>
      <c r="I140">
        <f>H140*$N$1</f>
        <v/>
      </c>
      <c r="J140">
        <f>IF(I140=0,"",ROUND(G140/(I140/30),0))</f>
        <v/>
      </c>
    </row>
    <row r="141">
      <c r="A141" t="inlineStr">
        <is>
          <t>НОВЫЕ</t>
        </is>
      </c>
      <c r="B141" t="inlineStr"/>
      <c r="C141" t="inlineStr">
        <is>
          <t>Пенка для умыванияCELIMAX THE REAL NONI ACNE BUBBLE CLE</t>
        </is>
      </c>
      <c r="D141" t="n">
        <v>0</v>
      </c>
      <c r="E141" t="n">
        <v>312</v>
      </c>
      <c r="F141" t="n">
        <v>0</v>
      </c>
      <c r="G141">
        <f>D141+E141+F141</f>
        <v/>
      </c>
      <c r="H141" t="n">
        <v>0</v>
      </c>
      <c r="I141">
        <f>H141*$N$1</f>
        <v/>
      </c>
      <c r="J141">
        <f>IF(I141=0,"",ROUND(G141/(I141/30),0))</f>
        <v/>
      </c>
    </row>
    <row r="142">
      <c r="A142" t="inlineStr">
        <is>
          <t>НОВЫЕ</t>
        </is>
      </c>
      <c r="B142" t="inlineStr"/>
      <c r="C142" t="inlineStr">
        <is>
          <t>Сыворотка-лифтинг с ПДРН и пептидами Medicube, 30 мл/PD</t>
        </is>
      </c>
      <c r="D142" t="n">
        <v>0</v>
      </c>
      <c r="E142" t="n">
        <v>320</v>
      </c>
      <c r="F142" t="n">
        <v>0</v>
      </c>
      <c r="G142">
        <f>D142+E142+F142</f>
        <v/>
      </c>
      <c r="H142" t="n">
        <v>0</v>
      </c>
      <c r="I142">
        <f>H142*$N$1</f>
        <v/>
      </c>
      <c r="J142">
        <f>IF(I142=0,"",ROUND(G142/(I142/30),0))</f>
        <v/>
      </c>
    </row>
    <row r="143">
      <c r="A143" t="inlineStr">
        <is>
          <t>НОВЫЕ</t>
        </is>
      </c>
      <c r="B143" t="inlineStr"/>
      <c r="C143" t="inlineStr">
        <is>
          <t>SKIN1004 Madagascar Centella Ampoule 55ml</t>
        </is>
      </c>
      <c r="D143" t="n">
        <v>0</v>
      </c>
      <c r="E143" t="n">
        <v>1500</v>
      </c>
      <c r="F143" t="n">
        <v>0</v>
      </c>
      <c r="G143">
        <f>D143+E143+F143</f>
        <v/>
      </c>
      <c r="H143" t="n">
        <v>0</v>
      </c>
      <c r="I143">
        <f>H143*$N$1</f>
        <v/>
      </c>
      <c r="J143">
        <f>IF(I143=0,"",ROUND(G143/(I143/30),0))</f>
        <v/>
      </c>
    </row>
    <row r="144">
      <c r="A144" t="inlineStr">
        <is>
          <t>НОВЫЕ</t>
        </is>
      </c>
      <c r="B144" t="inlineStr"/>
      <c r="C144" t="inlineStr">
        <is>
          <t>Пенка очищающая для лица от прыщей с сосной и кислотами</t>
        </is>
      </c>
      <c r="D144" t="n">
        <v>0</v>
      </c>
      <c r="E144" t="n">
        <v>600</v>
      </c>
      <c r="F144" t="n">
        <v>0</v>
      </c>
      <c r="G144">
        <f>D144+E144+F144</f>
        <v/>
      </c>
      <c r="H144" t="n">
        <v>0</v>
      </c>
      <c r="I144">
        <f>H144*$N$1</f>
        <v/>
      </c>
      <c r="J144">
        <f>IF(I144=0,"",ROUND(G144/(I144/30),0))</f>
        <v/>
      </c>
    </row>
    <row r="145">
      <c r="A145" t="inlineStr">
        <is>
          <t>НОВЫЕ</t>
        </is>
      </c>
      <c r="B145" t="inlineStr"/>
      <c r="C145" t="inlineStr">
        <is>
          <t>1025 DOKDO CREAM_80ml</t>
        </is>
      </c>
      <c r="D145" t="n">
        <v>0</v>
      </c>
      <c r="E145" t="n">
        <v>160</v>
      </c>
      <c r="F145" t="n">
        <v>0</v>
      </c>
      <c r="G145">
        <f>D145+E145+F145</f>
        <v/>
      </c>
      <c r="H145" t="n">
        <v>0</v>
      </c>
      <c r="I145">
        <f>H145*$N$1</f>
        <v/>
      </c>
      <c r="J145">
        <f>IF(I145=0,"",ROUND(G145/(I145/30),0))</f>
        <v/>
      </c>
    </row>
    <row r="146">
      <c r="A146" t="inlineStr">
        <is>
          <t>НОВЫЕ</t>
        </is>
      </c>
      <c r="B146" t="inlineStr"/>
      <c r="C146" t="inlineStr">
        <is>
          <t>CELIMAX THE REAL NONI CALMING GLOW PAD 50PADS,</t>
        </is>
      </c>
      <c r="D146" t="n">
        <v>0</v>
      </c>
      <c r="E146" t="n">
        <v>984</v>
      </c>
      <c r="F146" t="n">
        <v>0</v>
      </c>
      <c r="G146">
        <f>D146+E146+F146</f>
        <v/>
      </c>
      <c r="H146" t="n">
        <v>0</v>
      </c>
      <c r="I146">
        <f>H146*$N$1</f>
        <v/>
      </c>
      <c r="J146">
        <f>IF(I146=0,"",ROUND(G146/(I146/30),0))</f>
        <v/>
      </c>
    </row>
    <row r="147">
      <c r="A147" t="inlineStr">
        <is>
          <t>НОВЫЕ</t>
        </is>
      </c>
      <c r="B147" t="inlineStr"/>
      <c r="C147" t="inlineStr">
        <is>
          <t>VT REEDLE SHOT LIFTING EYE CREAM</t>
        </is>
      </c>
      <c r="D147" t="n">
        <v>0</v>
      </c>
      <c r="E147" t="n">
        <v>1056</v>
      </c>
      <c r="F147" t="n">
        <v>0</v>
      </c>
      <c r="G147">
        <f>D147+E147+F147</f>
        <v/>
      </c>
      <c r="H147" t="n">
        <v>0</v>
      </c>
      <c r="I147">
        <f>H147*$N$1</f>
        <v/>
      </c>
      <c r="J147">
        <f>IF(I147=0,"",ROUND(G147/(I147/30),0))</f>
        <v/>
      </c>
    </row>
    <row r="148">
      <c r="A148" t="inlineStr">
        <is>
          <t>НОВЫЕ</t>
        </is>
      </c>
      <c r="B148" t="inlineStr"/>
      <c r="C148" t="inlineStr">
        <is>
          <t>Сыворотка для лица от морщин с микроиглами 2000 и пдрн/</t>
        </is>
      </c>
      <c r="D148" t="n">
        <v>0</v>
      </c>
      <c r="E148" t="n">
        <v>300</v>
      </c>
      <c r="F148" t="n">
        <v>0</v>
      </c>
      <c r="G148">
        <f>D148+E148+F148</f>
        <v/>
      </c>
      <c r="H148" t="n">
        <v>0</v>
      </c>
      <c r="I148">
        <f>H148*$N$1</f>
        <v/>
      </c>
      <c r="J148">
        <f>IF(I148=0,"",ROUND(G148/(I148/30),0))</f>
        <v/>
      </c>
    </row>
    <row r="149">
      <c r="A149" t="inlineStr">
        <is>
          <t>НОВЫЕ</t>
        </is>
      </c>
      <c r="B149" t="inlineStr"/>
      <c r="C149" t="inlineStr">
        <is>
          <t xml:space="preserve">CELIMAX DERMA NATURE RELIEF MADECICA PH BALANCING FOAM </t>
        </is>
      </c>
      <c r="D149" t="n">
        <v>0</v>
      </c>
      <c r="E149" t="n">
        <v>320</v>
      </c>
      <c r="F149" t="n">
        <v>0</v>
      </c>
      <c r="G149">
        <f>D149+E149+F149</f>
        <v/>
      </c>
      <c r="H149" t="n">
        <v>0</v>
      </c>
      <c r="I149">
        <f>H149*$N$1</f>
        <v/>
      </c>
      <c r="J149">
        <f>IF(I149=0,"",ROUND(G149/(I149/30),0))</f>
        <v/>
      </c>
    </row>
    <row r="150">
      <c r="A150" t="inlineStr">
        <is>
          <t>НОВЫЕ</t>
        </is>
      </c>
      <c r="B150" t="inlineStr"/>
      <c r="C150" t="inlineStr">
        <is>
          <t xml:space="preserve">Интенсивная антивозрастная сыворотка для лица PDRN 4%, </t>
        </is>
      </c>
      <c r="D150" t="n">
        <v>0</v>
      </c>
      <c r="E150" t="n">
        <v>1530</v>
      </c>
      <c r="F150" t="n">
        <v>0</v>
      </c>
      <c r="G150">
        <f>D150+E150+F150</f>
        <v/>
      </c>
      <c r="H150" t="n">
        <v>0</v>
      </c>
      <c r="I150">
        <f>H150*$N$1</f>
        <v/>
      </c>
      <c r="J150">
        <f>IF(I150=0,"",ROUND(G150/(I150/30),0))</f>
        <v/>
      </c>
    </row>
    <row r="151">
      <c r="A151" t="inlineStr">
        <is>
          <t>НОВЫЕ</t>
        </is>
      </c>
      <c r="B151" t="inlineStr"/>
      <c r="C151" t="inlineStr">
        <is>
          <t>Сыворотка для лица осветляющая от пигментации/[Derma Fa</t>
        </is>
      </c>
      <c r="D151" t="n">
        <v>0</v>
      </c>
      <c r="E151" t="n">
        <v>1200</v>
      </c>
      <c r="F151" t="n">
        <v>0</v>
      </c>
      <c r="G151">
        <f>D151+E151+F151</f>
        <v/>
      </c>
      <c r="H151" t="n">
        <v>0</v>
      </c>
      <c r="I151">
        <f>H151*$N$1</f>
        <v/>
      </c>
      <c r="J151">
        <f>IF(I151=0,"",ROUND(G151/(I151/30),0))</f>
        <v/>
      </c>
    </row>
    <row r="152">
      <c r="A152" t="inlineStr">
        <is>
          <t>НОВЫЕ</t>
        </is>
      </c>
      <c r="B152" t="inlineStr"/>
      <c r="C152" t="inlineStr">
        <is>
          <t>SOYBEAN SERUM_50ml/Сыворотка для лица увлажняющая от мо</t>
        </is>
      </c>
      <c r="D152" t="n">
        <v>0</v>
      </c>
      <c r="E152" t="n">
        <v>210</v>
      </c>
      <c r="F152" t="n">
        <v>0</v>
      </c>
      <c r="G152">
        <f>D152+E152+F152</f>
        <v/>
      </c>
      <c r="H152" t="n">
        <v>0</v>
      </c>
      <c r="I152">
        <f>H152*$N$1</f>
        <v/>
      </c>
      <c r="J152">
        <f>IF(I152=0,"",ROUND(G152/(I152/30),0))</f>
        <v/>
      </c>
    </row>
    <row r="153">
      <c r="A153" t="inlineStr">
        <is>
          <t>НОВЫЕ</t>
        </is>
      </c>
      <c r="B153" t="inlineStr"/>
      <c r="C153" t="inlineStr">
        <is>
          <t>CELIMAX OIL CONTROL CAPSULE ESSENCE 30ML</t>
        </is>
      </c>
      <c r="D153" t="n">
        <v>0</v>
      </c>
      <c r="E153" t="n">
        <v>420</v>
      </c>
      <c r="F153" t="n">
        <v>0</v>
      </c>
      <c r="G153">
        <f>D153+E153+F153</f>
        <v/>
      </c>
      <c r="H153" t="n">
        <v>0</v>
      </c>
      <c r="I153">
        <f>H153*$N$1</f>
        <v/>
      </c>
      <c r="J153">
        <f>IF(I153=0,"",ROUND(G153/(I153/30),0))</f>
        <v/>
      </c>
    </row>
    <row r="154">
      <c r="A154" t="inlineStr">
        <is>
          <t>НОВЫЕ</t>
        </is>
      </c>
      <c r="B154" t="inlineStr"/>
      <c r="C154" t="inlineStr">
        <is>
          <t>ROUND LAB CAMELLIA DEEP COLLAGEN FIRMING CREAM_50ml</t>
        </is>
      </c>
      <c r="D154" t="n">
        <v>0</v>
      </c>
      <c r="E154" t="n">
        <v>400</v>
      </c>
      <c r="F154" t="n">
        <v>0</v>
      </c>
      <c r="G154">
        <f>D154+E154+F154</f>
        <v/>
      </c>
      <c r="H154" t="n">
        <v>0</v>
      </c>
      <c r="I154">
        <f>H154*$N$1</f>
        <v/>
      </c>
      <c r="J154">
        <f>IF(I154=0,"",ROUND(G154/(I154/30),0))</f>
        <v/>
      </c>
    </row>
    <row r="155">
      <c r="A155" t="inlineStr">
        <is>
          <t>НОВЫЕ</t>
        </is>
      </c>
      <c r="B155" t="inlineStr"/>
      <c r="C155" t="inlineStr">
        <is>
          <t>CELIMAX JI WOO GAE ONE STEP MILD CLEANSING PAD 60PADS</t>
        </is>
      </c>
      <c r="D155" t="n">
        <v>0</v>
      </c>
      <c r="E155" t="n">
        <v>352</v>
      </c>
      <c r="F155" t="n">
        <v>0</v>
      </c>
      <c r="G155">
        <f>D155+E155+F155</f>
        <v/>
      </c>
      <c r="H155" t="n">
        <v>0</v>
      </c>
      <c r="I155">
        <f>H155*$N$1</f>
        <v/>
      </c>
      <c r="J155">
        <f>IF(I155=0,"",ROUND(G155/(I155/30),0))</f>
        <v/>
      </c>
    </row>
    <row r="156">
      <c r="A156" t="inlineStr">
        <is>
          <t>НОВЫЕ</t>
        </is>
      </c>
      <c r="B156" t="inlineStr"/>
      <c r="C156" t="inlineStr">
        <is>
          <t>CELIMAX THE REAL CICA NIACINAMIDE AC CALMING SERUM 40ML</t>
        </is>
      </c>
      <c r="D156" t="n">
        <v>0</v>
      </c>
      <c r="E156" t="n">
        <v>864</v>
      </c>
      <c r="F156" t="n">
        <v>0</v>
      </c>
      <c r="G156">
        <f>D156+E156+F156</f>
        <v/>
      </c>
      <c r="H156" t="n">
        <v>0</v>
      </c>
      <c r="I156">
        <f>H156*$N$1</f>
        <v/>
      </c>
      <c r="J156">
        <f>IF(I156=0,"",ROUND(G156/(I156/30),0))</f>
        <v/>
      </c>
    </row>
    <row r="157">
      <c r="A157" t="inlineStr">
        <is>
          <t>НОВЫЕ</t>
        </is>
      </c>
      <c r="B157" t="inlineStr"/>
      <c r="C157" t="inlineStr">
        <is>
          <t>Крем для лица c Бакучиолом и Микроиглами от морщин/ Bak</t>
        </is>
      </c>
      <c r="D157" t="n">
        <v>0</v>
      </c>
      <c r="E157" t="n">
        <v>480</v>
      </c>
      <c r="F157" t="n">
        <v>0</v>
      </c>
      <c r="G157">
        <f>D157+E157+F157</f>
        <v/>
      </c>
      <c r="H157" t="n">
        <v>0</v>
      </c>
      <c r="I157">
        <f>H157*$N$1</f>
        <v/>
      </c>
      <c r="J157">
        <f>IF(I157=0,"",ROUND(G157/(I157/30),0))</f>
        <v/>
      </c>
    </row>
    <row r="158">
      <c r="A158" t="inlineStr">
        <is>
          <t>НОВЫЕ</t>
        </is>
      </c>
      <c r="B158" t="inlineStr"/>
      <c r="C158" t="inlineStr">
        <is>
          <t>CELIMAX JI WOO GAE CICA BHA ACNE FOAM CLEANSING 150ML</t>
        </is>
      </c>
      <c r="D158" t="n">
        <v>0</v>
      </c>
      <c r="E158" t="n">
        <v>480</v>
      </c>
      <c r="F158" t="n">
        <v>0</v>
      </c>
      <c r="G158">
        <f>D158+E158+F158</f>
        <v/>
      </c>
      <c r="H158" t="n">
        <v>0</v>
      </c>
      <c r="I158">
        <f>H158*$N$1</f>
        <v/>
      </c>
      <c r="J158">
        <f>IF(I158=0,"",ROUND(G158/(I158/30),0))</f>
        <v/>
      </c>
    </row>
    <row r="159">
      <c r="A159" t="inlineStr">
        <is>
          <t>НОВЫЕ</t>
        </is>
      </c>
      <c r="B159" t="inlineStr"/>
      <c r="C159" t="inlineStr">
        <is>
          <t>CELIMAX THE REAL CICA SOOTHING CREAM 50ML</t>
        </is>
      </c>
      <c r="D159" t="n">
        <v>0</v>
      </c>
      <c r="E159" t="n">
        <v>1200</v>
      </c>
      <c r="F159" t="n">
        <v>0</v>
      </c>
      <c r="G159">
        <f>D159+E159+F159</f>
        <v/>
      </c>
      <c r="H159" t="n">
        <v>0</v>
      </c>
      <c r="I159">
        <f>H159*$N$1</f>
        <v/>
      </c>
      <c r="J159">
        <f>IF(I159=0,"",ROUND(G159/(I159/30),0))</f>
        <v/>
      </c>
    </row>
    <row r="160">
      <c r="A160" t="inlineStr">
        <is>
          <t>НОВЫЕ</t>
        </is>
      </c>
      <c r="B160" t="inlineStr"/>
      <c r="C160" t="inlineStr">
        <is>
          <t>Крем для лица укрепляющий с ретиналем 300ppm/[Derma Fac</t>
        </is>
      </c>
      <c r="D160" t="n">
        <v>0</v>
      </c>
      <c r="E160" t="n">
        <v>1248</v>
      </c>
      <c r="F160" t="n">
        <v>0</v>
      </c>
      <c r="G160">
        <f>D160+E160+F160</f>
        <v/>
      </c>
      <c r="H160" t="n">
        <v>0</v>
      </c>
      <c r="I160">
        <f>H160*$N$1</f>
        <v/>
      </c>
      <c r="J160">
        <f>IF(I160=0,"",ROUND(G160/(I160/30),0))</f>
        <v/>
      </c>
    </row>
    <row r="161">
      <c r="A161" t="inlineStr">
        <is>
          <t>НОВЫЕ</t>
        </is>
      </c>
      <c r="B161" t="inlineStr"/>
      <c r="C161" t="inlineStr">
        <is>
          <t>Крем для лица увлажняющий для проблемной кожи с сосной/</t>
        </is>
      </c>
      <c r="D161" t="n">
        <v>0</v>
      </c>
      <c r="E161" t="n">
        <v>240</v>
      </c>
      <c r="F161" t="n">
        <v>0</v>
      </c>
      <c r="G161">
        <f>D161+E161+F161</f>
        <v/>
      </c>
      <c r="H161" t="n">
        <v>0</v>
      </c>
      <c r="I161">
        <f>H161*$N$1</f>
        <v/>
      </c>
      <c r="J161">
        <f>IF(I161=0,"",ROUND(G161/(I161/30),0))</f>
        <v/>
      </c>
    </row>
    <row r="162">
      <c r="A162" t="inlineStr">
        <is>
          <t>НОВЫЕ</t>
        </is>
      </c>
      <c r="B162" t="inlineStr"/>
      <c r="C162" t="inlineStr">
        <is>
          <t>DEOPROCE SHAMPOO - ARGAN SILKY MOISTURE</t>
        </is>
      </c>
      <c r="D162" t="n">
        <v>0</v>
      </c>
      <c r="E162" t="n">
        <v>1000</v>
      </c>
      <c r="F162" t="n">
        <v>0</v>
      </c>
      <c r="G162">
        <f>D162+E162+F162</f>
        <v/>
      </c>
      <c r="H162" t="n">
        <v>0</v>
      </c>
      <c r="I162">
        <f>H162*$N$1</f>
        <v/>
      </c>
      <c r="J162">
        <f>IF(I162=0,"",ROUND(G162/(I162/30),0))</f>
        <v/>
      </c>
    </row>
    <row r="163">
      <c r="A163" t="inlineStr">
        <is>
          <t>НОВЫЕ</t>
        </is>
      </c>
      <c r="B163" t="inlineStr"/>
      <c r="C163" t="inlineStr">
        <is>
          <t>CELIMAX DERMA NATURE GLUTATHIONE LONGLASTING TONE-UP CR</t>
        </is>
      </c>
      <c r="D163" t="n">
        <v>0</v>
      </c>
      <c r="E163" t="n">
        <v>468</v>
      </c>
      <c r="F163" t="n">
        <v>0</v>
      </c>
      <c r="G163">
        <f>D163+E163+F163</f>
        <v/>
      </c>
      <c r="H163" t="n">
        <v>0</v>
      </c>
      <c r="I163">
        <f>H163*$N$1</f>
        <v/>
      </c>
      <c r="J163">
        <f>IF(I163=0,"",ROUND(G163/(I163/30),0))</f>
        <v/>
      </c>
    </row>
    <row r="164">
      <c r="A164" t="inlineStr">
        <is>
          <t>НОВЫЕ</t>
        </is>
      </c>
      <c r="B164" t="inlineStr"/>
      <c r="C164" t="inlineStr">
        <is>
          <t>капсульный крем для лица /TXA NIACINAMIDE CAPSULE CREAM</t>
        </is>
      </c>
      <c r="D164" t="n">
        <v>0</v>
      </c>
      <c r="E164" t="n">
        <v>240</v>
      </c>
      <c r="F164" t="n">
        <v>0</v>
      </c>
      <c r="G164">
        <f>D164+E164+F164</f>
        <v/>
      </c>
      <c r="H164" t="n">
        <v>0</v>
      </c>
      <c r="I164">
        <f>H164*$N$1</f>
        <v/>
      </c>
      <c r="J164">
        <f>IF(I164=0,"",ROUND(G164/(I164/30),0))</f>
        <v/>
      </c>
    </row>
    <row r="165">
      <c r="A165" t="inlineStr">
        <is>
          <t>НОВЫЕ</t>
        </is>
      </c>
      <c r="B165" t="inlineStr"/>
      <c r="C165" t="inlineStr">
        <is>
          <t>CELIMAX ONE STEP BODY BRIGHTENING PAD 60PADS</t>
        </is>
      </c>
      <c r="D165" t="n">
        <v>0</v>
      </c>
      <c r="E165" t="n">
        <v>528</v>
      </c>
      <c r="F165" t="n">
        <v>0</v>
      </c>
      <c r="G165">
        <f>D165+E165+F165</f>
        <v/>
      </c>
      <c r="H165" t="n">
        <v>0</v>
      </c>
      <c r="I165">
        <f>H165*$N$1</f>
        <v/>
      </c>
      <c r="J165">
        <f>IF(I165=0,"",ROUND(G165/(I165/30),0))</f>
        <v/>
      </c>
    </row>
    <row r="166">
      <c r="A166" t="inlineStr">
        <is>
          <t>НОВЫЕ</t>
        </is>
      </c>
      <c r="B166" t="inlineStr"/>
      <c r="C166" t="inlineStr">
        <is>
          <t xml:space="preserve">ROUND LAB STICK POUCH KIT(Набор саше миниатюр для лица </t>
        </is>
      </c>
      <c r="D166" t="n">
        <v>0</v>
      </c>
      <c r="E166" t="n">
        <v>300</v>
      </c>
      <c r="F166" t="n">
        <v>0</v>
      </c>
      <c r="G166">
        <f>D166+E166+F166</f>
        <v/>
      </c>
      <c r="H166" t="n">
        <v>0</v>
      </c>
      <c r="I166">
        <f>H166*$N$1</f>
        <v/>
      </c>
      <c r="J166">
        <f>IF(I166=0,"",ROUND(G166/(I166/30),0))</f>
        <v/>
      </c>
    </row>
    <row r="167">
      <c r="A167" t="inlineStr">
        <is>
          <t>НОВЫЕ</t>
        </is>
      </c>
      <c r="B167" t="inlineStr"/>
      <c r="C167" t="inlineStr">
        <is>
          <t>Крем для лица увлажняющий капсульный /PDRN PINK COLLAGE</t>
        </is>
      </c>
      <c r="D167" t="n">
        <v>0</v>
      </c>
      <c r="E167" t="n">
        <v>160</v>
      </c>
      <c r="F167" t="n">
        <v>0</v>
      </c>
      <c r="G167">
        <f>D167+E167+F167</f>
        <v/>
      </c>
      <c r="H167" t="n">
        <v>0</v>
      </c>
      <c r="I167">
        <f>H167*$N$1</f>
        <v/>
      </c>
      <c r="J167">
        <f>IF(I167=0,"",ROUND(G167/(I167/30),0))</f>
        <v/>
      </c>
    </row>
    <row r="168">
      <c r="A168" t="inlineStr">
        <is>
          <t>НОВЫЕ</t>
        </is>
      </c>
      <c r="B168" t="inlineStr"/>
      <c r="C168" t="inlineStr">
        <is>
          <t>PDRN PINK HYALURONIC MOISTURIZING CREAM 50ml</t>
        </is>
      </c>
      <c r="D168" t="n">
        <v>0</v>
      </c>
      <c r="E168" t="n">
        <v>200</v>
      </c>
      <c r="F168" t="n">
        <v>0</v>
      </c>
      <c r="G168">
        <f>D168+E168+F168</f>
        <v/>
      </c>
      <c r="H168" t="n">
        <v>0</v>
      </c>
      <c r="I168">
        <f>H168*$N$1</f>
        <v/>
      </c>
      <c r="J168">
        <f>IF(I168=0,"",ROUND(G168/(I168/30),0))</f>
        <v/>
      </c>
    </row>
    <row r="169">
      <c r="A169" t="inlineStr">
        <is>
          <t>НОВЫЕ</t>
        </is>
      </c>
      <c r="B169" t="inlineStr"/>
      <c r="C169" t="inlineStr">
        <is>
          <t>Антивозрастная сыворотка-стик для лица с волюфилином</t>
        </is>
      </c>
      <c r="D169" t="n">
        <v>0</v>
      </c>
      <c r="E169" t="n">
        <v>1053</v>
      </c>
      <c r="F169" t="n">
        <v>0</v>
      </c>
      <c r="G169">
        <f>D169+E169+F169</f>
        <v/>
      </c>
      <c r="H169" t="n">
        <v>0</v>
      </c>
      <c r="I169">
        <f>H169*$N$1</f>
        <v/>
      </c>
      <c r="J169">
        <f>IF(I169=0,"",ROUND(G169/(I169/30),0))</f>
        <v/>
      </c>
    </row>
    <row r="170">
      <c r="A170" t="inlineStr">
        <is>
          <t>НОВЫЕ</t>
        </is>
      </c>
      <c r="B170" t="inlineStr"/>
      <c r="C170" t="inlineStr">
        <is>
          <t>SKIN1004 Madagascar Centella Tone Brightening Capsule A</t>
        </is>
      </c>
      <c r="D170" t="n">
        <v>0</v>
      </c>
      <c r="E170" t="n">
        <v>900</v>
      </c>
      <c r="F170" t="n">
        <v>0</v>
      </c>
      <c r="G170">
        <f>D170+E170+F170</f>
        <v/>
      </c>
      <c r="H170" t="n">
        <v>0</v>
      </c>
      <c r="I170">
        <f>H170*$N$1</f>
        <v/>
      </c>
      <c r="J170">
        <f>IF(I170=0,"",ROUND(G170/(I170/30),0))</f>
        <v/>
      </c>
    </row>
    <row r="171">
      <c r="A171" t="inlineStr">
        <is>
          <t>НОВЫЕ</t>
        </is>
      </c>
      <c r="B171" t="inlineStr"/>
      <c r="C171" t="inlineStr">
        <is>
          <t>CELIMAX THE REAL NONI ENERGY REPAIR CREAM 50ML</t>
        </is>
      </c>
      <c r="D171" t="n">
        <v>0</v>
      </c>
      <c r="E171" t="n">
        <v>720</v>
      </c>
      <c r="F171" t="n">
        <v>0</v>
      </c>
      <c r="G171">
        <f>D171+E171+F171</f>
        <v/>
      </c>
      <c r="H171" t="n">
        <v>0</v>
      </c>
      <c r="I171">
        <f>H171*$N$1</f>
        <v/>
      </c>
      <c r="J171">
        <f>IF(I171=0,"",ROUND(G171/(I171/30),0))</f>
        <v/>
      </c>
    </row>
    <row r="172">
      <c r="A172" t="inlineStr">
        <is>
          <t>НОВЫЕ</t>
        </is>
      </c>
      <c r="B172" t="inlineStr"/>
      <c r="C172" t="inlineStr">
        <is>
          <t>Гидрофильное масло CELIMAX DERMA NATURE FRESH BLACKHEAD</t>
        </is>
      </c>
      <c r="D172" t="n">
        <v>0</v>
      </c>
      <c r="E172" t="n">
        <v>315</v>
      </c>
      <c r="F172" t="n">
        <v>0</v>
      </c>
      <c r="G172">
        <f>D172+E172+F172</f>
        <v/>
      </c>
      <c r="H172" t="n">
        <v>0</v>
      </c>
      <c r="I172">
        <f>H172*$N$1</f>
        <v/>
      </c>
      <c r="J172">
        <f>IF(I172=0,"",ROUND(G172/(I172/30),0))</f>
        <v/>
      </c>
    </row>
    <row r="173">
      <c r="A173" t="inlineStr">
        <is>
          <t>НОВЫЕ</t>
        </is>
      </c>
      <c r="B173" t="inlineStr"/>
      <c r="C173" t="inlineStr">
        <is>
          <t>PINE CALMING CICA PAD_50pcs/Тонер пэды диски для лица о</t>
        </is>
      </c>
      <c r="D173" t="n">
        <v>0</v>
      </c>
      <c r="E173" t="n">
        <v>270</v>
      </c>
      <c r="F173" t="n">
        <v>0</v>
      </c>
      <c r="G173">
        <f>D173+E173+F173</f>
        <v/>
      </c>
      <c r="H173" t="n">
        <v>0</v>
      </c>
      <c r="I173">
        <f>H173*$N$1</f>
        <v/>
      </c>
      <c r="J173">
        <f>IF(I173=0,"",ROUND(G173/(I173/30),0))</f>
        <v/>
      </c>
    </row>
    <row r="174">
      <c r="A174" t="inlineStr">
        <is>
          <t>НОВЫЕ</t>
        </is>
      </c>
      <c r="B174" t="inlineStr"/>
      <c r="C174" t="inlineStr">
        <is>
          <t>Сыворотка с Ниацинамидом для лица от прыщей Niacinamide</t>
        </is>
      </c>
      <c r="D174" t="n">
        <v>0</v>
      </c>
      <c r="E174" t="n">
        <v>1020</v>
      </c>
      <c r="F174" t="n">
        <v>0</v>
      </c>
      <c r="G174">
        <f>D174+E174+F174</f>
        <v/>
      </c>
      <c r="H174" t="n">
        <v>0</v>
      </c>
      <c r="I174">
        <f>H174*$N$1</f>
        <v/>
      </c>
      <c r="J174">
        <f>IF(I174=0,"",ROUND(G174/(I174/30),0))</f>
        <v/>
      </c>
    </row>
    <row r="175">
      <c r="A175" t="inlineStr">
        <is>
          <t>НОВЫЕ</t>
        </is>
      </c>
      <c r="B175" t="inlineStr"/>
      <c r="C175" t="inlineStr">
        <is>
          <t xml:space="preserve">Тонер пэды для лица,60 шт CELIMAX JI WOO GAE HEARTLEAF </t>
        </is>
      </c>
      <c r="D175" t="n">
        <v>0</v>
      </c>
      <c r="E175" t="n">
        <v>1200</v>
      </c>
      <c r="F175" t="n">
        <v>0</v>
      </c>
      <c r="G175">
        <f>D175+E175+F175</f>
        <v/>
      </c>
      <c r="H175" t="n">
        <v>0</v>
      </c>
      <c r="I175">
        <f>H175*$N$1</f>
        <v/>
      </c>
      <c r="J175">
        <f>IF(I175=0,"",ROUND(G175/(I175/30),0))</f>
        <v/>
      </c>
    </row>
  </sheetData>
  <conditionalFormatting sqref="J3:J175">
    <cfRule type="cellIs" priority="1" operator="lessThan" dxfId="0">
      <formula>90</formula>
    </cfRule>
    <cfRule type="cellIs" priority="2" operator="between" dxfId="1">
      <formula>90</formula>
      <formula>150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2026-07-16T03:51:54Z</dcterms:created>
  <dcterms:modified xsi:type="dcterms:W3CDTF">2026-07-16T03:51:54Z</dcterms:modified>
</cp:coreProperties>
</file>
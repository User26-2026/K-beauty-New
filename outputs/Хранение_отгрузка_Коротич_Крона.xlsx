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до конца ноября" sheetId="1" state="visible" r:id="rId1"/>
    <sheet name="Сезонность" sheetId="2" state="visible" r:id="rId2"/>
    <sheet name="Расчёт по месяца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3" fontId="2" fillId="4" borderId="0" pivotButton="0" quotePrefix="0" xfId="0"/>
    <xf numFmtId="3" fontId="2" fillId="5" borderId="0" pivotButton="0" quotePrefix="0" xfId="0"/>
    <xf numFmtId="4" fontId="2" fillId="6" borderId="0" pivotButton="0" quotePrefix="0" xfId="0"/>
    <xf numFmtId="4" fontId="2" fillId="7" borderId="0" pivotButton="0" quotePrefix="0" xfId="0"/>
    <xf numFmtId="0" fontId="3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15" customWidth="1" min="4" max="4"/>
    <col width="18" customWidth="1" min="5" max="5"/>
    <col width="18" customWidth="1" min="6" max="6"/>
    <col width="20" customWidth="1" min="7" max="7"/>
    <col width="14" customWidth="1" min="8" max="8"/>
    <col width="18" customWidth="1" min="9" max="9"/>
    <col width="24" customWidth="1" min="10" max="10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без ЧЗ, шт</t>
        </is>
      </c>
      <c r="D1" s="1" t="inlineStr">
        <is>
          <t>Хранение в день за ед., руб</t>
        </is>
      </c>
      <c r="E1" s="1" t="inlineStr">
        <is>
          <t>Отгрузка на Коротич (весь остаток), шт</t>
        </is>
      </c>
      <c r="F1" s="1" t="inlineStr">
        <is>
          <t>Отгрузка на Крона (весь остаток), шт</t>
        </is>
      </c>
      <c r="G1" s="1" t="inlineStr">
        <is>
          <t>Хранение до конца ноября всего (без продаж), руб</t>
        </is>
      </c>
      <c r="H1" s="1" t="inlineStr">
        <is>
          <t>Выкуп/день, шт (100 дн)</t>
        </is>
      </c>
      <c r="I1" s="1" t="inlineStr">
        <is>
          <t>Прогноз остатка к 30.11 (продают 2 магазина), шт</t>
        </is>
      </c>
      <c r="J1" s="1" t="inlineStr">
        <is>
          <t>Хранение до конца ноября с продажами и сезонностью (2 магазина), руб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556</v>
      </c>
      <c r="D2" s="4" t="n">
        <v>0.1612</v>
      </c>
      <c r="E2" s="3">
        <f>ROUND(C2*'Сезонность'!$B$11,0)</f>
        <v/>
      </c>
      <c r="F2" s="3">
        <f>C2-E2</f>
        <v/>
      </c>
      <c r="G2" s="5">
        <f>D2*C2*SUM('Сезонность'!$B$2:$B$7)</f>
        <v/>
      </c>
      <c r="H2" s="5" t="n">
        <v>1.46</v>
      </c>
      <c r="I2" s="3">
        <f>'Расчёт по месяцам'!U2</f>
        <v/>
      </c>
      <c r="J2" s="5">
        <f>'Расчёт по месяцам'!T2</f>
        <v/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73</v>
      </c>
      <c r="D3" s="4" t="n">
        <v>0.1595</v>
      </c>
      <c r="E3" s="3">
        <f>ROUND(C3*'Сезонность'!$B$11,0)</f>
        <v/>
      </c>
      <c r="F3" s="3">
        <f>C3-E3</f>
        <v/>
      </c>
      <c r="G3" s="5">
        <f>D3*C3*SUM('Сезонность'!$B$2:$B$7)</f>
        <v/>
      </c>
      <c r="H3" s="5" t="n">
        <v>0.77</v>
      </c>
      <c r="I3" s="3">
        <f>'Расчёт по месяцам'!U3</f>
        <v/>
      </c>
      <c r="J3" s="5">
        <f>'Расчёт по месяцам'!T3</f>
        <v/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125</v>
      </c>
      <c r="D4" s="4" t="n">
        <v>0.4148</v>
      </c>
      <c r="E4" s="3">
        <f>ROUND(C4*'Сезонность'!$B$11,0)</f>
        <v/>
      </c>
      <c r="F4" s="3">
        <f>C4-E4</f>
        <v/>
      </c>
      <c r="G4" s="5">
        <f>D4*C4*SUM('Сезонность'!$B$2:$B$7)</f>
        <v/>
      </c>
      <c r="H4" s="5" t="n">
        <v>1.35</v>
      </c>
      <c r="I4" s="3">
        <f>'Расчёт по месяцам'!U4</f>
        <v/>
      </c>
      <c r="J4" s="5">
        <f>'Расчёт по месяцам'!T4</f>
        <v/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144</v>
      </c>
      <c r="D5" s="4" t="n">
        <v>0.2808</v>
      </c>
      <c r="E5" s="3">
        <f>ROUND(C5*'Сезонность'!$B$11,0)</f>
        <v/>
      </c>
      <c r="F5" s="3">
        <f>C5-E5</f>
        <v/>
      </c>
      <c r="G5" s="5">
        <f>D5*C5*SUM('Сезонность'!$B$2:$B$7)</f>
        <v/>
      </c>
      <c r="H5" s="5" t="n">
        <v>1.11</v>
      </c>
      <c r="I5" s="3">
        <f>'Расчёт по месяцам'!U5</f>
        <v/>
      </c>
      <c r="J5" s="5">
        <f>'Расчёт по месяцам'!T5</f>
        <v/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550</v>
      </c>
      <c r="D6" s="4" t="n">
        <v>0.1588</v>
      </c>
      <c r="E6" s="3">
        <f>ROUND(C6*'Сезонность'!$B$11,0)</f>
        <v/>
      </c>
      <c r="F6" s="3">
        <f>C6-E6</f>
        <v/>
      </c>
      <c r="G6" s="5">
        <f>D6*C6*SUM('Сезонность'!$B$2:$B$7)</f>
        <v/>
      </c>
      <c r="H6" s="5" t="n">
        <v>1.94</v>
      </c>
      <c r="I6" s="3">
        <f>'Расчёт по месяцам'!U6</f>
        <v/>
      </c>
      <c r="J6" s="5">
        <f>'Расчёт по месяцам'!T6</f>
        <v/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610</v>
      </c>
      <c r="D7" s="4" t="n">
        <v>0.9546</v>
      </c>
      <c r="E7" s="3">
        <f>ROUND(C7*'Сезонность'!$B$11,0)</f>
        <v/>
      </c>
      <c r="F7" s="3">
        <f>C7-E7</f>
        <v/>
      </c>
      <c r="G7" s="5">
        <f>D7*C7*SUM('Сезонность'!$B$2:$B$7)</f>
        <v/>
      </c>
      <c r="H7" s="5" t="n">
        <v>3.54</v>
      </c>
      <c r="I7" s="3">
        <f>'Расчёт по месяцам'!U7</f>
        <v/>
      </c>
      <c r="J7" s="5">
        <f>'Расчёт по месяцам'!T7</f>
        <v/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186</v>
      </c>
      <c r="D8" s="4" t="n">
        <v>0.1485</v>
      </c>
      <c r="E8" s="3">
        <f>ROUND(C8*'Сезонность'!$B$11,0)</f>
        <v/>
      </c>
      <c r="F8" s="3">
        <f>C8-E8</f>
        <v/>
      </c>
      <c r="G8" s="5">
        <f>D8*C8*SUM('Сезонность'!$B$2:$B$7)</f>
        <v/>
      </c>
      <c r="H8" s="5" t="n">
        <v>2.9</v>
      </c>
      <c r="I8" s="3">
        <f>'Расчёт по месяцам'!U8</f>
        <v/>
      </c>
      <c r="J8" s="5">
        <f>'Расчёт по месяцам'!T8</f>
        <v/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100</v>
      </c>
      <c r="D9" s="4" t="n">
        <v>0.1653</v>
      </c>
      <c r="E9" s="3">
        <f>ROUND(C9*'Сезонность'!$B$11,0)</f>
        <v/>
      </c>
      <c r="F9" s="3">
        <f>C9-E9</f>
        <v/>
      </c>
      <c r="G9" s="5">
        <f>D9*C9*SUM('Сезонность'!$B$2:$B$7)</f>
        <v/>
      </c>
      <c r="H9" s="5" t="n">
        <v>4.22</v>
      </c>
      <c r="I9" s="3">
        <f>'Расчёт по месяцам'!U9</f>
        <v/>
      </c>
      <c r="J9" s="5">
        <f>'Расчёт по месяцам'!T9</f>
        <v/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496</v>
      </c>
      <c r="D10" s="4" t="n">
        <v>0.1643</v>
      </c>
      <c r="E10" s="3">
        <f>ROUND(C10*'Сезонность'!$B$11,0)</f>
        <v/>
      </c>
      <c r="F10" s="3">
        <f>C10-E10</f>
        <v/>
      </c>
      <c r="G10" s="5">
        <f>D10*C10*SUM('Сезонность'!$B$2:$B$7)</f>
        <v/>
      </c>
      <c r="H10" s="5" t="n">
        <v>0.86</v>
      </c>
      <c r="I10" s="3">
        <f>'Расчёт по месяцам'!U10</f>
        <v/>
      </c>
      <c r="J10" s="5">
        <f>'Расчёт по месяцам'!T10</f>
        <v/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180</v>
      </c>
      <c r="D11" s="4" t="n">
        <v>0.1704</v>
      </c>
      <c r="E11" s="3">
        <f>ROUND(C11*'Сезонность'!$B$11,0)</f>
        <v/>
      </c>
      <c r="F11" s="3">
        <f>C11-E11</f>
        <v/>
      </c>
      <c r="G11" s="5">
        <f>D11*C11*SUM('Сезонность'!$B$2:$B$7)</f>
        <v/>
      </c>
      <c r="H11" s="5" t="n">
        <v>3.5</v>
      </c>
      <c r="I11" s="3">
        <f>'Расчёт по месяцам'!U11</f>
        <v/>
      </c>
      <c r="J11" s="5">
        <f>'Расчёт по месяцам'!T11</f>
        <v/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50</v>
      </c>
      <c r="D12" s="4" t="n">
        <v>0.148</v>
      </c>
      <c r="E12" s="3">
        <f>ROUND(C12*'Сезонность'!$B$11,0)</f>
        <v/>
      </c>
      <c r="F12" s="3">
        <f>C12-E12</f>
        <v/>
      </c>
      <c r="G12" s="5">
        <f>D12*C12*SUM('Сезонность'!$B$2:$B$7)</f>
        <v/>
      </c>
      <c r="H12" s="5" t="n">
        <v>0.11</v>
      </c>
      <c r="I12" s="3">
        <f>'Расчёт по месяцам'!U12</f>
        <v/>
      </c>
      <c r="J12" s="5">
        <f>'Расчёт по месяцам'!T12</f>
        <v/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345</v>
      </c>
      <c r="D13" s="4" t="n">
        <v>0.1647</v>
      </c>
      <c r="E13" s="3">
        <f>ROUND(C13*'Сезонность'!$B$11,0)</f>
        <v/>
      </c>
      <c r="F13" s="3">
        <f>C13-E13</f>
        <v/>
      </c>
      <c r="G13" s="5">
        <f>D13*C13*SUM('Сезонность'!$B$2:$B$7)</f>
        <v/>
      </c>
      <c r="H13" s="5" t="n">
        <v>0.15</v>
      </c>
      <c r="I13" s="3">
        <f>'Расчёт по месяцам'!U13</f>
        <v/>
      </c>
      <c r="J13" s="5">
        <f>'Расчёт по месяцам'!T13</f>
        <v/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1108</v>
      </c>
      <c r="D14" s="4" t="n">
        <v>0.1545</v>
      </c>
      <c r="E14" s="3">
        <f>ROUND(C14*'Сезонность'!$B$11,0)</f>
        <v/>
      </c>
      <c r="F14" s="3">
        <f>C14-E14</f>
        <v/>
      </c>
      <c r="G14" s="5">
        <f>D14*C14*SUM('Сезонность'!$B$2:$B$7)</f>
        <v/>
      </c>
      <c r="H14" s="5" t="n">
        <v>4.16</v>
      </c>
      <c r="I14" s="3">
        <f>'Расчёт по месяцам'!U14</f>
        <v/>
      </c>
      <c r="J14" s="5">
        <f>'Расчёт по месяцам'!T14</f>
        <v/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2515</v>
      </c>
      <c r="D15" s="4" t="n">
        <v>0.1355</v>
      </c>
      <c r="E15" s="3">
        <f>ROUND(C15*'Сезонность'!$B$11,0)</f>
        <v/>
      </c>
      <c r="F15" s="3">
        <f>C15-E15</f>
        <v/>
      </c>
      <c r="G15" s="5">
        <f>D15*C15*SUM('Сезонность'!$B$2:$B$7)</f>
        <v/>
      </c>
      <c r="H15" s="5" t="n">
        <v>2.77</v>
      </c>
      <c r="I15" s="3">
        <f>'Расчёт по месяцам'!U15</f>
        <v/>
      </c>
      <c r="J15" s="5">
        <f>'Расчёт по месяцам'!T15</f>
        <v/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2757</v>
      </c>
      <c r="D16" s="4" t="n">
        <v>0.135</v>
      </c>
      <c r="E16" s="3">
        <f>ROUND(C16*'Сезонность'!$B$11,0)</f>
        <v/>
      </c>
      <c r="F16" s="3">
        <f>C16-E16</f>
        <v/>
      </c>
      <c r="G16" s="5">
        <f>D16*C16*SUM('Сезонность'!$B$2:$B$7)</f>
        <v/>
      </c>
      <c r="H16" s="5" t="n">
        <v>2.64</v>
      </c>
      <c r="I16" s="3">
        <f>'Расчёт по месяцам'!U16</f>
        <v/>
      </c>
      <c r="J16" s="5">
        <f>'Расчёт по месяцам'!T16</f>
        <v/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0</v>
      </c>
      <c r="D17" s="4" t="n">
        <v>0.1419</v>
      </c>
      <c r="E17" s="3">
        <f>ROUND(C17*'Сезонность'!$B$11,0)</f>
        <v/>
      </c>
      <c r="F17" s="3">
        <f>C17-E17</f>
        <v/>
      </c>
      <c r="G17" s="5">
        <f>D17*C17*SUM('Сезонность'!$B$2:$B$7)</f>
        <v/>
      </c>
      <c r="H17" s="5" t="n">
        <v>0.76</v>
      </c>
      <c r="I17" s="3">
        <f>'Расчёт по месяцам'!U17</f>
        <v/>
      </c>
      <c r="J17" s="5">
        <f>'Расчёт по месяцам'!T17</f>
        <v/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511</v>
      </c>
      <c r="D18" s="4" t="n">
        <v>0.1216</v>
      </c>
      <c r="E18" s="3">
        <f>ROUND(C18*'Сезонность'!$B$11,0)</f>
        <v/>
      </c>
      <c r="F18" s="3">
        <f>C18-E18</f>
        <v/>
      </c>
      <c r="G18" s="5">
        <f>D18*C18*SUM('Сезонность'!$B$2:$B$7)</f>
        <v/>
      </c>
      <c r="H18" s="5" t="n">
        <v>2.38</v>
      </c>
      <c r="I18" s="3">
        <f>'Расчёт по месяцам'!U18</f>
        <v/>
      </c>
      <c r="J18" s="5">
        <f>'Расчёт по месяцам'!T18</f>
        <v/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86</v>
      </c>
      <c r="D19" s="4" t="n">
        <v>0.1506</v>
      </c>
      <c r="E19" s="3">
        <f>ROUND(C19*'Сезонность'!$B$11,0)</f>
        <v/>
      </c>
      <c r="F19" s="3">
        <f>C19-E19</f>
        <v/>
      </c>
      <c r="G19" s="5">
        <f>D19*C19*SUM('Сезонность'!$B$2:$B$7)</f>
        <v/>
      </c>
      <c r="H19" s="5" t="n">
        <v>0.96</v>
      </c>
      <c r="I19" s="3">
        <f>'Расчёт по месяцам'!U19</f>
        <v/>
      </c>
      <c r="J19" s="5">
        <f>'Расчёт по месяцам'!T19</f>
        <v/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1411</v>
      </c>
      <c r="D20" s="4" t="n">
        <v>0.1623</v>
      </c>
      <c r="E20" s="3">
        <f>ROUND(C20*'Сезонность'!$B$11,0)</f>
        <v/>
      </c>
      <c r="F20" s="3">
        <f>C20-E20</f>
        <v/>
      </c>
      <c r="G20" s="5">
        <f>D20*C20*SUM('Сезонность'!$B$2:$B$7)</f>
        <v/>
      </c>
      <c r="H20" s="5" t="n">
        <v>2.64</v>
      </c>
      <c r="I20" s="3">
        <f>'Расчёт по месяцам'!U20</f>
        <v/>
      </c>
      <c r="J20" s="5">
        <f>'Расчёт по месяцам'!T20</f>
        <v/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577</v>
      </c>
      <c r="D21" s="4" t="n">
        <v>0.1359</v>
      </c>
      <c r="E21" s="3">
        <f>ROUND(C21*'Сезонность'!$B$11,0)</f>
        <v/>
      </c>
      <c r="F21" s="3">
        <f>C21-E21</f>
        <v/>
      </c>
      <c r="G21" s="5">
        <f>D21*C21*SUM('Сезонность'!$B$2:$B$7)</f>
        <v/>
      </c>
      <c r="H21" s="5" t="n">
        <v>2.97</v>
      </c>
      <c r="I21" s="3">
        <f>'Расчёт по месяцам'!U21</f>
        <v/>
      </c>
      <c r="J21" s="5">
        <f>'Расчёт по месяцам'!T21</f>
        <v/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235</v>
      </c>
      <c r="D22" s="4" t="n">
        <v>0.1526</v>
      </c>
      <c r="E22" s="3">
        <f>ROUND(C22*'Сезонность'!$B$11,0)</f>
        <v/>
      </c>
      <c r="F22" s="3">
        <f>C22-E22</f>
        <v/>
      </c>
      <c r="G22" s="5">
        <f>D22*C22*SUM('Сезонность'!$B$2:$B$7)</f>
        <v/>
      </c>
      <c r="H22" s="5" t="n">
        <v>3.6</v>
      </c>
      <c r="I22" s="3">
        <f>'Расчёт по месяцам'!U22</f>
        <v/>
      </c>
      <c r="J22" s="5">
        <f>'Расчёт по месяцам'!T22</f>
        <v/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30</v>
      </c>
      <c r="D23" s="4" t="n">
        <v>0.1653</v>
      </c>
      <c r="E23" s="3">
        <f>ROUND(C23*'Сезонность'!$B$11,0)</f>
        <v/>
      </c>
      <c r="F23" s="3">
        <f>C23-E23</f>
        <v/>
      </c>
      <c r="G23" s="5">
        <f>D23*C23*SUM('Сезонность'!$B$2:$B$7)</f>
        <v/>
      </c>
      <c r="H23" s="5" t="n">
        <v>2.94</v>
      </c>
      <c r="I23" s="3">
        <f>'Расчёт по месяцам'!U23</f>
        <v/>
      </c>
      <c r="J23" s="5">
        <f>'Расчёт по месяцам'!T23</f>
        <v/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794</v>
      </c>
      <c r="D24" s="4" t="n">
        <v>0.1504</v>
      </c>
      <c r="E24" s="3">
        <f>ROUND(C24*'Сезонность'!$B$11,0)</f>
        <v/>
      </c>
      <c r="F24" s="3">
        <f>C24-E24</f>
        <v/>
      </c>
      <c r="G24" s="5">
        <f>D24*C24*SUM('Сезонность'!$B$2:$B$7)</f>
        <v/>
      </c>
      <c r="H24" s="5" t="n">
        <v>2.2</v>
      </c>
      <c r="I24" s="3">
        <f>'Расчёт по месяцам'!U24</f>
        <v/>
      </c>
      <c r="J24" s="5">
        <f>'Расчёт по месяцам'!T24</f>
        <v/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864</v>
      </c>
      <c r="D25" s="4" t="n">
        <v>0.1492</v>
      </c>
      <c r="E25" s="3">
        <f>ROUND(C25*'Сезонность'!$B$11,0)</f>
        <v/>
      </c>
      <c r="F25" s="3">
        <f>C25-E25</f>
        <v/>
      </c>
      <c r="G25" s="5">
        <f>D25*C25*SUM('Сезонность'!$B$2:$B$7)</f>
        <v/>
      </c>
      <c r="H25" s="5" t="n">
        <v>1.96</v>
      </c>
      <c r="I25" s="3">
        <f>'Расчёт по месяцам'!U25</f>
        <v/>
      </c>
      <c r="J25" s="5">
        <f>'Расчёт по месяцам'!T25</f>
        <v/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935</v>
      </c>
      <c r="D26" s="4" t="n">
        <v>0.1514</v>
      </c>
      <c r="E26" s="3">
        <f>ROUND(C26*'Сезонность'!$B$11,0)</f>
        <v/>
      </c>
      <c r="F26" s="3">
        <f>C26-E26</f>
        <v/>
      </c>
      <c r="G26" s="5">
        <f>D26*C26*SUM('Сезонность'!$B$2:$B$7)</f>
        <v/>
      </c>
      <c r="H26" s="5" t="n">
        <v>1.39</v>
      </c>
      <c r="I26" s="3">
        <f>'Расчёт по месяцам'!U26</f>
        <v/>
      </c>
      <c r="J26" s="5">
        <f>'Расчёт по месяцам'!T26</f>
        <v/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373</v>
      </c>
      <c r="D27" s="4" t="n">
        <v>0.1633</v>
      </c>
      <c r="E27" s="3">
        <f>ROUND(C27*'Сезонность'!$B$11,0)</f>
        <v/>
      </c>
      <c r="F27" s="3">
        <f>C27-E27</f>
        <v/>
      </c>
      <c r="G27" s="5">
        <f>D27*C27*SUM('Сезонность'!$B$2:$B$7)</f>
        <v/>
      </c>
      <c r="H27" s="5" t="n">
        <v>27.54</v>
      </c>
      <c r="I27" s="3">
        <f>'Расчёт по месяцам'!U27</f>
        <v/>
      </c>
      <c r="J27" s="5">
        <f>'Расчёт по месяцам'!T27</f>
        <v/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725</v>
      </c>
      <c r="D28" s="4" t="n">
        <v>0.0925</v>
      </c>
      <c r="E28" s="3">
        <f>ROUND(C28*'Сезонность'!$B$11,0)</f>
        <v/>
      </c>
      <c r="F28" s="3">
        <f>C28-E28</f>
        <v/>
      </c>
      <c r="G28" s="5">
        <f>D28*C28*SUM('Сезонность'!$B$2:$B$7)</f>
        <v/>
      </c>
      <c r="H28" s="5" t="n">
        <v>2.82</v>
      </c>
      <c r="I28" s="3">
        <f>'Расчёт по месяцам'!U28</f>
        <v/>
      </c>
      <c r="J28" s="5">
        <f>'Расчёт по месяцам'!T28</f>
        <v/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264</v>
      </c>
      <c r="D29" s="4" t="n">
        <v>0.1858</v>
      </c>
      <c r="E29" s="3">
        <f>ROUND(C29*'Сезонность'!$B$11,0)</f>
        <v/>
      </c>
      <c r="F29" s="3">
        <f>C29-E29</f>
        <v/>
      </c>
      <c r="G29" s="5">
        <f>D29*C29*SUM('Сезонность'!$B$2:$B$7)</f>
        <v/>
      </c>
      <c r="H29" s="5" t="n">
        <v>2.09</v>
      </c>
      <c r="I29" s="3">
        <f>'Расчёт по месяцам'!U29</f>
        <v/>
      </c>
      <c r="J29" s="5">
        <f>'Расчёт по месяцам'!T29</f>
        <v/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3268</v>
      </c>
      <c r="D30" s="4" t="n">
        <v>0.3027</v>
      </c>
      <c r="E30" s="3">
        <f>ROUND(C30*'Сезонность'!$B$11,0)</f>
        <v/>
      </c>
      <c r="F30" s="3">
        <f>C30-E30</f>
        <v/>
      </c>
      <c r="G30" s="5">
        <f>D30*C30*SUM('Сезонность'!$B$2:$B$7)</f>
        <v/>
      </c>
      <c r="H30" s="5" t="n">
        <v>14.06</v>
      </c>
      <c r="I30" s="3">
        <f>'Расчёт по месяцам'!U30</f>
        <v/>
      </c>
      <c r="J30" s="5">
        <f>'Расчёт по месяцам'!T30</f>
        <v/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4181</v>
      </c>
      <c r="D31" s="4" t="n">
        <v>0.2001</v>
      </c>
      <c r="E31" s="3">
        <f>ROUND(C31*'Сезонность'!$B$11,0)</f>
        <v/>
      </c>
      <c r="F31" s="3">
        <f>C31-E31</f>
        <v/>
      </c>
      <c r="G31" s="5">
        <f>D31*C31*SUM('Сезонность'!$B$2:$B$7)</f>
        <v/>
      </c>
      <c r="H31" s="5" t="n">
        <v>9.789999999999999</v>
      </c>
      <c r="I31" s="3">
        <f>'Расчёт по месяцам'!U31</f>
        <v/>
      </c>
      <c r="J31" s="5">
        <f>'Расчёт по месяцам'!T31</f>
        <v/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595</v>
      </c>
      <c r="D32" s="4" t="n">
        <v>0.1512</v>
      </c>
      <c r="E32" s="3">
        <f>ROUND(C32*'Сезонность'!$B$11,0)</f>
        <v/>
      </c>
      <c r="F32" s="3">
        <f>C32-E32</f>
        <v/>
      </c>
      <c r="G32" s="5">
        <f>D32*C32*SUM('Сезонность'!$B$2:$B$7)</f>
        <v/>
      </c>
      <c r="H32" s="5" t="n">
        <v>5.3</v>
      </c>
      <c r="I32" s="3">
        <f>'Расчёт по месяцам'!U32</f>
        <v/>
      </c>
      <c r="J32" s="5">
        <f>'Расчёт по месяцам'!T32</f>
        <v/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515</v>
      </c>
      <c r="D33" s="4" t="n">
        <v>0.1447</v>
      </c>
      <c r="E33" s="3">
        <f>ROUND(C33*'Сезонность'!$B$11,0)</f>
        <v/>
      </c>
      <c r="F33" s="3">
        <f>C33-E33</f>
        <v/>
      </c>
      <c r="G33" s="5">
        <f>D33*C33*SUM('Сезонность'!$B$2:$B$7)</f>
        <v/>
      </c>
      <c r="H33" s="5" t="n">
        <v>1.74</v>
      </c>
      <c r="I33" s="3">
        <f>'Расчёт по месяцам'!U33</f>
        <v/>
      </c>
      <c r="J33" s="5">
        <f>'Расчёт по месяцам'!T33</f>
        <v/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109</v>
      </c>
      <c r="D34" s="4" t="n">
        <v>0.1519</v>
      </c>
      <c r="E34" s="3">
        <f>ROUND(C34*'Сезонность'!$B$11,0)</f>
        <v/>
      </c>
      <c r="F34" s="3">
        <f>C34-E34</f>
        <v/>
      </c>
      <c r="G34" s="5">
        <f>D34*C34*SUM('Сезонность'!$B$2:$B$7)</f>
        <v/>
      </c>
      <c r="H34" s="5" t="n">
        <v>1.79</v>
      </c>
      <c r="I34" s="3">
        <f>'Расчёт по месяцам'!U34</f>
        <v/>
      </c>
      <c r="J34" s="5">
        <f>'Расчёт по месяцам'!T34</f>
        <v/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43</v>
      </c>
      <c r="D35" s="4" t="n">
        <v>0.1359</v>
      </c>
      <c r="E35" s="3">
        <f>ROUND(C35*'Сезонность'!$B$11,0)</f>
        <v/>
      </c>
      <c r="F35" s="3">
        <f>C35-E35</f>
        <v/>
      </c>
      <c r="G35" s="5">
        <f>D35*C35*SUM('Сезонность'!$B$2:$B$7)</f>
        <v/>
      </c>
      <c r="H35" s="5" t="n">
        <v>0.44</v>
      </c>
      <c r="I35" s="3">
        <f>'Расчёт по месяцам'!U35</f>
        <v/>
      </c>
      <c r="J35" s="5">
        <f>'Расчёт по месяцам'!T35</f>
        <v/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128</v>
      </c>
      <c r="D36" s="4" t="n">
        <v>0.1612</v>
      </c>
      <c r="E36" s="3">
        <f>ROUND(C36*'Сезонность'!$B$11,0)</f>
        <v/>
      </c>
      <c r="F36" s="3">
        <f>C36-E36</f>
        <v/>
      </c>
      <c r="G36" s="5">
        <f>D36*C36*SUM('Сезонность'!$B$2:$B$7)</f>
        <v/>
      </c>
      <c r="H36" s="5" t="n">
        <v>1.12</v>
      </c>
      <c r="I36" s="3">
        <f>'Расчёт по месяцам'!U36</f>
        <v/>
      </c>
      <c r="J36" s="5">
        <f>'Расчёт по месяцам'!T36</f>
        <v/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1383</v>
      </c>
      <c r="D37" s="4" t="n">
        <v>0.1834</v>
      </c>
      <c r="E37" s="3">
        <f>ROUND(C37*'Сезонность'!$B$11,0)</f>
        <v/>
      </c>
      <c r="F37" s="3">
        <f>C37-E37</f>
        <v/>
      </c>
      <c r="G37" s="5">
        <f>D37*C37*SUM('Сезонность'!$B$2:$B$7)</f>
        <v/>
      </c>
      <c r="H37" s="5" t="n">
        <v>0.6899999999999999</v>
      </c>
      <c r="I37" s="3">
        <f>'Расчёт по месяцам'!U37</f>
        <v/>
      </c>
      <c r="J37" s="5">
        <f>'Расчёт по месяцам'!T37</f>
        <v/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1042</v>
      </c>
      <c r="D38" s="4" t="n">
        <v>0.1891</v>
      </c>
      <c r="E38" s="3">
        <f>ROUND(C38*'Сезонность'!$B$11,0)</f>
        <v/>
      </c>
      <c r="F38" s="3">
        <f>C38-E38</f>
        <v/>
      </c>
      <c r="G38" s="5">
        <f>D38*C38*SUM('Сезонность'!$B$2:$B$7)</f>
        <v/>
      </c>
      <c r="H38" s="5" t="n">
        <v>3.34</v>
      </c>
      <c r="I38" s="3">
        <f>'Расчёт по месяцам'!U38</f>
        <v/>
      </c>
      <c r="J38" s="5">
        <f>'Расчёт по месяцам'!T38</f>
        <v/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835</v>
      </c>
      <c r="D39" s="4" t="n">
        <v>0.1844</v>
      </c>
      <c r="E39" s="3">
        <f>ROUND(C39*'Сезонность'!$B$11,0)</f>
        <v/>
      </c>
      <c r="F39" s="3">
        <f>C39-E39</f>
        <v/>
      </c>
      <c r="G39" s="5">
        <f>D39*C39*SUM('Сезонность'!$B$2:$B$7)</f>
        <v/>
      </c>
      <c r="H39" s="5" t="n">
        <v>5.9</v>
      </c>
      <c r="I39" s="3">
        <f>'Расчёт по месяцам'!U39</f>
        <v/>
      </c>
      <c r="J39" s="5">
        <f>'Расчёт по месяцам'!T39</f>
        <v/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420</v>
      </c>
      <c r="D40" s="4" t="n">
        <v>0.1534</v>
      </c>
      <c r="E40" s="3">
        <f>ROUND(C40*'Сезонность'!$B$11,0)</f>
        <v/>
      </c>
      <c r="F40" s="3">
        <f>C40-E40</f>
        <v/>
      </c>
      <c r="G40" s="5">
        <f>D40*C40*SUM('Сезонность'!$B$2:$B$7)</f>
        <v/>
      </c>
      <c r="H40" s="5" t="n">
        <v>0.74</v>
      </c>
      <c r="I40" s="3">
        <f>'Расчёт по месяцам'!U40</f>
        <v/>
      </c>
      <c r="J40" s="5">
        <f>'Расчёт по месяцам'!T40</f>
        <v/>
      </c>
    </row>
    <row r="41">
      <c r="A41" s="2" t="n">
        <v>868761530</v>
      </c>
      <c r="B41" s="2" t="inlineStr">
        <is>
          <t>LANEIGE LIP SLEEPING MASK-BERRY [3g]</t>
        </is>
      </c>
      <c r="C41" s="3" t="n">
        <v>634</v>
      </c>
      <c r="D41" s="4" t="n">
        <v>0.1502</v>
      </c>
      <c r="E41" s="3">
        <f>ROUND(C41*'Сезонность'!$B$11,0)</f>
        <v/>
      </c>
      <c r="F41" s="3">
        <f>C41-E41</f>
        <v/>
      </c>
      <c r="G41" s="5">
        <f>D41*C41*SUM('Сезонность'!$B$2:$B$7)</f>
        <v/>
      </c>
      <c r="H41" s="5" t="n">
        <v>2.71</v>
      </c>
      <c r="I41" s="3">
        <f>'Расчёт по месяцам'!U41</f>
        <v/>
      </c>
      <c r="J41" s="5">
        <f>'Расчёт по месяцам'!T41</f>
        <v/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119</v>
      </c>
      <c r="D42" s="4" t="n">
        <v>0.3346</v>
      </c>
      <c r="E42" s="3">
        <f>ROUND(C42*'Сезонность'!$B$11,0)</f>
        <v/>
      </c>
      <c r="F42" s="3">
        <f>C42-E42</f>
        <v/>
      </c>
      <c r="G42" s="5">
        <f>D42*C42*SUM('Сезонность'!$B$2:$B$7)</f>
        <v/>
      </c>
      <c r="H42" s="5" t="n">
        <v>0.72</v>
      </c>
      <c r="I42" s="3">
        <f>'Расчёт по месяцам'!U42</f>
        <v/>
      </c>
      <c r="J42" s="5">
        <f>'Расчёт по месяцам'!T42</f>
        <v/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105</v>
      </c>
      <c r="D43" s="4" t="n">
        <v>0.1333</v>
      </c>
      <c r="E43" s="3">
        <f>ROUND(C43*'Сезонность'!$B$11,0)</f>
        <v/>
      </c>
      <c r="F43" s="3">
        <f>C43-E43</f>
        <v/>
      </c>
      <c r="G43" s="5">
        <f>D43*C43*SUM('Сезонность'!$B$2:$B$7)</f>
        <v/>
      </c>
      <c r="H43" s="5" t="n">
        <v>0.65</v>
      </c>
      <c r="I43" s="3">
        <f>'Расчёт по месяцам'!U43</f>
        <v/>
      </c>
      <c r="J43" s="5">
        <f>'Расчёт по месяцам'!T43</f>
        <v/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300</v>
      </c>
      <c r="D44" s="4" t="n">
        <v>0.1553</v>
      </c>
      <c r="E44" s="3">
        <f>ROUND(C44*'Сезонность'!$B$11,0)</f>
        <v/>
      </c>
      <c r="F44" s="3">
        <f>C44-E44</f>
        <v/>
      </c>
      <c r="G44" s="5">
        <f>D44*C44*SUM('Сезонность'!$B$2:$B$7)</f>
        <v/>
      </c>
      <c r="H44" s="5" t="n">
        <v>2.08</v>
      </c>
      <c r="I44" s="3">
        <f>'Расчёт по месяцам'!U44</f>
        <v/>
      </c>
      <c r="J44" s="5">
        <f>'Расчёт по месяцам'!T44</f>
        <v/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270</v>
      </c>
      <c r="D45" s="4" t="n">
        <v>0.1301</v>
      </c>
      <c r="E45" s="3">
        <f>ROUND(C45*'Сезонность'!$B$11,0)</f>
        <v/>
      </c>
      <c r="F45" s="3">
        <f>C45-E45</f>
        <v/>
      </c>
      <c r="G45" s="5">
        <f>D45*C45*SUM('Сезонность'!$B$2:$B$7)</f>
        <v/>
      </c>
      <c r="H45" s="5" t="n">
        <v>0.6899999999999999</v>
      </c>
      <c r="I45" s="3">
        <f>'Расчёт по месяцам'!U45</f>
        <v/>
      </c>
      <c r="J45" s="5">
        <f>'Расчёт по месяцам'!T45</f>
        <v/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557</v>
      </c>
      <c r="D46" s="4" t="n">
        <v>0.1535</v>
      </c>
      <c r="E46" s="3">
        <f>ROUND(C46*'Сезонность'!$B$11,0)</f>
        <v/>
      </c>
      <c r="F46" s="3">
        <f>C46-E46</f>
        <v/>
      </c>
      <c r="G46" s="5">
        <f>D46*C46*SUM('Сезонность'!$B$2:$B$7)</f>
        <v/>
      </c>
      <c r="H46" s="5" t="n">
        <v>1.09</v>
      </c>
      <c r="I46" s="3">
        <f>'Расчёт по месяцам'!U46</f>
        <v/>
      </c>
      <c r="J46" s="5">
        <f>'Расчёт по месяцам'!T46</f>
        <v/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210</v>
      </c>
      <c r="D47" s="4" t="n">
        <v>0.1651</v>
      </c>
      <c r="E47" s="3">
        <f>ROUND(C47*'Сезонность'!$B$11,0)</f>
        <v/>
      </c>
      <c r="F47" s="3">
        <f>C47-E47</f>
        <v/>
      </c>
      <c r="G47" s="5">
        <f>D47*C47*SUM('Сезонность'!$B$2:$B$7)</f>
        <v/>
      </c>
      <c r="H47" s="5" t="n">
        <v>1.14</v>
      </c>
      <c r="I47" s="3">
        <f>'Расчёт по месяцам'!U47</f>
        <v/>
      </c>
      <c r="J47" s="5">
        <f>'Расчёт по месяцам'!T47</f>
        <v/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75</v>
      </c>
      <c r="D48" s="4" t="n">
        <v>0.1584</v>
      </c>
      <c r="E48" s="3">
        <f>ROUND(C48*'Сезонность'!$B$11,0)</f>
        <v/>
      </c>
      <c r="F48" s="3">
        <f>C48-E48</f>
        <v/>
      </c>
      <c r="G48" s="5">
        <f>D48*C48*SUM('Сезонность'!$B$2:$B$7)</f>
        <v/>
      </c>
      <c r="H48" s="5" t="n">
        <v>1.07</v>
      </c>
      <c r="I48" s="3">
        <f>'Расчёт по месяцам'!U48</f>
        <v/>
      </c>
      <c r="J48" s="5">
        <f>'Расчёт по месяцам'!T48</f>
        <v/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89</v>
      </c>
      <c r="D49" s="4" t="n">
        <v>0.148</v>
      </c>
      <c r="E49" s="3">
        <f>ROUND(C49*'Сезонность'!$B$11,0)</f>
        <v/>
      </c>
      <c r="F49" s="3">
        <f>C49-E49</f>
        <v/>
      </c>
      <c r="G49" s="5">
        <f>D49*C49*SUM('Сезонность'!$B$2:$B$7)</f>
        <v/>
      </c>
      <c r="H49" s="5" t="n">
        <v>0.5</v>
      </c>
      <c r="I49" s="3">
        <f>'Расчёт по месяцам'!U49</f>
        <v/>
      </c>
      <c r="J49" s="5">
        <f>'Расчёт по месяцам'!T49</f>
        <v/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83</v>
      </c>
      <c r="D50" s="4" t="n">
        <v>0.1449</v>
      </c>
      <c r="E50" s="3">
        <f>ROUND(C50*'Сезонность'!$B$11,0)</f>
        <v/>
      </c>
      <c r="F50" s="3">
        <f>C50-E50</f>
        <v/>
      </c>
      <c r="G50" s="5">
        <f>D50*C50*SUM('Сезонность'!$B$2:$B$7)</f>
        <v/>
      </c>
      <c r="H50" s="5" t="n">
        <v>0.15</v>
      </c>
      <c r="I50" s="3">
        <f>'Расчёт по месяцам'!U50</f>
        <v/>
      </c>
      <c r="J50" s="5">
        <f>'Расчёт по месяцам'!T50</f>
        <v/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527</v>
      </c>
      <c r="D51" s="4" t="n">
        <v>0.1381</v>
      </c>
      <c r="E51" s="3">
        <f>ROUND(C51*'Сезонность'!$B$11,0)</f>
        <v/>
      </c>
      <c r="F51" s="3">
        <f>C51-E51</f>
        <v/>
      </c>
      <c r="G51" s="5">
        <f>D51*C51*SUM('Сезонность'!$B$2:$B$7)</f>
        <v/>
      </c>
      <c r="H51" s="5" t="n">
        <v>0.05</v>
      </c>
      <c r="I51" s="3">
        <f>'Расчёт по месяцам'!U51</f>
        <v/>
      </c>
      <c r="J51" s="5">
        <f>'Расчёт по месяцам'!T51</f>
        <v/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55</v>
      </c>
      <c r="D52" s="4" t="n">
        <v>0.1671</v>
      </c>
      <c r="E52" s="3">
        <f>ROUND(C52*'Сезонность'!$B$11,0)</f>
        <v/>
      </c>
      <c r="F52" s="3">
        <f>C52-E52</f>
        <v/>
      </c>
      <c r="G52" s="5">
        <f>D52*C52*SUM('Сезонность'!$B$2:$B$7)</f>
        <v/>
      </c>
      <c r="H52" s="5" t="n">
        <v>0.28</v>
      </c>
      <c r="I52" s="3">
        <f>'Расчёт по месяцам'!U52</f>
        <v/>
      </c>
      <c r="J52" s="5">
        <f>'Расчёт по месяцам'!T52</f>
        <v/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118</v>
      </c>
      <c r="D53" s="4" t="n">
        <v>0.16</v>
      </c>
      <c r="E53" s="3">
        <f>ROUND(C53*'Сезонность'!$B$11,0)</f>
        <v/>
      </c>
      <c r="F53" s="3">
        <f>C53-E53</f>
        <v/>
      </c>
      <c r="G53" s="5">
        <f>D53*C53*SUM('Сезонность'!$B$2:$B$7)</f>
        <v/>
      </c>
      <c r="H53" s="5" t="n">
        <v>0.63</v>
      </c>
      <c r="I53" s="3">
        <f>'Расчёт по месяцам'!U53</f>
        <v/>
      </c>
      <c r="J53" s="5">
        <f>'Расчёт по месяцам'!T53</f>
        <v/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32</v>
      </c>
      <c r="D54" s="4" t="n">
        <v>0.154</v>
      </c>
      <c r="E54" s="3">
        <f>ROUND(C54*'Сезонность'!$B$11,0)</f>
        <v/>
      </c>
      <c r="F54" s="3">
        <f>C54-E54</f>
        <v/>
      </c>
      <c r="G54" s="5">
        <f>D54*C54*SUM('Сезонность'!$B$2:$B$7)</f>
        <v/>
      </c>
      <c r="H54" s="5" t="n">
        <v>0.21</v>
      </c>
      <c r="I54" s="3">
        <f>'Расчёт по месяцам'!U54</f>
        <v/>
      </c>
      <c r="J54" s="5">
        <f>'Расчёт по месяцам'!T54</f>
        <v/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99</v>
      </c>
      <c r="D55" s="4" t="n">
        <v>0.1588</v>
      </c>
      <c r="E55" s="3">
        <f>ROUND(C55*'Сезонность'!$B$11,0)</f>
        <v/>
      </c>
      <c r="F55" s="3">
        <f>C55-E55</f>
        <v/>
      </c>
      <c r="G55" s="5">
        <f>D55*C55*SUM('Сезонность'!$B$2:$B$7)</f>
        <v/>
      </c>
      <c r="H55" s="5" t="n">
        <v>0.17</v>
      </c>
      <c r="I55" s="3">
        <f>'Расчёт по месяцам'!U55</f>
        <v/>
      </c>
      <c r="J55" s="5">
        <f>'Расчёт по месяцам'!T55</f>
        <v/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501</v>
      </c>
      <c r="D56" s="4" t="n">
        <v>0.1647</v>
      </c>
      <c r="E56" s="3">
        <f>ROUND(C56*'Сезонность'!$B$11,0)</f>
        <v/>
      </c>
      <c r="F56" s="3">
        <f>C56-E56</f>
        <v/>
      </c>
      <c r="G56" s="5">
        <f>D56*C56*SUM('Сезонность'!$B$2:$B$7)</f>
        <v/>
      </c>
      <c r="H56" s="5" t="n">
        <v>0.19</v>
      </c>
      <c r="I56" s="3">
        <f>'Расчёт по месяцам'!U56</f>
        <v/>
      </c>
      <c r="J56" s="5">
        <f>'Расчёт по месяцам'!T56</f>
        <v/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84</v>
      </c>
      <c r="D57" s="4" t="n">
        <v>0.1587</v>
      </c>
      <c r="E57" s="3">
        <f>ROUND(C57*'Сезонность'!$B$11,0)</f>
        <v/>
      </c>
      <c r="F57" s="3">
        <f>C57-E57</f>
        <v/>
      </c>
      <c r="G57" s="5">
        <f>D57*C57*SUM('Сезонность'!$B$2:$B$7)</f>
        <v/>
      </c>
      <c r="H57" s="5" t="n">
        <v>0.34</v>
      </c>
      <c r="I57" s="3">
        <f>'Расчёт по месяцам'!U57</f>
        <v/>
      </c>
      <c r="J57" s="5">
        <f>'Расчёт по месяцам'!T57</f>
        <v/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124</v>
      </c>
      <c r="D58" s="4" t="n">
        <v>0.1619</v>
      </c>
      <c r="E58" s="3">
        <f>ROUND(C58*'Сезонность'!$B$11,0)</f>
        <v/>
      </c>
      <c r="F58" s="3">
        <f>C58-E58</f>
        <v/>
      </c>
      <c r="G58" s="5">
        <f>D58*C58*SUM('Сезонность'!$B$2:$B$7)</f>
        <v/>
      </c>
      <c r="H58" s="5" t="n">
        <v>0.19</v>
      </c>
      <c r="I58" s="3">
        <f>'Расчёт по месяцам'!U58</f>
        <v/>
      </c>
      <c r="J58" s="5">
        <f>'Расчёт по месяцам'!T58</f>
        <v/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194</v>
      </c>
      <c r="D59" s="4" t="n">
        <v>0.1503</v>
      </c>
      <c r="E59" s="3">
        <f>ROUND(C59*'Сезонность'!$B$11,0)</f>
        <v/>
      </c>
      <c r="F59" s="3">
        <f>C59-E59</f>
        <v/>
      </c>
      <c r="G59" s="5">
        <f>D59*C59*SUM('Сезонность'!$B$2:$B$7)</f>
        <v/>
      </c>
      <c r="H59" s="5" t="n">
        <v>0.09</v>
      </c>
      <c r="I59" s="3">
        <f>'Расчёт по месяцам'!U59</f>
        <v/>
      </c>
      <c r="J59" s="5">
        <f>'Расчёт по месяцам'!T59</f>
        <v/>
      </c>
    </row>
    <row r="60">
      <c r="B60" s="6" t="inlineStr">
        <is>
          <t>ИТОГО</t>
        </is>
      </c>
      <c r="C60" s="7">
        <f>SUM(C2:C59)</f>
        <v/>
      </c>
      <c r="E60" s="8">
        <f>SUM(E2:E59)</f>
        <v/>
      </c>
      <c r="F60" s="9">
        <f>SUM(F2:F59)</f>
        <v/>
      </c>
      <c r="G60" s="10">
        <f>SUM(G2:G59)</f>
        <v/>
      </c>
      <c r="I60" s="7">
        <f>SUM(I2:I59)</f>
        <v/>
      </c>
      <c r="J60" s="11">
        <f>SUM(J2:J59)</f>
        <v/>
      </c>
    </row>
    <row r="62">
      <c r="B62" s="12" t="inlineStr">
        <is>
          <t>Весь остаток без ЧЗ отгружается: Коротич = остаток×доля (E), Крона = остаток−Коротич (F). Прогноз остатка к 30.11 (I) и хранение (J) считаются с учётом продаж ОБОИХ магазинов: каждый списывает из своей отгрузки (Коротич — полный сезонный темп, Крона — с помесячной раскруткой). Движок — лист 'Расчёт по месяцам'.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18" customWidth="1" min="4" max="4"/>
    <col width="20" customWidth="1" min="5" max="5"/>
  </cols>
  <sheetData>
    <row r="1">
      <c r="A1" s="13" t="inlineStr">
        <is>
          <t>Месяц</t>
        </is>
      </c>
      <c r="B1" s="13" t="inlineStr">
        <is>
          <t>Дней в окне</t>
        </is>
      </c>
      <c r="C1" s="13" t="inlineStr">
        <is>
          <t>Сезонный коэф (весна=1.00)</t>
        </is>
      </c>
      <c r="D1" s="13" t="inlineStr">
        <is>
          <t>Комментарий</t>
        </is>
      </c>
      <c r="E1" s="13" t="inlineStr">
        <is>
          <t>Раскрутка Крона (доля)</t>
        </is>
      </c>
    </row>
    <row r="2">
      <c r="A2" t="inlineStr">
        <is>
          <t>Июнь</t>
        </is>
      </c>
      <c r="B2" t="n">
        <v>6</v>
      </c>
      <c r="C2" t="n">
        <v>1</v>
      </c>
      <c r="D2" t="inlineStr"/>
      <c r="E2" t="n">
        <v>0.15</v>
      </c>
    </row>
    <row r="3">
      <c r="A3" t="inlineStr">
        <is>
          <t>Июль</t>
        </is>
      </c>
      <c r="B3" t="n">
        <v>31</v>
      </c>
      <c r="C3" t="n">
        <v>0.92</v>
      </c>
      <c r="D3" t="inlineStr"/>
      <c r="E3" t="n">
        <v>0.25</v>
      </c>
    </row>
    <row r="4">
      <c r="A4" t="inlineStr">
        <is>
          <t>Август</t>
        </is>
      </c>
      <c r="B4" t="n">
        <v>31</v>
      </c>
      <c r="C4" t="n">
        <v>0.92</v>
      </c>
      <c r="D4" t="inlineStr"/>
      <c r="E4" t="n">
        <v>0.35</v>
      </c>
    </row>
    <row r="5">
      <c r="A5" t="inlineStr">
        <is>
          <t>Сентябрь</t>
        </is>
      </c>
      <c r="B5" t="n">
        <v>30</v>
      </c>
      <c r="C5" t="n">
        <v>1.05</v>
      </c>
      <c r="D5" t="inlineStr"/>
      <c r="E5" t="n">
        <v>0.45</v>
      </c>
    </row>
    <row r="6">
      <c r="A6" t="inlineStr">
        <is>
          <t>Октябрь</t>
        </is>
      </c>
      <c r="B6" t="n">
        <v>31</v>
      </c>
      <c r="C6" t="n">
        <v>1.12</v>
      </c>
      <c r="D6" t="inlineStr"/>
      <c r="E6" t="n">
        <v>0.55</v>
      </c>
    </row>
    <row r="7">
      <c r="A7" t="inlineStr">
        <is>
          <t>Ноябрь</t>
        </is>
      </c>
      <c r="B7" t="n">
        <v>30</v>
      </c>
      <c r="C7" t="n">
        <v>1.15</v>
      </c>
      <c r="D7" t="inlineStr"/>
      <c r="E7" t="n">
        <v>0.65</v>
      </c>
    </row>
    <row r="9">
      <c r="A9" s="6" t="inlineStr">
        <is>
          <t>Сила продаж Коротич (эфф.дни)</t>
        </is>
      </c>
      <c r="B9">
        <f>SUMPRODUCT($B$2:$B$7,$C$2:$C$7)</f>
        <v/>
      </c>
    </row>
    <row r="10">
      <c r="A10" s="6" t="inlineStr">
        <is>
          <t>Сила продаж Крона (эфф.дни, с раскруткой)</t>
        </is>
      </c>
      <c r="B10">
        <f>SUMPRODUCT($B$2:$B$7,$C$2:$C$7,$E$2:$E$7)</f>
        <v/>
      </c>
    </row>
    <row r="11">
      <c r="A11" s="6" t="inlineStr">
        <is>
          <t>Доля Коротича в отгрузке</t>
        </is>
      </c>
      <c r="B11" s="14">
        <f>B9/(B9+B10)</f>
        <v/>
      </c>
    </row>
    <row r="12">
      <c r="A12" s="6" t="inlineStr">
        <is>
          <t>Доля Кроны в отгрузке</t>
        </is>
      </c>
      <c r="B12" s="14">
        <f>1-B11</f>
        <v/>
      </c>
    </row>
    <row r="14">
      <c r="A14" s="12" t="inlineStr">
        <is>
          <t>Весь остаток без ЧЗ распределяется между магазинами по доле силы продаж. Прогноз остатка и хранение учитывают, что ОБА магазина продают: Коротич свою долю по полному сезонному темпу, Крона свою — по темпу с раскруткой. Сезонность: зима 0.87/весна 1.00 — данные; лето/осень/ноябрь — оценка.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1" customWidth="1" min="16" max="16"/>
    <col width="10" customWidth="1" min="17" max="17"/>
    <col width="10" customWidth="1" min="18" max="18"/>
    <col width="11" customWidth="1" min="19" max="19"/>
    <col width="16" customWidth="1" min="20" max="20"/>
    <col width="16" customWidth="1" min="21" max="21"/>
  </cols>
  <sheetData>
    <row r="1">
      <c r="A1" s="13" t="inlineStr">
        <is>
          <t>Артикул</t>
        </is>
      </c>
      <c r="B1" s="13" t="inlineStr">
        <is>
          <t>Коротич.июнь</t>
        </is>
      </c>
      <c r="C1" s="13" t="inlineStr">
        <is>
          <t>Крона.июнь</t>
        </is>
      </c>
      <c r="D1" s="13" t="inlineStr">
        <is>
          <t>хран.июнь</t>
        </is>
      </c>
      <c r="E1" s="13" t="inlineStr">
        <is>
          <t>Коротич.июль</t>
        </is>
      </c>
      <c r="F1" s="13" t="inlineStr">
        <is>
          <t>Крона.июль</t>
        </is>
      </c>
      <c r="G1" s="13" t="inlineStr">
        <is>
          <t>хран.июль</t>
        </is>
      </c>
      <c r="H1" s="13" t="inlineStr">
        <is>
          <t>Коротич.авг</t>
        </is>
      </c>
      <c r="I1" s="13" t="inlineStr">
        <is>
          <t>Крона.авг</t>
        </is>
      </c>
      <c r="J1" s="13" t="inlineStr">
        <is>
          <t>хран.авг</t>
        </is>
      </c>
      <c r="K1" s="13" t="inlineStr">
        <is>
          <t>Коротич.сен</t>
        </is>
      </c>
      <c r="L1" s="13" t="inlineStr">
        <is>
          <t>Крона.сен</t>
        </is>
      </c>
      <c r="M1" s="13" t="inlineStr">
        <is>
          <t>хран.сен</t>
        </is>
      </c>
      <c r="N1" s="13" t="inlineStr">
        <is>
          <t>Коротич.окт</t>
        </is>
      </c>
      <c r="O1" s="13" t="inlineStr">
        <is>
          <t>Крона.окт</t>
        </is>
      </c>
      <c r="P1" s="13" t="inlineStr">
        <is>
          <t>хран.окт</t>
        </is>
      </c>
      <c r="Q1" s="13" t="inlineStr">
        <is>
          <t>Коротич.ноя</t>
        </is>
      </c>
      <c r="R1" s="13" t="inlineStr">
        <is>
          <t>Крона.ноя</t>
        </is>
      </c>
      <c r="S1" s="13" t="inlineStr">
        <is>
          <t>хран.ноя</t>
        </is>
      </c>
      <c r="T1" s="13" t="inlineStr">
        <is>
          <t>Хранение всего, руб</t>
        </is>
      </c>
      <c r="U1" s="13" t="inlineStr">
        <is>
          <t>Остаток к 30.11 (оба), шт</t>
        </is>
      </c>
    </row>
    <row r="2">
      <c r="A2" s="2">
        <f>'Хранение до конца ноября'!A2</f>
        <v/>
      </c>
      <c r="B2" s="3">
        <f>MAX(0,'Хранение до конца ноября'!E2-'Хранение до конца ноября'!H2*'Сезонность'!$C$2*'Сезонность'!$B$2)</f>
        <v/>
      </c>
      <c r="C2" s="3">
        <f>MAX(0,'Хранение до конца ноября'!F2-'Хранение до конца ноября'!H2*'Сезонность'!$C$2*'Сезонность'!$E$2*'Сезонность'!$B$2)</f>
        <v/>
      </c>
      <c r="D2" s="5">
        <f>'Хранение до конца ноября'!D2*(('Хранение до конца ноября'!E2+B2)/2+('Хранение до конца ноября'!F2+C2)/2)*'Сезонность'!$B$2</f>
        <v/>
      </c>
      <c r="E2" s="3">
        <f>MAX(0,B2-'Хранение до конца ноября'!H2*'Сезонность'!$C$3*'Сезонность'!$B$3)</f>
        <v/>
      </c>
      <c r="F2" s="3">
        <f>MAX(0,C2-'Хранение до конца ноября'!H2*'Сезонность'!$C$3*'Сезонность'!$E$3*'Сезонность'!$B$3)</f>
        <v/>
      </c>
      <c r="G2" s="5">
        <f>'Хранение до конца ноября'!D2*((B2+E2)/2+(C2+F2)/2)*'Сезонность'!$B$3</f>
        <v/>
      </c>
      <c r="H2" s="3">
        <f>MAX(0,E2-'Хранение до конца ноября'!H2*'Сезонность'!$C$4*'Сезонность'!$B$4)</f>
        <v/>
      </c>
      <c r="I2" s="3">
        <f>MAX(0,F2-'Хранение до конца ноября'!H2*'Сезонность'!$C$4*'Сезонность'!$E$4*'Сезонность'!$B$4)</f>
        <v/>
      </c>
      <c r="J2" s="5">
        <f>'Хранение до конца ноября'!D2*((E2+H2)/2+(F2+I2)/2)*'Сезонность'!$B$4</f>
        <v/>
      </c>
      <c r="K2" s="3">
        <f>MAX(0,H2-'Хранение до конца ноября'!H2*'Сезонность'!$C$5*'Сезонность'!$B$5)</f>
        <v/>
      </c>
      <c r="L2" s="3">
        <f>MAX(0,I2-'Хранение до конца ноября'!H2*'Сезонность'!$C$5*'Сезонность'!$E$5*'Сезонность'!$B$5)</f>
        <v/>
      </c>
      <c r="M2" s="5">
        <f>'Хранение до конца ноября'!D2*((H2+K2)/2+(I2+L2)/2)*'Сезонность'!$B$5</f>
        <v/>
      </c>
      <c r="N2" s="3">
        <f>MAX(0,K2-'Хранение до конца ноября'!H2*'Сезонность'!$C$6*'Сезонность'!$B$6)</f>
        <v/>
      </c>
      <c r="O2" s="3">
        <f>MAX(0,L2-'Хранение до конца ноября'!H2*'Сезонность'!$C$6*'Сезонность'!$E$6*'Сезонность'!$B$6)</f>
        <v/>
      </c>
      <c r="P2" s="5">
        <f>'Хранение до конца ноября'!D2*((K2+N2)/2+(L2+O2)/2)*'Сезонность'!$B$6</f>
        <v/>
      </c>
      <c r="Q2" s="3">
        <f>MAX(0,N2-'Хранение до конца ноября'!H2*'Сезонность'!$C$7*'Сезонность'!$B$7)</f>
        <v/>
      </c>
      <c r="R2" s="3">
        <f>MAX(0,O2-'Хранение до конца ноября'!H2*'Сезонность'!$C$7*'Сезонность'!$E$7*'Сезонность'!$B$7)</f>
        <v/>
      </c>
      <c r="S2" s="5">
        <f>'Хранение до конца ноября'!D2*((N2+Q2)/2+(O2+R2)/2)*'Сезонность'!$B$7</f>
        <v/>
      </c>
      <c r="T2" s="5">
        <f>D2+G2+J2+M2+P2+S2</f>
        <v/>
      </c>
      <c r="U2" s="3">
        <f>Q2+R2</f>
        <v/>
      </c>
    </row>
    <row r="3">
      <c r="A3" s="2">
        <f>'Хранение до конца ноября'!A3</f>
        <v/>
      </c>
      <c r="B3" s="3">
        <f>MAX(0,'Хранение до конца ноября'!E3-'Хранение до конца ноября'!H3*'Сезонность'!$C$2*'Сезонность'!$B$2)</f>
        <v/>
      </c>
      <c r="C3" s="3">
        <f>MAX(0,'Хранение до конца ноября'!F3-'Хранение до конца ноября'!H3*'Сезонность'!$C$2*'Сезонность'!$E$2*'Сезонность'!$B$2)</f>
        <v/>
      </c>
      <c r="D3" s="5">
        <f>'Хранение до конца ноября'!D3*(('Хранение до конца ноября'!E3+B3)/2+('Хранение до конца ноября'!F3+C3)/2)*'Сезонность'!$B$2</f>
        <v/>
      </c>
      <c r="E3" s="3">
        <f>MAX(0,B3-'Хранение до конца ноября'!H3*'Сезонность'!$C$3*'Сезонность'!$B$3)</f>
        <v/>
      </c>
      <c r="F3" s="3">
        <f>MAX(0,C3-'Хранение до конца ноября'!H3*'Сезонность'!$C$3*'Сезонность'!$E$3*'Сезонность'!$B$3)</f>
        <v/>
      </c>
      <c r="G3" s="5">
        <f>'Хранение до конца ноября'!D3*((B3+E3)/2+(C3+F3)/2)*'Сезонность'!$B$3</f>
        <v/>
      </c>
      <c r="H3" s="3">
        <f>MAX(0,E3-'Хранение до конца ноября'!H3*'Сезонность'!$C$4*'Сезонность'!$B$4)</f>
        <v/>
      </c>
      <c r="I3" s="3">
        <f>MAX(0,F3-'Хранение до конца ноября'!H3*'Сезонность'!$C$4*'Сезонность'!$E$4*'Сезонность'!$B$4)</f>
        <v/>
      </c>
      <c r="J3" s="5">
        <f>'Хранение до конца ноября'!D3*((E3+H3)/2+(F3+I3)/2)*'Сезонность'!$B$4</f>
        <v/>
      </c>
      <c r="K3" s="3">
        <f>MAX(0,H3-'Хранение до конца ноября'!H3*'Сезонность'!$C$5*'Сезонность'!$B$5)</f>
        <v/>
      </c>
      <c r="L3" s="3">
        <f>MAX(0,I3-'Хранение до конца ноября'!H3*'Сезонность'!$C$5*'Сезонность'!$E$5*'Сезонность'!$B$5)</f>
        <v/>
      </c>
      <c r="M3" s="5">
        <f>'Хранение до конца ноября'!D3*((H3+K3)/2+(I3+L3)/2)*'Сезонность'!$B$5</f>
        <v/>
      </c>
      <c r="N3" s="3">
        <f>MAX(0,K3-'Хранение до конца ноября'!H3*'Сезонность'!$C$6*'Сезонность'!$B$6)</f>
        <v/>
      </c>
      <c r="O3" s="3">
        <f>MAX(0,L3-'Хранение до конца ноября'!H3*'Сезонность'!$C$6*'Сезонность'!$E$6*'Сезонность'!$B$6)</f>
        <v/>
      </c>
      <c r="P3" s="5">
        <f>'Хранение до конца ноября'!D3*((K3+N3)/2+(L3+O3)/2)*'Сезонность'!$B$6</f>
        <v/>
      </c>
      <c r="Q3" s="3">
        <f>MAX(0,N3-'Хранение до конца ноября'!H3*'Сезонность'!$C$7*'Сезонность'!$B$7)</f>
        <v/>
      </c>
      <c r="R3" s="3">
        <f>MAX(0,O3-'Хранение до конца ноября'!H3*'Сезонность'!$C$7*'Сезонность'!$E$7*'Сезонность'!$B$7)</f>
        <v/>
      </c>
      <c r="S3" s="5">
        <f>'Хранение до конца ноября'!D3*((N3+Q3)/2+(O3+R3)/2)*'Сезонность'!$B$7</f>
        <v/>
      </c>
      <c r="T3" s="5">
        <f>D3+G3+J3+M3+P3+S3</f>
        <v/>
      </c>
      <c r="U3" s="3">
        <f>Q3+R3</f>
        <v/>
      </c>
    </row>
    <row r="4">
      <c r="A4" s="2">
        <f>'Хранение до конца ноября'!A4</f>
        <v/>
      </c>
      <c r="B4" s="3">
        <f>MAX(0,'Хранение до конца ноября'!E4-'Хранение до конца ноября'!H4*'Сезонность'!$C$2*'Сезонность'!$B$2)</f>
        <v/>
      </c>
      <c r="C4" s="3">
        <f>MAX(0,'Хранение до конца ноября'!F4-'Хранение до конца ноября'!H4*'Сезонность'!$C$2*'Сезонность'!$E$2*'Сезонность'!$B$2)</f>
        <v/>
      </c>
      <c r="D4" s="5">
        <f>'Хранение до конца ноября'!D4*(('Хранение до конца ноября'!E4+B4)/2+('Хранение до конца ноября'!F4+C4)/2)*'Сезонность'!$B$2</f>
        <v/>
      </c>
      <c r="E4" s="3">
        <f>MAX(0,B4-'Хранение до конца ноября'!H4*'Сезонность'!$C$3*'Сезонность'!$B$3)</f>
        <v/>
      </c>
      <c r="F4" s="3">
        <f>MAX(0,C4-'Хранение до конца ноября'!H4*'Сезонность'!$C$3*'Сезонность'!$E$3*'Сезонность'!$B$3)</f>
        <v/>
      </c>
      <c r="G4" s="5">
        <f>'Хранение до конца ноября'!D4*((B4+E4)/2+(C4+F4)/2)*'Сезонность'!$B$3</f>
        <v/>
      </c>
      <c r="H4" s="3">
        <f>MAX(0,E4-'Хранение до конца ноября'!H4*'Сезонность'!$C$4*'Сезонность'!$B$4)</f>
        <v/>
      </c>
      <c r="I4" s="3">
        <f>MAX(0,F4-'Хранение до конца ноября'!H4*'Сезонность'!$C$4*'Сезонность'!$E$4*'Сезонность'!$B$4)</f>
        <v/>
      </c>
      <c r="J4" s="5">
        <f>'Хранение до конца ноября'!D4*((E4+H4)/2+(F4+I4)/2)*'Сезонность'!$B$4</f>
        <v/>
      </c>
      <c r="K4" s="3">
        <f>MAX(0,H4-'Хранение до конца ноября'!H4*'Сезонность'!$C$5*'Сезонность'!$B$5)</f>
        <v/>
      </c>
      <c r="L4" s="3">
        <f>MAX(0,I4-'Хранение до конца ноября'!H4*'Сезонность'!$C$5*'Сезонность'!$E$5*'Сезонность'!$B$5)</f>
        <v/>
      </c>
      <c r="M4" s="5">
        <f>'Хранение до конца ноября'!D4*((H4+K4)/2+(I4+L4)/2)*'Сезонность'!$B$5</f>
        <v/>
      </c>
      <c r="N4" s="3">
        <f>MAX(0,K4-'Хранение до конца ноября'!H4*'Сезонность'!$C$6*'Сезонность'!$B$6)</f>
        <v/>
      </c>
      <c r="O4" s="3">
        <f>MAX(0,L4-'Хранение до конца ноября'!H4*'Сезонность'!$C$6*'Сезонность'!$E$6*'Сезонность'!$B$6)</f>
        <v/>
      </c>
      <c r="P4" s="5">
        <f>'Хранение до конца ноября'!D4*((K4+N4)/2+(L4+O4)/2)*'Сезонность'!$B$6</f>
        <v/>
      </c>
      <c r="Q4" s="3">
        <f>MAX(0,N4-'Хранение до конца ноября'!H4*'Сезонность'!$C$7*'Сезонность'!$B$7)</f>
        <v/>
      </c>
      <c r="R4" s="3">
        <f>MAX(0,O4-'Хранение до конца ноября'!H4*'Сезонность'!$C$7*'Сезонность'!$E$7*'Сезонность'!$B$7)</f>
        <v/>
      </c>
      <c r="S4" s="5">
        <f>'Хранение до конца ноября'!D4*((N4+Q4)/2+(O4+R4)/2)*'Сезонность'!$B$7</f>
        <v/>
      </c>
      <c r="T4" s="5">
        <f>D4+G4+J4+M4+P4+S4</f>
        <v/>
      </c>
      <c r="U4" s="3">
        <f>Q4+R4</f>
        <v/>
      </c>
    </row>
    <row r="5">
      <c r="A5" s="2">
        <f>'Хранение до конца ноября'!A5</f>
        <v/>
      </c>
      <c r="B5" s="3">
        <f>MAX(0,'Хранение до конца ноября'!E5-'Хранение до конца ноября'!H5*'Сезонность'!$C$2*'Сезонность'!$B$2)</f>
        <v/>
      </c>
      <c r="C5" s="3">
        <f>MAX(0,'Хранение до конца ноября'!F5-'Хранение до конца ноября'!H5*'Сезонность'!$C$2*'Сезонность'!$E$2*'Сезонность'!$B$2)</f>
        <v/>
      </c>
      <c r="D5" s="5">
        <f>'Хранение до конца ноября'!D5*(('Хранение до конца ноября'!E5+B5)/2+('Хранение до конца ноября'!F5+C5)/2)*'Сезонность'!$B$2</f>
        <v/>
      </c>
      <c r="E5" s="3">
        <f>MAX(0,B5-'Хранение до конца ноября'!H5*'Сезонность'!$C$3*'Сезонность'!$B$3)</f>
        <v/>
      </c>
      <c r="F5" s="3">
        <f>MAX(0,C5-'Хранение до конца ноября'!H5*'Сезонность'!$C$3*'Сезонность'!$E$3*'Сезонность'!$B$3)</f>
        <v/>
      </c>
      <c r="G5" s="5">
        <f>'Хранение до конца ноября'!D5*((B5+E5)/2+(C5+F5)/2)*'Сезонность'!$B$3</f>
        <v/>
      </c>
      <c r="H5" s="3">
        <f>MAX(0,E5-'Хранение до конца ноября'!H5*'Сезонность'!$C$4*'Сезонность'!$B$4)</f>
        <v/>
      </c>
      <c r="I5" s="3">
        <f>MAX(0,F5-'Хранение до конца ноября'!H5*'Сезонность'!$C$4*'Сезонность'!$E$4*'Сезонность'!$B$4)</f>
        <v/>
      </c>
      <c r="J5" s="5">
        <f>'Хранение до конца ноября'!D5*((E5+H5)/2+(F5+I5)/2)*'Сезонность'!$B$4</f>
        <v/>
      </c>
      <c r="K5" s="3">
        <f>MAX(0,H5-'Хранение до конца ноября'!H5*'Сезонность'!$C$5*'Сезонность'!$B$5)</f>
        <v/>
      </c>
      <c r="L5" s="3">
        <f>MAX(0,I5-'Хранение до конца ноября'!H5*'Сезонность'!$C$5*'Сезонность'!$E$5*'Сезонность'!$B$5)</f>
        <v/>
      </c>
      <c r="M5" s="5">
        <f>'Хранение до конца ноября'!D5*((H5+K5)/2+(I5+L5)/2)*'Сезонность'!$B$5</f>
        <v/>
      </c>
      <c r="N5" s="3">
        <f>MAX(0,K5-'Хранение до конца ноября'!H5*'Сезонность'!$C$6*'Сезонность'!$B$6)</f>
        <v/>
      </c>
      <c r="O5" s="3">
        <f>MAX(0,L5-'Хранение до конца ноября'!H5*'Сезонность'!$C$6*'Сезонность'!$E$6*'Сезонность'!$B$6)</f>
        <v/>
      </c>
      <c r="P5" s="5">
        <f>'Хранение до конца ноября'!D5*((K5+N5)/2+(L5+O5)/2)*'Сезонность'!$B$6</f>
        <v/>
      </c>
      <c r="Q5" s="3">
        <f>MAX(0,N5-'Хранение до конца ноября'!H5*'Сезонность'!$C$7*'Сезонность'!$B$7)</f>
        <v/>
      </c>
      <c r="R5" s="3">
        <f>MAX(0,O5-'Хранение до конца ноября'!H5*'Сезонность'!$C$7*'Сезонность'!$E$7*'Сезонность'!$B$7)</f>
        <v/>
      </c>
      <c r="S5" s="5">
        <f>'Хранение до конца ноября'!D5*((N5+Q5)/2+(O5+R5)/2)*'Сезонность'!$B$7</f>
        <v/>
      </c>
      <c r="T5" s="5">
        <f>D5+G5+J5+M5+P5+S5</f>
        <v/>
      </c>
      <c r="U5" s="3">
        <f>Q5+R5</f>
        <v/>
      </c>
    </row>
    <row r="6">
      <c r="A6" s="2">
        <f>'Хранение до конца ноября'!A6</f>
        <v/>
      </c>
      <c r="B6" s="3">
        <f>MAX(0,'Хранение до конца ноября'!E6-'Хранение до конца ноября'!H6*'Сезонность'!$C$2*'Сезонность'!$B$2)</f>
        <v/>
      </c>
      <c r="C6" s="3">
        <f>MAX(0,'Хранение до конца ноября'!F6-'Хранение до конца ноября'!H6*'Сезонность'!$C$2*'Сезонность'!$E$2*'Сезонность'!$B$2)</f>
        <v/>
      </c>
      <c r="D6" s="5">
        <f>'Хранение до конца ноября'!D6*(('Хранение до конца ноября'!E6+B6)/2+('Хранение до конца ноября'!F6+C6)/2)*'Сезонность'!$B$2</f>
        <v/>
      </c>
      <c r="E6" s="3">
        <f>MAX(0,B6-'Хранение до конца ноября'!H6*'Сезонность'!$C$3*'Сезонность'!$B$3)</f>
        <v/>
      </c>
      <c r="F6" s="3">
        <f>MAX(0,C6-'Хранение до конца ноября'!H6*'Сезонность'!$C$3*'Сезонность'!$E$3*'Сезонность'!$B$3)</f>
        <v/>
      </c>
      <c r="G6" s="5">
        <f>'Хранение до конца ноября'!D6*((B6+E6)/2+(C6+F6)/2)*'Сезонность'!$B$3</f>
        <v/>
      </c>
      <c r="H6" s="3">
        <f>MAX(0,E6-'Хранение до конца ноября'!H6*'Сезонность'!$C$4*'Сезонность'!$B$4)</f>
        <v/>
      </c>
      <c r="I6" s="3">
        <f>MAX(0,F6-'Хранение до конца ноября'!H6*'Сезонность'!$C$4*'Сезонность'!$E$4*'Сезонность'!$B$4)</f>
        <v/>
      </c>
      <c r="J6" s="5">
        <f>'Хранение до конца ноября'!D6*((E6+H6)/2+(F6+I6)/2)*'Сезонность'!$B$4</f>
        <v/>
      </c>
      <c r="K6" s="3">
        <f>MAX(0,H6-'Хранение до конца ноября'!H6*'Сезонность'!$C$5*'Сезонность'!$B$5)</f>
        <v/>
      </c>
      <c r="L6" s="3">
        <f>MAX(0,I6-'Хранение до конца ноября'!H6*'Сезонность'!$C$5*'Сезонность'!$E$5*'Сезонность'!$B$5)</f>
        <v/>
      </c>
      <c r="M6" s="5">
        <f>'Хранение до конца ноября'!D6*((H6+K6)/2+(I6+L6)/2)*'Сезонность'!$B$5</f>
        <v/>
      </c>
      <c r="N6" s="3">
        <f>MAX(0,K6-'Хранение до конца ноября'!H6*'Сезонность'!$C$6*'Сезонность'!$B$6)</f>
        <v/>
      </c>
      <c r="O6" s="3">
        <f>MAX(0,L6-'Хранение до конца ноября'!H6*'Сезонность'!$C$6*'Сезонность'!$E$6*'Сезонность'!$B$6)</f>
        <v/>
      </c>
      <c r="P6" s="5">
        <f>'Хранение до конца ноября'!D6*((K6+N6)/2+(L6+O6)/2)*'Сезонность'!$B$6</f>
        <v/>
      </c>
      <c r="Q6" s="3">
        <f>MAX(0,N6-'Хранение до конца ноября'!H6*'Сезонность'!$C$7*'Сезонность'!$B$7)</f>
        <v/>
      </c>
      <c r="R6" s="3">
        <f>MAX(0,O6-'Хранение до конца ноября'!H6*'Сезонность'!$C$7*'Сезонность'!$E$7*'Сезонность'!$B$7)</f>
        <v/>
      </c>
      <c r="S6" s="5">
        <f>'Хранение до конца ноября'!D6*((N6+Q6)/2+(O6+R6)/2)*'Сезонность'!$B$7</f>
        <v/>
      </c>
      <c r="T6" s="5">
        <f>D6+G6+J6+M6+P6+S6</f>
        <v/>
      </c>
      <c r="U6" s="3">
        <f>Q6+R6</f>
        <v/>
      </c>
    </row>
    <row r="7">
      <c r="A7" s="2">
        <f>'Хранение до конца ноября'!A7</f>
        <v/>
      </c>
      <c r="B7" s="3">
        <f>MAX(0,'Хранение до конца ноября'!E7-'Хранение до конца ноября'!H7*'Сезонность'!$C$2*'Сезонность'!$B$2)</f>
        <v/>
      </c>
      <c r="C7" s="3">
        <f>MAX(0,'Хранение до конца ноября'!F7-'Хранение до конца ноября'!H7*'Сезонность'!$C$2*'Сезонность'!$E$2*'Сезонность'!$B$2)</f>
        <v/>
      </c>
      <c r="D7" s="5">
        <f>'Хранение до конца ноября'!D7*(('Хранение до конца ноября'!E7+B7)/2+('Хранение до конца ноября'!F7+C7)/2)*'Сезонность'!$B$2</f>
        <v/>
      </c>
      <c r="E7" s="3">
        <f>MAX(0,B7-'Хранение до конца ноября'!H7*'Сезонность'!$C$3*'Сезонность'!$B$3)</f>
        <v/>
      </c>
      <c r="F7" s="3">
        <f>MAX(0,C7-'Хранение до конца ноября'!H7*'Сезонность'!$C$3*'Сезонность'!$E$3*'Сезонность'!$B$3)</f>
        <v/>
      </c>
      <c r="G7" s="5">
        <f>'Хранение до конца ноября'!D7*((B7+E7)/2+(C7+F7)/2)*'Сезонность'!$B$3</f>
        <v/>
      </c>
      <c r="H7" s="3">
        <f>MAX(0,E7-'Хранение до конца ноября'!H7*'Сезонность'!$C$4*'Сезонность'!$B$4)</f>
        <v/>
      </c>
      <c r="I7" s="3">
        <f>MAX(0,F7-'Хранение до конца ноября'!H7*'Сезонность'!$C$4*'Сезонность'!$E$4*'Сезонность'!$B$4)</f>
        <v/>
      </c>
      <c r="J7" s="5">
        <f>'Хранение до конца ноября'!D7*((E7+H7)/2+(F7+I7)/2)*'Сезонность'!$B$4</f>
        <v/>
      </c>
      <c r="K7" s="3">
        <f>MAX(0,H7-'Хранение до конца ноября'!H7*'Сезонность'!$C$5*'Сезонность'!$B$5)</f>
        <v/>
      </c>
      <c r="L7" s="3">
        <f>MAX(0,I7-'Хранение до конца ноября'!H7*'Сезонность'!$C$5*'Сезонность'!$E$5*'Сезонность'!$B$5)</f>
        <v/>
      </c>
      <c r="M7" s="5">
        <f>'Хранение до конца ноября'!D7*((H7+K7)/2+(I7+L7)/2)*'Сезонность'!$B$5</f>
        <v/>
      </c>
      <c r="N7" s="3">
        <f>MAX(0,K7-'Хранение до конца ноября'!H7*'Сезонность'!$C$6*'Сезонность'!$B$6)</f>
        <v/>
      </c>
      <c r="O7" s="3">
        <f>MAX(0,L7-'Хранение до конца ноября'!H7*'Сезонность'!$C$6*'Сезонность'!$E$6*'Сезонность'!$B$6)</f>
        <v/>
      </c>
      <c r="P7" s="5">
        <f>'Хранение до конца ноября'!D7*((K7+N7)/2+(L7+O7)/2)*'Сезонность'!$B$6</f>
        <v/>
      </c>
      <c r="Q7" s="3">
        <f>MAX(0,N7-'Хранение до конца ноября'!H7*'Сезонность'!$C$7*'Сезонность'!$B$7)</f>
        <v/>
      </c>
      <c r="R7" s="3">
        <f>MAX(0,O7-'Хранение до конца ноября'!H7*'Сезонность'!$C$7*'Сезонность'!$E$7*'Сезонность'!$B$7)</f>
        <v/>
      </c>
      <c r="S7" s="5">
        <f>'Хранение до конца ноября'!D7*((N7+Q7)/2+(O7+R7)/2)*'Сезонность'!$B$7</f>
        <v/>
      </c>
      <c r="T7" s="5">
        <f>D7+G7+J7+M7+P7+S7</f>
        <v/>
      </c>
      <c r="U7" s="3">
        <f>Q7+R7</f>
        <v/>
      </c>
    </row>
    <row r="8">
      <c r="A8" s="2">
        <f>'Хранение до конца ноября'!A8</f>
        <v/>
      </c>
      <c r="B8" s="3">
        <f>MAX(0,'Хранение до конца ноября'!E8-'Хранение до конца ноября'!H8*'Сезонность'!$C$2*'Сезонность'!$B$2)</f>
        <v/>
      </c>
      <c r="C8" s="3">
        <f>MAX(0,'Хранение до конца ноября'!F8-'Хранение до конца ноября'!H8*'Сезонность'!$C$2*'Сезонность'!$E$2*'Сезонность'!$B$2)</f>
        <v/>
      </c>
      <c r="D8" s="5">
        <f>'Хранение до конца ноября'!D8*(('Хранение до конца ноября'!E8+B8)/2+('Хранение до конца ноября'!F8+C8)/2)*'Сезонность'!$B$2</f>
        <v/>
      </c>
      <c r="E8" s="3">
        <f>MAX(0,B8-'Хранение до конца ноября'!H8*'Сезонность'!$C$3*'Сезонность'!$B$3)</f>
        <v/>
      </c>
      <c r="F8" s="3">
        <f>MAX(0,C8-'Хранение до конца ноября'!H8*'Сезонность'!$C$3*'Сезонность'!$E$3*'Сезонность'!$B$3)</f>
        <v/>
      </c>
      <c r="G8" s="5">
        <f>'Хранение до конца ноября'!D8*((B8+E8)/2+(C8+F8)/2)*'Сезонность'!$B$3</f>
        <v/>
      </c>
      <c r="H8" s="3">
        <f>MAX(0,E8-'Хранение до конца ноября'!H8*'Сезонность'!$C$4*'Сезонность'!$B$4)</f>
        <v/>
      </c>
      <c r="I8" s="3">
        <f>MAX(0,F8-'Хранение до конца ноября'!H8*'Сезонность'!$C$4*'Сезонность'!$E$4*'Сезонность'!$B$4)</f>
        <v/>
      </c>
      <c r="J8" s="5">
        <f>'Хранение до конца ноября'!D8*((E8+H8)/2+(F8+I8)/2)*'Сезонность'!$B$4</f>
        <v/>
      </c>
      <c r="K8" s="3">
        <f>MAX(0,H8-'Хранение до конца ноября'!H8*'Сезонность'!$C$5*'Сезонность'!$B$5)</f>
        <v/>
      </c>
      <c r="L8" s="3">
        <f>MAX(0,I8-'Хранение до конца ноября'!H8*'Сезонность'!$C$5*'Сезонность'!$E$5*'Сезонность'!$B$5)</f>
        <v/>
      </c>
      <c r="M8" s="5">
        <f>'Хранение до конца ноября'!D8*((H8+K8)/2+(I8+L8)/2)*'Сезонность'!$B$5</f>
        <v/>
      </c>
      <c r="N8" s="3">
        <f>MAX(0,K8-'Хранение до конца ноября'!H8*'Сезонность'!$C$6*'Сезонность'!$B$6)</f>
        <v/>
      </c>
      <c r="O8" s="3">
        <f>MAX(0,L8-'Хранение до конца ноября'!H8*'Сезонность'!$C$6*'Сезонность'!$E$6*'Сезонность'!$B$6)</f>
        <v/>
      </c>
      <c r="P8" s="5">
        <f>'Хранение до конца ноября'!D8*((K8+N8)/2+(L8+O8)/2)*'Сезонность'!$B$6</f>
        <v/>
      </c>
      <c r="Q8" s="3">
        <f>MAX(0,N8-'Хранение до конца ноября'!H8*'Сезонность'!$C$7*'Сезонность'!$B$7)</f>
        <v/>
      </c>
      <c r="R8" s="3">
        <f>MAX(0,O8-'Хранение до конца ноября'!H8*'Сезонность'!$C$7*'Сезонность'!$E$7*'Сезонность'!$B$7)</f>
        <v/>
      </c>
      <c r="S8" s="5">
        <f>'Хранение до конца ноября'!D8*((N8+Q8)/2+(O8+R8)/2)*'Сезонность'!$B$7</f>
        <v/>
      </c>
      <c r="T8" s="5">
        <f>D8+G8+J8+M8+P8+S8</f>
        <v/>
      </c>
      <c r="U8" s="3">
        <f>Q8+R8</f>
        <v/>
      </c>
    </row>
    <row r="9">
      <c r="A9" s="2">
        <f>'Хранение до конца ноября'!A9</f>
        <v/>
      </c>
      <c r="B9" s="3">
        <f>MAX(0,'Хранение до конца ноября'!E9-'Хранение до конца ноября'!H9*'Сезонность'!$C$2*'Сезонность'!$B$2)</f>
        <v/>
      </c>
      <c r="C9" s="3">
        <f>MAX(0,'Хранение до конца ноября'!F9-'Хранение до конца ноября'!H9*'Сезонность'!$C$2*'Сезонность'!$E$2*'Сезонность'!$B$2)</f>
        <v/>
      </c>
      <c r="D9" s="5">
        <f>'Хранение до конца ноября'!D9*(('Хранение до конца ноября'!E9+B9)/2+('Хранение до конца ноября'!F9+C9)/2)*'Сезонность'!$B$2</f>
        <v/>
      </c>
      <c r="E9" s="3">
        <f>MAX(0,B9-'Хранение до конца ноября'!H9*'Сезонность'!$C$3*'Сезонность'!$B$3)</f>
        <v/>
      </c>
      <c r="F9" s="3">
        <f>MAX(0,C9-'Хранение до конца ноября'!H9*'Сезонность'!$C$3*'Сезонность'!$E$3*'Сезонность'!$B$3)</f>
        <v/>
      </c>
      <c r="G9" s="5">
        <f>'Хранение до конца ноября'!D9*((B9+E9)/2+(C9+F9)/2)*'Сезонность'!$B$3</f>
        <v/>
      </c>
      <c r="H9" s="3">
        <f>MAX(0,E9-'Хранение до конца ноября'!H9*'Сезонность'!$C$4*'Сезонность'!$B$4)</f>
        <v/>
      </c>
      <c r="I9" s="3">
        <f>MAX(0,F9-'Хранение до конца ноября'!H9*'Сезонность'!$C$4*'Сезонность'!$E$4*'Сезонность'!$B$4)</f>
        <v/>
      </c>
      <c r="J9" s="5">
        <f>'Хранение до конца ноября'!D9*((E9+H9)/2+(F9+I9)/2)*'Сезонность'!$B$4</f>
        <v/>
      </c>
      <c r="K9" s="3">
        <f>MAX(0,H9-'Хранение до конца ноября'!H9*'Сезонность'!$C$5*'Сезонность'!$B$5)</f>
        <v/>
      </c>
      <c r="L9" s="3">
        <f>MAX(0,I9-'Хранение до конца ноября'!H9*'Сезонность'!$C$5*'Сезонность'!$E$5*'Сезонность'!$B$5)</f>
        <v/>
      </c>
      <c r="M9" s="5">
        <f>'Хранение до конца ноября'!D9*((H9+K9)/2+(I9+L9)/2)*'Сезонность'!$B$5</f>
        <v/>
      </c>
      <c r="N9" s="3">
        <f>MAX(0,K9-'Хранение до конца ноября'!H9*'Сезонность'!$C$6*'Сезонность'!$B$6)</f>
        <v/>
      </c>
      <c r="O9" s="3">
        <f>MAX(0,L9-'Хранение до конца ноября'!H9*'Сезонность'!$C$6*'Сезонность'!$E$6*'Сезонность'!$B$6)</f>
        <v/>
      </c>
      <c r="P9" s="5">
        <f>'Хранение до конца ноября'!D9*((K9+N9)/2+(L9+O9)/2)*'Сезонность'!$B$6</f>
        <v/>
      </c>
      <c r="Q9" s="3">
        <f>MAX(0,N9-'Хранение до конца ноября'!H9*'Сезонность'!$C$7*'Сезонность'!$B$7)</f>
        <v/>
      </c>
      <c r="R9" s="3">
        <f>MAX(0,O9-'Хранение до конца ноября'!H9*'Сезонность'!$C$7*'Сезонность'!$E$7*'Сезонность'!$B$7)</f>
        <v/>
      </c>
      <c r="S9" s="5">
        <f>'Хранение до конца ноября'!D9*((N9+Q9)/2+(O9+R9)/2)*'Сезонность'!$B$7</f>
        <v/>
      </c>
      <c r="T9" s="5">
        <f>D9+G9+J9+M9+P9+S9</f>
        <v/>
      </c>
      <c r="U9" s="3">
        <f>Q9+R9</f>
        <v/>
      </c>
    </row>
    <row r="10">
      <c r="A10" s="2">
        <f>'Хранение до конца ноября'!A10</f>
        <v/>
      </c>
      <c r="B10" s="3">
        <f>MAX(0,'Хранение до конца ноября'!E10-'Хранение до конца ноября'!H10*'Сезонность'!$C$2*'Сезонность'!$B$2)</f>
        <v/>
      </c>
      <c r="C10" s="3">
        <f>MAX(0,'Хранение до конца ноября'!F10-'Хранение до конца ноября'!H10*'Сезонность'!$C$2*'Сезонность'!$E$2*'Сезонность'!$B$2)</f>
        <v/>
      </c>
      <c r="D10" s="5">
        <f>'Хранение до конца ноября'!D10*(('Хранение до конца ноября'!E10+B10)/2+('Хранение до конца ноября'!F10+C10)/2)*'Сезонность'!$B$2</f>
        <v/>
      </c>
      <c r="E10" s="3">
        <f>MAX(0,B10-'Хранение до конца ноября'!H10*'Сезонность'!$C$3*'Сезонность'!$B$3)</f>
        <v/>
      </c>
      <c r="F10" s="3">
        <f>MAX(0,C10-'Хранение до конца ноября'!H10*'Сезонность'!$C$3*'Сезонность'!$E$3*'Сезонность'!$B$3)</f>
        <v/>
      </c>
      <c r="G10" s="5">
        <f>'Хранение до конца ноября'!D10*((B10+E10)/2+(C10+F10)/2)*'Сезонность'!$B$3</f>
        <v/>
      </c>
      <c r="H10" s="3">
        <f>MAX(0,E10-'Хранение до конца ноября'!H10*'Сезонность'!$C$4*'Сезонность'!$B$4)</f>
        <v/>
      </c>
      <c r="I10" s="3">
        <f>MAX(0,F10-'Хранение до конца ноября'!H10*'Сезонность'!$C$4*'Сезонность'!$E$4*'Сезонность'!$B$4)</f>
        <v/>
      </c>
      <c r="J10" s="5">
        <f>'Хранение до конца ноября'!D10*((E10+H10)/2+(F10+I10)/2)*'Сезонность'!$B$4</f>
        <v/>
      </c>
      <c r="K10" s="3">
        <f>MAX(0,H10-'Хранение до конца ноября'!H10*'Сезонность'!$C$5*'Сезонность'!$B$5)</f>
        <v/>
      </c>
      <c r="L10" s="3">
        <f>MAX(0,I10-'Хранение до конца ноября'!H10*'Сезонность'!$C$5*'Сезонность'!$E$5*'Сезонность'!$B$5)</f>
        <v/>
      </c>
      <c r="M10" s="5">
        <f>'Хранение до конца ноября'!D10*((H10+K10)/2+(I10+L10)/2)*'Сезонность'!$B$5</f>
        <v/>
      </c>
      <c r="N10" s="3">
        <f>MAX(0,K10-'Хранение до конца ноября'!H10*'Сезонность'!$C$6*'Сезонность'!$B$6)</f>
        <v/>
      </c>
      <c r="O10" s="3">
        <f>MAX(0,L10-'Хранение до конца ноября'!H10*'Сезонность'!$C$6*'Сезонность'!$E$6*'Сезонность'!$B$6)</f>
        <v/>
      </c>
      <c r="P10" s="5">
        <f>'Хранение до конца ноября'!D10*((K10+N10)/2+(L10+O10)/2)*'Сезонность'!$B$6</f>
        <v/>
      </c>
      <c r="Q10" s="3">
        <f>MAX(0,N10-'Хранение до конца ноября'!H10*'Сезонность'!$C$7*'Сезонность'!$B$7)</f>
        <v/>
      </c>
      <c r="R10" s="3">
        <f>MAX(0,O10-'Хранение до конца ноября'!H10*'Сезонность'!$C$7*'Сезонность'!$E$7*'Сезонность'!$B$7)</f>
        <v/>
      </c>
      <c r="S10" s="5">
        <f>'Хранение до конца ноября'!D10*((N10+Q10)/2+(O10+R10)/2)*'Сезонность'!$B$7</f>
        <v/>
      </c>
      <c r="T10" s="5">
        <f>D10+G10+J10+M10+P10+S10</f>
        <v/>
      </c>
      <c r="U10" s="3">
        <f>Q10+R10</f>
        <v/>
      </c>
    </row>
    <row r="11">
      <c r="A11" s="2">
        <f>'Хранение до конца ноября'!A11</f>
        <v/>
      </c>
      <c r="B11" s="3">
        <f>MAX(0,'Хранение до конца ноября'!E11-'Хранение до конца ноября'!H11*'Сезонность'!$C$2*'Сезонность'!$B$2)</f>
        <v/>
      </c>
      <c r="C11" s="3">
        <f>MAX(0,'Хранение до конца ноября'!F11-'Хранение до конца ноября'!H11*'Сезонность'!$C$2*'Сезонность'!$E$2*'Сезонность'!$B$2)</f>
        <v/>
      </c>
      <c r="D11" s="5">
        <f>'Хранение до конца ноября'!D11*(('Хранение до конца ноября'!E11+B11)/2+('Хранение до конца ноября'!F11+C11)/2)*'Сезонность'!$B$2</f>
        <v/>
      </c>
      <c r="E11" s="3">
        <f>MAX(0,B11-'Хранение до конца ноября'!H11*'Сезонность'!$C$3*'Сезонность'!$B$3)</f>
        <v/>
      </c>
      <c r="F11" s="3">
        <f>MAX(0,C11-'Хранение до конца ноября'!H11*'Сезонность'!$C$3*'Сезонность'!$E$3*'Сезонность'!$B$3)</f>
        <v/>
      </c>
      <c r="G11" s="5">
        <f>'Хранение до конца ноября'!D11*((B11+E11)/2+(C11+F11)/2)*'Сезонность'!$B$3</f>
        <v/>
      </c>
      <c r="H11" s="3">
        <f>MAX(0,E11-'Хранение до конца ноября'!H11*'Сезонность'!$C$4*'Сезонность'!$B$4)</f>
        <v/>
      </c>
      <c r="I11" s="3">
        <f>MAX(0,F11-'Хранение до конца ноября'!H11*'Сезонность'!$C$4*'Сезонность'!$E$4*'Сезонность'!$B$4)</f>
        <v/>
      </c>
      <c r="J11" s="5">
        <f>'Хранение до конца ноября'!D11*((E11+H11)/2+(F11+I11)/2)*'Сезонность'!$B$4</f>
        <v/>
      </c>
      <c r="K11" s="3">
        <f>MAX(0,H11-'Хранение до конца ноября'!H11*'Сезонность'!$C$5*'Сезонность'!$B$5)</f>
        <v/>
      </c>
      <c r="L11" s="3">
        <f>MAX(0,I11-'Хранение до конца ноября'!H11*'Сезонность'!$C$5*'Сезонность'!$E$5*'Сезонность'!$B$5)</f>
        <v/>
      </c>
      <c r="M11" s="5">
        <f>'Хранение до конца ноября'!D11*((H11+K11)/2+(I11+L11)/2)*'Сезонность'!$B$5</f>
        <v/>
      </c>
      <c r="N11" s="3">
        <f>MAX(0,K11-'Хранение до конца ноября'!H11*'Сезонность'!$C$6*'Сезонность'!$B$6)</f>
        <v/>
      </c>
      <c r="O11" s="3">
        <f>MAX(0,L11-'Хранение до конца ноября'!H11*'Сезонность'!$C$6*'Сезонность'!$E$6*'Сезонность'!$B$6)</f>
        <v/>
      </c>
      <c r="P11" s="5">
        <f>'Хранение до конца ноября'!D11*((K11+N11)/2+(L11+O11)/2)*'Сезонность'!$B$6</f>
        <v/>
      </c>
      <c r="Q11" s="3">
        <f>MAX(0,N11-'Хранение до конца ноября'!H11*'Сезонность'!$C$7*'Сезонность'!$B$7)</f>
        <v/>
      </c>
      <c r="R11" s="3">
        <f>MAX(0,O11-'Хранение до конца ноября'!H11*'Сезонность'!$C$7*'Сезонность'!$E$7*'Сезонность'!$B$7)</f>
        <v/>
      </c>
      <c r="S11" s="5">
        <f>'Хранение до конца ноября'!D11*((N11+Q11)/2+(O11+R11)/2)*'Сезонность'!$B$7</f>
        <v/>
      </c>
      <c r="T11" s="5">
        <f>D11+G11+J11+M11+P11+S11</f>
        <v/>
      </c>
      <c r="U11" s="3">
        <f>Q11+R11</f>
        <v/>
      </c>
    </row>
    <row r="12">
      <c r="A12" s="2">
        <f>'Хранение до конца ноября'!A12</f>
        <v/>
      </c>
      <c r="B12" s="3">
        <f>MAX(0,'Хранение до конца ноября'!E12-'Хранение до конца ноября'!H12*'Сезонность'!$C$2*'Сезонность'!$B$2)</f>
        <v/>
      </c>
      <c r="C12" s="3">
        <f>MAX(0,'Хранение до конца ноября'!F12-'Хранение до конца ноября'!H12*'Сезонность'!$C$2*'Сезонность'!$E$2*'Сезонность'!$B$2)</f>
        <v/>
      </c>
      <c r="D12" s="5">
        <f>'Хранение до конца ноября'!D12*(('Хранение до конца ноября'!E12+B12)/2+('Хранение до конца ноября'!F12+C12)/2)*'Сезонность'!$B$2</f>
        <v/>
      </c>
      <c r="E12" s="3">
        <f>MAX(0,B12-'Хранение до конца ноября'!H12*'Сезонность'!$C$3*'Сезонность'!$B$3)</f>
        <v/>
      </c>
      <c r="F12" s="3">
        <f>MAX(0,C12-'Хранение до конца ноября'!H12*'Сезонность'!$C$3*'Сезонность'!$E$3*'Сезонность'!$B$3)</f>
        <v/>
      </c>
      <c r="G12" s="5">
        <f>'Хранение до конца ноября'!D12*((B12+E12)/2+(C12+F12)/2)*'Сезонность'!$B$3</f>
        <v/>
      </c>
      <c r="H12" s="3">
        <f>MAX(0,E12-'Хранение до конца ноября'!H12*'Сезонность'!$C$4*'Сезонность'!$B$4)</f>
        <v/>
      </c>
      <c r="I12" s="3">
        <f>MAX(0,F12-'Хранение до конца ноября'!H12*'Сезонность'!$C$4*'Сезонность'!$E$4*'Сезонность'!$B$4)</f>
        <v/>
      </c>
      <c r="J12" s="5">
        <f>'Хранение до конца ноября'!D12*((E12+H12)/2+(F12+I12)/2)*'Сезонность'!$B$4</f>
        <v/>
      </c>
      <c r="K12" s="3">
        <f>MAX(0,H12-'Хранение до конца ноября'!H12*'Сезонность'!$C$5*'Сезонность'!$B$5)</f>
        <v/>
      </c>
      <c r="L12" s="3">
        <f>MAX(0,I12-'Хранение до конца ноября'!H12*'Сезонность'!$C$5*'Сезонность'!$E$5*'Сезонность'!$B$5)</f>
        <v/>
      </c>
      <c r="M12" s="5">
        <f>'Хранение до конца ноября'!D12*((H12+K12)/2+(I12+L12)/2)*'Сезонность'!$B$5</f>
        <v/>
      </c>
      <c r="N12" s="3">
        <f>MAX(0,K12-'Хранение до конца ноября'!H12*'Сезонность'!$C$6*'Сезонность'!$B$6)</f>
        <v/>
      </c>
      <c r="O12" s="3">
        <f>MAX(0,L12-'Хранение до конца ноября'!H12*'Сезонность'!$C$6*'Сезонность'!$E$6*'Сезонность'!$B$6)</f>
        <v/>
      </c>
      <c r="P12" s="5">
        <f>'Хранение до конца ноября'!D12*((K12+N12)/2+(L12+O12)/2)*'Сезонность'!$B$6</f>
        <v/>
      </c>
      <c r="Q12" s="3">
        <f>MAX(0,N12-'Хранение до конца ноября'!H12*'Сезонность'!$C$7*'Сезонность'!$B$7)</f>
        <v/>
      </c>
      <c r="R12" s="3">
        <f>MAX(0,O12-'Хранение до конца ноября'!H12*'Сезонность'!$C$7*'Сезонность'!$E$7*'Сезонность'!$B$7)</f>
        <v/>
      </c>
      <c r="S12" s="5">
        <f>'Хранение до конца ноября'!D12*((N12+Q12)/2+(O12+R12)/2)*'Сезонность'!$B$7</f>
        <v/>
      </c>
      <c r="T12" s="5">
        <f>D12+G12+J12+M12+P12+S12</f>
        <v/>
      </c>
      <c r="U12" s="3">
        <f>Q12+R12</f>
        <v/>
      </c>
    </row>
    <row r="13">
      <c r="A13" s="2">
        <f>'Хранение до конца ноября'!A13</f>
        <v/>
      </c>
      <c r="B13" s="3">
        <f>MAX(0,'Хранение до конца ноября'!E13-'Хранение до конца ноября'!H13*'Сезонность'!$C$2*'Сезонность'!$B$2)</f>
        <v/>
      </c>
      <c r="C13" s="3">
        <f>MAX(0,'Хранение до конца ноября'!F13-'Хранение до конца ноября'!H13*'Сезонность'!$C$2*'Сезонность'!$E$2*'Сезонность'!$B$2)</f>
        <v/>
      </c>
      <c r="D13" s="5">
        <f>'Хранение до конца ноября'!D13*(('Хранение до конца ноября'!E13+B13)/2+('Хранение до конца ноября'!F13+C13)/2)*'Сезонность'!$B$2</f>
        <v/>
      </c>
      <c r="E13" s="3">
        <f>MAX(0,B13-'Хранение до конца ноября'!H13*'Сезонность'!$C$3*'Сезонность'!$B$3)</f>
        <v/>
      </c>
      <c r="F13" s="3">
        <f>MAX(0,C13-'Хранение до конца ноября'!H13*'Сезонность'!$C$3*'Сезонность'!$E$3*'Сезонность'!$B$3)</f>
        <v/>
      </c>
      <c r="G13" s="5">
        <f>'Хранение до конца ноября'!D13*((B13+E13)/2+(C13+F13)/2)*'Сезонность'!$B$3</f>
        <v/>
      </c>
      <c r="H13" s="3">
        <f>MAX(0,E13-'Хранение до конца ноября'!H13*'Сезонность'!$C$4*'Сезонность'!$B$4)</f>
        <v/>
      </c>
      <c r="I13" s="3">
        <f>MAX(0,F13-'Хранение до конца ноября'!H13*'Сезонность'!$C$4*'Сезонность'!$E$4*'Сезонность'!$B$4)</f>
        <v/>
      </c>
      <c r="J13" s="5">
        <f>'Хранение до конца ноября'!D13*((E13+H13)/2+(F13+I13)/2)*'Сезонность'!$B$4</f>
        <v/>
      </c>
      <c r="K13" s="3">
        <f>MAX(0,H13-'Хранение до конца ноября'!H13*'Сезонность'!$C$5*'Сезонность'!$B$5)</f>
        <v/>
      </c>
      <c r="L13" s="3">
        <f>MAX(0,I13-'Хранение до конца ноября'!H13*'Сезонность'!$C$5*'Сезонность'!$E$5*'Сезонность'!$B$5)</f>
        <v/>
      </c>
      <c r="M13" s="5">
        <f>'Хранение до конца ноября'!D13*((H13+K13)/2+(I13+L13)/2)*'Сезонность'!$B$5</f>
        <v/>
      </c>
      <c r="N13" s="3">
        <f>MAX(0,K13-'Хранение до конца ноября'!H13*'Сезонность'!$C$6*'Сезонность'!$B$6)</f>
        <v/>
      </c>
      <c r="O13" s="3">
        <f>MAX(0,L13-'Хранение до конца ноября'!H13*'Сезонность'!$C$6*'Сезонность'!$E$6*'Сезонность'!$B$6)</f>
        <v/>
      </c>
      <c r="P13" s="5">
        <f>'Хранение до конца ноября'!D13*((K13+N13)/2+(L13+O13)/2)*'Сезонность'!$B$6</f>
        <v/>
      </c>
      <c r="Q13" s="3">
        <f>MAX(0,N13-'Хранение до конца ноября'!H13*'Сезонность'!$C$7*'Сезонность'!$B$7)</f>
        <v/>
      </c>
      <c r="R13" s="3">
        <f>MAX(0,O13-'Хранение до конца ноября'!H13*'Сезонность'!$C$7*'Сезонность'!$E$7*'Сезонность'!$B$7)</f>
        <v/>
      </c>
      <c r="S13" s="5">
        <f>'Хранение до конца ноября'!D13*((N13+Q13)/2+(O13+R13)/2)*'Сезонность'!$B$7</f>
        <v/>
      </c>
      <c r="T13" s="5">
        <f>D13+G13+J13+M13+P13+S13</f>
        <v/>
      </c>
      <c r="U13" s="3">
        <f>Q13+R13</f>
        <v/>
      </c>
    </row>
    <row r="14">
      <c r="A14" s="2">
        <f>'Хранение до конца ноября'!A14</f>
        <v/>
      </c>
      <c r="B14" s="3">
        <f>MAX(0,'Хранение до конца ноября'!E14-'Хранение до конца ноября'!H14*'Сезонность'!$C$2*'Сезонность'!$B$2)</f>
        <v/>
      </c>
      <c r="C14" s="3">
        <f>MAX(0,'Хранение до конца ноября'!F14-'Хранение до конца ноября'!H14*'Сезонность'!$C$2*'Сезонность'!$E$2*'Сезонность'!$B$2)</f>
        <v/>
      </c>
      <c r="D14" s="5">
        <f>'Хранение до конца ноября'!D14*(('Хранение до конца ноября'!E14+B14)/2+('Хранение до конца ноября'!F14+C14)/2)*'Сезонность'!$B$2</f>
        <v/>
      </c>
      <c r="E14" s="3">
        <f>MAX(0,B14-'Хранение до конца ноября'!H14*'Сезонность'!$C$3*'Сезонность'!$B$3)</f>
        <v/>
      </c>
      <c r="F14" s="3">
        <f>MAX(0,C14-'Хранение до конца ноября'!H14*'Сезонность'!$C$3*'Сезонность'!$E$3*'Сезонность'!$B$3)</f>
        <v/>
      </c>
      <c r="G14" s="5">
        <f>'Хранение до конца ноября'!D14*((B14+E14)/2+(C14+F14)/2)*'Сезонность'!$B$3</f>
        <v/>
      </c>
      <c r="H14" s="3">
        <f>MAX(0,E14-'Хранение до конца ноября'!H14*'Сезонность'!$C$4*'Сезонность'!$B$4)</f>
        <v/>
      </c>
      <c r="I14" s="3">
        <f>MAX(0,F14-'Хранение до конца ноября'!H14*'Сезонность'!$C$4*'Сезонность'!$E$4*'Сезонность'!$B$4)</f>
        <v/>
      </c>
      <c r="J14" s="5">
        <f>'Хранение до конца ноября'!D14*((E14+H14)/2+(F14+I14)/2)*'Сезонность'!$B$4</f>
        <v/>
      </c>
      <c r="K14" s="3">
        <f>MAX(0,H14-'Хранение до конца ноября'!H14*'Сезонность'!$C$5*'Сезонность'!$B$5)</f>
        <v/>
      </c>
      <c r="L14" s="3">
        <f>MAX(0,I14-'Хранение до конца ноября'!H14*'Сезонность'!$C$5*'Сезонность'!$E$5*'Сезонность'!$B$5)</f>
        <v/>
      </c>
      <c r="M14" s="5">
        <f>'Хранение до конца ноября'!D14*((H14+K14)/2+(I14+L14)/2)*'Сезонность'!$B$5</f>
        <v/>
      </c>
      <c r="N14" s="3">
        <f>MAX(0,K14-'Хранение до конца ноября'!H14*'Сезонность'!$C$6*'Сезонность'!$B$6)</f>
        <v/>
      </c>
      <c r="O14" s="3">
        <f>MAX(0,L14-'Хранение до конца ноября'!H14*'Сезонность'!$C$6*'Сезонность'!$E$6*'Сезонность'!$B$6)</f>
        <v/>
      </c>
      <c r="P14" s="5">
        <f>'Хранение до конца ноября'!D14*((K14+N14)/2+(L14+O14)/2)*'Сезонность'!$B$6</f>
        <v/>
      </c>
      <c r="Q14" s="3">
        <f>MAX(0,N14-'Хранение до конца ноября'!H14*'Сезонность'!$C$7*'Сезонность'!$B$7)</f>
        <v/>
      </c>
      <c r="R14" s="3">
        <f>MAX(0,O14-'Хранение до конца ноября'!H14*'Сезонность'!$C$7*'Сезонность'!$E$7*'Сезонность'!$B$7)</f>
        <v/>
      </c>
      <c r="S14" s="5">
        <f>'Хранение до конца ноября'!D14*((N14+Q14)/2+(O14+R14)/2)*'Сезонность'!$B$7</f>
        <v/>
      </c>
      <c r="T14" s="5">
        <f>D14+G14+J14+M14+P14+S14</f>
        <v/>
      </c>
      <c r="U14" s="3">
        <f>Q14+R14</f>
        <v/>
      </c>
    </row>
    <row r="15">
      <c r="A15" s="2">
        <f>'Хранение до конца ноября'!A15</f>
        <v/>
      </c>
      <c r="B15" s="3">
        <f>MAX(0,'Хранение до конца ноября'!E15-'Хранение до конца ноября'!H15*'Сезонность'!$C$2*'Сезонность'!$B$2)</f>
        <v/>
      </c>
      <c r="C15" s="3">
        <f>MAX(0,'Хранение до конца ноября'!F15-'Хранение до конца ноября'!H15*'Сезонность'!$C$2*'Сезонность'!$E$2*'Сезонность'!$B$2)</f>
        <v/>
      </c>
      <c r="D15" s="5">
        <f>'Хранение до конца ноября'!D15*(('Хранение до конца ноября'!E15+B15)/2+('Хранение до конца ноября'!F15+C15)/2)*'Сезонность'!$B$2</f>
        <v/>
      </c>
      <c r="E15" s="3">
        <f>MAX(0,B15-'Хранение до конца ноября'!H15*'Сезонность'!$C$3*'Сезонность'!$B$3)</f>
        <v/>
      </c>
      <c r="F15" s="3">
        <f>MAX(0,C15-'Хранение до конца ноября'!H15*'Сезонность'!$C$3*'Сезонность'!$E$3*'Сезонность'!$B$3)</f>
        <v/>
      </c>
      <c r="G15" s="5">
        <f>'Хранение до конца ноября'!D15*((B15+E15)/2+(C15+F15)/2)*'Сезонность'!$B$3</f>
        <v/>
      </c>
      <c r="H15" s="3">
        <f>MAX(0,E15-'Хранение до конца ноября'!H15*'Сезонность'!$C$4*'Сезонность'!$B$4)</f>
        <v/>
      </c>
      <c r="I15" s="3">
        <f>MAX(0,F15-'Хранение до конца ноября'!H15*'Сезонность'!$C$4*'Сезонность'!$E$4*'Сезонность'!$B$4)</f>
        <v/>
      </c>
      <c r="J15" s="5">
        <f>'Хранение до конца ноября'!D15*((E15+H15)/2+(F15+I15)/2)*'Сезонность'!$B$4</f>
        <v/>
      </c>
      <c r="K15" s="3">
        <f>MAX(0,H15-'Хранение до конца ноября'!H15*'Сезонность'!$C$5*'Сезонность'!$B$5)</f>
        <v/>
      </c>
      <c r="L15" s="3">
        <f>MAX(0,I15-'Хранение до конца ноября'!H15*'Сезонность'!$C$5*'Сезонность'!$E$5*'Сезонность'!$B$5)</f>
        <v/>
      </c>
      <c r="M15" s="5">
        <f>'Хранение до конца ноября'!D15*((H15+K15)/2+(I15+L15)/2)*'Сезонность'!$B$5</f>
        <v/>
      </c>
      <c r="N15" s="3">
        <f>MAX(0,K15-'Хранение до конца ноября'!H15*'Сезонность'!$C$6*'Сезонность'!$B$6)</f>
        <v/>
      </c>
      <c r="O15" s="3">
        <f>MAX(0,L15-'Хранение до конца ноября'!H15*'Сезонность'!$C$6*'Сезонность'!$E$6*'Сезонность'!$B$6)</f>
        <v/>
      </c>
      <c r="P15" s="5">
        <f>'Хранение до конца ноября'!D15*((K15+N15)/2+(L15+O15)/2)*'Сезонность'!$B$6</f>
        <v/>
      </c>
      <c r="Q15" s="3">
        <f>MAX(0,N15-'Хранение до конца ноября'!H15*'Сезонность'!$C$7*'Сезонность'!$B$7)</f>
        <v/>
      </c>
      <c r="R15" s="3">
        <f>MAX(0,O15-'Хранение до конца ноября'!H15*'Сезонность'!$C$7*'Сезонность'!$E$7*'Сезонность'!$B$7)</f>
        <v/>
      </c>
      <c r="S15" s="5">
        <f>'Хранение до конца ноября'!D15*((N15+Q15)/2+(O15+R15)/2)*'Сезонность'!$B$7</f>
        <v/>
      </c>
      <c r="T15" s="5">
        <f>D15+G15+J15+M15+P15+S15</f>
        <v/>
      </c>
      <c r="U15" s="3">
        <f>Q15+R15</f>
        <v/>
      </c>
    </row>
    <row r="16">
      <c r="A16" s="2">
        <f>'Хранение до конца ноября'!A16</f>
        <v/>
      </c>
      <c r="B16" s="3">
        <f>MAX(0,'Хранение до конца ноября'!E16-'Хранение до конца ноября'!H16*'Сезонность'!$C$2*'Сезонность'!$B$2)</f>
        <v/>
      </c>
      <c r="C16" s="3">
        <f>MAX(0,'Хранение до конца ноября'!F16-'Хранение до конца ноября'!H16*'Сезонность'!$C$2*'Сезонность'!$E$2*'Сезонность'!$B$2)</f>
        <v/>
      </c>
      <c r="D16" s="5">
        <f>'Хранение до конца ноября'!D16*(('Хранение до конца ноября'!E16+B16)/2+('Хранение до конца ноября'!F16+C16)/2)*'Сезонность'!$B$2</f>
        <v/>
      </c>
      <c r="E16" s="3">
        <f>MAX(0,B16-'Хранение до конца ноября'!H16*'Сезонность'!$C$3*'Сезонность'!$B$3)</f>
        <v/>
      </c>
      <c r="F16" s="3">
        <f>MAX(0,C16-'Хранение до конца ноября'!H16*'Сезонность'!$C$3*'Сезонность'!$E$3*'Сезонность'!$B$3)</f>
        <v/>
      </c>
      <c r="G16" s="5">
        <f>'Хранение до конца ноября'!D16*((B16+E16)/2+(C16+F16)/2)*'Сезонность'!$B$3</f>
        <v/>
      </c>
      <c r="H16" s="3">
        <f>MAX(0,E16-'Хранение до конца ноября'!H16*'Сезонность'!$C$4*'Сезонность'!$B$4)</f>
        <v/>
      </c>
      <c r="I16" s="3">
        <f>MAX(0,F16-'Хранение до конца ноября'!H16*'Сезонность'!$C$4*'Сезонность'!$E$4*'Сезонность'!$B$4)</f>
        <v/>
      </c>
      <c r="J16" s="5">
        <f>'Хранение до конца ноября'!D16*((E16+H16)/2+(F16+I16)/2)*'Сезонность'!$B$4</f>
        <v/>
      </c>
      <c r="K16" s="3">
        <f>MAX(0,H16-'Хранение до конца ноября'!H16*'Сезонность'!$C$5*'Сезонность'!$B$5)</f>
        <v/>
      </c>
      <c r="L16" s="3">
        <f>MAX(0,I16-'Хранение до конца ноября'!H16*'Сезонность'!$C$5*'Сезонность'!$E$5*'Сезонность'!$B$5)</f>
        <v/>
      </c>
      <c r="M16" s="5">
        <f>'Хранение до конца ноября'!D16*((H16+K16)/2+(I16+L16)/2)*'Сезонность'!$B$5</f>
        <v/>
      </c>
      <c r="N16" s="3">
        <f>MAX(0,K16-'Хранение до конца ноября'!H16*'Сезонность'!$C$6*'Сезонность'!$B$6)</f>
        <v/>
      </c>
      <c r="O16" s="3">
        <f>MAX(0,L16-'Хранение до конца ноября'!H16*'Сезонность'!$C$6*'Сезонность'!$E$6*'Сезонность'!$B$6)</f>
        <v/>
      </c>
      <c r="P16" s="5">
        <f>'Хранение до конца ноября'!D16*((K16+N16)/2+(L16+O16)/2)*'Сезонность'!$B$6</f>
        <v/>
      </c>
      <c r="Q16" s="3">
        <f>MAX(0,N16-'Хранение до конца ноября'!H16*'Сезонность'!$C$7*'Сезонность'!$B$7)</f>
        <v/>
      </c>
      <c r="R16" s="3">
        <f>MAX(0,O16-'Хранение до конца ноября'!H16*'Сезонность'!$C$7*'Сезонность'!$E$7*'Сезонность'!$B$7)</f>
        <v/>
      </c>
      <c r="S16" s="5">
        <f>'Хранение до конца ноября'!D16*((N16+Q16)/2+(O16+R16)/2)*'Сезонность'!$B$7</f>
        <v/>
      </c>
      <c r="T16" s="5">
        <f>D16+G16+J16+M16+P16+S16</f>
        <v/>
      </c>
      <c r="U16" s="3">
        <f>Q16+R16</f>
        <v/>
      </c>
    </row>
    <row r="17">
      <c r="A17" s="2">
        <f>'Хранение до конца ноября'!A17</f>
        <v/>
      </c>
      <c r="B17" s="3">
        <f>MAX(0,'Хранение до конца ноября'!E17-'Хранение до конца ноября'!H17*'Сезонность'!$C$2*'Сезонность'!$B$2)</f>
        <v/>
      </c>
      <c r="C17" s="3">
        <f>MAX(0,'Хранение до конца ноября'!F17-'Хранение до конца ноября'!H17*'Сезонность'!$C$2*'Сезонность'!$E$2*'Сезонность'!$B$2)</f>
        <v/>
      </c>
      <c r="D17" s="5">
        <f>'Хранение до конца ноября'!D17*(('Хранение до конца ноября'!E17+B17)/2+('Хранение до конца ноября'!F17+C17)/2)*'Сезонность'!$B$2</f>
        <v/>
      </c>
      <c r="E17" s="3">
        <f>MAX(0,B17-'Хранение до конца ноября'!H17*'Сезонность'!$C$3*'Сезонность'!$B$3)</f>
        <v/>
      </c>
      <c r="F17" s="3">
        <f>MAX(0,C17-'Хранение до конца ноября'!H17*'Сезонность'!$C$3*'Сезонность'!$E$3*'Сезонность'!$B$3)</f>
        <v/>
      </c>
      <c r="G17" s="5">
        <f>'Хранение до конца ноября'!D17*((B17+E17)/2+(C17+F17)/2)*'Сезонность'!$B$3</f>
        <v/>
      </c>
      <c r="H17" s="3">
        <f>MAX(0,E17-'Хранение до конца ноября'!H17*'Сезонность'!$C$4*'Сезонность'!$B$4)</f>
        <v/>
      </c>
      <c r="I17" s="3">
        <f>MAX(0,F17-'Хранение до конца ноября'!H17*'Сезонность'!$C$4*'Сезонность'!$E$4*'Сезонность'!$B$4)</f>
        <v/>
      </c>
      <c r="J17" s="5">
        <f>'Хранение до конца ноября'!D17*((E17+H17)/2+(F17+I17)/2)*'Сезонность'!$B$4</f>
        <v/>
      </c>
      <c r="K17" s="3">
        <f>MAX(0,H17-'Хранение до конца ноября'!H17*'Сезонность'!$C$5*'Сезонность'!$B$5)</f>
        <v/>
      </c>
      <c r="L17" s="3">
        <f>MAX(0,I17-'Хранение до конца ноября'!H17*'Сезонность'!$C$5*'Сезонность'!$E$5*'Сезонность'!$B$5)</f>
        <v/>
      </c>
      <c r="M17" s="5">
        <f>'Хранение до конца ноября'!D17*((H17+K17)/2+(I17+L17)/2)*'Сезонность'!$B$5</f>
        <v/>
      </c>
      <c r="N17" s="3">
        <f>MAX(0,K17-'Хранение до конца ноября'!H17*'Сезонность'!$C$6*'Сезонность'!$B$6)</f>
        <v/>
      </c>
      <c r="O17" s="3">
        <f>MAX(0,L17-'Хранение до конца ноября'!H17*'Сезонность'!$C$6*'Сезонность'!$E$6*'Сезонность'!$B$6)</f>
        <v/>
      </c>
      <c r="P17" s="5">
        <f>'Хранение до конца ноября'!D17*((K17+N17)/2+(L17+O17)/2)*'Сезонность'!$B$6</f>
        <v/>
      </c>
      <c r="Q17" s="3">
        <f>MAX(0,N17-'Хранение до конца ноября'!H17*'Сезонность'!$C$7*'Сезонность'!$B$7)</f>
        <v/>
      </c>
      <c r="R17" s="3">
        <f>MAX(0,O17-'Хранение до конца ноября'!H17*'Сезонность'!$C$7*'Сезонность'!$E$7*'Сезонность'!$B$7)</f>
        <v/>
      </c>
      <c r="S17" s="5">
        <f>'Хранение до конца ноября'!D17*((N17+Q17)/2+(O17+R17)/2)*'Сезонность'!$B$7</f>
        <v/>
      </c>
      <c r="T17" s="5">
        <f>D17+G17+J17+M17+P17+S17</f>
        <v/>
      </c>
      <c r="U17" s="3">
        <f>Q17+R17</f>
        <v/>
      </c>
    </row>
    <row r="18">
      <c r="A18" s="2">
        <f>'Хранение до конца ноября'!A18</f>
        <v/>
      </c>
      <c r="B18" s="3">
        <f>MAX(0,'Хранение до конца ноября'!E18-'Хранение до конца ноября'!H18*'Сезонность'!$C$2*'Сезонность'!$B$2)</f>
        <v/>
      </c>
      <c r="C18" s="3">
        <f>MAX(0,'Хранение до конца ноября'!F18-'Хранение до конца ноября'!H18*'Сезонность'!$C$2*'Сезонность'!$E$2*'Сезонность'!$B$2)</f>
        <v/>
      </c>
      <c r="D18" s="5">
        <f>'Хранение до конца ноября'!D18*(('Хранение до конца ноября'!E18+B18)/2+('Хранение до конца ноября'!F18+C18)/2)*'Сезонность'!$B$2</f>
        <v/>
      </c>
      <c r="E18" s="3">
        <f>MAX(0,B18-'Хранение до конца ноября'!H18*'Сезонность'!$C$3*'Сезонность'!$B$3)</f>
        <v/>
      </c>
      <c r="F18" s="3">
        <f>MAX(0,C18-'Хранение до конца ноября'!H18*'Сезонность'!$C$3*'Сезонность'!$E$3*'Сезонность'!$B$3)</f>
        <v/>
      </c>
      <c r="G18" s="5">
        <f>'Хранение до конца ноября'!D18*((B18+E18)/2+(C18+F18)/2)*'Сезонность'!$B$3</f>
        <v/>
      </c>
      <c r="H18" s="3">
        <f>MAX(0,E18-'Хранение до конца ноября'!H18*'Сезонность'!$C$4*'Сезонность'!$B$4)</f>
        <v/>
      </c>
      <c r="I18" s="3">
        <f>MAX(0,F18-'Хранение до конца ноября'!H18*'Сезонность'!$C$4*'Сезонность'!$E$4*'Сезонность'!$B$4)</f>
        <v/>
      </c>
      <c r="J18" s="5">
        <f>'Хранение до конца ноября'!D18*((E18+H18)/2+(F18+I18)/2)*'Сезонность'!$B$4</f>
        <v/>
      </c>
      <c r="K18" s="3">
        <f>MAX(0,H18-'Хранение до конца ноября'!H18*'Сезонность'!$C$5*'Сезонность'!$B$5)</f>
        <v/>
      </c>
      <c r="L18" s="3">
        <f>MAX(0,I18-'Хранение до конца ноября'!H18*'Сезонность'!$C$5*'Сезонность'!$E$5*'Сезонность'!$B$5)</f>
        <v/>
      </c>
      <c r="M18" s="5">
        <f>'Хранение до конца ноября'!D18*((H18+K18)/2+(I18+L18)/2)*'Сезонность'!$B$5</f>
        <v/>
      </c>
      <c r="N18" s="3">
        <f>MAX(0,K18-'Хранение до конца ноября'!H18*'Сезонность'!$C$6*'Сезонность'!$B$6)</f>
        <v/>
      </c>
      <c r="O18" s="3">
        <f>MAX(0,L18-'Хранение до конца ноября'!H18*'Сезонность'!$C$6*'Сезонность'!$E$6*'Сезонность'!$B$6)</f>
        <v/>
      </c>
      <c r="P18" s="5">
        <f>'Хранение до конца ноября'!D18*((K18+N18)/2+(L18+O18)/2)*'Сезонность'!$B$6</f>
        <v/>
      </c>
      <c r="Q18" s="3">
        <f>MAX(0,N18-'Хранение до конца ноября'!H18*'Сезонность'!$C$7*'Сезонность'!$B$7)</f>
        <v/>
      </c>
      <c r="R18" s="3">
        <f>MAX(0,O18-'Хранение до конца ноября'!H18*'Сезонность'!$C$7*'Сезонность'!$E$7*'Сезонность'!$B$7)</f>
        <v/>
      </c>
      <c r="S18" s="5">
        <f>'Хранение до конца ноября'!D18*((N18+Q18)/2+(O18+R18)/2)*'Сезонность'!$B$7</f>
        <v/>
      </c>
      <c r="T18" s="5">
        <f>D18+G18+J18+M18+P18+S18</f>
        <v/>
      </c>
      <c r="U18" s="3">
        <f>Q18+R18</f>
        <v/>
      </c>
    </row>
    <row r="19">
      <c r="A19" s="2">
        <f>'Хранение до конца ноября'!A19</f>
        <v/>
      </c>
      <c r="B19" s="3">
        <f>MAX(0,'Хранение до конца ноября'!E19-'Хранение до конца ноября'!H19*'Сезонность'!$C$2*'Сезонность'!$B$2)</f>
        <v/>
      </c>
      <c r="C19" s="3">
        <f>MAX(0,'Хранение до конца ноября'!F19-'Хранение до конца ноября'!H19*'Сезонность'!$C$2*'Сезонность'!$E$2*'Сезонность'!$B$2)</f>
        <v/>
      </c>
      <c r="D19" s="5">
        <f>'Хранение до конца ноября'!D19*(('Хранение до конца ноября'!E19+B19)/2+('Хранение до конца ноября'!F19+C19)/2)*'Сезонность'!$B$2</f>
        <v/>
      </c>
      <c r="E19" s="3">
        <f>MAX(0,B19-'Хранение до конца ноября'!H19*'Сезонность'!$C$3*'Сезонность'!$B$3)</f>
        <v/>
      </c>
      <c r="F19" s="3">
        <f>MAX(0,C19-'Хранение до конца ноября'!H19*'Сезонность'!$C$3*'Сезонность'!$E$3*'Сезонность'!$B$3)</f>
        <v/>
      </c>
      <c r="G19" s="5">
        <f>'Хранение до конца ноября'!D19*((B19+E19)/2+(C19+F19)/2)*'Сезонность'!$B$3</f>
        <v/>
      </c>
      <c r="H19" s="3">
        <f>MAX(0,E19-'Хранение до конца ноября'!H19*'Сезонность'!$C$4*'Сезонность'!$B$4)</f>
        <v/>
      </c>
      <c r="I19" s="3">
        <f>MAX(0,F19-'Хранение до конца ноября'!H19*'Сезонность'!$C$4*'Сезонность'!$E$4*'Сезонность'!$B$4)</f>
        <v/>
      </c>
      <c r="J19" s="5">
        <f>'Хранение до конца ноября'!D19*((E19+H19)/2+(F19+I19)/2)*'Сезонность'!$B$4</f>
        <v/>
      </c>
      <c r="K19" s="3">
        <f>MAX(0,H19-'Хранение до конца ноября'!H19*'Сезонность'!$C$5*'Сезонность'!$B$5)</f>
        <v/>
      </c>
      <c r="L19" s="3">
        <f>MAX(0,I19-'Хранение до конца ноября'!H19*'Сезонность'!$C$5*'Сезонность'!$E$5*'Сезонность'!$B$5)</f>
        <v/>
      </c>
      <c r="M19" s="5">
        <f>'Хранение до конца ноября'!D19*((H19+K19)/2+(I19+L19)/2)*'Сезонность'!$B$5</f>
        <v/>
      </c>
      <c r="N19" s="3">
        <f>MAX(0,K19-'Хранение до конца ноября'!H19*'Сезонность'!$C$6*'Сезонность'!$B$6)</f>
        <v/>
      </c>
      <c r="O19" s="3">
        <f>MAX(0,L19-'Хранение до конца ноября'!H19*'Сезонность'!$C$6*'Сезонность'!$E$6*'Сезонность'!$B$6)</f>
        <v/>
      </c>
      <c r="P19" s="5">
        <f>'Хранение до конца ноября'!D19*((K19+N19)/2+(L19+O19)/2)*'Сезонность'!$B$6</f>
        <v/>
      </c>
      <c r="Q19" s="3">
        <f>MAX(0,N19-'Хранение до конца ноября'!H19*'Сезонность'!$C$7*'Сезонность'!$B$7)</f>
        <v/>
      </c>
      <c r="R19" s="3">
        <f>MAX(0,O19-'Хранение до конца ноября'!H19*'Сезонность'!$C$7*'Сезонность'!$E$7*'Сезонность'!$B$7)</f>
        <v/>
      </c>
      <c r="S19" s="5">
        <f>'Хранение до конца ноября'!D19*((N19+Q19)/2+(O19+R19)/2)*'Сезонность'!$B$7</f>
        <v/>
      </c>
      <c r="T19" s="5">
        <f>D19+G19+J19+M19+P19+S19</f>
        <v/>
      </c>
      <c r="U19" s="3">
        <f>Q19+R19</f>
        <v/>
      </c>
    </row>
    <row r="20">
      <c r="A20" s="2">
        <f>'Хранение до конца ноября'!A20</f>
        <v/>
      </c>
      <c r="B20" s="3">
        <f>MAX(0,'Хранение до конца ноября'!E20-'Хранение до конца ноября'!H20*'Сезонность'!$C$2*'Сезонность'!$B$2)</f>
        <v/>
      </c>
      <c r="C20" s="3">
        <f>MAX(0,'Хранение до конца ноября'!F20-'Хранение до конца ноября'!H20*'Сезонность'!$C$2*'Сезонность'!$E$2*'Сезонность'!$B$2)</f>
        <v/>
      </c>
      <c r="D20" s="5">
        <f>'Хранение до конца ноября'!D20*(('Хранение до конца ноября'!E20+B20)/2+('Хранение до конца ноября'!F20+C20)/2)*'Сезонность'!$B$2</f>
        <v/>
      </c>
      <c r="E20" s="3">
        <f>MAX(0,B20-'Хранение до конца ноября'!H20*'Сезонность'!$C$3*'Сезонность'!$B$3)</f>
        <v/>
      </c>
      <c r="F20" s="3">
        <f>MAX(0,C20-'Хранение до конца ноября'!H20*'Сезонность'!$C$3*'Сезонность'!$E$3*'Сезонность'!$B$3)</f>
        <v/>
      </c>
      <c r="G20" s="5">
        <f>'Хранение до конца ноября'!D20*((B20+E20)/2+(C20+F20)/2)*'Сезонность'!$B$3</f>
        <v/>
      </c>
      <c r="H20" s="3">
        <f>MAX(0,E20-'Хранение до конца ноября'!H20*'Сезонность'!$C$4*'Сезонность'!$B$4)</f>
        <v/>
      </c>
      <c r="I20" s="3">
        <f>MAX(0,F20-'Хранение до конца ноября'!H20*'Сезонность'!$C$4*'Сезонность'!$E$4*'Сезонность'!$B$4)</f>
        <v/>
      </c>
      <c r="J20" s="5">
        <f>'Хранение до конца ноября'!D20*((E20+H20)/2+(F20+I20)/2)*'Сезонность'!$B$4</f>
        <v/>
      </c>
      <c r="K20" s="3">
        <f>MAX(0,H20-'Хранение до конца ноября'!H20*'Сезонность'!$C$5*'Сезонность'!$B$5)</f>
        <v/>
      </c>
      <c r="L20" s="3">
        <f>MAX(0,I20-'Хранение до конца ноября'!H20*'Сезонность'!$C$5*'Сезонность'!$E$5*'Сезонность'!$B$5)</f>
        <v/>
      </c>
      <c r="M20" s="5">
        <f>'Хранение до конца ноября'!D20*((H20+K20)/2+(I20+L20)/2)*'Сезонность'!$B$5</f>
        <v/>
      </c>
      <c r="N20" s="3">
        <f>MAX(0,K20-'Хранение до конца ноября'!H20*'Сезонность'!$C$6*'Сезонность'!$B$6)</f>
        <v/>
      </c>
      <c r="O20" s="3">
        <f>MAX(0,L20-'Хранение до конца ноября'!H20*'Сезонность'!$C$6*'Сезонность'!$E$6*'Сезонность'!$B$6)</f>
        <v/>
      </c>
      <c r="P20" s="5">
        <f>'Хранение до конца ноября'!D20*((K20+N20)/2+(L20+O20)/2)*'Сезонность'!$B$6</f>
        <v/>
      </c>
      <c r="Q20" s="3">
        <f>MAX(0,N20-'Хранение до конца ноября'!H20*'Сезонность'!$C$7*'Сезонность'!$B$7)</f>
        <v/>
      </c>
      <c r="R20" s="3">
        <f>MAX(0,O20-'Хранение до конца ноября'!H20*'Сезонность'!$C$7*'Сезонность'!$E$7*'Сезонность'!$B$7)</f>
        <v/>
      </c>
      <c r="S20" s="5">
        <f>'Хранение до конца ноября'!D20*((N20+Q20)/2+(O20+R20)/2)*'Сезонность'!$B$7</f>
        <v/>
      </c>
      <c r="T20" s="5">
        <f>D20+G20+J20+M20+P20+S20</f>
        <v/>
      </c>
      <c r="U20" s="3">
        <f>Q20+R20</f>
        <v/>
      </c>
    </row>
    <row r="21">
      <c r="A21" s="2">
        <f>'Хранение до конца ноября'!A21</f>
        <v/>
      </c>
      <c r="B21" s="3">
        <f>MAX(0,'Хранение до конца ноября'!E21-'Хранение до конца ноября'!H21*'Сезонность'!$C$2*'Сезонность'!$B$2)</f>
        <v/>
      </c>
      <c r="C21" s="3">
        <f>MAX(0,'Хранение до конца ноября'!F21-'Хранение до конца ноября'!H21*'Сезонность'!$C$2*'Сезонность'!$E$2*'Сезонность'!$B$2)</f>
        <v/>
      </c>
      <c r="D21" s="5">
        <f>'Хранение до конца ноября'!D21*(('Хранение до конца ноября'!E21+B21)/2+('Хранение до конца ноября'!F21+C21)/2)*'Сезонность'!$B$2</f>
        <v/>
      </c>
      <c r="E21" s="3">
        <f>MAX(0,B21-'Хранение до конца ноября'!H21*'Сезонность'!$C$3*'Сезонность'!$B$3)</f>
        <v/>
      </c>
      <c r="F21" s="3">
        <f>MAX(0,C21-'Хранение до конца ноября'!H21*'Сезонность'!$C$3*'Сезонность'!$E$3*'Сезонность'!$B$3)</f>
        <v/>
      </c>
      <c r="G21" s="5">
        <f>'Хранение до конца ноября'!D21*((B21+E21)/2+(C21+F21)/2)*'Сезонность'!$B$3</f>
        <v/>
      </c>
      <c r="H21" s="3">
        <f>MAX(0,E21-'Хранение до конца ноября'!H21*'Сезонность'!$C$4*'Сезонность'!$B$4)</f>
        <v/>
      </c>
      <c r="I21" s="3">
        <f>MAX(0,F21-'Хранение до конца ноября'!H21*'Сезонность'!$C$4*'Сезонность'!$E$4*'Сезонность'!$B$4)</f>
        <v/>
      </c>
      <c r="J21" s="5">
        <f>'Хранение до конца ноября'!D21*((E21+H21)/2+(F21+I21)/2)*'Сезонность'!$B$4</f>
        <v/>
      </c>
      <c r="K21" s="3">
        <f>MAX(0,H21-'Хранение до конца ноября'!H21*'Сезонность'!$C$5*'Сезонность'!$B$5)</f>
        <v/>
      </c>
      <c r="L21" s="3">
        <f>MAX(0,I21-'Хранение до конца ноября'!H21*'Сезонность'!$C$5*'Сезонность'!$E$5*'Сезонность'!$B$5)</f>
        <v/>
      </c>
      <c r="M21" s="5">
        <f>'Хранение до конца ноября'!D21*((H21+K21)/2+(I21+L21)/2)*'Сезонность'!$B$5</f>
        <v/>
      </c>
      <c r="N21" s="3">
        <f>MAX(0,K21-'Хранение до конца ноября'!H21*'Сезонность'!$C$6*'Сезонность'!$B$6)</f>
        <v/>
      </c>
      <c r="O21" s="3">
        <f>MAX(0,L21-'Хранение до конца ноября'!H21*'Сезонность'!$C$6*'Сезонность'!$E$6*'Сезонность'!$B$6)</f>
        <v/>
      </c>
      <c r="P21" s="5">
        <f>'Хранение до конца ноября'!D21*((K21+N21)/2+(L21+O21)/2)*'Сезонность'!$B$6</f>
        <v/>
      </c>
      <c r="Q21" s="3">
        <f>MAX(0,N21-'Хранение до конца ноября'!H21*'Сезонность'!$C$7*'Сезонность'!$B$7)</f>
        <v/>
      </c>
      <c r="R21" s="3">
        <f>MAX(0,O21-'Хранение до конца ноября'!H21*'Сезонность'!$C$7*'Сезонность'!$E$7*'Сезонность'!$B$7)</f>
        <v/>
      </c>
      <c r="S21" s="5">
        <f>'Хранение до конца ноября'!D21*((N21+Q21)/2+(O21+R21)/2)*'Сезонность'!$B$7</f>
        <v/>
      </c>
      <c r="T21" s="5">
        <f>D21+G21+J21+M21+P21+S21</f>
        <v/>
      </c>
      <c r="U21" s="3">
        <f>Q21+R21</f>
        <v/>
      </c>
    </row>
    <row r="22">
      <c r="A22" s="2">
        <f>'Хранение до конца ноября'!A22</f>
        <v/>
      </c>
      <c r="B22" s="3">
        <f>MAX(0,'Хранение до конца ноября'!E22-'Хранение до конца ноября'!H22*'Сезонность'!$C$2*'Сезонность'!$B$2)</f>
        <v/>
      </c>
      <c r="C22" s="3">
        <f>MAX(0,'Хранение до конца ноября'!F22-'Хранение до конца ноября'!H22*'Сезонность'!$C$2*'Сезонность'!$E$2*'Сезонность'!$B$2)</f>
        <v/>
      </c>
      <c r="D22" s="5">
        <f>'Хранение до конца ноября'!D22*(('Хранение до конца ноября'!E22+B22)/2+('Хранение до конца ноября'!F22+C22)/2)*'Сезонность'!$B$2</f>
        <v/>
      </c>
      <c r="E22" s="3">
        <f>MAX(0,B22-'Хранение до конца ноября'!H22*'Сезонность'!$C$3*'Сезонность'!$B$3)</f>
        <v/>
      </c>
      <c r="F22" s="3">
        <f>MAX(0,C22-'Хранение до конца ноября'!H22*'Сезонность'!$C$3*'Сезонность'!$E$3*'Сезонность'!$B$3)</f>
        <v/>
      </c>
      <c r="G22" s="5">
        <f>'Хранение до конца ноября'!D22*((B22+E22)/2+(C22+F22)/2)*'Сезонность'!$B$3</f>
        <v/>
      </c>
      <c r="H22" s="3">
        <f>MAX(0,E22-'Хранение до конца ноября'!H22*'Сезонность'!$C$4*'Сезонность'!$B$4)</f>
        <v/>
      </c>
      <c r="I22" s="3">
        <f>MAX(0,F22-'Хранение до конца ноября'!H22*'Сезонность'!$C$4*'Сезонность'!$E$4*'Сезонность'!$B$4)</f>
        <v/>
      </c>
      <c r="J22" s="5">
        <f>'Хранение до конца ноября'!D22*((E22+H22)/2+(F22+I22)/2)*'Сезонность'!$B$4</f>
        <v/>
      </c>
      <c r="K22" s="3">
        <f>MAX(0,H22-'Хранение до конца ноября'!H22*'Сезонность'!$C$5*'Сезонность'!$B$5)</f>
        <v/>
      </c>
      <c r="L22" s="3">
        <f>MAX(0,I22-'Хранение до конца ноября'!H22*'Сезонность'!$C$5*'Сезонность'!$E$5*'Сезонность'!$B$5)</f>
        <v/>
      </c>
      <c r="M22" s="5">
        <f>'Хранение до конца ноября'!D22*((H22+K22)/2+(I22+L22)/2)*'Сезонность'!$B$5</f>
        <v/>
      </c>
      <c r="N22" s="3">
        <f>MAX(0,K22-'Хранение до конца ноября'!H22*'Сезонность'!$C$6*'Сезонность'!$B$6)</f>
        <v/>
      </c>
      <c r="O22" s="3">
        <f>MAX(0,L22-'Хранение до конца ноября'!H22*'Сезонность'!$C$6*'Сезонность'!$E$6*'Сезонность'!$B$6)</f>
        <v/>
      </c>
      <c r="P22" s="5">
        <f>'Хранение до конца ноября'!D22*((K22+N22)/2+(L22+O22)/2)*'Сезонность'!$B$6</f>
        <v/>
      </c>
      <c r="Q22" s="3">
        <f>MAX(0,N22-'Хранение до конца ноября'!H22*'Сезонность'!$C$7*'Сезонность'!$B$7)</f>
        <v/>
      </c>
      <c r="R22" s="3">
        <f>MAX(0,O22-'Хранение до конца ноября'!H22*'Сезонность'!$C$7*'Сезонность'!$E$7*'Сезонность'!$B$7)</f>
        <v/>
      </c>
      <c r="S22" s="5">
        <f>'Хранение до конца ноября'!D22*((N22+Q22)/2+(O22+R22)/2)*'Сезонность'!$B$7</f>
        <v/>
      </c>
      <c r="T22" s="5">
        <f>D22+G22+J22+M22+P22+S22</f>
        <v/>
      </c>
      <c r="U22" s="3">
        <f>Q22+R22</f>
        <v/>
      </c>
    </row>
    <row r="23">
      <c r="A23" s="2">
        <f>'Хранение до конца ноября'!A23</f>
        <v/>
      </c>
      <c r="B23" s="3">
        <f>MAX(0,'Хранение до конца ноября'!E23-'Хранение до конца ноября'!H23*'Сезонность'!$C$2*'Сезонность'!$B$2)</f>
        <v/>
      </c>
      <c r="C23" s="3">
        <f>MAX(0,'Хранение до конца ноября'!F23-'Хранение до конца ноября'!H23*'Сезонность'!$C$2*'Сезонность'!$E$2*'Сезонность'!$B$2)</f>
        <v/>
      </c>
      <c r="D23" s="5">
        <f>'Хранение до конца ноября'!D23*(('Хранение до конца ноября'!E23+B23)/2+('Хранение до конца ноября'!F23+C23)/2)*'Сезонность'!$B$2</f>
        <v/>
      </c>
      <c r="E23" s="3">
        <f>MAX(0,B23-'Хранение до конца ноября'!H23*'Сезонность'!$C$3*'Сезонность'!$B$3)</f>
        <v/>
      </c>
      <c r="F23" s="3">
        <f>MAX(0,C23-'Хранение до конца ноября'!H23*'Сезонность'!$C$3*'Сезонность'!$E$3*'Сезонность'!$B$3)</f>
        <v/>
      </c>
      <c r="G23" s="5">
        <f>'Хранение до конца ноября'!D23*((B23+E23)/2+(C23+F23)/2)*'Сезонность'!$B$3</f>
        <v/>
      </c>
      <c r="H23" s="3">
        <f>MAX(0,E23-'Хранение до конца ноября'!H23*'Сезонность'!$C$4*'Сезонность'!$B$4)</f>
        <v/>
      </c>
      <c r="I23" s="3">
        <f>MAX(0,F23-'Хранение до конца ноября'!H23*'Сезонность'!$C$4*'Сезонность'!$E$4*'Сезонность'!$B$4)</f>
        <v/>
      </c>
      <c r="J23" s="5">
        <f>'Хранение до конца ноября'!D23*((E23+H23)/2+(F23+I23)/2)*'Сезонность'!$B$4</f>
        <v/>
      </c>
      <c r="K23" s="3">
        <f>MAX(0,H23-'Хранение до конца ноября'!H23*'Сезонность'!$C$5*'Сезонность'!$B$5)</f>
        <v/>
      </c>
      <c r="L23" s="3">
        <f>MAX(0,I23-'Хранение до конца ноября'!H23*'Сезонность'!$C$5*'Сезонность'!$E$5*'Сезонность'!$B$5)</f>
        <v/>
      </c>
      <c r="M23" s="5">
        <f>'Хранение до конца ноября'!D23*((H23+K23)/2+(I23+L23)/2)*'Сезонность'!$B$5</f>
        <v/>
      </c>
      <c r="N23" s="3">
        <f>MAX(0,K23-'Хранение до конца ноября'!H23*'Сезонность'!$C$6*'Сезонность'!$B$6)</f>
        <v/>
      </c>
      <c r="O23" s="3">
        <f>MAX(0,L23-'Хранение до конца ноября'!H23*'Сезонность'!$C$6*'Сезонность'!$E$6*'Сезонность'!$B$6)</f>
        <v/>
      </c>
      <c r="P23" s="5">
        <f>'Хранение до конца ноября'!D23*((K23+N23)/2+(L23+O23)/2)*'Сезонность'!$B$6</f>
        <v/>
      </c>
      <c r="Q23" s="3">
        <f>MAX(0,N23-'Хранение до конца ноября'!H23*'Сезонность'!$C$7*'Сезонность'!$B$7)</f>
        <v/>
      </c>
      <c r="R23" s="3">
        <f>MAX(0,O23-'Хранение до конца ноября'!H23*'Сезонность'!$C$7*'Сезонность'!$E$7*'Сезонность'!$B$7)</f>
        <v/>
      </c>
      <c r="S23" s="5">
        <f>'Хранение до конца ноября'!D23*((N23+Q23)/2+(O23+R23)/2)*'Сезонность'!$B$7</f>
        <v/>
      </c>
      <c r="T23" s="5">
        <f>D23+G23+J23+M23+P23+S23</f>
        <v/>
      </c>
      <c r="U23" s="3">
        <f>Q23+R23</f>
        <v/>
      </c>
    </row>
    <row r="24">
      <c r="A24" s="2">
        <f>'Хранение до конца ноября'!A24</f>
        <v/>
      </c>
      <c r="B24" s="3">
        <f>MAX(0,'Хранение до конца ноября'!E24-'Хранение до конца ноября'!H24*'Сезонность'!$C$2*'Сезонность'!$B$2)</f>
        <v/>
      </c>
      <c r="C24" s="3">
        <f>MAX(0,'Хранение до конца ноября'!F24-'Хранение до конца ноября'!H24*'Сезонность'!$C$2*'Сезонность'!$E$2*'Сезонность'!$B$2)</f>
        <v/>
      </c>
      <c r="D24" s="5">
        <f>'Хранение до конца ноября'!D24*(('Хранение до конца ноября'!E24+B24)/2+('Хранение до конца ноября'!F24+C24)/2)*'Сезонность'!$B$2</f>
        <v/>
      </c>
      <c r="E24" s="3">
        <f>MAX(0,B24-'Хранение до конца ноября'!H24*'Сезонность'!$C$3*'Сезонность'!$B$3)</f>
        <v/>
      </c>
      <c r="F24" s="3">
        <f>MAX(0,C24-'Хранение до конца ноября'!H24*'Сезонность'!$C$3*'Сезонность'!$E$3*'Сезонность'!$B$3)</f>
        <v/>
      </c>
      <c r="G24" s="5">
        <f>'Хранение до конца ноября'!D24*((B24+E24)/2+(C24+F24)/2)*'Сезонность'!$B$3</f>
        <v/>
      </c>
      <c r="H24" s="3">
        <f>MAX(0,E24-'Хранение до конца ноября'!H24*'Сезонность'!$C$4*'Сезонность'!$B$4)</f>
        <v/>
      </c>
      <c r="I24" s="3">
        <f>MAX(0,F24-'Хранение до конца ноября'!H24*'Сезонность'!$C$4*'Сезонность'!$E$4*'Сезонность'!$B$4)</f>
        <v/>
      </c>
      <c r="J24" s="5">
        <f>'Хранение до конца ноября'!D24*((E24+H24)/2+(F24+I24)/2)*'Сезонность'!$B$4</f>
        <v/>
      </c>
      <c r="K24" s="3">
        <f>MAX(0,H24-'Хранение до конца ноября'!H24*'Сезонность'!$C$5*'Сезонность'!$B$5)</f>
        <v/>
      </c>
      <c r="L24" s="3">
        <f>MAX(0,I24-'Хранение до конца ноября'!H24*'Сезонность'!$C$5*'Сезонность'!$E$5*'Сезонность'!$B$5)</f>
        <v/>
      </c>
      <c r="M24" s="5">
        <f>'Хранение до конца ноября'!D24*((H24+K24)/2+(I24+L24)/2)*'Сезонность'!$B$5</f>
        <v/>
      </c>
      <c r="N24" s="3">
        <f>MAX(0,K24-'Хранение до конца ноября'!H24*'Сезонность'!$C$6*'Сезонность'!$B$6)</f>
        <v/>
      </c>
      <c r="O24" s="3">
        <f>MAX(0,L24-'Хранение до конца ноября'!H24*'Сезонность'!$C$6*'Сезонность'!$E$6*'Сезонность'!$B$6)</f>
        <v/>
      </c>
      <c r="P24" s="5">
        <f>'Хранение до конца ноября'!D24*((K24+N24)/2+(L24+O24)/2)*'Сезонность'!$B$6</f>
        <v/>
      </c>
      <c r="Q24" s="3">
        <f>MAX(0,N24-'Хранение до конца ноября'!H24*'Сезонность'!$C$7*'Сезонность'!$B$7)</f>
        <v/>
      </c>
      <c r="R24" s="3">
        <f>MAX(0,O24-'Хранение до конца ноября'!H24*'Сезонность'!$C$7*'Сезонность'!$E$7*'Сезонность'!$B$7)</f>
        <v/>
      </c>
      <c r="S24" s="5">
        <f>'Хранение до конца ноября'!D24*((N24+Q24)/2+(O24+R24)/2)*'Сезонность'!$B$7</f>
        <v/>
      </c>
      <c r="T24" s="5">
        <f>D24+G24+J24+M24+P24+S24</f>
        <v/>
      </c>
      <c r="U24" s="3">
        <f>Q24+R24</f>
        <v/>
      </c>
    </row>
    <row r="25">
      <c r="A25" s="2">
        <f>'Хранение до конца ноября'!A25</f>
        <v/>
      </c>
      <c r="B25" s="3">
        <f>MAX(0,'Хранение до конца ноября'!E25-'Хранение до конца ноября'!H25*'Сезонность'!$C$2*'Сезонность'!$B$2)</f>
        <v/>
      </c>
      <c r="C25" s="3">
        <f>MAX(0,'Хранение до конца ноября'!F25-'Хранение до конца ноября'!H25*'Сезонность'!$C$2*'Сезонность'!$E$2*'Сезонность'!$B$2)</f>
        <v/>
      </c>
      <c r="D25" s="5">
        <f>'Хранение до конца ноября'!D25*(('Хранение до конца ноября'!E25+B25)/2+('Хранение до конца ноября'!F25+C25)/2)*'Сезонность'!$B$2</f>
        <v/>
      </c>
      <c r="E25" s="3">
        <f>MAX(0,B25-'Хранение до конца ноября'!H25*'Сезонность'!$C$3*'Сезонность'!$B$3)</f>
        <v/>
      </c>
      <c r="F25" s="3">
        <f>MAX(0,C25-'Хранение до конца ноября'!H25*'Сезонность'!$C$3*'Сезонность'!$E$3*'Сезонность'!$B$3)</f>
        <v/>
      </c>
      <c r="G25" s="5">
        <f>'Хранение до конца ноября'!D25*((B25+E25)/2+(C25+F25)/2)*'Сезонность'!$B$3</f>
        <v/>
      </c>
      <c r="H25" s="3">
        <f>MAX(0,E25-'Хранение до конца ноября'!H25*'Сезонность'!$C$4*'Сезонность'!$B$4)</f>
        <v/>
      </c>
      <c r="I25" s="3">
        <f>MAX(0,F25-'Хранение до конца ноября'!H25*'Сезонность'!$C$4*'Сезонность'!$E$4*'Сезонность'!$B$4)</f>
        <v/>
      </c>
      <c r="J25" s="5">
        <f>'Хранение до конца ноября'!D25*((E25+H25)/2+(F25+I25)/2)*'Сезонность'!$B$4</f>
        <v/>
      </c>
      <c r="K25" s="3">
        <f>MAX(0,H25-'Хранение до конца ноября'!H25*'Сезонность'!$C$5*'Сезонность'!$B$5)</f>
        <v/>
      </c>
      <c r="L25" s="3">
        <f>MAX(0,I25-'Хранение до конца ноября'!H25*'Сезонность'!$C$5*'Сезонность'!$E$5*'Сезонность'!$B$5)</f>
        <v/>
      </c>
      <c r="M25" s="5">
        <f>'Хранение до конца ноября'!D25*((H25+K25)/2+(I25+L25)/2)*'Сезонность'!$B$5</f>
        <v/>
      </c>
      <c r="N25" s="3">
        <f>MAX(0,K25-'Хранение до конца ноября'!H25*'Сезонность'!$C$6*'Сезонность'!$B$6)</f>
        <v/>
      </c>
      <c r="O25" s="3">
        <f>MAX(0,L25-'Хранение до конца ноября'!H25*'Сезонность'!$C$6*'Сезонность'!$E$6*'Сезонность'!$B$6)</f>
        <v/>
      </c>
      <c r="P25" s="5">
        <f>'Хранение до конца ноября'!D25*((K25+N25)/2+(L25+O25)/2)*'Сезонность'!$B$6</f>
        <v/>
      </c>
      <c r="Q25" s="3">
        <f>MAX(0,N25-'Хранение до конца ноября'!H25*'Сезонность'!$C$7*'Сезонность'!$B$7)</f>
        <v/>
      </c>
      <c r="R25" s="3">
        <f>MAX(0,O25-'Хранение до конца ноября'!H25*'Сезонность'!$C$7*'Сезонность'!$E$7*'Сезонность'!$B$7)</f>
        <v/>
      </c>
      <c r="S25" s="5">
        <f>'Хранение до конца ноября'!D25*((N25+Q25)/2+(O25+R25)/2)*'Сезонность'!$B$7</f>
        <v/>
      </c>
      <c r="T25" s="5">
        <f>D25+G25+J25+M25+P25+S25</f>
        <v/>
      </c>
      <c r="U25" s="3">
        <f>Q25+R25</f>
        <v/>
      </c>
    </row>
    <row r="26">
      <c r="A26" s="2">
        <f>'Хранение до конца ноября'!A26</f>
        <v/>
      </c>
      <c r="B26" s="3">
        <f>MAX(0,'Хранение до конца ноября'!E26-'Хранение до конца ноября'!H26*'Сезонность'!$C$2*'Сезонность'!$B$2)</f>
        <v/>
      </c>
      <c r="C26" s="3">
        <f>MAX(0,'Хранение до конца ноября'!F26-'Хранение до конца ноября'!H26*'Сезонность'!$C$2*'Сезонность'!$E$2*'Сезонность'!$B$2)</f>
        <v/>
      </c>
      <c r="D26" s="5">
        <f>'Хранение до конца ноября'!D26*(('Хранение до конца ноября'!E26+B26)/2+('Хранение до конца ноября'!F26+C26)/2)*'Сезонность'!$B$2</f>
        <v/>
      </c>
      <c r="E26" s="3">
        <f>MAX(0,B26-'Хранение до конца ноября'!H26*'Сезонность'!$C$3*'Сезонность'!$B$3)</f>
        <v/>
      </c>
      <c r="F26" s="3">
        <f>MAX(0,C26-'Хранение до конца ноября'!H26*'Сезонность'!$C$3*'Сезонность'!$E$3*'Сезонность'!$B$3)</f>
        <v/>
      </c>
      <c r="G26" s="5">
        <f>'Хранение до конца ноября'!D26*((B26+E26)/2+(C26+F26)/2)*'Сезонность'!$B$3</f>
        <v/>
      </c>
      <c r="H26" s="3">
        <f>MAX(0,E26-'Хранение до конца ноября'!H26*'Сезонность'!$C$4*'Сезонность'!$B$4)</f>
        <v/>
      </c>
      <c r="I26" s="3">
        <f>MAX(0,F26-'Хранение до конца ноября'!H26*'Сезонность'!$C$4*'Сезонность'!$E$4*'Сезонность'!$B$4)</f>
        <v/>
      </c>
      <c r="J26" s="5">
        <f>'Хранение до конца ноября'!D26*((E26+H26)/2+(F26+I26)/2)*'Сезонность'!$B$4</f>
        <v/>
      </c>
      <c r="K26" s="3">
        <f>MAX(0,H26-'Хранение до конца ноября'!H26*'Сезонность'!$C$5*'Сезонность'!$B$5)</f>
        <v/>
      </c>
      <c r="L26" s="3">
        <f>MAX(0,I26-'Хранение до конца ноября'!H26*'Сезонность'!$C$5*'Сезонность'!$E$5*'Сезонность'!$B$5)</f>
        <v/>
      </c>
      <c r="M26" s="5">
        <f>'Хранение до конца ноября'!D26*((H26+K26)/2+(I26+L26)/2)*'Сезонность'!$B$5</f>
        <v/>
      </c>
      <c r="N26" s="3">
        <f>MAX(0,K26-'Хранение до конца ноября'!H26*'Сезонность'!$C$6*'Сезонность'!$B$6)</f>
        <v/>
      </c>
      <c r="O26" s="3">
        <f>MAX(0,L26-'Хранение до конца ноября'!H26*'Сезонность'!$C$6*'Сезонность'!$E$6*'Сезонность'!$B$6)</f>
        <v/>
      </c>
      <c r="P26" s="5">
        <f>'Хранение до конца ноября'!D26*((K26+N26)/2+(L26+O26)/2)*'Сезонность'!$B$6</f>
        <v/>
      </c>
      <c r="Q26" s="3">
        <f>MAX(0,N26-'Хранение до конца ноября'!H26*'Сезонность'!$C$7*'Сезонность'!$B$7)</f>
        <v/>
      </c>
      <c r="R26" s="3">
        <f>MAX(0,O26-'Хранение до конца ноября'!H26*'Сезонность'!$C$7*'Сезонность'!$E$7*'Сезонность'!$B$7)</f>
        <v/>
      </c>
      <c r="S26" s="5">
        <f>'Хранение до конца ноября'!D26*((N26+Q26)/2+(O26+R26)/2)*'Сезонность'!$B$7</f>
        <v/>
      </c>
      <c r="T26" s="5">
        <f>D26+G26+J26+M26+P26+S26</f>
        <v/>
      </c>
      <c r="U26" s="3">
        <f>Q26+R26</f>
        <v/>
      </c>
    </row>
    <row r="27">
      <c r="A27" s="2">
        <f>'Хранение до конца ноября'!A27</f>
        <v/>
      </c>
      <c r="B27" s="3">
        <f>MAX(0,'Хранение до конца ноября'!E27-'Хранение до конца ноября'!H27*'Сезонность'!$C$2*'Сезонность'!$B$2)</f>
        <v/>
      </c>
      <c r="C27" s="3">
        <f>MAX(0,'Хранение до конца ноября'!F27-'Хранение до конца ноября'!H27*'Сезонность'!$C$2*'Сезонность'!$E$2*'Сезонность'!$B$2)</f>
        <v/>
      </c>
      <c r="D27" s="5">
        <f>'Хранение до конца ноября'!D27*(('Хранение до конца ноября'!E27+B27)/2+('Хранение до конца ноября'!F27+C27)/2)*'Сезонность'!$B$2</f>
        <v/>
      </c>
      <c r="E27" s="3">
        <f>MAX(0,B27-'Хранение до конца ноября'!H27*'Сезонность'!$C$3*'Сезонность'!$B$3)</f>
        <v/>
      </c>
      <c r="F27" s="3">
        <f>MAX(0,C27-'Хранение до конца ноября'!H27*'Сезонность'!$C$3*'Сезонность'!$E$3*'Сезонность'!$B$3)</f>
        <v/>
      </c>
      <c r="G27" s="5">
        <f>'Хранение до конца ноября'!D27*((B27+E27)/2+(C27+F27)/2)*'Сезонность'!$B$3</f>
        <v/>
      </c>
      <c r="H27" s="3">
        <f>MAX(0,E27-'Хранение до конца ноября'!H27*'Сезонность'!$C$4*'Сезонность'!$B$4)</f>
        <v/>
      </c>
      <c r="I27" s="3">
        <f>MAX(0,F27-'Хранение до конца ноября'!H27*'Сезонность'!$C$4*'Сезонность'!$E$4*'Сезонность'!$B$4)</f>
        <v/>
      </c>
      <c r="J27" s="5">
        <f>'Хранение до конца ноября'!D27*((E27+H27)/2+(F27+I27)/2)*'Сезонность'!$B$4</f>
        <v/>
      </c>
      <c r="K27" s="3">
        <f>MAX(0,H27-'Хранение до конца ноября'!H27*'Сезонность'!$C$5*'Сезонность'!$B$5)</f>
        <v/>
      </c>
      <c r="L27" s="3">
        <f>MAX(0,I27-'Хранение до конца ноября'!H27*'Сезонность'!$C$5*'Сезонность'!$E$5*'Сезонность'!$B$5)</f>
        <v/>
      </c>
      <c r="M27" s="5">
        <f>'Хранение до конца ноября'!D27*((H27+K27)/2+(I27+L27)/2)*'Сезонность'!$B$5</f>
        <v/>
      </c>
      <c r="N27" s="3">
        <f>MAX(0,K27-'Хранение до конца ноября'!H27*'Сезонность'!$C$6*'Сезонность'!$B$6)</f>
        <v/>
      </c>
      <c r="O27" s="3">
        <f>MAX(0,L27-'Хранение до конца ноября'!H27*'Сезонность'!$C$6*'Сезонность'!$E$6*'Сезонность'!$B$6)</f>
        <v/>
      </c>
      <c r="P27" s="5">
        <f>'Хранение до конца ноября'!D27*((K27+N27)/2+(L27+O27)/2)*'Сезонность'!$B$6</f>
        <v/>
      </c>
      <c r="Q27" s="3">
        <f>MAX(0,N27-'Хранение до конца ноября'!H27*'Сезонность'!$C$7*'Сезонность'!$B$7)</f>
        <v/>
      </c>
      <c r="R27" s="3">
        <f>MAX(0,O27-'Хранение до конца ноября'!H27*'Сезонность'!$C$7*'Сезонность'!$E$7*'Сезонность'!$B$7)</f>
        <v/>
      </c>
      <c r="S27" s="5">
        <f>'Хранение до конца ноября'!D27*((N27+Q27)/2+(O27+R27)/2)*'Сезонность'!$B$7</f>
        <v/>
      </c>
      <c r="T27" s="5">
        <f>D27+G27+J27+M27+P27+S27</f>
        <v/>
      </c>
      <c r="U27" s="3">
        <f>Q27+R27</f>
        <v/>
      </c>
    </row>
    <row r="28">
      <c r="A28" s="2">
        <f>'Хранение до конца ноября'!A28</f>
        <v/>
      </c>
      <c r="B28" s="3">
        <f>MAX(0,'Хранение до конца ноября'!E28-'Хранение до конца ноября'!H28*'Сезонность'!$C$2*'Сезонность'!$B$2)</f>
        <v/>
      </c>
      <c r="C28" s="3">
        <f>MAX(0,'Хранение до конца ноября'!F28-'Хранение до конца ноября'!H28*'Сезонность'!$C$2*'Сезонность'!$E$2*'Сезонность'!$B$2)</f>
        <v/>
      </c>
      <c r="D28" s="5">
        <f>'Хранение до конца ноября'!D28*(('Хранение до конца ноября'!E28+B28)/2+('Хранение до конца ноября'!F28+C28)/2)*'Сезонность'!$B$2</f>
        <v/>
      </c>
      <c r="E28" s="3">
        <f>MAX(0,B28-'Хранение до конца ноября'!H28*'Сезонность'!$C$3*'Сезонность'!$B$3)</f>
        <v/>
      </c>
      <c r="F28" s="3">
        <f>MAX(0,C28-'Хранение до конца ноября'!H28*'Сезонность'!$C$3*'Сезонность'!$E$3*'Сезонность'!$B$3)</f>
        <v/>
      </c>
      <c r="G28" s="5">
        <f>'Хранение до конца ноября'!D28*((B28+E28)/2+(C28+F28)/2)*'Сезонность'!$B$3</f>
        <v/>
      </c>
      <c r="H28" s="3">
        <f>MAX(0,E28-'Хранение до конца ноября'!H28*'Сезонность'!$C$4*'Сезонность'!$B$4)</f>
        <v/>
      </c>
      <c r="I28" s="3">
        <f>MAX(0,F28-'Хранение до конца ноября'!H28*'Сезонность'!$C$4*'Сезонность'!$E$4*'Сезонность'!$B$4)</f>
        <v/>
      </c>
      <c r="J28" s="5">
        <f>'Хранение до конца ноября'!D28*((E28+H28)/2+(F28+I28)/2)*'Сезонность'!$B$4</f>
        <v/>
      </c>
      <c r="K28" s="3">
        <f>MAX(0,H28-'Хранение до конца ноября'!H28*'Сезонность'!$C$5*'Сезонность'!$B$5)</f>
        <v/>
      </c>
      <c r="L28" s="3">
        <f>MAX(0,I28-'Хранение до конца ноября'!H28*'Сезонность'!$C$5*'Сезонность'!$E$5*'Сезонность'!$B$5)</f>
        <v/>
      </c>
      <c r="M28" s="5">
        <f>'Хранение до конца ноября'!D28*((H28+K28)/2+(I28+L28)/2)*'Сезонность'!$B$5</f>
        <v/>
      </c>
      <c r="N28" s="3">
        <f>MAX(0,K28-'Хранение до конца ноября'!H28*'Сезонность'!$C$6*'Сезонность'!$B$6)</f>
        <v/>
      </c>
      <c r="O28" s="3">
        <f>MAX(0,L28-'Хранение до конца ноября'!H28*'Сезонность'!$C$6*'Сезонность'!$E$6*'Сезонность'!$B$6)</f>
        <v/>
      </c>
      <c r="P28" s="5">
        <f>'Хранение до конца ноября'!D28*((K28+N28)/2+(L28+O28)/2)*'Сезонность'!$B$6</f>
        <v/>
      </c>
      <c r="Q28" s="3">
        <f>MAX(0,N28-'Хранение до конца ноября'!H28*'Сезонность'!$C$7*'Сезонность'!$B$7)</f>
        <v/>
      </c>
      <c r="R28" s="3">
        <f>MAX(0,O28-'Хранение до конца ноября'!H28*'Сезонность'!$C$7*'Сезонность'!$E$7*'Сезонность'!$B$7)</f>
        <v/>
      </c>
      <c r="S28" s="5">
        <f>'Хранение до конца ноября'!D28*((N28+Q28)/2+(O28+R28)/2)*'Сезонность'!$B$7</f>
        <v/>
      </c>
      <c r="T28" s="5">
        <f>D28+G28+J28+M28+P28+S28</f>
        <v/>
      </c>
      <c r="U28" s="3">
        <f>Q28+R28</f>
        <v/>
      </c>
    </row>
    <row r="29">
      <c r="A29" s="2">
        <f>'Хранение до конца ноября'!A29</f>
        <v/>
      </c>
      <c r="B29" s="3">
        <f>MAX(0,'Хранение до конца ноября'!E29-'Хранение до конца ноября'!H29*'Сезонность'!$C$2*'Сезонность'!$B$2)</f>
        <v/>
      </c>
      <c r="C29" s="3">
        <f>MAX(0,'Хранение до конца ноября'!F29-'Хранение до конца ноября'!H29*'Сезонность'!$C$2*'Сезонность'!$E$2*'Сезонность'!$B$2)</f>
        <v/>
      </c>
      <c r="D29" s="5">
        <f>'Хранение до конца ноября'!D29*(('Хранение до конца ноября'!E29+B29)/2+('Хранение до конца ноября'!F29+C29)/2)*'Сезонность'!$B$2</f>
        <v/>
      </c>
      <c r="E29" s="3">
        <f>MAX(0,B29-'Хранение до конца ноября'!H29*'Сезонность'!$C$3*'Сезонность'!$B$3)</f>
        <v/>
      </c>
      <c r="F29" s="3">
        <f>MAX(0,C29-'Хранение до конца ноября'!H29*'Сезонность'!$C$3*'Сезонность'!$E$3*'Сезонность'!$B$3)</f>
        <v/>
      </c>
      <c r="G29" s="5">
        <f>'Хранение до конца ноября'!D29*((B29+E29)/2+(C29+F29)/2)*'Сезонность'!$B$3</f>
        <v/>
      </c>
      <c r="H29" s="3">
        <f>MAX(0,E29-'Хранение до конца ноября'!H29*'Сезонность'!$C$4*'Сезонность'!$B$4)</f>
        <v/>
      </c>
      <c r="I29" s="3">
        <f>MAX(0,F29-'Хранение до конца ноября'!H29*'Сезонность'!$C$4*'Сезонность'!$E$4*'Сезонность'!$B$4)</f>
        <v/>
      </c>
      <c r="J29" s="5">
        <f>'Хранение до конца ноября'!D29*((E29+H29)/2+(F29+I29)/2)*'Сезонность'!$B$4</f>
        <v/>
      </c>
      <c r="K29" s="3">
        <f>MAX(0,H29-'Хранение до конца ноября'!H29*'Сезонность'!$C$5*'Сезонность'!$B$5)</f>
        <v/>
      </c>
      <c r="L29" s="3">
        <f>MAX(0,I29-'Хранение до конца ноября'!H29*'Сезонность'!$C$5*'Сезонность'!$E$5*'Сезонность'!$B$5)</f>
        <v/>
      </c>
      <c r="M29" s="5">
        <f>'Хранение до конца ноября'!D29*((H29+K29)/2+(I29+L29)/2)*'Сезонность'!$B$5</f>
        <v/>
      </c>
      <c r="N29" s="3">
        <f>MAX(0,K29-'Хранение до конца ноября'!H29*'Сезонность'!$C$6*'Сезонность'!$B$6)</f>
        <v/>
      </c>
      <c r="O29" s="3">
        <f>MAX(0,L29-'Хранение до конца ноября'!H29*'Сезонность'!$C$6*'Сезонность'!$E$6*'Сезонность'!$B$6)</f>
        <v/>
      </c>
      <c r="P29" s="5">
        <f>'Хранение до конца ноября'!D29*((K29+N29)/2+(L29+O29)/2)*'Сезонность'!$B$6</f>
        <v/>
      </c>
      <c r="Q29" s="3">
        <f>MAX(0,N29-'Хранение до конца ноября'!H29*'Сезонность'!$C$7*'Сезонность'!$B$7)</f>
        <v/>
      </c>
      <c r="R29" s="3">
        <f>MAX(0,O29-'Хранение до конца ноября'!H29*'Сезонность'!$C$7*'Сезонность'!$E$7*'Сезонность'!$B$7)</f>
        <v/>
      </c>
      <c r="S29" s="5">
        <f>'Хранение до конца ноября'!D29*((N29+Q29)/2+(O29+R29)/2)*'Сезонность'!$B$7</f>
        <v/>
      </c>
      <c r="T29" s="5">
        <f>D29+G29+J29+M29+P29+S29</f>
        <v/>
      </c>
      <c r="U29" s="3">
        <f>Q29+R29</f>
        <v/>
      </c>
    </row>
    <row r="30">
      <c r="A30" s="2">
        <f>'Хранение до конца ноября'!A30</f>
        <v/>
      </c>
      <c r="B30" s="3">
        <f>MAX(0,'Хранение до конца ноября'!E30-'Хранение до конца ноября'!H30*'Сезонность'!$C$2*'Сезонность'!$B$2)</f>
        <v/>
      </c>
      <c r="C30" s="3">
        <f>MAX(0,'Хранение до конца ноября'!F30-'Хранение до конца ноября'!H30*'Сезонность'!$C$2*'Сезонность'!$E$2*'Сезонность'!$B$2)</f>
        <v/>
      </c>
      <c r="D30" s="5">
        <f>'Хранение до конца ноября'!D30*(('Хранение до конца ноября'!E30+B30)/2+('Хранение до конца ноября'!F30+C30)/2)*'Сезонность'!$B$2</f>
        <v/>
      </c>
      <c r="E30" s="3">
        <f>MAX(0,B30-'Хранение до конца ноября'!H30*'Сезонность'!$C$3*'Сезонность'!$B$3)</f>
        <v/>
      </c>
      <c r="F30" s="3">
        <f>MAX(0,C30-'Хранение до конца ноября'!H30*'Сезонность'!$C$3*'Сезонность'!$E$3*'Сезонность'!$B$3)</f>
        <v/>
      </c>
      <c r="G30" s="5">
        <f>'Хранение до конца ноября'!D30*((B30+E30)/2+(C30+F30)/2)*'Сезонность'!$B$3</f>
        <v/>
      </c>
      <c r="H30" s="3">
        <f>MAX(0,E30-'Хранение до конца ноября'!H30*'Сезонность'!$C$4*'Сезонность'!$B$4)</f>
        <v/>
      </c>
      <c r="I30" s="3">
        <f>MAX(0,F30-'Хранение до конца ноября'!H30*'Сезонность'!$C$4*'Сезонность'!$E$4*'Сезонность'!$B$4)</f>
        <v/>
      </c>
      <c r="J30" s="5">
        <f>'Хранение до конца ноября'!D30*((E30+H30)/2+(F30+I30)/2)*'Сезонность'!$B$4</f>
        <v/>
      </c>
      <c r="K30" s="3">
        <f>MAX(0,H30-'Хранение до конца ноября'!H30*'Сезонность'!$C$5*'Сезонность'!$B$5)</f>
        <v/>
      </c>
      <c r="L30" s="3">
        <f>MAX(0,I30-'Хранение до конца ноября'!H30*'Сезонность'!$C$5*'Сезонность'!$E$5*'Сезонность'!$B$5)</f>
        <v/>
      </c>
      <c r="M30" s="5">
        <f>'Хранение до конца ноября'!D30*((H30+K30)/2+(I30+L30)/2)*'Сезонность'!$B$5</f>
        <v/>
      </c>
      <c r="N30" s="3">
        <f>MAX(0,K30-'Хранение до конца ноября'!H30*'Сезонность'!$C$6*'Сезонность'!$B$6)</f>
        <v/>
      </c>
      <c r="O30" s="3">
        <f>MAX(0,L30-'Хранение до конца ноября'!H30*'Сезонность'!$C$6*'Сезонность'!$E$6*'Сезонность'!$B$6)</f>
        <v/>
      </c>
      <c r="P30" s="5">
        <f>'Хранение до конца ноября'!D30*((K30+N30)/2+(L30+O30)/2)*'Сезонность'!$B$6</f>
        <v/>
      </c>
      <c r="Q30" s="3">
        <f>MAX(0,N30-'Хранение до конца ноября'!H30*'Сезонность'!$C$7*'Сезонность'!$B$7)</f>
        <v/>
      </c>
      <c r="R30" s="3">
        <f>MAX(0,O30-'Хранение до конца ноября'!H30*'Сезонность'!$C$7*'Сезонность'!$E$7*'Сезонность'!$B$7)</f>
        <v/>
      </c>
      <c r="S30" s="5">
        <f>'Хранение до конца ноября'!D30*((N30+Q30)/2+(O30+R30)/2)*'Сезонность'!$B$7</f>
        <v/>
      </c>
      <c r="T30" s="5">
        <f>D30+G30+J30+M30+P30+S30</f>
        <v/>
      </c>
      <c r="U30" s="3">
        <f>Q30+R30</f>
        <v/>
      </c>
    </row>
    <row r="31">
      <c r="A31" s="2">
        <f>'Хранение до конца ноября'!A31</f>
        <v/>
      </c>
      <c r="B31" s="3">
        <f>MAX(0,'Хранение до конца ноября'!E31-'Хранение до конца ноября'!H31*'Сезонность'!$C$2*'Сезонность'!$B$2)</f>
        <v/>
      </c>
      <c r="C31" s="3">
        <f>MAX(0,'Хранение до конца ноября'!F31-'Хранение до конца ноября'!H31*'Сезонность'!$C$2*'Сезонность'!$E$2*'Сезонность'!$B$2)</f>
        <v/>
      </c>
      <c r="D31" s="5">
        <f>'Хранение до конца ноября'!D31*(('Хранение до конца ноября'!E31+B31)/2+('Хранение до конца ноября'!F31+C31)/2)*'Сезонность'!$B$2</f>
        <v/>
      </c>
      <c r="E31" s="3">
        <f>MAX(0,B31-'Хранение до конца ноября'!H31*'Сезонность'!$C$3*'Сезонность'!$B$3)</f>
        <v/>
      </c>
      <c r="F31" s="3">
        <f>MAX(0,C31-'Хранение до конца ноября'!H31*'Сезонность'!$C$3*'Сезонность'!$E$3*'Сезонность'!$B$3)</f>
        <v/>
      </c>
      <c r="G31" s="5">
        <f>'Хранение до конца ноября'!D31*((B31+E31)/2+(C31+F31)/2)*'Сезонность'!$B$3</f>
        <v/>
      </c>
      <c r="H31" s="3">
        <f>MAX(0,E31-'Хранение до конца ноября'!H31*'Сезонность'!$C$4*'Сезонность'!$B$4)</f>
        <v/>
      </c>
      <c r="I31" s="3">
        <f>MAX(0,F31-'Хранение до конца ноября'!H31*'Сезонность'!$C$4*'Сезонность'!$E$4*'Сезонность'!$B$4)</f>
        <v/>
      </c>
      <c r="J31" s="5">
        <f>'Хранение до конца ноября'!D31*((E31+H31)/2+(F31+I31)/2)*'Сезонность'!$B$4</f>
        <v/>
      </c>
      <c r="K31" s="3">
        <f>MAX(0,H31-'Хранение до конца ноября'!H31*'Сезонность'!$C$5*'Сезонность'!$B$5)</f>
        <v/>
      </c>
      <c r="L31" s="3">
        <f>MAX(0,I31-'Хранение до конца ноября'!H31*'Сезонность'!$C$5*'Сезонность'!$E$5*'Сезонность'!$B$5)</f>
        <v/>
      </c>
      <c r="M31" s="5">
        <f>'Хранение до конца ноября'!D31*((H31+K31)/2+(I31+L31)/2)*'Сезонность'!$B$5</f>
        <v/>
      </c>
      <c r="N31" s="3">
        <f>MAX(0,K31-'Хранение до конца ноября'!H31*'Сезонность'!$C$6*'Сезонность'!$B$6)</f>
        <v/>
      </c>
      <c r="O31" s="3">
        <f>MAX(0,L31-'Хранение до конца ноября'!H31*'Сезонность'!$C$6*'Сезонность'!$E$6*'Сезонность'!$B$6)</f>
        <v/>
      </c>
      <c r="P31" s="5">
        <f>'Хранение до конца ноября'!D31*((K31+N31)/2+(L31+O31)/2)*'Сезонность'!$B$6</f>
        <v/>
      </c>
      <c r="Q31" s="3">
        <f>MAX(0,N31-'Хранение до конца ноября'!H31*'Сезонность'!$C$7*'Сезонность'!$B$7)</f>
        <v/>
      </c>
      <c r="R31" s="3">
        <f>MAX(0,O31-'Хранение до конца ноября'!H31*'Сезонность'!$C$7*'Сезонность'!$E$7*'Сезонность'!$B$7)</f>
        <v/>
      </c>
      <c r="S31" s="5">
        <f>'Хранение до конца ноября'!D31*((N31+Q31)/2+(O31+R31)/2)*'Сезонность'!$B$7</f>
        <v/>
      </c>
      <c r="T31" s="5">
        <f>D31+G31+J31+M31+P31+S31</f>
        <v/>
      </c>
      <c r="U31" s="3">
        <f>Q31+R31</f>
        <v/>
      </c>
    </row>
    <row r="32">
      <c r="A32" s="2">
        <f>'Хранение до конца ноября'!A32</f>
        <v/>
      </c>
      <c r="B32" s="3">
        <f>MAX(0,'Хранение до конца ноября'!E32-'Хранение до конца ноября'!H32*'Сезонность'!$C$2*'Сезонность'!$B$2)</f>
        <v/>
      </c>
      <c r="C32" s="3">
        <f>MAX(0,'Хранение до конца ноября'!F32-'Хранение до конца ноября'!H32*'Сезонность'!$C$2*'Сезонность'!$E$2*'Сезонность'!$B$2)</f>
        <v/>
      </c>
      <c r="D32" s="5">
        <f>'Хранение до конца ноября'!D32*(('Хранение до конца ноября'!E32+B32)/2+('Хранение до конца ноября'!F32+C32)/2)*'Сезонность'!$B$2</f>
        <v/>
      </c>
      <c r="E32" s="3">
        <f>MAX(0,B32-'Хранение до конца ноября'!H32*'Сезонность'!$C$3*'Сезонность'!$B$3)</f>
        <v/>
      </c>
      <c r="F32" s="3">
        <f>MAX(0,C32-'Хранение до конца ноября'!H32*'Сезонность'!$C$3*'Сезонность'!$E$3*'Сезонность'!$B$3)</f>
        <v/>
      </c>
      <c r="G32" s="5">
        <f>'Хранение до конца ноября'!D32*((B32+E32)/2+(C32+F32)/2)*'Сезонность'!$B$3</f>
        <v/>
      </c>
      <c r="H32" s="3">
        <f>MAX(0,E32-'Хранение до конца ноября'!H32*'Сезонность'!$C$4*'Сезонность'!$B$4)</f>
        <v/>
      </c>
      <c r="I32" s="3">
        <f>MAX(0,F32-'Хранение до конца ноября'!H32*'Сезонность'!$C$4*'Сезонность'!$E$4*'Сезонность'!$B$4)</f>
        <v/>
      </c>
      <c r="J32" s="5">
        <f>'Хранение до конца ноября'!D32*((E32+H32)/2+(F32+I32)/2)*'Сезонность'!$B$4</f>
        <v/>
      </c>
      <c r="K32" s="3">
        <f>MAX(0,H32-'Хранение до конца ноября'!H32*'Сезонность'!$C$5*'Сезонность'!$B$5)</f>
        <v/>
      </c>
      <c r="L32" s="3">
        <f>MAX(0,I32-'Хранение до конца ноября'!H32*'Сезонность'!$C$5*'Сезонность'!$E$5*'Сезонность'!$B$5)</f>
        <v/>
      </c>
      <c r="M32" s="5">
        <f>'Хранение до конца ноября'!D32*((H32+K32)/2+(I32+L32)/2)*'Сезонность'!$B$5</f>
        <v/>
      </c>
      <c r="N32" s="3">
        <f>MAX(0,K32-'Хранение до конца ноября'!H32*'Сезонность'!$C$6*'Сезонность'!$B$6)</f>
        <v/>
      </c>
      <c r="O32" s="3">
        <f>MAX(0,L32-'Хранение до конца ноября'!H32*'Сезонность'!$C$6*'Сезонность'!$E$6*'Сезонность'!$B$6)</f>
        <v/>
      </c>
      <c r="P32" s="5">
        <f>'Хранение до конца ноября'!D32*((K32+N32)/2+(L32+O32)/2)*'Сезонность'!$B$6</f>
        <v/>
      </c>
      <c r="Q32" s="3">
        <f>MAX(0,N32-'Хранение до конца ноября'!H32*'Сезонность'!$C$7*'Сезонность'!$B$7)</f>
        <v/>
      </c>
      <c r="R32" s="3">
        <f>MAX(0,O32-'Хранение до конца ноября'!H32*'Сезонность'!$C$7*'Сезонность'!$E$7*'Сезонность'!$B$7)</f>
        <v/>
      </c>
      <c r="S32" s="5">
        <f>'Хранение до конца ноября'!D32*((N32+Q32)/2+(O32+R32)/2)*'Сезонность'!$B$7</f>
        <v/>
      </c>
      <c r="T32" s="5">
        <f>D32+G32+J32+M32+P32+S32</f>
        <v/>
      </c>
      <c r="U32" s="3">
        <f>Q32+R32</f>
        <v/>
      </c>
    </row>
    <row r="33">
      <c r="A33" s="2">
        <f>'Хранение до конца ноября'!A33</f>
        <v/>
      </c>
      <c r="B33" s="3">
        <f>MAX(0,'Хранение до конца ноября'!E33-'Хранение до конца ноября'!H33*'Сезонность'!$C$2*'Сезонность'!$B$2)</f>
        <v/>
      </c>
      <c r="C33" s="3">
        <f>MAX(0,'Хранение до конца ноября'!F33-'Хранение до конца ноября'!H33*'Сезонность'!$C$2*'Сезонность'!$E$2*'Сезонность'!$B$2)</f>
        <v/>
      </c>
      <c r="D33" s="5">
        <f>'Хранение до конца ноября'!D33*(('Хранение до конца ноября'!E33+B33)/2+('Хранение до конца ноября'!F33+C33)/2)*'Сезонность'!$B$2</f>
        <v/>
      </c>
      <c r="E33" s="3">
        <f>MAX(0,B33-'Хранение до конца ноября'!H33*'Сезонность'!$C$3*'Сезонность'!$B$3)</f>
        <v/>
      </c>
      <c r="F33" s="3">
        <f>MAX(0,C33-'Хранение до конца ноября'!H33*'Сезонность'!$C$3*'Сезонность'!$E$3*'Сезонность'!$B$3)</f>
        <v/>
      </c>
      <c r="G33" s="5">
        <f>'Хранение до конца ноября'!D33*((B33+E33)/2+(C33+F33)/2)*'Сезонность'!$B$3</f>
        <v/>
      </c>
      <c r="H33" s="3">
        <f>MAX(0,E33-'Хранение до конца ноября'!H33*'Сезонность'!$C$4*'Сезонность'!$B$4)</f>
        <v/>
      </c>
      <c r="I33" s="3">
        <f>MAX(0,F33-'Хранение до конца ноября'!H33*'Сезонность'!$C$4*'Сезонность'!$E$4*'Сезонность'!$B$4)</f>
        <v/>
      </c>
      <c r="J33" s="5">
        <f>'Хранение до конца ноября'!D33*((E33+H33)/2+(F33+I33)/2)*'Сезонность'!$B$4</f>
        <v/>
      </c>
      <c r="K33" s="3">
        <f>MAX(0,H33-'Хранение до конца ноября'!H33*'Сезонность'!$C$5*'Сезонность'!$B$5)</f>
        <v/>
      </c>
      <c r="L33" s="3">
        <f>MAX(0,I33-'Хранение до конца ноября'!H33*'Сезонность'!$C$5*'Сезонность'!$E$5*'Сезонность'!$B$5)</f>
        <v/>
      </c>
      <c r="M33" s="5">
        <f>'Хранение до конца ноября'!D33*((H33+K33)/2+(I33+L33)/2)*'Сезонность'!$B$5</f>
        <v/>
      </c>
      <c r="N33" s="3">
        <f>MAX(0,K33-'Хранение до конца ноября'!H33*'Сезонность'!$C$6*'Сезонность'!$B$6)</f>
        <v/>
      </c>
      <c r="O33" s="3">
        <f>MAX(0,L33-'Хранение до конца ноября'!H33*'Сезонность'!$C$6*'Сезонность'!$E$6*'Сезонность'!$B$6)</f>
        <v/>
      </c>
      <c r="P33" s="5">
        <f>'Хранение до конца ноября'!D33*((K33+N33)/2+(L33+O33)/2)*'Сезонность'!$B$6</f>
        <v/>
      </c>
      <c r="Q33" s="3">
        <f>MAX(0,N33-'Хранение до конца ноября'!H33*'Сезонность'!$C$7*'Сезонность'!$B$7)</f>
        <v/>
      </c>
      <c r="R33" s="3">
        <f>MAX(0,O33-'Хранение до конца ноября'!H33*'Сезонность'!$C$7*'Сезонность'!$E$7*'Сезонность'!$B$7)</f>
        <v/>
      </c>
      <c r="S33" s="5">
        <f>'Хранение до конца ноября'!D33*((N33+Q33)/2+(O33+R33)/2)*'Сезонность'!$B$7</f>
        <v/>
      </c>
      <c r="T33" s="5">
        <f>D33+G33+J33+M33+P33+S33</f>
        <v/>
      </c>
      <c r="U33" s="3">
        <f>Q33+R33</f>
        <v/>
      </c>
    </row>
    <row r="34">
      <c r="A34" s="2">
        <f>'Хранение до конца ноября'!A34</f>
        <v/>
      </c>
      <c r="B34" s="3">
        <f>MAX(0,'Хранение до конца ноября'!E34-'Хранение до конца ноября'!H34*'Сезонность'!$C$2*'Сезонность'!$B$2)</f>
        <v/>
      </c>
      <c r="C34" s="3">
        <f>MAX(0,'Хранение до конца ноября'!F34-'Хранение до конца ноября'!H34*'Сезонность'!$C$2*'Сезонность'!$E$2*'Сезонность'!$B$2)</f>
        <v/>
      </c>
      <c r="D34" s="5">
        <f>'Хранение до конца ноября'!D34*(('Хранение до конца ноября'!E34+B34)/2+('Хранение до конца ноября'!F34+C34)/2)*'Сезонность'!$B$2</f>
        <v/>
      </c>
      <c r="E34" s="3">
        <f>MAX(0,B34-'Хранение до конца ноября'!H34*'Сезонность'!$C$3*'Сезонность'!$B$3)</f>
        <v/>
      </c>
      <c r="F34" s="3">
        <f>MAX(0,C34-'Хранение до конца ноября'!H34*'Сезонность'!$C$3*'Сезонность'!$E$3*'Сезонность'!$B$3)</f>
        <v/>
      </c>
      <c r="G34" s="5">
        <f>'Хранение до конца ноября'!D34*((B34+E34)/2+(C34+F34)/2)*'Сезонность'!$B$3</f>
        <v/>
      </c>
      <c r="H34" s="3">
        <f>MAX(0,E34-'Хранение до конца ноября'!H34*'Сезонность'!$C$4*'Сезонность'!$B$4)</f>
        <v/>
      </c>
      <c r="I34" s="3">
        <f>MAX(0,F34-'Хранение до конца ноября'!H34*'Сезонность'!$C$4*'Сезонность'!$E$4*'Сезонность'!$B$4)</f>
        <v/>
      </c>
      <c r="J34" s="5">
        <f>'Хранение до конца ноября'!D34*((E34+H34)/2+(F34+I34)/2)*'Сезонность'!$B$4</f>
        <v/>
      </c>
      <c r="K34" s="3">
        <f>MAX(0,H34-'Хранение до конца ноября'!H34*'Сезонность'!$C$5*'Сезонность'!$B$5)</f>
        <v/>
      </c>
      <c r="L34" s="3">
        <f>MAX(0,I34-'Хранение до конца ноября'!H34*'Сезонность'!$C$5*'Сезонность'!$E$5*'Сезонность'!$B$5)</f>
        <v/>
      </c>
      <c r="M34" s="5">
        <f>'Хранение до конца ноября'!D34*((H34+K34)/2+(I34+L34)/2)*'Сезонность'!$B$5</f>
        <v/>
      </c>
      <c r="N34" s="3">
        <f>MAX(0,K34-'Хранение до конца ноября'!H34*'Сезонность'!$C$6*'Сезонность'!$B$6)</f>
        <v/>
      </c>
      <c r="O34" s="3">
        <f>MAX(0,L34-'Хранение до конца ноября'!H34*'Сезонность'!$C$6*'Сезонность'!$E$6*'Сезонность'!$B$6)</f>
        <v/>
      </c>
      <c r="P34" s="5">
        <f>'Хранение до конца ноября'!D34*((K34+N34)/2+(L34+O34)/2)*'Сезонность'!$B$6</f>
        <v/>
      </c>
      <c r="Q34" s="3">
        <f>MAX(0,N34-'Хранение до конца ноября'!H34*'Сезонность'!$C$7*'Сезонность'!$B$7)</f>
        <v/>
      </c>
      <c r="R34" s="3">
        <f>MAX(0,O34-'Хранение до конца ноября'!H34*'Сезонность'!$C$7*'Сезонность'!$E$7*'Сезонность'!$B$7)</f>
        <v/>
      </c>
      <c r="S34" s="5">
        <f>'Хранение до конца ноября'!D34*((N34+Q34)/2+(O34+R34)/2)*'Сезонность'!$B$7</f>
        <v/>
      </c>
      <c r="T34" s="5">
        <f>D34+G34+J34+M34+P34+S34</f>
        <v/>
      </c>
      <c r="U34" s="3">
        <f>Q34+R34</f>
        <v/>
      </c>
    </row>
    <row r="35">
      <c r="A35" s="2">
        <f>'Хранение до конца ноября'!A35</f>
        <v/>
      </c>
      <c r="B35" s="3">
        <f>MAX(0,'Хранение до конца ноября'!E35-'Хранение до конца ноября'!H35*'Сезонность'!$C$2*'Сезонность'!$B$2)</f>
        <v/>
      </c>
      <c r="C35" s="3">
        <f>MAX(0,'Хранение до конца ноября'!F35-'Хранение до конца ноября'!H35*'Сезонность'!$C$2*'Сезонность'!$E$2*'Сезонность'!$B$2)</f>
        <v/>
      </c>
      <c r="D35" s="5">
        <f>'Хранение до конца ноября'!D35*(('Хранение до конца ноября'!E35+B35)/2+('Хранение до конца ноября'!F35+C35)/2)*'Сезонность'!$B$2</f>
        <v/>
      </c>
      <c r="E35" s="3">
        <f>MAX(0,B35-'Хранение до конца ноября'!H35*'Сезонность'!$C$3*'Сезонность'!$B$3)</f>
        <v/>
      </c>
      <c r="F35" s="3">
        <f>MAX(0,C35-'Хранение до конца ноября'!H35*'Сезонность'!$C$3*'Сезонность'!$E$3*'Сезонность'!$B$3)</f>
        <v/>
      </c>
      <c r="G35" s="5">
        <f>'Хранение до конца ноября'!D35*((B35+E35)/2+(C35+F35)/2)*'Сезонность'!$B$3</f>
        <v/>
      </c>
      <c r="H35" s="3">
        <f>MAX(0,E35-'Хранение до конца ноября'!H35*'Сезонность'!$C$4*'Сезонность'!$B$4)</f>
        <v/>
      </c>
      <c r="I35" s="3">
        <f>MAX(0,F35-'Хранение до конца ноября'!H35*'Сезонность'!$C$4*'Сезонность'!$E$4*'Сезонность'!$B$4)</f>
        <v/>
      </c>
      <c r="J35" s="5">
        <f>'Хранение до конца ноября'!D35*((E35+H35)/2+(F35+I35)/2)*'Сезонность'!$B$4</f>
        <v/>
      </c>
      <c r="K35" s="3">
        <f>MAX(0,H35-'Хранение до конца ноября'!H35*'Сезонность'!$C$5*'Сезонность'!$B$5)</f>
        <v/>
      </c>
      <c r="L35" s="3">
        <f>MAX(0,I35-'Хранение до конца ноября'!H35*'Сезонность'!$C$5*'Сезонность'!$E$5*'Сезонность'!$B$5)</f>
        <v/>
      </c>
      <c r="M35" s="5">
        <f>'Хранение до конца ноября'!D35*((H35+K35)/2+(I35+L35)/2)*'Сезонность'!$B$5</f>
        <v/>
      </c>
      <c r="N35" s="3">
        <f>MAX(0,K35-'Хранение до конца ноября'!H35*'Сезонность'!$C$6*'Сезонность'!$B$6)</f>
        <v/>
      </c>
      <c r="O35" s="3">
        <f>MAX(0,L35-'Хранение до конца ноября'!H35*'Сезонность'!$C$6*'Сезонность'!$E$6*'Сезонность'!$B$6)</f>
        <v/>
      </c>
      <c r="P35" s="5">
        <f>'Хранение до конца ноября'!D35*((K35+N35)/2+(L35+O35)/2)*'Сезонность'!$B$6</f>
        <v/>
      </c>
      <c r="Q35" s="3">
        <f>MAX(0,N35-'Хранение до конца ноября'!H35*'Сезонность'!$C$7*'Сезонность'!$B$7)</f>
        <v/>
      </c>
      <c r="R35" s="3">
        <f>MAX(0,O35-'Хранение до конца ноября'!H35*'Сезонность'!$C$7*'Сезонность'!$E$7*'Сезонность'!$B$7)</f>
        <v/>
      </c>
      <c r="S35" s="5">
        <f>'Хранение до конца ноября'!D35*((N35+Q35)/2+(O35+R35)/2)*'Сезонность'!$B$7</f>
        <v/>
      </c>
      <c r="T35" s="5">
        <f>D35+G35+J35+M35+P35+S35</f>
        <v/>
      </c>
      <c r="U35" s="3">
        <f>Q35+R35</f>
        <v/>
      </c>
    </row>
    <row r="36">
      <c r="A36" s="2">
        <f>'Хранение до конца ноября'!A36</f>
        <v/>
      </c>
      <c r="B36" s="3">
        <f>MAX(0,'Хранение до конца ноября'!E36-'Хранение до конца ноября'!H36*'Сезонность'!$C$2*'Сезонность'!$B$2)</f>
        <v/>
      </c>
      <c r="C36" s="3">
        <f>MAX(0,'Хранение до конца ноября'!F36-'Хранение до конца ноября'!H36*'Сезонность'!$C$2*'Сезонность'!$E$2*'Сезонность'!$B$2)</f>
        <v/>
      </c>
      <c r="D36" s="5">
        <f>'Хранение до конца ноября'!D36*(('Хранение до конца ноября'!E36+B36)/2+('Хранение до конца ноября'!F36+C36)/2)*'Сезонность'!$B$2</f>
        <v/>
      </c>
      <c r="E36" s="3">
        <f>MAX(0,B36-'Хранение до конца ноября'!H36*'Сезонность'!$C$3*'Сезонность'!$B$3)</f>
        <v/>
      </c>
      <c r="F36" s="3">
        <f>MAX(0,C36-'Хранение до конца ноября'!H36*'Сезонность'!$C$3*'Сезонность'!$E$3*'Сезонность'!$B$3)</f>
        <v/>
      </c>
      <c r="G36" s="5">
        <f>'Хранение до конца ноября'!D36*((B36+E36)/2+(C36+F36)/2)*'Сезонность'!$B$3</f>
        <v/>
      </c>
      <c r="H36" s="3">
        <f>MAX(0,E36-'Хранение до конца ноября'!H36*'Сезонность'!$C$4*'Сезонность'!$B$4)</f>
        <v/>
      </c>
      <c r="I36" s="3">
        <f>MAX(0,F36-'Хранение до конца ноября'!H36*'Сезонность'!$C$4*'Сезонность'!$E$4*'Сезонность'!$B$4)</f>
        <v/>
      </c>
      <c r="J36" s="5">
        <f>'Хранение до конца ноября'!D36*((E36+H36)/2+(F36+I36)/2)*'Сезонность'!$B$4</f>
        <v/>
      </c>
      <c r="K36" s="3">
        <f>MAX(0,H36-'Хранение до конца ноября'!H36*'Сезонность'!$C$5*'Сезонность'!$B$5)</f>
        <v/>
      </c>
      <c r="L36" s="3">
        <f>MAX(0,I36-'Хранение до конца ноября'!H36*'Сезонность'!$C$5*'Сезонность'!$E$5*'Сезонность'!$B$5)</f>
        <v/>
      </c>
      <c r="M36" s="5">
        <f>'Хранение до конца ноября'!D36*((H36+K36)/2+(I36+L36)/2)*'Сезонность'!$B$5</f>
        <v/>
      </c>
      <c r="N36" s="3">
        <f>MAX(0,K36-'Хранение до конца ноября'!H36*'Сезонность'!$C$6*'Сезонность'!$B$6)</f>
        <v/>
      </c>
      <c r="O36" s="3">
        <f>MAX(0,L36-'Хранение до конца ноября'!H36*'Сезонность'!$C$6*'Сезонность'!$E$6*'Сезонность'!$B$6)</f>
        <v/>
      </c>
      <c r="P36" s="5">
        <f>'Хранение до конца ноября'!D36*((K36+N36)/2+(L36+O36)/2)*'Сезонность'!$B$6</f>
        <v/>
      </c>
      <c r="Q36" s="3">
        <f>MAX(0,N36-'Хранение до конца ноября'!H36*'Сезонность'!$C$7*'Сезонность'!$B$7)</f>
        <v/>
      </c>
      <c r="R36" s="3">
        <f>MAX(0,O36-'Хранение до конца ноября'!H36*'Сезонность'!$C$7*'Сезонность'!$E$7*'Сезонность'!$B$7)</f>
        <v/>
      </c>
      <c r="S36" s="5">
        <f>'Хранение до конца ноября'!D36*((N36+Q36)/2+(O36+R36)/2)*'Сезонность'!$B$7</f>
        <v/>
      </c>
      <c r="T36" s="5">
        <f>D36+G36+J36+M36+P36+S36</f>
        <v/>
      </c>
      <c r="U36" s="3">
        <f>Q36+R36</f>
        <v/>
      </c>
    </row>
    <row r="37">
      <c r="A37" s="2">
        <f>'Хранение до конца ноября'!A37</f>
        <v/>
      </c>
      <c r="B37" s="3">
        <f>MAX(0,'Хранение до конца ноября'!E37-'Хранение до конца ноября'!H37*'Сезонность'!$C$2*'Сезонность'!$B$2)</f>
        <v/>
      </c>
      <c r="C37" s="3">
        <f>MAX(0,'Хранение до конца ноября'!F37-'Хранение до конца ноября'!H37*'Сезонность'!$C$2*'Сезонность'!$E$2*'Сезонность'!$B$2)</f>
        <v/>
      </c>
      <c r="D37" s="5">
        <f>'Хранение до конца ноября'!D37*(('Хранение до конца ноября'!E37+B37)/2+('Хранение до конца ноября'!F37+C37)/2)*'Сезонность'!$B$2</f>
        <v/>
      </c>
      <c r="E37" s="3">
        <f>MAX(0,B37-'Хранение до конца ноября'!H37*'Сезонность'!$C$3*'Сезонность'!$B$3)</f>
        <v/>
      </c>
      <c r="F37" s="3">
        <f>MAX(0,C37-'Хранение до конца ноября'!H37*'Сезонность'!$C$3*'Сезонность'!$E$3*'Сезонность'!$B$3)</f>
        <v/>
      </c>
      <c r="G37" s="5">
        <f>'Хранение до конца ноября'!D37*((B37+E37)/2+(C37+F37)/2)*'Сезонность'!$B$3</f>
        <v/>
      </c>
      <c r="H37" s="3">
        <f>MAX(0,E37-'Хранение до конца ноября'!H37*'Сезонность'!$C$4*'Сезонность'!$B$4)</f>
        <v/>
      </c>
      <c r="I37" s="3">
        <f>MAX(0,F37-'Хранение до конца ноября'!H37*'Сезонность'!$C$4*'Сезонность'!$E$4*'Сезонность'!$B$4)</f>
        <v/>
      </c>
      <c r="J37" s="5">
        <f>'Хранение до конца ноября'!D37*((E37+H37)/2+(F37+I37)/2)*'Сезонность'!$B$4</f>
        <v/>
      </c>
      <c r="K37" s="3">
        <f>MAX(0,H37-'Хранение до конца ноября'!H37*'Сезонность'!$C$5*'Сезонность'!$B$5)</f>
        <v/>
      </c>
      <c r="L37" s="3">
        <f>MAX(0,I37-'Хранение до конца ноября'!H37*'Сезонность'!$C$5*'Сезонность'!$E$5*'Сезонность'!$B$5)</f>
        <v/>
      </c>
      <c r="M37" s="5">
        <f>'Хранение до конца ноября'!D37*((H37+K37)/2+(I37+L37)/2)*'Сезонность'!$B$5</f>
        <v/>
      </c>
      <c r="N37" s="3">
        <f>MAX(0,K37-'Хранение до конца ноября'!H37*'Сезонность'!$C$6*'Сезонность'!$B$6)</f>
        <v/>
      </c>
      <c r="O37" s="3">
        <f>MAX(0,L37-'Хранение до конца ноября'!H37*'Сезонность'!$C$6*'Сезонность'!$E$6*'Сезонность'!$B$6)</f>
        <v/>
      </c>
      <c r="P37" s="5">
        <f>'Хранение до конца ноября'!D37*((K37+N37)/2+(L37+O37)/2)*'Сезонность'!$B$6</f>
        <v/>
      </c>
      <c r="Q37" s="3">
        <f>MAX(0,N37-'Хранение до конца ноября'!H37*'Сезонность'!$C$7*'Сезонность'!$B$7)</f>
        <v/>
      </c>
      <c r="R37" s="3">
        <f>MAX(0,O37-'Хранение до конца ноября'!H37*'Сезонность'!$C$7*'Сезонность'!$E$7*'Сезонность'!$B$7)</f>
        <v/>
      </c>
      <c r="S37" s="5">
        <f>'Хранение до конца ноября'!D37*((N37+Q37)/2+(O37+R37)/2)*'Сезонность'!$B$7</f>
        <v/>
      </c>
      <c r="T37" s="5">
        <f>D37+G37+J37+M37+P37+S37</f>
        <v/>
      </c>
      <c r="U37" s="3">
        <f>Q37+R37</f>
        <v/>
      </c>
    </row>
    <row r="38">
      <c r="A38" s="2">
        <f>'Хранение до конца ноября'!A38</f>
        <v/>
      </c>
      <c r="B38" s="3">
        <f>MAX(0,'Хранение до конца ноября'!E38-'Хранение до конца ноября'!H38*'Сезонность'!$C$2*'Сезонность'!$B$2)</f>
        <v/>
      </c>
      <c r="C38" s="3">
        <f>MAX(0,'Хранение до конца ноября'!F38-'Хранение до конца ноября'!H38*'Сезонность'!$C$2*'Сезонность'!$E$2*'Сезонность'!$B$2)</f>
        <v/>
      </c>
      <c r="D38" s="5">
        <f>'Хранение до конца ноября'!D38*(('Хранение до конца ноября'!E38+B38)/2+('Хранение до конца ноября'!F38+C38)/2)*'Сезонность'!$B$2</f>
        <v/>
      </c>
      <c r="E38" s="3">
        <f>MAX(0,B38-'Хранение до конца ноября'!H38*'Сезонность'!$C$3*'Сезонность'!$B$3)</f>
        <v/>
      </c>
      <c r="F38" s="3">
        <f>MAX(0,C38-'Хранение до конца ноября'!H38*'Сезонность'!$C$3*'Сезонность'!$E$3*'Сезонность'!$B$3)</f>
        <v/>
      </c>
      <c r="G38" s="5">
        <f>'Хранение до конца ноября'!D38*((B38+E38)/2+(C38+F38)/2)*'Сезонность'!$B$3</f>
        <v/>
      </c>
      <c r="H38" s="3">
        <f>MAX(0,E38-'Хранение до конца ноября'!H38*'Сезонность'!$C$4*'Сезонность'!$B$4)</f>
        <v/>
      </c>
      <c r="I38" s="3">
        <f>MAX(0,F38-'Хранение до конца ноября'!H38*'Сезонность'!$C$4*'Сезонность'!$E$4*'Сезонность'!$B$4)</f>
        <v/>
      </c>
      <c r="J38" s="5">
        <f>'Хранение до конца ноября'!D38*((E38+H38)/2+(F38+I38)/2)*'Сезонность'!$B$4</f>
        <v/>
      </c>
      <c r="K38" s="3">
        <f>MAX(0,H38-'Хранение до конца ноября'!H38*'Сезонность'!$C$5*'Сезонность'!$B$5)</f>
        <v/>
      </c>
      <c r="L38" s="3">
        <f>MAX(0,I38-'Хранение до конца ноября'!H38*'Сезонность'!$C$5*'Сезонность'!$E$5*'Сезонность'!$B$5)</f>
        <v/>
      </c>
      <c r="M38" s="5">
        <f>'Хранение до конца ноября'!D38*((H38+K38)/2+(I38+L38)/2)*'Сезонность'!$B$5</f>
        <v/>
      </c>
      <c r="N38" s="3">
        <f>MAX(0,K38-'Хранение до конца ноября'!H38*'Сезонность'!$C$6*'Сезонность'!$B$6)</f>
        <v/>
      </c>
      <c r="O38" s="3">
        <f>MAX(0,L38-'Хранение до конца ноября'!H38*'Сезонность'!$C$6*'Сезонность'!$E$6*'Сезонность'!$B$6)</f>
        <v/>
      </c>
      <c r="P38" s="5">
        <f>'Хранение до конца ноября'!D38*((K38+N38)/2+(L38+O38)/2)*'Сезонность'!$B$6</f>
        <v/>
      </c>
      <c r="Q38" s="3">
        <f>MAX(0,N38-'Хранение до конца ноября'!H38*'Сезонность'!$C$7*'Сезонность'!$B$7)</f>
        <v/>
      </c>
      <c r="R38" s="3">
        <f>MAX(0,O38-'Хранение до конца ноября'!H38*'Сезонность'!$C$7*'Сезонность'!$E$7*'Сезонность'!$B$7)</f>
        <v/>
      </c>
      <c r="S38" s="5">
        <f>'Хранение до конца ноября'!D38*((N38+Q38)/2+(O38+R38)/2)*'Сезонность'!$B$7</f>
        <v/>
      </c>
      <c r="T38" s="5">
        <f>D38+G38+J38+M38+P38+S38</f>
        <v/>
      </c>
      <c r="U38" s="3">
        <f>Q38+R38</f>
        <v/>
      </c>
    </row>
    <row r="39">
      <c r="A39" s="2">
        <f>'Хранение до конца ноября'!A39</f>
        <v/>
      </c>
      <c r="B39" s="3">
        <f>MAX(0,'Хранение до конца ноября'!E39-'Хранение до конца ноября'!H39*'Сезонность'!$C$2*'Сезонность'!$B$2)</f>
        <v/>
      </c>
      <c r="C39" s="3">
        <f>MAX(0,'Хранение до конца ноября'!F39-'Хранение до конца ноября'!H39*'Сезонность'!$C$2*'Сезонность'!$E$2*'Сезонность'!$B$2)</f>
        <v/>
      </c>
      <c r="D39" s="5">
        <f>'Хранение до конца ноября'!D39*(('Хранение до конца ноября'!E39+B39)/2+('Хранение до конца ноября'!F39+C39)/2)*'Сезонность'!$B$2</f>
        <v/>
      </c>
      <c r="E39" s="3">
        <f>MAX(0,B39-'Хранение до конца ноября'!H39*'Сезонность'!$C$3*'Сезонность'!$B$3)</f>
        <v/>
      </c>
      <c r="F39" s="3">
        <f>MAX(0,C39-'Хранение до конца ноября'!H39*'Сезонность'!$C$3*'Сезонность'!$E$3*'Сезонность'!$B$3)</f>
        <v/>
      </c>
      <c r="G39" s="5">
        <f>'Хранение до конца ноября'!D39*((B39+E39)/2+(C39+F39)/2)*'Сезонность'!$B$3</f>
        <v/>
      </c>
      <c r="H39" s="3">
        <f>MAX(0,E39-'Хранение до конца ноября'!H39*'Сезонность'!$C$4*'Сезонность'!$B$4)</f>
        <v/>
      </c>
      <c r="I39" s="3">
        <f>MAX(0,F39-'Хранение до конца ноября'!H39*'Сезонность'!$C$4*'Сезонность'!$E$4*'Сезонность'!$B$4)</f>
        <v/>
      </c>
      <c r="J39" s="5">
        <f>'Хранение до конца ноября'!D39*((E39+H39)/2+(F39+I39)/2)*'Сезонность'!$B$4</f>
        <v/>
      </c>
      <c r="K39" s="3">
        <f>MAX(0,H39-'Хранение до конца ноября'!H39*'Сезонность'!$C$5*'Сезонность'!$B$5)</f>
        <v/>
      </c>
      <c r="L39" s="3">
        <f>MAX(0,I39-'Хранение до конца ноября'!H39*'Сезонность'!$C$5*'Сезонность'!$E$5*'Сезонность'!$B$5)</f>
        <v/>
      </c>
      <c r="M39" s="5">
        <f>'Хранение до конца ноября'!D39*((H39+K39)/2+(I39+L39)/2)*'Сезонность'!$B$5</f>
        <v/>
      </c>
      <c r="N39" s="3">
        <f>MAX(0,K39-'Хранение до конца ноября'!H39*'Сезонность'!$C$6*'Сезонность'!$B$6)</f>
        <v/>
      </c>
      <c r="O39" s="3">
        <f>MAX(0,L39-'Хранение до конца ноября'!H39*'Сезонность'!$C$6*'Сезонность'!$E$6*'Сезонность'!$B$6)</f>
        <v/>
      </c>
      <c r="P39" s="5">
        <f>'Хранение до конца ноября'!D39*((K39+N39)/2+(L39+O39)/2)*'Сезонность'!$B$6</f>
        <v/>
      </c>
      <c r="Q39" s="3">
        <f>MAX(0,N39-'Хранение до конца ноября'!H39*'Сезонность'!$C$7*'Сезонность'!$B$7)</f>
        <v/>
      </c>
      <c r="R39" s="3">
        <f>MAX(0,O39-'Хранение до конца ноября'!H39*'Сезонность'!$C$7*'Сезонность'!$E$7*'Сезонность'!$B$7)</f>
        <v/>
      </c>
      <c r="S39" s="5">
        <f>'Хранение до конца ноября'!D39*((N39+Q39)/2+(O39+R39)/2)*'Сезонность'!$B$7</f>
        <v/>
      </c>
      <c r="T39" s="5">
        <f>D39+G39+J39+M39+P39+S39</f>
        <v/>
      </c>
      <c r="U39" s="3">
        <f>Q39+R39</f>
        <v/>
      </c>
    </row>
    <row r="40">
      <c r="A40" s="2">
        <f>'Хранение до конца ноября'!A40</f>
        <v/>
      </c>
      <c r="B40" s="3">
        <f>MAX(0,'Хранение до конца ноября'!E40-'Хранение до конца ноября'!H40*'Сезонность'!$C$2*'Сезонность'!$B$2)</f>
        <v/>
      </c>
      <c r="C40" s="3">
        <f>MAX(0,'Хранение до конца ноября'!F40-'Хранение до конца ноября'!H40*'Сезонность'!$C$2*'Сезонность'!$E$2*'Сезонность'!$B$2)</f>
        <v/>
      </c>
      <c r="D40" s="5">
        <f>'Хранение до конца ноября'!D40*(('Хранение до конца ноября'!E40+B40)/2+('Хранение до конца ноября'!F40+C40)/2)*'Сезонность'!$B$2</f>
        <v/>
      </c>
      <c r="E40" s="3">
        <f>MAX(0,B40-'Хранение до конца ноября'!H40*'Сезонность'!$C$3*'Сезонность'!$B$3)</f>
        <v/>
      </c>
      <c r="F40" s="3">
        <f>MAX(0,C40-'Хранение до конца ноября'!H40*'Сезонность'!$C$3*'Сезонность'!$E$3*'Сезонность'!$B$3)</f>
        <v/>
      </c>
      <c r="G40" s="5">
        <f>'Хранение до конца ноября'!D40*((B40+E40)/2+(C40+F40)/2)*'Сезонность'!$B$3</f>
        <v/>
      </c>
      <c r="H40" s="3">
        <f>MAX(0,E40-'Хранение до конца ноября'!H40*'Сезонность'!$C$4*'Сезонность'!$B$4)</f>
        <v/>
      </c>
      <c r="I40" s="3">
        <f>MAX(0,F40-'Хранение до конца ноября'!H40*'Сезонность'!$C$4*'Сезонность'!$E$4*'Сезонность'!$B$4)</f>
        <v/>
      </c>
      <c r="J40" s="5">
        <f>'Хранение до конца ноября'!D40*((E40+H40)/2+(F40+I40)/2)*'Сезонность'!$B$4</f>
        <v/>
      </c>
      <c r="K40" s="3">
        <f>MAX(0,H40-'Хранение до конца ноября'!H40*'Сезонность'!$C$5*'Сезонность'!$B$5)</f>
        <v/>
      </c>
      <c r="L40" s="3">
        <f>MAX(0,I40-'Хранение до конца ноября'!H40*'Сезонность'!$C$5*'Сезонность'!$E$5*'Сезонность'!$B$5)</f>
        <v/>
      </c>
      <c r="M40" s="5">
        <f>'Хранение до конца ноября'!D40*((H40+K40)/2+(I40+L40)/2)*'Сезонность'!$B$5</f>
        <v/>
      </c>
      <c r="N40" s="3">
        <f>MAX(0,K40-'Хранение до конца ноября'!H40*'Сезонность'!$C$6*'Сезонность'!$B$6)</f>
        <v/>
      </c>
      <c r="O40" s="3">
        <f>MAX(0,L40-'Хранение до конца ноября'!H40*'Сезонность'!$C$6*'Сезонность'!$E$6*'Сезонность'!$B$6)</f>
        <v/>
      </c>
      <c r="P40" s="5">
        <f>'Хранение до конца ноября'!D40*((K40+N40)/2+(L40+O40)/2)*'Сезонность'!$B$6</f>
        <v/>
      </c>
      <c r="Q40" s="3">
        <f>MAX(0,N40-'Хранение до конца ноября'!H40*'Сезонность'!$C$7*'Сезонность'!$B$7)</f>
        <v/>
      </c>
      <c r="R40" s="3">
        <f>MAX(0,O40-'Хранение до конца ноября'!H40*'Сезонность'!$C$7*'Сезонность'!$E$7*'Сезонность'!$B$7)</f>
        <v/>
      </c>
      <c r="S40" s="5">
        <f>'Хранение до конца ноября'!D40*((N40+Q40)/2+(O40+R40)/2)*'Сезонность'!$B$7</f>
        <v/>
      </c>
      <c r="T40" s="5">
        <f>D40+G40+J40+M40+P40+S40</f>
        <v/>
      </c>
      <c r="U40" s="3">
        <f>Q40+R40</f>
        <v/>
      </c>
    </row>
    <row r="41">
      <c r="A41" s="2">
        <f>'Хранение до конца ноября'!A41</f>
        <v/>
      </c>
      <c r="B41" s="3">
        <f>MAX(0,'Хранение до конца ноября'!E41-'Хранение до конца ноября'!H41*'Сезонность'!$C$2*'Сезонность'!$B$2)</f>
        <v/>
      </c>
      <c r="C41" s="3">
        <f>MAX(0,'Хранение до конца ноября'!F41-'Хранение до конца ноября'!H41*'Сезонность'!$C$2*'Сезонность'!$E$2*'Сезонность'!$B$2)</f>
        <v/>
      </c>
      <c r="D41" s="5">
        <f>'Хранение до конца ноября'!D41*(('Хранение до конца ноября'!E41+B41)/2+('Хранение до конца ноября'!F41+C41)/2)*'Сезонность'!$B$2</f>
        <v/>
      </c>
      <c r="E41" s="3">
        <f>MAX(0,B41-'Хранение до конца ноября'!H41*'Сезонность'!$C$3*'Сезонность'!$B$3)</f>
        <v/>
      </c>
      <c r="F41" s="3">
        <f>MAX(0,C41-'Хранение до конца ноября'!H41*'Сезонность'!$C$3*'Сезонность'!$E$3*'Сезонность'!$B$3)</f>
        <v/>
      </c>
      <c r="G41" s="5">
        <f>'Хранение до конца ноября'!D41*((B41+E41)/2+(C41+F41)/2)*'Сезонность'!$B$3</f>
        <v/>
      </c>
      <c r="H41" s="3">
        <f>MAX(0,E41-'Хранение до конца ноября'!H41*'Сезонность'!$C$4*'Сезонность'!$B$4)</f>
        <v/>
      </c>
      <c r="I41" s="3">
        <f>MAX(0,F41-'Хранение до конца ноября'!H41*'Сезонность'!$C$4*'Сезонность'!$E$4*'Сезонность'!$B$4)</f>
        <v/>
      </c>
      <c r="J41" s="5">
        <f>'Хранение до конца ноября'!D41*((E41+H41)/2+(F41+I41)/2)*'Сезонность'!$B$4</f>
        <v/>
      </c>
      <c r="K41" s="3">
        <f>MAX(0,H41-'Хранение до конца ноября'!H41*'Сезонность'!$C$5*'Сезонность'!$B$5)</f>
        <v/>
      </c>
      <c r="L41" s="3">
        <f>MAX(0,I41-'Хранение до конца ноября'!H41*'Сезонность'!$C$5*'Сезонность'!$E$5*'Сезонность'!$B$5)</f>
        <v/>
      </c>
      <c r="M41" s="5">
        <f>'Хранение до конца ноября'!D41*((H41+K41)/2+(I41+L41)/2)*'Сезонность'!$B$5</f>
        <v/>
      </c>
      <c r="N41" s="3">
        <f>MAX(0,K41-'Хранение до конца ноября'!H41*'Сезонность'!$C$6*'Сезонность'!$B$6)</f>
        <v/>
      </c>
      <c r="O41" s="3">
        <f>MAX(0,L41-'Хранение до конца ноября'!H41*'Сезонность'!$C$6*'Сезонность'!$E$6*'Сезонность'!$B$6)</f>
        <v/>
      </c>
      <c r="P41" s="5">
        <f>'Хранение до конца ноября'!D41*((K41+N41)/2+(L41+O41)/2)*'Сезонность'!$B$6</f>
        <v/>
      </c>
      <c r="Q41" s="3">
        <f>MAX(0,N41-'Хранение до конца ноября'!H41*'Сезонность'!$C$7*'Сезонность'!$B$7)</f>
        <v/>
      </c>
      <c r="R41" s="3">
        <f>MAX(0,O41-'Хранение до конца ноября'!H41*'Сезонность'!$C$7*'Сезонность'!$E$7*'Сезонность'!$B$7)</f>
        <v/>
      </c>
      <c r="S41" s="5">
        <f>'Хранение до конца ноября'!D41*((N41+Q41)/2+(O41+R41)/2)*'Сезонность'!$B$7</f>
        <v/>
      </c>
      <c r="T41" s="5">
        <f>D41+G41+J41+M41+P41+S41</f>
        <v/>
      </c>
      <c r="U41" s="3">
        <f>Q41+R41</f>
        <v/>
      </c>
    </row>
    <row r="42">
      <c r="A42" s="2">
        <f>'Хранение до конца ноября'!A42</f>
        <v/>
      </c>
      <c r="B42" s="3">
        <f>MAX(0,'Хранение до конца ноября'!E42-'Хранение до конца ноября'!H42*'Сезонность'!$C$2*'Сезонность'!$B$2)</f>
        <v/>
      </c>
      <c r="C42" s="3">
        <f>MAX(0,'Хранение до конца ноября'!F42-'Хранение до конца ноября'!H42*'Сезонность'!$C$2*'Сезонность'!$E$2*'Сезонность'!$B$2)</f>
        <v/>
      </c>
      <c r="D42" s="5">
        <f>'Хранение до конца ноября'!D42*(('Хранение до конца ноября'!E42+B42)/2+('Хранение до конца ноября'!F42+C42)/2)*'Сезонность'!$B$2</f>
        <v/>
      </c>
      <c r="E42" s="3">
        <f>MAX(0,B42-'Хранение до конца ноября'!H42*'Сезонность'!$C$3*'Сезонность'!$B$3)</f>
        <v/>
      </c>
      <c r="F42" s="3">
        <f>MAX(0,C42-'Хранение до конца ноября'!H42*'Сезонность'!$C$3*'Сезонность'!$E$3*'Сезонность'!$B$3)</f>
        <v/>
      </c>
      <c r="G42" s="5">
        <f>'Хранение до конца ноября'!D42*((B42+E42)/2+(C42+F42)/2)*'Сезонность'!$B$3</f>
        <v/>
      </c>
      <c r="H42" s="3">
        <f>MAX(0,E42-'Хранение до конца ноября'!H42*'Сезонность'!$C$4*'Сезонность'!$B$4)</f>
        <v/>
      </c>
      <c r="I42" s="3">
        <f>MAX(0,F42-'Хранение до конца ноября'!H42*'Сезонность'!$C$4*'Сезонность'!$E$4*'Сезонность'!$B$4)</f>
        <v/>
      </c>
      <c r="J42" s="5">
        <f>'Хранение до конца ноября'!D42*((E42+H42)/2+(F42+I42)/2)*'Сезонность'!$B$4</f>
        <v/>
      </c>
      <c r="K42" s="3">
        <f>MAX(0,H42-'Хранение до конца ноября'!H42*'Сезонность'!$C$5*'Сезонность'!$B$5)</f>
        <v/>
      </c>
      <c r="L42" s="3">
        <f>MAX(0,I42-'Хранение до конца ноября'!H42*'Сезонность'!$C$5*'Сезонность'!$E$5*'Сезонность'!$B$5)</f>
        <v/>
      </c>
      <c r="M42" s="5">
        <f>'Хранение до конца ноября'!D42*((H42+K42)/2+(I42+L42)/2)*'Сезонность'!$B$5</f>
        <v/>
      </c>
      <c r="N42" s="3">
        <f>MAX(0,K42-'Хранение до конца ноября'!H42*'Сезонность'!$C$6*'Сезонность'!$B$6)</f>
        <v/>
      </c>
      <c r="O42" s="3">
        <f>MAX(0,L42-'Хранение до конца ноября'!H42*'Сезонность'!$C$6*'Сезонность'!$E$6*'Сезонность'!$B$6)</f>
        <v/>
      </c>
      <c r="P42" s="5">
        <f>'Хранение до конца ноября'!D42*((K42+N42)/2+(L42+O42)/2)*'Сезонность'!$B$6</f>
        <v/>
      </c>
      <c r="Q42" s="3">
        <f>MAX(0,N42-'Хранение до конца ноября'!H42*'Сезонность'!$C$7*'Сезонность'!$B$7)</f>
        <v/>
      </c>
      <c r="R42" s="3">
        <f>MAX(0,O42-'Хранение до конца ноября'!H42*'Сезонность'!$C$7*'Сезонность'!$E$7*'Сезонность'!$B$7)</f>
        <v/>
      </c>
      <c r="S42" s="5">
        <f>'Хранение до конца ноября'!D42*((N42+Q42)/2+(O42+R42)/2)*'Сезонность'!$B$7</f>
        <v/>
      </c>
      <c r="T42" s="5">
        <f>D42+G42+J42+M42+P42+S42</f>
        <v/>
      </c>
      <c r="U42" s="3">
        <f>Q42+R42</f>
        <v/>
      </c>
    </row>
    <row r="43">
      <c r="A43" s="2">
        <f>'Хранение до конца ноября'!A43</f>
        <v/>
      </c>
      <c r="B43" s="3">
        <f>MAX(0,'Хранение до конца ноября'!E43-'Хранение до конца ноября'!H43*'Сезонность'!$C$2*'Сезонность'!$B$2)</f>
        <v/>
      </c>
      <c r="C43" s="3">
        <f>MAX(0,'Хранение до конца ноября'!F43-'Хранение до конца ноября'!H43*'Сезонность'!$C$2*'Сезонность'!$E$2*'Сезонность'!$B$2)</f>
        <v/>
      </c>
      <c r="D43" s="5">
        <f>'Хранение до конца ноября'!D43*(('Хранение до конца ноября'!E43+B43)/2+('Хранение до конца ноября'!F43+C43)/2)*'Сезонность'!$B$2</f>
        <v/>
      </c>
      <c r="E43" s="3">
        <f>MAX(0,B43-'Хранение до конца ноября'!H43*'Сезонность'!$C$3*'Сезонность'!$B$3)</f>
        <v/>
      </c>
      <c r="F43" s="3">
        <f>MAX(0,C43-'Хранение до конца ноября'!H43*'Сезонность'!$C$3*'Сезонность'!$E$3*'Сезонность'!$B$3)</f>
        <v/>
      </c>
      <c r="G43" s="5">
        <f>'Хранение до конца ноября'!D43*((B43+E43)/2+(C43+F43)/2)*'Сезонность'!$B$3</f>
        <v/>
      </c>
      <c r="H43" s="3">
        <f>MAX(0,E43-'Хранение до конца ноября'!H43*'Сезонность'!$C$4*'Сезонность'!$B$4)</f>
        <v/>
      </c>
      <c r="I43" s="3">
        <f>MAX(0,F43-'Хранение до конца ноября'!H43*'Сезонность'!$C$4*'Сезонность'!$E$4*'Сезонность'!$B$4)</f>
        <v/>
      </c>
      <c r="J43" s="5">
        <f>'Хранение до конца ноября'!D43*((E43+H43)/2+(F43+I43)/2)*'Сезонность'!$B$4</f>
        <v/>
      </c>
      <c r="K43" s="3">
        <f>MAX(0,H43-'Хранение до конца ноября'!H43*'Сезонность'!$C$5*'Сезонность'!$B$5)</f>
        <v/>
      </c>
      <c r="L43" s="3">
        <f>MAX(0,I43-'Хранение до конца ноября'!H43*'Сезонность'!$C$5*'Сезонность'!$E$5*'Сезонность'!$B$5)</f>
        <v/>
      </c>
      <c r="M43" s="5">
        <f>'Хранение до конца ноября'!D43*((H43+K43)/2+(I43+L43)/2)*'Сезонность'!$B$5</f>
        <v/>
      </c>
      <c r="N43" s="3">
        <f>MAX(0,K43-'Хранение до конца ноября'!H43*'Сезонность'!$C$6*'Сезонность'!$B$6)</f>
        <v/>
      </c>
      <c r="O43" s="3">
        <f>MAX(0,L43-'Хранение до конца ноября'!H43*'Сезонность'!$C$6*'Сезонность'!$E$6*'Сезонность'!$B$6)</f>
        <v/>
      </c>
      <c r="P43" s="5">
        <f>'Хранение до конца ноября'!D43*((K43+N43)/2+(L43+O43)/2)*'Сезонность'!$B$6</f>
        <v/>
      </c>
      <c r="Q43" s="3">
        <f>MAX(0,N43-'Хранение до конца ноября'!H43*'Сезонность'!$C$7*'Сезонность'!$B$7)</f>
        <v/>
      </c>
      <c r="R43" s="3">
        <f>MAX(0,O43-'Хранение до конца ноября'!H43*'Сезонность'!$C$7*'Сезонность'!$E$7*'Сезонность'!$B$7)</f>
        <v/>
      </c>
      <c r="S43" s="5">
        <f>'Хранение до конца ноября'!D43*((N43+Q43)/2+(O43+R43)/2)*'Сезонность'!$B$7</f>
        <v/>
      </c>
      <c r="T43" s="5">
        <f>D43+G43+J43+M43+P43+S43</f>
        <v/>
      </c>
      <c r="U43" s="3">
        <f>Q43+R43</f>
        <v/>
      </c>
    </row>
    <row r="44">
      <c r="A44" s="2">
        <f>'Хранение до конца ноября'!A44</f>
        <v/>
      </c>
      <c r="B44" s="3">
        <f>MAX(0,'Хранение до конца ноября'!E44-'Хранение до конца ноября'!H44*'Сезонность'!$C$2*'Сезонность'!$B$2)</f>
        <v/>
      </c>
      <c r="C44" s="3">
        <f>MAX(0,'Хранение до конца ноября'!F44-'Хранение до конца ноября'!H44*'Сезонность'!$C$2*'Сезонность'!$E$2*'Сезонность'!$B$2)</f>
        <v/>
      </c>
      <c r="D44" s="5">
        <f>'Хранение до конца ноября'!D44*(('Хранение до конца ноября'!E44+B44)/2+('Хранение до конца ноября'!F44+C44)/2)*'Сезонность'!$B$2</f>
        <v/>
      </c>
      <c r="E44" s="3">
        <f>MAX(0,B44-'Хранение до конца ноября'!H44*'Сезонность'!$C$3*'Сезонность'!$B$3)</f>
        <v/>
      </c>
      <c r="F44" s="3">
        <f>MAX(0,C44-'Хранение до конца ноября'!H44*'Сезонность'!$C$3*'Сезонность'!$E$3*'Сезонность'!$B$3)</f>
        <v/>
      </c>
      <c r="G44" s="5">
        <f>'Хранение до конца ноября'!D44*((B44+E44)/2+(C44+F44)/2)*'Сезонность'!$B$3</f>
        <v/>
      </c>
      <c r="H44" s="3">
        <f>MAX(0,E44-'Хранение до конца ноября'!H44*'Сезонность'!$C$4*'Сезонность'!$B$4)</f>
        <v/>
      </c>
      <c r="I44" s="3">
        <f>MAX(0,F44-'Хранение до конца ноября'!H44*'Сезонность'!$C$4*'Сезонность'!$E$4*'Сезонность'!$B$4)</f>
        <v/>
      </c>
      <c r="J44" s="5">
        <f>'Хранение до конца ноября'!D44*((E44+H44)/2+(F44+I44)/2)*'Сезонность'!$B$4</f>
        <v/>
      </c>
      <c r="K44" s="3">
        <f>MAX(0,H44-'Хранение до конца ноября'!H44*'Сезонность'!$C$5*'Сезонность'!$B$5)</f>
        <v/>
      </c>
      <c r="L44" s="3">
        <f>MAX(0,I44-'Хранение до конца ноября'!H44*'Сезонность'!$C$5*'Сезонность'!$E$5*'Сезонность'!$B$5)</f>
        <v/>
      </c>
      <c r="M44" s="5">
        <f>'Хранение до конца ноября'!D44*((H44+K44)/2+(I44+L44)/2)*'Сезонность'!$B$5</f>
        <v/>
      </c>
      <c r="N44" s="3">
        <f>MAX(0,K44-'Хранение до конца ноября'!H44*'Сезонность'!$C$6*'Сезонность'!$B$6)</f>
        <v/>
      </c>
      <c r="O44" s="3">
        <f>MAX(0,L44-'Хранение до конца ноября'!H44*'Сезонность'!$C$6*'Сезонность'!$E$6*'Сезонность'!$B$6)</f>
        <v/>
      </c>
      <c r="P44" s="5">
        <f>'Хранение до конца ноября'!D44*((K44+N44)/2+(L44+O44)/2)*'Сезонность'!$B$6</f>
        <v/>
      </c>
      <c r="Q44" s="3">
        <f>MAX(0,N44-'Хранение до конца ноября'!H44*'Сезонность'!$C$7*'Сезонность'!$B$7)</f>
        <v/>
      </c>
      <c r="R44" s="3">
        <f>MAX(0,O44-'Хранение до конца ноября'!H44*'Сезонность'!$C$7*'Сезонность'!$E$7*'Сезонность'!$B$7)</f>
        <v/>
      </c>
      <c r="S44" s="5">
        <f>'Хранение до конца ноября'!D44*((N44+Q44)/2+(O44+R44)/2)*'Сезонность'!$B$7</f>
        <v/>
      </c>
      <c r="T44" s="5">
        <f>D44+G44+J44+M44+P44+S44</f>
        <v/>
      </c>
      <c r="U44" s="3">
        <f>Q44+R44</f>
        <v/>
      </c>
    </row>
    <row r="45">
      <c r="A45" s="2">
        <f>'Хранение до конца ноября'!A45</f>
        <v/>
      </c>
      <c r="B45" s="3">
        <f>MAX(0,'Хранение до конца ноября'!E45-'Хранение до конца ноября'!H45*'Сезонность'!$C$2*'Сезонность'!$B$2)</f>
        <v/>
      </c>
      <c r="C45" s="3">
        <f>MAX(0,'Хранение до конца ноября'!F45-'Хранение до конца ноября'!H45*'Сезонность'!$C$2*'Сезонность'!$E$2*'Сезонность'!$B$2)</f>
        <v/>
      </c>
      <c r="D45" s="5">
        <f>'Хранение до конца ноября'!D45*(('Хранение до конца ноября'!E45+B45)/2+('Хранение до конца ноября'!F45+C45)/2)*'Сезонность'!$B$2</f>
        <v/>
      </c>
      <c r="E45" s="3">
        <f>MAX(0,B45-'Хранение до конца ноября'!H45*'Сезонность'!$C$3*'Сезонность'!$B$3)</f>
        <v/>
      </c>
      <c r="F45" s="3">
        <f>MAX(0,C45-'Хранение до конца ноября'!H45*'Сезонность'!$C$3*'Сезонность'!$E$3*'Сезонность'!$B$3)</f>
        <v/>
      </c>
      <c r="G45" s="5">
        <f>'Хранение до конца ноября'!D45*((B45+E45)/2+(C45+F45)/2)*'Сезонность'!$B$3</f>
        <v/>
      </c>
      <c r="H45" s="3">
        <f>MAX(0,E45-'Хранение до конца ноября'!H45*'Сезонность'!$C$4*'Сезонность'!$B$4)</f>
        <v/>
      </c>
      <c r="I45" s="3">
        <f>MAX(0,F45-'Хранение до конца ноября'!H45*'Сезонность'!$C$4*'Сезонность'!$E$4*'Сезонность'!$B$4)</f>
        <v/>
      </c>
      <c r="J45" s="5">
        <f>'Хранение до конца ноября'!D45*((E45+H45)/2+(F45+I45)/2)*'Сезонность'!$B$4</f>
        <v/>
      </c>
      <c r="K45" s="3">
        <f>MAX(0,H45-'Хранение до конца ноября'!H45*'Сезонность'!$C$5*'Сезонность'!$B$5)</f>
        <v/>
      </c>
      <c r="L45" s="3">
        <f>MAX(0,I45-'Хранение до конца ноября'!H45*'Сезонность'!$C$5*'Сезонность'!$E$5*'Сезонность'!$B$5)</f>
        <v/>
      </c>
      <c r="M45" s="5">
        <f>'Хранение до конца ноября'!D45*((H45+K45)/2+(I45+L45)/2)*'Сезонность'!$B$5</f>
        <v/>
      </c>
      <c r="N45" s="3">
        <f>MAX(0,K45-'Хранение до конца ноября'!H45*'Сезонность'!$C$6*'Сезонность'!$B$6)</f>
        <v/>
      </c>
      <c r="O45" s="3">
        <f>MAX(0,L45-'Хранение до конца ноября'!H45*'Сезонность'!$C$6*'Сезонность'!$E$6*'Сезонность'!$B$6)</f>
        <v/>
      </c>
      <c r="P45" s="5">
        <f>'Хранение до конца ноября'!D45*((K45+N45)/2+(L45+O45)/2)*'Сезонность'!$B$6</f>
        <v/>
      </c>
      <c r="Q45" s="3">
        <f>MAX(0,N45-'Хранение до конца ноября'!H45*'Сезонность'!$C$7*'Сезонность'!$B$7)</f>
        <v/>
      </c>
      <c r="R45" s="3">
        <f>MAX(0,O45-'Хранение до конца ноября'!H45*'Сезонность'!$C$7*'Сезонность'!$E$7*'Сезонность'!$B$7)</f>
        <v/>
      </c>
      <c r="S45" s="5">
        <f>'Хранение до конца ноября'!D45*((N45+Q45)/2+(O45+R45)/2)*'Сезонность'!$B$7</f>
        <v/>
      </c>
      <c r="T45" s="5">
        <f>D45+G45+J45+M45+P45+S45</f>
        <v/>
      </c>
      <c r="U45" s="3">
        <f>Q45+R45</f>
        <v/>
      </c>
    </row>
    <row r="46">
      <c r="A46" s="2">
        <f>'Хранение до конца ноября'!A46</f>
        <v/>
      </c>
      <c r="B46" s="3">
        <f>MAX(0,'Хранение до конца ноября'!E46-'Хранение до конца ноября'!H46*'Сезонность'!$C$2*'Сезонность'!$B$2)</f>
        <v/>
      </c>
      <c r="C46" s="3">
        <f>MAX(0,'Хранение до конца ноября'!F46-'Хранение до конца ноября'!H46*'Сезонность'!$C$2*'Сезонность'!$E$2*'Сезонность'!$B$2)</f>
        <v/>
      </c>
      <c r="D46" s="5">
        <f>'Хранение до конца ноября'!D46*(('Хранение до конца ноября'!E46+B46)/2+('Хранение до конца ноября'!F46+C46)/2)*'Сезонность'!$B$2</f>
        <v/>
      </c>
      <c r="E46" s="3">
        <f>MAX(0,B46-'Хранение до конца ноября'!H46*'Сезонность'!$C$3*'Сезонность'!$B$3)</f>
        <v/>
      </c>
      <c r="F46" s="3">
        <f>MAX(0,C46-'Хранение до конца ноября'!H46*'Сезонность'!$C$3*'Сезонность'!$E$3*'Сезонность'!$B$3)</f>
        <v/>
      </c>
      <c r="G46" s="5">
        <f>'Хранение до конца ноября'!D46*((B46+E46)/2+(C46+F46)/2)*'Сезонность'!$B$3</f>
        <v/>
      </c>
      <c r="H46" s="3">
        <f>MAX(0,E46-'Хранение до конца ноября'!H46*'Сезонность'!$C$4*'Сезонность'!$B$4)</f>
        <v/>
      </c>
      <c r="I46" s="3">
        <f>MAX(0,F46-'Хранение до конца ноября'!H46*'Сезонность'!$C$4*'Сезонность'!$E$4*'Сезонность'!$B$4)</f>
        <v/>
      </c>
      <c r="J46" s="5">
        <f>'Хранение до конца ноября'!D46*((E46+H46)/2+(F46+I46)/2)*'Сезонность'!$B$4</f>
        <v/>
      </c>
      <c r="K46" s="3">
        <f>MAX(0,H46-'Хранение до конца ноября'!H46*'Сезонность'!$C$5*'Сезонность'!$B$5)</f>
        <v/>
      </c>
      <c r="L46" s="3">
        <f>MAX(0,I46-'Хранение до конца ноября'!H46*'Сезонность'!$C$5*'Сезонность'!$E$5*'Сезонность'!$B$5)</f>
        <v/>
      </c>
      <c r="M46" s="5">
        <f>'Хранение до конца ноября'!D46*((H46+K46)/2+(I46+L46)/2)*'Сезонность'!$B$5</f>
        <v/>
      </c>
      <c r="N46" s="3">
        <f>MAX(0,K46-'Хранение до конца ноября'!H46*'Сезонность'!$C$6*'Сезонность'!$B$6)</f>
        <v/>
      </c>
      <c r="O46" s="3">
        <f>MAX(0,L46-'Хранение до конца ноября'!H46*'Сезонность'!$C$6*'Сезонность'!$E$6*'Сезонность'!$B$6)</f>
        <v/>
      </c>
      <c r="P46" s="5">
        <f>'Хранение до конца ноября'!D46*((K46+N46)/2+(L46+O46)/2)*'Сезонность'!$B$6</f>
        <v/>
      </c>
      <c r="Q46" s="3">
        <f>MAX(0,N46-'Хранение до конца ноября'!H46*'Сезонность'!$C$7*'Сезонность'!$B$7)</f>
        <v/>
      </c>
      <c r="R46" s="3">
        <f>MAX(0,O46-'Хранение до конца ноября'!H46*'Сезонность'!$C$7*'Сезонность'!$E$7*'Сезонность'!$B$7)</f>
        <v/>
      </c>
      <c r="S46" s="5">
        <f>'Хранение до конца ноября'!D46*((N46+Q46)/2+(O46+R46)/2)*'Сезонность'!$B$7</f>
        <v/>
      </c>
      <c r="T46" s="5">
        <f>D46+G46+J46+M46+P46+S46</f>
        <v/>
      </c>
      <c r="U46" s="3">
        <f>Q46+R46</f>
        <v/>
      </c>
    </row>
    <row r="47">
      <c r="A47" s="2">
        <f>'Хранение до конца ноября'!A47</f>
        <v/>
      </c>
      <c r="B47" s="3">
        <f>MAX(0,'Хранение до конца ноября'!E47-'Хранение до конца ноября'!H47*'Сезонность'!$C$2*'Сезонность'!$B$2)</f>
        <v/>
      </c>
      <c r="C47" s="3">
        <f>MAX(0,'Хранение до конца ноября'!F47-'Хранение до конца ноября'!H47*'Сезонность'!$C$2*'Сезонность'!$E$2*'Сезонность'!$B$2)</f>
        <v/>
      </c>
      <c r="D47" s="5">
        <f>'Хранение до конца ноября'!D47*(('Хранение до конца ноября'!E47+B47)/2+('Хранение до конца ноября'!F47+C47)/2)*'Сезонность'!$B$2</f>
        <v/>
      </c>
      <c r="E47" s="3">
        <f>MAX(0,B47-'Хранение до конца ноября'!H47*'Сезонность'!$C$3*'Сезонность'!$B$3)</f>
        <v/>
      </c>
      <c r="F47" s="3">
        <f>MAX(0,C47-'Хранение до конца ноября'!H47*'Сезонность'!$C$3*'Сезонность'!$E$3*'Сезонность'!$B$3)</f>
        <v/>
      </c>
      <c r="G47" s="5">
        <f>'Хранение до конца ноября'!D47*((B47+E47)/2+(C47+F47)/2)*'Сезонность'!$B$3</f>
        <v/>
      </c>
      <c r="H47" s="3">
        <f>MAX(0,E47-'Хранение до конца ноября'!H47*'Сезонность'!$C$4*'Сезонность'!$B$4)</f>
        <v/>
      </c>
      <c r="I47" s="3">
        <f>MAX(0,F47-'Хранение до конца ноября'!H47*'Сезонность'!$C$4*'Сезонность'!$E$4*'Сезонность'!$B$4)</f>
        <v/>
      </c>
      <c r="J47" s="5">
        <f>'Хранение до конца ноября'!D47*((E47+H47)/2+(F47+I47)/2)*'Сезонность'!$B$4</f>
        <v/>
      </c>
      <c r="K47" s="3">
        <f>MAX(0,H47-'Хранение до конца ноября'!H47*'Сезонность'!$C$5*'Сезонность'!$B$5)</f>
        <v/>
      </c>
      <c r="L47" s="3">
        <f>MAX(0,I47-'Хранение до конца ноября'!H47*'Сезонность'!$C$5*'Сезонность'!$E$5*'Сезонность'!$B$5)</f>
        <v/>
      </c>
      <c r="M47" s="5">
        <f>'Хранение до конца ноября'!D47*((H47+K47)/2+(I47+L47)/2)*'Сезонность'!$B$5</f>
        <v/>
      </c>
      <c r="N47" s="3">
        <f>MAX(0,K47-'Хранение до конца ноября'!H47*'Сезонность'!$C$6*'Сезонность'!$B$6)</f>
        <v/>
      </c>
      <c r="O47" s="3">
        <f>MAX(0,L47-'Хранение до конца ноября'!H47*'Сезонность'!$C$6*'Сезонность'!$E$6*'Сезонность'!$B$6)</f>
        <v/>
      </c>
      <c r="P47" s="5">
        <f>'Хранение до конца ноября'!D47*((K47+N47)/2+(L47+O47)/2)*'Сезонность'!$B$6</f>
        <v/>
      </c>
      <c r="Q47" s="3">
        <f>MAX(0,N47-'Хранение до конца ноября'!H47*'Сезонность'!$C$7*'Сезонность'!$B$7)</f>
        <v/>
      </c>
      <c r="R47" s="3">
        <f>MAX(0,O47-'Хранение до конца ноября'!H47*'Сезонность'!$C$7*'Сезонность'!$E$7*'Сезонность'!$B$7)</f>
        <v/>
      </c>
      <c r="S47" s="5">
        <f>'Хранение до конца ноября'!D47*((N47+Q47)/2+(O47+R47)/2)*'Сезонность'!$B$7</f>
        <v/>
      </c>
      <c r="T47" s="5">
        <f>D47+G47+J47+M47+P47+S47</f>
        <v/>
      </c>
      <c r="U47" s="3">
        <f>Q47+R47</f>
        <v/>
      </c>
    </row>
    <row r="48">
      <c r="A48" s="2">
        <f>'Хранение до конца ноября'!A48</f>
        <v/>
      </c>
      <c r="B48" s="3">
        <f>MAX(0,'Хранение до конца ноября'!E48-'Хранение до конца ноября'!H48*'Сезонность'!$C$2*'Сезонность'!$B$2)</f>
        <v/>
      </c>
      <c r="C48" s="3">
        <f>MAX(0,'Хранение до конца ноября'!F48-'Хранение до конца ноября'!H48*'Сезонность'!$C$2*'Сезонность'!$E$2*'Сезонность'!$B$2)</f>
        <v/>
      </c>
      <c r="D48" s="5">
        <f>'Хранение до конца ноября'!D48*(('Хранение до конца ноября'!E48+B48)/2+('Хранение до конца ноября'!F48+C48)/2)*'Сезонность'!$B$2</f>
        <v/>
      </c>
      <c r="E48" s="3">
        <f>MAX(0,B48-'Хранение до конца ноября'!H48*'Сезонность'!$C$3*'Сезонность'!$B$3)</f>
        <v/>
      </c>
      <c r="F48" s="3">
        <f>MAX(0,C48-'Хранение до конца ноября'!H48*'Сезонность'!$C$3*'Сезонность'!$E$3*'Сезонность'!$B$3)</f>
        <v/>
      </c>
      <c r="G48" s="5">
        <f>'Хранение до конца ноября'!D48*((B48+E48)/2+(C48+F48)/2)*'Сезонность'!$B$3</f>
        <v/>
      </c>
      <c r="H48" s="3">
        <f>MAX(0,E48-'Хранение до конца ноября'!H48*'Сезонность'!$C$4*'Сезонность'!$B$4)</f>
        <v/>
      </c>
      <c r="I48" s="3">
        <f>MAX(0,F48-'Хранение до конца ноября'!H48*'Сезонность'!$C$4*'Сезонность'!$E$4*'Сезонность'!$B$4)</f>
        <v/>
      </c>
      <c r="J48" s="5">
        <f>'Хранение до конца ноября'!D48*((E48+H48)/2+(F48+I48)/2)*'Сезонность'!$B$4</f>
        <v/>
      </c>
      <c r="K48" s="3">
        <f>MAX(0,H48-'Хранение до конца ноября'!H48*'Сезонность'!$C$5*'Сезонность'!$B$5)</f>
        <v/>
      </c>
      <c r="L48" s="3">
        <f>MAX(0,I48-'Хранение до конца ноября'!H48*'Сезонность'!$C$5*'Сезонность'!$E$5*'Сезонность'!$B$5)</f>
        <v/>
      </c>
      <c r="M48" s="5">
        <f>'Хранение до конца ноября'!D48*((H48+K48)/2+(I48+L48)/2)*'Сезонность'!$B$5</f>
        <v/>
      </c>
      <c r="N48" s="3">
        <f>MAX(0,K48-'Хранение до конца ноября'!H48*'Сезонность'!$C$6*'Сезонность'!$B$6)</f>
        <v/>
      </c>
      <c r="O48" s="3">
        <f>MAX(0,L48-'Хранение до конца ноября'!H48*'Сезонность'!$C$6*'Сезонность'!$E$6*'Сезонность'!$B$6)</f>
        <v/>
      </c>
      <c r="P48" s="5">
        <f>'Хранение до конца ноября'!D48*((K48+N48)/2+(L48+O48)/2)*'Сезонность'!$B$6</f>
        <v/>
      </c>
      <c r="Q48" s="3">
        <f>MAX(0,N48-'Хранение до конца ноября'!H48*'Сезонность'!$C$7*'Сезонность'!$B$7)</f>
        <v/>
      </c>
      <c r="R48" s="3">
        <f>MAX(0,O48-'Хранение до конца ноября'!H48*'Сезонность'!$C$7*'Сезонность'!$E$7*'Сезонность'!$B$7)</f>
        <v/>
      </c>
      <c r="S48" s="5">
        <f>'Хранение до конца ноября'!D48*((N48+Q48)/2+(O48+R48)/2)*'Сезонность'!$B$7</f>
        <v/>
      </c>
      <c r="T48" s="5">
        <f>D48+G48+J48+M48+P48+S48</f>
        <v/>
      </c>
      <c r="U48" s="3">
        <f>Q48+R48</f>
        <v/>
      </c>
    </row>
    <row r="49">
      <c r="A49" s="2">
        <f>'Хранение до конца ноября'!A49</f>
        <v/>
      </c>
      <c r="B49" s="3">
        <f>MAX(0,'Хранение до конца ноября'!E49-'Хранение до конца ноября'!H49*'Сезонность'!$C$2*'Сезонность'!$B$2)</f>
        <v/>
      </c>
      <c r="C49" s="3">
        <f>MAX(0,'Хранение до конца ноября'!F49-'Хранение до конца ноября'!H49*'Сезонность'!$C$2*'Сезонность'!$E$2*'Сезонность'!$B$2)</f>
        <v/>
      </c>
      <c r="D49" s="5">
        <f>'Хранение до конца ноября'!D49*(('Хранение до конца ноября'!E49+B49)/2+('Хранение до конца ноября'!F49+C49)/2)*'Сезонность'!$B$2</f>
        <v/>
      </c>
      <c r="E49" s="3">
        <f>MAX(0,B49-'Хранение до конца ноября'!H49*'Сезонность'!$C$3*'Сезонность'!$B$3)</f>
        <v/>
      </c>
      <c r="F49" s="3">
        <f>MAX(0,C49-'Хранение до конца ноября'!H49*'Сезонность'!$C$3*'Сезонность'!$E$3*'Сезонность'!$B$3)</f>
        <v/>
      </c>
      <c r="G49" s="5">
        <f>'Хранение до конца ноября'!D49*((B49+E49)/2+(C49+F49)/2)*'Сезонность'!$B$3</f>
        <v/>
      </c>
      <c r="H49" s="3">
        <f>MAX(0,E49-'Хранение до конца ноября'!H49*'Сезонность'!$C$4*'Сезонность'!$B$4)</f>
        <v/>
      </c>
      <c r="I49" s="3">
        <f>MAX(0,F49-'Хранение до конца ноября'!H49*'Сезонность'!$C$4*'Сезонность'!$E$4*'Сезонность'!$B$4)</f>
        <v/>
      </c>
      <c r="J49" s="5">
        <f>'Хранение до конца ноября'!D49*((E49+H49)/2+(F49+I49)/2)*'Сезонность'!$B$4</f>
        <v/>
      </c>
      <c r="K49" s="3">
        <f>MAX(0,H49-'Хранение до конца ноября'!H49*'Сезонность'!$C$5*'Сезонность'!$B$5)</f>
        <v/>
      </c>
      <c r="L49" s="3">
        <f>MAX(0,I49-'Хранение до конца ноября'!H49*'Сезонность'!$C$5*'Сезонность'!$E$5*'Сезонность'!$B$5)</f>
        <v/>
      </c>
      <c r="M49" s="5">
        <f>'Хранение до конца ноября'!D49*((H49+K49)/2+(I49+L49)/2)*'Сезонность'!$B$5</f>
        <v/>
      </c>
      <c r="N49" s="3">
        <f>MAX(0,K49-'Хранение до конца ноября'!H49*'Сезонность'!$C$6*'Сезонность'!$B$6)</f>
        <v/>
      </c>
      <c r="O49" s="3">
        <f>MAX(0,L49-'Хранение до конца ноября'!H49*'Сезонность'!$C$6*'Сезонность'!$E$6*'Сезонность'!$B$6)</f>
        <v/>
      </c>
      <c r="P49" s="5">
        <f>'Хранение до конца ноября'!D49*((K49+N49)/2+(L49+O49)/2)*'Сезонность'!$B$6</f>
        <v/>
      </c>
      <c r="Q49" s="3">
        <f>MAX(0,N49-'Хранение до конца ноября'!H49*'Сезонность'!$C$7*'Сезонность'!$B$7)</f>
        <v/>
      </c>
      <c r="R49" s="3">
        <f>MAX(0,O49-'Хранение до конца ноября'!H49*'Сезонность'!$C$7*'Сезонность'!$E$7*'Сезонность'!$B$7)</f>
        <v/>
      </c>
      <c r="S49" s="5">
        <f>'Хранение до конца ноября'!D49*((N49+Q49)/2+(O49+R49)/2)*'Сезонность'!$B$7</f>
        <v/>
      </c>
      <c r="T49" s="5">
        <f>D49+G49+J49+M49+P49+S49</f>
        <v/>
      </c>
      <c r="U49" s="3">
        <f>Q49+R49</f>
        <v/>
      </c>
    </row>
    <row r="50">
      <c r="A50" s="2">
        <f>'Хранение до конца ноября'!A50</f>
        <v/>
      </c>
      <c r="B50" s="3">
        <f>MAX(0,'Хранение до конца ноября'!E50-'Хранение до конца ноября'!H50*'Сезонность'!$C$2*'Сезонность'!$B$2)</f>
        <v/>
      </c>
      <c r="C50" s="3">
        <f>MAX(0,'Хранение до конца ноября'!F50-'Хранение до конца ноября'!H50*'Сезонность'!$C$2*'Сезонность'!$E$2*'Сезонность'!$B$2)</f>
        <v/>
      </c>
      <c r="D50" s="5">
        <f>'Хранение до конца ноября'!D50*(('Хранение до конца ноября'!E50+B50)/2+('Хранение до конца ноября'!F50+C50)/2)*'Сезонность'!$B$2</f>
        <v/>
      </c>
      <c r="E50" s="3">
        <f>MAX(0,B50-'Хранение до конца ноября'!H50*'Сезонность'!$C$3*'Сезонность'!$B$3)</f>
        <v/>
      </c>
      <c r="F50" s="3">
        <f>MAX(0,C50-'Хранение до конца ноября'!H50*'Сезонность'!$C$3*'Сезонность'!$E$3*'Сезонность'!$B$3)</f>
        <v/>
      </c>
      <c r="G50" s="5">
        <f>'Хранение до конца ноября'!D50*((B50+E50)/2+(C50+F50)/2)*'Сезонность'!$B$3</f>
        <v/>
      </c>
      <c r="H50" s="3">
        <f>MAX(0,E50-'Хранение до конца ноября'!H50*'Сезонность'!$C$4*'Сезонность'!$B$4)</f>
        <v/>
      </c>
      <c r="I50" s="3">
        <f>MAX(0,F50-'Хранение до конца ноября'!H50*'Сезонность'!$C$4*'Сезонность'!$E$4*'Сезонность'!$B$4)</f>
        <v/>
      </c>
      <c r="J50" s="5">
        <f>'Хранение до конца ноября'!D50*((E50+H50)/2+(F50+I50)/2)*'Сезонность'!$B$4</f>
        <v/>
      </c>
      <c r="K50" s="3">
        <f>MAX(0,H50-'Хранение до конца ноября'!H50*'Сезонность'!$C$5*'Сезонность'!$B$5)</f>
        <v/>
      </c>
      <c r="L50" s="3">
        <f>MAX(0,I50-'Хранение до конца ноября'!H50*'Сезонность'!$C$5*'Сезонность'!$E$5*'Сезонность'!$B$5)</f>
        <v/>
      </c>
      <c r="M50" s="5">
        <f>'Хранение до конца ноября'!D50*((H50+K50)/2+(I50+L50)/2)*'Сезонность'!$B$5</f>
        <v/>
      </c>
      <c r="N50" s="3">
        <f>MAX(0,K50-'Хранение до конца ноября'!H50*'Сезонность'!$C$6*'Сезонность'!$B$6)</f>
        <v/>
      </c>
      <c r="O50" s="3">
        <f>MAX(0,L50-'Хранение до конца ноября'!H50*'Сезонность'!$C$6*'Сезонность'!$E$6*'Сезонность'!$B$6)</f>
        <v/>
      </c>
      <c r="P50" s="5">
        <f>'Хранение до конца ноября'!D50*((K50+N50)/2+(L50+O50)/2)*'Сезонность'!$B$6</f>
        <v/>
      </c>
      <c r="Q50" s="3">
        <f>MAX(0,N50-'Хранение до конца ноября'!H50*'Сезонность'!$C$7*'Сезонность'!$B$7)</f>
        <v/>
      </c>
      <c r="R50" s="3">
        <f>MAX(0,O50-'Хранение до конца ноября'!H50*'Сезонность'!$C$7*'Сезонность'!$E$7*'Сезонность'!$B$7)</f>
        <v/>
      </c>
      <c r="S50" s="5">
        <f>'Хранение до конца ноября'!D50*((N50+Q50)/2+(O50+R50)/2)*'Сезонность'!$B$7</f>
        <v/>
      </c>
      <c r="T50" s="5">
        <f>D50+G50+J50+M50+P50+S50</f>
        <v/>
      </c>
      <c r="U50" s="3">
        <f>Q50+R50</f>
        <v/>
      </c>
    </row>
    <row r="51">
      <c r="A51" s="2">
        <f>'Хранение до конца ноября'!A51</f>
        <v/>
      </c>
      <c r="B51" s="3">
        <f>MAX(0,'Хранение до конца ноября'!E51-'Хранение до конца ноября'!H51*'Сезонность'!$C$2*'Сезонность'!$B$2)</f>
        <v/>
      </c>
      <c r="C51" s="3">
        <f>MAX(0,'Хранение до конца ноября'!F51-'Хранение до конца ноября'!H51*'Сезонность'!$C$2*'Сезонность'!$E$2*'Сезонность'!$B$2)</f>
        <v/>
      </c>
      <c r="D51" s="5">
        <f>'Хранение до конца ноября'!D51*(('Хранение до конца ноября'!E51+B51)/2+('Хранение до конца ноября'!F51+C51)/2)*'Сезонность'!$B$2</f>
        <v/>
      </c>
      <c r="E51" s="3">
        <f>MAX(0,B51-'Хранение до конца ноября'!H51*'Сезонность'!$C$3*'Сезонность'!$B$3)</f>
        <v/>
      </c>
      <c r="F51" s="3">
        <f>MAX(0,C51-'Хранение до конца ноября'!H51*'Сезонность'!$C$3*'Сезонность'!$E$3*'Сезонность'!$B$3)</f>
        <v/>
      </c>
      <c r="G51" s="5">
        <f>'Хранение до конца ноября'!D51*((B51+E51)/2+(C51+F51)/2)*'Сезонность'!$B$3</f>
        <v/>
      </c>
      <c r="H51" s="3">
        <f>MAX(0,E51-'Хранение до конца ноября'!H51*'Сезонность'!$C$4*'Сезонность'!$B$4)</f>
        <v/>
      </c>
      <c r="I51" s="3">
        <f>MAX(0,F51-'Хранение до конца ноября'!H51*'Сезонность'!$C$4*'Сезонность'!$E$4*'Сезонность'!$B$4)</f>
        <v/>
      </c>
      <c r="J51" s="5">
        <f>'Хранение до конца ноября'!D51*((E51+H51)/2+(F51+I51)/2)*'Сезонность'!$B$4</f>
        <v/>
      </c>
      <c r="K51" s="3">
        <f>MAX(0,H51-'Хранение до конца ноября'!H51*'Сезонность'!$C$5*'Сезонность'!$B$5)</f>
        <v/>
      </c>
      <c r="L51" s="3">
        <f>MAX(0,I51-'Хранение до конца ноября'!H51*'Сезонность'!$C$5*'Сезонность'!$E$5*'Сезонность'!$B$5)</f>
        <v/>
      </c>
      <c r="M51" s="5">
        <f>'Хранение до конца ноября'!D51*((H51+K51)/2+(I51+L51)/2)*'Сезонность'!$B$5</f>
        <v/>
      </c>
      <c r="N51" s="3">
        <f>MAX(0,K51-'Хранение до конца ноября'!H51*'Сезонность'!$C$6*'Сезонность'!$B$6)</f>
        <v/>
      </c>
      <c r="O51" s="3">
        <f>MAX(0,L51-'Хранение до конца ноября'!H51*'Сезонность'!$C$6*'Сезонность'!$E$6*'Сезонность'!$B$6)</f>
        <v/>
      </c>
      <c r="P51" s="5">
        <f>'Хранение до конца ноября'!D51*((K51+N51)/2+(L51+O51)/2)*'Сезонность'!$B$6</f>
        <v/>
      </c>
      <c r="Q51" s="3">
        <f>MAX(0,N51-'Хранение до конца ноября'!H51*'Сезонность'!$C$7*'Сезонность'!$B$7)</f>
        <v/>
      </c>
      <c r="R51" s="3">
        <f>MAX(0,O51-'Хранение до конца ноября'!H51*'Сезонность'!$C$7*'Сезонность'!$E$7*'Сезонность'!$B$7)</f>
        <v/>
      </c>
      <c r="S51" s="5">
        <f>'Хранение до конца ноября'!D51*((N51+Q51)/2+(O51+R51)/2)*'Сезонность'!$B$7</f>
        <v/>
      </c>
      <c r="T51" s="5">
        <f>D51+G51+J51+M51+P51+S51</f>
        <v/>
      </c>
      <c r="U51" s="3">
        <f>Q51+R51</f>
        <v/>
      </c>
    </row>
    <row r="52">
      <c r="A52" s="2">
        <f>'Хранение до конца ноября'!A52</f>
        <v/>
      </c>
      <c r="B52" s="3">
        <f>MAX(0,'Хранение до конца ноября'!E52-'Хранение до конца ноября'!H52*'Сезонность'!$C$2*'Сезонность'!$B$2)</f>
        <v/>
      </c>
      <c r="C52" s="3">
        <f>MAX(0,'Хранение до конца ноября'!F52-'Хранение до конца ноября'!H52*'Сезонность'!$C$2*'Сезонность'!$E$2*'Сезонность'!$B$2)</f>
        <v/>
      </c>
      <c r="D52" s="5">
        <f>'Хранение до конца ноября'!D52*(('Хранение до конца ноября'!E52+B52)/2+('Хранение до конца ноября'!F52+C52)/2)*'Сезонность'!$B$2</f>
        <v/>
      </c>
      <c r="E52" s="3">
        <f>MAX(0,B52-'Хранение до конца ноября'!H52*'Сезонность'!$C$3*'Сезонность'!$B$3)</f>
        <v/>
      </c>
      <c r="F52" s="3">
        <f>MAX(0,C52-'Хранение до конца ноября'!H52*'Сезонность'!$C$3*'Сезонность'!$E$3*'Сезонность'!$B$3)</f>
        <v/>
      </c>
      <c r="G52" s="5">
        <f>'Хранение до конца ноября'!D52*((B52+E52)/2+(C52+F52)/2)*'Сезонность'!$B$3</f>
        <v/>
      </c>
      <c r="H52" s="3">
        <f>MAX(0,E52-'Хранение до конца ноября'!H52*'Сезонность'!$C$4*'Сезонность'!$B$4)</f>
        <v/>
      </c>
      <c r="I52" s="3">
        <f>MAX(0,F52-'Хранение до конца ноября'!H52*'Сезонность'!$C$4*'Сезонность'!$E$4*'Сезонность'!$B$4)</f>
        <v/>
      </c>
      <c r="J52" s="5">
        <f>'Хранение до конца ноября'!D52*((E52+H52)/2+(F52+I52)/2)*'Сезонность'!$B$4</f>
        <v/>
      </c>
      <c r="K52" s="3">
        <f>MAX(0,H52-'Хранение до конца ноября'!H52*'Сезонность'!$C$5*'Сезонность'!$B$5)</f>
        <v/>
      </c>
      <c r="L52" s="3">
        <f>MAX(0,I52-'Хранение до конца ноября'!H52*'Сезонность'!$C$5*'Сезонность'!$E$5*'Сезонность'!$B$5)</f>
        <v/>
      </c>
      <c r="M52" s="5">
        <f>'Хранение до конца ноября'!D52*((H52+K52)/2+(I52+L52)/2)*'Сезонность'!$B$5</f>
        <v/>
      </c>
      <c r="N52" s="3">
        <f>MAX(0,K52-'Хранение до конца ноября'!H52*'Сезонность'!$C$6*'Сезонность'!$B$6)</f>
        <v/>
      </c>
      <c r="O52" s="3">
        <f>MAX(0,L52-'Хранение до конца ноября'!H52*'Сезонность'!$C$6*'Сезонность'!$E$6*'Сезонность'!$B$6)</f>
        <v/>
      </c>
      <c r="P52" s="5">
        <f>'Хранение до конца ноября'!D52*((K52+N52)/2+(L52+O52)/2)*'Сезонность'!$B$6</f>
        <v/>
      </c>
      <c r="Q52" s="3">
        <f>MAX(0,N52-'Хранение до конца ноября'!H52*'Сезонность'!$C$7*'Сезонность'!$B$7)</f>
        <v/>
      </c>
      <c r="R52" s="3">
        <f>MAX(0,O52-'Хранение до конца ноября'!H52*'Сезонность'!$C$7*'Сезонность'!$E$7*'Сезонность'!$B$7)</f>
        <v/>
      </c>
      <c r="S52" s="5">
        <f>'Хранение до конца ноября'!D52*((N52+Q52)/2+(O52+R52)/2)*'Сезонность'!$B$7</f>
        <v/>
      </c>
      <c r="T52" s="5">
        <f>D52+G52+J52+M52+P52+S52</f>
        <v/>
      </c>
      <c r="U52" s="3">
        <f>Q52+R52</f>
        <v/>
      </c>
    </row>
    <row r="53">
      <c r="A53" s="2">
        <f>'Хранение до конца ноября'!A53</f>
        <v/>
      </c>
      <c r="B53" s="3">
        <f>MAX(0,'Хранение до конца ноября'!E53-'Хранение до конца ноября'!H53*'Сезонность'!$C$2*'Сезонность'!$B$2)</f>
        <v/>
      </c>
      <c r="C53" s="3">
        <f>MAX(0,'Хранение до конца ноября'!F53-'Хранение до конца ноября'!H53*'Сезонность'!$C$2*'Сезонность'!$E$2*'Сезонность'!$B$2)</f>
        <v/>
      </c>
      <c r="D53" s="5">
        <f>'Хранение до конца ноября'!D53*(('Хранение до конца ноября'!E53+B53)/2+('Хранение до конца ноября'!F53+C53)/2)*'Сезонность'!$B$2</f>
        <v/>
      </c>
      <c r="E53" s="3">
        <f>MAX(0,B53-'Хранение до конца ноября'!H53*'Сезонность'!$C$3*'Сезонность'!$B$3)</f>
        <v/>
      </c>
      <c r="F53" s="3">
        <f>MAX(0,C53-'Хранение до конца ноября'!H53*'Сезонность'!$C$3*'Сезонность'!$E$3*'Сезонность'!$B$3)</f>
        <v/>
      </c>
      <c r="G53" s="5">
        <f>'Хранение до конца ноября'!D53*((B53+E53)/2+(C53+F53)/2)*'Сезонность'!$B$3</f>
        <v/>
      </c>
      <c r="H53" s="3">
        <f>MAX(0,E53-'Хранение до конца ноября'!H53*'Сезонность'!$C$4*'Сезонность'!$B$4)</f>
        <v/>
      </c>
      <c r="I53" s="3">
        <f>MAX(0,F53-'Хранение до конца ноября'!H53*'Сезонность'!$C$4*'Сезонность'!$E$4*'Сезонность'!$B$4)</f>
        <v/>
      </c>
      <c r="J53" s="5">
        <f>'Хранение до конца ноября'!D53*((E53+H53)/2+(F53+I53)/2)*'Сезонность'!$B$4</f>
        <v/>
      </c>
      <c r="K53" s="3">
        <f>MAX(0,H53-'Хранение до конца ноября'!H53*'Сезонность'!$C$5*'Сезонность'!$B$5)</f>
        <v/>
      </c>
      <c r="L53" s="3">
        <f>MAX(0,I53-'Хранение до конца ноября'!H53*'Сезонность'!$C$5*'Сезонность'!$E$5*'Сезонность'!$B$5)</f>
        <v/>
      </c>
      <c r="M53" s="5">
        <f>'Хранение до конца ноября'!D53*((H53+K53)/2+(I53+L53)/2)*'Сезонность'!$B$5</f>
        <v/>
      </c>
      <c r="N53" s="3">
        <f>MAX(0,K53-'Хранение до конца ноября'!H53*'Сезонность'!$C$6*'Сезонность'!$B$6)</f>
        <v/>
      </c>
      <c r="O53" s="3">
        <f>MAX(0,L53-'Хранение до конца ноября'!H53*'Сезонность'!$C$6*'Сезонность'!$E$6*'Сезонность'!$B$6)</f>
        <v/>
      </c>
      <c r="P53" s="5">
        <f>'Хранение до конца ноября'!D53*((K53+N53)/2+(L53+O53)/2)*'Сезонность'!$B$6</f>
        <v/>
      </c>
      <c r="Q53" s="3">
        <f>MAX(0,N53-'Хранение до конца ноября'!H53*'Сезонность'!$C$7*'Сезонность'!$B$7)</f>
        <v/>
      </c>
      <c r="R53" s="3">
        <f>MAX(0,O53-'Хранение до конца ноября'!H53*'Сезонность'!$C$7*'Сезонность'!$E$7*'Сезонность'!$B$7)</f>
        <v/>
      </c>
      <c r="S53" s="5">
        <f>'Хранение до конца ноября'!D53*((N53+Q53)/2+(O53+R53)/2)*'Сезонность'!$B$7</f>
        <v/>
      </c>
      <c r="T53" s="5">
        <f>D53+G53+J53+M53+P53+S53</f>
        <v/>
      </c>
      <c r="U53" s="3">
        <f>Q53+R53</f>
        <v/>
      </c>
    </row>
    <row r="54">
      <c r="A54" s="2">
        <f>'Хранение до конца ноября'!A54</f>
        <v/>
      </c>
      <c r="B54" s="3">
        <f>MAX(0,'Хранение до конца ноября'!E54-'Хранение до конца ноября'!H54*'Сезонность'!$C$2*'Сезонность'!$B$2)</f>
        <v/>
      </c>
      <c r="C54" s="3">
        <f>MAX(0,'Хранение до конца ноября'!F54-'Хранение до конца ноября'!H54*'Сезонность'!$C$2*'Сезонность'!$E$2*'Сезонность'!$B$2)</f>
        <v/>
      </c>
      <c r="D54" s="5">
        <f>'Хранение до конца ноября'!D54*(('Хранение до конца ноября'!E54+B54)/2+('Хранение до конца ноября'!F54+C54)/2)*'Сезонность'!$B$2</f>
        <v/>
      </c>
      <c r="E54" s="3">
        <f>MAX(0,B54-'Хранение до конца ноября'!H54*'Сезонность'!$C$3*'Сезонность'!$B$3)</f>
        <v/>
      </c>
      <c r="F54" s="3">
        <f>MAX(0,C54-'Хранение до конца ноября'!H54*'Сезонность'!$C$3*'Сезонность'!$E$3*'Сезонность'!$B$3)</f>
        <v/>
      </c>
      <c r="G54" s="5">
        <f>'Хранение до конца ноября'!D54*((B54+E54)/2+(C54+F54)/2)*'Сезонность'!$B$3</f>
        <v/>
      </c>
      <c r="H54" s="3">
        <f>MAX(0,E54-'Хранение до конца ноября'!H54*'Сезонность'!$C$4*'Сезонность'!$B$4)</f>
        <v/>
      </c>
      <c r="I54" s="3">
        <f>MAX(0,F54-'Хранение до конца ноября'!H54*'Сезонность'!$C$4*'Сезонность'!$E$4*'Сезонность'!$B$4)</f>
        <v/>
      </c>
      <c r="J54" s="5">
        <f>'Хранение до конца ноября'!D54*((E54+H54)/2+(F54+I54)/2)*'Сезонность'!$B$4</f>
        <v/>
      </c>
      <c r="K54" s="3">
        <f>MAX(0,H54-'Хранение до конца ноября'!H54*'Сезонность'!$C$5*'Сезонность'!$B$5)</f>
        <v/>
      </c>
      <c r="L54" s="3">
        <f>MAX(0,I54-'Хранение до конца ноября'!H54*'Сезонность'!$C$5*'Сезонность'!$E$5*'Сезонность'!$B$5)</f>
        <v/>
      </c>
      <c r="M54" s="5">
        <f>'Хранение до конца ноября'!D54*((H54+K54)/2+(I54+L54)/2)*'Сезонность'!$B$5</f>
        <v/>
      </c>
      <c r="N54" s="3">
        <f>MAX(0,K54-'Хранение до конца ноября'!H54*'Сезонность'!$C$6*'Сезонность'!$B$6)</f>
        <v/>
      </c>
      <c r="O54" s="3">
        <f>MAX(0,L54-'Хранение до конца ноября'!H54*'Сезонность'!$C$6*'Сезонность'!$E$6*'Сезонность'!$B$6)</f>
        <v/>
      </c>
      <c r="P54" s="5">
        <f>'Хранение до конца ноября'!D54*((K54+N54)/2+(L54+O54)/2)*'Сезонность'!$B$6</f>
        <v/>
      </c>
      <c r="Q54" s="3">
        <f>MAX(0,N54-'Хранение до конца ноября'!H54*'Сезонность'!$C$7*'Сезонность'!$B$7)</f>
        <v/>
      </c>
      <c r="R54" s="3">
        <f>MAX(0,O54-'Хранение до конца ноября'!H54*'Сезонность'!$C$7*'Сезонность'!$E$7*'Сезонность'!$B$7)</f>
        <v/>
      </c>
      <c r="S54" s="5">
        <f>'Хранение до конца ноября'!D54*((N54+Q54)/2+(O54+R54)/2)*'Сезонность'!$B$7</f>
        <v/>
      </c>
      <c r="T54" s="5">
        <f>D54+G54+J54+M54+P54+S54</f>
        <v/>
      </c>
      <c r="U54" s="3">
        <f>Q54+R54</f>
        <v/>
      </c>
    </row>
    <row r="55">
      <c r="A55" s="2">
        <f>'Хранение до конца ноября'!A55</f>
        <v/>
      </c>
      <c r="B55" s="3">
        <f>MAX(0,'Хранение до конца ноября'!E55-'Хранение до конца ноября'!H55*'Сезонность'!$C$2*'Сезонность'!$B$2)</f>
        <v/>
      </c>
      <c r="C55" s="3">
        <f>MAX(0,'Хранение до конца ноября'!F55-'Хранение до конца ноября'!H55*'Сезонность'!$C$2*'Сезонность'!$E$2*'Сезонность'!$B$2)</f>
        <v/>
      </c>
      <c r="D55" s="5">
        <f>'Хранение до конца ноября'!D55*(('Хранение до конца ноября'!E55+B55)/2+('Хранение до конца ноября'!F55+C55)/2)*'Сезонность'!$B$2</f>
        <v/>
      </c>
      <c r="E55" s="3">
        <f>MAX(0,B55-'Хранение до конца ноября'!H55*'Сезонность'!$C$3*'Сезонность'!$B$3)</f>
        <v/>
      </c>
      <c r="F55" s="3">
        <f>MAX(0,C55-'Хранение до конца ноября'!H55*'Сезонность'!$C$3*'Сезонность'!$E$3*'Сезонность'!$B$3)</f>
        <v/>
      </c>
      <c r="G55" s="5">
        <f>'Хранение до конца ноября'!D55*((B55+E55)/2+(C55+F55)/2)*'Сезонность'!$B$3</f>
        <v/>
      </c>
      <c r="H55" s="3">
        <f>MAX(0,E55-'Хранение до конца ноября'!H55*'Сезонность'!$C$4*'Сезонность'!$B$4)</f>
        <v/>
      </c>
      <c r="I55" s="3">
        <f>MAX(0,F55-'Хранение до конца ноября'!H55*'Сезонность'!$C$4*'Сезонность'!$E$4*'Сезонность'!$B$4)</f>
        <v/>
      </c>
      <c r="J55" s="5">
        <f>'Хранение до конца ноября'!D55*((E55+H55)/2+(F55+I55)/2)*'Сезонность'!$B$4</f>
        <v/>
      </c>
      <c r="K55" s="3">
        <f>MAX(0,H55-'Хранение до конца ноября'!H55*'Сезонность'!$C$5*'Сезонность'!$B$5)</f>
        <v/>
      </c>
      <c r="L55" s="3">
        <f>MAX(0,I55-'Хранение до конца ноября'!H55*'Сезонность'!$C$5*'Сезонность'!$E$5*'Сезонность'!$B$5)</f>
        <v/>
      </c>
      <c r="M55" s="5">
        <f>'Хранение до конца ноября'!D55*((H55+K55)/2+(I55+L55)/2)*'Сезонность'!$B$5</f>
        <v/>
      </c>
      <c r="N55" s="3">
        <f>MAX(0,K55-'Хранение до конца ноября'!H55*'Сезонность'!$C$6*'Сезонность'!$B$6)</f>
        <v/>
      </c>
      <c r="O55" s="3">
        <f>MAX(0,L55-'Хранение до конца ноября'!H55*'Сезонность'!$C$6*'Сезонность'!$E$6*'Сезонность'!$B$6)</f>
        <v/>
      </c>
      <c r="P55" s="5">
        <f>'Хранение до конца ноября'!D55*((K55+N55)/2+(L55+O55)/2)*'Сезонность'!$B$6</f>
        <v/>
      </c>
      <c r="Q55" s="3">
        <f>MAX(0,N55-'Хранение до конца ноября'!H55*'Сезонность'!$C$7*'Сезонность'!$B$7)</f>
        <v/>
      </c>
      <c r="R55" s="3">
        <f>MAX(0,O55-'Хранение до конца ноября'!H55*'Сезонность'!$C$7*'Сезонность'!$E$7*'Сезонность'!$B$7)</f>
        <v/>
      </c>
      <c r="S55" s="5">
        <f>'Хранение до конца ноября'!D55*((N55+Q55)/2+(O55+R55)/2)*'Сезонность'!$B$7</f>
        <v/>
      </c>
      <c r="T55" s="5">
        <f>D55+G55+J55+M55+P55+S55</f>
        <v/>
      </c>
      <c r="U55" s="3">
        <f>Q55+R55</f>
        <v/>
      </c>
    </row>
    <row r="56">
      <c r="A56" s="2">
        <f>'Хранение до конца ноября'!A56</f>
        <v/>
      </c>
      <c r="B56" s="3">
        <f>MAX(0,'Хранение до конца ноября'!E56-'Хранение до конца ноября'!H56*'Сезонность'!$C$2*'Сезонность'!$B$2)</f>
        <v/>
      </c>
      <c r="C56" s="3">
        <f>MAX(0,'Хранение до конца ноября'!F56-'Хранение до конца ноября'!H56*'Сезонность'!$C$2*'Сезонность'!$E$2*'Сезонность'!$B$2)</f>
        <v/>
      </c>
      <c r="D56" s="5">
        <f>'Хранение до конца ноября'!D56*(('Хранение до конца ноября'!E56+B56)/2+('Хранение до конца ноября'!F56+C56)/2)*'Сезонность'!$B$2</f>
        <v/>
      </c>
      <c r="E56" s="3">
        <f>MAX(0,B56-'Хранение до конца ноября'!H56*'Сезонность'!$C$3*'Сезонность'!$B$3)</f>
        <v/>
      </c>
      <c r="F56" s="3">
        <f>MAX(0,C56-'Хранение до конца ноября'!H56*'Сезонность'!$C$3*'Сезонность'!$E$3*'Сезонность'!$B$3)</f>
        <v/>
      </c>
      <c r="G56" s="5">
        <f>'Хранение до конца ноября'!D56*((B56+E56)/2+(C56+F56)/2)*'Сезонность'!$B$3</f>
        <v/>
      </c>
      <c r="H56" s="3">
        <f>MAX(0,E56-'Хранение до конца ноября'!H56*'Сезонность'!$C$4*'Сезонность'!$B$4)</f>
        <v/>
      </c>
      <c r="I56" s="3">
        <f>MAX(0,F56-'Хранение до конца ноября'!H56*'Сезонность'!$C$4*'Сезонность'!$E$4*'Сезонность'!$B$4)</f>
        <v/>
      </c>
      <c r="J56" s="5">
        <f>'Хранение до конца ноября'!D56*((E56+H56)/2+(F56+I56)/2)*'Сезонность'!$B$4</f>
        <v/>
      </c>
      <c r="K56" s="3">
        <f>MAX(0,H56-'Хранение до конца ноября'!H56*'Сезонность'!$C$5*'Сезонность'!$B$5)</f>
        <v/>
      </c>
      <c r="L56" s="3">
        <f>MAX(0,I56-'Хранение до конца ноября'!H56*'Сезонность'!$C$5*'Сезонность'!$E$5*'Сезонность'!$B$5)</f>
        <v/>
      </c>
      <c r="M56" s="5">
        <f>'Хранение до конца ноября'!D56*((H56+K56)/2+(I56+L56)/2)*'Сезонность'!$B$5</f>
        <v/>
      </c>
      <c r="N56" s="3">
        <f>MAX(0,K56-'Хранение до конца ноября'!H56*'Сезонность'!$C$6*'Сезонность'!$B$6)</f>
        <v/>
      </c>
      <c r="O56" s="3">
        <f>MAX(0,L56-'Хранение до конца ноября'!H56*'Сезонность'!$C$6*'Сезонность'!$E$6*'Сезонность'!$B$6)</f>
        <v/>
      </c>
      <c r="P56" s="5">
        <f>'Хранение до конца ноября'!D56*((K56+N56)/2+(L56+O56)/2)*'Сезонность'!$B$6</f>
        <v/>
      </c>
      <c r="Q56" s="3">
        <f>MAX(0,N56-'Хранение до конца ноября'!H56*'Сезонность'!$C$7*'Сезонность'!$B$7)</f>
        <v/>
      </c>
      <c r="R56" s="3">
        <f>MAX(0,O56-'Хранение до конца ноября'!H56*'Сезонность'!$C$7*'Сезонность'!$E$7*'Сезонность'!$B$7)</f>
        <v/>
      </c>
      <c r="S56" s="5">
        <f>'Хранение до конца ноября'!D56*((N56+Q56)/2+(O56+R56)/2)*'Сезонность'!$B$7</f>
        <v/>
      </c>
      <c r="T56" s="5">
        <f>D56+G56+J56+M56+P56+S56</f>
        <v/>
      </c>
      <c r="U56" s="3">
        <f>Q56+R56</f>
        <v/>
      </c>
    </row>
    <row r="57">
      <c r="A57" s="2">
        <f>'Хранение до конца ноября'!A57</f>
        <v/>
      </c>
      <c r="B57" s="3">
        <f>MAX(0,'Хранение до конца ноября'!E57-'Хранение до конца ноября'!H57*'Сезонность'!$C$2*'Сезонность'!$B$2)</f>
        <v/>
      </c>
      <c r="C57" s="3">
        <f>MAX(0,'Хранение до конца ноября'!F57-'Хранение до конца ноября'!H57*'Сезонность'!$C$2*'Сезонность'!$E$2*'Сезонность'!$B$2)</f>
        <v/>
      </c>
      <c r="D57" s="5">
        <f>'Хранение до конца ноября'!D57*(('Хранение до конца ноября'!E57+B57)/2+('Хранение до конца ноября'!F57+C57)/2)*'Сезонность'!$B$2</f>
        <v/>
      </c>
      <c r="E57" s="3">
        <f>MAX(0,B57-'Хранение до конца ноября'!H57*'Сезонность'!$C$3*'Сезонность'!$B$3)</f>
        <v/>
      </c>
      <c r="F57" s="3">
        <f>MAX(0,C57-'Хранение до конца ноября'!H57*'Сезонность'!$C$3*'Сезонность'!$E$3*'Сезонность'!$B$3)</f>
        <v/>
      </c>
      <c r="G57" s="5">
        <f>'Хранение до конца ноября'!D57*((B57+E57)/2+(C57+F57)/2)*'Сезонность'!$B$3</f>
        <v/>
      </c>
      <c r="H57" s="3">
        <f>MAX(0,E57-'Хранение до конца ноября'!H57*'Сезонность'!$C$4*'Сезонность'!$B$4)</f>
        <v/>
      </c>
      <c r="I57" s="3">
        <f>MAX(0,F57-'Хранение до конца ноября'!H57*'Сезонность'!$C$4*'Сезонность'!$E$4*'Сезонность'!$B$4)</f>
        <v/>
      </c>
      <c r="J57" s="5">
        <f>'Хранение до конца ноября'!D57*((E57+H57)/2+(F57+I57)/2)*'Сезонность'!$B$4</f>
        <v/>
      </c>
      <c r="K57" s="3">
        <f>MAX(0,H57-'Хранение до конца ноября'!H57*'Сезонность'!$C$5*'Сезонность'!$B$5)</f>
        <v/>
      </c>
      <c r="L57" s="3">
        <f>MAX(0,I57-'Хранение до конца ноября'!H57*'Сезонность'!$C$5*'Сезонность'!$E$5*'Сезонность'!$B$5)</f>
        <v/>
      </c>
      <c r="M57" s="5">
        <f>'Хранение до конца ноября'!D57*((H57+K57)/2+(I57+L57)/2)*'Сезонность'!$B$5</f>
        <v/>
      </c>
      <c r="N57" s="3">
        <f>MAX(0,K57-'Хранение до конца ноября'!H57*'Сезонность'!$C$6*'Сезонность'!$B$6)</f>
        <v/>
      </c>
      <c r="O57" s="3">
        <f>MAX(0,L57-'Хранение до конца ноября'!H57*'Сезонность'!$C$6*'Сезонность'!$E$6*'Сезонность'!$B$6)</f>
        <v/>
      </c>
      <c r="P57" s="5">
        <f>'Хранение до конца ноября'!D57*((K57+N57)/2+(L57+O57)/2)*'Сезонность'!$B$6</f>
        <v/>
      </c>
      <c r="Q57" s="3">
        <f>MAX(0,N57-'Хранение до конца ноября'!H57*'Сезонность'!$C$7*'Сезонность'!$B$7)</f>
        <v/>
      </c>
      <c r="R57" s="3">
        <f>MAX(0,O57-'Хранение до конца ноября'!H57*'Сезонность'!$C$7*'Сезонность'!$E$7*'Сезонность'!$B$7)</f>
        <v/>
      </c>
      <c r="S57" s="5">
        <f>'Хранение до конца ноября'!D57*((N57+Q57)/2+(O57+R57)/2)*'Сезонность'!$B$7</f>
        <v/>
      </c>
      <c r="T57" s="5">
        <f>D57+G57+J57+M57+P57+S57</f>
        <v/>
      </c>
      <c r="U57" s="3">
        <f>Q57+R57</f>
        <v/>
      </c>
    </row>
    <row r="58">
      <c r="A58" s="2">
        <f>'Хранение до конца ноября'!A58</f>
        <v/>
      </c>
      <c r="B58" s="3">
        <f>MAX(0,'Хранение до конца ноября'!E58-'Хранение до конца ноября'!H58*'Сезонность'!$C$2*'Сезонность'!$B$2)</f>
        <v/>
      </c>
      <c r="C58" s="3">
        <f>MAX(0,'Хранение до конца ноября'!F58-'Хранение до конца ноября'!H58*'Сезонность'!$C$2*'Сезонность'!$E$2*'Сезонность'!$B$2)</f>
        <v/>
      </c>
      <c r="D58" s="5">
        <f>'Хранение до конца ноября'!D58*(('Хранение до конца ноября'!E58+B58)/2+('Хранение до конца ноября'!F58+C58)/2)*'Сезонность'!$B$2</f>
        <v/>
      </c>
      <c r="E58" s="3">
        <f>MAX(0,B58-'Хранение до конца ноября'!H58*'Сезонность'!$C$3*'Сезонность'!$B$3)</f>
        <v/>
      </c>
      <c r="F58" s="3">
        <f>MAX(0,C58-'Хранение до конца ноября'!H58*'Сезонность'!$C$3*'Сезонность'!$E$3*'Сезонность'!$B$3)</f>
        <v/>
      </c>
      <c r="G58" s="5">
        <f>'Хранение до конца ноября'!D58*((B58+E58)/2+(C58+F58)/2)*'Сезонность'!$B$3</f>
        <v/>
      </c>
      <c r="H58" s="3">
        <f>MAX(0,E58-'Хранение до конца ноября'!H58*'Сезонность'!$C$4*'Сезонность'!$B$4)</f>
        <v/>
      </c>
      <c r="I58" s="3">
        <f>MAX(0,F58-'Хранение до конца ноября'!H58*'Сезонность'!$C$4*'Сезонность'!$E$4*'Сезонность'!$B$4)</f>
        <v/>
      </c>
      <c r="J58" s="5">
        <f>'Хранение до конца ноября'!D58*((E58+H58)/2+(F58+I58)/2)*'Сезонность'!$B$4</f>
        <v/>
      </c>
      <c r="K58" s="3">
        <f>MAX(0,H58-'Хранение до конца ноября'!H58*'Сезонность'!$C$5*'Сезонность'!$B$5)</f>
        <v/>
      </c>
      <c r="L58" s="3">
        <f>MAX(0,I58-'Хранение до конца ноября'!H58*'Сезонность'!$C$5*'Сезонность'!$E$5*'Сезонность'!$B$5)</f>
        <v/>
      </c>
      <c r="M58" s="5">
        <f>'Хранение до конца ноября'!D58*((H58+K58)/2+(I58+L58)/2)*'Сезонность'!$B$5</f>
        <v/>
      </c>
      <c r="N58" s="3">
        <f>MAX(0,K58-'Хранение до конца ноября'!H58*'Сезонность'!$C$6*'Сезонность'!$B$6)</f>
        <v/>
      </c>
      <c r="O58" s="3">
        <f>MAX(0,L58-'Хранение до конца ноября'!H58*'Сезонность'!$C$6*'Сезонность'!$E$6*'Сезонность'!$B$6)</f>
        <v/>
      </c>
      <c r="P58" s="5">
        <f>'Хранение до конца ноября'!D58*((K58+N58)/2+(L58+O58)/2)*'Сезонность'!$B$6</f>
        <v/>
      </c>
      <c r="Q58" s="3">
        <f>MAX(0,N58-'Хранение до конца ноября'!H58*'Сезонность'!$C$7*'Сезонность'!$B$7)</f>
        <v/>
      </c>
      <c r="R58" s="3">
        <f>MAX(0,O58-'Хранение до конца ноября'!H58*'Сезонность'!$C$7*'Сезонность'!$E$7*'Сезонность'!$B$7)</f>
        <v/>
      </c>
      <c r="S58" s="5">
        <f>'Хранение до конца ноября'!D58*((N58+Q58)/2+(O58+R58)/2)*'Сезонность'!$B$7</f>
        <v/>
      </c>
      <c r="T58" s="5">
        <f>D58+G58+J58+M58+P58+S58</f>
        <v/>
      </c>
      <c r="U58" s="3">
        <f>Q58+R58</f>
        <v/>
      </c>
    </row>
    <row r="59">
      <c r="A59" s="2">
        <f>'Хранение до конца ноября'!A59</f>
        <v/>
      </c>
      <c r="B59" s="3">
        <f>MAX(0,'Хранение до конца ноября'!E59-'Хранение до конца ноября'!H59*'Сезонность'!$C$2*'Сезонность'!$B$2)</f>
        <v/>
      </c>
      <c r="C59" s="3">
        <f>MAX(0,'Хранение до конца ноября'!F59-'Хранение до конца ноября'!H59*'Сезонность'!$C$2*'Сезонность'!$E$2*'Сезонность'!$B$2)</f>
        <v/>
      </c>
      <c r="D59" s="5">
        <f>'Хранение до конца ноября'!D59*(('Хранение до конца ноября'!E59+B59)/2+('Хранение до конца ноября'!F59+C59)/2)*'Сезонность'!$B$2</f>
        <v/>
      </c>
      <c r="E59" s="3">
        <f>MAX(0,B59-'Хранение до конца ноября'!H59*'Сезонность'!$C$3*'Сезонность'!$B$3)</f>
        <v/>
      </c>
      <c r="F59" s="3">
        <f>MAX(0,C59-'Хранение до конца ноября'!H59*'Сезонность'!$C$3*'Сезонность'!$E$3*'Сезонность'!$B$3)</f>
        <v/>
      </c>
      <c r="G59" s="5">
        <f>'Хранение до конца ноября'!D59*((B59+E59)/2+(C59+F59)/2)*'Сезонность'!$B$3</f>
        <v/>
      </c>
      <c r="H59" s="3">
        <f>MAX(0,E59-'Хранение до конца ноября'!H59*'Сезонность'!$C$4*'Сезонность'!$B$4)</f>
        <v/>
      </c>
      <c r="I59" s="3">
        <f>MAX(0,F59-'Хранение до конца ноября'!H59*'Сезонность'!$C$4*'Сезонность'!$E$4*'Сезонность'!$B$4)</f>
        <v/>
      </c>
      <c r="J59" s="5">
        <f>'Хранение до конца ноября'!D59*((E59+H59)/2+(F59+I59)/2)*'Сезонность'!$B$4</f>
        <v/>
      </c>
      <c r="K59" s="3">
        <f>MAX(0,H59-'Хранение до конца ноября'!H59*'Сезонность'!$C$5*'Сезонность'!$B$5)</f>
        <v/>
      </c>
      <c r="L59" s="3">
        <f>MAX(0,I59-'Хранение до конца ноября'!H59*'Сезонность'!$C$5*'Сезонность'!$E$5*'Сезонность'!$B$5)</f>
        <v/>
      </c>
      <c r="M59" s="5">
        <f>'Хранение до конца ноября'!D59*((H59+K59)/2+(I59+L59)/2)*'Сезонность'!$B$5</f>
        <v/>
      </c>
      <c r="N59" s="3">
        <f>MAX(0,K59-'Хранение до конца ноября'!H59*'Сезонность'!$C$6*'Сезонность'!$B$6)</f>
        <v/>
      </c>
      <c r="O59" s="3">
        <f>MAX(0,L59-'Хранение до конца ноября'!H59*'Сезонность'!$C$6*'Сезонность'!$E$6*'Сезонность'!$B$6)</f>
        <v/>
      </c>
      <c r="P59" s="5">
        <f>'Хранение до конца ноября'!D59*((K59+N59)/2+(L59+O59)/2)*'Сезонность'!$B$6</f>
        <v/>
      </c>
      <c r="Q59" s="3">
        <f>MAX(0,N59-'Хранение до конца ноября'!H59*'Сезонность'!$C$7*'Сезонность'!$B$7)</f>
        <v/>
      </c>
      <c r="R59" s="3">
        <f>MAX(0,O59-'Хранение до конца ноября'!H59*'Сезонность'!$C$7*'Сезонность'!$E$7*'Сезонность'!$B$7)</f>
        <v/>
      </c>
      <c r="S59" s="5">
        <f>'Хранение до конца ноября'!D59*((N59+Q59)/2+(O59+R59)/2)*'Сезонность'!$B$7</f>
        <v/>
      </c>
      <c r="T59" s="5">
        <f>D59+G59+J59+M59+P59+S59</f>
        <v/>
      </c>
      <c r="U59" s="3">
        <f>Q59+R59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2026-06-25T10:20:05Z</dcterms:created>
  <dcterms:modified xsi:type="dcterms:W3CDTF">2026-06-25T10:20:05Z</dcterms:modified>
</cp:coreProperties>
</file>
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Хранение до конца ноября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i val="1"/>
      <color rgb="00808080"/>
      <sz val="9"/>
    </font>
  </fonts>
  <fills count="8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4" fontId="0" fillId="0" borderId="1" pivotButton="0" quotePrefix="0" xfId="0"/>
    <xf numFmtId="0" fontId="2" fillId="0" borderId="0" pivotButton="0" quotePrefix="0" xfId="0"/>
    <xf numFmtId="3" fontId="2" fillId="3" borderId="0" pivotButton="0" quotePrefix="0" xfId="0"/>
    <xf numFmtId="3" fontId="2" fillId="4" borderId="0" pivotButton="0" quotePrefix="0" xfId="0"/>
    <xf numFmtId="3" fontId="2" fillId="5" borderId="0" pivotButton="0" quotePrefix="0" xfId="0"/>
    <xf numFmtId="4" fontId="2" fillId="6" borderId="0" pivotButton="0" quotePrefix="0" xfId="0"/>
    <xf numFmtId="4" fontId="2" fillId="7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8" customWidth="1" min="2" max="2"/>
    <col width="14" customWidth="1" min="3" max="3"/>
    <col width="15" customWidth="1" min="4" max="4"/>
    <col width="18" customWidth="1" min="5" max="5"/>
    <col width="18" customWidth="1" min="6" max="6"/>
    <col width="20" customWidth="1" min="7" max="7"/>
    <col width="14" customWidth="1" min="8" max="8"/>
    <col width="18" customWidth="1" min="9" max="9"/>
    <col width="24" customWidth="1" min="10" max="10"/>
  </cols>
  <sheetData>
    <row r="1">
      <c r="A1" s="1" t="inlineStr">
        <is>
          <t>Артикул ВБ</t>
        </is>
      </c>
      <c r="B1" s="1" t="inlineStr">
        <is>
          <t>Наименование</t>
        </is>
      </c>
      <c r="C1" s="1" t="inlineStr">
        <is>
          <t>Остаток без ЧЗ, шт</t>
        </is>
      </c>
      <c r="D1" s="1" t="inlineStr">
        <is>
          <t>Хранение в день за ед., руб</t>
        </is>
      </c>
      <c r="E1" s="1" t="inlineStr">
        <is>
          <t>Отгрузка на Коротич (весь остаток), шт</t>
        </is>
      </c>
      <c r="F1" s="1" t="inlineStr">
        <is>
          <t>Отгрузка на Крона (весь остаток), шт</t>
        </is>
      </c>
      <c r="G1" s="1" t="inlineStr">
        <is>
          <t>Хранение до конца ноября всего (без продаж), руб</t>
        </is>
      </c>
      <c r="H1" s="1" t="inlineStr">
        <is>
          <t>Выкуп/день, шт (100 дн)</t>
        </is>
      </c>
      <c r="I1" s="1" t="inlineStr">
        <is>
          <t>Прогноз остатка к 30.11 (продают 2 магазина), шт</t>
        </is>
      </c>
      <c r="J1" s="1" t="inlineStr">
        <is>
          <t>Хранение до конца ноября с продажами и сезонностью (2 магазина), руб</t>
        </is>
      </c>
    </row>
    <row r="2">
      <c r="A2" s="2" t="n">
        <v>204258828</v>
      </c>
      <c r="B2" s="2" t="inlineStr">
        <is>
          <t>COSRX - Salicylic Acid Daily Gentle Cleanser [150ml] / Пенка с салициловой кислотой для проблемной кожи</t>
        </is>
      </c>
      <c r="C2" s="3" t="n">
        <v>556</v>
      </c>
      <c r="D2" s="4" t="n">
        <v>0.1612</v>
      </c>
      <c r="E2" s="3">
        <f>ROUND(C2*0.68961,0)</f>
        <v/>
      </c>
      <c r="F2" s="3">
        <f>C2-E2</f>
        <v/>
      </c>
      <c r="G2" s="5">
        <f>D2*C2*159</f>
        <v/>
      </c>
      <c r="H2" s="5" t="n">
        <v>1.46</v>
      </c>
      <c r="I2" s="3">
        <f>MAX(0,E2-H2*163.76)+MAX(0,F2-H2*73.708)</f>
        <v/>
      </c>
      <c r="J2" s="5">
        <f>D2*(((E2+MAX(0,E2-H2*6))/2*6+(MAX(0,E2-H2*6)+MAX(0,E2-H2*34.52))/2*31+(MAX(0,E2-H2*34.52)+MAX(0,E2-H2*63.04))/2*31+(MAX(0,E2-H2*63.04)+MAX(0,E2-H2*94.54))/2*30+(MAX(0,E2-H2*94.54)+MAX(0,E2-H2*129.26))/2*31+(MAX(0,E2-H2*129.26)+MAX(0,E2-H2*163.76))/2*30)+((F2+MAX(0,F2-H2*0.9))/2*6+(MAX(0,F2-H2*0.9)+MAX(0,F2-H2*8.03))/2*31+(MAX(0,F2-H2*8.03)+MAX(0,F2-H2*18.012))/2*31+(MAX(0,F2-H2*18.012)+MAX(0,F2-H2*32.187))/2*30+(MAX(0,F2-H2*32.187)+MAX(0,F2-H2*51.283))/2*31+(MAX(0,F2-H2*51.283)+MAX(0,F2-H2*73.708))/2*30))</f>
        <v/>
      </c>
    </row>
    <row r="3">
      <c r="A3" s="2" t="n">
        <v>214304883</v>
      </c>
      <c r="B3" s="2" t="inlineStr">
        <is>
          <t>DEOPROCE - SNAIL RECOVERY CREAM [100g] / Крем восстанавливающий с муцином улитки</t>
        </is>
      </c>
      <c r="C3" s="3" t="n">
        <v>73</v>
      </c>
      <c r="D3" s="4" t="n">
        <v>0.1595</v>
      </c>
      <c r="E3" s="3">
        <f>ROUND(C3*0.68961,0)</f>
        <v/>
      </c>
      <c r="F3" s="3">
        <f>C3-E3</f>
        <v/>
      </c>
      <c r="G3" s="5">
        <f>D3*C3*159</f>
        <v/>
      </c>
      <c r="H3" s="5" t="n">
        <v>0.77</v>
      </c>
      <c r="I3" s="3">
        <f>MAX(0,E3-H3*163.76)+MAX(0,F3-H3*73.708)</f>
        <v/>
      </c>
      <c r="J3" s="5">
        <f>D3*(((E3+MAX(0,E3-H3*6))/2*6+(MAX(0,E3-H3*6)+MAX(0,E3-H3*34.52))/2*31+(MAX(0,E3-H3*34.52)+MAX(0,E3-H3*63.04))/2*31+(MAX(0,E3-H3*63.04)+MAX(0,E3-H3*94.54))/2*30+(MAX(0,E3-H3*94.54)+MAX(0,E3-H3*129.26))/2*31+(MAX(0,E3-H3*129.26)+MAX(0,E3-H3*163.76))/2*30)+((F3+MAX(0,F3-H3*0.9))/2*6+(MAX(0,F3-H3*0.9)+MAX(0,F3-H3*8.03))/2*31+(MAX(0,F3-H3*8.03)+MAX(0,F3-H3*18.012))/2*31+(MAX(0,F3-H3*18.012)+MAX(0,F3-H3*32.187))/2*30+(MAX(0,F3-H3*32.187)+MAX(0,F3-H3*51.283))/2*31+(MAX(0,F3-H3*51.283)+MAX(0,F3-H3*73.708))/2*30))</f>
        <v/>
      </c>
    </row>
    <row r="4">
      <c r="A4" s="2" t="n">
        <v>608837066</v>
      </c>
      <c r="B4" s="2" t="inlineStr">
        <is>
          <t>DEOPROCE SHAMPOO - BLACK GARLIC INTENSME ENERGY [600ml] мягкая упаковка Шампунь с черным чесноком против выпадения волос</t>
        </is>
      </c>
      <c r="C4" s="3" t="n">
        <v>125</v>
      </c>
      <c r="D4" s="4" t="n">
        <v>0.4148</v>
      </c>
      <c r="E4" s="3">
        <f>ROUND(C4*0.68961,0)</f>
        <v/>
      </c>
      <c r="F4" s="3">
        <f>C4-E4</f>
        <v/>
      </c>
      <c r="G4" s="5">
        <f>D4*C4*159</f>
        <v/>
      </c>
      <c r="H4" s="5" t="n">
        <v>1.35</v>
      </c>
      <c r="I4" s="3">
        <f>MAX(0,E4-H4*163.76)+MAX(0,F4-H4*73.708)</f>
        <v/>
      </c>
      <c r="J4" s="5">
        <f>D4*(((E4+MAX(0,E4-H4*6))/2*6+(MAX(0,E4-H4*6)+MAX(0,E4-H4*34.52))/2*31+(MAX(0,E4-H4*34.52)+MAX(0,E4-H4*63.04))/2*31+(MAX(0,E4-H4*63.04)+MAX(0,E4-H4*94.54))/2*30+(MAX(0,E4-H4*94.54)+MAX(0,E4-H4*129.26))/2*31+(MAX(0,E4-H4*129.26)+MAX(0,E4-H4*163.76))/2*30)+((F4+MAX(0,F4-H4*0.9))/2*6+(MAX(0,F4-H4*0.9)+MAX(0,F4-H4*8.03))/2*31+(MAX(0,F4-H4*8.03)+MAX(0,F4-H4*18.012))/2*31+(MAX(0,F4-H4*18.012)+MAX(0,F4-H4*32.187))/2*30+(MAX(0,F4-H4*32.187)+MAX(0,F4-H4*51.283))/2*31+(MAX(0,F4-H4*51.283)+MAX(0,F4-H4*73.708))/2*30))</f>
        <v/>
      </c>
    </row>
    <row r="5">
      <c r="A5" s="2" t="n">
        <v>608624295</v>
      </c>
      <c r="B5" s="2" t="inlineStr">
        <is>
          <t>DEOPROCE SHAMPOO - BLACK GARLIC INTENSME ENERGY [600ml] мягкая упаковка с колпачком,Шампунь с черным чесноком против выпадения волос</t>
        </is>
      </c>
      <c r="C5" s="3" t="n">
        <v>144</v>
      </c>
      <c r="D5" s="4" t="n">
        <v>0.2808</v>
      </c>
      <c r="E5" s="3">
        <f>ROUND(C5*0.68961,0)</f>
        <v/>
      </c>
      <c r="F5" s="3">
        <f>C5-E5</f>
        <v/>
      </c>
      <c r="G5" s="5">
        <f>D5*C5*159</f>
        <v/>
      </c>
      <c r="H5" s="5" t="n">
        <v>1.11</v>
      </c>
      <c r="I5" s="3">
        <f>MAX(0,E5-H5*163.76)+MAX(0,F5-H5*73.708)</f>
        <v/>
      </c>
      <c r="J5" s="5">
        <f>D5*(((E5+MAX(0,E5-H5*6))/2*6+(MAX(0,E5-H5*6)+MAX(0,E5-H5*34.52))/2*31+(MAX(0,E5-H5*34.52)+MAX(0,E5-H5*63.04))/2*31+(MAX(0,E5-H5*63.04)+MAX(0,E5-H5*94.54))/2*30+(MAX(0,E5-H5*94.54)+MAX(0,E5-H5*129.26))/2*31+(MAX(0,E5-H5*129.26)+MAX(0,E5-H5*163.76))/2*30)+((F5+MAX(0,F5-H5*0.9))/2*6+(MAX(0,F5-H5*0.9)+MAX(0,F5-H5*8.03))/2*31+(MAX(0,F5-H5*8.03)+MAX(0,F5-H5*18.012))/2*31+(MAX(0,F5-H5*18.012)+MAX(0,F5-H5*32.187))/2*30+(MAX(0,F5-H5*32.187)+MAX(0,F5-H5*51.283))/2*31+(MAX(0,F5-H5*51.283)+MAX(0,F5-H5*73.708))/2*30))</f>
        <v/>
      </c>
    </row>
    <row r="6">
      <c r="A6" s="2" t="n">
        <v>608841921</v>
      </c>
      <c r="B6" s="2" t="inlineStr">
        <is>
          <t>DEOPROCE SHAMPOO - BLACK GARLIC INTENSME ENERGY [200ml]/ Шампунь с черным чесноком против выпадения волос</t>
        </is>
      </c>
      <c r="C6" s="3" t="n">
        <v>550</v>
      </c>
      <c r="D6" s="4" t="n">
        <v>0.1588</v>
      </c>
      <c r="E6" s="3">
        <f>ROUND(C6*0.68961,0)</f>
        <v/>
      </c>
      <c r="F6" s="3">
        <f>C6-E6</f>
        <v/>
      </c>
      <c r="G6" s="5">
        <f>D6*C6*159</f>
        <v/>
      </c>
      <c r="H6" s="5" t="n">
        <v>1.94</v>
      </c>
      <c r="I6" s="3">
        <f>MAX(0,E6-H6*163.76)+MAX(0,F6-H6*73.708)</f>
        <v/>
      </c>
      <c r="J6" s="5">
        <f>D6*(((E6+MAX(0,E6-H6*6))/2*6+(MAX(0,E6-H6*6)+MAX(0,E6-H6*34.52))/2*31+(MAX(0,E6-H6*34.52)+MAX(0,E6-H6*63.04))/2*31+(MAX(0,E6-H6*63.04)+MAX(0,E6-H6*94.54))/2*30+(MAX(0,E6-H6*94.54)+MAX(0,E6-H6*129.26))/2*31+(MAX(0,E6-H6*129.26)+MAX(0,E6-H6*163.76))/2*30)+((F6+MAX(0,F6-H6*0.9))/2*6+(MAX(0,F6-H6*0.9)+MAX(0,F6-H6*8.03))/2*31+(MAX(0,F6-H6*8.03)+MAX(0,F6-H6*18.012))/2*31+(MAX(0,F6-H6*18.012)+MAX(0,F6-H6*32.187))/2*30+(MAX(0,F6-H6*32.187)+MAX(0,F6-H6*51.283))/2*31+(MAX(0,F6-H6*51.283)+MAX(0,F6-H6*73.708))/2*30))</f>
        <v/>
      </c>
    </row>
    <row r="7">
      <c r="A7" s="2" t="n">
        <v>214305722</v>
      </c>
      <c r="B7" s="2" t="inlineStr">
        <is>
          <t>DEOPROCE SHAMPOO+BALSAM - BLACK GARLIC[2000ml]</t>
        </is>
      </c>
      <c r="C7" s="3" t="n">
        <v>610</v>
      </c>
      <c r="D7" s="4" t="n">
        <v>0.9546</v>
      </c>
      <c r="E7" s="3">
        <f>ROUND(C7*0.68961,0)</f>
        <v/>
      </c>
      <c r="F7" s="3">
        <f>C7-E7</f>
        <v/>
      </c>
      <c r="G7" s="5">
        <f>D7*C7*159</f>
        <v/>
      </c>
      <c r="H7" s="5" t="n">
        <v>3.54</v>
      </c>
      <c r="I7" s="3">
        <f>MAX(0,E7-H7*163.76)+MAX(0,F7-H7*73.708)</f>
        <v/>
      </c>
      <c r="J7" s="5">
        <f>D7*(((E7+MAX(0,E7-H7*6))/2*6+(MAX(0,E7-H7*6)+MAX(0,E7-H7*34.52))/2*31+(MAX(0,E7-H7*34.52)+MAX(0,E7-H7*63.04))/2*31+(MAX(0,E7-H7*63.04)+MAX(0,E7-H7*94.54))/2*30+(MAX(0,E7-H7*94.54)+MAX(0,E7-H7*129.26))/2*31+(MAX(0,E7-H7*129.26)+MAX(0,E7-H7*163.76))/2*30)+((F7+MAX(0,F7-H7*0.9))/2*6+(MAX(0,F7-H7*0.9)+MAX(0,F7-H7*8.03))/2*31+(MAX(0,F7-H7*8.03)+MAX(0,F7-H7*18.012))/2*31+(MAX(0,F7-H7*18.012)+MAX(0,F7-H7*32.187))/2*30+(MAX(0,F7-H7*32.187)+MAX(0,F7-H7*51.283))/2*31+(MAX(0,F7-H7*51.283)+MAX(0,F7-H7*73.708))/2*30))</f>
        <v/>
      </c>
    </row>
    <row r="8">
      <c r="A8" s="2" t="n">
        <v>208202076</v>
      </c>
      <c r="B8" s="2" t="inlineStr">
        <is>
          <t>EKEL - Ampule Сream Сollagen [70ml] / Крем для лица ампульный с коллагеном</t>
        </is>
      </c>
      <c r="C8" s="3" t="n">
        <v>186</v>
      </c>
      <c r="D8" s="4" t="n">
        <v>0.1485</v>
      </c>
      <c r="E8" s="3">
        <f>ROUND(C8*0.68961,0)</f>
        <v/>
      </c>
      <c r="F8" s="3">
        <f>C8-E8</f>
        <v/>
      </c>
      <c r="G8" s="5">
        <f>D8*C8*159</f>
        <v/>
      </c>
      <c r="H8" s="5" t="n">
        <v>2.9</v>
      </c>
      <c r="I8" s="3">
        <f>MAX(0,E8-H8*163.76)+MAX(0,F8-H8*73.708)</f>
        <v/>
      </c>
      <c r="J8" s="5">
        <f>D8*(((E8+MAX(0,E8-H8*6))/2*6+(MAX(0,E8-H8*6)+MAX(0,E8-H8*34.52))/2*31+(MAX(0,E8-H8*34.52)+MAX(0,E8-H8*63.04))/2*31+(MAX(0,E8-H8*63.04)+MAX(0,E8-H8*94.54))/2*30+(MAX(0,E8-H8*94.54)+MAX(0,E8-H8*129.26))/2*31+(MAX(0,E8-H8*129.26)+MAX(0,E8-H8*163.76))/2*30)+((F8+MAX(0,F8-H8*0.9))/2*6+(MAX(0,F8-H8*0.9)+MAX(0,F8-H8*8.03))/2*31+(MAX(0,F8-H8*8.03)+MAX(0,F8-H8*18.012))/2*31+(MAX(0,F8-H8*18.012)+MAX(0,F8-H8*32.187))/2*30+(MAX(0,F8-H8*32.187)+MAX(0,F8-H8*51.283))/2*31+(MAX(0,F8-H8*51.283)+MAX(0,F8-H8*73.708))/2*30))</f>
        <v/>
      </c>
    </row>
    <row r="9">
      <c r="A9" s="2" t="n">
        <v>207796563</v>
      </c>
      <c r="B9" s="2" t="inlineStr">
        <is>
          <t>ELIZAVECCA - Aqua Hyaluronic Acid Water Drop Cream / Увлажняющий крем для лица с гиалуроновой кислотой</t>
        </is>
      </c>
      <c r="C9" s="3" t="n">
        <v>100</v>
      </c>
      <c r="D9" s="4" t="n">
        <v>0.1653</v>
      </c>
      <c r="E9" s="3">
        <f>ROUND(C9*0.68961,0)</f>
        <v/>
      </c>
      <c r="F9" s="3">
        <f>C9-E9</f>
        <v/>
      </c>
      <c r="G9" s="5">
        <f>D9*C9*159</f>
        <v/>
      </c>
      <c r="H9" s="5" t="n">
        <v>4.22</v>
      </c>
      <c r="I9" s="3">
        <f>MAX(0,E9-H9*163.76)+MAX(0,F9-H9*73.708)</f>
        <v/>
      </c>
      <c r="J9" s="5">
        <f>D9*(((E9+MAX(0,E9-H9*6))/2*6+(MAX(0,E9-H9*6)+MAX(0,E9-H9*34.52))/2*31+(MAX(0,E9-H9*34.52)+MAX(0,E9-H9*63.04))/2*31+(MAX(0,E9-H9*63.04)+MAX(0,E9-H9*94.54))/2*30+(MAX(0,E9-H9*94.54)+MAX(0,E9-H9*129.26))/2*31+(MAX(0,E9-H9*129.26)+MAX(0,E9-H9*163.76))/2*30)+((F9+MAX(0,F9-H9*0.9))/2*6+(MAX(0,F9-H9*0.9)+MAX(0,F9-H9*8.03))/2*31+(MAX(0,F9-H9*8.03)+MAX(0,F9-H9*18.012))/2*31+(MAX(0,F9-H9*18.012)+MAX(0,F9-H9*32.187))/2*30+(MAX(0,F9-H9*32.187)+MAX(0,F9-H9*51.283))/2*31+(MAX(0,F9-H9*51.283)+MAX(0,F9-H9*73.708))/2*30))</f>
        <v/>
      </c>
    </row>
    <row r="10">
      <c r="A10" s="2" t="n">
        <v>207796350</v>
      </c>
      <c r="B10" s="2" t="inlineStr">
        <is>
          <t>ELIZAVECCA - CER-100 Collagen Ceramide Coating Protein Treatment [100ml] / Коллагеновая маска для волос</t>
        </is>
      </c>
      <c r="C10" s="3" t="n">
        <v>496</v>
      </c>
      <c r="D10" s="4" t="n">
        <v>0.1643</v>
      </c>
      <c r="E10" s="3">
        <f>ROUND(C10*0.68961,0)</f>
        <v/>
      </c>
      <c r="F10" s="3">
        <f>C10-E10</f>
        <v/>
      </c>
      <c r="G10" s="5">
        <f>D10*C10*159</f>
        <v/>
      </c>
      <c r="H10" s="5" t="n">
        <v>0.86</v>
      </c>
      <c r="I10" s="3">
        <f>MAX(0,E10-H10*163.76)+MAX(0,F10-H10*73.708)</f>
        <v/>
      </c>
      <c r="J10" s="5">
        <f>D10*(((E10+MAX(0,E10-H10*6))/2*6+(MAX(0,E10-H10*6)+MAX(0,E10-H10*34.52))/2*31+(MAX(0,E10-H10*34.52)+MAX(0,E10-H10*63.04))/2*31+(MAX(0,E10-H10*63.04)+MAX(0,E10-H10*94.54))/2*30+(MAX(0,E10-H10*94.54)+MAX(0,E10-H10*129.26))/2*31+(MAX(0,E10-H10*129.26)+MAX(0,E10-H10*163.76))/2*30)+((F10+MAX(0,F10-H10*0.9))/2*6+(MAX(0,F10-H10*0.9)+MAX(0,F10-H10*8.03))/2*31+(MAX(0,F10-H10*8.03)+MAX(0,F10-H10*18.012))/2*31+(MAX(0,F10-H10*18.012)+MAX(0,F10-H10*32.187))/2*30+(MAX(0,F10-H10*32.187)+MAX(0,F10-H10*51.283))/2*31+(MAX(0,F10-H10*51.283)+MAX(0,F10-H10*73.708))/2*30))</f>
        <v/>
      </c>
    </row>
    <row r="11">
      <c r="A11" s="2" t="n">
        <v>206057411</v>
      </c>
      <c r="B11" s="2" t="inlineStr">
        <is>
          <t>ELIZAVECCA - Hell pore clean up aha fruit toner [ 200ml] / Пилинг-тоник с фруктовыми кислотами</t>
        </is>
      </c>
      <c r="C11" s="3" t="n">
        <v>180</v>
      </c>
      <c r="D11" s="4" t="n">
        <v>0.1704</v>
      </c>
      <c r="E11" s="3">
        <f>ROUND(C11*0.68961,0)</f>
        <v/>
      </c>
      <c r="F11" s="3">
        <f>C11-E11</f>
        <v/>
      </c>
      <c r="G11" s="5">
        <f>D11*C11*159</f>
        <v/>
      </c>
      <c r="H11" s="5" t="n">
        <v>3.5</v>
      </c>
      <c r="I11" s="3">
        <f>MAX(0,E11-H11*163.76)+MAX(0,F11-H11*73.708)</f>
        <v/>
      </c>
      <c r="J11" s="5">
        <f>D11*(((E11+MAX(0,E11-H11*6))/2*6+(MAX(0,E11-H11*6)+MAX(0,E11-H11*34.52))/2*31+(MAX(0,E11-H11*34.52)+MAX(0,E11-H11*63.04))/2*31+(MAX(0,E11-H11*63.04)+MAX(0,E11-H11*94.54))/2*30+(MAX(0,E11-H11*94.54)+MAX(0,E11-H11*129.26))/2*31+(MAX(0,E11-H11*129.26)+MAX(0,E11-H11*163.76))/2*30)+((F11+MAX(0,F11-H11*0.9))/2*6+(MAX(0,F11-H11*0.9)+MAX(0,F11-H11*8.03))/2*31+(MAX(0,F11-H11*8.03)+MAX(0,F11-H11*18.012))/2*31+(MAX(0,F11-H11*18.012)+MAX(0,F11-H11*32.187))/2*30+(MAX(0,F11-H11*32.187)+MAX(0,F11-H11*51.283))/2*31+(MAX(0,F11-H11*51.283)+MAX(0,F11-H11*73.708))/2*30))</f>
        <v/>
      </c>
    </row>
    <row r="12">
      <c r="A12" s="2" t="n">
        <v>206058262</v>
      </c>
      <c r="B12" s="2" t="inlineStr">
        <is>
          <t>ELIZAVECCA - Hell-Pore Galactomyces Pure Ample / Сыворотка для лица с экстрактом галактомисиса</t>
        </is>
      </c>
      <c r="C12" s="3" t="n">
        <v>50</v>
      </c>
      <c r="D12" s="4" t="n">
        <v>0.148</v>
      </c>
      <c r="E12" s="3">
        <f>ROUND(C12*0.68961,0)</f>
        <v/>
      </c>
      <c r="F12" s="3">
        <f>C12-E12</f>
        <v/>
      </c>
      <c r="G12" s="5">
        <f>D12*C12*159</f>
        <v/>
      </c>
      <c r="H12" s="5" t="n">
        <v>0.11</v>
      </c>
      <c r="I12" s="3">
        <f>MAX(0,E12-H12*163.76)+MAX(0,F12-H12*73.708)</f>
        <v/>
      </c>
      <c r="J12" s="5">
        <f>D12*(((E12+MAX(0,E12-H12*6))/2*6+(MAX(0,E12-H12*6)+MAX(0,E12-H12*34.52))/2*31+(MAX(0,E12-H12*34.52)+MAX(0,E12-H12*63.04))/2*31+(MAX(0,E12-H12*63.04)+MAX(0,E12-H12*94.54))/2*30+(MAX(0,E12-H12*94.54)+MAX(0,E12-H12*129.26))/2*31+(MAX(0,E12-H12*129.26)+MAX(0,E12-H12*163.76))/2*30)+((F12+MAX(0,F12-H12*0.9))/2*6+(MAX(0,F12-H12*0.9)+MAX(0,F12-H12*8.03))/2*31+(MAX(0,F12-H12*8.03)+MAX(0,F12-H12*18.012))/2*31+(MAX(0,F12-H12*18.012)+MAX(0,F12-H12*32.187))/2*30+(MAX(0,F12-H12*32.187)+MAX(0,F12-H12*51.283))/2*31+(MAX(0,F12-H12*51.283)+MAX(0,F12-H12*73.708))/2*30))</f>
        <v/>
      </c>
    </row>
    <row r="13">
      <c r="A13" s="2" t="n">
        <v>190160008</v>
      </c>
      <c r="B13" s="2" t="inlineStr">
        <is>
          <t>ELIZAVECCA - Milky Piggy EGF elastic retinol [100ml] / Антивозрастной крем для лица с ретинолом и EGF</t>
        </is>
      </c>
      <c r="C13" s="3" t="n">
        <v>345</v>
      </c>
      <c r="D13" s="4" t="n">
        <v>0.1647</v>
      </c>
      <c r="E13" s="3">
        <f>ROUND(C13*0.68961,0)</f>
        <v/>
      </c>
      <c r="F13" s="3">
        <f>C13-E13</f>
        <v/>
      </c>
      <c r="G13" s="5">
        <f>D13*C13*159</f>
        <v/>
      </c>
      <c r="H13" s="5" t="n">
        <v>0.15</v>
      </c>
      <c r="I13" s="3">
        <f>MAX(0,E13-H13*163.76)+MAX(0,F13-H13*73.708)</f>
        <v/>
      </c>
      <c r="J13" s="5">
        <f>D13*(((E13+MAX(0,E13-H13*6))/2*6+(MAX(0,E13-H13*6)+MAX(0,E13-H13*34.52))/2*31+(MAX(0,E13-H13*34.52)+MAX(0,E13-H13*63.04))/2*31+(MAX(0,E13-H13*63.04)+MAX(0,E13-H13*94.54))/2*30+(MAX(0,E13-H13*94.54)+MAX(0,E13-H13*129.26))/2*31+(MAX(0,E13-H13*129.26)+MAX(0,E13-H13*163.76))/2*30)+((F13+MAX(0,F13-H13*0.9))/2*6+(MAX(0,F13-H13*0.9)+MAX(0,F13-H13*8.03))/2*31+(MAX(0,F13-H13*8.03)+MAX(0,F13-H13*18.012))/2*31+(MAX(0,F13-H13*18.012)+MAX(0,F13-H13*32.187))/2*30+(MAX(0,F13-H13*32.187)+MAX(0,F13-H13*51.283))/2*31+(MAX(0,F13-H13*51.283)+MAX(0,F13-H13*73.708))/2*30))</f>
        <v/>
      </c>
    </row>
    <row r="14">
      <c r="A14" s="2" t="n">
        <v>238416010</v>
      </c>
      <c r="B14" s="2" t="inlineStr">
        <is>
          <t>ENOUGH - Collagen Whitening Moisture Cream 3in1 [50g] / Антивозрастной отбеливающий крем с коллагеном</t>
        </is>
      </c>
      <c r="C14" s="3" t="n">
        <v>1108</v>
      </c>
      <c r="D14" s="4" t="n">
        <v>0.1545</v>
      </c>
      <c r="E14" s="3">
        <f>ROUND(C14*0.68961,0)</f>
        <v/>
      </c>
      <c r="F14" s="3">
        <f>C14-E14</f>
        <v/>
      </c>
      <c r="G14" s="5">
        <f>D14*C14*159</f>
        <v/>
      </c>
      <c r="H14" s="5" t="n">
        <v>4.16</v>
      </c>
      <c r="I14" s="3">
        <f>MAX(0,E14-H14*163.76)+MAX(0,F14-H14*73.708)</f>
        <v/>
      </c>
      <c r="J14" s="5">
        <f>D14*(((E14+MAX(0,E14-H14*6))/2*6+(MAX(0,E14-H14*6)+MAX(0,E14-H14*34.52))/2*31+(MAX(0,E14-H14*34.52)+MAX(0,E14-H14*63.04))/2*31+(MAX(0,E14-H14*63.04)+MAX(0,E14-H14*94.54))/2*30+(MAX(0,E14-H14*94.54)+MAX(0,E14-H14*129.26))/2*31+(MAX(0,E14-H14*129.26)+MAX(0,E14-H14*163.76))/2*30)+((F14+MAX(0,F14-H14*0.9))/2*6+(MAX(0,F14-H14*0.9)+MAX(0,F14-H14*8.03))/2*31+(MAX(0,F14-H14*8.03)+MAX(0,F14-H14*18.012))/2*31+(MAX(0,F14-H14*18.012)+MAX(0,F14-H14*32.187))/2*30+(MAX(0,F14-H14*32.187)+MAX(0,F14-H14*51.283))/2*31+(MAX(0,F14-H14*51.283)+MAX(0,F14-H14*73.708))/2*30))</f>
        <v/>
      </c>
    </row>
    <row r="15">
      <c r="A15" s="2" t="n">
        <v>150925321</v>
      </c>
      <c r="B15" s="2" t="inlineStr">
        <is>
          <t>ENOUGH - Collagen Moisture Foundation [Tone 13] / Тональный крем для лица с коллагеном 13 тон</t>
        </is>
      </c>
      <c r="C15" s="3" t="n">
        <v>2515</v>
      </c>
      <c r="D15" s="4" t="n">
        <v>0.1355</v>
      </c>
      <c r="E15" s="3">
        <f>ROUND(C15*0.68961,0)</f>
        <v/>
      </c>
      <c r="F15" s="3">
        <f>C15-E15</f>
        <v/>
      </c>
      <c r="G15" s="5">
        <f>D15*C15*159</f>
        <v/>
      </c>
      <c r="H15" s="5" t="n">
        <v>2.77</v>
      </c>
      <c r="I15" s="3">
        <f>MAX(0,E15-H15*163.76)+MAX(0,F15-H15*73.708)</f>
        <v/>
      </c>
      <c r="J15" s="5">
        <f>D15*(((E15+MAX(0,E15-H15*6))/2*6+(MAX(0,E15-H15*6)+MAX(0,E15-H15*34.52))/2*31+(MAX(0,E15-H15*34.52)+MAX(0,E15-H15*63.04))/2*31+(MAX(0,E15-H15*63.04)+MAX(0,E15-H15*94.54))/2*30+(MAX(0,E15-H15*94.54)+MAX(0,E15-H15*129.26))/2*31+(MAX(0,E15-H15*129.26)+MAX(0,E15-H15*163.76))/2*30)+((F15+MAX(0,F15-H15*0.9))/2*6+(MAX(0,F15-H15*0.9)+MAX(0,F15-H15*8.03))/2*31+(MAX(0,F15-H15*8.03)+MAX(0,F15-H15*18.012))/2*31+(MAX(0,F15-H15*18.012)+MAX(0,F15-H15*32.187))/2*30+(MAX(0,F15-H15*32.187)+MAX(0,F15-H15*51.283))/2*31+(MAX(0,F15-H15*51.283)+MAX(0,F15-H15*73.708))/2*30))</f>
        <v/>
      </c>
    </row>
    <row r="16">
      <c r="A16" s="2" t="n">
        <v>150925322</v>
      </c>
      <c r="B16" s="2" t="inlineStr">
        <is>
          <t>ENOUGH - Collagen Moisture Foundation [Tone 21] / Тональный крем для лица с коллагеном 21 тон</t>
        </is>
      </c>
      <c r="C16" s="3" t="n">
        <v>2757</v>
      </c>
      <c r="D16" s="4" t="n">
        <v>0.135</v>
      </c>
      <c r="E16" s="3">
        <f>ROUND(C16*0.68961,0)</f>
        <v/>
      </c>
      <c r="F16" s="3">
        <f>C16-E16</f>
        <v/>
      </c>
      <c r="G16" s="5">
        <f>D16*C16*159</f>
        <v/>
      </c>
      <c r="H16" s="5" t="n">
        <v>2.64</v>
      </c>
      <c r="I16" s="3">
        <f>MAX(0,E16-H16*163.76)+MAX(0,F16-H16*73.708)</f>
        <v/>
      </c>
      <c r="J16" s="5">
        <f>D16*(((E16+MAX(0,E16-H16*6))/2*6+(MAX(0,E16-H16*6)+MAX(0,E16-H16*34.52))/2*31+(MAX(0,E16-H16*34.52)+MAX(0,E16-H16*63.04))/2*31+(MAX(0,E16-H16*63.04)+MAX(0,E16-H16*94.54))/2*30+(MAX(0,E16-H16*94.54)+MAX(0,E16-H16*129.26))/2*31+(MAX(0,E16-H16*129.26)+MAX(0,E16-H16*163.76))/2*30)+((F16+MAX(0,F16-H16*0.9))/2*6+(MAX(0,F16-H16*0.9)+MAX(0,F16-H16*8.03))/2*31+(MAX(0,F16-H16*8.03)+MAX(0,F16-H16*18.012))/2*31+(MAX(0,F16-H16*18.012)+MAX(0,F16-H16*32.187))/2*30+(MAX(0,F16-H16*32.187)+MAX(0,F16-H16*51.283))/2*31+(MAX(0,F16-H16*51.283)+MAX(0,F16-H16*73.708))/2*30))</f>
        <v/>
      </c>
    </row>
    <row r="17">
      <c r="A17" s="2" t="n">
        <v>611747838</v>
      </c>
      <c r="B17" s="2" t="inlineStr">
        <is>
          <t>ENOUGH - Collagen Moisture Foundation [Tone 23] / Тональный крем для лица с коллагеном 23 тон</t>
        </is>
      </c>
      <c r="C17" s="3" t="n">
        <v>0</v>
      </c>
      <c r="D17" s="4" t="n">
        <v>0.1419</v>
      </c>
      <c r="E17" s="3">
        <f>ROUND(C17*0.68961,0)</f>
        <v/>
      </c>
      <c r="F17" s="3">
        <f>C17-E17</f>
        <v/>
      </c>
      <c r="G17" s="5">
        <f>D17*C17*159</f>
        <v/>
      </c>
      <c r="H17" s="5" t="n">
        <v>0.76</v>
      </c>
      <c r="I17" s="3">
        <f>MAX(0,E17-H17*163.76)+MAX(0,F17-H17*73.708)</f>
        <v/>
      </c>
      <c r="J17" s="5">
        <f>D17*(((E17+MAX(0,E17-H17*6))/2*6+(MAX(0,E17-H17*6)+MAX(0,E17-H17*34.52))/2*31+(MAX(0,E17-H17*34.52)+MAX(0,E17-H17*63.04))/2*31+(MAX(0,E17-H17*63.04)+MAX(0,E17-H17*94.54))/2*30+(MAX(0,E17-H17*94.54)+MAX(0,E17-H17*129.26))/2*31+(MAX(0,E17-H17*129.26)+MAX(0,E17-H17*163.76))/2*30)+((F17+MAX(0,F17-H17*0.9))/2*6+(MAX(0,F17-H17*0.9)+MAX(0,F17-H17*8.03))/2*31+(MAX(0,F17-H17*8.03)+MAX(0,F17-H17*18.012))/2*31+(MAX(0,F17-H17*18.012)+MAX(0,F17-H17*32.187))/2*30+(MAX(0,F17-H17*32.187)+MAX(0,F17-H17*51.283))/2*31+(MAX(0,F17-H17*51.283)+MAX(0,F17-H17*73.708))/2*30))</f>
        <v/>
      </c>
    </row>
    <row r="18">
      <c r="A18" s="2" t="n">
        <v>151132051</v>
      </c>
      <c r="B18" s="2" t="inlineStr">
        <is>
          <t>ENOUGH - Collagen 3in1 Whitening Moisture Foundation [Tone 13] / Тональный крем для лица с коллагеном 3в1 [13 тон]</t>
        </is>
      </c>
      <c r="C18" s="3" t="n">
        <v>511</v>
      </c>
      <c r="D18" s="4" t="n">
        <v>0.1216</v>
      </c>
      <c r="E18" s="3">
        <f>ROUND(C18*0.68961,0)</f>
        <v/>
      </c>
      <c r="F18" s="3">
        <f>C18-E18</f>
        <v/>
      </c>
      <c r="G18" s="5">
        <f>D18*C18*159</f>
        <v/>
      </c>
      <c r="H18" s="5" t="n">
        <v>2.38</v>
      </c>
      <c r="I18" s="3">
        <f>MAX(0,E18-H18*163.76)+MAX(0,F18-H18*73.708)</f>
        <v/>
      </c>
      <c r="J18" s="5">
        <f>D18*(((E18+MAX(0,E18-H18*6))/2*6+(MAX(0,E18-H18*6)+MAX(0,E18-H18*34.52))/2*31+(MAX(0,E18-H18*34.52)+MAX(0,E18-H18*63.04))/2*31+(MAX(0,E18-H18*63.04)+MAX(0,E18-H18*94.54))/2*30+(MAX(0,E18-H18*94.54)+MAX(0,E18-H18*129.26))/2*31+(MAX(0,E18-H18*129.26)+MAX(0,E18-H18*163.76))/2*30)+((F18+MAX(0,F18-H18*0.9))/2*6+(MAX(0,F18-H18*0.9)+MAX(0,F18-H18*8.03))/2*31+(MAX(0,F18-H18*8.03)+MAX(0,F18-H18*18.012))/2*31+(MAX(0,F18-H18*18.012)+MAX(0,F18-H18*32.187))/2*30+(MAX(0,F18-H18*32.187)+MAX(0,F18-H18*51.283))/2*31+(MAX(0,F18-H18*51.283)+MAX(0,F18-H18*73.708))/2*30))</f>
        <v/>
      </c>
    </row>
    <row r="19">
      <c r="A19" s="2" t="n">
        <v>151132052</v>
      </c>
      <c r="B19" s="2" t="inlineStr">
        <is>
          <t>ENOUGH - Collagen 3in1 Whitening Moisture Foundation [Tone 21] / Тональный крем для лица с коллагеном 3в1 [21 тон]</t>
        </is>
      </c>
      <c r="C19" s="3" t="n">
        <v>86</v>
      </c>
      <c r="D19" s="4" t="n">
        <v>0.1506</v>
      </c>
      <c r="E19" s="3">
        <f>ROUND(C19*0.68961,0)</f>
        <v/>
      </c>
      <c r="F19" s="3">
        <f>C19-E19</f>
        <v/>
      </c>
      <c r="G19" s="5">
        <f>D19*C19*159</f>
        <v/>
      </c>
      <c r="H19" s="5" t="n">
        <v>0.96</v>
      </c>
      <c r="I19" s="3">
        <f>MAX(0,E19-H19*163.76)+MAX(0,F19-H19*73.708)</f>
        <v/>
      </c>
      <c r="J19" s="5">
        <f>D19*(((E19+MAX(0,E19-H19*6))/2*6+(MAX(0,E19-H19*6)+MAX(0,E19-H19*34.52))/2*31+(MAX(0,E19-H19*34.52)+MAX(0,E19-H19*63.04))/2*31+(MAX(0,E19-H19*63.04)+MAX(0,E19-H19*94.54))/2*30+(MAX(0,E19-H19*94.54)+MAX(0,E19-H19*129.26))/2*31+(MAX(0,E19-H19*129.26)+MAX(0,E19-H19*163.76))/2*30)+((F19+MAX(0,F19-H19*0.9))/2*6+(MAX(0,F19-H19*0.9)+MAX(0,F19-H19*8.03))/2*31+(MAX(0,F19-H19*8.03)+MAX(0,F19-H19*18.012))/2*31+(MAX(0,F19-H19*18.012)+MAX(0,F19-H19*32.187))/2*30+(MAX(0,F19-H19*32.187)+MAX(0,F19-H19*51.283))/2*31+(MAX(0,F19-H19*51.283)+MAX(0,F19-H19*73.708))/2*30))</f>
        <v/>
      </c>
    </row>
    <row r="20">
      <c r="A20" s="2" t="n">
        <v>170198738</v>
      </c>
      <c r="B20" s="2" t="inlineStr">
        <is>
          <t>ENOUGH - Premium 8 Peptide Full Cover Perfect Foundation [Tone 13] / Тональный крем с пептидами 13 тон</t>
        </is>
      </c>
      <c r="C20" s="3" t="n">
        <v>1411</v>
      </c>
      <c r="D20" s="4" t="n">
        <v>0.1623</v>
      </c>
      <c r="E20" s="3">
        <f>ROUND(C20*0.68961,0)</f>
        <v/>
      </c>
      <c r="F20" s="3">
        <f>C20-E20</f>
        <v/>
      </c>
      <c r="G20" s="5">
        <f>D20*C20*159</f>
        <v/>
      </c>
      <c r="H20" s="5" t="n">
        <v>2.64</v>
      </c>
      <c r="I20" s="3">
        <f>MAX(0,E20-H20*163.76)+MAX(0,F20-H20*73.708)</f>
        <v/>
      </c>
      <c r="J20" s="5">
        <f>D20*(((E20+MAX(0,E20-H20*6))/2*6+(MAX(0,E20-H20*6)+MAX(0,E20-H20*34.52))/2*31+(MAX(0,E20-H20*34.52)+MAX(0,E20-H20*63.04))/2*31+(MAX(0,E20-H20*63.04)+MAX(0,E20-H20*94.54))/2*30+(MAX(0,E20-H20*94.54)+MAX(0,E20-H20*129.26))/2*31+(MAX(0,E20-H20*129.26)+MAX(0,E20-H20*163.76))/2*30)+((F20+MAX(0,F20-H20*0.9))/2*6+(MAX(0,F20-H20*0.9)+MAX(0,F20-H20*8.03))/2*31+(MAX(0,F20-H20*8.03)+MAX(0,F20-H20*18.012))/2*31+(MAX(0,F20-H20*18.012)+MAX(0,F20-H20*32.187))/2*30+(MAX(0,F20-H20*32.187)+MAX(0,F20-H20*51.283))/2*31+(MAX(0,F20-H20*51.283)+MAX(0,F20-H20*73.708))/2*30))</f>
        <v/>
      </c>
    </row>
    <row r="21">
      <c r="A21" s="2" t="n">
        <v>170198337</v>
      </c>
      <c r="B21" s="2" t="inlineStr">
        <is>
          <t>ENOUGH - Premium 8 Peptide Full Cover Perfect Foundation [Tone 21] / Тональный крем с пептидами 21 тон</t>
        </is>
      </c>
      <c r="C21" s="3" t="n">
        <v>577</v>
      </c>
      <c r="D21" s="4" t="n">
        <v>0.1359</v>
      </c>
      <c r="E21" s="3">
        <f>ROUND(C21*0.68961,0)</f>
        <v/>
      </c>
      <c r="F21" s="3">
        <f>C21-E21</f>
        <v/>
      </c>
      <c r="G21" s="5">
        <f>D21*C21*159</f>
        <v/>
      </c>
      <c r="H21" s="5" t="n">
        <v>2.97</v>
      </c>
      <c r="I21" s="3">
        <f>MAX(0,E21-H21*163.76)+MAX(0,F21-H21*73.708)</f>
        <v/>
      </c>
      <c r="J21" s="5">
        <f>D21*(((E21+MAX(0,E21-H21*6))/2*6+(MAX(0,E21-H21*6)+MAX(0,E21-H21*34.52))/2*31+(MAX(0,E21-H21*34.52)+MAX(0,E21-H21*63.04))/2*31+(MAX(0,E21-H21*63.04)+MAX(0,E21-H21*94.54))/2*30+(MAX(0,E21-H21*94.54)+MAX(0,E21-H21*129.26))/2*31+(MAX(0,E21-H21*129.26)+MAX(0,E21-H21*163.76))/2*30)+((F21+MAX(0,F21-H21*0.9))/2*6+(MAX(0,F21-H21*0.9)+MAX(0,F21-H21*8.03))/2*31+(MAX(0,F21-H21*8.03)+MAX(0,F21-H21*18.012))/2*31+(MAX(0,F21-H21*18.012)+MAX(0,F21-H21*32.187))/2*30+(MAX(0,F21-H21*32.187)+MAX(0,F21-H21*51.283))/2*31+(MAX(0,F21-H21*51.283)+MAX(0,F21-H21*73.708))/2*30))</f>
        <v/>
      </c>
    </row>
    <row r="22">
      <c r="A22" s="2" t="n">
        <v>170198180</v>
      </c>
      <c r="B22" s="2" t="inlineStr">
        <is>
          <t>ENOUGH - Premium Rich Gold Double Wear Radiance Foundation [Tone 13] / Тональный крем с частичками золота 13 тон</t>
        </is>
      </c>
      <c r="C22" s="3" t="n">
        <v>235</v>
      </c>
      <c r="D22" s="4" t="n">
        <v>0.1526</v>
      </c>
      <c r="E22" s="3">
        <f>ROUND(C22*0.68961,0)</f>
        <v/>
      </c>
      <c r="F22" s="3">
        <f>C22-E22</f>
        <v/>
      </c>
      <c r="G22" s="5">
        <f>D22*C22*159</f>
        <v/>
      </c>
      <c r="H22" s="5" t="n">
        <v>3.6</v>
      </c>
      <c r="I22" s="3">
        <f>MAX(0,E22-H22*163.76)+MAX(0,F22-H22*73.708)</f>
        <v/>
      </c>
      <c r="J22" s="5">
        <f>D22*(((E22+MAX(0,E22-H22*6))/2*6+(MAX(0,E22-H22*6)+MAX(0,E22-H22*34.52))/2*31+(MAX(0,E22-H22*34.52)+MAX(0,E22-H22*63.04))/2*31+(MAX(0,E22-H22*63.04)+MAX(0,E22-H22*94.54))/2*30+(MAX(0,E22-H22*94.54)+MAX(0,E22-H22*129.26))/2*31+(MAX(0,E22-H22*129.26)+MAX(0,E22-H22*163.76))/2*30)+((F22+MAX(0,F22-H22*0.9))/2*6+(MAX(0,F22-H22*0.9)+MAX(0,F22-H22*8.03))/2*31+(MAX(0,F22-H22*8.03)+MAX(0,F22-H22*18.012))/2*31+(MAX(0,F22-H22*18.012)+MAX(0,F22-H22*32.187))/2*30+(MAX(0,F22-H22*32.187)+MAX(0,F22-H22*51.283))/2*31+(MAX(0,F22-H22*51.283)+MAX(0,F22-H22*73.708))/2*30))</f>
        <v/>
      </c>
    </row>
    <row r="23">
      <c r="A23" s="2" t="n">
        <v>170198109</v>
      </c>
      <c r="B23" s="2" t="inlineStr">
        <is>
          <t>ENOUGH - Premium Rich Gold Double Wear Radiance Foundation [Tone 21] / Тональный крем с частичками золота 21 тон</t>
        </is>
      </c>
      <c r="C23" s="3" t="n">
        <v>30</v>
      </c>
      <c r="D23" s="4" t="n">
        <v>0.1653</v>
      </c>
      <c r="E23" s="3">
        <f>ROUND(C23*0.68961,0)</f>
        <v/>
      </c>
      <c r="F23" s="3">
        <f>C23-E23</f>
        <v/>
      </c>
      <c r="G23" s="5">
        <f>D23*C23*159</f>
        <v/>
      </c>
      <c r="H23" s="5" t="n">
        <v>2.94</v>
      </c>
      <c r="I23" s="3">
        <f>MAX(0,E23-H23*163.76)+MAX(0,F23-H23*73.708)</f>
        <v/>
      </c>
      <c r="J23" s="5">
        <f>D23*(((E23+MAX(0,E23-H23*6))/2*6+(MAX(0,E23-H23*6)+MAX(0,E23-H23*34.52))/2*31+(MAX(0,E23-H23*34.52)+MAX(0,E23-H23*63.04))/2*31+(MAX(0,E23-H23*63.04)+MAX(0,E23-H23*94.54))/2*30+(MAX(0,E23-H23*94.54)+MAX(0,E23-H23*129.26))/2*31+(MAX(0,E23-H23*129.26)+MAX(0,E23-H23*163.76))/2*30)+((F23+MAX(0,F23-H23*0.9))/2*6+(MAX(0,F23-H23*0.9)+MAX(0,F23-H23*8.03))/2*31+(MAX(0,F23-H23*8.03)+MAX(0,F23-H23*18.012))/2*31+(MAX(0,F23-H23*18.012)+MAX(0,F23-H23*32.187))/2*30+(MAX(0,F23-H23*32.187)+MAX(0,F23-H23*51.283))/2*31+(MAX(0,F23-H23*51.283)+MAX(0,F23-H23*73.708))/2*30))</f>
        <v/>
      </c>
    </row>
    <row r="24">
      <c r="A24" s="2" t="n">
        <v>212889025</v>
      </c>
      <c r="B24" s="2" t="inlineStr">
        <is>
          <t>ENOUGH Collagen whitening cover tip concealer #01 [9g]/Консилер для лица (новая карточка)</t>
        </is>
      </c>
      <c r="C24" s="3" t="n">
        <v>794</v>
      </c>
      <c r="D24" s="4" t="n">
        <v>0.1504</v>
      </c>
      <c r="E24" s="3">
        <f>ROUND(C24*0.68961,0)</f>
        <v/>
      </c>
      <c r="F24" s="3">
        <f>C24-E24</f>
        <v/>
      </c>
      <c r="G24" s="5">
        <f>D24*C24*159</f>
        <v/>
      </c>
      <c r="H24" s="5" t="n">
        <v>2.2</v>
      </c>
      <c r="I24" s="3">
        <f>MAX(0,E24-H24*163.76)+MAX(0,F24-H24*73.708)</f>
        <v/>
      </c>
      <c r="J24" s="5">
        <f>D24*(((E24+MAX(0,E24-H24*6))/2*6+(MAX(0,E24-H24*6)+MAX(0,E24-H24*34.52))/2*31+(MAX(0,E24-H24*34.52)+MAX(0,E24-H24*63.04))/2*31+(MAX(0,E24-H24*63.04)+MAX(0,E24-H24*94.54))/2*30+(MAX(0,E24-H24*94.54)+MAX(0,E24-H24*129.26))/2*31+(MAX(0,E24-H24*129.26)+MAX(0,E24-H24*163.76))/2*30)+((F24+MAX(0,F24-H24*0.9))/2*6+(MAX(0,F24-H24*0.9)+MAX(0,F24-H24*8.03))/2*31+(MAX(0,F24-H24*8.03)+MAX(0,F24-H24*18.012))/2*31+(MAX(0,F24-H24*18.012)+MAX(0,F24-H24*32.187))/2*30+(MAX(0,F24-H24*32.187)+MAX(0,F24-H24*51.283))/2*31+(MAX(0,F24-H24*51.283)+MAX(0,F24-H24*73.708))/2*30))</f>
        <v/>
      </c>
    </row>
    <row r="25">
      <c r="A25" s="2" t="n">
        <v>212889027</v>
      </c>
      <c r="B25" s="2" t="inlineStr">
        <is>
          <t>ENOUGH Collagen whitening cover tip concealer #02 [9g]/Консилер для лица (новая карточка)</t>
        </is>
      </c>
      <c r="C25" s="3" t="n">
        <v>864</v>
      </c>
      <c r="D25" s="4" t="n">
        <v>0.1492</v>
      </c>
      <c r="E25" s="3">
        <f>ROUND(C25*0.68961,0)</f>
        <v/>
      </c>
      <c r="F25" s="3">
        <f>C25-E25</f>
        <v/>
      </c>
      <c r="G25" s="5">
        <f>D25*C25*159</f>
        <v/>
      </c>
      <c r="H25" s="5" t="n">
        <v>1.96</v>
      </c>
      <c r="I25" s="3">
        <f>MAX(0,E25-H25*163.76)+MAX(0,F25-H25*73.708)</f>
        <v/>
      </c>
      <c r="J25" s="5">
        <f>D25*(((E25+MAX(0,E25-H25*6))/2*6+(MAX(0,E25-H25*6)+MAX(0,E25-H25*34.52))/2*31+(MAX(0,E25-H25*34.52)+MAX(0,E25-H25*63.04))/2*31+(MAX(0,E25-H25*63.04)+MAX(0,E25-H25*94.54))/2*30+(MAX(0,E25-H25*94.54)+MAX(0,E25-H25*129.26))/2*31+(MAX(0,E25-H25*129.26)+MAX(0,E25-H25*163.76))/2*30)+((F25+MAX(0,F25-H25*0.9))/2*6+(MAX(0,F25-H25*0.9)+MAX(0,F25-H25*8.03))/2*31+(MAX(0,F25-H25*8.03)+MAX(0,F25-H25*18.012))/2*31+(MAX(0,F25-H25*18.012)+MAX(0,F25-H25*32.187))/2*30+(MAX(0,F25-H25*32.187)+MAX(0,F25-H25*51.283))/2*31+(MAX(0,F25-H25*51.283)+MAX(0,F25-H25*73.708))/2*30))</f>
        <v/>
      </c>
    </row>
    <row r="26">
      <c r="A26" s="2" t="n">
        <v>212889028</v>
      </c>
      <c r="B26" s="2" t="inlineStr">
        <is>
          <t>ENOUGH Collagen whitening cover tip concealer #03 [9g]/ Консилер для лица (новая карточка)</t>
        </is>
      </c>
      <c r="C26" s="3" t="n">
        <v>935</v>
      </c>
      <c r="D26" s="4" t="n">
        <v>0.1514</v>
      </c>
      <c r="E26" s="3">
        <f>ROUND(C26*0.68961,0)</f>
        <v/>
      </c>
      <c r="F26" s="3">
        <f>C26-E26</f>
        <v/>
      </c>
      <c r="G26" s="5">
        <f>D26*C26*159</f>
        <v/>
      </c>
      <c r="H26" s="5" t="n">
        <v>1.39</v>
      </c>
      <c r="I26" s="3">
        <f>MAX(0,E26-H26*163.76)+MAX(0,F26-H26*73.708)</f>
        <v/>
      </c>
      <c r="J26" s="5">
        <f>D26*(((E26+MAX(0,E26-H26*6))/2*6+(MAX(0,E26-H26*6)+MAX(0,E26-H26*34.52))/2*31+(MAX(0,E26-H26*34.52)+MAX(0,E26-H26*63.04))/2*31+(MAX(0,E26-H26*63.04)+MAX(0,E26-H26*94.54))/2*30+(MAX(0,E26-H26*94.54)+MAX(0,E26-H26*129.26))/2*31+(MAX(0,E26-H26*129.26)+MAX(0,E26-H26*163.76))/2*30)+((F26+MAX(0,F26-H26*0.9))/2*6+(MAX(0,F26-H26*0.9)+MAX(0,F26-H26*8.03))/2*31+(MAX(0,F26-H26*8.03)+MAX(0,F26-H26*18.012))/2*31+(MAX(0,F26-H26*18.012)+MAX(0,F26-H26*32.187))/2*30+(MAX(0,F26-H26*32.187)+MAX(0,F26-H26*51.283))/2*31+(MAX(0,F26-H26*51.283)+MAX(0,F26-H26*73.708))/2*30))</f>
        <v/>
      </c>
    </row>
    <row r="27">
      <c r="A27" s="2" t="n">
        <v>238358954</v>
      </c>
      <c r="B27" s="2" t="inlineStr">
        <is>
          <t>ENOUGH - Collagen 3in1 Sun Cream SPF50 PA+++ [50ml] / отбеливающий увлажняющий солнцезащитный крем 3в1</t>
        </is>
      </c>
      <c r="C27" s="3" t="n">
        <v>373</v>
      </c>
      <c r="D27" s="4" t="n">
        <v>0.1633</v>
      </c>
      <c r="E27" s="3">
        <f>ROUND(C27*0.68961,0)</f>
        <v/>
      </c>
      <c r="F27" s="3">
        <f>C27-E27</f>
        <v/>
      </c>
      <c r="G27" s="5">
        <f>D27*C27*159</f>
        <v/>
      </c>
      <c r="H27" s="5" t="n">
        <v>27.54</v>
      </c>
      <c r="I27" s="3">
        <f>MAX(0,E27-H27*163.76)+MAX(0,F27-H27*73.708)</f>
        <v/>
      </c>
      <c r="J27" s="5">
        <f>D27*(((E27+MAX(0,E27-H27*6))/2*6+(MAX(0,E27-H27*6)+MAX(0,E27-H27*34.52))/2*31+(MAX(0,E27-H27*34.52)+MAX(0,E27-H27*63.04))/2*31+(MAX(0,E27-H27*63.04)+MAX(0,E27-H27*94.54))/2*30+(MAX(0,E27-H27*94.54)+MAX(0,E27-H27*129.26))/2*31+(MAX(0,E27-H27*129.26)+MAX(0,E27-H27*163.76))/2*30)+((F27+MAX(0,F27-H27*0.9))/2*6+(MAX(0,F27-H27*0.9)+MAX(0,F27-H27*8.03))/2*31+(MAX(0,F27-H27*8.03)+MAX(0,F27-H27*18.012))/2*31+(MAX(0,F27-H27*18.012)+MAX(0,F27-H27*32.187))/2*30+(MAX(0,F27-H27*32.187)+MAX(0,F27-H27*51.283))/2*31+(MAX(0,F27-H27*51.283)+MAX(0,F27-H27*73.708))/2*30))</f>
        <v/>
      </c>
    </row>
    <row r="28">
      <c r="A28" s="2" t="n">
        <v>238413828</v>
      </c>
      <c r="B28" s="2" t="inlineStr">
        <is>
          <t>ENOUGH - Collagen Moisture BB Cream SPF47 PA+++ [50ml] / Увлажняющий BB крем с коллагеном</t>
        </is>
      </c>
      <c r="C28" s="3" t="n">
        <v>725</v>
      </c>
      <c r="D28" s="4" t="n">
        <v>0.0925</v>
      </c>
      <c r="E28" s="3">
        <f>ROUND(C28*0.68961,0)</f>
        <v/>
      </c>
      <c r="F28" s="3">
        <f>C28-E28</f>
        <v/>
      </c>
      <c r="G28" s="5">
        <f>D28*C28*159</f>
        <v/>
      </c>
      <c r="H28" s="5" t="n">
        <v>2.82</v>
      </c>
      <c r="I28" s="3">
        <f>MAX(0,E28-H28*163.76)+MAX(0,F28-H28*73.708)</f>
        <v/>
      </c>
      <c r="J28" s="5">
        <f>D28*(((E28+MAX(0,E28-H28*6))/2*6+(MAX(0,E28-H28*6)+MAX(0,E28-H28*34.52))/2*31+(MAX(0,E28-H28*34.52)+MAX(0,E28-H28*63.04))/2*31+(MAX(0,E28-H28*63.04)+MAX(0,E28-H28*94.54))/2*30+(MAX(0,E28-H28*94.54)+MAX(0,E28-H28*129.26))/2*31+(MAX(0,E28-H28*129.26)+MAX(0,E28-H28*163.76))/2*30)+((F28+MAX(0,F28-H28*0.9))/2*6+(MAX(0,F28-H28*0.9)+MAX(0,F28-H28*8.03))/2*31+(MAX(0,F28-H28*8.03)+MAX(0,F28-H28*18.012))/2*31+(MAX(0,F28-H28*18.012)+MAX(0,F28-H28*32.187))/2*30+(MAX(0,F28-H28*32.187)+MAX(0,F28-H28*51.283))/2*31+(MAX(0,F28-H28*51.283)+MAX(0,F28-H28*73.708))/2*30))</f>
        <v/>
      </c>
    </row>
    <row r="29">
      <c r="A29" s="2" t="n">
        <v>154160085</v>
      </c>
      <c r="B29" s="2" t="inlineStr">
        <is>
          <t>ETUDE - Baking Powder Crunch Pore Scrub [24*7ml] / Очищающий скраб для лица с содой</t>
        </is>
      </c>
      <c r="C29" s="3" t="n">
        <v>264</v>
      </c>
      <c r="D29" s="4" t="n">
        <v>0.1858</v>
      </c>
      <c r="E29" s="3">
        <f>ROUND(C29*0.68961,0)</f>
        <v/>
      </c>
      <c r="F29" s="3">
        <f>C29-E29</f>
        <v/>
      </c>
      <c r="G29" s="5">
        <f>D29*C29*159</f>
        <v/>
      </c>
      <c r="H29" s="5" t="n">
        <v>2.09</v>
      </c>
      <c r="I29" s="3">
        <f>MAX(0,E29-H29*163.76)+MAX(0,F29-H29*73.708)</f>
        <v/>
      </c>
      <c r="J29" s="5">
        <f>D29*(((E29+MAX(0,E29-H29*6))/2*6+(MAX(0,E29-H29*6)+MAX(0,E29-H29*34.52))/2*31+(MAX(0,E29-H29*34.52)+MAX(0,E29-H29*63.04))/2*31+(MAX(0,E29-H29*63.04)+MAX(0,E29-H29*94.54))/2*30+(MAX(0,E29-H29*94.54)+MAX(0,E29-H29*129.26))/2*31+(MAX(0,E29-H29*129.26)+MAX(0,E29-H29*163.76))/2*30)+((F29+MAX(0,F29-H29*0.9))/2*6+(MAX(0,F29-H29*0.9)+MAX(0,F29-H29*8.03))/2*31+(MAX(0,F29-H29*8.03)+MAX(0,F29-H29*18.012))/2*31+(MAX(0,F29-H29*18.012)+MAX(0,F29-H29*32.187))/2*30+(MAX(0,F29-H29*32.187)+MAX(0,F29-H29*51.283))/2*31+(MAX(0,F29-H29*51.283)+MAX(0,F29-H29*73.708))/2*30))</f>
        <v/>
      </c>
    </row>
    <row r="30">
      <c r="A30" s="2" t="n">
        <v>207476309</v>
      </c>
      <c r="B30" s="2" t="inlineStr">
        <is>
          <t>FARMSTAY - Argan Oil Complete Volume Up Shampoo &amp; Conditioner [530ml] / Шампунь-кондиционер с аргановым маслом</t>
        </is>
      </c>
      <c r="C30" s="3" t="n">
        <v>3268</v>
      </c>
      <c r="D30" s="4" t="n">
        <v>0.3027</v>
      </c>
      <c r="E30" s="3">
        <f>ROUND(C30*0.68961,0)</f>
        <v/>
      </c>
      <c r="F30" s="3">
        <f>C30-E30</f>
        <v/>
      </c>
      <c r="G30" s="5">
        <f>D30*C30*159</f>
        <v/>
      </c>
      <c r="H30" s="5" t="n">
        <v>14.06</v>
      </c>
      <c r="I30" s="3">
        <f>MAX(0,E30-H30*163.76)+MAX(0,F30-H30*73.708)</f>
        <v/>
      </c>
      <c r="J30" s="5">
        <f>D30*(((E30+MAX(0,E30-H30*6))/2*6+(MAX(0,E30-H30*6)+MAX(0,E30-H30*34.52))/2*31+(MAX(0,E30-H30*34.52)+MAX(0,E30-H30*63.04))/2*31+(MAX(0,E30-H30*63.04)+MAX(0,E30-H30*94.54))/2*30+(MAX(0,E30-H30*94.54)+MAX(0,E30-H30*129.26))/2*31+(MAX(0,E30-H30*129.26)+MAX(0,E30-H30*163.76))/2*30)+((F30+MAX(0,F30-H30*0.9))/2*6+(MAX(0,F30-H30*0.9)+MAX(0,F30-H30*8.03))/2*31+(MAX(0,F30-H30*8.03)+MAX(0,F30-H30*18.012))/2*31+(MAX(0,F30-H30*18.012)+MAX(0,F30-H30*32.187))/2*30+(MAX(0,F30-H30*32.187)+MAX(0,F30-H30*51.283))/2*31+(MAX(0,F30-H30*51.283)+MAX(0,F30-H30*73.708))/2*30))</f>
        <v/>
      </c>
    </row>
    <row r="31">
      <c r="A31" s="2" t="n">
        <v>207475898</v>
      </c>
      <c r="B31" s="2" t="inlineStr">
        <is>
          <t>FARMSTAY - Collagen Water Full Shampoo &amp; Conditioner [530ml] / Шампунь-кондиционер 2в1 с коллагеном</t>
        </is>
      </c>
      <c r="C31" s="3" t="n">
        <v>4181</v>
      </c>
      <c r="D31" s="4" t="n">
        <v>0.2001</v>
      </c>
      <c r="E31" s="3">
        <f>ROUND(C31*0.68961,0)</f>
        <v/>
      </c>
      <c r="F31" s="3">
        <f>C31-E31</f>
        <v/>
      </c>
      <c r="G31" s="5">
        <f>D31*C31*159</f>
        <v/>
      </c>
      <c r="H31" s="5" t="n">
        <v>9.789999999999999</v>
      </c>
      <c r="I31" s="3">
        <f>MAX(0,E31-H31*163.76)+MAX(0,F31-H31*73.708)</f>
        <v/>
      </c>
      <c r="J31" s="5">
        <f>D31*(((E31+MAX(0,E31-H31*6))/2*6+(MAX(0,E31-H31*6)+MAX(0,E31-H31*34.52))/2*31+(MAX(0,E31-H31*34.52)+MAX(0,E31-H31*63.04))/2*31+(MAX(0,E31-H31*63.04)+MAX(0,E31-H31*94.54))/2*30+(MAX(0,E31-H31*94.54)+MAX(0,E31-H31*129.26))/2*31+(MAX(0,E31-H31*129.26)+MAX(0,E31-H31*163.76))/2*30)+((F31+MAX(0,F31-H31*0.9))/2*6+(MAX(0,F31-H31*0.9)+MAX(0,F31-H31*8.03))/2*31+(MAX(0,F31-H31*8.03)+MAX(0,F31-H31*18.012))/2*31+(MAX(0,F31-H31*18.012)+MAX(0,F31-H31*32.187))/2*30+(MAX(0,F31-H31*32.187)+MAX(0,F31-H31*51.283))/2*31+(MAX(0,F31-H31*51.283)+MAX(0,F31-H31*73.708))/2*30))</f>
        <v/>
      </c>
    </row>
    <row r="32">
      <c r="A32" s="2" t="n">
        <v>207477077</v>
      </c>
      <c r="B32" s="2" t="inlineStr">
        <is>
          <t>FARMSTAY - Collagen Water Full Moist Cream [100g] / Увлажняющий крем с коллагеном</t>
        </is>
      </c>
      <c r="C32" s="3" t="n">
        <v>595</v>
      </c>
      <c r="D32" s="4" t="n">
        <v>0.1512</v>
      </c>
      <c r="E32" s="3">
        <f>ROUND(C32*0.68961,0)</f>
        <v/>
      </c>
      <c r="F32" s="3">
        <f>C32-E32</f>
        <v/>
      </c>
      <c r="G32" s="5">
        <f>D32*C32*159</f>
        <v/>
      </c>
      <c r="H32" s="5" t="n">
        <v>5.3</v>
      </c>
      <c r="I32" s="3">
        <f>MAX(0,E32-H32*163.76)+MAX(0,F32-H32*73.708)</f>
        <v/>
      </c>
      <c r="J32" s="5">
        <f>D32*(((E32+MAX(0,E32-H32*6))/2*6+(MAX(0,E32-H32*6)+MAX(0,E32-H32*34.52))/2*31+(MAX(0,E32-H32*34.52)+MAX(0,E32-H32*63.04))/2*31+(MAX(0,E32-H32*63.04)+MAX(0,E32-H32*94.54))/2*30+(MAX(0,E32-H32*94.54)+MAX(0,E32-H32*129.26))/2*31+(MAX(0,E32-H32*129.26)+MAX(0,E32-H32*163.76))/2*30)+((F32+MAX(0,F32-H32*0.9))/2*6+(MAX(0,F32-H32*0.9)+MAX(0,F32-H32*8.03))/2*31+(MAX(0,F32-H32*8.03)+MAX(0,F32-H32*18.012))/2*31+(MAX(0,F32-H32*18.012)+MAX(0,F32-H32*32.187))/2*30+(MAX(0,F32-H32*32.187)+MAX(0,F32-H32*51.283))/2*31+(MAX(0,F32-H32*51.283)+MAX(0,F32-H32*73.708))/2*30))</f>
        <v/>
      </c>
    </row>
    <row r="33">
      <c r="A33" s="2" t="n">
        <v>207476777</v>
      </c>
      <c r="B33" s="2" t="inlineStr">
        <is>
          <t>FARMSTAY - Collagen Pure Cleansing Foam [180ml]/Пенка для умывания</t>
        </is>
      </c>
      <c r="C33" s="3" t="n">
        <v>515</v>
      </c>
      <c r="D33" s="4" t="n">
        <v>0.1447</v>
      </c>
      <c r="E33" s="3">
        <f>ROUND(C33*0.68961,0)</f>
        <v/>
      </c>
      <c r="F33" s="3">
        <f>C33-E33</f>
        <v/>
      </c>
      <c r="G33" s="5">
        <f>D33*C33*159</f>
        <v/>
      </c>
      <c r="H33" s="5" t="n">
        <v>1.74</v>
      </c>
      <c r="I33" s="3">
        <f>MAX(0,E33-H33*163.76)+MAX(0,F33-H33*73.708)</f>
        <v/>
      </c>
      <c r="J33" s="5">
        <f>D33*(((E33+MAX(0,E33-H33*6))/2*6+(MAX(0,E33-H33*6)+MAX(0,E33-H33*34.52))/2*31+(MAX(0,E33-H33*34.52)+MAX(0,E33-H33*63.04))/2*31+(MAX(0,E33-H33*63.04)+MAX(0,E33-H33*94.54))/2*30+(MAX(0,E33-H33*94.54)+MAX(0,E33-H33*129.26))/2*31+(MAX(0,E33-H33*129.26)+MAX(0,E33-H33*163.76))/2*30)+((F33+MAX(0,F33-H33*0.9))/2*6+(MAX(0,F33-H33*0.9)+MAX(0,F33-H33*8.03))/2*31+(MAX(0,F33-H33*8.03)+MAX(0,F33-H33*18.012))/2*31+(MAX(0,F33-H33*18.012)+MAX(0,F33-H33*32.187))/2*30+(MAX(0,F33-H33*32.187)+MAX(0,F33-H33*51.283))/2*31+(MAX(0,F33-H33*51.283)+MAX(0,F33-H33*73.708))/2*30))</f>
        <v/>
      </c>
    </row>
    <row r="34">
      <c r="A34" s="2" t="n">
        <v>206126372</v>
      </c>
      <c r="B34" s="2" t="inlineStr">
        <is>
          <t>I'm Sorry For My Skin - Age Capture Vitalizer Cream / Увлажняющий капсульный крем</t>
        </is>
      </c>
      <c r="C34" s="3" t="n">
        <v>109</v>
      </c>
      <c r="D34" s="4" t="n">
        <v>0.1519</v>
      </c>
      <c r="E34" s="3">
        <f>ROUND(C34*0.68961,0)</f>
        <v/>
      </c>
      <c r="F34" s="3">
        <f>C34-E34</f>
        <v/>
      </c>
      <c r="G34" s="5">
        <f>D34*C34*159</f>
        <v/>
      </c>
      <c r="H34" s="5" t="n">
        <v>1.79</v>
      </c>
      <c r="I34" s="3">
        <f>MAX(0,E34-H34*163.76)+MAX(0,F34-H34*73.708)</f>
        <v/>
      </c>
      <c r="J34" s="5">
        <f>D34*(((E34+MAX(0,E34-H34*6))/2*6+(MAX(0,E34-H34*6)+MAX(0,E34-H34*34.52))/2*31+(MAX(0,E34-H34*34.52)+MAX(0,E34-H34*63.04))/2*31+(MAX(0,E34-H34*63.04)+MAX(0,E34-H34*94.54))/2*30+(MAX(0,E34-H34*94.54)+MAX(0,E34-H34*129.26))/2*31+(MAX(0,E34-H34*129.26)+MAX(0,E34-H34*163.76))/2*30)+((F34+MAX(0,F34-H34*0.9))/2*6+(MAX(0,F34-H34*0.9)+MAX(0,F34-H34*8.03))/2*31+(MAX(0,F34-H34*8.03)+MAX(0,F34-H34*18.012))/2*31+(MAX(0,F34-H34*18.012)+MAX(0,F34-H34*32.187))/2*30+(MAX(0,F34-H34*32.187)+MAX(0,F34-H34*51.283))/2*31+(MAX(0,F34-H34*51.283)+MAX(0,F34-H34*73.708))/2*30))</f>
        <v/>
      </c>
    </row>
    <row r="35">
      <c r="A35" s="2" t="n">
        <v>207818000</v>
      </c>
      <c r="B35" s="2" t="inlineStr">
        <is>
          <t>ISNTREE - Chestnut AHA 8% Clear Essence Sample [20ml] / Увлажняющая эссенция для глубокого очищения лица</t>
        </is>
      </c>
      <c r="C35" s="3" t="n">
        <v>43</v>
      </c>
      <c r="D35" s="4" t="n">
        <v>0.1359</v>
      </c>
      <c r="E35" s="3">
        <f>ROUND(C35*0.68961,0)</f>
        <v/>
      </c>
      <c r="F35" s="3">
        <f>C35-E35</f>
        <v/>
      </c>
      <c r="G35" s="5">
        <f>D35*C35*159</f>
        <v/>
      </c>
      <c r="H35" s="5" t="n">
        <v>0.44</v>
      </c>
      <c r="I35" s="3">
        <f>MAX(0,E35-H35*163.76)+MAX(0,F35-H35*73.708)</f>
        <v/>
      </c>
      <c r="J35" s="5">
        <f>D35*(((E35+MAX(0,E35-H35*6))/2*6+(MAX(0,E35-H35*6)+MAX(0,E35-H35*34.52))/2*31+(MAX(0,E35-H35*34.52)+MAX(0,E35-H35*63.04))/2*31+(MAX(0,E35-H35*63.04)+MAX(0,E35-H35*94.54))/2*30+(MAX(0,E35-H35*94.54)+MAX(0,E35-H35*129.26))/2*31+(MAX(0,E35-H35*129.26)+MAX(0,E35-H35*163.76))/2*30)+((F35+MAX(0,F35-H35*0.9))/2*6+(MAX(0,F35-H35*0.9)+MAX(0,F35-H35*8.03))/2*31+(MAX(0,F35-H35*8.03)+MAX(0,F35-H35*18.012))/2*31+(MAX(0,F35-H35*18.012)+MAX(0,F35-H35*32.187))/2*30+(MAX(0,F35-H35*32.187)+MAX(0,F35-H35*51.283))/2*31+(MAX(0,F35-H35*51.283)+MAX(0,F35-H35*73.708))/2*30))</f>
        <v/>
      </c>
    </row>
    <row r="36">
      <c r="A36" s="2" t="n">
        <v>212753217</v>
      </c>
      <c r="B36" s="2" t="inlineStr">
        <is>
          <t>JIGOTT - Collagen Healing Cream [100ml] / Крем для лица с коллагеном</t>
        </is>
      </c>
      <c r="C36" s="3" t="n">
        <v>128</v>
      </c>
      <c r="D36" s="4" t="n">
        <v>0.1612</v>
      </c>
      <c r="E36" s="3">
        <f>ROUND(C36*0.68961,0)</f>
        <v/>
      </c>
      <c r="F36" s="3">
        <f>C36-E36</f>
        <v/>
      </c>
      <c r="G36" s="5">
        <f>D36*C36*159</f>
        <v/>
      </c>
      <c r="H36" s="5" t="n">
        <v>1.12</v>
      </c>
      <c r="I36" s="3">
        <f>MAX(0,E36-H36*163.76)+MAX(0,F36-H36*73.708)</f>
        <v/>
      </c>
      <c r="J36" s="5">
        <f>D36*(((E36+MAX(0,E36-H36*6))/2*6+(MAX(0,E36-H36*6)+MAX(0,E36-H36*34.52))/2*31+(MAX(0,E36-H36*34.52)+MAX(0,E36-H36*63.04))/2*31+(MAX(0,E36-H36*63.04)+MAX(0,E36-H36*94.54))/2*30+(MAX(0,E36-H36*94.54)+MAX(0,E36-H36*129.26))/2*31+(MAX(0,E36-H36*129.26)+MAX(0,E36-H36*163.76))/2*30)+((F36+MAX(0,F36-H36*0.9))/2*6+(MAX(0,F36-H36*0.9)+MAX(0,F36-H36*8.03))/2*31+(MAX(0,F36-H36*8.03)+MAX(0,F36-H36*18.012))/2*31+(MAX(0,F36-H36*18.012)+MAX(0,F36-H36*32.187))/2*30+(MAX(0,F36-H36*32.187)+MAX(0,F36-H36*51.283))/2*31+(MAX(0,F36-H36*51.283)+MAX(0,F36-H36*73.708))/2*30))</f>
        <v/>
      </c>
    </row>
    <row r="37">
      <c r="A37" s="2" t="n">
        <v>255574453</v>
      </c>
      <c r="B37" s="2" t="inlineStr">
        <is>
          <t>JIGOTT - Ассорти набор масок [27ml х 15]</t>
        </is>
      </c>
      <c r="C37" s="3" t="n">
        <v>1383</v>
      </c>
      <c r="D37" s="4" t="n">
        <v>0.1834</v>
      </c>
      <c r="E37" s="3">
        <f>ROUND(C37*0.68961,0)</f>
        <v/>
      </c>
      <c r="F37" s="3">
        <f>C37-E37</f>
        <v/>
      </c>
      <c r="G37" s="5">
        <f>D37*C37*159</f>
        <v/>
      </c>
      <c r="H37" s="5" t="n">
        <v>0.6899999999999999</v>
      </c>
      <c r="I37" s="3">
        <f>MAX(0,E37-H37*163.76)+MAX(0,F37-H37*73.708)</f>
        <v/>
      </c>
      <c r="J37" s="5">
        <f>D37*(((E37+MAX(0,E37-H37*6))/2*6+(MAX(0,E37-H37*6)+MAX(0,E37-H37*34.52))/2*31+(MAX(0,E37-H37*34.52)+MAX(0,E37-H37*63.04))/2*31+(MAX(0,E37-H37*63.04)+MAX(0,E37-H37*94.54))/2*30+(MAX(0,E37-H37*94.54)+MAX(0,E37-H37*129.26))/2*31+(MAX(0,E37-H37*129.26)+MAX(0,E37-H37*163.76))/2*30)+((F37+MAX(0,F37-H37*0.9))/2*6+(MAX(0,F37-H37*0.9)+MAX(0,F37-H37*8.03))/2*31+(MAX(0,F37-H37*8.03)+MAX(0,F37-H37*18.012))/2*31+(MAX(0,F37-H37*18.012)+MAX(0,F37-H37*32.187))/2*30+(MAX(0,F37-H37*32.187)+MAX(0,F37-H37*51.283))/2*31+(MAX(0,F37-H37*51.283)+MAX(0,F37-H37*73.708))/2*30))</f>
        <v/>
      </c>
    </row>
    <row r="38">
      <c r="A38" s="2" t="n">
        <v>214977901</v>
      </c>
      <c r="B38" s="2" t="inlineStr">
        <is>
          <t>JMSOLUTION - MASK PACK BLACK [30ml*10ea] - ассорти набор 10шт в упаковке</t>
        </is>
      </c>
      <c r="C38" s="3" t="n">
        <v>1042</v>
      </c>
      <c r="D38" s="4" t="n">
        <v>0.1891</v>
      </c>
      <c r="E38" s="3">
        <f>ROUND(C38*0.68961,0)</f>
        <v/>
      </c>
      <c r="F38" s="3">
        <f>C38-E38</f>
        <v/>
      </c>
      <c r="G38" s="5">
        <f>D38*C38*159</f>
        <v/>
      </c>
      <c r="H38" s="5" t="n">
        <v>3.34</v>
      </c>
      <c r="I38" s="3">
        <f>MAX(0,E38-H38*163.76)+MAX(0,F38-H38*73.708)</f>
        <v/>
      </c>
      <c r="J38" s="5">
        <f>D38*(((E38+MAX(0,E38-H38*6))/2*6+(MAX(0,E38-H38*6)+MAX(0,E38-H38*34.52))/2*31+(MAX(0,E38-H38*34.52)+MAX(0,E38-H38*63.04))/2*31+(MAX(0,E38-H38*63.04)+MAX(0,E38-H38*94.54))/2*30+(MAX(0,E38-H38*94.54)+MAX(0,E38-H38*129.26))/2*31+(MAX(0,E38-H38*129.26)+MAX(0,E38-H38*163.76))/2*30)+((F38+MAX(0,F38-H38*0.9))/2*6+(MAX(0,F38-H38*0.9)+MAX(0,F38-H38*8.03))/2*31+(MAX(0,F38-H38*8.03)+MAX(0,F38-H38*18.012))/2*31+(MAX(0,F38-H38*18.012)+MAX(0,F38-H38*32.187))/2*30+(MAX(0,F38-H38*32.187)+MAX(0,F38-H38*51.283))/2*31+(MAX(0,F38-H38*51.283)+MAX(0,F38-H38*73.708))/2*30))</f>
        <v/>
      </c>
    </row>
    <row r="39">
      <c r="A39" s="2" t="n">
        <v>214964091</v>
      </c>
      <c r="B39" s="2" t="inlineStr">
        <is>
          <t>JMSOLUTION - MASK PACK DISNEY [30ml*10ea] - ассорти набор из 10шт</t>
        </is>
      </c>
      <c r="C39" s="3" t="n">
        <v>835</v>
      </c>
      <c r="D39" s="4" t="n">
        <v>0.1844</v>
      </c>
      <c r="E39" s="3">
        <f>ROUND(C39*0.68961,0)</f>
        <v/>
      </c>
      <c r="F39" s="3">
        <f>C39-E39</f>
        <v/>
      </c>
      <c r="G39" s="5">
        <f>D39*C39*159</f>
        <v/>
      </c>
      <c r="H39" s="5" t="n">
        <v>5.9</v>
      </c>
      <c r="I39" s="3">
        <f>MAX(0,E39-H39*163.76)+MAX(0,F39-H39*73.708)</f>
        <v/>
      </c>
      <c r="J39" s="5">
        <f>D39*(((E39+MAX(0,E39-H39*6))/2*6+(MAX(0,E39-H39*6)+MAX(0,E39-H39*34.52))/2*31+(MAX(0,E39-H39*34.52)+MAX(0,E39-H39*63.04))/2*31+(MAX(0,E39-H39*63.04)+MAX(0,E39-H39*94.54))/2*30+(MAX(0,E39-H39*94.54)+MAX(0,E39-H39*129.26))/2*31+(MAX(0,E39-H39*129.26)+MAX(0,E39-H39*163.76))/2*30)+((F39+MAX(0,F39-H39*0.9))/2*6+(MAX(0,F39-H39*0.9)+MAX(0,F39-H39*8.03))/2*31+(MAX(0,F39-H39*8.03)+MAX(0,F39-H39*18.012))/2*31+(MAX(0,F39-H39*18.012)+MAX(0,F39-H39*32.187))/2*30+(MAX(0,F39-H39*32.187)+MAX(0,F39-H39*51.283))/2*31+(MAX(0,F39-H39*51.283)+MAX(0,F39-H39*73.708))/2*30))</f>
        <v/>
      </c>
    </row>
    <row r="40">
      <c r="A40" s="2" t="n">
        <v>210575566</v>
      </c>
      <c r="B40" s="2" t="inlineStr">
        <is>
          <t>LEBELAGE - Dr. Peptide Derma Eye Cream [40ml] / Крем для глаз антивозрастной с пептидами</t>
        </is>
      </c>
      <c r="C40" s="3" t="n">
        <v>420</v>
      </c>
      <c r="D40" s="4" t="n">
        <v>0.1534</v>
      </c>
      <c r="E40" s="3">
        <f>ROUND(C40*0.68961,0)</f>
        <v/>
      </c>
      <c r="F40" s="3">
        <f>C40-E40</f>
        <v/>
      </c>
      <c r="G40" s="5">
        <f>D40*C40*159</f>
        <v/>
      </c>
      <c r="H40" s="5" t="n">
        <v>0.74</v>
      </c>
      <c r="I40" s="3">
        <f>MAX(0,E40-H40*163.76)+MAX(0,F40-H40*73.708)</f>
        <v/>
      </c>
      <c r="J40" s="5">
        <f>D40*(((E40+MAX(0,E40-H40*6))/2*6+(MAX(0,E40-H40*6)+MAX(0,E40-H40*34.52))/2*31+(MAX(0,E40-H40*34.52)+MAX(0,E40-H40*63.04))/2*31+(MAX(0,E40-H40*63.04)+MAX(0,E40-H40*94.54))/2*30+(MAX(0,E40-H40*94.54)+MAX(0,E40-H40*129.26))/2*31+(MAX(0,E40-H40*129.26)+MAX(0,E40-H40*163.76))/2*30)+((F40+MAX(0,F40-H40*0.9))/2*6+(MAX(0,F40-H40*0.9)+MAX(0,F40-H40*8.03))/2*31+(MAX(0,F40-H40*8.03)+MAX(0,F40-H40*18.012))/2*31+(MAX(0,F40-H40*18.012)+MAX(0,F40-H40*32.187))/2*30+(MAX(0,F40-H40*32.187)+MAX(0,F40-H40*51.283))/2*31+(MAX(0,F40-H40*51.283)+MAX(0,F40-H40*73.708))/2*30))</f>
        <v/>
      </c>
    </row>
    <row r="41">
      <c r="A41" s="2" t="n">
        <v>868761530</v>
      </c>
      <c r="B41" s="2" t="inlineStr">
        <is>
          <t>LANEIGE LIP SLEEPING MASK-BERRY [3g]</t>
        </is>
      </c>
      <c r="C41" s="3" t="n">
        <v>634</v>
      </c>
      <c r="D41" s="4" t="n">
        <v>0.1502</v>
      </c>
      <c r="E41" s="3">
        <f>ROUND(C41*0.68961,0)</f>
        <v/>
      </c>
      <c r="F41" s="3">
        <f>C41-E41</f>
        <v/>
      </c>
      <c r="G41" s="5">
        <f>D41*C41*159</f>
        <v/>
      </c>
      <c r="H41" s="5" t="n">
        <v>2.71</v>
      </c>
      <c r="I41" s="3">
        <f>MAX(0,E41-H41*163.76)+MAX(0,F41-H41*73.708)</f>
        <v/>
      </c>
      <c r="J41" s="5">
        <f>D41*(((E41+MAX(0,E41-H41*6))/2*6+(MAX(0,E41-H41*6)+MAX(0,E41-H41*34.52))/2*31+(MAX(0,E41-H41*34.52)+MAX(0,E41-H41*63.04))/2*31+(MAX(0,E41-H41*63.04)+MAX(0,E41-H41*94.54))/2*30+(MAX(0,E41-H41*94.54)+MAX(0,E41-H41*129.26))/2*31+(MAX(0,E41-H41*129.26)+MAX(0,E41-H41*163.76))/2*30)+((F41+MAX(0,F41-H41*0.9))/2*6+(MAX(0,F41-H41*0.9)+MAX(0,F41-H41*8.03))/2*31+(MAX(0,F41-H41*8.03)+MAX(0,F41-H41*18.012))/2*31+(MAX(0,F41-H41*18.012)+MAX(0,F41-H41*32.187))/2*30+(MAX(0,F41-H41*32.187)+MAX(0,F41-H41*51.283))/2*31+(MAX(0,F41-H41*51.283)+MAX(0,F41-H41*73.708))/2*30))</f>
        <v/>
      </c>
    </row>
    <row r="42">
      <c r="A42" s="2" t="n">
        <v>183030830</v>
      </c>
      <c r="B42" s="2" t="inlineStr">
        <is>
          <t>MASIL - 8 Seconds Salon Hair Mask 350ml Set [350ml+8ml*2]</t>
        </is>
      </c>
      <c r="C42" s="3" t="n">
        <v>119</v>
      </c>
      <c r="D42" s="4" t="n">
        <v>0.3346</v>
      </c>
      <c r="E42" s="3">
        <f>ROUND(C42*0.68961,0)</f>
        <v/>
      </c>
      <c r="F42" s="3">
        <f>C42-E42</f>
        <v/>
      </c>
      <c r="G42" s="5">
        <f>D42*C42*159</f>
        <v/>
      </c>
      <c r="H42" s="5" t="n">
        <v>0.72</v>
      </c>
      <c r="I42" s="3">
        <f>MAX(0,E42-H42*163.76)+MAX(0,F42-H42*73.708)</f>
        <v/>
      </c>
      <c r="J42" s="5">
        <f>D42*(((E42+MAX(0,E42-H42*6))/2*6+(MAX(0,E42-H42*6)+MAX(0,E42-H42*34.52))/2*31+(MAX(0,E42-H42*34.52)+MAX(0,E42-H42*63.04))/2*31+(MAX(0,E42-H42*63.04)+MAX(0,E42-H42*94.54))/2*30+(MAX(0,E42-H42*94.54)+MAX(0,E42-H42*129.26))/2*31+(MAX(0,E42-H42*129.26)+MAX(0,E42-H42*163.76))/2*30)+((F42+MAX(0,F42-H42*0.9))/2*6+(MAX(0,F42-H42*0.9)+MAX(0,F42-H42*8.03))/2*31+(MAX(0,F42-H42*8.03)+MAX(0,F42-H42*18.012))/2*31+(MAX(0,F42-H42*18.012)+MAX(0,F42-H42*32.187))/2*30+(MAX(0,F42-H42*32.187)+MAX(0,F42-H42*51.283))/2*31+(MAX(0,F42-H42*51.283)+MAX(0,F42-H42*73.708))/2*30))</f>
        <v/>
      </c>
    </row>
    <row r="43">
      <c r="A43" s="2" t="n">
        <v>180992464</v>
      </c>
      <c r="B43" s="2" t="inlineStr">
        <is>
          <t>PETITFEE - Aura Quartz Hydrogel Eye Patch [60ea]</t>
        </is>
      </c>
      <c r="C43" s="3" t="n">
        <v>105</v>
      </c>
      <c r="D43" s="4" t="n">
        <v>0.1333</v>
      </c>
      <c r="E43" s="3">
        <f>ROUND(C43*0.68961,0)</f>
        <v/>
      </c>
      <c r="F43" s="3">
        <f>C43-E43</f>
        <v/>
      </c>
      <c r="G43" s="5">
        <f>D43*C43*159</f>
        <v/>
      </c>
      <c r="H43" s="5" t="n">
        <v>0.65</v>
      </c>
      <c r="I43" s="3">
        <f>MAX(0,E43-H43*163.76)+MAX(0,F43-H43*73.708)</f>
        <v/>
      </c>
      <c r="J43" s="5">
        <f>D43*(((E43+MAX(0,E43-H43*6))/2*6+(MAX(0,E43-H43*6)+MAX(0,E43-H43*34.52))/2*31+(MAX(0,E43-H43*34.52)+MAX(0,E43-H43*63.04))/2*31+(MAX(0,E43-H43*63.04)+MAX(0,E43-H43*94.54))/2*30+(MAX(0,E43-H43*94.54)+MAX(0,E43-H43*129.26))/2*31+(MAX(0,E43-H43*129.26)+MAX(0,E43-H43*163.76))/2*30)+((F43+MAX(0,F43-H43*0.9))/2*6+(MAX(0,F43-H43*0.9)+MAX(0,F43-H43*8.03))/2*31+(MAX(0,F43-H43*8.03)+MAX(0,F43-H43*18.012))/2*31+(MAX(0,F43-H43*18.012)+MAX(0,F43-H43*32.187))/2*30+(MAX(0,F43-H43*32.187)+MAX(0,F43-H43*51.283))/2*31+(MAX(0,F43-H43*51.283)+MAX(0,F43-H43*73.708))/2*30))</f>
        <v/>
      </c>
    </row>
    <row r="44">
      <c r="A44" s="2" t="n">
        <v>179611318</v>
      </c>
      <c r="B44" s="2" t="inlineStr">
        <is>
          <t>PETITFEE - Chamomile Lightening Hydrogel Eye Patch [60ea] / Успокаивающие гидрогелевые патчи для глаз с экстрактом ромашки</t>
        </is>
      </c>
      <c r="C44" s="3" t="n">
        <v>300</v>
      </c>
      <c r="D44" s="4" t="n">
        <v>0.1553</v>
      </c>
      <c r="E44" s="3">
        <f>ROUND(C44*0.68961,0)</f>
        <v/>
      </c>
      <c r="F44" s="3">
        <f>C44-E44</f>
        <v/>
      </c>
      <c r="G44" s="5">
        <f>D44*C44*159</f>
        <v/>
      </c>
      <c r="H44" s="5" t="n">
        <v>2.08</v>
      </c>
      <c r="I44" s="3">
        <f>MAX(0,E44-H44*163.76)+MAX(0,F44-H44*73.708)</f>
        <v/>
      </c>
      <c r="J44" s="5">
        <f>D44*(((E44+MAX(0,E44-H44*6))/2*6+(MAX(0,E44-H44*6)+MAX(0,E44-H44*34.52))/2*31+(MAX(0,E44-H44*34.52)+MAX(0,E44-H44*63.04))/2*31+(MAX(0,E44-H44*63.04)+MAX(0,E44-H44*94.54))/2*30+(MAX(0,E44-H44*94.54)+MAX(0,E44-H44*129.26))/2*31+(MAX(0,E44-H44*129.26)+MAX(0,E44-H44*163.76))/2*30)+((F44+MAX(0,F44-H44*0.9))/2*6+(MAX(0,F44-H44*0.9)+MAX(0,F44-H44*8.03))/2*31+(MAX(0,F44-H44*8.03)+MAX(0,F44-H44*18.012))/2*31+(MAX(0,F44-H44*18.012)+MAX(0,F44-H44*32.187))/2*30+(MAX(0,F44-H44*32.187)+MAX(0,F44-H44*51.283))/2*31+(MAX(0,F44-H44*51.283)+MAX(0,F44-H44*73.708))/2*30))</f>
        <v/>
      </c>
    </row>
    <row r="45">
      <c r="A45" s="2" t="n">
        <v>180987509</v>
      </c>
      <c r="B45" s="2" t="inlineStr">
        <is>
          <t>PETITFEE - Pink Vita Brightening Eye Patch [60ea] / Тканевые патчи для век увлажняющие</t>
        </is>
      </c>
      <c r="C45" s="3" t="n">
        <v>270</v>
      </c>
      <c r="D45" s="4" t="n">
        <v>0.1301</v>
      </c>
      <c r="E45" s="3">
        <f>ROUND(C45*0.68961,0)</f>
        <v/>
      </c>
      <c r="F45" s="3">
        <f>C45-E45</f>
        <v/>
      </c>
      <c r="G45" s="5">
        <f>D45*C45*159</f>
        <v/>
      </c>
      <c r="H45" s="5" t="n">
        <v>0.6899999999999999</v>
      </c>
      <c r="I45" s="3">
        <f>MAX(0,E45-H45*163.76)+MAX(0,F45-H45*73.708)</f>
        <v/>
      </c>
      <c r="J45" s="5">
        <f>D45*(((E45+MAX(0,E45-H45*6))/2*6+(MAX(0,E45-H45*6)+MAX(0,E45-H45*34.52))/2*31+(MAX(0,E45-H45*34.52)+MAX(0,E45-H45*63.04))/2*31+(MAX(0,E45-H45*63.04)+MAX(0,E45-H45*94.54))/2*30+(MAX(0,E45-H45*94.54)+MAX(0,E45-H45*129.26))/2*31+(MAX(0,E45-H45*129.26)+MAX(0,E45-H45*163.76))/2*30)+((F45+MAX(0,F45-H45*0.9))/2*6+(MAX(0,F45-H45*0.9)+MAX(0,F45-H45*8.03))/2*31+(MAX(0,F45-H45*8.03)+MAX(0,F45-H45*18.012))/2*31+(MAX(0,F45-H45*18.012)+MAX(0,F45-H45*32.187))/2*30+(MAX(0,F45-H45*32.187)+MAX(0,F45-H45*51.283))/2*31+(MAX(0,F45-H45*51.283)+MAX(0,F45-H45*73.708))/2*30))</f>
        <v/>
      </c>
    </row>
    <row r="46">
      <c r="A46" s="2" t="n">
        <v>437190353</v>
      </c>
      <c r="B46" s="2" t="inlineStr">
        <is>
          <t>ROUND LAB BIRCH JUICE MOISTURIZING CREAM_80ml -Увлажняющий крем с березовым соком</t>
        </is>
      </c>
      <c r="C46" s="3" t="n">
        <v>557</v>
      </c>
      <c r="D46" s="4" t="n">
        <v>0.1535</v>
      </c>
      <c r="E46" s="3">
        <f>ROUND(C46*0.68961,0)</f>
        <v/>
      </c>
      <c r="F46" s="3">
        <f>C46-E46</f>
        <v/>
      </c>
      <c r="G46" s="5">
        <f>D46*C46*159</f>
        <v/>
      </c>
      <c r="H46" s="5" t="n">
        <v>1.09</v>
      </c>
      <c r="I46" s="3">
        <f>MAX(0,E46-H46*163.76)+MAX(0,F46-H46*73.708)</f>
        <v/>
      </c>
      <c r="J46" s="5">
        <f>D46*(((E46+MAX(0,E46-H46*6))/2*6+(MAX(0,E46-H46*6)+MAX(0,E46-H46*34.52))/2*31+(MAX(0,E46-H46*34.52)+MAX(0,E46-H46*63.04))/2*31+(MAX(0,E46-H46*63.04)+MAX(0,E46-H46*94.54))/2*30+(MAX(0,E46-H46*94.54)+MAX(0,E46-H46*129.26))/2*31+(MAX(0,E46-H46*129.26)+MAX(0,E46-H46*163.76))/2*30)+((F46+MAX(0,F46-H46*0.9))/2*6+(MAX(0,F46-H46*0.9)+MAX(0,F46-H46*8.03))/2*31+(MAX(0,F46-H46*8.03)+MAX(0,F46-H46*18.012))/2*31+(MAX(0,F46-H46*18.012)+MAX(0,F46-H46*32.187))/2*30+(MAX(0,F46-H46*32.187)+MAX(0,F46-H46*51.283))/2*31+(MAX(0,F46-H46*51.283)+MAX(0,F46-H46*73.708))/2*30))</f>
        <v/>
      </c>
    </row>
    <row r="47">
      <c r="A47" s="2" t="n">
        <v>437254254</v>
      </c>
      <c r="B47" s="2" t="inlineStr">
        <is>
          <t>ROUND LAB SOYBEAN PANTHENOL CREAM_80ml - Крем для лица с чёрной соей и пантенолом успокаивающий</t>
        </is>
      </c>
      <c r="C47" s="3" t="n">
        <v>210</v>
      </c>
      <c r="D47" s="4" t="n">
        <v>0.1651</v>
      </c>
      <c r="E47" s="3">
        <f>ROUND(C47*0.68961,0)</f>
        <v/>
      </c>
      <c r="F47" s="3">
        <f>C47-E47</f>
        <v/>
      </c>
      <c r="G47" s="5">
        <f>D47*C47*159</f>
        <v/>
      </c>
      <c r="H47" s="5" t="n">
        <v>1.14</v>
      </c>
      <c r="I47" s="3">
        <f>MAX(0,E47-H47*163.76)+MAX(0,F47-H47*73.708)</f>
        <v/>
      </c>
      <c r="J47" s="5">
        <f>D47*(((E47+MAX(0,E47-H47*6))/2*6+(MAX(0,E47-H47*6)+MAX(0,E47-H47*34.52))/2*31+(MAX(0,E47-H47*34.52)+MAX(0,E47-H47*63.04))/2*31+(MAX(0,E47-H47*63.04)+MAX(0,E47-H47*94.54))/2*30+(MAX(0,E47-H47*94.54)+MAX(0,E47-H47*129.26))/2*31+(MAX(0,E47-H47*129.26)+MAX(0,E47-H47*163.76))/2*30)+((F47+MAX(0,F47-H47*0.9))/2*6+(MAX(0,F47-H47*0.9)+MAX(0,F47-H47*8.03))/2*31+(MAX(0,F47-H47*8.03)+MAX(0,F47-H47*18.012))/2*31+(MAX(0,F47-H47*18.012)+MAX(0,F47-H47*32.187))/2*30+(MAX(0,F47-H47*32.187)+MAX(0,F47-H47*51.283))/2*31+(MAX(0,F47-H47*51.283)+MAX(0,F47-H47*73.708))/2*30))</f>
        <v/>
      </c>
    </row>
    <row r="48">
      <c r="A48" s="2" t="n">
        <v>437776835</v>
      </c>
      <c r="B48" s="2" t="inlineStr">
        <is>
          <t>ROUND LAB PINE CALMING CICA AMPOULE_30ml - Сыворотка для жирной кожи лица увлажняющая с центеллой</t>
        </is>
      </c>
      <c r="C48" s="3" t="n">
        <v>75</v>
      </c>
      <c r="D48" s="4" t="n">
        <v>0.1584</v>
      </c>
      <c r="E48" s="3">
        <f>ROUND(C48*0.68961,0)</f>
        <v/>
      </c>
      <c r="F48" s="3">
        <f>C48-E48</f>
        <v/>
      </c>
      <c r="G48" s="5">
        <f>D48*C48*159</f>
        <v/>
      </c>
      <c r="H48" s="5" t="n">
        <v>1.07</v>
      </c>
      <c r="I48" s="3">
        <f>MAX(0,E48-H48*163.76)+MAX(0,F48-H48*73.708)</f>
        <v/>
      </c>
      <c r="J48" s="5">
        <f>D48*(((E48+MAX(0,E48-H48*6))/2*6+(MAX(0,E48-H48*6)+MAX(0,E48-H48*34.52))/2*31+(MAX(0,E48-H48*34.52)+MAX(0,E48-H48*63.04))/2*31+(MAX(0,E48-H48*63.04)+MAX(0,E48-H48*94.54))/2*30+(MAX(0,E48-H48*94.54)+MAX(0,E48-H48*129.26))/2*31+(MAX(0,E48-H48*129.26)+MAX(0,E48-H48*163.76))/2*30)+((F48+MAX(0,F48-H48*0.9))/2*6+(MAX(0,F48-H48*0.9)+MAX(0,F48-H48*8.03))/2*31+(MAX(0,F48-H48*8.03)+MAX(0,F48-H48*18.012))/2*31+(MAX(0,F48-H48*18.012)+MAX(0,F48-H48*32.187))/2*30+(MAX(0,F48-H48*32.187)+MAX(0,F48-H48*51.283))/2*31+(MAX(0,F48-H48*51.283)+MAX(0,F48-H48*73.708))/2*30))</f>
        <v/>
      </c>
    </row>
    <row r="49">
      <c r="A49" s="2" t="n">
        <v>214311963</v>
      </c>
      <c r="B49" s="2" t="inlineStr">
        <is>
          <t>SKIN1004 - Madagascar Centella Ampoule [30ml] / Сыворотка для лица успокаивающая из экстракта центеллы.</t>
        </is>
      </c>
      <c r="C49" s="3" t="n">
        <v>89</v>
      </c>
      <c r="D49" s="4" t="n">
        <v>0.148</v>
      </c>
      <c r="E49" s="3">
        <f>ROUND(C49*0.68961,0)</f>
        <v/>
      </c>
      <c r="F49" s="3">
        <f>C49-E49</f>
        <v/>
      </c>
      <c r="G49" s="5">
        <f>D49*C49*159</f>
        <v/>
      </c>
      <c r="H49" s="5" t="n">
        <v>0.5</v>
      </c>
      <c r="I49" s="3">
        <f>MAX(0,E49-H49*163.76)+MAX(0,F49-H49*73.708)</f>
        <v/>
      </c>
      <c r="J49" s="5">
        <f>D49*(((E49+MAX(0,E49-H49*6))/2*6+(MAX(0,E49-H49*6)+MAX(0,E49-H49*34.52))/2*31+(MAX(0,E49-H49*34.52)+MAX(0,E49-H49*63.04))/2*31+(MAX(0,E49-H49*63.04)+MAX(0,E49-H49*94.54))/2*30+(MAX(0,E49-H49*94.54)+MAX(0,E49-H49*129.26))/2*31+(MAX(0,E49-H49*129.26)+MAX(0,E49-H49*163.76))/2*30)+((F49+MAX(0,F49-H49*0.9))/2*6+(MAX(0,F49-H49*0.9)+MAX(0,F49-H49*8.03))/2*31+(MAX(0,F49-H49*8.03)+MAX(0,F49-H49*18.012))/2*31+(MAX(0,F49-H49*18.012)+MAX(0,F49-H49*32.187))/2*30+(MAX(0,F49-H49*32.187)+MAX(0,F49-H49*51.283))/2*31+(MAX(0,F49-H49*51.283)+MAX(0,F49-H49*73.708))/2*30))</f>
        <v/>
      </c>
    </row>
    <row r="50">
      <c r="A50" s="2" t="n">
        <v>214312149</v>
      </c>
      <c r="B50" s="2" t="inlineStr">
        <is>
          <t>SKIN1004 - Madagascar Centella Hyalu-Cica Sleeping Pack [30ml] / Увлажняющая гиалуроновая ночная маска для сухой кожи</t>
        </is>
      </c>
      <c r="C50" s="3" t="n">
        <v>83</v>
      </c>
      <c r="D50" s="4" t="n">
        <v>0.1449</v>
      </c>
      <c r="E50" s="3">
        <f>ROUND(C50*0.68961,0)</f>
        <v/>
      </c>
      <c r="F50" s="3">
        <f>C50-E50</f>
        <v/>
      </c>
      <c r="G50" s="5">
        <f>D50*C50*159</f>
        <v/>
      </c>
      <c r="H50" s="5" t="n">
        <v>0.15</v>
      </c>
      <c r="I50" s="3">
        <f>MAX(0,E50-H50*163.76)+MAX(0,F50-H50*73.708)</f>
        <v/>
      </c>
      <c r="J50" s="5">
        <f>D50*(((E50+MAX(0,E50-H50*6))/2*6+(MAX(0,E50-H50*6)+MAX(0,E50-H50*34.52))/2*31+(MAX(0,E50-H50*34.52)+MAX(0,E50-H50*63.04))/2*31+(MAX(0,E50-H50*63.04)+MAX(0,E50-H50*94.54))/2*30+(MAX(0,E50-H50*94.54)+MAX(0,E50-H50*129.26))/2*31+(MAX(0,E50-H50*129.26)+MAX(0,E50-H50*163.76))/2*30)+((F50+MAX(0,F50-H50*0.9))/2*6+(MAX(0,F50-H50*0.9)+MAX(0,F50-H50*8.03))/2*31+(MAX(0,F50-H50*8.03)+MAX(0,F50-H50*18.012))/2*31+(MAX(0,F50-H50*18.012)+MAX(0,F50-H50*32.187))/2*30+(MAX(0,F50-H50*32.187)+MAX(0,F50-H50*51.283))/2*31+(MAX(0,F50-H50*51.283)+MAX(0,F50-H50*73.708))/2*30))</f>
        <v/>
      </c>
    </row>
    <row r="51">
      <c r="A51" s="2" t="n">
        <v>248928046</v>
      </c>
      <c r="B51" s="2" t="inlineStr">
        <is>
          <t>SOME BY MI - AHA-BHA-PHA 30 Days Miracle Cleansing Bar [106g] / Мыло для проблемной кожи с aha bha кислотами</t>
        </is>
      </c>
      <c r="C51" s="3" t="n">
        <v>527</v>
      </c>
      <c r="D51" s="4" t="n">
        <v>0.1381</v>
      </c>
      <c r="E51" s="3">
        <f>ROUND(C51*0.68961,0)</f>
        <v/>
      </c>
      <c r="F51" s="3">
        <f>C51-E51</f>
        <v/>
      </c>
      <c r="G51" s="5">
        <f>D51*C51*159</f>
        <v/>
      </c>
      <c r="H51" s="5" t="n">
        <v>0.05</v>
      </c>
      <c r="I51" s="3">
        <f>MAX(0,E51-H51*163.76)+MAX(0,F51-H51*73.708)</f>
        <v/>
      </c>
      <c r="J51" s="5">
        <f>D51*(((E51+MAX(0,E51-H51*6))/2*6+(MAX(0,E51-H51*6)+MAX(0,E51-H51*34.52))/2*31+(MAX(0,E51-H51*34.52)+MAX(0,E51-H51*63.04))/2*31+(MAX(0,E51-H51*63.04)+MAX(0,E51-H51*94.54))/2*30+(MAX(0,E51-H51*94.54)+MAX(0,E51-H51*129.26))/2*31+(MAX(0,E51-H51*129.26)+MAX(0,E51-H51*163.76))/2*30)+((F51+MAX(0,F51-H51*0.9))/2*6+(MAX(0,F51-H51*0.9)+MAX(0,F51-H51*8.03))/2*31+(MAX(0,F51-H51*8.03)+MAX(0,F51-H51*18.012))/2*31+(MAX(0,F51-H51*18.012)+MAX(0,F51-H51*32.187))/2*30+(MAX(0,F51-H51*32.187)+MAX(0,F51-H51*51.283))/2*31+(MAX(0,F51-H51*51.283)+MAX(0,F51-H51*73.708))/2*30))</f>
        <v/>
      </c>
    </row>
    <row r="52">
      <c r="A52" s="2" t="n">
        <v>248929125</v>
      </c>
      <c r="B52" s="2" t="inlineStr">
        <is>
          <t>SOME BY MI - AHA-BHA-PHA 30 Days Miracle Cream [60g] / Крем для лица</t>
        </is>
      </c>
      <c r="C52" s="3" t="n">
        <v>55</v>
      </c>
      <c r="D52" s="4" t="n">
        <v>0.1671</v>
      </c>
      <c r="E52" s="3">
        <f>ROUND(C52*0.68961,0)</f>
        <v/>
      </c>
      <c r="F52" s="3">
        <f>C52-E52</f>
        <v/>
      </c>
      <c r="G52" s="5">
        <f>D52*C52*159</f>
        <v/>
      </c>
      <c r="H52" s="5" t="n">
        <v>0.28</v>
      </c>
      <c r="I52" s="3">
        <f>MAX(0,E52-H52*163.76)+MAX(0,F52-H52*73.708)</f>
        <v/>
      </c>
      <c r="J52" s="5">
        <f>D52*(((E52+MAX(0,E52-H52*6))/2*6+(MAX(0,E52-H52*6)+MAX(0,E52-H52*34.52))/2*31+(MAX(0,E52-H52*34.52)+MAX(0,E52-H52*63.04))/2*31+(MAX(0,E52-H52*63.04)+MAX(0,E52-H52*94.54))/2*30+(MAX(0,E52-H52*94.54)+MAX(0,E52-H52*129.26))/2*31+(MAX(0,E52-H52*129.26)+MAX(0,E52-H52*163.76))/2*30)+((F52+MAX(0,F52-H52*0.9))/2*6+(MAX(0,F52-H52*0.9)+MAX(0,F52-H52*8.03))/2*31+(MAX(0,F52-H52*8.03)+MAX(0,F52-H52*18.012))/2*31+(MAX(0,F52-H52*18.012)+MAX(0,F52-H52*32.187))/2*30+(MAX(0,F52-H52*32.187)+MAX(0,F52-H52*51.283))/2*31+(MAX(0,F52-H52*51.283)+MAX(0,F52-H52*73.708))/2*30))</f>
        <v/>
      </c>
    </row>
    <row r="53">
      <c r="A53" s="2" t="n">
        <v>214312385</v>
      </c>
      <c r="B53" s="2" t="inlineStr">
        <is>
          <t>THE ORDINARY - Argireline Solution 10% [30ml] / Сыворотка для лица от прыщей и акне с ниацинамидом 10 %</t>
        </is>
      </c>
      <c r="C53" s="3" t="n">
        <v>118</v>
      </c>
      <c r="D53" s="4" t="n">
        <v>0.16</v>
      </c>
      <c r="E53" s="3">
        <f>ROUND(C53*0.68961,0)</f>
        <v/>
      </c>
      <c r="F53" s="3">
        <f>C53-E53</f>
        <v/>
      </c>
      <c r="G53" s="5">
        <f>D53*C53*159</f>
        <v/>
      </c>
      <c r="H53" s="5" t="n">
        <v>0.63</v>
      </c>
      <c r="I53" s="3">
        <f>MAX(0,E53-H53*163.76)+MAX(0,F53-H53*73.708)</f>
        <v/>
      </c>
      <c r="J53" s="5">
        <f>D53*(((E53+MAX(0,E53-H53*6))/2*6+(MAX(0,E53-H53*6)+MAX(0,E53-H53*34.52))/2*31+(MAX(0,E53-H53*34.52)+MAX(0,E53-H53*63.04))/2*31+(MAX(0,E53-H53*63.04)+MAX(0,E53-H53*94.54))/2*30+(MAX(0,E53-H53*94.54)+MAX(0,E53-H53*129.26))/2*31+(MAX(0,E53-H53*129.26)+MAX(0,E53-H53*163.76))/2*30)+((F53+MAX(0,F53-H53*0.9))/2*6+(MAX(0,F53-H53*0.9)+MAX(0,F53-H53*8.03))/2*31+(MAX(0,F53-H53*8.03)+MAX(0,F53-H53*18.012))/2*31+(MAX(0,F53-H53*18.012)+MAX(0,F53-H53*32.187))/2*30+(MAX(0,F53-H53*32.187)+MAX(0,F53-H53*51.283))/2*31+(MAX(0,F53-H53*51.283)+MAX(0,F53-H53*73.708))/2*30))</f>
        <v/>
      </c>
    </row>
    <row r="54">
      <c r="A54" s="2" t="n">
        <v>247275092</v>
      </c>
      <c r="B54" s="2" t="inlineStr">
        <is>
          <t>THE ORDINARY - Glycolic Acid 7% Toning Solution [KOR] [240ml] / Тоник с гликолевой кислотой 7%</t>
        </is>
      </c>
      <c r="C54" s="3" t="n">
        <v>32</v>
      </c>
      <c r="D54" s="4" t="n">
        <v>0.154</v>
      </c>
      <c r="E54" s="3">
        <f>ROUND(C54*0.68961,0)</f>
        <v/>
      </c>
      <c r="F54" s="3">
        <f>C54-E54</f>
        <v/>
      </c>
      <c r="G54" s="5">
        <f>D54*C54*159</f>
        <v/>
      </c>
      <c r="H54" s="5" t="n">
        <v>0.21</v>
      </c>
      <c r="I54" s="3">
        <f>MAX(0,E54-H54*163.76)+MAX(0,F54-H54*73.708)</f>
        <v/>
      </c>
      <c r="J54" s="5">
        <f>D54*(((E54+MAX(0,E54-H54*6))/2*6+(MAX(0,E54-H54*6)+MAX(0,E54-H54*34.52))/2*31+(MAX(0,E54-H54*34.52)+MAX(0,E54-H54*63.04))/2*31+(MAX(0,E54-H54*63.04)+MAX(0,E54-H54*94.54))/2*30+(MAX(0,E54-H54*94.54)+MAX(0,E54-H54*129.26))/2*31+(MAX(0,E54-H54*129.26)+MAX(0,E54-H54*163.76))/2*30)+((F54+MAX(0,F54-H54*0.9))/2*6+(MAX(0,F54-H54*0.9)+MAX(0,F54-H54*8.03))/2*31+(MAX(0,F54-H54*8.03)+MAX(0,F54-H54*18.012))/2*31+(MAX(0,F54-H54*18.012)+MAX(0,F54-H54*32.187))/2*30+(MAX(0,F54-H54*32.187)+MAX(0,F54-H54*51.283))/2*31+(MAX(0,F54-H54*51.283)+MAX(0,F54-H54*73.708))/2*30))</f>
        <v/>
      </c>
    </row>
    <row r="55">
      <c r="A55" s="2" t="n">
        <v>551447345</v>
      </c>
      <c r="B55" s="2" t="inlineStr">
        <is>
          <t>CELIMAX PORE+DARK SPOT BRIGHTENING CREAM [35ml]/Крем для выравнивания тона и рельефа кожи лица</t>
        </is>
      </c>
      <c r="C55" s="3" t="n">
        <v>99</v>
      </c>
      <c r="D55" s="4" t="n">
        <v>0.1588</v>
      </c>
      <c r="E55" s="3">
        <f>ROUND(C55*0.68961,0)</f>
        <v/>
      </c>
      <c r="F55" s="3">
        <f>C55-E55</f>
        <v/>
      </c>
      <c r="G55" s="5">
        <f>D55*C55*159</f>
        <v/>
      </c>
      <c r="H55" s="5" t="n">
        <v>0.17</v>
      </c>
      <c r="I55" s="3">
        <f>MAX(0,E55-H55*163.76)+MAX(0,F55-H55*73.708)</f>
        <v/>
      </c>
      <c r="J55" s="5">
        <f>D55*(((E55+MAX(0,E55-H55*6))/2*6+(MAX(0,E55-H55*6)+MAX(0,E55-H55*34.52))/2*31+(MAX(0,E55-H55*34.52)+MAX(0,E55-H55*63.04))/2*31+(MAX(0,E55-H55*63.04)+MAX(0,E55-H55*94.54))/2*30+(MAX(0,E55-H55*94.54)+MAX(0,E55-H55*129.26))/2*31+(MAX(0,E55-H55*129.26)+MAX(0,E55-H55*163.76))/2*30)+((F55+MAX(0,F55-H55*0.9))/2*6+(MAX(0,F55-H55*0.9)+MAX(0,F55-H55*8.03))/2*31+(MAX(0,F55-H55*8.03)+MAX(0,F55-H55*18.012))/2*31+(MAX(0,F55-H55*18.012)+MAX(0,F55-H55*32.187))/2*30+(MAX(0,F55-H55*32.187)+MAX(0,F55-H55*51.283))/2*31+(MAX(0,F55-H55*51.283)+MAX(0,F55-H55*73.708))/2*30))</f>
        <v/>
      </c>
    </row>
    <row r="56">
      <c r="A56" s="2" t="n">
        <v>551392965</v>
      </c>
      <c r="B56" s="2" t="inlineStr">
        <is>
          <t>CELIMAX DUAL BARRIER SKIN WEARABLE CREAM [50ml]/Крем для восстановления защитного барьера кожи лица</t>
        </is>
      </c>
      <c r="C56" s="3" t="n">
        <v>501</v>
      </c>
      <c r="D56" s="4" t="n">
        <v>0.1647</v>
      </c>
      <c r="E56" s="3">
        <f>ROUND(C56*0.68961,0)</f>
        <v/>
      </c>
      <c r="F56" s="3">
        <f>C56-E56</f>
        <v/>
      </c>
      <c r="G56" s="5">
        <f>D56*C56*159</f>
        <v/>
      </c>
      <c r="H56" s="5" t="n">
        <v>0.19</v>
      </c>
      <c r="I56" s="3">
        <f>MAX(0,E56-H56*163.76)+MAX(0,F56-H56*73.708)</f>
        <v/>
      </c>
      <c r="J56" s="5">
        <f>D56*(((E56+MAX(0,E56-H56*6))/2*6+(MAX(0,E56-H56*6)+MAX(0,E56-H56*34.52))/2*31+(MAX(0,E56-H56*34.52)+MAX(0,E56-H56*63.04))/2*31+(MAX(0,E56-H56*63.04)+MAX(0,E56-H56*94.54))/2*30+(MAX(0,E56-H56*94.54)+MAX(0,E56-H56*129.26))/2*31+(MAX(0,E56-H56*129.26)+MAX(0,E56-H56*163.76))/2*30)+((F56+MAX(0,F56-H56*0.9))/2*6+(MAX(0,F56-H56*0.9)+MAX(0,F56-H56*8.03))/2*31+(MAX(0,F56-H56*8.03)+MAX(0,F56-H56*18.012))/2*31+(MAX(0,F56-H56*18.012)+MAX(0,F56-H56*32.187))/2*30+(MAX(0,F56-H56*32.187)+MAX(0,F56-H56*51.283))/2*31+(MAX(0,F56-H56*51.283)+MAX(0,F56-H56*73.708))/2*30))</f>
        <v/>
      </c>
    </row>
    <row r="57">
      <c r="A57" s="2" t="n">
        <v>551472457</v>
      </c>
      <c r="B57" s="2" t="inlineStr">
        <is>
          <t>CELIMAX THE REAL NONI ENERGY AMPOULE_30ML (NEW) [30ml]/Восстанавливающая сыворотка с экстрактом нони для лица</t>
        </is>
      </c>
      <c r="C57" s="3" t="n">
        <v>84</v>
      </c>
      <c r="D57" s="4" t="n">
        <v>0.1587</v>
      </c>
      <c r="E57" s="3">
        <f>ROUND(C57*0.68961,0)</f>
        <v/>
      </c>
      <c r="F57" s="3">
        <f>C57-E57</f>
        <v/>
      </c>
      <c r="G57" s="5">
        <f>D57*C57*159</f>
        <v/>
      </c>
      <c r="H57" s="5" t="n">
        <v>0.34</v>
      </c>
      <c r="I57" s="3">
        <f>MAX(0,E57-H57*163.76)+MAX(0,F57-H57*73.708)</f>
        <v/>
      </c>
      <c r="J57" s="5">
        <f>D57*(((E57+MAX(0,E57-H57*6))/2*6+(MAX(0,E57-H57*6)+MAX(0,E57-H57*34.52))/2*31+(MAX(0,E57-H57*34.52)+MAX(0,E57-H57*63.04))/2*31+(MAX(0,E57-H57*63.04)+MAX(0,E57-H57*94.54))/2*30+(MAX(0,E57-H57*94.54)+MAX(0,E57-H57*129.26))/2*31+(MAX(0,E57-H57*129.26)+MAX(0,E57-H57*163.76))/2*30)+((F57+MAX(0,F57-H57*0.9))/2*6+(MAX(0,F57-H57*0.9)+MAX(0,F57-H57*8.03))/2*31+(MAX(0,F57-H57*8.03)+MAX(0,F57-H57*18.012))/2*31+(MAX(0,F57-H57*18.012)+MAX(0,F57-H57*32.187))/2*30+(MAX(0,F57-H57*32.187)+MAX(0,F57-H57*51.283))/2*31+(MAX(0,F57-H57*51.283)+MAX(0,F57-H57*73.708))/2*30))</f>
        <v/>
      </c>
    </row>
    <row r="58">
      <c r="A58" s="2" t="n">
        <v>551482493</v>
      </c>
      <c r="B58" s="2" t="inlineStr">
        <is>
          <t>CELIMAX PORE+DARK SPOT BRIGHTENING SERUM_30ml [30ml]/Сыворотка для выравнивания тона и рельефа кожи лица</t>
        </is>
      </c>
      <c r="C58" s="3" t="n">
        <v>124</v>
      </c>
      <c r="D58" s="4" t="n">
        <v>0.1619</v>
      </c>
      <c r="E58" s="3">
        <f>ROUND(C58*0.68961,0)</f>
        <v/>
      </c>
      <c r="F58" s="3">
        <f>C58-E58</f>
        <v/>
      </c>
      <c r="G58" s="5">
        <f>D58*C58*159</f>
        <v/>
      </c>
      <c r="H58" s="5" t="n">
        <v>0.19</v>
      </c>
      <c r="I58" s="3">
        <f>MAX(0,E58-H58*163.76)+MAX(0,F58-H58*73.708)</f>
        <v/>
      </c>
      <c r="J58" s="5">
        <f>D58*(((E58+MAX(0,E58-H58*6))/2*6+(MAX(0,E58-H58*6)+MAX(0,E58-H58*34.52))/2*31+(MAX(0,E58-H58*34.52)+MAX(0,E58-H58*63.04))/2*31+(MAX(0,E58-H58*63.04)+MAX(0,E58-H58*94.54))/2*30+(MAX(0,E58-H58*94.54)+MAX(0,E58-H58*129.26))/2*31+(MAX(0,E58-H58*129.26)+MAX(0,E58-H58*163.76))/2*30)+((F58+MAX(0,F58-H58*0.9))/2*6+(MAX(0,F58-H58*0.9)+MAX(0,F58-H58*8.03))/2*31+(MAX(0,F58-H58*8.03)+MAX(0,F58-H58*18.012))/2*31+(MAX(0,F58-H58*18.012)+MAX(0,F58-H58*32.187))/2*30+(MAX(0,F58-H58*32.187)+MAX(0,F58-H58*51.283))/2*31+(MAX(0,F58-H58*51.283)+MAX(0,F58-H58*73.708))/2*30))</f>
        <v/>
      </c>
    </row>
    <row r="59">
      <c r="A59" s="2" t="n">
        <v>551518955</v>
      </c>
      <c r="B59" s="2" t="inlineStr">
        <is>
          <t>CELIMAX THE REAL NONI MOISTURE BALANCING TONER (NEW) [150ml]/Восстанавливающий тонер с экстрактом нони</t>
        </is>
      </c>
      <c r="C59" s="3" t="n">
        <v>194</v>
      </c>
      <c r="D59" s="4" t="n">
        <v>0.1503</v>
      </c>
      <c r="E59" s="3">
        <f>ROUND(C59*0.68961,0)</f>
        <v/>
      </c>
      <c r="F59" s="3">
        <f>C59-E59</f>
        <v/>
      </c>
      <c r="G59" s="5">
        <f>D59*C59*159</f>
        <v/>
      </c>
      <c r="H59" s="5" t="n">
        <v>0.09</v>
      </c>
      <c r="I59" s="3">
        <f>MAX(0,E59-H59*163.76)+MAX(0,F59-H59*73.708)</f>
        <v/>
      </c>
      <c r="J59" s="5">
        <f>D59*(((E59+MAX(0,E59-H59*6))/2*6+(MAX(0,E59-H59*6)+MAX(0,E59-H59*34.52))/2*31+(MAX(0,E59-H59*34.52)+MAX(0,E59-H59*63.04))/2*31+(MAX(0,E59-H59*63.04)+MAX(0,E59-H59*94.54))/2*30+(MAX(0,E59-H59*94.54)+MAX(0,E59-H59*129.26))/2*31+(MAX(0,E59-H59*129.26)+MAX(0,E59-H59*163.76))/2*30)+((F59+MAX(0,F59-H59*0.9))/2*6+(MAX(0,F59-H59*0.9)+MAX(0,F59-H59*8.03))/2*31+(MAX(0,F59-H59*8.03)+MAX(0,F59-H59*18.012))/2*31+(MAX(0,F59-H59*18.012)+MAX(0,F59-H59*32.187))/2*30+(MAX(0,F59-H59*32.187)+MAX(0,F59-H59*51.283))/2*31+(MAX(0,F59-H59*51.283)+MAX(0,F59-H59*73.708))/2*30))</f>
        <v/>
      </c>
    </row>
    <row r="60">
      <c r="B60" s="6" t="inlineStr">
        <is>
          <t>ИТОГО</t>
        </is>
      </c>
      <c r="C60" s="7">
        <f>SUM(C2:C59)</f>
        <v/>
      </c>
      <c r="E60" s="8">
        <f>SUM(E2:E59)</f>
        <v/>
      </c>
      <c r="F60" s="9">
        <f>SUM(F2:F59)</f>
        <v/>
      </c>
      <c r="G60" s="10">
        <f>SUM(G2:G59)</f>
        <v/>
      </c>
      <c r="I60" s="7">
        <f>SUM(I2:I59)</f>
        <v/>
      </c>
      <c r="J60" s="11">
        <f>SUM(J2:J59)</f>
        <v/>
      </c>
    </row>
    <row r="62">
      <c r="B62" s="12" t="inlineStr">
        <is>
          <t>Весь остаток без ЧЗ распределён: Коротич=остаток×69% (E), Крона=остаток−Коротич (F). I и J — продажи ОБОИХ магазинов (Коротич полный сезонный темп, Крона с раскруткой), посчитаны одной формулой без доп. столбцов.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2026-06-25T10:56:49Z</dcterms:created>
  <dcterms:modified xsi:type="dcterms:W3CDTF">2026-06-25T10:56:49Z</dcterms:modified>
</cp:coreProperties>
</file>
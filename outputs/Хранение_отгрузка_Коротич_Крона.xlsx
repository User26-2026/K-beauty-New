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Хранение до конца ноября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8"/>
    </font>
    <font>
      <b val="1"/>
    </font>
    <font>
      <i val="1"/>
      <color rgb="00808080"/>
      <sz val="9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9DA9C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4" fontId="0" fillId="0" borderId="1" pivotButton="0" quotePrefix="0" xfId="0"/>
    <xf numFmtId="0" fontId="3" fillId="0" borderId="0" pivotButton="0" quotePrefix="0" xfId="0"/>
    <xf numFmtId="3" fontId="3" fillId="4" borderId="0" pivotButton="0" quotePrefix="0" xfId="0"/>
    <xf numFmtId="3" fontId="3" fillId="5" borderId="0" pivotButton="0" quotePrefix="0" xfId="0"/>
    <xf numFmtId="3" fontId="3" fillId="6" borderId="0" pivotButton="0" quotePrefix="0" xfId="0"/>
    <xf numFmtId="4" fontId="3" fillId="7" borderId="0" pivotButton="0" quotePrefix="0" xfId="0"/>
    <xf numFmtId="4" fontId="3" fillId="8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8" customWidth="1" min="2" max="2"/>
    <col width="14" customWidth="1" min="3" max="3"/>
    <col width="15" customWidth="1" min="4" max="4"/>
    <col width="18" customWidth="1" min="5" max="5"/>
    <col width="18" customWidth="1" min="6" max="6"/>
    <col width="20" customWidth="1" min="7" max="7"/>
    <col width="14" customWidth="1" min="8" max="8"/>
    <col width="18" customWidth="1" min="9" max="9"/>
    <col width="24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>
      <c r="A1" s="1" t="inlineStr">
        <is>
          <t>Артикул ВБ</t>
        </is>
      </c>
      <c r="B1" s="1" t="inlineStr">
        <is>
          <t>Наименование</t>
        </is>
      </c>
      <c r="C1" s="1" t="inlineStr">
        <is>
          <t>Остаток без ЧЗ, шт</t>
        </is>
      </c>
      <c r="D1" s="1" t="inlineStr">
        <is>
          <t>Хранение в день за ед., руб</t>
        </is>
      </c>
      <c r="E1" s="1" t="inlineStr">
        <is>
          <t>Отгрузка на Коротич (весь остаток), шт</t>
        </is>
      </c>
      <c r="F1" s="1" t="inlineStr">
        <is>
          <t>Отгрузка на Крона (весь остаток), шт</t>
        </is>
      </c>
      <c r="G1" s="1" t="inlineStr">
        <is>
          <t>Хранение до конца ноября всего (без продаж), руб</t>
        </is>
      </c>
      <c r="H1" s="1" t="inlineStr">
        <is>
          <t>Выкуп/день, шт (100 дн)</t>
        </is>
      </c>
      <c r="I1" s="1" t="inlineStr">
        <is>
          <t>Прогноз остатка к 30.11 (продают 2 магазина), шт</t>
        </is>
      </c>
      <c r="J1" s="1" t="inlineStr">
        <is>
          <t>Хранение до конца ноября с продажами и сезонностью (2 магазина), руб</t>
        </is>
      </c>
      <c r="L1" s="2" t="inlineStr">
        <is>
          <t>Коротич июнь</t>
        </is>
      </c>
      <c r="M1" s="2" t="inlineStr">
        <is>
          <t>Крона июнь</t>
        </is>
      </c>
      <c r="N1" s="2" t="inlineStr">
        <is>
          <t>хран.июнь</t>
        </is>
      </c>
      <c r="O1" s="2" t="inlineStr">
        <is>
          <t>Коротич июль</t>
        </is>
      </c>
      <c r="P1" s="2" t="inlineStr">
        <is>
          <t>Крона июль</t>
        </is>
      </c>
      <c r="Q1" s="2" t="inlineStr">
        <is>
          <t>хран.июль</t>
        </is>
      </c>
      <c r="R1" s="2" t="inlineStr">
        <is>
          <t>Коротич авг</t>
        </is>
      </c>
      <c r="S1" s="2" t="inlineStr">
        <is>
          <t>Крона авг</t>
        </is>
      </c>
      <c r="T1" s="2" t="inlineStr">
        <is>
          <t>хран.авг</t>
        </is>
      </c>
      <c r="U1" s="2" t="inlineStr">
        <is>
          <t>Коротич сен</t>
        </is>
      </c>
      <c r="V1" s="2" t="inlineStr">
        <is>
          <t>Крона сен</t>
        </is>
      </c>
      <c r="W1" s="2" t="inlineStr">
        <is>
          <t>хран.сен</t>
        </is>
      </c>
      <c r="X1" s="2" t="inlineStr">
        <is>
          <t>Коротич окт</t>
        </is>
      </c>
      <c r="Y1" s="2" t="inlineStr">
        <is>
          <t>Крона окт</t>
        </is>
      </c>
      <c r="Z1" s="2" t="inlineStr">
        <is>
          <t>хран.окт</t>
        </is>
      </c>
      <c r="AA1" s="2" t="inlineStr">
        <is>
          <t>Коротич ноя</t>
        </is>
      </c>
      <c r="AB1" s="2" t="inlineStr">
        <is>
          <t>Крона ноя</t>
        </is>
      </c>
      <c r="AC1" s="2" t="inlineStr">
        <is>
          <t>хран.ноя</t>
        </is>
      </c>
      <c r="AD1" s="2" t="inlineStr">
        <is>
          <t>Хранение всего</t>
        </is>
      </c>
      <c r="AE1" s="2" t="inlineStr">
        <is>
          <t>Остаток 30.11</t>
        </is>
      </c>
    </row>
    <row r="2">
      <c r="A2" s="3" t="n">
        <v>204258828</v>
      </c>
      <c r="B2" s="3" t="inlineStr">
        <is>
          <t>COSRX - Salicylic Acid Daily Gentle Cleanser [150ml] / Пенка с салициловой кислотой для проблемной кожи</t>
        </is>
      </c>
      <c r="C2" s="4" t="n">
        <v>556</v>
      </c>
      <c r="D2" s="5" t="n">
        <v>0.1612</v>
      </c>
      <c r="E2" s="4">
        <f>ROUND(C2*0.68961,0)</f>
        <v/>
      </c>
      <c r="F2" s="4">
        <f>C2-E2</f>
        <v/>
      </c>
      <c r="G2" s="6">
        <f>D2*C2*159</f>
        <v/>
      </c>
      <c r="H2" s="6" t="n">
        <v>1.46</v>
      </c>
      <c r="I2" s="4">
        <f>AE2</f>
        <v/>
      </c>
      <c r="J2" s="6">
        <f>AD2</f>
        <v/>
      </c>
      <c r="L2">
        <f>MAX(0,E2-H2*1.0*6)</f>
        <v/>
      </c>
      <c r="M2">
        <f>MAX(0,F2-H2*1.0*0.15*6)</f>
        <v/>
      </c>
      <c r="N2">
        <f>D2*((E2+L2)/2+(F2+M2)/2)*6</f>
        <v/>
      </c>
      <c r="O2">
        <f>MAX(0,L2-H2*0.92*31)</f>
        <v/>
      </c>
      <c r="P2">
        <f>MAX(0,M2-H2*0.92*0.25*31)</f>
        <v/>
      </c>
      <c r="Q2">
        <f>D2*((L2+O2)/2+(M2+P2)/2)*31</f>
        <v/>
      </c>
      <c r="R2">
        <f>MAX(0,O2-H2*0.92*31)</f>
        <v/>
      </c>
      <c r="S2">
        <f>MAX(0,P2-H2*0.92*0.35*31)</f>
        <v/>
      </c>
      <c r="T2">
        <f>D2*((O2+R2)/2+(P2+S2)/2)*31</f>
        <v/>
      </c>
      <c r="U2">
        <f>MAX(0,R2-H2*1.05*30)</f>
        <v/>
      </c>
      <c r="V2">
        <f>MAX(0,S2-H2*1.05*0.45*30)</f>
        <v/>
      </c>
      <c r="W2">
        <f>D2*((R2+U2)/2+(S2+V2)/2)*30</f>
        <v/>
      </c>
      <c r="X2">
        <f>MAX(0,U2-H2*1.12*31)</f>
        <v/>
      </c>
      <c r="Y2">
        <f>MAX(0,V2-H2*1.12*0.55*31)</f>
        <v/>
      </c>
      <c r="Z2">
        <f>D2*((U2+X2)/2+(V2+Y2)/2)*31</f>
        <v/>
      </c>
      <c r="AA2">
        <f>MAX(0,X2-H2*1.15*30)</f>
        <v/>
      </c>
      <c r="AB2">
        <f>MAX(0,Y2-H2*1.15*0.65*30)</f>
        <v/>
      </c>
      <c r="AC2">
        <f>D2*((X2+AA2)/2+(Y2+AB2)/2)*30</f>
        <v/>
      </c>
      <c r="AD2">
        <f>N2+Q2+T2+W2+Z2+AC2</f>
        <v/>
      </c>
      <c r="AE2">
        <f>AA2+AB2</f>
        <v/>
      </c>
    </row>
    <row r="3">
      <c r="A3" s="3" t="n">
        <v>214304883</v>
      </c>
      <c r="B3" s="3" t="inlineStr">
        <is>
          <t>DEOPROCE - SNAIL RECOVERY CREAM [100g] / Крем восстанавливающий с муцином улитки</t>
        </is>
      </c>
      <c r="C3" s="4" t="n">
        <v>73</v>
      </c>
      <c r="D3" s="5" t="n">
        <v>0.1595</v>
      </c>
      <c r="E3" s="4">
        <f>ROUND(C3*0.68961,0)</f>
        <v/>
      </c>
      <c r="F3" s="4">
        <f>C3-E3</f>
        <v/>
      </c>
      <c r="G3" s="6">
        <f>D3*C3*159</f>
        <v/>
      </c>
      <c r="H3" s="6" t="n">
        <v>0.77</v>
      </c>
      <c r="I3" s="4">
        <f>AE3</f>
        <v/>
      </c>
      <c r="J3" s="6">
        <f>AD3</f>
        <v/>
      </c>
      <c r="L3">
        <f>MAX(0,E3-H3*1.0*6)</f>
        <v/>
      </c>
      <c r="M3">
        <f>MAX(0,F3-H3*1.0*0.15*6)</f>
        <v/>
      </c>
      <c r="N3">
        <f>D3*((E3+L3)/2+(F3+M3)/2)*6</f>
        <v/>
      </c>
      <c r="O3">
        <f>MAX(0,L3-H3*0.92*31)</f>
        <v/>
      </c>
      <c r="P3">
        <f>MAX(0,M3-H3*0.92*0.25*31)</f>
        <v/>
      </c>
      <c r="Q3">
        <f>D3*((L3+O3)/2+(M3+P3)/2)*31</f>
        <v/>
      </c>
      <c r="R3">
        <f>MAX(0,O3-H3*0.92*31)</f>
        <v/>
      </c>
      <c r="S3">
        <f>MAX(0,P3-H3*0.92*0.35*31)</f>
        <v/>
      </c>
      <c r="T3">
        <f>D3*((O3+R3)/2+(P3+S3)/2)*31</f>
        <v/>
      </c>
      <c r="U3">
        <f>MAX(0,R3-H3*1.05*30)</f>
        <v/>
      </c>
      <c r="V3">
        <f>MAX(0,S3-H3*1.05*0.45*30)</f>
        <v/>
      </c>
      <c r="W3">
        <f>D3*((R3+U3)/2+(S3+V3)/2)*30</f>
        <v/>
      </c>
      <c r="X3">
        <f>MAX(0,U3-H3*1.12*31)</f>
        <v/>
      </c>
      <c r="Y3">
        <f>MAX(0,V3-H3*1.12*0.55*31)</f>
        <v/>
      </c>
      <c r="Z3">
        <f>D3*((U3+X3)/2+(V3+Y3)/2)*31</f>
        <v/>
      </c>
      <c r="AA3">
        <f>MAX(0,X3-H3*1.15*30)</f>
        <v/>
      </c>
      <c r="AB3">
        <f>MAX(0,Y3-H3*1.15*0.65*30)</f>
        <v/>
      </c>
      <c r="AC3">
        <f>D3*((X3+AA3)/2+(Y3+AB3)/2)*30</f>
        <v/>
      </c>
      <c r="AD3">
        <f>N3+Q3+T3+W3+Z3+AC3</f>
        <v/>
      </c>
      <c r="AE3">
        <f>AA3+AB3</f>
        <v/>
      </c>
    </row>
    <row r="4">
      <c r="A4" s="3" t="n">
        <v>608837066</v>
      </c>
      <c r="B4" s="3" t="inlineStr">
        <is>
          <t>DEOPROCE SHAMPOO - BLACK GARLIC INTENSME ENERGY [600ml] мягкая упаковка Шампунь с черным чесноком против выпадения волос</t>
        </is>
      </c>
      <c r="C4" s="4" t="n">
        <v>125</v>
      </c>
      <c r="D4" s="5" t="n">
        <v>0.4148</v>
      </c>
      <c r="E4" s="4">
        <f>ROUND(C4*0.68961,0)</f>
        <v/>
      </c>
      <c r="F4" s="4">
        <f>C4-E4</f>
        <v/>
      </c>
      <c r="G4" s="6">
        <f>D4*C4*159</f>
        <v/>
      </c>
      <c r="H4" s="6" t="n">
        <v>1.35</v>
      </c>
      <c r="I4" s="4">
        <f>AE4</f>
        <v/>
      </c>
      <c r="J4" s="6">
        <f>AD4</f>
        <v/>
      </c>
      <c r="L4">
        <f>MAX(0,E4-H4*1.0*6)</f>
        <v/>
      </c>
      <c r="M4">
        <f>MAX(0,F4-H4*1.0*0.15*6)</f>
        <v/>
      </c>
      <c r="N4">
        <f>D4*((E4+L4)/2+(F4+M4)/2)*6</f>
        <v/>
      </c>
      <c r="O4">
        <f>MAX(0,L4-H4*0.92*31)</f>
        <v/>
      </c>
      <c r="P4">
        <f>MAX(0,M4-H4*0.92*0.25*31)</f>
        <v/>
      </c>
      <c r="Q4">
        <f>D4*((L4+O4)/2+(M4+P4)/2)*31</f>
        <v/>
      </c>
      <c r="R4">
        <f>MAX(0,O4-H4*0.92*31)</f>
        <v/>
      </c>
      <c r="S4">
        <f>MAX(0,P4-H4*0.92*0.35*31)</f>
        <v/>
      </c>
      <c r="T4">
        <f>D4*((O4+R4)/2+(P4+S4)/2)*31</f>
        <v/>
      </c>
      <c r="U4">
        <f>MAX(0,R4-H4*1.05*30)</f>
        <v/>
      </c>
      <c r="V4">
        <f>MAX(0,S4-H4*1.05*0.45*30)</f>
        <v/>
      </c>
      <c r="W4">
        <f>D4*((R4+U4)/2+(S4+V4)/2)*30</f>
        <v/>
      </c>
      <c r="X4">
        <f>MAX(0,U4-H4*1.12*31)</f>
        <v/>
      </c>
      <c r="Y4">
        <f>MAX(0,V4-H4*1.12*0.55*31)</f>
        <v/>
      </c>
      <c r="Z4">
        <f>D4*((U4+X4)/2+(V4+Y4)/2)*31</f>
        <v/>
      </c>
      <c r="AA4">
        <f>MAX(0,X4-H4*1.15*30)</f>
        <v/>
      </c>
      <c r="AB4">
        <f>MAX(0,Y4-H4*1.15*0.65*30)</f>
        <v/>
      </c>
      <c r="AC4">
        <f>D4*((X4+AA4)/2+(Y4+AB4)/2)*30</f>
        <v/>
      </c>
      <c r="AD4">
        <f>N4+Q4+T4+W4+Z4+AC4</f>
        <v/>
      </c>
      <c r="AE4">
        <f>AA4+AB4</f>
        <v/>
      </c>
    </row>
    <row r="5">
      <c r="A5" s="3" t="n">
        <v>608624295</v>
      </c>
      <c r="B5" s="3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C5" s="4" t="n">
        <v>144</v>
      </c>
      <c r="D5" s="5" t="n">
        <v>0.2808</v>
      </c>
      <c r="E5" s="4">
        <f>ROUND(C5*0.68961,0)</f>
        <v/>
      </c>
      <c r="F5" s="4">
        <f>C5-E5</f>
        <v/>
      </c>
      <c r="G5" s="6">
        <f>D5*C5*159</f>
        <v/>
      </c>
      <c r="H5" s="6" t="n">
        <v>1.11</v>
      </c>
      <c r="I5" s="4">
        <f>AE5</f>
        <v/>
      </c>
      <c r="J5" s="6">
        <f>AD5</f>
        <v/>
      </c>
      <c r="L5">
        <f>MAX(0,E5-H5*1.0*6)</f>
        <v/>
      </c>
      <c r="M5">
        <f>MAX(0,F5-H5*1.0*0.15*6)</f>
        <v/>
      </c>
      <c r="N5">
        <f>D5*((E5+L5)/2+(F5+M5)/2)*6</f>
        <v/>
      </c>
      <c r="O5">
        <f>MAX(0,L5-H5*0.92*31)</f>
        <v/>
      </c>
      <c r="P5">
        <f>MAX(0,M5-H5*0.92*0.25*31)</f>
        <v/>
      </c>
      <c r="Q5">
        <f>D5*((L5+O5)/2+(M5+P5)/2)*31</f>
        <v/>
      </c>
      <c r="R5">
        <f>MAX(0,O5-H5*0.92*31)</f>
        <v/>
      </c>
      <c r="S5">
        <f>MAX(0,P5-H5*0.92*0.35*31)</f>
        <v/>
      </c>
      <c r="T5">
        <f>D5*((O5+R5)/2+(P5+S5)/2)*31</f>
        <v/>
      </c>
      <c r="U5">
        <f>MAX(0,R5-H5*1.05*30)</f>
        <v/>
      </c>
      <c r="V5">
        <f>MAX(0,S5-H5*1.05*0.45*30)</f>
        <v/>
      </c>
      <c r="W5">
        <f>D5*((R5+U5)/2+(S5+V5)/2)*30</f>
        <v/>
      </c>
      <c r="X5">
        <f>MAX(0,U5-H5*1.12*31)</f>
        <v/>
      </c>
      <c r="Y5">
        <f>MAX(0,V5-H5*1.12*0.55*31)</f>
        <v/>
      </c>
      <c r="Z5">
        <f>D5*((U5+X5)/2+(V5+Y5)/2)*31</f>
        <v/>
      </c>
      <c r="AA5">
        <f>MAX(0,X5-H5*1.15*30)</f>
        <v/>
      </c>
      <c r="AB5">
        <f>MAX(0,Y5-H5*1.15*0.65*30)</f>
        <v/>
      </c>
      <c r="AC5">
        <f>D5*((X5+AA5)/2+(Y5+AB5)/2)*30</f>
        <v/>
      </c>
      <c r="AD5">
        <f>N5+Q5+T5+W5+Z5+AC5</f>
        <v/>
      </c>
      <c r="AE5">
        <f>AA5+AB5</f>
        <v/>
      </c>
    </row>
    <row r="6">
      <c r="A6" s="3" t="n">
        <v>608841921</v>
      </c>
      <c r="B6" s="3" t="inlineStr">
        <is>
          <t>DEOPROCE SHAMPOO - BLACK GARLIC INTENSME ENERGY [200ml]/ Шампунь с черным чесноком против выпадения волос</t>
        </is>
      </c>
      <c r="C6" s="4" t="n">
        <v>550</v>
      </c>
      <c r="D6" s="5" t="n">
        <v>0.1588</v>
      </c>
      <c r="E6" s="4">
        <f>ROUND(C6*0.68961,0)</f>
        <v/>
      </c>
      <c r="F6" s="4">
        <f>C6-E6</f>
        <v/>
      </c>
      <c r="G6" s="6">
        <f>D6*C6*159</f>
        <v/>
      </c>
      <c r="H6" s="6" t="n">
        <v>1.94</v>
      </c>
      <c r="I6" s="4">
        <f>AE6</f>
        <v/>
      </c>
      <c r="J6" s="6">
        <f>AD6</f>
        <v/>
      </c>
      <c r="L6">
        <f>MAX(0,E6-H6*1.0*6)</f>
        <v/>
      </c>
      <c r="M6">
        <f>MAX(0,F6-H6*1.0*0.15*6)</f>
        <v/>
      </c>
      <c r="N6">
        <f>D6*((E6+L6)/2+(F6+M6)/2)*6</f>
        <v/>
      </c>
      <c r="O6">
        <f>MAX(0,L6-H6*0.92*31)</f>
        <v/>
      </c>
      <c r="P6">
        <f>MAX(0,M6-H6*0.92*0.25*31)</f>
        <v/>
      </c>
      <c r="Q6">
        <f>D6*((L6+O6)/2+(M6+P6)/2)*31</f>
        <v/>
      </c>
      <c r="R6">
        <f>MAX(0,O6-H6*0.92*31)</f>
        <v/>
      </c>
      <c r="S6">
        <f>MAX(0,P6-H6*0.92*0.35*31)</f>
        <v/>
      </c>
      <c r="T6">
        <f>D6*((O6+R6)/2+(P6+S6)/2)*31</f>
        <v/>
      </c>
      <c r="U6">
        <f>MAX(0,R6-H6*1.05*30)</f>
        <v/>
      </c>
      <c r="V6">
        <f>MAX(0,S6-H6*1.05*0.45*30)</f>
        <v/>
      </c>
      <c r="W6">
        <f>D6*((R6+U6)/2+(S6+V6)/2)*30</f>
        <v/>
      </c>
      <c r="X6">
        <f>MAX(0,U6-H6*1.12*31)</f>
        <v/>
      </c>
      <c r="Y6">
        <f>MAX(0,V6-H6*1.12*0.55*31)</f>
        <v/>
      </c>
      <c r="Z6">
        <f>D6*((U6+X6)/2+(V6+Y6)/2)*31</f>
        <v/>
      </c>
      <c r="AA6">
        <f>MAX(0,X6-H6*1.15*30)</f>
        <v/>
      </c>
      <c r="AB6">
        <f>MAX(0,Y6-H6*1.15*0.65*30)</f>
        <v/>
      </c>
      <c r="AC6">
        <f>D6*((X6+AA6)/2+(Y6+AB6)/2)*30</f>
        <v/>
      </c>
      <c r="AD6">
        <f>N6+Q6+T6+W6+Z6+AC6</f>
        <v/>
      </c>
      <c r="AE6">
        <f>AA6+AB6</f>
        <v/>
      </c>
    </row>
    <row r="7">
      <c r="A7" s="3" t="n">
        <v>214305722</v>
      </c>
      <c r="B7" s="3" t="inlineStr">
        <is>
          <t>DEOPROCE SHAMPOO+BALSAM - BLACK GARLIC[2000ml]</t>
        </is>
      </c>
      <c r="C7" s="4" t="n">
        <v>610</v>
      </c>
      <c r="D7" s="5" t="n">
        <v>0.9546</v>
      </c>
      <c r="E7" s="4">
        <f>ROUND(C7*0.68961,0)</f>
        <v/>
      </c>
      <c r="F7" s="4">
        <f>C7-E7</f>
        <v/>
      </c>
      <c r="G7" s="6">
        <f>D7*C7*159</f>
        <v/>
      </c>
      <c r="H7" s="6" t="n">
        <v>3.54</v>
      </c>
      <c r="I7" s="4">
        <f>AE7</f>
        <v/>
      </c>
      <c r="J7" s="6">
        <f>AD7</f>
        <v/>
      </c>
      <c r="L7">
        <f>MAX(0,E7-H7*1.0*6)</f>
        <v/>
      </c>
      <c r="M7">
        <f>MAX(0,F7-H7*1.0*0.15*6)</f>
        <v/>
      </c>
      <c r="N7">
        <f>D7*((E7+L7)/2+(F7+M7)/2)*6</f>
        <v/>
      </c>
      <c r="O7">
        <f>MAX(0,L7-H7*0.92*31)</f>
        <v/>
      </c>
      <c r="P7">
        <f>MAX(0,M7-H7*0.92*0.25*31)</f>
        <v/>
      </c>
      <c r="Q7">
        <f>D7*((L7+O7)/2+(M7+P7)/2)*31</f>
        <v/>
      </c>
      <c r="R7">
        <f>MAX(0,O7-H7*0.92*31)</f>
        <v/>
      </c>
      <c r="S7">
        <f>MAX(0,P7-H7*0.92*0.35*31)</f>
        <v/>
      </c>
      <c r="T7">
        <f>D7*((O7+R7)/2+(P7+S7)/2)*31</f>
        <v/>
      </c>
      <c r="U7">
        <f>MAX(0,R7-H7*1.05*30)</f>
        <v/>
      </c>
      <c r="V7">
        <f>MAX(0,S7-H7*1.05*0.45*30)</f>
        <v/>
      </c>
      <c r="W7">
        <f>D7*((R7+U7)/2+(S7+V7)/2)*30</f>
        <v/>
      </c>
      <c r="X7">
        <f>MAX(0,U7-H7*1.12*31)</f>
        <v/>
      </c>
      <c r="Y7">
        <f>MAX(0,V7-H7*1.12*0.55*31)</f>
        <v/>
      </c>
      <c r="Z7">
        <f>D7*((U7+X7)/2+(V7+Y7)/2)*31</f>
        <v/>
      </c>
      <c r="AA7">
        <f>MAX(0,X7-H7*1.15*30)</f>
        <v/>
      </c>
      <c r="AB7">
        <f>MAX(0,Y7-H7*1.15*0.65*30)</f>
        <v/>
      </c>
      <c r="AC7">
        <f>D7*((X7+AA7)/2+(Y7+AB7)/2)*30</f>
        <v/>
      </c>
      <c r="AD7">
        <f>N7+Q7+T7+W7+Z7+AC7</f>
        <v/>
      </c>
      <c r="AE7">
        <f>AA7+AB7</f>
        <v/>
      </c>
    </row>
    <row r="8">
      <c r="A8" s="3" t="n">
        <v>208202076</v>
      </c>
      <c r="B8" s="3" t="inlineStr">
        <is>
          <t>EKEL - Ampule Сream Сollagen [70ml] / Крем для лица ампульный с коллагеном</t>
        </is>
      </c>
      <c r="C8" s="4" t="n">
        <v>186</v>
      </c>
      <c r="D8" s="5" t="n">
        <v>0.1485</v>
      </c>
      <c r="E8" s="4">
        <f>ROUND(C8*0.68961,0)</f>
        <v/>
      </c>
      <c r="F8" s="4">
        <f>C8-E8</f>
        <v/>
      </c>
      <c r="G8" s="6">
        <f>D8*C8*159</f>
        <v/>
      </c>
      <c r="H8" s="6" t="n">
        <v>2.9</v>
      </c>
      <c r="I8" s="4">
        <f>AE8</f>
        <v/>
      </c>
      <c r="J8" s="6">
        <f>AD8</f>
        <v/>
      </c>
      <c r="L8">
        <f>MAX(0,E8-H8*1.0*6)</f>
        <v/>
      </c>
      <c r="M8">
        <f>MAX(0,F8-H8*1.0*0.15*6)</f>
        <v/>
      </c>
      <c r="N8">
        <f>D8*((E8+L8)/2+(F8+M8)/2)*6</f>
        <v/>
      </c>
      <c r="O8">
        <f>MAX(0,L8-H8*0.92*31)</f>
        <v/>
      </c>
      <c r="P8">
        <f>MAX(0,M8-H8*0.92*0.25*31)</f>
        <v/>
      </c>
      <c r="Q8">
        <f>D8*((L8+O8)/2+(M8+P8)/2)*31</f>
        <v/>
      </c>
      <c r="R8">
        <f>MAX(0,O8-H8*0.92*31)</f>
        <v/>
      </c>
      <c r="S8">
        <f>MAX(0,P8-H8*0.92*0.35*31)</f>
        <v/>
      </c>
      <c r="T8">
        <f>D8*((O8+R8)/2+(P8+S8)/2)*31</f>
        <v/>
      </c>
      <c r="U8">
        <f>MAX(0,R8-H8*1.05*30)</f>
        <v/>
      </c>
      <c r="V8">
        <f>MAX(0,S8-H8*1.05*0.45*30)</f>
        <v/>
      </c>
      <c r="W8">
        <f>D8*((R8+U8)/2+(S8+V8)/2)*30</f>
        <v/>
      </c>
      <c r="X8">
        <f>MAX(0,U8-H8*1.12*31)</f>
        <v/>
      </c>
      <c r="Y8">
        <f>MAX(0,V8-H8*1.12*0.55*31)</f>
        <v/>
      </c>
      <c r="Z8">
        <f>D8*((U8+X8)/2+(V8+Y8)/2)*31</f>
        <v/>
      </c>
      <c r="AA8">
        <f>MAX(0,X8-H8*1.15*30)</f>
        <v/>
      </c>
      <c r="AB8">
        <f>MAX(0,Y8-H8*1.15*0.65*30)</f>
        <v/>
      </c>
      <c r="AC8">
        <f>D8*((X8+AA8)/2+(Y8+AB8)/2)*30</f>
        <v/>
      </c>
      <c r="AD8">
        <f>N8+Q8+T8+W8+Z8+AC8</f>
        <v/>
      </c>
      <c r="AE8">
        <f>AA8+AB8</f>
        <v/>
      </c>
    </row>
    <row r="9">
      <c r="A9" s="3" t="n">
        <v>207796563</v>
      </c>
      <c r="B9" s="3" t="inlineStr">
        <is>
          <t>ELIZAVECCA - Aqua Hyaluronic Acid Water Drop Cream / Увлажняющий крем для лица с гиалуроновой кислотой</t>
        </is>
      </c>
      <c r="C9" s="4" t="n">
        <v>100</v>
      </c>
      <c r="D9" s="5" t="n">
        <v>0.1653</v>
      </c>
      <c r="E9" s="4">
        <f>ROUND(C9*0.68961,0)</f>
        <v/>
      </c>
      <c r="F9" s="4">
        <f>C9-E9</f>
        <v/>
      </c>
      <c r="G9" s="6">
        <f>D9*C9*159</f>
        <v/>
      </c>
      <c r="H9" s="6" t="n">
        <v>4.22</v>
      </c>
      <c r="I9" s="4">
        <f>AE9</f>
        <v/>
      </c>
      <c r="J9" s="6">
        <f>AD9</f>
        <v/>
      </c>
      <c r="L9">
        <f>MAX(0,E9-H9*1.0*6)</f>
        <v/>
      </c>
      <c r="M9">
        <f>MAX(0,F9-H9*1.0*0.15*6)</f>
        <v/>
      </c>
      <c r="N9">
        <f>D9*((E9+L9)/2+(F9+M9)/2)*6</f>
        <v/>
      </c>
      <c r="O9">
        <f>MAX(0,L9-H9*0.92*31)</f>
        <v/>
      </c>
      <c r="P9">
        <f>MAX(0,M9-H9*0.92*0.25*31)</f>
        <v/>
      </c>
      <c r="Q9">
        <f>D9*((L9+O9)/2+(M9+P9)/2)*31</f>
        <v/>
      </c>
      <c r="R9">
        <f>MAX(0,O9-H9*0.92*31)</f>
        <v/>
      </c>
      <c r="S9">
        <f>MAX(0,P9-H9*0.92*0.35*31)</f>
        <v/>
      </c>
      <c r="T9">
        <f>D9*((O9+R9)/2+(P9+S9)/2)*31</f>
        <v/>
      </c>
      <c r="U9">
        <f>MAX(0,R9-H9*1.05*30)</f>
        <v/>
      </c>
      <c r="V9">
        <f>MAX(0,S9-H9*1.05*0.45*30)</f>
        <v/>
      </c>
      <c r="W9">
        <f>D9*((R9+U9)/2+(S9+V9)/2)*30</f>
        <v/>
      </c>
      <c r="X9">
        <f>MAX(0,U9-H9*1.12*31)</f>
        <v/>
      </c>
      <c r="Y9">
        <f>MAX(0,V9-H9*1.12*0.55*31)</f>
        <v/>
      </c>
      <c r="Z9">
        <f>D9*((U9+X9)/2+(V9+Y9)/2)*31</f>
        <v/>
      </c>
      <c r="AA9">
        <f>MAX(0,X9-H9*1.15*30)</f>
        <v/>
      </c>
      <c r="AB9">
        <f>MAX(0,Y9-H9*1.15*0.65*30)</f>
        <v/>
      </c>
      <c r="AC9">
        <f>D9*((X9+AA9)/2+(Y9+AB9)/2)*30</f>
        <v/>
      </c>
      <c r="AD9">
        <f>N9+Q9+T9+W9+Z9+AC9</f>
        <v/>
      </c>
      <c r="AE9">
        <f>AA9+AB9</f>
        <v/>
      </c>
    </row>
    <row r="10">
      <c r="A10" s="3" t="n">
        <v>207796350</v>
      </c>
      <c r="B10" s="3" t="inlineStr">
        <is>
          <t>ELIZAVECCA - CER-100 Collagen Ceramide Coating Protein Treatment [100ml] / Коллагеновая маска для волос</t>
        </is>
      </c>
      <c r="C10" s="4" t="n">
        <v>496</v>
      </c>
      <c r="D10" s="5" t="n">
        <v>0.1643</v>
      </c>
      <c r="E10" s="4">
        <f>ROUND(C10*0.68961,0)</f>
        <v/>
      </c>
      <c r="F10" s="4">
        <f>C10-E10</f>
        <v/>
      </c>
      <c r="G10" s="6">
        <f>D10*C10*159</f>
        <v/>
      </c>
      <c r="H10" s="6" t="n">
        <v>0.86</v>
      </c>
      <c r="I10" s="4">
        <f>AE10</f>
        <v/>
      </c>
      <c r="J10" s="6">
        <f>AD10</f>
        <v/>
      </c>
      <c r="L10">
        <f>MAX(0,E10-H10*1.0*6)</f>
        <v/>
      </c>
      <c r="M10">
        <f>MAX(0,F10-H10*1.0*0.15*6)</f>
        <v/>
      </c>
      <c r="N10">
        <f>D10*((E10+L10)/2+(F10+M10)/2)*6</f>
        <v/>
      </c>
      <c r="O10">
        <f>MAX(0,L10-H10*0.92*31)</f>
        <v/>
      </c>
      <c r="P10">
        <f>MAX(0,M10-H10*0.92*0.25*31)</f>
        <v/>
      </c>
      <c r="Q10">
        <f>D10*((L10+O10)/2+(M10+P10)/2)*31</f>
        <v/>
      </c>
      <c r="R10">
        <f>MAX(0,O10-H10*0.92*31)</f>
        <v/>
      </c>
      <c r="S10">
        <f>MAX(0,P10-H10*0.92*0.35*31)</f>
        <v/>
      </c>
      <c r="T10">
        <f>D10*((O10+R10)/2+(P10+S10)/2)*31</f>
        <v/>
      </c>
      <c r="U10">
        <f>MAX(0,R10-H10*1.05*30)</f>
        <v/>
      </c>
      <c r="V10">
        <f>MAX(0,S10-H10*1.05*0.45*30)</f>
        <v/>
      </c>
      <c r="W10">
        <f>D10*((R10+U10)/2+(S10+V10)/2)*30</f>
        <v/>
      </c>
      <c r="X10">
        <f>MAX(0,U10-H10*1.12*31)</f>
        <v/>
      </c>
      <c r="Y10">
        <f>MAX(0,V10-H10*1.12*0.55*31)</f>
        <v/>
      </c>
      <c r="Z10">
        <f>D10*((U10+X10)/2+(V10+Y10)/2)*31</f>
        <v/>
      </c>
      <c r="AA10">
        <f>MAX(0,X10-H10*1.15*30)</f>
        <v/>
      </c>
      <c r="AB10">
        <f>MAX(0,Y10-H10*1.15*0.65*30)</f>
        <v/>
      </c>
      <c r="AC10">
        <f>D10*((X10+AA10)/2+(Y10+AB10)/2)*30</f>
        <v/>
      </c>
      <c r="AD10">
        <f>N10+Q10+T10+W10+Z10+AC10</f>
        <v/>
      </c>
      <c r="AE10">
        <f>AA10+AB10</f>
        <v/>
      </c>
    </row>
    <row r="11">
      <c r="A11" s="3" t="n">
        <v>206057411</v>
      </c>
      <c r="B11" s="3" t="inlineStr">
        <is>
          <t>ELIZAVECCA - Hell pore clean up aha fruit toner [ 200ml] / Пилинг-тоник с фруктовыми кислотами</t>
        </is>
      </c>
      <c r="C11" s="4" t="n">
        <v>180</v>
      </c>
      <c r="D11" s="5" t="n">
        <v>0.1704</v>
      </c>
      <c r="E11" s="4">
        <f>ROUND(C11*0.68961,0)</f>
        <v/>
      </c>
      <c r="F11" s="4">
        <f>C11-E11</f>
        <v/>
      </c>
      <c r="G11" s="6">
        <f>D11*C11*159</f>
        <v/>
      </c>
      <c r="H11" s="6" t="n">
        <v>3.5</v>
      </c>
      <c r="I11" s="4">
        <f>AE11</f>
        <v/>
      </c>
      <c r="J11" s="6">
        <f>AD11</f>
        <v/>
      </c>
      <c r="L11">
        <f>MAX(0,E11-H11*1.0*6)</f>
        <v/>
      </c>
      <c r="M11">
        <f>MAX(0,F11-H11*1.0*0.15*6)</f>
        <v/>
      </c>
      <c r="N11">
        <f>D11*((E11+L11)/2+(F11+M11)/2)*6</f>
        <v/>
      </c>
      <c r="O11">
        <f>MAX(0,L11-H11*0.92*31)</f>
        <v/>
      </c>
      <c r="P11">
        <f>MAX(0,M11-H11*0.92*0.25*31)</f>
        <v/>
      </c>
      <c r="Q11">
        <f>D11*((L11+O11)/2+(M11+P11)/2)*31</f>
        <v/>
      </c>
      <c r="R11">
        <f>MAX(0,O11-H11*0.92*31)</f>
        <v/>
      </c>
      <c r="S11">
        <f>MAX(0,P11-H11*0.92*0.35*31)</f>
        <v/>
      </c>
      <c r="T11">
        <f>D11*((O11+R11)/2+(P11+S11)/2)*31</f>
        <v/>
      </c>
      <c r="U11">
        <f>MAX(0,R11-H11*1.05*30)</f>
        <v/>
      </c>
      <c r="V11">
        <f>MAX(0,S11-H11*1.05*0.45*30)</f>
        <v/>
      </c>
      <c r="W11">
        <f>D11*((R11+U11)/2+(S11+V11)/2)*30</f>
        <v/>
      </c>
      <c r="X11">
        <f>MAX(0,U11-H11*1.12*31)</f>
        <v/>
      </c>
      <c r="Y11">
        <f>MAX(0,V11-H11*1.12*0.55*31)</f>
        <v/>
      </c>
      <c r="Z11">
        <f>D11*((U11+X11)/2+(V11+Y11)/2)*31</f>
        <v/>
      </c>
      <c r="AA11">
        <f>MAX(0,X11-H11*1.15*30)</f>
        <v/>
      </c>
      <c r="AB11">
        <f>MAX(0,Y11-H11*1.15*0.65*30)</f>
        <v/>
      </c>
      <c r="AC11">
        <f>D11*((X11+AA11)/2+(Y11+AB11)/2)*30</f>
        <v/>
      </c>
      <c r="AD11">
        <f>N11+Q11+T11+W11+Z11+AC11</f>
        <v/>
      </c>
      <c r="AE11">
        <f>AA11+AB11</f>
        <v/>
      </c>
    </row>
    <row r="12">
      <c r="A12" s="3" t="n">
        <v>206058262</v>
      </c>
      <c r="B12" s="3" t="inlineStr">
        <is>
          <t>ELIZAVECCA - Hell-Pore Galactomyces Pure Ample / Сыворотка для лица с экстрактом галактомисиса</t>
        </is>
      </c>
      <c r="C12" s="4" t="n">
        <v>50</v>
      </c>
      <c r="D12" s="5" t="n">
        <v>0.148</v>
      </c>
      <c r="E12" s="4">
        <f>ROUND(C12*0.68961,0)</f>
        <v/>
      </c>
      <c r="F12" s="4">
        <f>C12-E12</f>
        <v/>
      </c>
      <c r="G12" s="6">
        <f>D12*C12*159</f>
        <v/>
      </c>
      <c r="H12" s="6" t="n">
        <v>0.11</v>
      </c>
      <c r="I12" s="4">
        <f>AE12</f>
        <v/>
      </c>
      <c r="J12" s="6">
        <f>AD12</f>
        <v/>
      </c>
      <c r="L12">
        <f>MAX(0,E12-H12*1.0*6)</f>
        <v/>
      </c>
      <c r="M12">
        <f>MAX(0,F12-H12*1.0*0.15*6)</f>
        <v/>
      </c>
      <c r="N12">
        <f>D12*((E12+L12)/2+(F12+M12)/2)*6</f>
        <v/>
      </c>
      <c r="O12">
        <f>MAX(0,L12-H12*0.92*31)</f>
        <v/>
      </c>
      <c r="P12">
        <f>MAX(0,M12-H12*0.92*0.25*31)</f>
        <v/>
      </c>
      <c r="Q12">
        <f>D12*((L12+O12)/2+(M12+P12)/2)*31</f>
        <v/>
      </c>
      <c r="R12">
        <f>MAX(0,O12-H12*0.92*31)</f>
        <v/>
      </c>
      <c r="S12">
        <f>MAX(0,P12-H12*0.92*0.35*31)</f>
        <v/>
      </c>
      <c r="T12">
        <f>D12*((O12+R12)/2+(P12+S12)/2)*31</f>
        <v/>
      </c>
      <c r="U12">
        <f>MAX(0,R12-H12*1.05*30)</f>
        <v/>
      </c>
      <c r="V12">
        <f>MAX(0,S12-H12*1.05*0.45*30)</f>
        <v/>
      </c>
      <c r="W12">
        <f>D12*((R12+U12)/2+(S12+V12)/2)*30</f>
        <v/>
      </c>
      <c r="X12">
        <f>MAX(0,U12-H12*1.12*31)</f>
        <v/>
      </c>
      <c r="Y12">
        <f>MAX(0,V12-H12*1.12*0.55*31)</f>
        <v/>
      </c>
      <c r="Z12">
        <f>D12*((U12+X12)/2+(V12+Y12)/2)*31</f>
        <v/>
      </c>
      <c r="AA12">
        <f>MAX(0,X12-H12*1.15*30)</f>
        <v/>
      </c>
      <c r="AB12">
        <f>MAX(0,Y12-H12*1.15*0.65*30)</f>
        <v/>
      </c>
      <c r="AC12">
        <f>D12*((X12+AA12)/2+(Y12+AB12)/2)*30</f>
        <v/>
      </c>
      <c r="AD12">
        <f>N12+Q12+T12+W12+Z12+AC12</f>
        <v/>
      </c>
      <c r="AE12">
        <f>AA12+AB12</f>
        <v/>
      </c>
    </row>
    <row r="13">
      <c r="A13" s="3" t="n">
        <v>190160008</v>
      </c>
      <c r="B13" s="3" t="inlineStr">
        <is>
          <t>ELIZAVECCA - Milky Piggy EGF elastic retinol [100ml] / Антивозрастной крем для лица с ретинолом и EGF</t>
        </is>
      </c>
      <c r="C13" s="4" t="n">
        <v>345</v>
      </c>
      <c r="D13" s="5" t="n">
        <v>0.1647</v>
      </c>
      <c r="E13" s="4">
        <f>ROUND(C13*0.68961,0)</f>
        <v/>
      </c>
      <c r="F13" s="4">
        <f>C13-E13</f>
        <v/>
      </c>
      <c r="G13" s="6">
        <f>D13*C13*159</f>
        <v/>
      </c>
      <c r="H13" s="6" t="n">
        <v>0.15</v>
      </c>
      <c r="I13" s="4">
        <f>AE13</f>
        <v/>
      </c>
      <c r="J13" s="6">
        <f>AD13</f>
        <v/>
      </c>
      <c r="L13">
        <f>MAX(0,E13-H13*1.0*6)</f>
        <v/>
      </c>
      <c r="M13">
        <f>MAX(0,F13-H13*1.0*0.15*6)</f>
        <v/>
      </c>
      <c r="N13">
        <f>D13*((E13+L13)/2+(F13+M13)/2)*6</f>
        <v/>
      </c>
      <c r="O13">
        <f>MAX(0,L13-H13*0.92*31)</f>
        <v/>
      </c>
      <c r="P13">
        <f>MAX(0,M13-H13*0.92*0.25*31)</f>
        <v/>
      </c>
      <c r="Q13">
        <f>D13*((L13+O13)/2+(M13+P13)/2)*31</f>
        <v/>
      </c>
      <c r="R13">
        <f>MAX(0,O13-H13*0.92*31)</f>
        <v/>
      </c>
      <c r="S13">
        <f>MAX(0,P13-H13*0.92*0.35*31)</f>
        <v/>
      </c>
      <c r="T13">
        <f>D13*((O13+R13)/2+(P13+S13)/2)*31</f>
        <v/>
      </c>
      <c r="U13">
        <f>MAX(0,R13-H13*1.05*30)</f>
        <v/>
      </c>
      <c r="V13">
        <f>MAX(0,S13-H13*1.05*0.45*30)</f>
        <v/>
      </c>
      <c r="W13">
        <f>D13*((R13+U13)/2+(S13+V13)/2)*30</f>
        <v/>
      </c>
      <c r="X13">
        <f>MAX(0,U13-H13*1.12*31)</f>
        <v/>
      </c>
      <c r="Y13">
        <f>MAX(0,V13-H13*1.12*0.55*31)</f>
        <v/>
      </c>
      <c r="Z13">
        <f>D13*((U13+X13)/2+(V13+Y13)/2)*31</f>
        <v/>
      </c>
      <c r="AA13">
        <f>MAX(0,X13-H13*1.15*30)</f>
        <v/>
      </c>
      <c r="AB13">
        <f>MAX(0,Y13-H13*1.15*0.65*30)</f>
        <v/>
      </c>
      <c r="AC13">
        <f>D13*((X13+AA13)/2+(Y13+AB13)/2)*30</f>
        <v/>
      </c>
      <c r="AD13">
        <f>N13+Q13+T13+W13+Z13+AC13</f>
        <v/>
      </c>
      <c r="AE13">
        <f>AA13+AB13</f>
        <v/>
      </c>
    </row>
    <row r="14">
      <c r="A14" s="3" t="n">
        <v>238416010</v>
      </c>
      <c r="B14" s="3" t="inlineStr">
        <is>
          <t>ENOUGH - Collagen Whitening Moisture Cream 3in1 [50g] / Антивозрастной отбеливающий крем с коллагеном</t>
        </is>
      </c>
      <c r="C14" s="4" t="n">
        <v>1108</v>
      </c>
      <c r="D14" s="5" t="n">
        <v>0.1545</v>
      </c>
      <c r="E14" s="4">
        <f>ROUND(C14*0.68961,0)</f>
        <v/>
      </c>
      <c r="F14" s="4">
        <f>C14-E14</f>
        <v/>
      </c>
      <c r="G14" s="6">
        <f>D14*C14*159</f>
        <v/>
      </c>
      <c r="H14" s="6" t="n">
        <v>4.16</v>
      </c>
      <c r="I14" s="4">
        <f>AE14</f>
        <v/>
      </c>
      <c r="J14" s="6">
        <f>AD14</f>
        <v/>
      </c>
      <c r="L14">
        <f>MAX(0,E14-H14*1.0*6)</f>
        <v/>
      </c>
      <c r="M14">
        <f>MAX(0,F14-H14*1.0*0.15*6)</f>
        <v/>
      </c>
      <c r="N14">
        <f>D14*((E14+L14)/2+(F14+M14)/2)*6</f>
        <v/>
      </c>
      <c r="O14">
        <f>MAX(0,L14-H14*0.92*31)</f>
        <v/>
      </c>
      <c r="P14">
        <f>MAX(0,M14-H14*0.92*0.25*31)</f>
        <v/>
      </c>
      <c r="Q14">
        <f>D14*((L14+O14)/2+(M14+P14)/2)*31</f>
        <v/>
      </c>
      <c r="R14">
        <f>MAX(0,O14-H14*0.92*31)</f>
        <v/>
      </c>
      <c r="S14">
        <f>MAX(0,P14-H14*0.92*0.35*31)</f>
        <v/>
      </c>
      <c r="T14">
        <f>D14*((O14+R14)/2+(P14+S14)/2)*31</f>
        <v/>
      </c>
      <c r="U14">
        <f>MAX(0,R14-H14*1.05*30)</f>
        <v/>
      </c>
      <c r="V14">
        <f>MAX(0,S14-H14*1.05*0.45*30)</f>
        <v/>
      </c>
      <c r="W14">
        <f>D14*((R14+U14)/2+(S14+V14)/2)*30</f>
        <v/>
      </c>
      <c r="X14">
        <f>MAX(0,U14-H14*1.12*31)</f>
        <v/>
      </c>
      <c r="Y14">
        <f>MAX(0,V14-H14*1.12*0.55*31)</f>
        <v/>
      </c>
      <c r="Z14">
        <f>D14*((U14+X14)/2+(V14+Y14)/2)*31</f>
        <v/>
      </c>
      <c r="AA14">
        <f>MAX(0,X14-H14*1.15*30)</f>
        <v/>
      </c>
      <c r="AB14">
        <f>MAX(0,Y14-H14*1.15*0.65*30)</f>
        <v/>
      </c>
      <c r="AC14">
        <f>D14*((X14+AA14)/2+(Y14+AB14)/2)*30</f>
        <v/>
      </c>
      <c r="AD14">
        <f>N14+Q14+T14+W14+Z14+AC14</f>
        <v/>
      </c>
      <c r="AE14">
        <f>AA14+AB14</f>
        <v/>
      </c>
    </row>
    <row r="15">
      <c r="A15" s="3" t="n">
        <v>150925321</v>
      </c>
      <c r="B15" s="3" t="inlineStr">
        <is>
          <t>ENOUGH - Collagen Moisture Foundation [Tone 13] / Тональный крем для лица с коллагеном 13 тон</t>
        </is>
      </c>
      <c r="C15" s="4" t="n">
        <v>2515</v>
      </c>
      <c r="D15" s="5" t="n">
        <v>0.1355</v>
      </c>
      <c r="E15" s="4">
        <f>ROUND(C15*0.68961,0)</f>
        <v/>
      </c>
      <c r="F15" s="4">
        <f>C15-E15</f>
        <v/>
      </c>
      <c r="G15" s="6">
        <f>D15*C15*159</f>
        <v/>
      </c>
      <c r="H15" s="6" t="n">
        <v>2.77</v>
      </c>
      <c r="I15" s="4">
        <f>AE15</f>
        <v/>
      </c>
      <c r="J15" s="6">
        <f>AD15</f>
        <v/>
      </c>
      <c r="L15">
        <f>MAX(0,E15-H15*1.0*6)</f>
        <v/>
      </c>
      <c r="M15">
        <f>MAX(0,F15-H15*1.0*0.15*6)</f>
        <v/>
      </c>
      <c r="N15">
        <f>D15*((E15+L15)/2+(F15+M15)/2)*6</f>
        <v/>
      </c>
      <c r="O15">
        <f>MAX(0,L15-H15*0.92*31)</f>
        <v/>
      </c>
      <c r="P15">
        <f>MAX(0,M15-H15*0.92*0.25*31)</f>
        <v/>
      </c>
      <c r="Q15">
        <f>D15*((L15+O15)/2+(M15+P15)/2)*31</f>
        <v/>
      </c>
      <c r="R15">
        <f>MAX(0,O15-H15*0.92*31)</f>
        <v/>
      </c>
      <c r="S15">
        <f>MAX(0,P15-H15*0.92*0.35*31)</f>
        <v/>
      </c>
      <c r="T15">
        <f>D15*((O15+R15)/2+(P15+S15)/2)*31</f>
        <v/>
      </c>
      <c r="U15">
        <f>MAX(0,R15-H15*1.05*30)</f>
        <v/>
      </c>
      <c r="V15">
        <f>MAX(0,S15-H15*1.05*0.45*30)</f>
        <v/>
      </c>
      <c r="W15">
        <f>D15*((R15+U15)/2+(S15+V15)/2)*30</f>
        <v/>
      </c>
      <c r="X15">
        <f>MAX(0,U15-H15*1.12*31)</f>
        <v/>
      </c>
      <c r="Y15">
        <f>MAX(0,V15-H15*1.12*0.55*31)</f>
        <v/>
      </c>
      <c r="Z15">
        <f>D15*((U15+X15)/2+(V15+Y15)/2)*31</f>
        <v/>
      </c>
      <c r="AA15">
        <f>MAX(0,X15-H15*1.15*30)</f>
        <v/>
      </c>
      <c r="AB15">
        <f>MAX(0,Y15-H15*1.15*0.65*30)</f>
        <v/>
      </c>
      <c r="AC15">
        <f>D15*((X15+AA15)/2+(Y15+AB15)/2)*30</f>
        <v/>
      </c>
      <c r="AD15">
        <f>N15+Q15+T15+W15+Z15+AC15</f>
        <v/>
      </c>
      <c r="AE15">
        <f>AA15+AB15</f>
        <v/>
      </c>
    </row>
    <row r="16">
      <c r="A16" s="3" t="n">
        <v>150925322</v>
      </c>
      <c r="B16" s="3" t="inlineStr">
        <is>
          <t>ENOUGH - Collagen Moisture Foundation [Tone 21] / Тональный крем для лица с коллагеном 21 тон</t>
        </is>
      </c>
      <c r="C16" s="4" t="n">
        <v>2757</v>
      </c>
      <c r="D16" s="5" t="n">
        <v>0.135</v>
      </c>
      <c r="E16" s="4">
        <f>ROUND(C16*0.68961,0)</f>
        <v/>
      </c>
      <c r="F16" s="4">
        <f>C16-E16</f>
        <v/>
      </c>
      <c r="G16" s="6">
        <f>D16*C16*159</f>
        <v/>
      </c>
      <c r="H16" s="6" t="n">
        <v>2.64</v>
      </c>
      <c r="I16" s="4">
        <f>AE16</f>
        <v/>
      </c>
      <c r="J16" s="6">
        <f>AD16</f>
        <v/>
      </c>
      <c r="L16">
        <f>MAX(0,E16-H16*1.0*6)</f>
        <v/>
      </c>
      <c r="M16">
        <f>MAX(0,F16-H16*1.0*0.15*6)</f>
        <v/>
      </c>
      <c r="N16">
        <f>D16*((E16+L16)/2+(F16+M16)/2)*6</f>
        <v/>
      </c>
      <c r="O16">
        <f>MAX(0,L16-H16*0.92*31)</f>
        <v/>
      </c>
      <c r="P16">
        <f>MAX(0,M16-H16*0.92*0.25*31)</f>
        <v/>
      </c>
      <c r="Q16">
        <f>D16*((L16+O16)/2+(M16+P16)/2)*31</f>
        <v/>
      </c>
      <c r="R16">
        <f>MAX(0,O16-H16*0.92*31)</f>
        <v/>
      </c>
      <c r="S16">
        <f>MAX(0,P16-H16*0.92*0.35*31)</f>
        <v/>
      </c>
      <c r="T16">
        <f>D16*((O16+R16)/2+(P16+S16)/2)*31</f>
        <v/>
      </c>
      <c r="U16">
        <f>MAX(0,R16-H16*1.05*30)</f>
        <v/>
      </c>
      <c r="V16">
        <f>MAX(0,S16-H16*1.05*0.45*30)</f>
        <v/>
      </c>
      <c r="W16">
        <f>D16*((R16+U16)/2+(S16+V16)/2)*30</f>
        <v/>
      </c>
      <c r="X16">
        <f>MAX(0,U16-H16*1.12*31)</f>
        <v/>
      </c>
      <c r="Y16">
        <f>MAX(0,V16-H16*1.12*0.55*31)</f>
        <v/>
      </c>
      <c r="Z16">
        <f>D16*((U16+X16)/2+(V16+Y16)/2)*31</f>
        <v/>
      </c>
      <c r="AA16">
        <f>MAX(0,X16-H16*1.15*30)</f>
        <v/>
      </c>
      <c r="AB16">
        <f>MAX(0,Y16-H16*1.15*0.65*30)</f>
        <v/>
      </c>
      <c r="AC16">
        <f>D16*((X16+AA16)/2+(Y16+AB16)/2)*30</f>
        <v/>
      </c>
      <c r="AD16">
        <f>N16+Q16+T16+W16+Z16+AC16</f>
        <v/>
      </c>
      <c r="AE16">
        <f>AA16+AB16</f>
        <v/>
      </c>
    </row>
    <row r="17">
      <c r="A17" s="3" t="n">
        <v>611747838</v>
      </c>
      <c r="B17" s="3" t="inlineStr">
        <is>
          <t>ENOUGH - Collagen Moisture Foundation [Tone 23] / Тональный крем для лица с коллагеном 23 тон</t>
        </is>
      </c>
      <c r="C17" s="4" t="n">
        <v>0</v>
      </c>
      <c r="D17" s="5" t="n">
        <v>0.1419</v>
      </c>
      <c r="E17" s="4">
        <f>ROUND(C17*0.68961,0)</f>
        <v/>
      </c>
      <c r="F17" s="4">
        <f>C17-E17</f>
        <v/>
      </c>
      <c r="G17" s="6">
        <f>D17*C17*159</f>
        <v/>
      </c>
      <c r="H17" s="6" t="n">
        <v>0.76</v>
      </c>
      <c r="I17" s="4">
        <f>AE17</f>
        <v/>
      </c>
      <c r="J17" s="6">
        <f>AD17</f>
        <v/>
      </c>
      <c r="L17">
        <f>MAX(0,E17-H17*1.0*6)</f>
        <v/>
      </c>
      <c r="M17">
        <f>MAX(0,F17-H17*1.0*0.15*6)</f>
        <v/>
      </c>
      <c r="N17">
        <f>D17*((E17+L17)/2+(F17+M17)/2)*6</f>
        <v/>
      </c>
      <c r="O17">
        <f>MAX(0,L17-H17*0.92*31)</f>
        <v/>
      </c>
      <c r="P17">
        <f>MAX(0,M17-H17*0.92*0.25*31)</f>
        <v/>
      </c>
      <c r="Q17">
        <f>D17*((L17+O17)/2+(M17+P17)/2)*31</f>
        <v/>
      </c>
      <c r="R17">
        <f>MAX(0,O17-H17*0.92*31)</f>
        <v/>
      </c>
      <c r="S17">
        <f>MAX(0,P17-H17*0.92*0.35*31)</f>
        <v/>
      </c>
      <c r="T17">
        <f>D17*((O17+R17)/2+(P17+S17)/2)*31</f>
        <v/>
      </c>
      <c r="U17">
        <f>MAX(0,R17-H17*1.05*30)</f>
        <v/>
      </c>
      <c r="V17">
        <f>MAX(0,S17-H17*1.05*0.45*30)</f>
        <v/>
      </c>
      <c r="W17">
        <f>D17*((R17+U17)/2+(S17+V17)/2)*30</f>
        <v/>
      </c>
      <c r="X17">
        <f>MAX(0,U17-H17*1.12*31)</f>
        <v/>
      </c>
      <c r="Y17">
        <f>MAX(0,V17-H17*1.12*0.55*31)</f>
        <v/>
      </c>
      <c r="Z17">
        <f>D17*((U17+X17)/2+(V17+Y17)/2)*31</f>
        <v/>
      </c>
      <c r="AA17">
        <f>MAX(0,X17-H17*1.15*30)</f>
        <v/>
      </c>
      <c r="AB17">
        <f>MAX(0,Y17-H17*1.15*0.65*30)</f>
        <v/>
      </c>
      <c r="AC17">
        <f>D17*((X17+AA17)/2+(Y17+AB17)/2)*30</f>
        <v/>
      </c>
      <c r="AD17">
        <f>N17+Q17+T17+W17+Z17+AC17</f>
        <v/>
      </c>
      <c r="AE17">
        <f>AA17+AB17</f>
        <v/>
      </c>
    </row>
    <row r="18">
      <c r="A18" s="3" t="n">
        <v>151132051</v>
      </c>
      <c r="B18" s="3" t="inlineStr">
        <is>
          <t>ENOUGH - Collagen 3in1 Whitening Moisture Foundation [Tone 13] / Тональный крем для лица с коллагеном 3в1 [13 тон]</t>
        </is>
      </c>
      <c r="C18" s="4" t="n">
        <v>511</v>
      </c>
      <c r="D18" s="5" t="n">
        <v>0.1216</v>
      </c>
      <c r="E18" s="4">
        <f>ROUND(C18*0.68961,0)</f>
        <v/>
      </c>
      <c r="F18" s="4">
        <f>C18-E18</f>
        <v/>
      </c>
      <c r="G18" s="6">
        <f>D18*C18*159</f>
        <v/>
      </c>
      <c r="H18" s="6" t="n">
        <v>2.38</v>
      </c>
      <c r="I18" s="4">
        <f>AE18</f>
        <v/>
      </c>
      <c r="J18" s="6">
        <f>AD18</f>
        <v/>
      </c>
      <c r="L18">
        <f>MAX(0,E18-H18*1.0*6)</f>
        <v/>
      </c>
      <c r="M18">
        <f>MAX(0,F18-H18*1.0*0.15*6)</f>
        <v/>
      </c>
      <c r="N18">
        <f>D18*((E18+L18)/2+(F18+M18)/2)*6</f>
        <v/>
      </c>
      <c r="O18">
        <f>MAX(0,L18-H18*0.92*31)</f>
        <v/>
      </c>
      <c r="P18">
        <f>MAX(0,M18-H18*0.92*0.25*31)</f>
        <v/>
      </c>
      <c r="Q18">
        <f>D18*((L18+O18)/2+(M18+P18)/2)*31</f>
        <v/>
      </c>
      <c r="R18">
        <f>MAX(0,O18-H18*0.92*31)</f>
        <v/>
      </c>
      <c r="S18">
        <f>MAX(0,P18-H18*0.92*0.35*31)</f>
        <v/>
      </c>
      <c r="T18">
        <f>D18*((O18+R18)/2+(P18+S18)/2)*31</f>
        <v/>
      </c>
      <c r="U18">
        <f>MAX(0,R18-H18*1.05*30)</f>
        <v/>
      </c>
      <c r="V18">
        <f>MAX(0,S18-H18*1.05*0.45*30)</f>
        <v/>
      </c>
      <c r="W18">
        <f>D18*((R18+U18)/2+(S18+V18)/2)*30</f>
        <v/>
      </c>
      <c r="X18">
        <f>MAX(0,U18-H18*1.12*31)</f>
        <v/>
      </c>
      <c r="Y18">
        <f>MAX(0,V18-H18*1.12*0.55*31)</f>
        <v/>
      </c>
      <c r="Z18">
        <f>D18*((U18+X18)/2+(V18+Y18)/2)*31</f>
        <v/>
      </c>
      <c r="AA18">
        <f>MAX(0,X18-H18*1.15*30)</f>
        <v/>
      </c>
      <c r="AB18">
        <f>MAX(0,Y18-H18*1.15*0.65*30)</f>
        <v/>
      </c>
      <c r="AC18">
        <f>D18*((X18+AA18)/2+(Y18+AB18)/2)*30</f>
        <v/>
      </c>
      <c r="AD18">
        <f>N18+Q18+T18+W18+Z18+AC18</f>
        <v/>
      </c>
      <c r="AE18">
        <f>AA18+AB18</f>
        <v/>
      </c>
    </row>
    <row r="19">
      <c r="A19" s="3" t="n">
        <v>151132052</v>
      </c>
      <c r="B19" s="3" t="inlineStr">
        <is>
          <t>ENOUGH - Collagen 3in1 Whitening Moisture Foundation [Tone 21] / Тональный крем для лица с коллагеном 3в1 [21 тон]</t>
        </is>
      </c>
      <c r="C19" s="4" t="n">
        <v>86</v>
      </c>
      <c r="D19" s="5" t="n">
        <v>0.1506</v>
      </c>
      <c r="E19" s="4">
        <f>ROUND(C19*0.68961,0)</f>
        <v/>
      </c>
      <c r="F19" s="4">
        <f>C19-E19</f>
        <v/>
      </c>
      <c r="G19" s="6">
        <f>D19*C19*159</f>
        <v/>
      </c>
      <c r="H19" s="6" t="n">
        <v>0.96</v>
      </c>
      <c r="I19" s="4">
        <f>AE19</f>
        <v/>
      </c>
      <c r="J19" s="6">
        <f>AD19</f>
        <v/>
      </c>
      <c r="L19">
        <f>MAX(0,E19-H19*1.0*6)</f>
        <v/>
      </c>
      <c r="M19">
        <f>MAX(0,F19-H19*1.0*0.15*6)</f>
        <v/>
      </c>
      <c r="N19">
        <f>D19*((E19+L19)/2+(F19+M19)/2)*6</f>
        <v/>
      </c>
      <c r="O19">
        <f>MAX(0,L19-H19*0.92*31)</f>
        <v/>
      </c>
      <c r="P19">
        <f>MAX(0,M19-H19*0.92*0.25*31)</f>
        <v/>
      </c>
      <c r="Q19">
        <f>D19*((L19+O19)/2+(M19+P19)/2)*31</f>
        <v/>
      </c>
      <c r="R19">
        <f>MAX(0,O19-H19*0.92*31)</f>
        <v/>
      </c>
      <c r="S19">
        <f>MAX(0,P19-H19*0.92*0.35*31)</f>
        <v/>
      </c>
      <c r="T19">
        <f>D19*((O19+R19)/2+(P19+S19)/2)*31</f>
        <v/>
      </c>
      <c r="U19">
        <f>MAX(0,R19-H19*1.05*30)</f>
        <v/>
      </c>
      <c r="V19">
        <f>MAX(0,S19-H19*1.05*0.45*30)</f>
        <v/>
      </c>
      <c r="W19">
        <f>D19*((R19+U19)/2+(S19+V19)/2)*30</f>
        <v/>
      </c>
      <c r="X19">
        <f>MAX(0,U19-H19*1.12*31)</f>
        <v/>
      </c>
      <c r="Y19">
        <f>MAX(0,V19-H19*1.12*0.55*31)</f>
        <v/>
      </c>
      <c r="Z19">
        <f>D19*((U19+X19)/2+(V19+Y19)/2)*31</f>
        <v/>
      </c>
      <c r="AA19">
        <f>MAX(0,X19-H19*1.15*30)</f>
        <v/>
      </c>
      <c r="AB19">
        <f>MAX(0,Y19-H19*1.15*0.65*30)</f>
        <v/>
      </c>
      <c r="AC19">
        <f>D19*((X19+AA19)/2+(Y19+AB19)/2)*30</f>
        <v/>
      </c>
      <c r="AD19">
        <f>N19+Q19+T19+W19+Z19+AC19</f>
        <v/>
      </c>
      <c r="AE19">
        <f>AA19+AB19</f>
        <v/>
      </c>
    </row>
    <row r="20">
      <c r="A20" s="3" t="n">
        <v>170198738</v>
      </c>
      <c r="B20" s="3" t="inlineStr">
        <is>
          <t>ENOUGH - Premium 8 Peptide Full Cover Perfect Foundation [Tone 13] / Тональный крем с пептидами 13 тон</t>
        </is>
      </c>
      <c r="C20" s="4" t="n">
        <v>1411</v>
      </c>
      <c r="D20" s="5" t="n">
        <v>0.1623</v>
      </c>
      <c r="E20" s="4">
        <f>ROUND(C20*0.68961,0)</f>
        <v/>
      </c>
      <c r="F20" s="4">
        <f>C20-E20</f>
        <v/>
      </c>
      <c r="G20" s="6">
        <f>D20*C20*159</f>
        <v/>
      </c>
      <c r="H20" s="6" t="n">
        <v>2.64</v>
      </c>
      <c r="I20" s="4">
        <f>AE20</f>
        <v/>
      </c>
      <c r="J20" s="6">
        <f>AD20</f>
        <v/>
      </c>
      <c r="L20">
        <f>MAX(0,E20-H20*1.0*6)</f>
        <v/>
      </c>
      <c r="M20">
        <f>MAX(0,F20-H20*1.0*0.15*6)</f>
        <v/>
      </c>
      <c r="N20">
        <f>D20*((E20+L20)/2+(F20+M20)/2)*6</f>
        <v/>
      </c>
      <c r="O20">
        <f>MAX(0,L20-H20*0.92*31)</f>
        <v/>
      </c>
      <c r="P20">
        <f>MAX(0,M20-H20*0.92*0.25*31)</f>
        <v/>
      </c>
      <c r="Q20">
        <f>D20*((L20+O20)/2+(M20+P20)/2)*31</f>
        <v/>
      </c>
      <c r="R20">
        <f>MAX(0,O20-H20*0.92*31)</f>
        <v/>
      </c>
      <c r="S20">
        <f>MAX(0,P20-H20*0.92*0.35*31)</f>
        <v/>
      </c>
      <c r="T20">
        <f>D20*((O20+R20)/2+(P20+S20)/2)*31</f>
        <v/>
      </c>
      <c r="U20">
        <f>MAX(0,R20-H20*1.05*30)</f>
        <v/>
      </c>
      <c r="V20">
        <f>MAX(0,S20-H20*1.05*0.45*30)</f>
        <v/>
      </c>
      <c r="W20">
        <f>D20*((R20+U20)/2+(S20+V20)/2)*30</f>
        <v/>
      </c>
      <c r="X20">
        <f>MAX(0,U20-H20*1.12*31)</f>
        <v/>
      </c>
      <c r="Y20">
        <f>MAX(0,V20-H20*1.12*0.55*31)</f>
        <v/>
      </c>
      <c r="Z20">
        <f>D20*((U20+X20)/2+(V20+Y20)/2)*31</f>
        <v/>
      </c>
      <c r="AA20">
        <f>MAX(0,X20-H20*1.15*30)</f>
        <v/>
      </c>
      <c r="AB20">
        <f>MAX(0,Y20-H20*1.15*0.65*30)</f>
        <v/>
      </c>
      <c r="AC20">
        <f>D20*((X20+AA20)/2+(Y20+AB20)/2)*30</f>
        <v/>
      </c>
      <c r="AD20">
        <f>N20+Q20+T20+W20+Z20+AC20</f>
        <v/>
      </c>
      <c r="AE20">
        <f>AA20+AB20</f>
        <v/>
      </c>
    </row>
    <row r="21">
      <c r="A21" s="3" t="n">
        <v>170198337</v>
      </c>
      <c r="B21" s="3" t="inlineStr">
        <is>
          <t>ENOUGH - Premium 8 Peptide Full Cover Perfect Foundation [Tone 21] / Тональный крем с пептидами 21 тон</t>
        </is>
      </c>
      <c r="C21" s="4" t="n">
        <v>577</v>
      </c>
      <c r="D21" s="5" t="n">
        <v>0.1359</v>
      </c>
      <c r="E21" s="4">
        <f>ROUND(C21*0.68961,0)</f>
        <v/>
      </c>
      <c r="F21" s="4">
        <f>C21-E21</f>
        <v/>
      </c>
      <c r="G21" s="6">
        <f>D21*C21*159</f>
        <v/>
      </c>
      <c r="H21" s="6" t="n">
        <v>2.97</v>
      </c>
      <c r="I21" s="4">
        <f>AE21</f>
        <v/>
      </c>
      <c r="J21" s="6">
        <f>AD21</f>
        <v/>
      </c>
      <c r="L21">
        <f>MAX(0,E21-H21*1.0*6)</f>
        <v/>
      </c>
      <c r="M21">
        <f>MAX(0,F21-H21*1.0*0.15*6)</f>
        <v/>
      </c>
      <c r="N21">
        <f>D21*((E21+L21)/2+(F21+M21)/2)*6</f>
        <v/>
      </c>
      <c r="O21">
        <f>MAX(0,L21-H21*0.92*31)</f>
        <v/>
      </c>
      <c r="P21">
        <f>MAX(0,M21-H21*0.92*0.25*31)</f>
        <v/>
      </c>
      <c r="Q21">
        <f>D21*((L21+O21)/2+(M21+P21)/2)*31</f>
        <v/>
      </c>
      <c r="R21">
        <f>MAX(0,O21-H21*0.92*31)</f>
        <v/>
      </c>
      <c r="S21">
        <f>MAX(0,P21-H21*0.92*0.35*31)</f>
        <v/>
      </c>
      <c r="T21">
        <f>D21*((O21+R21)/2+(P21+S21)/2)*31</f>
        <v/>
      </c>
      <c r="U21">
        <f>MAX(0,R21-H21*1.05*30)</f>
        <v/>
      </c>
      <c r="V21">
        <f>MAX(0,S21-H21*1.05*0.45*30)</f>
        <v/>
      </c>
      <c r="W21">
        <f>D21*((R21+U21)/2+(S21+V21)/2)*30</f>
        <v/>
      </c>
      <c r="X21">
        <f>MAX(0,U21-H21*1.12*31)</f>
        <v/>
      </c>
      <c r="Y21">
        <f>MAX(0,V21-H21*1.12*0.55*31)</f>
        <v/>
      </c>
      <c r="Z21">
        <f>D21*((U21+X21)/2+(V21+Y21)/2)*31</f>
        <v/>
      </c>
      <c r="AA21">
        <f>MAX(0,X21-H21*1.15*30)</f>
        <v/>
      </c>
      <c r="AB21">
        <f>MAX(0,Y21-H21*1.15*0.65*30)</f>
        <v/>
      </c>
      <c r="AC21">
        <f>D21*((X21+AA21)/2+(Y21+AB21)/2)*30</f>
        <v/>
      </c>
      <c r="AD21">
        <f>N21+Q21+T21+W21+Z21+AC21</f>
        <v/>
      </c>
      <c r="AE21">
        <f>AA21+AB21</f>
        <v/>
      </c>
    </row>
    <row r="22">
      <c r="A22" s="3" t="n">
        <v>170198180</v>
      </c>
      <c r="B22" s="3" t="inlineStr">
        <is>
          <t>ENOUGH - Premium Rich Gold Double Wear Radiance Foundation [Tone 13] / Тональный крем с частичками золота 13 тон</t>
        </is>
      </c>
      <c r="C22" s="4" t="n">
        <v>235</v>
      </c>
      <c r="D22" s="5" t="n">
        <v>0.1526</v>
      </c>
      <c r="E22" s="4">
        <f>ROUND(C22*0.68961,0)</f>
        <v/>
      </c>
      <c r="F22" s="4">
        <f>C22-E22</f>
        <v/>
      </c>
      <c r="G22" s="6">
        <f>D22*C22*159</f>
        <v/>
      </c>
      <c r="H22" s="6" t="n">
        <v>3.6</v>
      </c>
      <c r="I22" s="4">
        <f>AE22</f>
        <v/>
      </c>
      <c r="J22" s="6">
        <f>AD22</f>
        <v/>
      </c>
      <c r="L22">
        <f>MAX(0,E22-H22*1.0*6)</f>
        <v/>
      </c>
      <c r="M22">
        <f>MAX(0,F22-H22*1.0*0.15*6)</f>
        <v/>
      </c>
      <c r="N22">
        <f>D22*((E22+L22)/2+(F22+M22)/2)*6</f>
        <v/>
      </c>
      <c r="O22">
        <f>MAX(0,L22-H22*0.92*31)</f>
        <v/>
      </c>
      <c r="P22">
        <f>MAX(0,M22-H22*0.92*0.25*31)</f>
        <v/>
      </c>
      <c r="Q22">
        <f>D22*((L22+O22)/2+(M22+P22)/2)*31</f>
        <v/>
      </c>
      <c r="R22">
        <f>MAX(0,O22-H22*0.92*31)</f>
        <v/>
      </c>
      <c r="S22">
        <f>MAX(0,P22-H22*0.92*0.35*31)</f>
        <v/>
      </c>
      <c r="T22">
        <f>D22*((O22+R22)/2+(P22+S22)/2)*31</f>
        <v/>
      </c>
      <c r="U22">
        <f>MAX(0,R22-H22*1.05*30)</f>
        <v/>
      </c>
      <c r="V22">
        <f>MAX(0,S22-H22*1.05*0.45*30)</f>
        <v/>
      </c>
      <c r="W22">
        <f>D22*((R22+U22)/2+(S22+V22)/2)*30</f>
        <v/>
      </c>
      <c r="X22">
        <f>MAX(0,U22-H22*1.12*31)</f>
        <v/>
      </c>
      <c r="Y22">
        <f>MAX(0,V22-H22*1.12*0.55*31)</f>
        <v/>
      </c>
      <c r="Z22">
        <f>D22*((U22+X22)/2+(V22+Y22)/2)*31</f>
        <v/>
      </c>
      <c r="AA22">
        <f>MAX(0,X22-H22*1.15*30)</f>
        <v/>
      </c>
      <c r="AB22">
        <f>MAX(0,Y22-H22*1.15*0.65*30)</f>
        <v/>
      </c>
      <c r="AC22">
        <f>D22*((X22+AA22)/2+(Y22+AB22)/2)*30</f>
        <v/>
      </c>
      <c r="AD22">
        <f>N22+Q22+T22+W22+Z22+AC22</f>
        <v/>
      </c>
      <c r="AE22">
        <f>AA22+AB22</f>
        <v/>
      </c>
    </row>
    <row r="23">
      <c r="A23" s="3" t="n">
        <v>170198109</v>
      </c>
      <c r="B23" s="3" t="inlineStr">
        <is>
          <t>ENOUGH - Premium Rich Gold Double Wear Radiance Foundation [Tone 21] / Тональный крем с частичками золота 21 тон</t>
        </is>
      </c>
      <c r="C23" s="4" t="n">
        <v>30</v>
      </c>
      <c r="D23" s="5" t="n">
        <v>0.1653</v>
      </c>
      <c r="E23" s="4">
        <f>ROUND(C23*0.68961,0)</f>
        <v/>
      </c>
      <c r="F23" s="4">
        <f>C23-E23</f>
        <v/>
      </c>
      <c r="G23" s="6">
        <f>D23*C23*159</f>
        <v/>
      </c>
      <c r="H23" s="6" t="n">
        <v>2.94</v>
      </c>
      <c r="I23" s="4">
        <f>AE23</f>
        <v/>
      </c>
      <c r="J23" s="6">
        <f>AD23</f>
        <v/>
      </c>
      <c r="L23">
        <f>MAX(0,E23-H23*1.0*6)</f>
        <v/>
      </c>
      <c r="M23">
        <f>MAX(0,F23-H23*1.0*0.15*6)</f>
        <v/>
      </c>
      <c r="N23">
        <f>D23*((E23+L23)/2+(F23+M23)/2)*6</f>
        <v/>
      </c>
      <c r="O23">
        <f>MAX(0,L23-H23*0.92*31)</f>
        <v/>
      </c>
      <c r="P23">
        <f>MAX(0,M23-H23*0.92*0.25*31)</f>
        <v/>
      </c>
      <c r="Q23">
        <f>D23*((L23+O23)/2+(M23+P23)/2)*31</f>
        <v/>
      </c>
      <c r="R23">
        <f>MAX(0,O23-H23*0.92*31)</f>
        <v/>
      </c>
      <c r="S23">
        <f>MAX(0,P23-H23*0.92*0.35*31)</f>
        <v/>
      </c>
      <c r="T23">
        <f>D23*((O23+R23)/2+(P23+S23)/2)*31</f>
        <v/>
      </c>
      <c r="U23">
        <f>MAX(0,R23-H23*1.05*30)</f>
        <v/>
      </c>
      <c r="V23">
        <f>MAX(0,S23-H23*1.05*0.45*30)</f>
        <v/>
      </c>
      <c r="W23">
        <f>D23*((R23+U23)/2+(S23+V23)/2)*30</f>
        <v/>
      </c>
      <c r="X23">
        <f>MAX(0,U23-H23*1.12*31)</f>
        <v/>
      </c>
      <c r="Y23">
        <f>MAX(0,V23-H23*1.12*0.55*31)</f>
        <v/>
      </c>
      <c r="Z23">
        <f>D23*((U23+X23)/2+(V23+Y23)/2)*31</f>
        <v/>
      </c>
      <c r="AA23">
        <f>MAX(0,X23-H23*1.15*30)</f>
        <v/>
      </c>
      <c r="AB23">
        <f>MAX(0,Y23-H23*1.15*0.65*30)</f>
        <v/>
      </c>
      <c r="AC23">
        <f>D23*((X23+AA23)/2+(Y23+AB23)/2)*30</f>
        <v/>
      </c>
      <c r="AD23">
        <f>N23+Q23+T23+W23+Z23+AC23</f>
        <v/>
      </c>
      <c r="AE23">
        <f>AA23+AB23</f>
        <v/>
      </c>
    </row>
    <row r="24">
      <c r="A24" s="3" t="n">
        <v>212889025</v>
      </c>
      <c r="B24" s="3" t="inlineStr">
        <is>
          <t>ENOUGH Collagen whitening cover tip concealer #01 [9g]/Консилер для лица (новая карточка)</t>
        </is>
      </c>
      <c r="C24" s="4" t="n">
        <v>794</v>
      </c>
      <c r="D24" s="5" t="n">
        <v>0.1504</v>
      </c>
      <c r="E24" s="4">
        <f>ROUND(C24*0.68961,0)</f>
        <v/>
      </c>
      <c r="F24" s="4">
        <f>C24-E24</f>
        <v/>
      </c>
      <c r="G24" s="6">
        <f>D24*C24*159</f>
        <v/>
      </c>
      <c r="H24" s="6" t="n">
        <v>2.2</v>
      </c>
      <c r="I24" s="4">
        <f>AE24</f>
        <v/>
      </c>
      <c r="J24" s="6">
        <f>AD24</f>
        <v/>
      </c>
      <c r="L24">
        <f>MAX(0,E24-H24*1.0*6)</f>
        <v/>
      </c>
      <c r="M24">
        <f>MAX(0,F24-H24*1.0*0.15*6)</f>
        <v/>
      </c>
      <c r="N24">
        <f>D24*((E24+L24)/2+(F24+M24)/2)*6</f>
        <v/>
      </c>
      <c r="O24">
        <f>MAX(0,L24-H24*0.92*31)</f>
        <v/>
      </c>
      <c r="P24">
        <f>MAX(0,M24-H24*0.92*0.25*31)</f>
        <v/>
      </c>
      <c r="Q24">
        <f>D24*((L24+O24)/2+(M24+P24)/2)*31</f>
        <v/>
      </c>
      <c r="R24">
        <f>MAX(0,O24-H24*0.92*31)</f>
        <v/>
      </c>
      <c r="S24">
        <f>MAX(0,P24-H24*0.92*0.35*31)</f>
        <v/>
      </c>
      <c r="T24">
        <f>D24*((O24+R24)/2+(P24+S24)/2)*31</f>
        <v/>
      </c>
      <c r="U24">
        <f>MAX(0,R24-H24*1.05*30)</f>
        <v/>
      </c>
      <c r="V24">
        <f>MAX(0,S24-H24*1.05*0.45*30)</f>
        <v/>
      </c>
      <c r="W24">
        <f>D24*((R24+U24)/2+(S24+V24)/2)*30</f>
        <v/>
      </c>
      <c r="X24">
        <f>MAX(0,U24-H24*1.12*31)</f>
        <v/>
      </c>
      <c r="Y24">
        <f>MAX(0,V24-H24*1.12*0.55*31)</f>
        <v/>
      </c>
      <c r="Z24">
        <f>D24*((U24+X24)/2+(V24+Y24)/2)*31</f>
        <v/>
      </c>
      <c r="AA24">
        <f>MAX(0,X24-H24*1.15*30)</f>
        <v/>
      </c>
      <c r="AB24">
        <f>MAX(0,Y24-H24*1.15*0.65*30)</f>
        <v/>
      </c>
      <c r="AC24">
        <f>D24*((X24+AA24)/2+(Y24+AB24)/2)*30</f>
        <v/>
      </c>
      <c r="AD24">
        <f>N24+Q24+T24+W24+Z24+AC24</f>
        <v/>
      </c>
      <c r="AE24">
        <f>AA24+AB24</f>
        <v/>
      </c>
    </row>
    <row r="25">
      <c r="A25" s="3" t="n">
        <v>212889027</v>
      </c>
      <c r="B25" s="3" t="inlineStr">
        <is>
          <t>ENOUGH Collagen whitening cover tip concealer #02 [9g]/Консилер для лица (новая карточка)</t>
        </is>
      </c>
      <c r="C25" s="4" t="n">
        <v>864</v>
      </c>
      <c r="D25" s="5" t="n">
        <v>0.1492</v>
      </c>
      <c r="E25" s="4">
        <f>ROUND(C25*0.68961,0)</f>
        <v/>
      </c>
      <c r="F25" s="4">
        <f>C25-E25</f>
        <v/>
      </c>
      <c r="G25" s="6">
        <f>D25*C25*159</f>
        <v/>
      </c>
      <c r="H25" s="6" t="n">
        <v>1.96</v>
      </c>
      <c r="I25" s="4">
        <f>AE25</f>
        <v/>
      </c>
      <c r="J25" s="6">
        <f>AD25</f>
        <v/>
      </c>
      <c r="L25">
        <f>MAX(0,E25-H25*1.0*6)</f>
        <v/>
      </c>
      <c r="M25">
        <f>MAX(0,F25-H25*1.0*0.15*6)</f>
        <v/>
      </c>
      <c r="N25">
        <f>D25*((E25+L25)/2+(F25+M25)/2)*6</f>
        <v/>
      </c>
      <c r="O25">
        <f>MAX(0,L25-H25*0.92*31)</f>
        <v/>
      </c>
      <c r="P25">
        <f>MAX(0,M25-H25*0.92*0.25*31)</f>
        <v/>
      </c>
      <c r="Q25">
        <f>D25*((L25+O25)/2+(M25+P25)/2)*31</f>
        <v/>
      </c>
      <c r="R25">
        <f>MAX(0,O25-H25*0.92*31)</f>
        <v/>
      </c>
      <c r="S25">
        <f>MAX(0,P25-H25*0.92*0.35*31)</f>
        <v/>
      </c>
      <c r="T25">
        <f>D25*((O25+R25)/2+(P25+S25)/2)*31</f>
        <v/>
      </c>
      <c r="U25">
        <f>MAX(0,R25-H25*1.05*30)</f>
        <v/>
      </c>
      <c r="V25">
        <f>MAX(0,S25-H25*1.05*0.45*30)</f>
        <v/>
      </c>
      <c r="W25">
        <f>D25*((R25+U25)/2+(S25+V25)/2)*30</f>
        <v/>
      </c>
      <c r="X25">
        <f>MAX(0,U25-H25*1.12*31)</f>
        <v/>
      </c>
      <c r="Y25">
        <f>MAX(0,V25-H25*1.12*0.55*31)</f>
        <v/>
      </c>
      <c r="Z25">
        <f>D25*((U25+X25)/2+(V25+Y25)/2)*31</f>
        <v/>
      </c>
      <c r="AA25">
        <f>MAX(0,X25-H25*1.15*30)</f>
        <v/>
      </c>
      <c r="AB25">
        <f>MAX(0,Y25-H25*1.15*0.65*30)</f>
        <v/>
      </c>
      <c r="AC25">
        <f>D25*((X25+AA25)/2+(Y25+AB25)/2)*30</f>
        <v/>
      </c>
      <c r="AD25">
        <f>N25+Q25+T25+W25+Z25+AC25</f>
        <v/>
      </c>
      <c r="AE25">
        <f>AA25+AB25</f>
        <v/>
      </c>
    </row>
    <row r="26">
      <c r="A26" s="3" t="n">
        <v>212889028</v>
      </c>
      <c r="B26" s="3" t="inlineStr">
        <is>
          <t>ENOUGH Collagen whitening cover tip concealer #03 [9g]/ Консилер для лица (новая карточка)</t>
        </is>
      </c>
      <c r="C26" s="4" t="n">
        <v>935</v>
      </c>
      <c r="D26" s="5" t="n">
        <v>0.1514</v>
      </c>
      <c r="E26" s="4">
        <f>ROUND(C26*0.68961,0)</f>
        <v/>
      </c>
      <c r="F26" s="4">
        <f>C26-E26</f>
        <v/>
      </c>
      <c r="G26" s="6">
        <f>D26*C26*159</f>
        <v/>
      </c>
      <c r="H26" s="6" t="n">
        <v>1.39</v>
      </c>
      <c r="I26" s="4">
        <f>AE26</f>
        <v/>
      </c>
      <c r="J26" s="6">
        <f>AD26</f>
        <v/>
      </c>
      <c r="L26">
        <f>MAX(0,E26-H26*1.0*6)</f>
        <v/>
      </c>
      <c r="M26">
        <f>MAX(0,F26-H26*1.0*0.15*6)</f>
        <v/>
      </c>
      <c r="N26">
        <f>D26*((E26+L26)/2+(F26+M26)/2)*6</f>
        <v/>
      </c>
      <c r="O26">
        <f>MAX(0,L26-H26*0.92*31)</f>
        <v/>
      </c>
      <c r="P26">
        <f>MAX(0,M26-H26*0.92*0.25*31)</f>
        <v/>
      </c>
      <c r="Q26">
        <f>D26*((L26+O26)/2+(M26+P26)/2)*31</f>
        <v/>
      </c>
      <c r="R26">
        <f>MAX(0,O26-H26*0.92*31)</f>
        <v/>
      </c>
      <c r="S26">
        <f>MAX(0,P26-H26*0.92*0.35*31)</f>
        <v/>
      </c>
      <c r="T26">
        <f>D26*((O26+R26)/2+(P26+S26)/2)*31</f>
        <v/>
      </c>
      <c r="U26">
        <f>MAX(0,R26-H26*1.05*30)</f>
        <v/>
      </c>
      <c r="V26">
        <f>MAX(0,S26-H26*1.05*0.45*30)</f>
        <v/>
      </c>
      <c r="W26">
        <f>D26*((R26+U26)/2+(S26+V26)/2)*30</f>
        <v/>
      </c>
      <c r="X26">
        <f>MAX(0,U26-H26*1.12*31)</f>
        <v/>
      </c>
      <c r="Y26">
        <f>MAX(0,V26-H26*1.12*0.55*31)</f>
        <v/>
      </c>
      <c r="Z26">
        <f>D26*((U26+X26)/2+(V26+Y26)/2)*31</f>
        <v/>
      </c>
      <c r="AA26">
        <f>MAX(0,X26-H26*1.15*30)</f>
        <v/>
      </c>
      <c r="AB26">
        <f>MAX(0,Y26-H26*1.15*0.65*30)</f>
        <v/>
      </c>
      <c r="AC26">
        <f>D26*((X26+AA26)/2+(Y26+AB26)/2)*30</f>
        <v/>
      </c>
      <c r="AD26">
        <f>N26+Q26+T26+W26+Z26+AC26</f>
        <v/>
      </c>
      <c r="AE26">
        <f>AA26+AB26</f>
        <v/>
      </c>
    </row>
    <row r="27">
      <c r="A27" s="3" t="n">
        <v>238358954</v>
      </c>
      <c r="B27" s="3" t="inlineStr">
        <is>
          <t>ENOUGH - Collagen 3in1 Sun Cream SPF50 PA+++ [50ml] / отбеливающий увлажняющий солнцезащитный крем 3в1</t>
        </is>
      </c>
      <c r="C27" s="4" t="n">
        <v>373</v>
      </c>
      <c r="D27" s="5" t="n">
        <v>0.1633</v>
      </c>
      <c r="E27" s="4">
        <f>ROUND(C27*0.68961,0)</f>
        <v/>
      </c>
      <c r="F27" s="4">
        <f>C27-E27</f>
        <v/>
      </c>
      <c r="G27" s="6">
        <f>D27*C27*159</f>
        <v/>
      </c>
      <c r="H27" s="6" t="n">
        <v>27.54</v>
      </c>
      <c r="I27" s="4">
        <f>AE27</f>
        <v/>
      </c>
      <c r="J27" s="6">
        <f>AD27</f>
        <v/>
      </c>
      <c r="L27">
        <f>MAX(0,E27-H27*1.0*6)</f>
        <v/>
      </c>
      <c r="M27">
        <f>MAX(0,F27-H27*1.0*0.15*6)</f>
        <v/>
      </c>
      <c r="N27">
        <f>D27*((E27+L27)/2+(F27+M27)/2)*6</f>
        <v/>
      </c>
      <c r="O27">
        <f>MAX(0,L27-H27*0.92*31)</f>
        <v/>
      </c>
      <c r="P27">
        <f>MAX(0,M27-H27*0.92*0.25*31)</f>
        <v/>
      </c>
      <c r="Q27">
        <f>D27*((L27+O27)/2+(M27+P27)/2)*31</f>
        <v/>
      </c>
      <c r="R27">
        <f>MAX(0,O27-H27*0.92*31)</f>
        <v/>
      </c>
      <c r="S27">
        <f>MAX(0,P27-H27*0.92*0.35*31)</f>
        <v/>
      </c>
      <c r="T27">
        <f>D27*((O27+R27)/2+(P27+S27)/2)*31</f>
        <v/>
      </c>
      <c r="U27">
        <f>MAX(0,R27-H27*1.05*30)</f>
        <v/>
      </c>
      <c r="V27">
        <f>MAX(0,S27-H27*1.05*0.45*30)</f>
        <v/>
      </c>
      <c r="W27">
        <f>D27*((R27+U27)/2+(S27+V27)/2)*30</f>
        <v/>
      </c>
      <c r="X27">
        <f>MAX(0,U27-H27*1.12*31)</f>
        <v/>
      </c>
      <c r="Y27">
        <f>MAX(0,V27-H27*1.12*0.55*31)</f>
        <v/>
      </c>
      <c r="Z27">
        <f>D27*((U27+X27)/2+(V27+Y27)/2)*31</f>
        <v/>
      </c>
      <c r="AA27">
        <f>MAX(0,X27-H27*1.15*30)</f>
        <v/>
      </c>
      <c r="AB27">
        <f>MAX(0,Y27-H27*1.15*0.65*30)</f>
        <v/>
      </c>
      <c r="AC27">
        <f>D27*((X27+AA27)/2+(Y27+AB27)/2)*30</f>
        <v/>
      </c>
      <c r="AD27">
        <f>N27+Q27+T27+W27+Z27+AC27</f>
        <v/>
      </c>
      <c r="AE27">
        <f>AA27+AB27</f>
        <v/>
      </c>
    </row>
    <row r="28">
      <c r="A28" s="3" t="n">
        <v>238413828</v>
      </c>
      <c r="B28" s="3" t="inlineStr">
        <is>
          <t>ENOUGH - Collagen Moisture BB Cream SPF47 PA+++ [50ml] / Увлажняющий BB крем с коллагеном</t>
        </is>
      </c>
      <c r="C28" s="4" t="n">
        <v>725</v>
      </c>
      <c r="D28" s="5" t="n">
        <v>0.0925</v>
      </c>
      <c r="E28" s="4">
        <f>ROUND(C28*0.68961,0)</f>
        <v/>
      </c>
      <c r="F28" s="4">
        <f>C28-E28</f>
        <v/>
      </c>
      <c r="G28" s="6">
        <f>D28*C28*159</f>
        <v/>
      </c>
      <c r="H28" s="6" t="n">
        <v>2.82</v>
      </c>
      <c r="I28" s="4">
        <f>AE28</f>
        <v/>
      </c>
      <c r="J28" s="6">
        <f>AD28</f>
        <v/>
      </c>
      <c r="L28">
        <f>MAX(0,E28-H28*1.0*6)</f>
        <v/>
      </c>
      <c r="M28">
        <f>MAX(0,F28-H28*1.0*0.15*6)</f>
        <v/>
      </c>
      <c r="N28">
        <f>D28*((E28+L28)/2+(F28+M28)/2)*6</f>
        <v/>
      </c>
      <c r="O28">
        <f>MAX(0,L28-H28*0.92*31)</f>
        <v/>
      </c>
      <c r="P28">
        <f>MAX(0,M28-H28*0.92*0.25*31)</f>
        <v/>
      </c>
      <c r="Q28">
        <f>D28*((L28+O28)/2+(M28+P28)/2)*31</f>
        <v/>
      </c>
      <c r="R28">
        <f>MAX(0,O28-H28*0.92*31)</f>
        <v/>
      </c>
      <c r="S28">
        <f>MAX(0,P28-H28*0.92*0.35*31)</f>
        <v/>
      </c>
      <c r="T28">
        <f>D28*((O28+R28)/2+(P28+S28)/2)*31</f>
        <v/>
      </c>
      <c r="U28">
        <f>MAX(0,R28-H28*1.05*30)</f>
        <v/>
      </c>
      <c r="V28">
        <f>MAX(0,S28-H28*1.05*0.45*30)</f>
        <v/>
      </c>
      <c r="W28">
        <f>D28*((R28+U28)/2+(S28+V28)/2)*30</f>
        <v/>
      </c>
      <c r="X28">
        <f>MAX(0,U28-H28*1.12*31)</f>
        <v/>
      </c>
      <c r="Y28">
        <f>MAX(0,V28-H28*1.12*0.55*31)</f>
        <v/>
      </c>
      <c r="Z28">
        <f>D28*((U28+X28)/2+(V28+Y28)/2)*31</f>
        <v/>
      </c>
      <c r="AA28">
        <f>MAX(0,X28-H28*1.15*30)</f>
        <v/>
      </c>
      <c r="AB28">
        <f>MAX(0,Y28-H28*1.15*0.65*30)</f>
        <v/>
      </c>
      <c r="AC28">
        <f>D28*((X28+AA28)/2+(Y28+AB28)/2)*30</f>
        <v/>
      </c>
      <c r="AD28">
        <f>N28+Q28+T28+W28+Z28+AC28</f>
        <v/>
      </c>
      <c r="AE28">
        <f>AA28+AB28</f>
        <v/>
      </c>
    </row>
    <row r="29">
      <c r="A29" s="3" t="n">
        <v>154160085</v>
      </c>
      <c r="B29" s="3" t="inlineStr">
        <is>
          <t>ETUDE - Baking Powder Crunch Pore Scrub [24*7ml] / Очищающий скраб для лица с содой</t>
        </is>
      </c>
      <c r="C29" s="4" t="n">
        <v>264</v>
      </c>
      <c r="D29" s="5" t="n">
        <v>0.1858</v>
      </c>
      <c r="E29" s="4">
        <f>ROUND(C29*0.68961,0)</f>
        <v/>
      </c>
      <c r="F29" s="4">
        <f>C29-E29</f>
        <v/>
      </c>
      <c r="G29" s="6">
        <f>D29*C29*159</f>
        <v/>
      </c>
      <c r="H29" s="6" t="n">
        <v>2.09</v>
      </c>
      <c r="I29" s="4">
        <f>AE29</f>
        <v/>
      </c>
      <c r="J29" s="6">
        <f>AD29</f>
        <v/>
      </c>
      <c r="L29">
        <f>MAX(0,E29-H29*1.0*6)</f>
        <v/>
      </c>
      <c r="M29">
        <f>MAX(0,F29-H29*1.0*0.15*6)</f>
        <v/>
      </c>
      <c r="N29">
        <f>D29*((E29+L29)/2+(F29+M29)/2)*6</f>
        <v/>
      </c>
      <c r="O29">
        <f>MAX(0,L29-H29*0.92*31)</f>
        <v/>
      </c>
      <c r="P29">
        <f>MAX(0,M29-H29*0.92*0.25*31)</f>
        <v/>
      </c>
      <c r="Q29">
        <f>D29*((L29+O29)/2+(M29+P29)/2)*31</f>
        <v/>
      </c>
      <c r="R29">
        <f>MAX(0,O29-H29*0.92*31)</f>
        <v/>
      </c>
      <c r="S29">
        <f>MAX(0,P29-H29*0.92*0.35*31)</f>
        <v/>
      </c>
      <c r="T29">
        <f>D29*((O29+R29)/2+(P29+S29)/2)*31</f>
        <v/>
      </c>
      <c r="U29">
        <f>MAX(0,R29-H29*1.05*30)</f>
        <v/>
      </c>
      <c r="V29">
        <f>MAX(0,S29-H29*1.05*0.45*30)</f>
        <v/>
      </c>
      <c r="W29">
        <f>D29*((R29+U29)/2+(S29+V29)/2)*30</f>
        <v/>
      </c>
      <c r="X29">
        <f>MAX(0,U29-H29*1.12*31)</f>
        <v/>
      </c>
      <c r="Y29">
        <f>MAX(0,V29-H29*1.12*0.55*31)</f>
        <v/>
      </c>
      <c r="Z29">
        <f>D29*((U29+X29)/2+(V29+Y29)/2)*31</f>
        <v/>
      </c>
      <c r="AA29">
        <f>MAX(0,X29-H29*1.15*30)</f>
        <v/>
      </c>
      <c r="AB29">
        <f>MAX(0,Y29-H29*1.15*0.65*30)</f>
        <v/>
      </c>
      <c r="AC29">
        <f>D29*((X29+AA29)/2+(Y29+AB29)/2)*30</f>
        <v/>
      </c>
      <c r="AD29">
        <f>N29+Q29+T29+W29+Z29+AC29</f>
        <v/>
      </c>
      <c r="AE29">
        <f>AA29+AB29</f>
        <v/>
      </c>
    </row>
    <row r="30">
      <c r="A30" s="3" t="n">
        <v>207476309</v>
      </c>
      <c r="B30" s="3" t="inlineStr">
        <is>
          <t>FARMSTAY - Argan Oil Complete Volume Up Shampoo &amp; Conditioner [530ml] / Шампунь-кондиционер с аргановым маслом</t>
        </is>
      </c>
      <c r="C30" s="4" t="n">
        <v>3268</v>
      </c>
      <c r="D30" s="5" t="n">
        <v>0.3027</v>
      </c>
      <c r="E30" s="4">
        <f>ROUND(C30*0.68961,0)</f>
        <v/>
      </c>
      <c r="F30" s="4">
        <f>C30-E30</f>
        <v/>
      </c>
      <c r="G30" s="6">
        <f>D30*C30*159</f>
        <v/>
      </c>
      <c r="H30" s="6" t="n">
        <v>14.06</v>
      </c>
      <c r="I30" s="4">
        <f>AE30</f>
        <v/>
      </c>
      <c r="J30" s="6">
        <f>AD30</f>
        <v/>
      </c>
      <c r="L30">
        <f>MAX(0,E30-H30*1.0*6)</f>
        <v/>
      </c>
      <c r="M30">
        <f>MAX(0,F30-H30*1.0*0.15*6)</f>
        <v/>
      </c>
      <c r="N30">
        <f>D30*((E30+L30)/2+(F30+M30)/2)*6</f>
        <v/>
      </c>
      <c r="O30">
        <f>MAX(0,L30-H30*0.92*31)</f>
        <v/>
      </c>
      <c r="P30">
        <f>MAX(0,M30-H30*0.92*0.25*31)</f>
        <v/>
      </c>
      <c r="Q30">
        <f>D30*((L30+O30)/2+(M30+P30)/2)*31</f>
        <v/>
      </c>
      <c r="R30">
        <f>MAX(0,O30-H30*0.92*31)</f>
        <v/>
      </c>
      <c r="S30">
        <f>MAX(0,P30-H30*0.92*0.35*31)</f>
        <v/>
      </c>
      <c r="T30">
        <f>D30*((O30+R30)/2+(P30+S30)/2)*31</f>
        <v/>
      </c>
      <c r="U30">
        <f>MAX(0,R30-H30*1.05*30)</f>
        <v/>
      </c>
      <c r="V30">
        <f>MAX(0,S30-H30*1.05*0.45*30)</f>
        <v/>
      </c>
      <c r="W30">
        <f>D30*((R30+U30)/2+(S30+V30)/2)*30</f>
        <v/>
      </c>
      <c r="X30">
        <f>MAX(0,U30-H30*1.12*31)</f>
        <v/>
      </c>
      <c r="Y30">
        <f>MAX(0,V30-H30*1.12*0.55*31)</f>
        <v/>
      </c>
      <c r="Z30">
        <f>D30*((U30+X30)/2+(V30+Y30)/2)*31</f>
        <v/>
      </c>
      <c r="AA30">
        <f>MAX(0,X30-H30*1.15*30)</f>
        <v/>
      </c>
      <c r="AB30">
        <f>MAX(0,Y30-H30*1.15*0.65*30)</f>
        <v/>
      </c>
      <c r="AC30">
        <f>D30*((X30+AA30)/2+(Y30+AB30)/2)*30</f>
        <v/>
      </c>
      <c r="AD30">
        <f>N30+Q30+T30+W30+Z30+AC30</f>
        <v/>
      </c>
      <c r="AE30">
        <f>AA30+AB30</f>
        <v/>
      </c>
    </row>
    <row r="31">
      <c r="A31" s="3" t="n">
        <v>207475898</v>
      </c>
      <c r="B31" s="3" t="inlineStr">
        <is>
          <t>FARMSTAY - Collagen Water Full Shampoo &amp; Conditioner [530ml] / Шампунь-кондиционер 2в1 с коллагеном</t>
        </is>
      </c>
      <c r="C31" s="4" t="n">
        <v>4181</v>
      </c>
      <c r="D31" s="5" t="n">
        <v>0.2001</v>
      </c>
      <c r="E31" s="4">
        <f>ROUND(C31*0.68961,0)</f>
        <v/>
      </c>
      <c r="F31" s="4">
        <f>C31-E31</f>
        <v/>
      </c>
      <c r="G31" s="6">
        <f>D31*C31*159</f>
        <v/>
      </c>
      <c r="H31" s="6" t="n">
        <v>9.789999999999999</v>
      </c>
      <c r="I31" s="4">
        <f>AE31</f>
        <v/>
      </c>
      <c r="J31" s="6">
        <f>AD31</f>
        <v/>
      </c>
      <c r="L31">
        <f>MAX(0,E31-H31*1.0*6)</f>
        <v/>
      </c>
      <c r="M31">
        <f>MAX(0,F31-H31*1.0*0.15*6)</f>
        <v/>
      </c>
      <c r="N31">
        <f>D31*((E31+L31)/2+(F31+M31)/2)*6</f>
        <v/>
      </c>
      <c r="O31">
        <f>MAX(0,L31-H31*0.92*31)</f>
        <v/>
      </c>
      <c r="P31">
        <f>MAX(0,M31-H31*0.92*0.25*31)</f>
        <v/>
      </c>
      <c r="Q31">
        <f>D31*((L31+O31)/2+(M31+P31)/2)*31</f>
        <v/>
      </c>
      <c r="R31">
        <f>MAX(0,O31-H31*0.92*31)</f>
        <v/>
      </c>
      <c r="S31">
        <f>MAX(0,P31-H31*0.92*0.35*31)</f>
        <v/>
      </c>
      <c r="T31">
        <f>D31*((O31+R31)/2+(P31+S31)/2)*31</f>
        <v/>
      </c>
      <c r="U31">
        <f>MAX(0,R31-H31*1.05*30)</f>
        <v/>
      </c>
      <c r="V31">
        <f>MAX(0,S31-H31*1.05*0.45*30)</f>
        <v/>
      </c>
      <c r="W31">
        <f>D31*((R31+U31)/2+(S31+V31)/2)*30</f>
        <v/>
      </c>
      <c r="X31">
        <f>MAX(0,U31-H31*1.12*31)</f>
        <v/>
      </c>
      <c r="Y31">
        <f>MAX(0,V31-H31*1.12*0.55*31)</f>
        <v/>
      </c>
      <c r="Z31">
        <f>D31*((U31+X31)/2+(V31+Y31)/2)*31</f>
        <v/>
      </c>
      <c r="AA31">
        <f>MAX(0,X31-H31*1.15*30)</f>
        <v/>
      </c>
      <c r="AB31">
        <f>MAX(0,Y31-H31*1.15*0.65*30)</f>
        <v/>
      </c>
      <c r="AC31">
        <f>D31*((X31+AA31)/2+(Y31+AB31)/2)*30</f>
        <v/>
      </c>
      <c r="AD31">
        <f>N31+Q31+T31+W31+Z31+AC31</f>
        <v/>
      </c>
      <c r="AE31">
        <f>AA31+AB31</f>
        <v/>
      </c>
    </row>
    <row r="32">
      <c r="A32" s="3" t="n">
        <v>207477077</v>
      </c>
      <c r="B32" s="3" t="inlineStr">
        <is>
          <t>FARMSTAY - Collagen Water Full Moist Cream [100g] / Увлажняющий крем с коллагеном</t>
        </is>
      </c>
      <c r="C32" s="4" t="n">
        <v>595</v>
      </c>
      <c r="D32" s="5" t="n">
        <v>0.1512</v>
      </c>
      <c r="E32" s="4">
        <f>ROUND(C32*0.68961,0)</f>
        <v/>
      </c>
      <c r="F32" s="4">
        <f>C32-E32</f>
        <v/>
      </c>
      <c r="G32" s="6">
        <f>D32*C32*159</f>
        <v/>
      </c>
      <c r="H32" s="6" t="n">
        <v>5.3</v>
      </c>
      <c r="I32" s="4">
        <f>AE32</f>
        <v/>
      </c>
      <c r="J32" s="6">
        <f>AD32</f>
        <v/>
      </c>
      <c r="L32">
        <f>MAX(0,E32-H32*1.0*6)</f>
        <v/>
      </c>
      <c r="M32">
        <f>MAX(0,F32-H32*1.0*0.15*6)</f>
        <v/>
      </c>
      <c r="N32">
        <f>D32*((E32+L32)/2+(F32+M32)/2)*6</f>
        <v/>
      </c>
      <c r="O32">
        <f>MAX(0,L32-H32*0.92*31)</f>
        <v/>
      </c>
      <c r="P32">
        <f>MAX(0,M32-H32*0.92*0.25*31)</f>
        <v/>
      </c>
      <c r="Q32">
        <f>D32*((L32+O32)/2+(M32+P32)/2)*31</f>
        <v/>
      </c>
      <c r="R32">
        <f>MAX(0,O32-H32*0.92*31)</f>
        <v/>
      </c>
      <c r="S32">
        <f>MAX(0,P32-H32*0.92*0.35*31)</f>
        <v/>
      </c>
      <c r="T32">
        <f>D32*((O32+R32)/2+(P32+S32)/2)*31</f>
        <v/>
      </c>
      <c r="U32">
        <f>MAX(0,R32-H32*1.05*30)</f>
        <v/>
      </c>
      <c r="V32">
        <f>MAX(0,S32-H32*1.05*0.45*30)</f>
        <v/>
      </c>
      <c r="W32">
        <f>D32*((R32+U32)/2+(S32+V32)/2)*30</f>
        <v/>
      </c>
      <c r="X32">
        <f>MAX(0,U32-H32*1.12*31)</f>
        <v/>
      </c>
      <c r="Y32">
        <f>MAX(0,V32-H32*1.12*0.55*31)</f>
        <v/>
      </c>
      <c r="Z32">
        <f>D32*((U32+X32)/2+(V32+Y32)/2)*31</f>
        <v/>
      </c>
      <c r="AA32">
        <f>MAX(0,X32-H32*1.15*30)</f>
        <v/>
      </c>
      <c r="AB32">
        <f>MAX(0,Y32-H32*1.15*0.65*30)</f>
        <v/>
      </c>
      <c r="AC32">
        <f>D32*((X32+AA32)/2+(Y32+AB32)/2)*30</f>
        <v/>
      </c>
      <c r="AD32">
        <f>N32+Q32+T32+W32+Z32+AC32</f>
        <v/>
      </c>
      <c r="AE32">
        <f>AA32+AB32</f>
        <v/>
      </c>
    </row>
    <row r="33">
      <c r="A33" s="3" t="n">
        <v>207476777</v>
      </c>
      <c r="B33" s="3" t="inlineStr">
        <is>
          <t>FARMSTAY - Collagen Pure Cleansing Foam [180ml]/Пенка для умывания</t>
        </is>
      </c>
      <c r="C33" s="4" t="n">
        <v>515</v>
      </c>
      <c r="D33" s="5" t="n">
        <v>0.1447</v>
      </c>
      <c r="E33" s="4">
        <f>ROUND(C33*0.68961,0)</f>
        <v/>
      </c>
      <c r="F33" s="4">
        <f>C33-E33</f>
        <v/>
      </c>
      <c r="G33" s="6">
        <f>D33*C33*159</f>
        <v/>
      </c>
      <c r="H33" s="6" t="n">
        <v>1.74</v>
      </c>
      <c r="I33" s="4">
        <f>AE33</f>
        <v/>
      </c>
      <c r="J33" s="6">
        <f>AD33</f>
        <v/>
      </c>
      <c r="L33">
        <f>MAX(0,E33-H33*1.0*6)</f>
        <v/>
      </c>
      <c r="M33">
        <f>MAX(0,F33-H33*1.0*0.15*6)</f>
        <v/>
      </c>
      <c r="N33">
        <f>D33*((E33+L33)/2+(F33+M33)/2)*6</f>
        <v/>
      </c>
      <c r="O33">
        <f>MAX(0,L33-H33*0.92*31)</f>
        <v/>
      </c>
      <c r="P33">
        <f>MAX(0,M33-H33*0.92*0.25*31)</f>
        <v/>
      </c>
      <c r="Q33">
        <f>D33*((L33+O33)/2+(M33+P33)/2)*31</f>
        <v/>
      </c>
      <c r="R33">
        <f>MAX(0,O33-H33*0.92*31)</f>
        <v/>
      </c>
      <c r="S33">
        <f>MAX(0,P33-H33*0.92*0.35*31)</f>
        <v/>
      </c>
      <c r="T33">
        <f>D33*((O33+R33)/2+(P33+S33)/2)*31</f>
        <v/>
      </c>
      <c r="U33">
        <f>MAX(0,R33-H33*1.05*30)</f>
        <v/>
      </c>
      <c r="V33">
        <f>MAX(0,S33-H33*1.05*0.45*30)</f>
        <v/>
      </c>
      <c r="W33">
        <f>D33*((R33+U33)/2+(S33+V33)/2)*30</f>
        <v/>
      </c>
      <c r="X33">
        <f>MAX(0,U33-H33*1.12*31)</f>
        <v/>
      </c>
      <c r="Y33">
        <f>MAX(0,V33-H33*1.12*0.55*31)</f>
        <v/>
      </c>
      <c r="Z33">
        <f>D33*((U33+X33)/2+(V33+Y33)/2)*31</f>
        <v/>
      </c>
      <c r="AA33">
        <f>MAX(0,X33-H33*1.15*30)</f>
        <v/>
      </c>
      <c r="AB33">
        <f>MAX(0,Y33-H33*1.15*0.65*30)</f>
        <v/>
      </c>
      <c r="AC33">
        <f>D33*((X33+AA33)/2+(Y33+AB33)/2)*30</f>
        <v/>
      </c>
      <c r="AD33">
        <f>N33+Q33+T33+W33+Z33+AC33</f>
        <v/>
      </c>
      <c r="AE33">
        <f>AA33+AB33</f>
        <v/>
      </c>
    </row>
    <row r="34">
      <c r="A34" s="3" t="n">
        <v>206126372</v>
      </c>
      <c r="B34" s="3" t="inlineStr">
        <is>
          <t>I'm Sorry For My Skin - Age Capture Vitalizer Cream / Увлажняющий капсульный крем</t>
        </is>
      </c>
      <c r="C34" s="4" t="n">
        <v>109</v>
      </c>
      <c r="D34" s="5" t="n">
        <v>0.1519</v>
      </c>
      <c r="E34" s="4">
        <f>ROUND(C34*0.68961,0)</f>
        <v/>
      </c>
      <c r="F34" s="4">
        <f>C34-E34</f>
        <v/>
      </c>
      <c r="G34" s="6">
        <f>D34*C34*159</f>
        <v/>
      </c>
      <c r="H34" s="6" t="n">
        <v>1.79</v>
      </c>
      <c r="I34" s="4">
        <f>AE34</f>
        <v/>
      </c>
      <c r="J34" s="6">
        <f>AD34</f>
        <v/>
      </c>
      <c r="L34">
        <f>MAX(0,E34-H34*1.0*6)</f>
        <v/>
      </c>
      <c r="M34">
        <f>MAX(0,F34-H34*1.0*0.15*6)</f>
        <v/>
      </c>
      <c r="N34">
        <f>D34*((E34+L34)/2+(F34+M34)/2)*6</f>
        <v/>
      </c>
      <c r="O34">
        <f>MAX(0,L34-H34*0.92*31)</f>
        <v/>
      </c>
      <c r="P34">
        <f>MAX(0,M34-H34*0.92*0.25*31)</f>
        <v/>
      </c>
      <c r="Q34">
        <f>D34*((L34+O34)/2+(M34+P34)/2)*31</f>
        <v/>
      </c>
      <c r="R34">
        <f>MAX(0,O34-H34*0.92*31)</f>
        <v/>
      </c>
      <c r="S34">
        <f>MAX(0,P34-H34*0.92*0.35*31)</f>
        <v/>
      </c>
      <c r="T34">
        <f>D34*((O34+R34)/2+(P34+S34)/2)*31</f>
        <v/>
      </c>
      <c r="U34">
        <f>MAX(0,R34-H34*1.05*30)</f>
        <v/>
      </c>
      <c r="V34">
        <f>MAX(0,S34-H34*1.05*0.45*30)</f>
        <v/>
      </c>
      <c r="W34">
        <f>D34*((R34+U34)/2+(S34+V34)/2)*30</f>
        <v/>
      </c>
      <c r="X34">
        <f>MAX(0,U34-H34*1.12*31)</f>
        <v/>
      </c>
      <c r="Y34">
        <f>MAX(0,V34-H34*1.12*0.55*31)</f>
        <v/>
      </c>
      <c r="Z34">
        <f>D34*((U34+X34)/2+(V34+Y34)/2)*31</f>
        <v/>
      </c>
      <c r="AA34">
        <f>MAX(0,X34-H34*1.15*30)</f>
        <v/>
      </c>
      <c r="AB34">
        <f>MAX(0,Y34-H34*1.15*0.65*30)</f>
        <v/>
      </c>
      <c r="AC34">
        <f>D34*((X34+AA34)/2+(Y34+AB34)/2)*30</f>
        <v/>
      </c>
      <c r="AD34">
        <f>N34+Q34+T34+W34+Z34+AC34</f>
        <v/>
      </c>
      <c r="AE34">
        <f>AA34+AB34</f>
        <v/>
      </c>
    </row>
    <row r="35">
      <c r="A35" s="3" t="n">
        <v>207818000</v>
      </c>
      <c r="B35" s="3" t="inlineStr">
        <is>
          <t>ISNTREE - Chestnut AHA 8% Clear Essence Sample [20ml] / Увлажняющая эссенция для глубокого очищения лица</t>
        </is>
      </c>
      <c r="C35" s="4" t="n">
        <v>43</v>
      </c>
      <c r="D35" s="5" t="n">
        <v>0.1359</v>
      </c>
      <c r="E35" s="4">
        <f>ROUND(C35*0.68961,0)</f>
        <v/>
      </c>
      <c r="F35" s="4">
        <f>C35-E35</f>
        <v/>
      </c>
      <c r="G35" s="6">
        <f>D35*C35*159</f>
        <v/>
      </c>
      <c r="H35" s="6" t="n">
        <v>0.44</v>
      </c>
      <c r="I35" s="4">
        <f>AE35</f>
        <v/>
      </c>
      <c r="J35" s="6">
        <f>AD35</f>
        <v/>
      </c>
      <c r="L35">
        <f>MAX(0,E35-H35*1.0*6)</f>
        <v/>
      </c>
      <c r="M35">
        <f>MAX(0,F35-H35*1.0*0.15*6)</f>
        <v/>
      </c>
      <c r="N35">
        <f>D35*((E35+L35)/2+(F35+M35)/2)*6</f>
        <v/>
      </c>
      <c r="O35">
        <f>MAX(0,L35-H35*0.92*31)</f>
        <v/>
      </c>
      <c r="P35">
        <f>MAX(0,M35-H35*0.92*0.25*31)</f>
        <v/>
      </c>
      <c r="Q35">
        <f>D35*((L35+O35)/2+(M35+P35)/2)*31</f>
        <v/>
      </c>
      <c r="R35">
        <f>MAX(0,O35-H35*0.92*31)</f>
        <v/>
      </c>
      <c r="S35">
        <f>MAX(0,P35-H35*0.92*0.35*31)</f>
        <v/>
      </c>
      <c r="T35">
        <f>D35*((O35+R35)/2+(P35+S35)/2)*31</f>
        <v/>
      </c>
      <c r="U35">
        <f>MAX(0,R35-H35*1.05*30)</f>
        <v/>
      </c>
      <c r="V35">
        <f>MAX(0,S35-H35*1.05*0.45*30)</f>
        <v/>
      </c>
      <c r="W35">
        <f>D35*((R35+U35)/2+(S35+V35)/2)*30</f>
        <v/>
      </c>
      <c r="X35">
        <f>MAX(0,U35-H35*1.12*31)</f>
        <v/>
      </c>
      <c r="Y35">
        <f>MAX(0,V35-H35*1.12*0.55*31)</f>
        <v/>
      </c>
      <c r="Z35">
        <f>D35*((U35+X35)/2+(V35+Y35)/2)*31</f>
        <v/>
      </c>
      <c r="AA35">
        <f>MAX(0,X35-H35*1.15*30)</f>
        <v/>
      </c>
      <c r="AB35">
        <f>MAX(0,Y35-H35*1.15*0.65*30)</f>
        <v/>
      </c>
      <c r="AC35">
        <f>D35*((X35+AA35)/2+(Y35+AB35)/2)*30</f>
        <v/>
      </c>
      <c r="AD35">
        <f>N35+Q35+T35+W35+Z35+AC35</f>
        <v/>
      </c>
      <c r="AE35">
        <f>AA35+AB35</f>
        <v/>
      </c>
    </row>
    <row r="36">
      <c r="A36" s="3" t="n">
        <v>212753217</v>
      </c>
      <c r="B36" s="3" t="inlineStr">
        <is>
          <t>JIGOTT - Collagen Healing Cream [100ml] / Крем для лица с коллагеном</t>
        </is>
      </c>
      <c r="C36" s="4" t="n">
        <v>128</v>
      </c>
      <c r="D36" s="5" t="n">
        <v>0.1612</v>
      </c>
      <c r="E36" s="4">
        <f>ROUND(C36*0.68961,0)</f>
        <v/>
      </c>
      <c r="F36" s="4">
        <f>C36-E36</f>
        <v/>
      </c>
      <c r="G36" s="6">
        <f>D36*C36*159</f>
        <v/>
      </c>
      <c r="H36" s="6" t="n">
        <v>1.12</v>
      </c>
      <c r="I36" s="4">
        <f>AE36</f>
        <v/>
      </c>
      <c r="J36" s="6">
        <f>AD36</f>
        <v/>
      </c>
      <c r="L36">
        <f>MAX(0,E36-H36*1.0*6)</f>
        <v/>
      </c>
      <c r="M36">
        <f>MAX(0,F36-H36*1.0*0.15*6)</f>
        <v/>
      </c>
      <c r="N36">
        <f>D36*((E36+L36)/2+(F36+M36)/2)*6</f>
        <v/>
      </c>
      <c r="O36">
        <f>MAX(0,L36-H36*0.92*31)</f>
        <v/>
      </c>
      <c r="P36">
        <f>MAX(0,M36-H36*0.92*0.25*31)</f>
        <v/>
      </c>
      <c r="Q36">
        <f>D36*((L36+O36)/2+(M36+P36)/2)*31</f>
        <v/>
      </c>
      <c r="R36">
        <f>MAX(0,O36-H36*0.92*31)</f>
        <v/>
      </c>
      <c r="S36">
        <f>MAX(0,P36-H36*0.92*0.35*31)</f>
        <v/>
      </c>
      <c r="T36">
        <f>D36*((O36+R36)/2+(P36+S36)/2)*31</f>
        <v/>
      </c>
      <c r="U36">
        <f>MAX(0,R36-H36*1.05*30)</f>
        <v/>
      </c>
      <c r="V36">
        <f>MAX(0,S36-H36*1.05*0.45*30)</f>
        <v/>
      </c>
      <c r="W36">
        <f>D36*((R36+U36)/2+(S36+V36)/2)*30</f>
        <v/>
      </c>
      <c r="X36">
        <f>MAX(0,U36-H36*1.12*31)</f>
        <v/>
      </c>
      <c r="Y36">
        <f>MAX(0,V36-H36*1.12*0.55*31)</f>
        <v/>
      </c>
      <c r="Z36">
        <f>D36*((U36+X36)/2+(V36+Y36)/2)*31</f>
        <v/>
      </c>
      <c r="AA36">
        <f>MAX(0,X36-H36*1.15*30)</f>
        <v/>
      </c>
      <c r="AB36">
        <f>MAX(0,Y36-H36*1.15*0.65*30)</f>
        <v/>
      </c>
      <c r="AC36">
        <f>D36*((X36+AA36)/2+(Y36+AB36)/2)*30</f>
        <v/>
      </c>
      <c r="AD36">
        <f>N36+Q36+T36+W36+Z36+AC36</f>
        <v/>
      </c>
      <c r="AE36">
        <f>AA36+AB36</f>
        <v/>
      </c>
    </row>
    <row r="37">
      <c r="A37" s="3" t="n">
        <v>255574453</v>
      </c>
      <c r="B37" s="3" t="inlineStr">
        <is>
          <t>JIGOTT - Ассорти набор масок [27ml х 15]</t>
        </is>
      </c>
      <c r="C37" s="4" t="n">
        <v>1383</v>
      </c>
      <c r="D37" s="5" t="n">
        <v>0.1834</v>
      </c>
      <c r="E37" s="4">
        <f>ROUND(C37*0.68961,0)</f>
        <v/>
      </c>
      <c r="F37" s="4">
        <f>C37-E37</f>
        <v/>
      </c>
      <c r="G37" s="6">
        <f>D37*C37*159</f>
        <v/>
      </c>
      <c r="H37" s="6" t="n">
        <v>0.6899999999999999</v>
      </c>
      <c r="I37" s="4">
        <f>AE37</f>
        <v/>
      </c>
      <c r="J37" s="6">
        <f>AD37</f>
        <v/>
      </c>
      <c r="L37">
        <f>MAX(0,E37-H37*1.0*6)</f>
        <v/>
      </c>
      <c r="M37">
        <f>MAX(0,F37-H37*1.0*0.15*6)</f>
        <v/>
      </c>
      <c r="N37">
        <f>D37*((E37+L37)/2+(F37+M37)/2)*6</f>
        <v/>
      </c>
      <c r="O37">
        <f>MAX(0,L37-H37*0.92*31)</f>
        <v/>
      </c>
      <c r="P37">
        <f>MAX(0,M37-H37*0.92*0.25*31)</f>
        <v/>
      </c>
      <c r="Q37">
        <f>D37*((L37+O37)/2+(M37+P37)/2)*31</f>
        <v/>
      </c>
      <c r="R37">
        <f>MAX(0,O37-H37*0.92*31)</f>
        <v/>
      </c>
      <c r="S37">
        <f>MAX(0,P37-H37*0.92*0.35*31)</f>
        <v/>
      </c>
      <c r="T37">
        <f>D37*((O37+R37)/2+(P37+S37)/2)*31</f>
        <v/>
      </c>
      <c r="U37">
        <f>MAX(0,R37-H37*1.05*30)</f>
        <v/>
      </c>
      <c r="V37">
        <f>MAX(0,S37-H37*1.05*0.45*30)</f>
        <v/>
      </c>
      <c r="W37">
        <f>D37*((R37+U37)/2+(S37+V37)/2)*30</f>
        <v/>
      </c>
      <c r="X37">
        <f>MAX(0,U37-H37*1.12*31)</f>
        <v/>
      </c>
      <c r="Y37">
        <f>MAX(0,V37-H37*1.12*0.55*31)</f>
        <v/>
      </c>
      <c r="Z37">
        <f>D37*((U37+X37)/2+(V37+Y37)/2)*31</f>
        <v/>
      </c>
      <c r="AA37">
        <f>MAX(0,X37-H37*1.15*30)</f>
        <v/>
      </c>
      <c r="AB37">
        <f>MAX(0,Y37-H37*1.15*0.65*30)</f>
        <v/>
      </c>
      <c r="AC37">
        <f>D37*((X37+AA37)/2+(Y37+AB37)/2)*30</f>
        <v/>
      </c>
      <c r="AD37">
        <f>N37+Q37+T37+W37+Z37+AC37</f>
        <v/>
      </c>
      <c r="AE37">
        <f>AA37+AB37</f>
        <v/>
      </c>
    </row>
    <row r="38">
      <c r="A38" s="3" t="n">
        <v>214977901</v>
      </c>
      <c r="B38" s="3" t="inlineStr">
        <is>
          <t>JMSOLUTION - MASK PACK BLACK [30ml*10ea] - ассорти набор 10шт в упаковке</t>
        </is>
      </c>
      <c r="C38" s="4" t="n">
        <v>1042</v>
      </c>
      <c r="D38" s="5" t="n">
        <v>0.1891</v>
      </c>
      <c r="E38" s="4">
        <f>ROUND(C38*0.68961,0)</f>
        <v/>
      </c>
      <c r="F38" s="4">
        <f>C38-E38</f>
        <v/>
      </c>
      <c r="G38" s="6">
        <f>D38*C38*159</f>
        <v/>
      </c>
      <c r="H38" s="6" t="n">
        <v>3.34</v>
      </c>
      <c r="I38" s="4">
        <f>AE38</f>
        <v/>
      </c>
      <c r="J38" s="6">
        <f>AD38</f>
        <v/>
      </c>
      <c r="L38">
        <f>MAX(0,E38-H38*1.0*6)</f>
        <v/>
      </c>
      <c r="M38">
        <f>MAX(0,F38-H38*1.0*0.15*6)</f>
        <v/>
      </c>
      <c r="N38">
        <f>D38*((E38+L38)/2+(F38+M38)/2)*6</f>
        <v/>
      </c>
      <c r="O38">
        <f>MAX(0,L38-H38*0.92*31)</f>
        <v/>
      </c>
      <c r="P38">
        <f>MAX(0,M38-H38*0.92*0.25*31)</f>
        <v/>
      </c>
      <c r="Q38">
        <f>D38*((L38+O38)/2+(M38+P38)/2)*31</f>
        <v/>
      </c>
      <c r="R38">
        <f>MAX(0,O38-H38*0.92*31)</f>
        <v/>
      </c>
      <c r="S38">
        <f>MAX(0,P38-H38*0.92*0.35*31)</f>
        <v/>
      </c>
      <c r="T38">
        <f>D38*((O38+R38)/2+(P38+S38)/2)*31</f>
        <v/>
      </c>
      <c r="U38">
        <f>MAX(0,R38-H38*1.05*30)</f>
        <v/>
      </c>
      <c r="V38">
        <f>MAX(0,S38-H38*1.05*0.45*30)</f>
        <v/>
      </c>
      <c r="W38">
        <f>D38*((R38+U38)/2+(S38+V38)/2)*30</f>
        <v/>
      </c>
      <c r="X38">
        <f>MAX(0,U38-H38*1.12*31)</f>
        <v/>
      </c>
      <c r="Y38">
        <f>MAX(0,V38-H38*1.12*0.55*31)</f>
        <v/>
      </c>
      <c r="Z38">
        <f>D38*((U38+X38)/2+(V38+Y38)/2)*31</f>
        <v/>
      </c>
      <c r="AA38">
        <f>MAX(0,X38-H38*1.15*30)</f>
        <v/>
      </c>
      <c r="AB38">
        <f>MAX(0,Y38-H38*1.15*0.65*30)</f>
        <v/>
      </c>
      <c r="AC38">
        <f>D38*((X38+AA38)/2+(Y38+AB38)/2)*30</f>
        <v/>
      </c>
      <c r="AD38">
        <f>N38+Q38+T38+W38+Z38+AC38</f>
        <v/>
      </c>
      <c r="AE38">
        <f>AA38+AB38</f>
        <v/>
      </c>
    </row>
    <row r="39">
      <c r="A39" s="3" t="n">
        <v>214964091</v>
      </c>
      <c r="B39" s="3" t="inlineStr">
        <is>
          <t>JMSOLUTION - MASK PACK DISNEY [30ml*10ea] - ассорти набор из 10шт</t>
        </is>
      </c>
      <c r="C39" s="4" t="n">
        <v>835</v>
      </c>
      <c r="D39" s="5" t="n">
        <v>0.1844</v>
      </c>
      <c r="E39" s="4">
        <f>ROUND(C39*0.68961,0)</f>
        <v/>
      </c>
      <c r="F39" s="4">
        <f>C39-E39</f>
        <v/>
      </c>
      <c r="G39" s="6">
        <f>D39*C39*159</f>
        <v/>
      </c>
      <c r="H39" s="6" t="n">
        <v>5.9</v>
      </c>
      <c r="I39" s="4">
        <f>AE39</f>
        <v/>
      </c>
      <c r="J39" s="6">
        <f>AD39</f>
        <v/>
      </c>
      <c r="L39">
        <f>MAX(0,E39-H39*1.0*6)</f>
        <v/>
      </c>
      <c r="M39">
        <f>MAX(0,F39-H39*1.0*0.15*6)</f>
        <v/>
      </c>
      <c r="N39">
        <f>D39*((E39+L39)/2+(F39+M39)/2)*6</f>
        <v/>
      </c>
      <c r="O39">
        <f>MAX(0,L39-H39*0.92*31)</f>
        <v/>
      </c>
      <c r="P39">
        <f>MAX(0,M39-H39*0.92*0.25*31)</f>
        <v/>
      </c>
      <c r="Q39">
        <f>D39*((L39+O39)/2+(M39+P39)/2)*31</f>
        <v/>
      </c>
      <c r="R39">
        <f>MAX(0,O39-H39*0.92*31)</f>
        <v/>
      </c>
      <c r="S39">
        <f>MAX(0,P39-H39*0.92*0.35*31)</f>
        <v/>
      </c>
      <c r="T39">
        <f>D39*((O39+R39)/2+(P39+S39)/2)*31</f>
        <v/>
      </c>
      <c r="U39">
        <f>MAX(0,R39-H39*1.05*30)</f>
        <v/>
      </c>
      <c r="V39">
        <f>MAX(0,S39-H39*1.05*0.45*30)</f>
        <v/>
      </c>
      <c r="W39">
        <f>D39*((R39+U39)/2+(S39+V39)/2)*30</f>
        <v/>
      </c>
      <c r="X39">
        <f>MAX(0,U39-H39*1.12*31)</f>
        <v/>
      </c>
      <c r="Y39">
        <f>MAX(0,V39-H39*1.12*0.55*31)</f>
        <v/>
      </c>
      <c r="Z39">
        <f>D39*((U39+X39)/2+(V39+Y39)/2)*31</f>
        <v/>
      </c>
      <c r="AA39">
        <f>MAX(0,X39-H39*1.15*30)</f>
        <v/>
      </c>
      <c r="AB39">
        <f>MAX(0,Y39-H39*1.15*0.65*30)</f>
        <v/>
      </c>
      <c r="AC39">
        <f>D39*((X39+AA39)/2+(Y39+AB39)/2)*30</f>
        <v/>
      </c>
      <c r="AD39">
        <f>N39+Q39+T39+W39+Z39+AC39</f>
        <v/>
      </c>
      <c r="AE39">
        <f>AA39+AB39</f>
        <v/>
      </c>
    </row>
    <row r="40">
      <c r="A40" s="3" t="n">
        <v>210575566</v>
      </c>
      <c r="B40" s="3" t="inlineStr">
        <is>
          <t>LEBELAGE - Dr. Peptide Derma Eye Cream [40ml] / Крем для глаз антивозрастной с пептидами</t>
        </is>
      </c>
      <c r="C40" s="4" t="n">
        <v>420</v>
      </c>
      <c r="D40" s="5" t="n">
        <v>0.1534</v>
      </c>
      <c r="E40" s="4">
        <f>ROUND(C40*0.68961,0)</f>
        <v/>
      </c>
      <c r="F40" s="4">
        <f>C40-E40</f>
        <v/>
      </c>
      <c r="G40" s="6">
        <f>D40*C40*159</f>
        <v/>
      </c>
      <c r="H40" s="6" t="n">
        <v>0.74</v>
      </c>
      <c r="I40" s="4">
        <f>AE40</f>
        <v/>
      </c>
      <c r="J40" s="6">
        <f>AD40</f>
        <v/>
      </c>
      <c r="L40">
        <f>MAX(0,E40-H40*1.0*6)</f>
        <v/>
      </c>
      <c r="M40">
        <f>MAX(0,F40-H40*1.0*0.15*6)</f>
        <v/>
      </c>
      <c r="N40">
        <f>D40*((E40+L40)/2+(F40+M40)/2)*6</f>
        <v/>
      </c>
      <c r="O40">
        <f>MAX(0,L40-H40*0.92*31)</f>
        <v/>
      </c>
      <c r="P40">
        <f>MAX(0,M40-H40*0.92*0.25*31)</f>
        <v/>
      </c>
      <c r="Q40">
        <f>D40*((L40+O40)/2+(M40+P40)/2)*31</f>
        <v/>
      </c>
      <c r="R40">
        <f>MAX(0,O40-H40*0.92*31)</f>
        <v/>
      </c>
      <c r="S40">
        <f>MAX(0,P40-H40*0.92*0.35*31)</f>
        <v/>
      </c>
      <c r="T40">
        <f>D40*((O40+R40)/2+(P40+S40)/2)*31</f>
        <v/>
      </c>
      <c r="U40">
        <f>MAX(0,R40-H40*1.05*30)</f>
        <v/>
      </c>
      <c r="V40">
        <f>MAX(0,S40-H40*1.05*0.45*30)</f>
        <v/>
      </c>
      <c r="W40">
        <f>D40*((R40+U40)/2+(S40+V40)/2)*30</f>
        <v/>
      </c>
      <c r="X40">
        <f>MAX(0,U40-H40*1.12*31)</f>
        <v/>
      </c>
      <c r="Y40">
        <f>MAX(0,V40-H40*1.12*0.55*31)</f>
        <v/>
      </c>
      <c r="Z40">
        <f>D40*((U40+X40)/2+(V40+Y40)/2)*31</f>
        <v/>
      </c>
      <c r="AA40">
        <f>MAX(0,X40-H40*1.15*30)</f>
        <v/>
      </c>
      <c r="AB40">
        <f>MAX(0,Y40-H40*1.15*0.65*30)</f>
        <v/>
      </c>
      <c r="AC40">
        <f>D40*((X40+AA40)/2+(Y40+AB40)/2)*30</f>
        <v/>
      </c>
      <c r="AD40">
        <f>N40+Q40+T40+W40+Z40+AC40</f>
        <v/>
      </c>
      <c r="AE40">
        <f>AA40+AB40</f>
        <v/>
      </c>
    </row>
    <row r="41">
      <c r="A41" s="3" t="n">
        <v>868761530</v>
      </c>
      <c r="B41" s="3" t="inlineStr">
        <is>
          <t>LANEIGE LIP SLEEPING MASK-BERRY [3g]</t>
        </is>
      </c>
      <c r="C41" s="4" t="n">
        <v>634</v>
      </c>
      <c r="D41" s="5" t="n">
        <v>0.1502</v>
      </c>
      <c r="E41" s="4">
        <f>ROUND(C41*0.68961,0)</f>
        <v/>
      </c>
      <c r="F41" s="4">
        <f>C41-E41</f>
        <v/>
      </c>
      <c r="G41" s="6">
        <f>D41*C41*159</f>
        <v/>
      </c>
      <c r="H41" s="6" t="n">
        <v>2.71</v>
      </c>
      <c r="I41" s="4">
        <f>AE41</f>
        <v/>
      </c>
      <c r="J41" s="6">
        <f>AD41</f>
        <v/>
      </c>
      <c r="L41">
        <f>MAX(0,E41-H41*1.0*6)</f>
        <v/>
      </c>
      <c r="M41">
        <f>MAX(0,F41-H41*1.0*0.15*6)</f>
        <v/>
      </c>
      <c r="N41">
        <f>D41*((E41+L41)/2+(F41+M41)/2)*6</f>
        <v/>
      </c>
      <c r="O41">
        <f>MAX(0,L41-H41*0.92*31)</f>
        <v/>
      </c>
      <c r="P41">
        <f>MAX(0,M41-H41*0.92*0.25*31)</f>
        <v/>
      </c>
      <c r="Q41">
        <f>D41*((L41+O41)/2+(M41+P41)/2)*31</f>
        <v/>
      </c>
      <c r="R41">
        <f>MAX(0,O41-H41*0.92*31)</f>
        <v/>
      </c>
      <c r="S41">
        <f>MAX(0,P41-H41*0.92*0.35*31)</f>
        <v/>
      </c>
      <c r="T41">
        <f>D41*((O41+R41)/2+(P41+S41)/2)*31</f>
        <v/>
      </c>
      <c r="U41">
        <f>MAX(0,R41-H41*1.05*30)</f>
        <v/>
      </c>
      <c r="V41">
        <f>MAX(0,S41-H41*1.05*0.45*30)</f>
        <v/>
      </c>
      <c r="W41">
        <f>D41*((R41+U41)/2+(S41+V41)/2)*30</f>
        <v/>
      </c>
      <c r="X41">
        <f>MAX(0,U41-H41*1.12*31)</f>
        <v/>
      </c>
      <c r="Y41">
        <f>MAX(0,V41-H41*1.12*0.55*31)</f>
        <v/>
      </c>
      <c r="Z41">
        <f>D41*((U41+X41)/2+(V41+Y41)/2)*31</f>
        <v/>
      </c>
      <c r="AA41">
        <f>MAX(0,X41-H41*1.15*30)</f>
        <v/>
      </c>
      <c r="AB41">
        <f>MAX(0,Y41-H41*1.15*0.65*30)</f>
        <v/>
      </c>
      <c r="AC41">
        <f>D41*((X41+AA41)/2+(Y41+AB41)/2)*30</f>
        <v/>
      </c>
      <c r="AD41">
        <f>N41+Q41+T41+W41+Z41+AC41</f>
        <v/>
      </c>
      <c r="AE41">
        <f>AA41+AB41</f>
        <v/>
      </c>
    </row>
    <row r="42">
      <c r="A42" s="3" t="n">
        <v>183030830</v>
      </c>
      <c r="B42" s="3" t="inlineStr">
        <is>
          <t>MASIL - 8 Seconds Salon Hair Mask 350ml Set [350ml+8ml*2]</t>
        </is>
      </c>
      <c r="C42" s="4" t="n">
        <v>119</v>
      </c>
      <c r="D42" s="5" t="n">
        <v>0.3346</v>
      </c>
      <c r="E42" s="4">
        <f>ROUND(C42*0.68961,0)</f>
        <v/>
      </c>
      <c r="F42" s="4">
        <f>C42-E42</f>
        <v/>
      </c>
      <c r="G42" s="6">
        <f>D42*C42*159</f>
        <v/>
      </c>
      <c r="H42" s="6" t="n">
        <v>0.72</v>
      </c>
      <c r="I42" s="4">
        <f>AE42</f>
        <v/>
      </c>
      <c r="J42" s="6">
        <f>AD42</f>
        <v/>
      </c>
      <c r="L42">
        <f>MAX(0,E42-H42*1.0*6)</f>
        <v/>
      </c>
      <c r="M42">
        <f>MAX(0,F42-H42*1.0*0.15*6)</f>
        <v/>
      </c>
      <c r="N42">
        <f>D42*((E42+L42)/2+(F42+M42)/2)*6</f>
        <v/>
      </c>
      <c r="O42">
        <f>MAX(0,L42-H42*0.92*31)</f>
        <v/>
      </c>
      <c r="P42">
        <f>MAX(0,M42-H42*0.92*0.25*31)</f>
        <v/>
      </c>
      <c r="Q42">
        <f>D42*((L42+O42)/2+(M42+P42)/2)*31</f>
        <v/>
      </c>
      <c r="R42">
        <f>MAX(0,O42-H42*0.92*31)</f>
        <v/>
      </c>
      <c r="S42">
        <f>MAX(0,P42-H42*0.92*0.35*31)</f>
        <v/>
      </c>
      <c r="T42">
        <f>D42*((O42+R42)/2+(P42+S42)/2)*31</f>
        <v/>
      </c>
      <c r="U42">
        <f>MAX(0,R42-H42*1.05*30)</f>
        <v/>
      </c>
      <c r="V42">
        <f>MAX(0,S42-H42*1.05*0.45*30)</f>
        <v/>
      </c>
      <c r="W42">
        <f>D42*((R42+U42)/2+(S42+V42)/2)*30</f>
        <v/>
      </c>
      <c r="X42">
        <f>MAX(0,U42-H42*1.12*31)</f>
        <v/>
      </c>
      <c r="Y42">
        <f>MAX(0,V42-H42*1.12*0.55*31)</f>
        <v/>
      </c>
      <c r="Z42">
        <f>D42*((U42+X42)/2+(V42+Y42)/2)*31</f>
        <v/>
      </c>
      <c r="AA42">
        <f>MAX(0,X42-H42*1.15*30)</f>
        <v/>
      </c>
      <c r="AB42">
        <f>MAX(0,Y42-H42*1.15*0.65*30)</f>
        <v/>
      </c>
      <c r="AC42">
        <f>D42*((X42+AA42)/2+(Y42+AB42)/2)*30</f>
        <v/>
      </c>
      <c r="AD42">
        <f>N42+Q42+T42+W42+Z42+AC42</f>
        <v/>
      </c>
      <c r="AE42">
        <f>AA42+AB42</f>
        <v/>
      </c>
    </row>
    <row r="43">
      <c r="A43" s="3" t="n">
        <v>180992464</v>
      </c>
      <c r="B43" s="3" t="inlineStr">
        <is>
          <t>PETITFEE - Aura Quartz Hydrogel Eye Patch [60ea]</t>
        </is>
      </c>
      <c r="C43" s="4" t="n">
        <v>105</v>
      </c>
      <c r="D43" s="5" t="n">
        <v>0.1333</v>
      </c>
      <c r="E43" s="4">
        <f>ROUND(C43*0.68961,0)</f>
        <v/>
      </c>
      <c r="F43" s="4">
        <f>C43-E43</f>
        <v/>
      </c>
      <c r="G43" s="6">
        <f>D43*C43*159</f>
        <v/>
      </c>
      <c r="H43" s="6" t="n">
        <v>0.65</v>
      </c>
      <c r="I43" s="4">
        <f>AE43</f>
        <v/>
      </c>
      <c r="J43" s="6">
        <f>AD43</f>
        <v/>
      </c>
      <c r="L43">
        <f>MAX(0,E43-H43*1.0*6)</f>
        <v/>
      </c>
      <c r="M43">
        <f>MAX(0,F43-H43*1.0*0.15*6)</f>
        <v/>
      </c>
      <c r="N43">
        <f>D43*((E43+L43)/2+(F43+M43)/2)*6</f>
        <v/>
      </c>
      <c r="O43">
        <f>MAX(0,L43-H43*0.92*31)</f>
        <v/>
      </c>
      <c r="P43">
        <f>MAX(0,M43-H43*0.92*0.25*31)</f>
        <v/>
      </c>
      <c r="Q43">
        <f>D43*((L43+O43)/2+(M43+P43)/2)*31</f>
        <v/>
      </c>
      <c r="R43">
        <f>MAX(0,O43-H43*0.92*31)</f>
        <v/>
      </c>
      <c r="S43">
        <f>MAX(0,P43-H43*0.92*0.35*31)</f>
        <v/>
      </c>
      <c r="T43">
        <f>D43*((O43+R43)/2+(P43+S43)/2)*31</f>
        <v/>
      </c>
      <c r="U43">
        <f>MAX(0,R43-H43*1.05*30)</f>
        <v/>
      </c>
      <c r="V43">
        <f>MAX(0,S43-H43*1.05*0.45*30)</f>
        <v/>
      </c>
      <c r="W43">
        <f>D43*((R43+U43)/2+(S43+V43)/2)*30</f>
        <v/>
      </c>
      <c r="X43">
        <f>MAX(0,U43-H43*1.12*31)</f>
        <v/>
      </c>
      <c r="Y43">
        <f>MAX(0,V43-H43*1.12*0.55*31)</f>
        <v/>
      </c>
      <c r="Z43">
        <f>D43*((U43+X43)/2+(V43+Y43)/2)*31</f>
        <v/>
      </c>
      <c r="AA43">
        <f>MAX(0,X43-H43*1.15*30)</f>
        <v/>
      </c>
      <c r="AB43">
        <f>MAX(0,Y43-H43*1.15*0.65*30)</f>
        <v/>
      </c>
      <c r="AC43">
        <f>D43*((X43+AA43)/2+(Y43+AB43)/2)*30</f>
        <v/>
      </c>
      <c r="AD43">
        <f>N43+Q43+T43+W43+Z43+AC43</f>
        <v/>
      </c>
      <c r="AE43">
        <f>AA43+AB43</f>
        <v/>
      </c>
    </row>
    <row r="44">
      <c r="A44" s="3" t="n">
        <v>179611318</v>
      </c>
      <c r="B44" s="3" t="inlineStr">
        <is>
          <t>PETITFEE - Chamomile Lightening Hydrogel Eye Patch [60ea] / Успокаивающие гидрогелевые патчи для глаз с экстрактом ромашки</t>
        </is>
      </c>
      <c r="C44" s="4" t="n">
        <v>300</v>
      </c>
      <c r="D44" s="5" t="n">
        <v>0.1553</v>
      </c>
      <c r="E44" s="4">
        <f>ROUND(C44*0.68961,0)</f>
        <v/>
      </c>
      <c r="F44" s="4">
        <f>C44-E44</f>
        <v/>
      </c>
      <c r="G44" s="6">
        <f>D44*C44*159</f>
        <v/>
      </c>
      <c r="H44" s="6" t="n">
        <v>2.08</v>
      </c>
      <c r="I44" s="4">
        <f>AE44</f>
        <v/>
      </c>
      <c r="J44" s="6">
        <f>AD44</f>
        <v/>
      </c>
      <c r="L44">
        <f>MAX(0,E44-H44*1.0*6)</f>
        <v/>
      </c>
      <c r="M44">
        <f>MAX(0,F44-H44*1.0*0.15*6)</f>
        <v/>
      </c>
      <c r="N44">
        <f>D44*((E44+L44)/2+(F44+M44)/2)*6</f>
        <v/>
      </c>
      <c r="O44">
        <f>MAX(0,L44-H44*0.92*31)</f>
        <v/>
      </c>
      <c r="P44">
        <f>MAX(0,M44-H44*0.92*0.25*31)</f>
        <v/>
      </c>
      <c r="Q44">
        <f>D44*((L44+O44)/2+(M44+P44)/2)*31</f>
        <v/>
      </c>
      <c r="R44">
        <f>MAX(0,O44-H44*0.92*31)</f>
        <v/>
      </c>
      <c r="S44">
        <f>MAX(0,P44-H44*0.92*0.35*31)</f>
        <v/>
      </c>
      <c r="T44">
        <f>D44*((O44+R44)/2+(P44+S44)/2)*31</f>
        <v/>
      </c>
      <c r="U44">
        <f>MAX(0,R44-H44*1.05*30)</f>
        <v/>
      </c>
      <c r="V44">
        <f>MAX(0,S44-H44*1.05*0.45*30)</f>
        <v/>
      </c>
      <c r="W44">
        <f>D44*((R44+U44)/2+(S44+V44)/2)*30</f>
        <v/>
      </c>
      <c r="X44">
        <f>MAX(0,U44-H44*1.12*31)</f>
        <v/>
      </c>
      <c r="Y44">
        <f>MAX(0,V44-H44*1.12*0.55*31)</f>
        <v/>
      </c>
      <c r="Z44">
        <f>D44*((U44+X44)/2+(V44+Y44)/2)*31</f>
        <v/>
      </c>
      <c r="AA44">
        <f>MAX(0,X44-H44*1.15*30)</f>
        <v/>
      </c>
      <c r="AB44">
        <f>MAX(0,Y44-H44*1.15*0.65*30)</f>
        <v/>
      </c>
      <c r="AC44">
        <f>D44*((X44+AA44)/2+(Y44+AB44)/2)*30</f>
        <v/>
      </c>
      <c r="AD44">
        <f>N44+Q44+T44+W44+Z44+AC44</f>
        <v/>
      </c>
      <c r="AE44">
        <f>AA44+AB44</f>
        <v/>
      </c>
    </row>
    <row r="45">
      <c r="A45" s="3" t="n">
        <v>180987509</v>
      </c>
      <c r="B45" s="3" t="inlineStr">
        <is>
          <t>PETITFEE - Pink Vita Brightening Eye Patch [60ea] / Тканевые патчи для век увлажняющие</t>
        </is>
      </c>
      <c r="C45" s="4" t="n">
        <v>270</v>
      </c>
      <c r="D45" s="5" t="n">
        <v>0.1301</v>
      </c>
      <c r="E45" s="4">
        <f>ROUND(C45*0.68961,0)</f>
        <v/>
      </c>
      <c r="F45" s="4">
        <f>C45-E45</f>
        <v/>
      </c>
      <c r="G45" s="6">
        <f>D45*C45*159</f>
        <v/>
      </c>
      <c r="H45" s="6" t="n">
        <v>0.6899999999999999</v>
      </c>
      <c r="I45" s="4">
        <f>AE45</f>
        <v/>
      </c>
      <c r="J45" s="6">
        <f>AD45</f>
        <v/>
      </c>
      <c r="L45">
        <f>MAX(0,E45-H45*1.0*6)</f>
        <v/>
      </c>
      <c r="M45">
        <f>MAX(0,F45-H45*1.0*0.15*6)</f>
        <v/>
      </c>
      <c r="N45">
        <f>D45*((E45+L45)/2+(F45+M45)/2)*6</f>
        <v/>
      </c>
      <c r="O45">
        <f>MAX(0,L45-H45*0.92*31)</f>
        <v/>
      </c>
      <c r="P45">
        <f>MAX(0,M45-H45*0.92*0.25*31)</f>
        <v/>
      </c>
      <c r="Q45">
        <f>D45*((L45+O45)/2+(M45+P45)/2)*31</f>
        <v/>
      </c>
      <c r="R45">
        <f>MAX(0,O45-H45*0.92*31)</f>
        <v/>
      </c>
      <c r="S45">
        <f>MAX(0,P45-H45*0.92*0.35*31)</f>
        <v/>
      </c>
      <c r="T45">
        <f>D45*((O45+R45)/2+(P45+S45)/2)*31</f>
        <v/>
      </c>
      <c r="U45">
        <f>MAX(0,R45-H45*1.05*30)</f>
        <v/>
      </c>
      <c r="V45">
        <f>MAX(0,S45-H45*1.05*0.45*30)</f>
        <v/>
      </c>
      <c r="W45">
        <f>D45*((R45+U45)/2+(S45+V45)/2)*30</f>
        <v/>
      </c>
      <c r="X45">
        <f>MAX(0,U45-H45*1.12*31)</f>
        <v/>
      </c>
      <c r="Y45">
        <f>MAX(0,V45-H45*1.12*0.55*31)</f>
        <v/>
      </c>
      <c r="Z45">
        <f>D45*((U45+X45)/2+(V45+Y45)/2)*31</f>
        <v/>
      </c>
      <c r="AA45">
        <f>MAX(0,X45-H45*1.15*30)</f>
        <v/>
      </c>
      <c r="AB45">
        <f>MAX(0,Y45-H45*1.15*0.65*30)</f>
        <v/>
      </c>
      <c r="AC45">
        <f>D45*((X45+AA45)/2+(Y45+AB45)/2)*30</f>
        <v/>
      </c>
      <c r="AD45">
        <f>N45+Q45+T45+W45+Z45+AC45</f>
        <v/>
      </c>
      <c r="AE45">
        <f>AA45+AB45</f>
        <v/>
      </c>
    </row>
    <row r="46">
      <c r="A46" s="3" t="n">
        <v>437190353</v>
      </c>
      <c r="B46" s="3" t="inlineStr">
        <is>
          <t>ROUND LAB BIRCH JUICE MOISTURIZING CREAM_80ml -Увлажняющий крем с березовым соком</t>
        </is>
      </c>
      <c r="C46" s="4" t="n">
        <v>557</v>
      </c>
      <c r="D46" s="5" t="n">
        <v>0.1535</v>
      </c>
      <c r="E46" s="4">
        <f>ROUND(C46*0.68961,0)</f>
        <v/>
      </c>
      <c r="F46" s="4">
        <f>C46-E46</f>
        <v/>
      </c>
      <c r="G46" s="6">
        <f>D46*C46*159</f>
        <v/>
      </c>
      <c r="H46" s="6" t="n">
        <v>1.09</v>
      </c>
      <c r="I46" s="4">
        <f>AE46</f>
        <v/>
      </c>
      <c r="J46" s="6">
        <f>AD46</f>
        <v/>
      </c>
      <c r="L46">
        <f>MAX(0,E46-H46*1.0*6)</f>
        <v/>
      </c>
      <c r="M46">
        <f>MAX(0,F46-H46*1.0*0.15*6)</f>
        <v/>
      </c>
      <c r="N46">
        <f>D46*((E46+L46)/2+(F46+M46)/2)*6</f>
        <v/>
      </c>
      <c r="O46">
        <f>MAX(0,L46-H46*0.92*31)</f>
        <v/>
      </c>
      <c r="P46">
        <f>MAX(0,M46-H46*0.92*0.25*31)</f>
        <v/>
      </c>
      <c r="Q46">
        <f>D46*((L46+O46)/2+(M46+P46)/2)*31</f>
        <v/>
      </c>
      <c r="R46">
        <f>MAX(0,O46-H46*0.92*31)</f>
        <v/>
      </c>
      <c r="S46">
        <f>MAX(0,P46-H46*0.92*0.35*31)</f>
        <v/>
      </c>
      <c r="T46">
        <f>D46*((O46+R46)/2+(P46+S46)/2)*31</f>
        <v/>
      </c>
      <c r="U46">
        <f>MAX(0,R46-H46*1.05*30)</f>
        <v/>
      </c>
      <c r="V46">
        <f>MAX(0,S46-H46*1.05*0.45*30)</f>
        <v/>
      </c>
      <c r="W46">
        <f>D46*((R46+U46)/2+(S46+V46)/2)*30</f>
        <v/>
      </c>
      <c r="X46">
        <f>MAX(0,U46-H46*1.12*31)</f>
        <v/>
      </c>
      <c r="Y46">
        <f>MAX(0,V46-H46*1.12*0.55*31)</f>
        <v/>
      </c>
      <c r="Z46">
        <f>D46*((U46+X46)/2+(V46+Y46)/2)*31</f>
        <v/>
      </c>
      <c r="AA46">
        <f>MAX(0,X46-H46*1.15*30)</f>
        <v/>
      </c>
      <c r="AB46">
        <f>MAX(0,Y46-H46*1.15*0.65*30)</f>
        <v/>
      </c>
      <c r="AC46">
        <f>D46*((X46+AA46)/2+(Y46+AB46)/2)*30</f>
        <v/>
      </c>
      <c r="AD46">
        <f>N46+Q46+T46+W46+Z46+AC46</f>
        <v/>
      </c>
      <c r="AE46">
        <f>AA46+AB46</f>
        <v/>
      </c>
    </row>
    <row r="47">
      <c r="A47" s="3" t="n">
        <v>437254254</v>
      </c>
      <c r="B47" s="3" t="inlineStr">
        <is>
          <t>ROUND LAB SOYBEAN PANTHENOL CREAM_80ml - Крем для лица с чёрной соей и пантенолом успокаивающий</t>
        </is>
      </c>
      <c r="C47" s="4" t="n">
        <v>210</v>
      </c>
      <c r="D47" s="5" t="n">
        <v>0.1651</v>
      </c>
      <c r="E47" s="4">
        <f>ROUND(C47*0.68961,0)</f>
        <v/>
      </c>
      <c r="F47" s="4">
        <f>C47-E47</f>
        <v/>
      </c>
      <c r="G47" s="6">
        <f>D47*C47*159</f>
        <v/>
      </c>
      <c r="H47" s="6" t="n">
        <v>1.14</v>
      </c>
      <c r="I47" s="4">
        <f>AE47</f>
        <v/>
      </c>
      <c r="J47" s="6">
        <f>AD47</f>
        <v/>
      </c>
      <c r="L47">
        <f>MAX(0,E47-H47*1.0*6)</f>
        <v/>
      </c>
      <c r="M47">
        <f>MAX(0,F47-H47*1.0*0.15*6)</f>
        <v/>
      </c>
      <c r="N47">
        <f>D47*((E47+L47)/2+(F47+M47)/2)*6</f>
        <v/>
      </c>
      <c r="O47">
        <f>MAX(0,L47-H47*0.92*31)</f>
        <v/>
      </c>
      <c r="P47">
        <f>MAX(0,M47-H47*0.92*0.25*31)</f>
        <v/>
      </c>
      <c r="Q47">
        <f>D47*((L47+O47)/2+(M47+P47)/2)*31</f>
        <v/>
      </c>
      <c r="R47">
        <f>MAX(0,O47-H47*0.92*31)</f>
        <v/>
      </c>
      <c r="S47">
        <f>MAX(0,P47-H47*0.92*0.35*31)</f>
        <v/>
      </c>
      <c r="T47">
        <f>D47*((O47+R47)/2+(P47+S47)/2)*31</f>
        <v/>
      </c>
      <c r="U47">
        <f>MAX(0,R47-H47*1.05*30)</f>
        <v/>
      </c>
      <c r="V47">
        <f>MAX(0,S47-H47*1.05*0.45*30)</f>
        <v/>
      </c>
      <c r="W47">
        <f>D47*((R47+U47)/2+(S47+V47)/2)*30</f>
        <v/>
      </c>
      <c r="X47">
        <f>MAX(0,U47-H47*1.12*31)</f>
        <v/>
      </c>
      <c r="Y47">
        <f>MAX(0,V47-H47*1.12*0.55*31)</f>
        <v/>
      </c>
      <c r="Z47">
        <f>D47*((U47+X47)/2+(V47+Y47)/2)*31</f>
        <v/>
      </c>
      <c r="AA47">
        <f>MAX(0,X47-H47*1.15*30)</f>
        <v/>
      </c>
      <c r="AB47">
        <f>MAX(0,Y47-H47*1.15*0.65*30)</f>
        <v/>
      </c>
      <c r="AC47">
        <f>D47*((X47+AA47)/2+(Y47+AB47)/2)*30</f>
        <v/>
      </c>
      <c r="AD47">
        <f>N47+Q47+T47+W47+Z47+AC47</f>
        <v/>
      </c>
      <c r="AE47">
        <f>AA47+AB47</f>
        <v/>
      </c>
    </row>
    <row r="48">
      <c r="A48" s="3" t="n">
        <v>437776835</v>
      </c>
      <c r="B48" s="3" t="inlineStr">
        <is>
          <t>ROUND LAB PINE CALMING CICA AMPOULE_30ml - Сыворотка для жирной кожи лица увлажняющая с центеллой</t>
        </is>
      </c>
      <c r="C48" s="4" t="n">
        <v>75</v>
      </c>
      <c r="D48" s="5" t="n">
        <v>0.1584</v>
      </c>
      <c r="E48" s="4">
        <f>ROUND(C48*0.68961,0)</f>
        <v/>
      </c>
      <c r="F48" s="4">
        <f>C48-E48</f>
        <v/>
      </c>
      <c r="G48" s="6">
        <f>D48*C48*159</f>
        <v/>
      </c>
      <c r="H48" s="6" t="n">
        <v>1.07</v>
      </c>
      <c r="I48" s="4">
        <f>AE48</f>
        <v/>
      </c>
      <c r="J48" s="6">
        <f>AD48</f>
        <v/>
      </c>
      <c r="L48">
        <f>MAX(0,E48-H48*1.0*6)</f>
        <v/>
      </c>
      <c r="M48">
        <f>MAX(0,F48-H48*1.0*0.15*6)</f>
        <v/>
      </c>
      <c r="N48">
        <f>D48*((E48+L48)/2+(F48+M48)/2)*6</f>
        <v/>
      </c>
      <c r="O48">
        <f>MAX(0,L48-H48*0.92*31)</f>
        <v/>
      </c>
      <c r="P48">
        <f>MAX(0,M48-H48*0.92*0.25*31)</f>
        <v/>
      </c>
      <c r="Q48">
        <f>D48*((L48+O48)/2+(M48+P48)/2)*31</f>
        <v/>
      </c>
      <c r="R48">
        <f>MAX(0,O48-H48*0.92*31)</f>
        <v/>
      </c>
      <c r="S48">
        <f>MAX(0,P48-H48*0.92*0.35*31)</f>
        <v/>
      </c>
      <c r="T48">
        <f>D48*((O48+R48)/2+(P48+S48)/2)*31</f>
        <v/>
      </c>
      <c r="U48">
        <f>MAX(0,R48-H48*1.05*30)</f>
        <v/>
      </c>
      <c r="V48">
        <f>MAX(0,S48-H48*1.05*0.45*30)</f>
        <v/>
      </c>
      <c r="W48">
        <f>D48*((R48+U48)/2+(S48+V48)/2)*30</f>
        <v/>
      </c>
      <c r="X48">
        <f>MAX(0,U48-H48*1.12*31)</f>
        <v/>
      </c>
      <c r="Y48">
        <f>MAX(0,V48-H48*1.12*0.55*31)</f>
        <v/>
      </c>
      <c r="Z48">
        <f>D48*((U48+X48)/2+(V48+Y48)/2)*31</f>
        <v/>
      </c>
      <c r="AA48">
        <f>MAX(0,X48-H48*1.15*30)</f>
        <v/>
      </c>
      <c r="AB48">
        <f>MAX(0,Y48-H48*1.15*0.65*30)</f>
        <v/>
      </c>
      <c r="AC48">
        <f>D48*((X48+AA48)/2+(Y48+AB48)/2)*30</f>
        <v/>
      </c>
      <c r="AD48">
        <f>N48+Q48+T48+W48+Z48+AC48</f>
        <v/>
      </c>
      <c r="AE48">
        <f>AA48+AB48</f>
        <v/>
      </c>
    </row>
    <row r="49">
      <c r="A49" s="3" t="n">
        <v>214311963</v>
      </c>
      <c r="B49" s="3" t="inlineStr">
        <is>
          <t>SKIN1004 - Madagascar Centella Ampoule [30ml] / Сыворотка для лица успокаивающая из экстракта центеллы.</t>
        </is>
      </c>
      <c r="C49" s="4" t="n">
        <v>89</v>
      </c>
      <c r="D49" s="5" t="n">
        <v>0.148</v>
      </c>
      <c r="E49" s="4">
        <f>ROUND(C49*0.68961,0)</f>
        <v/>
      </c>
      <c r="F49" s="4">
        <f>C49-E49</f>
        <v/>
      </c>
      <c r="G49" s="6">
        <f>D49*C49*159</f>
        <v/>
      </c>
      <c r="H49" s="6" t="n">
        <v>0.5</v>
      </c>
      <c r="I49" s="4">
        <f>AE49</f>
        <v/>
      </c>
      <c r="J49" s="6">
        <f>AD49</f>
        <v/>
      </c>
      <c r="L49">
        <f>MAX(0,E49-H49*1.0*6)</f>
        <v/>
      </c>
      <c r="M49">
        <f>MAX(0,F49-H49*1.0*0.15*6)</f>
        <v/>
      </c>
      <c r="N49">
        <f>D49*((E49+L49)/2+(F49+M49)/2)*6</f>
        <v/>
      </c>
      <c r="O49">
        <f>MAX(0,L49-H49*0.92*31)</f>
        <v/>
      </c>
      <c r="P49">
        <f>MAX(0,M49-H49*0.92*0.25*31)</f>
        <v/>
      </c>
      <c r="Q49">
        <f>D49*((L49+O49)/2+(M49+P49)/2)*31</f>
        <v/>
      </c>
      <c r="R49">
        <f>MAX(0,O49-H49*0.92*31)</f>
        <v/>
      </c>
      <c r="S49">
        <f>MAX(0,P49-H49*0.92*0.35*31)</f>
        <v/>
      </c>
      <c r="T49">
        <f>D49*((O49+R49)/2+(P49+S49)/2)*31</f>
        <v/>
      </c>
      <c r="U49">
        <f>MAX(0,R49-H49*1.05*30)</f>
        <v/>
      </c>
      <c r="V49">
        <f>MAX(0,S49-H49*1.05*0.45*30)</f>
        <v/>
      </c>
      <c r="W49">
        <f>D49*((R49+U49)/2+(S49+V49)/2)*30</f>
        <v/>
      </c>
      <c r="X49">
        <f>MAX(0,U49-H49*1.12*31)</f>
        <v/>
      </c>
      <c r="Y49">
        <f>MAX(0,V49-H49*1.12*0.55*31)</f>
        <v/>
      </c>
      <c r="Z49">
        <f>D49*((U49+X49)/2+(V49+Y49)/2)*31</f>
        <v/>
      </c>
      <c r="AA49">
        <f>MAX(0,X49-H49*1.15*30)</f>
        <v/>
      </c>
      <c r="AB49">
        <f>MAX(0,Y49-H49*1.15*0.65*30)</f>
        <v/>
      </c>
      <c r="AC49">
        <f>D49*((X49+AA49)/2+(Y49+AB49)/2)*30</f>
        <v/>
      </c>
      <c r="AD49">
        <f>N49+Q49+T49+W49+Z49+AC49</f>
        <v/>
      </c>
      <c r="AE49">
        <f>AA49+AB49</f>
        <v/>
      </c>
    </row>
    <row r="50">
      <c r="A50" s="3" t="n">
        <v>214312149</v>
      </c>
      <c r="B50" s="3" t="inlineStr">
        <is>
          <t>SKIN1004 - Madagascar Centella Hyalu-Cica Sleeping Pack [30ml] / Увлажняющая гиалуроновая ночная маска для сухой кожи</t>
        </is>
      </c>
      <c r="C50" s="4" t="n">
        <v>83</v>
      </c>
      <c r="D50" s="5" t="n">
        <v>0.1449</v>
      </c>
      <c r="E50" s="4">
        <f>ROUND(C50*0.68961,0)</f>
        <v/>
      </c>
      <c r="F50" s="4">
        <f>C50-E50</f>
        <v/>
      </c>
      <c r="G50" s="6">
        <f>D50*C50*159</f>
        <v/>
      </c>
      <c r="H50" s="6" t="n">
        <v>0.15</v>
      </c>
      <c r="I50" s="4">
        <f>AE50</f>
        <v/>
      </c>
      <c r="J50" s="6">
        <f>AD50</f>
        <v/>
      </c>
      <c r="L50">
        <f>MAX(0,E50-H50*1.0*6)</f>
        <v/>
      </c>
      <c r="M50">
        <f>MAX(0,F50-H50*1.0*0.15*6)</f>
        <v/>
      </c>
      <c r="N50">
        <f>D50*((E50+L50)/2+(F50+M50)/2)*6</f>
        <v/>
      </c>
      <c r="O50">
        <f>MAX(0,L50-H50*0.92*31)</f>
        <v/>
      </c>
      <c r="P50">
        <f>MAX(0,M50-H50*0.92*0.25*31)</f>
        <v/>
      </c>
      <c r="Q50">
        <f>D50*((L50+O50)/2+(M50+P50)/2)*31</f>
        <v/>
      </c>
      <c r="R50">
        <f>MAX(0,O50-H50*0.92*31)</f>
        <v/>
      </c>
      <c r="S50">
        <f>MAX(0,P50-H50*0.92*0.35*31)</f>
        <v/>
      </c>
      <c r="T50">
        <f>D50*((O50+R50)/2+(P50+S50)/2)*31</f>
        <v/>
      </c>
      <c r="U50">
        <f>MAX(0,R50-H50*1.05*30)</f>
        <v/>
      </c>
      <c r="V50">
        <f>MAX(0,S50-H50*1.05*0.45*30)</f>
        <v/>
      </c>
      <c r="W50">
        <f>D50*((R50+U50)/2+(S50+V50)/2)*30</f>
        <v/>
      </c>
      <c r="X50">
        <f>MAX(0,U50-H50*1.12*31)</f>
        <v/>
      </c>
      <c r="Y50">
        <f>MAX(0,V50-H50*1.12*0.55*31)</f>
        <v/>
      </c>
      <c r="Z50">
        <f>D50*((U50+X50)/2+(V50+Y50)/2)*31</f>
        <v/>
      </c>
      <c r="AA50">
        <f>MAX(0,X50-H50*1.15*30)</f>
        <v/>
      </c>
      <c r="AB50">
        <f>MAX(0,Y50-H50*1.15*0.65*30)</f>
        <v/>
      </c>
      <c r="AC50">
        <f>D50*((X50+AA50)/2+(Y50+AB50)/2)*30</f>
        <v/>
      </c>
      <c r="AD50">
        <f>N50+Q50+T50+W50+Z50+AC50</f>
        <v/>
      </c>
      <c r="AE50">
        <f>AA50+AB50</f>
        <v/>
      </c>
    </row>
    <row r="51">
      <c r="A51" s="3" t="n">
        <v>248928046</v>
      </c>
      <c r="B51" s="3" t="inlineStr">
        <is>
          <t>SOME BY MI - AHA-BHA-PHA 30 Days Miracle Cleansing Bar [106g] / Мыло для проблемной кожи с aha bha кислотами</t>
        </is>
      </c>
      <c r="C51" s="4" t="n">
        <v>527</v>
      </c>
      <c r="D51" s="5" t="n">
        <v>0.1381</v>
      </c>
      <c r="E51" s="4">
        <f>ROUND(C51*0.68961,0)</f>
        <v/>
      </c>
      <c r="F51" s="4">
        <f>C51-E51</f>
        <v/>
      </c>
      <c r="G51" s="6">
        <f>D51*C51*159</f>
        <v/>
      </c>
      <c r="H51" s="6" t="n">
        <v>0.05</v>
      </c>
      <c r="I51" s="4">
        <f>AE51</f>
        <v/>
      </c>
      <c r="J51" s="6">
        <f>AD51</f>
        <v/>
      </c>
      <c r="L51">
        <f>MAX(0,E51-H51*1.0*6)</f>
        <v/>
      </c>
      <c r="M51">
        <f>MAX(0,F51-H51*1.0*0.15*6)</f>
        <v/>
      </c>
      <c r="N51">
        <f>D51*((E51+L51)/2+(F51+M51)/2)*6</f>
        <v/>
      </c>
      <c r="O51">
        <f>MAX(0,L51-H51*0.92*31)</f>
        <v/>
      </c>
      <c r="P51">
        <f>MAX(0,M51-H51*0.92*0.25*31)</f>
        <v/>
      </c>
      <c r="Q51">
        <f>D51*((L51+O51)/2+(M51+P51)/2)*31</f>
        <v/>
      </c>
      <c r="R51">
        <f>MAX(0,O51-H51*0.92*31)</f>
        <v/>
      </c>
      <c r="S51">
        <f>MAX(0,P51-H51*0.92*0.35*31)</f>
        <v/>
      </c>
      <c r="T51">
        <f>D51*((O51+R51)/2+(P51+S51)/2)*31</f>
        <v/>
      </c>
      <c r="U51">
        <f>MAX(0,R51-H51*1.05*30)</f>
        <v/>
      </c>
      <c r="V51">
        <f>MAX(0,S51-H51*1.05*0.45*30)</f>
        <v/>
      </c>
      <c r="W51">
        <f>D51*((R51+U51)/2+(S51+V51)/2)*30</f>
        <v/>
      </c>
      <c r="X51">
        <f>MAX(0,U51-H51*1.12*31)</f>
        <v/>
      </c>
      <c r="Y51">
        <f>MAX(0,V51-H51*1.12*0.55*31)</f>
        <v/>
      </c>
      <c r="Z51">
        <f>D51*((U51+X51)/2+(V51+Y51)/2)*31</f>
        <v/>
      </c>
      <c r="AA51">
        <f>MAX(0,X51-H51*1.15*30)</f>
        <v/>
      </c>
      <c r="AB51">
        <f>MAX(0,Y51-H51*1.15*0.65*30)</f>
        <v/>
      </c>
      <c r="AC51">
        <f>D51*((X51+AA51)/2+(Y51+AB51)/2)*30</f>
        <v/>
      </c>
      <c r="AD51">
        <f>N51+Q51+T51+W51+Z51+AC51</f>
        <v/>
      </c>
      <c r="AE51">
        <f>AA51+AB51</f>
        <v/>
      </c>
    </row>
    <row r="52">
      <c r="A52" s="3" t="n">
        <v>248929125</v>
      </c>
      <c r="B52" s="3" t="inlineStr">
        <is>
          <t>SOME BY MI - AHA-BHA-PHA 30 Days Miracle Cream [60g] / Крем для лица</t>
        </is>
      </c>
      <c r="C52" s="4" t="n">
        <v>55</v>
      </c>
      <c r="D52" s="5" t="n">
        <v>0.1671</v>
      </c>
      <c r="E52" s="4">
        <f>ROUND(C52*0.68961,0)</f>
        <v/>
      </c>
      <c r="F52" s="4">
        <f>C52-E52</f>
        <v/>
      </c>
      <c r="G52" s="6">
        <f>D52*C52*159</f>
        <v/>
      </c>
      <c r="H52" s="6" t="n">
        <v>0.28</v>
      </c>
      <c r="I52" s="4">
        <f>AE52</f>
        <v/>
      </c>
      <c r="J52" s="6">
        <f>AD52</f>
        <v/>
      </c>
      <c r="L52">
        <f>MAX(0,E52-H52*1.0*6)</f>
        <v/>
      </c>
      <c r="M52">
        <f>MAX(0,F52-H52*1.0*0.15*6)</f>
        <v/>
      </c>
      <c r="N52">
        <f>D52*((E52+L52)/2+(F52+M52)/2)*6</f>
        <v/>
      </c>
      <c r="O52">
        <f>MAX(0,L52-H52*0.92*31)</f>
        <v/>
      </c>
      <c r="P52">
        <f>MAX(0,M52-H52*0.92*0.25*31)</f>
        <v/>
      </c>
      <c r="Q52">
        <f>D52*((L52+O52)/2+(M52+P52)/2)*31</f>
        <v/>
      </c>
      <c r="R52">
        <f>MAX(0,O52-H52*0.92*31)</f>
        <v/>
      </c>
      <c r="S52">
        <f>MAX(0,P52-H52*0.92*0.35*31)</f>
        <v/>
      </c>
      <c r="T52">
        <f>D52*((O52+R52)/2+(P52+S52)/2)*31</f>
        <v/>
      </c>
      <c r="U52">
        <f>MAX(0,R52-H52*1.05*30)</f>
        <v/>
      </c>
      <c r="V52">
        <f>MAX(0,S52-H52*1.05*0.45*30)</f>
        <v/>
      </c>
      <c r="W52">
        <f>D52*((R52+U52)/2+(S52+V52)/2)*30</f>
        <v/>
      </c>
      <c r="X52">
        <f>MAX(0,U52-H52*1.12*31)</f>
        <v/>
      </c>
      <c r="Y52">
        <f>MAX(0,V52-H52*1.12*0.55*31)</f>
        <v/>
      </c>
      <c r="Z52">
        <f>D52*((U52+X52)/2+(V52+Y52)/2)*31</f>
        <v/>
      </c>
      <c r="AA52">
        <f>MAX(0,X52-H52*1.15*30)</f>
        <v/>
      </c>
      <c r="AB52">
        <f>MAX(0,Y52-H52*1.15*0.65*30)</f>
        <v/>
      </c>
      <c r="AC52">
        <f>D52*((X52+AA52)/2+(Y52+AB52)/2)*30</f>
        <v/>
      </c>
      <c r="AD52">
        <f>N52+Q52+T52+W52+Z52+AC52</f>
        <v/>
      </c>
      <c r="AE52">
        <f>AA52+AB52</f>
        <v/>
      </c>
    </row>
    <row r="53">
      <c r="A53" s="3" t="n">
        <v>214312385</v>
      </c>
      <c r="B53" s="3" t="inlineStr">
        <is>
          <t>THE ORDINARY - Argireline Solution 10% [30ml] / Сыворотка для лица от прыщей и акне с ниацинамидом 10 %</t>
        </is>
      </c>
      <c r="C53" s="4" t="n">
        <v>118</v>
      </c>
      <c r="D53" s="5" t="n">
        <v>0.16</v>
      </c>
      <c r="E53" s="4">
        <f>ROUND(C53*0.68961,0)</f>
        <v/>
      </c>
      <c r="F53" s="4">
        <f>C53-E53</f>
        <v/>
      </c>
      <c r="G53" s="6">
        <f>D53*C53*159</f>
        <v/>
      </c>
      <c r="H53" s="6" t="n">
        <v>0.63</v>
      </c>
      <c r="I53" s="4">
        <f>AE53</f>
        <v/>
      </c>
      <c r="J53" s="6">
        <f>AD53</f>
        <v/>
      </c>
      <c r="L53">
        <f>MAX(0,E53-H53*1.0*6)</f>
        <v/>
      </c>
      <c r="M53">
        <f>MAX(0,F53-H53*1.0*0.15*6)</f>
        <v/>
      </c>
      <c r="N53">
        <f>D53*((E53+L53)/2+(F53+M53)/2)*6</f>
        <v/>
      </c>
      <c r="O53">
        <f>MAX(0,L53-H53*0.92*31)</f>
        <v/>
      </c>
      <c r="P53">
        <f>MAX(0,M53-H53*0.92*0.25*31)</f>
        <v/>
      </c>
      <c r="Q53">
        <f>D53*((L53+O53)/2+(M53+P53)/2)*31</f>
        <v/>
      </c>
      <c r="R53">
        <f>MAX(0,O53-H53*0.92*31)</f>
        <v/>
      </c>
      <c r="S53">
        <f>MAX(0,P53-H53*0.92*0.35*31)</f>
        <v/>
      </c>
      <c r="T53">
        <f>D53*((O53+R53)/2+(P53+S53)/2)*31</f>
        <v/>
      </c>
      <c r="U53">
        <f>MAX(0,R53-H53*1.05*30)</f>
        <v/>
      </c>
      <c r="V53">
        <f>MAX(0,S53-H53*1.05*0.45*30)</f>
        <v/>
      </c>
      <c r="W53">
        <f>D53*((R53+U53)/2+(S53+V53)/2)*30</f>
        <v/>
      </c>
      <c r="X53">
        <f>MAX(0,U53-H53*1.12*31)</f>
        <v/>
      </c>
      <c r="Y53">
        <f>MAX(0,V53-H53*1.12*0.55*31)</f>
        <v/>
      </c>
      <c r="Z53">
        <f>D53*((U53+X53)/2+(V53+Y53)/2)*31</f>
        <v/>
      </c>
      <c r="AA53">
        <f>MAX(0,X53-H53*1.15*30)</f>
        <v/>
      </c>
      <c r="AB53">
        <f>MAX(0,Y53-H53*1.15*0.65*30)</f>
        <v/>
      </c>
      <c r="AC53">
        <f>D53*((X53+AA53)/2+(Y53+AB53)/2)*30</f>
        <v/>
      </c>
      <c r="AD53">
        <f>N53+Q53+T53+W53+Z53+AC53</f>
        <v/>
      </c>
      <c r="AE53">
        <f>AA53+AB53</f>
        <v/>
      </c>
    </row>
    <row r="54">
      <c r="A54" s="3" t="n">
        <v>247275092</v>
      </c>
      <c r="B54" s="3" t="inlineStr">
        <is>
          <t>THE ORDINARY - Glycolic Acid 7% Toning Solution [KOR] [240ml] / Тоник с гликолевой кислотой 7%</t>
        </is>
      </c>
      <c r="C54" s="4" t="n">
        <v>32</v>
      </c>
      <c r="D54" s="5" t="n">
        <v>0.154</v>
      </c>
      <c r="E54" s="4">
        <f>ROUND(C54*0.68961,0)</f>
        <v/>
      </c>
      <c r="F54" s="4">
        <f>C54-E54</f>
        <v/>
      </c>
      <c r="G54" s="6">
        <f>D54*C54*159</f>
        <v/>
      </c>
      <c r="H54" s="6" t="n">
        <v>0.21</v>
      </c>
      <c r="I54" s="4">
        <f>AE54</f>
        <v/>
      </c>
      <c r="J54" s="6">
        <f>AD54</f>
        <v/>
      </c>
      <c r="L54">
        <f>MAX(0,E54-H54*1.0*6)</f>
        <v/>
      </c>
      <c r="M54">
        <f>MAX(0,F54-H54*1.0*0.15*6)</f>
        <v/>
      </c>
      <c r="N54">
        <f>D54*((E54+L54)/2+(F54+M54)/2)*6</f>
        <v/>
      </c>
      <c r="O54">
        <f>MAX(0,L54-H54*0.92*31)</f>
        <v/>
      </c>
      <c r="P54">
        <f>MAX(0,M54-H54*0.92*0.25*31)</f>
        <v/>
      </c>
      <c r="Q54">
        <f>D54*((L54+O54)/2+(M54+P54)/2)*31</f>
        <v/>
      </c>
      <c r="R54">
        <f>MAX(0,O54-H54*0.92*31)</f>
        <v/>
      </c>
      <c r="S54">
        <f>MAX(0,P54-H54*0.92*0.35*31)</f>
        <v/>
      </c>
      <c r="T54">
        <f>D54*((O54+R54)/2+(P54+S54)/2)*31</f>
        <v/>
      </c>
      <c r="U54">
        <f>MAX(0,R54-H54*1.05*30)</f>
        <v/>
      </c>
      <c r="V54">
        <f>MAX(0,S54-H54*1.05*0.45*30)</f>
        <v/>
      </c>
      <c r="W54">
        <f>D54*((R54+U54)/2+(S54+V54)/2)*30</f>
        <v/>
      </c>
      <c r="X54">
        <f>MAX(0,U54-H54*1.12*31)</f>
        <v/>
      </c>
      <c r="Y54">
        <f>MAX(0,V54-H54*1.12*0.55*31)</f>
        <v/>
      </c>
      <c r="Z54">
        <f>D54*((U54+X54)/2+(V54+Y54)/2)*31</f>
        <v/>
      </c>
      <c r="AA54">
        <f>MAX(0,X54-H54*1.15*30)</f>
        <v/>
      </c>
      <c r="AB54">
        <f>MAX(0,Y54-H54*1.15*0.65*30)</f>
        <v/>
      </c>
      <c r="AC54">
        <f>D54*((X54+AA54)/2+(Y54+AB54)/2)*30</f>
        <v/>
      </c>
      <c r="AD54">
        <f>N54+Q54+T54+W54+Z54+AC54</f>
        <v/>
      </c>
      <c r="AE54">
        <f>AA54+AB54</f>
        <v/>
      </c>
    </row>
    <row r="55">
      <c r="A55" s="3" t="n">
        <v>551447345</v>
      </c>
      <c r="B55" s="3" t="inlineStr">
        <is>
          <t>CELIMAX PORE+DARK SPOT BRIGHTENING CREAM [35ml]/Крем для выравнивания тона и рельефа кожи лица</t>
        </is>
      </c>
      <c r="C55" s="4" t="n">
        <v>99</v>
      </c>
      <c r="D55" s="5" t="n">
        <v>0.1588</v>
      </c>
      <c r="E55" s="4">
        <f>ROUND(C55*0.68961,0)</f>
        <v/>
      </c>
      <c r="F55" s="4">
        <f>C55-E55</f>
        <v/>
      </c>
      <c r="G55" s="6">
        <f>D55*C55*159</f>
        <v/>
      </c>
      <c r="H55" s="6" t="n">
        <v>0.17</v>
      </c>
      <c r="I55" s="4">
        <f>AE55</f>
        <v/>
      </c>
      <c r="J55" s="6">
        <f>AD55</f>
        <v/>
      </c>
      <c r="L55">
        <f>MAX(0,E55-H55*1.0*6)</f>
        <v/>
      </c>
      <c r="M55">
        <f>MAX(0,F55-H55*1.0*0.15*6)</f>
        <v/>
      </c>
      <c r="N55">
        <f>D55*((E55+L55)/2+(F55+M55)/2)*6</f>
        <v/>
      </c>
      <c r="O55">
        <f>MAX(0,L55-H55*0.92*31)</f>
        <v/>
      </c>
      <c r="P55">
        <f>MAX(0,M55-H55*0.92*0.25*31)</f>
        <v/>
      </c>
      <c r="Q55">
        <f>D55*((L55+O55)/2+(M55+P55)/2)*31</f>
        <v/>
      </c>
      <c r="R55">
        <f>MAX(0,O55-H55*0.92*31)</f>
        <v/>
      </c>
      <c r="S55">
        <f>MAX(0,P55-H55*0.92*0.35*31)</f>
        <v/>
      </c>
      <c r="T55">
        <f>D55*((O55+R55)/2+(P55+S55)/2)*31</f>
        <v/>
      </c>
      <c r="U55">
        <f>MAX(0,R55-H55*1.05*30)</f>
        <v/>
      </c>
      <c r="V55">
        <f>MAX(0,S55-H55*1.05*0.45*30)</f>
        <v/>
      </c>
      <c r="W55">
        <f>D55*((R55+U55)/2+(S55+V55)/2)*30</f>
        <v/>
      </c>
      <c r="X55">
        <f>MAX(0,U55-H55*1.12*31)</f>
        <v/>
      </c>
      <c r="Y55">
        <f>MAX(0,V55-H55*1.12*0.55*31)</f>
        <v/>
      </c>
      <c r="Z55">
        <f>D55*((U55+X55)/2+(V55+Y55)/2)*31</f>
        <v/>
      </c>
      <c r="AA55">
        <f>MAX(0,X55-H55*1.15*30)</f>
        <v/>
      </c>
      <c r="AB55">
        <f>MAX(0,Y55-H55*1.15*0.65*30)</f>
        <v/>
      </c>
      <c r="AC55">
        <f>D55*((X55+AA55)/2+(Y55+AB55)/2)*30</f>
        <v/>
      </c>
      <c r="AD55">
        <f>N55+Q55+T55+W55+Z55+AC55</f>
        <v/>
      </c>
      <c r="AE55">
        <f>AA55+AB55</f>
        <v/>
      </c>
    </row>
    <row r="56">
      <c r="A56" s="3" t="n">
        <v>551392965</v>
      </c>
      <c r="B56" s="3" t="inlineStr">
        <is>
          <t>CELIMAX DUAL BARRIER SKIN WEARABLE CREAM [50ml]/Крем для восстановления защитного барьера кожи лица</t>
        </is>
      </c>
      <c r="C56" s="4" t="n">
        <v>501</v>
      </c>
      <c r="D56" s="5" t="n">
        <v>0.1647</v>
      </c>
      <c r="E56" s="4">
        <f>ROUND(C56*0.68961,0)</f>
        <v/>
      </c>
      <c r="F56" s="4">
        <f>C56-E56</f>
        <v/>
      </c>
      <c r="G56" s="6">
        <f>D56*C56*159</f>
        <v/>
      </c>
      <c r="H56" s="6" t="n">
        <v>0.19</v>
      </c>
      <c r="I56" s="4">
        <f>AE56</f>
        <v/>
      </c>
      <c r="J56" s="6">
        <f>AD56</f>
        <v/>
      </c>
      <c r="L56">
        <f>MAX(0,E56-H56*1.0*6)</f>
        <v/>
      </c>
      <c r="M56">
        <f>MAX(0,F56-H56*1.0*0.15*6)</f>
        <v/>
      </c>
      <c r="N56">
        <f>D56*((E56+L56)/2+(F56+M56)/2)*6</f>
        <v/>
      </c>
      <c r="O56">
        <f>MAX(0,L56-H56*0.92*31)</f>
        <v/>
      </c>
      <c r="P56">
        <f>MAX(0,M56-H56*0.92*0.25*31)</f>
        <v/>
      </c>
      <c r="Q56">
        <f>D56*((L56+O56)/2+(M56+P56)/2)*31</f>
        <v/>
      </c>
      <c r="R56">
        <f>MAX(0,O56-H56*0.92*31)</f>
        <v/>
      </c>
      <c r="S56">
        <f>MAX(0,P56-H56*0.92*0.35*31)</f>
        <v/>
      </c>
      <c r="T56">
        <f>D56*((O56+R56)/2+(P56+S56)/2)*31</f>
        <v/>
      </c>
      <c r="U56">
        <f>MAX(0,R56-H56*1.05*30)</f>
        <v/>
      </c>
      <c r="V56">
        <f>MAX(0,S56-H56*1.05*0.45*30)</f>
        <v/>
      </c>
      <c r="W56">
        <f>D56*((R56+U56)/2+(S56+V56)/2)*30</f>
        <v/>
      </c>
      <c r="X56">
        <f>MAX(0,U56-H56*1.12*31)</f>
        <v/>
      </c>
      <c r="Y56">
        <f>MAX(0,V56-H56*1.12*0.55*31)</f>
        <v/>
      </c>
      <c r="Z56">
        <f>D56*((U56+X56)/2+(V56+Y56)/2)*31</f>
        <v/>
      </c>
      <c r="AA56">
        <f>MAX(0,X56-H56*1.15*30)</f>
        <v/>
      </c>
      <c r="AB56">
        <f>MAX(0,Y56-H56*1.15*0.65*30)</f>
        <v/>
      </c>
      <c r="AC56">
        <f>D56*((X56+AA56)/2+(Y56+AB56)/2)*30</f>
        <v/>
      </c>
      <c r="AD56">
        <f>N56+Q56+T56+W56+Z56+AC56</f>
        <v/>
      </c>
      <c r="AE56">
        <f>AA56+AB56</f>
        <v/>
      </c>
    </row>
    <row r="57">
      <c r="A57" s="3" t="n">
        <v>551472457</v>
      </c>
      <c r="B57" s="3" t="inlineStr">
        <is>
          <t>CELIMAX THE REAL NONI ENERGY AMPOULE_30ML (NEW) [30ml]/Восстанавливающая сыворотка с экстрактом нони для лица</t>
        </is>
      </c>
      <c r="C57" s="4" t="n">
        <v>84</v>
      </c>
      <c r="D57" s="5" t="n">
        <v>0.1587</v>
      </c>
      <c r="E57" s="4">
        <f>ROUND(C57*0.68961,0)</f>
        <v/>
      </c>
      <c r="F57" s="4">
        <f>C57-E57</f>
        <v/>
      </c>
      <c r="G57" s="6">
        <f>D57*C57*159</f>
        <v/>
      </c>
      <c r="H57" s="6" t="n">
        <v>0.34</v>
      </c>
      <c r="I57" s="4">
        <f>AE57</f>
        <v/>
      </c>
      <c r="J57" s="6">
        <f>AD57</f>
        <v/>
      </c>
      <c r="L57">
        <f>MAX(0,E57-H57*1.0*6)</f>
        <v/>
      </c>
      <c r="M57">
        <f>MAX(0,F57-H57*1.0*0.15*6)</f>
        <v/>
      </c>
      <c r="N57">
        <f>D57*((E57+L57)/2+(F57+M57)/2)*6</f>
        <v/>
      </c>
      <c r="O57">
        <f>MAX(0,L57-H57*0.92*31)</f>
        <v/>
      </c>
      <c r="P57">
        <f>MAX(0,M57-H57*0.92*0.25*31)</f>
        <v/>
      </c>
      <c r="Q57">
        <f>D57*((L57+O57)/2+(M57+P57)/2)*31</f>
        <v/>
      </c>
      <c r="R57">
        <f>MAX(0,O57-H57*0.92*31)</f>
        <v/>
      </c>
      <c r="S57">
        <f>MAX(0,P57-H57*0.92*0.35*31)</f>
        <v/>
      </c>
      <c r="T57">
        <f>D57*((O57+R57)/2+(P57+S57)/2)*31</f>
        <v/>
      </c>
      <c r="U57">
        <f>MAX(0,R57-H57*1.05*30)</f>
        <v/>
      </c>
      <c r="V57">
        <f>MAX(0,S57-H57*1.05*0.45*30)</f>
        <v/>
      </c>
      <c r="W57">
        <f>D57*((R57+U57)/2+(S57+V57)/2)*30</f>
        <v/>
      </c>
      <c r="X57">
        <f>MAX(0,U57-H57*1.12*31)</f>
        <v/>
      </c>
      <c r="Y57">
        <f>MAX(0,V57-H57*1.12*0.55*31)</f>
        <v/>
      </c>
      <c r="Z57">
        <f>D57*((U57+X57)/2+(V57+Y57)/2)*31</f>
        <v/>
      </c>
      <c r="AA57">
        <f>MAX(0,X57-H57*1.15*30)</f>
        <v/>
      </c>
      <c r="AB57">
        <f>MAX(0,Y57-H57*1.15*0.65*30)</f>
        <v/>
      </c>
      <c r="AC57">
        <f>D57*((X57+AA57)/2+(Y57+AB57)/2)*30</f>
        <v/>
      </c>
      <c r="AD57">
        <f>N57+Q57+T57+W57+Z57+AC57</f>
        <v/>
      </c>
      <c r="AE57">
        <f>AA57+AB57</f>
        <v/>
      </c>
    </row>
    <row r="58">
      <c r="A58" s="3" t="n">
        <v>551482493</v>
      </c>
      <c r="B58" s="3" t="inlineStr">
        <is>
          <t>CELIMAX PORE+DARK SPOT BRIGHTENING SERUM_30ml [30ml]/Сыворотка для выравнивания тона и рельефа кожи лица</t>
        </is>
      </c>
      <c r="C58" s="4" t="n">
        <v>124</v>
      </c>
      <c r="D58" s="5" t="n">
        <v>0.1619</v>
      </c>
      <c r="E58" s="4">
        <f>ROUND(C58*0.68961,0)</f>
        <v/>
      </c>
      <c r="F58" s="4">
        <f>C58-E58</f>
        <v/>
      </c>
      <c r="G58" s="6">
        <f>D58*C58*159</f>
        <v/>
      </c>
      <c r="H58" s="6" t="n">
        <v>0.19</v>
      </c>
      <c r="I58" s="4">
        <f>AE58</f>
        <v/>
      </c>
      <c r="J58" s="6">
        <f>AD58</f>
        <v/>
      </c>
      <c r="L58">
        <f>MAX(0,E58-H58*1.0*6)</f>
        <v/>
      </c>
      <c r="M58">
        <f>MAX(0,F58-H58*1.0*0.15*6)</f>
        <v/>
      </c>
      <c r="N58">
        <f>D58*((E58+L58)/2+(F58+M58)/2)*6</f>
        <v/>
      </c>
      <c r="O58">
        <f>MAX(0,L58-H58*0.92*31)</f>
        <v/>
      </c>
      <c r="P58">
        <f>MAX(0,M58-H58*0.92*0.25*31)</f>
        <v/>
      </c>
      <c r="Q58">
        <f>D58*((L58+O58)/2+(M58+P58)/2)*31</f>
        <v/>
      </c>
      <c r="R58">
        <f>MAX(0,O58-H58*0.92*31)</f>
        <v/>
      </c>
      <c r="S58">
        <f>MAX(0,P58-H58*0.92*0.35*31)</f>
        <v/>
      </c>
      <c r="T58">
        <f>D58*((O58+R58)/2+(P58+S58)/2)*31</f>
        <v/>
      </c>
      <c r="U58">
        <f>MAX(0,R58-H58*1.05*30)</f>
        <v/>
      </c>
      <c r="V58">
        <f>MAX(0,S58-H58*1.05*0.45*30)</f>
        <v/>
      </c>
      <c r="W58">
        <f>D58*((R58+U58)/2+(S58+V58)/2)*30</f>
        <v/>
      </c>
      <c r="X58">
        <f>MAX(0,U58-H58*1.12*31)</f>
        <v/>
      </c>
      <c r="Y58">
        <f>MAX(0,V58-H58*1.12*0.55*31)</f>
        <v/>
      </c>
      <c r="Z58">
        <f>D58*((U58+X58)/2+(V58+Y58)/2)*31</f>
        <v/>
      </c>
      <c r="AA58">
        <f>MAX(0,X58-H58*1.15*30)</f>
        <v/>
      </c>
      <c r="AB58">
        <f>MAX(0,Y58-H58*1.15*0.65*30)</f>
        <v/>
      </c>
      <c r="AC58">
        <f>D58*((X58+AA58)/2+(Y58+AB58)/2)*30</f>
        <v/>
      </c>
      <c r="AD58">
        <f>N58+Q58+T58+W58+Z58+AC58</f>
        <v/>
      </c>
      <c r="AE58">
        <f>AA58+AB58</f>
        <v/>
      </c>
    </row>
    <row r="59">
      <c r="A59" s="3" t="n">
        <v>551518955</v>
      </c>
      <c r="B59" s="3" t="inlineStr">
        <is>
          <t>CELIMAX THE REAL NONI MOISTURE BALANCING TONER (NEW) [150ml]/Восстанавливающий тонер с экстрактом нони</t>
        </is>
      </c>
      <c r="C59" s="4" t="n">
        <v>194</v>
      </c>
      <c r="D59" s="5" t="n">
        <v>0.1503</v>
      </c>
      <c r="E59" s="4">
        <f>ROUND(C59*0.68961,0)</f>
        <v/>
      </c>
      <c r="F59" s="4">
        <f>C59-E59</f>
        <v/>
      </c>
      <c r="G59" s="6">
        <f>D59*C59*159</f>
        <v/>
      </c>
      <c r="H59" s="6" t="n">
        <v>0.09</v>
      </c>
      <c r="I59" s="4">
        <f>AE59</f>
        <v/>
      </c>
      <c r="J59" s="6">
        <f>AD59</f>
        <v/>
      </c>
      <c r="L59">
        <f>MAX(0,E59-H59*1.0*6)</f>
        <v/>
      </c>
      <c r="M59">
        <f>MAX(0,F59-H59*1.0*0.15*6)</f>
        <v/>
      </c>
      <c r="N59">
        <f>D59*((E59+L59)/2+(F59+M59)/2)*6</f>
        <v/>
      </c>
      <c r="O59">
        <f>MAX(0,L59-H59*0.92*31)</f>
        <v/>
      </c>
      <c r="P59">
        <f>MAX(0,M59-H59*0.92*0.25*31)</f>
        <v/>
      </c>
      <c r="Q59">
        <f>D59*((L59+O59)/2+(M59+P59)/2)*31</f>
        <v/>
      </c>
      <c r="R59">
        <f>MAX(0,O59-H59*0.92*31)</f>
        <v/>
      </c>
      <c r="S59">
        <f>MAX(0,P59-H59*0.92*0.35*31)</f>
        <v/>
      </c>
      <c r="T59">
        <f>D59*((O59+R59)/2+(P59+S59)/2)*31</f>
        <v/>
      </c>
      <c r="U59">
        <f>MAX(0,R59-H59*1.05*30)</f>
        <v/>
      </c>
      <c r="V59">
        <f>MAX(0,S59-H59*1.05*0.45*30)</f>
        <v/>
      </c>
      <c r="W59">
        <f>D59*((R59+U59)/2+(S59+V59)/2)*30</f>
        <v/>
      </c>
      <c r="X59">
        <f>MAX(0,U59-H59*1.12*31)</f>
        <v/>
      </c>
      <c r="Y59">
        <f>MAX(0,V59-H59*1.12*0.55*31)</f>
        <v/>
      </c>
      <c r="Z59">
        <f>D59*((U59+X59)/2+(V59+Y59)/2)*31</f>
        <v/>
      </c>
      <c r="AA59">
        <f>MAX(0,X59-H59*1.15*30)</f>
        <v/>
      </c>
      <c r="AB59">
        <f>MAX(0,Y59-H59*1.15*0.65*30)</f>
        <v/>
      </c>
      <c r="AC59">
        <f>D59*((X59+AA59)/2+(Y59+AB59)/2)*30</f>
        <v/>
      </c>
      <c r="AD59">
        <f>N59+Q59+T59+W59+Z59+AC59</f>
        <v/>
      </c>
      <c r="AE59">
        <f>AA59+AB59</f>
        <v/>
      </c>
    </row>
    <row r="60">
      <c r="B60" s="7" t="inlineStr">
        <is>
          <t>ИТОГО</t>
        </is>
      </c>
      <c r="C60" s="8">
        <f>SUM(C2:C59)</f>
        <v/>
      </c>
      <c r="E60" s="9">
        <f>SUM(E2:E59)</f>
        <v/>
      </c>
      <c r="F60" s="10">
        <f>SUM(F2:F59)</f>
        <v/>
      </c>
      <c r="G60" s="11">
        <f>SUM(G2:G59)</f>
        <v/>
      </c>
      <c r="I60" s="8">
        <f>SUM(I2:I59)</f>
        <v/>
      </c>
      <c r="J60" s="12">
        <f>SUM(J2:J59)</f>
        <v/>
      </c>
    </row>
    <row r="62">
      <c r="B62" s="13" t="inlineStr">
        <is>
          <t>Весь остаток без ЧЗ распределён: Коротич=остаток×69% (E), Крона=остаток−Коротич (F). Прогноз остатка к 30.11 (I) и хранение (J) учитывают продажи ОБОИХ магазинов (Коротич — полный сезонный темп, Крона — с раскруткой). Служебный помесячный расчёт — в скрытых столбцах K–AE (можно показать). Всё на формулах.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2026-06-25T10:37:06Z</dcterms:created>
  <dcterms:modified xsi:type="dcterms:W3CDTF">2026-06-25T10:37:06Z</dcterms:modified>
</cp:coreProperties>
</file>
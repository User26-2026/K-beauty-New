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еханика баллов" sheetId="1" state="visible" r:id="rId1"/>
    <sheet name="P&amp;L живыми деньгам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color rgb="00C00000"/>
    </font>
    <font>
      <b val="1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3" borderId="0" pivotButton="0" quotePrefix="0" xfId="0"/>
    <xf numFmtId="164" fontId="0" fillId="4" borderId="0" pivotButton="0" quotePrefix="0" xfId="0"/>
    <xf numFmtId="164" fontId="3" fillId="0" borderId="0" pivotButton="0" quotePrefix="0" xfId="0"/>
    <xf numFmtId="0" fontId="4" fillId="0" borderId="0" pivotButton="0" quotePrefix="0" xfId="0"/>
    <xf numFmtId="164" fontId="4" fillId="3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0" fontId="0" fillId="4" borderId="1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48" customWidth="1" min="3" max="3"/>
  </cols>
  <sheetData>
    <row r="1">
      <c r="A1" s="1" t="inlineStr">
        <is>
          <t>МЕХАНИКА «БАЛЛОВ ЗА СКИДКИ» НА ЖИВЫХ ДЕНЬГАХ — период 01–05.10.2026 (5 дней)</t>
        </is>
      </c>
    </row>
    <row r="3">
      <c r="A3" s="2" t="inlineStr">
        <is>
          <t>Статья</t>
        </is>
      </c>
      <c r="B3" s="2" t="inlineStr">
        <is>
          <t>Сумма, ₽</t>
        </is>
      </c>
      <c r="C3" s="2" t="inlineStr">
        <is>
          <t>Комментарий</t>
        </is>
      </c>
    </row>
    <row r="4">
      <c r="A4" t="inlineStr">
        <is>
          <t>Что показывает кабинет Ozon как «Продажи»</t>
        </is>
      </c>
      <c r="B4" s="3" t="n">
        <v>7832858</v>
      </c>
      <c r="C4" t="inlineStr">
        <is>
          <t>раздутая сумма, НЕ деньги на счёт</t>
        </is>
      </c>
    </row>
    <row r="5">
      <c r="A5" t="inlineStr">
        <is>
          <t xml:space="preserve">  ├─ Выручка (РЕАЛЬНЫЕ деньги от покупателей)</t>
        </is>
      </c>
      <c r="B5" s="4" t="n">
        <v>2572140</v>
      </c>
      <c r="C5" t="inlineStr">
        <is>
          <t>это вам реально платят покупатели</t>
        </is>
      </c>
    </row>
    <row r="6">
      <c r="A6" t="inlineStr">
        <is>
          <t xml:space="preserve">  └─ Баллы за скидки (соинвест, НЕ деньги)</t>
        </is>
      </c>
      <c r="B6" s="5" t="n">
        <v>5260718</v>
      </c>
      <c r="C6" t="inlineStr">
        <is>
          <t>виртуальный зачёт, гасит комиссию/услуги Ozon</t>
        </is>
      </c>
    </row>
    <row r="7">
      <c r="A7" t="inlineStr"/>
      <c r="B7" t="inlineStr"/>
      <c r="C7" t="inlineStr"/>
    </row>
    <row r="8">
      <c r="A8" t="inlineStr">
        <is>
          <t>Вознаграждение Ozon (комиссия с ПОЛНОЙ цены)</t>
        </is>
      </c>
      <c r="B8" s="6" t="n">
        <v>-4079295</v>
      </c>
      <c r="C8" t="inlineStr">
        <is>
          <t>считается от цены ДО скидки, поэтому &gt; выручки</t>
        </is>
      </c>
    </row>
    <row r="9">
      <c r="A9" t="inlineStr">
        <is>
          <t>Реклама (клик + Premium + аналитика + программы)</t>
        </is>
      </c>
      <c r="B9" s="6" t="n">
        <v>-933151</v>
      </c>
      <c r="C9" t="inlineStr"/>
    </row>
    <row r="10">
      <c r="A10" t="inlineStr">
        <is>
          <t>Логистика (прямая+обратная+доставка)</t>
        </is>
      </c>
      <c r="B10" s="6" t="n">
        <v>-245149</v>
      </c>
      <c r="C10" t="inlineStr"/>
    </row>
    <row r="11">
      <c r="A11" t="inlineStr">
        <is>
          <t>Эквайринг</t>
        </is>
      </c>
      <c r="B11" s="6" t="n">
        <v>-44494</v>
      </c>
      <c r="C11" t="inlineStr"/>
    </row>
    <row r="12">
      <c r="A12" t="inlineStr">
        <is>
          <t>Прочее (упаковка, штрафы, страхование, кросс-докинг)</t>
        </is>
      </c>
      <c r="B12" s="6" t="n">
        <v>-17871</v>
      </c>
      <c r="C12" t="inlineStr"/>
    </row>
    <row r="13">
      <c r="A13" t="inlineStr"/>
      <c r="B13" t="inlineStr"/>
      <c r="C13" t="inlineStr"/>
    </row>
    <row r="14">
      <c r="A14" s="7">
        <f> НЕТТО к перечислению (Сумма итого Ozon)</f>
        <v/>
      </c>
      <c r="B14" s="8" t="n">
        <v>2512899</v>
      </c>
      <c r="C14" s="7" t="inlineStr">
        <is>
          <t>ДО себестоимости и налога</t>
        </is>
      </c>
    </row>
    <row r="16">
      <c r="A16" s="9" t="inlineStr">
        <is>
          <t>ГЛАВНЫЙ ВЫВОД:</t>
        </is>
      </c>
    </row>
    <row r="17">
      <c r="A17" t="inlineStr">
        <is>
          <t>Комиссия Ozon (4079295 ₽) БОЛЬШЕ выручки (2572140 ₽) — это норма для соинвеста.</t>
        </is>
      </c>
    </row>
    <row r="18">
      <c r="A18" t="inlineStr">
        <is>
          <t>Баллы 5260718 ₽ не падают живыми деньгами: они гасят эту завышенную комиссию и услуги.</t>
        </is>
      </c>
    </row>
    <row r="19">
      <c r="A19" t="inlineStr">
        <is>
          <t>Реальные деньги на счёт = НЕТТО 2512899 ₽ за 5 дней (минус себестоимость и налог — см. лист «P&amp;L живыми деньгами»).</t>
        </is>
      </c>
    </row>
    <row r="20">
      <c r="A20" t="inlineStr">
        <is>
          <t>Нельзя смотреть на «Продажи 7.8 млн» как на выручку — живых денег от покупателей 2572140 ₽.</t>
        </is>
      </c>
    </row>
  </sheetData>
  <mergeCells count="5">
    <mergeCell ref="A19:C19"/>
    <mergeCell ref="A1:C1"/>
    <mergeCell ref="A17:C17"/>
    <mergeCell ref="A18:C18"/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0" customWidth="1" min="2" max="2"/>
    <col width="16" customWidth="1" min="3" max="3"/>
    <col width="16" customWidth="1" min="4" max="4"/>
    <col width="13" customWidth="1" min="5" max="5"/>
    <col width="11" customWidth="1" min="6" max="6"/>
    <col width="12" customWidth="1" min="7" max="7"/>
    <col width="11" customWidth="1" min="8" max="8"/>
    <col width="14" customWidth="1" min="9" max="9"/>
    <col width="11" customWidth="1" min="10" max="10"/>
    <col width="17" customWidth="1" min="11" max="11"/>
    <col width="11" customWidth="1" min="12" max="12"/>
    <col width="13" customWidth="1" min="13" max="13"/>
    <col width="11" customWidth="1" min="14" max="14"/>
    <col width="8" customWidth="1" min="15" max="15"/>
  </cols>
  <sheetData>
    <row r="1">
      <c r="A1" s="10" t="inlineStr">
        <is>
          <t>Товар</t>
        </is>
      </c>
      <c r="B1" s="10" t="inlineStr">
        <is>
          <t>Продано, шт</t>
        </is>
      </c>
      <c r="C1" s="10" t="inlineStr">
        <is>
          <t>Выручка (деньги), ₽</t>
        </is>
      </c>
      <c r="D1" s="10" t="inlineStr">
        <is>
          <t>Баллы (не деньги), ₽</t>
        </is>
      </c>
      <c r="E1" s="10" t="inlineStr">
        <is>
          <t>Комиссия, ₽</t>
        </is>
      </c>
      <c r="F1" s="10" t="inlineStr">
        <is>
          <t>Реклама, ₽</t>
        </is>
      </c>
      <c r="G1" s="10" t="inlineStr">
        <is>
          <t>Логистика, ₽</t>
        </is>
      </c>
      <c r="H1" s="10" t="inlineStr">
        <is>
          <t>Эквайринг, ₽</t>
        </is>
      </c>
      <c r="I1" s="10" t="inlineStr">
        <is>
          <t>НЕТТО Ozon, ₽</t>
        </is>
      </c>
      <c r="J1" s="10" t="inlineStr">
        <is>
          <t>Себест/шт, ₽</t>
        </is>
      </c>
      <c r="K1" s="10" t="inlineStr">
        <is>
          <t>COGS+фулфилмент, ₽</t>
        </is>
      </c>
      <c r="L1" s="10" t="inlineStr">
        <is>
          <t>Налог 5%, ₽</t>
        </is>
      </c>
      <c r="M1" s="10" t="inlineStr">
        <is>
          <t>ЧИСТЫМИ, ₽</t>
        </is>
      </c>
      <c r="N1" s="10" t="inlineStr">
        <is>
          <t>ЧИСТ/шт, ₽</t>
        </is>
      </c>
      <c r="O1" s="10" t="inlineStr">
        <is>
          <t>ROI, %</t>
        </is>
      </c>
    </row>
    <row r="2">
      <c r="A2" s="11" t="inlineStr">
        <is>
          <t>celimax Крем-бустер для лица с ретинолом и микроиг</t>
        </is>
      </c>
      <c r="B2" s="11" t="n">
        <v>694</v>
      </c>
      <c r="C2" s="12" t="n">
        <v>850570</v>
      </c>
      <c r="D2" s="12" t="n">
        <v>1686281</v>
      </c>
      <c r="E2" s="12" t="n">
        <v>-1324372</v>
      </c>
      <c r="F2" s="12" t="n">
        <v>-311949</v>
      </c>
      <c r="G2" s="12" t="n">
        <v>-73616</v>
      </c>
      <c r="H2" s="12" t="n">
        <v>-14455</v>
      </c>
      <c r="I2" s="12" t="n">
        <v>812651</v>
      </c>
      <c r="J2" s="11" t="n">
        <v>532</v>
      </c>
      <c r="K2" s="12" t="n">
        <v>410848</v>
      </c>
      <c r="L2" s="12" t="n">
        <v>42529</v>
      </c>
      <c r="M2" s="13" t="n">
        <v>359274</v>
      </c>
      <c r="N2" s="12" t="n">
        <v>518</v>
      </c>
      <c r="O2" s="11" t="n">
        <v>87</v>
      </c>
    </row>
    <row r="3">
      <c r="A3" s="11" t="inlineStr">
        <is>
          <t>celimax Тонер кремовый увлажняющий с молочной текс</t>
        </is>
      </c>
      <c r="B3" s="11" t="n">
        <v>671</v>
      </c>
      <c r="C3" s="12" t="n">
        <v>815073</v>
      </c>
      <c r="D3" s="12" t="n">
        <v>1735368</v>
      </c>
      <c r="E3" s="12" t="n">
        <v>-1330718</v>
      </c>
      <c r="F3" s="12" t="n">
        <v>-303160</v>
      </c>
      <c r="G3" s="12" t="n">
        <v>-75627</v>
      </c>
      <c r="H3" s="12" t="n">
        <v>-14380</v>
      </c>
      <c r="I3" s="12" t="n">
        <v>825743</v>
      </c>
      <c r="J3" s="11" t="n">
        <v>664</v>
      </c>
      <c r="K3" s="12" t="n">
        <v>485804</v>
      </c>
      <c r="L3" s="12" t="n">
        <v>40754</v>
      </c>
      <c r="M3" s="13" t="n">
        <v>299186</v>
      </c>
      <c r="N3" s="12" t="n">
        <v>446</v>
      </c>
      <c r="O3" s="11" t="n">
        <v>62</v>
      </c>
    </row>
    <row r="4">
      <c r="A4" s="11" t="inlineStr">
        <is>
          <t>Round Lab Очищающая пенка для лица с морской водой</t>
        </is>
      </c>
      <c r="B4" s="11" t="n">
        <v>423</v>
      </c>
      <c r="C4" s="12" t="n">
        <v>394567</v>
      </c>
      <c r="D4" s="12" t="n">
        <v>817266</v>
      </c>
      <c r="E4" s="12" t="n">
        <v>-631437</v>
      </c>
      <c r="F4" s="12" t="n">
        <v>-146130</v>
      </c>
      <c r="G4" s="12" t="n">
        <v>-52389</v>
      </c>
      <c r="H4" s="12" t="n">
        <v>-7317</v>
      </c>
      <c r="I4" s="12" t="n">
        <v>374011</v>
      </c>
      <c r="J4" s="11" t="n">
        <v>463</v>
      </c>
      <c r="K4" s="12" t="n">
        <v>221229</v>
      </c>
      <c r="L4" s="12" t="n">
        <v>19728</v>
      </c>
      <c r="M4" s="13" t="n">
        <v>133054</v>
      </c>
      <c r="N4" s="12" t="n">
        <v>315</v>
      </c>
      <c r="O4" s="11" t="n">
        <v>60</v>
      </c>
    </row>
    <row r="5">
      <c r="A5" s="11" t="inlineStr">
        <is>
          <t>celimax Лифтинг-сыворотка для лица с ретинолом и м</t>
        </is>
      </c>
      <c r="B5" s="11" t="n">
        <v>229</v>
      </c>
      <c r="C5" s="12" t="n">
        <v>282810</v>
      </c>
      <c r="D5" s="12" t="n">
        <v>583670</v>
      </c>
      <c r="E5" s="12" t="n">
        <v>-452803</v>
      </c>
      <c r="F5" s="12" t="n">
        <v>-105239</v>
      </c>
      <c r="G5" s="12" t="n">
        <v>-25279</v>
      </c>
      <c r="H5" s="12" t="n">
        <v>-4446</v>
      </c>
      <c r="I5" s="12" t="n">
        <v>279068</v>
      </c>
      <c r="J5" s="11" t="n">
        <v>532</v>
      </c>
      <c r="K5" s="12" t="n">
        <v>135568</v>
      </c>
      <c r="L5" s="12" t="n">
        <v>14140</v>
      </c>
      <c r="M5" s="13" t="n">
        <v>129360</v>
      </c>
      <c r="N5" s="12" t="n">
        <v>565</v>
      </c>
      <c r="O5" s="11" t="n">
        <v>95</v>
      </c>
    </row>
    <row r="6">
      <c r="A6" s="11" t="inlineStr">
        <is>
          <t>PDRN сыворотка для лица VT Essence 100 VT Cosmetic</t>
        </is>
      </c>
      <c r="B6" s="11" t="n">
        <v>37</v>
      </c>
      <c r="C6" s="12" t="n">
        <v>91962</v>
      </c>
      <c r="D6" s="12" t="n">
        <v>180274</v>
      </c>
      <c r="E6" s="12" t="n">
        <v>-136510</v>
      </c>
      <c r="F6" s="12" t="n">
        <v>-6040</v>
      </c>
      <c r="G6" s="12" t="n">
        <v>-3788</v>
      </c>
      <c r="H6" s="12" t="n">
        <v>-1419</v>
      </c>
      <c r="I6" s="12" t="n">
        <v>124068</v>
      </c>
      <c r="J6" s="14" t="inlineStr">
        <is>
          <t>НЕТ</t>
        </is>
      </c>
      <c r="K6" s="12" t="inlineStr">
        <is>
          <t>—</t>
        </is>
      </c>
      <c r="L6" s="12" t="n">
        <v>4598</v>
      </c>
      <c r="M6" s="12" t="inlineStr">
        <is>
          <t>—</t>
        </is>
      </c>
      <c r="N6" s="12" t="inlineStr">
        <is>
          <t>—</t>
        </is>
      </c>
      <c r="O6" s="11" t="inlineStr">
        <is>
          <t>—</t>
        </is>
      </c>
    </row>
    <row r="7">
      <c r="A7" s="11" t="inlineStr">
        <is>
          <t xml:space="preserve">Round Lab Тонер с морской водой увлажняющий 1025, </t>
        </is>
      </c>
      <c r="B7" s="11" t="n">
        <v>74</v>
      </c>
      <c r="C7" s="12" t="n">
        <v>89767</v>
      </c>
      <c r="D7" s="12" t="n">
        <v>191117</v>
      </c>
      <c r="E7" s="12" t="n">
        <v>-145704</v>
      </c>
      <c r="F7" s="12" t="n">
        <v>-33424</v>
      </c>
      <c r="G7" s="12" t="n">
        <v>-8705</v>
      </c>
      <c r="H7" s="12" t="n">
        <v>-1558</v>
      </c>
      <c r="I7" s="12" t="n">
        <v>91272</v>
      </c>
      <c r="J7" s="11" t="n">
        <v>485</v>
      </c>
      <c r="K7" s="12" t="n">
        <v>40330</v>
      </c>
      <c r="L7" s="12" t="n">
        <v>4488</v>
      </c>
      <c r="M7" s="13" t="n">
        <v>46454</v>
      </c>
      <c r="N7" s="12" t="n">
        <v>628</v>
      </c>
      <c r="O7" s="11" t="n">
        <v>115</v>
      </c>
    </row>
    <row r="8">
      <c r="A8" s="11" t="inlineStr">
        <is>
          <t>Крем для восстановления барьера лица</t>
        </is>
      </c>
      <c r="B8" s="11" t="n">
        <v>5</v>
      </c>
      <c r="C8" s="12" t="n">
        <v>9776</v>
      </c>
      <c r="D8" s="12" t="n">
        <v>11275</v>
      </c>
      <c r="E8" s="12" t="n">
        <v>-10564</v>
      </c>
      <c r="F8" s="12" t="n">
        <v>-452</v>
      </c>
      <c r="G8" s="12" t="n">
        <v>-855</v>
      </c>
      <c r="H8" s="12" t="n">
        <v>-155</v>
      </c>
      <c r="I8" s="12" t="n">
        <v>8941</v>
      </c>
      <c r="J8" s="14" t="inlineStr">
        <is>
          <t>НЕТ</t>
        </is>
      </c>
      <c r="K8" s="12" t="inlineStr">
        <is>
          <t>—</t>
        </is>
      </c>
      <c r="L8" s="12" t="n">
        <v>489</v>
      </c>
      <c r="M8" s="12" t="inlineStr">
        <is>
          <t>—</t>
        </is>
      </c>
      <c r="N8" s="12" t="inlineStr">
        <is>
          <t>—</t>
        </is>
      </c>
      <c r="O8" s="11" t="inlineStr">
        <is>
          <t>—</t>
        </is>
      </c>
    </row>
    <row r="9">
      <c r="A9" s="11" t="inlineStr">
        <is>
          <t>Сыворотка с микроиглами для лица VT Reedle Shot 10</t>
        </is>
      </c>
      <c r="B9" s="11" t="n">
        <v>4</v>
      </c>
      <c r="C9" s="12" t="n">
        <v>7854</v>
      </c>
      <c r="D9" s="12" t="n">
        <v>14338</v>
      </c>
      <c r="E9" s="12" t="n">
        <v>-11115</v>
      </c>
      <c r="F9" s="12" t="n">
        <v>-655</v>
      </c>
      <c r="G9" s="12" t="n">
        <v>-485</v>
      </c>
      <c r="H9" s="12" t="n">
        <v>-239</v>
      </c>
      <c r="I9" s="12" t="n">
        <v>9648</v>
      </c>
      <c r="J9" s="14" t="inlineStr">
        <is>
          <t>НЕТ</t>
        </is>
      </c>
      <c r="K9" s="12" t="inlineStr">
        <is>
          <t>—</t>
        </is>
      </c>
      <c r="L9" s="12" t="n">
        <v>393</v>
      </c>
      <c r="M9" s="12" t="inlineStr">
        <is>
          <t>—</t>
        </is>
      </c>
      <c r="N9" s="12" t="inlineStr">
        <is>
          <t>—</t>
        </is>
      </c>
      <c r="O9" s="11" t="inlineStr">
        <is>
          <t>—</t>
        </is>
      </c>
    </row>
    <row r="10">
      <c r="A10" s="11" t="inlineStr">
        <is>
          <t>Сыворотка с микроиглами 1Dx для интенсивного ухода</t>
        </is>
      </c>
      <c r="B10" s="11" t="n">
        <v>5</v>
      </c>
      <c r="C10" s="12" t="n">
        <v>6873</v>
      </c>
      <c r="D10" s="12" t="n">
        <v>10571</v>
      </c>
      <c r="E10" s="12" t="n">
        <v>-8890</v>
      </c>
      <c r="F10" s="12" t="n">
        <v>-381</v>
      </c>
      <c r="G10" s="12" t="n">
        <v>-497</v>
      </c>
      <c r="H10" s="12" t="n">
        <v>-205</v>
      </c>
      <c r="I10" s="12" t="n">
        <v>7440</v>
      </c>
      <c r="J10" s="14" t="inlineStr">
        <is>
          <t>НЕТ</t>
        </is>
      </c>
      <c r="K10" s="12" t="inlineStr">
        <is>
          <t>—</t>
        </is>
      </c>
      <c r="L10" s="12" t="n">
        <v>344</v>
      </c>
      <c r="M10" s="12" t="inlineStr">
        <is>
          <t>—</t>
        </is>
      </c>
      <c r="N10" s="12" t="inlineStr">
        <is>
          <t>—</t>
        </is>
      </c>
      <c r="O10" s="11" t="inlineStr">
        <is>
          <t>—</t>
        </is>
      </c>
    </row>
    <row r="11">
      <c r="A11" s="11" t="inlineStr">
        <is>
          <t>Восстанавливающая сыворотка для лица с бифидобакте</t>
        </is>
      </c>
      <c r="B11" s="11" t="n">
        <v>2</v>
      </c>
      <c r="C11" s="12" t="n">
        <v>5053</v>
      </c>
      <c r="D11" s="12" t="n">
        <v>9873</v>
      </c>
      <c r="E11" s="12" t="n">
        <v>-7638</v>
      </c>
      <c r="F11" s="12" t="n">
        <v>-324</v>
      </c>
      <c r="G11" s="12" t="n">
        <v>-242</v>
      </c>
      <c r="H11" s="12" t="n">
        <v>-96</v>
      </c>
      <c r="I11" s="12" t="n">
        <v>6616</v>
      </c>
      <c r="J11" s="14" t="inlineStr">
        <is>
          <t>НЕТ</t>
        </is>
      </c>
      <c r="K11" s="12" t="inlineStr">
        <is>
          <t>—</t>
        </is>
      </c>
      <c r="L11" s="12" t="n">
        <v>253</v>
      </c>
      <c r="M11" s="12" t="inlineStr">
        <is>
          <t>—</t>
        </is>
      </c>
      <c r="N11" s="12" t="inlineStr">
        <is>
          <t>—</t>
        </is>
      </c>
      <c r="O11" s="11" t="inlineStr">
        <is>
          <t>—</t>
        </is>
      </c>
    </row>
    <row r="12">
      <c r="A12" s="11" t="inlineStr">
        <is>
          <t xml:space="preserve">Отбеливающая сыворотка с ниацинамидом для лица, с </t>
        </is>
      </c>
      <c r="B12" s="11" t="n">
        <v>2</v>
      </c>
      <c r="C12" s="12" t="n">
        <v>4379</v>
      </c>
      <c r="D12" s="12" t="n">
        <v>4807</v>
      </c>
      <c r="E12" s="12" t="n">
        <v>-4788</v>
      </c>
      <c r="F12" s="12" t="n">
        <v>-210</v>
      </c>
      <c r="G12" s="12" t="n">
        <v>-150</v>
      </c>
      <c r="H12" s="12" t="n">
        <v>-51</v>
      </c>
      <c r="I12" s="12" t="n">
        <v>3988</v>
      </c>
      <c r="J12" s="14" t="inlineStr">
        <is>
          <t>НЕТ</t>
        </is>
      </c>
      <c r="K12" s="12" t="inlineStr">
        <is>
          <t>—</t>
        </is>
      </c>
      <c r="L12" s="12" t="n">
        <v>219</v>
      </c>
      <c r="M12" s="12" t="inlineStr">
        <is>
          <t>—</t>
        </is>
      </c>
      <c r="N12" s="12" t="inlineStr">
        <is>
          <t>—</t>
        </is>
      </c>
      <c r="O12" s="11" t="inlineStr">
        <is>
          <t>—</t>
        </is>
      </c>
    </row>
    <row r="13">
      <c r="A13" s="11" t="inlineStr">
        <is>
          <t>Набор корейских тканевых масок для лица 10 шт JMSo</t>
        </is>
      </c>
      <c r="B13" s="11" t="n">
        <v>2</v>
      </c>
      <c r="C13" s="12" t="n">
        <v>2927</v>
      </c>
      <c r="D13" s="12" t="n">
        <v>3188</v>
      </c>
      <c r="E13" s="12" t="n">
        <v>-3064</v>
      </c>
      <c r="F13" s="12" t="n">
        <v>-140</v>
      </c>
      <c r="G13" s="12" t="n">
        <v>-392</v>
      </c>
      <c r="H13" s="12" t="n">
        <v>-11</v>
      </c>
      <c r="I13" s="12" t="n">
        <v>2439</v>
      </c>
      <c r="J13" s="14" t="inlineStr">
        <is>
          <t>НЕТ</t>
        </is>
      </c>
      <c r="K13" s="12" t="inlineStr">
        <is>
          <t>—</t>
        </is>
      </c>
      <c r="L13" s="12" t="n">
        <v>146</v>
      </c>
      <c r="M13" s="12" t="inlineStr">
        <is>
          <t>—</t>
        </is>
      </c>
      <c r="N13" s="12" t="inlineStr">
        <is>
          <t>—</t>
        </is>
      </c>
      <c r="O13" s="11" t="inlineStr">
        <is>
          <t>—</t>
        </is>
      </c>
    </row>
    <row r="14">
      <c r="A14" s="11" t="inlineStr">
        <is>
          <t>Гель пенка для умывания Bifida Complex Ampoule Gel</t>
        </is>
      </c>
      <c r="B14" s="11" t="n">
        <v>1</v>
      </c>
      <c r="C14" s="12" t="n">
        <v>2383</v>
      </c>
      <c r="D14" s="12" t="n">
        <v>2308</v>
      </c>
      <c r="E14" s="12" t="n">
        <v>-2346</v>
      </c>
      <c r="F14" s="12" t="n">
        <v>-117</v>
      </c>
      <c r="G14" s="12" t="n">
        <v>-105</v>
      </c>
      <c r="H14" s="12" t="n">
        <v>-40</v>
      </c>
      <c r="I14" s="12" t="n">
        <v>2048</v>
      </c>
      <c r="J14" s="14" t="inlineStr">
        <is>
          <t>НЕТ</t>
        </is>
      </c>
      <c r="K14" s="12" t="inlineStr">
        <is>
          <t>—</t>
        </is>
      </c>
      <c r="L14" s="12" t="n">
        <v>119</v>
      </c>
      <c r="M14" s="12" t="inlineStr">
        <is>
          <t>—</t>
        </is>
      </c>
      <c r="N14" s="12" t="inlineStr">
        <is>
          <t>—</t>
        </is>
      </c>
      <c r="O14" s="11" t="inlineStr">
        <is>
          <t>—</t>
        </is>
      </c>
    </row>
    <row r="15">
      <c r="A15" s="11" t="inlineStr">
        <is>
          <t>Тональный крем для лица матирующий Collagen коллаг</t>
        </is>
      </c>
      <c r="B15" s="11" t="n">
        <v>2</v>
      </c>
      <c r="C15" s="12" t="n">
        <v>1893</v>
      </c>
      <c r="D15" s="12" t="n">
        <v>2399</v>
      </c>
      <c r="E15" s="12" t="n">
        <v>-2199</v>
      </c>
      <c r="F15" s="12" t="n">
        <v>-89</v>
      </c>
      <c r="G15" s="12" t="n">
        <v>-177</v>
      </c>
      <c r="H15" s="12" t="n">
        <v>-54</v>
      </c>
      <c r="I15" s="12" t="n">
        <v>1764</v>
      </c>
      <c r="J15" s="14" t="inlineStr">
        <is>
          <t>НЕТ</t>
        </is>
      </c>
      <c r="K15" s="12" t="inlineStr">
        <is>
          <t>—</t>
        </is>
      </c>
      <c r="L15" s="12" t="n">
        <v>95</v>
      </c>
      <c r="M15" s="12" t="inlineStr">
        <is>
          <t>—</t>
        </is>
      </c>
      <c r="N15" s="12" t="inlineStr">
        <is>
          <t>—</t>
        </is>
      </c>
      <c r="O15" s="11" t="inlineStr">
        <is>
          <t>—</t>
        </is>
      </c>
    </row>
    <row r="16">
      <c r="A16" s="11" t="inlineStr">
        <is>
          <t>Сыворотка Корея увлажняющая против морщин SKIN1004</t>
        </is>
      </c>
      <c r="B16" s="11" t="n">
        <v>1</v>
      </c>
      <c r="C16" s="12" t="n">
        <v>1814</v>
      </c>
      <c r="D16" s="12" t="n">
        <v>2168</v>
      </c>
      <c r="E16" s="12" t="n">
        <v>-2000</v>
      </c>
      <c r="F16" s="12" t="n">
        <v>-82</v>
      </c>
      <c r="G16" s="12" t="n">
        <v>-85</v>
      </c>
      <c r="H16" s="12" t="n">
        <v>-34</v>
      </c>
      <c r="I16" s="12" t="n">
        <v>1771</v>
      </c>
      <c r="J16" s="14" t="inlineStr">
        <is>
          <t>НЕТ</t>
        </is>
      </c>
      <c r="K16" s="12" t="inlineStr">
        <is>
          <t>—</t>
        </is>
      </c>
      <c r="L16" s="12" t="n">
        <v>91</v>
      </c>
      <c r="M16" s="12" t="inlineStr">
        <is>
          <t>—</t>
        </is>
      </c>
      <c r="N16" s="12" t="inlineStr">
        <is>
          <t>—</t>
        </is>
      </c>
      <c r="O16" s="11" t="inlineStr">
        <is>
          <t>—</t>
        </is>
      </c>
    </row>
    <row r="17">
      <c r="A17" s="11" t="inlineStr">
        <is>
          <t>Отбеливающие тонер пэды для лица Celimax</t>
        </is>
      </c>
      <c r="B17" s="11" t="n">
        <v>1</v>
      </c>
      <c r="C17" s="12" t="n">
        <v>1314</v>
      </c>
      <c r="D17" s="12" t="n">
        <v>1569</v>
      </c>
      <c r="E17" s="12" t="n">
        <v>-1448</v>
      </c>
      <c r="F17" s="12" t="n">
        <v>-59</v>
      </c>
      <c r="G17" s="12" t="n">
        <v>-98</v>
      </c>
      <c r="H17" s="12" t="n">
        <v>-25</v>
      </c>
      <c r="I17" s="12" t="n">
        <v>1242</v>
      </c>
      <c r="J17" s="14" t="inlineStr">
        <is>
          <t>НЕТ</t>
        </is>
      </c>
      <c r="K17" s="12" t="inlineStr">
        <is>
          <t>—</t>
        </is>
      </c>
      <c r="L17" s="12" t="n">
        <v>66</v>
      </c>
      <c r="M17" s="12" t="inlineStr">
        <is>
          <t>—</t>
        </is>
      </c>
      <c r="N17" s="12" t="inlineStr">
        <is>
          <t>—</t>
        </is>
      </c>
      <c r="O17" s="11" t="inlineStr">
        <is>
          <t>—</t>
        </is>
      </c>
    </row>
    <row r="18">
      <c r="A18" s="11" t="inlineStr">
        <is>
          <t>Корейский тонер для лица увлажняющий с центеллой J</t>
        </is>
      </c>
      <c r="B18" s="11" t="n">
        <v>1</v>
      </c>
      <c r="C18" s="12" t="n">
        <v>1038</v>
      </c>
      <c r="D18" s="12" t="n">
        <v>1375</v>
      </c>
      <c r="E18" s="12" t="n">
        <v>-1212</v>
      </c>
      <c r="F18" s="12" t="n">
        <v>-50</v>
      </c>
      <c r="G18" s="12" t="n">
        <v>-99</v>
      </c>
      <c r="H18" s="12" t="n">
        <v>0</v>
      </c>
      <c r="I18" s="12" t="n">
        <v>1042</v>
      </c>
      <c r="J18" s="14" t="inlineStr">
        <is>
          <t>НЕТ</t>
        </is>
      </c>
      <c r="K18" s="12" t="inlineStr">
        <is>
          <t>—</t>
        </is>
      </c>
      <c r="L18" s="12" t="n">
        <v>52</v>
      </c>
      <c r="M18" s="12" t="inlineStr">
        <is>
          <t>—</t>
        </is>
      </c>
      <c r="N18" s="12" t="inlineStr">
        <is>
          <t>—</t>
        </is>
      </c>
      <c r="O18" s="11" t="inlineStr">
        <is>
          <t>—</t>
        </is>
      </c>
    </row>
    <row r="19">
      <c r="A19" s="11" t="inlineStr">
        <is>
          <t>Увлажняющий крем для лица с берёзовым соком Корея</t>
        </is>
      </c>
      <c r="B19" s="11" t="n">
        <v>1</v>
      </c>
      <c r="C19" s="12" t="n">
        <v>799</v>
      </c>
      <c r="D19" s="12" t="n">
        <v>1193</v>
      </c>
      <c r="E19" s="12" t="n">
        <v>-1000</v>
      </c>
      <c r="F19" s="12" t="n">
        <v>-42</v>
      </c>
      <c r="G19" s="12" t="n">
        <v>-293</v>
      </c>
      <c r="H19" s="12" t="n">
        <v>0</v>
      </c>
      <c r="I19" s="12" t="n">
        <v>637</v>
      </c>
      <c r="J19" s="14" t="inlineStr">
        <is>
          <t>НЕТ</t>
        </is>
      </c>
      <c r="K19" s="12" t="inlineStr">
        <is>
          <t>—</t>
        </is>
      </c>
      <c r="L19" s="12" t="n">
        <v>40</v>
      </c>
      <c r="M19" s="12" t="inlineStr">
        <is>
          <t>—</t>
        </is>
      </c>
      <c r="N19" s="12" t="inlineStr">
        <is>
          <t>—</t>
        </is>
      </c>
      <c r="O19" s="11" t="inlineStr">
        <is>
          <t>—</t>
        </is>
      </c>
    </row>
    <row r="20">
      <c r="A20" s="11" t="inlineStr">
        <is>
          <t>Увлажняющий крем для лица Корея Collagen</t>
        </is>
      </c>
      <c r="B20" s="11" t="n">
        <v>1</v>
      </c>
      <c r="C20" s="12" t="n">
        <v>652</v>
      </c>
      <c r="D20" s="12" t="n">
        <v>832</v>
      </c>
      <c r="E20" s="12" t="n">
        <v>-745</v>
      </c>
      <c r="F20" s="12" t="n">
        <v>-31</v>
      </c>
      <c r="G20" s="12" t="n">
        <v>-284</v>
      </c>
      <c r="H20" s="12" t="n">
        <v>-12</v>
      </c>
      <c r="I20" s="12" t="n">
        <v>391</v>
      </c>
      <c r="J20" s="14" t="inlineStr">
        <is>
          <t>НЕТ</t>
        </is>
      </c>
      <c r="K20" s="12" t="inlineStr">
        <is>
          <t>—</t>
        </is>
      </c>
      <c r="L20" s="12" t="n">
        <v>33</v>
      </c>
      <c r="M20" s="12" t="inlineStr">
        <is>
          <t>—</t>
        </is>
      </c>
      <c r="N20" s="12" t="inlineStr">
        <is>
          <t>—</t>
        </is>
      </c>
      <c r="O20" s="11" t="inlineStr">
        <is>
          <t>—</t>
        </is>
      </c>
    </row>
    <row r="21">
      <c r="A21" s="11" t="inlineStr">
        <is>
          <t>Увлажняющий крем для кожи вокруг глаз</t>
        </is>
      </c>
      <c r="B21" s="11" t="n">
        <v>1</v>
      </c>
      <c r="C21" s="12" t="n">
        <v>635</v>
      </c>
      <c r="D21" s="12" t="n">
        <v>847</v>
      </c>
      <c r="E21" s="12" t="n">
        <v>-744</v>
      </c>
      <c r="F21" s="12" t="n">
        <v>-31</v>
      </c>
      <c r="G21" s="12" t="n">
        <v>-95</v>
      </c>
      <c r="H21" s="12" t="n">
        <v>-12</v>
      </c>
      <c r="I21" s="12" t="n">
        <v>591</v>
      </c>
      <c r="J21" s="14" t="inlineStr">
        <is>
          <t>НЕТ</t>
        </is>
      </c>
      <c r="K21" s="12" t="inlineStr">
        <is>
          <t>—</t>
        </is>
      </c>
      <c r="L21" s="12" t="n">
        <v>32</v>
      </c>
      <c r="M21" s="12" t="inlineStr">
        <is>
          <t>—</t>
        </is>
      </c>
      <c r="N21" s="12" t="inlineStr">
        <is>
          <t>—</t>
        </is>
      </c>
      <c r="O21" s="11" t="inlineStr">
        <is>
          <t>—</t>
        </is>
      </c>
    </row>
    <row r="22">
      <c r="A22" s="11" t="inlineStr">
        <is>
          <t>Успокаивающие тонер пэды для лица с кислотами Celi</t>
        </is>
      </c>
      <c r="B22" s="11" t="n">
        <v>0</v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-15</v>
      </c>
      <c r="J22" s="11" t="inlineStr">
        <is>
          <t>НЕТ</t>
        </is>
      </c>
      <c r="K22" s="12" t="inlineStr">
        <is>
          <t>—</t>
        </is>
      </c>
      <c r="L22" s="12" t="n">
        <v>0</v>
      </c>
      <c r="M22" s="12" t="inlineStr">
        <is>
          <t>—</t>
        </is>
      </c>
      <c r="N22" s="12" t="inlineStr">
        <is>
          <t>—</t>
        </is>
      </c>
      <c r="O22" s="11" t="inlineStr">
        <is>
          <t>—</t>
        </is>
      </c>
    </row>
    <row r="23">
      <c r="A23" s="11" t="inlineStr">
        <is>
          <t>Новогодняя игрушка Дед Мороз под елку 35 см / Сант</t>
        </is>
      </c>
      <c r="B23" s="11" t="n">
        <v>0</v>
      </c>
      <c r="C23" s="12" t="n">
        <v>0</v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-100</v>
      </c>
      <c r="J23" s="11" t="inlineStr">
        <is>
          <t>НЕТ</t>
        </is>
      </c>
      <c r="K23" s="12" t="inlineStr">
        <is>
          <t>—</t>
        </is>
      </c>
      <c r="L23" s="12" t="n">
        <v>0</v>
      </c>
      <c r="M23" s="12" t="inlineStr">
        <is>
          <t>—</t>
        </is>
      </c>
      <c r="N23" s="12" t="inlineStr">
        <is>
          <t>—</t>
        </is>
      </c>
      <c r="O23" s="11" t="inlineStr">
        <is>
          <t>—</t>
        </is>
      </c>
    </row>
    <row r="24">
      <c r="A24" s="11" t="inlineStr">
        <is>
          <t>Шампунь для волос женский c черным чесноком DEOPRO</t>
        </is>
      </c>
      <c r="B24" s="11" t="n">
        <v>0</v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14</v>
      </c>
      <c r="I24" s="12" t="n">
        <v>-1</v>
      </c>
      <c r="J24" s="11" t="inlineStr">
        <is>
          <t>НЕТ</t>
        </is>
      </c>
      <c r="K24" s="12" t="inlineStr">
        <is>
          <t>—</t>
        </is>
      </c>
      <c r="L24" s="12" t="n">
        <v>0</v>
      </c>
      <c r="M24" s="12" t="inlineStr">
        <is>
          <t>—</t>
        </is>
      </c>
      <c r="N24" s="12" t="inlineStr">
        <is>
          <t>—</t>
        </is>
      </c>
      <c r="O24" s="11" t="inlineStr">
        <is>
          <t>—</t>
        </is>
      </c>
    </row>
    <row r="25">
      <c r="A25" s="11" t="inlineStr">
        <is>
          <t>Корейская база под макияж с шиммером Heimish, 40 м</t>
        </is>
      </c>
      <c r="B25" s="11" t="n">
        <v>0</v>
      </c>
      <c r="C25" s="12" t="n">
        <v>0</v>
      </c>
      <c r="D25" s="12" t="n">
        <v>0</v>
      </c>
      <c r="E25" s="12" t="n">
        <v>0</v>
      </c>
      <c r="F25" s="12" t="n">
        <v>0</v>
      </c>
      <c r="G25" s="12" t="n">
        <v>-170</v>
      </c>
      <c r="H25" s="12" t="n">
        <v>0</v>
      </c>
      <c r="I25" s="12" t="n">
        <v>-180</v>
      </c>
      <c r="J25" s="11" t="inlineStr">
        <is>
          <t>НЕТ</t>
        </is>
      </c>
      <c r="K25" s="12" t="inlineStr">
        <is>
          <t>—</t>
        </is>
      </c>
      <c r="L25" s="12" t="n">
        <v>0</v>
      </c>
      <c r="M25" s="12" t="inlineStr">
        <is>
          <t>—</t>
        </is>
      </c>
      <c r="N25" s="12" t="inlineStr">
        <is>
          <t>—</t>
        </is>
      </c>
      <c r="O25" s="11" t="inlineStr">
        <is>
          <t>—</t>
        </is>
      </c>
    </row>
    <row r="26">
      <c r="A26" s="11" t="inlineStr">
        <is>
          <t>Тональный крем для лица матовый увлажняющий с муци</t>
        </is>
      </c>
      <c r="B26" s="11" t="n">
        <v>0</v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-15</v>
      </c>
      <c r="J26" s="11" t="inlineStr">
        <is>
          <t>НЕТ</t>
        </is>
      </c>
      <c r="K26" s="12" t="inlineStr">
        <is>
          <t>—</t>
        </is>
      </c>
      <c r="L26" s="12" t="n">
        <v>0</v>
      </c>
      <c r="M26" s="12" t="inlineStr">
        <is>
          <t>—</t>
        </is>
      </c>
      <c r="N26" s="12" t="inlineStr">
        <is>
          <t>—</t>
        </is>
      </c>
      <c r="O26" s="11" t="inlineStr">
        <is>
          <t>—</t>
        </is>
      </c>
    </row>
    <row r="27">
      <c r="A27" s="15" t="inlineStr">
        <is>
          <t>ИТОГО (по товарам с известной себестоимостью)</t>
        </is>
      </c>
      <c r="B27" s="15" t="n">
        <v>2091</v>
      </c>
      <c r="C27" s="15" t="n">
        <v>2572140</v>
      </c>
      <c r="D27" s="15" t="n">
        <v>5260718</v>
      </c>
      <c r="E27" s="15" t="n">
        <v>-4079295</v>
      </c>
      <c r="F27" s="15" t="n">
        <v>-908605</v>
      </c>
      <c r="G27" s="15" t="n">
        <v>-243431</v>
      </c>
      <c r="H27" s="15" t="n">
        <v>-44494</v>
      </c>
      <c r="I27" s="15" t="inlineStr"/>
      <c r="J27" s="15" t="inlineStr"/>
      <c r="K27" s="15" t="n">
        <v>1293779</v>
      </c>
      <c r="L27" s="15" t="n">
        <v>121639</v>
      </c>
      <c r="M27" s="15" t="n">
        <v>967327</v>
      </c>
      <c r="N27" s="15" t="inlineStr"/>
      <c r="O27" s="15" t="n">
        <v>75</v>
      </c>
    </row>
    <row r="29">
      <c r="A29" s="7" t="inlineStr">
        <is>
          <t>ПРИМЕЧАНИЯ:</t>
        </is>
      </c>
    </row>
    <row r="30">
      <c r="A30" t="inlineStr">
        <is>
          <t>ЧИСТЫМИ = НЕТТО Ozon − (себестоимость+60₽ фулфилмент)×шт − налог 5%.</t>
        </is>
      </c>
    </row>
    <row r="31">
      <c r="A31" t="inlineStr">
        <is>
          <t>Налог упрощённо = 5% от выручки живыми деньгами (УСН+НДС 5%, подтверждено владельцем).</t>
        </is>
      </c>
    </row>
    <row r="32">
      <c r="A32" t="inlineStr">
        <is>
          <t>Жёлтым — товары, по которым нет себестоимости в остатках (PDRN сыворотка VT) — заполнить, чтобы посчитать прибыль.</t>
        </is>
      </c>
    </row>
    <row r="33">
      <c r="A33" t="inlineStr">
        <is>
          <t>Реклама кампаний на весь магазин (760к ₽, не привязана к SKU) РАЗНЕСЕНА по товарам пропорционально выручке — поэтому прибыль по героям честная, а не завышенная.</t>
        </is>
      </c>
    </row>
    <row r="34">
      <c r="A34" t="inlineStr">
        <is>
          <t>Баллы в прибыль НЕ добавляются как деньги: они уже учтены в НЕТТО как зачёт против комиссии.</t>
        </is>
      </c>
    </row>
    <row r="35">
      <c r="A35" t="inlineStr">
        <is>
          <t>Это кассовый взгляд (сколько Ozon перечислит). Точный ДРР и маржа по каждому SKU — в отчёте Ракета (ozon_pnl_by_product); цифры могут отличаться из-за периода и метода учёта.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2026-10-06T00:01:03Z</dcterms:created>
  <dcterms:modified xsi:type="dcterms:W3CDTF">2026-10-06T00:01:03Z</dcterms:modified>
</cp:coreProperties>
</file>
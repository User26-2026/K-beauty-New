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01-29.09" sheetId="1" state="visible" r:id="rId1"/>
    <sheet name="По схем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3" borderId="1" pivotButton="0" quotePrefix="0" xfId="0"/>
    <xf numFmtId="164" fontId="0" fillId="4" borderId="1" pivotButton="0" quotePrefix="0" xfId="0"/>
    <xf numFmtId="0" fontId="3" fillId="5" borderId="1" pivotButton="0" quotePrefix="0" xfId="0"/>
    <xf numFmtId="164" fontId="3" fillId="5" borderId="1" pivotButton="0" quotePrefix="0" xfId="0"/>
    <xf numFmtId="0" fontId="0" fillId="5" borderId="1" applyAlignment="1" pivotButton="0" quotePrefix="0" xfId="0">
      <alignment vertical="top" wrapText="1"/>
    </xf>
    <xf numFmtId="16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44" customWidth="1" min="3" max="3"/>
  </cols>
  <sheetData>
    <row r="1">
      <c r="A1" s="1" t="inlineStr">
        <is>
          <t>OZON KOREADOM — фактический P&amp;L по начислениям, 01–29.09.2026</t>
        </is>
      </c>
    </row>
    <row r="2">
      <c r="A2" t="inlineStr">
        <is>
          <t>Источник: отчёт «Начисления» (28 400 строк). Знак: + доход, − расход. Колонка «Сумма итого, руб.»</t>
        </is>
      </c>
    </row>
    <row r="4">
      <c r="A4" s="2" t="inlineStr">
        <is>
          <t>Статья</t>
        </is>
      </c>
      <c r="B4" s="2" t="inlineStr">
        <is>
          <t>Сумма, ₽</t>
        </is>
      </c>
      <c r="C4" s="2" t="inlineStr">
        <is>
          <t>Комментарий</t>
        </is>
      </c>
    </row>
    <row r="5">
      <c r="A5" s="3" t="inlineStr">
        <is>
          <t>ДОХОДЫ</t>
        </is>
      </c>
      <c r="B5" s="4" t="n"/>
      <c r="C5" s="5" t="n"/>
    </row>
    <row r="6">
      <c r="A6" s="4" t="inlineStr">
        <is>
          <t>Выручка (продажи покупателям)</t>
        </is>
      </c>
      <c r="B6" s="6" t="n">
        <v>3584216</v>
      </c>
      <c r="C6" s="5" t="inlineStr">
        <is>
          <t>3 075 шт продано</t>
        </is>
      </c>
    </row>
    <row r="7">
      <c r="A7" s="4" t="inlineStr">
        <is>
          <t>Баллы за скидки (соинвест Ozon)</t>
        </is>
      </c>
      <c r="B7" s="6" t="n">
        <v>7120762</v>
      </c>
      <c r="C7" s="5" t="inlineStr">
        <is>
          <t>Ozon софинансирует скидку — начисляется нам</t>
        </is>
      </c>
    </row>
    <row r="8">
      <c r="A8" s="4" t="inlineStr">
        <is>
          <t>Программы партнёров</t>
        </is>
      </c>
      <c r="B8" s="6" t="n">
        <v>31938</v>
      </c>
      <c r="C8" s="5" t="inlineStr"/>
    </row>
    <row r="9">
      <c r="A9" s="4" t="inlineStr">
        <is>
          <t>Возврат вознаграждения</t>
        </is>
      </c>
      <c r="B9" s="6" t="n">
        <v>31233</v>
      </c>
      <c r="C9" s="5" t="inlineStr"/>
    </row>
    <row r="10">
      <c r="A10" s="3" t="inlineStr">
        <is>
          <t>РАСХОДЫ</t>
        </is>
      </c>
      <c r="B10" s="4" t="n"/>
      <c r="C10" s="5" t="n"/>
    </row>
    <row r="11">
      <c r="A11" s="4" t="inlineStr">
        <is>
          <t>Вознаграждение Ozon за продажу</t>
        </is>
      </c>
      <c r="B11" s="7" t="n">
        <v>-5497096</v>
      </c>
      <c r="C11" s="5" t="inlineStr">
        <is>
          <t>Комиссия с завышенной цены до скидки</t>
        </is>
      </c>
    </row>
    <row r="12">
      <c r="A12" s="4" t="inlineStr">
        <is>
          <t>Реклама: оплата за клик</t>
        </is>
      </c>
      <c r="B12" s="7" t="n">
        <v>-1464864</v>
      </c>
      <c r="C12" s="5" t="inlineStr">
        <is>
          <t>Трафаретное продвижение</t>
        </is>
      </c>
    </row>
    <row r="13">
      <c r="A13" s="4" t="inlineStr">
        <is>
          <t>Подписка Premium Pro</t>
        </is>
      </c>
      <c r="B13" s="7" t="n">
        <v>-24990</v>
      </c>
      <c r="C13" s="5" t="inlineStr"/>
    </row>
    <row r="14">
      <c r="A14" s="4" t="inlineStr">
        <is>
          <t>Реклама прочая (заказ/бренд/бейдж)</t>
        </is>
      </c>
      <c r="B14" s="7" t="n">
        <v>-55616</v>
      </c>
      <c r="C14" s="5" t="inlineStr"/>
    </row>
    <row r="15">
      <c r="A15" s="4" t="inlineStr">
        <is>
          <t>Логистика</t>
        </is>
      </c>
      <c r="B15" s="7" t="n">
        <v>-303342</v>
      </c>
      <c r="C15" s="5" t="inlineStr"/>
    </row>
    <row r="16">
      <c r="A16" s="4" t="inlineStr">
        <is>
          <t>Обратная логистика + доставка ПВЗ</t>
        </is>
      </c>
      <c r="B16" s="7" t="n">
        <v>-30037</v>
      </c>
      <c r="C16" s="5" t="inlineStr"/>
    </row>
    <row r="17">
      <c r="A17" s="4" t="inlineStr">
        <is>
          <t>Эквайринг</t>
        </is>
      </c>
      <c r="B17" s="7" t="n">
        <v>-70370</v>
      </c>
      <c r="C17" s="5" t="inlineStr"/>
    </row>
    <row r="18">
      <c r="A18" s="4" t="inlineStr">
        <is>
          <t>Услуги партнёров прочие</t>
        </is>
      </c>
      <c r="B18" s="7" t="n">
        <v>-62681</v>
      </c>
      <c r="C18" s="5" t="inlineStr">
        <is>
          <t>Доставка/страхование/упаковка/возвраты</t>
        </is>
      </c>
    </row>
    <row r="19">
      <c r="A19" s="4" t="inlineStr">
        <is>
          <t>Услуги FBO (склад/кросс-докинг/брак)</t>
        </is>
      </c>
      <c r="B19" s="7" t="n">
        <v>-26482</v>
      </c>
      <c r="C19" s="5" t="inlineStr"/>
    </row>
    <row r="20">
      <c r="A20" s="4" t="inlineStr">
        <is>
          <t>Возвраты (выручка+баллы)</t>
        </is>
      </c>
      <c r="B20" s="7" t="n">
        <v>-60869</v>
      </c>
      <c r="C20" s="5" t="inlineStr"/>
    </row>
    <row r="21">
      <c r="A21" s="4" t="inlineStr">
        <is>
          <t>Другие услуги и штрафы</t>
        </is>
      </c>
      <c r="B21" s="7" t="n">
        <v>-56608</v>
      </c>
      <c r="C21" s="5" t="inlineStr">
        <is>
          <t>Перенос карточек, ИЛ, утилизация</t>
        </is>
      </c>
    </row>
    <row r="22">
      <c r="A22" s="4" t="inlineStr">
        <is>
          <t>Обеспечительные платежи</t>
        </is>
      </c>
      <c r="B22" s="7" t="n">
        <v>-200000</v>
      </c>
      <c r="C22" s="5" t="inlineStr">
        <is>
          <t>Депозит (возвратный) — не операц. расход</t>
        </is>
      </c>
    </row>
    <row r="23">
      <c r="A23" s="8" t="inlineStr">
        <is>
          <t>ИТОГО чистый результат Ozon (до себестоимости)</t>
        </is>
      </c>
      <c r="B23" s="9" t="n">
        <v>2645470</v>
      </c>
      <c r="C23" s="10">
        <f> сумма всех начислений</f>
        <v/>
      </c>
    </row>
    <row r="24">
      <c r="A24" s="4" t="inlineStr">
        <is>
          <t>Себестоимость проданного товара</t>
        </is>
      </c>
      <c r="B24" s="7" t="n">
        <v>-1733930</v>
      </c>
      <c r="C24" s="5" t="inlineStr">
        <is>
          <t>~3 066 шт (сопоставлено 78% + Retinal вручную)</t>
        </is>
      </c>
    </row>
    <row r="25">
      <c r="A25" s="8" t="inlineStr">
        <is>
          <t>ПРИБЫЛЬ до налога</t>
        </is>
      </c>
      <c r="B25" s="9" t="n">
        <v>911540</v>
      </c>
      <c r="C25" s="10" t="inlineStr">
        <is>
          <t>До вычета УСН+НДС 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Чистый результат начислений по схеме (FBO/FBS)</t>
        </is>
      </c>
    </row>
    <row r="3">
      <c r="A3" s="2" t="inlineStr">
        <is>
          <t>Схема</t>
        </is>
      </c>
      <c r="B3" s="2" t="inlineStr">
        <is>
          <t>Чистые начисления, ₽</t>
        </is>
      </c>
    </row>
    <row r="4">
      <c r="A4" s="4" t="inlineStr">
        <is>
          <t>FBO</t>
        </is>
      </c>
      <c r="B4" s="11" t="n">
        <v>2607572</v>
      </c>
    </row>
    <row r="5">
      <c r="A5" s="4" t="inlineStr">
        <is>
          <t>FBS</t>
        </is>
      </c>
      <c r="B5" s="11" t="n">
        <v>1947974</v>
      </c>
    </row>
    <row r="7">
      <c r="A7" s="12" t="inlineStr">
        <is>
          <t>Часть начислений (реклама, депозиты, штрафы) без привязки к схеме — не вошли в разбивку.</t>
        </is>
      </c>
    </row>
    <row r="8"/>
  </sheetData>
  <mergeCells count="1">
    <mergeCell ref="A7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2026-09-29T22:05:33Z</dcterms:created>
  <dcterms:modified xsi:type="dcterms:W3CDTF">2026-09-29T22:05:33Z</dcterms:modified>
</cp:coreProperties>
</file>
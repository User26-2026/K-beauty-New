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конца ноябр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8" customWidth="1" min="4" max="4"/>
    <col width="24" customWidth="1" min="5" max="5"/>
    <col width="16" customWidth="1" min="6" max="6"/>
    <col width="18" customWidth="1" min="7" max="7"/>
    <col width="26" customWidth="1" min="8" max="8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Хранение до конца ноября всего (без продаж), руб</t>
        </is>
      </c>
      <c r="F1" s="1" t="inlineStr">
        <is>
          <t>Выкуп/день, шт (100 дн)</t>
        </is>
      </c>
      <c r="G1" s="1" t="inlineStr">
        <is>
          <t>Прогноз остатка к 30.11, шт</t>
        </is>
      </c>
      <c r="H1" s="1" t="inlineStr">
        <is>
          <t>Хранение до конца ноября с учётом продаж,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5">
        <f>D2*C2*159</f>
        <v/>
      </c>
      <c r="F2" s="5" t="n">
        <v>1.46</v>
      </c>
      <c r="G2" s="3">
        <f>MAX(0,C2-F2*159)</f>
        <v/>
      </c>
      <c r="H2" s="5">
        <f>IF(F2=0,D2*C2*159,D2*(MIN(159,CEILING(C2/F2,1))*C2-F2*MIN(159,CEILING(C2/F2,1))*(MIN(159,CEILING(C2/F2,1))-1)/2))</f>
        <v/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5">
        <f>D3*C3*159</f>
        <v/>
      </c>
      <c r="F3" s="5" t="n">
        <v>0.77</v>
      </c>
      <c r="G3" s="3">
        <f>MAX(0,C3-F3*159)</f>
        <v/>
      </c>
      <c r="H3" s="5">
        <f>IF(F3=0,D3*C3*159,D3*(MIN(159,CEILING(C3/F3,1))*C3-F3*MIN(159,CEILING(C3/F3,1))*(MIN(159,CEILING(C3/F3,1))-1)/2))</f>
        <v/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5">
        <f>D4*C4*159</f>
        <v/>
      </c>
      <c r="F4" s="5" t="n">
        <v>1.35</v>
      </c>
      <c r="G4" s="3">
        <f>MAX(0,C4-F4*159)</f>
        <v/>
      </c>
      <c r="H4" s="5">
        <f>IF(F4=0,D4*C4*159,D4*(MIN(159,CEILING(C4/F4,1))*C4-F4*MIN(159,CEILING(C4/F4,1))*(MIN(159,CEILING(C4/F4,1))-1)/2))</f>
        <v/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5">
        <f>D5*C5*159</f>
        <v/>
      </c>
      <c r="F5" s="5" t="n">
        <v>1.11</v>
      </c>
      <c r="G5" s="3">
        <f>MAX(0,C5-F5*159)</f>
        <v/>
      </c>
      <c r="H5" s="5">
        <f>IF(F5=0,D5*C5*159,D5*(MIN(159,CEILING(C5/F5,1))*C5-F5*MIN(159,CEILING(C5/F5,1))*(MIN(159,CEILING(C5/F5,1))-1)/2))</f>
        <v/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5">
        <f>D6*C6*159</f>
        <v/>
      </c>
      <c r="F6" s="5" t="n">
        <v>1.94</v>
      </c>
      <c r="G6" s="3">
        <f>MAX(0,C6-F6*159)</f>
        <v/>
      </c>
      <c r="H6" s="5">
        <f>IF(F6=0,D6*C6*159,D6*(MIN(159,CEILING(C6/F6,1))*C6-F6*MIN(159,CEILING(C6/F6,1))*(MIN(159,CEILING(C6/F6,1))-1)/2))</f>
        <v/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5">
        <f>D7*C7*159</f>
        <v/>
      </c>
      <c r="F7" s="5" t="n">
        <v>3.54</v>
      </c>
      <c r="G7" s="3">
        <f>MAX(0,C7-F7*159)</f>
        <v/>
      </c>
      <c r="H7" s="5">
        <f>IF(F7=0,D7*C7*159,D7*(MIN(159,CEILING(C7/F7,1))*C7-F7*MIN(159,CEILING(C7/F7,1))*(MIN(159,CEILING(C7/F7,1))-1)/2))</f>
        <v/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5">
        <f>D8*C8*159</f>
        <v/>
      </c>
      <c r="F8" s="5" t="n">
        <v>2.9</v>
      </c>
      <c r="G8" s="3">
        <f>MAX(0,C8-F8*159)</f>
        <v/>
      </c>
      <c r="H8" s="5">
        <f>IF(F8=0,D8*C8*159,D8*(MIN(159,CEILING(C8/F8,1))*C8-F8*MIN(159,CEILING(C8/F8,1))*(MIN(159,CEILING(C8/F8,1))-1)/2))</f>
        <v/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5">
        <f>D9*C9*159</f>
        <v/>
      </c>
      <c r="F9" s="5" t="n">
        <v>4.22</v>
      </c>
      <c r="G9" s="3">
        <f>MAX(0,C9-F9*159)</f>
        <v/>
      </c>
      <c r="H9" s="5">
        <f>IF(F9=0,D9*C9*159,D9*(MIN(159,CEILING(C9/F9,1))*C9-F9*MIN(159,CEILING(C9/F9,1))*(MIN(159,CEILING(C9/F9,1))-1)/2))</f>
        <v/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5">
        <f>D10*C10*159</f>
        <v/>
      </c>
      <c r="F10" s="5" t="n">
        <v>0.86</v>
      </c>
      <c r="G10" s="3">
        <f>MAX(0,C10-F10*159)</f>
        <v/>
      </c>
      <c r="H10" s="5">
        <f>IF(F10=0,D10*C10*159,D10*(MIN(159,CEILING(C10/F10,1))*C10-F10*MIN(159,CEILING(C10/F10,1))*(MIN(159,CEILING(C10/F10,1))-1)/2))</f>
        <v/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5">
        <f>D11*C11*159</f>
        <v/>
      </c>
      <c r="F11" s="5" t="n">
        <v>3.5</v>
      </c>
      <c r="G11" s="3">
        <f>MAX(0,C11-F11*159)</f>
        <v/>
      </c>
      <c r="H11" s="5">
        <f>IF(F11=0,D11*C11*159,D11*(MIN(159,CEILING(C11/F11,1))*C11-F11*MIN(159,CEILING(C11/F11,1))*(MIN(159,CEILING(C11/F11,1))-1)/2))</f>
        <v/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5">
        <f>D12*C12*159</f>
        <v/>
      </c>
      <c r="F12" s="5" t="n">
        <v>0.11</v>
      </c>
      <c r="G12" s="3">
        <f>MAX(0,C12-F12*159)</f>
        <v/>
      </c>
      <c r="H12" s="5">
        <f>IF(F12=0,D12*C12*159,D12*(MIN(159,CEILING(C12/F12,1))*C12-F12*MIN(159,CEILING(C12/F12,1))*(MIN(159,CEILING(C12/F12,1))-1)/2))</f>
        <v/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5">
        <f>D13*C13*159</f>
        <v/>
      </c>
      <c r="F13" s="5" t="n">
        <v>0.15</v>
      </c>
      <c r="G13" s="3">
        <f>MAX(0,C13-F13*159)</f>
        <v/>
      </c>
      <c r="H13" s="5">
        <f>IF(F13=0,D13*C13*159,D13*(MIN(159,CEILING(C13/F13,1))*C13-F13*MIN(159,CEILING(C13/F13,1))*(MIN(159,CEILING(C13/F13,1))-1)/2))</f>
        <v/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1108</v>
      </c>
      <c r="D14" s="4" t="n">
        <v>0.1545</v>
      </c>
      <c r="E14" s="5">
        <f>D14*C14*159</f>
        <v/>
      </c>
      <c r="F14" s="5" t="n">
        <v>4.16</v>
      </c>
      <c r="G14" s="3">
        <f>MAX(0,C14-F14*159)</f>
        <v/>
      </c>
      <c r="H14" s="5">
        <f>IF(F14=0,D14*C14*159,D14*(MIN(159,CEILING(C14/F14,1))*C14-F14*MIN(159,CEILING(C14/F14,1))*(MIN(159,CEILING(C14/F14,1))-1)/2))</f>
        <v/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2515</v>
      </c>
      <c r="D15" s="4" t="n">
        <v>0.1355</v>
      </c>
      <c r="E15" s="5">
        <f>D15*C15*159</f>
        <v/>
      </c>
      <c r="F15" s="5" t="n">
        <v>2.77</v>
      </c>
      <c r="G15" s="3">
        <f>MAX(0,C15-F15*159)</f>
        <v/>
      </c>
      <c r="H15" s="5">
        <f>IF(F15=0,D15*C15*159,D15*(MIN(159,CEILING(C15/F15,1))*C15-F15*MIN(159,CEILING(C15/F15,1))*(MIN(159,CEILING(C15/F15,1))-1)/2))</f>
        <v/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2757</v>
      </c>
      <c r="D16" s="4" t="n">
        <v>0.135</v>
      </c>
      <c r="E16" s="5">
        <f>D16*C16*159</f>
        <v/>
      </c>
      <c r="F16" s="5" t="n">
        <v>2.64</v>
      </c>
      <c r="G16" s="3">
        <f>MAX(0,C16-F16*159)</f>
        <v/>
      </c>
      <c r="H16" s="5">
        <f>IF(F16=0,D16*C16*159,D16*(MIN(159,CEILING(C16/F16,1))*C16-F16*MIN(159,CEILING(C16/F16,1))*(MIN(159,CEILING(C16/F16,1))-1)/2))</f>
        <v/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5">
        <f>D17*C17*159</f>
        <v/>
      </c>
      <c r="F17" s="5" t="n">
        <v>0.76</v>
      </c>
      <c r="G17" s="3">
        <f>MAX(0,C17-F17*159)</f>
        <v/>
      </c>
      <c r="H17" s="5">
        <f>IF(F17=0,D17*C17*159,D17*(MIN(159,CEILING(C17/F17,1))*C17-F17*MIN(159,CEILING(C17/F17,1))*(MIN(159,CEILING(C17/F17,1))-1)/2))</f>
        <v/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5">
        <f>D18*C18*159</f>
        <v/>
      </c>
      <c r="F18" s="5" t="n">
        <v>2.38</v>
      </c>
      <c r="G18" s="3">
        <f>MAX(0,C18-F18*159)</f>
        <v/>
      </c>
      <c r="H18" s="5">
        <f>IF(F18=0,D18*C18*159,D18*(MIN(159,CEILING(C18/F18,1))*C18-F18*MIN(159,CEILING(C18/F18,1))*(MIN(159,CEILING(C18/F18,1))-1)/2))</f>
        <v/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5">
        <f>D19*C19*159</f>
        <v/>
      </c>
      <c r="F19" s="5" t="n">
        <v>0.96</v>
      </c>
      <c r="G19" s="3">
        <f>MAX(0,C19-F19*159)</f>
        <v/>
      </c>
      <c r="H19" s="5">
        <f>IF(F19=0,D19*C19*159,D19*(MIN(159,CEILING(C19/F19,1))*C19-F19*MIN(159,CEILING(C19/F19,1))*(MIN(159,CEILING(C19/F19,1))-1)/2))</f>
        <v/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1411</v>
      </c>
      <c r="D20" s="4" t="n">
        <v>0.1623</v>
      </c>
      <c r="E20" s="5">
        <f>D20*C20*159</f>
        <v/>
      </c>
      <c r="F20" s="5" t="n">
        <v>2.64</v>
      </c>
      <c r="G20" s="3">
        <f>MAX(0,C20-F20*159)</f>
        <v/>
      </c>
      <c r="H20" s="5">
        <f>IF(F20=0,D20*C20*159,D20*(MIN(159,CEILING(C20/F20,1))*C20-F20*MIN(159,CEILING(C20/F20,1))*(MIN(159,CEILING(C20/F20,1))-1)/2))</f>
        <v/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5">
        <f>D21*C21*159</f>
        <v/>
      </c>
      <c r="F21" s="5" t="n">
        <v>2.97</v>
      </c>
      <c r="G21" s="3">
        <f>MAX(0,C21-F21*159)</f>
        <v/>
      </c>
      <c r="H21" s="5">
        <f>IF(F21=0,D21*C21*159,D21*(MIN(159,CEILING(C21/F21,1))*C21-F21*MIN(159,CEILING(C21/F21,1))*(MIN(159,CEILING(C21/F21,1))-1)/2))</f>
        <v/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5">
        <f>D22*C22*159</f>
        <v/>
      </c>
      <c r="F22" s="5" t="n">
        <v>3.6</v>
      </c>
      <c r="G22" s="3">
        <f>MAX(0,C22-F22*159)</f>
        <v/>
      </c>
      <c r="H22" s="5">
        <f>IF(F22=0,D22*C22*159,D22*(MIN(159,CEILING(C22/F22,1))*C22-F22*MIN(159,CEILING(C22/F22,1))*(MIN(159,CEILING(C22/F22,1))-1)/2))</f>
        <v/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5">
        <f>D23*C23*159</f>
        <v/>
      </c>
      <c r="F23" s="5" t="n">
        <v>2.94</v>
      </c>
      <c r="G23" s="3">
        <f>MAX(0,C23-F23*159)</f>
        <v/>
      </c>
      <c r="H23" s="5">
        <f>IF(F23=0,D23*C23*159,D23*(MIN(159,CEILING(C23/F23,1))*C23-F23*MIN(159,CEILING(C23/F23,1))*(MIN(159,CEILING(C23/F23,1))-1)/2))</f>
        <v/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5">
        <f>D24*C24*159</f>
        <v/>
      </c>
      <c r="F24" s="5" t="n">
        <v>2.2</v>
      </c>
      <c r="G24" s="3">
        <f>MAX(0,C24-F24*159)</f>
        <v/>
      </c>
      <c r="H24" s="5">
        <f>IF(F24=0,D24*C24*159,D24*(MIN(159,CEILING(C24/F24,1))*C24-F24*MIN(159,CEILING(C24/F24,1))*(MIN(159,CEILING(C24/F24,1))-1)/2))</f>
        <v/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5">
        <f>D25*C25*159</f>
        <v/>
      </c>
      <c r="F25" s="5" t="n">
        <v>1.96</v>
      </c>
      <c r="G25" s="3">
        <f>MAX(0,C25-F25*159)</f>
        <v/>
      </c>
      <c r="H25" s="5">
        <f>IF(F25=0,D25*C25*159,D25*(MIN(159,CEILING(C25/F25,1))*C25-F25*MIN(159,CEILING(C25/F25,1))*(MIN(159,CEILING(C25/F25,1))-1)/2))</f>
        <v/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5">
        <f>D26*C26*159</f>
        <v/>
      </c>
      <c r="F26" s="5" t="n">
        <v>1.39</v>
      </c>
      <c r="G26" s="3">
        <f>MAX(0,C26-F26*159)</f>
        <v/>
      </c>
      <c r="H26" s="5">
        <f>IF(F26=0,D26*C26*159,D26*(MIN(159,CEILING(C26/F26,1))*C26-F26*MIN(159,CEILING(C26/F26,1))*(MIN(159,CEILING(C26/F26,1))-1)/2))</f>
        <v/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5">
        <f>D27*C27*159</f>
        <v/>
      </c>
      <c r="F27" s="5" t="n">
        <v>27.54</v>
      </c>
      <c r="G27" s="3">
        <f>MAX(0,C27-F27*159)</f>
        <v/>
      </c>
      <c r="H27" s="5">
        <f>IF(F27=0,D27*C27*159,D27*(MIN(159,CEILING(C27/F27,1))*C27-F27*MIN(159,CEILING(C27/F27,1))*(MIN(159,CEILING(C27/F27,1))-1)/2))</f>
        <v/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5">
        <f>D28*C28*159</f>
        <v/>
      </c>
      <c r="F28" s="5" t="n">
        <v>2.82</v>
      </c>
      <c r="G28" s="3">
        <f>MAX(0,C28-F28*159)</f>
        <v/>
      </c>
      <c r="H28" s="5">
        <f>IF(F28=0,D28*C28*159,D28*(MIN(159,CEILING(C28/F28,1))*C28-F28*MIN(159,CEILING(C28/F28,1))*(MIN(159,CEILING(C28/F28,1))-1)/2))</f>
        <v/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5">
        <f>D29*C29*159</f>
        <v/>
      </c>
      <c r="F29" s="5" t="n">
        <v>2.09</v>
      </c>
      <c r="G29" s="3">
        <f>MAX(0,C29-F29*159)</f>
        <v/>
      </c>
      <c r="H29" s="5">
        <f>IF(F29=0,D29*C29*159,D29*(MIN(159,CEILING(C29/F29,1))*C29-F29*MIN(159,CEILING(C29/F29,1))*(MIN(159,CEILING(C29/F29,1))-1)/2))</f>
        <v/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3268</v>
      </c>
      <c r="D30" s="4" t="n">
        <v>0.3027</v>
      </c>
      <c r="E30" s="5">
        <f>D30*C30*159</f>
        <v/>
      </c>
      <c r="F30" s="5" t="n">
        <v>14.06</v>
      </c>
      <c r="G30" s="3">
        <f>MAX(0,C30-F30*159)</f>
        <v/>
      </c>
      <c r="H30" s="5">
        <f>IF(F30=0,D30*C30*159,D30*(MIN(159,CEILING(C30/F30,1))*C30-F30*MIN(159,CEILING(C30/F30,1))*(MIN(159,CEILING(C30/F30,1))-1)/2))</f>
        <v/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4181</v>
      </c>
      <c r="D31" s="4" t="n">
        <v>0.2001</v>
      </c>
      <c r="E31" s="5">
        <f>D31*C31*159</f>
        <v/>
      </c>
      <c r="F31" s="5" t="n">
        <v>9.789999999999999</v>
      </c>
      <c r="G31" s="3">
        <f>MAX(0,C31-F31*159)</f>
        <v/>
      </c>
      <c r="H31" s="5">
        <f>IF(F31=0,D31*C31*159,D31*(MIN(159,CEILING(C31/F31,1))*C31-F31*MIN(159,CEILING(C31/F31,1))*(MIN(159,CEILING(C31/F31,1))-1)/2))</f>
        <v/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5">
        <f>D32*C32*159</f>
        <v/>
      </c>
      <c r="F32" s="5" t="n">
        <v>5.3</v>
      </c>
      <c r="G32" s="3">
        <f>MAX(0,C32-F32*159)</f>
        <v/>
      </c>
      <c r="H32" s="5">
        <f>IF(F32=0,D32*C32*159,D32*(MIN(159,CEILING(C32/F32,1))*C32-F32*MIN(159,CEILING(C32/F32,1))*(MIN(159,CEILING(C32/F32,1))-1)/2))</f>
        <v/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5">
        <f>D33*C33*159</f>
        <v/>
      </c>
      <c r="F33" s="5" t="n">
        <v>1.74</v>
      </c>
      <c r="G33" s="3">
        <f>MAX(0,C33-F33*159)</f>
        <v/>
      </c>
      <c r="H33" s="5">
        <f>IF(F33=0,D33*C33*159,D33*(MIN(159,CEILING(C33/F33,1))*C33-F33*MIN(159,CEILING(C33/F33,1))*(MIN(159,CEILING(C33/F33,1))-1)/2))</f>
        <v/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5">
        <f>D34*C34*159</f>
        <v/>
      </c>
      <c r="F34" s="5" t="n">
        <v>1.79</v>
      </c>
      <c r="G34" s="3">
        <f>MAX(0,C34-F34*159)</f>
        <v/>
      </c>
      <c r="H34" s="5">
        <f>IF(F34=0,D34*C34*159,D34*(MIN(159,CEILING(C34/F34,1))*C34-F34*MIN(159,CEILING(C34/F34,1))*(MIN(159,CEILING(C34/F34,1))-1)/2))</f>
        <v/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5">
        <f>D35*C35*159</f>
        <v/>
      </c>
      <c r="F35" s="5" t="n">
        <v>0.44</v>
      </c>
      <c r="G35" s="3">
        <f>MAX(0,C35-F35*159)</f>
        <v/>
      </c>
      <c r="H35" s="5">
        <f>IF(F35=0,D35*C35*159,D35*(MIN(159,CEILING(C35/F35,1))*C35-F35*MIN(159,CEILING(C35/F35,1))*(MIN(159,CEILING(C35/F35,1))-1)/2))</f>
        <v/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5">
        <f>D36*C36*159</f>
        <v/>
      </c>
      <c r="F36" s="5" t="n">
        <v>1.12</v>
      </c>
      <c r="G36" s="3">
        <f>MAX(0,C36-F36*159)</f>
        <v/>
      </c>
      <c r="H36" s="5">
        <f>IF(F36=0,D36*C36*159,D36*(MIN(159,CEILING(C36/F36,1))*C36-F36*MIN(159,CEILING(C36/F36,1))*(MIN(159,CEILING(C36/F36,1))-1)/2))</f>
        <v/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1383</v>
      </c>
      <c r="D37" s="4" t="n">
        <v>0.1834</v>
      </c>
      <c r="E37" s="5">
        <f>D37*C37*159</f>
        <v/>
      </c>
      <c r="F37" s="5" t="n">
        <v>0.6899999999999999</v>
      </c>
      <c r="G37" s="3">
        <f>MAX(0,C37-F37*159)</f>
        <v/>
      </c>
      <c r="H37" s="5">
        <f>IF(F37=0,D37*C37*159,D37*(MIN(159,CEILING(C37/F37,1))*C37-F37*MIN(159,CEILING(C37/F37,1))*(MIN(159,CEILING(C37/F37,1))-1)/2))</f>
        <v/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1042</v>
      </c>
      <c r="D38" s="4" t="n">
        <v>0.1891</v>
      </c>
      <c r="E38" s="5">
        <f>D38*C38*159</f>
        <v/>
      </c>
      <c r="F38" s="5" t="n">
        <v>3.34</v>
      </c>
      <c r="G38" s="3">
        <f>MAX(0,C38-F38*159)</f>
        <v/>
      </c>
      <c r="H38" s="5">
        <f>IF(F38=0,D38*C38*159,D38*(MIN(159,CEILING(C38/F38,1))*C38-F38*MIN(159,CEILING(C38/F38,1))*(MIN(159,CEILING(C38/F38,1))-1)/2))</f>
        <v/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5">
        <f>D39*C39*159</f>
        <v/>
      </c>
      <c r="F39" s="5" t="n">
        <v>5.9</v>
      </c>
      <c r="G39" s="3">
        <f>MAX(0,C39-F39*159)</f>
        <v/>
      </c>
      <c r="H39" s="5">
        <f>IF(F39=0,D39*C39*159,D39*(MIN(159,CEILING(C39/F39,1))*C39-F39*MIN(159,CEILING(C39/F39,1))*(MIN(159,CEILING(C39/F39,1))-1)/2))</f>
        <v/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5">
        <f>D40*C40*159</f>
        <v/>
      </c>
      <c r="F40" s="5" t="n">
        <v>0.74</v>
      </c>
      <c r="G40" s="3">
        <f>MAX(0,C40-F40*159)</f>
        <v/>
      </c>
      <c r="H40" s="5">
        <f>IF(F40=0,D40*C40*159,D40*(MIN(159,CEILING(C40/F40,1))*C40-F40*MIN(159,CEILING(C40/F40,1))*(MIN(159,CEILING(C40/F40,1))-1)/2))</f>
        <v/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5">
        <f>D41*C41*159</f>
        <v/>
      </c>
      <c r="F41" s="5" t="n">
        <v>2.71</v>
      </c>
      <c r="G41" s="3">
        <f>MAX(0,C41-F41*159)</f>
        <v/>
      </c>
      <c r="H41" s="5">
        <f>IF(F41=0,D41*C41*159,D41*(MIN(159,CEILING(C41/F41,1))*C41-F41*MIN(159,CEILING(C41/F41,1))*(MIN(159,CEILING(C41/F41,1))-1)/2))</f>
        <v/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5">
        <f>D42*C42*159</f>
        <v/>
      </c>
      <c r="F42" s="5" t="n">
        <v>0.72</v>
      </c>
      <c r="G42" s="3">
        <f>MAX(0,C42-F42*159)</f>
        <v/>
      </c>
      <c r="H42" s="5">
        <f>IF(F42=0,D42*C42*159,D42*(MIN(159,CEILING(C42/F42,1))*C42-F42*MIN(159,CEILING(C42/F42,1))*(MIN(159,CEILING(C42/F42,1))-1)/2))</f>
        <v/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5">
        <f>D43*C43*159</f>
        <v/>
      </c>
      <c r="F43" s="5" t="n">
        <v>0.65</v>
      </c>
      <c r="G43" s="3">
        <f>MAX(0,C43-F43*159)</f>
        <v/>
      </c>
      <c r="H43" s="5">
        <f>IF(F43=0,D43*C43*159,D43*(MIN(159,CEILING(C43/F43,1))*C43-F43*MIN(159,CEILING(C43/F43,1))*(MIN(159,CEILING(C43/F43,1))-1)/2))</f>
        <v/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5">
        <f>D44*C44*159</f>
        <v/>
      </c>
      <c r="F44" s="5" t="n">
        <v>2.08</v>
      </c>
      <c r="G44" s="3">
        <f>MAX(0,C44-F44*159)</f>
        <v/>
      </c>
      <c r="H44" s="5">
        <f>IF(F44=0,D44*C44*159,D44*(MIN(159,CEILING(C44/F44,1))*C44-F44*MIN(159,CEILING(C44/F44,1))*(MIN(159,CEILING(C44/F44,1))-1)/2))</f>
        <v/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5">
        <f>D45*C45*159</f>
        <v/>
      </c>
      <c r="F45" s="5" t="n">
        <v>0.6899999999999999</v>
      </c>
      <c r="G45" s="3">
        <f>MAX(0,C45-F45*159)</f>
        <v/>
      </c>
      <c r="H45" s="5">
        <f>IF(F45=0,D45*C45*159,D45*(MIN(159,CEILING(C45/F45,1))*C45-F45*MIN(159,CEILING(C45/F45,1))*(MIN(159,CEILING(C45/F45,1))-1)/2))</f>
        <v/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5">
        <f>D46*C46*159</f>
        <v/>
      </c>
      <c r="F46" s="5" t="n">
        <v>1.09</v>
      </c>
      <c r="G46" s="3">
        <f>MAX(0,C46-F46*159)</f>
        <v/>
      </c>
      <c r="H46" s="5">
        <f>IF(F46=0,D46*C46*159,D46*(MIN(159,CEILING(C46/F46,1))*C46-F46*MIN(159,CEILING(C46/F46,1))*(MIN(159,CEILING(C46/F46,1))-1)/2))</f>
        <v/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5">
        <f>D47*C47*159</f>
        <v/>
      </c>
      <c r="F47" s="5" t="n">
        <v>1.14</v>
      </c>
      <c r="G47" s="3">
        <f>MAX(0,C47-F47*159)</f>
        <v/>
      </c>
      <c r="H47" s="5">
        <f>IF(F47=0,D47*C47*159,D47*(MIN(159,CEILING(C47/F47,1))*C47-F47*MIN(159,CEILING(C47/F47,1))*(MIN(159,CEILING(C47/F47,1))-1)/2))</f>
        <v/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5">
        <f>D48*C48*159</f>
        <v/>
      </c>
      <c r="F48" s="5" t="n">
        <v>1.07</v>
      </c>
      <c r="G48" s="3">
        <f>MAX(0,C48-F48*159)</f>
        <v/>
      </c>
      <c r="H48" s="5">
        <f>IF(F48=0,D48*C48*159,D48*(MIN(159,CEILING(C48/F48,1))*C48-F48*MIN(159,CEILING(C48/F48,1))*(MIN(159,CEILING(C48/F48,1))-1)/2))</f>
        <v/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5">
        <f>D49*C49*159</f>
        <v/>
      </c>
      <c r="F49" s="5" t="n">
        <v>0.5</v>
      </c>
      <c r="G49" s="3">
        <f>MAX(0,C49-F49*159)</f>
        <v/>
      </c>
      <c r="H49" s="5">
        <f>IF(F49=0,D49*C49*159,D49*(MIN(159,CEILING(C49/F49,1))*C49-F49*MIN(159,CEILING(C49/F49,1))*(MIN(159,CEILING(C49/F49,1))-1)/2))</f>
        <v/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5">
        <f>D50*C50*159</f>
        <v/>
      </c>
      <c r="F50" s="5" t="n">
        <v>0.15</v>
      </c>
      <c r="G50" s="3">
        <f>MAX(0,C50-F50*159)</f>
        <v/>
      </c>
      <c r="H50" s="5">
        <f>IF(F50=0,D50*C50*159,D50*(MIN(159,CEILING(C50/F50,1))*C50-F50*MIN(159,CEILING(C50/F50,1))*(MIN(159,CEILING(C50/F50,1))-1)/2))</f>
        <v/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5">
        <f>D51*C51*159</f>
        <v/>
      </c>
      <c r="F51" s="5" t="n">
        <v>0.05</v>
      </c>
      <c r="G51" s="3">
        <f>MAX(0,C51-F51*159)</f>
        <v/>
      </c>
      <c r="H51" s="5">
        <f>IF(F51=0,D51*C51*159,D51*(MIN(159,CEILING(C51/F51,1))*C51-F51*MIN(159,CEILING(C51/F51,1))*(MIN(159,CEILING(C51/F51,1))-1)/2))</f>
        <v/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5">
        <f>D52*C52*159</f>
        <v/>
      </c>
      <c r="F52" s="5" t="n">
        <v>0.28</v>
      </c>
      <c r="G52" s="3">
        <f>MAX(0,C52-F52*159)</f>
        <v/>
      </c>
      <c r="H52" s="5">
        <f>IF(F52=0,D52*C52*159,D52*(MIN(159,CEILING(C52/F52,1))*C52-F52*MIN(159,CEILING(C52/F52,1))*(MIN(159,CEILING(C52/F52,1))-1)/2))</f>
        <v/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5">
        <f>D53*C53*159</f>
        <v/>
      </c>
      <c r="F53" s="5" t="n">
        <v>0.63</v>
      </c>
      <c r="G53" s="3">
        <f>MAX(0,C53-F53*159)</f>
        <v/>
      </c>
      <c r="H53" s="5">
        <f>IF(F53=0,D53*C53*159,D53*(MIN(159,CEILING(C53/F53,1))*C53-F53*MIN(159,CEILING(C53/F53,1))*(MIN(159,CEILING(C53/F53,1))-1)/2))</f>
        <v/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5">
        <f>D54*C54*159</f>
        <v/>
      </c>
      <c r="F54" s="5" t="n">
        <v>0.21</v>
      </c>
      <c r="G54" s="3">
        <f>MAX(0,C54-F54*159)</f>
        <v/>
      </c>
      <c r="H54" s="5">
        <f>IF(F54=0,D54*C54*159,D54*(MIN(159,CEILING(C54/F54,1))*C54-F54*MIN(159,CEILING(C54/F54,1))*(MIN(159,CEILING(C54/F54,1))-1)/2))</f>
        <v/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5">
        <f>D55*C55*159</f>
        <v/>
      </c>
      <c r="F55" s="5" t="n">
        <v>0.17</v>
      </c>
      <c r="G55" s="3">
        <f>MAX(0,C55-F55*159)</f>
        <v/>
      </c>
      <c r="H55" s="5">
        <f>IF(F55=0,D55*C55*159,D55*(MIN(159,CEILING(C55/F55,1))*C55-F55*MIN(159,CEILING(C55/F55,1))*(MIN(159,CEILING(C55/F55,1))-1)/2))</f>
        <v/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5">
        <f>D56*C56*159</f>
        <v/>
      </c>
      <c r="F56" s="5" t="n">
        <v>0.19</v>
      </c>
      <c r="G56" s="3">
        <f>MAX(0,C56-F56*159)</f>
        <v/>
      </c>
      <c r="H56" s="5">
        <f>IF(F56=0,D56*C56*159,D56*(MIN(159,CEILING(C56/F56,1))*C56-F56*MIN(159,CEILING(C56/F56,1))*(MIN(159,CEILING(C56/F56,1))-1)/2))</f>
        <v/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5">
        <f>D57*C57*159</f>
        <v/>
      </c>
      <c r="F57" s="5" t="n">
        <v>0.34</v>
      </c>
      <c r="G57" s="3">
        <f>MAX(0,C57-F57*159)</f>
        <v/>
      </c>
      <c r="H57" s="5">
        <f>IF(F57=0,D57*C57*159,D57*(MIN(159,CEILING(C57/F57,1))*C57-F57*MIN(159,CEILING(C57/F57,1))*(MIN(159,CEILING(C57/F57,1))-1)/2))</f>
        <v/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5">
        <f>D58*C58*159</f>
        <v/>
      </c>
      <c r="F58" s="5" t="n">
        <v>0.19</v>
      </c>
      <c r="G58" s="3">
        <f>MAX(0,C58-F58*159)</f>
        <v/>
      </c>
      <c r="H58" s="5">
        <f>IF(F58=0,D58*C58*159,D58*(MIN(159,CEILING(C58/F58,1))*C58-F58*MIN(159,CEILING(C58/F58,1))*(MIN(159,CEILING(C58/F58,1))-1)/2))</f>
        <v/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5">
        <f>D59*C59*159</f>
        <v/>
      </c>
      <c r="F59" s="5" t="n">
        <v>0.09</v>
      </c>
      <c r="G59" s="3">
        <f>MAX(0,C59-F59*159)</f>
        <v/>
      </c>
      <c r="H59" s="5">
        <f>IF(F59=0,D59*C59*159,D59*(MIN(159,CEILING(C59/F59,1))*C59-F59*MIN(159,CEILING(C59/F59,1))*(MIN(159,CEILING(C59/F59,1))-1)/2))</f>
        <v/>
      </c>
    </row>
    <row r="60">
      <c r="B60" s="6" t="inlineStr">
        <is>
          <t>ИТОГО</t>
        </is>
      </c>
      <c r="C60" s="7">
        <f>SUM(C2:C59)</f>
        <v/>
      </c>
      <c r="E60" s="8">
        <f>SUM(E2:E59)</f>
        <v/>
      </c>
      <c r="H60" s="9">
        <f>SUM(H2:H59)</f>
        <v/>
      </c>
    </row>
    <row r="62">
      <c r="B62" s="10" t="inlineStr">
        <is>
          <t>Период хранения 25.06.2026–30.11.2026 = 159 дн. Темп продаж = выкупы из отчёта 'Воронка продаж' за 01.03–09.06.2026 (100 дн) ÷ 100. Прогноз: остаток списывается ежедневно на этот темп, хранение начисляется на остаток до распродажи или до 30.11. Темп фиксированный. Столбцы E, G, H — формулы.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2026-06-25T09:34:20Z</dcterms:created>
  <dcterms:modified xsi:type="dcterms:W3CDTF">2026-06-25T09:34:27Z</dcterms:modified>
</cp:coreProperties>
</file>
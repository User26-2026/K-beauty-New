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9415" windowHeight="17100" tabRatio="600" firstSheet="0" activeTab="0" autoFilterDateGrouping="1"/>
  </bookViews>
  <sheets>
    <sheet name="Юнитка FBO" sheetId="1" state="visible" r:id="rId1"/>
    <sheet name="Раскрутка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rgb="FFFFFFFF"/>
      <sz val="11"/>
    </font>
    <font>
      <b val="1"/>
      <sz val="13"/>
    </font>
    <font>
      <b val="1"/>
    </font>
    <font>
      <i val="1"/>
      <color rgb="00808080"/>
      <sz val="9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4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9" fontId="3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2" fontId="3" fillId="2" borderId="1" pivotButton="0" quotePrefix="0" xfId="0"/>
    <xf numFmtId="0" fontId="4" fillId="0" borderId="0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3" fontId="2" fillId="0" borderId="1" pivotButton="0" quotePrefix="0" xfId="0"/>
    <xf numFmtId="3" fontId="2" fillId="0" borderId="1" pivotButton="0" quotePrefix="0" xfId="0"/>
    <xf numFmtId="3" fontId="3" fillId="4" borderId="1" applyAlignment="1" pivotButton="0" quotePrefix="0" xfId="0">
      <alignment horizontal="center"/>
    </xf>
    <xf numFmtId="164" fontId="2" fillId="2" borderId="2" pivotButton="0" quotePrefix="0" xfId="0"/>
    <xf numFmtId="3" fontId="2" fillId="0" borderId="3" pivotButton="0" quotePrefix="0" xfId="0"/>
    <xf numFmtId="4" fontId="2" fillId="2" borderId="1" pivotButton="0" quotePrefix="0" xfId="0"/>
    <xf numFmtId="4" fontId="2" fillId="0" borderId="1" pivotButton="0" quotePrefix="0" xfId="0"/>
    <xf numFmtId="4" fontId="2" fillId="0" borderId="4" pivotButton="0" quotePrefix="0" xfId="0"/>
    <xf numFmtId="164" fontId="2" fillId="2" borderId="3" pivotButton="0" quotePrefix="0" xfId="0"/>
    <xf numFmtId="3" fontId="2" fillId="2" borderId="1" pivotButton="0" quotePrefix="0" xfId="0"/>
    <xf numFmtId="164" fontId="2" fillId="2" borderId="1" pivotButton="0" quotePrefix="0" xfId="0"/>
    <xf numFmtId="2" fontId="2" fillId="2" borderId="1" pivotButton="0" quotePrefix="0" xfId="0"/>
    <xf numFmtId="164" fontId="2" fillId="0" borderId="4" pivotButton="0" quotePrefix="0" xfId="0"/>
    <xf numFmtId="3" fontId="2" fillId="0" borderId="6" pivotButton="0" quotePrefix="0" xfId="0"/>
    <xf numFmtId="3" fontId="3" fillId="5" borderId="1" pivotButton="0" quotePrefix="0" xfId="0"/>
    <xf numFmtId="164" fontId="2" fillId="0" borderId="1" pivotButton="0" quotePrefix="0" xfId="0"/>
    <xf numFmtId="164" fontId="3" fillId="5" borderId="1" pivotButton="0" quotePrefix="0" xfId="0"/>
    <xf numFmtId="3" fontId="3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3" fontId="7" fillId="6" borderId="7" pivotButton="0" quotePrefix="0" xfId="0"/>
    <xf numFmtId="9" fontId="7" fillId="6" borderId="7" pivotButton="0" quotePrefix="0" xfId="0"/>
    <xf numFmtId="0" fontId="8" fillId="0" borderId="0" pivotButton="0" quotePrefix="0" xfId="0"/>
    <xf numFmtId="0" fontId="9" fillId="7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0" fillId="0" borderId="7" pivotButton="0" quotePrefix="0" xfId="0"/>
    <xf numFmtId="3" fontId="0" fillId="0" borderId="7" pivotButton="0" quotePrefix="0" xfId="0"/>
    <xf numFmtId="9" fontId="0" fillId="0" borderId="7" pivotButton="0" quotePrefix="0" xfId="0"/>
    <xf numFmtId="0" fontId="7" fillId="9" borderId="7" pivotButton="0" quotePrefix="0" xfId="0"/>
    <xf numFmtId="3" fontId="7" fillId="9" borderId="7" pivotButton="0" quotePrefix="0" xfId="0"/>
    <xf numFmtId="9" fontId="7" fillId="9" borderId="7" pivotButton="0" quotePrefix="0" xfId="0"/>
    <xf numFmtId="0" fontId="10" fillId="0" borderId="0" pivotButton="0" quotePrefix="0" xfId="0"/>
    <xf numFmtId="165" fontId="7" fillId="9" borderId="7" pivotButton="0" quotePrefix="0" xfId="0"/>
  </cellXfs>
  <cellStyles count="1">
    <cellStyle name="Обычный" xfId="0" builtinId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83"/>
  <sheetViews>
    <sheetView tabSelected="1" workbookViewId="0">
      <pane xSplit="7" ySplit="12" topLeftCell="H16" activePane="bottomRight" state="frozen"/>
      <selection pane="topRight" activeCell="I1" sqref="I1"/>
      <selection pane="bottomLeft" activeCell="A13" sqref="A13"/>
      <selection pane="bottomRight" activeCell="C34" sqref="C34"/>
    </sheetView>
  </sheetViews>
  <sheetFormatPr baseColWidth="8" defaultColWidth="14.42578125" defaultRowHeight="15" customHeight="1"/>
  <cols>
    <col width="62.7109375" customWidth="1" min="1" max="1"/>
    <col width="10" customWidth="1" min="2" max="3"/>
    <col width="11.140625" customWidth="1" min="4" max="4"/>
    <col width="11.28515625" customWidth="1" min="5" max="5"/>
    <col width="10" customWidth="1" min="6" max="6"/>
    <col width="7.42578125" customWidth="1" min="7" max="7"/>
    <col width="8.5703125" customWidth="1" min="8" max="8"/>
    <col width="7.7109375" customWidth="1" min="9" max="9"/>
    <col width="9.85546875" customWidth="1" min="10" max="10"/>
    <col width="7.140625" customWidth="1" min="11" max="11"/>
    <col width="9.42578125" customWidth="1" min="12" max="12"/>
    <col width="13.42578125" customWidth="1" min="13" max="13"/>
    <col width="13.28515625" customWidth="1" min="14" max="14"/>
    <col width="9.28515625" customWidth="1" min="15" max="15"/>
    <col width="9.42578125" customWidth="1" min="16" max="16"/>
    <col width="10" customWidth="1" min="17" max="17"/>
    <col width="6.42578125" customWidth="1" min="18" max="18"/>
    <col width="9" customWidth="1" min="19" max="19"/>
    <col width="8.28515625" customWidth="1" min="20" max="20"/>
    <col width="13" customWidth="1" min="21" max="21"/>
    <col width="9.42578125" customWidth="1" min="22" max="22"/>
    <col width="10" customWidth="1" min="23" max="23"/>
    <col width="13.42578125" customWidth="1" min="24" max="24"/>
    <col width="10" customWidth="1" min="25" max="25"/>
    <col width="13" customWidth="1" min="26" max="26"/>
    <col width="8.7109375" customWidth="1" min="27" max="27"/>
    <col width="13" customWidth="1" min="28" max="28"/>
    <col width="9" customWidth="1" min="29" max="29"/>
    <col width="6.85546875" customWidth="1" min="30" max="30"/>
    <col width="10.42578125" customWidth="1" min="31" max="31"/>
    <col width="8.5703125" customWidth="1" min="32" max="32"/>
    <col width="9.7109375" customWidth="1" min="33" max="33"/>
    <col width="11.140625" customWidth="1" min="34" max="34"/>
    <col width="9.140625" customWidth="1" min="35" max="35"/>
    <col width="12" customWidth="1" min="36" max="36"/>
    <col width="8.7109375" customWidth="1" min="37" max="37"/>
  </cols>
  <sheetData>
    <row r="1" ht="15" customHeight="1">
      <c r="A1" s="1" t="inlineStr">
        <is>
          <t>ПАРАМЕТРЫ — меняй жёлтые ячейки, всё пересчитается</t>
        </is>
      </c>
    </row>
    <row r="2" ht="14.25" customHeight="1">
      <c r="A2" s="2" t="n"/>
    </row>
    <row r="3" ht="14.25" customHeight="1">
      <c r="A3" s="2" t="inlineStr">
        <is>
          <t>Налог с оборота</t>
        </is>
      </c>
      <c r="G3" s="3" t="n">
        <v>0.07000000000000001</v>
      </c>
    </row>
    <row r="4" ht="14.25" customHeight="1">
      <c r="A4" s="2" t="inlineStr">
        <is>
          <t>Эквайринг</t>
        </is>
      </c>
      <c r="G4" s="8" t="n">
        <v>0.015</v>
      </c>
    </row>
    <row r="5" ht="14.25" customHeight="1">
      <c r="A5" s="2" t="inlineStr">
        <is>
          <t>Фулфилмент, ₽/шт</t>
        </is>
      </c>
      <c r="G5" s="5" t="n">
        <v>60</v>
      </c>
    </row>
    <row r="6" ht="14.25" customHeight="1">
      <c r="A6" s="2" t="inlineStr">
        <is>
          <t>Хранение, ₽/л/день</t>
        </is>
      </c>
      <c r="G6" s="6" t="n">
        <v>0.16</v>
      </c>
    </row>
    <row r="7" ht="14.25" customHeight="1">
      <c r="A7" s="2" t="inlineStr">
        <is>
          <t>Дней хранения</t>
        </is>
      </c>
      <c r="G7" s="5" t="n">
        <v>0</v>
      </c>
    </row>
    <row r="8" ht="14.25" customHeight="1">
      <c r="A8" s="2" t="inlineStr">
        <is>
          <t>Наценка за нелокальные продажи %</t>
        </is>
      </c>
      <c r="G8" s="8" t="n">
        <v>0.02</v>
      </c>
    </row>
    <row r="9" ht="14.25" customHeight="1">
      <c r="A9" s="2" t="inlineStr">
        <is>
          <t>Кроссдок: обработка (склады/СЦ) ₽/л</t>
        </is>
      </c>
      <c r="G9" s="6" t="n">
        <v>0.75</v>
      </c>
    </row>
    <row r="10" ht="14.25" customHeight="1">
      <c r="A10" s="2" t="inlineStr">
        <is>
          <t>Кроссдок: перевозка ₽/л (средн. 26 скл.)</t>
        </is>
      </c>
      <c r="G10" s="6" t="n">
        <v>4.423</v>
      </c>
    </row>
    <row r="11" ht="14.25" customHeight="1">
      <c r="A11" s="7" t="inlineStr">
        <is>
          <t>Подписка, %</t>
        </is>
      </c>
      <c r="G11" s="8" t="n">
        <v>0</v>
      </c>
    </row>
    <row r="12" ht="43.5" customHeight="1">
      <c r="A12" s="9" t="inlineStr">
        <is>
          <t>Товар</t>
        </is>
      </c>
      <c r="B12" s="9" t="inlineStr">
        <is>
          <t>Остаток</t>
        </is>
      </c>
      <c r="C12" s="9" t="inlineStr">
        <is>
          <t>Кол-во отзывов нужно</t>
        </is>
      </c>
      <c r="D12" s="9" t="inlineStr">
        <is>
          <t>Цена конкурента без СПП</t>
        </is>
      </c>
      <c r="E12" s="9" t="inlineStr">
        <is>
          <t>Кол-во продаж конкурент</t>
        </is>
      </c>
      <c r="F12" s="9" t="inlineStr">
        <is>
          <t>ДРР конкурент</t>
        </is>
      </c>
      <c r="G12" s="9" t="inlineStr">
        <is>
          <t>Цена наша без СПП</t>
        </is>
      </c>
      <c r="H12" s="10" t="inlineStr">
        <is>
          <t>СПП, %</t>
        </is>
      </c>
      <c r="I12" s="11" t="inlineStr">
        <is>
          <t>Цена с СПП</t>
        </is>
      </c>
      <c r="J12" s="9" t="inlineStr">
        <is>
          <t>Себест.</t>
        </is>
      </c>
      <c r="K12" s="9" t="inlineStr">
        <is>
          <t>Фулфилмент</t>
        </is>
      </c>
      <c r="L12" s="12" t="inlineStr">
        <is>
          <t>База затрат</t>
        </is>
      </c>
      <c r="M12" s="11" t="inlineStr">
        <is>
          <t>Комиссия %</t>
        </is>
      </c>
      <c r="N12" s="9" t="inlineStr">
        <is>
          <t>Комиссия ₽</t>
        </is>
      </c>
      <c r="O12" s="9" t="inlineStr">
        <is>
          <t>Логистика</t>
        </is>
      </c>
      <c r="P12" s="9" t="inlineStr">
        <is>
          <t>Наценка нелок., ₽</t>
        </is>
      </c>
      <c r="Q12" s="9" t="inlineStr">
        <is>
          <t>Доставка до ПВЗ</t>
        </is>
      </c>
      <c r="R12" s="9" t="inlineStr">
        <is>
          <t>Эквайринг</t>
        </is>
      </c>
      <c r="S12" s="9" t="inlineStr">
        <is>
          <t>Налог</t>
        </is>
      </c>
      <c r="T12" s="9" t="inlineStr">
        <is>
          <t>Выкуп %</t>
        </is>
      </c>
      <c r="U12" s="9" t="inlineStr">
        <is>
          <t>Обр.лог база</t>
        </is>
      </c>
      <c r="V12" s="9" t="inlineStr">
        <is>
          <t>Обр.лог</t>
        </is>
      </c>
      <c r="W12" s="9" t="inlineStr">
        <is>
          <t>Объём, л</t>
        </is>
      </c>
      <c r="X12" s="9" t="inlineStr">
        <is>
          <t>Хранение</t>
        </is>
      </c>
      <c r="Y12" s="12" t="inlineStr">
        <is>
          <t>Кроссдок ср., ₽/ед</t>
        </is>
      </c>
      <c r="Z12" s="11" t="inlineStr">
        <is>
          <t>Оплата за клик, %</t>
        </is>
      </c>
      <c r="AA12" s="9" t="inlineStr">
        <is>
          <t>Оплата за клик ₽</t>
        </is>
      </c>
      <c r="AB12" s="9" t="inlineStr">
        <is>
          <t>Вывод в топ, %</t>
        </is>
      </c>
      <c r="AC12" s="9" t="inlineStr">
        <is>
          <t>Вывод в топ ₽</t>
        </is>
      </c>
      <c r="AD12" s="9" t="inlineStr">
        <is>
          <t>Реклама всего ₽</t>
        </is>
      </c>
      <c r="AE12" s="12" t="inlineStr">
        <is>
          <t>ДРР %</t>
        </is>
      </c>
      <c r="AF12" s="13" t="inlineStr">
        <is>
          <t>Маржа до рекл.</t>
        </is>
      </c>
      <c r="AG12" s="9" t="inlineStr">
        <is>
          <t>Маржа/шт</t>
        </is>
      </c>
      <c r="AH12" s="9" t="inlineStr">
        <is>
          <t>Маржа % цены</t>
        </is>
      </c>
      <c r="AI12" s="9" t="inlineStr">
        <is>
          <t>ROI %</t>
        </is>
      </c>
      <c r="AJ12" s="9" t="inlineStr">
        <is>
          <t>Цена безубыт.</t>
        </is>
      </c>
      <c r="AK12" s="9" t="inlineStr">
        <is>
          <t>Подписка, ₽</t>
        </is>
      </c>
    </row>
    <row r="13" ht="28.5" customHeight="1">
      <c r="A13" s="14" t="inlineStr">
        <is>
          <t>ENOUGH - Collagen Moisture Foundation [Tone 13] / Тональный крем для лица с коллагеном 13 тон</t>
        </is>
      </c>
      <c r="B13" s="16" t="n">
        <v>1089</v>
      </c>
      <c r="C13" s="16" t="n">
        <v>500</v>
      </c>
      <c r="D13" s="32" t="n">
        <v>1980</v>
      </c>
      <c r="E13" s="32" t="n">
        <v>195</v>
      </c>
      <c r="F13" s="32" t="n">
        <v>8</v>
      </c>
      <c r="G13" s="32" t="n">
        <v>1800</v>
      </c>
      <c r="H13" s="18" t="n">
        <v>0.45</v>
      </c>
      <c r="I13" s="19">
        <f>G13*(1-H13)</f>
        <v/>
      </c>
      <c r="J13" s="20" t="n">
        <v>216.45</v>
      </c>
      <c r="K13" s="21">
        <f>$G$5</f>
        <v/>
      </c>
      <c r="L13" s="22">
        <f>J13+K13</f>
        <v/>
      </c>
      <c r="M13" s="23" t="n">
        <v>0.41</v>
      </c>
      <c r="N13" s="16">
        <f>G13*M13</f>
        <v/>
      </c>
      <c r="O13" s="24" t="n">
        <v>67</v>
      </c>
      <c r="P13" s="16">
        <f>G13*$G$8</f>
        <v/>
      </c>
      <c r="Q13" s="24" t="n">
        <v>25</v>
      </c>
      <c r="R13" s="16">
        <f>G13*$G$4</f>
        <v/>
      </c>
      <c r="S13" s="16">
        <f>I13*$G$3</f>
        <v/>
      </c>
      <c r="T13" s="25" t="n">
        <v>0.9</v>
      </c>
      <c r="U13" s="24" t="n">
        <v>67</v>
      </c>
      <c r="V13" s="16">
        <f>U13*(1-T13)</f>
        <v/>
      </c>
      <c r="W13" s="26" t="n">
        <v>0.4</v>
      </c>
      <c r="X13" s="16">
        <f>$G$6*$G$7*W13</f>
        <v/>
      </c>
      <c r="Y13" s="22">
        <f>W13*($G$9+$G$10)</f>
        <v/>
      </c>
      <c r="Z13" s="23" t="n">
        <v>0.07000000000000001</v>
      </c>
      <c r="AA13" s="16">
        <f>G13*Z13</f>
        <v/>
      </c>
      <c r="AB13" s="25" t="n">
        <v>0.08</v>
      </c>
      <c r="AC13" s="16">
        <f>G13*AB13</f>
        <v/>
      </c>
      <c r="AD13" s="16">
        <f>AA13+AC13</f>
        <v/>
      </c>
      <c r="AE13" s="27">
        <f>AD13/G13</f>
        <v/>
      </c>
      <c r="AF13" s="28">
        <f>G13-N13-O13-P13-Q13-R13-S13-V13-X13-Y13-L13-AK13</f>
        <v/>
      </c>
      <c r="AG13" s="29">
        <f>AF13-AD13</f>
        <v/>
      </c>
      <c r="AH13" s="30">
        <f>AG13/G13</f>
        <v/>
      </c>
      <c r="AI13" s="31">
        <f>AG13/L13</f>
        <v/>
      </c>
      <c r="AJ13" s="16">
        <f>(O13+Q13+V13+X13+Y13+L13)/(1-(M13+$G$4+(1-H13)*$G$3+$G$8+$G$11+Z13+AB13))</f>
        <v/>
      </c>
      <c r="AK13" s="16">
        <f>G13*$G$11</f>
        <v/>
      </c>
    </row>
    <row r="14" ht="28.5" customHeight="1">
      <c r="A14" s="14" t="inlineStr">
        <is>
          <t>ENOUGH - Collagen Moisture Foundation [Tone 21] / Тональный крем для лица с коллагеном 21 тон</t>
        </is>
      </c>
      <c r="B14" s="16" t="n">
        <v>2275</v>
      </c>
      <c r="C14" s="16" t="n">
        <v>500</v>
      </c>
      <c r="D14" s="32" t="n">
        <v>1910</v>
      </c>
      <c r="E14" s="32" t="n">
        <v>121</v>
      </c>
      <c r="F14" s="32" t="n">
        <v>7.3</v>
      </c>
      <c r="G14" s="32" t="n">
        <v>1800</v>
      </c>
      <c r="H14" s="18" t="n">
        <v>0.45</v>
      </c>
      <c r="I14" s="19">
        <f>G14*(1-H14)</f>
        <v/>
      </c>
      <c r="J14" s="20" t="n">
        <v>242.88</v>
      </c>
      <c r="K14" s="21">
        <f>$G$5</f>
        <v/>
      </c>
      <c r="L14" s="22">
        <f>J14+K14</f>
        <v/>
      </c>
      <c r="M14" s="23" t="n">
        <v>0.41</v>
      </c>
      <c r="N14" s="16">
        <f>G14*M14</f>
        <v/>
      </c>
      <c r="O14" s="24" t="n">
        <v>67</v>
      </c>
      <c r="P14" s="16">
        <f>G14*$G$8</f>
        <v/>
      </c>
      <c r="Q14" s="24" t="n">
        <v>25</v>
      </c>
      <c r="R14" s="16">
        <f>G14*$G$4</f>
        <v/>
      </c>
      <c r="S14" s="16">
        <f>I14*$G$3</f>
        <v/>
      </c>
      <c r="T14" s="25" t="n">
        <v>0.9</v>
      </c>
      <c r="U14" s="24" t="n">
        <v>67</v>
      </c>
      <c r="V14" s="16">
        <f>U14*(1-T14)</f>
        <v/>
      </c>
      <c r="W14" s="26" t="n">
        <v>0.4</v>
      </c>
      <c r="X14" s="16">
        <f>$G$6*$G$7*W14</f>
        <v/>
      </c>
      <c r="Y14" s="22">
        <f>W14*($G$9+$G$10)</f>
        <v/>
      </c>
      <c r="Z14" s="23" t="n">
        <v>0.07000000000000001</v>
      </c>
      <c r="AA14" s="16">
        <f>G14*Z14</f>
        <v/>
      </c>
      <c r="AB14" s="25" t="n">
        <v>0.08</v>
      </c>
      <c r="AC14" s="16">
        <f>G14*AB14</f>
        <v/>
      </c>
      <c r="AD14" s="16">
        <f>AA14+AC14</f>
        <v/>
      </c>
      <c r="AE14" s="27">
        <f>AD14/G14</f>
        <v/>
      </c>
      <c r="AF14" s="28">
        <f>G14-N14-O14-P14-Q14-R14-S14-V14-X14-Y14-L14-AK14</f>
        <v/>
      </c>
      <c r="AG14" s="29">
        <f>AF14-AD14</f>
        <v/>
      </c>
      <c r="AH14" s="30">
        <f>AG14/G14</f>
        <v/>
      </c>
      <c r="AI14" s="31">
        <f>AG14/L14</f>
        <v/>
      </c>
      <c r="AJ14" s="16">
        <f>(O14+Q14+V14+X14+Y14+L14)/(1-(M14+$G$4+(1-H14)*$G$3+$G$8+$G$11+Z14+AB14))</f>
        <v/>
      </c>
      <c r="AK14" s="16">
        <f>G14*$G$11</f>
        <v/>
      </c>
    </row>
    <row r="15" ht="28.5" customHeight="1">
      <c r="A15" s="14" t="inlineStr">
        <is>
          <t>ETUDE - Baking Powder Crunch Pore Scrub [200ml] / Очищающий скраб для лица с содой</t>
        </is>
      </c>
      <c r="B15" s="16" t="n">
        <v>7910</v>
      </c>
      <c r="C15" s="16" t="n">
        <v>300</v>
      </c>
      <c r="D15" s="32" t="n">
        <v>1730</v>
      </c>
      <c r="E15" s="32" t="n">
        <v>300</v>
      </c>
      <c r="F15" s="32" t="n">
        <v>5</v>
      </c>
      <c r="G15" s="32" t="n">
        <v>1650</v>
      </c>
      <c r="H15" s="18" t="n">
        <v>0.45</v>
      </c>
      <c r="I15" s="19">
        <f>G15*(1-H15)</f>
        <v/>
      </c>
      <c r="J15" s="20" t="n">
        <v>361.03</v>
      </c>
      <c r="K15" s="21">
        <f>$G$5</f>
        <v/>
      </c>
      <c r="L15" s="22">
        <f>J15+K15</f>
        <v/>
      </c>
      <c r="M15" s="23" t="n">
        <v>0.41</v>
      </c>
      <c r="N15" s="16">
        <f>G15*M15</f>
        <v/>
      </c>
      <c r="O15" s="24" t="n">
        <v>67</v>
      </c>
      <c r="P15" s="16">
        <f>G15*$G$8</f>
        <v/>
      </c>
      <c r="Q15" s="24" t="n">
        <v>25</v>
      </c>
      <c r="R15" s="16">
        <f>G15*$G$4</f>
        <v/>
      </c>
      <c r="S15" s="16">
        <f>I15*$G$3</f>
        <v/>
      </c>
      <c r="T15" s="25" t="n">
        <v>0.9</v>
      </c>
      <c r="U15" s="24" t="n">
        <v>67</v>
      </c>
      <c r="V15" s="16">
        <f>U15*(1-T15)</f>
        <v/>
      </c>
      <c r="W15" s="26" t="n">
        <v>0.5600000000000001</v>
      </c>
      <c r="X15" s="16">
        <f>$G$6*$G$7*W15</f>
        <v/>
      </c>
      <c r="Y15" s="22">
        <f>W15*($G$9+$G$10)</f>
        <v/>
      </c>
      <c r="Z15" s="23" t="n">
        <v>0.05</v>
      </c>
      <c r="AA15" s="16">
        <f>G15*Z15</f>
        <v/>
      </c>
      <c r="AB15" s="25" t="n">
        <v>0.05</v>
      </c>
      <c r="AC15" s="16">
        <f>G15*AB15</f>
        <v/>
      </c>
      <c r="AD15" s="16">
        <f>AA15+AC15</f>
        <v/>
      </c>
      <c r="AE15" s="27">
        <f>AD15/G15</f>
        <v/>
      </c>
      <c r="AF15" s="28">
        <f>G15-N15-O15-P15-Q15-R15-S15-V15-X15-Y15-L15-AK15</f>
        <v/>
      </c>
      <c r="AG15" s="29">
        <f>AF15-AD15</f>
        <v/>
      </c>
      <c r="AH15" s="30">
        <f>AG15/G15</f>
        <v/>
      </c>
      <c r="AI15" s="31">
        <f>AG15/L15</f>
        <v/>
      </c>
      <c r="AJ15" s="16">
        <f>(O15+Q15+V15+X15+Y15+L15)/(1-(M15+$G$4+(1-H15)*$G$3+$G$8+$G$11+Z15+AB15))</f>
        <v/>
      </c>
      <c r="AK15" s="16">
        <f>G15*$G$11</f>
        <v/>
      </c>
    </row>
    <row r="16" ht="28.5" customHeight="1">
      <c r="A16" s="14" t="inlineStr">
        <is>
          <t>FARMSTAY COLLAGEN&amp;HYALURONIC ACID ALL-IN ONE</t>
        </is>
      </c>
      <c r="B16" s="16" t="n">
        <v>6611</v>
      </c>
      <c r="C16" s="16" t="n">
        <v>200</v>
      </c>
      <c r="D16" s="32" t="n">
        <v>3850</v>
      </c>
      <c r="E16" s="32" t="n">
        <v>127</v>
      </c>
      <c r="F16" s="32" t="n">
        <v>6</v>
      </c>
      <c r="G16" s="32" t="n">
        <v>3500</v>
      </c>
      <c r="H16" s="18" t="n">
        <v>0.45</v>
      </c>
      <c r="I16" s="19">
        <f>G16*(1-H16)</f>
        <v/>
      </c>
      <c r="J16" s="20" t="n">
        <v>347.76</v>
      </c>
      <c r="K16" s="21">
        <f>$G$5</f>
        <v/>
      </c>
      <c r="L16" s="22">
        <f>J16+K16</f>
        <v/>
      </c>
      <c r="M16" s="23" t="n">
        <v>0.41</v>
      </c>
      <c r="N16" s="16">
        <f>G16*M16</f>
        <v/>
      </c>
      <c r="O16" s="24" t="n">
        <v>67</v>
      </c>
      <c r="P16" s="16">
        <f>G16*$G$8</f>
        <v/>
      </c>
      <c r="Q16" s="24" t="n">
        <v>25</v>
      </c>
      <c r="R16" s="16">
        <f>G16*$G$4</f>
        <v/>
      </c>
      <c r="S16" s="16">
        <f>I16*$G$3</f>
        <v/>
      </c>
      <c r="T16" s="25" t="n">
        <v>0.9</v>
      </c>
      <c r="U16" s="24" t="n">
        <v>67</v>
      </c>
      <c r="V16" s="16">
        <f>U16*(1-T16)</f>
        <v/>
      </c>
      <c r="W16" s="26" t="n">
        <v>0.832</v>
      </c>
      <c r="X16" s="16">
        <f>$G$6*$G$7*W16</f>
        <v/>
      </c>
      <c r="Y16" s="22">
        <f>W16*($G$9+$G$10)</f>
        <v/>
      </c>
      <c r="Z16" s="23" t="n">
        <v>0.07000000000000001</v>
      </c>
      <c r="AA16" s="16">
        <f>G16*Z16</f>
        <v/>
      </c>
      <c r="AB16" s="25" t="n">
        <v>0.08</v>
      </c>
      <c r="AC16" s="16">
        <f>G16*AB16</f>
        <v/>
      </c>
      <c r="AD16" s="16">
        <f>AA16+AC16</f>
        <v/>
      </c>
      <c r="AE16" s="27">
        <f>AD16/G16</f>
        <v/>
      </c>
      <c r="AF16" s="28">
        <f>G16-N16-O16-P16-Q16-R16-S16-V16-X16-Y16-L16-AK16</f>
        <v/>
      </c>
      <c r="AG16" s="29">
        <f>AF16-AD16</f>
        <v/>
      </c>
      <c r="AH16" s="30">
        <f>AG16/G16</f>
        <v/>
      </c>
      <c r="AI16" s="31">
        <f>AG16/L16</f>
        <v/>
      </c>
      <c r="AJ16" s="16">
        <f>(O16+Q16+V16+X16+Y16+L16)/(1-(M16+$G$4+(1-H16)*$G$3+$G$8+$G$11+Z16+AB16))</f>
        <v/>
      </c>
      <c r="AK16" s="16">
        <f>G16*$G$11</f>
        <v/>
      </c>
    </row>
    <row r="17" ht="28.5" customHeight="1">
      <c r="A17" s="14" t="inlineStr">
        <is>
          <t>FARMSTAY - Black Garlic Nourishing Shampoo [530ml] / Шампунь-кондиционер 2в1 с экстрактом черного чеснока</t>
        </is>
      </c>
      <c r="B17" s="16" t="n">
        <v>3360</v>
      </c>
      <c r="C17" s="16" t="n">
        <v>50</v>
      </c>
      <c r="D17" s="32" t="n">
        <v>2156</v>
      </c>
      <c r="E17" s="32" t="n">
        <v>46</v>
      </c>
      <c r="F17" s="32" t="n">
        <v>5</v>
      </c>
      <c r="G17" s="32" t="n">
        <v>1850</v>
      </c>
      <c r="H17" s="18" t="n">
        <v>0.45</v>
      </c>
      <c r="I17" s="19">
        <f>G17*(1-H17)</f>
        <v/>
      </c>
      <c r="J17" s="20" t="n">
        <v>396.72</v>
      </c>
      <c r="K17" s="21">
        <f>$G$5</f>
        <v/>
      </c>
      <c r="L17" s="22">
        <f>J17+K17</f>
        <v/>
      </c>
      <c r="M17" s="23" t="n">
        <v>0.41</v>
      </c>
      <c r="N17" s="16">
        <f>G17*M17</f>
        <v/>
      </c>
      <c r="O17" s="24" t="n">
        <v>75</v>
      </c>
      <c r="P17" s="16">
        <f>G17*$G$8</f>
        <v/>
      </c>
      <c r="Q17" s="24" t="n">
        <v>25</v>
      </c>
      <c r="R17" s="16">
        <f>G17*$G$4</f>
        <v/>
      </c>
      <c r="S17" s="16">
        <f>I17*$G$3</f>
        <v/>
      </c>
      <c r="T17" s="25" t="n">
        <v>0.9</v>
      </c>
      <c r="U17" s="24" t="n">
        <v>75</v>
      </c>
      <c r="V17" s="16">
        <f>U17*(1-T17)</f>
        <v/>
      </c>
      <c r="W17" s="26" t="n">
        <v>1.89</v>
      </c>
      <c r="X17" s="16">
        <f>$G$6*$G$7*W17</f>
        <v/>
      </c>
      <c r="Y17" s="22">
        <f>W17*($G$9+$G$10)</f>
        <v/>
      </c>
      <c r="Z17" s="23" t="n">
        <v>0.07000000000000001</v>
      </c>
      <c r="AA17" s="16">
        <f>G17*Z17</f>
        <v/>
      </c>
      <c r="AB17" s="25" t="n">
        <v>0.08</v>
      </c>
      <c r="AC17" s="16">
        <f>G17*AB17</f>
        <v/>
      </c>
      <c r="AD17" s="16">
        <f>AA17+AC17</f>
        <v/>
      </c>
      <c r="AE17" s="27">
        <f>AD17/G17</f>
        <v/>
      </c>
      <c r="AF17" s="28">
        <f>G17-N17-O17-P17-Q17-R17-S17-V17-X17-Y17-L17-AK17</f>
        <v/>
      </c>
      <c r="AG17" s="29">
        <f>AF17-AD17</f>
        <v/>
      </c>
      <c r="AH17" s="30">
        <f>AG17/G17</f>
        <v/>
      </c>
      <c r="AI17" s="31">
        <f>AG17/L17</f>
        <v/>
      </c>
      <c r="AJ17" s="16">
        <f>(O17+Q17+V17+X17+Y17+L17)/(1-(M17+$G$4+(1-H17)*$G$3+$G$8+$G$11+Z17+AB17))</f>
        <v/>
      </c>
      <c r="AK17" s="16">
        <f>G17*$G$11</f>
        <v/>
      </c>
    </row>
    <row r="18" ht="28.5" customHeight="1">
      <c r="A18" s="14" t="inlineStr">
        <is>
          <t>FARMSTAY - Escargot Noblesse Intensive Cream [50g] / Крем с муцином королевской улитки</t>
        </is>
      </c>
      <c r="B18" s="16" t="n">
        <v>964</v>
      </c>
      <c r="C18" s="16" t="n">
        <v>50</v>
      </c>
      <c r="D18" s="32" t="n">
        <v>3070</v>
      </c>
      <c r="E18" s="32" t="n">
        <v>48</v>
      </c>
      <c r="F18" s="32" t="n">
        <v>6.6</v>
      </c>
      <c r="G18" s="32" t="n">
        <v>2900</v>
      </c>
      <c r="H18" s="18" t="n">
        <v>0.45</v>
      </c>
      <c r="I18" s="19">
        <f>G18*(1-H18)</f>
        <v/>
      </c>
      <c r="J18" s="20" t="n">
        <v>313.84</v>
      </c>
      <c r="K18" s="21">
        <f>$G$5</f>
        <v/>
      </c>
      <c r="L18" s="22">
        <f>J18+K18</f>
        <v/>
      </c>
      <c r="M18" s="23" t="n">
        <v>0.41</v>
      </c>
      <c r="N18" s="16">
        <f>G18*M18</f>
        <v/>
      </c>
      <c r="O18" s="24" t="n">
        <v>67</v>
      </c>
      <c r="P18" s="16">
        <f>G18*$G$8</f>
        <v/>
      </c>
      <c r="Q18" s="24" t="n">
        <v>25</v>
      </c>
      <c r="R18" s="16">
        <f>G18*$G$4</f>
        <v/>
      </c>
      <c r="S18" s="16">
        <f>I18*$G$3</f>
        <v/>
      </c>
      <c r="T18" s="25" t="n">
        <v>0.9</v>
      </c>
      <c r="U18" s="24" t="n">
        <v>67</v>
      </c>
      <c r="V18" s="16">
        <f>U18*(1-T18)</f>
        <v/>
      </c>
      <c r="W18" s="26" t="n">
        <v>0.86</v>
      </c>
      <c r="X18" s="16">
        <f>$G$6*$G$7*W18</f>
        <v/>
      </c>
      <c r="Y18" s="22">
        <f>W18*($G$9+$G$10)</f>
        <v/>
      </c>
      <c r="Z18" s="23" t="n">
        <v>0.07000000000000001</v>
      </c>
      <c r="AA18" s="16">
        <f>G18*Z18</f>
        <v/>
      </c>
      <c r="AB18" s="25" t="n">
        <v>0.08</v>
      </c>
      <c r="AC18" s="16">
        <f>G18*AB18</f>
        <v/>
      </c>
      <c r="AD18" s="16">
        <f>AA18+AC18</f>
        <v/>
      </c>
      <c r="AE18" s="27">
        <f>AD18/G18</f>
        <v/>
      </c>
      <c r="AF18" s="28">
        <f>G18-N18-O18-P18-Q18-R18-S18-V18-X18-Y18-L18-AK18</f>
        <v/>
      </c>
      <c r="AG18" s="29">
        <f>AF18-AD18</f>
        <v/>
      </c>
      <c r="AH18" s="30">
        <f>AG18/G18</f>
        <v/>
      </c>
      <c r="AI18" s="31">
        <f>AG18/L18</f>
        <v/>
      </c>
      <c r="AJ18" s="16">
        <f>(O18+Q18+V18+X18+Y18+L18)/(1-(M18+$G$4+(1-H18)*$G$3+$G$8+$G$11+Z18+AB18))</f>
        <v/>
      </c>
      <c r="AK18" s="16">
        <f>G18*$G$11</f>
        <v/>
      </c>
    </row>
    <row r="19" ht="28.5" customHeight="1">
      <c r="A19" s="14" t="inlineStr">
        <is>
          <t>FARMSTAY - Argan Oil Complete Volume Up Shampoo &amp; Conditioner [530ml] / Шампунь-кондиционер с аргановым маслом</t>
        </is>
      </c>
      <c r="B19" s="16" t="n">
        <v>2535</v>
      </c>
      <c r="C19" s="16" t="n">
        <v>50</v>
      </c>
      <c r="D19" s="32" t="n">
        <v>2000</v>
      </c>
      <c r="E19" s="32" t="n">
        <v>23</v>
      </c>
      <c r="F19" s="32" t="n">
        <v>1</v>
      </c>
      <c r="G19" s="32">
        <f>(1.25*L19+O19+Q19+V19+X19+Y19)/(1-M19-$G$8-$G$4-(1-H19)*$G$3-$G$11-Z19-AB19)</f>
        <v/>
      </c>
      <c r="H19" s="18" t="n">
        <v>0.45</v>
      </c>
      <c r="I19" s="19">
        <f>G19*(1-H19)</f>
        <v/>
      </c>
      <c r="J19" s="20" t="n">
        <v>400.76</v>
      </c>
      <c r="K19" s="21">
        <f>$G$5</f>
        <v/>
      </c>
      <c r="L19" s="22">
        <f>J19+K19</f>
        <v/>
      </c>
      <c r="M19" s="23" t="n">
        <v>0.41</v>
      </c>
      <c r="N19" s="16">
        <f>G19*M19</f>
        <v/>
      </c>
      <c r="O19" s="24" t="n">
        <v>75</v>
      </c>
      <c r="P19" s="16">
        <f>G19*$G$8</f>
        <v/>
      </c>
      <c r="Q19" s="24" t="n">
        <v>25</v>
      </c>
      <c r="R19" s="16">
        <f>G19*$G$4</f>
        <v/>
      </c>
      <c r="S19" s="16">
        <f>I19*$G$3</f>
        <v/>
      </c>
      <c r="T19" s="25" t="n">
        <v>0.9</v>
      </c>
      <c r="U19" s="24" t="n">
        <v>75</v>
      </c>
      <c r="V19" s="16">
        <f>U19*(1-T19)</f>
        <v/>
      </c>
      <c r="W19" s="26" t="n">
        <v>1.26</v>
      </c>
      <c r="X19" s="16">
        <f>$G$6*$G$7*W19</f>
        <v/>
      </c>
      <c r="Y19" s="22">
        <f>W19*($G$9+$G$10)</f>
        <v/>
      </c>
      <c r="Z19" s="23" t="n">
        <v>0.07000000000000001</v>
      </c>
      <c r="AA19" s="16">
        <f>G19*Z19</f>
        <v/>
      </c>
      <c r="AB19" s="25" t="n">
        <v>0.08</v>
      </c>
      <c r="AC19" s="16">
        <f>G19*AB19</f>
        <v/>
      </c>
      <c r="AD19" s="16">
        <f>AA19+AC19</f>
        <v/>
      </c>
      <c r="AE19" s="27">
        <f>AD19/G19</f>
        <v/>
      </c>
      <c r="AF19" s="28">
        <f>G19-N19-O19-P19-Q19-R19-S19-V19-X19-Y19-L19-AK19</f>
        <v/>
      </c>
      <c r="AG19" s="29">
        <f>AF19-AD19</f>
        <v/>
      </c>
      <c r="AH19" s="30">
        <f>AG19/G19</f>
        <v/>
      </c>
      <c r="AI19" s="31">
        <f>AG19/L19</f>
        <v/>
      </c>
      <c r="AJ19" s="16">
        <f>(O19+Q19+V19+X19+Y19+L19)/(1-(M19+$G$4+(1-H19)*$G$3+$G$8+$G$11+Z19+AB19))</f>
        <v/>
      </c>
      <c r="AK19" s="16">
        <f>G19*$G$11</f>
        <v/>
      </c>
    </row>
    <row r="20" ht="28.5" customHeight="1">
      <c r="A20" s="14" t="inlineStr">
        <is>
          <t>FARMSTAY - Collagen Water Full Shampoo &amp; Conditioner [530ml] / Шампунь-кондиционер 2в1 с коллагеном</t>
        </is>
      </c>
      <c r="B20" s="16" t="n">
        <v>3679</v>
      </c>
      <c r="C20" s="16" t="n">
        <v>50</v>
      </c>
      <c r="D20" s="32" t="n">
        <v>2128</v>
      </c>
      <c r="E20" s="32" t="n">
        <v>22</v>
      </c>
      <c r="F20" s="32" t="n">
        <v>7.5</v>
      </c>
      <c r="G20" s="32">
        <f>(1.25*L20+O20+Q20+V20+X20+Y20)/(1-M20-$G$8-$G$4-(1-H20)*$G$3-$G$11-Z20-AB20)</f>
        <v/>
      </c>
      <c r="H20" s="18" t="n">
        <v>0.45</v>
      </c>
      <c r="I20" s="19">
        <f>G20*(1-H20)</f>
        <v/>
      </c>
      <c r="J20" s="20" t="n">
        <v>396.72</v>
      </c>
      <c r="K20" s="21">
        <f>$G$5</f>
        <v/>
      </c>
      <c r="L20" s="22">
        <f>J20+K20</f>
        <v/>
      </c>
      <c r="M20" s="23" t="n">
        <v>0.41</v>
      </c>
      <c r="N20" s="16">
        <f>G20*M20</f>
        <v/>
      </c>
      <c r="O20" s="24" t="n">
        <v>75</v>
      </c>
      <c r="P20" s="16">
        <f>G20*$G$8</f>
        <v/>
      </c>
      <c r="Q20" s="24" t="n">
        <v>25</v>
      </c>
      <c r="R20" s="16">
        <f>G20*$G$4</f>
        <v/>
      </c>
      <c r="S20" s="16">
        <f>I20*$G$3</f>
        <v/>
      </c>
      <c r="T20" s="25" t="n">
        <v>0.9</v>
      </c>
      <c r="U20" s="24" t="n">
        <v>75</v>
      </c>
      <c r="V20" s="16">
        <f>U20*(1-T20)</f>
        <v/>
      </c>
      <c r="W20" s="26" t="n">
        <v>1.26</v>
      </c>
      <c r="X20" s="16">
        <f>$G$6*$G$7*W20</f>
        <v/>
      </c>
      <c r="Y20" s="22">
        <f>W20*($G$9+$G$10)</f>
        <v/>
      </c>
      <c r="Z20" s="23" t="n">
        <v>0.07000000000000001</v>
      </c>
      <c r="AA20" s="16">
        <f>G20*Z20</f>
        <v/>
      </c>
      <c r="AB20" s="25" t="n">
        <v>0.08</v>
      </c>
      <c r="AC20" s="16">
        <f>G20*AB20</f>
        <v/>
      </c>
      <c r="AD20" s="16">
        <f>AA20+AC20</f>
        <v/>
      </c>
      <c r="AE20" s="27">
        <f>AD20/G20</f>
        <v/>
      </c>
      <c r="AF20" s="28">
        <f>G20-N20-O20-P20-Q20-R20-S20-V20-X20-Y20-L20-AK20</f>
        <v/>
      </c>
      <c r="AG20" s="29">
        <f>AF20-AD20</f>
        <v/>
      </c>
      <c r="AH20" s="30">
        <f>AG20/G20</f>
        <v/>
      </c>
      <c r="AI20" s="31">
        <f>AG20/L20</f>
        <v/>
      </c>
      <c r="AJ20" s="16">
        <f>(O20+Q20+V20+X20+Y20+L20)/(1-(M20+$G$4+(1-H20)*$G$3+$G$8+$G$11+Z20+AB20))</f>
        <v/>
      </c>
      <c r="AK20" s="16">
        <f>G20*$G$11</f>
        <v/>
      </c>
    </row>
    <row r="21" ht="28.5" customHeight="1">
      <c r="A21" s="14" t="inlineStr">
        <is>
          <t>MANYO - Bifida Biome Complex Ampoule [50ml] / Антивозрастная сыворотка для лица</t>
        </is>
      </c>
      <c r="B21" s="16" t="n">
        <v>1473</v>
      </c>
      <c r="C21" s="16" t="n">
        <v>300</v>
      </c>
      <c r="D21" s="32" t="n">
        <v>5800</v>
      </c>
      <c r="E21" s="32" t="n">
        <v>152</v>
      </c>
      <c r="F21" s="32" t="n">
        <v>0</v>
      </c>
      <c r="G21" s="32" t="n">
        <v>5500</v>
      </c>
      <c r="H21" s="18" t="n">
        <v>0.45</v>
      </c>
      <c r="I21" s="19">
        <f>G21*(1-H21)</f>
        <v/>
      </c>
      <c r="J21" s="20" t="n">
        <v>899.78</v>
      </c>
      <c r="K21" s="21">
        <f>$G$5</f>
        <v/>
      </c>
      <c r="L21" s="22">
        <f>J21+K21</f>
        <v/>
      </c>
      <c r="M21" s="23" t="n">
        <v>0.41</v>
      </c>
      <c r="N21" s="16">
        <f>G21*M21</f>
        <v/>
      </c>
      <c r="O21" s="24" t="n">
        <v>63</v>
      </c>
      <c r="P21" s="16">
        <f>G21*$G$8</f>
        <v/>
      </c>
      <c r="Q21" s="24" t="n">
        <v>25</v>
      </c>
      <c r="R21" s="16">
        <f>G21*$G$4</f>
        <v/>
      </c>
      <c r="S21" s="16">
        <f>I21*$G$3</f>
        <v/>
      </c>
      <c r="T21" s="25" t="n">
        <v>0.9</v>
      </c>
      <c r="U21" s="24" t="n">
        <v>63</v>
      </c>
      <c r="V21" s="16">
        <f>U21*(1-T21)</f>
        <v/>
      </c>
      <c r="W21" s="26" t="n">
        <v>0.3</v>
      </c>
      <c r="X21" s="16">
        <f>$G$6*$G$7*W21</f>
        <v/>
      </c>
      <c r="Y21" s="22">
        <f>W21*($G$9+$G$10)</f>
        <v/>
      </c>
      <c r="Z21" s="23" t="n">
        <v>0.025</v>
      </c>
      <c r="AA21" s="16">
        <f>G21*Z21</f>
        <v/>
      </c>
      <c r="AB21" s="25" t="n">
        <v>0.025</v>
      </c>
      <c r="AC21" s="16">
        <f>G21*AB21</f>
        <v/>
      </c>
      <c r="AD21" s="16">
        <f>AA21+AC21</f>
        <v/>
      </c>
      <c r="AE21" s="27">
        <f>AD21/G21</f>
        <v/>
      </c>
      <c r="AF21" s="28">
        <f>G21-N21-O21-P21-Q21-R21-S21-V21-X21-Y21-L21-AK21</f>
        <v/>
      </c>
      <c r="AG21" s="29">
        <f>AF21-AD21</f>
        <v/>
      </c>
      <c r="AH21" s="30">
        <f>AG21/G21</f>
        <v/>
      </c>
      <c r="AI21" s="31">
        <f>AG21/L21</f>
        <v/>
      </c>
      <c r="AJ21" s="16">
        <f>(O21+Q21+V21+X21+Y21+L21)/(1-(M21+$G$4+(1-H21)*$G$3+$G$8+$G$11+Z21+AB21))</f>
        <v/>
      </c>
      <c r="AK21" s="16">
        <f>G21*$G$11</f>
        <v/>
      </c>
    </row>
    <row r="22" ht="28.5" customHeight="1">
      <c r="A22" s="14" t="inlineStr">
        <is>
          <t>MANYO - Galac Whitening Vita Serum [50ml] / Осветляющая сыворотка с Витамином C</t>
        </is>
      </c>
      <c r="B22" s="16" t="n">
        <v>854</v>
      </c>
      <c r="C22" s="16" t="n">
        <v>200</v>
      </c>
      <c r="D22" s="32" t="n">
        <v>4000</v>
      </c>
      <c r="E22" s="32" t="n">
        <v>163</v>
      </c>
      <c r="F22" s="32" t="n">
        <v>0</v>
      </c>
      <c r="G22" s="32" t="n">
        <v>3700</v>
      </c>
      <c r="H22" s="18" t="n">
        <v>0.45</v>
      </c>
      <c r="I22" s="19">
        <f>G22*(1-H22)</f>
        <v/>
      </c>
      <c r="J22" s="20" t="n">
        <v>646.83</v>
      </c>
      <c r="K22" s="21">
        <f>$G$5</f>
        <v/>
      </c>
      <c r="L22" s="22">
        <f>J22+K22</f>
        <v/>
      </c>
      <c r="M22" s="23" t="n">
        <v>0.41</v>
      </c>
      <c r="N22" s="16">
        <f>G22*M22</f>
        <v/>
      </c>
      <c r="O22" s="24" t="n">
        <v>56</v>
      </c>
      <c r="P22" s="16">
        <f>G22*$G$8</f>
        <v/>
      </c>
      <c r="Q22" s="24" t="n">
        <v>25</v>
      </c>
      <c r="R22" s="16">
        <f>G22*$G$4</f>
        <v/>
      </c>
      <c r="S22" s="16">
        <f>I22*$G$3</f>
        <v/>
      </c>
      <c r="T22" s="25" t="n">
        <v>0.9</v>
      </c>
      <c r="U22" s="24" t="n">
        <v>56</v>
      </c>
      <c r="V22" s="16">
        <f>U22*(1-T22)</f>
        <v/>
      </c>
      <c r="W22" s="26" t="n">
        <v>0.19</v>
      </c>
      <c r="X22" s="16">
        <f>$G$6*$G$7*W22</f>
        <v/>
      </c>
      <c r="Y22" s="22">
        <f>W22*($G$9+$G$10)</f>
        <v/>
      </c>
      <c r="Z22" s="23" t="n">
        <v>0.025</v>
      </c>
      <c r="AA22" s="16">
        <f>G22*Z22</f>
        <v/>
      </c>
      <c r="AB22" s="25" t="n">
        <v>0.025</v>
      </c>
      <c r="AC22" s="16">
        <f>G22*AB22</f>
        <v/>
      </c>
      <c r="AD22" s="16">
        <f>AA22+AC22</f>
        <v/>
      </c>
      <c r="AE22" s="27">
        <f>AD22/G22</f>
        <v/>
      </c>
      <c r="AF22" s="28">
        <f>G22-N22-O22-P22-Q22-R22-S22-V22-X22-Y22-L22-AK22</f>
        <v/>
      </c>
      <c r="AG22" s="29">
        <f>AF22-AD22</f>
        <v/>
      </c>
      <c r="AH22" s="30">
        <f>AG22/G22</f>
        <v/>
      </c>
      <c r="AI22" s="31">
        <f>AG22/L22</f>
        <v/>
      </c>
      <c r="AJ22" s="16">
        <f>(O22+Q22+V22+X22+Y22+L22)/(1-(M22+$G$4+(1-H22)*$G$3+$G$8+$G$11+Z22+AB22))</f>
        <v/>
      </c>
      <c r="AK22" s="16">
        <f>G22*$G$11</f>
        <v/>
      </c>
    </row>
    <row r="23" ht="28.5" customHeight="1">
      <c r="A23" s="14" t="inlineStr">
        <is>
          <t>MANYO - Bifida Biome Ampoule Lotion [300ml] / Укрепляющий лосьон с бифидобактериями</t>
        </is>
      </c>
      <c r="B23" s="16" t="n">
        <v>756</v>
      </c>
      <c r="C23" s="16" t="n">
        <v>300</v>
      </c>
      <c r="D23" s="32" t="n">
        <v>4000</v>
      </c>
      <c r="E23" s="32" t="n">
        <v>140</v>
      </c>
      <c r="F23" s="32" t="n">
        <v>0</v>
      </c>
      <c r="G23" s="32" t="n">
        <v>3700</v>
      </c>
      <c r="H23" s="18" t="n">
        <v>0.45</v>
      </c>
      <c r="I23" s="19">
        <f>G23*(1-H23)</f>
        <v/>
      </c>
      <c r="J23" s="20" t="n">
        <v>735.34</v>
      </c>
      <c r="K23" s="21">
        <f>$G$5</f>
        <v/>
      </c>
      <c r="L23" s="22">
        <f>J23+K23</f>
        <v/>
      </c>
      <c r="M23" s="23" t="n">
        <v>0.41</v>
      </c>
      <c r="N23" s="16">
        <f>G23*M23</f>
        <v/>
      </c>
      <c r="O23" s="24" t="n">
        <v>67</v>
      </c>
      <c r="P23" s="16">
        <f>G23*$G$8</f>
        <v/>
      </c>
      <c r="Q23" s="24" t="n">
        <v>25</v>
      </c>
      <c r="R23" s="16">
        <f>G23*$G$4</f>
        <v/>
      </c>
      <c r="S23" s="16">
        <f>I23*$G$3</f>
        <v/>
      </c>
      <c r="T23" s="25" t="n">
        <v>0.9</v>
      </c>
      <c r="U23" s="24" t="n">
        <v>67</v>
      </c>
      <c r="V23" s="16">
        <f>U23*(1-T23)</f>
        <v/>
      </c>
      <c r="W23" s="26" t="n">
        <v>0.61</v>
      </c>
      <c r="X23" s="16">
        <f>$G$6*$G$7*W23</f>
        <v/>
      </c>
      <c r="Y23" s="22">
        <f>W23*($G$9+$G$10)</f>
        <v/>
      </c>
      <c r="Z23" s="23" t="n">
        <v>0.025</v>
      </c>
      <c r="AA23" s="16">
        <f>G23*Z23</f>
        <v/>
      </c>
      <c r="AB23" s="25" t="n">
        <v>0.025</v>
      </c>
      <c r="AC23" s="16">
        <f>G23*AB23</f>
        <v/>
      </c>
      <c r="AD23" s="16">
        <f>AA23+AC23</f>
        <v/>
      </c>
      <c r="AE23" s="27">
        <f>AD23/G23</f>
        <v/>
      </c>
      <c r="AF23" s="28">
        <f>G23-N23-O23-P23-Q23-R23-S23-V23-X23-Y23-L23-AK23</f>
        <v/>
      </c>
      <c r="AG23" s="29">
        <f>AF23-AD23</f>
        <v/>
      </c>
      <c r="AH23" s="30">
        <f>AG23/G23</f>
        <v/>
      </c>
      <c r="AI23" s="31">
        <f>AG23/L23</f>
        <v/>
      </c>
      <c r="AJ23" s="16">
        <f>(O23+Q23+V23+X23+Y23+L23)/(1-(M23+$G$4+(1-H23)*$G$3+$G$8+$G$11+Z23+AB23))</f>
        <v/>
      </c>
      <c r="AK23" s="16">
        <f>G23*$G$11</f>
        <v/>
      </c>
    </row>
    <row r="24" ht="28.5" customHeight="1">
      <c r="A24" s="14" t="inlineStr">
        <is>
          <t>MANYO BIFIDA COMPLEX AMPOULE GEL CLEANSER [400ml] / Гель для умывания с бифидобактериями</t>
        </is>
      </c>
      <c r="B24" s="16" t="n">
        <v>814</v>
      </c>
      <c r="C24" s="16" t="n">
        <v>200</v>
      </c>
      <c r="D24" s="32" t="n">
        <v>4800</v>
      </c>
      <c r="E24" s="32" t="n">
        <v>20</v>
      </c>
      <c r="F24" s="32" t="n">
        <v>0</v>
      </c>
      <c r="G24" s="32" t="n">
        <v>4500</v>
      </c>
      <c r="H24" s="18" t="n">
        <v>0.45</v>
      </c>
      <c r="I24" s="19">
        <f>G24*(1-H24)</f>
        <v/>
      </c>
      <c r="J24" s="20" t="n">
        <v>650</v>
      </c>
      <c r="K24" s="21">
        <f>$G$5</f>
        <v/>
      </c>
      <c r="L24" s="22">
        <f>J24+K24</f>
        <v/>
      </c>
      <c r="M24" s="23" t="n">
        <v>0.41</v>
      </c>
      <c r="N24" s="16">
        <f>G24*M24</f>
        <v/>
      </c>
      <c r="O24" s="24" t="n">
        <v>75</v>
      </c>
      <c r="P24" s="16">
        <f>G24*$G$8</f>
        <v/>
      </c>
      <c r="Q24" s="24" t="n">
        <v>25</v>
      </c>
      <c r="R24" s="16">
        <f>G24*$G$4</f>
        <v/>
      </c>
      <c r="S24" s="16">
        <f>I24*$G$3</f>
        <v/>
      </c>
      <c r="T24" s="25" t="n">
        <v>0.9</v>
      </c>
      <c r="U24" s="24" t="n">
        <v>75</v>
      </c>
      <c r="V24" s="16">
        <f>U24*(1-T24)</f>
        <v/>
      </c>
      <c r="W24" s="26" t="n">
        <v>0.931</v>
      </c>
      <c r="X24" s="16">
        <f>$G$6*$G$7*W24</f>
        <v/>
      </c>
      <c r="Y24" s="22">
        <f>W24*($G$9+$G$10)</f>
        <v/>
      </c>
      <c r="Z24" s="23" t="n">
        <v>0.025</v>
      </c>
      <c r="AA24" s="16">
        <f>G24*Z24</f>
        <v/>
      </c>
      <c r="AB24" s="25" t="n">
        <v>0.025</v>
      </c>
      <c r="AC24" s="16">
        <f>G24*AB24</f>
        <v/>
      </c>
      <c r="AD24" s="16">
        <f>AA24+AC24</f>
        <v/>
      </c>
      <c r="AE24" s="27">
        <f>AD24/G24</f>
        <v/>
      </c>
      <c r="AF24" s="28">
        <f>G24-N24-O24-P24-Q24-R24-S24-V24-X24-Y24-L24-AK24</f>
        <v/>
      </c>
      <c r="AG24" s="29">
        <f>AF24-AD24</f>
        <v/>
      </c>
      <c r="AH24" s="30">
        <f>AG24/G24</f>
        <v/>
      </c>
      <c r="AI24" s="31">
        <f>AG24/L24</f>
        <v/>
      </c>
      <c r="AJ24" s="16">
        <f>(O24+Q24+V24+X24+Y24+L24)/(1-(M24+$G$4+(1-H24)*$G$3+$G$8+$G$11+Z24+AB24))</f>
        <v/>
      </c>
      <c r="AK24" s="16">
        <f>G24*$G$11</f>
        <v/>
      </c>
    </row>
    <row r="25" ht="28.5" customHeight="1">
      <c r="A25" s="14" t="inlineStr">
        <is>
          <t>MANYO BIFIDA INFUSION SHOT AMPOULE 1DX [50ml] / Сыворотка с микроиглами и пробиотиками</t>
        </is>
      </c>
      <c r="B25" s="16" t="n">
        <v>786</v>
      </c>
      <c r="C25" s="16" t="n">
        <v>300</v>
      </c>
      <c r="D25" s="32" t="n">
        <v>3800</v>
      </c>
      <c r="E25" s="32" t="n">
        <v>370</v>
      </c>
      <c r="F25" s="32" t="n">
        <v>0</v>
      </c>
      <c r="G25" s="32" t="n">
        <v>3500</v>
      </c>
      <c r="H25" s="18" t="n">
        <v>0.45</v>
      </c>
      <c r="I25" s="19">
        <f>G25*(1-H25)</f>
        <v/>
      </c>
      <c r="J25" s="20" t="n">
        <v>899.78</v>
      </c>
      <c r="K25" s="21">
        <f>$G$5</f>
        <v/>
      </c>
      <c r="L25" s="22">
        <f>J25+K25</f>
        <v/>
      </c>
      <c r="M25" s="23" t="n">
        <v>0.41</v>
      </c>
      <c r="N25" s="16">
        <f>G25*M25</f>
        <v/>
      </c>
      <c r="O25" s="24" t="n">
        <v>63</v>
      </c>
      <c r="P25" s="16">
        <f>G25*$G$8</f>
        <v/>
      </c>
      <c r="Q25" s="24" t="n">
        <v>25</v>
      </c>
      <c r="R25" s="16">
        <f>G25*$G$4</f>
        <v/>
      </c>
      <c r="S25" s="16">
        <f>I25*$G$3</f>
        <v/>
      </c>
      <c r="T25" s="25" t="n">
        <v>0.9</v>
      </c>
      <c r="U25" s="24" t="n">
        <v>63</v>
      </c>
      <c r="V25" s="16">
        <f>U25*(1-T25)</f>
        <v/>
      </c>
      <c r="W25" s="26" t="n">
        <v>0.3</v>
      </c>
      <c r="X25" s="16">
        <f>$G$6*$G$7*W25</f>
        <v/>
      </c>
      <c r="Y25" s="22">
        <f>W25*($G$9+$G$10)</f>
        <v/>
      </c>
      <c r="Z25" s="23" t="n">
        <v>0.025</v>
      </c>
      <c r="AA25" s="16">
        <f>G25*Z25</f>
        <v/>
      </c>
      <c r="AB25" s="25" t="n">
        <v>0.025</v>
      </c>
      <c r="AC25" s="16">
        <f>G25*AB25</f>
        <v/>
      </c>
      <c r="AD25" s="16">
        <f>AA25+AC25</f>
        <v/>
      </c>
      <c r="AE25" s="27">
        <f>AD25/G25</f>
        <v/>
      </c>
      <c r="AF25" s="28">
        <f>G25-N25-O25-P25-Q25-R25-S25-V25-X25-Y25-L25-AK25</f>
        <v/>
      </c>
      <c r="AG25" s="29">
        <f>AF25-AD25</f>
        <v/>
      </c>
      <c r="AH25" s="30">
        <f>AG25/G25</f>
        <v/>
      </c>
      <c r="AI25" s="31">
        <f>AG25/L25</f>
        <v/>
      </c>
      <c r="AJ25" s="16">
        <f>(O25+Q25+V25+X25+Y25+L25)/(1-(M25+$G$4+(1-H25)*$G$3+$G$8+$G$11+Z25+AB25))</f>
        <v/>
      </c>
      <c r="AK25" s="16">
        <f>G25*$G$11</f>
        <v/>
      </c>
    </row>
    <row r="26" ht="14.25" customHeight="1">
      <c r="A26" s="14" t="inlineStr">
        <is>
          <t>ROUND LAB 1025 DOKDO CLEANSER_150ml</t>
        </is>
      </c>
      <c r="B26" s="16" t="n">
        <v>7158</v>
      </c>
      <c r="C26" s="16" t="n">
        <v>1000</v>
      </c>
      <c r="D26" s="32" t="n">
        <v>2335</v>
      </c>
      <c r="E26" s="32" t="n">
        <v>4000</v>
      </c>
      <c r="F26" s="32" t="n">
        <v>3</v>
      </c>
      <c r="G26" s="32" t="n">
        <v>2200</v>
      </c>
      <c r="H26" s="18" t="n">
        <v>0.45</v>
      </c>
      <c r="I26" s="19">
        <f>G26*(1-H26)</f>
        <v/>
      </c>
      <c r="J26" s="20" t="n">
        <v>463.19</v>
      </c>
      <c r="K26" s="21">
        <f>$G$5</f>
        <v/>
      </c>
      <c r="L26" s="22">
        <f>J26+K26</f>
        <v/>
      </c>
      <c r="M26" s="23" t="n">
        <v>0.41</v>
      </c>
      <c r="N26" s="16">
        <f>G26*M26</f>
        <v/>
      </c>
      <c r="O26" s="24" t="n">
        <v>74</v>
      </c>
      <c r="P26" s="16">
        <f>G26*$G$8</f>
        <v/>
      </c>
      <c r="Q26" s="24" t="n">
        <v>25</v>
      </c>
      <c r="R26" s="16">
        <f>G26*$G$4</f>
        <v/>
      </c>
      <c r="S26" s="16">
        <f>I26*$G$3</f>
        <v/>
      </c>
      <c r="T26" s="25" t="n">
        <v>0.9</v>
      </c>
      <c r="U26" s="24" t="n">
        <v>74</v>
      </c>
      <c r="V26" s="16">
        <f>U26*(1-T26)</f>
        <v/>
      </c>
      <c r="W26" s="26" t="n">
        <v>1.28</v>
      </c>
      <c r="X26" s="16">
        <f>$G$6*$G$7*W26</f>
        <v/>
      </c>
      <c r="Y26" s="22">
        <f>W26*($G$9+$G$10)</f>
        <v/>
      </c>
      <c r="Z26" s="23" t="n">
        <v>0.07000000000000001</v>
      </c>
      <c r="AA26" s="16">
        <f>G26*Z26</f>
        <v/>
      </c>
      <c r="AB26" s="25" t="n">
        <v>0.08</v>
      </c>
      <c r="AC26" s="16">
        <f>G26*AB26</f>
        <v/>
      </c>
      <c r="AD26" s="16">
        <f>AA26+AC26</f>
        <v/>
      </c>
      <c r="AE26" s="27">
        <f>AD26/G26</f>
        <v/>
      </c>
      <c r="AF26" s="28">
        <f>G26-N26-O26-P26-Q26-R26-S26-V26-X26-Y26-L26-AK26</f>
        <v/>
      </c>
      <c r="AG26" s="29">
        <f>AF26-AD26</f>
        <v/>
      </c>
      <c r="AH26" s="30">
        <f>AG26/G26</f>
        <v/>
      </c>
      <c r="AI26" s="31">
        <f>AG26/L26</f>
        <v/>
      </c>
      <c r="AJ26" s="16">
        <f>(O26+Q26+V26+X26+Y26+L26)/(1-(M26+$G$4+(1-H26)*$G$3+$G$8+$G$11+Z26+AB26))</f>
        <v/>
      </c>
      <c r="AK26" s="16">
        <f>G26*$G$11</f>
        <v/>
      </c>
    </row>
    <row r="27" ht="14.25" customHeight="1">
      <c r="A27" s="14" t="inlineStr">
        <is>
          <t>ROUND LAB 1025 DOKDO TONER_200ml</t>
        </is>
      </c>
      <c r="B27" s="16" t="n">
        <v>998</v>
      </c>
      <c r="C27" s="16" t="n">
        <v>300</v>
      </c>
      <c r="D27" s="32" t="n">
        <v>3400</v>
      </c>
      <c r="E27" s="32" t="n">
        <v>260</v>
      </c>
      <c r="F27" s="32" t="n">
        <v>2</v>
      </c>
      <c r="G27" s="32" t="n">
        <v>3100</v>
      </c>
      <c r="H27" s="18" t="n">
        <v>0.45</v>
      </c>
      <c r="I27" s="19">
        <f>G27*(1-H27)</f>
        <v/>
      </c>
      <c r="J27" s="20" t="n">
        <v>463.19</v>
      </c>
      <c r="K27" s="21">
        <f>$G$5</f>
        <v/>
      </c>
      <c r="L27" s="22">
        <f>J27+K27</f>
        <v/>
      </c>
      <c r="M27" s="23" t="n">
        <v>0.41</v>
      </c>
      <c r="N27" s="16">
        <f>G27*M27</f>
        <v/>
      </c>
      <c r="O27" s="24" t="n">
        <v>74</v>
      </c>
      <c r="P27" s="16">
        <f>G27*$G$8</f>
        <v/>
      </c>
      <c r="Q27" s="24" t="n">
        <v>25</v>
      </c>
      <c r="R27" s="16">
        <f>G27*$G$4</f>
        <v/>
      </c>
      <c r="S27" s="16">
        <f>I27*$G$3</f>
        <v/>
      </c>
      <c r="T27" s="25" t="n">
        <v>0.9</v>
      </c>
      <c r="U27" s="24" t="n">
        <v>74</v>
      </c>
      <c r="V27" s="16">
        <f>U27*(1-T27)</f>
        <v/>
      </c>
      <c r="W27" s="26" t="n">
        <v>1.28</v>
      </c>
      <c r="X27" s="16">
        <f>$G$6*$G$7*W27</f>
        <v/>
      </c>
      <c r="Y27" s="22">
        <f>W27*($G$9+$G$10)</f>
        <v/>
      </c>
      <c r="Z27" s="23" t="n">
        <v>0.07000000000000001</v>
      </c>
      <c r="AA27" s="16">
        <f>G27*Z27</f>
        <v/>
      </c>
      <c r="AB27" s="25" t="n">
        <v>0.08</v>
      </c>
      <c r="AC27" s="16">
        <f>G27*AB27</f>
        <v/>
      </c>
      <c r="AD27" s="16">
        <f>AA27+AC27</f>
        <v/>
      </c>
      <c r="AE27" s="27">
        <f>AD27/G27</f>
        <v/>
      </c>
      <c r="AF27" s="28">
        <f>G27-N27-O27-P27-Q27-R27-S27-V27-X27-Y27-L27-AK27</f>
        <v/>
      </c>
      <c r="AG27" s="29">
        <f>AF27-AD27</f>
        <v/>
      </c>
      <c r="AH27" s="30">
        <f>AG27/G27</f>
        <v/>
      </c>
      <c r="AI27" s="31">
        <f>AG27/L27</f>
        <v/>
      </c>
      <c r="AJ27" s="16">
        <f>(O27+Q27+V27+X27+Y27+L27)/(1-(M27+$G$4+(1-H27)*$G$3+$G$8+$G$11+Z27+AB27))</f>
        <v/>
      </c>
      <c r="AK27" s="16">
        <f>G27*$G$11</f>
        <v/>
      </c>
    </row>
    <row r="28" ht="14.25" customHeight="1">
      <c r="A28" s="14" t="inlineStr">
        <is>
          <t>Celimax Dual Barrier Creamy Toner</t>
        </is>
      </c>
      <c r="B28" s="16" t="n">
        <v>4929</v>
      </c>
      <c r="C28" s="16" t="n">
        <v>1000</v>
      </c>
      <c r="D28" s="32" t="n">
        <v>2600</v>
      </c>
      <c r="E28" s="32" t="n">
        <v>5500</v>
      </c>
      <c r="F28" s="32" t="n">
        <v>10</v>
      </c>
      <c r="G28" s="32" t="n">
        <v>2450</v>
      </c>
      <c r="H28" s="18" t="n">
        <v>0.45</v>
      </c>
      <c r="I28" s="19">
        <f>G28*(1-H28)</f>
        <v/>
      </c>
      <c r="J28" s="20" t="n">
        <v>663.86</v>
      </c>
      <c r="K28" s="21">
        <f>$G$5</f>
        <v/>
      </c>
      <c r="L28" s="22">
        <f>J28+K28</f>
        <v/>
      </c>
      <c r="M28" s="23" t="n">
        <v>0.41</v>
      </c>
      <c r="N28" s="16">
        <f>G28*M28</f>
        <v/>
      </c>
      <c r="O28" s="24" t="n">
        <v>67</v>
      </c>
      <c r="P28" s="16">
        <f>G28*$G$8</f>
        <v/>
      </c>
      <c r="Q28" s="24" t="n">
        <v>25</v>
      </c>
      <c r="R28" s="16">
        <f>G28*$G$4</f>
        <v/>
      </c>
      <c r="S28" s="16">
        <f>I28*$G$3</f>
        <v/>
      </c>
      <c r="T28" s="25" t="n">
        <v>0.9</v>
      </c>
      <c r="U28" s="24" t="n">
        <v>67</v>
      </c>
      <c r="V28" s="16">
        <f>U28*(1-T28)</f>
        <v/>
      </c>
      <c r="W28" s="26" t="n">
        <v>0.735</v>
      </c>
      <c r="X28" s="16">
        <f>$G$6*$G$7*W28</f>
        <v/>
      </c>
      <c r="Y28" s="22">
        <f>W28*($G$9+$G$10)</f>
        <v/>
      </c>
      <c r="Z28" s="23" t="n">
        <v>0.05</v>
      </c>
      <c r="AA28" s="16">
        <f>G28*Z28</f>
        <v/>
      </c>
      <c r="AB28" s="25" t="n">
        <v>0.05</v>
      </c>
      <c r="AC28" s="16">
        <f>G28*AB28</f>
        <v/>
      </c>
      <c r="AD28" s="16">
        <f>AA28+AC28</f>
        <v/>
      </c>
      <c r="AE28" s="27">
        <f>AD28/G28</f>
        <v/>
      </c>
      <c r="AF28" s="28">
        <f>G28-N28-O28-P28-Q28-R28-S28-V28-X28-Y28-L28-AK28</f>
        <v/>
      </c>
      <c r="AG28" s="29">
        <f>AF28-AD28</f>
        <v/>
      </c>
      <c r="AH28" s="30">
        <f>AG28/G28</f>
        <v/>
      </c>
      <c r="AI28" s="31">
        <f>AG28/L28</f>
        <v/>
      </c>
      <c r="AJ28" s="16">
        <f>(O28+Q28+V28+X28+Y28+L28)/(1-(M28+$G$4+(1-H28)*$G$3+$G$8+$G$11+Z28+AB28))</f>
        <v/>
      </c>
      <c r="AK28" s="16">
        <f>G28*$G$11</f>
        <v/>
      </c>
    </row>
    <row r="29" ht="28.5" customHeight="1">
      <c r="A29" s="14" t="inlineStr">
        <is>
          <t>CELIMAX THE VITA-A RETINAL SHOT TIGHTENING BOOSTER [15ml]/Подтягивающий бустер-крем с ретинолом для лица</t>
        </is>
      </c>
      <c r="B29" s="16" t="n">
        <v>9768</v>
      </c>
      <c r="C29" s="16" t="n">
        <v>1000</v>
      </c>
      <c r="D29" s="32" t="n">
        <v>2250</v>
      </c>
      <c r="E29" s="32" t="n">
        <v>3000</v>
      </c>
      <c r="F29" s="32" t="n">
        <v>13</v>
      </c>
      <c r="G29" s="32" t="n">
        <v>2150</v>
      </c>
      <c r="H29" s="18" t="n">
        <v>0.45</v>
      </c>
      <c r="I29" s="19">
        <f>G29*(1-H29)</f>
        <v/>
      </c>
      <c r="J29" s="20" t="n">
        <v>512.1799999999999</v>
      </c>
      <c r="K29" s="21">
        <f>$G$5</f>
        <v/>
      </c>
      <c r="L29" s="22">
        <f>J29+K29</f>
        <v/>
      </c>
      <c r="M29" s="23" t="n">
        <v>0.41</v>
      </c>
      <c r="N29" s="16">
        <f>G29*M29</f>
        <v/>
      </c>
      <c r="O29" s="24" t="n">
        <v>56</v>
      </c>
      <c r="P29" s="16">
        <f>G29*$G$8</f>
        <v/>
      </c>
      <c r="Q29" s="24" t="n">
        <v>25</v>
      </c>
      <c r="R29" s="16">
        <f>G29*$G$4</f>
        <v/>
      </c>
      <c r="S29" s="16">
        <f>I29*$G$3</f>
        <v/>
      </c>
      <c r="T29" s="25" t="n">
        <v>0.9</v>
      </c>
      <c r="U29" s="24" t="n">
        <v>56</v>
      </c>
      <c r="V29" s="16">
        <f>U29*(1-T29)</f>
        <v/>
      </c>
      <c r="W29" s="26" t="n">
        <v>0.18</v>
      </c>
      <c r="X29" s="16">
        <f>$G$6*$G$7*W29</f>
        <v/>
      </c>
      <c r="Y29" s="22">
        <f>W29*($G$9+$G$10)</f>
        <v/>
      </c>
      <c r="Z29" s="23" t="n">
        <v>0.07000000000000001</v>
      </c>
      <c r="AA29" s="16">
        <f>G29*Z29</f>
        <v/>
      </c>
      <c r="AB29" s="25" t="n">
        <v>0.08</v>
      </c>
      <c r="AC29" s="16">
        <f>G29*AB29</f>
        <v/>
      </c>
      <c r="AD29" s="16">
        <f>AA29+AC29</f>
        <v/>
      </c>
      <c r="AE29" s="27">
        <f>AD29/G29</f>
        <v/>
      </c>
      <c r="AF29" s="28">
        <f>G29-N29-O29-P29-Q29-R29-S29-V29-X29-Y29-L29-AK29</f>
        <v/>
      </c>
      <c r="AG29" s="29">
        <f>AF29-AD29</f>
        <v/>
      </c>
      <c r="AH29" s="30">
        <f>AG29/G29</f>
        <v/>
      </c>
      <c r="AI29" s="31">
        <f>AG29/L29</f>
        <v/>
      </c>
      <c r="AJ29" s="16">
        <f>(O29+Q29+V29+X29+Y29+L29)/(1-(M29+$G$4+(1-H29)*$G$3+$G$8+$G$11+Z29+AB29))</f>
        <v/>
      </c>
      <c r="AK29" s="16">
        <f>G29*$G$11</f>
        <v/>
      </c>
    </row>
    <row r="30" ht="28.5" customHeight="1">
      <c r="A30" s="14" t="inlineStr">
        <is>
          <t>CELIMAX THE VITA-A RETINOL SHOT TIGHTENING SERUM [30ml]/Сыворотка с ретинолом и микроиглами для лица</t>
        </is>
      </c>
      <c r="B30" s="16" t="n">
        <v>3564</v>
      </c>
      <c r="C30" s="16" t="n">
        <v>1000</v>
      </c>
      <c r="D30" s="32" t="n">
        <v>2450</v>
      </c>
      <c r="E30" s="32" t="n">
        <v>3500</v>
      </c>
      <c r="F30" s="32" t="n">
        <v>10</v>
      </c>
      <c r="G30" s="32" t="n">
        <v>2350</v>
      </c>
      <c r="H30" s="18" t="n">
        <v>0.45</v>
      </c>
      <c r="I30" s="19">
        <f>G30*(1-H30)</f>
        <v/>
      </c>
      <c r="J30" s="20" t="n">
        <v>532.1</v>
      </c>
      <c r="K30" s="21">
        <f>$G$5</f>
        <v/>
      </c>
      <c r="L30" s="22">
        <f>J30+K30</f>
        <v/>
      </c>
      <c r="M30" s="23" t="n">
        <v>0.41</v>
      </c>
      <c r="N30" s="16">
        <f>G30*M30</f>
        <v/>
      </c>
      <c r="O30" s="24" t="n">
        <v>63</v>
      </c>
      <c r="P30" s="16">
        <f>G30*$G$8</f>
        <v/>
      </c>
      <c r="Q30" s="24" t="n">
        <v>25</v>
      </c>
      <c r="R30" s="16">
        <f>G30*$G$4</f>
        <v/>
      </c>
      <c r="S30" s="16">
        <f>I30*$G$3</f>
        <v/>
      </c>
      <c r="T30" s="25" t="n">
        <v>0.9</v>
      </c>
      <c r="U30" s="24" t="n">
        <v>63</v>
      </c>
      <c r="V30" s="16">
        <f>U30*(1-T30)</f>
        <v/>
      </c>
      <c r="W30" s="26" t="n">
        <v>0.38</v>
      </c>
      <c r="X30" s="16">
        <f>$G$6*$G$7*W30</f>
        <v/>
      </c>
      <c r="Y30" s="22">
        <f>W30*($G$9+$G$10)</f>
        <v/>
      </c>
      <c r="Z30" s="23" t="n">
        <v>0.07000000000000001</v>
      </c>
      <c r="AA30" s="16">
        <f>G30*Z30</f>
        <v/>
      </c>
      <c r="AB30" s="25" t="n">
        <v>0.08</v>
      </c>
      <c r="AC30" s="16">
        <f>G30*AB30</f>
        <v/>
      </c>
      <c r="AD30" s="16">
        <f>AA30+AC30</f>
        <v/>
      </c>
      <c r="AE30" s="27">
        <f>AD30/G30</f>
        <v/>
      </c>
      <c r="AF30" s="28">
        <f>G30-N30-O30-P30-Q30-R30-S30-V30-X30-Y30-L30-AK30</f>
        <v/>
      </c>
      <c r="AG30" s="29">
        <f>AF30-AD30</f>
        <v/>
      </c>
      <c r="AH30" s="30">
        <f>AG30/G30</f>
        <v/>
      </c>
      <c r="AI30" s="31">
        <f>AG30/L30</f>
        <v/>
      </c>
      <c r="AJ30" s="16">
        <f>(O30+Q30+V30+X30+Y30+L30)/(1-(M30+$G$4+(1-H30)*$G$3+$G$8+$G$11+Z30+AB30))</f>
        <v/>
      </c>
      <c r="AK30" s="16">
        <f>G30*$G$11</f>
        <v/>
      </c>
    </row>
    <row r="31" ht="28.5" customHeight="1">
      <c r="A31" s="14" t="inlineStr">
        <is>
          <t>CELIMAX JI WOO GAE CICA BHA BLEMISH TONER PAD_10EA [30ml]/успокаивающие тонер-пэды</t>
        </is>
      </c>
      <c r="B31" s="16" t="n">
        <v>1696</v>
      </c>
      <c r="C31" s="16" t="n">
        <v>300</v>
      </c>
      <c r="D31" s="32" t="n">
        <v>775</v>
      </c>
      <c r="E31" s="32" t="n">
        <v>2740</v>
      </c>
      <c r="F31" s="32" t="n">
        <v>11</v>
      </c>
      <c r="G31" s="32" t="n">
        <v>745</v>
      </c>
      <c r="H31" s="18" t="n">
        <v>0.45</v>
      </c>
      <c r="I31" s="19">
        <f>G31*(1-H31)</f>
        <v/>
      </c>
      <c r="J31" s="20" t="n">
        <v>96.94</v>
      </c>
      <c r="K31" s="21">
        <f>$G$5</f>
        <v/>
      </c>
      <c r="L31" s="22">
        <f>J31+K31</f>
        <v/>
      </c>
      <c r="M31" s="23" t="n">
        <v>0.41</v>
      </c>
      <c r="N31" s="16">
        <f>G31*M31</f>
        <v/>
      </c>
      <c r="O31" s="24" t="n">
        <v>56</v>
      </c>
      <c r="P31" s="16">
        <f>G31*$G$8</f>
        <v/>
      </c>
      <c r="Q31" s="24" t="n">
        <v>25</v>
      </c>
      <c r="R31" s="16">
        <f>G31*$G$4</f>
        <v/>
      </c>
      <c r="S31" s="16">
        <f>I31*$G$3</f>
        <v/>
      </c>
      <c r="T31" s="25" t="n">
        <v>0.9</v>
      </c>
      <c r="U31" s="24" t="n">
        <v>56</v>
      </c>
      <c r="V31" s="16">
        <f>U31*(1-T31)</f>
        <v/>
      </c>
      <c r="W31" s="26" t="n">
        <v>0.14</v>
      </c>
      <c r="X31" s="16">
        <f>$G$6*$G$7*W31</f>
        <v/>
      </c>
      <c r="Y31" s="22">
        <f>W31*($G$9+$G$10)</f>
        <v/>
      </c>
      <c r="Z31" s="23" t="n">
        <v>0.07000000000000001</v>
      </c>
      <c r="AA31" s="16">
        <f>G31*Z31</f>
        <v/>
      </c>
      <c r="AB31" s="25" t="n">
        <v>0.08</v>
      </c>
      <c r="AC31" s="16">
        <f>G31*AB31</f>
        <v/>
      </c>
      <c r="AD31" s="16">
        <f>AA31+AC31</f>
        <v/>
      </c>
      <c r="AE31" s="27">
        <f>AD31/G31</f>
        <v/>
      </c>
      <c r="AF31" s="28">
        <f>G31-N31-O31-P31-Q31-R31-S31-V31-X31-Y31-L31-AK31</f>
        <v/>
      </c>
      <c r="AG31" s="29">
        <f>AF31-AD31</f>
        <v/>
      </c>
      <c r="AH31" s="30">
        <f>AG31/G31</f>
        <v/>
      </c>
      <c r="AI31" s="31">
        <f>AG31/L31</f>
        <v/>
      </c>
      <c r="AJ31" s="16">
        <f>(O31+Q31+V31+X31+Y31+L31)/(1-(M31+$G$4+(1-H31)*$G$3+$G$8+$G$11+Z31+AB31))</f>
        <v/>
      </c>
      <c r="AK31" s="16">
        <f>G31*$G$11</f>
        <v/>
      </c>
    </row>
    <row r="32" ht="28.5" customHeight="1">
      <c r="A32" s="14" t="inlineStr">
        <is>
          <t>CELIMAX JI WOO GAE CICA BHA BLEMISH TONER PAD [170ml / 60pads]/Тонер-пэды от воспалений</t>
        </is>
      </c>
      <c r="B32" s="16" t="n">
        <v>1620</v>
      </c>
      <c r="C32" s="16" t="n">
        <v>300</v>
      </c>
      <c r="D32" s="32" t="n">
        <v>3450</v>
      </c>
      <c r="E32" s="32" t="n">
        <v>1820</v>
      </c>
      <c r="F32" s="32" t="n">
        <v>11</v>
      </c>
      <c r="G32" s="32" t="n">
        <v>3150</v>
      </c>
      <c r="H32" s="18" t="n">
        <v>0.45</v>
      </c>
      <c r="I32" s="19">
        <f>G32*(1-H32)</f>
        <v/>
      </c>
      <c r="J32" s="20" t="n">
        <v>707.88</v>
      </c>
      <c r="K32" s="21">
        <f>$G$5</f>
        <v/>
      </c>
      <c r="L32" s="22">
        <f>J32+K32</f>
        <v/>
      </c>
      <c r="M32" s="23" t="n">
        <v>0.41</v>
      </c>
      <c r="N32" s="16">
        <f>G32*M32</f>
        <v/>
      </c>
      <c r="O32" s="24" t="n">
        <v>67</v>
      </c>
      <c r="P32" s="16">
        <f>G32*$G$8</f>
        <v/>
      </c>
      <c r="Q32" s="24" t="n">
        <v>25</v>
      </c>
      <c r="R32" s="16">
        <f>G32*$G$4</f>
        <v/>
      </c>
      <c r="S32" s="16">
        <f>I32*$G$3</f>
        <v/>
      </c>
      <c r="T32" s="25" t="n">
        <v>0.9</v>
      </c>
      <c r="U32" s="24" t="n">
        <v>67</v>
      </c>
      <c r="V32" s="16">
        <f>U32*(1-T32)</f>
        <v/>
      </c>
      <c r="W32" s="26" t="n">
        <v>0.96</v>
      </c>
      <c r="X32" s="16">
        <f>$G$6*$G$7*W32</f>
        <v/>
      </c>
      <c r="Y32" s="22">
        <f>W32*($G$9+$G$10)</f>
        <v/>
      </c>
      <c r="Z32" s="23" t="n">
        <v>0.07000000000000001</v>
      </c>
      <c r="AA32" s="16">
        <f>G32*Z32</f>
        <v/>
      </c>
      <c r="AB32" s="25" t="n">
        <v>0.08</v>
      </c>
      <c r="AC32" s="16">
        <f>G32*AB32</f>
        <v/>
      </c>
      <c r="AD32" s="16">
        <f>AA32+AC32</f>
        <v/>
      </c>
      <c r="AE32" s="27">
        <f>AD32/G32</f>
        <v/>
      </c>
      <c r="AF32" s="28">
        <f>G32-N32-O32-P32-Q32-R32-S32-V32-X32-Y32-L32-AK32</f>
        <v/>
      </c>
      <c r="AG32" s="29">
        <f>AF32-AD32</f>
        <v/>
      </c>
      <c r="AH32" s="30">
        <f>AG32/G32</f>
        <v/>
      </c>
      <c r="AI32" s="31">
        <f>AG32/L32</f>
        <v/>
      </c>
      <c r="AJ32" s="16">
        <f>(O32+Q32+V32+X32+Y32+L32)/(1-(M32+$G$4+(1-H32)*$G$3+$G$8+$G$11+Z32+AB32))</f>
        <v/>
      </c>
      <c r="AK32" s="16">
        <f>G32*$G$11</f>
        <v/>
      </c>
    </row>
    <row r="33" ht="28.5" customHeight="1">
      <c r="A33" s="14" t="inlineStr">
        <is>
          <t>CELIMAX PORE+DARK SPOT BRIGHTENING PAD [100ml / 40pads]/Тонер-пэды для выравнивания тона и рельефа кожи</t>
        </is>
      </c>
      <c r="B33" s="16" t="n">
        <v>1795</v>
      </c>
      <c r="C33" s="16" t="n">
        <v>300</v>
      </c>
      <c r="D33" s="32" t="n">
        <v>2880</v>
      </c>
      <c r="E33" s="32" t="n">
        <v>1640</v>
      </c>
      <c r="F33" s="32" t="n">
        <v>21</v>
      </c>
      <c r="G33" s="32" t="n">
        <v>2580</v>
      </c>
      <c r="H33" s="18" t="n">
        <v>0.45</v>
      </c>
      <c r="I33" s="19">
        <f>G33*(1-H33)</f>
        <v/>
      </c>
      <c r="J33" s="20" t="n">
        <v>556.1799999999999</v>
      </c>
      <c r="K33" s="21">
        <f>$G$5</f>
        <v/>
      </c>
      <c r="L33" s="22">
        <f>J33+K33</f>
        <v/>
      </c>
      <c r="M33" s="23" t="n">
        <v>0.41</v>
      </c>
      <c r="N33" s="16">
        <f>G33*M33</f>
        <v/>
      </c>
      <c r="O33" s="24" t="n">
        <v>67</v>
      </c>
      <c r="P33" s="16">
        <f>G33*$G$8</f>
        <v/>
      </c>
      <c r="Q33" s="24" t="n">
        <v>25</v>
      </c>
      <c r="R33" s="16">
        <f>G33*$G$4</f>
        <v/>
      </c>
      <c r="S33" s="16">
        <f>I33*$G$3</f>
        <v/>
      </c>
      <c r="T33" s="25" t="n">
        <v>0.9</v>
      </c>
      <c r="U33" s="24" t="n">
        <v>67</v>
      </c>
      <c r="V33" s="16">
        <f>U33*(1-T33)</f>
        <v/>
      </c>
      <c r="W33" s="26" t="n">
        <v>0.57</v>
      </c>
      <c r="X33" s="16">
        <f>$G$6*$G$7*W33</f>
        <v/>
      </c>
      <c r="Y33" s="22">
        <f>W33*($G$9+$G$10)</f>
        <v/>
      </c>
      <c r="Z33" s="23" t="n">
        <v>0.07000000000000001</v>
      </c>
      <c r="AA33" s="16">
        <f>G33*Z33</f>
        <v/>
      </c>
      <c r="AB33" s="25" t="n">
        <v>0.08</v>
      </c>
      <c r="AC33" s="16">
        <f>G33*AB33</f>
        <v/>
      </c>
      <c r="AD33" s="16">
        <f>AA33+AC33</f>
        <v/>
      </c>
      <c r="AE33" s="27">
        <f>AD33/G33</f>
        <v/>
      </c>
      <c r="AF33" s="28">
        <f>G33-N33-O33-P33-Q33-R33-S33-V33-X33-Y33-L33-AK33</f>
        <v/>
      </c>
      <c r="AG33" s="29">
        <f>AF33-AD33</f>
        <v/>
      </c>
      <c r="AH33" s="30">
        <f>AG33/G33</f>
        <v/>
      </c>
      <c r="AI33" s="31">
        <f>AG33/L33</f>
        <v/>
      </c>
      <c r="AJ33" s="16">
        <f>(O33+Q33+V33+X33+Y33+L33)/(1-(M33+$G$4+(1-H33)*$G$3+$G$8+$G$11+Z33+AB33))</f>
        <v/>
      </c>
      <c r="AK33" s="16">
        <f>G33*$G$11</f>
        <v/>
      </c>
    </row>
    <row r="34" ht="14.25" customHeight="1">
      <c r="A34" s="14" t="inlineStr">
        <is>
          <t>VT PDRN ESSENCE 100 / Укрепляющая бустер-эссенция с ПДРН</t>
        </is>
      </c>
      <c r="B34" s="16" t="n">
        <v>1071</v>
      </c>
      <c r="C34" s="16" t="n">
        <v>300</v>
      </c>
      <c r="D34" s="32" t="n">
        <v>6000</v>
      </c>
      <c r="E34" s="32" t="n">
        <v>500</v>
      </c>
      <c r="F34" s="32" t="n">
        <v>10</v>
      </c>
      <c r="G34" s="32" t="n">
        <v>5700</v>
      </c>
      <c r="H34" s="18" t="n">
        <v>0.45</v>
      </c>
      <c r="I34" s="19">
        <f>G34*(1-H34)</f>
        <v/>
      </c>
      <c r="J34" s="20" t="n">
        <v>1335.95</v>
      </c>
      <c r="K34" s="21">
        <f>$G$5</f>
        <v/>
      </c>
      <c r="L34" s="22">
        <f>J34+K34</f>
        <v/>
      </c>
      <c r="M34" s="23" t="n">
        <v>0.41</v>
      </c>
      <c r="N34" s="16">
        <f>G34*M34</f>
        <v/>
      </c>
      <c r="O34" s="24" t="n">
        <v>63</v>
      </c>
      <c r="P34" s="16">
        <f>G34*$G$8</f>
        <v/>
      </c>
      <c r="Q34" s="24" t="n">
        <v>25</v>
      </c>
      <c r="R34" s="16">
        <f>G34*$G$4</f>
        <v/>
      </c>
      <c r="S34" s="16">
        <f>I34*$G$3</f>
        <v/>
      </c>
      <c r="T34" s="25" t="n">
        <v>0.9</v>
      </c>
      <c r="U34" s="24" t="n">
        <v>63</v>
      </c>
      <c r="V34" s="16">
        <f>U34*(1-T34)</f>
        <v/>
      </c>
      <c r="W34" s="26" t="n">
        <v>0.3</v>
      </c>
      <c r="X34" s="16">
        <f>$G$6*$G$7*W34</f>
        <v/>
      </c>
      <c r="Y34" s="22">
        <f>W34*($G$9+$G$10)</f>
        <v/>
      </c>
      <c r="Z34" s="23" t="n">
        <v>0.07000000000000001</v>
      </c>
      <c r="AA34" s="16">
        <f>G34*Z34</f>
        <v/>
      </c>
      <c r="AB34" s="25" t="n">
        <v>0.08</v>
      </c>
      <c r="AC34" s="16">
        <f>G34*AB34</f>
        <v/>
      </c>
      <c r="AD34" s="16">
        <f>AA34+AC34</f>
        <v/>
      </c>
      <c r="AE34" s="27">
        <f>AD34/G34</f>
        <v/>
      </c>
      <c r="AF34" s="28">
        <f>G34-N34-O34-P34-Q34-R34-S34-V34-X34-Y34-L34-AK34</f>
        <v/>
      </c>
      <c r="AG34" s="29">
        <f>AF34-AD34</f>
        <v/>
      </c>
      <c r="AH34" s="30">
        <f>AG34/G34</f>
        <v/>
      </c>
      <c r="AI34" s="31">
        <f>AG34/L34</f>
        <v/>
      </c>
      <c r="AJ34" s="16">
        <f>(O34+Q34+V34+X34+Y34+L34)/(1-(M34+$G$4+(1-H34)*$G$3+$G$8+$G$11+Z34+AB34))</f>
        <v/>
      </c>
      <c r="AK34" s="16">
        <f>G34*$G$11</f>
        <v/>
      </c>
    </row>
    <row r="35" ht="14.25" customHeight="1">
      <c r="A35" s="14" t="inlineStr">
        <is>
          <t>VT REEDLE SHOT 100 / Бустер-сыворотка с микроиглами</t>
        </is>
      </c>
      <c r="B35" s="16" t="n">
        <v>543</v>
      </c>
      <c r="C35" s="16" t="n">
        <v>300</v>
      </c>
      <c r="D35" s="32" t="n">
        <v>5900</v>
      </c>
      <c r="E35" s="32" t="n">
        <v>220</v>
      </c>
      <c r="F35" s="32" t="n">
        <v>11</v>
      </c>
      <c r="G35" s="32" t="n">
        <v>5600</v>
      </c>
      <c r="H35" s="18" t="n">
        <v>0.45</v>
      </c>
      <c r="I35" s="19">
        <f>G35*(1-H35)</f>
        <v/>
      </c>
      <c r="J35" s="20" t="n">
        <v>974.04</v>
      </c>
      <c r="K35" s="21">
        <f>$G$5</f>
        <v/>
      </c>
      <c r="L35" s="22">
        <f>J35+K35</f>
        <v/>
      </c>
      <c r="M35" s="23" t="n">
        <v>0.41</v>
      </c>
      <c r="N35" s="16">
        <f>G35*M35</f>
        <v/>
      </c>
      <c r="O35" s="24" t="n">
        <v>63</v>
      </c>
      <c r="P35" s="16">
        <f>G35*$G$8</f>
        <v/>
      </c>
      <c r="Q35" s="24" t="n">
        <v>25</v>
      </c>
      <c r="R35" s="16">
        <f>G35*$G$4</f>
        <v/>
      </c>
      <c r="S35" s="16">
        <f>I35*$G$3</f>
        <v/>
      </c>
      <c r="T35" s="25" t="n">
        <v>0.9</v>
      </c>
      <c r="U35" s="24" t="n">
        <v>63</v>
      </c>
      <c r="V35" s="16">
        <f>U35*(1-T35)</f>
        <v/>
      </c>
      <c r="W35" s="26" t="n">
        <v>0.4</v>
      </c>
      <c r="X35" s="16">
        <f>$G$6*$G$7*W35</f>
        <v/>
      </c>
      <c r="Y35" s="22">
        <f>W35*($G$9+$G$10)</f>
        <v/>
      </c>
      <c r="Z35" s="23" t="n">
        <v>0.07000000000000001</v>
      </c>
      <c r="AA35" s="16">
        <f>G35*Z35</f>
        <v/>
      </c>
      <c r="AB35" s="25" t="n">
        <v>0.08</v>
      </c>
      <c r="AC35" s="16">
        <f>G35*AB35</f>
        <v/>
      </c>
      <c r="AD35" s="16">
        <f>AA35+AC35</f>
        <v/>
      </c>
      <c r="AE35" s="27">
        <f>AD35/G35</f>
        <v/>
      </c>
      <c r="AF35" s="28">
        <f>G35-N35-O35-P35-Q35-R35-S35-V35-X35-Y35-L35-AK35</f>
        <v/>
      </c>
      <c r="AG35" s="29">
        <f>AF35-AD35</f>
        <v/>
      </c>
      <c r="AH35" s="30">
        <f>AG35/G35</f>
        <v/>
      </c>
      <c r="AI35" s="31">
        <f>AG35/L35</f>
        <v/>
      </c>
      <c r="AJ35" s="16">
        <f>(O35+Q35+V35+X35+Y35+L35)/(1-(M35+$G$4+(1-H35)*$G$3+$G$8+$G$11+Z35+AB35))</f>
        <v/>
      </c>
      <c r="AK35" s="16">
        <f>G35*$G$11</f>
        <v/>
      </c>
    </row>
    <row r="36" ht="14.25" customHeight="1">
      <c r="A36" s="2" t="n"/>
    </row>
    <row r="37" ht="14.25" customHeight="1">
      <c r="A37" s="2" t="n"/>
    </row>
    <row r="38" ht="14.25" customHeight="1">
      <c r="A38" s="2" t="n"/>
    </row>
    <row r="39" ht="14.25" customHeight="1">
      <c r="A39" s="2" t="n"/>
    </row>
    <row r="40" ht="14.25" customHeight="1">
      <c r="A40" s="2" t="n"/>
    </row>
    <row r="41" ht="14.25" customHeight="1">
      <c r="A41" s="2" t="n"/>
    </row>
    <row r="42" ht="14.25" customHeight="1">
      <c r="A42" s="2" t="n"/>
    </row>
    <row r="43" ht="14.25" customHeight="1">
      <c r="A43" s="2" t="n"/>
    </row>
    <row r="44" ht="14.25" customHeight="1">
      <c r="A44" s="2" t="n"/>
    </row>
    <row r="45" ht="14.25" customHeight="1">
      <c r="A45" s="2" t="n"/>
    </row>
    <row r="46" ht="14.25" customHeight="1">
      <c r="A46" s="2" t="n"/>
    </row>
    <row r="47" ht="14.25" customHeight="1">
      <c r="A47" s="2" t="n"/>
    </row>
    <row r="48" ht="14.25" customHeight="1">
      <c r="A48" s="2" t="n"/>
    </row>
    <row r="49" ht="14.25" customHeight="1">
      <c r="A49" s="2" t="n"/>
    </row>
    <row r="50" ht="14.25" customHeight="1">
      <c r="A50" s="2" t="n"/>
    </row>
    <row r="51" ht="14.25" customHeight="1">
      <c r="A51" s="2" t="n"/>
    </row>
    <row r="52" ht="14.25" customHeight="1">
      <c r="A52" s="2" t="n"/>
    </row>
    <row r="53" ht="14.25" customHeight="1">
      <c r="A53" s="2" t="n"/>
    </row>
    <row r="54" ht="14.25" customHeight="1">
      <c r="A54" s="2" t="n"/>
    </row>
    <row r="55" ht="14.25" customHeight="1">
      <c r="A55" s="2" t="n"/>
    </row>
    <row r="56" ht="14.25" customHeight="1">
      <c r="A56" s="2" t="n"/>
    </row>
    <row r="57" ht="14.25" customHeight="1">
      <c r="A57" s="2" t="n"/>
    </row>
    <row r="58" ht="14.25" customHeight="1">
      <c r="A58" s="2" t="n"/>
    </row>
    <row r="59" ht="14.25" customHeight="1">
      <c r="A59" s="2" t="n"/>
    </row>
    <row r="60" ht="14.25" customHeight="1">
      <c r="A60" s="2" t="n"/>
    </row>
    <row r="61" ht="14.25" customHeight="1">
      <c r="A61" s="2" t="n"/>
    </row>
    <row r="62" ht="14.25" customHeight="1">
      <c r="A62" s="2" t="n"/>
    </row>
    <row r="63" ht="14.25" customHeight="1">
      <c r="A63" s="2" t="n"/>
    </row>
    <row r="64" ht="14.25" customHeight="1">
      <c r="A64" s="2" t="n"/>
    </row>
    <row r="65" ht="14.25" customHeight="1">
      <c r="A65" s="2" t="n"/>
    </row>
    <row r="66" ht="14.25" customHeight="1">
      <c r="A66" s="2" t="n"/>
    </row>
    <row r="67" ht="14.25" customHeight="1">
      <c r="A67" s="2" t="n"/>
    </row>
    <row r="68" ht="14.25" customHeight="1">
      <c r="A68" s="2" t="n"/>
    </row>
    <row r="69" ht="14.25" customHeight="1">
      <c r="A69" s="2" t="n"/>
    </row>
    <row r="70" ht="14.25" customHeight="1">
      <c r="A70" s="2" t="n"/>
    </row>
    <row r="71" ht="14.25" customHeight="1">
      <c r="A71" s="2" t="n"/>
    </row>
    <row r="72" ht="14.25" customHeight="1">
      <c r="A72" s="2" t="n"/>
    </row>
    <row r="73" ht="14.25" customHeight="1">
      <c r="A73" s="2" t="n"/>
    </row>
    <row r="74" ht="14.25" customHeight="1">
      <c r="A74" s="2" t="n"/>
    </row>
    <row r="75" ht="14.25" customHeight="1">
      <c r="A75" s="2" t="n"/>
    </row>
    <row r="76" ht="14.25" customHeight="1">
      <c r="A76" s="2" t="n"/>
    </row>
    <row r="77" ht="14.25" customHeight="1">
      <c r="A77" s="2" t="n"/>
    </row>
    <row r="78" ht="14.25" customHeight="1">
      <c r="A78" s="2" t="n"/>
    </row>
    <row r="79" ht="14.25" customHeight="1">
      <c r="A79" s="2" t="n"/>
    </row>
    <row r="80" ht="14.25" customHeight="1">
      <c r="A80" s="2" t="n"/>
    </row>
    <row r="81" ht="14.25" customHeight="1">
      <c r="A81" s="2" t="n"/>
    </row>
    <row r="82" ht="14.25" customHeight="1">
      <c r="A82" s="2" t="n"/>
    </row>
    <row r="83" ht="14.25" customHeight="1">
      <c r="A83" s="2" t="n"/>
    </row>
    <row r="84" ht="14.25" customHeight="1">
      <c r="A84" s="2" t="n"/>
    </row>
    <row r="85" ht="14.25" customHeight="1">
      <c r="A85" s="2" t="n"/>
    </row>
    <row r="86" ht="14.25" customHeight="1">
      <c r="A86" s="2" t="n"/>
    </row>
    <row r="87" ht="14.25" customHeight="1">
      <c r="A87" s="2" t="n"/>
    </row>
    <row r="88" ht="14.25" customHeight="1">
      <c r="A88" s="2" t="n"/>
    </row>
    <row r="89" ht="14.25" customHeight="1">
      <c r="A89" s="2" t="n"/>
    </row>
    <row r="90" ht="14.25" customHeight="1">
      <c r="A90" s="2" t="n"/>
    </row>
    <row r="91" ht="14.25" customHeight="1">
      <c r="A91" s="2" t="n"/>
    </row>
    <row r="92" ht="14.25" customHeight="1">
      <c r="A92" s="2" t="n"/>
    </row>
    <row r="93" ht="14.25" customHeight="1">
      <c r="A93" s="2" t="n"/>
    </row>
    <row r="94" ht="14.25" customHeight="1">
      <c r="A94" s="2" t="n"/>
    </row>
    <row r="95" ht="14.25" customHeight="1">
      <c r="A95" s="2" t="n"/>
    </row>
    <row r="96" ht="14.25" customHeight="1">
      <c r="A96" s="2" t="n"/>
    </row>
    <row r="97" ht="14.25" customHeight="1">
      <c r="A97" s="2" t="n"/>
    </row>
    <row r="98" ht="14.25" customHeight="1">
      <c r="A98" s="2" t="n"/>
    </row>
    <row r="99" ht="14.25" customHeight="1">
      <c r="A99" s="2" t="n"/>
    </row>
    <row r="100" ht="14.25" customHeight="1">
      <c r="A100" s="2" t="n"/>
    </row>
    <row r="101" ht="14.25" customHeight="1">
      <c r="A101" s="2" t="n"/>
    </row>
    <row r="102" ht="14.25" customHeight="1">
      <c r="A102" s="2" t="n"/>
    </row>
    <row r="103" ht="14.25" customHeight="1">
      <c r="A103" s="2" t="n"/>
    </row>
    <row r="104" ht="14.25" customHeight="1">
      <c r="A104" s="2" t="n"/>
    </row>
    <row r="105" ht="14.25" customHeight="1">
      <c r="A105" s="2" t="n"/>
    </row>
    <row r="106" ht="14.25" customHeight="1">
      <c r="A106" s="2" t="n"/>
    </row>
    <row r="107" ht="14.25" customHeight="1">
      <c r="A107" s="2" t="n"/>
    </row>
    <row r="108" ht="14.25" customHeight="1">
      <c r="A108" s="2" t="n"/>
    </row>
    <row r="109" ht="14.25" customHeight="1">
      <c r="A109" s="2" t="n"/>
    </row>
    <row r="110" ht="14.25" customHeight="1">
      <c r="A110" s="2" t="n"/>
    </row>
    <row r="111" ht="14.25" customHeight="1">
      <c r="A111" s="2" t="n"/>
    </row>
    <row r="112" ht="14.25" customHeight="1">
      <c r="A112" s="2" t="n"/>
    </row>
    <row r="113" ht="14.25" customHeight="1">
      <c r="A113" s="2" t="n"/>
    </row>
    <row r="114" ht="14.25" customHeight="1">
      <c r="A114" s="2" t="n"/>
    </row>
    <row r="115" ht="14.25" customHeight="1">
      <c r="A115" s="2" t="n"/>
    </row>
    <row r="116" ht="14.25" customHeight="1">
      <c r="A116" s="2" t="n"/>
    </row>
    <row r="117" ht="14.25" customHeight="1">
      <c r="A117" s="2" t="n"/>
    </row>
    <row r="118" ht="14.25" customHeight="1">
      <c r="A118" s="2" t="n"/>
    </row>
    <row r="119" ht="14.25" customHeight="1">
      <c r="A119" s="2" t="n"/>
    </row>
    <row r="120" ht="14.25" customHeight="1">
      <c r="A120" s="2" t="n"/>
    </row>
    <row r="121" ht="14.25" customHeight="1">
      <c r="A121" s="2" t="n"/>
    </row>
    <row r="122" ht="14.25" customHeight="1">
      <c r="A122" s="2" t="n"/>
    </row>
    <row r="123" ht="14.25" customHeight="1">
      <c r="A123" s="2" t="n"/>
    </row>
    <row r="124" ht="14.25" customHeight="1">
      <c r="A124" s="2" t="n"/>
    </row>
    <row r="125" ht="14.25" customHeight="1">
      <c r="A125" s="2" t="n"/>
    </row>
    <row r="126" ht="14.25" customHeight="1">
      <c r="A126" s="2" t="n"/>
    </row>
    <row r="127" ht="14.25" customHeight="1">
      <c r="A127" s="2" t="n"/>
    </row>
    <row r="128" ht="14.25" customHeight="1">
      <c r="A128" s="2" t="n"/>
    </row>
    <row r="129" ht="14.25" customHeight="1">
      <c r="A129" s="2" t="n"/>
    </row>
    <row r="130" ht="14.25" customHeight="1">
      <c r="A130" s="2" t="n"/>
    </row>
    <row r="131" ht="14.25" customHeight="1">
      <c r="A131" s="2" t="n"/>
    </row>
    <row r="132" ht="14.25" customHeight="1">
      <c r="A132" s="2" t="n"/>
    </row>
    <row r="133" ht="14.25" customHeight="1">
      <c r="A133" s="2" t="n"/>
    </row>
    <row r="134" ht="14.25" customHeight="1">
      <c r="A134" s="2" t="n"/>
    </row>
    <row r="135" ht="14.25" customHeight="1">
      <c r="A135" s="2" t="n"/>
    </row>
    <row r="136" ht="14.25" customHeight="1">
      <c r="A136" s="2" t="n"/>
    </row>
    <row r="137" ht="14.25" customHeight="1">
      <c r="A137" s="2" t="n"/>
    </row>
    <row r="138" ht="14.25" customHeight="1">
      <c r="A138" s="2" t="n"/>
    </row>
    <row r="139" ht="14.25" customHeight="1">
      <c r="A139" s="2" t="n"/>
    </row>
    <row r="140" ht="14.25" customHeight="1">
      <c r="A140" s="2" t="n"/>
    </row>
    <row r="141" ht="14.25" customHeight="1">
      <c r="A141" s="2" t="n"/>
    </row>
    <row r="142" ht="14.25" customHeight="1">
      <c r="A142" s="2" t="n"/>
    </row>
    <row r="143" ht="14.25" customHeight="1">
      <c r="A143" s="2" t="n"/>
    </row>
    <row r="144" ht="14.25" customHeight="1">
      <c r="A144" s="2" t="n"/>
    </row>
    <row r="145" ht="14.25" customHeight="1">
      <c r="A145" s="2" t="n"/>
    </row>
    <row r="146" ht="14.25" customHeight="1">
      <c r="A146" s="2" t="n"/>
    </row>
    <row r="147" ht="14.25" customHeight="1">
      <c r="A147" s="2" t="n"/>
    </row>
    <row r="148" ht="14.25" customHeight="1">
      <c r="A148" s="2" t="n"/>
    </row>
    <row r="149" ht="14.25" customHeight="1">
      <c r="A149" s="2" t="n"/>
    </row>
    <row r="150" ht="14.25" customHeight="1">
      <c r="A150" s="2" t="n"/>
    </row>
    <row r="151" ht="14.25" customHeight="1">
      <c r="A151" s="2" t="n"/>
    </row>
    <row r="152" ht="14.25" customHeight="1">
      <c r="A152" s="2" t="n"/>
    </row>
    <row r="153" ht="14.25" customHeight="1">
      <c r="A153" s="2" t="n"/>
    </row>
    <row r="154" ht="14.25" customHeight="1">
      <c r="A154" s="2" t="n"/>
    </row>
    <row r="155" ht="14.25" customHeight="1">
      <c r="A155" s="2" t="n"/>
    </row>
    <row r="156" ht="14.25" customHeight="1">
      <c r="A156" s="2" t="n"/>
    </row>
    <row r="157" ht="14.25" customHeight="1">
      <c r="A157" s="2" t="n"/>
    </row>
    <row r="158" ht="14.25" customHeight="1">
      <c r="A158" s="2" t="n"/>
    </row>
    <row r="159" ht="14.25" customHeight="1">
      <c r="A159" s="2" t="n"/>
    </row>
    <row r="160" ht="14.25" customHeight="1">
      <c r="A160" s="2" t="n"/>
    </row>
    <row r="161" ht="14.25" customHeight="1">
      <c r="A161" s="2" t="n"/>
    </row>
    <row r="162" ht="14.25" customHeight="1">
      <c r="A162" s="2" t="n"/>
    </row>
    <row r="163" ht="14.25" customHeight="1">
      <c r="A163" s="2" t="n"/>
    </row>
    <row r="164" ht="14.25" customHeight="1">
      <c r="A164" s="2" t="n"/>
    </row>
    <row r="165" ht="14.25" customHeight="1">
      <c r="A165" s="2" t="n"/>
    </row>
    <row r="166" ht="14.25" customHeight="1">
      <c r="A166" s="2" t="n"/>
    </row>
    <row r="167" ht="14.25" customHeight="1">
      <c r="A167" s="2" t="n"/>
    </row>
    <row r="168" ht="14.25" customHeight="1">
      <c r="A168" s="2" t="n"/>
    </row>
    <row r="169" ht="14.25" customHeight="1">
      <c r="A169" s="2" t="n"/>
    </row>
    <row r="170" ht="14.25" customHeight="1">
      <c r="A170" s="2" t="n"/>
    </row>
    <row r="171" ht="14.25" customHeight="1">
      <c r="A171" s="2" t="n"/>
    </row>
    <row r="172" ht="14.25" customHeight="1">
      <c r="A172" s="2" t="n"/>
    </row>
    <row r="173" ht="14.25" customHeight="1">
      <c r="A173" s="2" t="n"/>
    </row>
    <row r="174" ht="14.25" customHeight="1">
      <c r="A174" s="2" t="n"/>
    </row>
    <row r="175" ht="14.25" customHeight="1">
      <c r="A175" s="2" t="n"/>
    </row>
    <row r="176" ht="14.25" customHeight="1">
      <c r="A176" s="2" t="n"/>
    </row>
    <row r="177" ht="14.25" customHeight="1">
      <c r="A177" s="2" t="n"/>
    </row>
    <row r="178" ht="14.25" customHeight="1">
      <c r="A178" s="2" t="n"/>
    </row>
    <row r="179" ht="14.25" customHeight="1">
      <c r="A179" s="2" t="n"/>
    </row>
    <row r="180" ht="14.25" customHeight="1">
      <c r="A180" s="2" t="n"/>
    </row>
    <row r="181" ht="14.25" customHeight="1">
      <c r="A181" s="2" t="n"/>
    </row>
    <row r="182" ht="14.25" customHeight="1">
      <c r="A182" s="2" t="n"/>
    </row>
    <row r="183" ht="14.25" customHeight="1">
      <c r="A183" s="2" t="n"/>
    </row>
    <row r="184" ht="14.25" customHeight="1">
      <c r="A184" s="2" t="n"/>
    </row>
    <row r="185" ht="14.25" customHeight="1">
      <c r="A185" s="2" t="n"/>
    </row>
    <row r="186" ht="14.25" customHeight="1">
      <c r="A186" s="2" t="n"/>
    </row>
    <row r="187" ht="14.25" customHeight="1">
      <c r="A187" s="2" t="n"/>
    </row>
    <row r="188" ht="14.25" customHeight="1">
      <c r="A188" s="2" t="n"/>
    </row>
    <row r="189" ht="14.25" customHeight="1">
      <c r="A189" s="2" t="n"/>
    </row>
    <row r="190" ht="14.25" customHeight="1">
      <c r="A190" s="2" t="n"/>
    </row>
    <row r="191" ht="14.25" customHeight="1">
      <c r="A191" s="2" t="n"/>
    </row>
    <row r="192" ht="14.25" customHeight="1">
      <c r="A192" s="2" t="n"/>
    </row>
    <row r="193" ht="14.25" customHeight="1">
      <c r="A193" s="2" t="n"/>
    </row>
    <row r="194" ht="14.25" customHeight="1">
      <c r="A194" s="2" t="n"/>
    </row>
    <row r="195" ht="14.25" customHeight="1">
      <c r="A195" s="2" t="n"/>
    </row>
    <row r="196" ht="14.25" customHeight="1">
      <c r="A196" s="2" t="n"/>
    </row>
    <row r="197" ht="14.25" customHeight="1">
      <c r="A197" s="2" t="n"/>
    </row>
    <row r="198" ht="14.25" customHeight="1">
      <c r="A198" s="2" t="n"/>
    </row>
    <row r="199" ht="14.25" customHeight="1">
      <c r="A199" s="2" t="n"/>
    </row>
    <row r="200" ht="14.25" customHeight="1">
      <c r="A200" s="2" t="n"/>
    </row>
    <row r="201" ht="14.25" customHeight="1">
      <c r="A201" s="2" t="n"/>
    </row>
    <row r="202" ht="14.25" customHeight="1">
      <c r="A202" s="2" t="n"/>
    </row>
    <row r="203" ht="14.25" customHeight="1">
      <c r="A203" s="2" t="n"/>
    </row>
    <row r="204" ht="14.25" customHeight="1">
      <c r="A204" s="2" t="n"/>
    </row>
    <row r="205" ht="14.25" customHeight="1">
      <c r="A205" s="2" t="n"/>
    </row>
    <row r="206" ht="14.25" customHeight="1">
      <c r="A206" s="2" t="n"/>
    </row>
    <row r="207" ht="14.25" customHeight="1">
      <c r="A207" s="2" t="n"/>
    </row>
    <row r="208" ht="14.25" customHeight="1">
      <c r="A208" s="2" t="n"/>
    </row>
    <row r="209" ht="14.25" customHeight="1">
      <c r="A209" s="2" t="n"/>
    </row>
    <row r="210" ht="14.25" customHeight="1">
      <c r="A210" s="2" t="n"/>
    </row>
    <row r="211" ht="14.25" customHeight="1">
      <c r="A211" s="2" t="n"/>
    </row>
    <row r="212" ht="14.25" customHeight="1">
      <c r="A212" s="2" t="n"/>
    </row>
    <row r="213" ht="14.25" customHeight="1">
      <c r="A213" s="2" t="n"/>
    </row>
    <row r="214" ht="14.25" customHeight="1">
      <c r="A214" s="2" t="n"/>
    </row>
    <row r="215" ht="14.25" customHeight="1">
      <c r="A215" s="2" t="n"/>
    </row>
    <row r="216" ht="14.25" customHeight="1">
      <c r="A216" s="2" t="n"/>
    </row>
    <row r="217" ht="14.25" customHeight="1">
      <c r="A217" s="2" t="n"/>
    </row>
    <row r="218" ht="14.25" customHeight="1">
      <c r="A218" s="2" t="n"/>
    </row>
    <row r="219" ht="14.25" customHeight="1">
      <c r="A219" s="2" t="n"/>
    </row>
    <row r="220" ht="14.25" customHeight="1">
      <c r="A220" s="2" t="n"/>
    </row>
    <row r="221" ht="14.25" customHeight="1">
      <c r="A221" s="2" t="n"/>
    </row>
    <row r="222" ht="14.25" customHeight="1">
      <c r="A222" s="2" t="n"/>
    </row>
    <row r="223" ht="14.25" customHeight="1">
      <c r="A223" s="2" t="n"/>
    </row>
    <row r="224" ht="14.25" customHeight="1">
      <c r="A224" s="2" t="n"/>
    </row>
    <row r="225" ht="14.25" customHeight="1">
      <c r="A225" s="2" t="n"/>
    </row>
    <row r="226" ht="14.25" customHeight="1">
      <c r="A226" s="2" t="n"/>
    </row>
    <row r="227" ht="14.25" customHeight="1">
      <c r="A227" s="2" t="n"/>
    </row>
    <row r="228" ht="14.25" customHeight="1">
      <c r="A228" s="2" t="n"/>
    </row>
    <row r="229" ht="14.25" customHeight="1">
      <c r="A229" s="2" t="n"/>
    </row>
    <row r="230" ht="14.25" customHeight="1">
      <c r="A230" s="2" t="n"/>
    </row>
    <row r="231" ht="14.25" customHeight="1">
      <c r="A231" s="2" t="n"/>
    </row>
    <row r="232" ht="14.25" customHeight="1">
      <c r="A232" s="2" t="n"/>
    </row>
    <row r="233" ht="14.25" customHeight="1">
      <c r="A233" s="2" t="n"/>
    </row>
    <row r="234" ht="14.25" customHeight="1">
      <c r="A234" s="2" t="n"/>
    </row>
    <row r="235" ht="14.25" customHeight="1">
      <c r="A235" s="2" t="n"/>
    </row>
    <row r="236" ht="14.25" customHeight="1">
      <c r="A236" s="2" t="n"/>
    </row>
    <row r="237" ht="14.25" customHeight="1">
      <c r="A237" s="2" t="n"/>
    </row>
    <row r="238" ht="14.25" customHeight="1">
      <c r="A238" s="2" t="n"/>
    </row>
    <row r="239" ht="14.25" customHeight="1">
      <c r="A239" s="2" t="n"/>
    </row>
    <row r="240" ht="14.25" customHeight="1">
      <c r="A240" s="2" t="n"/>
    </row>
    <row r="241" ht="14.25" customHeight="1">
      <c r="A241" s="2" t="n"/>
    </row>
    <row r="242" ht="14.25" customHeight="1">
      <c r="A242" s="2" t="n"/>
    </row>
    <row r="243" ht="14.25" customHeight="1">
      <c r="A243" s="2" t="n"/>
    </row>
    <row r="244" ht="14.25" customHeight="1">
      <c r="A244" s="2" t="n"/>
    </row>
    <row r="245" ht="14.25" customHeight="1">
      <c r="A245" s="2" t="n"/>
    </row>
    <row r="246" ht="14.25" customHeight="1">
      <c r="A246" s="2" t="n"/>
    </row>
    <row r="247" ht="14.25" customHeight="1">
      <c r="A247" s="2" t="n"/>
    </row>
    <row r="248" ht="14.25" customHeight="1">
      <c r="A248" s="2" t="n"/>
    </row>
    <row r="249" ht="14.25" customHeight="1">
      <c r="A249" s="2" t="n"/>
    </row>
    <row r="250" ht="14.25" customHeight="1">
      <c r="A250" s="2" t="n"/>
    </row>
    <row r="251" ht="14.25" customHeight="1">
      <c r="A251" s="2" t="n"/>
    </row>
    <row r="252" ht="14.25" customHeight="1">
      <c r="A252" s="2" t="n"/>
    </row>
    <row r="253" ht="14.25" customHeight="1">
      <c r="A253" s="2" t="n"/>
    </row>
    <row r="254" ht="14.25" customHeight="1">
      <c r="A254" s="2" t="n"/>
    </row>
    <row r="255" ht="14.25" customHeight="1">
      <c r="A255" s="2" t="n"/>
    </row>
    <row r="256" ht="14.25" customHeight="1">
      <c r="A256" s="2" t="n"/>
    </row>
    <row r="257" ht="14.25" customHeight="1">
      <c r="A257" s="2" t="n"/>
    </row>
    <row r="258" ht="14.25" customHeight="1">
      <c r="A258" s="2" t="n"/>
    </row>
    <row r="259" ht="14.25" customHeight="1">
      <c r="A259" s="2" t="n"/>
    </row>
    <row r="260" ht="14.25" customHeight="1">
      <c r="A260" s="2" t="n"/>
    </row>
    <row r="261" ht="14.25" customHeight="1">
      <c r="A261" s="2" t="n"/>
    </row>
    <row r="262" ht="14.25" customHeight="1">
      <c r="A262" s="2" t="n"/>
    </row>
    <row r="263" ht="14.25" customHeight="1">
      <c r="A263" s="2" t="n"/>
    </row>
    <row r="264" ht="14.25" customHeight="1">
      <c r="A264" s="2" t="n"/>
    </row>
    <row r="265" ht="14.25" customHeight="1">
      <c r="A265" s="2" t="n"/>
    </row>
    <row r="266" ht="14.25" customHeight="1">
      <c r="A266" s="2" t="n"/>
    </row>
    <row r="267" ht="14.25" customHeight="1">
      <c r="A267" s="2" t="n"/>
    </row>
    <row r="268" ht="14.25" customHeight="1">
      <c r="A268" s="2" t="n"/>
    </row>
    <row r="269" ht="14.25" customHeight="1">
      <c r="A269" s="2" t="n"/>
    </row>
    <row r="270" ht="14.25" customHeight="1">
      <c r="A270" s="2" t="n"/>
    </row>
    <row r="271" ht="14.25" customHeight="1">
      <c r="A271" s="2" t="n"/>
    </row>
    <row r="272" ht="14.25" customHeight="1">
      <c r="A272" s="2" t="n"/>
    </row>
    <row r="273" ht="14.25" customHeight="1">
      <c r="A273" s="2" t="n"/>
    </row>
    <row r="274" ht="14.25" customHeight="1">
      <c r="A274" s="2" t="n"/>
    </row>
    <row r="275" ht="14.25" customHeight="1">
      <c r="A275" s="2" t="n"/>
    </row>
    <row r="276" ht="14.25" customHeight="1">
      <c r="A276" s="2" t="n"/>
    </row>
    <row r="277" ht="14.25" customHeight="1">
      <c r="A277" s="2" t="n"/>
    </row>
    <row r="278" ht="14.25" customHeight="1">
      <c r="A278" s="2" t="n"/>
    </row>
    <row r="279" ht="14.25" customHeight="1">
      <c r="A279" s="2" t="n"/>
    </row>
    <row r="280" ht="14.25" customHeight="1">
      <c r="A280" s="2" t="n"/>
    </row>
    <row r="281" ht="14.25" customHeight="1">
      <c r="A281" s="2" t="n"/>
    </row>
    <row r="282" ht="14.25" customHeight="1">
      <c r="A282" s="2" t="n"/>
    </row>
    <row r="283" ht="14.25" customHeight="1">
      <c r="A283" s="2" t="n"/>
    </row>
    <row r="284" ht="14.25" customHeight="1">
      <c r="A284" s="2" t="n"/>
    </row>
    <row r="285" ht="14.25" customHeight="1">
      <c r="A285" s="2" t="n"/>
    </row>
    <row r="286" ht="14.25" customHeight="1">
      <c r="A286" s="2" t="n"/>
    </row>
    <row r="287" ht="14.25" customHeight="1">
      <c r="A287" s="2" t="n"/>
    </row>
    <row r="288" ht="14.25" customHeight="1">
      <c r="A288" s="2" t="n"/>
    </row>
    <row r="289" ht="14.25" customHeight="1">
      <c r="A289" s="2" t="n"/>
    </row>
    <row r="290" ht="14.25" customHeight="1">
      <c r="A290" s="2" t="n"/>
    </row>
    <row r="291" ht="14.25" customHeight="1">
      <c r="A291" s="2" t="n"/>
    </row>
    <row r="292" ht="14.25" customHeight="1">
      <c r="A292" s="2" t="n"/>
    </row>
    <row r="293" ht="14.25" customHeight="1">
      <c r="A293" s="2" t="n"/>
    </row>
    <row r="294" ht="14.25" customHeight="1">
      <c r="A294" s="2" t="n"/>
    </row>
    <row r="295" ht="14.25" customHeight="1">
      <c r="A295" s="2" t="n"/>
    </row>
    <row r="296" ht="14.25" customHeight="1">
      <c r="A296" s="2" t="n"/>
    </row>
    <row r="297" ht="14.25" customHeight="1">
      <c r="A297" s="2" t="n"/>
    </row>
    <row r="298" ht="14.25" customHeight="1">
      <c r="A298" s="2" t="n"/>
    </row>
    <row r="299" ht="14.25" customHeight="1">
      <c r="A299" s="2" t="n"/>
    </row>
    <row r="300" ht="14.25" customHeight="1">
      <c r="A300" s="2" t="n"/>
    </row>
    <row r="301" ht="14.25" customHeight="1">
      <c r="A301" s="2" t="n"/>
    </row>
    <row r="302" ht="14.25" customHeight="1">
      <c r="A302" s="2" t="n"/>
    </row>
    <row r="303" ht="14.25" customHeight="1">
      <c r="A303" s="2" t="n"/>
    </row>
    <row r="304" ht="14.25" customHeight="1">
      <c r="A304" s="2" t="n"/>
    </row>
    <row r="305" ht="14.25" customHeight="1">
      <c r="A305" s="2" t="n"/>
    </row>
    <row r="306" ht="14.25" customHeight="1">
      <c r="A306" s="2" t="n"/>
    </row>
    <row r="307" ht="14.25" customHeight="1">
      <c r="A307" s="2" t="n"/>
    </row>
    <row r="308" ht="14.25" customHeight="1">
      <c r="A308" s="2" t="n"/>
    </row>
    <row r="309" ht="14.25" customHeight="1">
      <c r="A309" s="2" t="n"/>
    </row>
    <row r="310" ht="14.25" customHeight="1">
      <c r="A310" s="2" t="n"/>
    </row>
    <row r="311" ht="14.25" customHeight="1">
      <c r="A311" s="2" t="n"/>
    </row>
    <row r="312" ht="14.25" customHeight="1">
      <c r="A312" s="2" t="n"/>
    </row>
    <row r="313" ht="14.25" customHeight="1">
      <c r="A313" s="2" t="n"/>
    </row>
    <row r="314" ht="14.25" customHeight="1">
      <c r="A314" s="2" t="n"/>
    </row>
    <row r="315" ht="14.25" customHeight="1">
      <c r="A315" s="2" t="n"/>
    </row>
    <row r="316" ht="14.25" customHeight="1">
      <c r="A316" s="2" t="n"/>
    </row>
    <row r="317" ht="14.25" customHeight="1">
      <c r="A317" s="2" t="n"/>
    </row>
    <row r="318" ht="14.25" customHeight="1">
      <c r="A318" s="2" t="n"/>
    </row>
    <row r="319" ht="14.25" customHeight="1">
      <c r="A319" s="2" t="n"/>
    </row>
    <row r="320" ht="14.25" customHeight="1">
      <c r="A320" s="2" t="n"/>
    </row>
    <row r="321" ht="14.25" customHeight="1">
      <c r="A321" s="2" t="n"/>
    </row>
    <row r="322" ht="14.25" customHeight="1">
      <c r="A322" s="2" t="n"/>
    </row>
    <row r="323" ht="14.25" customHeight="1">
      <c r="A323" s="2" t="n"/>
    </row>
    <row r="324" ht="14.25" customHeight="1">
      <c r="A324" s="2" t="n"/>
    </row>
    <row r="325" ht="14.25" customHeight="1">
      <c r="A325" s="2" t="n"/>
    </row>
    <row r="326" ht="14.25" customHeight="1">
      <c r="A326" s="2" t="n"/>
    </row>
    <row r="327" ht="14.25" customHeight="1">
      <c r="A327" s="2" t="n"/>
    </row>
    <row r="328" ht="14.25" customHeight="1">
      <c r="A328" s="2" t="n"/>
    </row>
    <row r="329" ht="14.25" customHeight="1">
      <c r="A329" s="2" t="n"/>
    </row>
    <row r="330" ht="14.25" customHeight="1">
      <c r="A330" s="2" t="n"/>
    </row>
    <row r="331" ht="14.25" customHeight="1">
      <c r="A331" s="2" t="n"/>
    </row>
    <row r="332" ht="14.25" customHeight="1">
      <c r="A332" s="2" t="n"/>
    </row>
    <row r="333" ht="14.25" customHeight="1">
      <c r="A333" s="2" t="n"/>
    </row>
    <row r="334" ht="14.25" customHeight="1">
      <c r="A334" s="2" t="n"/>
    </row>
    <row r="335" ht="14.25" customHeight="1">
      <c r="A335" s="2" t="n"/>
    </row>
    <row r="336" ht="14.25" customHeight="1">
      <c r="A336" s="2" t="n"/>
    </row>
    <row r="337" ht="14.25" customHeight="1">
      <c r="A337" s="2" t="n"/>
    </row>
    <row r="338" ht="14.25" customHeight="1">
      <c r="A338" s="2" t="n"/>
    </row>
    <row r="339" ht="14.25" customHeight="1">
      <c r="A339" s="2" t="n"/>
    </row>
    <row r="340" ht="14.25" customHeight="1">
      <c r="A340" s="2" t="n"/>
    </row>
    <row r="341" ht="14.25" customHeight="1">
      <c r="A341" s="2" t="n"/>
    </row>
    <row r="342" ht="14.25" customHeight="1">
      <c r="A342" s="2" t="n"/>
    </row>
    <row r="343" ht="14.25" customHeight="1">
      <c r="A343" s="2" t="n"/>
    </row>
    <row r="344" ht="14.25" customHeight="1">
      <c r="A344" s="2" t="n"/>
    </row>
    <row r="345" ht="14.25" customHeight="1">
      <c r="A345" s="2" t="n"/>
    </row>
    <row r="346" ht="14.25" customHeight="1">
      <c r="A346" s="2" t="n"/>
    </row>
    <row r="347" ht="14.25" customHeight="1">
      <c r="A347" s="2" t="n"/>
    </row>
    <row r="348" ht="14.25" customHeight="1">
      <c r="A348" s="2" t="n"/>
    </row>
    <row r="349" ht="14.25" customHeight="1">
      <c r="A349" s="2" t="n"/>
    </row>
    <row r="350" ht="14.25" customHeight="1">
      <c r="A350" s="2" t="n"/>
    </row>
    <row r="351" ht="14.25" customHeight="1">
      <c r="A351" s="2" t="n"/>
    </row>
    <row r="352" ht="14.25" customHeight="1">
      <c r="A352" s="2" t="n"/>
    </row>
    <row r="353" ht="14.25" customHeight="1">
      <c r="A353" s="2" t="n"/>
    </row>
    <row r="354" ht="14.25" customHeight="1">
      <c r="A354" s="2" t="n"/>
    </row>
    <row r="355" ht="14.25" customHeight="1">
      <c r="A355" s="2" t="n"/>
    </row>
    <row r="356" ht="14.25" customHeight="1">
      <c r="A356" s="2" t="n"/>
    </row>
    <row r="357" ht="14.25" customHeight="1">
      <c r="A357" s="2" t="n"/>
    </row>
    <row r="358" ht="14.25" customHeight="1">
      <c r="A358" s="2" t="n"/>
    </row>
    <row r="359" ht="14.25" customHeight="1">
      <c r="A359" s="2" t="n"/>
    </row>
    <row r="360" ht="14.25" customHeight="1">
      <c r="A360" s="2" t="n"/>
    </row>
    <row r="361" ht="14.25" customHeight="1">
      <c r="A361" s="2" t="n"/>
    </row>
    <row r="362" ht="14.25" customHeight="1">
      <c r="A362" s="2" t="n"/>
    </row>
    <row r="363" ht="14.25" customHeight="1">
      <c r="A363" s="2" t="n"/>
    </row>
    <row r="364" ht="14.25" customHeight="1">
      <c r="A364" s="2" t="n"/>
    </row>
    <row r="365" ht="14.25" customHeight="1">
      <c r="A365" s="2" t="n"/>
    </row>
    <row r="366" ht="14.25" customHeight="1">
      <c r="A366" s="2" t="n"/>
    </row>
    <row r="367" ht="14.25" customHeight="1">
      <c r="A367" s="2" t="n"/>
    </row>
    <row r="368" ht="14.25" customHeight="1">
      <c r="A368" s="2" t="n"/>
    </row>
    <row r="369" ht="14.25" customHeight="1">
      <c r="A369" s="2" t="n"/>
    </row>
    <row r="370" ht="14.25" customHeight="1">
      <c r="A370" s="2" t="n"/>
    </row>
    <row r="371" ht="14.25" customHeight="1">
      <c r="A371" s="2" t="n"/>
    </row>
    <row r="372" ht="14.25" customHeight="1">
      <c r="A372" s="2" t="n"/>
    </row>
    <row r="373" ht="14.25" customHeight="1">
      <c r="A373" s="2" t="n"/>
    </row>
    <row r="374" ht="14.25" customHeight="1">
      <c r="A374" s="2" t="n"/>
    </row>
    <row r="375" ht="14.25" customHeight="1">
      <c r="A375" s="2" t="n"/>
    </row>
    <row r="376" ht="14.25" customHeight="1">
      <c r="A376" s="2" t="n"/>
    </row>
    <row r="377" ht="14.25" customHeight="1">
      <c r="A377" s="2" t="n"/>
    </row>
    <row r="378" ht="14.25" customHeight="1">
      <c r="A378" s="2" t="n"/>
    </row>
    <row r="379" ht="14.25" customHeight="1">
      <c r="A379" s="2" t="n"/>
    </row>
    <row r="380" ht="14.25" customHeight="1">
      <c r="A380" s="2" t="n"/>
    </row>
    <row r="381" ht="14.25" customHeight="1">
      <c r="A381" s="2" t="n"/>
    </row>
    <row r="382" ht="14.25" customHeight="1">
      <c r="A382" s="2" t="n"/>
    </row>
    <row r="383" ht="14.25" customHeight="1">
      <c r="A383" s="2" t="n"/>
    </row>
    <row r="384" ht="14.25" customHeight="1">
      <c r="A384" s="2" t="n"/>
    </row>
    <row r="385" ht="14.25" customHeight="1">
      <c r="A385" s="2" t="n"/>
    </row>
    <row r="386" ht="14.25" customHeight="1">
      <c r="A386" s="2" t="n"/>
    </row>
    <row r="387" ht="14.25" customHeight="1">
      <c r="A387" s="2" t="n"/>
    </row>
    <row r="388" ht="14.25" customHeight="1">
      <c r="A388" s="2" t="n"/>
    </row>
    <row r="389" ht="14.25" customHeight="1">
      <c r="A389" s="2" t="n"/>
    </row>
    <row r="390" ht="14.25" customHeight="1">
      <c r="A390" s="2" t="n"/>
    </row>
    <row r="391" ht="14.25" customHeight="1">
      <c r="A391" s="2" t="n"/>
    </row>
    <row r="392" ht="14.25" customHeight="1">
      <c r="A392" s="2" t="n"/>
    </row>
    <row r="393" ht="14.25" customHeight="1">
      <c r="A393" s="2" t="n"/>
    </row>
    <row r="394" ht="14.25" customHeight="1">
      <c r="A394" s="2" t="n"/>
    </row>
    <row r="395" ht="14.25" customHeight="1">
      <c r="A395" s="2" t="n"/>
    </row>
    <row r="396" ht="14.25" customHeight="1">
      <c r="A396" s="2" t="n"/>
    </row>
    <row r="397" ht="14.25" customHeight="1">
      <c r="A397" s="2" t="n"/>
    </row>
    <row r="398" ht="14.25" customHeight="1">
      <c r="A398" s="2" t="n"/>
    </row>
    <row r="399" ht="14.25" customHeight="1">
      <c r="A399" s="2" t="n"/>
    </row>
    <row r="400" ht="14.25" customHeight="1">
      <c r="A400" s="2" t="n"/>
    </row>
    <row r="401" ht="14.25" customHeight="1">
      <c r="A401" s="2" t="n"/>
    </row>
    <row r="402" ht="14.25" customHeight="1">
      <c r="A402" s="2" t="n"/>
    </row>
    <row r="403" ht="14.25" customHeight="1">
      <c r="A403" s="2" t="n"/>
    </row>
    <row r="404" ht="14.25" customHeight="1">
      <c r="A404" s="2" t="n"/>
    </row>
    <row r="405" ht="14.25" customHeight="1">
      <c r="A405" s="2" t="n"/>
    </row>
    <row r="406" ht="14.25" customHeight="1">
      <c r="A406" s="2" t="n"/>
    </row>
    <row r="407" ht="14.25" customHeight="1">
      <c r="A407" s="2" t="n"/>
    </row>
    <row r="408" ht="14.25" customHeight="1">
      <c r="A408" s="2" t="n"/>
    </row>
    <row r="409" ht="14.25" customHeight="1">
      <c r="A409" s="2" t="n"/>
    </row>
    <row r="410" ht="14.25" customHeight="1">
      <c r="A410" s="2" t="n"/>
    </row>
    <row r="411" ht="14.25" customHeight="1">
      <c r="A411" s="2" t="n"/>
    </row>
    <row r="412" ht="14.25" customHeight="1">
      <c r="A412" s="2" t="n"/>
    </row>
    <row r="413" ht="14.25" customHeight="1">
      <c r="A413" s="2" t="n"/>
    </row>
    <row r="414" ht="14.25" customHeight="1">
      <c r="A414" s="2" t="n"/>
    </row>
    <row r="415" ht="14.25" customHeight="1">
      <c r="A415" s="2" t="n"/>
    </row>
    <row r="416" ht="14.25" customHeight="1">
      <c r="A416" s="2" t="n"/>
    </row>
    <row r="417" ht="14.25" customHeight="1">
      <c r="A417" s="2" t="n"/>
    </row>
    <row r="418" ht="14.25" customHeight="1">
      <c r="A418" s="2" t="n"/>
    </row>
    <row r="419" ht="14.25" customHeight="1">
      <c r="A419" s="2" t="n"/>
    </row>
    <row r="420" ht="14.25" customHeight="1">
      <c r="A420" s="2" t="n"/>
    </row>
    <row r="421" ht="14.25" customHeight="1">
      <c r="A421" s="2" t="n"/>
    </row>
    <row r="422" ht="14.25" customHeight="1">
      <c r="A422" s="2" t="n"/>
    </row>
    <row r="423" ht="14.25" customHeight="1">
      <c r="A423" s="2" t="n"/>
    </row>
    <row r="424" ht="14.25" customHeight="1">
      <c r="A424" s="2" t="n"/>
    </row>
    <row r="425" ht="14.25" customHeight="1">
      <c r="A425" s="2" t="n"/>
    </row>
    <row r="426" ht="14.25" customHeight="1">
      <c r="A426" s="2" t="n"/>
    </row>
    <row r="427" ht="14.25" customHeight="1">
      <c r="A427" s="2" t="n"/>
    </row>
    <row r="428" ht="14.25" customHeight="1">
      <c r="A428" s="2" t="n"/>
    </row>
    <row r="429" ht="14.25" customHeight="1">
      <c r="A429" s="2" t="n"/>
    </row>
    <row r="430" ht="14.25" customHeight="1">
      <c r="A430" s="2" t="n"/>
    </row>
    <row r="431" ht="14.25" customHeight="1">
      <c r="A431" s="2" t="n"/>
    </row>
    <row r="432" ht="14.25" customHeight="1">
      <c r="A432" s="2" t="n"/>
    </row>
    <row r="433" ht="14.25" customHeight="1">
      <c r="A433" s="2" t="n"/>
    </row>
    <row r="434" ht="14.25" customHeight="1">
      <c r="A434" s="2" t="n"/>
    </row>
    <row r="435" ht="14.25" customHeight="1">
      <c r="A435" s="2" t="n"/>
    </row>
    <row r="436" ht="14.25" customHeight="1">
      <c r="A436" s="2" t="n"/>
    </row>
    <row r="437" ht="14.25" customHeight="1">
      <c r="A437" s="2" t="n"/>
    </row>
    <row r="438" ht="14.25" customHeight="1">
      <c r="A438" s="2" t="n"/>
    </row>
    <row r="439" ht="14.25" customHeight="1">
      <c r="A439" s="2" t="n"/>
    </row>
    <row r="440" ht="14.25" customHeight="1">
      <c r="A440" s="2" t="n"/>
    </row>
    <row r="441" ht="14.25" customHeight="1">
      <c r="A441" s="2" t="n"/>
    </row>
    <row r="442" ht="14.25" customHeight="1">
      <c r="A442" s="2" t="n"/>
    </row>
    <row r="443" ht="14.25" customHeight="1">
      <c r="A443" s="2" t="n"/>
    </row>
    <row r="444" ht="14.25" customHeight="1">
      <c r="A444" s="2" t="n"/>
    </row>
    <row r="445" ht="14.25" customHeight="1">
      <c r="A445" s="2" t="n"/>
    </row>
    <row r="446" ht="14.25" customHeight="1">
      <c r="A446" s="2" t="n"/>
    </row>
    <row r="447" ht="14.25" customHeight="1">
      <c r="A447" s="2" t="n"/>
    </row>
    <row r="448" ht="14.25" customHeight="1">
      <c r="A448" s="2" t="n"/>
    </row>
    <row r="449" ht="14.25" customHeight="1">
      <c r="A449" s="2" t="n"/>
    </row>
    <row r="450" ht="14.25" customHeight="1">
      <c r="A450" s="2" t="n"/>
    </row>
    <row r="451" ht="14.25" customHeight="1">
      <c r="A451" s="2" t="n"/>
    </row>
    <row r="452" ht="14.25" customHeight="1">
      <c r="A452" s="2" t="n"/>
    </row>
    <row r="453" ht="14.25" customHeight="1">
      <c r="A453" s="2" t="n"/>
    </row>
    <row r="454" ht="14.25" customHeight="1">
      <c r="A454" s="2" t="n"/>
    </row>
    <row r="455" ht="14.25" customHeight="1">
      <c r="A455" s="2" t="n"/>
    </row>
    <row r="456" ht="14.25" customHeight="1">
      <c r="A456" s="2" t="n"/>
    </row>
    <row r="457" ht="14.25" customHeight="1">
      <c r="A457" s="2" t="n"/>
    </row>
    <row r="458" ht="14.25" customHeight="1">
      <c r="A458" s="2" t="n"/>
    </row>
    <row r="459" ht="14.25" customHeight="1">
      <c r="A459" s="2" t="n"/>
    </row>
    <row r="460" ht="14.25" customHeight="1">
      <c r="A460" s="2" t="n"/>
    </row>
    <row r="461" ht="14.25" customHeight="1">
      <c r="A461" s="2" t="n"/>
    </row>
    <row r="462" ht="14.25" customHeight="1">
      <c r="A462" s="2" t="n"/>
    </row>
    <row r="463" ht="14.25" customHeight="1">
      <c r="A463" s="2" t="n"/>
    </row>
    <row r="464" ht="14.25" customHeight="1">
      <c r="A464" s="2" t="n"/>
    </row>
    <row r="465" ht="14.25" customHeight="1">
      <c r="A465" s="2" t="n"/>
    </row>
    <row r="466" ht="14.25" customHeight="1">
      <c r="A466" s="2" t="n"/>
    </row>
    <row r="467" ht="14.25" customHeight="1">
      <c r="A467" s="2" t="n"/>
    </row>
    <row r="468" ht="14.25" customHeight="1">
      <c r="A468" s="2" t="n"/>
    </row>
    <row r="469" ht="14.25" customHeight="1">
      <c r="A469" s="2" t="n"/>
    </row>
    <row r="470" ht="14.25" customHeight="1">
      <c r="A470" s="2" t="n"/>
    </row>
    <row r="471" ht="14.25" customHeight="1">
      <c r="A471" s="2" t="n"/>
    </row>
    <row r="472" ht="14.25" customHeight="1">
      <c r="A472" s="2" t="n"/>
    </row>
    <row r="473" ht="14.25" customHeight="1">
      <c r="A473" s="2" t="n"/>
    </row>
    <row r="474" ht="14.25" customHeight="1">
      <c r="A474" s="2" t="n"/>
    </row>
    <row r="475" ht="14.25" customHeight="1">
      <c r="A475" s="2" t="n"/>
    </row>
    <row r="476" ht="14.25" customHeight="1">
      <c r="A476" s="2" t="n"/>
    </row>
    <row r="477" ht="14.25" customHeight="1">
      <c r="A477" s="2" t="n"/>
    </row>
    <row r="478" ht="14.25" customHeight="1">
      <c r="A478" s="2" t="n"/>
    </row>
    <row r="479" ht="14.25" customHeight="1">
      <c r="A479" s="2" t="n"/>
    </row>
    <row r="480" ht="14.25" customHeight="1">
      <c r="A480" s="2" t="n"/>
    </row>
    <row r="481" ht="14.25" customHeight="1">
      <c r="A481" s="2" t="n"/>
    </row>
    <row r="482" ht="14.25" customHeight="1">
      <c r="A482" s="2" t="n"/>
    </row>
    <row r="483" ht="14.25" customHeight="1">
      <c r="A483" s="2" t="n"/>
    </row>
    <row r="484" ht="14.25" customHeight="1">
      <c r="A484" s="2" t="n"/>
    </row>
    <row r="485" ht="14.25" customHeight="1">
      <c r="A485" s="2" t="n"/>
    </row>
    <row r="486" ht="14.25" customHeight="1">
      <c r="A486" s="2" t="n"/>
    </row>
    <row r="487" ht="14.25" customHeight="1">
      <c r="A487" s="2" t="n"/>
    </row>
    <row r="488" ht="14.25" customHeight="1">
      <c r="A488" s="2" t="n"/>
    </row>
    <row r="489" ht="14.25" customHeight="1">
      <c r="A489" s="2" t="n"/>
    </row>
    <row r="490" ht="14.25" customHeight="1">
      <c r="A490" s="2" t="n"/>
    </row>
    <row r="491" ht="14.25" customHeight="1">
      <c r="A491" s="2" t="n"/>
    </row>
    <row r="492" ht="14.25" customHeight="1">
      <c r="A492" s="2" t="n"/>
    </row>
    <row r="493" ht="14.25" customHeight="1">
      <c r="A493" s="2" t="n"/>
    </row>
    <row r="494" ht="14.25" customHeight="1">
      <c r="A494" s="2" t="n"/>
    </row>
    <row r="495" ht="14.25" customHeight="1">
      <c r="A495" s="2" t="n"/>
    </row>
    <row r="496" ht="14.25" customHeight="1">
      <c r="A496" s="2" t="n"/>
    </row>
    <row r="497" ht="14.25" customHeight="1">
      <c r="A497" s="2" t="n"/>
    </row>
    <row r="498" ht="14.25" customHeight="1">
      <c r="A498" s="2" t="n"/>
    </row>
    <row r="499" ht="14.25" customHeight="1">
      <c r="A499" s="2" t="n"/>
    </row>
    <row r="500" ht="14.25" customHeight="1">
      <c r="A500" s="2" t="n"/>
    </row>
    <row r="501" ht="14.25" customHeight="1">
      <c r="A501" s="2" t="n"/>
    </row>
    <row r="502" ht="14.25" customHeight="1">
      <c r="A502" s="2" t="n"/>
    </row>
    <row r="503" ht="14.25" customHeight="1">
      <c r="A503" s="2" t="n"/>
    </row>
    <row r="504" ht="14.25" customHeight="1">
      <c r="A504" s="2" t="n"/>
    </row>
    <row r="505" ht="14.25" customHeight="1">
      <c r="A505" s="2" t="n"/>
    </row>
    <row r="506" ht="14.25" customHeight="1">
      <c r="A506" s="2" t="n"/>
    </row>
    <row r="507" ht="14.25" customHeight="1">
      <c r="A507" s="2" t="n"/>
    </row>
    <row r="508" ht="14.25" customHeight="1">
      <c r="A508" s="2" t="n"/>
    </row>
    <row r="509" ht="14.25" customHeight="1">
      <c r="A509" s="2" t="n"/>
    </row>
    <row r="510" ht="14.25" customHeight="1">
      <c r="A510" s="2" t="n"/>
    </row>
    <row r="511" ht="14.25" customHeight="1">
      <c r="A511" s="2" t="n"/>
    </row>
    <row r="512" ht="14.25" customHeight="1">
      <c r="A512" s="2" t="n"/>
    </row>
    <row r="513" ht="14.25" customHeight="1">
      <c r="A513" s="2" t="n"/>
    </row>
    <row r="514" ht="14.25" customHeight="1">
      <c r="A514" s="2" t="n"/>
    </row>
    <row r="515" ht="14.25" customHeight="1">
      <c r="A515" s="2" t="n"/>
    </row>
    <row r="516" ht="14.25" customHeight="1">
      <c r="A516" s="2" t="n"/>
    </row>
    <row r="517" ht="14.25" customHeight="1">
      <c r="A517" s="2" t="n"/>
    </row>
    <row r="518" ht="14.25" customHeight="1">
      <c r="A518" s="2" t="n"/>
    </row>
    <row r="519" ht="14.25" customHeight="1">
      <c r="A519" s="2" t="n"/>
    </row>
    <row r="520" ht="14.25" customHeight="1">
      <c r="A520" s="2" t="n"/>
    </row>
    <row r="521" ht="14.25" customHeight="1">
      <c r="A521" s="2" t="n"/>
    </row>
    <row r="522" ht="14.25" customHeight="1">
      <c r="A522" s="2" t="n"/>
    </row>
    <row r="523" ht="14.25" customHeight="1">
      <c r="A523" s="2" t="n"/>
    </row>
    <row r="524" ht="14.25" customHeight="1">
      <c r="A524" s="2" t="n"/>
    </row>
    <row r="525" ht="14.25" customHeight="1">
      <c r="A525" s="2" t="n"/>
    </row>
    <row r="526" ht="14.25" customHeight="1">
      <c r="A526" s="2" t="n"/>
    </row>
    <row r="527" ht="14.25" customHeight="1">
      <c r="A527" s="2" t="n"/>
    </row>
    <row r="528" ht="14.25" customHeight="1">
      <c r="A528" s="2" t="n"/>
    </row>
    <row r="529" ht="14.25" customHeight="1">
      <c r="A529" s="2" t="n"/>
    </row>
    <row r="530" ht="14.25" customHeight="1">
      <c r="A530" s="2" t="n"/>
    </row>
    <row r="531" ht="14.25" customHeight="1">
      <c r="A531" s="2" t="n"/>
    </row>
    <row r="532" ht="14.25" customHeight="1">
      <c r="A532" s="2" t="n"/>
    </row>
    <row r="533" ht="14.25" customHeight="1">
      <c r="A533" s="2" t="n"/>
    </row>
    <row r="534" ht="14.25" customHeight="1">
      <c r="A534" s="2" t="n"/>
    </row>
    <row r="535" ht="14.25" customHeight="1">
      <c r="A535" s="2" t="n"/>
    </row>
    <row r="536" ht="14.25" customHeight="1">
      <c r="A536" s="2" t="n"/>
    </row>
    <row r="537" ht="14.25" customHeight="1">
      <c r="A537" s="2" t="n"/>
    </row>
    <row r="538" ht="14.25" customHeight="1">
      <c r="A538" s="2" t="n"/>
    </row>
    <row r="539" ht="14.25" customHeight="1">
      <c r="A539" s="2" t="n"/>
    </row>
    <row r="540" ht="14.25" customHeight="1">
      <c r="A540" s="2" t="n"/>
    </row>
    <row r="541" ht="14.25" customHeight="1">
      <c r="A541" s="2" t="n"/>
    </row>
    <row r="542" ht="14.25" customHeight="1">
      <c r="A542" s="2" t="n"/>
    </row>
    <row r="543" ht="14.25" customHeight="1">
      <c r="A543" s="2" t="n"/>
    </row>
    <row r="544" ht="14.25" customHeight="1">
      <c r="A544" s="2" t="n"/>
    </row>
    <row r="545" ht="14.25" customHeight="1">
      <c r="A545" s="2" t="n"/>
    </row>
    <row r="546" ht="14.25" customHeight="1">
      <c r="A546" s="2" t="n"/>
    </row>
    <row r="547" ht="14.25" customHeight="1">
      <c r="A547" s="2" t="n"/>
    </row>
    <row r="548" ht="14.25" customHeight="1">
      <c r="A548" s="2" t="n"/>
    </row>
    <row r="549" ht="14.25" customHeight="1">
      <c r="A549" s="2" t="n"/>
    </row>
    <row r="550" ht="14.25" customHeight="1">
      <c r="A550" s="2" t="n"/>
    </row>
    <row r="551" ht="14.25" customHeight="1">
      <c r="A551" s="2" t="n"/>
    </row>
    <row r="552" ht="14.25" customHeight="1">
      <c r="A552" s="2" t="n"/>
    </row>
    <row r="553" ht="14.25" customHeight="1">
      <c r="A553" s="2" t="n"/>
    </row>
    <row r="554" ht="14.25" customHeight="1">
      <c r="A554" s="2" t="n"/>
    </row>
    <row r="555" ht="14.25" customHeight="1">
      <c r="A555" s="2" t="n"/>
    </row>
    <row r="556" ht="14.25" customHeight="1">
      <c r="A556" s="2" t="n"/>
    </row>
    <row r="557" ht="14.25" customHeight="1">
      <c r="A557" s="2" t="n"/>
    </row>
    <row r="558" ht="14.25" customHeight="1">
      <c r="A558" s="2" t="n"/>
    </row>
    <row r="559" ht="14.25" customHeight="1">
      <c r="A559" s="2" t="n"/>
    </row>
    <row r="560" ht="14.25" customHeight="1">
      <c r="A560" s="2" t="n"/>
    </row>
    <row r="561" ht="14.25" customHeight="1">
      <c r="A561" s="2" t="n"/>
    </row>
    <row r="562" ht="14.25" customHeight="1">
      <c r="A562" s="2" t="n"/>
    </row>
    <row r="563" ht="14.25" customHeight="1">
      <c r="A563" s="2" t="n"/>
    </row>
    <row r="564" ht="14.25" customHeight="1">
      <c r="A564" s="2" t="n"/>
    </row>
    <row r="565" ht="14.25" customHeight="1">
      <c r="A565" s="2" t="n"/>
    </row>
    <row r="566" ht="14.25" customHeight="1">
      <c r="A566" s="2" t="n"/>
    </row>
    <row r="567" ht="14.25" customHeight="1">
      <c r="A567" s="2" t="n"/>
    </row>
    <row r="568" ht="14.25" customHeight="1">
      <c r="A568" s="2" t="n"/>
    </row>
    <row r="569" ht="14.25" customHeight="1">
      <c r="A569" s="2" t="n"/>
    </row>
    <row r="570" ht="14.25" customHeight="1">
      <c r="A570" s="2" t="n"/>
    </row>
    <row r="571" ht="14.25" customHeight="1">
      <c r="A571" s="2" t="n"/>
    </row>
    <row r="572" ht="14.25" customHeight="1">
      <c r="A572" s="2" t="n"/>
    </row>
    <row r="573" ht="14.25" customHeight="1">
      <c r="A573" s="2" t="n"/>
    </row>
    <row r="574" ht="14.25" customHeight="1">
      <c r="A574" s="2" t="n"/>
    </row>
    <row r="575" ht="14.25" customHeight="1">
      <c r="A575" s="2" t="n"/>
    </row>
    <row r="576" ht="14.25" customHeight="1">
      <c r="A576" s="2" t="n"/>
    </row>
    <row r="577" ht="14.25" customHeight="1">
      <c r="A577" s="2" t="n"/>
    </row>
    <row r="578" ht="14.25" customHeight="1">
      <c r="A578" s="2" t="n"/>
    </row>
    <row r="579" ht="14.25" customHeight="1">
      <c r="A579" s="2" t="n"/>
    </row>
    <row r="580" ht="14.25" customHeight="1">
      <c r="A580" s="2" t="n"/>
    </row>
    <row r="581" ht="14.25" customHeight="1">
      <c r="A581" s="2" t="n"/>
    </row>
    <row r="582" ht="14.25" customHeight="1">
      <c r="A582" s="2" t="n"/>
    </row>
    <row r="583" ht="14.25" customHeight="1">
      <c r="A583" s="2" t="n"/>
    </row>
    <row r="584" ht="14.25" customHeight="1">
      <c r="A584" s="2" t="n"/>
    </row>
    <row r="585" ht="14.25" customHeight="1">
      <c r="A585" s="2" t="n"/>
    </row>
    <row r="586" ht="14.25" customHeight="1">
      <c r="A586" s="2" t="n"/>
    </row>
    <row r="587" ht="14.25" customHeight="1">
      <c r="A587" s="2" t="n"/>
    </row>
    <row r="588" ht="14.25" customHeight="1">
      <c r="A588" s="2" t="n"/>
    </row>
    <row r="589" ht="14.25" customHeight="1">
      <c r="A589" s="2" t="n"/>
    </row>
    <row r="590" ht="14.25" customHeight="1">
      <c r="A590" s="2" t="n"/>
    </row>
    <row r="591" ht="14.25" customHeight="1">
      <c r="A591" s="2" t="n"/>
    </row>
    <row r="592" ht="14.25" customHeight="1">
      <c r="A592" s="2" t="n"/>
    </row>
    <row r="593" ht="14.25" customHeight="1">
      <c r="A593" s="2" t="n"/>
    </row>
    <row r="594" ht="14.25" customHeight="1">
      <c r="A594" s="2" t="n"/>
    </row>
    <row r="595" ht="14.25" customHeight="1">
      <c r="A595" s="2" t="n"/>
    </row>
    <row r="596" ht="14.25" customHeight="1">
      <c r="A596" s="2" t="n"/>
    </row>
    <row r="597" ht="14.25" customHeight="1">
      <c r="A597" s="2" t="n"/>
    </row>
    <row r="598" ht="14.25" customHeight="1">
      <c r="A598" s="2" t="n"/>
    </row>
    <row r="599" ht="14.25" customHeight="1">
      <c r="A599" s="2" t="n"/>
    </row>
    <row r="600" ht="14.25" customHeight="1">
      <c r="A600" s="2" t="n"/>
    </row>
    <row r="601" ht="14.25" customHeight="1">
      <c r="A601" s="2" t="n"/>
    </row>
    <row r="602" ht="14.25" customHeight="1">
      <c r="A602" s="2" t="n"/>
    </row>
    <row r="603" ht="14.25" customHeight="1">
      <c r="A603" s="2" t="n"/>
    </row>
    <row r="604" ht="14.25" customHeight="1">
      <c r="A604" s="2" t="n"/>
    </row>
    <row r="605" ht="14.25" customHeight="1">
      <c r="A605" s="2" t="n"/>
    </row>
    <row r="606" ht="14.25" customHeight="1">
      <c r="A606" s="2" t="n"/>
    </row>
    <row r="607" ht="14.25" customHeight="1">
      <c r="A607" s="2" t="n"/>
    </row>
    <row r="608" ht="14.25" customHeight="1">
      <c r="A608" s="2" t="n"/>
    </row>
    <row r="609" ht="14.25" customHeight="1">
      <c r="A609" s="2" t="n"/>
    </row>
    <row r="610" ht="14.25" customHeight="1">
      <c r="A610" s="2" t="n"/>
    </row>
    <row r="611" ht="14.25" customHeight="1">
      <c r="A611" s="2" t="n"/>
    </row>
    <row r="612" ht="14.25" customHeight="1">
      <c r="A612" s="2" t="n"/>
    </row>
    <row r="613" ht="14.25" customHeight="1">
      <c r="A613" s="2" t="n"/>
    </row>
    <row r="614" ht="14.25" customHeight="1">
      <c r="A614" s="2" t="n"/>
    </row>
    <row r="615" ht="14.25" customHeight="1">
      <c r="A615" s="2" t="n"/>
    </row>
    <row r="616" ht="14.25" customHeight="1">
      <c r="A616" s="2" t="n"/>
    </row>
    <row r="617" ht="14.25" customHeight="1">
      <c r="A617" s="2" t="n"/>
    </row>
    <row r="618" ht="14.25" customHeight="1">
      <c r="A618" s="2" t="n"/>
    </row>
    <row r="619" ht="14.25" customHeight="1">
      <c r="A619" s="2" t="n"/>
    </row>
    <row r="620" ht="14.25" customHeight="1">
      <c r="A620" s="2" t="n"/>
    </row>
    <row r="621" ht="14.25" customHeight="1">
      <c r="A621" s="2" t="n"/>
    </row>
    <row r="622" ht="14.25" customHeight="1">
      <c r="A622" s="2" t="n"/>
    </row>
    <row r="623" ht="14.25" customHeight="1">
      <c r="A623" s="2" t="n"/>
    </row>
    <row r="624" ht="14.25" customHeight="1">
      <c r="A624" s="2" t="n"/>
    </row>
    <row r="625" ht="14.25" customHeight="1">
      <c r="A625" s="2" t="n"/>
    </row>
    <row r="626" ht="14.25" customHeight="1">
      <c r="A626" s="2" t="n"/>
    </row>
    <row r="627" ht="14.25" customHeight="1">
      <c r="A627" s="2" t="n"/>
    </row>
    <row r="628" ht="14.25" customHeight="1">
      <c r="A628" s="2" t="n"/>
    </row>
    <row r="629" ht="14.25" customHeight="1">
      <c r="A629" s="2" t="n"/>
    </row>
    <row r="630" ht="14.25" customHeight="1">
      <c r="A630" s="2" t="n"/>
    </row>
    <row r="631" ht="14.25" customHeight="1">
      <c r="A631" s="2" t="n"/>
    </row>
    <row r="632" ht="14.25" customHeight="1">
      <c r="A632" s="2" t="n"/>
    </row>
    <row r="633" ht="14.25" customHeight="1">
      <c r="A633" s="2" t="n"/>
    </row>
    <row r="634" ht="14.25" customHeight="1">
      <c r="A634" s="2" t="n"/>
    </row>
    <row r="635" ht="14.25" customHeight="1">
      <c r="A635" s="2" t="n"/>
    </row>
    <row r="636" ht="14.25" customHeight="1">
      <c r="A636" s="2" t="n"/>
    </row>
    <row r="637" ht="14.25" customHeight="1">
      <c r="A637" s="2" t="n"/>
    </row>
    <row r="638" ht="14.25" customHeight="1">
      <c r="A638" s="2" t="n"/>
    </row>
    <row r="639" ht="14.25" customHeight="1">
      <c r="A639" s="2" t="n"/>
    </row>
    <row r="640" ht="14.25" customHeight="1">
      <c r="A640" s="2" t="n"/>
    </row>
    <row r="641" ht="14.25" customHeight="1">
      <c r="A641" s="2" t="n"/>
    </row>
    <row r="642" ht="14.25" customHeight="1">
      <c r="A642" s="2" t="n"/>
    </row>
    <row r="643" ht="14.25" customHeight="1">
      <c r="A643" s="2" t="n"/>
    </row>
    <row r="644" ht="14.25" customHeight="1">
      <c r="A644" s="2" t="n"/>
    </row>
    <row r="645" ht="14.25" customHeight="1">
      <c r="A645" s="2" t="n"/>
    </row>
    <row r="646" ht="14.25" customHeight="1">
      <c r="A646" s="2" t="n"/>
    </row>
    <row r="647" ht="14.25" customHeight="1">
      <c r="A647" s="2" t="n"/>
    </row>
    <row r="648" ht="14.25" customHeight="1">
      <c r="A648" s="2" t="n"/>
    </row>
    <row r="649" ht="14.25" customHeight="1">
      <c r="A649" s="2" t="n"/>
    </row>
    <row r="650" ht="14.25" customHeight="1">
      <c r="A650" s="2" t="n"/>
    </row>
    <row r="651" ht="14.25" customHeight="1">
      <c r="A651" s="2" t="n"/>
    </row>
    <row r="652" ht="14.25" customHeight="1">
      <c r="A652" s="2" t="n"/>
    </row>
    <row r="653" ht="14.25" customHeight="1">
      <c r="A653" s="2" t="n"/>
    </row>
    <row r="654" ht="14.25" customHeight="1">
      <c r="A654" s="2" t="n"/>
    </row>
    <row r="655" ht="14.25" customHeight="1">
      <c r="A655" s="2" t="n"/>
    </row>
    <row r="656" ht="14.25" customHeight="1">
      <c r="A656" s="2" t="n"/>
    </row>
    <row r="657" ht="14.25" customHeight="1">
      <c r="A657" s="2" t="n"/>
    </row>
    <row r="658" ht="14.25" customHeight="1">
      <c r="A658" s="2" t="n"/>
    </row>
    <row r="659" ht="14.25" customHeight="1">
      <c r="A659" s="2" t="n"/>
    </row>
    <row r="660" ht="14.25" customHeight="1">
      <c r="A660" s="2" t="n"/>
    </row>
    <row r="661" ht="14.25" customHeight="1">
      <c r="A661" s="2" t="n"/>
    </row>
    <row r="662" ht="14.25" customHeight="1">
      <c r="A662" s="2" t="n"/>
    </row>
    <row r="663" ht="14.25" customHeight="1">
      <c r="A663" s="2" t="n"/>
    </row>
    <row r="664" ht="14.25" customHeight="1">
      <c r="A664" s="2" t="n"/>
    </row>
    <row r="665" ht="14.25" customHeight="1">
      <c r="A665" s="2" t="n"/>
    </row>
    <row r="666" ht="14.25" customHeight="1">
      <c r="A666" s="2" t="n"/>
    </row>
    <row r="667" ht="14.25" customHeight="1">
      <c r="A667" s="2" t="n"/>
    </row>
    <row r="668" ht="14.25" customHeight="1">
      <c r="A668" s="2" t="n"/>
    </row>
    <row r="669" ht="14.25" customHeight="1">
      <c r="A669" s="2" t="n"/>
    </row>
    <row r="670" ht="14.25" customHeight="1">
      <c r="A670" s="2" t="n"/>
    </row>
    <row r="671" ht="14.25" customHeight="1">
      <c r="A671" s="2" t="n"/>
    </row>
    <row r="672" ht="14.25" customHeight="1">
      <c r="A672" s="2" t="n"/>
    </row>
    <row r="673" ht="14.25" customHeight="1">
      <c r="A673" s="2" t="n"/>
    </row>
    <row r="674" ht="14.25" customHeight="1">
      <c r="A674" s="2" t="n"/>
    </row>
    <row r="675" ht="14.25" customHeight="1">
      <c r="A675" s="2" t="n"/>
    </row>
    <row r="676" ht="14.25" customHeight="1">
      <c r="A676" s="2" t="n"/>
    </row>
    <row r="677" ht="14.25" customHeight="1">
      <c r="A677" s="2" t="n"/>
    </row>
    <row r="678" ht="14.25" customHeight="1">
      <c r="A678" s="2" t="n"/>
    </row>
    <row r="679" ht="14.25" customHeight="1">
      <c r="A679" s="2" t="n"/>
    </row>
    <row r="680" ht="14.25" customHeight="1">
      <c r="A680" s="2" t="n"/>
    </row>
    <row r="681" ht="14.25" customHeight="1">
      <c r="A681" s="2" t="n"/>
    </row>
    <row r="682" ht="14.25" customHeight="1">
      <c r="A682" s="2" t="n"/>
    </row>
    <row r="683" ht="14.25" customHeight="1">
      <c r="A683" s="2" t="n"/>
    </row>
    <row r="684" ht="14.25" customHeight="1">
      <c r="A684" s="2" t="n"/>
    </row>
    <row r="685" ht="14.25" customHeight="1">
      <c r="A685" s="2" t="n"/>
    </row>
    <row r="686" ht="14.25" customHeight="1">
      <c r="A686" s="2" t="n"/>
    </row>
    <row r="687" ht="14.25" customHeight="1">
      <c r="A687" s="2" t="n"/>
    </row>
    <row r="688" ht="14.25" customHeight="1">
      <c r="A688" s="2" t="n"/>
    </row>
    <row r="689" ht="14.25" customHeight="1">
      <c r="A689" s="2" t="n"/>
    </row>
    <row r="690" ht="14.25" customHeight="1">
      <c r="A690" s="2" t="n"/>
    </row>
    <row r="691" ht="14.25" customHeight="1">
      <c r="A691" s="2" t="n"/>
    </row>
    <row r="692" ht="14.25" customHeight="1">
      <c r="A692" s="2" t="n"/>
    </row>
    <row r="693" ht="14.25" customHeight="1">
      <c r="A693" s="2" t="n"/>
    </row>
    <row r="694" ht="14.25" customHeight="1">
      <c r="A694" s="2" t="n"/>
    </row>
    <row r="695" ht="14.25" customHeight="1">
      <c r="A695" s="2" t="n"/>
    </row>
    <row r="696" ht="14.25" customHeight="1">
      <c r="A696" s="2" t="n"/>
    </row>
    <row r="697" ht="14.25" customHeight="1">
      <c r="A697" s="2" t="n"/>
    </row>
    <row r="698" ht="14.25" customHeight="1">
      <c r="A698" s="2" t="n"/>
    </row>
    <row r="699" ht="14.25" customHeight="1">
      <c r="A699" s="2" t="n"/>
    </row>
    <row r="700" ht="14.25" customHeight="1">
      <c r="A700" s="2" t="n"/>
    </row>
    <row r="701" ht="14.25" customHeight="1">
      <c r="A701" s="2" t="n"/>
    </row>
    <row r="702" ht="14.25" customHeight="1">
      <c r="A702" s="2" t="n"/>
    </row>
    <row r="703" ht="14.25" customHeight="1">
      <c r="A703" s="2" t="n"/>
    </row>
    <row r="704" ht="14.25" customHeight="1">
      <c r="A704" s="2" t="n"/>
    </row>
    <row r="705" ht="14.25" customHeight="1">
      <c r="A705" s="2" t="n"/>
    </row>
    <row r="706" ht="14.25" customHeight="1">
      <c r="A706" s="2" t="n"/>
    </row>
    <row r="707" ht="14.25" customHeight="1">
      <c r="A707" s="2" t="n"/>
    </row>
    <row r="708" ht="14.25" customHeight="1">
      <c r="A708" s="2" t="n"/>
    </row>
    <row r="709" ht="14.25" customHeight="1">
      <c r="A709" s="2" t="n"/>
    </row>
    <row r="710" ht="14.25" customHeight="1">
      <c r="A710" s="2" t="n"/>
    </row>
    <row r="711" ht="14.25" customHeight="1">
      <c r="A711" s="2" t="n"/>
    </row>
    <row r="712" ht="14.25" customHeight="1">
      <c r="A712" s="2" t="n"/>
    </row>
    <row r="713" ht="14.25" customHeight="1">
      <c r="A713" s="2" t="n"/>
    </row>
    <row r="714" ht="14.25" customHeight="1">
      <c r="A714" s="2" t="n"/>
    </row>
    <row r="715" ht="14.25" customHeight="1">
      <c r="A715" s="2" t="n"/>
    </row>
    <row r="716" ht="14.25" customHeight="1">
      <c r="A716" s="2" t="n"/>
    </row>
    <row r="717" ht="14.25" customHeight="1">
      <c r="A717" s="2" t="n"/>
    </row>
    <row r="718" ht="14.25" customHeight="1">
      <c r="A718" s="2" t="n"/>
    </row>
    <row r="719" ht="14.25" customHeight="1">
      <c r="A719" s="2" t="n"/>
    </row>
    <row r="720" ht="14.25" customHeight="1">
      <c r="A720" s="2" t="n"/>
    </row>
    <row r="721" ht="14.25" customHeight="1">
      <c r="A721" s="2" t="n"/>
    </row>
    <row r="722" ht="14.25" customHeight="1">
      <c r="A722" s="2" t="n"/>
    </row>
    <row r="723" ht="14.25" customHeight="1">
      <c r="A723" s="2" t="n"/>
    </row>
    <row r="724" ht="14.25" customHeight="1">
      <c r="A724" s="2" t="n"/>
    </row>
    <row r="725" ht="14.25" customHeight="1">
      <c r="A725" s="2" t="n"/>
    </row>
    <row r="726" ht="14.25" customHeight="1">
      <c r="A726" s="2" t="n"/>
    </row>
    <row r="727" ht="14.25" customHeight="1">
      <c r="A727" s="2" t="n"/>
    </row>
    <row r="728" ht="14.25" customHeight="1">
      <c r="A728" s="2" t="n"/>
    </row>
    <row r="729" ht="14.25" customHeight="1">
      <c r="A729" s="2" t="n"/>
    </row>
    <row r="730" ht="14.25" customHeight="1">
      <c r="A730" s="2" t="n"/>
    </row>
    <row r="731" ht="14.25" customHeight="1">
      <c r="A731" s="2" t="n"/>
    </row>
    <row r="732" ht="14.25" customHeight="1">
      <c r="A732" s="2" t="n"/>
    </row>
    <row r="733" ht="14.25" customHeight="1">
      <c r="A733" s="2" t="n"/>
    </row>
    <row r="734" ht="14.25" customHeight="1">
      <c r="A734" s="2" t="n"/>
    </row>
    <row r="735" ht="14.25" customHeight="1">
      <c r="A735" s="2" t="n"/>
    </row>
    <row r="736" ht="14.25" customHeight="1">
      <c r="A736" s="2" t="n"/>
    </row>
    <row r="737" ht="14.25" customHeight="1">
      <c r="A737" s="2" t="n"/>
    </row>
    <row r="738" ht="14.25" customHeight="1">
      <c r="A738" s="2" t="n"/>
    </row>
    <row r="739" ht="14.25" customHeight="1">
      <c r="A739" s="2" t="n"/>
    </row>
    <row r="740" ht="14.25" customHeight="1">
      <c r="A740" s="2" t="n"/>
    </row>
    <row r="741" ht="14.25" customHeight="1">
      <c r="A741" s="2" t="n"/>
    </row>
    <row r="742" ht="14.25" customHeight="1">
      <c r="A742" s="2" t="n"/>
    </row>
    <row r="743" ht="14.25" customHeight="1">
      <c r="A743" s="2" t="n"/>
    </row>
    <row r="744" ht="14.25" customHeight="1">
      <c r="A744" s="2" t="n"/>
    </row>
    <row r="745" ht="14.25" customHeight="1">
      <c r="A745" s="2" t="n"/>
    </row>
    <row r="746" ht="14.25" customHeight="1">
      <c r="A746" s="2" t="n"/>
    </row>
    <row r="747" ht="14.25" customHeight="1">
      <c r="A747" s="2" t="n"/>
    </row>
    <row r="748" ht="14.25" customHeight="1">
      <c r="A748" s="2" t="n"/>
    </row>
    <row r="749" ht="14.25" customHeight="1">
      <c r="A749" s="2" t="n"/>
    </row>
    <row r="750" ht="14.25" customHeight="1">
      <c r="A750" s="2" t="n"/>
    </row>
    <row r="751" ht="14.25" customHeight="1">
      <c r="A751" s="2" t="n"/>
    </row>
    <row r="752" ht="14.25" customHeight="1">
      <c r="A752" s="2" t="n"/>
    </row>
    <row r="753" ht="14.25" customHeight="1">
      <c r="A753" s="2" t="n"/>
    </row>
    <row r="754" ht="14.25" customHeight="1">
      <c r="A754" s="2" t="n"/>
    </row>
    <row r="755" ht="14.25" customHeight="1">
      <c r="A755" s="2" t="n"/>
    </row>
    <row r="756" ht="14.25" customHeight="1">
      <c r="A756" s="2" t="n"/>
    </row>
    <row r="757" ht="14.25" customHeight="1">
      <c r="A757" s="2" t="n"/>
    </row>
    <row r="758" ht="14.25" customHeight="1">
      <c r="A758" s="2" t="n"/>
    </row>
    <row r="759" ht="14.25" customHeight="1">
      <c r="A759" s="2" t="n"/>
    </row>
    <row r="760" ht="14.25" customHeight="1">
      <c r="A760" s="2" t="n"/>
    </row>
    <row r="761" ht="14.25" customHeight="1">
      <c r="A761" s="2" t="n"/>
    </row>
    <row r="762" ht="14.25" customHeight="1">
      <c r="A762" s="2" t="n"/>
    </row>
    <row r="763" ht="14.25" customHeight="1">
      <c r="A763" s="2" t="n"/>
    </row>
    <row r="764" ht="14.25" customHeight="1">
      <c r="A764" s="2" t="n"/>
    </row>
    <row r="765" ht="14.25" customHeight="1">
      <c r="A765" s="2" t="n"/>
    </row>
    <row r="766" ht="14.25" customHeight="1">
      <c r="A766" s="2" t="n"/>
    </row>
    <row r="767" ht="14.25" customHeight="1">
      <c r="A767" s="2" t="n"/>
    </row>
    <row r="768" ht="14.25" customHeight="1">
      <c r="A768" s="2" t="n"/>
    </row>
    <row r="769" ht="14.25" customHeight="1">
      <c r="A769" s="2" t="n"/>
    </row>
    <row r="770" ht="14.25" customHeight="1">
      <c r="A770" s="2" t="n"/>
    </row>
    <row r="771" ht="14.25" customHeight="1">
      <c r="A771" s="2" t="n"/>
    </row>
    <row r="772" ht="14.25" customHeight="1">
      <c r="A772" s="2" t="n"/>
    </row>
    <row r="773" ht="14.25" customHeight="1">
      <c r="A773" s="2" t="n"/>
    </row>
    <row r="774" ht="14.25" customHeight="1">
      <c r="A774" s="2" t="n"/>
    </row>
    <row r="775" ht="14.25" customHeight="1">
      <c r="A775" s="2" t="n"/>
    </row>
    <row r="776" ht="14.25" customHeight="1">
      <c r="A776" s="2" t="n"/>
    </row>
    <row r="777" ht="14.25" customHeight="1">
      <c r="A777" s="2" t="n"/>
    </row>
    <row r="778" ht="14.25" customHeight="1">
      <c r="A778" s="2" t="n"/>
    </row>
    <row r="779" ht="14.25" customHeight="1">
      <c r="A779" s="2" t="n"/>
    </row>
    <row r="780" ht="14.25" customHeight="1">
      <c r="A780" s="2" t="n"/>
    </row>
    <row r="781" ht="14.25" customHeight="1">
      <c r="A781" s="2" t="n"/>
    </row>
    <row r="782" ht="14.25" customHeight="1">
      <c r="A782" s="2" t="n"/>
    </row>
    <row r="783" ht="14.25" customHeight="1">
      <c r="A783" s="2" t="n"/>
    </row>
    <row r="784" ht="14.25" customHeight="1">
      <c r="A784" s="2" t="n"/>
    </row>
    <row r="785" ht="14.25" customHeight="1">
      <c r="A785" s="2" t="n"/>
    </row>
    <row r="786" ht="14.25" customHeight="1">
      <c r="A786" s="2" t="n"/>
    </row>
    <row r="787" ht="14.25" customHeight="1">
      <c r="A787" s="2" t="n"/>
    </row>
    <row r="788" ht="14.25" customHeight="1">
      <c r="A788" s="2" t="n"/>
    </row>
    <row r="789" ht="14.25" customHeight="1">
      <c r="A789" s="2" t="n"/>
    </row>
    <row r="790" ht="14.25" customHeight="1">
      <c r="A790" s="2" t="n"/>
    </row>
    <row r="791" ht="14.25" customHeight="1">
      <c r="A791" s="2" t="n"/>
    </row>
    <row r="792" ht="14.25" customHeight="1">
      <c r="A792" s="2" t="n"/>
    </row>
    <row r="793" ht="14.25" customHeight="1">
      <c r="A793" s="2" t="n"/>
    </row>
    <row r="794" ht="14.25" customHeight="1">
      <c r="A794" s="2" t="n"/>
    </row>
    <row r="795" ht="14.25" customHeight="1">
      <c r="A795" s="2" t="n"/>
    </row>
    <row r="796" ht="14.25" customHeight="1">
      <c r="A796" s="2" t="n"/>
    </row>
    <row r="797" ht="14.25" customHeight="1">
      <c r="A797" s="2" t="n"/>
    </row>
    <row r="798" ht="14.25" customHeight="1">
      <c r="A798" s="2" t="n"/>
    </row>
    <row r="799" ht="14.25" customHeight="1">
      <c r="A799" s="2" t="n"/>
    </row>
    <row r="800" ht="14.25" customHeight="1">
      <c r="A800" s="2" t="n"/>
    </row>
    <row r="801" ht="14.25" customHeight="1">
      <c r="A801" s="2" t="n"/>
    </row>
    <row r="802" ht="14.25" customHeight="1">
      <c r="A802" s="2" t="n"/>
    </row>
    <row r="803" ht="14.25" customHeight="1">
      <c r="A803" s="2" t="n"/>
    </row>
    <row r="804" ht="14.25" customHeight="1">
      <c r="A804" s="2" t="n"/>
    </row>
    <row r="805" ht="14.25" customHeight="1">
      <c r="A805" s="2" t="n"/>
    </row>
    <row r="806" ht="14.25" customHeight="1">
      <c r="A806" s="2" t="n"/>
    </row>
    <row r="807" ht="14.25" customHeight="1">
      <c r="A807" s="2" t="n"/>
    </row>
    <row r="808" ht="14.25" customHeight="1">
      <c r="A808" s="2" t="n"/>
    </row>
    <row r="809" ht="14.25" customHeight="1">
      <c r="A809" s="2" t="n"/>
    </row>
    <row r="810" ht="14.25" customHeight="1">
      <c r="A810" s="2" t="n"/>
    </row>
    <row r="811" ht="14.25" customHeight="1">
      <c r="A811" s="2" t="n"/>
    </row>
    <row r="812" ht="14.25" customHeight="1">
      <c r="A812" s="2" t="n"/>
    </row>
    <row r="813" ht="14.25" customHeight="1">
      <c r="A813" s="2" t="n"/>
    </row>
    <row r="814" ht="14.25" customHeight="1">
      <c r="A814" s="2" t="n"/>
    </row>
    <row r="815" ht="14.25" customHeight="1">
      <c r="A815" s="2" t="n"/>
    </row>
    <row r="816" ht="14.25" customHeight="1">
      <c r="A816" s="2" t="n"/>
    </row>
    <row r="817" ht="14.25" customHeight="1">
      <c r="A817" s="2" t="n"/>
    </row>
    <row r="818" ht="14.25" customHeight="1">
      <c r="A818" s="2" t="n"/>
    </row>
    <row r="819" ht="14.25" customHeight="1">
      <c r="A819" s="2" t="n"/>
    </row>
    <row r="820" ht="14.25" customHeight="1">
      <c r="A820" s="2" t="n"/>
    </row>
    <row r="821" ht="14.25" customHeight="1">
      <c r="A821" s="2" t="n"/>
    </row>
    <row r="822" ht="14.25" customHeight="1">
      <c r="A822" s="2" t="n"/>
    </row>
    <row r="823" ht="14.25" customHeight="1">
      <c r="A823" s="2" t="n"/>
    </row>
    <row r="824" ht="14.25" customHeight="1">
      <c r="A824" s="2" t="n"/>
    </row>
    <row r="825" ht="14.25" customHeight="1">
      <c r="A825" s="2" t="n"/>
    </row>
    <row r="826" ht="14.25" customHeight="1">
      <c r="A826" s="2" t="n"/>
    </row>
    <row r="827" ht="14.25" customHeight="1">
      <c r="A827" s="2" t="n"/>
    </row>
    <row r="828" ht="14.25" customHeight="1">
      <c r="A828" s="2" t="n"/>
    </row>
    <row r="829" ht="14.25" customHeight="1">
      <c r="A829" s="2" t="n"/>
    </row>
    <row r="830" ht="14.25" customHeight="1">
      <c r="A830" s="2" t="n"/>
    </row>
    <row r="831" ht="14.25" customHeight="1">
      <c r="A831" s="2" t="n"/>
    </row>
    <row r="832" ht="14.25" customHeight="1">
      <c r="A832" s="2" t="n"/>
    </row>
    <row r="833" ht="14.25" customHeight="1">
      <c r="A833" s="2" t="n"/>
    </row>
    <row r="834" ht="14.25" customHeight="1">
      <c r="A834" s="2" t="n"/>
    </row>
    <row r="835" ht="14.25" customHeight="1">
      <c r="A835" s="2" t="n"/>
    </row>
    <row r="836" ht="14.25" customHeight="1">
      <c r="A836" s="2" t="n"/>
    </row>
    <row r="837" ht="14.25" customHeight="1">
      <c r="A837" s="2" t="n"/>
    </row>
    <row r="838" ht="14.25" customHeight="1">
      <c r="A838" s="2" t="n"/>
    </row>
    <row r="839" ht="14.25" customHeight="1">
      <c r="A839" s="2" t="n"/>
    </row>
    <row r="840" ht="14.25" customHeight="1">
      <c r="A840" s="2" t="n"/>
    </row>
    <row r="841" ht="14.25" customHeight="1">
      <c r="A841" s="2" t="n"/>
    </row>
    <row r="842" ht="14.25" customHeight="1">
      <c r="A842" s="2" t="n"/>
    </row>
    <row r="843" ht="14.25" customHeight="1">
      <c r="A843" s="2" t="n"/>
    </row>
    <row r="844" ht="14.25" customHeight="1">
      <c r="A844" s="2" t="n"/>
    </row>
    <row r="845" ht="14.25" customHeight="1">
      <c r="A845" s="2" t="n"/>
    </row>
    <row r="846" ht="14.25" customHeight="1">
      <c r="A846" s="2" t="n"/>
    </row>
    <row r="847" ht="14.25" customHeight="1">
      <c r="A847" s="2" t="n"/>
    </row>
    <row r="848" ht="14.25" customHeight="1">
      <c r="A848" s="2" t="n"/>
    </row>
    <row r="849" ht="14.25" customHeight="1">
      <c r="A849" s="2" t="n"/>
    </row>
    <row r="850" ht="14.25" customHeight="1">
      <c r="A850" s="2" t="n"/>
    </row>
    <row r="851" ht="14.25" customHeight="1">
      <c r="A851" s="2" t="n"/>
    </row>
    <row r="852" ht="14.25" customHeight="1">
      <c r="A852" s="2" t="n"/>
    </row>
    <row r="853" ht="14.25" customHeight="1">
      <c r="A853" s="2" t="n"/>
    </row>
    <row r="854" ht="14.25" customHeight="1">
      <c r="A854" s="2" t="n"/>
    </row>
    <row r="855" ht="14.25" customHeight="1">
      <c r="A855" s="2" t="n"/>
    </row>
    <row r="856" ht="14.25" customHeight="1">
      <c r="A856" s="2" t="n"/>
    </row>
    <row r="857" ht="14.25" customHeight="1">
      <c r="A857" s="2" t="n"/>
    </row>
    <row r="858" ht="14.25" customHeight="1">
      <c r="A858" s="2" t="n"/>
    </row>
    <row r="859" ht="14.25" customHeight="1">
      <c r="A859" s="2" t="n"/>
    </row>
    <row r="860" ht="14.25" customHeight="1">
      <c r="A860" s="2" t="n"/>
    </row>
    <row r="861" ht="14.25" customHeight="1">
      <c r="A861" s="2" t="n"/>
    </row>
    <row r="862" ht="14.25" customHeight="1">
      <c r="A862" s="2" t="n"/>
    </row>
    <row r="863" ht="14.25" customHeight="1">
      <c r="A863" s="2" t="n"/>
    </row>
    <row r="864" ht="14.25" customHeight="1">
      <c r="A864" s="2" t="n"/>
    </row>
    <row r="865" ht="14.25" customHeight="1">
      <c r="A865" s="2" t="n"/>
    </row>
    <row r="866" ht="14.25" customHeight="1">
      <c r="A866" s="2" t="n"/>
    </row>
    <row r="867" ht="14.25" customHeight="1">
      <c r="A867" s="2" t="n"/>
    </row>
    <row r="868" ht="14.25" customHeight="1">
      <c r="A868" s="2" t="n"/>
    </row>
    <row r="869" ht="14.25" customHeight="1">
      <c r="A869" s="2" t="n"/>
    </row>
    <row r="870" ht="14.25" customHeight="1">
      <c r="A870" s="2" t="n"/>
    </row>
    <row r="871" ht="14.25" customHeight="1">
      <c r="A871" s="2" t="n"/>
    </row>
    <row r="872" ht="14.25" customHeight="1">
      <c r="A872" s="2" t="n"/>
    </row>
    <row r="873" ht="14.25" customHeight="1">
      <c r="A873" s="2" t="n"/>
    </row>
    <row r="874" ht="14.25" customHeight="1">
      <c r="A874" s="2" t="n"/>
    </row>
    <row r="875" ht="14.25" customHeight="1">
      <c r="A875" s="2" t="n"/>
    </row>
    <row r="876" ht="14.25" customHeight="1">
      <c r="A876" s="2" t="n"/>
    </row>
    <row r="877" ht="14.25" customHeight="1">
      <c r="A877" s="2" t="n"/>
    </row>
    <row r="878" ht="14.25" customHeight="1">
      <c r="A878" s="2" t="n"/>
    </row>
    <row r="879" ht="14.25" customHeight="1">
      <c r="A879" s="2" t="n"/>
    </row>
    <row r="880" ht="14.25" customHeight="1">
      <c r="A880" s="2" t="n"/>
    </row>
    <row r="881" ht="14.25" customHeight="1">
      <c r="A881" s="2" t="n"/>
    </row>
    <row r="882" ht="14.25" customHeight="1">
      <c r="A882" s="2" t="n"/>
    </row>
    <row r="883" ht="14.25" customHeight="1">
      <c r="A883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3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</cols>
  <sheetData>
    <row r="1">
      <c r="A1" s="33" t="inlineStr">
        <is>
          <t>Раскрутка на старте: отзывы + самовыкупы (FBO)</t>
        </is>
      </c>
    </row>
    <row r="2">
      <c r="A2" s="34" t="inlineStr">
        <is>
          <t>Стоимость 1 отзыва, ₽</t>
        </is>
      </c>
      <c r="B2" s="35" t="n">
        <v>200</v>
      </c>
    </row>
    <row r="3">
      <c r="A3" s="34" t="inlineStr">
        <is>
          <t>Доля самовыкупа от заказов конкурента</t>
        </is>
      </c>
      <c r="B3" s="36" t="n">
        <v>0.3</v>
      </c>
    </row>
    <row r="4">
      <c r="A4" s="34" t="inlineStr">
        <is>
          <t>Прочие расходы на 1 самовыкуп, ₽ (забор с ПВЗ, оформление)</t>
        </is>
      </c>
      <c r="B4" s="35" t="n">
        <v>50</v>
      </c>
    </row>
    <row r="5">
      <c r="A5" s="34" t="inlineStr">
        <is>
          <t>Стартовая доля продаж от конкурента (1-й мес продаж)</t>
        </is>
      </c>
      <c r="B5" s="36" t="n">
        <v>0.3</v>
      </c>
    </row>
    <row r="6">
      <c r="A6" s="34" t="inlineStr">
        <is>
          <t>Ежемесячный рост доли продаж, +п.п.</t>
        </is>
      </c>
      <c r="B6" s="36" t="n">
        <v>0.1</v>
      </c>
    </row>
    <row r="7">
      <c r="A7" s="37" t="inlineStr">
        <is>
          <t>Самовыкуп: платим цену с СПП (покупатель), получаем выплату Ozon с цены продавца (СПП финансирует Ozon), товар возвращается на склад → теряем только сборы Ozon сверх компенсации СПП + прочие расходы. Прибыль по месяцам = доля от конкурента (растёт +10 п.п./мес) × маржа/шт.</t>
        </is>
      </c>
    </row>
    <row r="9" ht="48" customHeight="1">
      <c r="A9" s="38" t="inlineStr">
        <is>
          <t>Товар</t>
        </is>
      </c>
      <c r="B9" s="38" t="inlineStr">
        <is>
          <t>Отзывов, шт</t>
        </is>
      </c>
      <c r="C9" s="38" t="inlineStr">
        <is>
          <t>Отзывы, ₽</t>
        </is>
      </c>
      <c r="D9" s="38" t="inlineStr">
        <is>
          <t>Заказы конкур., шт</t>
        </is>
      </c>
      <c r="E9" s="38" t="inlineStr">
        <is>
          <t>Самовыкупов, шт</t>
        </is>
      </c>
      <c r="F9" s="38" t="inlineStr">
        <is>
          <t>Цена выкупа (с СПП), ₽</t>
        </is>
      </c>
      <c r="G9" s="38" t="inlineStr">
        <is>
          <t>Сборы Ozon / выкуп, ₽</t>
        </is>
      </c>
      <c r="H9" s="38" t="inlineStr">
        <is>
          <t>Компенсация СПП, ₽</t>
        </is>
      </c>
      <c r="I9" s="38" t="inlineStr">
        <is>
          <t>Безвозврат / выкуп, ₽</t>
        </is>
      </c>
      <c r="J9" s="38" t="inlineStr">
        <is>
          <t>Самовыкупы, ₽</t>
        </is>
      </c>
      <c r="K9" s="38" t="inlineStr">
        <is>
          <t>Расходы 1-й мес, ₽</t>
        </is>
      </c>
      <c r="L9" s="38" t="inlineStr">
        <is>
          <t>Маржа/шт, ₽</t>
        </is>
      </c>
      <c r="M9" s="39" t="inlineStr">
        <is>
          <t>Прибыль Сентябрь, ₽</t>
        </is>
      </c>
      <c r="N9" s="39" t="inlineStr">
        <is>
          <t>Прибыль Октябрь, ₽</t>
        </is>
      </c>
      <c r="O9" s="39" t="inlineStr">
        <is>
          <t>Прибыль Ноябрь, ₽</t>
        </is>
      </c>
      <c r="P9" s="39" t="inlineStr">
        <is>
          <t>Прибыль Декабрь, ₽</t>
        </is>
      </c>
      <c r="Q9" s="38" t="inlineStr">
        <is>
          <t>ROI инвестиций (Сен–Дек)</t>
        </is>
      </c>
    </row>
    <row r="10">
      <c r="A10" s="40">
        <f>'Юнитка FBO'!A13</f>
        <v/>
      </c>
      <c r="B10" s="41">
        <f>'Юнитка FBO'!C13</f>
        <v/>
      </c>
      <c r="C10" s="41">
        <f>B10*$B$2</f>
        <v/>
      </c>
      <c r="D10" s="41">
        <f>'Юнитка FBO'!E13</f>
        <v/>
      </c>
      <c r="E10" s="41">
        <f>ROUND(D10*$B$3,0)</f>
        <v/>
      </c>
      <c r="F10" s="41">
        <f>'Юнитка FBO'!I13</f>
        <v/>
      </c>
      <c r="G10" s="41">
        <f>'Юнитка FBO'!K13+'Юнитка FBO'!N13+'Юнитка FBO'!O13+'Юнитка FBO'!P13+'Юнитка FBO'!Q13+'Юнитка FBO'!R13+'Юнитка FBO'!S13+'Юнитка FBO'!V13+'Юнитка FBO'!X13+'Юнитка FBO'!Y13+'Юнитка FBO'!AK13</f>
        <v/>
      </c>
      <c r="H10" s="41">
        <f>'Юнитка FBO'!G13-'Юнитка FBO'!I13</f>
        <v/>
      </c>
      <c r="I10" s="41">
        <f>MAX(0,G10-H10)+$B$4</f>
        <v/>
      </c>
      <c r="J10" s="41">
        <f>E10*I10</f>
        <v/>
      </c>
      <c r="K10" s="41">
        <f>C10+J10</f>
        <v/>
      </c>
      <c r="L10" s="41">
        <f>'Юнитка FBO'!AG13</f>
        <v/>
      </c>
      <c r="M10" s="41">
        <f>D10*L10*($B$5+0*$B$6)</f>
        <v/>
      </c>
      <c r="N10" s="41">
        <f>D10*L10*($B$5+1*$B$6)</f>
        <v/>
      </c>
      <c r="O10" s="41">
        <f>D10*L10*($B$5+2*$B$6)</f>
        <v/>
      </c>
      <c r="P10" s="41">
        <f>D10*L10*($B$5+3*$B$6)</f>
        <v/>
      </c>
      <c r="Q10" s="42">
        <f>IF(K10&gt;0,(M10+N10+O10+P10-K10)/K10,"—")</f>
        <v/>
      </c>
    </row>
    <row r="11">
      <c r="A11" s="40">
        <f>'Юнитка FBO'!A14</f>
        <v/>
      </c>
      <c r="B11" s="41">
        <f>'Юнитка FBO'!C14</f>
        <v/>
      </c>
      <c r="C11" s="41">
        <f>B11*$B$2</f>
        <v/>
      </c>
      <c r="D11" s="41">
        <f>'Юнитка FBO'!E14</f>
        <v/>
      </c>
      <c r="E11" s="41">
        <f>ROUND(D11*$B$3,0)</f>
        <v/>
      </c>
      <c r="F11" s="41">
        <f>'Юнитка FBO'!I14</f>
        <v/>
      </c>
      <c r="G11" s="41">
        <f>'Юнитка FBO'!K14+'Юнитка FBO'!N14+'Юнитка FBO'!O14+'Юнитка FBO'!P14+'Юнитка FBO'!Q14+'Юнитка FBO'!R14+'Юнитка FBO'!S14+'Юнитка FBO'!V14+'Юнитка FBO'!X14+'Юнитка FBO'!Y14+'Юнитка FBO'!AK14</f>
        <v/>
      </c>
      <c r="H11" s="41">
        <f>'Юнитка FBO'!G14-'Юнитка FBO'!I14</f>
        <v/>
      </c>
      <c r="I11" s="41">
        <f>MAX(0,G11-H11)+$B$4</f>
        <v/>
      </c>
      <c r="J11" s="41">
        <f>E11*I11</f>
        <v/>
      </c>
      <c r="K11" s="41">
        <f>C11+J11</f>
        <v/>
      </c>
      <c r="L11" s="41">
        <f>'Юнитка FBO'!AG14</f>
        <v/>
      </c>
      <c r="M11" s="41">
        <f>D11*L11*($B$5+0*$B$6)</f>
        <v/>
      </c>
      <c r="N11" s="41">
        <f>D11*L11*($B$5+1*$B$6)</f>
        <v/>
      </c>
      <c r="O11" s="41">
        <f>D11*L11*($B$5+2*$B$6)</f>
        <v/>
      </c>
      <c r="P11" s="41">
        <f>D11*L11*($B$5+3*$B$6)</f>
        <v/>
      </c>
      <c r="Q11" s="42">
        <f>IF(K11&gt;0,(M11+N11+O11+P11-K11)/K11,"—")</f>
        <v/>
      </c>
    </row>
    <row r="12">
      <c r="A12" s="40">
        <f>'Юнитка FBO'!A15</f>
        <v/>
      </c>
      <c r="B12" s="41">
        <f>'Юнитка FBO'!C15</f>
        <v/>
      </c>
      <c r="C12" s="41">
        <f>B12*$B$2</f>
        <v/>
      </c>
      <c r="D12" s="41">
        <f>'Юнитка FBO'!E15</f>
        <v/>
      </c>
      <c r="E12" s="41">
        <f>ROUND(D12*$B$3,0)</f>
        <v/>
      </c>
      <c r="F12" s="41">
        <f>'Юнитка FBO'!I15</f>
        <v/>
      </c>
      <c r="G12" s="41">
        <f>'Юнитка FBO'!K15+'Юнитка FBO'!N15+'Юнитка FBO'!O15+'Юнитка FBO'!P15+'Юнитка FBO'!Q15+'Юнитка FBO'!R15+'Юнитка FBO'!S15+'Юнитка FBO'!V15+'Юнитка FBO'!X15+'Юнитка FBO'!Y15+'Юнитка FBO'!AK15</f>
        <v/>
      </c>
      <c r="H12" s="41">
        <f>'Юнитка FBO'!G15-'Юнитка FBO'!I15</f>
        <v/>
      </c>
      <c r="I12" s="41">
        <f>MAX(0,G12-H12)+$B$4</f>
        <v/>
      </c>
      <c r="J12" s="41">
        <f>E12*I12</f>
        <v/>
      </c>
      <c r="K12" s="41">
        <f>C12+J12</f>
        <v/>
      </c>
      <c r="L12" s="41">
        <f>'Юнитка FBO'!AG15</f>
        <v/>
      </c>
      <c r="M12" s="41">
        <f>D12*L12*($B$5+0*$B$6)</f>
        <v/>
      </c>
      <c r="N12" s="41">
        <f>D12*L12*($B$5+1*$B$6)</f>
        <v/>
      </c>
      <c r="O12" s="41">
        <f>D12*L12*($B$5+2*$B$6)</f>
        <v/>
      </c>
      <c r="P12" s="41">
        <f>D12*L12*($B$5+3*$B$6)</f>
        <v/>
      </c>
      <c r="Q12" s="42">
        <f>IF(K12&gt;0,(M12+N12+O12+P12-K12)/K12,"—")</f>
        <v/>
      </c>
    </row>
    <row r="13">
      <c r="A13" s="40">
        <f>'Юнитка FBO'!A16</f>
        <v/>
      </c>
      <c r="B13" s="41">
        <f>'Юнитка FBO'!C16</f>
        <v/>
      </c>
      <c r="C13" s="41">
        <f>B13*$B$2</f>
        <v/>
      </c>
      <c r="D13" s="41">
        <f>'Юнитка FBO'!E16</f>
        <v/>
      </c>
      <c r="E13" s="41">
        <f>ROUND(D13*$B$3,0)</f>
        <v/>
      </c>
      <c r="F13" s="41">
        <f>'Юнитка FBO'!I16</f>
        <v/>
      </c>
      <c r="G13" s="41">
        <f>'Юнитка FBO'!K16+'Юнитка FBO'!N16+'Юнитка FBO'!O16+'Юнитка FBO'!P16+'Юнитка FBO'!Q16+'Юнитка FBO'!R16+'Юнитка FBO'!S16+'Юнитка FBO'!V16+'Юнитка FBO'!X16+'Юнитка FBO'!Y16+'Юнитка FBO'!AK16</f>
        <v/>
      </c>
      <c r="H13" s="41">
        <f>'Юнитка FBO'!G16-'Юнитка FBO'!I16</f>
        <v/>
      </c>
      <c r="I13" s="41">
        <f>MAX(0,G13-H13)+$B$4</f>
        <v/>
      </c>
      <c r="J13" s="41">
        <f>E13*I13</f>
        <v/>
      </c>
      <c r="K13" s="41">
        <f>C13+J13</f>
        <v/>
      </c>
      <c r="L13" s="41">
        <f>'Юнитка FBO'!AG16</f>
        <v/>
      </c>
      <c r="M13" s="41">
        <f>D13*L13*($B$5+0*$B$6)</f>
        <v/>
      </c>
      <c r="N13" s="41">
        <f>D13*L13*($B$5+1*$B$6)</f>
        <v/>
      </c>
      <c r="O13" s="41">
        <f>D13*L13*($B$5+2*$B$6)</f>
        <v/>
      </c>
      <c r="P13" s="41">
        <f>D13*L13*($B$5+3*$B$6)</f>
        <v/>
      </c>
      <c r="Q13" s="42">
        <f>IF(K13&gt;0,(M13+N13+O13+P13-K13)/K13,"—")</f>
        <v/>
      </c>
    </row>
    <row r="14">
      <c r="A14" s="40">
        <f>'Юнитка FBO'!A17</f>
        <v/>
      </c>
      <c r="B14" s="41">
        <f>'Юнитка FBO'!C17</f>
        <v/>
      </c>
      <c r="C14" s="41">
        <f>B14*$B$2</f>
        <v/>
      </c>
      <c r="D14" s="41">
        <f>'Юнитка FBO'!E17</f>
        <v/>
      </c>
      <c r="E14" s="41">
        <f>ROUND(D14*$B$3,0)</f>
        <v/>
      </c>
      <c r="F14" s="41">
        <f>'Юнитка FBO'!I17</f>
        <v/>
      </c>
      <c r="G14" s="41">
        <f>'Юнитка FBO'!K17+'Юнитка FBO'!N17+'Юнитка FBO'!O17+'Юнитка FBO'!P17+'Юнитка FBO'!Q17+'Юнитка FBO'!R17+'Юнитка FBO'!S17+'Юнитка FBO'!V17+'Юнитка FBO'!X17+'Юнитка FBO'!Y17+'Юнитка FBO'!AK17</f>
        <v/>
      </c>
      <c r="H14" s="41">
        <f>'Юнитка FBO'!G17-'Юнитка FBO'!I17</f>
        <v/>
      </c>
      <c r="I14" s="41">
        <f>MAX(0,G14-H14)+$B$4</f>
        <v/>
      </c>
      <c r="J14" s="41">
        <f>E14*I14</f>
        <v/>
      </c>
      <c r="K14" s="41">
        <f>C14+J14</f>
        <v/>
      </c>
      <c r="L14" s="41">
        <f>'Юнитка FBO'!AG17</f>
        <v/>
      </c>
      <c r="M14" s="41">
        <f>D14*L14*($B$5+0*$B$6)</f>
        <v/>
      </c>
      <c r="N14" s="41">
        <f>D14*L14*($B$5+1*$B$6)</f>
        <v/>
      </c>
      <c r="O14" s="41">
        <f>D14*L14*($B$5+2*$B$6)</f>
        <v/>
      </c>
      <c r="P14" s="41">
        <f>D14*L14*($B$5+3*$B$6)</f>
        <v/>
      </c>
      <c r="Q14" s="42">
        <f>IF(K14&gt;0,(M14+N14+O14+P14-K14)/K14,"—")</f>
        <v/>
      </c>
    </row>
    <row r="15">
      <c r="A15" s="40">
        <f>'Юнитка FBO'!A18</f>
        <v/>
      </c>
      <c r="B15" s="41">
        <f>'Юнитка FBO'!C18</f>
        <v/>
      </c>
      <c r="C15" s="41">
        <f>B15*$B$2</f>
        <v/>
      </c>
      <c r="D15" s="41">
        <f>'Юнитка FBO'!E18</f>
        <v/>
      </c>
      <c r="E15" s="41">
        <f>ROUND(D15*$B$3,0)</f>
        <v/>
      </c>
      <c r="F15" s="41">
        <f>'Юнитка FBO'!I18</f>
        <v/>
      </c>
      <c r="G15" s="41">
        <f>'Юнитка FBO'!K18+'Юнитка FBO'!N18+'Юнитка FBO'!O18+'Юнитка FBO'!P18+'Юнитка FBO'!Q18+'Юнитка FBO'!R18+'Юнитка FBO'!S18+'Юнитка FBO'!V18+'Юнитка FBO'!X18+'Юнитка FBO'!Y18+'Юнитка FBO'!AK18</f>
        <v/>
      </c>
      <c r="H15" s="41">
        <f>'Юнитка FBO'!G18-'Юнитка FBO'!I18</f>
        <v/>
      </c>
      <c r="I15" s="41">
        <f>MAX(0,G15-H15)+$B$4</f>
        <v/>
      </c>
      <c r="J15" s="41">
        <f>E15*I15</f>
        <v/>
      </c>
      <c r="K15" s="41">
        <f>C15+J15</f>
        <v/>
      </c>
      <c r="L15" s="41">
        <f>'Юнитка FBO'!AG18</f>
        <v/>
      </c>
      <c r="M15" s="41">
        <f>D15*L15*($B$5+0*$B$6)</f>
        <v/>
      </c>
      <c r="N15" s="41">
        <f>D15*L15*($B$5+1*$B$6)</f>
        <v/>
      </c>
      <c r="O15" s="41">
        <f>D15*L15*($B$5+2*$B$6)</f>
        <v/>
      </c>
      <c r="P15" s="41">
        <f>D15*L15*($B$5+3*$B$6)</f>
        <v/>
      </c>
      <c r="Q15" s="42">
        <f>IF(K15&gt;0,(M15+N15+O15+P15-K15)/K15,"—")</f>
        <v/>
      </c>
    </row>
    <row r="16">
      <c r="A16" s="40">
        <f>'Юнитка FBO'!A19</f>
        <v/>
      </c>
      <c r="B16" s="41">
        <f>'Юнитка FBO'!C19</f>
        <v/>
      </c>
      <c r="C16" s="41">
        <f>B16*$B$2</f>
        <v/>
      </c>
      <c r="D16" s="41">
        <f>'Юнитка FBO'!E19</f>
        <v/>
      </c>
      <c r="E16" s="41">
        <f>ROUND(D16*$B$3,0)</f>
        <v/>
      </c>
      <c r="F16" s="41">
        <f>'Юнитка FBO'!I19</f>
        <v/>
      </c>
      <c r="G16" s="41">
        <f>'Юнитка FBO'!K19+'Юнитка FBO'!N19+'Юнитка FBO'!O19+'Юнитка FBO'!P19+'Юнитка FBO'!Q19+'Юнитка FBO'!R19+'Юнитка FBO'!S19+'Юнитка FBO'!V19+'Юнитка FBO'!X19+'Юнитка FBO'!Y19+'Юнитка FBO'!AK19</f>
        <v/>
      </c>
      <c r="H16" s="41">
        <f>'Юнитка FBO'!G19-'Юнитка FBO'!I19</f>
        <v/>
      </c>
      <c r="I16" s="41">
        <f>MAX(0,G16-H16)+$B$4</f>
        <v/>
      </c>
      <c r="J16" s="41">
        <f>E16*I16</f>
        <v/>
      </c>
      <c r="K16" s="41">
        <f>C16+J16</f>
        <v/>
      </c>
      <c r="L16" s="41">
        <f>'Юнитка FBO'!AG19</f>
        <v/>
      </c>
      <c r="M16" s="41">
        <f>D16*L16*($B$5+0*$B$6)</f>
        <v/>
      </c>
      <c r="N16" s="41">
        <f>D16*L16*($B$5+1*$B$6)</f>
        <v/>
      </c>
      <c r="O16" s="41">
        <f>D16*L16*($B$5+2*$B$6)</f>
        <v/>
      </c>
      <c r="P16" s="41">
        <f>D16*L16*($B$5+3*$B$6)</f>
        <v/>
      </c>
      <c r="Q16" s="42">
        <f>IF(K16&gt;0,(M16+N16+O16+P16-K16)/K16,"—")</f>
        <v/>
      </c>
    </row>
    <row r="17">
      <c r="A17" s="40">
        <f>'Юнитка FBO'!A20</f>
        <v/>
      </c>
      <c r="B17" s="41">
        <f>'Юнитка FBO'!C20</f>
        <v/>
      </c>
      <c r="C17" s="41">
        <f>B17*$B$2</f>
        <v/>
      </c>
      <c r="D17" s="41">
        <f>'Юнитка FBO'!E20</f>
        <v/>
      </c>
      <c r="E17" s="41">
        <f>ROUND(D17*$B$3,0)</f>
        <v/>
      </c>
      <c r="F17" s="41">
        <f>'Юнитка FBO'!I20</f>
        <v/>
      </c>
      <c r="G17" s="41">
        <f>'Юнитка FBO'!K20+'Юнитка FBO'!N20+'Юнитка FBO'!O20+'Юнитка FBO'!P20+'Юнитка FBO'!Q20+'Юнитка FBO'!R20+'Юнитка FBO'!S20+'Юнитка FBO'!V20+'Юнитка FBO'!X20+'Юнитка FBO'!Y20+'Юнитка FBO'!AK20</f>
        <v/>
      </c>
      <c r="H17" s="41">
        <f>'Юнитка FBO'!G20-'Юнитка FBO'!I20</f>
        <v/>
      </c>
      <c r="I17" s="41">
        <f>MAX(0,G17-H17)+$B$4</f>
        <v/>
      </c>
      <c r="J17" s="41">
        <f>E17*I17</f>
        <v/>
      </c>
      <c r="K17" s="41">
        <f>C17+J17</f>
        <v/>
      </c>
      <c r="L17" s="41">
        <f>'Юнитка FBO'!AG20</f>
        <v/>
      </c>
      <c r="M17" s="41">
        <f>D17*L17*($B$5+0*$B$6)</f>
        <v/>
      </c>
      <c r="N17" s="41">
        <f>D17*L17*($B$5+1*$B$6)</f>
        <v/>
      </c>
      <c r="O17" s="41">
        <f>D17*L17*($B$5+2*$B$6)</f>
        <v/>
      </c>
      <c r="P17" s="41">
        <f>D17*L17*($B$5+3*$B$6)</f>
        <v/>
      </c>
      <c r="Q17" s="42">
        <f>IF(K17&gt;0,(M17+N17+O17+P17-K17)/K17,"—")</f>
        <v/>
      </c>
    </row>
    <row r="18">
      <c r="A18" s="40">
        <f>'Юнитка FBO'!A21</f>
        <v/>
      </c>
      <c r="B18" s="41">
        <f>'Юнитка FBO'!C21</f>
        <v/>
      </c>
      <c r="C18" s="41">
        <f>B18*$B$2</f>
        <v/>
      </c>
      <c r="D18" s="41">
        <f>'Юнитка FBO'!E21</f>
        <v/>
      </c>
      <c r="E18" s="41">
        <f>ROUND(D18*$B$3,0)</f>
        <v/>
      </c>
      <c r="F18" s="41">
        <f>'Юнитка FBO'!I21</f>
        <v/>
      </c>
      <c r="G18" s="41">
        <f>'Юнитка FBO'!K21+'Юнитка FBO'!N21+'Юнитка FBO'!O21+'Юнитка FBO'!P21+'Юнитка FBO'!Q21+'Юнитка FBO'!R21+'Юнитка FBO'!S21+'Юнитка FBO'!V21+'Юнитка FBO'!X21+'Юнитка FBO'!Y21+'Юнитка FBO'!AK21</f>
        <v/>
      </c>
      <c r="H18" s="41">
        <f>'Юнитка FBO'!G21-'Юнитка FBO'!I21</f>
        <v/>
      </c>
      <c r="I18" s="41">
        <f>MAX(0,G18-H18)+$B$4</f>
        <v/>
      </c>
      <c r="J18" s="41">
        <f>E18*I18</f>
        <v/>
      </c>
      <c r="K18" s="41">
        <f>C18+J18</f>
        <v/>
      </c>
      <c r="L18" s="41">
        <f>'Юнитка FBO'!AG21</f>
        <v/>
      </c>
      <c r="M18" s="41">
        <f>D18*L18*($B$5+0*$B$6)</f>
        <v/>
      </c>
      <c r="N18" s="41">
        <f>D18*L18*($B$5+1*$B$6)</f>
        <v/>
      </c>
      <c r="O18" s="41">
        <f>D18*L18*($B$5+2*$B$6)</f>
        <v/>
      </c>
      <c r="P18" s="41">
        <f>D18*L18*($B$5+3*$B$6)</f>
        <v/>
      </c>
      <c r="Q18" s="42">
        <f>IF(K18&gt;0,(M18+N18+O18+P18-K18)/K18,"—")</f>
        <v/>
      </c>
    </row>
    <row r="19">
      <c r="A19" s="40">
        <f>'Юнитка FBO'!A22</f>
        <v/>
      </c>
      <c r="B19" s="41">
        <f>'Юнитка FBO'!C22</f>
        <v/>
      </c>
      <c r="C19" s="41">
        <f>B19*$B$2</f>
        <v/>
      </c>
      <c r="D19" s="41">
        <f>'Юнитка FBO'!E22</f>
        <v/>
      </c>
      <c r="E19" s="41">
        <f>ROUND(D19*$B$3,0)</f>
        <v/>
      </c>
      <c r="F19" s="41">
        <f>'Юнитка FBO'!I22</f>
        <v/>
      </c>
      <c r="G19" s="41">
        <f>'Юнитка FBO'!K22+'Юнитка FBO'!N22+'Юнитка FBO'!O22+'Юнитка FBO'!P22+'Юнитка FBO'!Q22+'Юнитка FBO'!R22+'Юнитка FBO'!S22+'Юнитка FBO'!V22+'Юнитка FBO'!X22+'Юнитка FBO'!Y22+'Юнитка FBO'!AK22</f>
        <v/>
      </c>
      <c r="H19" s="41">
        <f>'Юнитка FBO'!G22-'Юнитка FBO'!I22</f>
        <v/>
      </c>
      <c r="I19" s="41">
        <f>MAX(0,G19-H19)+$B$4</f>
        <v/>
      </c>
      <c r="J19" s="41">
        <f>E19*I19</f>
        <v/>
      </c>
      <c r="K19" s="41">
        <f>C19+J19</f>
        <v/>
      </c>
      <c r="L19" s="41">
        <f>'Юнитка FBO'!AG22</f>
        <v/>
      </c>
      <c r="M19" s="41">
        <f>D19*L19*($B$5+0*$B$6)</f>
        <v/>
      </c>
      <c r="N19" s="41">
        <f>D19*L19*($B$5+1*$B$6)</f>
        <v/>
      </c>
      <c r="O19" s="41">
        <f>D19*L19*($B$5+2*$B$6)</f>
        <v/>
      </c>
      <c r="P19" s="41">
        <f>D19*L19*($B$5+3*$B$6)</f>
        <v/>
      </c>
      <c r="Q19" s="42">
        <f>IF(K19&gt;0,(M19+N19+O19+P19-K19)/K19,"—")</f>
        <v/>
      </c>
    </row>
    <row r="20">
      <c r="A20" s="40">
        <f>'Юнитка FBO'!A23</f>
        <v/>
      </c>
      <c r="B20" s="41">
        <f>'Юнитка FBO'!C23</f>
        <v/>
      </c>
      <c r="C20" s="41">
        <f>B20*$B$2</f>
        <v/>
      </c>
      <c r="D20" s="41">
        <f>'Юнитка FBO'!E23</f>
        <v/>
      </c>
      <c r="E20" s="41">
        <f>ROUND(D20*$B$3,0)</f>
        <v/>
      </c>
      <c r="F20" s="41">
        <f>'Юнитка FBO'!I23</f>
        <v/>
      </c>
      <c r="G20" s="41">
        <f>'Юнитка FBO'!K23+'Юнитка FBO'!N23+'Юнитка FBO'!O23+'Юнитка FBO'!P23+'Юнитка FBO'!Q23+'Юнитка FBO'!R23+'Юнитка FBO'!S23+'Юнитка FBO'!V23+'Юнитка FBO'!X23+'Юнитка FBO'!Y23+'Юнитка FBO'!AK23</f>
        <v/>
      </c>
      <c r="H20" s="41">
        <f>'Юнитка FBO'!G23-'Юнитка FBO'!I23</f>
        <v/>
      </c>
      <c r="I20" s="41">
        <f>MAX(0,G20-H20)+$B$4</f>
        <v/>
      </c>
      <c r="J20" s="41">
        <f>E20*I20</f>
        <v/>
      </c>
      <c r="K20" s="41">
        <f>C20+J20</f>
        <v/>
      </c>
      <c r="L20" s="41">
        <f>'Юнитка FBO'!AG23</f>
        <v/>
      </c>
      <c r="M20" s="41">
        <f>D20*L20*($B$5+0*$B$6)</f>
        <v/>
      </c>
      <c r="N20" s="41">
        <f>D20*L20*($B$5+1*$B$6)</f>
        <v/>
      </c>
      <c r="O20" s="41">
        <f>D20*L20*($B$5+2*$B$6)</f>
        <v/>
      </c>
      <c r="P20" s="41">
        <f>D20*L20*($B$5+3*$B$6)</f>
        <v/>
      </c>
      <c r="Q20" s="42">
        <f>IF(K20&gt;0,(M20+N20+O20+P20-K20)/K20,"—")</f>
        <v/>
      </c>
    </row>
    <row r="21">
      <c r="A21" s="40">
        <f>'Юнитка FBO'!A24</f>
        <v/>
      </c>
      <c r="B21" s="41">
        <f>'Юнитка FBO'!C24</f>
        <v/>
      </c>
      <c r="C21" s="41">
        <f>B21*$B$2</f>
        <v/>
      </c>
      <c r="D21" s="41">
        <f>'Юнитка FBO'!E24</f>
        <v/>
      </c>
      <c r="E21" s="41">
        <f>ROUND(D21*$B$3,0)</f>
        <v/>
      </c>
      <c r="F21" s="41">
        <f>'Юнитка FBO'!I24</f>
        <v/>
      </c>
      <c r="G21" s="41">
        <f>'Юнитка FBO'!K24+'Юнитка FBO'!N24+'Юнитка FBO'!O24+'Юнитка FBO'!P24+'Юнитка FBO'!Q24+'Юнитка FBO'!R24+'Юнитка FBO'!S24+'Юнитка FBO'!V24+'Юнитка FBO'!X24+'Юнитка FBO'!Y24+'Юнитка FBO'!AK24</f>
        <v/>
      </c>
      <c r="H21" s="41">
        <f>'Юнитка FBO'!G24-'Юнитка FBO'!I24</f>
        <v/>
      </c>
      <c r="I21" s="41">
        <f>MAX(0,G21-H21)+$B$4</f>
        <v/>
      </c>
      <c r="J21" s="41">
        <f>E21*I21</f>
        <v/>
      </c>
      <c r="K21" s="41">
        <f>C21+J21</f>
        <v/>
      </c>
      <c r="L21" s="41">
        <f>'Юнитка FBO'!AG24</f>
        <v/>
      </c>
      <c r="M21" s="41">
        <f>D21*L21*($B$5+0*$B$6)</f>
        <v/>
      </c>
      <c r="N21" s="41">
        <f>D21*L21*($B$5+1*$B$6)</f>
        <v/>
      </c>
      <c r="O21" s="41">
        <f>D21*L21*($B$5+2*$B$6)</f>
        <v/>
      </c>
      <c r="P21" s="41">
        <f>D21*L21*($B$5+3*$B$6)</f>
        <v/>
      </c>
      <c r="Q21" s="42">
        <f>IF(K21&gt;0,(M21+N21+O21+P21-K21)/K21,"—")</f>
        <v/>
      </c>
    </row>
    <row r="22">
      <c r="A22" s="40">
        <f>'Юнитка FBO'!A25</f>
        <v/>
      </c>
      <c r="B22" s="41">
        <f>'Юнитка FBO'!C25</f>
        <v/>
      </c>
      <c r="C22" s="41">
        <f>B22*$B$2</f>
        <v/>
      </c>
      <c r="D22" s="41">
        <f>'Юнитка FBO'!E25</f>
        <v/>
      </c>
      <c r="E22" s="41">
        <f>ROUND(D22*$B$3,0)</f>
        <v/>
      </c>
      <c r="F22" s="41">
        <f>'Юнитка FBO'!I25</f>
        <v/>
      </c>
      <c r="G22" s="41">
        <f>'Юнитка FBO'!K25+'Юнитка FBO'!N25+'Юнитка FBO'!O25+'Юнитка FBO'!P25+'Юнитка FBO'!Q25+'Юнитка FBO'!R25+'Юнитка FBO'!S25+'Юнитка FBO'!V25+'Юнитка FBO'!X25+'Юнитка FBO'!Y25+'Юнитка FBO'!AK25</f>
        <v/>
      </c>
      <c r="H22" s="41">
        <f>'Юнитка FBO'!G25-'Юнитка FBO'!I25</f>
        <v/>
      </c>
      <c r="I22" s="41">
        <f>MAX(0,G22-H22)+$B$4</f>
        <v/>
      </c>
      <c r="J22" s="41">
        <f>E22*I22</f>
        <v/>
      </c>
      <c r="K22" s="41">
        <f>C22+J22</f>
        <v/>
      </c>
      <c r="L22" s="41">
        <f>'Юнитка FBO'!AG25</f>
        <v/>
      </c>
      <c r="M22" s="41">
        <f>D22*L22*($B$5+0*$B$6)</f>
        <v/>
      </c>
      <c r="N22" s="41">
        <f>D22*L22*($B$5+1*$B$6)</f>
        <v/>
      </c>
      <c r="O22" s="41">
        <f>D22*L22*($B$5+2*$B$6)</f>
        <v/>
      </c>
      <c r="P22" s="41">
        <f>D22*L22*($B$5+3*$B$6)</f>
        <v/>
      </c>
      <c r="Q22" s="42">
        <f>IF(K22&gt;0,(M22+N22+O22+P22-K22)/K22,"—")</f>
        <v/>
      </c>
    </row>
    <row r="23">
      <c r="A23" s="40">
        <f>'Юнитка FBO'!A26</f>
        <v/>
      </c>
      <c r="B23" s="41">
        <f>'Юнитка FBO'!C26</f>
        <v/>
      </c>
      <c r="C23" s="41">
        <f>B23*$B$2</f>
        <v/>
      </c>
      <c r="D23" s="41">
        <f>'Юнитка FBO'!E26</f>
        <v/>
      </c>
      <c r="E23" s="41">
        <f>ROUND(D23*$B$3,0)</f>
        <v/>
      </c>
      <c r="F23" s="41">
        <f>'Юнитка FBO'!I26</f>
        <v/>
      </c>
      <c r="G23" s="41">
        <f>'Юнитка FBO'!K26+'Юнитка FBO'!N26+'Юнитка FBO'!O26+'Юнитка FBO'!P26+'Юнитка FBO'!Q26+'Юнитка FBO'!R26+'Юнитка FBO'!S26+'Юнитка FBO'!V26+'Юнитка FBO'!X26+'Юнитка FBO'!Y26+'Юнитка FBO'!AK26</f>
        <v/>
      </c>
      <c r="H23" s="41">
        <f>'Юнитка FBO'!G26-'Юнитка FBO'!I26</f>
        <v/>
      </c>
      <c r="I23" s="41">
        <f>MAX(0,G23-H23)+$B$4</f>
        <v/>
      </c>
      <c r="J23" s="41">
        <f>E23*I23</f>
        <v/>
      </c>
      <c r="K23" s="41">
        <f>C23+J23</f>
        <v/>
      </c>
      <c r="L23" s="41">
        <f>'Юнитка FBO'!AG26</f>
        <v/>
      </c>
      <c r="M23" s="41">
        <f>D23*L23*($B$5+0*$B$6)</f>
        <v/>
      </c>
      <c r="N23" s="41">
        <f>D23*L23*($B$5+1*$B$6)</f>
        <v/>
      </c>
      <c r="O23" s="41">
        <f>D23*L23*($B$5+2*$B$6)</f>
        <v/>
      </c>
      <c r="P23" s="41">
        <f>D23*L23*($B$5+3*$B$6)</f>
        <v/>
      </c>
      <c r="Q23" s="42">
        <f>IF(K23&gt;0,(M23+N23+O23+P23-K23)/K23,"—")</f>
        <v/>
      </c>
    </row>
    <row r="24">
      <c r="A24" s="40">
        <f>'Юнитка FBO'!A27</f>
        <v/>
      </c>
      <c r="B24" s="41">
        <f>'Юнитка FBO'!C27</f>
        <v/>
      </c>
      <c r="C24" s="41">
        <f>B24*$B$2</f>
        <v/>
      </c>
      <c r="D24" s="41">
        <f>'Юнитка FBO'!E27</f>
        <v/>
      </c>
      <c r="E24" s="41">
        <f>ROUND(D24*$B$3,0)</f>
        <v/>
      </c>
      <c r="F24" s="41">
        <f>'Юнитка FBO'!I27</f>
        <v/>
      </c>
      <c r="G24" s="41">
        <f>'Юнитка FBO'!K27+'Юнитка FBO'!N27+'Юнитка FBO'!O27+'Юнитка FBO'!P27+'Юнитка FBO'!Q27+'Юнитка FBO'!R27+'Юнитка FBO'!S27+'Юнитка FBO'!V27+'Юнитка FBO'!X27+'Юнитка FBO'!Y27+'Юнитка FBO'!AK27</f>
        <v/>
      </c>
      <c r="H24" s="41">
        <f>'Юнитка FBO'!G27-'Юнитка FBO'!I27</f>
        <v/>
      </c>
      <c r="I24" s="41">
        <f>MAX(0,G24-H24)+$B$4</f>
        <v/>
      </c>
      <c r="J24" s="41">
        <f>E24*I24</f>
        <v/>
      </c>
      <c r="K24" s="41">
        <f>C24+J24</f>
        <v/>
      </c>
      <c r="L24" s="41">
        <f>'Юнитка FBO'!AG27</f>
        <v/>
      </c>
      <c r="M24" s="41">
        <f>D24*L24*($B$5+0*$B$6)</f>
        <v/>
      </c>
      <c r="N24" s="41">
        <f>D24*L24*($B$5+1*$B$6)</f>
        <v/>
      </c>
      <c r="O24" s="41">
        <f>D24*L24*($B$5+2*$B$6)</f>
        <v/>
      </c>
      <c r="P24" s="41">
        <f>D24*L24*($B$5+3*$B$6)</f>
        <v/>
      </c>
      <c r="Q24" s="42">
        <f>IF(K24&gt;0,(M24+N24+O24+P24-K24)/K24,"—")</f>
        <v/>
      </c>
    </row>
    <row r="25">
      <c r="A25" s="40">
        <f>'Юнитка FBO'!A28</f>
        <v/>
      </c>
      <c r="B25" s="41">
        <f>'Юнитка FBO'!C28</f>
        <v/>
      </c>
      <c r="C25" s="41">
        <f>B25*$B$2</f>
        <v/>
      </c>
      <c r="D25" s="41">
        <f>'Юнитка FBO'!E28</f>
        <v/>
      </c>
      <c r="E25" s="41">
        <f>ROUND(D25*$B$3,0)</f>
        <v/>
      </c>
      <c r="F25" s="41">
        <f>'Юнитка FBO'!I28</f>
        <v/>
      </c>
      <c r="G25" s="41">
        <f>'Юнитка FBO'!K28+'Юнитка FBO'!N28+'Юнитка FBO'!O28+'Юнитка FBO'!P28+'Юнитка FBO'!Q28+'Юнитка FBO'!R28+'Юнитка FBO'!S28+'Юнитка FBO'!V28+'Юнитка FBO'!X28+'Юнитка FBO'!Y28+'Юнитка FBO'!AK28</f>
        <v/>
      </c>
      <c r="H25" s="41">
        <f>'Юнитка FBO'!G28-'Юнитка FBO'!I28</f>
        <v/>
      </c>
      <c r="I25" s="41">
        <f>MAX(0,G25-H25)+$B$4</f>
        <v/>
      </c>
      <c r="J25" s="41">
        <f>E25*I25</f>
        <v/>
      </c>
      <c r="K25" s="41">
        <f>C25+J25</f>
        <v/>
      </c>
      <c r="L25" s="41">
        <f>'Юнитка FBO'!AG28</f>
        <v/>
      </c>
      <c r="M25" s="41">
        <f>D25*L25*($B$5+0*$B$6)</f>
        <v/>
      </c>
      <c r="N25" s="41">
        <f>D25*L25*($B$5+1*$B$6)</f>
        <v/>
      </c>
      <c r="O25" s="41">
        <f>D25*L25*($B$5+2*$B$6)</f>
        <v/>
      </c>
      <c r="P25" s="41">
        <f>D25*L25*($B$5+3*$B$6)</f>
        <v/>
      </c>
      <c r="Q25" s="42">
        <f>IF(K25&gt;0,(M25+N25+O25+P25-K25)/K25,"—")</f>
        <v/>
      </c>
    </row>
    <row r="26">
      <c r="A26" s="40">
        <f>'Юнитка FBO'!A29</f>
        <v/>
      </c>
      <c r="B26" s="41">
        <f>'Юнитка FBO'!C29</f>
        <v/>
      </c>
      <c r="C26" s="41">
        <f>B26*$B$2</f>
        <v/>
      </c>
      <c r="D26" s="41">
        <f>'Юнитка FBO'!E29</f>
        <v/>
      </c>
      <c r="E26" s="41">
        <f>ROUND(D26*$B$3,0)</f>
        <v/>
      </c>
      <c r="F26" s="41">
        <f>'Юнитка FBO'!I29</f>
        <v/>
      </c>
      <c r="G26" s="41">
        <f>'Юнитка FBO'!K29+'Юнитка FBO'!N29+'Юнитка FBO'!O29+'Юнитка FBO'!P29+'Юнитка FBO'!Q29+'Юнитка FBO'!R29+'Юнитка FBO'!S29+'Юнитка FBO'!V29+'Юнитка FBO'!X29+'Юнитка FBO'!Y29+'Юнитка FBO'!AK29</f>
        <v/>
      </c>
      <c r="H26" s="41">
        <f>'Юнитка FBO'!G29-'Юнитка FBO'!I29</f>
        <v/>
      </c>
      <c r="I26" s="41">
        <f>MAX(0,G26-H26)+$B$4</f>
        <v/>
      </c>
      <c r="J26" s="41">
        <f>E26*I26</f>
        <v/>
      </c>
      <c r="K26" s="41">
        <f>C26+J26</f>
        <v/>
      </c>
      <c r="L26" s="41">
        <f>'Юнитка FBO'!AG29</f>
        <v/>
      </c>
      <c r="M26" s="41">
        <f>D26*L26*($B$5+0*$B$6)</f>
        <v/>
      </c>
      <c r="N26" s="41">
        <f>D26*L26*($B$5+1*$B$6)</f>
        <v/>
      </c>
      <c r="O26" s="41">
        <f>D26*L26*($B$5+2*$B$6)</f>
        <v/>
      </c>
      <c r="P26" s="41">
        <f>D26*L26*($B$5+3*$B$6)</f>
        <v/>
      </c>
      <c r="Q26" s="42">
        <f>IF(K26&gt;0,(M26+N26+O26+P26-K26)/K26,"—")</f>
        <v/>
      </c>
    </row>
    <row r="27">
      <c r="A27" s="40">
        <f>'Юнитка FBO'!A30</f>
        <v/>
      </c>
      <c r="B27" s="41">
        <f>'Юнитка FBO'!C30</f>
        <v/>
      </c>
      <c r="C27" s="41">
        <f>B27*$B$2</f>
        <v/>
      </c>
      <c r="D27" s="41">
        <f>'Юнитка FBO'!E30</f>
        <v/>
      </c>
      <c r="E27" s="41">
        <f>ROUND(D27*$B$3,0)</f>
        <v/>
      </c>
      <c r="F27" s="41">
        <f>'Юнитка FBO'!I30</f>
        <v/>
      </c>
      <c r="G27" s="41">
        <f>'Юнитка FBO'!K30+'Юнитка FBO'!N30+'Юнитка FBO'!O30+'Юнитка FBO'!P30+'Юнитка FBO'!Q30+'Юнитка FBO'!R30+'Юнитка FBO'!S30+'Юнитка FBO'!V30+'Юнитка FBO'!X30+'Юнитка FBO'!Y30+'Юнитка FBO'!AK30</f>
        <v/>
      </c>
      <c r="H27" s="41">
        <f>'Юнитка FBO'!G30-'Юнитка FBO'!I30</f>
        <v/>
      </c>
      <c r="I27" s="41">
        <f>MAX(0,G27-H27)+$B$4</f>
        <v/>
      </c>
      <c r="J27" s="41">
        <f>E27*I27</f>
        <v/>
      </c>
      <c r="K27" s="41">
        <f>C27+J27</f>
        <v/>
      </c>
      <c r="L27" s="41">
        <f>'Юнитка FBO'!AG30</f>
        <v/>
      </c>
      <c r="M27" s="41">
        <f>D27*L27*($B$5+0*$B$6)</f>
        <v/>
      </c>
      <c r="N27" s="41">
        <f>D27*L27*($B$5+1*$B$6)</f>
        <v/>
      </c>
      <c r="O27" s="41">
        <f>D27*L27*($B$5+2*$B$6)</f>
        <v/>
      </c>
      <c r="P27" s="41">
        <f>D27*L27*($B$5+3*$B$6)</f>
        <v/>
      </c>
      <c r="Q27" s="42">
        <f>IF(K27&gt;0,(M27+N27+O27+P27-K27)/K27,"—")</f>
        <v/>
      </c>
    </row>
    <row r="28">
      <c r="A28" s="40">
        <f>'Юнитка FBO'!A31</f>
        <v/>
      </c>
      <c r="B28" s="41">
        <f>'Юнитка FBO'!C31</f>
        <v/>
      </c>
      <c r="C28" s="41">
        <f>B28*$B$2</f>
        <v/>
      </c>
      <c r="D28" s="41">
        <f>'Юнитка FBO'!E31</f>
        <v/>
      </c>
      <c r="E28" s="41">
        <f>ROUND(D28*$B$3,0)</f>
        <v/>
      </c>
      <c r="F28" s="41">
        <f>'Юнитка FBO'!I31</f>
        <v/>
      </c>
      <c r="G28" s="41">
        <f>'Юнитка FBO'!K31+'Юнитка FBO'!N31+'Юнитка FBO'!O31+'Юнитка FBO'!P31+'Юнитка FBO'!Q31+'Юнитка FBO'!R31+'Юнитка FBO'!S31+'Юнитка FBO'!V31+'Юнитка FBO'!X31+'Юнитка FBO'!Y31+'Юнитка FBO'!AK31</f>
        <v/>
      </c>
      <c r="H28" s="41">
        <f>'Юнитка FBO'!G31-'Юнитка FBO'!I31</f>
        <v/>
      </c>
      <c r="I28" s="41">
        <f>MAX(0,G28-H28)+$B$4</f>
        <v/>
      </c>
      <c r="J28" s="41">
        <f>E28*I28</f>
        <v/>
      </c>
      <c r="K28" s="41">
        <f>C28+J28</f>
        <v/>
      </c>
      <c r="L28" s="41">
        <f>'Юнитка FBO'!AG31</f>
        <v/>
      </c>
      <c r="M28" s="41">
        <f>D28*L28*($B$5+0*$B$6)</f>
        <v/>
      </c>
      <c r="N28" s="41">
        <f>D28*L28*($B$5+1*$B$6)</f>
        <v/>
      </c>
      <c r="O28" s="41">
        <f>D28*L28*($B$5+2*$B$6)</f>
        <v/>
      </c>
      <c r="P28" s="41">
        <f>D28*L28*($B$5+3*$B$6)</f>
        <v/>
      </c>
      <c r="Q28" s="42">
        <f>IF(K28&gt;0,(M28+N28+O28+P28-K28)/K28,"—")</f>
        <v/>
      </c>
    </row>
    <row r="29">
      <c r="A29" s="40">
        <f>'Юнитка FBO'!A32</f>
        <v/>
      </c>
      <c r="B29" s="41">
        <f>'Юнитка FBO'!C32</f>
        <v/>
      </c>
      <c r="C29" s="41">
        <f>B29*$B$2</f>
        <v/>
      </c>
      <c r="D29" s="41">
        <f>'Юнитка FBO'!E32</f>
        <v/>
      </c>
      <c r="E29" s="41">
        <f>ROUND(D29*$B$3,0)</f>
        <v/>
      </c>
      <c r="F29" s="41">
        <f>'Юнитка FBO'!I32</f>
        <v/>
      </c>
      <c r="G29" s="41">
        <f>'Юнитка FBO'!K32+'Юнитка FBO'!N32+'Юнитка FBO'!O32+'Юнитка FBO'!P32+'Юнитка FBO'!Q32+'Юнитка FBO'!R32+'Юнитка FBO'!S32+'Юнитка FBO'!V32+'Юнитка FBO'!X32+'Юнитка FBO'!Y32+'Юнитка FBO'!AK32</f>
        <v/>
      </c>
      <c r="H29" s="41">
        <f>'Юнитка FBO'!G32-'Юнитка FBO'!I32</f>
        <v/>
      </c>
      <c r="I29" s="41">
        <f>MAX(0,G29-H29)+$B$4</f>
        <v/>
      </c>
      <c r="J29" s="41">
        <f>E29*I29</f>
        <v/>
      </c>
      <c r="K29" s="41">
        <f>C29+J29</f>
        <v/>
      </c>
      <c r="L29" s="41">
        <f>'Юнитка FBO'!AG32</f>
        <v/>
      </c>
      <c r="M29" s="41">
        <f>D29*L29*($B$5+0*$B$6)</f>
        <v/>
      </c>
      <c r="N29" s="41">
        <f>D29*L29*($B$5+1*$B$6)</f>
        <v/>
      </c>
      <c r="O29" s="41">
        <f>D29*L29*($B$5+2*$B$6)</f>
        <v/>
      </c>
      <c r="P29" s="41">
        <f>D29*L29*($B$5+3*$B$6)</f>
        <v/>
      </c>
      <c r="Q29" s="42">
        <f>IF(K29&gt;0,(M29+N29+O29+P29-K29)/K29,"—")</f>
        <v/>
      </c>
    </row>
    <row r="30">
      <c r="A30" s="40">
        <f>'Юнитка FBO'!A33</f>
        <v/>
      </c>
      <c r="B30" s="41">
        <f>'Юнитка FBO'!C33</f>
        <v/>
      </c>
      <c r="C30" s="41">
        <f>B30*$B$2</f>
        <v/>
      </c>
      <c r="D30" s="41">
        <f>'Юнитка FBO'!E33</f>
        <v/>
      </c>
      <c r="E30" s="41">
        <f>ROUND(D30*$B$3,0)</f>
        <v/>
      </c>
      <c r="F30" s="41">
        <f>'Юнитка FBO'!I33</f>
        <v/>
      </c>
      <c r="G30" s="41">
        <f>'Юнитка FBO'!K33+'Юнитка FBO'!N33+'Юнитка FBO'!O33+'Юнитка FBO'!P33+'Юнитка FBO'!Q33+'Юнитка FBO'!R33+'Юнитка FBO'!S33+'Юнитка FBO'!V33+'Юнитка FBO'!X33+'Юнитка FBO'!Y33+'Юнитка FBO'!AK33</f>
        <v/>
      </c>
      <c r="H30" s="41">
        <f>'Юнитка FBO'!G33-'Юнитка FBO'!I33</f>
        <v/>
      </c>
      <c r="I30" s="41">
        <f>MAX(0,G30-H30)+$B$4</f>
        <v/>
      </c>
      <c r="J30" s="41">
        <f>E30*I30</f>
        <v/>
      </c>
      <c r="K30" s="41">
        <f>C30+J30</f>
        <v/>
      </c>
      <c r="L30" s="41">
        <f>'Юнитка FBO'!AG33</f>
        <v/>
      </c>
      <c r="M30" s="41">
        <f>D30*L30*($B$5+0*$B$6)</f>
        <v/>
      </c>
      <c r="N30" s="41">
        <f>D30*L30*($B$5+1*$B$6)</f>
        <v/>
      </c>
      <c r="O30" s="41">
        <f>D30*L30*($B$5+2*$B$6)</f>
        <v/>
      </c>
      <c r="P30" s="41">
        <f>D30*L30*($B$5+3*$B$6)</f>
        <v/>
      </c>
      <c r="Q30" s="42">
        <f>IF(K30&gt;0,(M30+N30+O30+P30-K30)/K30,"—")</f>
        <v/>
      </c>
    </row>
    <row r="31">
      <c r="A31" s="40">
        <f>'Юнитка FBO'!A34</f>
        <v/>
      </c>
      <c r="B31" s="41">
        <f>'Юнитка FBO'!C34</f>
        <v/>
      </c>
      <c r="C31" s="41">
        <f>B31*$B$2</f>
        <v/>
      </c>
      <c r="D31" s="41">
        <f>'Юнитка FBO'!E34</f>
        <v/>
      </c>
      <c r="E31" s="41">
        <f>ROUND(D31*$B$3,0)</f>
        <v/>
      </c>
      <c r="F31" s="41">
        <f>'Юнитка FBO'!I34</f>
        <v/>
      </c>
      <c r="G31" s="41">
        <f>'Юнитка FBO'!K34+'Юнитка FBO'!N34+'Юнитка FBO'!O34+'Юнитка FBO'!P34+'Юнитка FBO'!Q34+'Юнитка FBO'!R34+'Юнитка FBO'!S34+'Юнитка FBO'!V34+'Юнитка FBO'!X34+'Юнитка FBO'!Y34+'Юнитка FBO'!AK34</f>
        <v/>
      </c>
      <c r="H31" s="41">
        <f>'Юнитка FBO'!G34-'Юнитка FBO'!I34</f>
        <v/>
      </c>
      <c r="I31" s="41">
        <f>MAX(0,G31-H31)+$B$4</f>
        <v/>
      </c>
      <c r="J31" s="41">
        <f>E31*I31</f>
        <v/>
      </c>
      <c r="K31" s="41">
        <f>C31+J31</f>
        <v/>
      </c>
      <c r="L31" s="41">
        <f>'Юнитка FBO'!AG34</f>
        <v/>
      </c>
      <c r="M31" s="41">
        <f>D31*L31*($B$5+0*$B$6)</f>
        <v/>
      </c>
      <c r="N31" s="41">
        <f>D31*L31*($B$5+1*$B$6)</f>
        <v/>
      </c>
      <c r="O31" s="41">
        <f>D31*L31*($B$5+2*$B$6)</f>
        <v/>
      </c>
      <c r="P31" s="41">
        <f>D31*L31*($B$5+3*$B$6)</f>
        <v/>
      </c>
      <c r="Q31" s="42">
        <f>IF(K31&gt;0,(M31+N31+O31+P31-K31)/K31,"—")</f>
        <v/>
      </c>
    </row>
    <row r="32">
      <c r="A32" s="40">
        <f>'Юнитка FBO'!A35</f>
        <v/>
      </c>
      <c r="B32" s="41">
        <f>'Юнитка FBO'!C35</f>
        <v/>
      </c>
      <c r="C32" s="41">
        <f>B32*$B$2</f>
        <v/>
      </c>
      <c r="D32" s="41">
        <f>'Юнитка FBO'!E35</f>
        <v/>
      </c>
      <c r="E32" s="41">
        <f>ROUND(D32*$B$3,0)</f>
        <v/>
      </c>
      <c r="F32" s="41">
        <f>'Юнитка FBO'!I35</f>
        <v/>
      </c>
      <c r="G32" s="41">
        <f>'Юнитка FBO'!K35+'Юнитка FBO'!N35+'Юнитка FBO'!O35+'Юнитка FBO'!P35+'Юнитка FBO'!Q35+'Юнитка FBO'!R35+'Юнитка FBO'!S35+'Юнитка FBO'!V35+'Юнитка FBO'!X35+'Юнитка FBO'!Y35+'Юнитка FBO'!AK35</f>
        <v/>
      </c>
      <c r="H32" s="41">
        <f>'Юнитка FBO'!G35-'Юнитка FBO'!I35</f>
        <v/>
      </c>
      <c r="I32" s="41">
        <f>MAX(0,G32-H32)+$B$4</f>
        <v/>
      </c>
      <c r="J32" s="41">
        <f>E32*I32</f>
        <v/>
      </c>
      <c r="K32" s="41">
        <f>C32+J32</f>
        <v/>
      </c>
      <c r="L32" s="41">
        <f>'Юнитка FBO'!AG35</f>
        <v/>
      </c>
      <c r="M32" s="41">
        <f>D32*L32*($B$5+0*$B$6)</f>
        <v/>
      </c>
      <c r="N32" s="41">
        <f>D32*L32*($B$5+1*$B$6)</f>
        <v/>
      </c>
      <c r="O32" s="41">
        <f>D32*L32*($B$5+2*$B$6)</f>
        <v/>
      </c>
      <c r="P32" s="41">
        <f>D32*L32*($B$5+3*$B$6)</f>
        <v/>
      </c>
      <c r="Q32" s="42">
        <f>IF(K32&gt;0,(M32+N32+O32+P32-K32)/K32,"—")</f>
        <v/>
      </c>
    </row>
    <row r="33">
      <c r="A33" s="43" t="inlineStr">
        <is>
          <t>ИТОГО</t>
        </is>
      </c>
      <c r="B33" s="44">
        <f>SUM(B10:B32)</f>
        <v/>
      </c>
      <c r="C33" s="44">
        <f>SUM(C10:C32)</f>
        <v/>
      </c>
      <c r="D33" s="44">
        <f>SUM(D10:D32)</f>
        <v/>
      </c>
      <c r="E33" s="44">
        <f>SUM(E10:E32)</f>
        <v/>
      </c>
      <c r="F33" s="43" t="n"/>
      <c r="G33" s="43" t="n"/>
      <c r="H33" s="43" t="n"/>
      <c r="I33" s="43" t="n"/>
      <c r="J33" s="44">
        <f>SUM(J10:J32)</f>
        <v/>
      </c>
      <c r="K33" s="44">
        <f>SUM(K10:K32)</f>
        <v/>
      </c>
      <c r="L33" s="43" t="n"/>
      <c r="M33" s="44">
        <f>SUM(M10:M32)</f>
        <v/>
      </c>
      <c r="N33" s="44">
        <f>SUM(N10:N32)</f>
        <v/>
      </c>
      <c r="O33" s="44">
        <f>SUM(O10:O32)</f>
        <v/>
      </c>
      <c r="P33" s="44">
        <f>SUM(P10:P32)</f>
        <v/>
      </c>
      <c r="Q33" s="45">
        <f>IF(K33&gt;0,(M33+N33+O33+P33-K33)/K33,"—")</f>
        <v/>
      </c>
    </row>
    <row r="36">
      <c r="A36" s="46" t="inlineStr">
        <is>
          <t>План по месяцам: раскрутка + выход на продажи (доля от конкурента растёт на +10 п.п./мес)</t>
        </is>
      </c>
    </row>
    <row r="37" ht="32" customHeight="1">
      <c r="A37" s="38" t="inlineStr">
        <is>
          <t>Месяц</t>
        </is>
      </c>
      <c r="B37" s="38" t="inlineStr">
        <is>
          <t>Доля от продаж конкурента</t>
        </is>
      </c>
      <c r="C37" s="38" t="inlineStr">
        <is>
          <t>Продаж, шт</t>
        </is>
      </c>
      <c r="D37" s="38" t="inlineStr">
        <is>
          <t>Прибыль от продаж, ₽</t>
        </is>
      </c>
      <c r="E37" s="38" t="inlineStr">
        <is>
          <t>Расходы (накрутка), ₽</t>
        </is>
      </c>
      <c r="F37" s="38" t="inlineStr">
        <is>
          <t>Чистый поток, ₽</t>
        </is>
      </c>
      <c r="G37" s="38" t="inlineStr">
        <is>
          <t>Накопительно, ₽</t>
        </is>
      </c>
    </row>
    <row r="38">
      <c r="A38" s="40" t="inlineStr">
        <is>
          <t>Август (раскрутка)</t>
        </is>
      </c>
      <c r="B38" s="42" t="n">
        <v>0</v>
      </c>
      <c r="C38" s="41" t="n">
        <v>0</v>
      </c>
      <c r="D38" s="41" t="n">
        <v>0</v>
      </c>
      <c r="E38" s="41">
        <f>$K$33</f>
        <v/>
      </c>
      <c r="F38" s="41">
        <f>D38-E38</f>
        <v/>
      </c>
      <c r="G38" s="41">
        <f>F38</f>
        <v/>
      </c>
    </row>
    <row r="39">
      <c r="A39" s="40" t="inlineStr">
        <is>
          <t>Сентябрь</t>
        </is>
      </c>
      <c r="B39" s="42">
        <f>$B$5+0*$B$6</f>
        <v/>
      </c>
      <c r="C39" s="41">
        <f>ROUND(B39*$D$33,0)</f>
        <v/>
      </c>
      <c r="D39" s="41">
        <f>M33</f>
        <v/>
      </c>
      <c r="E39" s="41" t="n">
        <v>0</v>
      </c>
      <c r="F39" s="41">
        <f>D39-E39</f>
        <v/>
      </c>
      <c r="G39" s="41">
        <f>G38+F39</f>
        <v/>
      </c>
    </row>
    <row r="40">
      <c r="A40" s="40" t="inlineStr">
        <is>
          <t>Октябрь</t>
        </is>
      </c>
      <c r="B40" s="42">
        <f>$B$5+1*$B$6</f>
        <v/>
      </c>
      <c r="C40" s="41">
        <f>ROUND(B40*$D$33,0)</f>
        <v/>
      </c>
      <c r="D40" s="41">
        <f>N33</f>
        <v/>
      </c>
      <c r="E40" s="41" t="n">
        <v>0</v>
      </c>
      <c r="F40" s="41">
        <f>D40-E40</f>
        <v/>
      </c>
      <c r="G40" s="41">
        <f>G39+F40</f>
        <v/>
      </c>
    </row>
    <row r="41">
      <c r="A41" s="40" t="inlineStr">
        <is>
          <t>Ноябрь</t>
        </is>
      </c>
      <c r="B41" s="42">
        <f>$B$5+2*$B$6</f>
        <v/>
      </c>
      <c r="C41" s="41">
        <f>ROUND(B41*$D$33,0)</f>
        <v/>
      </c>
      <c r="D41" s="41">
        <f>O33</f>
        <v/>
      </c>
      <c r="E41" s="41" t="n">
        <v>0</v>
      </c>
      <c r="F41" s="41">
        <f>D41-E41</f>
        <v/>
      </c>
      <c r="G41" s="41">
        <f>G40+F41</f>
        <v/>
      </c>
    </row>
    <row r="42">
      <c r="A42" s="40" t="inlineStr">
        <is>
          <t>Декабрь</t>
        </is>
      </c>
      <c r="B42" s="42">
        <f>$B$5+3*$B$6</f>
        <v/>
      </c>
      <c r="C42" s="41">
        <f>ROUND(B42*$D$33,0)</f>
        <v/>
      </c>
      <c r="D42" s="41">
        <f>P33</f>
        <v/>
      </c>
      <c r="E42" s="41" t="n">
        <v>0</v>
      </c>
      <c r="F42" s="41">
        <f>D42-E42</f>
        <v/>
      </c>
      <c r="G42" s="41">
        <f>G41+F42</f>
        <v/>
      </c>
    </row>
    <row r="43">
      <c r="A43" s="43" t="inlineStr">
        <is>
          <t>Итого за период</t>
        </is>
      </c>
      <c r="B43" s="43" t="n"/>
      <c r="C43" s="44">
        <f>SUM(C38:C42)</f>
        <v/>
      </c>
      <c r="D43" s="44">
        <f>SUM(D38:D42)</f>
        <v/>
      </c>
      <c r="E43" s="44">
        <f>SUM(E38:E42)</f>
        <v/>
      </c>
      <c r="F43" s="44">
        <f>SUM(F38:F42)</f>
        <v/>
      </c>
      <c r="G43" s="44">
        <f>G42</f>
        <v/>
      </c>
    </row>
    <row r="45">
      <c r="A45" s="34" t="inlineStr">
        <is>
          <t>Разовые расходы на раскрутку (август), ₽</t>
        </is>
      </c>
      <c r="B45" s="44">
        <f>$K$33</f>
        <v/>
      </c>
    </row>
    <row r="46">
      <c r="A46" s="34" t="inlineStr">
        <is>
          <t>Прибыль при 100% продаж конкурента, ₽/мес</t>
        </is>
      </c>
      <c r="B46" s="44">
        <f>SUMPRODUCT(D10:D32,L10:L32)</f>
        <v/>
      </c>
    </row>
    <row r="47">
      <c r="A47" s="34" t="inlineStr">
        <is>
          <t>Накопительный поток к декабрю, ₽</t>
        </is>
      </c>
      <c r="B47" s="44">
        <f>G42</f>
        <v/>
      </c>
    </row>
    <row r="48">
      <c r="A48" s="34" t="inlineStr">
        <is>
          <t>Окупаемость раскрутки, мес продаж (при 100%)</t>
        </is>
      </c>
      <c r="B48" s="47">
        <f>IF(SUMPRODUCT(D10:D32,L10:L32)&gt;0,$K$33/SUMPRODUCT(D10:D32,L10:L32),"—")</f>
        <v/>
      </c>
    </row>
  </sheetData>
  <conditionalFormatting sqref="Q10:Q33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2026-08-05T12:06:27Z</dcterms:created>
  <dcterms:modified xsi:type="dcterms:W3CDTF">2026-08-14T14:37:58Z</dcterms:modified>
  <cp:lastModifiedBy>PC</cp:lastModifiedBy>
</cp:coreProperties>
</file>
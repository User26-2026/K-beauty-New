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165" fontId="0" fillId="0" borderId="7" pivotButton="0" quotePrefix="0" xfId="0"/>
    <xf numFmtId="0" fontId="7" fillId="8" borderId="7" pivotButton="0" quotePrefix="0" xfId="0"/>
    <xf numFmtId="3" fontId="7" fillId="8" borderId="7" pivotButton="0" quotePrefix="0" xfId="0"/>
    <xf numFmtId="165" fontId="7" fillId="8" borderId="7" pivotButton="0" quotePrefix="0" xfId="0"/>
    <xf numFmtId="0" fontId="1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6" customWidth="1" min="14" max="14"/>
    <col width="12" customWidth="1" min="15" max="15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Доля наших продаж от конкурента (со 2-го мес)</t>
        </is>
      </c>
      <c r="B4" s="36" t="n">
        <v>0.5</v>
      </c>
    </row>
    <row r="5">
      <c r="A5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СПП.</t>
        </is>
      </c>
    </row>
    <row r="7" ht="48" customHeight="1">
      <c r="A7" s="38" t="inlineStr">
        <is>
          <t>Товар</t>
        </is>
      </c>
      <c r="B7" s="38" t="inlineStr">
        <is>
          <t>Отзывов, шт</t>
        </is>
      </c>
      <c r="C7" s="38" t="inlineStr">
        <is>
          <t>Отзывы, ₽</t>
        </is>
      </c>
      <c r="D7" s="38" t="inlineStr">
        <is>
          <t>Заказы конкур., шт</t>
        </is>
      </c>
      <c r="E7" s="38" t="inlineStr">
        <is>
          <t>Самовыкупов, шт</t>
        </is>
      </c>
      <c r="F7" s="38" t="inlineStr">
        <is>
          <t>Цена выкупа (с СПП), ₽</t>
        </is>
      </c>
      <c r="G7" s="38" t="inlineStr">
        <is>
          <t>Сборы Ozon / выкуп, ₽</t>
        </is>
      </c>
      <c r="H7" s="38" t="inlineStr">
        <is>
          <t>Компенсация СПП, ₽</t>
        </is>
      </c>
      <c r="I7" s="38" t="inlineStr">
        <is>
          <t>Безвозврат / выкуп, ₽</t>
        </is>
      </c>
      <c r="J7" s="38" t="inlineStr">
        <is>
          <t>Самовыкупы, ₽</t>
        </is>
      </c>
      <c r="K7" s="38" t="inlineStr">
        <is>
          <t>Расходы 1-й мес, ₽</t>
        </is>
      </c>
      <c r="L7" s="38" t="inlineStr">
        <is>
          <t>Продаж/мес (со 2-го), шт</t>
        </is>
      </c>
      <c r="M7" s="38" t="inlineStr">
        <is>
          <t>Маржа/шт, ₽</t>
        </is>
      </c>
      <c r="N7" s="38" t="inlineStr">
        <is>
          <t>Прибыль/мес (со 2-го), ₽</t>
        </is>
      </c>
      <c r="O7" s="38" t="inlineStr">
        <is>
          <t>Окупаемость, мес</t>
        </is>
      </c>
    </row>
    <row r="8">
      <c r="A8" s="39">
        <f>'Юнитка FBO'!A13</f>
        <v/>
      </c>
      <c r="B8" s="40">
        <f>'Юнитка FBO'!C13</f>
        <v/>
      </c>
      <c r="C8" s="40">
        <f>B8*$B$2</f>
        <v/>
      </c>
      <c r="D8" s="40">
        <f>'Юнитка FBO'!E13</f>
        <v/>
      </c>
      <c r="E8" s="40">
        <f>ROUND(D8*$B$3,0)</f>
        <v/>
      </c>
      <c r="F8" s="40">
        <f>'Юнитка FBO'!I13</f>
        <v/>
      </c>
      <c r="G8" s="40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8" s="40">
        <f>'Юнитка FBO'!G13-'Юнитка FBO'!I13</f>
        <v/>
      </c>
      <c r="I8" s="40">
        <f>MAX(0,G8-H8)</f>
        <v/>
      </c>
      <c r="J8" s="40">
        <f>E8*I8</f>
        <v/>
      </c>
      <c r="K8" s="40">
        <f>C8+J8</f>
        <v/>
      </c>
      <c r="L8" s="40">
        <f>ROUND(D8*$B$4,0)</f>
        <v/>
      </c>
      <c r="M8" s="40">
        <f>'Юнитка FBO'!AG13</f>
        <v/>
      </c>
      <c r="N8" s="40">
        <f>L8*M8</f>
        <v/>
      </c>
      <c r="O8" s="41">
        <f>IF(N8&gt;0,K8/N8,"—")</f>
        <v/>
      </c>
    </row>
    <row r="9">
      <c r="A9" s="39">
        <f>'Юнитка FBO'!A14</f>
        <v/>
      </c>
      <c r="B9" s="40">
        <f>'Юнитка FBO'!C14</f>
        <v/>
      </c>
      <c r="C9" s="40">
        <f>B9*$B$2</f>
        <v/>
      </c>
      <c r="D9" s="40">
        <f>'Юнитка FBO'!E14</f>
        <v/>
      </c>
      <c r="E9" s="40">
        <f>ROUND(D9*$B$3,0)</f>
        <v/>
      </c>
      <c r="F9" s="40">
        <f>'Юнитка FBO'!I14</f>
        <v/>
      </c>
      <c r="G9" s="40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9" s="40">
        <f>'Юнитка FBO'!G14-'Юнитка FBO'!I14</f>
        <v/>
      </c>
      <c r="I9" s="40">
        <f>MAX(0,G9-H9)</f>
        <v/>
      </c>
      <c r="J9" s="40">
        <f>E9*I9</f>
        <v/>
      </c>
      <c r="K9" s="40">
        <f>C9+J9</f>
        <v/>
      </c>
      <c r="L9" s="40">
        <f>ROUND(D9*$B$4,0)</f>
        <v/>
      </c>
      <c r="M9" s="40">
        <f>'Юнитка FBO'!AG14</f>
        <v/>
      </c>
      <c r="N9" s="40">
        <f>L9*M9</f>
        <v/>
      </c>
      <c r="O9" s="41">
        <f>IF(N9&gt;0,K9/N9,"—")</f>
        <v/>
      </c>
    </row>
    <row r="10">
      <c r="A10" s="39">
        <f>'Юнитка FBO'!A15</f>
        <v/>
      </c>
      <c r="B10" s="40">
        <f>'Юнитка FBO'!C15</f>
        <v/>
      </c>
      <c r="C10" s="40">
        <f>B10*$B$2</f>
        <v/>
      </c>
      <c r="D10" s="40">
        <f>'Юнитка FBO'!E15</f>
        <v/>
      </c>
      <c r="E10" s="40">
        <f>ROUND(D10*$B$3,0)</f>
        <v/>
      </c>
      <c r="F10" s="40">
        <f>'Юнитка FBO'!I15</f>
        <v/>
      </c>
      <c r="G10" s="40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0" s="40">
        <f>'Юнитка FBO'!G15-'Юнитка FBO'!I15</f>
        <v/>
      </c>
      <c r="I10" s="40">
        <f>MAX(0,G10-H10)</f>
        <v/>
      </c>
      <c r="J10" s="40">
        <f>E10*I10</f>
        <v/>
      </c>
      <c r="K10" s="40">
        <f>C10+J10</f>
        <v/>
      </c>
      <c r="L10" s="40">
        <f>ROUND(D10*$B$4,0)</f>
        <v/>
      </c>
      <c r="M10" s="40">
        <f>'Юнитка FBO'!AG15</f>
        <v/>
      </c>
      <c r="N10" s="40">
        <f>L10*M10</f>
        <v/>
      </c>
      <c r="O10" s="41">
        <f>IF(N10&gt;0,K10/N10,"—")</f>
        <v/>
      </c>
    </row>
    <row r="11">
      <c r="A11" s="39">
        <f>'Юнитка FBO'!A16</f>
        <v/>
      </c>
      <c r="B11" s="40">
        <f>'Юнитка FBO'!C16</f>
        <v/>
      </c>
      <c r="C11" s="40">
        <f>B11*$B$2</f>
        <v/>
      </c>
      <c r="D11" s="40">
        <f>'Юнитка FBO'!E16</f>
        <v/>
      </c>
      <c r="E11" s="40">
        <f>ROUND(D11*$B$3,0)</f>
        <v/>
      </c>
      <c r="F11" s="40">
        <f>'Юнитка FBO'!I16</f>
        <v/>
      </c>
      <c r="G11" s="40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1" s="40">
        <f>'Юнитка FBO'!G16-'Юнитка FBO'!I16</f>
        <v/>
      </c>
      <c r="I11" s="40">
        <f>MAX(0,G11-H11)</f>
        <v/>
      </c>
      <c r="J11" s="40">
        <f>E11*I11</f>
        <v/>
      </c>
      <c r="K11" s="40">
        <f>C11+J11</f>
        <v/>
      </c>
      <c r="L11" s="40">
        <f>ROUND(D11*$B$4,0)</f>
        <v/>
      </c>
      <c r="M11" s="40">
        <f>'Юнитка FBO'!AG16</f>
        <v/>
      </c>
      <c r="N11" s="40">
        <f>L11*M11</f>
        <v/>
      </c>
      <c r="O11" s="41">
        <f>IF(N11&gt;0,K11/N11,"—")</f>
        <v/>
      </c>
    </row>
    <row r="12">
      <c r="A12" s="39">
        <f>'Юнитка FBO'!A17</f>
        <v/>
      </c>
      <c r="B12" s="40">
        <f>'Юнитка FBO'!C17</f>
        <v/>
      </c>
      <c r="C12" s="40">
        <f>B12*$B$2</f>
        <v/>
      </c>
      <c r="D12" s="40">
        <f>'Юнитка FBO'!E17</f>
        <v/>
      </c>
      <c r="E12" s="40">
        <f>ROUND(D12*$B$3,0)</f>
        <v/>
      </c>
      <c r="F12" s="40">
        <f>'Юнитка FBO'!I17</f>
        <v/>
      </c>
      <c r="G12" s="40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2" s="40">
        <f>'Юнитка FBO'!G17-'Юнитка FBO'!I17</f>
        <v/>
      </c>
      <c r="I12" s="40">
        <f>MAX(0,G12-H12)</f>
        <v/>
      </c>
      <c r="J12" s="40">
        <f>E12*I12</f>
        <v/>
      </c>
      <c r="K12" s="40">
        <f>C12+J12</f>
        <v/>
      </c>
      <c r="L12" s="40">
        <f>ROUND(D12*$B$4,0)</f>
        <v/>
      </c>
      <c r="M12" s="40">
        <f>'Юнитка FBO'!AG17</f>
        <v/>
      </c>
      <c r="N12" s="40">
        <f>L12*M12</f>
        <v/>
      </c>
      <c r="O12" s="41">
        <f>IF(N12&gt;0,K12/N12,"—")</f>
        <v/>
      </c>
    </row>
    <row r="13">
      <c r="A13" s="39">
        <f>'Юнитка FBO'!A18</f>
        <v/>
      </c>
      <c r="B13" s="40">
        <f>'Юнитка FBO'!C18</f>
        <v/>
      </c>
      <c r="C13" s="40">
        <f>B13*$B$2</f>
        <v/>
      </c>
      <c r="D13" s="40">
        <f>'Юнитка FBO'!E18</f>
        <v/>
      </c>
      <c r="E13" s="40">
        <f>ROUND(D13*$B$3,0)</f>
        <v/>
      </c>
      <c r="F13" s="40">
        <f>'Юнитка FBO'!I18</f>
        <v/>
      </c>
      <c r="G13" s="40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3" s="40">
        <f>'Юнитка FBO'!G18-'Юнитка FBO'!I18</f>
        <v/>
      </c>
      <c r="I13" s="40">
        <f>MAX(0,G13-H13)</f>
        <v/>
      </c>
      <c r="J13" s="40">
        <f>E13*I13</f>
        <v/>
      </c>
      <c r="K13" s="40">
        <f>C13+J13</f>
        <v/>
      </c>
      <c r="L13" s="40">
        <f>ROUND(D13*$B$4,0)</f>
        <v/>
      </c>
      <c r="M13" s="40">
        <f>'Юнитка FBO'!AG18</f>
        <v/>
      </c>
      <c r="N13" s="40">
        <f>L13*M13</f>
        <v/>
      </c>
      <c r="O13" s="41">
        <f>IF(N13&gt;0,K13/N13,"—")</f>
        <v/>
      </c>
    </row>
    <row r="14">
      <c r="A14" s="39">
        <f>'Юнитка FBO'!A19</f>
        <v/>
      </c>
      <c r="B14" s="40">
        <f>'Юнитка FBO'!C19</f>
        <v/>
      </c>
      <c r="C14" s="40">
        <f>B14*$B$2</f>
        <v/>
      </c>
      <c r="D14" s="40">
        <f>'Юнитка FBO'!E19</f>
        <v/>
      </c>
      <c r="E14" s="40">
        <f>ROUND(D14*$B$3,0)</f>
        <v/>
      </c>
      <c r="F14" s="40">
        <f>'Юнитка FBO'!I19</f>
        <v/>
      </c>
      <c r="G14" s="40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4" s="40">
        <f>'Юнитка FBO'!G19-'Юнитка FBO'!I19</f>
        <v/>
      </c>
      <c r="I14" s="40">
        <f>MAX(0,G14-H14)</f>
        <v/>
      </c>
      <c r="J14" s="40">
        <f>E14*I14</f>
        <v/>
      </c>
      <c r="K14" s="40">
        <f>C14+J14</f>
        <v/>
      </c>
      <c r="L14" s="40">
        <f>ROUND(D14*$B$4,0)</f>
        <v/>
      </c>
      <c r="M14" s="40">
        <f>'Юнитка FBO'!AG19</f>
        <v/>
      </c>
      <c r="N14" s="40">
        <f>L14*M14</f>
        <v/>
      </c>
      <c r="O14" s="41">
        <f>IF(N14&gt;0,K14/N14,"—")</f>
        <v/>
      </c>
    </row>
    <row r="15">
      <c r="A15" s="39">
        <f>'Юнитка FBO'!A20</f>
        <v/>
      </c>
      <c r="B15" s="40">
        <f>'Юнитка FBO'!C20</f>
        <v/>
      </c>
      <c r="C15" s="40">
        <f>B15*$B$2</f>
        <v/>
      </c>
      <c r="D15" s="40">
        <f>'Юнитка FBO'!E20</f>
        <v/>
      </c>
      <c r="E15" s="40">
        <f>ROUND(D15*$B$3,0)</f>
        <v/>
      </c>
      <c r="F15" s="40">
        <f>'Юнитка FBO'!I20</f>
        <v/>
      </c>
      <c r="G15" s="40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5" s="40">
        <f>'Юнитка FBO'!G20-'Юнитка FBO'!I20</f>
        <v/>
      </c>
      <c r="I15" s="40">
        <f>MAX(0,G15-H15)</f>
        <v/>
      </c>
      <c r="J15" s="40">
        <f>E15*I15</f>
        <v/>
      </c>
      <c r="K15" s="40">
        <f>C15+J15</f>
        <v/>
      </c>
      <c r="L15" s="40">
        <f>ROUND(D15*$B$4,0)</f>
        <v/>
      </c>
      <c r="M15" s="40">
        <f>'Юнитка FBO'!AG20</f>
        <v/>
      </c>
      <c r="N15" s="40">
        <f>L15*M15</f>
        <v/>
      </c>
      <c r="O15" s="41">
        <f>IF(N15&gt;0,K15/N15,"—")</f>
        <v/>
      </c>
    </row>
    <row r="16">
      <c r="A16" s="39">
        <f>'Юнитка FBO'!A21</f>
        <v/>
      </c>
      <c r="B16" s="40">
        <f>'Юнитка FBO'!C21</f>
        <v/>
      </c>
      <c r="C16" s="40">
        <f>B16*$B$2</f>
        <v/>
      </c>
      <c r="D16" s="40">
        <f>'Юнитка FBO'!E21</f>
        <v/>
      </c>
      <c r="E16" s="40">
        <f>ROUND(D16*$B$3,0)</f>
        <v/>
      </c>
      <c r="F16" s="40">
        <f>'Юнитка FBO'!I21</f>
        <v/>
      </c>
      <c r="G16" s="40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6" s="40">
        <f>'Юнитка FBO'!G21-'Юнитка FBO'!I21</f>
        <v/>
      </c>
      <c r="I16" s="40">
        <f>MAX(0,G16-H16)</f>
        <v/>
      </c>
      <c r="J16" s="40">
        <f>E16*I16</f>
        <v/>
      </c>
      <c r="K16" s="40">
        <f>C16+J16</f>
        <v/>
      </c>
      <c r="L16" s="40">
        <f>ROUND(D16*$B$4,0)</f>
        <v/>
      </c>
      <c r="M16" s="40">
        <f>'Юнитка FBO'!AG21</f>
        <v/>
      </c>
      <c r="N16" s="40">
        <f>L16*M16</f>
        <v/>
      </c>
      <c r="O16" s="41">
        <f>IF(N16&gt;0,K16/N16,"—")</f>
        <v/>
      </c>
    </row>
    <row r="17">
      <c r="A17" s="39">
        <f>'Юнитка FBO'!A22</f>
        <v/>
      </c>
      <c r="B17" s="40">
        <f>'Юнитка FBO'!C22</f>
        <v/>
      </c>
      <c r="C17" s="40">
        <f>B17*$B$2</f>
        <v/>
      </c>
      <c r="D17" s="40">
        <f>'Юнитка FBO'!E22</f>
        <v/>
      </c>
      <c r="E17" s="40">
        <f>ROUND(D17*$B$3,0)</f>
        <v/>
      </c>
      <c r="F17" s="40">
        <f>'Юнитка FBO'!I22</f>
        <v/>
      </c>
      <c r="G17" s="40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7" s="40">
        <f>'Юнитка FBO'!G22-'Юнитка FBO'!I22</f>
        <v/>
      </c>
      <c r="I17" s="40">
        <f>MAX(0,G17-H17)</f>
        <v/>
      </c>
      <c r="J17" s="40">
        <f>E17*I17</f>
        <v/>
      </c>
      <c r="K17" s="40">
        <f>C17+J17</f>
        <v/>
      </c>
      <c r="L17" s="40">
        <f>ROUND(D17*$B$4,0)</f>
        <v/>
      </c>
      <c r="M17" s="40">
        <f>'Юнитка FBO'!AG22</f>
        <v/>
      </c>
      <c r="N17" s="40">
        <f>L17*M17</f>
        <v/>
      </c>
      <c r="O17" s="41">
        <f>IF(N17&gt;0,K17/N17,"—")</f>
        <v/>
      </c>
    </row>
    <row r="18">
      <c r="A18" s="39">
        <f>'Юнитка FBO'!A23</f>
        <v/>
      </c>
      <c r="B18" s="40">
        <f>'Юнитка FBO'!C23</f>
        <v/>
      </c>
      <c r="C18" s="40">
        <f>B18*$B$2</f>
        <v/>
      </c>
      <c r="D18" s="40">
        <f>'Юнитка FBO'!E23</f>
        <v/>
      </c>
      <c r="E18" s="40">
        <f>ROUND(D18*$B$3,0)</f>
        <v/>
      </c>
      <c r="F18" s="40">
        <f>'Юнитка FBO'!I23</f>
        <v/>
      </c>
      <c r="G18" s="40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18" s="40">
        <f>'Юнитка FBO'!G23-'Юнитка FBO'!I23</f>
        <v/>
      </c>
      <c r="I18" s="40">
        <f>MAX(0,G18-H18)</f>
        <v/>
      </c>
      <c r="J18" s="40">
        <f>E18*I18</f>
        <v/>
      </c>
      <c r="K18" s="40">
        <f>C18+J18</f>
        <v/>
      </c>
      <c r="L18" s="40">
        <f>ROUND(D18*$B$4,0)</f>
        <v/>
      </c>
      <c r="M18" s="40">
        <f>'Юнитка FBO'!AG23</f>
        <v/>
      </c>
      <c r="N18" s="40">
        <f>L18*M18</f>
        <v/>
      </c>
      <c r="O18" s="41">
        <f>IF(N18&gt;0,K18/N18,"—")</f>
        <v/>
      </c>
    </row>
    <row r="19">
      <c r="A19" s="39">
        <f>'Юнитка FBO'!A24</f>
        <v/>
      </c>
      <c r="B19" s="40">
        <f>'Юнитка FBO'!C24</f>
        <v/>
      </c>
      <c r="C19" s="40">
        <f>B19*$B$2</f>
        <v/>
      </c>
      <c r="D19" s="40">
        <f>'Юнитка FBO'!E24</f>
        <v/>
      </c>
      <c r="E19" s="40">
        <f>ROUND(D19*$B$3,0)</f>
        <v/>
      </c>
      <c r="F19" s="40">
        <f>'Юнитка FBO'!I24</f>
        <v/>
      </c>
      <c r="G19" s="40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19" s="40">
        <f>'Юнитка FBO'!G24-'Юнитка FBO'!I24</f>
        <v/>
      </c>
      <c r="I19" s="40">
        <f>MAX(0,G19-H19)</f>
        <v/>
      </c>
      <c r="J19" s="40">
        <f>E19*I19</f>
        <v/>
      </c>
      <c r="K19" s="40">
        <f>C19+J19</f>
        <v/>
      </c>
      <c r="L19" s="40">
        <f>ROUND(D19*$B$4,0)</f>
        <v/>
      </c>
      <c r="M19" s="40">
        <f>'Юнитка FBO'!AG24</f>
        <v/>
      </c>
      <c r="N19" s="40">
        <f>L19*M19</f>
        <v/>
      </c>
      <c r="O19" s="41">
        <f>IF(N19&gt;0,K19/N19,"—")</f>
        <v/>
      </c>
    </row>
    <row r="20">
      <c r="A20" s="39">
        <f>'Юнитка FBO'!A25</f>
        <v/>
      </c>
      <c r="B20" s="40">
        <f>'Юнитка FBO'!C25</f>
        <v/>
      </c>
      <c r="C20" s="40">
        <f>B20*$B$2</f>
        <v/>
      </c>
      <c r="D20" s="40">
        <f>'Юнитка FBO'!E25</f>
        <v/>
      </c>
      <c r="E20" s="40">
        <f>ROUND(D20*$B$3,0)</f>
        <v/>
      </c>
      <c r="F20" s="40">
        <f>'Юнитка FBO'!I25</f>
        <v/>
      </c>
      <c r="G20" s="40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0" s="40">
        <f>'Юнитка FBO'!G25-'Юнитка FBO'!I25</f>
        <v/>
      </c>
      <c r="I20" s="40">
        <f>MAX(0,G20-H20)</f>
        <v/>
      </c>
      <c r="J20" s="40">
        <f>E20*I20</f>
        <v/>
      </c>
      <c r="K20" s="40">
        <f>C20+J20</f>
        <v/>
      </c>
      <c r="L20" s="40">
        <f>ROUND(D20*$B$4,0)</f>
        <v/>
      </c>
      <c r="M20" s="40">
        <f>'Юнитка FBO'!AG25</f>
        <v/>
      </c>
      <c r="N20" s="40">
        <f>L20*M20</f>
        <v/>
      </c>
      <c r="O20" s="41">
        <f>IF(N20&gt;0,K20/N20,"—")</f>
        <v/>
      </c>
    </row>
    <row r="21">
      <c r="A21" s="39">
        <f>'Юнитка FBO'!A26</f>
        <v/>
      </c>
      <c r="B21" s="40">
        <f>'Юнитка FBO'!C26</f>
        <v/>
      </c>
      <c r="C21" s="40">
        <f>B21*$B$2</f>
        <v/>
      </c>
      <c r="D21" s="40">
        <f>'Юнитка FBO'!E26</f>
        <v/>
      </c>
      <c r="E21" s="40">
        <f>ROUND(D21*$B$3,0)</f>
        <v/>
      </c>
      <c r="F21" s="40">
        <f>'Юнитка FBO'!I26</f>
        <v/>
      </c>
      <c r="G21" s="40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1" s="40">
        <f>'Юнитка FBO'!G26-'Юнитка FBO'!I26</f>
        <v/>
      </c>
      <c r="I21" s="40">
        <f>MAX(0,G21-H21)</f>
        <v/>
      </c>
      <c r="J21" s="40">
        <f>E21*I21</f>
        <v/>
      </c>
      <c r="K21" s="40">
        <f>C21+J21</f>
        <v/>
      </c>
      <c r="L21" s="40">
        <f>ROUND(D21*$B$4,0)</f>
        <v/>
      </c>
      <c r="M21" s="40">
        <f>'Юнитка FBO'!AG26</f>
        <v/>
      </c>
      <c r="N21" s="40">
        <f>L21*M21</f>
        <v/>
      </c>
      <c r="O21" s="41">
        <f>IF(N21&gt;0,K21/N21,"—")</f>
        <v/>
      </c>
    </row>
    <row r="22">
      <c r="A22" s="39">
        <f>'Юнитка FBO'!A27</f>
        <v/>
      </c>
      <c r="B22" s="40">
        <f>'Юнитка FBO'!C27</f>
        <v/>
      </c>
      <c r="C22" s="40">
        <f>B22*$B$2</f>
        <v/>
      </c>
      <c r="D22" s="40">
        <f>'Юнитка FBO'!E27</f>
        <v/>
      </c>
      <c r="E22" s="40">
        <f>ROUND(D22*$B$3,0)</f>
        <v/>
      </c>
      <c r="F22" s="40">
        <f>'Юнитка FBO'!I27</f>
        <v/>
      </c>
      <c r="G22" s="40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2" s="40">
        <f>'Юнитка FBO'!G27-'Юнитка FBO'!I27</f>
        <v/>
      </c>
      <c r="I22" s="40">
        <f>MAX(0,G22-H22)</f>
        <v/>
      </c>
      <c r="J22" s="40">
        <f>E22*I22</f>
        <v/>
      </c>
      <c r="K22" s="40">
        <f>C22+J22</f>
        <v/>
      </c>
      <c r="L22" s="40">
        <f>ROUND(D22*$B$4,0)</f>
        <v/>
      </c>
      <c r="M22" s="40">
        <f>'Юнитка FBO'!AG27</f>
        <v/>
      </c>
      <c r="N22" s="40">
        <f>L22*M22</f>
        <v/>
      </c>
      <c r="O22" s="41">
        <f>IF(N22&gt;0,K22/N22,"—")</f>
        <v/>
      </c>
    </row>
    <row r="23">
      <c r="A23" s="39">
        <f>'Юнитка FBO'!A28</f>
        <v/>
      </c>
      <c r="B23" s="40">
        <f>'Юнитка FBO'!C28</f>
        <v/>
      </c>
      <c r="C23" s="40">
        <f>B23*$B$2</f>
        <v/>
      </c>
      <c r="D23" s="40">
        <f>'Юнитка FBO'!E28</f>
        <v/>
      </c>
      <c r="E23" s="40">
        <f>ROUND(D23*$B$3,0)</f>
        <v/>
      </c>
      <c r="F23" s="40">
        <f>'Юнитка FBO'!I28</f>
        <v/>
      </c>
      <c r="G23" s="40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3" s="40">
        <f>'Юнитка FBO'!G28-'Юнитка FBO'!I28</f>
        <v/>
      </c>
      <c r="I23" s="40">
        <f>MAX(0,G23-H23)</f>
        <v/>
      </c>
      <c r="J23" s="40">
        <f>E23*I23</f>
        <v/>
      </c>
      <c r="K23" s="40">
        <f>C23+J23</f>
        <v/>
      </c>
      <c r="L23" s="40">
        <f>ROUND(D23*$B$4,0)</f>
        <v/>
      </c>
      <c r="M23" s="40">
        <f>'Юнитка FBO'!AG28</f>
        <v/>
      </c>
      <c r="N23" s="40">
        <f>L23*M23</f>
        <v/>
      </c>
      <c r="O23" s="41">
        <f>IF(N23&gt;0,K23/N23,"—")</f>
        <v/>
      </c>
    </row>
    <row r="24">
      <c r="A24" s="39">
        <f>'Юнитка FBO'!A29</f>
        <v/>
      </c>
      <c r="B24" s="40">
        <f>'Юнитка FBO'!C29</f>
        <v/>
      </c>
      <c r="C24" s="40">
        <f>B24*$B$2</f>
        <v/>
      </c>
      <c r="D24" s="40">
        <f>'Юнитка FBO'!E29</f>
        <v/>
      </c>
      <c r="E24" s="40">
        <f>ROUND(D24*$B$3,0)</f>
        <v/>
      </c>
      <c r="F24" s="40">
        <f>'Юнитка FBO'!I29</f>
        <v/>
      </c>
      <c r="G24" s="40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4" s="40">
        <f>'Юнитка FBO'!G29-'Юнитка FBO'!I29</f>
        <v/>
      </c>
      <c r="I24" s="40">
        <f>MAX(0,G24-H24)</f>
        <v/>
      </c>
      <c r="J24" s="40">
        <f>E24*I24</f>
        <v/>
      </c>
      <c r="K24" s="40">
        <f>C24+J24</f>
        <v/>
      </c>
      <c r="L24" s="40">
        <f>ROUND(D24*$B$4,0)</f>
        <v/>
      </c>
      <c r="M24" s="40">
        <f>'Юнитка FBO'!AG29</f>
        <v/>
      </c>
      <c r="N24" s="40">
        <f>L24*M24</f>
        <v/>
      </c>
      <c r="O24" s="41">
        <f>IF(N24&gt;0,K24/N24,"—")</f>
        <v/>
      </c>
    </row>
    <row r="25">
      <c r="A25" s="39">
        <f>'Юнитка FBO'!A30</f>
        <v/>
      </c>
      <c r="B25" s="40">
        <f>'Юнитка FBO'!C30</f>
        <v/>
      </c>
      <c r="C25" s="40">
        <f>B25*$B$2</f>
        <v/>
      </c>
      <c r="D25" s="40">
        <f>'Юнитка FBO'!E30</f>
        <v/>
      </c>
      <c r="E25" s="40">
        <f>ROUND(D25*$B$3,0)</f>
        <v/>
      </c>
      <c r="F25" s="40">
        <f>'Юнитка FBO'!I30</f>
        <v/>
      </c>
      <c r="G25" s="40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5" s="40">
        <f>'Юнитка FBO'!G30-'Юнитка FBO'!I30</f>
        <v/>
      </c>
      <c r="I25" s="40">
        <f>MAX(0,G25-H25)</f>
        <v/>
      </c>
      <c r="J25" s="40">
        <f>E25*I25</f>
        <v/>
      </c>
      <c r="K25" s="40">
        <f>C25+J25</f>
        <v/>
      </c>
      <c r="L25" s="40">
        <f>ROUND(D25*$B$4,0)</f>
        <v/>
      </c>
      <c r="M25" s="40">
        <f>'Юнитка FBO'!AG30</f>
        <v/>
      </c>
      <c r="N25" s="40">
        <f>L25*M25</f>
        <v/>
      </c>
      <c r="O25" s="41">
        <f>IF(N25&gt;0,K25/N25,"—")</f>
        <v/>
      </c>
    </row>
    <row r="26">
      <c r="A26" s="39">
        <f>'Юнитка FBO'!A31</f>
        <v/>
      </c>
      <c r="B26" s="40">
        <f>'Юнитка FBO'!C31</f>
        <v/>
      </c>
      <c r="C26" s="40">
        <f>B26*$B$2</f>
        <v/>
      </c>
      <c r="D26" s="40">
        <f>'Юнитка FBO'!E31</f>
        <v/>
      </c>
      <c r="E26" s="40">
        <f>ROUND(D26*$B$3,0)</f>
        <v/>
      </c>
      <c r="F26" s="40">
        <f>'Юнитка FBO'!I31</f>
        <v/>
      </c>
      <c r="G26" s="40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6" s="40">
        <f>'Юнитка FBO'!G31-'Юнитка FBO'!I31</f>
        <v/>
      </c>
      <c r="I26" s="40">
        <f>MAX(0,G26-H26)</f>
        <v/>
      </c>
      <c r="J26" s="40">
        <f>E26*I26</f>
        <v/>
      </c>
      <c r="K26" s="40">
        <f>C26+J26</f>
        <v/>
      </c>
      <c r="L26" s="40">
        <f>ROUND(D26*$B$4,0)</f>
        <v/>
      </c>
      <c r="M26" s="40">
        <f>'Юнитка FBO'!AG31</f>
        <v/>
      </c>
      <c r="N26" s="40">
        <f>L26*M26</f>
        <v/>
      </c>
      <c r="O26" s="41">
        <f>IF(N26&gt;0,K26/N26,"—")</f>
        <v/>
      </c>
    </row>
    <row r="27">
      <c r="A27" s="39">
        <f>'Юнитка FBO'!A32</f>
        <v/>
      </c>
      <c r="B27" s="40">
        <f>'Юнитка FBO'!C32</f>
        <v/>
      </c>
      <c r="C27" s="40">
        <f>B27*$B$2</f>
        <v/>
      </c>
      <c r="D27" s="40">
        <f>'Юнитка FBO'!E32</f>
        <v/>
      </c>
      <c r="E27" s="40">
        <f>ROUND(D27*$B$3,0)</f>
        <v/>
      </c>
      <c r="F27" s="40">
        <f>'Юнитка FBO'!I32</f>
        <v/>
      </c>
      <c r="G27" s="40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7" s="40">
        <f>'Юнитка FBO'!G32-'Юнитка FBO'!I32</f>
        <v/>
      </c>
      <c r="I27" s="40">
        <f>MAX(0,G27-H27)</f>
        <v/>
      </c>
      <c r="J27" s="40">
        <f>E27*I27</f>
        <v/>
      </c>
      <c r="K27" s="40">
        <f>C27+J27</f>
        <v/>
      </c>
      <c r="L27" s="40">
        <f>ROUND(D27*$B$4,0)</f>
        <v/>
      </c>
      <c r="M27" s="40">
        <f>'Юнитка FBO'!AG32</f>
        <v/>
      </c>
      <c r="N27" s="40">
        <f>L27*M27</f>
        <v/>
      </c>
      <c r="O27" s="41">
        <f>IF(N27&gt;0,K27/N27,"—")</f>
        <v/>
      </c>
    </row>
    <row r="28">
      <c r="A28" s="39">
        <f>'Юнитка FBO'!A33</f>
        <v/>
      </c>
      <c r="B28" s="40">
        <f>'Юнитка FBO'!C33</f>
        <v/>
      </c>
      <c r="C28" s="40">
        <f>B28*$B$2</f>
        <v/>
      </c>
      <c r="D28" s="40">
        <f>'Юнитка FBO'!E33</f>
        <v/>
      </c>
      <c r="E28" s="40">
        <f>ROUND(D28*$B$3,0)</f>
        <v/>
      </c>
      <c r="F28" s="40">
        <f>'Юнитка FBO'!I33</f>
        <v/>
      </c>
      <c r="G28" s="40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28" s="40">
        <f>'Юнитка FBO'!G33-'Юнитка FBO'!I33</f>
        <v/>
      </c>
      <c r="I28" s="40">
        <f>MAX(0,G28-H28)</f>
        <v/>
      </c>
      <c r="J28" s="40">
        <f>E28*I28</f>
        <v/>
      </c>
      <c r="K28" s="40">
        <f>C28+J28</f>
        <v/>
      </c>
      <c r="L28" s="40">
        <f>ROUND(D28*$B$4,0)</f>
        <v/>
      </c>
      <c r="M28" s="40">
        <f>'Юнитка FBO'!AG33</f>
        <v/>
      </c>
      <c r="N28" s="40">
        <f>L28*M28</f>
        <v/>
      </c>
      <c r="O28" s="41">
        <f>IF(N28&gt;0,K28/N28,"—")</f>
        <v/>
      </c>
    </row>
    <row r="29">
      <c r="A29" s="39">
        <f>'Юнитка FBO'!A34</f>
        <v/>
      </c>
      <c r="B29" s="40">
        <f>'Юнитка FBO'!C34</f>
        <v/>
      </c>
      <c r="C29" s="40">
        <f>B29*$B$2</f>
        <v/>
      </c>
      <c r="D29" s="40">
        <f>'Юнитка FBO'!E34</f>
        <v/>
      </c>
      <c r="E29" s="40">
        <f>ROUND(D29*$B$3,0)</f>
        <v/>
      </c>
      <c r="F29" s="40">
        <f>'Юнитка FBO'!I34</f>
        <v/>
      </c>
      <c r="G29" s="40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29" s="40">
        <f>'Юнитка FBO'!G34-'Юнитка FBO'!I34</f>
        <v/>
      </c>
      <c r="I29" s="40">
        <f>MAX(0,G29-H29)</f>
        <v/>
      </c>
      <c r="J29" s="40">
        <f>E29*I29</f>
        <v/>
      </c>
      <c r="K29" s="40">
        <f>C29+J29</f>
        <v/>
      </c>
      <c r="L29" s="40">
        <f>ROUND(D29*$B$4,0)</f>
        <v/>
      </c>
      <c r="M29" s="40">
        <f>'Юнитка FBO'!AG34</f>
        <v/>
      </c>
      <c r="N29" s="40">
        <f>L29*M29</f>
        <v/>
      </c>
      <c r="O29" s="41">
        <f>IF(N29&gt;0,K29/N29,"—")</f>
        <v/>
      </c>
    </row>
    <row r="30">
      <c r="A30" s="39">
        <f>'Юнитка FBO'!A35</f>
        <v/>
      </c>
      <c r="B30" s="40">
        <f>'Юнитка FBO'!C35</f>
        <v/>
      </c>
      <c r="C30" s="40">
        <f>B30*$B$2</f>
        <v/>
      </c>
      <c r="D30" s="40">
        <f>'Юнитка FBO'!E35</f>
        <v/>
      </c>
      <c r="E30" s="40">
        <f>ROUND(D30*$B$3,0)</f>
        <v/>
      </c>
      <c r="F30" s="40">
        <f>'Юнитка FBO'!I35</f>
        <v/>
      </c>
      <c r="G30" s="40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0" s="40">
        <f>'Юнитка FBO'!G35-'Юнитка FBO'!I35</f>
        <v/>
      </c>
      <c r="I30" s="40">
        <f>MAX(0,G30-H30)</f>
        <v/>
      </c>
      <c r="J30" s="40">
        <f>E30*I30</f>
        <v/>
      </c>
      <c r="K30" s="40">
        <f>C30+J30</f>
        <v/>
      </c>
      <c r="L30" s="40">
        <f>ROUND(D30*$B$4,0)</f>
        <v/>
      </c>
      <c r="M30" s="40">
        <f>'Юнитка FBO'!AG35</f>
        <v/>
      </c>
      <c r="N30" s="40">
        <f>L30*M30</f>
        <v/>
      </c>
      <c r="O30" s="41">
        <f>IF(N30&gt;0,K30/N30,"—")</f>
        <v/>
      </c>
    </row>
    <row r="31">
      <c r="A31" s="42" t="inlineStr">
        <is>
          <t>ИТОГО</t>
        </is>
      </c>
      <c r="B31" s="43">
        <f>SUM(B8:B30)</f>
        <v/>
      </c>
      <c r="C31" s="43">
        <f>SUM(C8:C30)</f>
        <v/>
      </c>
      <c r="D31" s="43">
        <f>SUM(D8:D30)</f>
        <v/>
      </c>
      <c r="E31" s="43">
        <f>SUM(E8:E30)</f>
        <v/>
      </c>
      <c r="F31" s="42" t="n"/>
      <c r="G31" s="42" t="n"/>
      <c r="H31" s="42" t="n"/>
      <c r="I31" s="42" t="n"/>
      <c r="J31" s="43">
        <f>SUM(J8:J30)</f>
        <v/>
      </c>
      <c r="K31" s="43">
        <f>SUM(K8:K30)</f>
        <v/>
      </c>
      <c r="L31" s="43">
        <f>SUM(L8:L30)</f>
        <v/>
      </c>
      <c r="M31" s="42" t="n"/>
      <c r="N31" s="43">
        <f>SUM(N8:N30)</f>
        <v/>
      </c>
      <c r="O31" s="44">
        <f>IF(N31&gt;0,K31/N31,"—")</f>
        <v/>
      </c>
    </row>
    <row r="34">
      <c r="A34" s="45" t="inlineStr">
        <is>
          <t>Денежный поток по месяцам</t>
        </is>
      </c>
    </row>
    <row r="35">
      <c r="A35" s="38" t="inlineStr">
        <is>
          <t>Месяц</t>
        </is>
      </c>
      <c r="B35" s="38" t="inlineStr">
        <is>
          <t>Расходы (накрутка), ₽</t>
        </is>
      </c>
      <c r="C35" s="38" t="inlineStr">
        <is>
          <t>Прибыль от продаж, ₽</t>
        </is>
      </c>
      <c r="D35" s="38" t="inlineStr">
        <is>
          <t>Чистый поток, ₽</t>
        </is>
      </c>
      <c r="E35" s="38" t="inlineStr">
        <is>
          <t>Накопительно, ₽</t>
        </is>
      </c>
    </row>
    <row r="36">
      <c r="A36" s="39" t="n">
        <v>1</v>
      </c>
      <c r="B36" s="40">
        <f>$K$31</f>
        <v/>
      </c>
      <c r="C36" s="40" t="n">
        <v>0</v>
      </c>
      <c r="D36" s="40">
        <f>C36-B36</f>
        <v/>
      </c>
      <c r="E36" s="40">
        <f>D36</f>
        <v/>
      </c>
    </row>
    <row r="37">
      <c r="A37" s="39" t="n">
        <v>2</v>
      </c>
      <c r="B37" s="40" t="n">
        <v>0</v>
      </c>
      <c r="C37" s="40">
        <f>$N$31</f>
        <v/>
      </c>
      <c r="D37" s="40">
        <f>C37-B37</f>
        <v/>
      </c>
      <c r="E37" s="40">
        <f>E36+D37</f>
        <v/>
      </c>
    </row>
    <row r="38">
      <c r="A38" s="39" t="n">
        <v>3</v>
      </c>
      <c r="B38" s="40" t="n">
        <v>0</v>
      </c>
      <c r="C38" s="40">
        <f>$N$31</f>
        <v/>
      </c>
      <c r="D38" s="40">
        <f>C38-B38</f>
        <v/>
      </c>
      <c r="E38" s="40">
        <f>E37+D38</f>
        <v/>
      </c>
    </row>
    <row r="39">
      <c r="A39" s="39" t="n">
        <v>4</v>
      </c>
      <c r="B39" s="40" t="n">
        <v>0</v>
      </c>
      <c r="C39" s="40">
        <f>$N$31</f>
        <v/>
      </c>
      <c r="D39" s="40">
        <f>C39-B39</f>
        <v/>
      </c>
      <c r="E39" s="40">
        <f>E38+D39</f>
        <v/>
      </c>
    </row>
    <row r="40">
      <c r="A40" s="39" t="n">
        <v>5</v>
      </c>
      <c r="B40" s="40" t="n">
        <v>0</v>
      </c>
      <c r="C40" s="40">
        <f>$N$31</f>
        <v/>
      </c>
      <c r="D40" s="40">
        <f>C40-B40</f>
        <v/>
      </c>
      <c r="E40" s="40">
        <f>E39+D40</f>
        <v/>
      </c>
    </row>
    <row r="41">
      <c r="A41" s="39" t="n">
        <v>6</v>
      </c>
      <c r="B41" s="40" t="n">
        <v>0</v>
      </c>
      <c r="C41" s="40">
        <f>$N$31</f>
        <v/>
      </c>
      <c r="D41" s="40">
        <f>C41-B41</f>
        <v/>
      </c>
      <c r="E41" s="40">
        <f>E40+D41</f>
        <v/>
      </c>
    </row>
    <row r="42">
      <c r="A42" s="39" t="n">
        <v>7</v>
      </c>
      <c r="B42" s="40" t="n">
        <v>0</v>
      </c>
      <c r="C42" s="40">
        <f>$N$31</f>
        <v/>
      </c>
      <c r="D42" s="40">
        <f>C42-B42</f>
        <v/>
      </c>
      <c r="E42" s="40">
        <f>E41+D42</f>
        <v/>
      </c>
    </row>
    <row r="43">
      <c r="A43" s="39" t="n">
        <v>8</v>
      </c>
      <c r="B43" s="40" t="n">
        <v>0</v>
      </c>
      <c r="C43" s="40">
        <f>$N$31</f>
        <v/>
      </c>
      <c r="D43" s="40">
        <f>C43-B43</f>
        <v/>
      </c>
      <c r="E43" s="40">
        <f>E42+D43</f>
        <v/>
      </c>
    </row>
    <row r="44">
      <c r="A44" s="39" t="n">
        <v>9</v>
      </c>
      <c r="B44" s="40" t="n">
        <v>0</v>
      </c>
      <c r="C44" s="40">
        <f>$N$31</f>
        <v/>
      </c>
      <c r="D44" s="40">
        <f>C44-B44</f>
        <v/>
      </c>
      <c r="E44" s="40">
        <f>E43+D44</f>
        <v/>
      </c>
    </row>
    <row r="45">
      <c r="A45" s="39" t="n">
        <v>10</v>
      </c>
      <c r="B45" s="40" t="n">
        <v>0</v>
      </c>
      <c r="C45" s="40">
        <f>$N$31</f>
        <v/>
      </c>
      <c r="D45" s="40">
        <f>C45-B45</f>
        <v/>
      </c>
      <c r="E45" s="40">
        <f>E44+D45</f>
        <v/>
      </c>
    </row>
    <row r="46">
      <c r="A46" s="39" t="n">
        <v>11</v>
      </c>
      <c r="B46" s="40" t="n">
        <v>0</v>
      </c>
      <c r="C46" s="40">
        <f>$N$31</f>
        <v/>
      </c>
      <c r="D46" s="40">
        <f>C46-B46</f>
        <v/>
      </c>
      <c r="E46" s="40">
        <f>E45+D46</f>
        <v/>
      </c>
    </row>
    <row r="47">
      <c r="A47" s="39" t="n">
        <v>12</v>
      </c>
      <c r="B47" s="40" t="n">
        <v>0</v>
      </c>
      <c r="C47" s="40">
        <f>$N$31</f>
        <v/>
      </c>
      <c r="D47" s="40">
        <f>C47-B47</f>
        <v/>
      </c>
      <c r="E47" s="40">
        <f>E46+D47</f>
        <v/>
      </c>
    </row>
    <row r="49">
      <c r="A49" s="34" t="inlineStr">
        <is>
          <t>Разовые расходы на раскрутку (1-й мес), ₽</t>
        </is>
      </c>
      <c r="B49" s="43">
        <f>$K$31</f>
        <v/>
      </c>
    </row>
    <row r="50">
      <c r="A50" s="34" t="inlineStr">
        <is>
          <t>Прибыль в месяц (со 2-го мес), ₽</t>
        </is>
      </c>
      <c r="B50" s="43">
        <f>$N$31</f>
        <v/>
      </c>
    </row>
    <row r="51">
      <c r="A51" s="34" t="inlineStr">
        <is>
          <t>Окупаемость раскрутки, мес продаж</t>
        </is>
      </c>
      <c r="B51" s="44">
        <f>IF($N$31&gt;0,$K$31/$N$31,"—")</f>
        <v/>
      </c>
    </row>
    <row r="52">
      <c r="A52" s="34" t="inlineStr">
        <is>
          <t>Выход в плюс с запуска, мес</t>
        </is>
      </c>
      <c r="B52" s="44">
        <f>IF($N$31&gt;0,1+$K$31/$N$31,"—")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2026-08-14T13:29:04Z</dcterms:modified>
  <cp:lastModifiedBy>PC</cp:lastModifiedBy>
</cp:coreProperties>
</file>
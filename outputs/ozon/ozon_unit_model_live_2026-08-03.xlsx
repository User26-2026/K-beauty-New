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i val="1"/>
      <color rgb="FF808080"/>
      <sz val="11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7"/>
  <sheetViews>
    <sheetView tabSelected="1" zoomScale="85" zoomScaleNormal="85" workbookViewId="0">
      <pane xSplit="1" ySplit="11" topLeftCell="B12" activePane="bottomRight" state="frozen"/>
      <selection pane="topRight" activeCell="A1" sqref="A1"/>
      <selection pane="bottomLeft" activeCell="A1" sqref="A1"/>
      <selection pane="bottomRight" activeCell="M21" sqref="M21"/>
    </sheetView>
  </sheetViews>
  <sheetFormatPr baseColWidth="8" defaultRowHeight="14.5"/>
  <cols>
    <col width="42" customWidth="1" min="1" max="1"/>
    <col width="10" customWidth="1" min="2" max="2"/>
    <col width="8" customWidth="1" min="3" max="3"/>
    <col width="11" customWidth="1" min="4" max="4"/>
    <col width="10" customWidth="1" min="5" max="6"/>
    <col width="12" customWidth="1" min="7" max="7"/>
    <col width="10" customWidth="1" min="8" max="10"/>
    <col width="15" customWidth="1" min="11" max="11"/>
    <col width="13" customWidth="1" min="12" max="12"/>
    <col width="10" customWidth="1" min="13" max="15"/>
    <col width="12" customWidth="1" min="16" max="16"/>
    <col width="10" customWidth="1" min="17" max="19"/>
    <col width="13" customWidth="1" min="20" max="21"/>
    <col width="12" customWidth="1" min="22" max="23"/>
    <col width="13" customWidth="1" min="24" max="24"/>
    <col width="8" customWidth="1" min="25" max="25"/>
    <col hidden="1" width="11" customWidth="1" min="26" max="27"/>
    <col width="13" customWidth="1" min="28" max="28"/>
    <col width="10" customWidth="1" min="29" max="29"/>
    <col width="11" customWidth="1" min="30" max="30"/>
    <col width="10" customWidth="1" min="31" max="31"/>
    <col width="12" customWidth="1" min="32" max="32"/>
  </cols>
  <sheetData>
    <row r="1" ht="15.5" customHeight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B3" s="2" t="n">
        <v>0.07000000000000001</v>
      </c>
    </row>
    <row r="4">
      <c r="A4" t="inlineStr">
        <is>
          <t>Эквайринг</t>
        </is>
      </c>
      <c r="B4" s="3" t="n">
        <v>0.015</v>
      </c>
    </row>
    <row r="5">
      <c r="A5" t="inlineStr">
        <is>
          <t>Фулфилмент, ₽/шт</t>
        </is>
      </c>
      <c r="B5" s="4" t="n">
        <v>60</v>
      </c>
    </row>
    <row r="6">
      <c r="A6" t="inlineStr">
        <is>
          <t>Хранение, ₽/л/день</t>
        </is>
      </c>
      <c r="B6" s="5" t="n">
        <v>0.16</v>
      </c>
    </row>
    <row r="7">
      <c r="A7" t="inlineStr">
        <is>
          <t>Дней хранения</t>
        </is>
      </c>
      <c r="B7" s="4" t="n">
        <v>0</v>
      </c>
    </row>
    <row r="8">
      <c r="A8" t="inlineStr">
        <is>
          <t>Наценка за нелокальные продажи %</t>
        </is>
      </c>
      <c r="B8" s="3" t="n">
        <v>0.02</v>
      </c>
    </row>
    <row r="11" ht="30" customHeight="1">
      <c r="A11" s="6" t="inlineStr">
        <is>
          <t>Товар</t>
        </is>
      </c>
      <c r="B11" s="6" t="inlineStr">
        <is>
          <t>Цена</t>
        </is>
      </c>
      <c r="C11" s="6" t="inlineStr">
        <is>
          <t>СПП, %</t>
        </is>
      </c>
      <c r="D11" s="6" t="inlineStr">
        <is>
          <t>Цена с СПП</t>
        </is>
      </c>
      <c r="E11" s="6" t="inlineStr">
        <is>
          <t>Себест.</t>
        </is>
      </c>
      <c r="F11" s="6" t="inlineStr">
        <is>
          <t>Фулфилмент</t>
        </is>
      </c>
      <c r="G11" s="6" t="inlineStr">
        <is>
          <t>База затрат</t>
        </is>
      </c>
      <c r="H11" s="6" t="inlineStr">
        <is>
          <t>Комиссия %</t>
        </is>
      </c>
      <c r="I11" s="6" t="inlineStr">
        <is>
          <t>Комиссия ₽</t>
        </is>
      </c>
      <c r="J11" s="6" t="inlineStr">
        <is>
          <t>Логистика</t>
        </is>
      </c>
      <c r="K11" s="6" t="inlineStr">
        <is>
          <t>Наценка нелок., ₽</t>
        </is>
      </c>
      <c r="L11" s="6" t="inlineStr">
        <is>
          <t>Доставка до ПВЗ</t>
        </is>
      </c>
      <c r="M11" s="6" t="inlineStr">
        <is>
          <t>Эквайринг</t>
        </is>
      </c>
      <c r="N11" s="6" t="inlineStr">
        <is>
          <t>Налог</t>
        </is>
      </c>
      <c r="O11" s="6" t="inlineStr">
        <is>
          <t>Выкуп %</t>
        </is>
      </c>
      <c r="P11" s="6" t="inlineStr">
        <is>
          <t>Обр.лог база</t>
        </is>
      </c>
      <c r="Q11" s="6" t="inlineStr">
        <is>
          <t>Обр.лог</t>
        </is>
      </c>
      <c r="R11" s="6" t="inlineStr">
        <is>
          <t>Объём, л</t>
        </is>
      </c>
      <c r="S11" s="6" t="inlineStr">
        <is>
          <t>Хранение</t>
        </is>
      </c>
      <c r="T11" s="6" t="inlineStr">
        <is>
          <t>Оплата за клик, %</t>
        </is>
      </c>
      <c r="U11" s="6" t="inlineStr">
        <is>
          <t>Оплата за клик ₽</t>
        </is>
      </c>
      <c r="V11" s="6" t="inlineStr">
        <is>
          <t>Вывод в топ, %</t>
        </is>
      </c>
      <c r="W11" s="6" t="inlineStr">
        <is>
          <t>Вывод в топ ₽</t>
        </is>
      </c>
      <c r="X11" s="6" t="inlineStr">
        <is>
          <t>Реклама всего ₽</t>
        </is>
      </c>
      <c r="Y11" s="6" t="inlineStr">
        <is>
          <t>ДРР %</t>
        </is>
      </c>
      <c r="Z11" s="6" t="inlineStr">
        <is>
          <t>Соинвест, %</t>
        </is>
      </c>
      <c r="AA11" s="6" t="inlineStr">
        <is>
          <t>Соинвест ₽</t>
        </is>
      </c>
      <c r="AB11" s="6" t="inlineStr">
        <is>
          <t>Маржа до рекл.</t>
        </is>
      </c>
      <c r="AC11" s="6" t="inlineStr">
        <is>
          <t>Маржа/шт</t>
        </is>
      </c>
      <c r="AD11" s="6" t="inlineStr">
        <is>
          <t>Маржа % цены</t>
        </is>
      </c>
      <c r="AE11" s="6" t="inlineStr">
        <is>
          <t>ROI %</t>
        </is>
      </c>
      <c r="AF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8" t="n">
        <v>2722</v>
      </c>
      <c r="C12" s="9" t="n">
        <v>0.45</v>
      </c>
      <c r="D12" s="10">
        <f>B12*(1-C12)</f>
        <v/>
      </c>
      <c r="E12" s="11" t="n">
        <v>663.86</v>
      </c>
      <c r="F12" s="12">
        <f>$B$5</f>
        <v/>
      </c>
      <c r="G12" s="12">
        <f>E12+F12</f>
        <v/>
      </c>
      <c r="H12" s="9" t="n">
        <v>0.41</v>
      </c>
      <c r="I12" s="10">
        <f>B12*H12</f>
        <v/>
      </c>
      <c r="J12" s="8" t="n">
        <v>67</v>
      </c>
      <c r="K12" s="12">
        <f>J12*$B$8</f>
        <v/>
      </c>
      <c r="L12" s="8" t="n">
        <v>25</v>
      </c>
      <c r="M12" s="10">
        <f>B12*$B$4</f>
        <v/>
      </c>
      <c r="N12" s="10">
        <f>D12*$B$3</f>
        <v/>
      </c>
      <c r="O12" s="9" t="n">
        <v>0.9</v>
      </c>
      <c r="P12" s="8">
        <f>J12</f>
        <v/>
      </c>
      <c r="Q12" s="10">
        <f>P12*(1-O12)</f>
        <v/>
      </c>
      <c r="R12" s="13" t="n">
        <v>0.735</v>
      </c>
      <c r="S12" s="10">
        <f>$B$6*$B$7*R12</f>
        <v/>
      </c>
      <c r="T12" s="9" t="n">
        <v>0.07000000000000001</v>
      </c>
      <c r="U12" s="10">
        <f>B12*T12</f>
        <v/>
      </c>
      <c r="V12" s="9" t="n">
        <v>0.08</v>
      </c>
      <c r="W12" s="10">
        <f>B12*V12</f>
        <v/>
      </c>
      <c r="X12" s="10">
        <f>U12+W12</f>
        <v/>
      </c>
      <c r="Y12" s="14">
        <f>X12/B12</f>
        <v/>
      </c>
      <c r="Z12" s="9" t="n">
        <v>0</v>
      </c>
      <c r="AA12" s="10">
        <f>B12*Z12</f>
        <v/>
      </c>
      <c r="AB12" s="10">
        <f>B12-I12-J12-K12-L12-M12-N12-Q12-S12-G12+AA12</f>
        <v/>
      </c>
      <c r="AC12" s="15">
        <f>AB12-X12</f>
        <v/>
      </c>
      <c r="AD12" s="14">
        <f>AC12/B12</f>
        <v/>
      </c>
      <c r="AE12" s="16">
        <f>AC12/G12</f>
        <v/>
      </c>
      <c r="AF12" s="10">
        <f>(J12+K12+L12+Q12+S12+G12)/(1-(H12+$B$4+(1-C12)*$B$3+T12+V12-Z12))</f>
        <v/>
      </c>
    </row>
    <row r="13">
      <c r="A13" s="7" t="inlineStr">
        <is>
          <t>ROUND LAB 1025 DOKDO CLEANSER_150ml</t>
        </is>
      </c>
      <c r="B13" s="8" t="n">
        <v>2500</v>
      </c>
      <c r="C13" s="9" t="n">
        <v>0.45</v>
      </c>
      <c r="D13" s="10">
        <f>B13*(1-C13)</f>
        <v/>
      </c>
      <c r="E13" s="11" t="n">
        <v>463.19</v>
      </c>
      <c r="F13" s="12">
        <f>$B$5</f>
        <v/>
      </c>
      <c r="G13" s="12">
        <f>E13+F13</f>
        <v/>
      </c>
      <c r="H13" s="9" t="n">
        <v>0.41</v>
      </c>
      <c r="I13" s="10">
        <f>B13*H13</f>
        <v/>
      </c>
      <c r="J13" s="8" t="n">
        <v>74</v>
      </c>
      <c r="K13" s="12">
        <f>J13*$B$8</f>
        <v/>
      </c>
      <c r="L13" s="8" t="n">
        <v>25</v>
      </c>
      <c r="M13" s="10">
        <f>B13*$B$4</f>
        <v/>
      </c>
      <c r="N13" s="10">
        <f>D13*$B$3</f>
        <v/>
      </c>
      <c r="O13" s="9" t="n">
        <v>0.9</v>
      </c>
      <c r="P13" s="8" t="n">
        <v>75</v>
      </c>
      <c r="Q13" s="10">
        <f>P13*(1-O13)</f>
        <v/>
      </c>
      <c r="R13" s="13" t="n">
        <v>1.28</v>
      </c>
      <c r="S13" s="10">
        <f>$B$6*$B$7*R13</f>
        <v/>
      </c>
      <c r="T13" s="9" t="n">
        <v>0.1</v>
      </c>
      <c r="U13" s="10">
        <f>B13*T13</f>
        <v/>
      </c>
      <c r="V13" s="9" t="n">
        <v>0</v>
      </c>
      <c r="W13" s="10">
        <f>B13*V13</f>
        <v/>
      </c>
      <c r="X13" s="10">
        <f>U13+W13</f>
        <v/>
      </c>
      <c r="Y13" s="14">
        <f>X13/B13</f>
        <v/>
      </c>
      <c r="Z13" s="9" t="n">
        <v>0</v>
      </c>
      <c r="AA13" s="10">
        <f>B13*Z13</f>
        <v/>
      </c>
      <c r="AB13" s="10">
        <f>B13-I13-J13-K13-L13-M13-N13-Q13-S13-G13+AA13</f>
        <v/>
      </c>
      <c r="AC13" s="15">
        <f>AB13-X13</f>
        <v/>
      </c>
      <c r="AD13" s="14">
        <f>AC13/B13</f>
        <v/>
      </c>
      <c r="AE13" s="16">
        <f>AC13/G13</f>
        <v/>
      </c>
      <c r="AF13" s="10">
        <f>(J13+K13+L13+Q13+S13+G13)/(1-(H13+$B$4+(1-C13)*$B$3+T13+V13-Z13))</f>
        <v/>
      </c>
    </row>
    <row r="14">
      <c r="A14" s="7" t="inlineStr">
        <is>
          <t>FARMSTAY COLLAGEN&amp;HYALURONIC ACID ALL-IN ONE</t>
        </is>
      </c>
      <c r="B14" s="8" t="n">
        <v>2500</v>
      </c>
      <c r="C14" s="9" t="n">
        <v>0.45</v>
      </c>
      <c r="D14" s="10">
        <f>B14*(1-C14)</f>
        <v/>
      </c>
      <c r="E14" s="11" t="n">
        <v>347.76</v>
      </c>
      <c r="F14" s="12">
        <f>$B$5</f>
        <v/>
      </c>
      <c r="G14" s="12">
        <f>E14+F14</f>
        <v/>
      </c>
      <c r="H14" s="9" t="n">
        <v>0.41</v>
      </c>
      <c r="I14" s="10">
        <f>B14*H14</f>
        <v/>
      </c>
      <c r="J14" s="8" t="n">
        <v>67</v>
      </c>
      <c r="K14" s="12">
        <f>J14*$B$8</f>
        <v/>
      </c>
      <c r="L14" s="8" t="n">
        <v>25</v>
      </c>
      <c r="M14" s="10">
        <f>B14*$B$4</f>
        <v/>
      </c>
      <c r="N14" s="10">
        <f>D14*$B$3</f>
        <v/>
      </c>
      <c r="O14" s="9" t="n">
        <v>0.9</v>
      </c>
      <c r="P14" s="8">
        <f>J14</f>
        <v/>
      </c>
      <c r="Q14" s="10">
        <f>P14*(1-O14)</f>
        <v/>
      </c>
      <c r="R14" s="13" t="n">
        <v>0.832</v>
      </c>
      <c r="S14" s="10">
        <f>$B$6*$B$7*R14</f>
        <v/>
      </c>
      <c r="T14" s="9" t="n">
        <v>0.1</v>
      </c>
      <c r="U14" s="10">
        <f>B14*T14</f>
        <v/>
      </c>
      <c r="V14" s="9" t="n">
        <v>0</v>
      </c>
      <c r="W14" s="10">
        <f>B14*V14</f>
        <v/>
      </c>
      <c r="X14" s="10">
        <f>U14+W14</f>
        <v/>
      </c>
      <c r="Y14" s="14">
        <f>X14/B14</f>
        <v/>
      </c>
      <c r="Z14" s="9" t="n">
        <v>0</v>
      </c>
      <c r="AA14" s="10">
        <f>B14*Z14</f>
        <v/>
      </c>
      <c r="AB14" s="10">
        <f>B14-I14-J14-K14-L14-M14-N14-Q14-S14-G14+AA14</f>
        <v/>
      </c>
      <c r="AC14" s="15">
        <f>AB14-X14</f>
        <v/>
      </c>
      <c r="AD14" s="14">
        <f>AC14/B14</f>
        <v/>
      </c>
      <c r="AE14" s="16">
        <f>AC14/G14</f>
        <v/>
      </c>
      <c r="AF14" s="10">
        <f>(J14+K14+L14+Q14+S14+G14)/(1-(H14+$B$4+(1-C14)*$B$3+T14+V14-Z14))</f>
        <v/>
      </c>
    </row>
    <row r="17">
      <c r="A17" s="17" t="inlineStr">
        <is>
          <t>Только FBO. Жёлтые ячейки — вход (цена, СПП %, себест., комиссия, логистика, наценка за нелокальность, выкуп, объём, реклама %, соинвест %) и параметры B3:B7. Остальное — формулы. Цена с СПП = Цена×(1−СПП%); налог считается от цены с СПП. Объём — в литрах из габаритов карточки (если выгружены, иначе объёмный вес). Реклама по актуальным форматам Ozon: Оплата за клик % (CPC) и Вывод в топ % (CPO). Соинвест % — из кабинета (Цены → Баллы за скидки), баллы прибавляются к марже. Меняешь цену в колонке B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2026-08-03T14:52:02Z</dcterms:created>
  <dcterms:modified xsi:type="dcterms:W3CDTF">2026-08-03T15:16:45Z</dcterms:modified>
  <cp:lastModifiedBy>PC</cp:lastModifiedBy>
</cp:coreProperties>
</file>
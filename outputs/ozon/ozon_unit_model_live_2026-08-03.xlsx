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3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0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8" customWidth="1" min="22" max="22"/>
    <col width="11" customWidth="1" min="23" max="23"/>
    <col width="11" customWidth="1" min="24" max="24"/>
    <col width="13" customWidth="1" min="25" max="25"/>
    <col width="10" customWidth="1" min="26" max="26"/>
    <col width="11" customWidth="1" min="27" max="27"/>
    <col width="10" customWidth="1" min="28" max="28"/>
    <col width="12" customWidth="1" min="29" max="29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0.08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30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Себест.</t>
        </is>
      </c>
      <c r="D11" s="6" t="inlineStr">
        <is>
          <t>Фулфилмент</t>
        </is>
      </c>
      <c r="E11" s="6" t="inlineStr">
        <is>
          <t>База затрат</t>
        </is>
      </c>
      <c r="F11" s="6" t="inlineStr">
        <is>
          <t>Комиссия %</t>
        </is>
      </c>
      <c r="G11" s="6" t="inlineStr">
        <is>
          <t>Комиссия ₽</t>
        </is>
      </c>
      <c r="H11" s="6" t="inlineStr">
        <is>
          <t>Логистика</t>
        </is>
      </c>
      <c r="I11" s="6" t="inlineStr">
        <is>
          <t>Доставка до ПВЗ</t>
        </is>
      </c>
      <c r="J11" s="6" t="inlineStr">
        <is>
          <t>Эквайринг</t>
        </is>
      </c>
      <c r="K11" s="6" t="inlineStr">
        <is>
          <t>Налог</t>
        </is>
      </c>
      <c r="L11" s="6" t="inlineStr">
        <is>
          <t>Выкуп %</t>
        </is>
      </c>
      <c r="M11" s="6" t="inlineStr">
        <is>
          <t>Обр.лог база</t>
        </is>
      </c>
      <c r="N11" s="6" t="inlineStr">
        <is>
          <t>Обр.лог</t>
        </is>
      </c>
      <c r="O11" s="6" t="inlineStr">
        <is>
          <t>Объём, л</t>
        </is>
      </c>
      <c r="P11" s="6" t="inlineStr">
        <is>
          <t>Хранение</t>
        </is>
      </c>
      <c r="Q11" s="6" t="inlineStr">
        <is>
          <t>Оплата за клик, %</t>
        </is>
      </c>
      <c r="R11" s="6" t="inlineStr">
        <is>
          <t>Оплата за клик ₽</t>
        </is>
      </c>
      <c r="S11" s="6" t="inlineStr">
        <is>
          <t>Вывод в топ, %</t>
        </is>
      </c>
      <c r="T11" s="6" t="inlineStr">
        <is>
          <t>Вывод в топ ₽</t>
        </is>
      </c>
      <c r="U11" s="6" t="inlineStr">
        <is>
          <t>Реклама всего ₽</t>
        </is>
      </c>
      <c r="V11" s="6" t="inlineStr">
        <is>
          <t>ДРР %</t>
        </is>
      </c>
      <c r="W11" s="6" t="inlineStr">
        <is>
          <t>Соинвест, %</t>
        </is>
      </c>
      <c r="X11" s="6" t="inlineStr">
        <is>
          <t>Соинвест ₽</t>
        </is>
      </c>
      <c r="Y11" s="6" t="inlineStr">
        <is>
          <t>Маржа до рекл.</t>
        </is>
      </c>
      <c r="Z11" s="6" t="inlineStr">
        <is>
          <t>Маржа/шт</t>
        </is>
      </c>
      <c r="AA11" s="6" t="inlineStr">
        <is>
          <t>Маржа % цены</t>
        </is>
      </c>
      <c r="AB11" s="6" t="inlineStr">
        <is>
          <t>ROI %</t>
        </is>
      </c>
      <c r="AC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2500</v>
      </c>
      <c r="C12" s="9" t="n">
        <v>663.86</v>
      </c>
      <c r="D12" s="10">
        <f>$B$5</f>
        <v/>
      </c>
      <c r="E12" s="10">
        <f>C12+D12</f>
        <v/>
      </c>
      <c r="F12" s="11" t="n">
        <v>0.41</v>
      </c>
      <c r="G12" s="12">
        <f>B12*F12</f>
        <v/>
      </c>
      <c r="H12" s="8" t="n">
        <v>67</v>
      </c>
      <c r="I12" s="8" t="n">
        <v>25</v>
      </c>
      <c r="J12" s="12">
        <f>B12*$B$4</f>
        <v/>
      </c>
      <c r="K12" s="12">
        <f>B12*$B$3</f>
        <v/>
      </c>
      <c r="L12" s="11" t="n">
        <v>0.9219000000000001</v>
      </c>
      <c r="M12" s="8" t="n">
        <v>81</v>
      </c>
      <c r="N12" s="12">
        <f>M12*(1-L12)</f>
        <v/>
      </c>
      <c r="O12" s="13" t="n">
        <v>0.2</v>
      </c>
      <c r="P12" s="12">
        <f>$B$6*$B$7*O12</f>
        <v/>
      </c>
      <c r="Q12" s="11" t="n">
        <v>0.1</v>
      </c>
      <c r="R12" s="12">
        <f>B12*Q12</f>
        <v/>
      </c>
      <c r="S12" s="11" t="n">
        <v>0</v>
      </c>
      <c r="T12" s="12">
        <f>B12*S12</f>
        <v/>
      </c>
      <c r="U12" s="12">
        <f>R12+T12</f>
        <v/>
      </c>
      <c r="V12" s="14">
        <f>U12/B12</f>
        <v/>
      </c>
      <c r="W12" s="11" t="n">
        <v>0</v>
      </c>
      <c r="X12" s="12">
        <f>B12*W12</f>
        <v/>
      </c>
      <c r="Y12" s="12">
        <f>B12-G12-H12-I12-J12-K12-N12-P12-E12+X12</f>
        <v/>
      </c>
      <c r="Z12" s="15">
        <f>Y12-U12</f>
        <v/>
      </c>
      <c r="AA12" s="14">
        <f>Z12/B12</f>
        <v/>
      </c>
      <c r="AB12" s="16">
        <f>Z12/E12</f>
        <v/>
      </c>
      <c r="AC12" s="12">
        <f>(H12+I12+N12+P12+E12)/(1-(F12+$B$4+$B$3+Q12+S12-W12))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463.19</v>
      </c>
      <c r="D13" s="10">
        <f>$B$5</f>
        <v/>
      </c>
      <c r="E13" s="10">
        <f>C13+D13</f>
        <v/>
      </c>
      <c r="F13" s="11" t="n">
        <v>0.41</v>
      </c>
      <c r="G13" s="12">
        <f>B13*F13</f>
        <v/>
      </c>
      <c r="H13" s="8" t="n">
        <v>74</v>
      </c>
      <c r="I13" s="8" t="n">
        <v>25</v>
      </c>
      <c r="J13" s="12">
        <f>B13*$B$4</f>
        <v/>
      </c>
      <c r="K13" s="12">
        <f>B13*$B$3</f>
        <v/>
      </c>
      <c r="L13" s="11" t="n">
        <v>0.96</v>
      </c>
      <c r="M13" s="8" t="n">
        <v>89</v>
      </c>
      <c r="N13" s="12">
        <f>M13*(1-L13)</f>
        <v/>
      </c>
      <c r="O13" s="13" t="n">
        <v>0.3</v>
      </c>
      <c r="P13" s="12">
        <f>$B$6*$B$7*O13</f>
        <v/>
      </c>
      <c r="Q13" s="11" t="n">
        <v>0.1</v>
      </c>
      <c r="R13" s="12">
        <f>B13*Q13</f>
        <v/>
      </c>
      <c r="S13" s="11" t="n">
        <v>0</v>
      </c>
      <c r="T13" s="12">
        <f>B13*S13</f>
        <v/>
      </c>
      <c r="U13" s="12">
        <f>R13+T13</f>
        <v/>
      </c>
      <c r="V13" s="14">
        <f>U13/B13</f>
        <v/>
      </c>
      <c r="W13" s="11" t="n">
        <v>0</v>
      </c>
      <c r="X13" s="12">
        <f>B13*W13</f>
        <v/>
      </c>
      <c r="Y13" s="12">
        <f>B13-G13-H13-I13-J13-K13-N13-P13-E13+X13</f>
        <v/>
      </c>
      <c r="Z13" s="15">
        <f>Y13-U13</f>
        <v/>
      </c>
      <c r="AA13" s="14">
        <f>Z13/B13</f>
        <v/>
      </c>
      <c r="AB13" s="16">
        <f>Z13/E13</f>
        <v/>
      </c>
      <c r="AC13" s="12">
        <f>(H13+I13+N13+P13+E13)/(1-(F13+$B$4+$B$3+Q13+S13-W13))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347.76</v>
      </c>
      <c r="D14" s="10">
        <f>$B$5</f>
        <v/>
      </c>
      <c r="E14" s="10">
        <f>C14+D14</f>
        <v/>
      </c>
      <c r="F14" s="11" t="n">
        <v>0.41</v>
      </c>
      <c r="G14" s="12">
        <f>B14*F14</f>
        <v/>
      </c>
      <c r="H14" s="8" t="n">
        <v>67</v>
      </c>
      <c r="I14" s="8" t="n">
        <v>25</v>
      </c>
      <c r="J14" s="12">
        <f>B14*$B$4</f>
        <v/>
      </c>
      <c r="K14" s="12">
        <f>B14*$B$3</f>
        <v/>
      </c>
      <c r="L14" s="11" t="n">
        <v>0.9219000000000001</v>
      </c>
      <c r="M14" s="8" t="n">
        <v>81</v>
      </c>
      <c r="N14" s="12">
        <f>M14*(1-L14)</f>
        <v/>
      </c>
      <c r="O14" s="13" t="n">
        <v>0.3</v>
      </c>
      <c r="P14" s="12">
        <f>$B$6*$B$7*O14</f>
        <v/>
      </c>
      <c r="Q14" s="11" t="n">
        <v>0.1</v>
      </c>
      <c r="R14" s="12">
        <f>B14*Q14</f>
        <v/>
      </c>
      <c r="S14" s="11" t="n">
        <v>0</v>
      </c>
      <c r="T14" s="12">
        <f>B14*S14</f>
        <v/>
      </c>
      <c r="U14" s="12">
        <f>R14+T14</f>
        <v/>
      </c>
      <c r="V14" s="14">
        <f>U14/B14</f>
        <v/>
      </c>
      <c r="W14" s="11" t="n">
        <v>0</v>
      </c>
      <c r="X14" s="12">
        <f>B14*W14</f>
        <v/>
      </c>
      <c r="Y14" s="12">
        <f>B14-G14-H14-I14-J14-K14-N14-P14-E14+X14</f>
        <v/>
      </c>
      <c r="Z14" s="15">
        <f>Y14-U14</f>
        <v/>
      </c>
      <c r="AA14" s="14">
        <f>Z14/B14</f>
        <v/>
      </c>
      <c r="AB14" s="16">
        <f>Z14/E14</f>
        <v/>
      </c>
      <c r="AC14" s="12">
        <f>(H14+I14+N14+P14+E14)/(1-(F14+$B$4+$B$3+Q14+S14-W14))</f>
        <v/>
      </c>
    </row>
    <row r="17">
      <c r="A17" s="17" t="inlineStr">
        <is>
          <t>Только FBO. Жёлтые ячейки — вход (цена, себест., комиссия, логистика, выкуп, объём, реклама %, соинвест %) и параметры B3:B7. Остальное — формулы. Реклама по актуальным форматам Ozon: Оплата за клик % (CPC, продвижение товаров — ДРР) и Вывод в топ % (CPO — ставка от цены заказа). Соинвест % возьми в кабинете (Цены → Баллы за скидки): баллы компенсируют издержки и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2026-08-03T13:59:51Z</dcterms:created>
  <dcterms:modified xsi:type="dcterms:W3CDTF">2026-08-03T13:59:51Z</dcterms:modified>
</cp:coreProperties>
</file>
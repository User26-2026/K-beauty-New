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Юнитка Ozon (live)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sz val="12"/>
    </font>
    <font>
      <b val="1"/>
    </font>
    <font>
      <b val="1"/>
      <color rgb="00FFFFFF"/>
    </font>
    <font>
      <i val="1"/>
      <color rgb="00808080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30549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9" fontId="2" fillId="2" borderId="1" pivotButton="0" quotePrefix="0" xfId="0"/>
    <xf numFmtId="164" fontId="2" fillId="2" borderId="1" pivotButton="0" quotePrefix="0" xfId="0"/>
    <xf numFmtId="3" fontId="2" fillId="2" borderId="1" pivotButton="0" quotePrefix="0" xfId="0"/>
    <xf numFmtId="2" fontId="2" fillId="2" borderId="1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3" fontId="0" fillId="2" borderId="1" pivotButton="0" quotePrefix="0" xfId="0"/>
    <xf numFmtId="4" fontId="0" fillId="2" borderId="1" pivotButton="0" quotePrefix="0" xfId="0"/>
    <xf numFmtId="4" fontId="0" fillId="0" borderId="1" pivotButton="0" quotePrefix="0" xfId="0"/>
    <xf numFmtId="164" fontId="0" fillId="2" borderId="1" pivotButton="0" quotePrefix="0" xfId="0"/>
    <xf numFmtId="3" fontId="0" fillId="0" borderId="1" pivotButton="0" quotePrefix="0" xfId="0"/>
    <xf numFmtId="2" fontId="0" fillId="2" borderId="1" pivotButton="0" quotePrefix="0" xfId="0"/>
    <xf numFmtId="3" fontId="2" fillId="4" borderId="1" pivotButton="0" quotePrefix="0" xfId="0"/>
    <xf numFmtId="164" fontId="0" fillId="0" borderId="1" pivotButton="0" quotePrefix="0" xfId="0"/>
    <xf numFmtId="164" fontId="2" fillId="4" borderId="1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17"/>
  <sheetViews>
    <sheetView workbookViewId="0">
      <pane xSplit="1" ySplit="11" topLeftCell="B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2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2" customWidth="1" min="13" max="13"/>
    <col width="10" customWidth="1" min="14" max="14"/>
    <col width="10" customWidth="1" min="15" max="15"/>
    <col width="10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1" customWidth="1" min="23" max="23"/>
    <col width="13" customWidth="1" min="24" max="24"/>
    <col width="10" customWidth="1" min="25" max="25"/>
    <col width="11" customWidth="1" min="26" max="26"/>
    <col width="10" customWidth="1" min="27" max="27"/>
    <col width="12" customWidth="1" min="28" max="28"/>
  </cols>
  <sheetData>
    <row r="1">
      <c r="A1" s="1" t="inlineStr">
        <is>
          <t>ПАРАМЕТРЫ — меняй жёлтые ячейки, всё пересчитается</t>
        </is>
      </c>
    </row>
    <row r="3">
      <c r="A3" t="inlineStr">
        <is>
          <t>Налог с оборота</t>
        </is>
      </c>
      <c r="B3" s="2" t="n">
        <v>0.08</v>
      </c>
    </row>
    <row r="4">
      <c r="A4" t="inlineStr">
        <is>
          <t>Эквайринг</t>
        </is>
      </c>
      <c r="B4" s="3" t="n">
        <v>0.015</v>
      </c>
    </row>
    <row r="5">
      <c r="A5" t="inlineStr">
        <is>
          <t>Фулфилмент, ₽/шт</t>
        </is>
      </c>
      <c r="B5" s="4" t="n">
        <v>60</v>
      </c>
    </row>
    <row r="6">
      <c r="A6" t="inlineStr">
        <is>
          <t>Хранение, ₽/л/день</t>
        </is>
      </c>
      <c r="B6" s="5" t="n">
        <v>0.16</v>
      </c>
    </row>
    <row r="7">
      <c r="A7" t="inlineStr">
        <is>
          <t>Дней хранения</t>
        </is>
      </c>
      <c r="B7" s="4" t="n">
        <v>30</v>
      </c>
    </row>
    <row r="11" ht="30" customHeight="1">
      <c r="A11" s="6" t="inlineStr">
        <is>
          <t>Товар</t>
        </is>
      </c>
      <c r="B11" s="6" t="inlineStr">
        <is>
          <t>Цена</t>
        </is>
      </c>
      <c r="C11" s="6" t="inlineStr">
        <is>
          <t>Себест.</t>
        </is>
      </c>
      <c r="D11" s="6" t="inlineStr">
        <is>
          <t>Фулфилмент</t>
        </is>
      </c>
      <c r="E11" s="6" t="inlineStr">
        <is>
          <t>База затрат</t>
        </is>
      </c>
      <c r="F11" s="6" t="inlineStr">
        <is>
          <t>Комиссия %</t>
        </is>
      </c>
      <c r="G11" s="6" t="inlineStr">
        <is>
          <t>Комиссия ₽</t>
        </is>
      </c>
      <c r="H11" s="6" t="inlineStr">
        <is>
          <t>Логистика</t>
        </is>
      </c>
      <c r="I11" s="6" t="inlineStr">
        <is>
          <t>Посл.миля</t>
        </is>
      </c>
      <c r="J11" s="6" t="inlineStr">
        <is>
          <t>Эквайринг</t>
        </is>
      </c>
      <c r="K11" s="6" t="inlineStr">
        <is>
          <t>Налог</t>
        </is>
      </c>
      <c r="L11" s="6" t="inlineStr">
        <is>
          <t>Выкуп %</t>
        </is>
      </c>
      <c r="M11" s="6" t="inlineStr">
        <is>
          <t>Обр.лог база</t>
        </is>
      </c>
      <c r="N11" s="6" t="inlineStr">
        <is>
          <t>Обр.лог</t>
        </is>
      </c>
      <c r="O11" s="6" t="inlineStr">
        <is>
          <t>Объём, л</t>
        </is>
      </c>
      <c r="P11" s="6" t="inlineStr">
        <is>
          <t>Хранение</t>
        </is>
      </c>
      <c r="Q11" s="6" t="inlineStr">
        <is>
          <t>Оплата за клик, %</t>
        </is>
      </c>
      <c r="R11" s="6" t="inlineStr">
        <is>
          <t>Оплата за клик ₽</t>
        </is>
      </c>
      <c r="S11" s="6" t="inlineStr">
        <is>
          <t>Вывод в топ, %</t>
        </is>
      </c>
      <c r="T11" s="6" t="inlineStr">
        <is>
          <t>Вывод в топ ₽</t>
        </is>
      </c>
      <c r="U11" s="6" t="inlineStr">
        <is>
          <t>Реклама всего ₽</t>
        </is>
      </c>
      <c r="V11" s="6" t="inlineStr">
        <is>
          <t>Соинвест, %</t>
        </is>
      </c>
      <c r="W11" s="6" t="inlineStr">
        <is>
          <t>Соинвест ₽</t>
        </is>
      </c>
      <c r="X11" s="6" t="inlineStr">
        <is>
          <t>Маржа до рекл.</t>
        </is>
      </c>
      <c r="Y11" s="6" t="inlineStr">
        <is>
          <t>Маржа/шт</t>
        </is>
      </c>
      <c r="Z11" s="6" t="inlineStr">
        <is>
          <t>Маржа % цены</t>
        </is>
      </c>
      <c r="AA11" s="6" t="inlineStr">
        <is>
          <t>ROI %</t>
        </is>
      </c>
      <c r="AB11" s="6" t="inlineStr">
        <is>
          <t>Цена безубыт.</t>
        </is>
      </c>
    </row>
    <row r="12">
      <c r="A12" s="7" t="inlineStr">
        <is>
          <t>Celimax Dual Barrier Creamy Toner</t>
        </is>
      </c>
      <c r="B12" s="8" t="n">
        <v>2500</v>
      </c>
      <c r="C12" s="9" t="n">
        <v>663.86</v>
      </c>
      <c r="D12" s="10">
        <f>$B$5</f>
        <v/>
      </c>
      <c r="E12" s="10">
        <f>C12+D12</f>
        <v/>
      </c>
      <c r="F12" s="11" t="n">
        <v>0.41</v>
      </c>
      <c r="G12" s="12">
        <f>B12*F12</f>
        <v/>
      </c>
      <c r="H12" s="8" t="n">
        <v>67</v>
      </c>
      <c r="I12" s="8" t="n">
        <v>25</v>
      </c>
      <c r="J12" s="12">
        <f>B12*$B$4</f>
        <v/>
      </c>
      <c r="K12" s="12">
        <f>B12*$B$3</f>
        <v/>
      </c>
      <c r="L12" s="11" t="n">
        <v>0.9219000000000001</v>
      </c>
      <c r="M12" s="8" t="n">
        <v>81</v>
      </c>
      <c r="N12" s="12">
        <f>M12*(1-L12)</f>
        <v/>
      </c>
      <c r="O12" s="13" t="n">
        <v>0.2</v>
      </c>
      <c r="P12" s="12">
        <f>$B$6*$B$7*O12</f>
        <v/>
      </c>
      <c r="Q12" s="11" t="n">
        <v>0.1</v>
      </c>
      <c r="R12" s="12">
        <f>B12*Q12</f>
        <v/>
      </c>
      <c r="S12" s="11" t="n">
        <v>0</v>
      </c>
      <c r="T12" s="12">
        <f>B12*S12</f>
        <v/>
      </c>
      <c r="U12" s="12">
        <f>R12+T12</f>
        <v/>
      </c>
      <c r="V12" s="11" t="n">
        <v>0</v>
      </c>
      <c r="W12" s="12">
        <f>B12*V12</f>
        <v/>
      </c>
      <c r="X12" s="12">
        <f>B12-G12-H12-I12-J12-K12-N12-P12-E12+W12</f>
        <v/>
      </c>
      <c r="Y12" s="14">
        <f>X12-U12</f>
        <v/>
      </c>
      <c r="Z12" s="15">
        <f>Y12/B12</f>
        <v/>
      </c>
      <c r="AA12" s="16">
        <f>Y12/E12</f>
        <v/>
      </c>
      <c r="AB12" s="12">
        <f>(H12+I12+N12+P12+E12)/(1-(F12+$B$4+$B$3+Q12+S12-V12))</f>
        <v/>
      </c>
    </row>
    <row r="13">
      <c r="A13" s="7" t="inlineStr">
        <is>
          <t>ROUND LAB 1025 DOKDO CLEANSER_150ml</t>
        </is>
      </c>
      <c r="B13" s="8" t="n">
        <v>2500</v>
      </c>
      <c r="C13" s="9" t="n">
        <v>463.19</v>
      </c>
      <c r="D13" s="10">
        <f>$B$5</f>
        <v/>
      </c>
      <c r="E13" s="10">
        <f>C13+D13</f>
        <v/>
      </c>
      <c r="F13" s="11" t="n">
        <v>0.41</v>
      </c>
      <c r="G13" s="12">
        <f>B13*F13</f>
        <v/>
      </c>
      <c r="H13" s="8" t="n">
        <v>74</v>
      </c>
      <c r="I13" s="8" t="n">
        <v>25</v>
      </c>
      <c r="J13" s="12">
        <f>B13*$B$4</f>
        <v/>
      </c>
      <c r="K13" s="12">
        <f>B13*$B$3</f>
        <v/>
      </c>
      <c r="L13" s="11" t="n">
        <v>0.96</v>
      </c>
      <c r="M13" s="8" t="n">
        <v>89</v>
      </c>
      <c r="N13" s="12">
        <f>M13*(1-L13)</f>
        <v/>
      </c>
      <c r="O13" s="13" t="n">
        <v>0.3</v>
      </c>
      <c r="P13" s="12">
        <f>$B$6*$B$7*O13</f>
        <v/>
      </c>
      <c r="Q13" s="11" t="n">
        <v>0.1</v>
      </c>
      <c r="R13" s="12">
        <f>B13*Q13</f>
        <v/>
      </c>
      <c r="S13" s="11" t="n">
        <v>0</v>
      </c>
      <c r="T13" s="12">
        <f>B13*S13</f>
        <v/>
      </c>
      <c r="U13" s="12">
        <f>R13+T13</f>
        <v/>
      </c>
      <c r="V13" s="11" t="n">
        <v>0</v>
      </c>
      <c r="W13" s="12">
        <f>B13*V13</f>
        <v/>
      </c>
      <c r="X13" s="12">
        <f>B13-G13-H13-I13-J13-K13-N13-P13-E13+W13</f>
        <v/>
      </c>
      <c r="Y13" s="14">
        <f>X13-U13</f>
        <v/>
      </c>
      <c r="Z13" s="15">
        <f>Y13/B13</f>
        <v/>
      </c>
      <c r="AA13" s="16">
        <f>Y13/E13</f>
        <v/>
      </c>
      <c r="AB13" s="12">
        <f>(H13+I13+N13+P13+E13)/(1-(F13+$B$4+$B$3+Q13+S13-V13))</f>
        <v/>
      </c>
    </row>
    <row r="14">
      <c r="A14" s="7" t="inlineStr">
        <is>
          <t>FARMSTAY COLLAGEN&amp;HYALURONIC ACID ALL-IN ONE</t>
        </is>
      </c>
      <c r="B14" s="8" t="n">
        <v>2500</v>
      </c>
      <c r="C14" s="9" t="n">
        <v>347.76</v>
      </c>
      <c r="D14" s="10">
        <f>$B$5</f>
        <v/>
      </c>
      <c r="E14" s="10">
        <f>C14+D14</f>
        <v/>
      </c>
      <c r="F14" s="11" t="n">
        <v>0.41</v>
      </c>
      <c r="G14" s="12">
        <f>B14*F14</f>
        <v/>
      </c>
      <c r="H14" s="8" t="n">
        <v>67</v>
      </c>
      <c r="I14" s="8" t="n">
        <v>25</v>
      </c>
      <c r="J14" s="12">
        <f>B14*$B$4</f>
        <v/>
      </c>
      <c r="K14" s="12">
        <f>B14*$B$3</f>
        <v/>
      </c>
      <c r="L14" s="11" t="n">
        <v>0.9219000000000001</v>
      </c>
      <c r="M14" s="8" t="n">
        <v>81</v>
      </c>
      <c r="N14" s="12">
        <f>M14*(1-L14)</f>
        <v/>
      </c>
      <c r="O14" s="13" t="n">
        <v>0.3</v>
      </c>
      <c r="P14" s="12">
        <f>$B$6*$B$7*O14</f>
        <v/>
      </c>
      <c r="Q14" s="11" t="n">
        <v>0.1</v>
      </c>
      <c r="R14" s="12">
        <f>B14*Q14</f>
        <v/>
      </c>
      <c r="S14" s="11" t="n">
        <v>0</v>
      </c>
      <c r="T14" s="12">
        <f>B14*S14</f>
        <v/>
      </c>
      <c r="U14" s="12">
        <f>R14+T14</f>
        <v/>
      </c>
      <c r="V14" s="11" t="n">
        <v>0</v>
      </c>
      <c r="W14" s="12">
        <f>B14*V14</f>
        <v/>
      </c>
      <c r="X14" s="12">
        <f>B14-G14-H14-I14-J14-K14-N14-P14-E14+W14</f>
        <v/>
      </c>
      <c r="Y14" s="14">
        <f>X14-U14</f>
        <v/>
      </c>
      <c r="Z14" s="15">
        <f>Y14/B14</f>
        <v/>
      </c>
      <c r="AA14" s="16">
        <f>Y14/E14</f>
        <v/>
      </c>
      <c r="AB14" s="12">
        <f>(H14+I14+N14+P14+E14)/(1-(F14+$B$4+$B$3+Q14+S14-V14))</f>
        <v/>
      </c>
    </row>
    <row r="17">
      <c r="A17" s="17" t="inlineStr">
        <is>
          <t>Только FBO. Жёлтые ячейки — вход (цена, себест., комиссия, логистика, выкуп, объём, реклама %, соинвест %) и параметры B3:B7. Остальное — формулы. Реклама по актуальным форматам Ozon: Оплата за клик % (CPC, продвижение товаров — ДРР) и Вывод в топ % (CPO — ставка от цены заказа). Соинвест % возьми в кабинете (Цены → Баллы за скидки): баллы компенсируют издержки и прибавляются к марже. Меняешь цену в колонке B → маржа и ROI пересчитываются.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2026-08-03T13:48:21Z</dcterms:created>
  <dcterms:modified xsi:type="dcterms:W3CDTF">2026-08-03T13:48:21Z</dcterms:modified>
</cp:coreProperties>
</file>
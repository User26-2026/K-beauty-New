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externalReferences>
    <externalReference r:id="rId2"/>
  </externalReference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theme="1"/>
      <sz val="8"/>
    </font>
    <font>
      <name val="Arial"/>
      <charset val="204"/>
      <family val="2"/>
      <color rgb="FFFF0000"/>
      <sz val="9"/>
    </font>
    <font>
      <name val="Arial"/>
      <charset val="204"/>
      <family val="2"/>
      <color theme="1"/>
      <sz val="9"/>
    </font>
    <font>
      <name val="Arial"/>
      <charset val="204"/>
      <family val="2"/>
      <b val="1"/>
      <color rgb="FFFF0000"/>
      <sz val="9"/>
    </font>
    <font>
      <name val="Arial"/>
      <charset val="204"/>
      <family val="2"/>
      <b val="1"/>
      <color theme="1"/>
      <sz val="9"/>
    </font>
  </fonts>
  <fills count="11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00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0E0E3"/>
        <bgColor indexed="64"/>
      </patternFill>
    </fill>
  </fills>
  <borders count="1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9" fontId="4" fillId="2" borderId="0" applyAlignment="1" pivotButton="0" quotePrefix="0" xfId="0">
      <alignment horizontal="center"/>
    </xf>
    <xf numFmtId="9" fontId="4" fillId="2" borderId="1" pivotButton="0" quotePrefix="0" xfId="0"/>
    <xf numFmtId="164" fontId="4" fillId="2" borderId="0" applyAlignment="1" pivotButton="0" quotePrefix="0" xfId="0">
      <alignment horizontal="center"/>
    </xf>
    <xf numFmtId="164" fontId="4" fillId="2" borderId="1" pivotButton="0" quotePrefix="0" xfId="0"/>
    <xf numFmtId="3" fontId="4" fillId="2" borderId="0" applyAlignment="1" pivotButton="0" quotePrefix="0" xfId="0">
      <alignment horizontal="center"/>
    </xf>
    <xf numFmtId="3" fontId="4" fillId="2" borderId="1" pivotButton="0" quotePrefix="0" xfId="0"/>
    <xf numFmtId="2" fontId="4" fillId="2" borderId="0" applyAlignment="1" pivotButton="0" quotePrefix="0" xfId="0">
      <alignment horizontal="center"/>
    </xf>
    <xf numFmtId="2" fontId="4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8" fillId="0" borderId="1" applyAlignment="1" pivotButton="0" quotePrefix="0" xfId="0">
      <alignment wrapText="1"/>
    </xf>
    <xf numFmtId="0" fontId="9" fillId="4" borderId="1" pivotButton="0" quotePrefix="0" xfId="0"/>
    <xf numFmtId="3" fontId="4" fillId="2" borderId="1" applyAlignment="1" pivotButton="0" quotePrefix="0" xfId="0">
      <alignment horizontal="center"/>
    </xf>
    <xf numFmtId="3" fontId="4" fillId="2" borderId="1" pivotButton="0" quotePrefix="0" xfId="0"/>
    <xf numFmtId="164" fontId="8" fillId="2" borderId="5" pivotButton="0" quotePrefix="0" xfId="0"/>
    <xf numFmtId="3" fontId="8" fillId="0" borderId="6" pivotButton="0" quotePrefix="0" xfId="0"/>
    <xf numFmtId="4" fontId="8" fillId="2" borderId="1" pivotButton="0" quotePrefix="0" xfId="0"/>
    <xf numFmtId="4" fontId="8" fillId="0" borderId="1" pivotButton="0" quotePrefix="0" xfId="0"/>
    <xf numFmtId="4" fontId="8" fillId="0" borderId="7" pivotButton="0" quotePrefix="0" xfId="0"/>
    <xf numFmtId="164" fontId="8" fillId="2" borderId="6" pivotButton="0" quotePrefix="0" xfId="0"/>
    <xf numFmtId="3" fontId="8" fillId="0" borderId="1" pivotButton="0" quotePrefix="0" xfId="0"/>
    <xf numFmtId="3" fontId="8" fillId="2" borderId="1" pivotButton="0" quotePrefix="0" xfId="0"/>
    <xf numFmtId="164" fontId="8" fillId="2" borderId="1" pivotButton="0" quotePrefix="0" xfId="0"/>
    <xf numFmtId="2" fontId="8" fillId="2" borderId="1" pivotButton="0" quotePrefix="0" xfId="0"/>
    <xf numFmtId="164" fontId="8" fillId="0" borderId="7" pivotButton="0" quotePrefix="0" xfId="0"/>
    <xf numFmtId="3" fontId="8" fillId="0" borderId="8" pivotButton="0" quotePrefix="0" xfId="0"/>
    <xf numFmtId="3" fontId="4" fillId="5" borderId="1" pivotButton="0" quotePrefix="0" xfId="0"/>
    <xf numFmtId="164" fontId="8" fillId="0" borderId="1" pivotButton="0" quotePrefix="0" xfId="0"/>
    <xf numFmtId="164" fontId="4" fillId="5" borderId="1" pivotButton="0" quotePrefix="0" xfId="0"/>
    <xf numFmtId="3" fontId="4" fillId="6" borderId="1" applyAlignment="1" pivotButton="0" quotePrefix="0" xfId="0">
      <alignment horizontal="center"/>
    </xf>
    <xf numFmtId="3" fontId="4" fillId="6" borderId="1" pivotButton="0" quotePrefix="0" xfId="0"/>
    <xf numFmtId="0" fontId="8" fillId="0" borderId="1" applyAlignment="1" pivotButton="0" quotePrefix="0" xfId="0">
      <alignment wrapText="1"/>
    </xf>
    <xf numFmtId="3" fontId="4" fillId="6" borderId="1" pivotButton="0" quotePrefix="0" xfId="0"/>
    <xf numFmtId="3" fontId="4" fillId="6" borderId="1" applyAlignment="1" pivotButton="0" quotePrefix="0" xfId="0">
      <alignment horizontal="center"/>
    </xf>
    <xf numFmtId="164" fontId="8" fillId="2" borderId="6" pivotButton="0" quotePrefix="0" xfId="0"/>
    <xf numFmtId="164" fontId="8" fillId="2" borderId="1" pivotButton="0" quotePrefix="0" xfId="0"/>
    <xf numFmtId="0" fontId="9" fillId="4" borderId="1" pivotButton="0" quotePrefix="0" xfId="0"/>
    <xf numFmtId="3" fontId="8" fillId="0" borderId="9" pivotButton="0" quotePrefix="0" xfId="0"/>
    <xf numFmtId="4" fontId="8" fillId="2" borderId="10" pivotButton="0" quotePrefix="0" xfId="0"/>
    <xf numFmtId="4" fontId="8" fillId="0" borderId="10" pivotButton="0" quotePrefix="0" xfId="0"/>
    <xf numFmtId="4" fontId="8" fillId="0" borderId="11" pivotButton="0" quotePrefix="0" xfId="0"/>
    <xf numFmtId="164" fontId="8" fillId="2" borderId="9" pivotButton="0" quotePrefix="0" xfId="0"/>
    <xf numFmtId="3" fontId="8" fillId="0" borderId="10" pivotButton="0" quotePrefix="0" xfId="0"/>
    <xf numFmtId="3" fontId="8" fillId="2" borderId="10" pivotButton="0" quotePrefix="0" xfId="0"/>
    <xf numFmtId="164" fontId="8" fillId="2" borderId="10" pivotButton="0" quotePrefix="0" xfId="0"/>
    <xf numFmtId="2" fontId="8" fillId="2" borderId="10" pivotButton="0" quotePrefix="0" xfId="0"/>
    <xf numFmtId="164" fontId="8" fillId="0" borderId="11" pivotButton="0" quotePrefix="0" xfId="0"/>
    <xf numFmtId="0" fontId="10" fillId="0" borderId="0" applyAlignment="1" pivotButton="0" quotePrefix="0" xfId="0">
      <alignment wrapText="1"/>
    </xf>
    <xf numFmtId="0" fontId="5" fillId="0" borderId="2" applyAlignment="1" pivotButton="0" quotePrefix="0" xfId="0">
      <alignment horizontal="center"/>
    </xf>
    <xf numFmtId="0" fontId="6" fillId="0" borderId="3" pivotButton="0" quotePrefix="0" xfId="0"/>
    <xf numFmtId="0" fontId="6" fillId="0" borderId="4" pivotButton="0" quotePrefix="0" xfId="0"/>
    <xf numFmtId="0" fontId="0" fillId="0" borderId="0" pivotButton="0" quotePrefix="0" xfId="0"/>
    <xf numFmtId="0" fontId="1" fillId="0" borderId="13" applyAlignment="1" pivotButton="0" quotePrefix="0" xfId="0">
      <alignment wrapText="1"/>
    </xf>
    <xf numFmtId="0" fontId="1" fillId="0" borderId="14" applyAlignment="1" pivotButton="0" quotePrefix="0" xfId="0">
      <alignment wrapText="1"/>
    </xf>
    <xf numFmtId="0" fontId="1" fillId="0" borderId="15" applyAlignment="1" pivotButton="0" quotePrefix="0" xfId="0">
      <alignment wrapText="1"/>
    </xf>
    <xf numFmtId="0" fontId="12" fillId="8" borderId="16" applyAlignment="1" pivotButton="0" quotePrefix="0" xfId="0">
      <alignment horizontal="center" wrapText="1"/>
    </xf>
    <xf numFmtId="0" fontId="1" fillId="0" borderId="17" applyAlignment="1" pivotButton="0" quotePrefix="0" xfId="0">
      <alignment wrapText="1"/>
    </xf>
    <xf numFmtId="0" fontId="1" fillId="0" borderId="16" applyAlignment="1" pivotButton="0" quotePrefix="0" xfId="0">
      <alignment wrapText="1"/>
    </xf>
    <xf numFmtId="0" fontId="13" fillId="8" borderId="16" applyAlignment="1" pivotButton="0" quotePrefix="0" xfId="0">
      <alignment horizontal="center" wrapText="1"/>
    </xf>
    <xf numFmtId="0" fontId="11" fillId="9" borderId="16" applyAlignment="1" pivotButton="0" quotePrefix="0" xfId="0">
      <alignment vertical="center"/>
    </xf>
    <xf numFmtId="0" fontId="13" fillId="8" borderId="14" applyAlignment="1" pivotButton="0" quotePrefix="0" xfId="0">
      <alignment horizontal="center" wrapText="1"/>
    </xf>
    <xf numFmtId="0" fontId="11" fillId="10" borderId="16" applyAlignment="1" pivotButton="0" quotePrefix="0" xfId="0">
      <alignment vertical="center"/>
    </xf>
    <xf numFmtId="0" fontId="11" fillId="10" borderId="12" applyAlignment="1" pivotButton="0" quotePrefix="0" xfId="0">
      <alignment wrapText="1"/>
    </xf>
    <xf numFmtId="0" fontId="14" fillId="8" borderId="16" applyAlignment="1" pivotButton="0" quotePrefix="0" xfId="0">
      <alignment horizontal="center" wrapText="1"/>
    </xf>
    <xf numFmtId="0" fontId="11" fillId="9" borderId="12" applyAlignment="1" pivotButton="0" quotePrefix="0" xfId="0">
      <alignment wrapText="1"/>
    </xf>
    <xf numFmtId="0" fontId="11" fillId="7" borderId="12" applyAlignment="1" pivotButton="0" quotePrefix="0" xfId="0">
      <alignment wrapText="1"/>
    </xf>
    <xf numFmtId="0" fontId="15" fillId="8" borderId="16" applyAlignment="1" pivotButton="0" quotePrefix="0" xfId="0">
      <alignment horizontal="center" wrapText="1"/>
    </xf>
    <xf numFmtId="0" fontId="11" fillId="8" borderId="12" applyAlignment="1" pivotButton="0" quotePrefix="0" xfId="0">
      <alignment wrapText="1"/>
    </xf>
    <xf numFmtId="2" fontId="8" fillId="2" borderId="0" pivotButton="0" quotePrefix="0" xfId="0"/>
    <xf numFmtId="0" fontId="1" fillId="0" borderId="0" applyAlignment="1" pivotButton="0" quotePrefix="0" xfId="0">
      <alignment wrapText="1"/>
    </xf>
    <xf numFmtId="0" fontId="5" fillId="0" borderId="18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ozon_unit_model_live_20260803%20(18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Юнитка Ozon (live)"/>
      <sheetName val="Тариф логистики"/>
    </sheetNames>
    <sheetDataSet>
      <sheetData sheetId="0"/>
      <sheetData sheetId="1">
        <row r="2">
          <cell r="A2">
            <v>0</v>
          </cell>
          <cell r="B2">
            <v>56</v>
          </cell>
          <cell r="C2">
            <v>11</v>
          </cell>
        </row>
        <row r="3">
          <cell r="A3">
            <v>0.20100000000000001</v>
          </cell>
          <cell r="B3">
            <v>63</v>
          </cell>
          <cell r="C3">
            <v>12</v>
          </cell>
        </row>
        <row r="4">
          <cell r="A4">
            <v>0.40100000000000002</v>
          </cell>
          <cell r="B4">
            <v>67</v>
          </cell>
          <cell r="C4">
            <v>13</v>
          </cell>
        </row>
        <row r="5">
          <cell r="A5">
            <v>0.60099999999999998</v>
          </cell>
          <cell r="B5">
            <v>67</v>
          </cell>
          <cell r="C5">
            <v>13</v>
          </cell>
        </row>
        <row r="6">
          <cell r="A6">
            <v>0.80100000000000005</v>
          </cell>
          <cell r="B6">
            <v>67</v>
          </cell>
          <cell r="C6">
            <v>13</v>
          </cell>
        </row>
        <row r="7">
          <cell r="A7">
            <v>1.0009999999999999</v>
          </cell>
          <cell r="B7">
            <v>72</v>
          </cell>
          <cell r="C7">
            <v>15</v>
          </cell>
        </row>
        <row r="8">
          <cell r="A8">
            <v>1.2509999999999999</v>
          </cell>
          <cell r="B8">
            <v>75</v>
          </cell>
          <cell r="C8">
            <v>16</v>
          </cell>
        </row>
        <row r="9">
          <cell r="A9">
            <v>1.5009999999999999</v>
          </cell>
          <cell r="B9">
            <v>75</v>
          </cell>
          <cell r="C9">
            <v>16</v>
          </cell>
        </row>
        <row r="10">
          <cell r="A10">
            <v>1.7509999999999999</v>
          </cell>
          <cell r="B10">
            <v>75</v>
          </cell>
          <cell r="C10">
            <v>16</v>
          </cell>
        </row>
        <row r="11">
          <cell r="A11">
            <v>2.0009999999999999</v>
          </cell>
          <cell r="B11">
            <v>75</v>
          </cell>
          <cell r="C11">
            <v>18</v>
          </cell>
        </row>
        <row r="12">
          <cell r="A12">
            <v>3.0009999999999999</v>
          </cell>
          <cell r="B12">
            <v>78</v>
          </cell>
          <cell r="C12">
            <v>19</v>
          </cell>
        </row>
        <row r="13">
          <cell r="A13">
            <v>4.0010000000000003</v>
          </cell>
          <cell r="B13">
            <v>89</v>
          </cell>
          <cell r="C13">
            <v>20</v>
          </cell>
        </row>
        <row r="14">
          <cell r="A14">
            <v>5.0010000000000003</v>
          </cell>
          <cell r="B14">
            <v>89</v>
          </cell>
          <cell r="C14">
            <v>22</v>
          </cell>
        </row>
        <row r="15">
          <cell r="A15">
            <v>6.0010000000000003</v>
          </cell>
          <cell r="B15">
            <v>99</v>
          </cell>
          <cell r="C15">
            <v>35</v>
          </cell>
        </row>
        <row r="16">
          <cell r="A16">
            <v>7.0010000000000003</v>
          </cell>
          <cell r="B16">
            <v>99</v>
          </cell>
          <cell r="C16">
            <v>37</v>
          </cell>
        </row>
        <row r="17">
          <cell r="A17">
            <v>8.0009999999999994</v>
          </cell>
          <cell r="B17">
            <v>100</v>
          </cell>
          <cell r="C17">
            <v>41</v>
          </cell>
        </row>
        <row r="18">
          <cell r="A18">
            <v>9.0009999999999994</v>
          </cell>
          <cell r="B18">
            <v>100</v>
          </cell>
          <cell r="C18">
            <v>41</v>
          </cell>
        </row>
        <row r="19">
          <cell r="A19">
            <v>10.000999999999999</v>
          </cell>
          <cell r="B19">
            <v>102</v>
          </cell>
          <cell r="C19">
            <v>47</v>
          </cell>
        </row>
        <row r="20">
          <cell r="A20">
            <v>11.000999999999999</v>
          </cell>
          <cell r="B20">
            <v>102</v>
          </cell>
          <cell r="C20">
            <v>48</v>
          </cell>
        </row>
        <row r="21">
          <cell r="A21">
            <v>12.000999999999999</v>
          </cell>
          <cell r="B21">
            <v>102</v>
          </cell>
          <cell r="C21">
            <v>53</v>
          </cell>
        </row>
        <row r="22">
          <cell r="A22">
            <v>13.000999999999999</v>
          </cell>
          <cell r="B22">
            <v>106</v>
          </cell>
          <cell r="C22">
            <v>54</v>
          </cell>
        </row>
        <row r="23">
          <cell r="A23">
            <v>14.000999999999999</v>
          </cell>
          <cell r="B23">
            <v>111</v>
          </cell>
          <cell r="C23">
            <v>57</v>
          </cell>
        </row>
        <row r="24">
          <cell r="A24">
            <v>15.000999999999999</v>
          </cell>
          <cell r="B24">
            <v>119</v>
          </cell>
          <cell r="C24">
            <v>63</v>
          </cell>
        </row>
        <row r="25">
          <cell r="A25">
            <v>17.001000000000001</v>
          </cell>
          <cell r="B25">
            <v>131</v>
          </cell>
          <cell r="C25">
            <v>65</v>
          </cell>
        </row>
        <row r="26">
          <cell r="A26">
            <v>20.001000000000001</v>
          </cell>
          <cell r="B26">
            <v>143</v>
          </cell>
          <cell r="C26">
            <v>66</v>
          </cell>
        </row>
        <row r="27">
          <cell r="A27">
            <v>25.001000000000001</v>
          </cell>
          <cell r="B27">
            <v>162</v>
          </cell>
          <cell r="C27">
            <v>74</v>
          </cell>
        </row>
        <row r="28">
          <cell r="A28">
            <v>30.001000000000001</v>
          </cell>
          <cell r="B28">
            <v>177</v>
          </cell>
          <cell r="C28">
            <v>77</v>
          </cell>
        </row>
        <row r="29">
          <cell r="A29">
            <v>35.000999999999998</v>
          </cell>
          <cell r="B29">
            <v>195</v>
          </cell>
          <cell r="C29">
            <v>84</v>
          </cell>
        </row>
        <row r="30">
          <cell r="A30">
            <v>40.000999999999998</v>
          </cell>
          <cell r="B30">
            <v>209</v>
          </cell>
          <cell r="C30">
            <v>87</v>
          </cell>
        </row>
        <row r="31">
          <cell r="A31">
            <v>45.000999999999998</v>
          </cell>
          <cell r="B31">
            <v>228</v>
          </cell>
          <cell r="C31">
            <v>88</v>
          </cell>
        </row>
        <row r="32">
          <cell r="A32">
            <v>50.000999999999998</v>
          </cell>
          <cell r="B32">
            <v>244</v>
          </cell>
          <cell r="C32">
            <v>105</v>
          </cell>
        </row>
        <row r="33">
          <cell r="A33">
            <v>60.000999999999998</v>
          </cell>
          <cell r="B33">
            <v>279</v>
          </cell>
          <cell r="C33">
            <v>117</v>
          </cell>
        </row>
        <row r="34">
          <cell r="A34">
            <v>70.001000000000005</v>
          </cell>
          <cell r="B34">
            <v>299</v>
          </cell>
          <cell r="C34">
            <v>117</v>
          </cell>
        </row>
        <row r="35">
          <cell r="A35">
            <v>80.001000000000005</v>
          </cell>
          <cell r="B35">
            <v>344</v>
          </cell>
          <cell r="C35">
            <v>140</v>
          </cell>
        </row>
        <row r="36">
          <cell r="A36">
            <v>90.001000000000005</v>
          </cell>
          <cell r="B36">
            <v>371</v>
          </cell>
          <cell r="C36">
            <v>147</v>
          </cell>
        </row>
        <row r="37">
          <cell r="A37">
            <v>100.001</v>
          </cell>
          <cell r="B37">
            <v>436</v>
          </cell>
          <cell r="C37">
            <v>178</v>
          </cell>
        </row>
        <row r="38">
          <cell r="A38">
            <v>125.001</v>
          </cell>
          <cell r="B38">
            <v>503</v>
          </cell>
          <cell r="C38">
            <v>187</v>
          </cell>
        </row>
        <row r="39">
          <cell r="A39">
            <v>150.001</v>
          </cell>
          <cell r="B39">
            <v>578</v>
          </cell>
          <cell r="C39">
            <v>247</v>
          </cell>
        </row>
        <row r="40">
          <cell r="A40">
            <v>175.001</v>
          </cell>
          <cell r="B40">
            <v>692</v>
          </cell>
          <cell r="C40">
            <v>266</v>
          </cell>
        </row>
        <row r="41">
          <cell r="A41">
            <v>200.001</v>
          </cell>
          <cell r="B41">
            <v>1026</v>
          </cell>
          <cell r="C41">
            <v>379</v>
          </cell>
        </row>
        <row r="42">
          <cell r="A42">
            <v>400.00099999999998</v>
          </cell>
          <cell r="B42">
            <v>1457</v>
          </cell>
          <cell r="C42">
            <v>400</v>
          </cell>
        </row>
        <row r="43">
          <cell r="A43">
            <v>600.00099999999998</v>
          </cell>
          <cell r="B43">
            <v>1891</v>
          </cell>
          <cell r="C43">
            <v>577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3"/>
  <sheetViews>
    <sheetView tabSelected="1" workbookViewId="0">
      <pane xSplit="6" ySplit="12" topLeftCell="G31" activePane="bottomRight" state="frozen"/>
      <selection pane="topRight" activeCell="G1" sqref="G1"/>
      <selection pane="bottomLeft" activeCell="A13" sqref="A13"/>
      <selection pane="bottomRight" activeCell="D38" sqref="D38"/>
    </sheetView>
  </sheetViews>
  <sheetFormatPr baseColWidth="8" defaultColWidth="14.453125" defaultRowHeight="15" customHeight="1"/>
  <cols>
    <col width="78" customWidth="1" style="59" min="1" max="1"/>
    <col width="35.26953125" customWidth="1" style="59" min="2" max="2"/>
    <col width="10" customWidth="1" style="59" min="3" max="3"/>
    <col width="11.08984375" customWidth="1" style="59" min="4" max="4"/>
    <col width="11.26953125" customWidth="1" style="59" min="5" max="5"/>
    <col width="10" customWidth="1" style="59" min="6" max="6"/>
    <col width="7.453125" customWidth="1" style="59" min="7" max="7"/>
    <col width="8.54296875" customWidth="1" style="59" min="8" max="8"/>
    <col width="7.7265625" customWidth="1" style="59" min="9" max="9"/>
    <col width="9.81640625" customWidth="1" style="59" min="10" max="10"/>
    <col width="7.08984375" customWidth="1" style="59" min="11" max="11"/>
    <col width="9.453125" customWidth="1" style="59" min="12" max="12"/>
    <col width="10" customWidth="1" style="59" min="13" max="13"/>
    <col width="9.453125" customWidth="1" style="59" min="14" max="14"/>
    <col width="9.26953125" customWidth="1" style="59" min="15" max="15"/>
    <col width="9.453125" customWidth="1" style="59" min="16" max="16"/>
    <col width="10" customWidth="1" style="59" min="17" max="17"/>
    <col width="6.453125" customWidth="1" style="59" min="18" max="18"/>
    <col width="9" customWidth="1" style="59" min="19" max="19"/>
    <col width="8.26953125" customWidth="1" style="59" min="20" max="21"/>
    <col width="9.453125" customWidth="1" style="59" min="22" max="22"/>
    <col width="10" customWidth="1" style="59" min="23" max="23"/>
    <col width="13.453125" customWidth="1" style="59" min="24" max="24"/>
    <col width="10" customWidth="1" style="59" min="25" max="26"/>
    <col width="8.7265625" customWidth="1" style="59" min="27" max="28"/>
    <col width="9" customWidth="1" style="59" min="29" max="29"/>
    <col width="6.81640625" customWidth="1" style="59" min="30" max="30"/>
    <col width="10.453125" customWidth="1" style="59" min="31" max="31"/>
    <col width="8.54296875" customWidth="1" style="59" min="32" max="32"/>
    <col width="9.7265625" customWidth="1" style="59" min="33" max="33"/>
    <col width="6.453125" customWidth="1" style="59" min="34" max="34"/>
    <col width="9.08984375" customWidth="1" style="59" min="35" max="35"/>
  </cols>
  <sheetData>
    <row r="1" ht="14.25" customHeight="1" s="59">
      <c r="A1" s="1" t="inlineStr">
        <is>
          <t>ПАРАМЕТРЫ — меняй жёлтые ячейки, всё пересчитается</t>
        </is>
      </c>
      <c r="C1" s="2" t="n"/>
      <c r="D1" s="2" t="n"/>
      <c r="E1" s="2" t="n"/>
    </row>
    <row r="2" ht="14.25" customHeight="1" s="59">
      <c r="A2" s="3" t="n"/>
      <c r="C2" s="2" t="n"/>
      <c r="D2" s="2" t="n"/>
      <c r="E2" s="2" t="n"/>
    </row>
    <row r="3" ht="14.25" customHeight="1" s="59">
      <c r="A3" s="3" t="inlineStr">
        <is>
          <t>Налог с оборота</t>
        </is>
      </c>
      <c r="C3" s="4" t="n"/>
      <c r="D3" s="4" t="n"/>
      <c r="E3" s="4" t="n"/>
      <c r="F3" s="5" t="n">
        <v>0.07000000000000001</v>
      </c>
    </row>
    <row r="4" ht="14.25" customHeight="1" s="59">
      <c r="A4" s="3" t="inlineStr">
        <is>
          <t>Эквайринг</t>
        </is>
      </c>
      <c r="C4" s="6" t="n"/>
      <c r="D4" s="6" t="n"/>
      <c r="E4" s="6" t="n"/>
      <c r="F4" s="7" t="n">
        <v>0.015</v>
      </c>
    </row>
    <row r="5" ht="14.25" customHeight="1" s="59">
      <c r="A5" s="3" t="inlineStr">
        <is>
          <t>Фулфилмент, ₽/шт</t>
        </is>
      </c>
      <c r="C5" s="8" t="n"/>
      <c r="D5" s="8" t="n"/>
      <c r="E5" s="8" t="n"/>
      <c r="F5" s="21" t="n">
        <v>60</v>
      </c>
    </row>
    <row r="6" ht="14.25" customHeight="1" s="59">
      <c r="A6" s="3" t="inlineStr">
        <is>
          <t>Хранение, ₽/л/день</t>
        </is>
      </c>
      <c r="C6" s="10" t="n"/>
      <c r="D6" s="10" t="n"/>
      <c r="E6" s="10" t="n"/>
      <c r="F6" s="11" t="n">
        <v>0.16</v>
      </c>
    </row>
    <row r="7" ht="14.25" customHeight="1" s="59">
      <c r="A7" s="3" t="inlineStr">
        <is>
          <t>Дней хранения</t>
        </is>
      </c>
      <c r="C7" s="8" t="n"/>
      <c r="D7" s="8" t="n"/>
      <c r="E7" s="8" t="n"/>
      <c r="F7" s="21" t="n">
        <v>0</v>
      </c>
    </row>
    <row r="8" ht="14.25" customHeight="1" s="59">
      <c r="A8" s="3" t="inlineStr">
        <is>
          <t>Наценка за нелокальные продажи %</t>
        </is>
      </c>
      <c r="C8" s="6" t="n"/>
      <c r="D8" s="6" t="n"/>
      <c r="E8" s="6" t="n"/>
      <c r="F8" s="7" t="n">
        <v>0.02</v>
      </c>
    </row>
    <row r="9" ht="14.25" customHeight="1" s="59">
      <c r="A9" s="3" t="inlineStr">
        <is>
          <t>Кроссдок: обработка (склады/СЦ) ₽/л</t>
        </is>
      </c>
      <c r="C9" s="10" t="n"/>
      <c r="D9" s="10" t="n"/>
      <c r="E9" s="10" t="n"/>
      <c r="F9" s="11" t="n">
        <v>0.75</v>
      </c>
    </row>
    <row r="10" ht="14.25" customHeight="1" s="59">
      <c r="A10" s="3" t="inlineStr">
        <is>
          <t>Кроссдок: перевозка ₽/л (средн. 26 скл.)</t>
        </is>
      </c>
      <c r="C10" s="10" t="n"/>
      <c r="D10" s="10" t="n"/>
      <c r="E10" s="10" t="n"/>
      <c r="F10" s="11" t="n">
        <v>4.423</v>
      </c>
    </row>
    <row r="11" ht="14.25" customHeight="1" s="59">
      <c r="A11" s="3" t="n"/>
      <c r="C11" s="2" t="n"/>
      <c r="D11" s="2" t="n"/>
      <c r="E11" s="2" t="n"/>
      <c r="H11" s="78" t="inlineStr">
        <is>
          <t>Себестоимость</t>
        </is>
      </c>
      <c r="I11" s="79" t="n"/>
      <c r="J11" s="79" t="n"/>
      <c r="K11" s="80" t="n"/>
      <c r="L11" s="78" t="inlineStr">
        <is>
          <t>Комиссия ОЗОН</t>
        </is>
      </c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80" t="n"/>
      <c r="Y11" s="78" t="inlineStr">
        <is>
          <t>Реклама</t>
        </is>
      </c>
      <c r="Z11" s="79" t="n"/>
      <c r="AA11" s="79" t="n"/>
      <c r="AB11" s="79" t="n"/>
      <c r="AC11" s="79" t="n"/>
      <c r="AD11" s="80" t="n"/>
    </row>
    <row r="12" ht="46.5" customHeight="1" s="59">
      <c r="A12" s="13" t="inlineStr">
        <is>
          <t>Товар</t>
        </is>
      </c>
      <c r="B12" s="13" t="inlineStr">
        <is>
          <t>Комментарий</t>
        </is>
      </c>
      <c r="C12" s="13" t="inlineStr">
        <is>
          <t>Цена конкурента</t>
        </is>
      </c>
      <c r="D12" s="13" t="inlineStr">
        <is>
          <t>Кол-во продаж конкурент</t>
        </is>
      </c>
      <c r="E12" s="13" t="inlineStr">
        <is>
          <t>ДРР конкурент</t>
        </is>
      </c>
      <c r="F12" s="13" t="inlineStr">
        <is>
          <t>Цена наша</t>
        </is>
      </c>
      <c r="G12" s="14" t="inlineStr">
        <is>
          <t>СПП, %</t>
        </is>
      </c>
      <c r="H12" s="15" t="inlineStr">
        <is>
          <t>Цена с СПП</t>
        </is>
      </c>
      <c r="I12" s="13" t="inlineStr">
        <is>
          <t>Себест.</t>
        </is>
      </c>
      <c r="J12" s="13" t="inlineStr">
        <is>
          <t>Фулфилмент</t>
        </is>
      </c>
      <c r="K12" s="16" t="inlineStr">
        <is>
          <t>База затрат</t>
        </is>
      </c>
      <c r="L12" s="15" t="inlineStr">
        <is>
          <t>Комиссия %</t>
        </is>
      </c>
      <c r="M12" s="13" t="inlineStr">
        <is>
          <t>Комиссия ₽</t>
        </is>
      </c>
      <c r="N12" s="13" t="inlineStr">
        <is>
          <t>Логистика</t>
        </is>
      </c>
      <c r="O12" s="13" t="inlineStr">
        <is>
          <t>Наценка нелок., ₽</t>
        </is>
      </c>
      <c r="P12" s="13" t="inlineStr">
        <is>
          <t>Доставка до ПВЗ</t>
        </is>
      </c>
      <c r="Q12" s="13" t="inlineStr">
        <is>
          <t>Эквайринг</t>
        </is>
      </c>
      <c r="R12" s="13" t="inlineStr">
        <is>
          <t>Налог</t>
        </is>
      </c>
      <c r="S12" s="13" t="inlineStr">
        <is>
          <t>Выкуп %</t>
        </is>
      </c>
      <c r="T12" s="13" t="inlineStr">
        <is>
          <t>Обр.лог база</t>
        </is>
      </c>
      <c r="U12" s="13" t="inlineStr">
        <is>
          <t>Обр.лог</t>
        </is>
      </c>
      <c r="V12" s="13" t="inlineStr">
        <is>
          <t>Объём, л</t>
        </is>
      </c>
      <c r="W12" s="13" t="inlineStr">
        <is>
          <t>Хранение</t>
        </is>
      </c>
      <c r="X12" s="16" t="inlineStr">
        <is>
          <t>Кроссдок ср., ₽/ед</t>
        </is>
      </c>
      <c r="Y12" s="15" t="inlineStr">
        <is>
          <t>Оплата за клик, %</t>
        </is>
      </c>
      <c r="Z12" s="13" t="inlineStr">
        <is>
          <t>Оплата за клик ₽</t>
        </is>
      </c>
      <c r="AA12" s="13" t="inlineStr">
        <is>
          <t>Вывод в топ, %</t>
        </is>
      </c>
      <c r="AB12" s="13" t="inlineStr">
        <is>
          <t>Вывод в топ ₽</t>
        </is>
      </c>
      <c r="AC12" s="13" t="inlineStr">
        <is>
          <t>Реклама всего ₽</t>
        </is>
      </c>
      <c r="AD12" s="16" t="inlineStr">
        <is>
          <t>ДРР %</t>
        </is>
      </c>
      <c r="AE12" s="17" t="inlineStr">
        <is>
          <t>Маржа до рекл.</t>
        </is>
      </c>
      <c r="AF12" s="13" t="inlineStr">
        <is>
          <t>Маржа/шт</t>
        </is>
      </c>
      <c r="AG12" s="13" t="inlineStr">
        <is>
          <t>Маржа % цены</t>
        </is>
      </c>
      <c r="AH12" s="13" t="inlineStr">
        <is>
          <t>ROI %</t>
        </is>
      </c>
      <c r="AI12" s="13" t="inlineStr">
        <is>
          <t>Цена безубыт.</t>
        </is>
      </c>
    </row>
    <row r="13" ht="14.25" customHeight="1" s="59">
      <c r="A13" s="39" t="inlineStr">
        <is>
          <t>Celimax Dual Barrier Creamy Toner</t>
        </is>
      </c>
      <c r="B13" s="44" t="n"/>
      <c r="C13" s="20" t="n">
        <v>2600</v>
      </c>
      <c r="D13" s="20" t="n">
        <v>5500</v>
      </c>
      <c r="E13" s="20" t="inlineStr">
        <is>
          <t>10-15</t>
        </is>
      </c>
      <c r="F13" s="21" t="n">
        <v>2450</v>
      </c>
      <c r="G13" s="22" t="n">
        <v>0.45</v>
      </c>
      <c r="H13" s="23">
        <f>F13*(1-G13)</f>
        <v/>
      </c>
      <c r="I13" s="24" t="n">
        <v>663.86</v>
      </c>
      <c r="J13" s="25">
        <f>$F$5</f>
        <v/>
      </c>
      <c r="K13" s="26">
        <f>I13+J13</f>
        <v/>
      </c>
      <c r="L13" s="42" t="n">
        <v>0.41</v>
      </c>
      <c r="M13" s="28">
        <f>F13*L13</f>
        <v/>
      </c>
      <c r="N13" s="29" t="n">
        <v>67</v>
      </c>
      <c r="O13" s="28">
        <f>F13*$F$8</f>
        <v/>
      </c>
      <c r="P13" s="29" t="n">
        <v>25</v>
      </c>
      <c r="Q13" s="28">
        <f>F13*$F$4</f>
        <v/>
      </c>
      <c r="R13" s="28">
        <f>H13*$F$3</f>
        <v/>
      </c>
      <c r="S13" s="43" t="n">
        <v>0.9</v>
      </c>
      <c r="T13" s="29">
        <f>N13</f>
        <v/>
      </c>
      <c r="U13" s="28">
        <f>T13*(1-S13)</f>
        <v/>
      </c>
      <c r="V13" s="31" t="n">
        <v>0.735</v>
      </c>
      <c r="W13" s="28">
        <f>$F$6*$F$7*V13</f>
        <v/>
      </c>
      <c r="X13" s="26">
        <f>V13*($F$9+$F$10)</f>
        <v/>
      </c>
      <c r="Y13" s="42" t="n">
        <v>0.07000000000000001</v>
      </c>
      <c r="Z13" s="28">
        <f>F13*Y13</f>
        <v/>
      </c>
      <c r="AA13" s="43" t="n">
        <v>0.08</v>
      </c>
      <c r="AB13" s="28">
        <f>F13*AA13</f>
        <v/>
      </c>
      <c r="AC13" s="28">
        <f>Z13+AB13</f>
        <v/>
      </c>
      <c r="AD13" s="32">
        <f>AC13/F13</f>
        <v/>
      </c>
      <c r="AE13" s="33">
        <f>F13-M13-N13-O13-P13-Q13-R13-U13-W13-X13-K13</f>
        <v/>
      </c>
      <c r="AF13" s="34">
        <f>AE13-AC13</f>
        <v/>
      </c>
      <c r="AG13" s="35">
        <f>AF13/F13</f>
        <v/>
      </c>
      <c r="AH13" s="36">
        <f>AF13/K13</f>
        <v/>
      </c>
      <c r="AI13" s="28">
        <f>(N13+P13+U13+W13+X13+K13)/(1-(L13+$F$4+(1-G13)*$F$3+$F$8+Y13+AA13))</f>
        <v/>
      </c>
    </row>
    <row r="14" ht="14.25" customHeight="1" s="59">
      <c r="A14" s="39" t="inlineStr">
        <is>
          <t>CELIMAX THE VITA-A RETINAL SHOT TIGHTENING BOOSTER [15ml]/Подтягивающий бустер-крем с ретинолом для лица</t>
        </is>
      </c>
      <c r="B14" s="44" t="n"/>
      <c r="C14" s="41" t="n">
        <v>1600</v>
      </c>
      <c r="D14" s="41" t="n">
        <v>4826</v>
      </c>
      <c r="E14" s="41" t="n">
        <v>16.9</v>
      </c>
      <c r="F14" s="40">
        <f>(1.25*K14+N14+P14+U14+W14+X14)/(1-L14-$F$8-$F$4-(1-G14)*$F$3-Y14-AA14)</f>
        <v/>
      </c>
      <c r="G14" s="22" t="n">
        <v>0.45</v>
      </c>
      <c r="H14" s="23">
        <f>F14*(1-G14)</f>
        <v/>
      </c>
      <c r="I14" s="24" t="n">
        <v>512.1799999999999</v>
      </c>
      <c r="J14" s="25">
        <f>$F$5</f>
        <v/>
      </c>
      <c r="K14" s="26">
        <f>I14+J14</f>
        <v/>
      </c>
      <c r="L14" s="42" t="n">
        <v>0.41</v>
      </c>
      <c r="M14" s="28">
        <f>F14*L14</f>
        <v/>
      </c>
      <c r="N14" s="28">
        <f>VLOOKUP(V14,'[1]Тариф логистики'!$A$2:$C$43,2,TRUE)</f>
        <v/>
      </c>
      <c r="O14" s="28">
        <f>F14*$F$8</f>
        <v/>
      </c>
      <c r="P14" s="29" t="n">
        <v>25</v>
      </c>
      <c r="Q14" s="28">
        <f>F14*$F$4</f>
        <v/>
      </c>
      <c r="R14" s="28">
        <f>H14*$F$3</f>
        <v/>
      </c>
      <c r="S14" s="43" t="n">
        <v>0.9</v>
      </c>
      <c r="T14" s="29">
        <f>N14</f>
        <v/>
      </c>
      <c r="U14" s="28">
        <f>T14*(1-S14)</f>
        <v/>
      </c>
      <c r="V14" s="31" t="n">
        <v>0.18</v>
      </c>
      <c r="W14" s="28">
        <f>$F$6*$F$7*V14</f>
        <v/>
      </c>
      <c r="X14" s="26">
        <f>V14*($F$9+$F$10)</f>
        <v/>
      </c>
      <c r="Y14" s="42" t="n">
        <v>0.07000000000000001</v>
      </c>
      <c r="Z14" s="28">
        <f>F14*Y14</f>
        <v/>
      </c>
      <c r="AA14" s="43" t="n">
        <v>0.08</v>
      </c>
      <c r="AB14" s="28">
        <f>F14*AA14</f>
        <v/>
      </c>
      <c r="AC14" s="28">
        <f>Z14+AB14</f>
        <v/>
      </c>
      <c r="AD14" s="32">
        <f>AC14/F14</f>
        <v/>
      </c>
      <c r="AE14" s="33">
        <f>F14-M14-N14-O14-P14-Q14-R14-U14-W14-X14-K14</f>
        <v/>
      </c>
      <c r="AF14" s="34">
        <f>AE14-AC14</f>
        <v/>
      </c>
      <c r="AG14" s="35">
        <f>AF14/F14</f>
        <v/>
      </c>
      <c r="AH14" s="36">
        <f>AF14/K14</f>
        <v/>
      </c>
      <c r="AI14" s="28">
        <f>(N14+P14+U14+W14+X14+K14)/(1-(L14+$F$4+(1-G14)*$F$3+$F$8+Y14+AA14))</f>
        <v/>
      </c>
    </row>
    <row r="15" ht="14.25" customHeight="1" s="59">
      <c r="A15" s="39" t="inlineStr">
        <is>
          <t>CELIMAX JI WOO GAE CICA BHA BLEMISH TONER PAD_10EA [30ml]/успокаивающие тонер-пэды</t>
        </is>
      </c>
      <c r="B15" s="44" t="n"/>
      <c r="C15" s="41" t="n">
        <v>430</v>
      </c>
      <c r="D15" s="41" t="n">
        <v>2740</v>
      </c>
      <c r="E15" s="41" t="n">
        <v>11</v>
      </c>
      <c r="F15" s="40">
        <f>(1.25*K15+N15+P15+U15+W15+X15)/(1-L15-$F$8-$F$4-(1-G15)*$F$3-Y15-AA15)</f>
        <v/>
      </c>
      <c r="G15" s="22" t="n">
        <v>0.45</v>
      </c>
      <c r="H15" s="23">
        <f>F15*(1-G15)</f>
        <v/>
      </c>
      <c r="I15" s="24" t="n">
        <v>96.94</v>
      </c>
      <c r="J15" s="25">
        <f>$F$5</f>
        <v/>
      </c>
      <c r="K15" s="26">
        <f>I15+J15</f>
        <v/>
      </c>
      <c r="L15" s="42" t="n">
        <v>0.41</v>
      </c>
      <c r="M15" s="28">
        <f>F15*L15</f>
        <v/>
      </c>
      <c r="N15" s="28">
        <f>VLOOKUP(V15,'[1]Тариф логистики'!$A$2:$C$43,2,TRUE)</f>
        <v/>
      </c>
      <c r="O15" s="28">
        <f>F15*$F$8</f>
        <v/>
      </c>
      <c r="P15" s="29" t="n">
        <v>25</v>
      </c>
      <c r="Q15" s="28">
        <f>F15*$F$4</f>
        <v/>
      </c>
      <c r="R15" s="28">
        <f>H15*$F$3</f>
        <v/>
      </c>
      <c r="S15" s="43" t="n">
        <v>0.9</v>
      </c>
      <c r="T15" s="29">
        <f>N15</f>
        <v/>
      </c>
      <c r="U15" s="28">
        <f>T15*(1-S15)</f>
        <v/>
      </c>
      <c r="V15" s="31" t="n">
        <v>0.14</v>
      </c>
      <c r="W15" s="28">
        <f>$F$6*$F$7*V15</f>
        <v/>
      </c>
      <c r="X15" s="26">
        <f>V15*($F$9+$F$10)</f>
        <v/>
      </c>
      <c r="Y15" s="42" t="n">
        <v>0.07000000000000001</v>
      </c>
      <c r="Z15" s="28">
        <f>F15*Y15</f>
        <v/>
      </c>
      <c r="AA15" s="43" t="n">
        <v>0.08</v>
      </c>
      <c r="AB15" s="28">
        <f>F15*AA15</f>
        <v/>
      </c>
      <c r="AC15" s="28">
        <f>Z15+AB15</f>
        <v/>
      </c>
      <c r="AD15" s="32">
        <f>AC15/F15</f>
        <v/>
      </c>
      <c r="AE15" s="33">
        <f>F15-M15-N15-O15-P15-Q15-R15-U15-W15-X15-K15</f>
        <v/>
      </c>
      <c r="AF15" s="34">
        <f>AE15-AC15</f>
        <v/>
      </c>
      <c r="AG15" s="35">
        <f>AF15/F15</f>
        <v/>
      </c>
      <c r="AH15" s="36">
        <f>AF15/K15</f>
        <v/>
      </c>
      <c r="AI15" s="28">
        <f>(N15+P15+U15+W15+X15+K15)/(1-(L15+$F$4+(1-G15)*$F$3+$F$8+Y15+AA15))</f>
        <v/>
      </c>
    </row>
    <row r="16" ht="14.25" customHeight="1" s="59">
      <c r="A16" s="39" t="inlineStr">
        <is>
          <t>CELIMAX JI WOO GAE CICA BHA BLEMISH TONER PAD [170ml / 60pads]/Тонер-пэды от воспалений</t>
        </is>
      </c>
      <c r="B16" s="44" t="n"/>
      <c r="C16" s="41" t="n">
        <v>1906</v>
      </c>
      <c r="D16" s="41" t="n">
        <v>1820</v>
      </c>
      <c r="E16" s="41" t="n">
        <v>11</v>
      </c>
      <c r="F16" s="40">
        <f>(1.25*K16+N16+P16+U16+W16+X16)/(1-L16-$F$8-$F$4-(1-G16)*$F$3-Y16-AA16)</f>
        <v/>
      </c>
      <c r="G16" s="22" t="n">
        <v>0.45</v>
      </c>
      <c r="H16" s="23">
        <f>F16*(1-G16)</f>
        <v/>
      </c>
      <c r="I16" s="24" t="n">
        <v>707.88</v>
      </c>
      <c r="J16" s="25">
        <f>$F$5</f>
        <v/>
      </c>
      <c r="K16" s="26">
        <f>I16+J16</f>
        <v/>
      </c>
      <c r="L16" s="42" t="n">
        <v>0.41</v>
      </c>
      <c r="M16" s="28">
        <f>F16*L16</f>
        <v/>
      </c>
      <c r="N16" s="28">
        <f>VLOOKUP(V16,'[1]Тариф логистики'!$A$2:$C$43,2,TRUE)</f>
        <v/>
      </c>
      <c r="O16" s="28">
        <f>F16*$F$8</f>
        <v/>
      </c>
      <c r="P16" s="29" t="n">
        <v>25</v>
      </c>
      <c r="Q16" s="28">
        <f>F16*$F$4</f>
        <v/>
      </c>
      <c r="R16" s="28">
        <f>H16*$F$3</f>
        <v/>
      </c>
      <c r="S16" s="43" t="n">
        <v>0.9</v>
      </c>
      <c r="T16" s="29">
        <f>N16</f>
        <v/>
      </c>
      <c r="U16" s="28">
        <f>T16*(1-S16)</f>
        <v/>
      </c>
      <c r="V16" s="31" t="n">
        <v>0.96</v>
      </c>
      <c r="W16" s="28">
        <f>$F$6*$F$7*V16</f>
        <v/>
      </c>
      <c r="X16" s="26">
        <f>V16*($F$9+$F$10)</f>
        <v/>
      </c>
      <c r="Y16" s="42" t="n">
        <v>0.07000000000000001</v>
      </c>
      <c r="Z16" s="28">
        <f>F16*Y16</f>
        <v/>
      </c>
      <c r="AA16" s="43" t="n">
        <v>0.08</v>
      </c>
      <c r="AB16" s="28">
        <f>F16*AA16</f>
        <v/>
      </c>
      <c r="AC16" s="28">
        <f>Z16+AB16</f>
        <v/>
      </c>
      <c r="AD16" s="32">
        <f>AC16/F16</f>
        <v/>
      </c>
      <c r="AE16" s="33">
        <f>F16-M16-N16-O16-P16-Q16-R16-U16-W16-X16-K16</f>
        <v/>
      </c>
      <c r="AF16" s="34">
        <f>AE16-AC16</f>
        <v/>
      </c>
      <c r="AG16" s="35">
        <f>AF16/F16</f>
        <v/>
      </c>
      <c r="AH16" s="36">
        <f>AF16/K16</f>
        <v/>
      </c>
      <c r="AI16" s="28">
        <f>(N16+P16+U16+W16+X16+K16)/(1-(L16+$F$4+(1-G16)*$F$3+$F$8+Y16+AA16))</f>
        <v/>
      </c>
    </row>
    <row r="17" ht="14.25" customHeight="1" s="59">
      <c r="A17" s="39" t="inlineStr">
        <is>
          <t>CELIMAX PORE+DARK SPOT BRIGHTENING PAD [100ml / 40pads]/Тонер-пэды для выравнивания тона и рельефа кожи</t>
        </is>
      </c>
      <c r="B17" s="44" t="n"/>
      <c r="C17" s="41" t="n">
        <v>1580</v>
      </c>
      <c r="D17" s="41" t="n">
        <v>1640</v>
      </c>
      <c r="E17" s="41" t="n">
        <v>21</v>
      </c>
      <c r="F17" s="40">
        <f>(1.25*K17+N17+P17+U17+W17+X17)/(1-L17-$F$8-$F$4-(1-G17)*$F$3-Y17-AA17)</f>
        <v/>
      </c>
      <c r="G17" s="22" t="n">
        <v>0.45</v>
      </c>
      <c r="H17" s="23">
        <f>F17*(1-G17)</f>
        <v/>
      </c>
      <c r="I17" s="24" t="n">
        <v>556.1799999999999</v>
      </c>
      <c r="J17" s="25">
        <f>$F$5</f>
        <v/>
      </c>
      <c r="K17" s="26">
        <f>I17+J17</f>
        <v/>
      </c>
      <c r="L17" s="42" t="n">
        <v>0.41</v>
      </c>
      <c r="M17" s="28">
        <f>F17*L17</f>
        <v/>
      </c>
      <c r="N17" s="28">
        <f>VLOOKUP(V17,'[1]Тариф логистики'!$A$2:$C$43,2,TRUE)</f>
        <v/>
      </c>
      <c r="O17" s="28">
        <f>F17*$F$8</f>
        <v/>
      </c>
      <c r="P17" s="29" t="n">
        <v>25</v>
      </c>
      <c r="Q17" s="28">
        <f>F17*$F$4</f>
        <v/>
      </c>
      <c r="R17" s="28">
        <f>H17*$F$3</f>
        <v/>
      </c>
      <c r="S17" s="43" t="n">
        <v>0.9</v>
      </c>
      <c r="T17" s="29">
        <f>N17</f>
        <v/>
      </c>
      <c r="U17" s="28">
        <f>T17*(1-S17)</f>
        <v/>
      </c>
      <c r="V17" s="31" t="n">
        <v>0.57</v>
      </c>
      <c r="W17" s="28">
        <f>$F$6*$F$7*V17</f>
        <v/>
      </c>
      <c r="X17" s="26">
        <f>V17*($F$9+$F$10)</f>
        <v/>
      </c>
      <c r="Y17" s="42" t="n">
        <v>0.07000000000000001</v>
      </c>
      <c r="Z17" s="28">
        <f>F17*Y17</f>
        <v/>
      </c>
      <c r="AA17" s="43" t="n">
        <v>0.08</v>
      </c>
      <c r="AB17" s="28">
        <f>F17*AA17</f>
        <v/>
      </c>
      <c r="AC17" s="28">
        <f>Z17+AB17</f>
        <v/>
      </c>
      <c r="AD17" s="32">
        <f>AC17/F17</f>
        <v/>
      </c>
      <c r="AE17" s="33">
        <f>F17-M17-N17-O17-P17-Q17-R17-U17-W17-X17-K17</f>
        <v/>
      </c>
      <c r="AF17" s="34">
        <f>AE17-AC17</f>
        <v/>
      </c>
      <c r="AG17" s="35">
        <f>AF17/F17</f>
        <v/>
      </c>
      <c r="AH17" s="36">
        <f>AF17/K17</f>
        <v/>
      </c>
      <c r="AI17" s="28">
        <f>(N17+P17+U17+W17+X17+K17)/(1-(L17+$F$4+(1-G17)*$F$3+$F$8+Y17+AA17))</f>
        <v/>
      </c>
    </row>
    <row r="18" ht="14.25" customHeight="1" s="59">
      <c r="A18" s="39" t="inlineStr">
        <is>
          <t>ROUND LAB 1025 DOKDO CLEANSER_150ml</t>
        </is>
      </c>
      <c r="B18" s="44" t="inlineStr">
        <is>
          <t>1076-1244</t>
        </is>
      </c>
      <c r="C18" s="41" t="n"/>
      <c r="D18" s="41" t="n"/>
      <c r="E18" s="41" t="n"/>
      <c r="F18" s="40">
        <f>(1.25*K18+N18+P18+U18+W18+X18)/(1-L18-$F$8-$F$4-(1-G18)*$F$3-Y18-AA18)</f>
        <v/>
      </c>
      <c r="G18" s="22" t="n">
        <v>0.45</v>
      </c>
      <c r="H18" s="23">
        <f>F18*(1-G18)</f>
        <v/>
      </c>
      <c r="I18" s="24" t="n">
        <v>463.19</v>
      </c>
      <c r="J18" s="25">
        <f>$F$5</f>
        <v/>
      </c>
      <c r="K18" s="26">
        <f>I18+J18</f>
        <v/>
      </c>
      <c r="L18" s="42" t="n">
        <v>0.41</v>
      </c>
      <c r="M18" s="28">
        <f>F18*L18</f>
        <v/>
      </c>
      <c r="N18" s="29" t="n">
        <v>74</v>
      </c>
      <c r="O18" s="28">
        <f>F18*$F$8</f>
        <v/>
      </c>
      <c r="P18" s="29" t="n">
        <v>25</v>
      </c>
      <c r="Q18" s="28">
        <f>F18*$F$4</f>
        <v/>
      </c>
      <c r="R18" s="28">
        <f>H18*$F$3</f>
        <v/>
      </c>
      <c r="S18" s="43" t="n">
        <v>0.9</v>
      </c>
      <c r="T18" s="29">
        <f>N18</f>
        <v/>
      </c>
      <c r="U18" s="28">
        <f>T18*(1-S18)</f>
        <v/>
      </c>
      <c r="V18" s="31" t="n">
        <v>1.28</v>
      </c>
      <c r="W18" s="28">
        <f>$F$6*$F$7*V18</f>
        <v/>
      </c>
      <c r="X18" s="26">
        <f>V18*($F$9+$F$10)</f>
        <v/>
      </c>
      <c r="Y18" s="42" t="n">
        <v>0.07000000000000001</v>
      </c>
      <c r="Z18" s="28">
        <f>F18*Y18</f>
        <v/>
      </c>
      <c r="AA18" s="43" t="n">
        <v>0.08</v>
      </c>
      <c r="AB18" s="28">
        <f>F18*AA18</f>
        <v/>
      </c>
      <c r="AC18" s="28">
        <f>Z18+AB18</f>
        <v/>
      </c>
      <c r="AD18" s="32">
        <f>AC18/F18</f>
        <v/>
      </c>
      <c r="AE18" s="33">
        <f>F18-M18-N18-O18-P18-Q18-R18-U18-W18-X18-K18</f>
        <v/>
      </c>
      <c r="AF18" s="34">
        <f>AE18-AC18</f>
        <v/>
      </c>
      <c r="AG18" s="35">
        <f>AF18/F18</f>
        <v/>
      </c>
      <c r="AH18" s="36">
        <f>AF18/K18</f>
        <v/>
      </c>
      <c r="AI18" s="28">
        <f>(N18+P18+U18+W18+X18+K18)/(1-(L18+$F$4+(1-G18)*$F$3+$F$8+Y18+AA18))</f>
        <v/>
      </c>
    </row>
    <row r="19" ht="14.25" customHeight="1" s="59">
      <c r="A19" s="39" t="inlineStr">
        <is>
          <t>FARMSTAY COLLAGEN&amp;HYALURONIC ACID ALL-IN ONE</t>
        </is>
      </c>
      <c r="B19" s="44" t="inlineStr">
        <is>
          <t>483 (много подделок)</t>
        </is>
      </c>
      <c r="C19" s="41" t="n"/>
      <c r="D19" s="41" t="n"/>
      <c r="E19" s="41" t="n"/>
      <c r="F19" s="40">
        <f>(1.25*K19+N19+P19+U19+W19+X19)/(1-L19-$F$8-$F$4-(1-G19)*$F$3-Y19-AA19)</f>
        <v/>
      </c>
      <c r="G19" s="22" t="n">
        <v>0.45</v>
      </c>
      <c r="H19" s="23">
        <f>F19*(1-G19)</f>
        <v/>
      </c>
      <c r="I19" s="24" t="n">
        <v>347.76</v>
      </c>
      <c r="J19" s="25">
        <f>$F$5</f>
        <v/>
      </c>
      <c r="K19" s="26">
        <f>I19+J19</f>
        <v/>
      </c>
      <c r="L19" s="42" t="n">
        <v>0.41</v>
      </c>
      <c r="M19" s="28">
        <f>F19*L19</f>
        <v/>
      </c>
      <c r="N19" s="29" t="n">
        <v>67</v>
      </c>
      <c r="O19" s="28">
        <f>F19*$F$8</f>
        <v/>
      </c>
      <c r="P19" s="29" t="n">
        <v>25</v>
      </c>
      <c r="Q19" s="28">
        <f>F19*$F$4</f>
        <v/>
      </c>
      <c r="R19" s="28">
        <f>H19*$F$3</f>
        <v/>
      </c>
      <c r="S19" s="43" t="n">
        <v>0.9</v>
      </c>
      <c r="T19" s="29">
        <f>N19</f>
        <v/>
      </c>
      <c r="U19" s="28">
        <f>T19*(1-S19)</f>
        <v/>
      </c>
      <c r="V19" s="31" t="n">
        <v>0.832</v>
      </c>
      <c r="W19" s="28">
        <f>$F$6*$F$7*V19</f>
        <v/>
      </c>
      <c r="X19" s="26">
        <f>V19*($F$9+$F$10)</f>
        <v/>
      </c>
      <c r="Y19" s="42" t="n">
        <v>0.07000000000000001</v>
      </c>
      <c r="Z19" s="28">
        <f>F19*Y19</f>
        <v/>
      </c>
      <c r="AA19" s="43" t="n">
        <v>0.08</v>
      </c>
      <c r="AB19" s="28">
        <f>F19*AA19</f>
        <v/>
      </c>
      <c r="AC19" s="28">
        <f>Z19+AB19</f>
        <v/>
      </c>
      <c r="AD19" s="32">
        <f>AC19/F19</f>
        <v/>
      </c>
      <c r="AE19" s="33">
        <f>F19-M19-N19-O19-P19-Q19-R19-U19-W19-X19-K19</f>
        <v/>
      </c>
      <c r="AF19" s="34">
        <f>AE19-AC19</f>
        <v/>
      </c>
      <c r="AG19" s="35">
        <f>AF19/F19</f>
        <v/>
      </c>
      <c r="AH19" s="36">
        <f>AF19/K19</f>
        <v/>
      </c>
      <c r="AI19" s="28">
        <f>(N19+P19+U19+W19+X19+K19)/(1-(L19+$F$4+(1-G19)*$F$3+$F$8+Y19+AA19))</f>
        <v/>
      </c>
    </row>
    <row r="20" ht="14.25" customHeight="1" s="59">
      <c r="A20" s="39" t="inlineStr">
        <is>
          <t>ENOUGH - Collagen Moisture Essential Cream [50ml] / Увлажняющий крем для лица с коллагеном</t>
        </is>
      </c>
      <c r="B20" s="44" t="inlineStr">
        <is>
          <t>260-382 (много подделок)</t>
        </is>
      </c>
      <c r="C20" s="41" t="n"/>
      <c r="D20" s="41" t="n"/>
      <c r="E20" s="41" t="n"/>
      <c r="F20" s="40">
        <f>(1.25*K20+N20+P20+U20+W20+X20)/(1-L20-$F$8-$F$4-(1-G20)*$F$3-Y20-AA20)</f>
        <v/>
      </c>
      <c r="G20" s="22" t="n">
        <v>0.45</v>
      </c>
      <c r="H20" s="23">
        <f>F20*(1-G20)</f>
        <v/>
      </c>
      <c r="I20" s="24" t="n">
        <v>161.3</v>
      </c>
      <c r="J20" s="25">
        <f>$F$5</f>
        <v/>
      </c>
      <c r="K20" s="26">
        <f>I20+J20</f>
        <v/>
      </c>
      <c r="L20" s="42" t="n">
        <v>0.41</v>
      </c>
      <c r="M20" s="28">
        <f>F20*L20</f>
        <v/>
      </c>
      <c r="N20" s="29" t="n">
        <v>67</v>
      </c>
      <c r="O20" s="28">
        <f>F20*$F$8</f>
        <v/>
      </c>
      <c r="P20" s="29" t="n">
        <v>25</v>
      </c>
      <c r="Q20" s="28">
        <f>F20*$F$4</f>
        <v/>
      </c>
      <c r="R20" s="28">
        <f>H20*$F$3</f>
        <v/>
      </c>
      <c r="S20" s="43" t="n">
        <v>0.9</v>
      </c>
      <c r="T20" s="29">
        <f>N20</f>
        <v/>
      </c>
      <c r="U20" s="28">
        <f>T20*(1-S20)</f>
        <v/>
      </c>
      <c r="V20" s="31" t="n">
        <v>0.72</v>
      </c>
      <c r="W20" s="28">
        <f>$F$6*$F$7*V20</f>
        <v/>
      </c>
      <c r="X20" s="26">
        <f>V20*($F$9+$F$10)</f>
        <v/>
      </c>
      <c r="Y20" s="42" t="n">
        <v>0.07000000000000001</v>
      </c>
      <c r="Z20" s="28">
        <f>F20*Y20</f>
        <v/>
      </c>
      <c r="AA20" s="43" t="n">
        <v>0.08</v>
      </c>
      <c r="AB20" s="28">
        <f>F20*AA20</f>
        <v/>
      </c>
      <c r="AC20" s="28">
        <f>Z20+AB20</f>
        <v/>
      </c>
      <c r="AD20" s="32">
        <f>AC20/F20</f>
        <v/>
      </c>
      <c r="AE20" s="33">
        <f>F20-M20-N20-O20-P20-Q20-R20-U20-W20-X20-K20</f>
        <v/>
      </c>
      <c r="AF20" s="34">
        <f>AE20-AC20</f>
        <v/>
      </c>
      <c r="AG20" s="35">
        <f>AF20/F20</f>
        <v/>
      </c>
      <c r="AH20" s="36">
        <f>AF20/K20</f>
        <v/>
      </c>
      <c r="AI20" s="28">
        <f>(N20+P20+U20+W20+X20+K20)/(1-(L20+$F$4+(1-G20)*$F$3+$F$8+Y20+AA20))</f>
        <v/>
      </c>
    </row>
    <row r="21" ht="14.25" customHeight="1" s="59">
      <c r="A21" s="39" t="inlineStr">
        <is>
          <t>ETUDE - Baking Powder Crunch Pore Scrub [200ml] / Очищающий скраб для лица с содой</t>
        </is>
      </c>
      <c r="B21" s="44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21" s="41" t="n"/>
      <c r="D21" s="41" t="n"/>
      <c r="E21" s="41" t="n"/>
      <c r="F21" s="40">
        <f>(1.25*K21+N21+P21+U21+W21+X21)/(1-L21-$F$8-$F$4-(1-G21)*$F$3-Y21-AA21)</f>
        <v/>
      </c>
      <c r="G21" s="22" t="n">
        <v>0.45</v>
      </c>
      <c r="H21" s="23">
        <f>F21*(1-G21)</f>
        <v/>
      </c>
      <c r="I21" s="24" t="n">
        <v>361.03</v>
      </c>
      <c r="J21" s="25">
        <f>$F$5</f>
        <v/>
      </c>
      <c r="K21" s="26">
        <f>I21+J21</f>
        <v/>
      </c>
      <c r="L21" s="42" t="n">
        <v>0.41</v>
      </c>
      <c r="M21" s="28">
        <f>F21*L21</f>
        <v/>
      </c>
      <c r="N21" s="29" t="n">
        <v>67</v>
      </c>
      <c r="O21" s="28">
        <f>F21*$F$8</f>
        <v/>
      </c>
      <c r="P21" s="29" t="n">
        <v>25</v>
      </c>
      <c r="Q21" s="28">
        <f>F21*$F$4</f>
        <v/>
      </c>
      <c r="R21" s="28">
        <f>H21*$F$3</f>
        <v/>
      </c>
      <c r="S21" s="43" t="n">
        <v>0.9</v>
      </c>
      <c r="T21" s="29">
        <f>N21</f>
        <v/>
      </c>
      <c r="U21" s="28">
        <f>T21*(1-S21)</f>
        <v/>
      </c>
      <c r="V21" s="31" t="n">
        <v>0.5600000000000001</v>
      </c>
      <c r="W21" s="28">
        <f>$F$6*$F$7*V21</f>
        <v/>
      </c>
      <c r="X21" s="26">
        <f>V21*($F$9+$F$10)</f>
        <v/>
      </c>
      <c r="Y21" s="42" t="n">
        <v>0.07000000000000001</v>
      </c>
      <c r="Z21" s="28">
        <f>F21*Y21</f>
        <v/>
      </c>
      <c r="AA21" s="43" t="n">
        <v>0.08</v>
      </c>
      <c r="AB21" s="28">
        <f>F21*AA21</f>
        <v/>
      </c>
      <c r="AC21" s="28">
        <f>Z21+AB21</f>
        <v/>
      </c>
      <c r="AD21" s="32">
        <f>AC21/F21</f>
        <v/>
      </c>
      <c r="AE21" s="33">
        <f>F21-M21-N21-O21-P21-Q21-R21-U21-W21-X21-K21</f>
        <v/>
      </c>
      <c r="AF21" s="34">
        <f>AE21-AC21</f>
        <v/>
      </c>
      <c r="AG21" s="35">
        <f>AF21/F21</f>
        <v/>
      </c>
      <c r="AH21" s="36">
        <f>AF21/K21</f>
        <v/>
      </c>
      <c r="AI21" s="28">
        <f>(N21+P21+U21+W21+X21+K21)/(1-(L21+$F$4+(1-G21)*$F$3+$F$8+Y21+AA21))</f>
        <v/>
      </c>
    </row>
    <row r="22" ht="14.25" customHeight="1" s="59">
      <c r="A22" s="39" t="inlineStr">
        <is>
          <t>FARMSTAY - Black Garlic Nourishing Shampoo [530ml] / Шампунь-кондиционер 2в1 с экстрактом черного чеснока</t>
        </is>
      </c>
      <c r="B22" s="44" t="inlineStr">
        <is>
          <t>вообще нет, один только за 1670р, продаж нет почти</t>
        </is>
      </c>
      <c r="C22" s="41" t="n"/>
      <c r="D22" s="41" t="n"/>
      <c r="E22" s="41" t="n"/>
      <c r="F22" s="40">
        <f>(1.25*K22+N22+P22+U22+W22+X22)/(1-L22-$F$8-$F$4-(1-G22)*$F$3-Y22-AA22)</f>
        <v/>
      </c>
      <c r="G22" s="22" t="n">
        <v>0.45</v>
      </c>
      <c r="H22" s="23">
        <f>F22*(1-G22)</f>
        <v/>
      </c>
      <c r="I22" s="24" t="n">
        <v>396.72</v>
      </c>
      <c r="J22" s="25">
        <f>$F$5</f>
        <v/>
      </c>
      <c r="K22" s="26">
        <f>I22+J22</f>
        <v/>
      </c>
      <c r="L22" s="42" t="n">
        <v>0.41</v>
      </c>
      <c r="M22" s="28">
        <f>F22*L22</f>
        <v/>
      </c>
      <c r="N22" s="29" t="n">
        <v>75</v>
      </c>
      <c r="O22" s="28">
        <f>F22*$F$8</f>
        <v/>
      </c>
      <c r="P22" s="29" t="n">
        <v>25</v>
      </c>
      <c r="Q22" s="28">
        <f>F22*$F$4</f>
        <v/>
      </c>
      <c r="R22" s="28">
        <f>H22*$F$3</f>
        <v/>
      </c>
      <c r="S22" s="43" t="n">
        <v>0.9</v>
      </c>
      <c r="T22" s="29">
        <f>N22</f>
        <v/>
      </c>
      <c r="U22" s="28">
        <f>T22*(1-S22)</f>
        <v/>
      </c>
      <c r="V22" s="31" t="n">
        <v>1.89</v>
      </c>
      <c r="W22" s="28">
        <f>$F$6*$F$7*V22</f>
        <v/>
      </c>
      <c r="X22" s="26">
        <f>V22*($F$9+$F$10)</f>
        <v/>
      </c>
      <c r="Y22" s="42" t="n">
        <v>0.07000000000000001</v>
      </c>
      <c r="Z22" s="28">
        <f>F22*Y22</f>
        <v/>
      </c>
      <c r="AA22" s="43" t="n">
        <v>0.08</v>
      </c>
      <c r="AB22" s="28">
        <f>F22*AA22</f>
        <v/>
      </c>
      <c r="AC22" s="28">
        <f>Z22+AB22</f>
        <v/>
      </c>
      <c r="AD22" s="32">
        <f>AC22/F22</f>
        <v/>
      </c>
      <c r="AE22" s="33">
        <f>F22-M22-N22-O22-P22-Q22-R22-U22-W22-X22-K22</f>
        <v/>
      </c>
      <c r="AF22" s="34">
        <f>AE22-AC22</f>
        <v/>
      </c>
      <c r="AG22" s="35">
        <f>AF22/F22</f>
        <v/>
      </c>
      <c r="AH22" s="36">
        <f>AF22/K22</f>
        <v/>
      </c>
      <c r="AI22" s="28">
        <f>(N22+P22+U22+W22+X22+K22)/(1-(L22+$F$4+(1-G22)*$F$3+$F$8+Y22+AA22))</f>
        <v/>
      </c>
    </row>
    <row r="23" ht="14.25" customHeight="1" s="59">
      <c r="A23" s="39" t="inlineStr">
        <is>
          <t>FARMSTAY - Gold Snail Premium Cream [50ml] / Омолаживающий крем с муцином улитки и коллоидным золотом</t>
        </is>
      </c>
      <c r="B23" s="44" t="inlineStr">
        <is>
          <t>есть много, цены от 950 до 3700, продаж почти нет</t>
        </is>
      </c>
      <c r="C23" s="41" t="n"/>
      <c r="D23" s="41" t="n"/>
      <c r="E23" s="41" t="n"/>
      <c r="F23" s="40">
        <f>(1.25*K23+N23+P23+U23+W23+X23)/(1-L23-$F$8-$F$4-(1-G23)*$F$3-Y23-AA23)</f>
        <v/>
      </c>
      <c r="G23" s="22" t="n">
        <v>0.45</v>
      </c>
      <c r="H23" s="23">
        <f>F23*(1-G23)</f>
        <v/>
      </c>
      <c r="I23" s="24" t="n">
        <v>431.05</v>
      </c>
      <c r="J23" s="25">
        <f>$F$5</f>
        <v/>
      </c>
      <c r="K23" s="26">
        <f>I23+J23</f>
        <v/>
      </c>
      <c r="L23" s="42" t="n">
        <v>0.41</v>
      </c>
      <c r="M23" s="28">
        <f>F23*L23</f>
        <v/>
      </c>
      <c r="N23" s="29" t="n">
        <v>67</v>
      </c>
      <c r="O23" s="28">
        <f>F23*$F$8</f>
        <v/>
      </c>
      <c r="P23" s="29" t="n">
        <v>25</v>
      </c>
      <c r="Q23" s="28">
        <f>F23*$F$4</f>
        <v/>
      </c>
      <c r="R23" s="28">
        <f>H23*$F$3</f>
        <v/>
      </c>
      <c r="S23" s="43" t="n">
        <v>0.9</v>
      </c>
      <c r="T23" s="29">
        <f>N23</f>
        <v/>
      </c>
      <c r="U23" s="28">
        <f>T23*(1-S23)</f>
        <v/>
      </c>
      <c r="V23" s="31" t="n">
        <v>0.73</v>
      </c>
      <c r="W23" s="28">
        <f>$F$6*$F$7*V23</f>
        <v/>
      </c>
      <c r="X23" s="26">
        <f>V23*($F$9+$F$10)</f>
        <v/>
      </c>
      <c r="Y23" s="42" t="n">
        <v>0.07000000000000001</v>
      </c>
      <c r="Z23" s="28">
        <f>F23*Y23</f>
        <v/>
      </c>
      <c r="AA23" s="43" t="n">
        <v>0.08</v>
      </c>
      <c r="AB23" s="28">
        <f>F23*AA23</f>
        <v/>
      </c>
      <c r="AC23" s="28">
        <f>Z23+AB23</f>
        <v/>
      </c>
      <c r="AD23" s="32">
        <f>AC23/F23</f>
        <v/>
      </c>
      <c r="AE23" s="33">
        <f>F23-M23-N23-O23-P23-Q23-R23-U23-W23-X23-K23</f>
        <v/>
      </c>
      <c r="AF23" s="34">
        <f>AE23-AC23</f>
        <v/>
      </c>
      <c r="AG23" s="35">
        <f>AF23/F23</f>
        <v/>
      </c>
      <c r="AH23" s="36">
        <f>AF23/K23</f>
        <v/>
      </c>
      <c r="AI23" s="28">
        <f>(N23+P23+U23+W23+X23+K23)/(1-(L23+$F$4+(1-G23)*$F$3+$F$8+Y23+AA23))</f>
        <v/>
      </c>
    </row>
    <row r="24" ht="14.25" customHeight="1" s="59">
      <c r="A24" s="39" t="inlineStr">
        <is>
          <t>FARMSTAY - Escargot Noblesse Intensive Cream [50g] / Крем с муцином королевской улитки</t>
        </is>
      </c>
      <c r="B24" s="44" t="inlineStr">
        <is>
          <t>1533р - 40шт, 1104р-18шт</t>
        </is>
      </c>
      <c r="C24" s="41" t="n"/>
      <c r="D24" s="41" t="n"/>
      <c r="E24" s="41" t="n"/>
      <c r="F24" s="40">
        <f>(1.25*K24+N24+P24+U24+W24+X24)/(1-L24-$F$8-$F$4-(1-G24)*$F$3-Y24-AA24)</f>
        <v/>
      </c>
      <c r="G24" s="22" t="n">
        <v>0.45</v>
      </c>
      <c r="H24" s="23">
        <f>F24*(1-G24)</f>
        <v/>
      </c>
      <c r="I24" s="24" t="n">
        <v>313.84</v>
      </c>
      <c r="J24" s="25">
        <f>$F$5</f>
        <v/>
      </c>
      <c r="K24" s="26">
        <f>I24+J24</f>
        <v/>
      </c>
      <c r="L24" s="42" t="n">
        <v>0.41</v>
      </c>
      <c r="M24" s="28">
        <f>F24*L24</f>
        <v/>
      </c>
      <c r="N24" s="29" t="n">
        <v>67</v>
      </c>
      <c r="O24" s="28">
        <f>F24*$F$8</f>
        <v/>
      </c>
      <c r="P24" s="29" t="n">
        <v>25</v>
      </c>
      <c r="Q24" s="28">
        <f>F24*$F$4</f>
        <v/>
      </c>
      <c r="R24" s="28">
        <f>H24*$F$3</f>
        <v/>
      </c>
      <c r="S24" s="43" t="n">
        <v>0.9</v>
      </c>
      <c r="T24" s="29">
        <f>N24</f>
        <v/>
      </c>
      <c r="U24" s="28">
        <f>T24*(1-S24)</f>
        <v/>
      </c>
      <c r="V24" s="31" t="n">
        <v>0.86</v>
      </c>
      <c r="W24" s="28">
        <f>$F$6*$F$7*V24</f>
        <v/>
      </c>
      <c r="X24" s="26">
        <f>V24*($F$9+$F$10)</f>
        <v/>
      </c>
      <c r="Y24" s="42" t="n">
        <v>0.07000000000000001</v>
      </c>
      <c r="Z24" s="28">
        <f>F24*Y24</f>
        <v/>
      </c>
      <c r="AA24" s="43" t="n">
        <v>0.08</v>
      </c>
      <c r="AB24" s="28">
        <f>F24*AA24</f>
        <v/>
      </c>
      <c r="AC24" s="28">
        <f>Z24+AB24</f>
        <v/>
      </c>
      <c r="AD24" s="32">
        <f>AC24/F24</f>
        <v/>
      </c>
      <c r="AE24" s="33">
        <f>F24-M24-N24-O24-P24-Q24-R24-U24-W24-X24-K24</f>
        <v/>
      </c>
      <c r="AF24" s="34">
        <f>AE24-AC24</f>
        <v/>
      </c>
      <c r="AG24" s="35">
        <f>AF24/F24</f>
        <v/>
      </c>
      <c r="AH24" s="36">
        <f>AF24/K24</f>
        <v/>
      </c>
      <c r="AI24" s="28">
        <f>(N24+P24+U24+W24+X24+K24)/(1-(L24+$F$4+(1-G24)*$F$3+$F$8+Y24+AA24))</f>
        <v/>
      </c>
    </row>
    <row r="25" ht="14.25" customHeight="1" s="59">
      <c r="A25" s="39" t="inlineStr">
        <is>
          <t>MANYO BIFIDA INFUSION SHOT AMPOULE 1DX [50ml] / Сыворотка с микроиглами и пробиотиками</t>
        </is>
      </c>
      <c r="B25" s="44" t="n"/>
      <c r="C25" s="41" t="n">
        <v>3800</v>
      </c>
      <c r="D25" s="41" t="n">
        <v>370</v>
      </c>
      <c r="E25" s="41" t="n">
        <v>0</v>
      </c>
      <c r="F25" s="40" t="n">
        <v>3500</v>
      </c>
      <c r="G25" s="22" t="n">
        <v>0.45</v>
      </c>
      <c r="H25" s="23">
        <f>F25*(1-G25)</f>
        <v/>
      </c>
      <c r="I25" s="24" t="n">
        <v>899.78</v>
      </c>
      <c r="J25" s="25">
        <f>$F$5</f>
        <v/>
      </c>
      <c r="K25" s="26">
        <f>I25+J25</f>
        <v/>
      </c>
      <c r="L25" s="42" t="n">
        <v>0.41</v>
      </c>
      <c r="M25" s="28">
        <f>F25*L25</f>
        <v/>
      </c>
      <c r="N25" s="29" t="n">
        <v>63</v>
      </c>
      <c r="O25" s="28">
        <f>F25*$F$8</f>
        <v/>
      </c>
      <c r="P25" s="29" t="n">
        <v>25</v>
      </c>
      <c r="Q25" s="28">
        <f>F25*$F$4</f>
        <v/>
      </c>
      <c r="R25" s="28">
        <f>H25*$F$3</f>
        <v/>
      </c>
      <c r="S25" s="43" t="n">
        <v>0.9</v>
      </c>
      <c r="T25" s="29">
        <f>N25</f>
        <v/>
      </c>
      <c r="U25" s="28">
        <f>T25*(1-S25)</f>
        <v/>
      </c>
      <c r="V25" s="31" t="n">
        <v>0.3</v>
      </c>
      <c r="W25" s="28">
        <f>$F$6*$F$7*V25</f>
        <v/>
      </c>
      <c r="X25" s="26">
        <f>V25*($F$9+$F$10)</f>
        <v/>
      </c>
      <c r="Y25" s="42" t="n">
        <v>0.025</v>
      </c>
      <c r="Z25" s="28">
        <f>F25*Y25</f>
        <v/>
      </c>
      <c r="AA25" s="43" t="n">
        <v>0.025</v>
      </c>
      <c r="AB25" s="28">
        <f>F25*AA25</f>
        <v/>
      </c>
      <c r="AC25" s="28">
        <f>Z25+AB25</f>
        <v/>
      </c>
      <c r="AD25" s="32">
        <f>AC25/F25</f>
        <v/>
      </c>
      <c r="AE25" s="33">
        <f>F25-M25-N25-O25-P25-Q25-R25-U25-W25-X25-K25</f>
        <v/>
      </c>
      <c r="AF25" s="34">
        <f>AE25-AC25</f>
        <v/>
      </c>
      <c r="AG25" s="35">
        <f>AF25/F25</f>
        <v/>
      </c>
      <c r="AH25" s="36">
        <f>AF25/K25</f>
        <v/>
      </c>
      <c r="AI25" s="28">
        <f>(N25+P25+U25+W25+X25+K25)/(1-(L25+$F$4+(1-G25)*$F$3+$F$8+Y25+AA25))</f>
        <v/>
      </c>
    </row>
    <row r="26" ht="14.25" customHeight="1" s="59">
      <c r="A26" s="39" t="inlineStr">
        <is>
          <t>MANYO - Bifida Biome Complex Ampoule [50ml] / Антивозрастная сыворотка для лица</t>
        </is>
      </c>
      <c r="B26" s="44" t="n"/>
      <c r="C26" s="41" t="n">
        <v>5800</v>
      </c>
      <c r="D26" s="41" t="n">
        <v>152</v>
      </c>
      <c r="E26" s="41" t="n">
        <v>0</v>
      </c>
      <c r="F26" s="40" t="n">
        <v>5500</v>
      </c>
      <c r="G26" s="22" t="n">
        <v>0.45</v>
      </c>
      <c r="H26" s="23">
        <f>F26*(1-G26)</f>
        <v/>
      </c>
      <c r="I26" s="24" t="n">
        <v>899.78</v>
      </c>
      <c r="J26" s="25">
        <f>$F$5</f>
        <v/>
      </c>
      <c r="K26" s="26">
        <f>I26+J26</f>
        <v/>
      </c>
      <c r="L26" s="42" t="n">
        <v>0.41</v>
      </c>
      <c r="M26" s="28">
        <f>F26*L26</f>
        <v/>
      </c>
      <c r="N26" s="29" t="n">
        <v>63</v>
      </c>
      <c r="O26" s="28">
        <f>F26*$F$8</f>
        <v/>
      </c>
      <c r="P26" s="29" t="n">
        <v>25</v>
      </c>
      <c r="Q26" s="28">
        <f>F26*$F$4</f>
        <v/>
      </c>
      <c r="R26" s="28">
        <f>H26*$F$3</f>
        <v/>
      </c>
      <c r="S26" s="43" t="n">
        <v>0.9</v>
      </c>
      <c r="T26" s="29">
        <f>N26</f>
        <v/>
      </c>
      <c r="U26" s="28">
        <f>T26*(1-S26)</f>
        <v/>
      </c>
      <c r="V26" s="31" t="n">
        <v>0.3</v>
      </c>
      <c r="W26" s="28">
        <f>$F$6*$F$7*V26</f>
        <v/>
      </c>
      <c r="X26" s="26">
        <f>V26*($F$9+$F$10)</f>
        <v/>
      </c>
      <c r="Y26" s="42" t="n">
        <v>0.025</v>
      </c>
      <c r="Z26" s="28">
        <f>F26*Y26</f>
        <v/>
      </c>
      <c r="AA26" s="43" t="n">
        <v>0.025</v>
      </c>
      <c r="AB26" s="28">
        <f>F26*AA26</f>
        <v/>
      </c>
      <c r="AC26" s="28">
        <f>Z26+AB26</f>
        <v/>
      </c>
      <c r="AD26" s="32">
        <f>AC26/F26</f>
        <v/>
      </c>
      <c r="AE26" s="33">
        <f>F26-M26-N26-O26-P26-Q26-R26-U26-W26-X26-K26</f>
        <v/>
      </c>
      <c r="AF26" s="34">
        <f>AE26-AC26</f>
        <v/>
      </c>
      <c r="AG26" s="35">
        <f>AF26/F26</f>
        <v/>
      </c>
      <c r="AH26" s="36">
        <f>AF26/K26</f>
        <v/>
      </c>
      <c r="AI26" s="28">
        <f>(N26+P26+U26+W26+X26+K26)/(1-(L26+$F$4+(1-G26)*$F$3+$F$8+Y26+AA26))</f>
        <v/>
      </c>
    </row>
    <row r="27" ht="14.25" customHeight="1" s="59">
      <c r="A27" s="39" t="inlineStr">
        <is>
          <t>MANYO - Galac Whitening Vita Serum [50ml] / Осветляющая сыворотка с Витамином C</t>
        </is>
      </c>
      <c r="B27" s="44" t="inlineStr">
        <is>
          <t>-</t>
        </is>
      </c>
      <c r="C27" s="41" t="n">
        <v>4000</v>
      </c>
      <c r="D27" s="41" t="n">
        <v>163</v>
      </c>
      <c r="E27" s="41" t="n">
        <v>0</v>
      </c>
      <c r="F27" s="40" t="n">
        <v>3700</v>
      </c>
      <c r="G27" s="22" t="n">
        <v>0.45</v>
      </c>
      <c r="H27" s="23">
        <f>F27*(1-G27)</f>
        <v/>
      </c>
      <c r="I27" s="24" t="n">
        <v>646.83</v>
      </c>
      <c r="J27" s="25">
        <f>$F$5</f>
        <v/>
      </c>
      <c r="K27" s="26">
        <f>I27+J27</f>
        <v/>
      </c>
      <c r="L27" s="42" t="n">
        <v>0.41</v>
      </c>
      <c r="M27" s="28">
        <f>F27*L27</f>
        <v/>
      </c>
      <c r="N27" s="29" t="n">
        <v>56</v>
      </c>
      <c r="O27" s="28">
        <f>F27*$F$8</f>
        <v/>
      </c>
      <c r="P27" s="29" t="n">
        <v>25</v>
      </c>
      <c r="Q27" s="28">
        <f>F27*$F$4</f>
        <v/>
      </c>
      <c r="R27" s="28">
        <f>H27*$F$3</f>
        <v/>
      </c>
      <c r="S27" s="43" t="n">
        <v>0.9</v>
      </c>
      <c r="T27" s="29">
        <f>N27</f>
        <v/>
      </c>
      <c r="U27" s="28">
        <f>T27*(1-S27)</f>
        <v/>
      </c>
      <c r="V27" s="31" t="n">
        <v>0.19</v>
      </c>
      <c r="W27" s="28">
        <f>$F$6*$F$7*V27</f>
        <v/>
      </c>
      <c r="X27" s="26">
        <f>V27*($F$9+$F$10)</f>
        <v/>
      </c>
      <c r="Y27" s="42" t="n">
        <v>0.025</v>
      </c>
      <c r="Z27" s="28">
        <f>F27*Y27</f>
        <v/>
      </c>
      <c r="AA27" s="43" t="n">
        <v>0.025</v>
      </c>
      <c r="AB27" s="28">
        <f>F27*AA27</f>
        <v/>
      </c>
      <c r="AC27" s="28">
        <f>Z27+AB27</f>
        <v/>
      </c>
      <c r="AD27" s="32">
        <f>AC27/F27</f>
        <v/>
      </c>
      <c r="AE27" s="33">
        <f>F27-M27-N27-O27-P27-Q27-R27-U27-W27-X27-K27</f>
        <v/>
      </c>
      <c r="AF27" s="34">
        <f>AE27-AC27</f>
        <v/>
      </c>
      <c r="AG27" s="35">
        <f>AF27/F27</f>
        <v/>
      </c>
      <c r="AH27" s="36">
        <f>AF27/K27</f>
        <v/>
      </c>
      <c r="AI27" s="28">
        <f>(N27+P27+U27+W27+X27+K27)/(1-(L27+$F$4+(1-G27)*$F$3+$F$8+Y27+AA27))</f>
        <v/>
      </c>
    </row>
    <row r="28" ht="14.25" customHeight="1" s="59">
      <c r="A28" s="39" t="inlineStr">
        <is>
          <t>MANYO - Bifida Biome Ampoule Lotion [300ml] / Укрепляющий лосьон с бифидобактериями</t>
        </is>
      </c>
      <c r="B28" s="44" t="inlineStr">
        <is>
          <t>нет у официала</t>
        </is>
      </c>
      <c r="C28" s="41" t="n">
        <v>4000</v>
      </c>
      <c r="D28" s="41" t="n">
        <v>140</v>
      </c>
      <c r="E28" s="41" t="n">
        <v>0</v>
      </c>
      <c r="F28" s="40" t="n">
        <v>3700</v>
      </c>
      <c r="G28" s="22" t="n">
        <v>0.45</v>
      </c>
      <c r="H28" s="23">
        <f>F28*(1-G28)</f>
        <v/>
      </c>
      <c r="I28" s="24" t="n">
        <v>735.34</v>
      </c>
      <c r="J28" s="25">
        <f>$F$5</f>
        <v/>
      </c>
      <c r="K28" s="26">
        <f>I28+J28</f>
        <v/>
      </c>
      <c r="L28" s="42" t="n">
        <v>0.41</v>
      </c>
      <c r="M28" s="28">
        <f>F28*L28</f>
        <v/>
      </c>
      <c r="N28" s="29" t="n">
        <v>67</v>
      </c>
      <c r="O28" s="28">
        <f>F28*$F$8</f>
        <v/>
      </c>
      <c r="P28" s="29" t="n">
        <v>25</v>
      </c>
      <c r="Q28" s="28">
        <f>F28*$F$4</f>
        <v/>
      </c>
      <c r="R28" s="28">
        <f>H28*$F$3</f>
        <v/>
      </c>
      <c r="S28" s="43" t="n">
        <v>0.9</v>
      </c>
      <c r="T28" s="29">
        <f>N28</f>
        <v/>
      </c>
      <c r="U28" s="28">
        <f>T28*(1-S28)</f>
        <v/>
      </c>
      <c r="V28" s="31" t="n">
        <v>0.61</v>
      </c>
      <c r="W28" s="28">
        <f>$F$6*$F$7*V28</f>
        <v/>
      </c>
      <c r="X28" s="26">
        <f>V28*($F$9+$F$10)</f>
        <v/>
      </c>
      <c r="Y28" s="42" t="n">
        <v>0.025</v>
      </c>
      <c r="Z28" s="28">
        <f>F28*Y28</f>
        <v/>
      </c>
      <c r="AA28" s="43" t="n">
        <v>0.025</v>
      </c>
      <c r="AB28" s="28">
        <f>F28*AA28</f>
        <v/>
      </c>
      <c r="AC28" s="28">
        <f>Z28+AB28</f>
        <v/>
      </c>
      <c r="AD28" s="32">
        <f>AC28/F28</f>
        <v/>
      </c>
      <c r="AE28" s="33">
        <f>F28-M28-N28-O28-P28-Q28-R28-U28-W28-X28-K28</f>
        <v/>
      </c>
      <c r="AF28" s="34">
        <f>AE28-AC28</f>
        <v/>
      </c>
      <c r="AG28" s="35">
        <f>AF28/F28</f>
        <v/>
      </c>
      <c r="AH28" s="36">
        <f>AF28/K28</f>
        <v/>
      </c>
      <c r="AI28" s="28">
        <f>(N28+P28+U28+W28+X28+K28)/(1-(L28+$F$4+(1-G28)*$F$3+$F$8+Y28+AA28))</f>
        <v/>
      </c>
    </row>
    <row r="29" ht="14.25" customHeight="1" s="59">
      <c r="A29" s="39" t="inlineStr">
        <is>
          <t>MANYO - Pure Cleansing Oil [200ml] / Гидрофильное масло для глубокого очищения</t>
        </is>
      </c>
      <c r="B29" s="44" t="inlineStr">
        <is>
          <t>-</t>
        </is>
      </c>
      <c r="C29" s="41" t="n">
        <v>4000</v>
      </c>
      <c r="D29" s="41" t="n">
        <v>60</v>
      </c>
      <c r="E29" s="41" t="n">
        <v>0</v>
      </c>
      <c r="F29" s="40" t="n">
        <v>3700</v>
      </c>
      <c r="G29" s="22" t="n">
        <v>0.45</v>
      </c>
      <c r="H29" s="23">
        <f>F29*(1-G29)</f>
        <v/>
      </c>
      <c r="I29" s="24" t="n">
        <v>853</v>
      </c>
      <c r="J29" s="25">
        <f>$F$5</f>
        <v/>
      </c>
      <c r="K29" s="26">
        <f>I29+J29</f>
        <v/>
      </c>
      <c r="L29" s="42" t="n">
        <v>0.41</v>
      </c>
      <c r="M29" s="28">
        <f>F29*L29</f>
        <v/>
      </c>
      <c r="N29" s="29" t="n">
        <v>67</v>
      </c>
      <c r="O29" s="28">
        <f>F29*$F$8</f>
        <v/>
      </c>
      <c r="P29" s="29" t="n">
        <v>25</v>
      </c>
      <c r="Q29" s="28">
        <f>F29*$F$4</f>
        <v/>
      </c>
      <c r="R29" s="28">
        <f>H29*$F$3</f>
        <v/>
      </c>
      <c r="S29" s="43" t="n">
        <v>0.9</v>
      </c>
      <c r="T29" s="29">
        <f>N29</f>
        <v/>
      </c>
      <c r="U29" s="28">
        <f>T29*(1-S29)</f>
        <v/>
      </c>
      <c r="V29" s="31" t="n">
        <v>0.5</v>
      </c>
      <c r="W29" s="28">
        <f>$F$6*$F$7*V29</f>
        <v/>
      </c>
      <c r="X29" s="26">
        <f>V29*($F$9+$F$10)</f>
        <v/>
      </c>
      <c r="Y29" s="42" t="n">
        <v>0.025</v>
      </c>
      <c r="Z29" s="28">
        <f>F29*Y29</f>
        <v/>
      </c>
      <c r="AA29" s="43" t="n">
        <v>0.025</v>
      </c>
      <c r="AB29" s="28">
        <f>F29*AA29</f>
        <v/>
      </c>
      <c r="AC29" s="28">
        <f>Z29+AB29</f>
        <v/>
      </c>
      <c r="AD29" s="32">
        <f>AC29/F29</f>
        <v/>
      </c>
      <c r="AE29" s="33">
        <f>F29-M29-N29-O29-P29-Q29-R29-U29-W29-X29-K29</f>
        <v/>
      </c>
      <c r="AF29" s="34">
        <f>AE29-AC29</f>
        <v/>
      </c>
      <c r="AG29" s="35">
        <f>AF29/F29</f>
        <v/>
      </c>
      <c r="AH29" s="36">
        <f>AF29/K29</f>
        <v/>
      </c>
      <c r="AI29" s="28">
        <f>(N29+P29+U29+W29+X29+K29)/(1-(L29+$F$4+(1-G29)*$F$3+$F$8+Y29+AA29))</f>
        <v/>
      </c>
    </row>
    <row r="30" ht="14.25" customHeight="1" s="59">
      <c r="A30" s="39" t="inlineStr">
        <is>
          <t>MANYO BIFIDA COMPLEX AMPOULE GEL CLEANSER [400ml] / Гель для умывания с бифидобактериями</t>
        </is>
      </c>
      <c r="B30" s="44" t="inlineStr">
        <is>
          <t>-</t>
        </is>
      </c>
      <c r="C30" s="41" t="n">
        <v>4800</v>
      </c>
      <c r="D30" s="41" t="n"/>
      <c r="E30" s="41" t="n"/>
      <c r="F30" s="40" t="n">
        <v>4500</v>
      </c>
      <c r="G30" s="22" t="n">
        <v>0.45</v>
      </c>
      <c r="H30" s="23">
        <f>F30*(1-G30)</f>
        <v/>
      </c>
      <c r="I30" s="24" t="n">
        <v>650</v>
      </c>
      <c r="J30" s="25">
        <f>$F$5</f>
        <v/>
      </c>
      <c r="K30" s="26">
        <f>I30+J30</f>
        <v/>
      </c>
      <c r="L30" s="42" t="n">
        <v>0.41</v>
      </c>
      <c r="M30" s="28">
        <f>F30*L30</f>
        <v/>
      </c>
      <c r="N30" s="29" t="n">
        <v>75</v>
      </c>
      <c r="O30" s="28">
        <f>F30*$F$8</f>
        <v/>
      </c>
      <c r="P30" s="29" t="n">
        <v>25</v>
      </c>
      <c r="Q30" s="28">
        <f>F30*$F$4</f>
        <v/>
      </c>
      <c r="R30" s="28">
        <f>H30*$F$3</f>
        <v/>
      </c>
      <c r="S30" s="43" t="n">
        <v>0.9</v>
      </c>
      <c r="T30" s="29">
        <f>N30</f>
        <v/>
      </c>
      <c r="U30" s="28">
        <f>T30*(1-S30)</f>
        <v/>
      </c>
      <c r="V30" s="31" t="n">
        <v>0.931</v>
      </c>
      <c r="W30" s="28">
        <f>$F$6*$F$7*V30</f>
        <v/>
      </c>
      <c r="X30" s="26">
        <f>V30*($F$9+$F$10)</f>
        <v/>
      </c>
      <c r="Y30" s="42" t="n">
        <v>0.025</v>
      </c>
      <c r="Z30" s="28">
        <f>F30*Y30</f>
        <v/>
      </c>
      <c r="AA30" s="43" t="n">
        <v>0.025</v>
      </c>
      <c r="AB30" s="28">
        <f>F30*AA30</f>
        <v/>
      </c>
      <c r="AC30" s="28">
        <f>Z30+AB30</f>
        <v/>
      </c>
      <c r="AD30" s="32">
        <f>AC30/F30</f>
        <v/>
      </c>
      <c r="AE30" s="33">
        <f>F30-M30-N30-O30-P30-Q30-R30-U30-W30-X30-K30</f>
        <v/>
      </c>
      <c r="AF30" s="34">
        <f>AE30-AC30</f>
        <v/>
      </c>
      <c r="AG30" s="35">
        <f>AF30/F30</f>
        <v/>
      </c>
      <c r="AH30" s="36">
        <f>AF30/K30</f>
        <v/>
      </c>
      <c r="AI30" s="28">
        <f>(N30+P30+U30+W30+X30+K30)/(1-(L30+$F$4+(1-G30)*$F$3+$F$8+Y30+AA30))</f>
        <v/>
      </c>
    </row>
    <row r="31" ht="14.25" customHeight="1" s="59">
      <c r="A31" s="39" t="inlineStr">
        <is>
          <t>CELIMAX THE VITA-A RETINOL SHOT TIGHTENING SERUM [30ml]/Сыворотка с ретинолом и микроиглами для лица</t>
        </is>
      </c>
      <c r="B31" s="44" t="inlineStr">
        <is>
          <t>-</t>
        </is>
      </c>
      <c r="C31" s="41" t="n"/>
      <c r="D31" s="41" t="n"/>
      <c r="E31" s="41" t="n"/>
      <c r="F31" s="40">
        <f>(1.25*K31+N31+P31+U31+W31+X31)/(1-L31-$F$8-$F$4-(1-G31)*$F$3-Y31-AA31)</f>
        <v/>
      </c>
      <c r="G31" s="22" t="n">
        <v>0.45</v>
      </c>
      <c r="H31" s="45">
        <f>F31*(1-G31)</f>
        <v/>
      </c>
      <c r="I31" s="46" t="n">
        <v>532.1</v>
      </c>
      <c r="J31" s="47">
        <f>$F$5</f>
        <v/>
      </c>
      <c r="K31" s="48">
        <f>I31+J31</f>
        <v/>
      </c>
      <c r="L31" s="49" t="n">
        <v>0.41</v>
      </c>
      <c r="M31" s="50">
        <f>F31*L31</f>
        <v/>
      </c>
      <c r="N31" s="51" t="n">
        <v>63</v>
      </c>
      <c r="O31" s="50">
        <f>F31*$F$8</f>
        <v/>
      </c>
      <c r="P31" s="51" t="n">
        <v>25</v>
      </c>
      <c r="Q31" s="50">
        <f>F31*$F$4</f>
        <v/>
      </c>
      <c r="R31" s="50">
        <f>H31*$F$3</f>
        <v/>
      </c>
      <c r="S31" s="52" t="n">
        <v>0.9</v>
      </c>
      <c r="T31" s="51">
        <f>N31</f>
        <v/>
      </c>
      <c r="U31" s="50">
        <f>T31*(1-S31)</f>
        <v/>
      </c>
      <c r="V31" s="53" t="n">
        <v>0.38</v>
      </c>
      <c r="W31" s="50">
        <f>$F$6*$F$7*V31</f>
        <v/>
      </c>
      <c r="X31" s="48">
        <f>V31*($F$9+$F$10)</f>
        <v/>
      </c>
      <c r="Y31" s="49" t="n">
        <v>0.07000000000000001</v>
      </c>
      <c r="Z31" s="50">
        <f>F31*Y31</f>
        <v/>
      </c>
      <c r="AA31" s="52" t="n">
        <v>0.08</v>
      </c>
      <c r="AB31" s="50">
        <f>F31*AA31</f>
        <v/>
      </c>
      <c r="AC31" s="50">
        <f>Z31+AB31</f>
        <v/>
      </c>
      <c r="AD31" s="54">
        <f>AC31/F31</f>
        <v/>
      </c>
      <c r="AE31" s="33">
        <f>F31-M31-N31-O31-P31-Q31-R31-U31-W31-X31-K31</f>
        <v/>
      </c>
      <c r="AF31" s="34">
        <f>AE31-AC31</f>
        <v/>
      </c>
      <c r="AG31" s="35">
        <f>AF31/F31</f>
        <v/>
      </c>
      <c r="AH31" s="36">
        <f>AF31/K31</f>
        <v/>
      </c>
      <c r="AI31" s="28">
        <f>(N31+P31+U31+W31+X31+K31)/(1-(L31+$F$4+(1-G31)*$F$3+$F$8+Y31+AA31))</f>
        <v/>
      </c>
    </row>
    <row r="32" ht="14.25" customHeight="1" s="59" thickBot="1">
      <c r="A32" s="55" t="n"/>
      <c r="C32" s="2" t="n"/>
      <c r="D32" s="2" t="n"/>
      <c r="E32" s="2" t="n"/>
    </row>
    <row r="33" ht="14.25" customHeight="1" s="59" thickBot="1">
      <c r="A33" s="39" t="inlineStr">
        <is>
          <t>JIGOTT - Snail Lifting Cream [70ml] / Крем для лица увлажняющий антивозрастной</t>
        </is>
      </c>
      <c r="B33" s="44" t="n"/>
      <c r="C33" s="41" t="n"/>
      <c r="D33" s="41" t="n"/>
      <c r="E33" s="41" t="n"/>
      <c r="F33" s="40">
        <f>(1.25*K33+N33+P33+U33+W33+X33)/(1-L33-$F$8-$F$4-(1-G33)*$F$3-Y33-AA33)</f>
        <v/>
      </c>
      <c r="G33" s="22" t="n">
        <v>0.45</v>
      </c>
      <c r="H33" s="45">
        <f>F33*(1-G33)</f>
        <v/>
      </c>
      <c r="I33" s="46" t="n">
        <v>202.27</v>
      </c>
      <c r="J33" s="47">
        <f>$F$5</f>
        <v/>
      </c>
      <c r="K33" s="48">
        <f>I33+J33</f>
        <v/>
      </c>
      <c r="L33" s="49" t="n">
        <v>0.41</v>
      </c>
      <c r="M33" s="50">
        <f>F33*L33</f>
        <v/>
      </c>
      <c r="N33" s="51" t="n">
        <v>67</v>
      </c>
      <c r="O33" s="50">
        <f>F33*$F$8</f>
        <v/>
      </c>
      <c r="P33" s="51" t="n">
        <v>25</v>
      </c>
      <c r="Q33" s="50">
        <f>F33*$F$4</f>
        <v/>
      </c>
      <c r="R33" s="50">
        <f>H33*$F$3</f>
        <v/>
      </c>
      <c r="S33" s="52" t="n">
        <v>0.9</v>
      </c>
      <c r="T33" s="51">
        <f>N33</f>
        <v/>
      </c>
      <c r="U33" s="50">
        <f>T33*(1-S33)</f>
        <v/>
      </c>
      <c r="V33" s="53" t="n">
        <v>0.42</v>
      </c>
      <c r="W33" s="50">
        <f>$F$6*$F$7*V33</f>
        <v/>
      </c>
      <c r="X33" s="48">
        <f>V33*($F$9+$F$10)</f>
        <v/>
      </c>
      <c r="Y33" s="49" t="n">
        <v>0.07000000000000001</v>
      </c>
      <c r="Z33" s="50">
        <f>F33*Y33</f>
        <v/>
      </c>
      <c r="AA33" s="52" t="n">
        <v>0.08</v>
      </c>
      <c r="AB33" s="50">
        <f>F33*AA33</f>
        <v/>
      </c>
      <c r="AC33" s="50">
        <f>Z33+AB33</f>
        <v/>
      </c>
      <c r="AD33" s="54">
        <f>AC33/F33</f>
        <v/>
      </c>
      <c r="AE33" s="33">
        <f>F33-M33-N33-O33-P33-Q33-R33-U33-W33-X33-K33</f>
        <v/>
      </c>
      <c r="AF33" s="34">
        <f>AE33-AC33</f>
        <v/>
      </c>
      <c r="AG33" s="35">
        <f>AF33/F33</f>
        <v/>
      </c>
      <c r="AH33" s="36">
        <f>AF33/K33</f>
        <v/>
      </c>
      <c r="AI33" s="28">
        <f>(N33+P33+U33+W33+X33+K33)/(1-(L33+$F$4+(1-G33)*$F$3+$F$8+Y33+AA33))</f>
        <v/>
      </c>
    </row>
    <row r="34" ht="14.25" customHeight="1" s="59" thickBot="1">
      <c r="A34" s="39" t="inlineStr">
        <is>
          <t>JIGOTT - Snail Reparing Cream [100ml] / Крем для лица увлажняющий антивозрастной с муцином улитки</t>
        </is>
      </c>
      <c r="B34" s="44" t="n"/>
      <c r="C34" s="41" t="n"/>
      <c r="D34" s="41" t="n"/>
      <c r="E34" s="41" t="n"/>
      <c r="F34" s="40">
        <f>(1.25*K34+N34+P34+U34+W34+X34)/(1-L34-$F$8-$F$4-(1-G34)*$F$3-Y34-AA34)</f>
        <v/>
      </c>
      <c r="G34" s="22" t="n">
        <v>0.45</v>
      </c>
      <c r="H34" s="45">
        <f>F34*(1-G34)</f>
        <v/>
      </c>
      <c r="I34" s="46" t="n">
        <v>185.86</v>
      </c>
      <c r="J34" s="47">
        <f>$F$5</f>
        <v/>
      </c>
      <c r="K34" s="48">
        <f>I34+J34</f>
        <v/>
      </c>
      <c r="L34" s="49" t="n">
        <v>0.41</v>
      </c>
      <c r="M34" s="50">
        <f>F34*L34</f>
        <v/>
      </c>
      <c r="N34" s="51" t="n">
        <v>67</v>
      </c>
      <c r="O34" s="50">
        <f>F34*$F$8</f>
        <v/>
      </c>
      <c r="P34" s="51" t="n">
        <v>25</v>
      </c>
      <c r="Q34" s="50">
        <f>F34*$F$4</f>
        <v/>
      </c>
      <c r="R34" s="50">
        <f>H34*$F$3</f>
        <v/>
      </c>
      <c r="S34" s="52" t="n">
        <v>0.9</v>
      </c>
      <c r="T34" s="51">
        <f>N34</f>
        <v/>
      </c>
      <c r="U34" s="50">
        <f>T34*(1-S34)</f>
        <v/>
      </c>
      <c r="V34" s="53" t="n">
        <v>0.57</v>
      </c>
      <c r="W34" s="50">
        <f>$F$6*$F$7*V34</f>
        <v/>
      </c>
      <c r="X34" s="48">
        <f>V34*($F$9+$F$10)</f>
        <v/>
      </c>
      <c r="Y34" s="49" t="n">
        <v>0.07000000000000001</v>
      </c>
      <c r="Z34" s="50">
        <f>F34*Y34</f>
        <v/>
      </c>
      <c r="AA34" s="52" t="n">
        <v>0.08</v>
      </c>
      <c r="AB34" s="50">
        <f>F34*AA34</f>
        <v/>
      </c>
      <c r="AC34" s="50">
        <f>Z34+AB34</f>
        <v/>
      </c>
      <c r="AD34" s="54">
        <f>AC34/F34</f>
        <v/>
      </c>
      <c r="AE34" s="33">
        <f>F34-M34-N34-O34-P34-Q34-R34-U34-W34-X34-K34</f>
        <v/>
      </c>
      <c r="AF34" s="34">
        <f>AE34-AC34</f>
        <v/>
      </c>
      <c r="AG34" s="35">
        <f>AF34/F34</f>
        <v/>
      </c>
      <c r="AH34" s="36">
        <f>AF34/K34</f>
        <v/>
      </c>
      <c r="AI34" s="28">
        <f>(N34+P34+U34+W34+X34+K34)/(1-(L34+$F$4+(1-G34)*$F$3+$F$8+Y34+AA34))</f>
        <v/>
      </c>
    </row>
    <row r="35" ht="14.25" customHeight="1" s="59" thickBot="1">
      <c r="A35" s="39" t="inlineStr">
        <is>
          <t>JIGOTT - Birds Nest Firming Cream [70ml] / Антивозрастной крем с экстрактом ласточкиного гнезда</t>
        </is>
      </c>
      <c r="B35" s="44" t="n"/>
      <c r="C35" s="41" t="n"/>
      <c r="D35" s="41" t="n"/>
      <c r="E35" s="41" t="n"/>
      <c r="F35" s="40">
        <f>(1.25*K35+N35+P35+U35+W35+X35)/(1-L35-$F$8-$F$4-(1-G35)*$F$3-Y35-AA35)</f>
        <v/>
      </c>
      <c r="G35" s="22" t="n">
        <v>0.45</v>
      </c>
      <c r="H35" s="45">
        <f>F35*(1-G35)</f>
        <v/>
      </c>
      <c r="I35" s="46" t="n">
        <v>202.27</v>
      </c>
      <c r="J35" s="47">
        <f>$F$5</f>
        <v/>
      </c>
      <c r="K35" s="48">
        <f>I35+J35</f>
        <v/>
      </c>
      <c r="L35" s="49" t="n">
        <v>0.41</v>
      </c>
      <c r="M35" s="50">
        <f>F35*L35</f>
        <v/>
      </c>
      <c r="N35" s="51" t="n">
        <v>67</v>
      </c>
      <c r="O35" s="50">
        <f>F35*$F$8</f>
        <v/>
      </c>
      <c r="P35" s="51" t="n">
        <v>25</v>
      </c>
      <c r="Q35" s="50">
        <f>F35*$F$4</f>
        <v/>
      </c>
      <c r="R35" s="50">
        <f>H35*$F$3</f>
        <v/>
      </c>
      <c r="S35" s="52" t="n">
        <v>0.9</v>
      </c>
      <c r="T35" s="51">
        <f>N35</f>
        <v/>
      </c>
      <c r="U35" s="50">
        <f>T35*(1-S35)</f>
        <v/>
      </c>
      <c r="V35" s="53" t="n">
        <v>0.42</v>
      </c>
      <c r="W35" s="50">
        <f>$F$6*$F$7*V35</f>
        <v/>
      </c>
      <c r="X35" s="48">
        <f>V35*($F$9+$F$10)</f>
        <v/>
      </c>
      <c r="Y35" s="49" t="n">
        <v>0.07000000000000001</v>
      </c>
      <c r="Z35" s="50">
        <f>F35*Y35</f>
        <v/>
      </c>
      <c r="AA35" s="52" t="n">
        <v>0.08</v>
      </c>
      <c r="AB35" s="50">
        <f>F35*AA35</f>
        <v/>
      </c>
      <c r="AC35" s="50">
        <f>Z35+AB35</f>
        <v/>
      </c>
      <c r="AD35" s="54">
        <f>AC35/F35</f>
        <v/>
      </c>
      <c r="AE35" s="33">
        <f>F35-M35-N35-O35-P35-Q35-R35-U35-W35-X35-K35</f>
        <v/>
      </c>
      <c r="AF35" s="34">
        <f>AE35-AC35</f>
        <v/>
      </c>
      <c r="AG35" s="35">
        <f>AF35/F35</f>
        <v/>
      </c>
      <c r="AH35" s="36">
        <f>AF35/K35</f>
        <v/>
      </c>
      <c r="AI35" s="28">
        <f>(N35+P35+U35+W35+X35+K35)/(1-(L35+$F$4+(1-G35)*$F$3+$F$8+Y35+AA35))</f>
        <v/>
      </c>
    </row>
    <row r="36" ht="14.25" customHeight="1" s="59" thickBot="1">
      <c r="A36" s="39" t="inlineStr">
        <is>
          <t>JIGOTT - Ultimate Real Collagen Toner [300ml] / тонер с коллагеном антивозрастной</t>
        </is>
      </c>
      <c r="B36" s="44" t="n"/>
      <c r="C36" s="41" t="n"/>
      <c r="D36" s="41" t="n"/>
      <c r="E36" s="41" t="n"/>
      <c r="F36" s="40">
        <f>(1.25*K36+N36+P36+U36+W36+X36)/(1-L36-$F$8-$F$4-(1-G36)*$F$3-Y36-AA36)</f>
        <v/>
      </c>
      <c r="G36" s="22" t="n">
        <v>0.45</v>
      </c>
      <c r="H36" s="45">
        <f>F36*(1-G36)</f>
        <v/>
      </c>
      <c r="I36" s="46" t="n">
        <v>265.36</v>
      </c>
      <c r="J36" s="47">
        <f>$F$5</f>
        <v/>
      </c>
      <c r="K36" s="48">
        <f>I36+J36</f>
        <v/>
      </c>
      <c r="L36" s="49" t="n">
        <v>0.41</v>
      </c>
      <c r="M36" s="50">
        <f>F36*L36</f>
        <v/>
      </c>
      <c r="N36" s="51" t="n">
        <v>67</v>
      </c>
      <c r="O36" s="50">
        <f>F36*$F$8</f>
        <v/>
      </c>
      <c r="P36" s="51" t="n">
        <v>25</v>
      </c>
      <c r="Q36" s="50">
        <f>F36*$F$4</f>
        <v/>
      </c>
      <c r="R36" s="50">
        <f>H36*$F$3</f>
        <v/>
      </c>
      <c r="S36" s="52" t="n">
        <v>0.9</v>
      </c>
      <c r="T36" s="51">
        <f>N36</f>
        <v/>
      </c>
      <c r="U36" s="50">
        <f>T36*(1-S36)</f>
        <v/>
      </c>
      <c r="V36" s="53" t="n">
        <v>0.93</v>
      </c>
      <c r="W36" s="50">
        <f>$F$6*$F$7*V36</f>
        <v/>
      </c>
      <c r="X36" s="48">
        <f>V36*($F$9+$F$10)</f>
        <v/>
      </c>
      <c r="Y36" s="49" t="n">
        <v>0.07000000000000001</v>
      </c>
      <c r="Z36" s="50">
        <f>F36*Y36</f>
        <v/>
      </c>
      <c r="AA36" s="52" t="n">
        <v>0.08</v>
      </c>
      <c r="AB36" s="50">
        <f>F36*AA36</f>
        <v/>
      </c>
      <c r="AC36" s="50">
        <f>Z36+AB36</f>
        <v/>
      </c>
      <c r="AD36" s="54">
        <f>AC36/F36</f>
        <v/>
      </c>
      <c r="AE36" s="33">
        <f>F36-M36-N36-O36-P36-Q36-R36-U36-W36-X36-K36</f>
        <v/>
      </c>
      <c r="AF36" s="34">
        <f>AE36-AC36</f>
        <v/>
      </c>
      <c r="AG36" s="35">
        <f>AF36/F36</f>
        <v/>
      </c>
      <c r="AH36" s="36">
        <f>AF36/K36</f>
        <v/>
      </c>
      <c r="AI36" s="28">
        <f>(N36+P36+U36+W36+X36+K36)/(1-(L36+$F$4+(1-G36)*$F$3+$F$8+Y36+AA36))</f>
        <v/>
      </c>
    </row>
    <row r="37" ht="14.25" customHeight="1" s="59" thickBot="1">
      <c r="A37" s="39" t="inlineStr">
        <is>
          <t>JIGOTT - Daily Real Cica Toner [300ml] / Тонер для лица с центеллой азиатской</t>
        </is>
      </c>
      <c r="B37" s="44" t="n"/>
      <c r="C37" s="41" t="n"/>
      <c r="D37" s="41" t="n"/>
      <c r="E37" s="41" t="n"/>
      <c r="F37" s="40">
        <f>(1.25*K37+N37+P37+U37+W37+X37)/(1-L37-$F$8-$F$4-(1-G37)*$F$3-Y37-AA37)</f>
        <v/>
      </c>
      <c r="G37" s="22" t="n">
        <v>0.45</v>
      </c>
      <c r="H37" s="45">
        <f>F37*(1-G37)</f>
        <v/>
      </c>
      <c r="I37" s="46" t="n">
        <v>265.36</v>
      </c>
      <c r="J37" s="47">
        <f>$F$5</f>
        <v/>
      </c>
      <c r="K37" s="48">
        <f>I37+J37</f>
        <v/>
      </c>
      <c r="L37" s="49" t="n">
        <v>0.41</v>
      </c>
      <c r="M37" s="50">
        <f>F37*L37</f>
        <v/>
      </c>
      <c r="N37" s="51" t="n">
        <v>67</v>
      </c>
      <c r="O37" s="50">
        <f>F37*$F$8</f>
        <v/>
      </c>
      <c r="P37" s="51" t="n">
        <v>25</v>
      </c>
      <c r="Q37" s="50">
        <f>F37*$F$4</f>
        <v/>
      </c>
      <c r="R37" s="50">
        <f>H37*$F$3</f>
        <v/>
      </c>
      <c r="S37" s="52" t="n">
        <v>0.9</v>
      </c>
      <c r="T37" s="51">
        <f>N37</f>
        <v/>
      </c>
      <c r="U37" s="50">
        <f>T37*(1-S37)</f>
        <v/>
      </c>
      <c r="V37" s="53" t="n">
        <v>0.93</v>
      </c>
      <c r="W37" s="50">
        <f>$F$6*$F$7*V37</f>
        <v/>
      </c>
      <c r="X37" s="48">
        <f>V37*($F$9+$F$10)</f>
        <v/>
      </c>
      <c r="Y37" s="49" t="n">
        <v>0.07000000000000001</v>
      </c>
      <c r="Z37" s="50">
        <f>F37*Y37</f>
        <v/>
      </c>
      <c r="AA37" s="52" t="n">
        <v>0.08</v>
      </c>
      <c r="AB37" s="50">
        <f>F37*AA37</f>
        <v/>
      </c>
      <c r="AC37" s="50">
        <f>Z37+AB37</f>
        <v/>
      </c>
      <c r="AD37" s="54">
        <f>AC37/F37</f>
        <v/>
      </c>
      <c r="AE37" s="33">
        <f>F37-M37-N37-O37-P37-Q37-R37-U37-W37-X37-K37</f>
        <v/>
      </c>
      <c r="AF37" s="34">
        <f>AE37-AC37</f>
        <v/>
      </c>
      <c r="AG37" s="35">
        <f>AF37/F37</f>
        <v/>
      </c>
      <c r="AH37" s="36">
        <f>AF37/K37</f>
        <v/>
      </c>
      <c r="AI37" s="28">
        <f>(N37+P37+U37+W37+X37+K37)/(1-(L37+$F$4+(1-G37)*$F$3+$F$8+Y37+AA37))</f>
        <v/>
      </c>
    </row>
    <row r="38" ht="14.25" customHeight="1" s="59" thickBot="1">
      <c r="A38" s="39" t="inlineStr">
        <is>
          <t>JIGOTT - Aura Secret Hyaluronec Acid Toner [300ml] / Тонер с гиалуроновой кислотой антивозрастной</t>
        </is>
      </c>
      <c r="B38" s="44" t="n"/>
      <c r="C38" s="41" t="n"/>
      <c r="D38" s="41" t="n"/>
      <c r="E38" s="41" t="n"/>
      <c r="F38" s="40">
        <f>(1.25*K38+N38+P38+U38+W38+X38)/(1-L38-$F$8-$F$4-(1-G38)*$F$3-Y38-AA38)</f>
        <v/>
      </c>
      <c r="G38" s="22" t="n">
        <v>0.45</v>
      </c>
      <c r="H38" s="45">
        <f>F38*(1-G38)</f>
        <v/>
      </c>
      <c r="I38" s="46" t="n">
        <v>265.36</v>
      </c>
      <c r="J38" s="47">
        <f>$F$5</f>
        <v/>
      </c>
      <c r="K38" s="48">
        <f>I38+J38</f>
        <v/>
      </c>
      <c r="L38" s="49" t="n">
        <v>0.41</v>
      </c>
      <c r="M38" s="50">
        <f>F38*L38</f>
        <v/>
      </c>
      <c r="N38" s="51" t="n">
        <v>67</v>
      </c>
      <c r="O38" s="50">
        <f>F38*$F$8</f>
        <v/>
      </c>
      <c r="P38" s="51" t="n">
        <v>25</v>
      </c>
      <c r="Q38" s="50">
        <f>F38*$F$4</f>
        <v/>
      </c>
      <c r="R38" s="50">
        <f>H38*$F$3</f>
        <v/>
      </c>
      <c r="S38" s="52" t="n">
        <v>0.9</v>
      </c>
      <c r="T38" s="51">
        <f>N38</f>
        <v/>
      </c>
      <c r="U38" s="50">
        <f>T38*(1-S38)</f>
        <v/>
      </c>
      <c r="V38" s="53" t="n">
        <v>0.93</v>
      </c>
      <c r="W38" s="50">
        <f>$F$6*$F$7*V38</f>
        <v/>
      </c>
      <c r="X38" s="48">
        <f>V38*($F$9+$F$10)</f>
        <v/>
      </c>
      <c r="Y38" s="49" t="n">
        <v>0.07000000000000001</v>
      </c>
      <c r="Z38" s="50">
        <f>F38*Y38</f>
        <v/>
      </c>
      <c r="AA38" s="52" t="n">
        <v>0.08</v>
      </c>
      <c r="AB38" s="50">
        <f>F38*AA38</f>
        <v/>
      </c>
      <c r="AC38" s="50">
        <f>Z38+AB38</f>
        <v/>
      </c>
      <c r="AD38" s="54">
        <f>AC38/F38</f>
        <v/>
      </c>
      <c r="AE38" s="33">
        <f>F38-M38-N38-O38-P38-Q38-R38-U38-W38-X38-K38</f>
        <v/>
      </c>
      <c r="AF38" s="34">
        <f>AE38-AC38</f>
        <v/>
      </c>
      <c r="AG38" s="35">
        <f>AF38/F38</f>
        <v/>
      </c>
      <c r="AH38" s="36">
        <f>AF38/K38</f>
        <v/>
      </c>
      <c r="AI38" s="28">
        <f>(N38+P38+U38+W38+X38+K38)/(1-(L38+$F$4+(1-G38)*$F$3+$F$8+Y38+AA38))</f>
        <v/>
      </c>
    </row>
    <row r="39" ht="14.25" customHeight="1" s="59" thickBot="1">
      <c r="A39" s="39" t="inlineStr">
        <is>
          <t>JIGOTT - Moisture Real Aloe Vera Toner [300ml] / Тонер для лица увлажняющий с экстрактом алоэ</t>
        </is>
      </c>
      <c r="B39" s="44" t="n"/>
      <c r="C39" s="41" t="n"/>
      <c r="D39" s="41" t="n"/>
      <c r="E39" s="41" t="n"/>
      <c r="F39" s="40">
        <f>(1.25*K39+N39+P39+U39+W39+X39)/(1-L39-$F$8-$F$4-(1-G39)*$F$3-Y39-AA39)</f>
        <v/>
      </c>
      <c r="G39" s="22" t="n">
        <v>0.45</v>
      </c>
      <c r="H39" s="45">
        <f>F39*(1-G39)</f>
        <v/>
      </c>
      <c r="I39" s="46" t="n">
        <v>265.36</v>
      </c>
      <c r="J39" s="47">
        <f>$F$5</f>
        <v/>
      </c>
      <c r="K39" s="48">
        <f>I39+J39</f>
        <v/>
      </c>
      <c r="L39" s="49" t="n">
        <v>0.41</v>
      </c>
      <c r="M39" s="50">
        <f>F39*L39</f>
        <v/>
      </c>
      <c r="N39" s="51" t="n">
        <v>67</v>
      </c>
      <c r="O39" s="50">
        <f>F39*$F$8</f>
        <v/>
      </c>
      <c r="P39" s="51" t="n">
        <v>25</v>
      </c>
      <c r="Q39" s="50">
        <f>F39*$F$4</f>
        <v/>
      </c>
      <c r="R39" s="50">
        <f>H39*$F$3</f>
        <v/>
      </c>
      <c r="S39" s="52" t="n">
        <v>0.9</v>
      </c>
      <c r="T39" s="51">
        <f>N39</f>
        <v/>
      </c>
      <c r="U39" s="50">
        <f>T39*(1-S39)</f>
        <v/>
      </c>
      <c r="V39" s="53" t="n">
        <v>0.93</v>
      </c>
      <c r="W39" s="50">
        <f>$F$6*$F$7*V39</f>
        <v/>
      </c>
      <c r="X39" s="48">
        <f>V39*($F$9+$F$10)</f>
        <v/>
      </c>
      <c r="Y39" s="49" t="n">
        <v>0.07000000000000001</v>
      </c>
      <c r="Z39" s="50">
        <f>F39*Y39</f>
        <v/>
      </c>
      <c r="AA39" s="52" t="n">
        <v>0.08</v>
      </c>
      <c r="AB39" s="50">
        <f>F39*AA39</f>
        <v/>
      </c>
      <c r="AC39" s="50">
        <f>Z39+AB39</f>
        <v/>
      </c>
      <c r="AD39" s="54">
        <f>AC39/F39</f>
        <v/>
      </c>
      <c r="AE39" s="33">
        <f>F39-M39-N39-O39-P39-Q39-R39-U39-W39-X39-K39</f>
        <v/>
      </c>
      <c r="AF39" s="34">
        <f>AE39-AC39</f>
        <v/>
      </c>
      <c r="AG39" s="35">
        <f>AF39/F39</f>
        <v/>
      </c>
      <c r="AH39" s="36">
        <f>AF39/K39</f>
        <v/>
      </c>
      <c r="AI39" s="28">
        <f>(N39+P39+U39+W39+X39+K39)/(1-(L39+$F$4+(1-G39)*$F$3+$F$8+Y39+AA39))</f>
        <v/>
      </c>
    </row>
    <row r="40" ht="14.25" customHeight="1" s="59" thickBot="1">
      <c r="A40" s="64" t="n"/>
      <c r="B40" s="61" t="n"/>
      <c r="C40" s="61" t="n"/>
      <c r="D40" s="61" t="n"/>
      <c r="E40" s="61" t="n"/>
      <c r="F40" s="61" t="n"/>
      <c r="G40" s="61" t="n"/>
      <c r="H40" s="61" t="n"/>
      <c r="I40" s="65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77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  <c r="AH40" s="61" t="n"/>
      <c r="AI40" s="61" t="n"/>
    </row>
    <row r="41" ht="14.25" customHeight="1" s="59" thickBot="1">
      <c r="A41" s="39" t="inlineStr">
        <is>
          <t>PETITFEE - Black Pearl &amp; Gold Hydrogel Eye Patch [60ea] / Гидрогелевые патчи для глаз с черным жемчугом и золотом</t>
        </is>
      </c>
      <c r="B41" s="44" t="n"/>
      <c r="C41" s="41" t="n"/>
      <c r="D41" s="41" t="n"/>
      <c r="E41" s="41" t="n"/>
      <c r="F41" s="40">
        <f>(1.25*K41+N41+P41+U41+W41+X41)/(1-L41-$F$8-$F$4-(1-G41)*$F$3-Y41-AA41)</f>
        <v/>
      </c>
      <c r="G41" s="22" t="n">
        <v>0.45</v>
      </c>
      <c r="H41" s="45">
        <f>F41*(1-G41)</f>
        <v/>
      </c>
      <c r="I41" s="46" t="n">
        <v>387.67</v>
      </c>
      <c r="J41" s="47">
        <f>$F$5</f>
        <v/>
      </c>
      <c r="K41" s="48">
        <f>I41+J41</f>
        <v/>
      </c>
      <c r="L41" s="49" t="n">
        <v>0.41</v>
      </c>
      <c r="M41" s="50">
        <f>F41*L41</f>
        <v/>
      </c>
      <c r="N41" s="51" t="n">
        <v>67</v>
      </c>
      <c r="O41" s="50">
        <f>F41*$F$8</f>
        <v/>
      </c>
      <c r="P41" s="51" t="n">
        <v>25</v>
      </c>
      <c r="Q41" s="50">
        <f>F41*$F$4</f>
        <v/>
      </c>
      <c r="R41" s="50">
        <f>H41*$F$3</f>
        <v/>
      </c>
      <c r="S41" s="52" t="n">
        <v>0.9</v>
      </c>
      <c r="T41" s="51">
        <f>N41</f>
        <v/>
      </c>
      <c r="U41" s="50">
        <f>T41*(1-S41)</f>
        <v/>
      </c>
      <c r="V41" s="53" t="n">
        <v>0.6</v>
      </c>
      <c r="W41" s="50">
        <f>$F$6*$F$7*V41</f>
        <v/>
      </c>
      <c r="X41" s="48">
        <f>V41*($F$9+$F$10)</f>
        <v/>
      </c>
      <c r="Y41" s="49" t="n">
        <v>0.07000000000000001</v>
      </c>
      <c r="Z41" s="50">
        <f>F41*Y41</f>
        <v/>
      </c>
      <c r="AA41" s="52" t="n">
        <v>0.08</v>
      </c>
      <c r="AB41" s="50">
        <f>F41*AA41</f>
        <v/>
      </c>
      <c r="AC41" s="50">
        <f>Z41+AB41</f>
        <v/>
      </c>
      <c r="AD41" s="54">
        <f>AC41/F41</f>
        <v/>
      </c>
      <c r="AE41" s="33">
        <f>F41-M41-N41-O41-P41-Q41-R41-U41-W41-X41-K41</f>
        <v/>
      </c>
      <c r="AF41" s="34">
        <f>AE41-AC41</f>
        <v/>
      </c>
      <c r="AG41" s="35">
        <f>AF41/F41</f>
        <v/>
      </c>
      <c r="AH41" s="36">
        <f>AF41/K41</f>
        <v/>
      </c>
      <c r="AI41" s="28">
        <f>(N41+P41+U41+W41+X41+K41)/(1-(L41+$F$4+(1-G41)*$F$3+$F$8+Y41+AA41))</f>
        <v/>
      </c>
    </row>
    <row r="42" ht="14.25" customHeight="1" s="59" thickBot="1">
      <c r="A42" s="39" t="inlineStr">
        <is>
          <t>PETITFEE - Agave Cooling Hydrogel Eye Patch [60ea] / Охлаждающие гидрогелевые патчи для глаз с экстрактом агавы</t>
        </is>
      </c>
      <c r="B42" s="44" t="n"/>
      <c r="C42" s="41" t="n"/>
      <c r="D42" s="41" t="n"/>
      <c r="E42" s="41" t="n"/>
      <c r="F42" s="40">
        <f>(1.25*K42+N42+P42+U42+W42+X42)/(1-L42-$F$8-$F$4-(1-G42)*$F$3-Y42-AA42)</f>
        <v/>
      </c>
      <c r="G42" s="22" t="n">
        <v>0.45</v>
      </c>
      <c r="H42" s="45">
        <f>F42*(1-G42)</f>
        <v/>
      </c>
      <c r="I42" s="46" t="n">
        <v>415.46</v>
      </c>
      <c r="J42" s="47">
        <f>$F$5</f>
        <v/>
      </c>
      <c r="K42" s="48">
        <f>I42+J42</f>
        <v/>
      </c>
      <c r="L42" s="49" t="n">
        <v>0.41</v>
      </c>
      <c r="M42" s="50">
        <f>F42*L42</f>
        <v/>
      </c>
      <c r="N42" s="51" t="n">
        <v>67</v>
      </c>
      <c r="O42" s="50">
        <f>F42*$F$8</f>
        <v/>
      </c>
      <c r="P42" s="51" t="n">
        <v>25</v>
      </c>
      <c r="Q42" s="50">
        <f>F42*$F$4</f>
        <v/>
      </c>
      <c r="R42" s="50">
        <f>H42*$F$3</f>
        <v/>
      </c>
      <c r="S42" s="52" t="n">
        <v>0.9</v>
      </c>
      <c r="T42" s="51">
        <f>N42</f>
        <v/>
      </c>
      <c r="U42" s="50">
        <f>T42*(1-S42)</f>
        <v/>
      </c>
      <c r="V42" s="53" t="n">
        <v>0.6</v>
      </c>
      <c r="W42" s="50">
        <f>$F$6*$F$7*V42</f>
        <v/>
      </c>
      <c r="X42" s="48">
        <f>V42*($F$9+$F$10)</f>
        <v/>
      </c>
      <c r="Y42" s="49" t="n">
        <v>0.07000000000000001</v>
      </c>
      <c r="Z42" s="50">
        <f>F42*Y42</f>
        <v/>
      </c>
      <c r="AA42" s="52" t="n">
        <v>0.08</v>
      </c>
      <c r="AB42" s="50">
        <f>F42*AA42</f>
        <v/>
      </c>
      <c r="AC42" s="50">
        <f>Z42+AB42</f>
        <v/>
      </c>
      <c r="AD42" s="54">
        <f>AC42/F42</f>
        <v/>
      </c>
      <c r="AE42" s="33">
        <f>F42-M42-N42-O42-P42-Q42-R42-U42-W42-X42-K42</f>
        <v/>
      </c>
      <c r="AF42" s="34">
        <f>AE42-AC42</f>
        <v/>
      </c>
      <c r="AG42" s="35">
        <f>AF42/F42</f>
        <v/>
      </c>
      <c r="AH42" s="36">
        <f>AF42/K42</f>
        <v/>
      </c>
      <c r="AI42" s="28">
        <f>(N42+P42+U42+W42+X42+K42)/(1-(L42+$F$4+(1-G42)*$F$3+$F$8+Y42+AA42))</f>
        <v/>
      </c>
    </row>
    <row r="43" ht="14.25" customHeight="1" s="59" thickBot="1">
      <c r="A43" s="39" t="inlineStr">
        <is>
          <t>PETITFEE - Gold &amp; Snail Hydrogel Eye Patch [60ea] / Гидрогелевые патчи для глаз с золотом и улиткой</t>
        </is>
      </c>
      <c r="B43" s="44" t="n"/>
      <c r="C43" s="41" t="n"/>
      <c r="D43" s="41" t="n"/>
      <c r="E43" s="41" t="n"/>
      <c r="F43" s="40">
        <f>(1.25*K43+N43+P43+U43+W43+X43)/(1-L43-$F$8-$F$4-(1-G43)*$F$3-Y43-AA43)</f>
        <v/>
      </c>
      <c r="G43" s="22" t="n">
        <v>0.45</v>
      </c>
      <c r="H43" s="45">
        <f>F43*(1-G43)</f>
        <v/>
      </c>
      <c r="I43" s="46" t="n">
        <v>415.46</v>
      </c>
      <c r="J43" s="47">
        <f>$F$5</f>
        <v/>
      </c>
      <c r="K43" s="48">
        <f>I43+J43</f>
        <v/>
      </c>
      <c r="L43" s="49" t="n">
        <v>0.41</v>
      </c>
      <c r="M43" s="50">
        <f>F43*L43</f>
        <v/>
      </c>
      <c r="N43" s="51" t="n">
        <v>67</v>
      </c>
      <c r="O43" s="50">
        <f>F43*$F$8</f>
        <v/>
      </c>
      <c r="P43" s="51" t="n">
        <v>25</v>
      </c>
      <c r="Q43" s="50">
        <f>F43*$F$4</f>
        <v/>
      </c>
      <c r="R43" s="50">
        <f>H43*$F$3</f>
        <v/>
      </c>
      <c r="S43" s="52" t="n">
        <v>0.9</v>
      </c>
      <c r="T43" s="51">
        <f>N43</f>
        <v/>
      </c>
      <c r="U43" s="50">
        <f>T43*(1-S43)</f>
        <v/>
      </c>
      <c r="V43" s="53" t="n">
        <v>0.6</v>
      </c>
      <c r="W43" s="50">
        <f>$F$6*$F$7*V43</f>
        <v/>
      </c>
      <c r="X43" s="48">
        <f>V43*($F$9+$F$10)</f>
        <v/>
      </c>
      <c r="Y43" s="49" t="n">
        <v>0.07000000000000001</v>
      </c>
      <c r="Z43" s="50">
        <f>F43*Y43</f>
        <v/>
      </c>
      <c r="AA43" s="52" t="n">
        <v>0.08</v>
      </c>
      <c r="AB43" s="50">
        <f>F43*AA43</f>
        <v/>
      </c>
      <c r="AC43" s="50">
        <f>Z43+AB43</f>
        <v/>
      </c>
      <c r="AD43" s="54">
        <f>AC43/F43</f>
        <v/>
      </c>
      <c r="AE43" s="33">
        <f>F43-M43-N43-O43-P43-Q43-R43-U43-W43-X43-K43</f>
        <v/>
      </c>
      <c r="AF43" s="34">
        <f>AE43-AC43</f>
        <v/>
      </c>
      <c r="AG43" s="35">
        <f>AF43/F43</f>
        <v/>
      </c>
      <c r="AH43" s="36">
        <f>AF43/K43</f>
        <v/>
      </c>
      <c r="AI43" s="28">
        <f>(N43+P43+U43+W43+X43+K43)/(1-(L43+$F$4+(1-G43)*$F$3+$F$8+Y43+AA43))</f>
        <v/>
      </c>
    </row>
    <row r="44" ht="14.25" customHeight="1" s="59" thickBot="1">
      <c r="A44" s="39" t="inlineStr">
        <is>
          <t>PETITFEE - Gold Hydrogel Eye Patch [60ea] / гидрогелевые патчи для глаз с золотом</t>
        </is>
      </c>
      <c r="B44" s="44" t="n"/>
      <c r="C44" s="41" t="n"/>
      <c r="D44" s="41" t="n"/>
      <c r="E44" s="41" t="n"/>
      <c r="F44" s="40">
        <f>(1.25*K44+N44+P44+U44+W44+X44)/(1-L44-$F$8-$F$4-(1-G44)*$F$3-Y44-AA44)</f>
        <v/>
      </c>
      <c r="G44" s="22" t="n">
        <v>0.45</v>
      </c>
      <c r="H44" s="45">
        <f>F44*(1-G44)</f>
        <v/>
      </c>
      <c r="I44" s="46" t="n">
        <v>415.46</v>
      </c>
      <c r="J44" s="47">
        <f>$F$5</f>
        <v/>
      </c>
      <c r="K44" s="48">
        <f>I44+J44</f>
        <v/>
      </c>
      <c r="L44" s="49" t="n">
        <v>0.41</v>
      </c>
      <c r="M44" s="50">
        <f>F44*L44</f>
        <v/>
      </c>
      <c r="N44" s="51" t="n">
        <v>67</v>
      </c>
      <c r="O44" s="50">
        <f>F44*$F$8</f>
        <v/>
      </c>
      <c r="P44" s="51" t="n">
        <v>25</v>
      </c>
      <c r="Q44" s="50">
        <f>F44*$F$4</f>
        <v/>
      </c>
      <c r="R44" s="50">
        <f>H44*$F$3</f>
        <v/>
      </c>
      <c r="S44" s="52" t="n">
        <v>0.9</v>
      </c>
      <c r="T44" s="51">
        <f>N44</f>
        <v/>
      </c>
      <c r="U44" s="50">
        <f>T44*(1-S44)</f>
        <v/>
      </c>
      <c r="V44" s="53" t="n">
        <v>0.6</v>
      </c>
      <c r="W44" s="50">
        <f>$F$6*$F$7*V44</f>
        <v/>
      </c>
      <c r="X44" s="48">
        <f>V44*($F$9+$F$10)</f>
        <v/>
      </c>
      <c r="Y44" s="49" t="n">
        <v>0.07000000000000001</v>
      </c>
      <c r="Z44" s="50">
        <f>F44*Y44</f>
        <v/>
      </c>
      <c r="AA44" s="52" t="n">
        <v>0.08</v>
      </c>
      <c r="AB44" s="50">
        <f>F44*AA44</f>
        <v/>
      </c>
      <c r="AC44" s="50">
        <f>Z44+AB44</f>
        <v/>
      </c>
      <c r="AD44" s="54">
        <f>AC44/F44</f>
        <v/>
      </c>
      <c r="AE44" s="33">
        <f>F44-M44-N44-O44-P44-Q44-R44-U44-W44-X44-K44</f>
        <v/>
      </c>
      <c r="AF44" s="34">
        <f>AE44-AC44</f>
        <v/>
      </c>
      <c r="AG44" s="35">
        <f>AF44/F44</f>
        <v/>
      </c>
      <c r="AH44" s="36">
        <f>AF44/K44</f>
        <v/>
      </c>
      <c r="AI44" s="28">
        <f>(N44+P44+U44+W44+X44+K44)/(1-(L44+$F$4+(1-G44)*$F$3+$F$8+Y44+AA44))</f>
        <v/>
      </c>
    </row>
    <row r="45" ht="14.25" customHeight="1" s="59" thickBot="1">
      <c r="A45" s="64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77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  <c r="AH45" s="61" t="n"/>
      <c r="AI45" s="61" t="n"/>
    </row>
    <row r="46" ht="14.25" customHeight="1" s="59" thickBot="1">
      <c r="A46" s="39" t="inlineStr">
        <is>
          <t>PETITFEE - Agave Cooling Hydrogel Face Mask [5pcs] / Охлаждающая гидрогелевая маска для лица с экстрактом агавы</t>
        </is>
      </c>
      <c r="B46" s="44" t="n"/>
      <c r="C46" s="41" t="n"/>
      <c r="D46" s="41" t="n"/>
      <c r="E46" s="41" t="n"/>
      <c r="F46" s="40">
        <f>(1.25*K46+N46+P46+U46+W46+X46)/(1-L46-$F$8-$F$4-(1-G46)*$F$3-Y46-AA46)</f>
        <v/>
      </c>
      <c r="G46" s="22" t="n">
        <v>0.45</v>
      </c>
      <c r="H46" s="45">
        <f>F46*(1-G46)</f>
        <v/>
      </c>
      <c r="I46" s="46" t="n">
        <v>486.41</v>
      </c>
      <c r="J46" s="47">
        <f>$F$5</f>
        <v/>
      </c>
      <c r="K46" s="48">
        <f>I46+J46</f>
        <v/>
      </c>
      <c r="L46" s="49" t="n">
        <v>0.41</v>
      </c>
      <c r="M46" s="50">
        <f>F46*L46</f>
        <v/>
      </c>
      <c r="N46" s="51" t="n">
        <v>72</v>
      </c>
      <c r="O46" s="50">
        <f>F46*$F$8</f>
        <v/>
      </c>
      <c r="P46" s="51" t="n">
        <v>25</v>
      </c>
      <c r="Q46" s="50">
        <f>F46*$F$4</f>
        <v/>
      </c>
      <c r="R46" s="50">
        <f>H46*$F$3</f>
        <v/>
      </c>
      <c r="S46" s="52" t="n">
        <v>0.9</v>
      </c>
      <c r="T46" s="51">
        <f>N46</f>
        <v/>
      </c>
      <c r="U46" s="50">
        <f>T46*(1-S46)</f>
        <v/>
      </c>
      <c r="V46" s="53" t="n">
        <v>1.1</v>
      </c>
      <c r="W46" s="50">
        <f>$F$6*$F$7*V46</f>
        <v/>
      </c>
      <c r="X46" s="48">
        <f>V46*($F$9+$F$10)</f>
        <v/>
      </c>
      <c r="Y46" s="49" t="n">
        <v>0.07000000000000001</v>
      </c>
      <c r="Z46" s="50">
        <f>F46*Y46</f>
        <v/>
      </c>
      <c r="AA46" s="52" t="n">
        <v>0.08</v>
      </c>
      <c r="AB46" s="50">
        <f>F46*AA46</f>
        <v/>
      </c>
      <c r="AC46" s="50">
        <f>Z46+AB46</f>
        <v/>
      </c>
      <c r="AD46" s="54">
        <f>AC46/F46</f>
        <v/>
      </c>
      <c r="AE46" s="33">
        <f>F46-M46-N46-O46-P46-Q46-R46-U46-W46-X46-K46</f>
        <v/>
      </c>
      <c r="AF46" s="34">
        <f>AE46-AC46</f>
        <v/>
      </c>
      <c r="AG46" s="35">
        <f>AF46/F46</f>
        <v/>
      </c>
      <c r="AH46" s="36">
        <f>AF46/K46</f>
        <v/>
      </c>
      <c r="AI46" s="28">
        <f>(N46+P46+U46+W46+X46+K46)/(1-(L46+$F$4+(1-G46)*$F$3+$F$8+Y46+AA46))</f>
        <v/>
      </c>
    </row>
    <row r="47" ht="14.25" customHeight="1" s="59" thickBot="1">
      <c r="A47" s="39" t="inlineStr">
        <is>
          <t>PETITFEE - Gold Hydrogel Mask Pack [5pcs] / Гидрогелевая маска для лица с золотом</t>
        </is>
      </c>
      <c r="B47" s="44" t="n"/>
      <c r="C47" s="41" t="n"/>
      <c r="D47" s="41" t="n"/>
      <c r="E47" s="41" t="n"/>
      <c r="F47" s="40">
        <f>(1.25*K47+N47+P47+U47+W47+X47)/(1-L47-$F$8-$F$4-(1-G47)*$F$3-Y47-AA47)</f>
        <v/>
      </c>
      <c r="G47" s="22" t="n">
        <v>0.45</v>
      </c>
      <c r="H47" s="45">
        <f>F47*(1-G47)</f>
        <v/>
      </c>
      <c r="I47" s="46" t="n">
        <v>507.16</v>
      </c>
      <c r="J47" s="47">
        <f>$F$5</f>
        <v/>
      </c>
      <c r="K47" s="48">
        <f>I47+J47</f>
        <v/>
      </c>
      <c r="L47" s="49" t="n">
        <v>0.41</v>
      </c>
      <c r="M47" s="50">
        <f>F47*L47</f>
        <v/>
      </c>
      <c r="N47" s="51" t="n">
        <v>72</v>
      </c>
      <c r="O47" s="50">
        <f>F47*$F$8</f>
        <v/>
      </c>
      <c r="P47" s="51" t="n">
        <v>25</v>
      </c>
      <c r="Q47" s="50">
        <f>F47*$F$4</f>
        <v/>
      </c>
      <c r="R47" s="50">
        <f>H47*$F$3</f>
        <v/>
      </c>
      <c r="S47" s="52" t="n">
        <v>0.9</v>
      </c>
      <c r="T47" s="51">
        <f>N47</f>
        <v/>
      </c>
      <c r="U47" s="50">
        <f>T47*(1-S47)</f>
        <v/>
      </c>
      <c r="V47" s="53" t="n">
        <v>1.1</v>
      </c>
      <c r="W47" s="50">
        <f>$F$6*$F$7*V47</f>
        <v/>
      </c>
      <c r="X47" s="48">
        <f>V47*($F$9+$F$10)</f>
        <v/>
      </c>
      <c r="Y47" s="49" t="n">
        <v>0.07000000000000001</v>
      </c>
      <c r="Z47" s="50">
        <f>F47*Y47</f>
        <v/>
      </c>
      <c r="AA47" s="52" t="n">
        <v>0.08</v>
      </c>
      <c r="AB47" s="50">
        <f>F47*AA47</f>
        <v/>
      </c>
      <c r="AC47" s="50">
        <f>Z47+AB47</f>
        <v/>
      </c>
      <c r="AD47" s="54">
        <f>AC47/F47</f>
        <v/>
      </c>
      <c r="AE47" s="33">
        <f>F47-M47-N47-O47-P47-Q47-R47-U47-W47-X47-K47</f>
        <v/>
      </c>
      <c r="AF47" s="34">
        <f>AE47-AC47</f>
        <v/>
      </c>
      <c r="AG47" s="35">
        <f>AF47/F47</f>
        <v/>
      </c>
      <c r="AH47" s="36">
        <f>AF47/K47</f>
        <v/>
      </c>
      <c r="AI47" s="28">
        <f>(N47+P47+U47+W47+X47+K47)/(1-(L47+$F$4+(1-G47)*$F$3+$F$8+Y47+AA47))</f>
        <v/>
      </c>
    </row>
    <row r="48" ht="14.25" customHeight="1" s="59" thickBot="1">
      <c r="A48" s="39" t="inlineStr">
        <is>
          <t>PETITFEE - Cacao Energizing Hydrogel Mask Pack [5pcs] / Тонизирующая гидрогелевая маска для лица с экстрактом какао</t>
        </is>
      </c>
      <c r="B48" s="44" t="n"/>
      <c r="C48" s="41" t="n"/>
      <c r="D48" s="41" t="n"/>
      <c r="E48" s="41" t="n"/>
      <c r="F48" s="40">
        <f>(1.25*K48+N48+P48+U48+W48+X48)/(1-L48-$F$8-$F$4-(1-G48)*$F$3-Y48-AA48)</f>
        <v/>
      </c>
      <c r="G48" s="22" t="n">
        <v>0.45</v>
      </c>
      <c r="H48" s="45">
        <f>F48*(1-G48)</f>
        <v/>
      </c>
      <c r="I48" s="46" t="n">
        <v>496.86</v>
      </c>
      <c r="J48" s="47">
        <f>$F$5</f>
        <v/>
      </c>
      <c r="K48" s="48">
        <f>I48+J48</f>
        <v/>
      </c>
      <c r="L48" s="49" t="n">
        <v>0.41</v>
      </c>
      <c r="M48" s="50">
        <f>F48*L48</f>
        <v/>
      </c>
      <c r="N48" s="51" t="n">
        <v>72</v>
      </c>
      <c r="O48" s="50">
        <f>F48*$F$8</f>
        <v/>
      </c>
      <c r="P48" s="51" t="n">
        <v>25</v>
      </c>
      <c r="Q48" s="50">
        <f>F48*$F$4</f>
        <v/>
      </c>
      <c r="R48" s="50">
        <f>H48*$F$3</f>
        <v/>
      </c>
      <c r="S48" s="52" t="n">
        <v>0.9</v>
      </c>
      <c r="T48" s="51">
        <f>N48</f>
        <v/>
      </c>
      <c r="U48" s="50">
        <f>T48*(1-S48)</f>
        <v/>
      </c>
      <c r="V48" s="53" t="n">
        <v>1.1</v>
      </c>
      <c r="W48" s="50">
        <f>$F$6*$F$7*V48</f>
        <v/>
      </c>
      <c r="X48" s="48">
        <f>V48*($F$9+$F$10)</f>
        <v/>
      </c>
      <c r="Y48" s="49" t="n">
        <v>0.07000000000000001</v>
      </c>
      <c r="Z48" s="50">
        <f>F48*Y48</f>
        <v/>
      </c>
      <c r="AA48" s="52" t="n">
        <v>0.08</v>
      </c>
      <c r="AB48" s="50">
        <f>F48*AA48</f>
        <v/>
      </c>
      <c r="AC48" s="50">
        <f>Z48+AB48</f>
        <v/>
      </c>
      <c r="AD48" s="54">
        <f>AC48/F48</f>
        <v/>
      </c>
      <c r="AE48" s="33">
        <f>F48-M48-N48-O48-P48-Q48-R48-U48-W48-X48-K48</f>
        <v/>
      </c>
      <c r="AF48" s="34">
        <f>AE48-AC48</f>
        <v/>
      </c>
      <c r="AG48" s="35">
        <f>AF48/F48</f>
        <v/>
      </c>
      <c r="AH48" s="36">
        <f>AF48/K48</f>
        <v/>
      </c>
      <c r="AI48" s="28">
        <f>(N48+P48+U48+W48+X48+K48)/(1-(L48+$F$4+(1-G48)*$F$3+$F$8+Y48+AA48))</f>
        <v/>
      </c>
    </row>
    <row r="49" ht="14.25" customHeight="1" s="59" thickBot="1">
      <c r="A49" s="39" t="inlineStr">
        <is>
          <t>PETITFEE - Artichoke Soothing Hydrogel Face Mask [5pcs] / Смягчающая гидрогелевая маска для лица с экстрактом артишока</t>
        </is>
      </c>
      <c r="B49" s="44" t="n"/>
      <c r="C49" s="41" t="n"/>
      <c r="D49" s="41" t="n"/>
      <c r="E49" s="41" t="n"/>
      <c r="F49" s="40">
        <f>(1.25*K49+N49+P49+U49+W49+X49)/(1-L49-$F$8-$F$4-(1-G49)*$F$3-Y49-AA49)</f>
        <v/>
      </c>
      <c r="G49" s="22" t="n">
        <v>0.45</v>
      </c>
      <c r="H49" s="45">
        <f>F49*(1-G49)</f>
        <v/>
      </c>
      <c r="I49" s="46" t="n">
        <v>498.54</v>
      </c>
      <c r="J49" s="47">
        <f>$F$5</f>
        <v/>
      </c>
      <c r="K49" s="48">
        <f>I49+J49</f>
        <v/>
      </c>
      <c r="L49" s="49" t="n">
        <v>0.41</v>
      </c>
      <c r="M49" s="50">
        <f>F49*L49</f>
        <v/>
      </c>
      <c r="N49" s="51" t="n">
        <v>72</v>
      </c>
      <c r="O49" s="50">
        <f>F49*$F$8</f>
        <v/>
      </c>
      <c r="P49" s="51" t="n">
        <v>25</v>
      </c>
      <c r="Q49" s="50">
        <f>F49*$F$4</f>
        <v/>
      </c>
      <c r="R49" s="50">
        <f>H49*$F$3</f>
        <v/>
      </c>
      <c r="S49" s="52" t="n">
        <v>0.9</v>
      </c>
      <c r="T49" s="51">
        <f>N49</f>
        <v/>
      </c>
      <c r="U49" s="50">
        <f>T49*(1-S49)</f>
        <v/>
      </c>
      <c r="V49" s="53" t="n">
        <v>1.1</v>
      </c>
      <c r="W49" s="50">
        <f>$F$6*$F$7*V49</f>
        <v/>
      </c>
      <c r="X49" s="48">
        <f>V49*($F$9+$F$10)</f>
        <v/>
      </c>
      <c r="Y49" s="49" t="n">
        <v>0.07000000000000001</v>
      </c>
      <c r="Z49" s="50">
        <f>F49*Y49</f>
        <v/>
      </c>
      <c r="AA49" s="52" t="n">
        <v>0.08</v>
      </c>
      <c r="AB49" s="50">
        <f>F49*AA49</f>
        <v/>
      </c>
      <c r="AC49" s="50">
        <f>Z49+AB49</f>
        <v/>
      </c>
      <c r="AD49" s="54">
        <f>AC49/F49</f>
        <v/>
      </c>
      <c r="AE49" s="33">
        <f>F49-M49-N49-O49-P49-Q49-R49-U49-W49-X49-K49</f>
        <v/>
      </c>
      <c r="AF49" s="34">
        <f>AE49-AC49</f>
        <v/>
      </c>
      <c r="AG49" s="35">
        <f>AF49/F49</f>
        <v/>
      </c>
      <c r="AH49" s="36">
        <f>AF49/K49</f>
        <v/>
      </c>
      <c r="AI49" s="28">
        <f>(N49+P49+U49+W49+X49+K49)/(1-(L49+$F$4+(1-G49)*$F$3+$F$8+Y49+AA49))</f>
        <v/>
      </c>
    </row>
    <row r="50" ht="14.25" customHeight="1" s="59" thickBot="1">
      <c r="A50" s="39" t="inlineStr">
        <is>
          <t>PETITFEE - Gold &amp; Snail Hydrogel Mask Pack [5pcs] / Гидрогелевая маска для лица с золотом и экстрактом улитки</t>
        </is>
      </c>
      <c r="B50" s="44" t="n"/>
      <c r="C50" s="41" t="n"/>
      <c r="D50" s="41" t="n"/>
      <c r="E50" s="41" t="n"/>
      <c r="F50" s="40">
        <f>(1.25*K50+N50+P50+U50+W50+X50)/(1-L50-$F$8-$F$4-(1-G50)*$F$3-Y50-AA50)</f>
        <v/>
      </c>
      <c r="G50" s="22" t="n">
        <v>0.45</v>
      </c>
      <c r="H50" s="45">
        <f>F50*(1-G50)</f>
        <v/>
      </c>
      <c r="I50" s="46" t="n">
        <v>478.17</v>
      </c>
      <c r="J50" s="47">
        <f>$F$5</f>
        <v/>
      </c>
      <c r="K50" s="48">
        <f>I50+J50</f>
        <v/>
      </c>
      <c r="L50" s="49" t="n">
        <v>0.41</v>
      </c>
      <c r="M50" s="50">
        <f>F50*L50</f>
        <v/>
      </c>
      <c r="N50" s="51" t="n">
        <v>72</v>
      </c>
      <c r="O50" s="50">
        <f>F50*$F$8</f>
        <v/>
      </c>
      <c r="P50" s="51" t="n">
        <v>25</v>
      </c>
      <c r="Q50" s="50">
        <f>F50*$F$4</f>
        <v/>
      </c>
      <c r="R50" s="50">
        <f>H50*$F$3</f>
        <v/>
      </c>
      <c r="S50" s="52" t="n">
        <v>0.9</v>
      </c>
      <c r="T50" s="51">
        <f>N50</f>
        <v/>
      </c>
      <c r="U50" s="50">
        <f>T50*(1-S50)</f>
        <v/>
      </c>
      <c r="V50" s="53" t="n">
        <v>1.1</v>
      </c>
      <c r="W50" s="50">
        <f>$F$6*$F$7*V50</f>
        <v/>
      </c>
      <c r="X50" s="48">
        <f>V50*($F$9+$F$10)</f>
        <v/>
      </c>
      <c r="Y50" s="49" t="n">
        <v>0.07000000000000001</v>
      </c>
      <c r="Z50" s="50">
        <f>F50*Y50</f>
        <v/>
      </c>
      <c r="AA50" s="52" t="n">
        <v>0.08</v>
      </c>
      <c r="AB50" s="50">
        <f>F50*AA50</f>
        <v/>
      </c>
      <c r="AC50" s="50">
        <f>Z50+AB50</f>
        <v/>
      </c>
      <c r="AD50" s="54">
        <f>AC50/F50</f>
        <v/>
      </c>
      <c r="AE50" s="33">
        <f>F50-M50-N50-O50-P50-Q50-R50-U50-W50-X50-K50</f>
        <v/>
      </c>
      <c r="AF50" s="34">
        <f>AE50-AC50</f>
        <v/>
      </c>
      <c r="AG50" s="35">
        <f>AF50/F50</f>
        <v/>
      </c>
      <c r="AH50" s="36">
        <f>AF50/K50</f>
        <v/>
      </c>
      <c r="AI50" s="28">
        <f>(N50+P50+U50+W50+X50+K50)/(1-(L50+$F$4+(1-G50)*$F$3+$F$8+Y50+AA50))</f>
        <v/>
      </c>
    </row>
    <row r="51" ht="14.25" customHeight="1" s="59" thickBot="1">
      <c r="A51" s="39" t="inlineStr">
        <is>
          <t>PETITFEE - Black Pearl &amp; Gold Hydrogel Mask Pack [5pcs] / Гидрогелевая маска для лица с черным жемчугом и золотом</t>
        </is>
      </c>
      <c r="B51" s="44" t="n"/>
      <c r="C51" s="41" t="n"/>
      <c r="D51" s="41" t="n"/>
      <c r="E51" s="41" t="n"/>
      <c r="F51" s="40">
        <f>(1.25*K51+N51+P51+U51+W51+X51)/(1-L51-$F$8-$F$4-(1-G51)*$F$3-Y51-AA51)</f>
        <v/>
      </c>
      <c r="G51" s="22" t="n">
        <v>0.45</v>
      </c>
      <c r="H51" s="45">
        <f>F51*(1-G51)</f>
        <v/>
      </c>
      <c r="I51" s="46" t="n">
        <v>478.05</v>
      </c>
      <c r="J51" s="47">
        <f>$F$5</f>
        <v/>
      </c>
      <c r="K51" s="48">
        <f>I51+J51</f>
        <v/>
      </c>
      <c r="L51" s="49" t="n">
        <v>0.41</v>
      </c>
      <c r="M51" s="50">
        <f>F51*L51</f>
        <v/>
      </c>
      <c r="N51" s="51" t="n">
        <v>72</v>
      </c>
      <c r="O51" s="50">
        <f>F51*$F$8</f>
        <v/>
      </c>
      <c r="P51" s="51" t="n">
        <v>25</v>
      </c>
      <c r="Q51" s="50">
        <f>F51*$F$4</f>
        <v/>
      </c>
      <c r="R51" s="50">
        <f>H51*$F$3</f>
        <v/>
      </c>
      <c r="S51" s="52" t="n">
        <v>0.9</v>
      </c>
      <c r="T51" s="51">
        <f>N51</f>
        <v/>
      </c>
      <c r="U51" s="50">
        <f>T51*(1-S51)</f>
        <v/>
      </c>
      <c r="V51" s="53" t="n">
        <v>1.1</v>
      </c>
      <c r="W51" s="50">
        <f>$F$6*$F$7*V51</f>
        <v/>
      </c>
      <c r="X51" s="48">
        <f>V51*($F$9+$F$10)</f>
        <v/>
      </c>
      <c r="Y51" s="49" t="n">
        <v>0.07000000000000001</v>
      </c>
      <c r="Z51" s="50">
        <f>F51*Y51</f>
        <v/>
      </c>
      <c r="AA51" s="52" t="n">
        <v>0.08</v>
      </c>
      <c r="AB51" s="50">
        <f>F51*AA51</f>
        <v/>
      </c>
      <c r="AC51" s="50">
        <f>Z51+AB51</f>
        <v/>
      </c>
      <c r="AD51" s="54">
        <f>AC51/F51</f>
        <v/>
      </c>
      <c r="AE51" s="33">
        <f>F51-M51-N51-O51-P51-Q51-R51-U51-W51-X51-K51</f>
        <v/>
      </c>
      <c r="AF51" s="34">
        <f>AE51-AC51</f>
        <v/>
      </c>
      <c r="AG51" s="35">
        <f>AF51/F51</f>
        <v/>
      </c>
      <c r="AH51" s="36">
        <f>AF51/K51</f>
        <v/>
      </c>
      <c r="AI51" s="28">
        <f>(N51+P51+U51+W51+X51+K51)/(1-(L51+$F$4+(1-G51)*$F$3+$F$8+Y51+AA51))</f>
        <v/>
      </c>
    </row>
    <row r="52" ht="14.25" customHeight="1" s="59" thickBot="1">
      <c r="A52" s="65" t="n"/>
      <c r="B52" s="61" t="n"/>
      <c r="C52" s="61" t="n"/>
      <c r="D52" s="61" t="n"/>
      <c r="E52" s="61" t="n"/>
      <c r="F52" s="61" t="n"/>
      <c r="G52" s="61" t="n"/>
      <c r="H52" s="61" t="n"/>
      <c r="I52" s="65" t="n"/>
      <c r="J52" s="61" t="n"/>
      <c r="K52" s="61" t="n"/>
      <c r="L52" s="61" t="n"/>
      <c r="M52" s="61" t="n"/>
      <c r="N52" s="61" t="n"/>
      <c r="O52" s="61" t="n"/>
      <c r="P52" s="61" t="n"/>
      <c r="Q52" s="61" t="n"/>
      <c r="R52" s="61" t="n"/>
      <c r="S52" s="61" t="n"/>
      <c r="T52" s="61" t="n"/>
      <c r="U52" s="61" t="n"/>
      <c r="V52" s="61" t="n"/>
      <c r="W52" s="61" t="n"/>
      <c r="X52" s="61" t="n"/>
      <c r="Y52" s="61" t="n"/>
      <c r="Z52" s="61" t="n"/>
      <c r="AA52" s="61" t="n"/>
      <c r="AB52" s="61" t="n"/>
      <c r="AC52" s="61" t="n"/>
      <c r="AD52" s="61" t="n"/>
      <c r="AE52" s="61" t="n"/>
      <c r="AF52" s="61" t="n"/>
      <c r="AG52" s="61" t="n"/>
      <c r="AH52" s="61" t="n"/>
      <c r="AI52" s="61" t="n"/>
    </row>
    <row r="53" ht="14.25" customHeight="1" s="59" thickBot="1">
      <c r="A53" s="39" t="inlineStr">
        <is>
          <t>DEOPROCE SHAMPOO - BLACK GARLIC INTENSME ENERGY [200ml]/ Шампунь с черным чесноком против выпадения волос</t>
        </is>
      </c>
      <c r="B53" s="44" t="n"/>
      <c r="C53" s="41" t="n"/>
      <c r="D53" s="41" t="n"/>
      <c r="E53" s="41" t="n"/>
      <c r="F53" s="40">
        <f>(1.25*K53+N53+P53+U53+W53+X53)/(1-L53-$F$8-$F$4-(1-G53)*$F$3-Y53-AA53)</f>
        <v/>
      </c>
      <c r="G53" s="22" t="n">
        <v>0.45</v>
      </c>
      <c r="H53" s="45">
        <f>F53*(1-G53)</f>
        <v/>
      </c>
      <c r="I53" s="46" t="n">
        <v>151.13</v>
      </c>
      <c r="J53" s="47">
        <f>$F$5</f>
        <v/>
      </c>
      <c r="K53" s="48">
        <f>I53+J53</f>
        <v/>
      </c>
      <c r="L53" s="49" t="n">
        <v>0.41</v>
      </c>
      <c r="M53" s="50">
        <f>F53*L53</f>
        <v/>
      </c>
      <c r="N53" s="51" t="n">
        <v>67</v>
      </c>
      <c r="O53" s="50">
        <f>F53*$F$8</f>
        <v/>
      </c>
      <c r="P53" s="51" t="n">
        <v>25</v>
      </c>
      <c r="Q53" s="50">
        <f>F53*$F$4</f>
        <v/>
      </c>
      <c r="R53" s="50">
        <f>H53*$F$3</f>
        <v/>
      </c>
      <c r="S53" s="52" t="n">
        <v>0.9</v>
      </c>
      <c r="T53" s="51">
        <f>N53</f>
        <v/>
      </c>
      <c r="U53" s="50">
        <f>T53*(1-S53)</f>
        <v/>
      </c>
      <c r="V53" s="53" t="n">
        <v>0.68</v>
      </c>
      <c r="W53" s="50">
        <f>$F$6*$F$7*V53</f>
        <v/>
      </c>
      <c r="X53" s="48">
        <f>V53*($F$9+$F$10)</f>
        <v/>
      </c>
      <c r="Y53" s="49" t="n">
        <v>0.07000000000000001</v>
      </c>
      <c r="Z53" s="50">
        <f>F53*Y53</f>
        <v/>
      </c>
      <c r="AA53" s="52" t="n">
        <v>0.08</v>
      </c>
      <c r="AB53" s="50">
        <f>F53*AA53</f>
        <v/>
      </c>
      <c r="AC53" s="50">
        <f>Z53+AB53</f>
        <v/>
      </c>
      <c r="AD53" s="54">
        <f>AC53/F53</f>
        <v/>
      </c>
      <c r="AE53" s="33">
        <f>F53-M53-N53-O53-P53-Q53-R53-U53-W53-X53-K53</f>
        <v/>
      </c>
      <c r="AF53" s="34">
        <f>AE53-AC53</f>
        <v/>
      </c>
      <c r="AG53" s="35">
        <f>AF53/F53</f>
        <v/>
      </c>
      <c r="AH53" s="36">
        <f>AF53/K53</f>
        <v/>
      </c>
      <c r="AI53" s="28">
        <f>(N53+P53+U53+W53+X53+K53)/(1-(L53+$F$4+(1-G53)*$F$3+$F$8+Y53+AA53))</f>
        <v/>
      </c>
    </row>
    <row r="54" ht="14.25" customHeight="1" s="59" thickBot="1">
      <c r="A54" s="39" t="inlineStr">
        <is>
          <t>ETUDE - Baking Powder BB Deep Cleansing Foam [160ml] / Пенка с содой для глубокого очищения и снятия макияжа</t>
        </is>
      </c>
      <c r="B54" s="44" t="n"/>
      <c r="C54" s="41" t="n"/>
      <c r="D54" s="41" t="n"/>
      <c r="E54" s="41" t="n"/>
      <c r="F54" s="40">
        <f>(1.25*K54+N54+P54+U54+W54+X54)/(1-L54-$F$8-$F$4-(1-G54)*$F$3-Y54-AA54)</f>
        <v/>
      </c>
      <c r="G54" s="22" t="n">
        <v>0.45</v>
      </c>
      <c r="H54" s="45">
        <f>F54*(1-G54)</f>
        <v/>
      </c>
      <c r="I54" s="46" t="n">
        <v>292.89</v>
      </c>
      <c r="J54" s="47">
        <f>$F$5</f>
        <v/>
      </c>
      <c r="K54" s="48">
        <f>I54+J54</f>
        <v/>
      </c>
      <c r="L54" s="49" t="n">
        <v>0.41</v>
      </c>
      <c r="M54" s="50">
        <f>F54*L54</f>
        <v/>
      </c>
      <c r="N54" s="51" t="n">
        <v>67</v>
      </c>
      <c r="O54" s="50">
        <f>F54*$F$8</f>
        <v/>
      </c>
      <c r="P54" s="51" t="n">
        <v>25</v>
      </c>
      <c r="Q54" s="50">
        <f>F54*$F$4</f>
        <v/>
      </c>
      <c r="R54" s="50">
        <f>H54*$F$3</f>
        <v/>
      </c>
      <c r="S54" s="52" t="n">
        <v>0.9</v>
      </c>
      <c r="T54" s="51">
        <f>N54</f>
        <v/>
      </c>
      <c r="U54" s="50">
        <f>T54*(1-S54)</f>
        <v/>
      </c>
      <c r="V54" s="53" t="n">
        <v>0.5600000000000001</v>
      </c>
      <c r="W54" s="50">
        <f>$F$6*$F$7*V54</f>
        <v/>
      </c>
      <c r="X54" s="48">
        <f>V54*($F$9+$F$10)</f>
        <v/>
      </c>
      <c r="Y54" s="49" t="n">
        <v>0.07000000000000001</v>
      </c>
      <c r="Z54" s="50">
        <f>F54*Y54</f>
        <v/>
      </c>
      <c r="AA54" s="52" t="n">
        <v>0.08</v>
      </c>
      <c r="AB54" s="50">
        <f>F54*AA54</f>
        <v/>
      </c>
      <c r="AC54" s="50">
        <f>Z54+AB54</f>
        <v/>
      </c>
      <c r="AD54" s="54">
        <f>AC54/F54</f>
        <v/>
      </c>
      <c r="AE54" s="33">
        <f>F54-M54-N54-O54-P54-Q54-R54-U54-W54-X54-K54</f>
        <v/>
      </c>
      <c r="AF54" s="34">
        <f>AE54-AC54</f>
        <v/>
      </c>
      <c r="AG54" s="35">
        <f>AF54/F54</f>
        <v/>
      </c>
      <c r="AH54" s="36">
        <f>AF54/K54</f>
        <v/>
      </c>
      <c r="AI54" s="28">
        <f>(N54+P54+U54+W54+X54+K54)/(1-(L54+$F$4+(1-G54)*$F$3+$F$8+Y54+AA54))</f>
        <v/>
      </c>
    </row>
    <row r="55" ht="14.25" customHeight="1" s="59" thickBot="1">
      <c r="A55" s="39" t="inlineStr">
        <is>
          <t>ETUDE - Baking Powder Crunch Pore Scrub [24*7ml] / Очищающий скраб для лица с содой</t>
        </is>
      </c>
      <c r="B55" s="44" t="n"/>
      <c r="C55" s="41" t="n"/>
      <c r="D55" s="41" t="n"/>
      <c r="E55" s="41" t="n"/>
      <c r="F55" s="40">
        <f>(1.25*K55+N55+P55+U55+W55+X55)/(1-L55-$F$8-$F$4-(1-G55)*$F$3-Y55-AA55)</f>
        <v/>
      </c>
      <c r="G55" s="22" t="n">
        <v>0.45</v>
      </c>
      <c r="H55" s="45">
        <f>F55*(1-G55)</f>
        <v/>
      </c>
      <c r="I55" s="46" t="n">
        <v>389.99</v>
      </c>
      <c r="J55" s="47">
        <f>$F$5</f>
        <v/>
      </c>
      <c r="K55" s="48">
        <f>I55+J55</f>
        <v/>
      </c>
      <c r="L55" s="49" t="n">
        <v>0.41</v>
      </c>
      <c r="M55" s="50">
        <f>F55*L55</f>
        <v/>
      </c>
      <c r="N55" s="51" t="n">
        <v>72</v>
      </c>
      <c r="O55" s="50">
        <f>F55*$F$8</f>
        <v/>
      </c>
      <c r="P55" s="51" t="n">
        <v>25</v>
      </c>
      <c r="Q55" s="50">
        <f>F55*$F$4</f>
        <v/>
      </c>
      <c r="R55" s="50">
        <f>H55*$F$3</f>
        <v/>
      </c>
      <c r="S55" s="52" t="n">
        <v>0.9</v>
      </c>
      <c r="T55" s="51">
        <f>N55</f>
        <v/>
      </c>
      <c r="U55" s="50">
        <f>T55*(1-S55)</f>
        <v/>
      </c>
      <c r="V55" s="53" t="n">
        <v>1.15</v>
      </c>
      <c r="W55" s="50">
        <f>$F$6*$F$7*V55</f>
        <v/>
      </c>
      <c r="X55" s="48">
        <f>V55*($F$9+$F$10)</f>
        <v/>
      </c>
      <c r="Y55" s="49" t="n">
        <v>0.07000000000000001</v>
      </c>
      <c r="Z55" s="50">
        <f>F55*Y55</f>
        <v/>
      </c>
      <c r="AA55" s="52" t="n">
        <v>0.08</v>
      </c>
      <c r="AB55" s="50">
        <f>F55*AA55</f>
        <v/>
      </c>
      <c r="AC55" s="50">
        <f>Z55+AB55</f>
        <v/>
      </c>
      <c r="AD55" s="54">
        <f>AC55/F55</f>
        <v/>
      </c>
      <c r="AE55" s="33">
        <f>F55-M55-N55-O55-P55-Q55-R55-U55-W55-X55-K55</f>
        <v/>
      </c>
      <c r="AF55" s="34">
        <f>AE55-AC55</f>
        <v/>
      </c>
      <c r="AG55" s="35">
        <f>AF55/F55</f>
        <v/>
      </c>
      <c r="AH55" s="36">
        <f>AF55/K55</f>
        <v/>
      </c>
      <c r="AI55" s="28">
        <f>(N55+P55+U55+W55+X55+K55)/(1-(L55+$F$4+(1-G55)*$F$3+$F$8+Y55+AA55))</f>
        <v/>
      </c>
    </row>
    <row r="56" ht="14.25" customHeight="1" s="59" thickBot="1">
      <c r="A56" s="39" t="inlineStr">
        <is>
          <t>HEIMISH - Artless Glow Base SPF50+ PA+++(Renew) [40ml] / База под макияж SPF50+ PA+++</t>
        </is>
      </c>
      <c r="B56" s="44" t="n"/>
      <c r="C56" s="41" t="n"/>
      <c r="D56" s="41" t="n"/>
      <c r="E56" s="41" t="n"/>
      <c r="F56" s="40">
        <f>(1.25*K56+N56+P56+U56+W56+X56)/(1-L56-$F$8-$F$4-(1-G56)*$F$3-Y56-AA56)</f>
        <v/>
      </c>
      <c r="G56" s="22" t="n">
        <v>0.45</v>
      </c>
      <c r="H56" s="45">
        <f>F56*(1-G56)</f>
        <v/>
      </c>
      <c r="I56" s="46" t="n">
        <v>770.48</v>
      </c>
      <c r="J56" s="47">
        <f>$F$5</f>
        <v/>
      </c>
      <c r="K56" s="48">
        <f>I56+J56</f>
        <v/>
      </c>
      <c r="L56" s="49" t="n">
        <v>0.41</v>
      </c>
      <c r="M56" s="50">
        <f>F56*L56</f>
        <v/>
      </c>
      <c r="N56" s="51" t="n">
        <v>56</v>
      </c>
      <c r="O56" s="50">
        <f>F56*$F$8</f>
        <v/>
      </c>
      <c r="P56" s="51" t="n">
        <v>25</v>
      </c>
      <c r="Q56" s="50">
        <f>F56*$F$4</f>
        <v/>
      </c>
      <c r="R56" s="50">
        <f>H56*$F$3</f>
        <v/>
      </c>
      <c r="S56" s="52" t="n">
        <v>0.9</v>
      </c>
      <c r="T56" s="51">
        <f>N56</f>
        <v/>
      </c>
      <c r="U56" s="50">
        <f>T56*(1-S56)</f>
        <v/>
      </c>
      <c r="V56" s="53" t="n">
        <v>0.14</v>
      </c>
      <c r="W56" s="50">
        <f>$F$6*$F$7*V56</f>
        <v/>
      </c>
      <c r="X56" s="48">
        <f>V56*($F$9+$F$10)</f>
        <v/>
      </c>
      <c r="Y56" s="49" t="n">
        <v>0.07000000000000001</v>
      </c>
      <c r="Z56" s="50">
        <f>F56*Y56</f>
        <v/>
      </c>
      <c r="AA56" s="52" t="n">
        <v>0.08</v>
      </c>
      <c r="AB56" s="50">
        <f>F56*AA56</f>
        <v/>
      </c>
      <c r="AC56" s="50">
        <f>Z56+AB56</f>
        <v/>
      </c>
      <c r="AD56" s="54">
        <f>AC56/F56</f>
        <v/>
      </c>
      <c r="AE56" s="33">
        <f>F56-M56-N56-O56-P56-Q56-R56-U56-W56-X56-K56</f>
        <v/>
      </c>
      <c r="AF56" s="34">
        <f>AE56-AC56</f>
        <v/>
      </c>
      <c r="AG56" s="35">
        <f>AF56/F56</f>
        <v/>
      </c>
      <c r="AH56" s="36">
        <f>AF56/K56</f>
        <v/>
      </c>
      <c r="AI56" s="28">
        <f>(N56+P56+U56+W56+X56+K56)/(1-(L56+$F$4+(1-G56)*$F$3+$F$8+Y56+AA56))</f>
        <v/>
      </c>
    </row>
    <row r="57" ht="14.25" customHeight="1" s="59" thickBot="1">
      <c r="A57" s="39" t="inlineStr">
        <is>
          <t>JMSOLUTION - MASK PACK BLACK [30ml*10ea] - ассорти набор 10шт в упаковке</t>
        </is>
      </c>
      <c r="B57" s="44" t="n"/>
      <c r="C57" s="41" t="n"/>
      <c r="D57" s="41" t="n"/>
      <c r="E57" s="41" t="n"/>
      <c r="F57" s="40">
        <f>(1.25*K57+N57+P57+U57+W57+X57)/(1-L57-$F$8-$F$4-(1-G57)*$F$3-Y57-AA57)</f>
        <v/>
      </c>
      <c r="G57" s="22" t="n">
        <v>0.45</v>
      </c>
      <c r="H57" s="45">
        <f>F57*(1-G57)</f>
        <v/>
      </c>
      <c r="I57" s="46" t="n">
        <v>463.2</v>
      </c>
      <c r="J57" s="47">
        <f>$F$5</f>
        <v/>
      </c>
      <c r="K57" s="48">
        <f>I57+J57</f>
        <v/>
      </c>
      <c r="L57" s="49" t="n">
        <v>0.41</v>
      </c>
      <c r="M57" s="50">
        <f>F57*L57</f>
        <v/>
      </c>
      <c r="N57" s="51" t="n">
        <v>72</v>
      </c>
      <c r="O57" s="50">
        <f>F57*$F$8</f>
        <v/>
      </c>
      <c r="P57" s="51" t="n">
        <v>25</v>
      </c>
      <c r="Q57" s="50">
        <f>F57*$F$4</f>
        <v/>
      </c>
      <c r="R57" s="50">
        <f>H57*$F$3</f>
        <v/>
      </c>
      <c r="S57" s="52" t="n">
        <v>0.9</v>
      </c>
      <c r="T57" s="51">
        <f>N57</f>
        <v/>
      </c>
      <c r="U57" s="50">
        <f>T57*(1-S57)</f>
        <v/>
      </c>
      <c r="V57" s="53" t="n">
        <v>1.25</v>
      </c>
      <c r="W57" s="50">
        <f>$F$6*$F$7*V57</f>
        <v/>
      </c>
      <c r="X57" s="48">
        <f>V57*($F$9+$F$10)</f>
        <v/>
      </c>
      <c r="Y57" s="49" t="n">
        <v>0.07000000000000001</v>
      </c>
      <c r="Z57" s="50">
        <f>F57*Y57</f>
        <v/>
      </c>
      <c r="AA57" s="52" t="n">
        <v>0.08</v>
      </c>
      <c r="AB57" s="50">
        <f>F57*AA57</f>
        <v/>
      </c>
      <c r="AC57" s="50">
        <f>Z57+AB57</f>
        <v/>
      </c>
      <c r="AD57" s="54">
        <f>AC57/F57</f>
        <v/>
      </c>
      <c r="AE57" s="33">
        <f>F57-M57-N57-O57-P57-Q57-R57-U57-W57-X57-K57</f>
        <v/>
      </c>
      <c r="AF57" s="34">
        <f>AE57-AC57</f>
        <v/>
      </c>
      <c r="AG57" s="35">
        <f>AF57/F57</f>
        <v/>
      </c>
      <c r="AH57" s="36">
        <f>AF57/K57</f>
        <v/>
      </c>
      <c r="AI57" s="28">
        <f>(N57+P57+U57+W57+X57+K57)/(1-(L57+$F$4+(1-G57)*$F$3+$F$8+Y57+AA57))</f>
        <v/>
      </c>
    </row>
    <row r="58" ht="14.25" customHeight="1" s="59" thickBot="1">
      <c r="A58" s="39" t="inlineStr">
        <is>
          <t>JMSOLUTION - MASK PACK DISNEY [30ml*10ea] - ассорти набор из 10шт</t>
        </is>
      </c>
      <c r="B58" s="44" t="n"/>
      <c r="C58" s="41" t="n"/>
      <c r="D58" s="41" t="n"/>
      <c r="E58" s="41" t="n"/>
      <c r="F58" s="40">
        <f>(1.25*K58+N58+P58+U58+W58+X58)/(1-L58-$F$8-$F$4-(1-G58)*$F$3-Y58-AA58)</f>
        <v/>
      </c>
      <c r="G58" s="22" t="n">
        <v>0.45</v>
      </c>
      <c r="H58" s="45">
        <f>F58*(1-G58)</f>
        <v/>
      </c>
      <c r="I58" s="46" t="n">
        <v>463.2</v>
      </c>
      <c r="J58" s="47">
        <f>$F$5</f>
        <v/>
      </c>
      <c r="K58" s="48">
        <f>I58+J58</f>
        <v/>
      </c>
      <c r="L58" s="49" t="n">
        <v>0.41</v>
      </c>
      <c r="M58" s="50">
        <f>F58*L58</f>
        <v/>
      </c>
      <c r="N58" s="51" t="n">
        <v>72</v>
      </c>
      <c r="O58" s="50">
        <f>F58*$F$8</f>
        <v/>
      </c>
      <c r="P58" s="51" t="n">
        <v>25</v>
      </c>
      <c r="Q58" s="50">
        <f>F58*$F$4</f>
        <v/>
      </c>
      <c r="R58" s="50">
        <f>H58*$F$3</f>
        <v/>
      </c>
      <c r="S58" s="52" t="n">
        <v>0.9</v>
      </c>
      <c r="T58" s="51">
        <f>N58</f>
        <v/>
      </c>
      <c r="U58" s="50">
        <f>T58*(1-S58)</f>
        <v/>
      </c>
      <c r="V58" s="53" t="n">
        <v>1.25</v>
      </c>
      <c r="W58" s="50">
        <f>$F$6*$F$7*V58</f>
        <v/>
      </c>
      <c r="X58" s="48">
        <f>V58*($F$9+$F$10)</f>
        <v/>
      </c>
      <c r="Y58" s="49" t="n">
        <v>0.07000000000000001</v>
      </c>
      <c r="Z58" s="50">
        <f>F58*Y58</f>
        <v/>
      </c>
      <c r="AA58" s="52" t="n">
        <v>0.08</v>
      </c>
      <c r="AB58" s="50">
        <f>F58*AA58</f>
        <v/>
      </c>
      <c r="AC58" s="50">
        <f>Z58+AB58</f>
        <v/>
      </c>
      <c r="AD58" s="54">
        <f>AC58/F58</f>
        <v/>
      </c>
      <c r="AE58" s="33">
        <f>F58-M58-N58-O58-P58-Q58-R58-U58-W58-X58-K58</f>
        <v/>
      </c>
      <c r="AF58" s="34">
        <f>AE58-AC58</f>
        <v/>
      </c>
      <c r="AG58" s="35">
        <f>AF58/F58</f>
        <v/>
      </c>
      <c r="AH58" s="36">
        <f>AF58/K58</f>
        <v/>
      </c>
      <c r="AI58" s="28">
        <f>(N58+P58+U58+W58+X58+K58)/(1-(L58+$F$4+(1-G58)*$F$3+$F$8+Y58+AA58))</f>
        <v/>
      </c>
    </row>
    <row r="59" ht="14.25" customHeight="1" s="59" thickBot="1">
      <c r="A59" s="39" t="inlineStr">
        <is>
          <t>ROUND LAB 1025 DOKDO TONER_200ml / Отшелушивающий тоник с морской водой</t>
        </is>
      </c>
      <c r="B59" s="44" t="n"/>
      <c r="C59" s="41" t="n"/>
      <c r="D59" s="41" t="n"/>
      <c r="E59" s="41" t="n"/>
      <c r="F59" s="40">
        <f>(1.25*K59+N59+P59+U59+W59+X59)/(1-L59-$F$8-$F$4-(1-G59)*$F$3-Y59-AA59)</f>
        <v/>
      </c>
      <c r="G59" s="22" t="n">
        <v>0.45</v>
      </c>
      <c r="H59" s="45">
        <f>F59*(1-G59)</f>
        <v/>
      </c>
      <c r="I59" s="46" t="n">
        <v>484.93</v>
      </c>
      <c r="J59" s="47">
        <f>$F$5</f>
        <v/>
      </c>
      <c r="K59" s="48">
        <f>I59+J59</f>
        <v/>
      </c>
      <c r="L59" s="49" t="n">
        <v>0.41</v>
      </c>
      <c r="M59" s="50">
        <f>F59*L59</f>
        <v/>
      </c>
      <c r="N59" s="51" t="n">
        <v>67</v>
      </c>
      <c r="O59" s="50">
        <f>F59*$F$8</f>
        <v/>
      </c>
      <c r="P59" s="51" t="n">
        <v>25</v>
      </c>
      <c r="Q59" s="50">
        <f>F59*$F$4</f>
        <v/>
      </c>
      <c r="R59" s="50">
        <f>H59*$F$3</f>
        <v/>
      </c>
      <c r="S59" s="52" t="n">
        <v>0.9</v>
      </c>
      <c r="T59" s="51">
        <f>N59</f>
        <v/>
      </c>
      <c r="U59" s="50">
        <f>T59*(1-S59)</f>
        <v/>
      </c>
      <c r="V59" s="53" t="n">
        <v>0.54</v>
      </c>
      <c r="W59" s="50">
        <f>$F$6*$F$7*V59</f>
        <v/>
      </c>
      <c r="X59" s="48">
        <f>V59*($F$9+$F$10)</f>
        <v/>
      </c>
      <c r="Y59" s="49" t="n">
        <v>0.07000000000000001</v>
      </c>
      <c r="Z59" s="50">
        <f>F59*Y59</f>
        <v/>
      </c>
      <c r="AA59" s="52" t="n">
        <v>0.08</v>
      </c>
      <c r="AB59" s="50">
        <f>F59*AA59</f>
        <v/>
      </c>
      <c r="AC59" s="50">
        <f>Z59+AB59</f>
        <v/>
      </c>
      <c r="AD59" s="54">
        <f>AC59/F59</f>
        <v/>
      </c>
      <c r="AE59" s="33">
        <f>F59-M59-N59-O59-P59-Q59-R59-U59-W59-X59-K59</f>
        <v/>
      </c>
      <c r="AF59" s="34">
        <f>AE59-AC59</f>
        <v/>
      </c>
      <c r="AG59" s="35">
        <f>AF59/F59</f>
        <v/>
      </c>
      <c r="AH59" s="36">
        <f>AF59/K59</f>
        <v/>
      </c>
      <c r="AI59" s="28">
        <f>(N59+P59+U59+W59+X59+K59)/(1-(L59+$F$4+(1-G59)*$F$3+$F$8+Y59+AA59))</f>
        <v/>
      </c>
    </row>
    <row r="60" ht="14.25" customHeight="1" s="59" thickBot="1">
      <c r="A60" s="39" t="inlineStr">
        <is>
          <t>VT PDRN ESSENCE 100 / Укрепляющая бустер-эссенция с ПДРН</t>
        </is>
      </c>
      <c r="B60" s="44" t="n"/>
      <c r="C60" s="41" t="n"/>
      <c r="D60" s="41" t="n"/>
      <c r="E60" s="41" t="n"/>
      <c r="F60" s="40">
        <f>(1.25*K60+N60+P60+U60+W60+X60)/(1-L60-$F$8-$F$4-(1-G60)*$F$3-Y60-AA60)</f>
        <v/>
      </c>
      <c r="G60" s="22" t="n">
        <v>0.45</v>
      </c>
      <c r="H60" s="45">
        <f>F60*(1-G60)</f>
        <v/>
      </c>
      <c r="I60" s="46" t="n">
        <v>1335.95</v>
      </c>
      <c r="J60" s="47">
        <f>$F$5</f>
        <v/>
      </c>
      <c r="K60" s="48">
        <f>I60+J60</f>
        <v/>
      </c>
      <c r="L60" s="49" t="n">
        <v>0.41</v>
      </c>
      <c r="M60" s="50">
        <f>F60*L60</f>
        <v/>
      </c>
      <c r="N60" s="51" t="n">
        <v>63</v>
      </c>
      <c r="O60" s="50">
        <f>F60*$F$8</f>
        <v/>
      </c>
      <c r="P60" s="51" t="n">
        <v>25</v>
      </c>
      <c r="Q60" s="50">
        <f>F60*$F$4</f>
        <v/>
      </c>
      <c r="R60" s="50">
        <f>H60*$F$3</f>
        <v/>
      </c>
      <c r="S60" s="52" t="n">
        <v>0.9</v>
      </c>
      <c r="T60" s="51">
        <f>N60</f>
        <v/>
      </c>
      <c r="U60" s="50">
        <f>T60*(1-S60)</f>
        <v/>
      </c>
      <c r="V60" s="53" t="n">
        <v>0.3</v>
      </c>
      <c r="W60" s="50">
        <f>$F$6*$F$7*V60</f>
        <v/>
      </c>
      <c r="X60" s="48">
        <f>V60*($F$9+$F$10)</f>
        <v/>
      </c>
      <c r="Y60" s="49" t="n">
        <v>0.07000000000000001</v>
      </c>
      <c r="Z60" s="50">
        <f>F60*Y60</f>
        <v/>
      </c>
      <c r="AA60" s="52" t="n">
        <v>0.08</v>
      </c>
      <c r="AB60" s="50">
        <f>F60*AA60</f>
        <v/>
      </c>
      <c r="AC60" s="50">
        <f>Z60+AB60</f>
        <v/>
      </c>
      <c r="AD60" s="54">
        <f>AC60/F60</f>
        <v/>
      </c>
      <c r="AE60" s="33">
        <f>F60-M60-N60-O60-P60-Q60-R60-U60-W60-X60-K60</f>
        <v/>
      </c>
      <c r="AF60" s="34">
        <f>AE60-AC60</f>
        <v/>
      </c>
      <c r="AG60" s="35">
        <f>AF60/F60</f>
        <v/>
      </c>
      <c r="AH60" s="36">
        <f>AF60/K60</f>
        <v/>
      </c>
      <c r="AI60" s="28">
        <f>(N60+P60+U60+W60+X60+K60)/(1-(L60+$F$4+(1-G60)*$F$3+$F$8+Y60+AA60))</f>
        <v/>
      </c>
    </row>
    <row r="61" ht="14.25" customHeight="1" s="59" thickBot="1">
      <c r="A61" s="39" t="inlineStr">
        <is>
          <t>VT REEDLE SHOT 100 / Бустер-сыворотка с микроиглами</t>
        </is>
      </c>
      <c r="B61" s="44" t="n"/>
      <c r="C61" s="41" t="n"/>
      <c r="D61" s="41" t="n"/>
      <c r="E61" s="41" t="n"/>
      <c r="F61" s="40">
        <f>(1.25*K61+N61+P61+U61+W61+X61)/(1-L61-$F$8-$F$4-(1-G61)*$F$3-Y61-AA61)</f>
        <v/>
      </c>
      <c r="G61" s="22" t="n">
        <v>0.45</v>
      </c>
      <c r="H61" s="45">
        <f>F61*(1-G61)</f>
        <v/>
      </c>
      <c r="I61" s="46" t="n">
        <v>974.04</v>
      </c>
      <c r="J61" s="47">
        <f>$F$5</f>
        <v/>
      </c>
      <c r="K61" s="48">
        <f>I61+J61</f>
        <v/>
      </c>
      <c r="L61" s="49" t="n">
        <v>0.41</v>
      </c>
      <c r="M61" s="50">
        <f>F61*L61</f>
        <v/>
      </c>
      <c r="N61" s="51" t="n">
        <v>63</v>
      </c>
      <c r="O61" s="50">
        <f>F61*$F$8</f>
        <v/>
      </c>
      <c r="P61" s="51" t="n">
        <v>25</v>
      </c>
      <c r="Q61" s="50">
        <f>F61*$F$4</f>
        <v/>
      </c>
      <c r="R61" s="50">
        <f>H61*$F$3</f>
        <v/>
      </c>
      <c r="S61" s="52" t="n">
        <v>0.9</v>
      </c>
      <c r="T61" s="51">
        <f>N61</f>
        <v/>
      </c>
      <c r="U61" s="50">
        <f>T61*(1-S61)</f>
        <v/>
      </c>
      <c r="V61" s="53" t="n">
        <v>0.4</v>
      </c>
      <c r="W61" s="50">
        <f>$F$6*$F$7*V61</f>
        <v/>
      </c>
      <c r="X61" s="48">
        <f>V61*($F$9+$F$10)</f>
        <v/>
      </c>
      <c r="Y61" s="49" t="n">
        <v>0.07000000000000001</v>
      </c>
      <c r="Z61" s="50">
        <f>F61*Y61</f>
        <v/>
      </c>
      <c r="AA61" s="52" t="n">
        <v>0.08</v>
      </c>
      <c r="AB61" s="50">
        <f>F61*AA61</f>
        <v/>
      </c>
      <c r="AC61" s="50">
        <f>Z61+AB61</f>
        <v/>
      </c>
      <c r="AD61" s="54">
        <f>AC61/F61</f>
        <v/>
      </c>
      <c r="AE61" s="33">
        <f>F61-M61-N61-O61-P61-Q61-R61-U61-W61-X61-K61</f>
        <v/>
      </c>
      <c r="AF61" s="34">
        <f>AE61-AC61</f>
        <v/>
      </c>
      <c r="AG61" s="35">
        <f>AF61/F61</f>
        <v/>
      </c>
      <c r="AH61" s="36">
        <f>AF61/K61</f>
        <v/>
      </c>
      <c r="AI61" s="28">
        <f>(N61+P61+U61+W61+X61+K61)/(1-(L61+$F$4+(1-G61)*$F$3+$F$8+Y61+AA61))</f>
        <v/>
      </c>
    </row>
    <row r="62" ht="14.25" customHeight="1" s="59">
      <c r="A62" s="3" t="n"/>
      <c r="C62" s="2" t="n"/>
      <c r="D62" s="2" t="n"/>
      <c r="E62" s="2" t="n"/>
    </row>
    <row r="63" ht="14.25" customHeight="1" s="59">
      <c r="A63" s="3" t="n"/>
      <c r="C63" s="2" t="n"/>
      <c r="D63" s="2" t="n"/>
      <c r="E63" s="2" t="n"/>
    </row>
    <row r="64" ht="14.25" customHeight="1" s="59">
      <c r="A64" s="3" t="n"/>
      <c r="C64" s="2" t="n"/>
      <c r="D64" s="2" t="n"/>
      <c r="E64" s="2" t="n"/>
    </row>
    <row r="65" ht="14.25" customHeight="1" s="59">
      <c r="A65" s="3" t="n"/>
      <c r="C65" s="2" t="n"/>
      <c r="D65" s="2" t="n"/>
      <c r="E65" s="2" t="n"/>
    </row>
    <row r="66" ht="14.25" customHeight="1" s="59">
      <c r="A66" s="3" t="n"/>
      <c r="C66" s="2" t="n"/>
      <c r="D66" s="2" t="n"/>
      <c r="E66" s="2" t="n"/>
    </row>
    <row r="67" ht="14.25" customHeight="1" s="59">
      <c r="A67" s="3" t="n"/>
      <c r="C67" s="2" t="n"/>
      <c r="D67" s="2" t="n"/>
      <c r="E67" s="2" t="n"/>
    </row>
    <row r="68" ht="14.25" customHeight="1" s="59">
      <c r="A68" s="3" t="n"/>
      <c r="C68" s="2" t="n"/>
      <c r="D68" s="2" t="n"/>
      <c r="E68" s="2" t="n"/>
    </row>
    <row r="69" ht="14.25" customHeight="1" s="59">
      <c r="A69" s="3" t="n"/>
      <c r="C69" s="2" t="n"/>
      <c r="D69" s="2" t="n"/>
      <c r="E69" s="2" t="n"/>
    </row>
    <row r="70" ht="14.25" customHeight="1" s="59">
      <c r="A70" s="3" t="n"/>
      <c r="C70" s="2" t="n"/>
      <c r="D70" s="2" t="n"/>
      <c r="E70" s="2" t="n"/>
    </row>
    <row r="71" ht="14.25" customHeight="1" s="59">
      <c r="A71" s="3" t="n"/>
      <c r="C71" s="2" t="n"/>
      <c r="D71" s="2" t="n"/>
      <c r="E71" s="2" t="n"/>
    </row>
    <row r="72" ht="14.25" customHeight="1" s="59">
      <c r="A72" s="3" t="n"/>
      <c r="C72" s="2" t="n"/>
      <c r="D72" s="2" t="n"/>
      <c r="E72" s="2" t="n"/>
    </row>
    <row r="73" ht="14.25" customHeight="1" s="59">
      <c r="A73" s="3" t="n"/>
      <c r="C73" s="2" t="n"/>
      <c r="D73" s="2" t="n"/>
      <c r="E73" s="2" t="n"/>
    </row>
    <row r="74" ht="14.25" customHeight="1" s="59">
      <c r="A74" s="3" t="n"/>
      <c r="C74" s="2" t="n"/>
      <c r="D74" s="2" t="n"/>
      <c r="E74" s="2" t="n"/>
    </row>
    <row r="75" ht="14.25" customHeight="1" s="59">
      <c r="A75" s="3" t="n"/>
      <c r="C75" s="2" t="n"/>
      <c r="D75" s="2" t="n"/>
      <c r="E75" s="2" t="n"/>
    </row>
    <row r="76" ht="14.25" customHeight="1" s="59">
      <c r="A76" s="3" t="n"/>
      <c r="C76" s="2" t="n"/>
      <c r="D76" s="2" t="n"/>
      <c r="E76" s="2" t="n"/>
    </row>
    <row r="77" ht="14.25" customHeight="1" s="59">
      <c r="A77" s="3" t="n"/>
      <c r="C77" s="2" t="n"/>
      <c r="D77" s="2" t="n"/>
      <c r="E77" s="2" t="n"/>
    </row>
    <row r="78" ht="14.25" customHeight="1" s="59">
      <c r="A78" s="3" t="n"/>
      <c r="C78" s="2" t="n"/>
      <c r="D78" s="2" t="n"/>
      <c r="E78" s="2" t="n"/>
    </row>
    <row r="79" ht="14.25" customHeight="1" s="59">
      <c r="A79" s="3" t="n"/>
      <c r="C79" s="2" t="n"/>
      <c r="D79" s="2" t="n"/>
      <c r="E79" s="2" t="n"/>
    </row>
    <row r="80" ht="14.25" customHeight="1" s="59">
      <c r="A80" s="3" t="n"/>
      <c r="C80" s="2" t="n"/>
      <c r="D80" s="2" t="n"/>
      <c r="E80" s="2" t="n"/>
    </row>
    <row r="81" ht="14.25" customHeight="1" s="59">
      <c r="A81" s="3" t="n"/>
      <c r="C81" s="2" t="n"/>
      <c r="D81" s="2" t="n"/>
      <c r="E81" s="2" t="n"/>
    </row>
    <row r="82" ht="14.25" customHeight="1" s="59">
      <c r="A82" s="3" t="n"/>
      <c r="C82" s="2" t="n"/>
      <c r="D82" s="2" t="n"/>
      <c r="E82" s="2" t="n"/>
    </row>
    <row r="83" ht="14.25" customHeight="1" s="59">
      <c r="A83" s="3" t="n"/>
      <c r="C83" s="2" t="n"/>
      <c r="D83" s="2" t="n"/>
      <c r="E83" s="2" t="n"/>
    </row>
    <row r="84" ht="14.25" customHeight="1" s="59">
      <c r="A84" s="3" t="n"/>
      <c r="C84" s="2" t="n"/>
      <c r="D84" s="2" t="n"/>
      <c r="E84" s="2" t="n"/>
    </row>
    <row r="85" ht="14.25" customHeight="1" s="59">
      <c r="A85" s="3" t="n"/>
      <c r="C85" s="2" t="n"/>
      <c r="D85" s="2" t="n"/>
      <c r="E85" s="2" t="n"/>
    </row>
    <row r="86" ht="14.25" customHeight="1" s="59">
      <c r="A86" s="3" t="n"/>
      <c r="C86" s="2" t="n"/>
      <c r="D86" s="2" t="n"/>
      <c r="E86" s="2" t="n"/>
    </row>
    <row r="87" ht="14.25" customHeight="1" s="59">
      <c r="A87" s="3" t="n"/>
      <c r="C87" s="2" t="n"/>
      <c r="D87" s="2" t="n"/>
      <c r="E87" s="2" t="n"/>
    </row>
    <row r="88" ht="14.25" customHeight="1" s="59">
      <c r="A88" s="3" t="n"/>
      <c r="C88" s="2" t="n"/>
      <c r="D88" s="2" t="n"/>
      <c r="E88" s="2" t="n"/>
    </row>
    <row r="89" ht="14.25" customHeight="1" s="59">
      <c r="A89" s="3" t="n"/>
      <c r="C89" s="2" t="n"/>
      <c r="D89" s="2" t="n"/>
      <c r="E89" s="2" t="n"/>
    </row>
    <row r="90" ht="14.25" customHeight="1" s="59">
      <c r="A90" s="3" t="n"/>
      <c r="C90" s="2" t="n"/>
      <c r="D90" s="2" t="n"/>
      <c r="E90" s="2" t="n"/>
    </row>
    <row r="91" ht="14.25" customHeight="1" s="59">
      <c r="A91" s="3" t="n"/>
      <c r="C91" s="2" t="n"/>
      <c r="D91" s="2" t="n"/>
      <c r="E91" s="2" t="n"/>
    </row>
    <row r="92" ht="14.25" customHeight="1" s="59">
      <c r="A92" s="3" t="n"/>
      <c r="C92" s="2" t="n"/>
      <c r="D92" s="2" t="n"/>
      <c r="E92" s="2" t="n"/>
    </row>
    <row r="93" ht="14.25" customHeight="1" s="59">
      <c r="A93" s="3" t="n"/>
      <c r="C93" s="2" t="n"/>
      <c r="D93" s="2" t="n"/>
      <c r="E93" s="2" t="n"/>
    </row>
    <row r="94" ht="14.25" customHeight="1" s="59">
      <c r="A94" s="3" t="n"/>
      <c r="C94" s="2" t="n"/>
      <c r="D94" s="2" t="n"/>
      <c r="E94" s="2" t="n"/>
    </row>
    <row r="95" ht="14.25" customHeight="1" s="59">
      <c r="A95" s="3" t="n"/>
      <c r="C95" s="2" t="n"/>
      <c r="D95" s="2" t="n"/>
      <c r="E95" s="2" t="n"/>
    </row>
    <row r="96" ht="14.25" customHeight="1" s="59">
      <c r="A96" s="3" t="n"/>
      <c r="C96" s="2" t="n"/>
      <c r="D96" s="2" t="n"/>
      <c r="E96" s="2" t="n"/>
    </row>
    <row r="97" ht="14.25" customHeight="1" s="59">
      <c r="A97" s="3" t="n"/>
      <c r="C97" s="2" t="n"/>
      <c r="D97" s="2" t="n"/>
      <c r="E97" s="2" t="n"/>
    </row>
    <row r="98" ht="14.25" customHeight="1" s="59">
      <c r="A98" s="3" t="n"/>
      <c r="C98" s="2" t="n"/>
      <c r="D98" s="2" t="n"/>
      <c r="E98" s="2" t="n"/>
    </row>
    <row r="99" ht="14.25" customHeight="1" s="59">
      <c r="A99" s="3" t="n"/>
      <c r="C99" s="2" t="n"/>
      <c r="D99" s="2" t="n"/>
      <c r="E99" s="2" t="n"/>
    </row>
    <row r="100" ht="14.25" customHeight="1" s="59">
      <c r="A100" s="3" t="n"/>
      <c r="C100" s="2" t="n"/>
      <c r="D100" s="2" t="n"/>
      <c r="E100" s="2" t="n"/>
    </row>
    <row r="101" ht="14.25" customHeight="1" s="59">
      <c r="A101" s="3" t="n"/>
      <c r="C101" s="2" t="n"/>
      <c r="D101" s="2" t="n"/>
      <c r="E101" s="2" t="n"/>
    </row>
    <row r="102" ht="14.25" customHeight="1" s="59">
      <c r="A102" s="3" t="n"/>
      <c r="C102" s="2" t="n"/>
      <c r="D102" s="2" t="n"/>
      <c r="E102" s="2" t="n"/>
    </row>
    <row r="103" ht="14.25" customHeight="1" s="59">
      <c r="A103" s="3" t="n"/>
      <c r="C103" s="2" t="n"/>
      <c r="D103" s="2" t="n"/>
      <c r="E103" s="2" t="n"/>
    </row>
    <row r="104" ht="14.25" customHeight="1" s="59">
      <c r="A104" s="3" t="n"/>
      <c r="C104" s="2" t="n"/>
      <c r="D104" s="2" t="n"/>
      <c r="E104" s="2" t="n"/>
    </row>
    <row r="105" ht="14.25" customHeight="1" s="59">
      <c r="A105" s="3" t="n"/>
      <c r="C105" s="2" t="n"/>
      <c r="D105" s="2" t="n"/>
      <c r="E105" s="2" t="n"/>
    </row>
    <row r="106" ht="14.25" customHeight="1" s="59">
      <c r="A106" s="3" t="n"/>
      <c r="C106" s="2" t="n"/>
      <c r="D106" s="2" t="n"/>
      <c r="E106" s="2" t="n"/>
    </row>
    <row r="107" ht="14.25" customHeight="1" s="59">
      <c r="A107" s="3" t="n"/>
      <c r="C107" s="2" t="n"/>
      <c r="D107" s="2" t="n"/>
      <c r="E107" s="2" t="n"/>
    </row>
    <row r="108" ht="14.25" customHeight="1" s="59">
      <c r="A108" s="3" t="n"/>
      <c r="C108" s="2" t="n"/>
      <c r="D108" s="2" t="n"/>
      <c r="E108" s="2" t="n"/>
    </row>
    <row r="109" ht="14.25" customHeight="1" s="59">
      <c r="A109" s="3" t="n"/>
      <c r="C109" s="2" t="n"/>
      <c r="D109" s="2" t="n"/>
      <c r="E109" s="2" t="n"/>
    </row>
    <row r="110" ht="14.25" customHeight="1" s="59">
      <c r="A110" s="3" t="n"/>
      <c r="C110" s="2" t="n"/>
      <c r="D110" s="2" t="n"/>
      <c r="E110" s="2" t="n"/>
    </row>
    <row r="111" ht="14.25" customHeight="1" s="59">
      <c r="A111" s="3" t="n"/>
      <c r="C111" s="2" t="n"/>
      <c r="D111" s="2" t="n"/>
      <c r="E111" s="2" t="n"/>
    </row>
    <row r="112" ht="14.25" customHeight="1" s="59">
      <c r="A112" s="3" t="n"/>
      <c r="C112" s="2" t="n"/>
      <c r="D112" s="2" t="n"/>
      <c r="E112" s="2" t="n"/>
    </row>
    <row r="113" ht="14.25" customHeight="1" s="59">
      <c r="A113" s="3" t="n"/>
      <c r="C113" s="2" t="n"/>
      <c r="D113" s="2" t="n"/>
      <c r="E113" s="2" t="n"/>
    </row>
    <row r="114" ht="14.25" customHeight="1" s="59">
      <c r="A114" s="3" t="n"/>
      <c r="C114" s="2" t="n"/>
      <c r="D114" s="2" t="n"/>
      <c r="E114" s="2" t="n"/>
    </row>
    <row r="115" ht="14.25" customHeight="1" s="59">
      <c r="A115" s="3" t="n"/>
      <c r="C115" s="2" t="n"/>
      <c r="D115" s="2" t="n"/>
      <c r="E115" s="2" t="n"/>
    </row>
    <row r="116" ht="14.25" customHeight="1" s="59">
      <c r="A116" s="3" t="n"/>
      <c r="C116" s="2" t="n"/>
      <c r="D116" s="2" t="n"/>
      <c r="E116" s="2" t="n"/>
    </row>
    <row r="117" ht="14.25" customHeight="1" s="59">
      <c r="A117" s="3" t="n"/>
      <c r="C117" s="2" t="n"/>
      <c r="D117" s="2" t="n"/>
      <c r="E117" s="2" t="n"/>
    </row>
    <row r="118" ht="14.25" customHeight="1" s="59">
      <c r="A118" s="3" t="n"/>
      <c r="C118" s="2" t="n"/>
      <c r="D118" s="2" t="n"/>
      <c r="E118" s="2" t="n"/>
    </row>
    <row r="119" ht="14.25" customHeight="1" s="59">
      <c r="A119" s="3" t="n"/>
      <c r="C119" s="2" t="n"/>
      <c r="D119" s="2" t="n"/>
      <c r="E119" s="2" t="n"/>
    </row>
    <row r="120" ht="14.25" customHeight="1" s="59">
      <c r="A120" s="3" t="n"/>
      <c r="C120" s="2" t="n"/>
      <c r="D120" s="2" t="n"/>
      <c r="E120" s="2" t="n"/>
    </row>
    <row r="121" ht="14.25" customHeight="1" s="59">
      <c r="A121" s="3" t="n"/>
      <c r="C121" s="2" t="n"/>
      <c r="D121" s="2" t="n"/>
      <c r="E121" s="2" t="n"/>
    </row>
    <row r="122" ht="14.25" customHeight="1" s="59">
      <c r="A122" s="3" t="n"/>
      <c r="C122" s="2" t="n"/>
      <c r="D122" s="2" t="n"/>
      <c r="E122" s="2" t="n"/>
    </row>
    <row r="123" ht="14.25" customHeight="1" s="59">
      <c r="A123" s="3" t="n"/>
      <c r="C123" s="2" t="n"/>
      <c r="D123" s="2" t="n"/>
      <c r="E123" s="2" t="n"/>
    </row>
    <row r="124" ht="14.25" customHeight="1" s="59">
      <c r="A124" s="3" t="n"/>
      <c r="C124" s="2" t="n"/>
      <c r="D124" s="2" t="n"/>
      <c r="E124" s="2" t="n"/>
    </row>
    <row r="125" ht="14.25" customHeight="1" s="59">
      <c r="A125" s="3" t="n"/>
      <c r="C125" s="2" t="n"/>
      <c r="D125" s="2" t="n"/>
      <c r="E125" s="2" t="n"/>
    </row>
    <row r="126" ht="14.25" customHeight="1" s="59">
      <c r="A126" s="3" t="n"/>
      <c r="C126" s="2" t="n"/>
      <c r="D126" s="2" t="n"/>
      <c r="E126" s="2" t="n"/>
    </row>
    <row r="127" ht="14.25" customHeight="1" s="59">
      <c r="A127" s="3" t="n"/>
      <c r="C127" s="2" t="n"/>
      <c r="D127" s="2" t="n"/>
      <c r="E127" s="2" t="n"/>
    </row>
    <row r="128" ht="14.25" customHeight="1" s="59">
      <c r="A128" s="3" t="n"/>
      <c r="C128" s="2" t="n"/>
      <c r="D128" s="2" t="n"/>
      <c r="E128" s="2" t="n"/>
    </row>
    <row r="129" ht="14.25" customHeight="1" s="59">
      <c r="A129" s="3" t="n"/>
      <c r="C129" s="2" t="n"/>
      <c r="D129" s="2" t="n"/>
      <c r="E129" s="2" t="n"/>
    </row>
    <row r="130" ht="14.25" customHeight="1" s="59">
      <c r="A130" s="3" t="n"/>
      <c r="C130" s="2" t="n"/>
      <c r="D130" s="2" t="n"/>
      <c r="E130" s="2" t="n"/>
    </row>
    <row r="131" ht="14.25" customHeight="1" s="59">
      <c r="A131" s="3" t="n"/>
      <c r="C131" s="2" t="n"/>
      <c r="D131" s="2" t="n"/>
      <c r="E131" s="2" t="n"/>
    </row>
    <row r="132" ht="14.25" customHeight="1" s="59">
      <c r="A132" s="3" t="n"/>
      <c r="C132" s="2" t="n"/>
      <c r="D132" s="2" t="n"/>
      <c r="E132" s="2" t="n"/>
    </row>
    <row r="133" ht="14.25" customHeight="1" s="59">
      <c r="A133" s="3" t="n"/>
      <c r="C133" s="2" t="n"/>
      <c r="D133" s="2" t="n"/>
      <c r="E133" s="2" t="n"/>
    </row>
    <row r="134" ht="14.25" customHeight="1" s="59">
      <c r="A134" s="3" t="n"/>
      <c r="C134" s="2" t="n"/>
      <c r="D134" s="2" t="n"/>
      <c r="E134" s="2" t="n"/>
    </row>
    <row r="135" ht="14.25" customHeight="1" s="59">
      <c r="A135" s="3" t="n"/>
      <c r="C135" s="2" t="n"/>
      <c r="D135" s="2" t="n"/>
      <c r="E135" s="2" t="n"/>
    </row>
    <row r="136" ht="14.25" customHeight="1" s="59">
      <c r="A136" s="3" t="n"/>
      <c r="C136" s="2" t="n"/>
      <c r="D136" s="2" t="n"/>
      <c r="E136" s="2" t="n"/>
    </row>
    <row r="137" ht="14.25" customHeight="1" s="59">
      <c r="A137" s="3" t="n"/>
      <c r="C137" s="2" t="n"/>
      <c r="D137" s="2" t="n"/>
      <c r="E137" s="2" t="n"/>
    </row>
    <row r="138" ht="14.25" customHeight="1" s="59">
      <c r="A138" s="3" t="n"/>
      <c r="C138" s="2" t="n"/>
      <c r="D138" s="2" t="n"/>
      <c r="E138" s="2" t="n"/>
    </row>
    <row r="139" ht="14.25" customHeight="1" s="59">
      <c r="A139" s="3" t="n"/>
      <c r="C139" s="2" t="n"/>
      <c r="D139" s="2" t="n"/>
      <c r="E139" s="2" t="n"/>
    </row>
    <row r="140" ht="14.25" customHeight="1" s="59">
      <c r="A140" s="3" t="n"/>
      <c r="C140" s="2" t="n"/>
      <c r="D140" s="2" t="n"/>
      <c r="E140" s="2" t="n"/>
    </row>
    <row r="141" ht="14.25" customHeight="1" s="59">
      <c r="A141" s="3" t="n"/>
      <c r="C141" s="2" t="n"/>
      <c r="D141" s="2" t="n"/>
      <c r="E141" s="2" t="n"/>
    </row>
    <row r="142" ht="14.25" customHeight="1" s="59">
      <c r="A142" s="3" t="n"/>
      <c r="C142" s="2" t="n"/>
      <c r="D142" s="2" t="n"/>
      <c r="E142" s="2" t="n"/>
    </row>
    <row r="143" ht="14.25" customHeight="1" s="59">
      <c r="A143" s="3" t="n"/>
      <c r="C143" s="2" t="n"/>
      <c r="D143" s="2" t="n"/>
      <c r="E143" s="2" t="n"/>
    </row>
    <row r="144" ht="14.25" customHeight="1" s="59">
      <c r="A144" s="3" t="n"/>
      <c r="C144" s="2" t="n"/>
      <c r="D144" s="2" t="n"/>
      <c r="E144" s="2" t="n"/>
    </row>
    <row r="145" ht="14.25" customHeight="1" s="59">
      <c r="A145" s="3" t="n"/>
      <c r="C145" s="2" t="n"/>
      <c r="D145" s="2" t="n"/>
      <c r="E145" s="2" t="n"/>
    </row>
    <row r="146" ht="14.25" customHeight="1" s="59">
      <c r="A146" s="3" t="n"/>
      <c r="C146" s="2" t="n"/>
      <c r="D146" s="2" t="n"/>
      <c r="E146" s="2" t="n"/>
    </row>
    <row r="147" ht="14.25" customHeight="1" s="59">
      <c r="A147" s="3" t="n"/>
      <c r="C147" s="2" t="n"/>
      <c r="D147" s="2" t="n"/>
      <c r="E147" s="2" t="n"/>
    </row>
    <row r="148" ht="14.25" customHeight="1" s="59">
      <c r="A148" s="3" t="n"/>
      <c r="C148" s="2" t="n"/>
      <c r="D148" s="2" t="n"/>
      <c r="E148" s="2" t="n"/>
    </row>
    <row r="149" ht="14.25" customHeight="1" s="59">
      <c r="A149" s="3" t="n"/>
      <c r="C149" s="2" t="n"/>
      <c r="D149" s="2" t="n"/>
      <c r="E149" s="2" t="n"/>
    </row>
    <row r="150" ht="14.25" customHeight="1" s="59">
      <c r="A150" s="3" t="n"/>
      <c r="C150" s="2" t="n"/>
      <c r="D150" s="2" t="n"/>
      <c r="E150" s="2" t="n"/>
    </row>
    <row r="151" ht="14.25" customHeight="1" s="59">
      <c r="A151" s="3" t="n"/>
      <c r="C151" s="2" t="n"/>
      <c r="D151" s="2" t="n"/>
      <c r="E151" s="2" t="n"/>
    </row>
    <row r="152" ht="14.25" customHeight="1" s="59">
      <c r="A152" s="3" t="n"/>
      <c r="C152" s="2" t="n"/>
      <c r="D152" s="2" t="n"/>
      <c r="E152" s="2" t="n"/>
    </row>
    <row r="153" ht="14.25" customHeight="1" s="59">
      <c r="A153" s="3" t="n"/>
      <c r="C153" s="2" t="n"/>
      <c r="D153" s="2" t="n"/>
      <c r="E153" s="2" t="n"/>
    </row>
    <row r="154" ht="14.25" customHeight="1" s="59">
      <c r="A154" s="3" t="n"/>
      <c r="C154" s="2" t="n"/>
      <c r="D154" s="2" t="n"/>
      <c r="E154" s="2" t="n"/>
    </row>
    <row r="155" ht="14.25" customHeight="1" s="59">
      <c r="A155" s="3" t="n"/>
      <c r="C155" s="2" t="n"/>
      <c r="D155" s="2" t="n"/>
      <c r="E155" s="2" t="n"/>
    </row>
    <row r="156" ht="14.25" customHeight="1" s="59">
      <c r="A156" s="3" t="n"/>
      <c r="C156" s="2" t="n"/>
      <c r="D156" s="2" t="n"/>
      <c r="E156" s="2" t="n"/>
    </row>
    <row r="157" ht="14.25" customHeight="1" s="59">
      <c r="A157" s="3" t="n"/>
      <c r="C157" s="2" t="n"/>
      <c r="D157" s="2" t="n"/>
      <c r="E157" s="2" t="n"/>
    </row>
    <row r="158" ht="14.25" customHeight="1" s="59">
      <c r="A158" s="3" t="n"/>
      <c r="C158" s="2" t="n"/>
      <c r="D158" s="2" t="n"/>
      <c r="E158" s="2" t="n"/>
    </row>
    <row r="159" ht="14.25" customHeight="1" s="59">
      <c r="A159" s="3" t="n"/>
      <c r="C159" s="2" t="n"/>
      <c r="D159" s="2" t="n"/>
      <c r="E159" s="2" t="n"/>
    </row>
    <row r="160" ht="14.25" customHeight="1" s="59">
      <c r="A160" s="3" t="n"/>
      <c r="C160" s="2" t="n"/>
      <c r="D160" s="2" t="n"/>
      <c r="E160" s="2" t="n"/>
    </row>
    <row r="161" ht="14.25" customHeight="1" s="59">
      <c r="A161" s="3" t="n"/>
      <c r="C161" s="2" t="n"/>
      <c r="D161" s="2" t="n"/>
      <c r="E161" s="2" t="n"/>
    </row>
    <row r="162" ht="14.25" customHeight="1" s="59">
      <c r="A162" s="3" t="n"/>
      <c r="C162" s="2" t="n"/>
      <c r="D162" s="2" t="n"/>
      <c r="E162" s="2" t="n"/>
    </row>
    <row r="163" ht="14.25" customHeight="1" s="59">
      <c r="A163" s="3" t="n"/>
      <c r="C163" s="2" t="n"/>
      <c r="D163" s="2" t="n"/>
      <c r="E163" s="2" t="n"/>
    </row>
    <row r="164" ht="14.25" customHeight="1" s="59">
      <c r="A164" s="3" t="n"/>
      <c r="C164" s="2" t="n"/>
      <c r="D164" s="2" t="n"/>
      <c r="E164" s="2" t="n"/>
    </row>
    <row r="165" ht="14.25" customHeight="1" s="59">
      <c r="A165" s="3" t="n"/>
      <c r="C165" s="2" t="n"/>
      <c r="D165" s="2" t="n"/>
      <c r="E165" s="2" t="n"/>
    </row>
    <row r="166" ht="14.25" customHeight="1" s="59">
      <c r="A166" s="3" t="n"/>
      <c r="C166" s="2" t="n"/>
      <c r="D166" s="2" t="n"/>
      <c r="E166" s="2" t="n"/>
    </row>
    <row r="167" ht="14.25" customHeight="1" s="59">
      <c r="A167" s="3" t="n"/>
      <c r="C167" s="2" t="n"/>
      <c r="D167" s="2" t="n"/>
      <c r="E167" s="2" t="n"/>
    </row>
    <row r="168" ht="14.25" customHeight="1" s="59">
      <c r="A168" s="3" t="n"/>
      <c r="C168" s="2" t="n"/>
      <c r="D168" s="2" t="n"/>
      <c r="E168" s="2" t="n"/>
    </row>
    <row r="169" ht="14.25" customHeight="1" s="59">
      <c r="A169" s="3" t="n"/>
      <c r="C169" s="2" t="n"/>
      <c r="D169" s="2" t="n"/>
      <c r="E169" s="2" t="n"/>
    </row>
    <row r="170" ht="14.25" customHeight="1" s="59">
      <c r="A170" s="3" t="n"/>
      <c r="C170" s="2" t="n"/>
      <c r="D170" s="2" t="n"/>
      <c r="E170" s="2" t="n"/>
    </row>
    <row r="171" ht="14.25" customHeight="1" s="59">
      <c r="A171" s="3" t="n"/>
      <c r="C171" s="2" t="n"/>
      <c r="D171" s="2" t="n"/>
      <c r="E171" s="2" t="n"/>
    </row>
    <row r="172" ht="14.25" customHeight="1" s="59">
      <c r="A172" s="3" t="n"/>
      <c r="C172" s="2" t="n"/>
      <c r="D172" s="2" t="n"/>
      <c r="E172" s="2" t="n"/>
    </row>
    <row r="173" ht="14.25" customHeight="1" s="59">
      <c r="A173" s="3" t="n"/>
      <c r="C173" s="2" t="n"/>
      <c r="D173" s="2" t="n"/>
      <c r="E173" s="2" t="n"/>
    </row>
    <row r="174" ht="14.25" customHeight="1" s="59">
      <c r="A174" s="3" t="n"/>
      <c r="C174" s="2" t="n"/>
      <c r="D174" s="2" t="n"/>
      <c r="E174" s="2" t="n"/>
    </row>
    <row r="175" ht="14.25" customHeight="1" s="59">
      <c r="A175" s="3" t="n"/>
      <c r="C175" s="2" t="n"/>
      <c r="D175" s="2" t="n"/>
      <c r="E175" s="2" t="n"/>
    </row>
    <row r="176" ht="14.25" customHeight="1" s="59">
      <c r="A176" s="3" t="n"/>
      <c r="C176" s="2" t="n"/>
      <c r="D176" s="2" t="n"/>
      <c r="E176" s="2" t="n"/>
    </row>
    <row r="177" ht="14.25" customHeight="1" s="59">
      <c r="A177" s="3" t="n"/>
      <c r="C177" s="2" t="n"/>
      <c r="D177" s="2" t="n"/>
      <c r="E177" s="2" t="n"/>
    </row>
    <row r="178" ht="14.25" customHeight="1" s="59">
      <c r="A178" s="3" t="n"/>
      <c r="C178" s="2" t="n"/>
      <c r="D178" s="2" t="n"/>
      <c r="E178" s="2" t="n"/>
    </row>
    <row r="179" ht="14.25" customHeight="1" s="59">
      <c r="A179" s="3" t="n"/>
      <c r="C179" s="2" t="n"/>
      <c r="D179" s="2" t="n"/>
      <c r="E179" s="2" t="n"/>
    </row>
    <row r="180" ht="14.25" customHeight="1" s="59">
      <c r="A180" s="3" t="n"/>
      <c r="C180" s="2" t="n"/>
      <c r="D180" s="2" t="n"/>
      <c r="E180" s="2" t="n"/>
    </row>
    <row r="181" ht="14.25" customHeight="1" s="59">
      <c r="A181" s="3" t="n"/>
      <c r="C181" s="2" t="n"/>
      <c r="D181" s="2" t="n"/>
      <c r="E181" s="2" t="n"/>
    </row>
    <row r="182" ht="14.25" customHeight="1" s="59">
      <c r="A182" s="3" t="n"/>
      <c r="C182" s="2" t="n"/>
      <c r="D182" s="2" t="n"/>
      <c r="E182" s="2" t="n"/>
    </row>
    <row r="183" ht="14.25" customHeight="1" s="59">
      <c r="A183" s="3" t="n"/>
      <c r="C183" s="2" t="n"/>
      <c r="D183" s="2" t="n"/>
      <c r="E183" s="2" t="n"/>
    </row>
    <row r="184" ht="14.25" customHeight="1" s="59">
      <c r="A184" s="3" t="n"/>
      <c r="C184" s="2" t="n"/>
      <c r="D184" s="2" t="n"/>
      <c r="E184" s="2" t="n"/>
    </row>
    <row r="185" ht="14.25" customHeight="1" s="59">
      <c r="A185" s="3" t="n"/>
      <c r="C185" s="2" t="n"/>
      <c r="D185" s="2" t="n"/>
      <c r="E185" s="2" t="n"/>
    </row>
    <row r="186" ht="14.25" customHeight="1" s="59">
      <c r="A186" s="3" t="n"/>
      <c r="C186" s="2" t="n"/>
      <c r="D186" s="2" t="n"/>
      <c r="E186" s="2" t="n"/>
    </row>
    <row r="187" ht="14.25" customHeight="1" s="59">
      <c r="A187" s="3" t="n"/>
      <c r="C187" s="2" t="n"/>
      <c r="D187" s="2" t="n"/>
      <c r="E187" s="2" t="n"/>
    </row>
    <row r="188" ht="14.25" customHeight="1" s="59">
      <c r="A188" s="3" t="n"/>
      <c r="C188" s="2" t="n"/>
      <c r="D188" s="2" t="n"/>
      <c r="E188" s="2" t="n"/>
    </row>
    <row r="189" ht="14.25" customHeight="1" s="59">
      <c r="A189" s="3" t="n"/>
      <c r="C189" s="2" t="n"/>
      <c r="D189" s="2" t="n"/>
      <c r="E189" s="2" t="n"/>
    </row>
    <row r="190" ht="14.25" customHeight="1" s="59">
      <c r="A190" s="3" t="n"/>
      <c r="C190" s="2" t="n"/>
      <c r="D190" s="2" t="n"/>
      <c r="E190" s="2" t="n"/>
    </row>
    <row r="191" ht="14.25" customHeight="1" s="59">
      <c r="A191" s="3" t="n"/>
      <c r="C191" s="2" t="n"/>
      <c r="D191" s="2" t="n"/>
      <c r="E191" s="2" t="n"/>
    </row>
    <row r="192" ht="14.25" customHeight="1" s="59">
      <c r="A192" s="3" t="n"/>
      <c r="C192" s="2" t="n"/>
      <c r="D192" s="2" t="n"/>
      <c r="E192" s="2" t="n"/>
    </row>
    <row r="193" ht="14.25" customHeight="1" s="59">
      <c r="A193" s="3" t="n"/>
      <c r="C193" s="2" t="n"/>
      <c r="D193" s="2" t="n"/>
      <c r="E193" s="2" t="n"/>
    </row>
    <row r="194" ht="14.25" customHeight="1" s="59">
      <c r="A194" s="3" t="n"/>
      <c r="C194" s="2" t="n"/>
      <c r="D194" s="2" t="n"/>
      <c r="E194" s="2" t="n"/>
    </row>
    <row r="195" ht="14.25" customHeight="1" s="59">
      <c r="A195" s="3" t="n"/>
      <c r="C195" s="2" t="n"/>
      <c r="D195" s="2" t="n"/>
      <c r="E195" s="2" t="n"/>
    </row>
    <row r="196" ht="14.25" customHeight="1" s="59">
      <c r="A196" s="3" t="n"/>
      <c r="C196" s="2" t="n"/>
      <c r="D196" s="2" t="n"/>
      <c r="E196" s="2" t="n"/>
    </row>
    <row r="197" ht="14.25" customHeight="1" s="59">
      <c r="A197" s="3" t="n"/>
      <c r="C197" s="2" t="n"/>
      <c r="D197" s="2" t="n"/>
      <c r="E197" s="2" t="n"/>
    </row>
    <row r="198" ht="14.25" customHeight="1" s="59">
      <c r="A198" s="3" t="n"/>
      <c r="C198" s="2" t="n"/>
      <c r="D198" s="2" t="n"/>
      <c r="E198" s="2" t="n"/>
    </row>
    <row r="199" ht="14.25" customHeight="1" s="59">
      <c r="A199" s="3" t="n"/>
      <c r="C199" s="2" t="n"/>
      <c r="D199" s="2" t="n"/>
      <c r="E199" s="2" t="n"/>
    </row>
    <row r="200" ht="14.25" customHeight="1" s="59">
      <c r="A200" s="3" t="n"/>
      <c r="C200" s="2" t="n"/>
      <c r="D200" s="2" t="n"/>
      <c r="E200" s="2" t="n"/>
    </row>
    <row r="201" ht="14.25" customHeight="1" s="59">
      <c r="A201" s="3" t="n"/>
      <c r="C201" s="2" t="n"/>
      <c r="D201" s="2" t="n"/>
      <c r="E201" s="2" t="n"/>
    </row>
    <row r="202" ht="14.25" customHeight="1" s="59">
      <c r="A202" s="3" t="n"/>
      <c r="C202" s="2" t="n"/>
      <c r="D202" s="2" t="n"/>
      <c r="E202" s="2" t="n"/>
    </row>
    <row r="203" ht="14.25" customHeight="1" s="59">
      <c r="A203" s="3" t="n"/>
      <c r="C203" s="2" t="n"/>
      <c r="D203" s="2" t="n"/>
      <c r="E203" s="2" t="n"/>
    </row>
    <row r="204" ht="14.25" customHeight="1" s="59">
      <c r="A204" s="3" t="n"/>
      <c r="C204" s="2" t="n"/>
      <c r="D204" s="2" t="n"/>
      <c r="E204" s="2" t="n"/>
    </row>
    <row r="205" ht="14.25" customHeight="1" s="59">
      <c r="A205" s="3" t="n"/>
      <c r="C205" s="2" t="n"/>
      <c r="D205" s="2" t="n"/>
      <c r="E205" s="2" t="n"/>
    </row>
    <row r="206" ht="14.25" customHeight="1" s="59">
      <c r="A206" s="3" t="n"/>
      <c r="C206" s="2" t="n"/>
      <c r="D206" s="2" t="n"/>
      <c r="E206" s="2" t="n"/>
    </row>
    <row r="207" ht="14.25" customHeight="1" s="59">
      <c r="A207" s="3" t="n"/>
      <c r="C207" s="2" t="n"/>
      <c r="D207" s="2" t="n"/>
      <c r="E207" s="2" t="n"/>
    </row>
    <row r="208" ht="14.25" customHeight="1" s="59">
      <c r="A208" s="3" t="n"/>
      <c r="C208" s="2" t="n"/>
      <c r="D208" s="2" t="n"/>
      <c r="E208" s="2" t="n"/>
    </row>
    <row r="209" ht="14.25" customHeight="1" s="59">
      <c r="A209" s="3" t="n"/>
      <c r="C209" s="2" t="n"/>
      <c r="D209" s="2" t="n"/>
      <c r="E209" s="2" t="n"/>
    </row>
    <row r="210" ht="14.25" customHeight="1" s="59">
      <c r="A210" s="3" t="n"/>
      <c r="C210" s="2" t="n"/>
      <c r="D210" s="2" t="n"/>
      <c r="E210" s="2" t="n"/>
    </row>
    <row r="211" ht="14.25" customHeight="1" s="59">
      <c r="A211" s="3" t="n"/>
      <c r="C211" s="2" t="n"/>
      <c r="D211" s="2" t="n"/>
      <c r="E211" s="2" t="n"/>
    </row>
    <row r="212" ht="14.25" customHeight="1" s="59">
      <c r="A212" s="3" t="n"/>
      <c r="C212" s="2" t="n"/>
      <c r="D212" s="2" t="n"/>
      <c r="E212" s="2" t="n"/>
    </row>
    <row r="213" ht="14.25" customHeight="1" s="59">
      <c r="A213" s="3" t="n"/>
      <c r="C213" s="2" t="n"/>
      <c r="D213" s="2" t="n"/>
      <c r="E213" s="2" t="n"/>
    </row>
    <row r="214" ht="14.25" customHeight="1" s="59">
      <c r="A214" s="3" t="n"/>
      <c r="C214" s="2" t="n"/>
      <c r="D214" s="2" t="n"/>
      <c r="E214" s="2" t="n"/>
    </row>
    <row r="215" ht="14.25" customHeight="1" s="59">
      <c r="A215" s="3" t="n"/>
      <c r="C215" s="2" t="n"/>
      <c r="D215" s="2" t="n"/>
      <c r="E215" s="2" t="n"/>
    </row>
    <row r="216" ht="14.25" customHeight="1" s="59">
      <c r="A216" s="3" t="n"/>
      <c r="C216" s="2" t="n"/>
      <c r="D216" s="2" t="n"/>
      <c r="E216" s="2" t="n"/>
    </row>
    <row r="217" ht="14.25" customHeight="1" s="59">
      <c r="A217" s="3" t="n"/>
      <c r="C217" s="2" t="n"/>
      <c r="D217" s="2" t="n"/>
      <c r="E217" s="2" t="n"/>
    </row>
    <row r="218" ht="14.25" customHeight="1" s="59">
      <c r="A218" s="3" t="n"/>
      <c r="C218" s="2" t="n"/>
      <c r="D218" s="2" t="n"/>
      <c r="E218" s="2" t="n"/>
    </row>
    <row r="219" ht="14.25" customHeight="1" s="59">
      <c r="A219" s="3" t="n"/>
      <c r="C219" s="2" t="n"/>
      <c r="D219" s="2" t="n"/>
      <c r="E219" s="2" t="n"/>
    </row>
    <row r="220" ht="14.25" customHeight="1" s="59">
      <c r="A220" s="3" t="n"/>
      <c r="C220" s="2" t="n"/>
      <c r="D220" s="2" t="n"/>
      <c r="E220" s="2" t="n"/>
    </row>
    <row r="221" ht="14.25" customHeight="1" s="59">
      <c r="A221" s="3" t="n"/>
      <c r="C221" s="2" t="n"/>
      <c r="D221" s="2" t="n"/>
      <c r="E221" s="2" t="n"/>
    </row>
    <row r="222" ht="14.25" customHeight="1" s="59">
      <c r="A222" s="3" t="n"/>
      <c r="C222" s="2" t="n"/>
      <c r="D222" s="2" t="n"/>
      <c r="E222" s="2" t="n"/>
    </row>
    <row r="223" ht="14.25" customHeight="1" s="59">
      <c r="A223" s="3" t="n"/>
      <c r="C223" s="2" t="n"/>
      <c r="D223" s="2" t="n"/>
      <c r="E223" s="2" t="n"/>
    </row>
    <row r="224" ht="14.25" customHeight="1" s="59">
      <c r="A224" s="3" t="n"/>
      <c r="C224" s="2" t="n"/>
      <c r="D224" s="2" t="n"/>
      <c r="E224" s="2" t="n"/>
    </row>
    <row r="225" ht="14.25" customHeight="1" s="59">
      <c r="A225" s="3" t="n"/>
      <c r="C225" s="2" t="n"/>
      <c r="D225" s="2" t="n"/>
      <c r="E225" s="2" t="n"/>
    </row>
    <row r="226" ht="14.25" customHeight="1" s="59">
      <c r="A226" s="3" t="n"/>
      <c r="C226" s="2" t="n"/>
      <c r="D226" s="2" t="n"/>
      <c r="E226" s="2" t="n"/>
    </row>
    <row r="227" ht="14.25" customHeight="1" s="59">
      <c r="A227" s="3" t="n"/>
      <c r="C227" s="2" t="n"/>
      <c r="D227" s="2" t="n"/>
      <c r="E227" s="2" t="n"/>
    </row>
    <row r="228" ht="14.25" customHeight="1" s="59">
      <c r="A228" s="3" t="n"/>
      <c r="C228" s="2" t="n"/>
      <c r="D228" s="2" t="n"/>
      <c r="E228" s="2" t="n"/>
    </row>
    <row r="229" ht="14.25" customHeight="1" s="59">
      <c r="A229" s="3" t="n"/>
      <c r="C229" s="2" t="n"/>
      <c r="D229" s="2" t="n"/>
      <c r="E229" s="2" t="n"/>
    </row>
    <row r="230" ht="14.25" customHeight="1" s="59">
      <c r="A230" s="3" t="n"/>
      <c r="C230" s="2" t="n"/>
      <c r="D230" s="2" t="n"/>
      <c r="E230" s="2" t="n"/>
    </row>
    <row r="231" ht="14.25" customHeight="1" s="59">
      <c r="A231" s="3" t="n"/>
      <c r="C231" s="2" t="n"/>
      <c r="D231" s="2" t="n"/>
      <c r="E231" s="2" t="n"/>
    </row>
    <row r="232" ht="14.25" customHeight="1" s="59">
      <c r="A232" s="3" t="n"/>
      <c r="C232" s="2" t="n"/>
      <c r="D232" s="2" t="n"/>
      <c r="E232" s="2" t="n"/>
    </row>
    <row r="233" ht="14.25" customHeight="1" s="59">
      <c r="A233" s="3" t="n"/>
      <c r="C233" s="2" t="n"/>
      <c r="D233" s="2" t="n"/>
      <c r="E233" s="2" t="n"/>
    </row>
    <row r="234" ht="14.25" customHeight="1" s="59">
      <c r="A234" s="3" t="n"/>
      <c r="C234" s="2" t="n"/>
      <c r="D234" s="2" t="n"/>
      <c r="E234" s="2" t="n"/>
    </row>
    <row r="235" ht="14.25" customHeight="1" s="59">
      <c r="A235" s="3" t="n"/>
      <c r="C235" s="2" t="n"/>
      <c r="D235" s="2" t="n"/>
      <c r="E235" s="2" t="n"/>
    </row>
    <row r="236" ht="14.25" customHeight="1" s="59">
      <c r="A236" s="3" t="n"/>
      <c r="C236" s="2" t="n"/>
      <c r="D236" s="2" t="n"/>
      <c r="E236" s="2" t="n"/>
    </row>
    <row r="237" ht="14.25" customHeight="1" s="59">
      <c r="A237" s="3" t="n"/>
      <c r="C237" s="2" t="n"/>
      <c r="D237" s="2" t="n"/>
      <c r="E237" s="2" t="n"/>
    </row>
    <row r="238" ht="14.25" customHeight="1" s="59">
      <c r="A238" s="3" t="n"/>
      <c r="C238" s="2" t="n"/>
      <c r="D238" s="2" t="n"/>
      <c r="E238" s="2" t="n"/>
    </row>
    <row r="239" ht="14.25" customHeight="1" s="59">
      <c r="A239" s="3" t="n"/>
      <c r="C239" s="2" t="n"/>
      <c r="D239" s="2" t="n"/>
      <c r="E239" s="2" t="n"/>
    </row>
    <row r="240" ht="14.25" customHeight="1" s="59">
      <c r="A240" s="3" t="n"/>
      <c r="C240" s="2" t="n"/>
      <c r="D240" s="2" t="n"/>
      <c r="E240" s="2" t="n"/>
    </row>
    <row r="241" ht="14.25" customHeight="1" s="59">
      <c r="A241" s="3" t="n"/>
      <c r="C241" s="2" t="n"/>
      <c r="D241" s="2" t="n"/>
      <c r="E241" s="2" t="n"/>
    </row>
    <row r="242" ht="14.25" customHeight="1" s="59">
      <c r="A242" s="3" t="n"/>
      <c r="C242" s="2" t="n"/>
      <c r="D242" s="2" t="n"/>
      <c r="E242" s="2" t="n"/>
    </row>
    <row r="243" ht="14.25" customHeight="1" s="59">
      <c r="A243" s="3" t="n"/>
      <c r="C243" s="2" t="n"/>
      <c r="D243" s="2" t="n"/>
      <c r="E243" s="2" t="n"/>
    </row>
    <row r="244" ht="14.25" customHeight="1" s="59">
      <c r="A244" s="3" t="n"/>
      <c r="C244" s="2" t="n"/>
      <c r="D244" s="2" t="n"/>
      <c r="E244" s="2" t="n"/>
    </row>
    <row r="245" ht="14.25" customHeight="1" s="59">
      <c r="A245" s="3" t="n"/>
      <c r="C245" s="2" t="n"/>
      <c r="D245" s="2" t="n"/>
      <c r="E245" s="2" t="n"/>
    </row>
    <row r="246" ht="14.25" customHeight="1" s="59">
      <c r="A246" s="3" t="n"/>
      <c r="C246" s="2" t="n"/>
      <c r="D246" s="2" t="n"/>
      <c r="E246" s="2" t="n"/>
    </row>
    <row r="247" ht="14.25" customHeight="1" s="59">
      <c r="A247" s="3" t="n"/>
      <c r="C247" s="2" t="n"/>
      <c r="D247" s="2" t="n"/>
      <c r="E247" s="2" t="n"/>
    </row>
    <row r="248" ht="14.25" customHeight="1" s="59">
      <c r="A248" s="3" t="n"/>
      <c r="C248" s="2" t="n"/>
      <c r="D248" s="2" t="n"/>
      <c r="E248" s="2" t="n"/>
    </row>
    <row r="249" ht="14.25" customHeight="1" s="59">
      <c r="A249" s="3" t="n"/>
      <c r="C249" s="2" t="n"/>
      <c r="D249" s="2" t="n"/>
      <c r="E249" s="2" t="n"/>
    </row>
    <row r="250" ht="14.25" customHeight="1" s="59">
      <c r="A250" s="3" t="n"/>
      <c r="C250" s="2" t="n"/>
      <c r="D250" s="2" t="n"/>
      <c r="E250" s="2" t="n"/>
    </row>
    <row r="251" ht="14.25" customHeight="1" s="59">
      <c r="A251" s="3" t="n"/>
      <c r="C251" s="2" t="n"/>
      <c r="D251" s="2" t="n"/>
      <c r="E251" s="2" t="n"/>
    </row>
    <row r="252" ht="14.25" customHeight="1" s="59">
      <c r="A252" s="3" t="n"/>
      <c r="C252" s="2" t="n"/>
      <c r="D252" s="2" t="n"/>
      <c r="E252" s="2" t="n"/>
    </row>
    <row r="253" ht="14.25" customHeight="1" s="59">
      <c r="A253" s="3" t="n"/>
      <c r="C253" s="2" t="n"/>
      <c r="D253" s="2" t="n"/>
      <c r="E253" s="2" t="n"/>
    </row>
    <row r="254" ht="14.25" customHeight="1" s="59">
      <c r="A254" s="3" t="n"/>
      <c r="C254" s="2" t="n"/>
      <c r="D254" s="2" t="n"/>
      <c r="E254" s="2" t="n"/>
    </row>
    <row r="255" ht="14.25" customHeight="1" s="59">
      <c r="A255" s="3" t="n"/>
      <c r="C255" s="2" t="n"/>
      <c r="D255" s="2" t="n"/>
      <c r="E255" s="2" t="n"/>
    </row>
    <row r="256" ht="14.25" customHeight="1" s="59">
      <c r="A256" s="3" t="n"/>
      <c r="C256" s="2" t="n"/>
      <c r="D256" s="2" t="n"/>
      <c r="E256" s="2" t="n"/>
    </row>
    <row r="257" ht="14.25" customHeight="1" s="59">
      <c r="A257" s="3" t="n"/>
      <c r="C257" s="2" t="n"/>
      <c r="D257" s="2" t="n"/>
      <c r="E257" s="2" t="n"/>
    </row>
    <row r="258" ht="14.25" customHeight="1" s="59">
      <c r="A258" s="3" t="n"/>
      <c r="C258" s="2" t="n"/>
      <c r="D258" s="2" t="n"/>
      <c r="E258" s="2" t="n"/>
    </row>
    <row r="259" ht="14.25" customHeight="1" s="59">
      <c r="A259" s="3" t="n"/>
      <c r="C259" s="2" t="n"/>
      <c r="D259" s="2" t="n"/>
      <c r="E259" s="2" t="n"/>
    </row>
    <row r="260" ht="14.25" customHeight="1" s="59">
      <c r="A260" s="3" t="n"/>
      <c r="C260" s="2" t="n"/>
      <c r="D260" s="2" t="n"/>
      <c r="E260" s="2" t="n"/>
    </row>
    <row r="261" ht="14.25" customHeight="1" s="59">
      <c r="A261" s="3" t="n"/>
      <c r="C261" s="2" t="n"/>
      <c r="D261" s="2" t="n"/>
      <c r="E261" s="2" t="n"/>
    </row>
    <row r="262" ht="14.25" customHeight="1" s="59">
      <c r="A262" s="3" t="n"/>
      <c r="C262" s="2" t="n"/>
      <c r="D262" s="2" t="n"/>
      <c r="E262" s="2" t="n"/>
    </row>
    <row r="263" ht="14.25" customHeight="1" s="59">
      <c r="A263" s="3" t="n"/>
      <c r="C263" s="2" t="n"/>
      <c r="D263" s="2" t="n"/>
      <c r="E263" s="2" t="n"/>
    </row>
    <row r="264" ht="14.25" customHeight="1" s="59">
      <c r="A264" s="3" t="n"/>
      <c r="C264" s="2" t="n"/>
      <c r="D264" s="2" t="n"/>
      <c r="E264" s="2" t="n"/>
    </row>
    <row r="265" ht="14.25" customHeight="1" s="59">
      <c r="A265" s="3" t="n"/>
      <c r="C265" s="2" t="n"/>
      <c r="D265" s="2" t="n"/>
      <c r="E265" s="2" t="n"/>
    </row>
    <row r="266" ht="14.25" customHeight="1" s="59">
      <c r="A266" s="3" t="n"/>
      <c r="C266" s="2" t="n"/>
      <c r="D266" s="2" t="n"/>
      <c r="E266" s="2" t="n"/>
    </row>
    <row r="267" ht="14.25" customHeight="1" s="59">
      <c r="A267" s="3" t="n"/>
      <c r="C267" s="2" t="n"/>
      <c r="D267" s="2" t="n"/>
      <c r="E267" s="2" t="n"/>
    </row>
    <row r="268" ht="14.25" customHeight="1" s="59">
      <c r="A268" s="3" t="n"/>
      <c r="C268" s="2" t="n"/>
      <c r="D268" s="2" t="n"/>
      <c r="E268" s="2" t="n"/>
    </row>
    <row r="269" ht="14.25" customHeight="1" s="59">
      <c r="A269" s="3" t="n"/>
      <c r="C269" s="2" t="n"/>
      <c r="D269" s="2" t="n"/>
      <c r="E269" s="2" t="n"/>
    </row>
    <row r="270" ht="14.25" customHeight="1" s="59">
      <c r="A270" s="3" t="n"/>
      <c r="C270" s="2" t="n"/>
      <c r="D270" s="2" t="n"/>
      <c r="E270" s="2" t="n"/>
    </row>
    <row r="271" ht="14.25" customHeight="1" s="59">
      <c r="A271" s="3" t="n"/>
      <c r="C271" s="2" t="n"/>
      <c r="D271" s="2" t="n"/>
      <c r="E271" s="2" t="n"/>
    </row>
    <row r="272" ht="14.25" customHeight="1" s="59">
      <c r="A272" s="3" t="n"/>
      <c r="C272" s="2" t="n"/>
      <c r="D272" s="2" t="n"/>
      <c r="E272" s="2" t="n"/>
    </row>
    <row r="273" ht="14.25" customHeight="1" s="59">
      <c r="A273" s="3" t="n"/>
      <c r="C273" s="2" t="n"/>
      <c r="D273" s="2" t="n"/>
      <c r="E273" s="2" t="n"/>
    </row>
    <row r="274" ht="14.25" customHeight="1" s="59">
      <c r="A274" s="3" t="n"/>
      <c r="C274" s="2" t="n"/>
      <c r="D274" s="2" t="n"/>
      <c r="E274" s="2" t="n"/>
    </row>
    <row r="275" ht="14.25" customHeight="1" s="59">
      <c r="A275" s="3" t="n"/>
      <c r="C275" s="2" t="n"/>
      <c r="D275" s="2" t="n"/>
      <c r="E275" s="2" t="n"/>
    </row>
    <row r="276" ht="14.25" customHeight="1" s="59">
      <c r="A276" s="3" t="n"/>
      <c r="C276" s="2" t="n"/>
      <c r="D276" s="2" t="n"/>
      <c r="E276" s="2" t="n"/>
    </row>
    <row r="277" ht="14.25" customHeight="1" s="59">
      <c r="A277" s="3" t="n"/>
      <c r="C277" s="2" t="n"/>
      <c r="D277" s="2" t="n"/>
      <c r="E277" s="2" t="n"/>
    </row>
    <row r="278" ht="14.25" customHeight="1" s="59">
      <c r="A278" s="3" t="n"/>
      <c r="C278" s="2" t="n"/>
      <c r="D278" s="2" t="n"/>
      <c r="E278" s="2" t="n"/>
    </row>
    <row r="279" ht="14.25" customHeight="1" s="59">
      <c r="A279" s="3" t="n"/>
      <c r="C279" s="2" t="n"/>
      <c r="D279" s="2" t="n"/>
      <c r="E279" s="2" t="n"/>
    </row>
    <row r="280" ht="14.25" customHeight="1" s="59">
      <c r="A280" s="3" t="n"/>
      <c r="C280" s="2" t="n"/>
      <c r="D280" s="2" t="n"/>
      <c r="E280" s="2" t="n"/>
    </row>
    <row r="281" ht="14.25" customHeight="1" s="59">
      <c r="A281" s="3" t="n"/>
      <c r="C281" s="2" t="n"/>
      <c r="D281" s="2" t="n"/>
      <c r="E281" s="2" t="n"/>
    </row>
    <row r="282" ht="14.25" customHeight="1" s="59">
      <c r="A282" s="3" t="n"/>
      <c r="C282" s="2" t="n"/>
      <c r="D282" s="2" t="n"/>
      <c r="E282" s="2" t="n"/>
    </row>
    <row r="283" ht="14.25" customHeight="1" s="59">
      <c r="A283" s="3" t="n"/>
      <c r="C283" s="2" t="n"/>
      <c r="D283" s="2" t="n"/>
      <c r="E283" s="2" t="n"/>
    </row>
    <row r="284" ht="14.25" customHeight="1" s="59">
      <c r="A284" s="3" t="n"/>
      <c r="C284" s="2" t="n"/>
      <c r="D284" s="2" t="n"/>
      <c r="E284" s="2" t="n"/>
    </row>
    <row r="285" ht="14.25" customHeight="1" s="59">
      <c r="A285" s="3" t="n"/>
      <c r="C285" s="2" t="n"/>
      <c r="D285" s="2" t="n"/>
      <c r="E285" s="2" t="n"/>
    </row>
    <row r="286" ht="14.25" customHeight="1" s="59">
      <c r="A286" s="3" t="n"/>
      <c r="C286" s="2" t="n"/>
      <c r="D286" s="2" t="n"/>
      <c r="E286" s="2" t="n"/>
    </row>
    <row r="287" ht="14.25" customHeight="1" s="59">
      <c r="A287" s="3" t="n"/>
      <c r="C287" s="2" t="n"/>
      <c r="D287" s="2" t="n"/>
      <c r="E287" s="2" t="n"/>
    </row>
    <row r="288" ht="14.25" customHeight="1" s="59">
      <c r="A288" s="3" t="n"/>
      <c r="C288" s="2" t="n"/>
      <c r="D288" s="2" t="n"/>
      <c r="E288" s="2" t="n"/>
    </row>
    <row r="289" ht="14.25" customHeight="1" s="59">
      <c r="A289" s="3" t="n"/>
      <c r="C289" s="2" t="n"/>
      <c r="D289" s="2" t="n"/>
      <c r="E289" s="2" t="n"/>
    </row>
    <row r="290" ht="14.25" customHeight="1" s="59">
      <c r="A290" s="3" t="n"/>
      <c r="C290" s="2" t="n"/>
      <c r="D290" s="2" t="n"/>
      <c r="E290" s="2" t="n"/>
    </row>
    <row r="291" ht="14.25" customHeight="1" s="59">
      <c r="A291" s="3" t="n"/>
      <c r="C291" s="2" t="n"/>
      <c r="D291" s="2" t="n"/>
      <c r="E291" s="2" t="n"/>
    </row>
    <row r="292" ht="14.25" customHeight="1" s="59">
      <c r="A292" s="3" t="n"/>
      <c r="C292" s="2" t="n"/>
      <c r="D292" s="2" t="n"/>
      <c r="E292" s="2" t="n"/>
    </row>
    <row r="293" ht="14.25" customHeight="1" s="59">
      <c r="A293" s="3" t="n"/>
      <c r="C293" s="2" t="n"/>
      <c r="D293" s="2" t="n"/>
      <c r="E293" s="2" t="n"/>
    </row>
    <row r="294" ht="14.25" customHeight="1" s="59">
      <c r="A294" s="3" t="n"/>
      <c r="C294" s="2" t="n"/>
      <c r="D294" s="2" t="n"/>
      <c r="E294" s="2" t="n"/>
    </row>
    <row r="295" ht="14.25" customHeight="1" s="59">
      <c r="A295" s="3" t="n"/>
      <c r="C295" s="2" t="n"/>
      <c r="D295" s="2" t="n"/>
      <c r="E295" s="2" t="n"/>
    </row>
    <row r="296" ht="14.25" customHeight="1" s="59">
      <c r="A296" s="3" t="n"/>
      <c r="C296" s="2" t="n"/>
      <c r="D296" s="2" t="n"/>
      <c r="E296" s="2" t="n"/>
    </row>
    <row r="297" ht="14.25" customHeight="1" s="59">
      <c r="A297" s="3" t="n"/>
      <c r="C297" s="2" t="n"/>
      <c r="D297" s="2" t="n"/>
      <c r="E297" s="2" t="n"/>
    </row>
    <row r="298" ht="14.25" customHeight="1" s="59">
      <c r="A298" s="3" t="n"/>
      <c r="C298" s="2" t="n"/>
      <c r="D298" s="2" t="n"/>
      <c r="E298" s="2" t="n"/>
    </row>
    <row r="299" ht="14.25" customHeight="1" s="59">
      <c r="A299" s="3" t="n"/>
      <c r="C299" s="2" t="n"/>
      <c r="D299" s="2" t="n"/>
      <c r="E299" s="2" t="n"/>
    </row>
    <row r="300" ht="14.25" customHeight="1" s="59">
      <c r="A300" s="3" t="n"/>
      <c r="C300" s="2" t="n"/>
      <c r="D300" s="2" t="n"/>
      <c r="E300" s="2" t="n"/>
    </row>
    <row r="301" ht="14.25" customHeight="1" s="59">
      <c r="A301" s="3" t="n"/>
      <c r="C301" s="2" t="n"/>
      <c r="D301" s="2" t="n"/>
      <c r="E301" s="2" t="n"/>
    </row>
    <row r="302" ht="14.25" customHeight="1" s="59">
      <c r="A302" s="3" t="n"/>
      <c r="C302" s="2" t="n"/>
      <c r="D302" s="2" t="n"/>
      <c r="E302" s="2" t="n"/>
    </row>
    <row r="303" ht="14.25" customHeight="1" s="59">
      <c r="A303" s="3" t="n"/>
      <c r="C303" s="2" t="n"/>
      <c r="D303" s="2" t="n"/>
      <c r="E303" s="2" t="n"/>
    </row>
    <row r="304" ht="14.25" customHeight="1" s="59">
      <c r="A304" s="3" t="n"/>
      <c r="C304" s="2" t="n"/>
      <c r="D304" s="2" t="n"/>
      <c r="E304" s="2" t="n"/>
    </row>
    <row r="305" ht="14.25" customHeight="1" s="59">
      <c r="A305" s="3" t="n"/>
      <c r="C305" s="2" t="n"/>
      <c r="D305" s="2" t="n"/>
      <c r="E305" s="2" t="n"/>
    </row>
    <row r="306" ht="14.25" customHeight="1" s="59">
      <c r="A306" s="3" t="n"/>
      <c r="C306" s="2" t="n"/>
      <c r="D306" s="2" t="n"/>
      <c r="E306" s="2" t="n"/>
    </row>
    <row r="307" ht="14.25" customHeight="1" s="59">
      <c r="A307" s="3" t="n"/>
      <c r="C307" s="2" t="n"/>
      <c r="D307" s="2" t="n"/>
      <c r="E307" s="2" t="n"/>
    </row>
    <row r="308" ht="14.25" customHeight="1" s="59">
      <c r="A308" s="3" t="n"/>
      <c r="C308" s="2" t="n"/>
      <c r="D308" s="2" t="n"/>
      <c r="E308" s="2" t="n"/>
    </row>
    <row r="309" ht="14.25" customHeight="1" s="59">
      <c r="A309" s="3" t="n"/>
      <c r="C309" s="2" t="n"/>
      <c r="D309" s="2" t="n"/>
      <c r="E309" s="2" t="n"/>
    </row>
    <row r="310" ht="14.25" customHeight="1" s="59">
      <c r="A310" s="3" t="n"/>
      <c r="C310" s="2" t="n"/>
      <c r="D310" s="2" t="n"/>
      <c r="E310" s="2" t="n"/>
    </row>
    <row r="311" ht="14.25" customHeight="1" s="59">
      <c r="A311" s="3" t="n"/>
      <c r="C311" s="2" t="n"/>
      <c r="D311" s="2" t="n"/>
      <c r="E311" s="2" t="n"/>
    </row>
    <row r="312" ht="14.25" customHeight="1" s="59">
      <c r="A312" s="3" t="n"/>
      <c r="C312" s="2" t="n"/>
      <c r="D312" s="2" t="n"/>
      <c r="E312" s="2" t="n"/>
    </row>
    <row r="313" ht="14.25" customHeight="1" s="59">
      <c r="A313" s="3" t="n"/>
      <c r="C313" s="2" t="n"/>
      <c r="D313" s="2" t="n"/>
      <c r="E313" s="2" t="n"/>
    </row>
    <row r="314" ht="14.25" customHeight="1" s="59">
      <c r="A314" s="3" t="n"/>
      <c r="C314" s="2" t="n"/>
      <c r="D314" s="2" t="n"/>
      <c r="E314" s="2" t="n"/>
    </row>
    <row r="315" ht="14.25" customHeight="1" s="59">
      <c r="A315" s="3" t="n"/>
      <c r="C315" s="2" t="n"/>
      <c r="D315" s="2" t="n"/>
      <c r="E315" s="2" t="n"/>
    </row>
    <row r="316" ht="14.25" customHeight="1" s="59">
      <c r="A316" s="3" t="n"/>
      <c r="C316" s="2" t="n"/>
      <c r="D316" s="2" t="n"/>
      <c r="E316" s="2" t="n"/>
    </row>
    <row r="317" ht="14.25" customHeight="1" s="59">
      <c r="A317" s="3" t="n"/>
      <c r="C317" s="2" t="n"/>
      <c r="D317" s="2" t="n"/>
      <c r="E317" s="2" t="n"/>
    </row>
    <row r="318" ht="14.25" customHeight="1" s="59">
      <c r="A318" s="3" t="n"/>
      <c r="C318" s="2" t="n"/>
      <c r="D318" s="2" t="n"/>
      <c r="E318" s="2" t="n"/>
    </row>
    <row r="319" ht="14.25" customHeight="1" s="59">
      <c r="A319" s="3" t="n"/>
      <c r="C319" s="2" t="n"/>
      <c r="D319" s="2" t="n"/>
      <c r="E319" s="2" t="n"/>
    </row>
    <row r="320" ht="14.25" customHeight="1" s="59">
      <c r="A320" s="3" t="n"/>
      <c r="C320" s="2" t="n"/>
      <c r="D320" s="2" t="n"/>
      <c r="E320" s="2" t="n"/>
    </row>
    <row r="321" ht="14.25" customHeight="1" s="59">
      <c r="A321" s="3" t="n"/>
      <c r="C321" s="2" t="n"/>
      <c r="D321" s="2" t="n"/>
      <c r="E321" s="2" t="n"/>
    </row>
    <row r="322" ht="14.25" customHeight="1" s="59">
      <c r="A322" s="3" t="n"/>
      <c r="C322" s="2" t="n"/>
      <c r="D322" s="2" t="n"/>
      <c r="E322" s="2" t="n"/>
    </row>
    <row r="323" ht="14.25" customHeight="1" s="59">
      <c r="A323" s="3" t="n"/>
      <c r="C323" s="2" t="n"/>
      <c r="D323" s="2" t="n"/>
      <c r="E323" s="2" t="n"/>
    </row>
    <row r="324" ht="14.25" customHeight="1" s="59">
      <c r="A324" s="3" t="n"/>
      <c r="C324" s="2" t="n"/>
      <c r="D324" s="2" t="n"/>
      <c r="E324" s="2" t="n"/>
    </row>
    <row r="325" ht="14.25" customHeight="1" s="59">
      <c r="A325" s="3" t="n"/>
      <c r="C325" s="2" t="n"/>
      <c r="D325" s="2" t="n"/>
      <c r="E325" s="2" t="n"/>
    </row>
    <row r="326" ht="14.25" customHeight="1" s="59">
      <c r="A326" s="3" t="n"/>
      <c r="C326" s="2" t="n"/>
      <c r="D326" s="2" t="n"/>
      <c r="E326" s="2" t="n"/>
    </row>
    <row r="327" ht="14.25" customHeight="1" s="59">
      <c r="A327" s="3" t="n"/>
      <c r="C327" s="2" t="n"/>
      <c r="D327" s="2" t="n"/>
      <c r="E327" s="2" t="n"/>
    </row>
    <row r="328" ht="14.25" customHeight="1" s="59">
      <c r="A328" s="3" t="n"/>
      <c r="C328" s="2" t="n"/>
      <c r="D328" s="2" t="n"/>
      <c r="E328" s="2" t="n"/>
    </row>
    <row r="329" ht="14.25" customHeight="1" s="59">
      <c r="A329" s="3" t="n"/>
      <c r="C329" s="2" t="n"/>
      <c r="D329" s="2" t="n"/>
      <c r="E329" s="2" t="n"/>
    </row>
    <row r="330" ht="14.25" customHeight="1" s="59">
      <c r="A330" s="3" t="n"/>
      <c r="C330" s="2" t="n"/>
      <c r="D330" s="2" t="n"/>
      <c r="E330" s="2" t="n"/>
    </row>
    <row r="331" ht="14.25" customHeight="1" s="59">
      <c r="A331" s="3" t="n"/>
      <c r="C331" s="2" t="n"/>
      <c r="D331" s="2" t="n"/>
      <c r="E331" s="2" t="n"/>
    </row>
    <row r="332" ht="14.25" customHeight="1" s="59">
      <c r="A332" s="3" t="n"/>
      <c r="C332" s="2" t="n"/>
      <c r="D332" s="2" t="n"/>
      <c r="E332" s="2" t="n"/>
    </row>
    <row r="333" ht="14.25" customHeight="1" s="59">
      <c r="A333" s="3" t="n"/>
      <c r="C333" s="2" t="n"/>
      <c r="D333" s="2" t="n"/>
      <c r="E333" s="2" t="n"/>
    </row>
    <row r="334" ht="14.25" customHeight="1" s="59">
      <c r="A334" s="3" t="n"/>
      <c r="C334" s="2" t="n"/>
      <c r="D334" s="2" t="n"/>
      <c r="E334" s="2" t="n"/>
    </row>
    <row r="335" ht="14.25" customHeight="1" s="59">
      <c r="A335" s="3" t="n"/>
      <c r="C335" s="2" t="n"/>
      <c r="D335" s="2" t="n"/>
      <c r="E335" s="2" t="n"/>
    </row>
    <row r="336" ht="14.25" customHeight="1" s="59">
      <c r="A336" s="3" t="n"/>
      <c r="C336" s="2" t="n"/>
      <c r="D336" s="2" t="n"/>
      <c r="E336" s="2" t="n"/>
    </row>
    <row r="337" ht="14.25" customHeight="1" s="59">
      <c r="A337" s="3" t="n"/>
      <c r="C337" s="2" t="n"/>
      <c r="D337" s="2" t="n"/>
      <c r="E337" s="2" t="n"/>
    </row>
    <row r="338" ht="14.25" customHeight="1" s="59">
      <c r="A338" s="3" t="n"/>
      <c r="C338" s="2" t="n"/>
      <c r="D338" s="2" t="n"/>
      <c r="E338" s="2" t="n"/>
    </row>
    <row r="339" ht="14.25" customHeight="1" s="59">
      <c r="A339" s="3" t="n"/>
      <c r="C339" s="2" t="n"/>
      <c r="D339" s="2" t="n"/>
      <c r="E339" s="2" t="n"/>
    </row>
    <row r="340" ht="14.25" customHeight="1" s="59">
      <c r="A340" s="3" t="n"/>
      <c r="C340" s="2" t="n"/>
      <c r="D340" s="2" t="n"/>
      <c r="E340" s="2" t="n"/>
    </row>
    <row r="341" ht="14.25" customHeight="1" s="59">
      <c r="A341" s="3" t="n"/>
      <c r="C341" s="2" t="n"/>
      <c r="D341" s="2" t="n"/>
      <c r="E341" s="2" t="n"/>
    </row>
    <row r="342" ht="14.25" customHeight="1" s="59">
      <c r="A342" s="3" t="n"/>
      <c r="C342" s="2" t="n"/>
      <c r="D342" s="2" t="n"/>
      <c r="E342" s="2" t="n"/>
    </row>
    <row r="343" ht="14.25" customHeight="1" s="59">
      <c r="A343" s="3" t="n"/>
      <c r="C343" s="2" t="n"/>
      <c r="D343" s="2" t="n"/>
      <c r="E343" s="2" t="n"/>
    </row>
    <row r="344" ht="14.25" customHeight="1" s="59">
      <c r="A344" s="3" t="n"/>
      <c r="C344" s="2" t="n"/>
      <c r="D344" s="2" t="n"/>
      <c r="E344" s="2" t="n"/>
    </row>
    <row r="345" ht="14.25" customHeight="1" s="59">
      <c r="A345" s="3" t="n"/>
      <c r="C345" s="2" t="n"/>
      <c r="D345" s="2" t="n"/>
      <c r="E345" s="2" t="n"/>
    </row>
    <row r="346" ht="14.25" customHeight="1" s="59">
      <c r="A346" s="3" t="n"/>
      <c r="C346" s="2" t="n"/>
      <c r="D346" s="2" t="n"/>
      <c r="E346" s="2" t="n"/>
    </row>
    <row r="347" ht="14.25" customHeight="1" s="59">
      <c r="A347" s="3" t="n"/>
      <c r="C347" s="2" t="n"/>
      <c r="D347" s="2" t="n"/>
      <c r="E347" s="2" t="n"/>
    </row>
    <row r="348" ht="14.25" customHeight="1" s="59">
      <c r="A348" s="3" t="n"/>
      <c r="C348" s="2" t="n"/>
      <c r="D348" s="2" t="n"/>
      <c r="E348" s="2" t="n"/>
    </row>
    <row r="349" ht="14.25" customHeight="1" s="59">
      <c r="A349" s="3" t="n"/>
      <c r="C349" s="2" t="n"/>
      <c r="D349" s="2" t="n"/>
      <c r="E349" s="2" t="n"/>
    </row>
    <row r="350" ht="14.25" customHeight="1" s="59">
      <c r="A350" s="3" t="n"/>
      <c r="C350" s="2" t="n"/>
      <c r="D350" s="2" t="n"/>
      <c r="E350" s="2" t="n"/>
    </row>
    <row r="351" ht="14.25" customHeight="1" s="59">
      <c r="A351" s="3" t="n"/>
      <c r="C351" s="2" t="n"/>
      <c r="D351" s="2" t="n"/>
      <c r="E351" s="2" t="n"/>
    </row>
    <row r="352" ht="14.25" customHeight="1" s="59">
      <c r="A352" s="3" t="n"/>
      <c r="C352" s="2" t="n"/>
      <c r="D352" s="2" t="n"/>
      <c r="E352" s="2" t="n"/>
    </row>
    <row r="353" ht="14.25" customHeight="1" s="59">
      <c r="A353" s="3" t="n"/>
      <c r="C353" s="2" t="n"/>
      <c r="D353" s="2" t="n"/>
      <c r="E353" s="2" t="n"/>
    </row>
    <row r="354" ht="14.25" customHeight="1" s="59">
      <c r="A354" s="3" t="n"/>
      <c r="C354" s="2" t="n"/>
      <c r="D354" s="2" t="n"/>
      <c r="E354" s="2" t="n"/>
    </row>
    <row r="355" ht="14.25" customHeight="1" s="59">
      <c r="A355" s="3" t="n"/>
      <c r="C355" s="2" t="n"/>
      <c r="D355" s="2" t="n"/>
      <c r="E355" s="2" t="n"/>
    </row>
    <row r="356" ht="14.25" customHeight="1" s="59">
      <c r="A356" s="3" t="n"/>
      <c r="C356" s="2" t="n"/>
      <c r="D356" s="2" t="n"/>
      <c r="E356" s="2" t="n"/>
    </row>
    <row r="357" ht="14.25" customHeight="1" s="59">
      <c r="A357" s="3" t="n"/>
      <c r="C357" s="2" t="n"/>
      <c r="D357" s="2" t="n"/>
      <c r="E357" s="2" t="n"/>
    </row>
    <row r="358" ht="14.25" customHeight="1" s="59">
      <c r="A358" s="3" t="n"/>
      <c r="C358" s="2" t="n"/>
      <c r="D358" s="2" t="n"/>
      <c r="E358" s="2" t="n"/>
    </row>
    <row r="359" ht="14.25" customHeight="1" s="59">
      <c r="A359" s="3" t="n"/>
      <c r="C359" s="2" t="n"/>
      <c r="D359" s="2" t="n"/>
      <c r="E359" s="2" t="n"/>
    </row>
    <row r="360" ht="14.25" customHeight="1" s="59">
      <c r="A360" s="3" t="n"/>
      <c r="C360" s="2" t="n"/>
      <c r="D360" s="2" t="n"/>
      <c r="E360" s="2" t="n"/>
    </row>
    <row r="361" ht="14.25" customHeight="1" s="59">
      <c r="A361" s="3" t="n"/>
      <c r="C361" s="2" t="n"/>
      <c r="D361" s="2" t="n"/>
      <c r="E361" s="2" t="n"/>
    </row>
    <row r="362" ht="14.25" customHeight="1" s="59">
      <c r="A362" s="3" t="n"/>
      <c r="C362" s="2" t="n"/>
      <c r="D362" s="2" t="n"/>
      <c r="E362" s="2" t="n"/>
    </row>
    <row r="363" ht="14.25" customHeight="1" s="59">
      <c r="A363" s="3" t="n"/>
      <c r="C363" s="2" t="n"/>
      <c r="D363" s="2" t="n"/>
      <c r="E363" s="2" t="n"/>
    </row>
    <row r="364" ht="14.25" customHeight="1" s="59">
      <c r="A364" s="3" t="n"/>
      <c r="C364" s="2" t="n"/>
      <c r="D364" s="2" t="n"/>
      <c r="E364" s="2" t="n"/>
    </row>
    <row r="365" ht="14.25" customHeight="1" s="59">
      <c r="A365" s="3" t="n"/>
      <c r="C365" s="2" t="n"/>
      <c r="D365" s="2" t="n"/>
      <c r="E365" s="2" t="n"/>
    </row>
    <row r="366" ht="14.25" customHeight="1" s="59">
      <c r="A366" s="3" t="n"/>
      <c r="C366" s="2" t="n"/>
      <c r="D366" s="2" t="n"/>
      <c r="E366" s="2" t="n"/>
    </row>
    <row r="367" ht="14.25" customHeight="1" s="59">
      <c r="A367" s="3" t="n"/>
      <c r="C367" s="2" t="n"/>
      <c r="D367" s="2" t="n"/>
      <c r="E367" s="2" t="n"/>
    </row>
    <row r="368" ht="14.25" customHeight="1" s="59">
      <c r="A368" s="3" t="n"/>
      <c r="C368" s="2" t="n"/>
      <c r="D368" s="2" t="n"/>
      <c r="E368" s="2" t="n"/>
    </row>
    <row r="369" ht="14.25" customHeight="1" s="59">
      <c r="A369" s="3" t="n"/>
      <c r="C369" s="2" t="n"/>
      <c r="D369" s="2" t="n"/>
      <c r="E369" s="2" t="n"/>
    </row>
    <row r="370" ht="14.25" customHeight="1" s="59">
      <c r="A370" s="3" t="n"/>
      <c r="C370" s="2" t="n"/>
      <c r="D370" s="2" t="n"/>
      <c r="E370" s="2" t="n"/>
    </row>
    <row r="371" ht="14.25" customHeight="1" s="59">
      <c r="A371" s="3" t="n"/>
      <c r="C371" s="2" t="n"/>
      <c r="D371" s="2" t="n"/>
      <c r="E371" s="2" t="n"/>
    </row>
    <row r="372" ht="14.25" customHeight="1" s="59">
      <c r="A372" s="3" t="n"/>
      <c r="C372" s="2" t="n"/>
      <c r="D372" s="2" t="n"/>
      <c r="E372" s="2" t="n"/>
    </row>
    <row r="373" ht="14.25" customHeight="1" s="59">
      <c r="A373" s="3" t="n"/>
      <c r="C373" s="2" t="n"/>
      <c r="D373" s="2" t="n"/>
      <c r="E373" s="2" t="n"/>
    </row>
    <row r="374" ht="14.25" customHeight="1" s="59">
      <c r="A374" s="3" t="n"/>
      <c r="C374" s="2" t="n"/>
      <c r="D374" s="2" t="n"/>
      <c r="E374" s="2" t="n"/>
    </row>
    <row r="375" ht="14.25" customHeight="1" s="59">
      <c r="A375" s="3" t="n"/>
      <c r="C375" s="2" t="n"/>
      <c r="D375" s="2" t="n"/>
      <c r="E375" s="2" t="n"/>
    </row>
    <row r="376" ht="14.25" customHeight="1" s="59">
      <c r="A376" s="3" t="n"/>
      <c r="C376" s="2" t="n"/>
      <c r="D376" s="2" t="n"/>
      <c r="E376" s="2" t="n"/>
    </row>
    <row r="377" ht="14.25" customHeight="1" s="59">
      <c r="A377" s="3" t="n"/>
      <c r="C377" s="2" t="n"/>
      <c r="D377" s="2" t="n"/>
      <c r="E377" s="2" t="n"/>
    </row>
    <row r="378" ht="14.25" customHeight="1" s="59">
      <c r="A378" s="3" t="n"/>
      <c r="C378" s="2" t="n"/>
      <c r="D378" s="2" t="n"/>
      <c r="E378" s="2" t="n"/>
    </row>
    <row r="379" ht="14.25" customHeight="1" s="59">
      <c r="A379" s="3" t="n"/>
      <c r="C379" s="2" t="n"/>
      <c r="D379" s="2" t="n"/>
      <c r="E379" s="2" t="n"/>
    </row>
    <row r="380" ht="14.25" customHeight="1" s="59">
      <c r="A380" s="3" t="n"/>
      <c r="C380" s="2" t="n"/>
      <c r="D380" s="2" t="n"/>
      <c r="E380" s="2" t="n"/>
    </row>
    <row r="381" ht="14.25" customHeight="1" s="59">
      <c r="A381" s="3" t="n"/>
      <c r="C381" s="2" t="n"/>
      <c r="D381" s="2" t="n"/>
      <c r="E381" s="2" t="n"/>
    </row>
    <row r="382" ht="14.25" customHeight="1" s="59">
      <c r="A382" s="3" t="n"/>
      <c r="C382" s="2" t="n"/>
      <c r="D382" s="2" t="n"/>
      <c r="E382" s="2" t="n"/>
    </row>
    <row r="383" ht="14.25" customHeight="1" s="59">
      <c r="A383" s="3" t="n"/>
      <c r="C383" s="2" t="n"/>
      <c r="D383" s="2" t="n"/>
      <c r="E383" s="2" t="n"/>
    </row>
    <row r="384" ht="14.25" customHeight="1" s="59">
      <c r="A384" s="3" t="n"/>
      <c r="C384" s="2" t="n"/>
      <c r="D384" s="2" t="n"/>
      <c r="E384" s="2" t="n"/>
    </row>
    <row r="385" ht="14.25" customHeight="1" s="59">
      <c r="A385" s="3" t="n"/>
      <c r="C385" s="2" t="n"/>
      <c r="D385" s="2" t="n"/>
      <c r="E385" s="2" t="n"/>
    </row>
    <row r="386" ht="14.25" customHeight="1" s="59">
      <c r="A386" s="3" t="n"/>
      <c r="C386" s="2" t="n"/>
      <c r="D386" s="2" t="n"/>
      <c r="E386" s="2" t="n"/>
    </row>
    <row r="387" ht="14.25" customHeight="1" s="59">
      <c r="A387" s="3" t="n"/>
      <c r="C387" s="2" t="n"/>
      <c r="D387" s="2" t="n"/>
      <c r="E387" s="2" t="n"/>
    </row>
    <row r="388" ht="14.25" customHeight="1" s="59">
      <c r="A388" s="3" t="n"/>
      <c r="C388" s="2" t="n"/>
      <c r="D388" s="2" t="n"/>
      <c r="E388" s="2" t="n"/>
    </row>
    <row r="389" ht="14.25" customHeight="1" s="59">
      <c r="A389" s="3" t="n"/>
      <c r="C389" s="2" t="n"/>
      <c r="D389" s="2" t="n"/>
      <c r="E389" s="2" t="n"/>
    </row>
    <row r="390" ht="14.25" customHeight="1" s="59">
      <c r="A390" s="3" t="n"/>
      <c r="C390" s="2" t="n"/>
      <c r="D390" s="2" t="n"/>
      <c r="E390" s="2" t="n"/>
    </row>
    <row r="391" ht="14.25" customHeight="1" s="59">
      <c r="A391" s="3" t="n"/>
      <c r="C391" s="2" t="n"/>
      <c r="D391" s="2" t="n"/>
      <c r="E391" s="2" t="n"/>
    </row>
    <row r="392" ht="14.25" customHeight="1" s="59">
      <c r="A392" s="3" t="n"/>
      <c r="C392" s="2" t="n"/>
      <c r="D392" s="2" t="n"/>
      <c r="E392" s="2" t="n"/>
    </row>
    <row r="393" ht="14.25" customHeight="1" s="59">
      <c r="A393" s="3" t="n"/>
      <c r="C393" s="2" t="n"/>
      <c r="D393" s="2" t="n"/>
      <c r="E393" s="2" t="n"/>
    </row>
    <row r="394" ht="14.25" customHeight="1" s="59">
      <c r="A394" s="3" t="n"/>
      <c r="C394" s="2" t="n"/>
      <c r="D394" s="2" t="n"/>
      <c r="E394" s="2" t="n"/>
    </row>
    <row r="395" ht="14.25" customHeight="1" s="59">
      <c r="A395" s="3" t="n"/>
      <c r="C395" s="2" t="n"/>
      <c r="D395" s="2" t="n"/>
      <c r="E395" s="2" t="n"/>
    </row>
    <row r="396" ht="14.25" customHeight="1" s="59">
      <c r="A396" s="3" t="n"/>
      <c r="C396" s="2" t="n"/>
      <c r="D396" s="2" t="n"/>
      <c r="E396" s="2" t="n"/>
    </row>
    <row r="397" ht="14.25" customHeight="1" s="59">
      <c r="A397" s="3" t="n"/>
      <c r="C397" s="2" t="n"/>
      <c r="D397" s="2" t="n"/>
      <c r="E397" s="2" t="n"/>
    </row>
    <row r="398" ht="14.25" customHeight="1" s="59">
      <c r="A398" s="3" t="n"/>
      <c r="C398" s="2" t="n"/>
      <c r="D398" s="2" t="n"/>
      <c r="E398" s="2" t="n"/>
    </row>
    <row r="399" ht="14.25" customHeight="1" s="59">
      <c r="A399" s="3" t="n"/>
      <c r="C399" s="2" t="n"/>
      <c r="D399" s="2" t="n"/>
      <c r="E399" s="2" t="n"/>
    </row>
    <row r="400" ht="14.25" customHeight="1" s="59">
      <c r="A400" s="3" t="n"/>
      <c r="C400" s="2" t="n"/>
      <c r="D400" s="2" t="n"/>
      <c r="E400" s="2" t="n"/>
    </row>
    <row r="401" ht="14.25" customHeight="1" s="59">
      <c r="A401" s="3" t="n"/>
      <c r="C401" s="2" t="n"/>
      <c r="D401" s="2" t="n"/>
      <c r="E401" s="2" t="n"/>
    </row>
    <row r="402" ht="14.25" customHeight="1" s="59">
      <c r="A402" s="3" t="n"/>
      <c r="C402" s="2" t="n"/>
      <c r="D402" s="2" t="n"/>
      <c r="E402" s="2" t="n"/>
    </row>
    <row r="403" ht="14.25" customHeight="1" s="59">
      <c r="A403" s="3" t="n"/>
      <c r="C403" s="2" t="n"/>
      <c r="D403" s="2" t="n"/>
      <c r="E403" s="2" t="n"/>
    </row>
    <row r="404" ht="14.25" customHeight="1" s="59">
      <c r="A404" s="3" t="n"/>
      <c r="C404" s="2" t="n"/>
      <c r="D404" s="2" t="n"/>
      <c r="E404" s="2" t="n"/>
    </row>
    <row r="405" ht="14.25" customHeight="1" s="59">
      <c r="A405" s="3" t="n"/>
      <c r="C405" s="2" t="n"/>
      <c r="D405" s="2" t="n"/>
      <c r="E405" s="2" t="n"/>
    </row>
    <row r="406" ht="14.25" customHeight="1" s="59">
      <c r="A406" s="3" t="n"/>
      <c r="C406" s="2" t="n"/>
      <c r="D406" s="2" t="n"/>
      <c r="E406" s="2" t="n"/>
    </row>
    <row r="407" ht="14.25" customHeight="1" s="59">
      <c r="A407" s="3" t="n"/>
      <c r="C407" s="2" t="n"/>
      <c r="D407" s="2" t="n"/>
      <c r="E407" s="2" t="n"/>
    </row>
    <row r="408" ht="14.25" customHeight="1" s="59">
      <c r="A408" s="3" t="n"/>
      <c r="C408" s="2" t="n"/>
      <c r="D408" s="2" t="n"/>
      <c r="E408" s="2" t="n"/>
    </row>
    <row r="409" ht="14.25" customHeight="1" s="59">
      <c r="A409" s="3" t="n"/>
      <c r="C409" s="2" t="n"/>
      <c r="D409" s="2" t="n"/>
      <c r="E409" s="2" t="n"/>
    </row>
    <row r="410" ht="14.25" customHeight="1" s="59">
      <c r="A410" s="3" t="n"/>
      <c r="C410" s="2" t="n"/>
      <c r="D410" s="2" t="n"/>
      <c r="E410" s="2" t="n"/>
    </row>
    <row r="411" ht="14.25" customHeight="1" s="59">
      <c r="A411" s="3" t="n"/>
      <c r="C411" s="2" t="n"/>
      <c r="D411" s="2" t="n"/>
      <c r="E411" s="2" t="n"/>
    </row>
    <row r="412" ht="14.25" customHeight="1" s="59">
      <c r="A412" s="3" t="n"/>
      <c r="C412" s="2" t="n"/>
      <c r="D412" s="2" t="n"/>
      <c r="E412" s="2" t="n"/>
    </row>
    <row r="413" ht="14.25" customHeight="1" s="59">
      <c r="A413" s="3" t="n"/>
      <c r="C413" s="2" t="n"/>
      <c r="D413" s="2" t="n"/>
      <c r="E413" s="2" t="n"/>
    </row>
    <row r="414" ht="14.25" customHeight="1" s="59">
      <c r="A414" s="3" t="n"/>
      <c r="C414" s="2" t="n"/>
      <c r="D414" s="2" t="n"/>
      <c r="E414" s="2" t="n"/>
    </row>
    <row r="415" ht="14.25" customHeight="1" s="59">
      <c r="A415" s="3" t="n"/>
      <c r="C415" s="2" t="n"/>
      <c r="D415" s="2" t="n"/>
      <c r="E415" s="2" t="n"/>
    </row>
    <row r="416" ht="14.25" customHeight="1" s="59">
      <c r="A416" s="3" t="n"/>
      <c r="C416" s="2" t="n"/>
      <c r="D416" s="2" t="n"/>
      <c r="E416" s="2" t="n"/>
    </row>
    <row r="417" ht="14.25" customHeight="1" s="59">
      <c r="A417" s="3" t="n"/>
      <c r="C417" s="2" t="n"/>
      <c r="D417" s="2" t="n"/>
      <c r="E417" s="2" t="n"/>
    </row>
    <row r="418" ht="14.25" customHeight="1" s="59">
      <c r="A418" s="3" t="n"/>
      <c r="C418" s="2" t="n"/>
      <c r="D418" s="2" t="n"/>
      <c r="E418" s="2" t="n"/>
    </row>
    <row r="419" ht="14.25" customHeight="1" s="59">
      <c r="A419" s="3" t="n"/>
      <c r="C419" s="2" t="n"/>
      <c r="D419" s="2" t="n"/>
      <c r="E419" s="2" t="n"/>
    </row>
    <row r="420" ht="14.25" customHeight="1" s="59">
      <c r="A420" s="3" t="n"/>
      <c r="C420" s="2" t="n"/>
      <c r="D420" s="2" t="n"/>
      <c r="E420" s="2" t="n"/>
    </row>
    <row r="421" ht="14.25" customHeight="1" s="59">
      <c r="A421" s="3" t="n"/>
      <c r="C421" s="2" t="n"/>
      <c r="D421" s="2" t="n"/>
      <c r="E421" s="2" t="n"/>
    </row>
    <row r="422" ht="14.25" customHeight="1" s="59">
      <c r="A422" s="3" t="n"/>
      <c r="C422" s="2" t="n"/>
      <c r="D422" s="2" t="n"/>
      <c r="E422" s="2" t="n"/>
    </row>
    <row r="423" ht="14.25" customHeight="1" s="59">
      <c r="A423" s="3" t="n"/>
      <c r="C423" s="2" t="n"/>
      <c r="D423" s="2" t="n"/>
      <c r="E423" s="2" t="n"/>
    </row>
    <row r="424" ht="14.25" customHeight="1" s="59">
      <c r="A424" s="3" t="n"/>
      <c r="C424" s="2" t="n"/>
      <c r="D424" s="2" t="n"/>
      <c r="E424" s="2" t="n"/>
    </row>
    <row r="425" ht="14.25" customHeight="1" s="59">
      <c r="A425" s="3" t="n"/>
      <c r="C425" s="2" t="n"/>
      <c r="D425" s="2" t="n"/>
      <c r="E425" s="2" t="n"/>
    </row>
    <row r="426" ht="14.25" customHeight="1" s="59">
      <c r="A426" s="3" t="n"/>
      <c r="C426" s="2" t="n"/>
      <c r="D426" s="2" t="n"/>
      <c r="E426" s="2" t="n"/>
    </row>
    <row r="427" ht="14.25" customHeight="1" s="59">
      <c r="A427" s="3" t="n"/>
      <c r="C427" s="2" t="n"/>
      <c r="D427" s="2" t="n"/>
      <c r="E427" s="2" t="n"/>
    </row>
    <row r="428" ht="14.25" customHeight="1" s="59">
      <c r="A428" s="3" t="n"/>
      <c r="C428" s="2" t="n"/>
      <c r="D428" s="2" t="n"/>
      <c r="E428" s="2" t="n"/>
    </row>
    <row r="429" ht="14.25" customHeight="1" s="59">
      <c r="A429" s="3" t="n"/>
      <c r="C429" s="2" t="n"/>
      <c r="D429" s="2" t="n"/>
      <c r="E429" s="2" t="n"/>
    </row>
    <row r="430" ht="14.25" customHeight="1" s="59">
      <c r="A430" s="3" t="n"/>
      <c r="C430" s="2" t="n"/>
      <c r="D430" s="2" t="n"/>
      <c r="E430" s="2" t="n"/>
    </row>
    <row r="431" ht="14.25" customHeight="1" s="59">
      <c r="A431" s="3" t="n"/>
      <c r="C431" s="2" t="n"/>
      <c r="D431" s="2" t="n"/>
      <c r="E431" s="2" t="n"/>
    </row>
    <row r="432" ht="14.25" customHeight="1" s="59">
      <c r="A432" s="3" t="n"/>
      <c r="C432" s="2" t="n"/>
      <c r="D432" s="2" t="n"/>
      <c r="E432" s="2" t="n"/>
    </row>
    <row r="433" ht="14.25" customHeight="1" s="59">
      <c r="A433" s="3" t="n"/>
      <c r="C433" s="2" t="n"/>
      <c r="D433" s="2" t="n"/>
      <c r="E433" s="2" t="n"/>
    </row>
    <row r="434" ht="14.25" customHeight="1" s="59">
      <c r="A434" s="3" t="n"/>
      <c r="C434" s="2" t="n"/>
      <c r="D434" s="2" t="n"/>
      <c r="E434" s="2" t="n"/>
    </row>
    <row r="435" ht="14.25" customHeight="1" s="59">
      <c r="A435" s="3" t="n"/>
      <c r="C435" s="2" t="n"/>
      <c r="D435" s="2" t="n"/>
      <c r="E435" s="2" t="n"/>
    </row>
    <row r="436" ht="14.25" customHeight="1" s="59">
      <c r="A436" s="3" t="n"/>
      <c r="C436" s="2" t="n"/>
      <c r="D436" s="2" t="n"/>
      <c r="E436" s="2" t="n"/>
    </row>
    <row r="437" ht="14.25" customHeight="1" s="59">
      <c r="A437" s="3" t="n"/>
      <c r="C437" s="2" t="n"/>
      <c r="D437" s="2" t="n"/>
      <c r="E437" s="2" t="n"/>
    </row>
    <row r="438" ht="14.25" customHeight="1" s="59">
      <c r="A438" s="3" t="n"/>
      <c r="C438" s="2" t="n"/>
      <c r="D438" s="2" t="n"/>
      <c r="E438" s="2" t="n"/>
    </row>
    <row r="439" ht="14.25" customHeight="1" s="59">
      <c r="A439" s="3" t="n"/>
      <c r="C439" s="2" t="n"/>
      <c r="D439" s="2" t="n"/>
      <c r="E439" s="2" t="n"/>
    </row>
    <row r="440" ht="14.25" customHeight="1" s="59">
      <c r="A440" s="3" t="n"/>
      <c r="C440" s="2" t="n"/>
      <c r="D440" s="2" t="n"/>
      <c r="E440" s="2" t="n"/>
    </row>
    <row r="441" ht="14.25" customHeight="1" s="59">
      <c r="A441" s="3" t="n"/>
      <c r="C441" s="2" t="n"/>
      <c r="D441" s="2" t="n"/>
      <c r="E441" s="2" t="n"/>
    </row>
    <row r="442" ht="14.25" customHeight="1" s="59">
      <c r="A442" s="3" t="n"/>
      <c r="C442" s="2" t="n"/>
      <c r="D442" s="2" t="n"/>
      <c r="E442" s="2" t="n"/>
    </row>
    <row r="443" ht="14.25" customHeight="1" s="59">
      <c r="A443" s="3" t="n"/>
      <c r="C443" s="2" t="n"/>
      <c r="D443" s="2" t="n"/>
      <c r="E443" s="2" t="n"/>
    </row>
    <row r="444" ht="14.25" customHeight="1" s="59">
      <c r="A444" s="3" t="n"/>
      <c r="C444" s="2" t="n"/>
      <c r="D444" s="2" t="n"/>
      <c r="E444" s="2" t="n"/>
    </row>
    <row r="445" ht="14.25" customHeight="1" s="59">
      <c r="A445" s="3" t="n"/>
      <c r="C445" s="2" t="n"/>
      <c r="D445" s="2" t="n"/>
      <c r="E445" s="2" t="n"/>
    </row>
    <row r="446" ht="14.25" customHeight="1" s="59">
      <c r="A446" s="3" t="n"/>
      <c r="C446" s="2" t="n"/>
      <c r="D446" s="2" t="n"/>
      <c r="E446" s="2" t="n"/>
    </row>
    <row r="447" ht="14.25" customHeight="1" s="59">
      <c r="A447" s="3" t="n"/>
      <c r="C447" s="2" t="n"/>
      <c r="D447" s="2" t="n"/>
      <c r="E447" s="2" t="n"/>
    </row>
    <row r="448" ht="14.25" customHeight="1" s="59">
      <c r="A448" s="3" t="n"/>
      <c r="C448" s="2" t="n"/>
      <c r="D448" s="2" t="n"/>
      <c r="E448" s="2" t="n"/>
    </row>
    <row r="449" ht="14.25" customHeight="1" s="59">
      <c r="A449" s="3" t="n"/>
      <c r="C449" s="2" t="n"/>
      <c r="D449" s="2" t="n"/>
      <c r="E449" s="2" t="n"/>
    </row>
    <row r="450" ht="14.25" customHeight="1" s="59">
      <c r="A450" s="3" t="n"/>
      <c r="C450" s="2" t="n"/>
      <c r="D450" s="2" t="n"/>
      <c r="E450" s="2" t="n"/>
    </row>
    <row r="451" ht="14.25" customHeight="1" s="59">
      <c r="A451" s="3" t="n"/>
      <c r="C451" s="2" t="n"/>
      <c r="D451" s="2" t="n"/>
      <c r="E451" s="2" t="n"/>
    </row>
    <row r="452" ht="14.25" customHeight="1" s="59">
      <c r="A452" s="3" t="n"/>
      <c r="C452" s="2" t="n"/>
      <c r="D452" s="2" t="n"/>
      <c r="E452" s="2" t="n"/>
    </row>
    <row r="453" ht="14.25" customHeight="1" s="59">
      <c r="A453" s="3" t="n"/>
      <c r="C453" s="2" t="n"/>
      <c r="D453" s="2" t="n"/>
      <c r="E453" s="2" t="n"/>
    </row>
    <row r="454" ht="14.25" customHeight="1" s="59">
      <c r="A454" s="3" t="n"/>
      <c r="C454" s="2" t="n"/>
      <c r="D454" s="2" t="n"/>
      <c r="E454" s="2" t="n"/>
    </row>
    <row r="455" ht="14.25" customHeight="1" s="59">
      <c r="A455" s="3" t="n"/>
      <c r="C455" s="2" t="n"/>
      <c r="D455" s="2" t="n"/>
      <c r="E455" s="2" t="n"/>
    </row>
    <row r="456" ht="14.25" customHeight="1" s="59">
      <c r="A456" s="3" t="n"/>
      <c r="C456" s="2" t="n"/>
      <c r="D456" s="2" t="n"/>
      <c r="E456" s="2" t="n"/>
    </row>
    <row r="457" ht="14.25" customHeight="1" s="59">
      <c r="A457" s="3" t="n"/>
      <c r="C457" s="2" t="n"/>
      <c r="D457" s="2" t="n"/>
      <c r="E457" s="2" t="n"/>
    </row>
    <row r="458" ht="14.25" customHeight="1" s="59">
      <c r="A458" s="3" t="n"/>
      <c r="C458" s="2" t="n"/>
      <c r="D458" s="2" t="n"/>
      <c r="E458" s="2" t="n"/>
    </row>
    <row r="459" ht="14.25" customHeight="1" s="59">
      <c r="A459" s="3" t="n"/>
      <c r="C459" s="2" t="n"/>
      <c r="D459" s="2" t="n"/>
      <c r="E459" s="2" t="n"/>
    </row>
    <row r="460" ht="14.25" customHeight="1" s="59">
      <c r="A460" s="3" t="n"/>
      <c r="C460" s="2" t="n"/>
      <c r="D460" s="2" t="n"/>
      <c r="E460" s="2" t="n"/>
    </row>
    <row r="461" ht="14.25" customHeight="1" s="59">
      <c r="A461" s="3" t="n"/>
      <c r="C461" s="2" t="n"/>
      <c r="D461" s="2" t="n"/>
      <c r="E461" s="2" t="n"/>
    </row>
    <row r="462" ht="14.25" customHeight="1" s="59">
      <c r="A462" s="3" t="n"/>
      <c r="C462" s="2" t="n"/>
      <c r="D462" s="2" t="n"/>
      <c r="E462" s="2" t="n"/>
    </row>
    <row r="463" ht="14.25" customHeight="1" s="59">
      <c r="A463" s="3" t="n"/>
      <c r="C463" s="2" t="n"/>
      <c r="D463" s="2" t="n"/>
      <c r="E463" s="2" t="n"/>
    </row>
    <row r="464" ht="14.25" customHeight="1" s="59">
      <c r="A464" s="3" t="n"/>
      <c r="C464" s="2" t="n"/>
      <c r="D464" s="2" t="n"/>
      <c r="E464" s="2" t="n"/>
    </row>
    <row r="465" ht="14.25" customHeight="1" s="59">
      <c r="A465" s="3" t="n"/>
      <c r="C465" s="2" t="n"/>
      <c r="D465" s="2" t="n"/>
      <c r="E465" s="2" t="n"/>
    </row>
    <row r="466" ht="14.25" customHeight="1" s="59">
      <c r="A466" s="3" t="n"/>
      <c r="C466" s="2" t="n"/>
      <c r="D466" s="2" t="n"/>
      <c r="E466" s="2" t="n"/>
    </row>
    <row r="467" ht="14.25" customHeight="1" s="59">
      <c r="A467" s="3" t="n"/>
      <c r="C467" s="2" t="n"/>
      <c r="D467" s="2" t="n"/>
      <c r="E467" s="2" t="n"/>
    </row>
    <row r="468" ht="14.25" customHeight="1" s="59">
      <c r="A468" s="3" t="n"/>
      <c r="C468" s="2" t="n"/>
      <c r="D468" s="2" t="n"/>
      <c r="E468" s="2" t="n"/>
    </row>
    <row r="469" ht="14.25" customHeight="1" s="59">
      <c r="A469" s="3" t="n"/>
      <c r="C469" s="2" t="n"/>
      <c r="D469" s="2" t="n"/>
      <c r="E469" s="2" t="n"/>
    </row>
    <row r="470" ht="14.25" customHeight="1" s="59">
      <c r="A470" s="3" t="n"/>
      <c r="C470" s="2" t="n"/>
      <c r="D470" s="2" t="n"/>
      <c r="E470" s="2" t="n"/>
    </row>
    <row r="471" ht="14.25" customHeight="1" s="59">
      <c r="A471" s="3" t="n"/>
      <c r="C471" s="2" t="n"/>
      <c r="D471" s="2" t="n"/>
      <c r="E471" s="2" t="n"/>
    </row>
    <row r="472" ht="14.25" customHeight="1" s="59">
      <c r="A472" s="3" t="n"/>
      <c r="C472" s="2" t="n"/>
      <c r="D472" s="2" t="n"/>
      <c r="E472" s="2" t="n"/>
    </row>
    <row r="473" ht="14.25" customHeight="1" s="59">
      <c r="A473" s="3" t="n"/>
      <c r="C473" s="2" t="n"/>
      <c r="D473" s="2" t="n"/>
      <c r="E473" s="2" t="n"/>
    </row>
    <row r="474" ht="14.25" customHeight="1" s="59">
      <c r="A474" s="3" t="n"/>
      <c r="C474" s="2" t="n"/>
      <c r="D474" s="2" t="n"/>
      <c r="E474" s="2" t="n"/>
    </row>
    <row r="475" ht="14.25" customHeight="1" s="59">
      <c r="A475" s="3" t="n"/>
      <c r="C475" s="2" t="n"/>
      <c r="D475" s="2" t="n"/>
      <c r="E475" s="2" t="n"/>
    </row>
    <row r="476" ht="14.25" customHeight="1" s="59">
      <c r="A476" s="3" t="n"/>
      <c r="C476" s="2" t="n"/>
      <c r="D476" s="2" t="n"/>
      <c r="E476" s="2" t="n"/>
    </row>
    <row r="477" ht="14.25" customHeight="1" s="59">
      <c r="A477" s="3" t="n"/>
      <c r="C477" s="2" t="n"/>
      <c r="D477" s="2" t="n"/>
      <c r="E477" s="2" t="n"/>
    </row>
    <row r="478" ht="14.25" customHeight="1" s="59">
      <c r="A478" s="3" t="n"/>
      <c r="C478" s="2" t="n"/>
      <c r="D478" s="2" t="n"/>
      <c r="E478" s="2" t="n"/>
    </row>
    <row r="479" ht="14.25" customHeight="1" s="59">
      <c r="A479" s="3" t="n"/>
      <c r="C479" s="2" t="n"/>
      <c r="D479" s="2" t="n"/>
      <c r="E479" s="2" t="n"/>
    </row>
    <row r="480" ht="14.25" customHeight="1" s="59">
      <c r="A480" s="3" t="n"/>
      <c r="C480" s="2" t="n"/>
      <c r="D480" s="2" t="n"/>
      <c r="E480" s="2" t="n"/>
    </row>
    <row r="481" ht="14.25" customHeight="1" s="59">
      <c r="A481" s="3" t="n"/>
      <c r="C481" s="2" t="n"/>
      <c r="D481" s="2" t="n"/>
      <c r="E481" s="2" t="n"/>
    </row>
    <row r="482" ht="14.25" customHeight="1" s="59">
      <c r="A482" s="3" t="n"/>
      <c r="C482" s="2" t="n"/>
      <c r="D482" s="2" t="n"/>
      <c r="E482" s="2" t="n"/>
    </row>
    <row r="483" ht="14.25" customHeight="1" s="59">
      <c r="A483" s="3" t="n"/>
      <c r="C483" s="2" t="n"/>
      <c r="D483" s="2" t="n"/>
      <c r="E483" s="2" t="n"/>
    </row>
    <row r="484" ht="14.25" customHeight="1" s="59">
      <c r="A484" s="3" t="n"/>
      <c r="C484" s="2" t="n"/>
      <c r="D484" s="2" t="n"/>
      <c r="E484" s="2" t="n"/>
    </row>
    <row r="485" ht="14.25" customHeight="1" s="59">
      <c r="A485" s="3" t="n"/>
      <c r="C485" s="2" t="n"/>
      <c r="D485" s="2" t="n"/>
      <c r="E485" s="2" t="n"/>
    </row>
    <row r="486" ht="14.25" customHeight="1" s="59">
      <c r="A486" s="3" t="n"/>
      <c r="C486" s="2" t="n"/>
      <c r="D486" s="2" t="n"/>
      <c r="E486" s="2" t="n"/>
    </row>
    <row r="487" ht="14.25" customHeight="1" s="59">
      <c r="A487" s="3" t="n"/>
      <c r="C487" s="2" t="n"/>
      <c r="D487" s="2" t="n"/>
      <c r="E487" s="2" t="n"/>
    </row>
    <row r="488" ht="14.25" customHeight="1" s="59">
      <c r="A488" s="3" t="n"/>
      <c r="C488" s="2" t="n"/>
      <c r="D488" s="2" t="n"/>
      <c r="E488" s="2" t="n"/>
    </row>
    <row r="489" ht="14.25" customHeight="1" s="59">
      <c r="A489" s="3" t="n"/>
      <c r="C489" s="2" t="n"/>
      <c r="D489" s="2" t="n"/>
      <c r="E489" s="2" t="n"/>
    </row>
    <row r="490" ht="14.25" customHeight="1" s="59">
      <c r="A490" s="3" t="n"/>
      <c r="C490" s="2" t="n"/>
      <c r="D490" s="2" t="n"/>
      <c r="E490" s="2" t="n"/>
    </row>
    <row r="491" ht="14.25" customHeight="1" s="59">
      <c r="A491" s="3" t="n"/>
      <c r="C491" s="2" t="n"/>
      <c r="D491" s="2" t="n"/>
      <c r="E491" s="2" t="n"/>
    </row>
    <row r="492" ht="14.25" customHeight="1" s="59">
      <c r="A492" s="3" t="n"/>
      <c r="C492" s="2" t="n"/>
      <c r="D492" s="2" t="n"/>
      <c r="E492" s="2" t="n"/>
    </row>
    <row r="493" ht="14.25" customHeight="1" s="59">
      <c r="A493" s="3" t="n"/>
      <c r="C493" s="2" t="n"/>
      <c r="D493" s="2" t="n"/>
      <c r="E493" s="2" t="n"/>
    </row>
    <row r="494" ht="14.25" customHeight="1" s="59">
      <c r="A494" s="3" t="n"/>
      <c r="C494" s="2" t="n"/>
      <c r="D494" s="2" t="n"/>
      <c r="E494" s="2" t="n"/>
    </row>
    <row r="495" ht="14.25" customHeight="1" s="59">
      <c r="A495" s="3" t="n"/>
      <c r="C495" s="2" t="n"/>
      <c r="D495" s="2" t="n"/>
      <c r="E495" s="2" t="n"/>
    </row>
    <row r="496" ht="14.25" customHeight="1" s="59">
      <c r="A496" s="3" t="n"/>
      <c r="C496" s="2" t="n"/>
      <c r="D496" s="2" t="n"/>
      <c r="E496" s="2" t="n"/>
    </row>
    <row r="497" ht="14.25" customHeight="1" s="59">
      <c r="A497" s="3" t="n"/>
      <c r="C497" s="2" t="n"/>
      <c r="D497" s="2" t="n"/>
      <c r="E497" s="2" t="n"/>
    </row>
    <row r="498" ht="14.25" customHeight="1" s="59">
      <c r="A498" s="3" t="n"/>
      <c r="C498" s="2" t="n"/>
      <c r="D498" s="2" t="n"/>
      <c r="E498" s="2" t="n"/>
    </row>
    <row r="499" ht="14.25" customHeight="1" s="59">
      <c r="A499" s="3" t="n"/>
      <c r="C499" s="2" t="n"/>
      <c r="D499" s="2" t="n"/>
      <c r="E499" s="2" t="n"/>
    </row>
    <row r="500" ht="14.25" customHeight="1" s="59">
      <c r="A500" s="3" t="n"/>
      <c r="C500" s="2" t="n"/>
      <c r="D500" s="2" t="n"/>
      <c r="E500" s="2" t="n"/>
    </row>
    <row r="501" ht="14.25" customHeight="1" s="59">
      <c r="A501" s="3" t="n"/>
      <c r="C501" s="2" t="n"/>
      <c r="D501" s="2" t="n"/>
      <c r="E501" s="2" t="n"/>
    </row>
    <row r="502" ht="14.25" customHeight="1" s="59">
      <c r="A502" s="3" t="n"/>
      <c r="C502" s="2" t="n"/>
      <c r="D502" s="2" t="n"/>
      <c r="E502" s="2" t="n"/>
    </row>
    <row r="503" ht="14.25" customHeight="1" s="59">
      <c r="A503" s="3" t="n"/>
      <c r="C503" s="2" t="n"/>
      <c r="D503" s="2" t="n"/>
      <c r="E503" s="2" t="n"/>
    </row>
    <row r="504" ht="14.25" customHeight="1" s="59">
      <c r="A504" s="3" t="n"/>
      <c r="C504" s="2" t="n"/>
      <c r="D504" s="2" t="n"/>
      <c r="E504" s="2" t="n"/>
    </row>
    <row r="505" ht="14.25" customHeight="1" s="59">
      <c r="A505" s="3" t="n"/>
      <c r="C505" s="2" t="n"/>
      <c r="D505" s="2" t="n"/>
      <c r="E505" s="2" t="n"/>
    </row>
    <row r="506" ht="14.25" customHeight="1" s="59">
      <c r="A506" s="3" t="n"/>
      <c r="C506" s="2" t="n"/>
      <c r="D506" s="2" t="n"/>
      <c r="E506" s="2" t="n"/>
    </row>
    <row r="507" ht="14.25" customHeight="1" s="59">
      <c r="A507" s="3" t="n"/>
      <c r="C507" s="2" t="n"/>
      <c r="D507" s="2" t="n"/>
      <c r="E507" s="2" t="n"/>
    </row>
    <row r="508" ht="14.25" customHeight="1" s="59">
      <c r="A508" s="3" t="n"/>
      <c r="C508" s="2" t="n"/>
      <c r="D508" s="2" t="n"/>
      <c r="E508" s="2" t="n"/>
    </row>
    <row r="509" ht="14.25" customHeight="1" s="59">
      <c r="A509" s="3" t="n"/>
      <c r="C509" s="2" t="n"/>
      <c r="D509" s="2" t="n"/>
      <c r="E509" s="2" t="n"/>
    </row>
    <row r="510" ht="14.25" customHeight="1" s="59">
      <c r="A510" s="3" t="n"/>
      <c r="C510" s="2" t="n"/>
      <c r="D510" s="2" t="n"/>
      <c r="E510" s="2" t="n"/>
    </row>
    <row r="511" ht="14.25" customHeight="1" s="59">
      <c r="A511" s="3" t="n"/>
      <c r="C511" s="2" t="n"/>
      <c r="D511" s="2" t="n"/>
      <c r="E511" s="2" t="n"/>
    </row>
    <row r="512" ht="14.25" customHeight="1" s="59">
      <c r="A512" s="3" t="n"/>
      <c r="C512" s="2" t="n"/>
      <c r="D512" s="2" t="n"/>
      <c r="E512" s="2" t="n"/>
    </row>
    <row r="513" ht="14.25" customHeight="1" s="59">
      <c r="A513" s="3" t="n"/>
      <c r="C513" s="2" t="n"/>
      <c r="D513" s="2" t="n"/>
      <c r="E513" s="2" t="n"/>
    </row>
    <row r="514" ht="14.25" customHeight="1" s="59">
      <c r="A514" s="3" t="n"/>
      <c r="C514" s="2" t="n"/>
      <c r="D514" s="2" t="n"/>
      <c r="E514" s="2" t="n"/>
    </row>
    <row r="515" ht="14.25" customHeight="1" s="59">
      <c r="A515" s="3" t="n"/>
      <c r="C515" s="2" t="n"/>
      <c r="D515" s="2" t="n"/>
      <c r="E515" s="2" t="n"/>
    </row>
    <row r="516" ht="14.25" customHeight="1" s="59">
      <c r="A516" s="3" t="n"/>
      <c r="C516" s="2" t="n"/>
      <c r="D516" s="2" t="n"/>
      <c r="E516" s="2" t="n"/>
    </row>
    <row r="517" ht="14.25" customHeight="1" s="59">
      <c r="A517" s="3" t="n"/>
      <c r="C517" s="2" t="n"/>
      <c r="D517" s="2" t="n"/>
      <c r="E517" s="2" t="n"/>
    </row>
    <row r="518" ht="14.25" customHeight="1" s="59">
      <c r="A518" s="3" t="n"/>
      <c r="C518" s="2" t="n"/>
      <c r="D518" s="2" t="n"/>
      <c r="E518" s="2" t="n"/>
    </row>
    <row r="519" ht="14.25" customHeight="1" s="59">
      <c r="A519" s="3" t="n"/>
      <c r="C519" s="2" t="n"/>
      <c r="D519" s="2" t="n"/>
      <c r="E519" s="2" t="n"/>
    </row>
    <row r="520" ht="14.25" customHeight="1" s="59">
      <c r="A520" s="3" t="n"/>
      <c r="C520" s="2" t="n"/>
      <c r="D520" s="2" t="n"/>
      <c r="E520" s="2" t="n"/>
    </row>
    <row r="521" ht="14.25" customHeight="1" s="59">
      <c r="A521" s="3" t="n"/>
      <c r="C521" s="2" t="n"/>
      <c r="D521" s="2" t="n"/>
      <c r="E521" s="2" t="n"/>
    </row>
    <row r="522" ht="14.25" customHeight="1" s="59">
      <c r="A522" s="3" t="n"/>
      <c r="C522" s="2" t="n"/>
      <c r="D522" s="2" t="n"/>
      <c r="E522" s="2" t="n"/>
    </row>
    <row r="523" ht="14.25" customHeight="1" s="59">
      <c r="A523" s="3" t="n"/>
      <c r="C523" s="2" t="n"/>
      <c r="D523" s="2" t="n"/>
      <c r="E523" s="2" t="n"/>
    </row>
    <row r="524" ht="14.25" customHeight="1" s="59">
      <c r="A524" s="3" t="n"/>
      <c r="C524" s="2" t="n"/>
      <c r="D524" s="2" t="n"/>
      <c r="E524" s="2" t="n"/>
    </row>
    <row r="525" ht="14.25" customHeight="1" s="59">
      <c r="A525" s="3" t="n"/>
      <c r="C525" s="2" t="n"/>
      <c r="D525" s="2" t="n"/>
      <c r="E525" s="2" t="n"/>
    </row>
    <row r="526" ht="14.25" customHeight="1" s="59">
      <c r="A526" s="3" t="n"/>
      <c r="C526" s="2" t="n"/>
      <c r="D526" s="2" t="n"/>
      <c r="E526" s="2" t="n"/>
    </row>
    <row r="527" ht="14.25" customHeight="1" s="59">
      <c r="A527" s="3" t="n"/>
      <c r="C527" s="2" t="n"/>
      <c r="D527" s="2" t="n"/>
      <c r="E527" s="2" t="n"/>
    </row>
    <row r="528" ht="14.25" customHeight="1" s="59">
      <c r="A528" s="3" t="n"/>
      <c r="C528" s="2" t="n"/>
      <c r="D528" s="2" t="n"/>
      <c r="E528" s="2" t="n"/>
    </row>
    <row r="529" ht="14.25" customHeight="1" s="59">
      <c r="A529" s="3" t="n"/>
      <c r="C529" s="2" t="n"/>
      <c r="D529" s="2" t="n"/>
      <c r="E529" s="2" t="n"/>
    </row>
    <row r="530" ht="14.25" customHeight="1" s="59">
      <c r="A530" s="3" t="n"/>
      <c r="C530" s="2" t="n"/>
      <c r="D530" s="2" t="n"/>
      <c r="E530" s="2" t="n"/>
    </row>
    <row r="531" ht="14.25" customHeight="1" s="59">
      <c r="A531" s="3" t="n"/>
      <c r="C531" s="2" t="n"/>
      <c r="D531" s="2" t="n"/>
      <c r="E531" s="2" t="n"/>
    </row>
    <row r="532" ht="14.25" customHeight="1" s="59">
      <c r="A532" s="3" t="n"/>
      <c r="C532" s="2" t="n"/>
      <c r="D532" s="2" t="n"/>
      <c r="E532" s="2" t="n"/>
    </row>
    <row r="533" ht="14.25" customHeight="1" s="59">
      <c r="A533" s="3" t="n"/>
      <c r="C533" s="2" t="n"/>
      <c r="D533" s="2" t="n"/>
      <c r="E533" s="2" t="n"/>
    </row>
    <row r="534" ht="14.25" customHeight="1" s="59">
      <c r="A534" s="3" t="n"/>
      <c r="C534" s="2" t="n"/>
      <c r="D534" s="2" t="n"/>
      <c r="E534" s="2" t="n"/>
    </row>
    <row r="535" ht="14.25" customHeight="1" s="59">
      <c r="A535" s="3" t="n"/>
      <c r="C535" s="2" t="n"/>
      <c r="D535" s="2" t="n"/>
      <c r="E535" s="2" t="n"/>
    </row>
    <row r="536" ht="14.25" customHeight="1" s="59">
      <c r="A536" s="3" t="n"/>
      <c r="C536" s="2" t="n"/>
      <c r="D536" s="2" t="n"/>
      <c r="E536" s="2" t="n"/>
    </row>
    <row r="537" ht="14.25" customHeight="1" s="59">
      <c r="A537" s="3" t="n"/>
      <c r="C537" s="2" t="n"/>
      <c r="D537" s="2" t="n"/>
      <c r="E537" s="2" t="n"/>
    </row>
    <row r="538" ht="14.25" customHeight="1" s="59">
      <c r="A538" s="3" t="n"/>
      <c r="C538" s="2" t="n"/>
      <c r="D538" s="2" t="n"/>
      <c r="E538" s="2" t="n"/>
    </row>
    <row r="539" ht="14.25" customHeight="1" s="59">
      <c r="A539" s="3" t="n"/>
      <c r="C539" s="2" t="n"/>
      <c r="D539" s="2" t="n"/>
      <c r="E539" s="2" t="n"/>
    </row>
    <row r="540" ht="14.25" customHeight="1" s="59">
      <c r="A540" s="3" t="n"/>
      <c r="C540" s="2" t="n"/>
      <c r="D540" s="2" t="n"/>
      <c r="E540" s="2" t="n"/>
    </row>
    <row r="541" ht="14.25" customHeight="1" s="59">
      <c r="A541" s="3" t="n"/>
      <c r="C541" s="2" t="n"/>
      <c r="D541" s="2" t="n"/>
      <c r="E541" s="2" t="n"/>
    </row>
    <row r="542" ht="14.25" customHeight="1" s="59">
      <c r="A542" s="3" t="n"/>
      <c r="C542" s="2" t="n"/>
      <c r="D542" s="2" t="n"/>
      <c r="E542" s="2" t="n"/>
    </row>
    <row r="543" ht="14.25" customHeight="1" s="59">
      <c r="A543" s="3" t="n"/>
      <c r="C543" s="2" t="n"/>
      <c r="D543" s="2" t="n"/>
      <c r="E543" s="2" t="n"/>
    </row>
    <row r="544" ht="14.25" customHeight="1" s="59">
      <c r="A544" s="3" t="n"/>
      <c r="C544" s="2" t="n"/>
      <c r="D544" s="2" t="n"/>
      <c r="E544" s="2" t="n"/>
    </row>
    <row r="545" ht="14.25" customHeight="1" s="59">
      <c r="A545" s="3" t="n"/>
      <c r="C545" s="2" t="n"/>
      <c r="D545" s="2" t="n"/>
      <c r="E545" s="2" t="n"/>
    </row>
    <row r="546" ht="14.25" customHeight="1" s="59">
      <c r="A546" s="3" t="n"/>
      <c r="C546" s="2" t="n"/>
      <c r="D546" s="2" t="n"/>
      <c r="E546" s="2" t="n"/>
    </row>
    <row r="547" ht="14.25" customHeight="1" s="59">
      <c r="A547" s="3" t="n"/>
      <c r="C547" s="2" t="n"/>
      <c r="D547" s="2" t="n"/>
      <c r="E547" s="2" t="n"/>
    </row>
    <row r="548" ht="14.25" customHeight="1" s="59">
      <c r="A548" s="3" t="n"/>
      <c r="C548" s="2" t="n"/>
      <c r="D548" s="2" t="n"/>
      <c r="E548" s="2" t="n"/>
    </row>
    <row r="549" ht="14.25" customHeight="1" s="59">
      <c r="A549" s="3" t="n"/>
      <c r="C549" s="2" t="n"/>
      <c r="D549" s="2" t="n"/>
      <c r="E549" s="2" t="n"/>
    </row>
    <row r="550" ht="14.25" customHeight="1" s="59">
      <c r="A550" s="3" t="n"/>
      <c r="C550" s="2" t="n"/>
      <c r="D550" s="2" t="n"/>
      <c r="E550" s="2" t="n"/>
    </row>
    <row r="551" ht="14.25" customHeight="1" s="59">
      <c r="A551" s="3" t="n"/>
      <c r="C551" s="2" t="n"/>
      <c r="D551" s="2" t="n"/>
      <c r="E551" s="2" t="n"/>
    </row>
    <row r="552" ht="14.25" customHeight="1" s="59">
      <c r="A552" s="3" t="n"/>
      <c r="C552" s="2" t="n"/>
      <c r="D552" s="2" t="n"/>
      <c r="E552" s="2" t="n"/>
    </row>
    <row r="553" ht="14.25" customHeight="1" s="59">
      <c r="A553" s="3" t="n"/>
      <c r="C553" s="2" t="n"/>
      <c r="D553" s="2" t="n"/>
      <c r="E553" s="2" t="n"/>
    </row>
    <row r="554" ht="14.25" customHeight="1" s="59">
      <c r="A554" s="3" t="n"/>
      <c r="C554" s="2" t="n"/>
      <c r="D554" s="2" t="n"/>
      <c r="E554" s="2" t="n"/>
    </row>
    <row r="555" ht="14.25" customHeight="1" s="59">
      <c r="A555" s="3" t="n"/>
      <c r="C555" s="2" t="n"/>
      <c r="D555" s="2" t="n"/>
      <c r="E555" s="2" t="n"/>
    </row>
    <row r="556" ht="14.25" customHeight="1" s="59">
      <c r="A556" s="3" t="n"/>
      <c r="C556" s="2" t="n"/>
      <c r="D556" s="2" t="n"/>
      <c r="E556" s="2" t="n"/>
    </row>
    <row r="557" ht="14.25" customHeight="1" s="59">
      <c r="A557" s="3" t="n"/>
      <c r="C557" s="2" t="n"/>
      <c r="D557" s="2" t="n"/>
      <c r="E557" s="2" t="n"/>
    </row>
    <row r="558" ht="14.25" customHeight="1" s="59">
      <c r="A558" s="3" t="n"/>
      <c r="C558" s="2" t="n"/>
      <c r="D558" s="2" t="n"/>
      <c r="E558" s="2" t="n"/>
    </row>
    <row r="559" ht="14.25" customHeight="1" s="59">
      <c r="A559" s="3" t="n"/>
      <c r="C559" s="2" t="n"/>
      <c r="D559" s="2" t="n"/>
      <c r="E559" s="2" t="n"/>
    </row>
    <row r="560" ht="14.25" customHeight="1" s="59">
      <c r="A560" s="3" t="n"/>
      <c r="C560" s="2" t="n"/>
      <c r="D560" s="2" t="n"/>
      <c r="E560" s="2" t="n"/>
    </row>
    <row r="561" ht="14.25" customHeight="1" s="59">
      <c r="A561" s="3" t="n"/>
      <c r="C561" s="2" t="n"/>
      <c r="D561" s="2" t="n"/>
      <c r="E561" s="2" t="n"/>
    </row>
    <row r="562" ht="14.25" customHeight="1" s="59">
      <c r="A562" s="3" t="n"/>
      <c r="C562" s="2" t="n"/>
      <c r="D562" s="2" t="n"/>
      <c r="E562" s="2" t="n"/>
    </row>
    <row r="563" ht="14.25" customHeight="1" s="59">
      <c r="A563" s="3" t="n"/>
      <c r="C563" s="2" t="n"/>
      <c r="D563" s="2" t="n"/>
      <c r="E563" s="2" t="n"/>
    </row>
    <row r="564" ht="14.25" customHeight="1" s="59">
      <c r="A564" s="3" t="n"/>
      <c r="C564" s="2" t="n"/>
      <c r="D564" s="2" t="n"/>
      <c r="E564" s="2" t="n"/>
    </row>
    <row r="565" ht="14.25" customHeight="1" s="59">
      <c r="A565" s="3" t="n"/>
      <c r="C565" s="2" t="n"/>
      <c r="D565" s="2" t="n"/>
      <c r="E565" s="2" t="n"/>
    </row>
    <row r="566" ht="14.25" customHeight="1" s="59">
      <c r="A566" s="3" t="n"/>
      <c r="C566" s="2" t="n"/>
      <c r="D566" s="2" t="n"/>
      <c r="E566" s="2" t="n"/>
    </row>
    <row r="567" ht="14.25" customHeight="1" s="59">
      <c r="A567" s="3" t="n"/>
      <c r="C567" s="2" t="n"/>
      <c r="D567" s="2" t="n"/>
      <c r="E567" s="2" t="n"/>
    </row>
    <row r="568" ht="14.25" customHeight="1" s="59">
      <c r="A568" s="3" t="n"/>
      <c r="C568" s="2" t="n"/>
      <c r="D568" s="2" t="n"/>
      <c r="E568" s="2" t="n"/>
    </row>
    <row r="569" ht="14.25" customHeight="1" s="59">
      <c r="A569" s="3" t="n"/>
      <c r="C569" s="2" t="n"/>
      <c r="D569" s="2" t="n"/>
      <c r="E569" s="2" t="n"/>
    </row>
    <row r="570" ht="14.25" customHeight="1" s="59">
      <c r="A570" s="3" t="n"/>
      <c r="C570" s="2" t="n"/>
      <c r="D570" s="2" t="n"/>
      <c r="E570" s="2" t="n"/>
    </row>
    <row r="571" ht="14.25" customHeight="1" s="59">
      <c r="A571" s="3" t="n"/>
      <c r="C571" s="2" t="n"/>
      <c r="D571" s="2" t="n"/>
      <c r="E571" s="2" t="n"/>
    </row>
    <row r="572" ht="14.25" customHeight="1" s="59">
      <c r="A572" s="3" t="n"/>
      <c r="C572" s="2" t="n"/>
      <c r="D572" s="2" t="n"/>
      <c r="E572" s="2" t="n"/>
    </row>
    <row r="573" ht="14.25" customHeight="1" s="59">
      <c r="A573" s="3" t="n"/>
      <c r="C573" s="2" t="n"/>
      <c r="D573" s="2" t="n"/>
      <c r="E573" s="2" t="n"/>
    </row>
    <row r="574" ht="14.25" customHeight="1" s="59">
      <c r="A574" s="3" t="n"/>
      <c r="C574" s="2" t="n"/>
      <c r="D574" s="2" t="n"/>
      <c r="E574" s="2" t="n"/>
    </row>
    <row r="575" ht="14.25" customHeight="1" s="59">
      <c r="A575" s="3" t="n"/>
      <c r="C575" s="2" t="n"/>
      <c r="D575" s="2" t="n"/>
      <c r="E575" s="2" t="n"/>
    </row>
    <row r="576" ht="14.25" customHeight="1" s="59">
      <c r="A576" s="3" t="n"/>
      <c r="C576" s="2" t="n"/>
      <c r="D576" s="2" t="n"/>
      <c r="E576" s="2" t="n"/>
    </row>
    <row r="577" ht="14.25" customHeight="1" s="59">
      <c r="A577" s="3" t="n"/>
      <c r="C577" s="2" t="n"/>
      <c r="D577" s="2" t="n"/>
      <c r="E577" s="2" t="n"/>
    </row>
    <row r="578" ht="14.25" customHeight="1" s="59">
      <c r="A578" s="3" t="n"/>
      <c r="C578" s="2" t="n"/>
      <c r="D578" s="2" t="n"/>
      <c r="E578" s="2" t="n"/>
    </row>
    <row r="579" ht="14.25" customHeight="1" s="59">
      <c r="A579" s="3" t="n"/>
      <c r="C579" s="2" t="n"/>
      <c r="D579" s="2" t="n"/>
      <c r="E579" s="2" t="n"/>
    </row>
    <row r="580" ht="14.25" customHeight="1" s="59">
      <c r="A580" s="3" t="n"/>
      <c r="C580" s="2" t="n"/>
      <c r="D580" s="2" t="n"/>
      <c r="E580" s="2" t="n"/>
    </row>
    <row r="581" ht="14.25" customHeight="1" s="59">
      <c r="A581" s="3" t="n"/>
      <c r="C581" s="2" t="n"/>
      <c r="D581" s="2" t="n"/>
      <c r="E581" s="2" t="n"/>
    </row>
    <row r="582" ht="14.25" customHeight="1" s="59">
      <c r="A582" s="3" t="n"/>
      <c r="C582" s="2" t="n"/>
      <c r="D582" s="2" t="n"/>
      <c r="E582" s="2" t="n"/>
    </row>
    <row r="583" ht="14.25" customHeight="1" s="59">
      <c r="A583" s="3" t="n"/>
      <c r="C583" s="2" t="n"/>
      <c r="D583" s="2" t="n"/>
      <c r="E583" s="2" t="n"/>
    </row>
    <row r="584" ht="14.25" customHeight="1" s="59">
      <c r="A584" s="3" t="n"/>
      <c r="C584" s="2" t="n"/>
      <c r="D584" s="2" t="n"/>
      <c r="E584" s="2" t="n"/>
    </row>
    <row r="585" ht="14.25" customHeight="1" s="59">
      <c r="A585" s="3" t="n"/>
      <c r="C585" s="2" t="n"/>
      <c r="D585" s="2" t="n"/>
      <c r="E585" s="2" t="n"/>
    </row>
    <row r="586" ht="14.25" customHeight="1" s="59">
      <c r="A586" s="3" t="n"/>
      <c r="C586" s="2" t="n"/>
      <c r="D586" s="2" t="n"/>
      <c r="E586" s="2" t="n"/>
    </row>
    <row r="587" ht="14.25" customHeight="1" s="59">
      <c r="A587" s="3" t="n"/>
      <c r="C587" s="2" t="n"/>
      <c r="D587" s="2" t="n"/>
      <c r="E587" s="2" t="n"/>
    </row>
    <row r="588" ht="14.25" customHeight="1" s="59">
      <c r="A588" s="3" t="n"/>
      <c r="C588" s="2" t="n"/>
      <c r="D588" s="2" t="n"/>
      <c r="E588" s="2" t="n"/>
    </row>
    <row r="589" ht="14.25" customHeight="1" s="59">
      <c r="A589" s="3" t="n"/>
      <c r="C589" s="2" t="n"/>
      <c r="D589" s="2" t="n"/>
      <c r="E589" s="2" t="n"/>
    </row>
    <row r="590" ht="14.25" customHeight="1" s="59">
      <c r="A590" s="3" t="n"/>
      <c r="C590" s="2" t="n"/>
      <c r="D590" s="2" t="n"/>
      <c r="E590" s="2" t="n"/>
    </row>
    <row r="591" ht="14.25" customHeight="1" s="59">
      <c r="A591" s="3" t="n"/>
      <c r="C591" s="2" t="n"/>
      <c r="D591" s="2" t="n"/>
      <c r="E591" s="2" t="n"/>
    </row>
    <row r="592" ht="14.25" customHeight="1" s="59">
      <c r="A592" s="3" t="n"/>
      <c r="C592" s="2" t="n"/>
      <c r="D592" s="2" t="n"/>
      <c r="E592" s="2" t="n"/>
    </row>
    <row r="593" ht="14.25" customHeight="1" s="59">
      <c r="A593" s="3" t="n"/>
      <c r="C593" s="2" t="n"/>
      <c r="D593" s="2" t="n"/>
      <c r="E593" s="2" t="n"/>
    </row>
    <row r="594" ht="14.25" customHeight="1" s="59">
      <c r="A594" s="3" t="n"/>
      <c r="C594" s="2" t="n"/>
      <c r="D594" s="2" t="n"/>
      <c r="E594" s="2" t="n"/>
    </row>
    <row r="595" ht="14.25" customHeight="1" s="59">
      <c r="A595" s="3" t="n"/>
      <c r="C595" s="2" t="n"/>
      <c r="D595" s="2" t="n"/>
      <c r="E595" s="2" t="n"/>
    </row>
    <row r="596" ht="14.25" customHeight="1" s="59">
      <c r="A596" s="3" t="n"/>
      <c r="C596" s="2" t="n"/>
      <c r="D596" s="2" t="n"/>
      <c r="E596" s="2" t="n"/>
    </row>
    <row r="597" ht="14.25" customHeight="1" s="59">
      <c r="A597" s="3" t="n"/>
      <c r="C597" s="2" t="n"/>
      <c r="D597" s="2" t="n"/>
      <c r="E597" s="2" t="n"/>
    </row>
    <row r="598" ht="14.25" customHeight="1" s="59">
      <c r="A598" s="3" t="n"/>
      <c r="C598" s="2" t="n"/>
      <c r="D598" s="2" t="n"/>
      <c r="E598" s="2" t="n"/>
    </row>
    <row r="599" ht="14.25" customHeight="1" s="59">
      <c r="A599" s="3" t="n"/>
      <c r="C599" s="2" t="n"/>
      <c r="D599" s="2" t="n"/>
      <c r="E599" s="2" t="n"/>
    </row>
    <row r="600" ht="14.25" customHeight="1" s="59">
      <c r="A600" s="3" t="n"/>
      <c r="C600" s="2" t="n"/>
      <c r="D600" s="2" t="n"/>
      <c r="E600" s="2" t="n"/>
    </row>
    <row r="601" ht="14.25" customHeight="1" s="59">
      <c r="A601" s="3" t="n"/>
      <c r="C601" s="2" t="n"/>
      <c r="D601" s="2" t="n"/>
      <c r="E601" s="2" t="n"/>
    </row>
    <row r="602" ht="14.25" customHeight="1" s="59">
      <c r="A602" s="3" t="n"/>
      <c r="C602" s="2" t="n"/>
      <c r="D602" s="2" t="n"/>
      <c r="E602" s="2" t="n"/>
    </row>
    <row r="603" ht="14.25" customHeight="1" s="59">
      <c r="A603" s="3" t="n"/>
      <c r="C603" s="2" t="n"/>
      <c r="D603" s="2" t="n"/>
      <c r="E603" s="2" t="n"/>
    </row>
    <row r="604" ht="14.25" customHeight="1" s="59">
      <c r="A604" s="3" t="n"/>
      <c r="C604" s="2" t="n"/>
      <c r="D604" s="2" t="n"/>
      <c r="E604" s="2" t="n"/>
    </row>
    <row r="605" ht="14.25" customHeight="1" s="59">
      <c r="A605" s="3" t="n"/>
      <c r="C605" s="2" t="n"/>
      <c r="D605" s="2" t="n"/>
      <c r="E605" s="2" t="n"/>
    </row>
    <row r="606" ht="14.25" customHeight="1" s="59">
      <c r="A606" s="3" t="n"/>
      <c r="C606" s="2" t="n"/>
      <c r="D606" s="2" t="n"/>
      <c r="E606" s="2" t="n"/>
    </row>
    <row r="607" ht="14.25" customHeight="1" s="59">
      <c r="A607" s="3" t="n"/>
      <c r="C607" s="2" t="n"/>
      <c r="D607" s="2" t="n"/>
      <c r="E607" s="2" t="n"/>
    </row>
    <row r="608" ht="14.25" customHeight="1" s="59">
      <c r="A608" s="3" t="n"/>
      <c r="C608" s="2" t="n"/>
      <c r="D608" s="2" t="n"/>
      <c r="E608" s="2" t="n"/>
    </row>
    <row r="609" ht="14.25" customHeight="1" s="59">
      <c r="A609" s="3" t="n"/>
      <c r="C609" s="2" t="n"/>
      <c r="D609" s="2" t="n"/>
      <c r="E609" s="2" t="n"/>
    </row>
    <row r="610" ht="14.25" customHeight="1" s="59">
      <c r="A610" s="3" t="n"/>
      <c r="C610" s="2" t="n"/>
      <c r="D610" s="2" t="n"/>
      <c r="E610" s="2" t="n"/>
    </row>
    <row r="611" ht="14.25" customHeight="1" s="59">
      <c r="A611" s="3" t="n"/>
      <c r="C611" s="2" t="n"/>
      <c r="D611" s="2" t="n"/>
      <c r="E611" s="2" t="n"/>
    </row>
    <row r="612" ht="14.25" customHeight="1" s="59">
      <c r="A612" s="3" t="n"/>
      <c r="C612" s="2" t="n"/>
      <c r="D612" s="2" t="n"/>
      <c r="E612" s="2" t="n"/>
    </row>
    <row r="613" ht="14.25" customHeight="1" s="59">
      <c r="A613" s="3" t="n"/>
      <c r="C613" s="2" t="n"/>
      <c r="D613" s="2" t="n"/>
      <c r="E613" s="2" t="n"/>
    </row>
    <row r="614" ht="14.25" customHeight="1" s="59">
      <c r="A614" s="3" t="n"/>
      <c r="C614" s="2" t="n"/>
      <c r="D614" s="2" t="n"/>
      <c r="E614" s="2" t="n"/>
    </row>
    <row r="615" ht="14.25" customHeight="1" s="59">
      <c r="A615" s="3" t="n"/>
      <c r="C615" s="2" t="n"/>
      <c r="D615" s="2" t="n"/>
      <c r="E615" s="2" t="n"/>
    </row>
    <row r="616" ht="14.25" customHeight="1" s="59">
      <c r="A616" s="3" t="n"/>
      <c r="C616" s="2" t="n"/>
      <c r="D616" s="2" t="n"/>
      <c r="E616" s="2" t="n"/>
    </row>
    <row r="617" ht="14.25" customHeight="1" s="59">
      <c r="A617" s="3" t="n"/>
      <c r="C617" s="2" t="n"/>
      <c r="D617" s="2" t="n"/>
      <c r="E617" s="2" t="n"/>
    </row>
    <row r="618" ht="14.25" customHeight="1" s="59">
      <c r="A618" s="3" t="n"/>
      <c r="C618" s="2" t="n"/>
      <c r="D618" s="2" t="n"/>
      <c r="E618" s="2" t="n"/>
    </row>
    <row r="619" ht="14.25" customHeight="1" s="59">
      <c r="A619" s="3" t="n"/>
      <c r="C619" s="2" t="n"/>
      <c r="D619" s="2" t="n"/>
      <c r="E619" s="2" t="n"/>
    </row>
    <row r="620" ht="14.25" customHeight="1" s="59">
      <c r="A620" s="3" t="n"/>
      <c r="C620" s="2" t="n"/>
      <c r="D620" s="2" t="n"/>
      <c r="E620" s="2" t="n"/>
    </row>
    <row r="621" ht="14.25" customHeight="1" s="59">
      <c r="A621" s="3" t="n"/>
      <c r="C621" s="2" t="n"/>
      <c r="D621" s="2" t="n"/>
      <c r="E621" s="2" t="n"/>
    </row>
    <row r="622" ht="14.25" customHeight="1" s="59">
      <c r="A622" s="3" t="n"/>
      <c r="C622" s="2" t="n"/>
      <c r="D622" s="2" t="n"/>
      <c r="E622" s="2" t="n"/>
    </row>
    <row r="623" ht="14.25" customHeight="1" s="59">
      <c r="A623" s="3" t="n"/>
      <c r="C623" s="2" t="n"/>
      <c r="D623" s="2" t="n"/>
      <c r="E623" s="2" t="n"/>
    </row>
    <row r="624" ht="14.25" customHeight="1" s="59">
      <c r="A624" s="3" t="n"/>
      <c r="C624" s="2" t="n"/>
      <c r="D624" s="2" t="n"/>
      <c r="E624" s="2" t="n"/>
    </row>
    <row r="625" ht="14.25" customHeight="1" s="59">
      <c r="A625" s="3" t="n"/>
      <c r="C625" s="2" t="n"/>
      <c r="D625" s="2" t="n"/>
      <c r="E625" s="2" t="n"/>
    </row>
    <row r="626" ht="14.25" customHeight="1" s="59">
      <c r="A626" s="3" t="n"/>
      <c r="C626" s="2" t="n"/>
      <c r="D626" s="2" t="n"/>
      <c r="E626" s="2" t="n"/>
    </row>
    <row r="627" ht="14.25" customHeight="1" s="59">
      <c r="A627" s="3" t="n"/>
      <c r="C627" s="2" t="n"/>
      <c r="D627" s="2" t="n"/>
      <c r="E627" s="2" t="n"/>
    </row>
    <row r="628" ht="14.25" customHeight="1" s="59">
      <c r="A628" s="3" t="n"/>
      <c r="C628" s="2" t="n"/>
      <c r="D628" s="2" t="n"/>
      <c r="E628" s="2" t="n"/>
    </row>
    <row r="629" ht="14.25" customHeight="1" s="59">
      <c r="A629" s="3" t="n"/>
      <c r="C629" s="2" t="n"/>
      <c r="D629" s="2" t="n"/>
      <c r="E629" s="2" t="n"/>
    </row>
    <row r="630" ht="14.25" customHeight="1" s="59">
      <c r="A630" s="3" t="n"/>
      <c r="C630" s="2" t="n"/>
      <c r="D630" s="2" t="n"/>
      <c r="E630" s="2" t="n"/>
    </row>
    <row r="631" ht="14.25" customHeight="1" s="59">
      <c r="A631" s="3" t="n"/>
      <c r="C631" s="2" t="n"/>
      <c r="D631" s="2" t="n"/>
      <c r="E631" s="2" t="n"/>
    </row>
    <row r="632" ht="14.25" customHeight="1" s="59">
      <c r="A632" s="3" t="n"/>
      <c r="C632" s="2" t="n"/>
      <c r="D632" s="2" t="n"/>
      <c r="E632" s="2" t="n"/>
    </row>
    <row r="633" ht="14.25" customHeight="1" s="59">
      <c r="A633" s="3" t="n"/>
      <c r="C633" s="2" t="n"/>
      <c r="D633" s="2" t="n"/>
      <c r="E633" s="2" t="n"/>
    </row>
    <row r="634" ht="14.25" customHeight="1" s="59">
      <c r="A634" s="3" t="n"/>
      <c r="C634" s="2" t="n"/>
      <c r="D634" s="2" t="n"/>
      <c r="E634" s="2" t="n"/>
    </row>
    <row r="635" ht="14.25" customHeight="1" s="59">
      <c r="A635" s="3" t="n"/>
      <c r="C635" s="2" t="n"/>
      <c r="D635" s="2" t="n"/>
      <c r="E635" s="2" t="n"/>
    </row>
    <row r="636" ht="14.25" customHeight="1" s="59">
      <c r="A636" s="3" t="n"/>
      <c r="C636" s="2" t="n"/>
      <c r="D636" s="2" t="n"/>
      <c r="E636" s="2" t="n"/>
    </row>
    <row r="637" ht="14.25" customHeight="1" s="59">
      <c r="A637" s="3" t="n"/>
      <c r="C637" s="2" t="n"/>
      <c r="D637" s="2" t="n"/>
      <c r="E637" s="2" t="n"/>
    </row>
    <row r="638" ht="14.25" customHeight="1" s="59">
      <c r="A638" s="3" t="n"/>
      <c r="C638" s="2" t="n"/>
      <c r="D638" s="2" t="n"/>
      <c r="E638" s="2" t="n"/>
    </row>
    <row r="639" ht="14.25" customHeight="1" s="59">
      <c r="A639" s="3" t="n"/>
      <c r="C639" s="2" t="n"/>
      <c r="D639" s="2" t="n"/>
      <c r="E639" s="2" t="n"/>
    </row>
    <row r="640" ht="14.25" customHeight="1" s="59">
      <c r="A640" s="3" t="n"/>
      <c r="C640" s="2" t="n"/>
      <c r="D640" s="2" t="n"/>
      <c r="E640" s="2" t="n"/>
    </row>
    <row r="641" ht="14.25" customHeight="1" s="59">
      <c r="A641" s="3" t="n"/>
      <c r="C641" s="2" t="n"/>
      <c r="D641" s="2" t="n"/>
      <c r="E641" s="2" t="n"/>
    </row>
    <row r="642" ht="14.25" customHeight="1" s="59">
      <c r="A642" s="3" t="n"/>
      <c r="C642" s="2" t="n"/>
      <c r="D642" s="2" t="n"/>
      <c r="E642" s="2" t="n"/>
    </row>
    <row r="643" ht="14.25" customHeight="1" s="59">
      <c r="A643" s="3" t="n"/>
      <c r="C643" s="2" t="n"/>
      <c r="D643" s="2" t="n"/>
      <c r="E643" s="2" t="n"/>
    </row>
    <row r="644" ht="14.25" customHeight="1" s="59">
      <c r="A644" s="3" t="n"/>
      <c r="C644" s="2" t="n"/>
      <c r="D644" s="2" t="n"/>
      <c r="E644" s="2" t="n"/>
    </row>
    <row r="645" ht="14.25" customHeight="1" s="59">
      <c r="A645" s="3" t="n"/>
      <c r="C645" s="2" t="n"/>
      <c r="D645" s="2" t="n"/>
      <c r="E645" s="2" t="n"/>
    </row>
    <row r="646" ht="14.25" customHeight="1" s="59">
      <c r="A646" s="3" t="n"/>
      <c r="C646" s="2" t="n"/>
      <c r="D646" s="2" t="n"/>
      <c r="E646" s="2" t="n"/>
    </row>
    <row r="647" ht="14.25" customHeight="1" s="59">
      <c r="A647" s="3" t="n"/>
      <c r="C647" s="2" t="n"/>
      <c r="D647" s="2" t="n"/>
      <c r="E647" s="2" t="n"/>
    </row>
    <row r="648" ht="14.25" customHeight="1" s="59">
      <c r="A648" s="3" t="n"/>
      <c r="C648" s="2" t="n"/>
      <c r="D648" s="2" t="n"/>
      <c r="E648" s="2" t="n"/>
    </row>
    <row r="649" ht="14.25" customHeight="1" s="59">
      <c r="A649" s="3" t="n"/>
      <c r="C649" s="2" t="n"/>
      <c r="D649" s="2" t="n"/>
      <c r="E649" s="2" t="n"/>
    </row>
    <row r="650" ht="14.25" customHeight="1" s="59">
      <c r="A650" s="3" t="n"/>
      <c r="C650" s="2" t="n"/>
      <c r="D650" s="2" t="n"/>
      <c r="E650" s="2" t="n"/>
    </row>
    <row r="651" ht="14.25" customHeight="1" s="59">
      <c r="A651" s="3" t="n"/>
      <c r="C651" s="2" t="n"/>
      <c r="D651" s="2" t="n"/>
      <c r="E651" s="2" t="n"/>
    </row>
    <row r="652" ht="14.25" customHeight="1" s="59">
      <c r="A652" s="3" t="n"/>
      <c r="C652" s="2" t="n"/>
      <c r="D652" s="2" t="n"/>
      <c r="E652" s="2" t="n"/>
    </row>
    <row r="653" ht="14.25" customHeight="1" s="59">
      <c r="A653" s="3" t="n"/>
      <c r="C653" s="2" t="n"/>
      <c r="D653" s="2" t="n"/>
      <c r="E653" s="2" t="n"/>
    </row>
    <row r="654" ht="14.25" customHeight="1" s="59">
      <c r="A654" s="3" t="n"/>
      <c r="C654" s="2" t="n"/>
      <c r="D654" s="2" t="n"/>
      <c r="E654" s="2" t="n"/>
    </row>
    <row r="655" ht="14.25" customHeight="1" s="59">
      <c r="A655" s="3" t="n"/>
      <c r="C655" s="2" t="n"/>
      <c r="D655" s="2" t="n"/>
      <c r="E655" s="2" t="n"/>
    </row>
    <row r="656" ht="14.25" customHeight="1" s="59">
      <c r="A656" s="3" t="n"/>
      <c r="C656" s="2" t="n"/>
      <c r="D656" s="2" t="n"/>
      <c r="E656" s="2" t="n"/>
    </row>
    <row r="657" ht="14.25" customHeight="1" s="59">
      <c r="A657" s="3" t="n"/>
      <c r="C657" s="2" t="n"/>
      <c r="D657" s="2" t="n"/>
      <c r="E657" s="2" t="n"/>
    </row>
    <row r="658" ht="14.25" customHeight="1" s="59">
      <c r="A658" s="3" t="n"/>
      <c r="C658" s="2" t="n"/>
      <c r="D658" s="2" t="n"/>
      <c r="E658" s="2" t="n"/>
    </row>
    <row r="659" ht="14.25" customHeight="1" s="59">
      <c r="A659" s="3" t="n"/>
      <c r="C659" s="2" t="n"/>
      <c r="D659" s="2" t="n"/>
      <c r="E659" s="2" t="n"/>
    </row>
    <row r="660" ht="14.25" customHeight="1" s="59">
      <c r="A660" s="3" t="n"/>
      <c r="C660" s="2" t="n"/>
      <c r="D660" s="2" t="n"/>
      <c r="E660" s="2" t="n"/>
    </row>
    <row r="661" ht="14.25" customHeight="1" s="59">
      <c r="A661" s="3" t="n"/>
      <c r="C661" s="2" t="n"/>
      <c r="D661" s="2" t="n"/>
      <c r="E661" s="2" t="n"/>
    </row>
    <row r="662" ht="14.25" customHeight="1" s="59">
      <c r="A662" s="3" t="n"/>
      <c r="C662" s="2" t="n"/>
      <c r="D662" s="2" t="n"/>
      <c r="E662" s="2" t="n"/>
    </row>
    <row r="663" ht="14.25" customHeight="1" s="59">
      <c r="A663" s="3" t="n"/>
      <c r="C663" s="2" t="n"/>
      <c r="D663" s="2" t="n"/>
      <c r="E663" s="2" t="n"/>
    </row>
    <row r="664" ht="14.25" customHeight="1" s="59">
      <c r="A664" s="3" t="n"/>
      <c r="C664" s="2" t="n"/>
      <c r="D664" s="2" t="n"/>
      <c r="E664" s="2" t="n"/>
    </row>
    <row r="665" ht="14.25" customHeight="1" s="59">
      <c r="A665" s="3" t="n"/>
      <c r="C665" s="2" t="n"/>
      <c r="D665" s="2" t="n"/>
      <c r="E665" s="2" t="n"/>
    </row>
    <row r="666" ht="14.25" customHeight="1" s="59">
      <c r="A666" s="3" t="n"/>
      <c r="C666" s="2" t="n"/>
      <c r="D666" s="2" t="n"/>
      <c r="E666" s="2" t="n"/>
    </row>
    <row r="667" ht="14.25" customHeight="1" s="59">
      <c r="A667" s="3" t="n"/>
      <c r="C667" s="2" t="n"/>
      <c r="D667" s="2" t="n"/>
      <c r="E667" s="2" t="n"/>
    </row>
    <row r="668" ht="14.25" customHeight="1" s="59">
      <c r="A668" s="3" t="n"/>
      <c r="C668" s="2" t="n"/>
      <c r="D668" s="2" t="n"/>
      <c r="E668" s="2" t="n"/>
    </row>
    <row r="669" ht="14.25" customHeight="1" s="59">
      <c r="A669" s="3" t="n"/>
      <c r="C669" s="2" t="n"/>
      <c r="D669" s="2" t="n"/>
      <c r="E669" s="2" t="n"/>
    </row>
    <row r="670" ht="14.25" customHeight="1" s="59">
      <c r="A670" s="3" t="n"/>
      <c r="C670" s="2" t="n"/>
      <c r="D670" s="2" t="n"/>
      <c r="E670" s="2" t="n"/>
    </row>
    <row r="671" ht="14.25" customHeight="1" s="59">
      <c r="A671" s="3" t="n"/>
      <c r="C671" s="2" t="n"/>
      <c r="D671" s="2" t="n"/>
      <c r="E671" s="2" t="n"/>
    </row>
    <row r="672" ht="14.25" customHeight="1" s="59">
      <c r="A672" s="3" t="n"/>
      <c r="C672" s="2" t="n"/>
      <c r="D672" s="2" t="n"/>
      <c r="E672" s="2" t="n"/>
    </row>
    <row r="673" ht="14.25" customHeight="1" s="59">
      <c r="A673" s="3" t="n"/>
      <c r="C673" s="2" t="n"/>
      <c r="D673" s="2" t="n"/>
      <c r="E673" s="2" t="n"/>
    </row>
    <row r="674" ht="14.25" customHeight="1" s="59">
      <c r="A674" s="3" t="n"/>
      <c r="C674" s="2" t="n"/>
      <c r="D674" s="2" t="n"/>
      <c r="E674" s="2" t="n"/>
    </row>
    <row r="675" ht="14.25" customHeight="1" s="59">
      <c r="A675" s="3" t="n"/>
      <c r="C675" s="2" t="n"/>
      <c r="D675" s="2" t="n"/>
      <c r="E675" s="2" t="n"/>
    </row>
    <row r="676" ht="14.25" customHeight="1" s="59">
      <c r="A676" s="3" t="n"/>
      <c r="C676" s="2" t="n"/>
      <c r="D676" s="2" t="n"/>
      <c r="E676" s="2" t="n"/>
    </row>
    <row r="677" ht="14.25" customHeight="1" s="59">
      <c r="A677" s="3" t="n"/>
      <c r="C677" s="2" t="n"/>
      <c r="D677" s="2" t="n"/>
      <c r="E677" s="2" t="n"/>
    </row>
    <row r="678" ht="14.25" customHeight="1" s="59">
      <c r="A678" s="3" t="n"/>
      <c r="C678" s="2" t="n"/>
      <c r="D678" s="2" t="n"/>
      <c r="E678" s="2" t="n"/>
    </row>
    <row r="679" ht="14.25" customHeight="1" s="59">
      <c r="A679" s="3" t="n"/>
      <c r="C679" s="2" t="n"/>
      <c r="D679" s="2" t="n"/>
      <c r="E679" s="2" t="n"/>
    </row>
    <row r="680" ht="14.25" customHeight="1" s="59">
      <c r="A680" s="3" t="n"/>
      <c r="C680" s="2" t="n"/>
      <c r="D680" s="2" t="n"/>
      <c r="E680" s="2" t="n"/>
    </row>
    <row r="681" ht="14.25" customHeight="1" s="59">
      <c r="A681" s="3" t="n"/>
      <c r="C681" s="2" t="n"/>
      <c r="D681" s="2" t="n"/>
      <c r="E681" s="2" t="n"/>
    </row>
    <row r="682" ht="14.25" customHeight="1" s="59">
      <c r="A682" s="3" t="n"/>
      <c r="C682" s="2" t="n"/>
      <c r="D682" s="2" t="n"/>
      <c r="E682" s="2" t="n"/>
    </row>
    <row r="683" ht="14.25" customHeight="1" s="59">
      <c r="A683" s="3" t="n"/>
      <c r="C683" s="2" t="n"/>
      <c r="D683" s="2" t="n"/>
      <c r="E683" s="2" t="n"/>
    </row>
    <row r="684" ht="14.25" customHeight="1" s="59">
      <c r="A684" s="3" t="n"/>
      <c r="C684" s="2" t="n"/>
      <c r="D684" s="2" t="n"/>
      <c r="E684" s="2" t="n"/>
    </row>
    <row r="685" ht="14.25" customHeight="1" s="59">
      <c r="A685" s="3" t="n"/>
      <c r="C685" s="2" t="n"/>
      <c r="D685" s="2" t="n"/>
      <c r="E685" s="2" t="n"/>
    </row>
    <row r="686" ht="14.25" customHeight="1" s="59">
      <c r="A686" s="3" t="n"/>
      <c r="C686" s="2" t="n"/>
      <c r="D686" s="2" t="n"/>
      <c r="E686" s="2" t="n"/>
    </row>
    <row r="687" ht="14.25" customHeight="1" s="59">
      <c r="A687" s="3" t="n"/>
      <c r="C687" s="2" t="n"/>
      <c r="D687" s="2" t="n"/>
      <c r="E687" s="2" t="n"/>
    </row>
    <row r="688" ht="14.25" customHeight="1" s="59">
      <c r="A688" s="3" t="n"/>
      <c r="C688" s="2" t="n"/>
      <c r="D688" s="2" t="n"/>
      <c r="E688" s="2" t="n"/>
    </row>
    <row r="689" ht="14.25" customHeight="1" s="59">
      <c r="A689" s="3" t="n"/>
      <c r="C689" s="2" t="n"/>
      <c r="D689" s="2" t="n"/>
      <c r="E689" s="2" t="n"/>
    </row>
    <row r="690" ht="14.25" customHeight="1" s="59">
      <c r="A690" s="3" t="n"/>
      <c r="C690" s="2" t="n"/>
      <c r="D690" s="2" t="n"/>
      <c r="E690" s="2" t="n"/>
    </row>
    <row r="691" ht="14.25" customHeight="1" s="59">
      <c r="A691" s="3" t="n"/>
      <c r="C691" s="2" t="n"/>
      <c r="D691" s="2" t="n"/>
      <c r="E691" s="2" t="n"/>
    </row>
    <row r="692" ht="14.25" customHeight="1" s="59">
      <c r="A692" s="3" t="n"/>
      <c r="C692" s="2" t="n"/>
      <c r="D692" s="2" t="n"/>
      <c r="E692" s="2" t="n"/>
    </row>
    <row r="693" ht="14.25" customHeight="1" s="59">
      <c r="A693" s="3" t="n"/>
      <c r="C693" s="2" t="n"/>
      <c r="D693" s="2" t="n"/>
      <c r="E693" s="2" t="n"/>
    </row>
    <row r="694" ht="14.25" customHeight="1" s="59">
      <c r="A694" s="3" t="n"/>
      <c r="C694" s="2" t="n"/>
      <c r="D694" s="2" t="n"/>
      <c r="E694" s="2" t="n"/>
    </row>
    <row r="695" ht="14.25" customHeight="1" s="59">
      <c r="A695" s="3" t="n"/>
      <c r="C695" s="2" t="n"/>
      <c r="D695" s="2" t="n"/>
      <c r="E695" s="2" t="n"/>
    </row>
    <row r="696" ht="14.25" customHeight="1" s="59">
      <c r="A696" s="3" t="n"/>
      <c r="C696" s="2" t="n"/>
      <c r="D696" s="2" t="n"/>
      <c r="E696" s="2" t="n"/>
    </row>
    <row r="697" ht="14.25" customHeight="1" s="59">
      <c r="A697" s="3" t="n"/>
      <c r="C697" s="2" t="n"/>
      <c r="D697" s="2" t="n"/>
      <c r="E697" s="2" t="n"/>
    </row>
    <row r="698" ht="14.25" customHeight="1" s="59">
      <c r="A698" s="3" t="n"/>
      <c r="C698" s="2" t="n"/>
      <c r="D698" s="2" t="n"/>
      <c r="E698" s="2" t="n"/>
    </row>
    <row r="699" ht="14.25" customHeight="1" s="59">
      <c r="A699" s="3" t="n"/>
      <c r="C699" s="2" t="n"/>
      <c r="D699" s="2" t="n"/>
      <c r="E699" s="2" t="n"/>
    </row>
    <row r="700" ht="14.25" customHeight="1" s="59">
      <c r="A700" s="3" t="n"/>
      <c r="C700" s="2" t="n"/>
      <c r="D700" s="2" t="n"/>
      <c r="E700" s="2" t="n"/>
    </row>
    <row r="701" ht="14.25" customHeight="1" s="59">
      <c r="A701" s="3" t="n"/>
      <c r="C701" s="2" t="n"/>
      <c r="D701" s="2" t="n"/>
      <c r="E701" s="2" t="n"/>
    </row>
    <row r="702" ht="14.25" customHeight="1" s="59">
      <c r="A702" s="3" t="n"/>
      <c r="C702" s="2" t="n"/>
      <c r="D702" s="2" t="n"/>
      <c r="E702" s="2" t="n"/>
    </row>
    <row r="703" ht="14.25" customHeight="1" s="59">
      <c r="A703" s="3" t="n"/>
      <c r="C703" s="2" t="n"/>
      <c r="D703" s="2" t="n"/>
      <c r="E703" s="2" t="n"/>
    </row>
    <row r="704" ht="14.25" customHeight="1" s="59">
      <c r="A704" s="3" t="n"/>
      <c r="C704" s="2" t="n"/>
      <c r="D704" s="2" t="n"/>
      <c r="E704" s="2" t="n"/>
    </row>
    <row r="705" ht="14.25" customHeight="1" s="59">
      <c r="A705" s="3" t="n"/>
      <c r="C705" s="2" t="n"/>
      <c r="D705" s="2" t="n"/>
      <c r="E705" s="2" t="n"/>
    </row>
    <row r="706" ht="14.25" customHeight="1" s="59">
      <c r="A706" s="3" t="n"/>
      <c r="C706" s="2" t="n"/>
      <c r="D706" s="2" t="n"/>
      <c r="E706" s="2" t="n"/>
    </row>
    <row r="707" ht="14.25" customHeight="1" s="59">
      <c r="A707" s="3" t="n"/>
      <c r="C707" s="2" t="n"/>
      <c r="D707" s="2" t="n"/>
      <c r="E707" s="2" t="n"/>
    </row>
    <row r="708" ht="14.25" customHeight="1" s="59">
      <c r="A708" s="3" t="n"/>
      <c r="C708" s="2" t="n"/>
      <c r="D708" s="2" t="n"/>
      <c r="E708" s="2" t="n"/>
    </row>
    <row r="709" ht="14.25" customHeight="1" s="59">
      <c r="A709" s="3" t="n"/>
      <c r="C709" s="2" t="n"/>
      <c r="D709" s="2" t="n"/>
      <c r="E709" s="2" t="n"/>
    </row>
    <row r="710" ht="14.25" customHeight="1" s="59">
      <c r="A710" s="3" t="n"/>
      <c r="C710" s="2" t="n"/>
      <c r="D710" s="2" t="n"/>
      <c r="E710" s="2" t="n"/>
    </row>
    <row r="711" ht="14.25" customHeight="1" s="59">
      <c r="A711" s="3" t="n"/>
      <c r="C711" s="2" t="n"/>
      <c r="D711" s="2" t="n"/>
      <c r="E711" s="2" t="n"/>
    </row>
    <row r="712" ht="14.25" customHeight="1" s="59">
      <c r="A712" s="3" t="n"/>
      <c r="C712" s="2" t="n"/>
      <c r="D712" s="2" t="n"/>
      <c r="E712" s="2" t="n"/>
    </row>
    <row r="713" ht="14.25" customHeight="1" s="59">
      <c r="A713" s="3" t="n"/>
      <c r="C713" s="2" t="n"/>
      <c r="D713" s="2" t="n"/>
      <c r="E713" s="2" t="n"/>
    </row>
    <row r="714" ht="14.25" customHeight="1" s="59">
      <c r="A714" s="3" t="n"/>
      <c r="C714" s="2" t="n"/>
      <c r="D714" s="2" t="n"/>
      <c r="E714" s="2" t="n"/>
    </row>
    <row r="715" ht="14.25" customHeight="1" s="59">
      <c r="A715" s="3" t="n"/>
      <c r="C715" s="2" t="n"/>
      <c r="D715" s="2" t="n"/>
      <c r="E715" s="2" t="n"/>
    </row>
    <row r="716" ht="14.25" customHeight="1" s="59">
      <c r="A716" s="3" t="n"/>
      <c r="C716" s="2" t="n"/>
      <c r="D716" s="2" t="n"/>
      <c r="E716" s="2" t="n"/>
    </row>
    <row r="717" ht="14.25" customHeight="1" s="59">
      <c r="A717" s="3" t="n"/>
      <c r="C717" s="2" t="n"/>
      <c r="D717" s="2" t="n"/>
      <c r="E717" s="2" t="n"/>
    </row>
    <row r="718" ht="14.25" customHeight="1" s="59">
      <c r="A718" s="3" t="n"/>
      <c r="C718" s="2" t="n"/>
      <c r="D718" s="2" t="n"/>
      <c r="E718" s="2" t="n"/>
    </row>
    <row r="719" ht="14.25" customHeight="1" s="59">
      <c r="A719" s="3" t="n"/>
      <c r="C719" s="2" t="n"/>
      <c r="D719" s="2" t="n"/>
      <c r="E719" s="2" t="n"/>
    </row>
    <row r="720" ht="14.25" customHeight="1" s="59">
      <c r="A720" s="3" t="n"/>
      <c r="C720" s="2" t="n"/>
      <c r="D720" s="2" t="n"/>
      <c r="E720" s="2" t="n"/>
    </row>
    <row r="721" ht="14.25" customHeight="1" s="59">
      <c r="A721" s="3" t="n"/>
      <c r="C721" s="2" t="n"/>
      <c r="D721" s="2" t="n"/>
      <c r="E721" s="2" t="n"/>
    </row>
    <row r="722" ht="14.25" customHeight="1" s="59">
      <c r="A722" s="3" t="n"/>
      <c r="C722" s="2" t="n"/>
      <c r="D722" s="2" t="n"/>
      <c r="E722" s="2" t="n"/>
    </row>
    <row r="723" ht="14.25" customHeight="1" s="59">
      <c r="A723" s="3" t="n"/>
      <c r="C723" s="2" t="n"/>
      <c r="D723" s="2" t="n"/>
      <c r="E723" s="2" t="n"/>
    </row>
    <row r="724" ht="14.25" customHeight="1" s="59">
      <c r="A724" s="3" t="n"/>
      <c r="C724" s="2" t="n"/>
      <c r="D724" s="2" t="n"/>
      <c r="E724" s="2" t="n"/>
    </row>
    <row r="725" ht="14.25" customHeight="1" s="59">
      <c r="A725" s="3" t="n"/>
      <c r="C725" s="2" t="n"/>
      <c r="D725" s="2" t="n"/>
      <c r="E725" s="2" t="n"/>
    </row>
    <row r="726" ht="14.25" customHeight="1" s="59">
      <c r="A726" s="3" t="n"/>
      <c r="C726" s="2" t="n"/>
      <c r="D726" s="2" t="n"/>
      <c r="E726" s="2" t="n"/>
    </row>
    <row r="727" ht="14.25" customHeight="1" s="59">
      <c r="A727" s="3" t="n"/>
      <c r="C727" s="2" t="n"/>
      <c r="D727" s="2" t="n"/>
      <c r="E727" s="2" t="n"/>
    </row>
    <row r="728" ht="14.25" customHeight="1" s="59">
      <c r="A728" s="3" t="n"/>
      <c r="C728" s="2" t="n"/>
      <c r="D728" s="2" t="n"/>
      <c r="E728" s="2" t="n"/>
    </row>
    <row r="729" ht="14.25" customHeight="1" s="59">
      <c r="A729" s="3" t="n"/>
      <c r="C729" s="2" t="n"/>
      <c r="D729" s="2" t="n"/>
      <c r="E729" s="2" t="n"/>
    </row>
    <row r="730" ht="14.25" customHeight="1" s="59">
      <c r="A730" s="3" t="n"/>
      <c r="C730" s="2" t="n"/>
      <c r="D730" s="2" t="n"/>
      <c r="E730" s="2" t="n"/>
    </row>
    <row r="731" ht="14.25" customHeight="1" s="59">
      <c r="A731" s="3" t="n"/>
      <c r="C731" s="2" t="n"/>
      <c r="D731" s="2" t="n"/>
      <c r="E731" s="2" t="n"/>
    </row>
    <row r="732" ht="14.25" customHeight="1" s="59">
      <c r="A732" s="3" t="n"/>
      <c r="C732" s="2" t="n"/>
      <c r="D732" s="2" t="n"/>
      <c r="E732" s="2" t="n"/>
    </row>
    <row r="733" ht="14.25" customHeight="1" s="59">
      <c r="A733" s="3" t="n"/>
      <c r="C733" s="2" t="n"/>
      <c r="D733" s="2" t="n"/>
      <c r="E733" s="2" t="n"/>
    </row>
    <row r="734" ht="14.25" customHeight="1" s="59">
      <c r="A734" s="3" t="n"/>
      <c r="C734" s="2" t="n"/>
      <c r="D734" s="2" t="n"/>
      <c r="E734" s="2" t="n"/>
    </row>
    <row r="735" ht="14.25" customHeight="1" s="59">
      <c r="A735" s="3" t="n"/>
      <c r="C735" s="2" t="n"/>
      <c r="D735" s="2" t="n"/>
      <c r="E735" s="2" t="n"/>
    </row>
    <row r="736" ht="14.25" customHeight="1" s="59">
      <c r="A736" s="3" t="n"/>
      <c r="C736" s="2" t="n"/>
      <c r="D736" s="2" t="n"/>
      <c r="E736" s="2" t="n"/>
    </row>
    <row r="737" ht="14.25" customHeight="1" s="59">
      <c r="A737" s="3" t="n"/>
      <c r="C737" s="2" t="n"/>
      <c r="D737" s="2" t="n"/>
      <c r="E737" s="2" t="n"/>
    </row>
    <row r="738" ht="14.25" customHeight="1" s="59">
      <c r="A738" s="3" t="n"/>
      <c r="C738" s="2" t="n"/>
      <c r="D738" s="2" t="n"/>
      <c r="E738" s="2" t="n"/>
    </row>
    <row r="739" ht="14.25" customHeight="1" s="59">
      <c r="A739" s="3" t="n"/>
      <c r="C739" s="2" t="n"/>
      <c r="D739" s="2" t="n"/>
      <c r="E739" s="2" t="n"/>
    </row>
    <row r="740" ht="14.25" customHeight="1" s="59">
      <c r="A740" s="3" t="n"/>
      <c r="C740" s="2" t="n"/>
      <c r="D740" s="2" t="n"/>
      <c r="E740" s="2" t="n"/>
    </row>
    <row r="741" ht="14.25" customHeight="1" s="59">
      <c r="A741" s="3" t="n"/>
      <c r="C741" s="2" t="n"/>
      <c r="D741" s="2" t="n"/>
      <c r="E741" s="2" t="n"/>
    </row>
    <row r="742" ht="14.25" customHeight="1" s="59">
      <c r="A742" s="3" t="n"/>
      <c r="C742" s="2" t="n"/>
      <c r="D742" s="2" t="n"/>
      <c r="E742" s="2" t="n"/>
    </row>
    <row r="743" ht="14.25" customHeight="1" s="59">
      <c r="A743" s="3" t="n"/>
      <c r="C743" s="2" t="n"/>
      <c r="D743" s="2" t="n"/>
      <c r="E743" s="2" t="n"/>
    </row>
    <row r="744" ht="14.25" customHeight="1" s="59">
      <c r="A744" s="3" t="n"/>
      <c r="C744" s="2" t="n"/>
      <c r="D744" s="2" t="n"/>
      <c r="E744" s="2" t="n"/>
    </row>
    <row r="745" ht="14.25" customHeight="1" s="59">
      <c r="A745" s="3" t="n"/>
      <c r="C745" s="2" t="n"/>
      <c r="D745" s="2" t="n"/>
      <c r="E745" s="2" t="n"/>
    </row>
    <row r="746" ht="14.25" customHeight="1" s="59">
      <c r="A746" s="3" t="n"/>
      <c r="C746" s="2" t="n"/>
      <c r="D746" s="2" t="n"/>
      <c r="E746" s="2" t="n"/>
    </row>
    <row r="747" ht="14.25" customHeight="1" s="59">
      <c r="A747" s="3" t="n"/>
      <c r="C747" s="2" t="n"/>
      <c r="D747" s="2" t="n"/>
      <c r="E747" s="2" t="n"/>
    </row>
    <row r="748" ht="14.25" customHeight="1" s="59">
      <c r="A748" s="3" t="n"/>
      <c r="C748" s="2" t="n"/>
      <c r="D748" s="2" t="n"/>
      <c r="E748" s="2" t="n"/>
    </row>
    <row r="749" ht="14.25" customHeight="1" s="59">
      <c r="A749" s="3" t="n"/>
      <c r="C749" s="2" t="n"/>
      <c r="D749" s="2" t="n"/>
      <c r="E749" s="2" t="n"/>
    </row>
    <row r="750" ht="14.25" customHeight="1" s="59">
      <c r="A750" s="3" t="n"/>
      <c r="C750" s="2" t="n"/>
      <c r="D750" s="2" t="n"/>
      <c r="E750" s="2" t="n"/>
    </row>
    <row r="751" ht="14.25" customHeight="1" s="59">
      <c r="A751" s="3" t="n"/>
      <c r="C751" s="2" t="n"/>
      <c r="D751" s="2" t="n"/>
      <c r="E751" s="2" t="n"/>
    </row>
    <row r="752" ht="14.25" customHeight="1" s="59">
      <c r="A752" s="3" t="n"/>
      <c r="C752" s="2" t="n"/>
      <c r="D752" s="2" t="n"/>
      <c r="E752" s="2" t="n"/>
    </row>
    <row r="753" ht="14.25" customHeight="1" s="59">
      <c r="A753" s="3" t="n"/>
      <c r="C753" s="2" t="n"/>
      <c r="D753" s="2" t="n"/>
      <c r="E753" s="2" t="n"/>
    </row>
    <row r="754" ht="14.25" customHeight="1" s="59">
      <c r="A754" s="3" t="n"/>
      <c r="C754" s="2" t="n"/>
      <c r="D754" s="2" t="n"/>
      <c r="E754" s="2" t="n"/>
    </row>
    <row r="755" ht="14.25" customHeight="1" s="59">
      <c r="A755" s="3" t="n"/>
      <c r="C755" s="2" t="n"/>
      <c r="D755" s="2" t="n"/>
      <c r="E755" s="2" t="n"/>
    </row>
    <row r="756" ht="14.25" customHeight="1" s="59">
      <c r="A756" s="3" t="n"/>
      <c r="C756" s="2" t="n"/>
      <c r="D756" s="2" t="n"/>
      <c r="E756" s="2" t="n"/>
    </row>
    <row r="757" ht="14.25" customHeight="1" s="59">
      <c r="A757" s="3" t="n"/>
      <c r="C757" s="2" t="n"/>
      <c r="D757" s="2" t="n"/>
      <c r="E757" s="2" t="n"/>
    </row>
    <row r="758" ht="14.25" customHeight="1" s="59">
      <c r="A758" s="3" t="n"/>
      <c r="C758" s="2" t="n"/>
      <c r="D758" s="2" t="n"/>
      <c r="E758" s="2" t="n"/>
    </row>
    <row r="759" ht="14.25" customHeight="1" s="59">
      <c r="A759" s="3" t="n"/>
      <c r="C759" s="2" t="n"/>
      <c r="D759" s="2" t="n"/>
      <c r="E759" s="2" t="n"/>
    </row>
    <row r="760" ht="14.25" customHeight="1" s="59">
      <c r="A760" s="3" t="n"/>
      <c r="C760" s="2" t="n"/>
      <c r="D760" s="2" t="n"/>
      <c r="E760" s="2" t="n"/>
    </row>
    <row r="761" ht="14.25" customHeight="1" s="59">
      <c r="A761" s="3" t="n"/>
      <c r="C761" s="2" t="n"/>
      <c r="D761" s="2" t="n"/>
      <c r="E761" s="2" t="n"/>
    </row>
    <row r="762" ht="14.25" customHeight="1" s="59">
      <c r="A762" s="3" t="n"/>
      <c r="C762" s="2" t="n"/>
      <c r="D762" s="2" t="n"/>
      <c r="E762" s="2" t="n"/>
    </row>
    <row r="763" ht="14.25" customHeight="1" s="59">
      <c r="A763" s="3" t="n"/>
      <c r="C763" s="2" t="n"/>
      <c r="D763" s="2" t="n"/>
      <c r="E763" s="2" t="n"/>
    </row>
    <row r="764" ht="14.25" customHeight="1" s="59">
      <c r="A764" s="3" t="n"/>
      <c r="C764" s="2" t="n"/>
      <c r="D764" s="2" t="n"/>
      <c r="E764" s="2" t="n"/>
    </row>
    <row r="765" ht="14.25" customHeight="1" s="59">
      <c r="A765" s="3" t="n"/>
      <c r="C765" s="2" t="n"/>
      <c r="D765" s="2" t="n"/>
      <c r="E765" s="2" t="n"/>
    </row>
    <row r="766" ht="14.25" customHeight="1" s="59">
      <c r="A766" s="3" t="n"/>
      <c r="C766" s="2" t="n"/>
      <c r="D766" s="2" t="n"/>
      <c r="E766" s="2" t="n"/>
    </row>
    <row r="767" ht="14.25" customHeight="1" s="59">
      <c r="A767" s="3" t="n"/>
      <c r="C767" s="2" t="n"/>
      <c r="D767" s="2" t="n"/>
      <c r="E767" s="2" t="n"/>
    </row>
    <row r="768" ht="14.25" customHeight="1" s="59">
      <c r="A768" s="3" t="n"/>
      <c r="C768" s="2" t="n"/>
      <c r="D768" s="2" t="n"/>
      <c r="E768" s="2" t="n"/>
    </row>
    <row r="769" ht="14.25" customHeight="1" s="59">
      <c r="A769" s="3" t="n"/>
      <c r="C769" s="2" t="n"/>
      <c r="D769" s="2" t="n"/>
      <c r="E769" s="2" t="n"/>
    </row>
    <row r="770" ht="14.25" customHeight="1" s="59">
      <c r="A770" s="3" t="n"/>
      <c r="C770" s="2" t="n"/>
      <c r="D770" s="2" t="n"/>
      <c r="E770" s="2" t="n"/>
    </row>
    <row r="771" ht="14.25" customHeight="1" s="59">
      <c r="A771" s="3" t="n"/>
      <c r="C771" s="2" t="n"/>
      <c r="D771" s="2" t="n"/>
      <c r="E771" s="2" t="n"/>
    </row>
    <row r="772" ht="14.25" customHeight="1" s="59">
      <c r="A772" s="3" t="n"/>
      <c r="C772" s="2" t="n"/>
      <c r="D772" s="2" t="n"/>
      <c r="E772" s="2" t="n"/>
    </row>
    <row r="773" ht="14.25" customHeight="1" s="59">
      <c r="A773" s="3" t="n"/>
      <c r="C773" s="2" t="n"/>
      <c r="D773" s="2" t="n"/>
      <c r="E773" s="2" t="n"/>
    </row>
    <row r="774" ht="14.25" customHeight="1" s="59">
      <c r="A774" s="3" t="n"/>
      <c r="C774" s="2" t="n"/>
      <c r="D774" s="2" t="n"/>
      <c r="E774" s="2" t="n"/>
    </row>
    <row r="775" ht="14.25" customHeight="1" s="59">
      <c r="A775" s="3" t="n"/>
      <c r="C775" s="2" t="n"/>
      <c r="D775" s="2" t="n"/>
      <c r="E775" s="2" t="n"/>
    </row>
    <row r="776" ht="14.25" customHeight="1" s="59">
      <c r="A776" s="3" t="n"/>
      <c r="C776" s="2" t="n"/>
      <c r="D776" s="2" t="n"/>
      <c r="E776" s="2" t="n"/>
    </row>
    <row r="777" ht="14.25" customHeight="1" s="59">
      <c r="A777" s="3" t="n"/>
      <c r="C777" s="2" t="n"/>
      <c r="D777" s="2" t="n"/>
      <c r="E777" s="2" t="n"/>
    </row>
    <row r="778" ht="14.25" customHeight="1" s="59">
      <c r="A778" s="3" t="n"/>
      <c r="C778" s="2" t="n"/>
      <c r="D778" s="2" t="n"/>
      <c r="E778" s="2" t="n"/>
    </row>
    <row r="779" ht="14.25" customHeight="1" s="59">
      <c r="A779" s="3" t="n"/>
      <c r="C779" s="2" t="n"/>
      <c r="D779" s="2" t="n"/>
      <c r="E779" s="2" t="n"/>
    </row>
    <row r="780" ht="14.25" customHeight="1" s="59">
      <c r="A780" s="3" t="n"/>
      <c r="C780" s="2" t="n"/>
      <c r="D780" s="2" t="n"/>
      <c r="E780" s="2" t="n"/>
    </row>
    <row r="781" ht="14.25" customHeight="1" s="59">
      <c r="A781" s="3" t="n"/>
      <c r="C781" s="2" t="n"/>
      <c r="D781" s="2" t="n"/>
      <c r="E781" s="2" t="n"/>
    </row>
    <row r="782" ht="14.25" customHeight="1" s="59">
      <c r="A782" s="3" t="n"/>
      <c r="C782" s="2" t="n"/>
      <c r="D782" s="2" t="n"/>
      <c r="E782" s="2" t="n"/>
    </row>
    <row r="783" ht="14.25" customHeight="1" s="59">
      <c r="A783" s="3" t="n"/>
      <c r="C783" s="2" t="n"/>
      <c r="D783" s="2" t="n"/>
      <c r="E783" s="2" t="n"/>
    </row>
    <row r="784" ht="14.25" customHeight="1" s="59">
      <c r="A784" s="3" t="n"/>
      <c r="C784" s="2" t="n"/>
      <c r="D784" s="2" t="n"/>
      <c r="E784" s="2" t="n"/>
    </row>
    <row r="785" ht="14.25" customHeight="1" s="59">
      <c r="A785" s="3" t="n"/>
      <c r="C785" s="2" t="n"/>
      <c r="D785" s="2" t="n"/>
      <c r="E785" s="2" t="n"/>
    </row>
    <row r="786" ht="14.25" customHeight="1" s="59">
      <c r="A786" s="3" t="n"/>
      <c r="C786" s="2" t="n"/>
      <c r="D786" s="2" t="n"/>
      <c r="E786" s="2" t="n"/>
    </row>
    <row r="787" ht="14.25" customHeight="1" s="59">
      <c r="A787" s="3" t="n"/>
      <c r="C787" s="2" t="n"/>
      <c r="D787" s="2" t="n"/>
      <c r="E787" s="2" t="n"/>
    </row>
    <row r="788" ht="14.25" customHeight="1" s="59">
      <c r="A788" s="3" t="n"/>
      <c r="C788" s="2" t="n"/>
      <c r="D788" s="2" t="n"/>
      <c r="E788" s="2" t="n"/>
    </row>
    <row r="789" ht="14.25" customHeight="1" s="59">
      <c r="A789" s="3" t="n"/>
      <c r="C789" s="2" t="n"/>
      <c r="D789" s="2" t="n"/>
      <c r="E789" s="2" t="n"/>
    </row>
    <row r="790" ht="14.25" customHeight="1" s="59">
      <c r="A790" s="3" t="n"/>
      <c r="C790" s="2" t="n"/>
      <c r="D790" s="2" t="n"/>
      <c r="E790" s="2" t="n"/>
    </row>
    <row r="791" ht="14.25" customHeight="1" s="59">
      <c r="A791" s="3" t="n"/>
      <c r="C791" s="2" t="n"/>
      <c r="D791" s="2" t="n"/>
      <c r="E791" s="2" t="n"/>
    </row>
    <row r="792" ht="14.25" customHeight="1" s="59">
      <c r="A792" s="3" t="n"/>
      <c r="C792" s="2" t="n"/>
      <c r="D792" s="2" t="n"/>
      <c r="E792" s="2" t="n"/>
    </row>
    <row r="793" ht="14.25" customHeight="1" s="59">
      <c r="A793" s="3" t="n"/>
      <c r="C793" s="2" t="n"/>
      <c r="D793" s="2" t="n"/>
      <c r="E793" s="2" t="n"/>
    </row>
    <row r="794" ht="14.25" customHeight="1" s="59">
      <c r="A794" s="3" t="n"/>
      <c r="C794" s="2" t="n"/>
      <c r="D794" s="2" t="n"/>
      <c r="E794" s="2" t="n"/>
    </row>
    <row r="795" ht="14.25" customHeight="1" s="59">
      <c r="A795" s="3" t="n"/>
      <c r="C795" s="2" t="n"/>
      <c r="D795" s="2" t="n"/>
      <c r="E795" s="2" t="n"/>
    </row>
    <row r="796" ht="14.25" customHeight="1" s="59">
      <c r="A796" s="3" t="n"/>
      <c r="C796" s="2" t="n"/>
      <c r="D796" s="2" t="n"/>
      <c r="E796" s="2" t="n"/>
    </row>
    <row r="797" ht="14.25" customHeight="1" s="59">
      <c r="A797" s="3" t="n"/>
      <c r="C797" s="2" t="n"/>
      <c r="D797" s="2" t="n"/>
      <c r="E797" s="2" t="n"/>
    </row>
    <row r="798" ht="14.25" customHeight="1" s="59">
      <c r="A798" s="3" t="n"/>
      <c r="C798" s="2" t="n"/>
      <c r="D798" s="2" t="n"/>
      <c r="E798" s="2" t="n"/>
    </row>
    <row r="799" ht="14.25" customHeight="1" s="59">
      <c r="A799" s="3" t="n"/>
      <c r="C799" s="2" t="n"/>
      <c r="D799" s="2" t="n"/>
      <c r="E799" s="2" t="n"/>
    </row>
    <row r="800" ht="14.25" customHeight="1" s="59">
      <c r="A800" s="3" t="n"/>
      <c r="C800" s="2" t="n"/>
      <c r="D800" s="2" t="n"/>
      <c r="E800" s="2" t="n"/>
    </row>
    <row r="801" ht="14.25" customHeight="1" s="59">
      <c r="A801" s="3" t="n"/>
      <c r="C801" s="2" t="n"/>
      <c r="D801" s="2" t="n"/>
      <c r="E801" s="2" t="n"/>
    </row>
    <row r="802" ht="14.25" customHeight="1" s="59">
      <c r="A802" s="3" t="n"/>
      <c r="C802" s="2" t="n"/>
      <c r="D802" s="2" t="n"/>
      <c r="E802" s="2" t="n"/>
    </row>
    <row r="803" ht="14.25" customHeight="1" s="59">
      <c r="A803" s="3" t="n"/>
      <c r="C803" s="2" t="n"/>
      <c r="D803" s="2" t="n"/>
      <c r="E803" s="2" t="n"/>
    </row>
    <row r="804" ht="14.25" customHeight="1" s="59">
      <c r="A804" s="3" t="n"/>
      <c r="C804" s="2" t="n"/>
      <c r="D804" s="2" t="n"/>
      <c r="E804" s="2" t="n"/>
    </row>
    <row r="805" ht="14.25" customHeight="1" s="59">
      <c r="A805" s="3" t="n"/>
      <c r="C805" s="2" t="n"/>
      <c r="D805" s="2" t="n"/>
      <c r="E805" s="2" t="n"/>
    </row>
    <row r="806" ht="14.25" customHeight="1" s="59">
      <c r="A806" s="3" t="n"/>
      <c r="C806" s="2" t="n"/>
      <c r="D806" s="2" t="n"/>
      <c r="E806" s="2" t="n"/>
    </row>
    <row r="807" ht="14.25" customHeight="1" s="59">
      <c r="A807" s="3" t="n"/>
      <c r="C807" s="2" t="n"/>
      <c r="D807" s="2" t="n"/>
      <c r="E807" s="2" t="n"/>
    </row>
    <row r="808" ht="14.25" customHeight="1" s="59">
      <c r="A808" s="3" t="n"/>
      <c r="C808" s="2" t="n"/>
      <c r="D808" s="2" t="n"/>
      <c r="E808" s="2" t="n"/>
    </row>
    <row r="809" ht="14.25" customHeight="1" s="59">
      <c r="A809" s="3" t="n"/>
      <c r="C809" s="2" t="n"/>
      <c r="D809" s="2" t="n"/>
      <c r="E809" s="2" t="n"/>
    </row>
    <row r="810" ht="14.25" customHeight="1" s="59">
      <c r="A810" s="3" t="n"/>
      <c r="C810" s="2" t="n"/>
      <c r="D810" s="2" t="n"/>
      <c r="E810" s="2" t="n"/>
    </row>
    <row r="811" ht="14.25" customHeight="1" s="59">
      <c r="A811" s="3" t="n"/>
      <c r="C811" s="2" t="n"/>
      <c r="D811" s="2" t="n"/>
      <c r="E811" s="2" t="n"/>
    </row>
    <row r="812" ht="14.25" customHeight="1" s="59">
      <c r="A812" s="3" t="n"/>
      <c r="C812" s="2" t="n"/>
      <c r="D812" s="2" t="n"/>
      <c r="E812" s="2" t="n"/>
    </row>
    <row r="813" ht="14.25" customHeight="1" s="59">
      <c r="A813" s="3" t="n"/>
      <c r="C813" s="2" t="n"/>
      <c r="D813" s="2" t="n"/>
      <c r="E813" s="2" t="n"/>
    </row>
    <row r="814" ht="14.25" customHeight="1" s="59">
      <c r="A814" s="3" t="n"/>
      <c r="C814" s="2" t="n"/>
      <c r="D814" s="2" t="n"/>
      <c r="E814" s="2" t="n"/>
    </row>
    <row r="815" ht="14.25" customHeight="1" s="59">
      <c r="A815" s="3" t="n"/>
      <c r="C815" s="2" t="n"/>
      <c r="D815" s="2" t="n"/>
      <c r="E815" s="2" t="n"/>
    </row>
    <row r="816" ht="14.25" customHeight="1" s="59">
      <c r="A816" s="3" t="n"/>
      <c r="C816" s="2" t="n"/>
      <c r="D816" s="2" t="n"/>
      <c r="E816" s="2" t="n"/>
    </row>
    <row r="817" ht="14.25" customHeight="1" s="59">
      <c r="A817" s="3" t="n"/>
      <c r="C817" s="2" t="n"/>
      <c r="D817" s="2" t="n"/>
      <c r="E817" s="2" t="n"/>
    </row>
    <row r="818" ht="14.25" customHeight="1" s="59">
      <c r="A818" s="3" t="n"/>
      <c r="C818" s="2" t="n"/>
      <c r="D818" s="2" t="n"/>
      <c r="E818" s="2" t="n"/>
    </row>
    <row r="819" ht="14.25" customHeight="1" s="59">
      <c r="A819" s="3" t="n"/>
      <c r="C819" s="2" t="n"/>
      <c r="D819" s="2" t="n"/>
      <c r="E819" s="2" t="n"/>
    </row>
    <row r="820" ht="14.25" customHeight="1" s="59">
      <c r="A820" s="3" t="n"/>
      <c r="C820" s="2" t="n"/>
      <c r="D820" s="2" t="n"/>
      <c r="E820" s="2" t="n"/>
    </row>
    <row r="821" ht="14.25" customHeight="1" s="59">
      <c r="A821" s="3" t="n"/>
      <c r="C821" s="2" t="n"/>
      <c r="D821" s="2" t="n"/>
      <c r="E821" s="2" t="n"/>
    </row>
    <row r="822" ht="14.25" customHeight="1" s="59">
      <c r="A822" s="3" t="n"/>
      <c r="C822" s="2" t="n"/>
      <c r="D822" s="2" t="n"/>
      <c r="E822" s="2" t="n"/>
    </row>
    <row r="823" ht="14.25" customHeight="1" s="59">
      <c r="A823" s="3" t="n"/>
      <c r="C823" s="2" t="n"/>
      <c r="D823" s="2" t="n"/>
      <c r="E823" s="2" t="n"/>
    </row>
    <row r="824" ht="14.25" customHeight="1" s="59">
      <c r="A824" s="3" t="n"/>
      <c r="C824" s="2" t="n"/>
      <c r="D824" s="2" t="n"/>
      <c r="E824" s="2" t="n"/>
    </row>
    <row r="825" ht="14.25" customHeight="1" s="59">
      <c r="A825" s="3" t="n"/>
      <c r="C825" s="2" t="n"/>
      <c r="D825" s="2" t="n"/>
      <c r="E825" s="2" t="n"/>
    </row>
    <row r="826" ht="14.25" customHeight="1" s="59">
      <c r="A826" s="3" t="n"/>
      <c r="C826" s="2" t="n"/>
      <c r="D826" s="2" t="n"/>
      <c r="E826" s="2" t="n"/>
    </row>
    <row r="827" ht="14.25" customHeight="1" s="59">
      <c r="A827" s="3" t="n"/>
      <c r="C827" s="2" t="n"/>
      <c r="D827" s="2" t="n"/>
      <c r="E827" s="2" t="n"/>
    </row>
    <row r="828" ht="14.25" customHeight="1" s="59">
      <c r="A828" s="3" t="n"/>
      <c r="C828" s="2" t="n"/>
      <c r="D828" s="2" t="n"/>
      <c r="E828" s="2" t="n"/>
    </row>
    <row r="829" ht="14.25" customHeight="1" s="59">
      <c r="A829" s="3" t="n"/>
      <c r="C829" s="2" t="n"/>
      <c r="D829" s="2" t="n"/>
      <c r="E829" s="2" t="n"/>
    </row>
    <row r="830" ht="14.25" customHeight="1" s="59">
      <c r="A830" s="3" t="n"/>
      <c r="C830" s="2" t="n"/>
      <c r="D830" s="2" t="n"/>
      <c r="E830" s="2" t="n"/>
    </row>
    <row r="831" ht="14.25" customHeight="1" s="59">
      <c r="A831" s="3" t="n"/>
      <c r="C831" s="2" t="n"/>
      <c r="D831" s="2" t="n"/>
      <c r="E831" s="2" t="n"/>
    </row>
    <row r="832" ht="14.25" customHeight="1" s="59">
      <c r="A832" s="3" t="n"/>
      <c r="C832" s="2" t="n"/>
      <c r="D832" s="2" t="n"/>
      <c r="E832" s="2" t="n"/>
    </row>
    <row r="833" ht="14.25" customHeight="1" s="59">
      <c r="A833" s="3" t="n"/>
      <c r="C833" s="2" t="n"/>
      <c r="D833" s="2" t="n"/>
      <c r="E833" s="2" t="n"/>
    </row>
    <row r="834" ht="14.25" customHeight="1" s="59">
      <c r="A834" s="3" t="n"/>
      <c r="C834" s="2" t="n"/>
      <c r="D834" s="2" t="n"/>
      <c r="E834" s="2" t="n"/>
    </row>
    <row r="835" ht="14.25" customHeight="1" s="59">
      <c r="A835" s="3" t="n"/>
      <c r="C835" s="2" t="n"/>
      <c r="D835" s="2" t="n"/>
      <c r="E835" s="2" t="n"/>
    </row>
    <row r="836" ht="14.25" customHeight="1" s="59">
      <c r="A836" s="3" t="n"/>
      <c r="C836" s="2" t="n"/>
      <c r="D836" s="2" t="n"/>
      <c r="E836" s="2" t="n"/>
    </row>
    <row r="837" ht="14.25" customHeight="1" s="59">
      <c r="A837" s="3" t="n"/>
      <c r="C837" s="2" t="n"/>
      <c r="D837" s="2" t="n"/>
      <c r="E837" s="2" t="n"/>
    </row>
    <row r="838" ht="14.25" customHeight="1" s="59">
      <c r="A838" s="3" t="n"/>
      <c r="C838" s="2" t="n"/>
      <c r="D838" s="2" t="n"/>
      <c r="E838" s="2" t="n"/>
    </row>
    <row r="839" ht="14.25" customHeight="1" s="59">
      <c r="A839" s="3" t="n"/>
      <c r="C839" s="2" t="n"/>
      <c r="D839" s="2" t="n"/>
      <c r="E839" s="2" t="n"/>
    </row>
    <row r="840" ht="14.25" customHeight="1" s="59">
      <c r="A840" s="3" t="n"/>
      <c r="C840" s="2" t="n"/>
      <c r="D840" s="2" t="n"/>
      <c r="E840" s="2" t="n"/>
    </row>
    <row r="841" ht="14.25" customHeight="1" s="59">
      <c r="A841" s="3" t="n"/>
      <c r="C841" s="2" t="n"/>
      <c r="D841" s="2" t="n"/>
      <c r="E841" s="2" t="n"/>
    </row>
    <row r="842" ht="14.25" customHeight="1" s="59">
      <c r="A842" s="3" t="n"/>
      <c r="C842" s="2" t="n"/>
      <c r="D842" s="2" t="n"/>
      <c r="E842" s="2" t="n"/>
    </row>
    <row r="843" ht="14.25" customHeight="1" s="59">
      <c r="A843" s="3" t="n"/>
      <c r="C843" s="2" t="n"/>
      <c r="D843" s="2" t="n"/>
      <c r="E843" s="2" t="n"/>
    </row>
    <row r="844" ht="14.25" customHeight="1" s="59">
      <c r="A844" s="3" t="n"/>
      <c r="C844" s="2" t="n"/>
      <c r="D844" s="2" t="n"/>
      <c r="E844" s="2" t="n"/>
    </row>
    <row r="845" ht="14.25" customHeight="1" s="59">
      <c r="A845" s="3" t="n"/>
      <c r="C845" s="2" t="n"/>
      <c r="D845" s="2" t="n"/>
      <c r="E845" s="2" t="n"/>
    </row>
    <row r="846" ht="14.25" customHeight="1" s="59">
      <c r="A846" s="3" t="n"/>
      <c r="C846" s="2" t="n"/>
      <c r="D846" s="2" t="n"/>
      <c r="E846" s="2" t="n"/>
    </row>
    <row r="847" ht="14.25" customHeight="1" s="59">
      <c r="A847" s="3" t="n"/>
      <c r="C847" s="2" t="n"/>
      <c r="D847" s="2" t="n"/>
      <c r="E847" s="2" t="n"/>
    </row>
    <row r="848" ht="14.25" customHeight="1" s="59">
      <c r="A848" s="3" t="n"/>
      <c r="C848" s="2" t="n"/>
      <c r="D848" s="2" t="n"/>
      <c r="E848" s="2" t="n"/>
    </row>
    <row r="849" ht="14.25" customHeight="1" s="59">
      <c r="A849" s="3" t="n"/>
      <c r="C849" s="2" t="n"/>
      <c r="D849" s="2" t="n"/>
      <c r="E849" s="2" t="n"/>
    </row>
    <row r="850" ht="14.25" customHeight="1" s="59">
      <c r="A850" s="3" t="n"/>
      <c r="C850" s="2" t="n"/>
      <c r="D850" s="2" t="n"/>
      <c r="E850" s="2" t="n"/>
    </row>
    <row r="851" ht="14.25" customHeight="1" s="59">
      <c r="A851" s="3" t="n"/>
      <c r="C851" s="2" t="n"/>
      <c r="D851" s="2" t="n"/>
      <c r="E851" s="2" t="n"/>
    </row>
    <row r="852" ht="14.25" customHeight="1" s="59">
      <c r="A852" s="3" t="n"/>
      <c r="C852" s="2" t="n"/>
      <c r="D852" s="2" t="n"/>
      <c r="E852" s="2" t="n"/>
    </row>
    <row r="853" ht="14.25" customHeight="1" s="59">
      <c r="A853" s="3" t="n"/>
      <c r="C853" s="2" t="n"/>
      <c r="D853" s="2" t="n"/>
      <c r="E853" s="2" t="n"/>
    </row>
    <row r="854" ht="14.25" customHeight="1" s="59">
      <c r="A854" s="3" t="n"/>
      <c r="C854" s="2" t="n"/>
      <c r="D854" s="2" t="n"/>
      <c r="E854" s="2" t="n"/>
    </row>
    <row r="855" ht="14.25" customHeight="1" s="59">
      <c r="A855" s="3" t="n"/>
      <c r="C855" s="2" t="n"/>
      <c r="D855" s="2" t="n"/>
      <c r="E855" s="2" t="n"/>
    </row>
    <row r="856" ht="14.25" customHeight="1" s="59">
      <c r="A856" s="3" t="n"/>
      <c r="C856" s="2" t="n"/>
      <c r="D856" s="2" t="n"/>
      <c r="E856" s="2" t="n"/>
    </row>
    <row r="857" ht="14.25" customHeight="1" s="59">
      <c r="A857" s="3" t="n"/>
      <c r="C857" s="2" t="n"/>
      <c r="D857" s="2" t="n"/>
      <c r="E857" s="2" t="n"/>
    </row>
    <row r="858" ht="14.25" customHeight="1" s="59">
      <c r="A858" s="3" t="n"/>
      <c r="C858" s="2" t="n"/>
      <c r="D858" s="2" t="n"/>
      <c r="E858" s="2" t="n"/>
    </row>
    <row r="859" ht="14.25" customHeight="1" s="59">
      <c r="A859" s="3" t="n"/>
      <c r="C859" s="2" t="n"/>
      <c r="D859" s="2" t="n"/>
      <c r="E859" s="2" t="n"/>
    </row>
    <row r="860" ht="14.25" customHeight="1" s="59">
      <c r="A860" s="3" t="n"/>
      <c r="C860" s="2" t="n"/>
      <c r="D860" s="2" t="n"/>
      <c r="E860" s="2" t="n"/>
    </row>
    <row r="861" ht="14.25" customHeight="1" s="59">
      <c r="A861" s="3" t="n"/>
      <c r="C861" s="2" t="n"/>
      <c r="D861" s="2" t="n"/>
      <c r="E861" s="2" t="n"/>
    </row>
    <row r="862" ht="14.25" customHeight="1" s="59">
      <c r="A862" s="3" t="n"/>
      <c r="C862" s="2" t="n"/>
      <c r="D862" s="2" t="n"/>
      <c r="E862" s="2" t="n"/>
    </row>
    <row r="863" ht="14.25" customHeight="1" s="59">
      <c r="A863" s="3" t="n"/>
      <c r="C863" s="2" t="n"/>
      <c r="D863" s="2" t="n"/>
      <c r="E863" s="2" t="n"/>
    </row>
    <row r="864" ht="14.25" customHeight="1" s="59">
      <c r="A864" s="3" t="n"/>
      <c r="C864" s="2" t="n"/>
      <c r="D864" s="2" t="n"/>
      <c r="E864" s="2" t="n"/>
    </row>
    <row r="865" ht="14.25" customHeight="1" s="59">
      <c r="A865" s="3" t="n"/>
      <c r="C865" s="2" t="n"/>
      <c r="D865" s="2" t="n"/>
      <c r="E865" s="2" t="n"/>
    </row>
    <row r="866" ht="14.25" customHeight="1" s="59">
      <c r="A866" s="3" t="n"/>
      <c r="C866" s="2" t="n"/>
      <c r="D866" s="2" t="n"/>
      <c r="E866" s="2" t="n"/>
    </row>
    <row r="867" ht="14.25" customHeight="1" s="59">
      <c r="A867" s="3" t="n"/>
      <c r="C867" s="2" t="n"/>
      <c r="D867" s="2" t="n"/>
      <c r="E867" s="2" t="n"/>
    </row>
    <row r="868" ht="14.25" customHeight="1" s="59">
      <c r="A868" s="3" t="n"/>
      <c r="C868" s="2" t="n"/>
      <c r="D868" s="2" t="n"/>
      <c r="E868" s="2" t="n"/>
    </row>
    <row r="869" ht="14.25" customHeight="1" s="59">
      <c r="A869" s="3" t="n"/>
      <c r="C869" s="2" t="n"/>
      <c r="D869" s="2" t="n"/>
      <c r="E869" s="2" t="n"/>
    </row>
    <row r="870" ht="14.25" customHeight="1" s="59">
      <c r="A870" s="3" t="n"/>
      <c r="C870" s="2" t="n"/>
      <c r="D870" s="2" t="n"/>
      <c r="E870" s="2" t="n"/>
    </row>
    <row r="871" ht="14.25" customHeight="1" s="59">
      <c r="A871" s="3" t="n"/>
      <c r="C871" s="2" t="n"/>
      <c r="D871" s="2" t="n"/>
      <c r="E871" s="2" t="n"/>
    </row>
    <row r="872" ht="14.25" customHeight="1" s="59">
      <c r="A872" s="3" t="n"/>
      <c r="C872" s="2" t="n"/>
      <c r="D872" s="2" t="n"/>
      <c r="E872" s="2" t="n"/>
    </row>
    <row r="873" ht="14.25" customHeight="1" s="59">
      <c r="A873" s="3" t="n"/>
      <c r="C873" s="2" t="n"/>
      <c r="D873" s="2" t="n"/>
      <c r="E873" s="2" t="n"/>
    </row>
    <row r="874" ht="14.25" customHeight="1" s="59">
      <c r="A874" s="3" t="n"/>
      <c r="C874" s="2" t="n"/>
      <c r="D874" s="2" t="n"/>
      <c r="E874" s="2" t="n"/>
    </row>
    <row r="875" ht="14.25" customHeight="1" s="59">
      <c r="A875" s="3" t="n"/>
      <c r="C875" s="2" t="n"/>
      <c r="D875" s="2" t="n"/>
      <c r="E875" s="2" t="n"/>
    </row>
    <row r="876" ht="14.25" customHeight="1" s="59">
      <c r="A876" s="3" t="n"/>
      <c r="C876" s="2" t="n"/>
      <c r="D876" s="2" t="n"/>
      <c r="E876" s="2" t="n"/>
    </row>
    <row r="877" ht="14.25" customHeight="1" s="59">
      <c r="A877" s="3" t="n"/>
      <c r="C877" s="2" t="n"/>
      <c r="D877" s="2" t="n"/>
      <c r="E877" s="2" t="n"/>
    </row>
    <row r="878" ht="14.25" customHeight="1" s="59">
      <c r="A878" s="3" t="n"/>
      <c r="C878" s="2" t="n"/>
      <c r="D878" s="2" t="n"/>
      <c r="E878" s="2" t="n"/>
    </row>
    <row r="879" ht="14.25" customHeight="1" s="59">
      <c r="A879" s="3" t="n"/>
      <c r="C879" s="2" t="n"/>
      <c r="D879" s="2" t="n"/>
      <c r="E879" s="2" t="n"/>
    </row>
    <row r="880" ht="14.25" customHeight="1" s="59">
      <c r="A880" s="3" t="n"/>
      <c r="C880" s="2" t="n"/>
      <c r="D880" s="2" t="n"/>
      <c r="E880" s="2" t="n"/>
    </row>
    <row r="881" ht="14.25" customHeight="1" s="59">
      <c r="A881" s="3" t="n"/>
      <c r="C881" s="2" t="n"/>
      <c r="D881" s="2" t="n"/>
      <c r="E881" s="2" t="n"/>
    </row>
    <row r="882" ht="14.25" customHeight="1" s="59">
      <c r="A882" s="3" t="n"/>
      <c r="C882" s="2" t="n"/>
      <c r="D882" s="2" t="n"/>
      <c r="E882" s="2" t="n"/>
    </row>
    <row r="883" ht="14.25" customHeight="1" s="59">
      <c r="A883" s="3" t="n"/>
      <c r="C883" s="2" t="n"/>
      <c r="D883" s="2" t="n"/>
      <c r="E883" s="2" t="n"/>
    </row>
    <row r="884" ht="14.25" customHeight="1" s="59">
      <c r="A884" s="3" t="n"/>
      <c r="C884" s="2" t="n"/>
      <c r="D884" s="2" t="n"/>
      <c r="E884" s="2" t="n"/>
    </row>
    <row r="885" ht="14.25" customHeight="1" s="59">
      <c r="A885" s="3" t="n"/>
      <c r="C885" s="2" t="n"/>
      <c r="D885" s="2" t="n"/>
      <c r="E885" s="2" t="n"/>
    </row>
    <row r="886" ht="14.25" customHeight="1" s="59">
      <c r="A886" s="3" t="n"/>
      <c r="C886" s="2" t="n"/>
      <c r="D886" s="2" t="n"/>
      <c r="E886" s="2" t="n"/>
    </row>
    <row r="887" ht="14.25" customHeight="1" s="59">
      <c r="A887" s="3" t="n"/>
      <c r="C887" s="2" t="n"/>
      <c r="D887" s="2" t="n"/>
      <c r="E887" s="2" t="n"/>
    </row>
    <row r="888" ht="14.25" customHeight="1" s="59">
      <c r="A888" s="3" t="n"/>
      <c r="C888" s="2" t="n"/>
      <c r="D888" s="2" t="n"/>
      <c r="E888" s="2" t="n"/>
    </row>
    <row r="889" ht="14.25" customHeight="1" s="59">
      <c r="A889" s="3" t="n"/>
      <c r="C889" s="2" t="n"/>
      <c r="D889" s="2" t="n"/>
      <c r="E889" s="2" t="n"/>
    </row>
    <row r="890" ht="14.25" customHeight="1" s="59">
      <c r="A890" s="3" t="n"/>
      <c r="C890" s="2" t="n"/>
      <c r="D890" s="2" t="n"/>
      <c r="E890" s="2" t="n"/>
    </row>
    <row r="891" ht="14.25" customHeight="1" s="59">
      <c r="A891" s="3" t="n"/>
      <c r="C891" s="2" t="n"/>
      <c r="D891" s="2" t="n"/>
      <c r="E891" s="2" t="n"/>
    </row>
    <row r="892" ht="14.25" customHeight="1" s="59">
      <c r="A892" s="3" t="n"/>
      <c r="C892" s="2" t="n"/>
      <c r="D892" s="2" t="n"/>
      <c r="E892" s="2" t="n"/>
    </row>
    <row r="893" ht="14.25" customHeight="1" s="59">
      <c r="A893" s="3" t="n"/>
      <c r="C893" s="2" t="n"/>
      <c r="D893" s="2" t="n"/>
      <c r="E893" s="2" t="n"/>
    </row>
    <row r="894" ht="14.25" customHeight="1" s="59">
      <c r="A894" s="3" t="n"/>
      <c r="C894" s="2" t="n"/>
      <c r="D894" s="2" t="n"/>
      <c r="E894" s="2" t="n"/>
    </row>
    <row r="895" ht="14.25" customHeight="1" s="59">
      <c r="A895" s="3" t="n"/>
      <c r="C895" s="2" t="n"/>
      <c r="D895" s="2" t="n"/>
      <c r="E895" s="2" t="n"/>
    </row>
    <row r="896" ht="14.25" customHeight="1" s="59">
      <c r="A896" s="3" t="n"/>
      <c r="C896" s="2" t="n"/>
      <c r="D896" s="2" t="n"/>
      <c r="E896" s="2" t="n"/>
    </row>
    <row r="897" ht="14.25" customHeight="1" s="59">
      <c r="A897" s="3" t="n"/>
      <c r="C897" s="2" t="n"/>
      <c r="D897" s="2" t="n"/>
      <c r="E897" s="2" t="n"/>
    </row>
    <row r="898" ht="14.25" customHeight="1" s="59">
      <c r="A898" s="3" t="n"/>
      <c r="C898" s="2" t="n"/>
      <c r="D898" s="2" t="n"/>
      <c r="E898" s="2" t="n"/>
    </row>
    <row r="899" ht="14.25" customHeight="1" s="59">
      <c r="A899" s="3" t="n"/>
      <c r="C899" s="2" t="n"/>
      <c r="D899" s="2" t="n"/>
      <c r="E899" s="2" t="n"/>
    </row>
    <row r="900" ht="14.25" customHeight="1" s="59">
      <c r="A900" s="3" t="n"/>
      <c r="C900" s="2" t="n"/>
      <c r="D900" s="2" t="n"/>
      <c r="E900" s="2" t="n"/>
    </row>
    <row r="901" ht="14.25" customHeight="1" s="59">
      <c r="A901" s="3" t="n"/>
      <c r="C901" s="2" t="n"/>
      <c r="D901" s="2" t="n"/>
      <c r="E901" s="2" t="n"/>
    </row>
    <row r="902" ht="14.25" customHeight="1" s="59">
      <c r="A902" s="3" t="n"/>
      <c r="C902" s="2" t="n"/>
      <c r="D902" s="2" t="n"/>
      <c r="E902" s="2" t="n"/>
    </row>
    <row r="903" ht="14.25" customHeight="1" s="59">
      <c r="A903" s="3" t="n"/>
      <c r="C903" s="2" t="n"/>
      <c r="D903" s="2" t="n"/>
      <c r="E903" s="2" t="n"/>
    </row>
    <row r="904" ht="14.25" customHeight="1" s="59">
      <c r="A904" s="3" t="n"/>
      <c r="C904" s="2" t="n"/>
      <c r="D904" s="2" t="n"/>
      <c r="E904" s="2" t="n"/>
    </row>
    <row r="905" ht="14.25" customHeight="1" s="59">
      <c r="A905" s="3" t="n"/>
      <c r="C905" s="2" t="n"/>
      <c r="D905" s="2" t="n"/>
      <c r="E905" s="2" t="n"/>
    </row>
    <row r="906" ht="14.25" customHeight="1" s="59">
      <c r="A906" s="3" t="n"/>
      <c r="C906" s="2" t="n"/>
      <c r="D906" s="2" t="n"/>
      <c r="E906" s="2" t="n"/>
    </row>
    <row r="907" ht="14.25" customHeight="1" s="59">
      <c r="A907" s="3" t="n"/>
      <c r="C907" s="2" t="n"/>
      <c r="D907" s="2" t="n"/>
      <c r="E907" s="2" t="n"/>
    </row>
    <row r="908" ht="14.25" customHeight="1" s="59">
      <c r="A908" s="3" t="n"/>
      <c r="C908" s="2" t="n"/>
      <c r="D908" s="2" t="n"/>
      <c r="E908" s="2" t="n"/>
    </row>
    <row r="909" ht="14.25" customHeight="1" s="59">
      <c r="A909" s="3" t="n"/>
      <c r="C909" s="2" t="n"/>
      <c r="D909" s="2" t="n"/>
      <c r="E909" s="2" t="n"/>
    </row>
    <row r="910" ht="14.25" customHeight="1" s="59">
      <c r="A910" s="3" t="n"/>
      <c r="C910" s="2" t="n"/>
      <c r="D910" s="2" t="n"/>
      <c r="E910" s="2" t="n"/>
    </row>
    <row r="911" ht="14.25" customHeight="1" s="59">
      <c r="A911" s="3" t="n"/>
      <c r="C911" s="2" t="n"/>
      <c r="D911" s="2" t="n"/>
      <c r="E911" s="2" t="n"/>
    </row>
    <row r="912" ht="14.25" customHeight="1" s="59">
      <c r="A912" s="3" t="n"/>
      <c r="C912" s="2" t="n"/>
      <c r="D912" s="2" t="n"/>
      <c r="E912" s="2" t="n"/>
    </row>
    <row r="913" ht="14.25" customHeight="1" s="59">
      <c r="A913" s="3" t="n"/>
      <c r="C913" s="2" t="n"/>
      <c r="D913" s="2" t="n"/>
      <c r="E913" s="2" t="n"/>
    </row>
    <row r="914" ht="14.25" customHeight="1" s="59">
      <c r="A914" s="3" t="n"/>
      <c r="C914" s="2" t="n"/>
      <c r="D914" s="2" t="n"/>
      <c r="E914" s="2" t="n"/>
    </row>
    <row r="915" ht="14.25" customHeight="1" s="59">
      <c r="A915" s="3" t="n"/>
      <c r="C915" s="2" t="n"/>
      <c r="D915" s="2" t="n"/>
      <c r="E915" s="2" t="n"/>
    </row>
    <row r="916" ht="14.25" customHeight="1" s="59">
      <c r="A916" s="3" t="n"/>
      <c r="C916" s="2" t="n"/>
      <c r="D916" s="2" t="n"/>
      <c r="E916" s="2" t="n"/>
    </row>
    <row r="917" ht="14.25" customHeight="1" s="59">
      <c r="A917" s="3" t="n"/>
      <c r="C917" s="2" t="n"/>
      <c r="D917" s="2" t="n"/>
      <c r="E917" s="2" t="n"/>
    </row>
    <row r="918" ht="14.25" customHeight="1" s="59">
      <c r="A918" s="3" t="n"/>
      <c r="C918" s="2" t="n"/>
      <c r="D918" s="2" t="n"/>
      <c r="E918" s="2" t="n"/>
    </row>
    <row r="919" ht="14.25" customHeight="1" s="59">
      <c r="A919" s="3" t="n"/>
      <c r="C919" s="2" t="n"/>
      <c r="D919" s="2" t="n"/>
      <c r="E919" s="2" t="n"/>
    </row>
    <row r="920" ht="14.25" customHeight="1" s="59">
      <c r="A920" s="3" t="n"/>
      <c r="C920" s="2" t="n"/>
      <c r="D920" s="2" t="n"/>
      <c r="E920" s="2" t="n"/>
    </row>
    <row r="921" ht="14.25" customHeight="1" s="59">
      <c r="A921" s="3" t="n"/>
      <c r="C921" s="2" t="n"/>
      <c r="D921" s="2" t="n"/>
      <c r="E921" s="2" t="n"/>
    </row>
    <row r="922" ht="14.25" customHeight="1" s="59">
      <c r="A922" s="3" t="n"/>
      <c r="C922" s="2" t="n"/>
      <c r="D922" s="2" t="n"/>
      <c r="E922" s="2" t="n"/>
    </row>
    <row r="923" ht="14.25" customHeight="1" s="59">
      <c r="A923" s="3" t="n"/>
      <c r="C923" s="2" t="n"/>
      <c r="D923" s="2" t="n"/>
      <c r="E923" s="2" t="n"/>
    </row>
    <row r="924" ht="14.25" customHeight="1" s="59">
      <c r="A924" s="3" t="n"/>
      <c r="C924" s="2" t="n"/>
      <c r="D924" s="2" t="n"/>
      <c r="E924" s="2" t="n"/>
    </row>
    <row r="925" ht="14.25" customHeight="1" s="59">
      <c r="A925" s="3" t="n"/>
      <c r="C925" s="2" t="n"/>
      <c r="D925" s="2" t="n"/>
      <c r="E925" s="2" t="n"/>
    </row>
    <row r="926" ht="14.25" customHeight="1" s="59">
      <c r="A926" s="3" t="n"/>
      <c r="C926" s="2" t="n"/>
      <c r="D926" s="2" t="n"/>
      <c r="E926" s="2" t="n"/>
    </row>
    <row r="927" ht="14.25" customHeight="1" s="59">
      <c r="A927" s="3" t="n"/>
      <c r="C927" s="2" t="n"/>
      <c r="D927" s="2" t="n"/>
      <c r="E927" s="2" t="n"/>
    </row>
    <row r="928" ht="14.25" customHeight="1" s="59">
      <c r="A928" s="3" t="n"/>
      <c r="C928" s="2" t="n"/>
      <c r="D928" s="2" t="n"/>
      <c r="E928" s="2" t="n"/>
    </row>
    <row r="929" ht="14.25" customHeight="1" s="59">
      <c r="A929" s="3" t="n"/>
      <c r="C929" s="2" t="n"/>
      <c r="D929" s="2" t="n"/>
      <c r="E929" s="2" t="n"/>
    </row>
    <row r="930" ht="14.25" customHeight="1" s="59">
      <c r="A930" s="3" t="n"/>
      <c r="C930" s="2" t="n"/>
      <c r="D930" s="2" t="n"/>
      <c r="E930" s="2" t="n"/>
    </row>
    <row r="931" ht="14.25" customHeight="1" s="59">
      <c r="A931" s="3" t="n"/>
      <c r="C931" s="2" t="n"/>
      <c r="D931" s="2" t="n"/>
      <c r="E931" s="2" t="n"/>
    </row>
    <row r="932" ht="14.25" customHeight="1" s="59">
      <c r="A932" s="3" t="n"/>
      <c r="C932" s="2" t="n"/>
      <c r="D932" s="2" t="n"/>
      <c r="E932" s="2" t="n"/>
    </row>
    <row r="933" ht="14.25" customHeight="1" s="59">
      <c r="A933" s="3" t="n"/>
      <c r="C933" s="2" t="n"/>
      <c r="D933" s="2" t="n"/>
      <c r="E933" s="2" t="n"/>
    </row>
    <row r="934" ht="14.25" customHeight="1" s="59">
      <c r="A934" s="3" t="n"/>
      <c r="C934" s="2" t="n"/>
      <c r="D934" s="2" t="n"/>
      <c r="E934" s="2" t="n"/>
    </row>
    <row r="935" ht="14.25" customHeight="1" s="59">
      <c r="A935" s="3" t="n"/>
      <c r="C935" s="2" t="n"/>
      <c r="D935" s="2" t="n"/>
      <c r="E935" s="2" t="n"/>
    </row>
    <row r="936" ht="14.25" customHeight="1" s="59">
      <c r="A936" s="3" t="n"/>
      <c r="C936" s="2" t="n"/>
      <c r="D936" s="2" t="n"/>
      <c r="E936" s="2" t="n"/>
    </row>
    <row r="937" ht="14.25" customHeight="1" s="59">
      <c r="A937" s="3" t="n"/>
      <c r="C937" s="2" t="n"/>
      <c r="D937" s="2" t="n"/>
      <c r="E937" s="2" t="n"/>
    </row>
    <row r="938" ht="14.25" customHeight="1" s="59">
      <c r="A938" s="3" t="n"/>
      <c r="C938" s="2" t="n"/>
      <c r="D938" s="2" t="n"/>
      <c r="E938" s="2" t="n"/>
    </row>
    <row r="939" ht="14.25" customHeight="1" s="59">
      <c r="A939" s="3" t="n"/>
      <c r="C939" s="2" t="n"/>
      <c r="D939" s="2" t="n"/>
      <c r="E939" s="2" t="n"/>
    </row>
    <row r="940" ht="14.25" customHeight="1" s="59">
      <c r="A940" s="3" t="n"/>
      <c r="C940" s="2" t="n"/>
      <c r="D940" s="2" t="n"/>
      <c r="E940" s="2" t="n"/>
    </row>
    <row r="941" ht="14.25" customHeight="1" s="59">
      <c r="A941" s="3" t="n"/>
      <c r="C941" s="2" t="n"/>
      <c r="D941" s="2" t="n"/>
      <c r="E941" s="2" t="n"/>
    </row>
    <row r="942" ht="14.25" customHeight="1" s="59">
      <c r="A942" s="3" t="n"/>
      <c r="C942" s="2" t="n"/>
      <c r="D942" s="2" t="n"/>
      <c r="E942" s="2" t="n"/>
    </row>
    <row r="943" ht="14.25" customHeight="1" s="59">
      <c r="A943" s="3" t="n"/>
      <c r="C943" s="2" t="n"/>
      <c r="D943" s="2" t="n"/>
      <c r="E943" s="2" t="n"/>
    </row>
    <row r="944" ht="14.25" customHeight="1" s="59">
      <c r="A944" s="3" t="n"/>
      <c r="C944" s="2" t="n"/>
      <c r="D944" s="2" t="n"/>
      <c r="E944" s="2" t="n"/>
    </row>
    <row r="945" ht="14.25" customHeight="1" s="59">
      <c r="A945" s="3" t="n"/>
      <c r="C945" s="2" t="n"/>
      <c r="D945" s="2" t="n"/>
      <c r="E945" s="2" t="n"/>
    </row>
    <row r="946" ht="14.25" customHeight="1" s="59">
      <c r="A946" s="3" t="n"/>
      <c r="C946" s="2" t="n"/>
      <c r="D946" s="2" t="n"/>
      <c r="E946" s="2" t="n"/>
    </row>
    <row r="947" ht="14.25" customHeight="1" s="59">
      <c r="A947" s="3" t="n"/>
      <c r="C947" s="2" t="n"/>
      <c r="D947" s="2" t="n"/>
      <c r="E947" s="2" t="n"/>
    </row>
    <row r="948" ht="14.25" customHeight="1" s="59">
      <c r="A948" s="3" t="n"/>
      <c r="C948" s="2" t="n"/>
      <c r="D948" s="2" t="n"/>
      <c r="E948" s="2" t="n"/>
    </row>
    <row r="949" ht="14.25" customHeight="1" s="59">
      <c r="A949" s="3" t="n"/>
      <c r="C949" s="2" t="n"/>
      <c r="D949" s="2" t="n"/>
      <c r="E949" s="2" t="n"/>
    </row>
    <row r="950" ht="14.25" customHeight="1" s="59">
      <c r="A950" s="3" t="n"/>
      <c r="C950" s="2" t="n"/>
      <c r="D950" s="2" t="n"/>
      <c r="E950" s="2" t="n"/>
    </row>
    <row r="951" ht="14.25" customHeight="1" s="59">
      <c r="A951" s="3" t="n"/>
      <c r="C951" s="2" t="n"/>
      <c r="D951" s="2" t="n"/>
      <c r="E951" s="2" t="n"/>
    </row>
    <row r="952" ht="14.25" customHeight="1" s="59">
      <c r="A952" s="3" t="n"/>
      <c r="C952" s="2" t="n"/>
      <c r="D952" s="2" t="n"/>
      <c r="E952" s="2" t="n"/>
    </row>
    <row r="953" ht="14.25" customHeight="1" s="59">
      <c r="A953" s="3" t="n"/>
      <c r="C953" s="2" t="n"/>
      <c r="D953" s="2" t="n"/>
      <c r="E953" s="2" t="n"/>
    </row>
    <row r="954" ht="14.25" customHeight="1" s="59">
      <c r="A954" s="3" t="n"/>
      <c r="C954" s="2" t="n"/>
      <c r="D954" s="2" t="n"/>
      <c r="E954" s="2" t="n"/>
    </row>
    <row r="955" ht="14.25" customHeight="1" s="59">
      <c r="A955" s="3" t="n"/>
      <c r="C955" s="2" t="n"/>
      <c r="D955" s="2" t="n"/>
      <c r="E955" s="2" t="n"/>
    </row>
    <row r="956" ht="14.25" customHeight="1" s="59">
      <c r="A956" s="3" t="n"/>
      <c r="C956" s="2" t="n"/>
      <c r="D956" s="2" t="n"/>
      <c r="E956" s="2" t="n"/>
    </row>
    <row r="957" ht="14.25" customHeight="1" s="59">
      <c r="A957" s="3" t="n"/>
      <c r="C957" s="2" t="n"/>
      <c r="D957" s="2" t="n"/>
      <c r="E957" s="2" t="n"/>
    </row>
    <row r="958" ht="14.25" customHeight="1" s="59">
      <c r="A958" s="3" t="n"/>
      <c r="C958" s="2" t="n"/>
      <c r="D958" s="2" t="n"/>
      <c r="E958" s="2" t="n"/>
    </row>
    <row r="959" ht="14.25" customHeight="1" s="59">
      <c r="A959" s="3" t="n"/>
      <c r="C959" s="2" t="n"/>
      <c r="D959" s="2" t="n"/>
      <c r="E959" s="2" t="n"/>
    </row>
    <row r="960" ht="14.25" customHeight="1" s="59">
      <c r="A960" s="3" t="n"/>
      <c r="C960" s="2" t="n"/>
      <c r="D960" s="2" t="n"/>
      <c r="E960" s="2" t="n"/>
    </row>
    <row r="961" ht="14.25" customHeight="1" s="59">
      <c r="A961" s="3" t="n"/>
      <c r="C961" s="2" t="n"/>
      <c r="D961" s="2" t="n"/>
      <c r="E961" s="2" t="n"/>
    </row>
    <row r="962" ht="14.25" customHeight="1" s="59">
      <c r="A962" s="3" t="n"/>
      <c r="C962" s="2" t="n"/>
      <c r="D962" s="2" t="n"/>
      <c r="E962" s="2" t="n"/>
    </row>
    <row r="963" ht="14.25" customHeight="1" s="59">
      <c r="A963" s="3" t="n"/>
      <c r="C963" s="2" t="n"/>
      <c r="D963" s="2" t="n"/>
      <c r="E963" s="2" t="n"/>
    </row>
    <row r="964" ht="14.25" customHeight="1" s="59">
      <c r="A964" s="3" t="n"/>
      <c r="C964" s="2" t="n"/>
      <c r="D964" s="2" t="n"/>
      <c r="E964" s="2" t="n"/>
    </row>
    <row r="965" ht="14.25" customHeight="1" s="59">
      <c r="A965" s="3" t="n"/>
      <c r="C965" s="2" t="n"/>
      <c r="D965" s="2" t="n"/>
      <c r="E965" s="2" t="n"/>
    </row>
    <row r="966" ht="14.25" customHeight="1" s="59">
      <c r="A966" s="3" t="n"/>
      <c r="C966" s="2" t="n"/>
      <c r="D966" s="2" t="n"/>
      <c r="E966" s="2" t="n"/>
    </row>
    <row r="967" ht="14.25" customHeight="1" s="59">
      <c r="A967" s="3" t="n"/>
      <c r="C967" s="2" t="n"/>
      <c r="D967" s="2" t="n"/>
      <c r="E967" s="2" t="n"/>
    </row>
    <row r="968" ht="14.25" customHeight="1" s="59">
      <c r="A968" s="3" t="n"/>
      <c r="C968" s="2" t="n"/>
      <c r="D968" s="2" t="n"/>
      <c r="E968" s="2" t="n"/>
    </row>
    <row r="969" ht="14.25" customHeight="1" s="59">
      <c r="A969" s="3" t="n"/>
      <c r="C969" s="2" t="n"/>
      <c r="D969" s="2" t="n"/>
      <c r="E969" s="2" t="n"/>
    </row>
    <row r="970" ht="14.25" customHeight="1" s="59">
      <c r="A970" s="3" t="n"/>
      <c r="C970" s="2" t="n"/>
      <c r="D970" s="2" t="n"/>
      <c r="E970" s="2" t="n"/>
    </row>
    <row r="971" ht="14.25" customHeight="1" s="59">
      <c r="A971" s="3" t="n"/>
      <c r="C971" s="2" t="n"/>
      <c r="D971" s="2" t="n"/>
      <c r="E971" s="2" t="n"/>
    </row>
    <row r="972" ht="14.25" customHeight="1" s="59">
      <c r="A972" s="3" t="n"/>
      <c r="C972" s="2" t="n"/>
      <c r="D972" s="2" t="n"/>
      <c r="E972" s="2" t="n"/>
    </row>
    <row r="973" ht="14.25" customHeight="1" s="59">
      <c r="A973" s="3" t="n"/>
      <c r="C973" s="2" t="n"/>
      <c r="D973" s="2" t="n"/>
      <c r="E973" s="2" t="n"/>
    </row>
    <row r="974" ht="14.25" customHeight="1" s="59">
      <c r="A974" s="3" t="n"/>
      <c r="C974" s="2" t="n"/>
      <c r="D974" s="2" t="n"/>
      <c r="E974" s="2" t="n"/>
    </row>
    <row r="975" ht="14.25" customHeight="1" s="59">
      <c r="A975" s="3" t="n"/>
      <c r="C975" s="2" t="n"/>
      <c r="D975" s="2" t="n"/>
      <c r="E975" s="2" t="n"/>
    </row>
    <row r="976" ht="14.25" customHeight="1" s="59">
      <c r="A976" s="3" t="n"/>
      <c r="C976" s="2" t="n"/>
      <c r="D976" s="2" t="n"/>
      <c r="E976" s="2" t="n"/>
    </row>
    <row r="977" ht="14.25" customHeight="1" s="59">
      <c r="A977" s="3" t="n"/>
      <c r="C977" s="2" t="n"/>
      <c r="D977" s="2" t="n"/>
      <c r="E977" s="2" t="n"/>
    </row>
    <row r="978" ht="14.25" customHeight="1" s="59">
      <c r="A978" s="3" t="n"/>
      <c r="C978" s="2" t="n"/>
      <c r="D978" s="2" t="n"/>
      <c r="E978" s="2" t="n"/>
    </row>
    <row r="979" ht="14.25" customHeight="1" s="59">
      <c r="A979" s="3" t="n"/>
      <c r="C979" s="2" t="n"/>
      <c r="D979" s="2" t="n"/>
      <c r="E979" s="2" t="n"/>
    </row>
    <row r="980" ht="14.25" customHeight="1" s="59">
      <c r="A980" s="3" t="n"/>
      <c r="C980" s="2" t="n"/>
      <c r="D980" s="2" t="n"/>
      <c r="E980" s="2" t="n"/>
    </row>
    <row r="981" ht="14.25" customHeight="1" s="59">
      <c r="A981" s="3" t="n"/>
      <c r="C981" s="2" t="n"/>
      <c r="D981" s="2" t="n"/>
      <c r="E981" s="2" t="n"/>
    </row>
    <row r="982" ht="14.25" customHeight="1" s="59">
      <c r="A982" s="3" t="n"/>
      <c r="C982" s="2" t="n"/>
      <c r="D982" s="2" t="n"/>
      <c r="E982" s="2" t="n"/>
    </row>
    <row r="983" ht="14.25" customHeight="1" s="59">
      <c r="A983" s="3" t="n"/>
      <c r="C983" s="2" t="n"/>
      <c r="D983" s="2" t="n"/>
      <c r="E983" s="2" t="n"/>
    </row>
    <row r="984" ht="14.25" customHeight="1" s="59">
      <c r="A984" s="3" t="n"/>
      <c r="C984" s="2" t="n"/>
      <c r="D984" s="2" t="n"/>
      <c r="E984" s="2" t="n"/>
    </row>
    <row r="985" ht="14.25" customHeight="1" s="59">
      <c r="A985" s="3" t="n"/>
      <c r="C985" s="2" t="n"/>
      <c r="D985" s="2" t="n"/>
      <c r="E985" s="2" t="n"/>
    </row>
    <row r="986" ht="14.25" customHeight="1" s="59">
      <c r="A986" s="3" t="n"/>
      <c r="C986" s="2" t="n"/>
      <c r="D986" s="2" t="n"/>
      <c r="E986" s="2" t="n"/>
    </row>
    <row r="987" ht="14.25" customHeight="1" s="59">
      <c r="A987" s="3" t="n"/>
      <c r="C987" s="2" t="n"/>
      <c r="D987" s="2" t="n"/>
      <c r="E987" s="2" t="n"/>
    </row>
    <row r="988" ht="14.25" customHeight="1" s="59">
      <c r="A988" s="3" t="n"/>
      <c r="C988" s="2" t="n"/>
      <c r="D988" s="2" t="n"/>
      <c r="E988" s="2" t="n"/>
    </row>
    <row r="989" ht="14.25" customHeight="1" s="59">
      <c r="A989" s="3" t="n"/>
      <c r="C989" s="2" t="n"/>
      <c r="D989" s="2" t="n"/>
      <c r="E989" s="2" t="n"/>
    </row>
    <row r="990" ht="14.25" customHeight="1" s="59">
      <c r="A990" s="3" t="n"/>
      <c r="C990" s="2" t="n"/>
      <c r="D990" s="2" t="n"/>
      <c r="E990" s="2" t="n"/>
    </row>
    <row r="991" ht="14.25" customHeight="1" s="59">
      <c r="A991" s="3" t="n"/>
      <c r="C991" s="2" t="n"/>
      <c r="D991" s="2" t="n"/>
      <c r="E991" s="2" t="n"/>
    </row>
    <row r="992" ht="14.25" customHeight="1" s="59">
      <c r="A992" s="3" t="n"/>
      <c r="C992" s="2" t="n"/>
      <c r="D992" s="2" t="n"/>
      <c r="E992" s="2" t="n"/>
    </row>
    <row r="993" ht="14.25" customHeight="1" s="59">
      <c r="A993" s="3" t="n"/>
      <c r="C993" s="2" t="n"/>
      <c r="D993" s="2" t="n"/>
      <c r="E993" s="2" t="n"/>
    </row>
    <row r="994" ht="14.25" customHeight="1" s="59">
      <c r="A994" s="3" t="n"/>
      <c r="C994" s="2" t="n"/>
      <c r="D994" s="2" t="n"/>
      <c r="E994" s="2" t="n"/>
    </row>
    <row r="995" ht="14.25" customHeight="1" s="59">
      <c r="A995" s="3" t="n"/>
      <c r="C995" s="2" t="n"/>
      <c r="D995" s="2" t="n"/>
      <c r="E995" s="2" t="n"/>
    </row>
    <row r="996" ht="14.25" customHeight="1" s="59">
      <c r="A996" s="3" t="n"/>
      <c r="C996" s="2" t="n"/>
      <c r="D996" s="2" t="n"/>
      <c r="E996" s="2" t="n"/>
    </row>
    <row r="997" ht="14.25" customHeight="1" s="59">
      <c r="A997" s="3" t="n"/>
      <c r="C997" s="2" t="n"/>
      <c r="D997" s="2" t="n"/>
      <c r="E997" s="2" t="n"/>
    </row>
    <row r="998" ht="14.25" customHeight="1" s="59">
      <c r="A998" s="3" t="n"/>
      <c r="C998" s="2" t="n"/>
      <c r="D998" s="2" t="n"/>
      <c r="E998" s="2" t="n"/>
    </row>
    <row r="999" ht="14.25" customHeight="1" s="59">
      <c r="A999" s="3" t="n"/>
      <c r="C999" s="2" t="n"/>
      <c r="D999" s="2" t="n"/>
      <c r="E999" s="2" t="n"/>
    </row>
    <row r="1000" ht="14.25" customHeight="1" s="59">
      <c r="A1000" s="3" t="n"/>
      <c r="C1000" s="2" t="n"/>
      <c r="D1000" s="2" t="n"/>
      <c r="E1000" s="2" t="n"/>
    </row>
    <row r="1001" ht="14.25" customHeight="1" s="59">
      <c r="A1001" s="3" t="n"/>
      <c r="C1001" s="2" t="n"/>
      <c r="D1001" s="2" t="n"/>
      <c r="E1001" s="2" t="n"/>
    </row>
    <row r="1002" ht="14.25" customHeight="1" s="59">
      <c r="A1002" s="3" t="n"/>
      <c r="C1002" s="2" t="n"/>
      <c r="D1002" s="2" t="n"/>
      <c r="E1002" s="2" t="n"/>
    </row>
    <row r="1003" ht="14.25" customHeight="1" s="59">
      <c r="A1003" s="3" t="n"/>
      <c r="C1003" s="2" t="n"/>
      <c r="D1003" s="2" t="n"/>
      <c r="E1003" s="2" t="n"/>
    </row>
  </sheetData>
  <mergeCells count="3">
    <mergeCell ref="L11:X11"/>
    <mergeCell ref="H11:K11"/>
    <mergeCell ref="Y11:AD1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2026-08-04T13:02:13Z</dcterms:modified>
  <cp:lastModifiedBy>PC</cp:lastModifiedBy>
</cp:coreProperties>
</file>
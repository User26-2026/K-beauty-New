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definedNames>
    <definedName name="_xlnm._FilterDatabase" localSheetId="0" hidden="1">'Юнитка Ozon (live)'!$A$11:$AG$24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i val="1"/>
      <color rgb="FF808080"/>
      <sz val="11"/>
    </font>
    <font>
      <name val="Arial"/>
      <charset val="204"/>
      <family val="2"/>
      <color theme="1"/>
      <sz val="8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0" fontId="4" fillId="0" borderId="0" pivotButton="0" quotePrefix="0" xfId="0"/>
    <xf numFmtId="3" fontId="0" fillId="2" borderId="0" pivotButton="0" quotePrefix="0" xfId="0"/>
    <xf numFmtId="0" fontId="5" fillId="0" borderId="0" pivotButton="0" quotePrefix="0" xfId="0"/>
    <xf numFmtId="2" fontId="0" fillId="2" borderId="0" pivotButton="0" quotePrefix="0" xfId="0"/>
    <xf numFmtId="2" fontId="2" fillId="5" borderId="1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8"/>
  <sheetViews>
    <sheetView tabSelected="1" zoomScale="85" zoomScaleNormal="85" workbookViewId="0">
      <pane xSplit="1" ySplit="11" topLeftCell="B12" activePane="bottomRight" state="frozen"/>
      <selection pane="topRight" activeCell="A1" sqref="A1"/>
      <selection pane="bottomLeft" activeCell="A1" sqref="A1"/>
      <selection pane="bottomRight" activeCell="Z1" sqref="Z1:AC1048576"/>
    </sheetView>
  </sheetViews>
  <sheetFormatPr baseColWidth="8" defaultRowHeight="14.5"/>
  <cols>
    <col width="42" customWidth="1" min="1" max="2"/>
    <col width="10" customWidth="1" min="3" max="3"/>
    <col width="8" customWidth="1" min="4" max="4"/>
    <col width="11" customWidth="1" min="5" max="5"/>
    <col width="10" customWidth="1" min="6" max="7"/>
    <col width="12" customWidth="1" min="8" max="8"/>
    <col width="10" customWidth="1" min="9" max="11"/>
    <col width="15" customWidth="1" min="12" max="12"/>
    <col width="13" customWidth="1" min="13" max="13"/>
    <col width="10" customWidth="1" min="14" max="16"/>
    <col width="12" customWidth="1" min="17" max="17"/>
    <col width="10" customWidth="1" min="18" max="20"/>
    <col width="13" customWidth="1" min="21" max="22"/>
    <col width="12" customWidth="1" min="23" max="24"/>
    <col width="13" customWidth="1" min="25" max="25"/>
    <col width="8" customWidth="1" min="26" max="26"/>
    <col hidden="1" width="11" customWidth="1" min="27" max="28"/>
    <col width="13" customWidth="1" min="29" max="29"/>
    <col width="10" customWidth="1" min="30" max="30"/>
    <col width="11" customWidth="1" min="31" max="31"/>
    <col width="10" customWidth="1" min="32" max="32"/>
    <col width="12" customWidth="1" min="33" max="33"/>
    <col width="13" customWidth="1" min="34" max="34"/>
  </cols>
  <sheetData>
    <row r="1" ht="15.5" customHeight="1">
      <c r="A1" s="1" t="inlineStr">
        <is>
          <t>ПАРАМЕТРЫ — меняй жёлтые ячейки, всё пересчитается</t>
        </is>
      </c>
      <c r="B1" s="1" t="n"/>
    </row>
    <row r="3">
      <c r="A3" t="inlineStr">
        <is>
          <t>Налог с оборота</t>
        </is>
      </c>
      <c r="C3" s="2" t="n">
        <v>0.07000000000000001</v>
      </c>
    </row>
    <row r="4">
      <c r="A4" t="inlineStr">
        <is>
          <t>Эквайринг</t>
        </is>
      </c>
      <c r="C4" s="3" t="n">
        <v>0.015</v>
      </c>
    </row>
    <row r="5">
      <c r="A5" t="inlineStr">
        <is>
          <t>Фулфилмент, ₽/шт</t>
        </is>
      </c>
      <c r="C5" s="4" t="n">
        <v>60</v>
      </c>
    </row>
    <row r="6">
      <c r="A6" t="inlineStr">
        <is>
          <t>Хранение, ₽/л/день</t>
        </is>
      </c>
      <c r="C6" s="5" t="n">
        <v>0.16</v>
      </c>
    </row>
    <row r="7">
      <c r="A7" t="inlineStr">
        <is>
          <t>Дней хранения</t>
        </is>
      </c>
      <c r="C7" s="4" t="n">
        <v>0</v>
      </c>
    </row>
    <row r="8">
      <c r="A8" t="inlineStr">
        <is>
          <t>Наценка за нелокальные продажи %</t>
        </is>
      </c>
      <c r="C8" s="3" t="n">
        <v>0.02</v>
      </c>
    </row>
    <row r="9">
      <c r="A9" t="inlineStr">
        <is>
          <t>Кроссдок: обработка (склады/СЦ) ₽/л</t>
        </is>
      </c>
      <c r="C9" s="21" t="n">
        <v>0.75</v>
      </c>
    </row>
    <row r="10">
      <c r="A10" t="inlineStr">
        <is>
          <t>Кроссдок: перевозка ₽/л (средн. 26 скл.)</t>
        </is>
      </c>
      <c r="C10" s="21" t="n">
        <v>4.423</v>
      </c>
    </row>
    <row r="11" ht="30" customHeight="1">
      <c r="A11" s="6" t="inlineStr">
        <is>
          <t>Товар</t>
        </is>
      </c>
      <c r="B11" s="6" t="inlineStr">
        <is>
          <t>Цена конкурентов с СПП</t>
        </is>
      </c>
      <c r="C11" s="6" t="inlineStr">
        <is>
          <t>Цена</t>
        </is>
      </c>
      <c r="D11" s="6" t="inlineStr">
        <is>
          <t>СПП, %</t>
        </is>
      </c>
      <c r="E11" s="6" t="inlineStr">
        <is>
          <t>Цена с СПП</t>
        </is>
      </c>
      <c r="F11" s="6" t="inlineStr">
        <is>
          <t>Себест.</t>
        </is>
      </c>
      <c r="G11" s="6" t="inlineStr">
        <is>
          <t>Фулфилмент</t>
        </is>
      </c>
      <c r="H11" s="6" t="inlineStr">
        <is>
          <t>База затрат</t>
        </is>
      </c>
      <c r="I11" s="6" t="inlineStr">
        <is>
          <t>Комиссия %</t>
        </is>
      </c>
      <c r="J11" s="6" t="inlineStr">
        <is>
          <t>Комиссия ₽</t>
        </is>
      </c>
      <c r="K11" s="6" t="inlineStr">
        <is>
          <t>Логистика</t>
        </is>
      </c>
      <c r="L11" s="6" t="inlineStr">
        <is>
          <t>Наценка нелок., ₽</t>
        </is>
      </c>
      <c r="M11" s="6" t="inlineStr">
        <is>
          <t>Доставка до ПВЗ</t>
        </is>
      </c>
      <c r="N11" s="6" t="inlineStr">
        <is>
          <t>Эквайринг</t>
        </is>
      </c>
      <c r="O11" s="6" t="inlineStr">
        <is>
          <t>Налог</t>
        </is>
      </c>
      <c r="P11" s="6" t="inlineStr">
        <is>
          <t>Выкуп %</t>
        </is>
      </c>
      <c r="Q11" s="6" t="inlineStr">
        <is>
          <t>Обр.лог база</t>
        </is>
      </c>
      <c r="R11" s="6" t="inlineStr">
        <is>
          <t>Обр.лог</t>
        </is>
      </c>
      <c r="S11" s="6" t="inlineStr">
        <is>
          <t>Объём, л</t>
        </is>
      </c>
      <c r="T11" s="6" t="inlineStr">
        <is>
          <t>Хранение</t>
        </is>
      </c>
      <c r="U11" s="6" t="inlineStr">
        <is>
          <t>Оплата за клик, %</t>
        </is>
      </c>
      <c r="V11" s="6" t="inlineStr">
        <is>
          <t>Оплата за клик ₽</t>
        </is>
      </c>
      <c r="W11" s="6" t="inlineStr">
        <is>
          <t>Вывод в топ, %</t>
        </is>
      </c>
      <c r="X11" s="6" t="inlineStr">
        <is>
          <t>Вывод в топ ₽</t>
        </is>
      </c>
      <c r="Y11" s="6" t="inlineStr">
        <is>
          <t>Реклама всего ₽</t>
        </is>
      </c>
      <c r="Z11" s="6" t="inlineStr">
        <is>
          <t>ДРР %</t>
        </is>
      </c>
      <c r="AA11" s="6" t="inlineStr">
        <is>
          <t>Соинвест, %</t>
        </is>
      </c>
      <c r="AB11" s="6" t="inlineStr">
        <is>
          <t>Соинвест ₽</t>
        </is>
      </c>
      <c r="AC11" s="6" t="inlineStr">
        <is>
          <t>Маржа до рекл.</t>
        </is>
      </c>
      <c r="AD11" s="6" t="inlineStr">
        <is>
          <t>Маржа/шт</t>
        </is>
      </c>
      <c r="AE11" s="6" t="inlineStr">
        <is>
          <t>Маржа % цены</t>
        </is>
      </c>
      <c r="AF11" s="6" t="inlineStr">
        <is>
          <t>ROI %</t>
        </is>
      </c>
      <c r="AG11" s="6" t="inlineStr">
        <is>
          <t>Цена безубыт.</t>
        </is>
      </c>
      <c r="AH11" s="6" t="inlineStr">
        <is>
          <t>Кроссдок ср., ₽/ед</t>
        </is>
      </c>
    </row>
    <row r="12">
      <c r="A12" s="7" t="inlineStr">
        <is>
          <t>Celimax Dual Barrier Creamy Toner</t>
        </is>
      </c>
      <c r="B12" s="7" t="inlineStr">
        <is>
          <t>1250-1300</t>
        </is>
      </c>
      <c r="C12" s="8" t="n">
        <v>2750</v>
      </c>
      <c r="D12" s="9" t="n">
        <v>0.45</v>
      </c>
      <c r="E12" s="10">
        <f>C12*(1-D12)</f>
        <v/>
      </c>
      <c r="F12" s="11" t="n">
        <v>663.86</v>
      </c>
      <c r="G12" s="12">
        <f>$C$5</f>
        <v/>
      </c>
      <c r="H12" s="12">
        <f>F12+G12</f>
        <v/>
      </c>
      <c r="I12" s="9" t="n">
        <v>0.41</v>
      </c>
      <c r="J12" s="10">
        <f>C12*I12</f>
        <v/>
      </c>
      <c r="K12" s="8" t="n">
        <v>67</v>
      </c>
      <c r="L12" s="12">
        <f>C12*$C$8</f>
        <v/>
      </c>
      <c r="M12" s="8" t="n">
        <v>25</v>
      </c>
      <c r="N12" s="10">
        <f>C12*$C$4</f>
        <v/>
      </c>
      <c r="O12" s="10">
        <f>E12*$C$3</f>
        <v/>
      </c>
      <c r="P12" s="9" t="n">
        <v>0.9</v>
      </c>
      <c r="Q12" s="8">
        <f>K12</f>
        <v/>
      </c>
      <c r="R12" s="10">
        <f>Q12*(1-P12)</f>
        <v/>
      </c>
      <c r="S12" s="13" t="n">
        <v>0.735</v>
      </c>
      <c r="T12" s="10">
        <f>$C$6*$C$7*S12</f>
        <v/>
      </c>
      <c r="U12" s="9" t="n">
        <v>0.07000000000000001</v>
      </c>
      <c r="V12" s="10">
        <f>C12*U12</f>
        <v/>
      </c>
      <c r="W12" s="9" t="n">
        <v>0.08</v>
      </c>
      <c r="X12" s="10">
        <f>C12*W12</f>
        <v/>
      </c>
      <c r="Y12" s="10">
        <f>V12+X12</f>
        <v/>
      </c>
      <c r="Z12" s="14">
        <f>Y12/C12</f>
        <v/>
      </c>
      <c r="AA12" s="9" t="n">
        <v>0</v>
      </c>
      <c r="AB12" s="10">
        <f>C12*AA12</f>
        <v/>
      </c>
      <c r="AC12" s="10">
        <f>C12-J12-K12-L12-M12-N12-O12-R12-T12-H12+AB12-AH12</f>
        <v/>
      </c>
      <c r="AD12" s="15">
        <f>AC12-Y12</f>
        <v/>
      </c>
      <c r="AE12" s="14">
        <f>AD12/C12</f>
        <v/>
      </c>
      <c r="AF12" s="16">
        <f>AD12/H12</f>
        <v/>
      </c>
      <c r="AG12" s="10">
        <f>(K12+M12+R12+T12+H12+AH12)/(1-(I12+$C$4+(1-D12)*$C$3+$C$8+U12+W12-AA12))</f>
        <v/>
      </c>
      <c r="AH12" s="12">
        <f>S12*($C$9+$C$10)</f>
        <v/>
      </c>
    </row>
    <row r="13">
      <c r="A13" s="7" t="inlineStr">
        <is>
          <t>ROUND LAB 1025 DOKDO CLEANSER_150ml</t>
        </is>
      </c>
      <c r="B13" s="7" t="inlineStr">
        <is>
          <t>1076-1244</t>
        </is>
      </c>
      <c r="C13" s="8" t="n">
        <v>2080</v>
      </c>
      <c r="D13" s="9" t="n">
        <v>0.45</v>
      </c>
      <c r="E13" s="10">
        <f>C13*(1-D13)</f>
        <v/>
      </c>
      <c r="F13" s="11" t="n">
        <v>463.19</v>
      </c>
      <c r="G13" s="12">
        <f>$C$5</f>
        <v/>
      </c>
      <c r="H13" s="12">
        <f>F13+G13</f>
        <v/>
      </c>
      <c r="I13" s="9" t="n">
        <v>0.41</v>
      </c>
      <c r="J13" s="10">
        <f>C13*I13</f>
        <v/>
      </c>
      <c r="K13" s="8" t="n">
        <v>74</v>
      </c>
      <c r="L13" s="12">
        <f>C13*$C$8</f>
        <v/>
      </c>
      <c r="M13" s="8" t="n">
        <v>25</v>
      </c>
      <c r="N13" s="10">
        <f>C13*$C$4</f>
        <v/>
      </c>
      <c r="O13" s="10">
        <f>E13*$C$3</f>
        <v/>
      </c>
      <c r="P13" s="9" t="n">
        <v>0.9</v>
      </c>
      <c r="Q13" s="8">
        <f>K13</f>
        <v/>
      </c>
      <c r="R13" s="10">
        <f>Q13*(1-P13)</f>
        <v/>
      </c>
      <c r="S13" s="13" t="n">
        <v>1.28</v>
      </c>
      <c r="T13" s="10">
        <f>$C$6*$C$7*S13</f>
        <v/>
      </c>
      <c r="U13" s="9" t="n">
        <v>0.07000000000000001</v>
      </c>
      <c r="V13" s="10">
        <f>C13*U13</f>
        <v/>
      </c>
      <c r="W13" s="9" t="n">
        <v>0.08</v>
      </c>
      <c r="X13" s="10">
        <f>C13*W13</f>
        <v/>
      </c>
      <c r="Y13" s="10">
        <f>V13+X13</f>
        <v/>
      </c>
      <c r="Z13" s="14">
        <f>Y13/C13</f>
        <v/>
      </c>
      <c r="AA13" s="9" t="n">
        <v>0</v>
      </c>
      <c r="AB13" s="10">
        <f>C13*AA13</f>
        <v/>
      </c>
      <c r="AC13" s="10">
        <f>C13-J13-K13-L13-M13-N13-O13-R13-T13-H13+AB13-AH13</f>
        <v/>
      </c>
      <c r="AD13" s="15">
        <f>AC13-Y13</f>
        <v/>
      </c>
      <c r="AE13" s="14">
        <f>AD13/C13</f>
        <v/>
      </c>
      <c r="AF13" s="16">
        <f>AD13/H13</f>
        <v/>
      </c>
      <c r="AG13" s="10">
        <f>(K13+M13+R13+T13+H13+AH13)/(1-(I13+$C$4+(1-D13)*$C$3+$C$8+U13+W13-AA13))</f>
        <v/>
      </c>
      <c r="AH13" s="12">
        <f>S13*($C$9+$C$10)</f>
        <v/>
      </c>
    </row>
    <row r="14">
      <c r="A14" s="7" t="inlineStr">
        <is>
          <t>FARMSTAY COLLAGEN&amp;HYALURONIC ACID ALL-IN ONE</t>
        </is>
      </c>
      <c r="B14" s="7" t="inlineStr">
        <is>
          <t>483 (много подделок)</t>
        </is>
      </c>
      <c r="C14" s="8" t="n">
        <v>1660</v>
      </c>
      <c r="D14" s="9" t="n">
        <v>0.45</v>
      </c>
      <c r="E14" s="10">
        <f>C14*(1-D14)</f>
        <v/>
      </c>
      <c r="F14" s="11" t="n">
        <v>347.76</v>
      </c>
      <c r="G14" s="12">
        <f>$C$5</f>
        <v/>
      </c>
      <c r="H14" s="12">
        <f>F14+G14</f>
        <v/>
      </c>
      <c r="I14" s="9" t="n">
        <v>0.41</v>
      </c>
      <c r="J14" s="10">
        <f>C14*I14</f>
        <v/>
      </c>
      <c r="K14" s="8" t="n">
        <v>67</v>
      </c>
      <c r="L14" s="12">
        <f>C14*$C$8</f>
        <v/>
      </c>
      <c r="M14" s="8" t="n">
        <v>25</v>
      </c>
      <c r="N14" s="10">
        <f>C14*$C$4</f>
        <v/>
      </c>
      <c r="O14" s="10">
        <f>E14*$C$3</f>
        <v/>
      </c>
      <c r="P14" s="9" t="n">
        <v>0.9</v>
      </c>
      <c r="Q14" s="8">
        <f>K14</f>
        <v/>
      </c>
      <c r="R14" s="10">
        <f>Q14*(1-P14)</f>
        <v/>
      </c>
      <c r="S14" s="13" t="n">
        <v>0.832</v>
      </c>
      <c r="T14" s="10">
        <f>$C$6*$C$7*S14</f>
        <v/>
      </c>
      <c r="U14" s="9" t="n">
        <v>0.07000000000000001</v>
      </c>
      <c r="V14" s="10">
        <f>C14*U14</f>
        <v/>
      </c>
      <c r="W14" s="9" t="n">
        <v>0.08</v>
      </c>
      <c r="X14" s="10">
        <f>C14*W14</f>
        <v/>
      </c>
      <c r="Y14" s="10">
        <f>V14+X14</f>
        <v/>
      </c>
      <c r="Z14" s="14">
        <f>Y14/C14</f>
        <v/>
      </c>
      <c r="AA14" s="9" t="n">
        <v>0</v>
      </c>
      <c r="AB14" s="10">
        <f>C14*AA14</f>
        <v/>
      </c>
      <c r="AC14" s="10">
        <f>C14-J14-K14-L14-M14-N14-O14-R14-T14-H14+AB14-AH14</f>
        <v/>
      </c>
      <c r="AD14" s="15">
        <f>AC14-Y14</f>
        <v/>
      </c>
      <c r="AE14" s="14">
        <f>AD14/C14</f>
        <v/>
      </c>
      <c r="AF14" s="16">
        <f>AD14/H14</f>
        <v/>
      </c>
      <c r="AG14" s="10">
        <f>(K14+M14+R14+T14+H14+AH14)/(1-(I14+$C$4+(1-D14)*$C$3+$C$8+U14+W14-AA14))</f>
        <v/>
      </c>
      <c r="AH14" s="12">
        <f>S14*($C$9+$C$10)</f>
        <v/>
      </c>
    </row>
    <row r="15">
      <c r="A15" s="19" t="inlineStr">
        <is>
          <t>ENOUGH - Collagen Moisture Essential Cream [50ml] / Увлажняющий крем для лица с коллагеном</t>
        </is>
      </c>
      <c r="C15" s="18" t="n">
        <v>1025</v>
      </c>
      <c r="D15" s="9" t="n">
        <v>0.45</v>
      </c>
      <c r="E15" s="10">
        <f>C15*(1-D15)</f>
        <v/>
      </c>
      <c r="F15" s="11" t="n">
        <v>161.3</v>
      </c>
      <c r="G15" s="12">
        <f>$C$5</f>
        <v/>
      </c>
      <c r="H15" s="12">
        <f>F15+G15</f>
        <v/>
      </c>
      <c r="I15" s="9" t="n">
        <v>0.41</v>
      </c>
      <c r="J15" s="10">
        <f>C15*I15</f>
        <v/>
      </c>
      <c r="K15" s="8" t="n">
        <v>67</v>
      </c>
      <c r="L15" s="12">
        <f>C15*$C$8</f>
        <v/>
      </c>
      <c r="M15" s="8" t="n">
        <v>25</v>
      </c>
      <c r="N15" s="10">
        <f>C15*$C$4</f>
        <v/>
      </c>
      <c r="O15" s="10">
        <f>E15*$C$3</f>
        <v/>
      </c>
      <c r="P15" s="9" t="n">
        <v>0.9</v>
      </c>
      <c r="Q15" s="8">
        <f>K15</f>
        <v/>
      </c>
      <c r="R15" s="10">
        <f>Q15*(1-P15)</f>
        <v/>
      </c>
      <c r="S15" s="20" t="n">
        <v>0.72</v>
      </c>
      <c r="T15" s="10">
        <f>$C$6*$C$7*S15</f>
        <v/>
      </c>
      <c r="U15" s="9" t="n">
        <v>0.07000000000000001</v>
      </c>
      <c r="V15" s="10">
        <f>C15*U15</f>
        <v/>
      </c>
      <c r="W15" s="9" t="n">
        <v>0.08</v>
      </c>
      <c r="X15" s="10">
        <f>C15*W15</f>
        <v/>
      </c>
      <c r="Y15" s="10">
        <f>V15+X15</f>
        <v/>
      </c>
      <c r="Z15" s="14">
        <f>Y15/C15</f>
        <v/>
      </c>
      <c r="AA15" s="9" t="n">
        <v>0</v>
      </c>
      <c r="AB15" s="10">
        <f>C15*AA15</f>
        <v/>
      </c>
      <c r="AC15" s="10">
        <f>C15-J15-K15-L15-M15-N15-O15-R15-T15-H15+AB15-AH15</f>
        <v/>
      </c>
      <c r="AD15" s="15">
        <f>AC15-Y15</f>
        <v/>
      </c>
      <c r="AE15" s="14">
        <f>AD15/C15</f>
        <v/>
      </c>
      <c r="AF15" s="16">
        <f>AD15/H15</f>
        <v/>
      </c>
      <c r="AG15" s="10">
        <f>(K15+M15+R15+T15+H15+AH15)/(1-(I15+$C$4+(1-D15)*$C$3+$C$8+U15+W15-AA15))</f>
        <v/>
      </c>
      <c r="AH15" s="12">
        <f>S15*($C$9+$C$10)</f>
        <v/>
      </c>
    </row>
    <row r="16">
      <c r="A16" s="19" t="inlineStr">
        <is>
          <t>ETUDE - Baking Powder Crunch Pore Scrub [200ml] / Очищающий скраб для лица с содой</t>
        </is>
      </c>
      <c r="C16" s="18" t="n">
        <v>1710</v>
      </c>
      <c r="D16" s="9" t="n">
        <v>0.45</v>
      </c>
      <c r="E16" s="10">
        <f>C16*(1-D16)</f>
        <v/>
      </c>
      <c r="F16" s="11" t="n">
        <v>361.03</v>
      </c>
      <c r="G16" s="12">
        <f>$C$5</f>
        <v/>
      </c>
      <c r="H16" s="12">
        <f>F16+G16</f>
        <v/>
      </c>
      <c r="I16" s="9" t="n">
        <v>0.41</v>
      </c>
      <c r="J16" s="10">
        <f>C16*I16</f>
        <v/>
      </c>
      <c r="K16" s="8" t="n">
        <v>67</v>
      </c>
      <c r="L16" s="12">
        <f>C16*$C$8</f>
        <v/>
      </c>
      <c r="M16" s="8" t="n">
        <v>25</v>
      </c>
      <c r="N16" s="10">
        <f>C16*$C$4</f>
        <v/>
      </c>
      <c r="O16" s="10">
        <f>E16*$C$3</f>
        <v/>
      </c>
      <c r="P16" s="9" t="n">
        <v>0.9</v>
      </c>
      <c r="Q16" s="8">
        <f>K16</f>
        <v/>
      </c>
      <c r="R16" s="10">
        <f>Q16*(1-P16)</f>
        <v/>
      </c>
      <c r="S16" s="20" t="n">
        <v>0.5600000000000001</v>
      </c>
      <c r="T16" s="10">
        <f>$C$6*$C$7*S16</f>
        <v/>
      </c>
      <c r="U16" s="9" t="n">
        <v>0.07000000000000001</v>
      </c>
      <c r="V16" s="10">
        <f>C16*U16</f>
        <v/>
      </c>
      <c r="W16" s="9" t="n">
        <v>0.08</v>
      </c>
      <c r="X16" s="10">
        <f>C16*W16</f>
        <v/>
      </c>
      <c r="Y16" s="10">
        <f>V16+X16</f>
        <v/>
      </c>
      <c r="Z16" s="14">
        <f>Y16/C16</f>
        <v/>
      </c>
      <c r="AA16" s="9" t="n">
        <v>0</v>
      </c>
      <c r="AB16" s="10">
        <f>C16*AA16</f>
        <v/>
      </c>
      <c r="AC16" s="10">
        <f>C16-J16-K16-L16-M16-N16-O16-R16-T16-H16+AB16-AH16</f>
        <v/>
      </c>
      <c r="AD16" s="15">
        <f>AC16-Y16</f>
        <v/>
      </c>
      <c r="AE16" s="14">
        <f>AD16/C16</f>
        <v/>
      </c>
      <c r="AF16" s="16">
        <f>AD16/H16</f>
        <v/>
      </c>
      <c r="AG16" s="10">
        <f>(K16+M16+R16+T16+H16+AH16)/(1-(I16+$C$4+(1-D16)*$C$3+$C$8+U16+W16-AA16))</f>
        <v/>
      </c>
      <c r="AH16" s="12">
        <f>S16*($C$9+$C$10)</f>
        <v/>
      </c>
    </row>
    <row r="17">
      <c r="A17" s="7" t="inlineStr">
        <is>
          <t>FARMSTAY - Black Garlic Nourishing Shampoo [530ml] / Шампунь-кондиционер 2в1 с экстрактом черного чеснока</t>
        </is>
      </c>
      <c r="C17" s="18" t="n">
        <v>1850</v>
      </c>
      <c r="D17" s="9" t="n">
        <v>0.45</v>
      </c>
      <c r="E17" s="10">
        <f>C17*(1-D17)</f>
        <v/>
      </c>
      <c r="F17" s="11" t="n">
        <v>396.72</v>
      </c>
      <c r="G17" s="12">
        <f>$C$5</f>
        <v/>
      </c>
      <c r="H17" s="12">
        <f>F17+G17</f>
        <v/>
      </c>
      <c r="I17" s="9" t="n">
        <v>0.41</v>
      </c>
      <c r="J17" s="10">
        <f>C17*I17</f>
        <v/>
      </c>
      <c r="K17" s="8" t="n">
        <v>75</v>
      </c>
      <c r="L17" s="12">
        <f>C17*$C$8</f>
        <v/>
      </c>
      <c r="M17" s="8" t="n">
        <v>25</v>
      </c>
      <c r="N17" s="10">
        <f>C17*$C$4</f>
        <v/>
      </c>
      <c r="O17" s="10">
        <f>E17*$C$3</f>
        <v/>
      </c>
      <c r="P17" s="9" t="n">
        <v>0.9</v>
      </c>
      <c r="Q17" s="8">
        <f>K17</f>
        <v/>
      </c>
      <c r="R17" s="10">
        <f>Q17*(1-P17)</f>
        <v/>
      </c>
      <c r="S17" s="20" t="n">
        <v>1.89</v>
      </c>
      <c r="T17" s="10">
        <f>$C$6*$C$7*S17</f>
        <v/>
      </c>
      <c r="U17" s="9" t="n">
        <v>0.07000000000000001</v>
      </c>
      <c r="V17" s="10">
        <f>C17*U17</f>
        <v/>
      </c>
      <c r="W17" s="9" t="n">
        <v>0.08</v>
      </c>
      <c r="X17" s="10">
        <f>C17*W17</f>
        <v/>
      </c>
      <c r="Y17" s="10">
        <f>V17+X17</f>
        <v/>
      </c>
      <c r="Z17" s="14">
        <f>Y17/C17</f>
        <v/>
      </c>
      <c r="AA17" s="9" t="n">
        <v>0</v>
      </c>
      <c r="AB17" s="10">
        <f>C17*AA17</f>
        <v/>
      </c>
      <c r="AC17" s="10">
        <f>C17-J17-K17-L17-M17-N17-O17-R17-T17-H17+AB17-AH17</f>
        <v/>
      </c>
      <c r="AD17" s="15">
        <f>AC17-Y17</f>
        <v/>
      </c>
      <c r="AE17" s="14">
        <f>AD17/C17</f>
        <v/>
      </c>
      <c r="AF17" s="16">
        <f>AD17/H17</f>
        <v/>
      </c>
      <c r="AG17" s="10">
        <f>(K17+M17+R17+T17+H17+AH17)/(1-(I17+$C$4+(1-D17)*$C$3+$C$8+U17+W17-AA17))</f>
        <v/>
      </c>
      <c r="AH17" s="12">
        <f>S17*($C$9+$C$10)</f>
        <v/>
      </c>
    </row>
    <row r="18">
      <c r="A18" s="7" t="inlineStr">
        <is>
          <t>FARMSTAY - Gold Snail Premium Cream [50ml] / Омолаживающий крем с муцином улитки и коллоидным золотом</t>
        </is>
      </c>
      <c r="C18" s="18" t="n">
        <v>1950</v>
      </c>
      <c r="D18" s="9" t="n">
        <v>0.45</v>
      </c>
      <c r="E18" s="10">
        <f>C18*(1-D18)</f>
        <v/>
      </c>
      <c r="F18" s="11" t="n">
        <v>431.05</v>
      </c>
      <c r="G18" s="12">
        <f>$C$5</f>
        <v/>
      </c>
      <c r="H18" s="12">
        <f>F18+G18</f>
        <v/>
      </c>
      <c r="I18" s="9" t="n">
        <v>0.41</v>
      </c>
      <c r="J18" s="10">
        <f>C18*I18</f>
        <v/>
      </c>
      <c r="K18" s="8" t="n">
        <v>67</v>
      </c>
      <c r="L18" s="12">
        <f>C18*$C$8</f>
        <v/>
      </c>
      <c r="M18" s="8" t="n">
        <v>25</v>
      </c>
      <c r="N18" s="10">
        <f>C18*$C$4</f>
        <v/>
      </c>
      <c r="O18" s="10">
        <f>E18*$C$3</f>
        <v/>
      </c>
      <c r="P18" s="9" t="n">
        <v>0.9</v>
      </c>
      <c r="Q18" s="8">
        <f>K18</f>
        <v/>
      </c>
      <c r="R18" s="10">
        <f>Q18*(1-P18)</f>
        <v/>
      </c>
      <c r="S18" s="20" t="n">
        <v>0.73</v>
      </c>
      <c r="T18" s="10">
        <f>$C$6*$C$7*S18</f>
        <v/>
      </c>
      <c r="U18" s="9" t="n">
        <v>0.07000000000000001</v>
      </c>
      <c r="V18" s="10">
        <f>C18*U18</f>
        <v/>
      </c>
      <c r="W18" s="9" t="n">
        <v>0.08</v>
      </c>
      <c r="X18" s="10">
        <f>C18*W18</f>
        <v/>
      </c>
      <c r="Y18" s="10">
        <f>V18+X18</f>
        <v/>
      </c>
      <c r="Z18" s="14">
        <f>Y18/C18</f>
        <v/>
      </c>
      <c r="AA18" s="9" t="n">
        <v>0</v>
      </c>
      <c r="AB18" s="10">
        <f>C18*AA18</f>
        <v/>
      </c>
      <c r="AC18" s="10">
        <f>C18-J18-K18-L18-M18-N18-O18-R18-T18-H18+AB18-AH18</f>
        <v/>
      </c>
      <c r="AD18" s="15">
        <f>AC18-Y18</f>
        <v/>
      </c>
      <c r="AE18" s="14">
        <f>AD18/C18</f>
        <v/>
      </c>
      <c r="AF18" s="16">
        <f>AD18/H18</f>
        <v/>
      </c>
      <c r="AG18" s="10">
        <f>(K18+M18+R18+T18+H18+AH18)/(1-(I18+$C$4+(1-D18)*$C$3+$C$8+U18+W18-AA18))</f>
        <v/>
      </c>
      <c r="AH18" s="12">
        <f>S18*($C$9+$C$10)</f>
        <v/>
      </c>
    </row>
    <row r="19">
      <c r="A19" s="7" t="inlineStr">
        <is>
          <t>FARMSTAY - Escargot Noblesse Intensive Cream [50g] / Крем с муцином королевской улитки</t>
        </is>
      </c>
      <c r="C19" s="18" t="n">
        <v>1550</v>
      </c>
      <c r="D19" s="9" t="n">
        <v>0.45</v>
      </c>
      <c r="E19" s="10">
        <f>C19*(1-D19)</f>
        <v/>
      </c>
      <c r="F19" s="11" t="n">
        <v>313.84</v>
      </c>
      <c r="G19" s="12">
        <f>$C$5</f>
        <v/>
      </c>
      <c r="H19" s="12">
        <f>F19+G19</f>
        <v/>
      </c>
      <c r="I19" s="9" t="n">
        <v>0.41</v>
      </c>
      <c r="J19" s="10">
        <f>C19*I19</f>
        <v/>
      </c>
      <c r="K19" s="8" t="n">
        <v>67</v>
      </c>
      <c r="L19" s="12">
        <f>C19*$C$8</f>
        <v/>
      </c>
      <c r="M19" s="8" t="n">
        <v>25</v>
      </c>
      <c r="N19" s="10">
        <f>C19*$C$4</f>
        <v/>
      </c>
      <c r="O19" s="10">
        <f>E19*$C$3</f>
        <v/>
      </c>
      <c r="P19" s="9" t="n">
        <v>0.9</v>
      </c>
      <c r="Q19" s="8">
        <f>K19</f>
        <v/>
      </c>
      <c r="R19" s="10">
        <f>Q19*(1-P19)</f>
        <v/>
      </c>
      <c r="S19" s="20" t="n">
        <v>0.86</v>
      </c>
      <c r="T19" s="10">
        <f>$C$6*$C$7*S19</f>
        <v/>
      </c>
      <c r="U19" s="9" t="n">
        <v>0.07000000000000001</v>
      </c>
      <c r="V19" s="10">
        <f>C19*U19</f>
        <v/>
      </c>
      <c r="W19" s="9" t="n">
        <v>0.08</v>
      </c>
      <c r="X19" s="10">
        <f>C19*W19</f>
        <v/>
      </c>
      <c r="Y19" s="10">
        <f>V19+X19</f>
        <v/>
      </c>
      <c r="Z19" s="14">
        <f>Y19/C19</f>
        <v/>
      </c>
      <c r="AA19" s="9" t="n">
        <v>0</v>
      </c>
      <c r="AB19" s="10">
        <f>C19*AA19</f>
        <v/>
      </c>
      <c r="AC19" s="10">
        <f>C19-J19-K19-L19-M19-N19-O19-R19-T19-H19+AB19-AH19</f>
        <v/>
      </c>
      <c r="AD19" s="15">
        <f>AC19-Y19</f>
        <v/>
      </c>
      <c r="AE19" s="14">
        <f>AD19/C19</f>
        <v/>
      </c>
      <c r="AF19" s="16">
        <f>AD19/H19</f>
        <v/>
      </c>
      <c r="AG19" s="10">
        <f>(K19+M19+R19+T19+H19+AH19)/(1-(I19+$C$4+(1-D19)*$C$3+$C$8+U19+W19-AA19))</f>
        <v/>
      </c>
      <c r="AH19" s="12">
        <f>S19*($C$9+$C$10)</f>
        <v/>
      </c>
    </row>
    <row r="20">
      <c r="A20" s="7" t="inlineStr">
        <is>
          <t>MANYO - Bifida Biome Complex Ampoule [50ml] / Антивозрастная сыворотка для лица</t>
        </is>
      </c>
      <c r="C20" s="18" t="n">
        <v>3550</v>
      </c>
      <c r="D20" s="9" t="n">
        <v>0.45</v>
      </c>
      <c r="E20" s="10">
        <f>C20*(1-D20)</f>
        <v/>
      </c>
      <c r="F20" s="11" t="n">
        <v>899.78</v>
      </c>
      <c r="G20" s="12">
        <f>$C$5</f>
        <v/>
      </c>
      <c r="H20" s="12">
        <f>F20+G20</f>
        <v/>
      </c>
      <c r="I20" s="9" t="n">
        <v>0.41</v>
      </c>
      <c r="J20" s="10">
        <f>C20*I20</f>
        <v/>
      </c>
      <c r="K20" s="8" t="n">
        <v>63</v>
      </c>
      <c r="L20" s="12">
        <f>C20*$C$8</f>
        <v/>
      </c>
      <c r="M20" s="8" t="n">
        <v>25</v>
      </c>
      <c r="N20" s="10">
        <f>C20*$C$4</f>
        <v/>
      </c>
      <c r="O20" s="10">
        <f>E20*$C$3</f>
        <v/>
      </c>
      <c r="P20" s="9" t="n">
        <v>0.9</v>
      </c>
      <c r="Q20" s="8">
        <f>K20</f>
        <v/>
      </c>
      <c r="R20" s="10">
        <f>Q20*(1-P20)</f>
        <v/>
      </c>
      <c r="S20" s="20" t="n">
        <v>0.3</v>
      </c>
      <c r="T20" s="10">
        <f>$C$6*$C$7*S20</f>
        <v/>
      </c>
      <c r="U20" s="9" t="n">
        <v>0.07000000000000001</v>
      </c>
      <c r="V20" s="10">
        <f>C20*U20</f>
        <v/>
      </c>
      <c r="W20" s="9" t="n">
        <v>0.08</v>
      </c>
      <c r="X20" s="10">
        <f>C20*W20</f>
        <v/>
      </c>
      <c r="Y20" s="10">
        <f>V20+X20</f>
        <v/>
      </c>
      <c r="Z20" s="14">
        <f>Y20/C20</f>
        <v/>
      </c>
      <c r="AA20" s="9" t="n">
        <v>0</v>
      </c>
      <c r="AB20" s="10">
        <f>C20*AA20</f>
        <v/>
      </c>
      <c r="AC20" s="10">
        <f>C20-J20-K20-L20-M20-N20-O20-R20-T20-H20+AB20-AH20</f>
        <v/>
      </c>
      <c r="AD20" s="15">
        <f>AC20-Y20</f>
        <v/>
      </c>
      <c r="AE20" s="14">
        <f>AD20/C20</f>
        <v/>
      </c>
      <c r="AF20" s="16">
        <f>AD20/H20</f>
        <v/>
      </c>
      <c r="AG20" s="10">
        <f>(K20+M20+R20+T20+H20+AH20)/(1-(I20+$C$4+(1-D20)*$C$3+$C$8+U20+W20-AA20))</f>
        <v/>
      </c>
      <c r="AH20" s="12">
        <f>S20*($C$9+$C$10)</f>
        <v/>
      </c>
    </row>
    <row r="21">
      <c r="A21" s="7" t="inlineStr">
        <is>
          <t>MANYO - Galac Whitening Vita Serum [50ml] / Осветляющая сыворотка с Витамином C</t>
        </is>
      </c>
      <c r="C21" s="18" t="n">
        <v>2650</v>
      </c>
      <c r="D21" s="9" t="n">
        <v>0.45</v>
      </c>
      <c r="E21" s="10">
        <f>C21*(1-D21)</f>
        <v/>
      </c>
      <c r="F21" s="11" t="n">
        <v>646.83</v>
      </c>
      <c r="G21" s="12">
        <f>$C$5</f>
        <v/>
      </c>
      <c r="H21" s="12">
        <f>F21+G21</f>
        <v/>
      </c>
      <c r="I21" s="9" t="n">
        <v>0.41</v>
      </c>
      <c r="J21" s="10">
        <f>C21*I21</f>
        <v/>
      </c>
      <c r="K21" s="8" t="n">
        <v>56</v>
      </c>
      <c r="L21" s="12">
        <f>C21*$C$8</f>
        <v/>
      </c>
      <c r="M21" s="8" t="n">
        <v>25</v>
      </c>
      <c r="N21" s="10">
        <f>C21*$C$4</f>
        <v/>
      </c>
      <c r="O21" s="10">
        <f>E21*$C$3</f>
        <v/>
      </c>
      <c r="P21" s="9" t="n">
        <v>0.9</v>
      </c>
      <c r="Q21" s="8">
        <f>K21</f>
        <v/>
      </c>
      <c r="R21" s="10">
        <f>Q21*(1-P21)</f>
        <v/>
      </c>
      <c r="S21" s="20" t="n">
        <v>0.19</v>
      </c>
      <c r="T21" s="10">
        <f>$C$6*$C$7*S21</f>
        <v/>
      </c>
      <c r="U21" s="9" t="n">
        <v>0.07000000000000001</v>
      </c>
      <c r="V21" s="10">
        <f>C21*U21</f>
        <v/>
      </c>
      <c r="W21" s="9" t="n">
        <v>0.08</v>
      </c>
      <c r="X21" s="10">
        <f>C21*W21</f>
        <v/>
      </c>
      <c r="Y21" s="10">
        <f>V21+X21</f>
        <v/>
      </c>
      <c r="Z21" s="14">
        <f>Y21/C21</f>
        <v/>
      </c>
      <c r="AA21" s="9" t="n">
        <v>0</v>
      </c>
      <c r="AB21" s="10">
        <f>C21*AA21</f>
        <v/>
      </c>
      <c r="AC21" s="10">
        <f>C21-J21-K21-L21-M21-N21-O21-R21-T21-H21+AB21-AH21</f>
        <v/>
      </c>
      <c r="AD21" s="15">
        <f>AC21-Y21</f>
        <v/>
      </c>
      <c r="AE21" s="14">
        <f>AD21/C21</f>
        <v/>
      </c>
      <c r="AF21" s="16">
        <f>AD21/H21</f>
        <v/>
      </c>
      <c r="AG21" s="10">
        <f>(K21+M21+R21+T21+H21+AH21)/(1-(I21+$C$4+(1-D21)*$C$3+$C$8+U21+W21-AA21))</f>
        <v/>
      </c>
      <c r="AH21" s="12">
        <f>S21*($C$9+$C$10)</f>
        <v/>
      </c>
    </row>
    <row r="22">
      <c r="A22" s="7" t="inlineStr">
        <is>
          <t>MANYO - Bifida Biome Ampoule Lotion [300ml] / Укрепляющий лосьон с бифидобактериями</t>
        </is>
      </c>
      <c r="C22" s="18" t="n">
        <v>3000</v>
      </c>
      <c r="D22" s="9" t="n">
        <v>0.45</v>
      </c>
      <c r="E22" s="10">
        <f>C22*(1-D22)</f>
        <v/>
      </c>
      <c r="F22" s="11" t="n">
        <v>735.34</v>
      </c>
      <c r="G22" s="12">
        <f>$C$5</f>
        <v/>
      </c>
      <c r="H22" s="12">
        <f>F22+G22</f>
        <v/>
      </c>
      <c r="I22" s="9" t="n">
        <v>0.41</v>
      </c>
      <c r="J22" s="10">
        <f>C22*I22</f>
        <v/>
      </c>
      <c r="K22" s="8" t="n">
        <v>67</v>
      </c>
      <c r="L22" s="12">
        <f>C22*$C$8</f>
        <v/>
      </c>
      <c r="M22" s="8" t="n">
        <v>25</v>
      </c>
      <c r="N22" s="10">
        <f>C22*$C$4</f>
        <v/>
      </c>
      <c r="O22" s="10">
        <f>E22*$C$3</f>
        <v/>
      </c>
      <c r="P22" s="9" t="n">
        <v>0.9</v>
      </c>
      <c r="Q22" s="8">
        <f>K22</f>
        <v/>
      </c>
      <c r="R22" s="10">
        <f>Q22*(1-P22)</f>
        <v/>
      </c>
      <c r="S22" s="20" t="n">
        <v>0.61</v>
      </c>
      <c r="T22" s="10">
        <f>$C$6*$C$7*S22</f>
        <v/>
      </c>
      <c r="U22" s="9" t="n">
        <v>0.07000000000000001</v>
      </c>
      <c r="V22" s="10">
        <f>C22*U22</f>
        <v/>
      </c>
      <c r="W22" s="9" t="n">
        <v>0.08</v>
      </c>
      <c r="X22" s="10">
        <f>C22*W22</f>
        <v/>
      </c>
      <c r="Y22" s="10">
        <f>V22+X22</f>
        <v/>
      </c>
      <c r="Z22" s="14">
        <f>Y22/C22</f>
        <v/>
      </c>
      <c r="AA22" s="9" t="n">
        <v>0</v>
      </c>
      <c r="AB22" s="10">
        <f>C22*AA22</f>
        <v/>
      </c>
      <c r="AC22" s="10">
        <f>C22-J22-K22-L22-M22-N22-O22-R22-T22-H22+AB22-AH22</f>
        <v/>
      </c>
      <c r="AD22" s="15">
        <f>AC22-Y22</f>
        <v/>
      </c>
      <c r="AE22" s="14">
        <f>AD22/C22</f>
        <v/>
      </c>
      <c r="AF22" s="16">
        <f>AD22/H22</f>
        <v/>
      </c>
      <c r="AG22" s="10">
        <f>(K22+M22+R22+T22+H22+AH22)/(1-(I22+$C$4+(1-D22)*$C$3+$C$8+U22+W22-AA22))</f>
        <v/>
      </c>
      <c r="AH22" s="12">
        <f>S22*($C$9+$C$10)</f>
        <v/>
      </c>
    </row>
    <row r="23">
      <c r="A23" s="7" t="inlineStr">
        <is>
          <t>MANYO - Pure Cleansing Oil [200ml] / Гидрофильное масло для глубокого очищения</t>
        </is>
      </c>
      <c r="C23" s="18" t="n">
        <v>3400</v>
      </c>
      <c r="D23" s="9" t="n">
        <v>0.45</v>
      </c>
      <c r="E23" s="10">
        <f>C23*(1-D23)</f>
        <v/>
      </c>
      <c r="F23" s="11" t="n">
        <v>853</v>
      </c>
      <c r="G23" s="12">
        <f>$C$5</f>
        <v/>
      </c>
      <c r="H23" s="12">
        <f>F23+G23</f>
        <v/>
      </c>
      <c r="I23" s="9" t="n">
        <v>0.41</v>
      </c>
      <c r="J23" s="10">
        <f>C23*I23</f>
        <v/>
      </c>
      <c r="K23" s="8" t="n">
        <v>67</v>
      </c>
      <c r="L23" s="12">
        <f>C23*$C$8</f>
        <v/>
      </c>
      <c r="M23" s="8" t="n">
        <v>25</v>
      </c>
      <c r="N23" s="10">
        <f>C23*$C$4</f>
        <v/>
      </c>
      <c r="O23" s="10">
        <f>E23*$C$3</f>
        <v/>
      </c>
      <c r="P23" s="9" t="n">
        <v>0.9</v>
      </c>
      <c r="Q23" s="8">
        <f>K23</f>
        <v/>
      </c>
      <c r="R23" s="10">
        <f>Q23*(1-P23)</f>
        <v/>
      </c>
      <c r="S23" s="20" t="n">
        <v>0.5</v>
      </c>
      <c r="T23" s="10">
        <f>$C$6*$C$7*S23</f>
        <v/>
      </c>
      <c r="U23" s="9" t="n">
        <v>0.07000000000000001</v>
      </c>
      <c r="V23" s="10">
        <f>C23*U23</f>
        <v/>
      </c>
      <c r="W23" s="9" t="n">
        <v>0.08</v>
      </c>
      <c r="X23" s="10">
        <f>C23*W23</f>
        <v/>
      </c>
      <c r="Y23" s="10">
        <f>V23+X23</f>
        <v/>
      </c>
      <c r="Z23" s="14">
        <f>Y23/C23</f>
        <v/>
      </c>
      <c r="AA23" s="9" t="n">
        <v>0</v>
      </c>
      <c r="AB23" s="10">
        <f>C23*AA23</f>
        <v/>
      </c>
      <c r="AC23" s="10">
        <f>C23-J23-K23-L23-M23-N23-O23-R23-T23-H23+AB23-AH23</f>
        <v/>
      </c>
      <c r="AD23" s="15">
        <f>AC23-Y23</f>
        <v/>
      </c>
      <c r="AE23" s="14">
        <f>AD23/C23</f>
        <v/>
      </c>
      <c r="AF23" s="16">
        <f>AD23/H23</f>
        <v/>
      </c>
      <c r="AG23" s="10">
        <f>(K23+M23+R23+T23+H23+AH23)/(1-(I23+$C$4+(1-D23)*$C$3+$C$8+U23+W23-AA23))</f>
        <v/>
      </c>
      <c r="AH23" s="12">
        <f>S23*($C$9+$C$10)</f>
        <v/>
      </c>
    </row>
    <row r="24">
      <c r="A24" s="7" t="inlineStr">
        <is>
          <t>CELIMAX THE VITA-A RETINOL SHOT TIGHTENING SERUM [30ml]/Сыворотка с ретинолом и микроиглами для лица</t>
        </is>
      </c>
      <c r="C24" s="18" t="n">
        <v>2280</v>
      </c>
      <c r="D24" s="9" t="n">
        <v>0.45</v>
      </c>
      <c r="E24" s="10">
        <f>C24*(1-D24)</f>
        <v/>
      </c>
      <c r="F24" s="11" t="n">
        <v>532.1</v>
      </c>
      <c r="G24" s="12">
        <f>$C$5</f>
        <v/>
      </c>
      <c r="H24" s="12">
        <f>F24+G24</f>
        <v/>
      </c>
      <c r="I24" s="9" t="n">
        <v>0.41</v>
      </c>
      <c r="J24" s="10">
        <f>C24*I24</f>
        <v/>
      </c>
      <c r="K24" s="8" t="n">
        <v>63</v>
      </c>
      <c r="L24" s="12">
        <f>C24*$C$8</f>
        <v/>
      </c>
      <c r="M24" s="8" t="n">
        <v>25</v>
      </c>
      <c r="N24" s="10">
        <f>C24*$C$4</f>
        <v/>
      </c>
      <c r="O24" s="10">
        <f>E24*$C$3</f>
        <v/>
      </c>
      <c r="P24" s="9" t="n">
        <v>0.9</v>
      </c>
      <c r="Q24" s="8">
        <f>K24</f>
        <v/>
      </c>
      <c r="R24" s="10">
        <f>Q24*(1-P24)</f>
        <v/>
      </c>
      <c r="S24" s="20" t="n">
        <v>0.38</v>
      </c>
      <c r="T24" s="10">
        <f>$C$6*$C$7*S24</f>
        <v/>
      </c>
      <c r="U24" s="9" t="n">
        <v>0.07000000000000001</v>
      </c>
      <c r="V24" s="10">
        <f>C24*U24</f>
        <v/>
      </c>
      <c r="W24" s="9" t="n">
        <v>0.08</v>
      </c>
      <c r="X24" s="10">
        <f>C24*W24</f>
        <v/>
      </c>
      <c r="Y24" s="10">
        <f>V24+X24</f>
        <v/>
      </c>
      <c r="Z24" s="14">
        <f>Y24/C24</f>
        <v/>
      </c>
      <c r="AA24" s="9" t="n">
        <v>0</v>
      </c>
      <c r="AB24" s="10">
        <f>C24*AA24</f>
        <v/>
      </c>
      <c r="AC24" s="10">
        <f>C24-J24-K24-L24-M24-N24-O24-R24-T24-H24+AB24-AH24</f>
        <v/>
      </c>
      <c r="AD24" s="15">
        <f>AC24-Y24</f>
        <v/>
      </c>
      <c r="AE24" s="14">
        <f>AD24/C24</f>
        <v/>
      </c>
      <c r="AF24" s="16">
        <f>AD24/H24</f>
        <v/>
      </c>
      <c r="AG24" s="10">
        <f>(K24+M24+R24+T24+H24+AH24)/(1-(I24+$C$4+(1-D24)*$C$3+$C$8+U24+W24-AA24))</f>
        <v/>
      </c>
      <c r="AH24" s="12">
        <f>S24*($C$9+$C$10)</f>
        <v/>
      </c>
    </row>
    <row r="25">
      <c r="A25" s="19" t="n"/>
    </row>
    <row r="26">
      <c r="A26" s="19" t="n"/>
    </row>
    <row r="28">
      <c r="A28" s="17" t="inlineStr">
        <is>
          <t>Только FBO. Жёлтые ячейки — вход (цена, СПП %, себест., комиссия, логистика, наценка за нелокальность, выкуп, объём, реклама %, соинвест %) и параметры B3:B7. Остальное — формулы. Цена с СПП = Цена×(1−СПП%); налог считается от цены с СПП. Объём — в литрах из габаритов карточки (если выгружены, иначе объёмный вес). Реклама по актуальным форматам Ozon: Оплата за клик % (CPC) и Вывод в топ % (CPO). Соинвест % — из кабинета (Цены → Баллы за скидки), баллы прибавляются к марже. Меняешь цену в колонке B → маржа и ROI пересчитываются.</t>
        </is>
      </c>
      <c r="B28" s="17" t="n"/>
    </row>
  </sheetData>
  <autoFilter ref="A11:AG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2026-08-03T14:52:02Z</dcterms:created>
  <dcterms:modified xsi:type="dcterms:W3CDTF">2026-08-04T07:23:45Z</dcterms:modified>
  <cp:lastModifiedBy>PC</cp:lastModifiedBy>
</cp:coreProperties>
</file>
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Юнитка Ozon (live)" sheetId="1" state="visible" r:id="rId1"/>
    <sheet name="План продаж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olor theme="1"/>
      <sz val="11"/>
      <scheme val="minor"/>
    </font>
    <font>
      <name val="Calibri"/>
      <b val="1"/>
      <color theme="1"/>
      <scheme val="minor"/>
    </font>
    <font>
      <name val="Calibri"/>
      <b val="1"/>
      <color theme="1"/>
      <sz val="12"/>
    </font>
    <font>
      <name val="Calibri"/>
      <color theme="1"/>
      <scheme val="minor"/>
    </font>
    <font>
      <name val="Calibri"/>
      <b val="1"/>
      <color theme="1"/>
      <sz val="11"/>
    </font>
    <font>
      <name val="Calibri"/>
      <color theme="1"/>
      <sz val="11"/>
    </font>
    <font/>
    <font>
      <name val="Calibri"/>
      <b val="1"/>
      <color rgb="FFFFFFFF"/>
      <sz val="11"/>
    </font>
    <font>
      <name val="Calibri"/>
      <i val="1"/>
      <color theme="1"/>
      <sz val="11"/>
    </font>
    <font>
      <name val="Arial"/>
      <color theme="1"/>
      <sz val="8"/>
    </font>
    <font>
      <name val="Arial"/>
      <color rgb="FFFF0000"/>
      <sz val="9"/>
    </font>
    <font>
      <name val="Arial"/>
      <color theme="1"/>
      <sz val="9"/>
    </font>
    <font>
      <name val="Calibri"/>
      <color rgb="FFFF0000"/>
      <scheme val="minor"/>
    </font>
  </fonts>
  <fills count="13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305496"/>
        <bgColor rgb="FF305496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</fills>
  <borders count="18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D0D0D0"/>
      </left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</border>
    <border>
      <right style="thin">
        <color rgb="FFD0D0D0"/>
      </right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numFmtId="0" fontId="0" fillId="0" borderId="0"/>
  </cellStyleXfs>
  <cellXfs count="9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0" fontId="3" fillId="0" borderId="1" pivotButton="0" quotePrefix="0" xfId="0"/>
    <xf numFmtId="3" fontId="3" fillId="0" borderId="0" applyAlignment="1" pivotButton="0" quotePrefix="0" xfId="0">
      <alignment horizontal="center"/>
    </xf>
    <xf numFmtId="0" fontId="3" fillId="0" borderId="2" pivotButton="0" quotePrefix="0" xfId="0"/>
    <xf numFmtId="164" fontId="3" fillId="0" borderId="0" applyAlignment="1" pivotButton="0" quotePrefix="0" xfId="0">
      <alignment horizontal="center"/>
    </xf>
    <xf numFmtId="0" fontId="3" fillId="0" borderId="3" pivotButton="0" quotePrefix="0" xfId="0"/>
    <xf numFmtId="9" fontId="4" fillId="2" borderId="0" applyAlignment="1" pivotButton="0" quotePrefix="0" xfId="0">
      <alignment horizontal="center"/>
    </xf>
    <xf numFmtId="9" fontId="4" fillId="2" borderId="4" applyAlignment="1" pivotButton="0" quotePrefix="0" xfId="0">
      <alignment horizontal="center"/>
    </xf>
    <xf numFmtId="0" fontId="3" fillId="0" borderId="5" pivotButton="0" quotePrefix="0" xfId="0"/>
    <xf numFmtId="164" fontId="5" fillId="2" borderId="0" pivotButton="0" quotePrefix="0" xfId="0"/>
    <xf numFmtId="3" fontId="5" fillId="0" borderId="0" pivotButton="0" quotePrefix="0" xfId="0"/>
    <xf numFmtId="0" fontId="3" fillId="0" borderId="6" pivotButton="0" quotePrefix="0" xfId="0"/>
    <xf numFmtId="164" fontId="4" fillId="2" borderId="0" applyAlignment="1" pivotButton="0" quotePrefix="0" xfId="0">
      <alignment horizontal="center"/>
    </xf>
    <xf numFmtId="164" fontId="4" fillId="2" borderId="4" applyAlignment="1" pivotButton="0" quotePrefix="0" xfId="0">
      <alignment horizontal="center"/>
    </xf>
    <xf numFmtId="0" fontId="3" fillId="0" borderId="5" pivotButton="0" quotePrefix="0" xfId="0"/>
    <xf numFmtId="0" fontId="3" fillId="0" borderId="0" pivotButton="0" quotePrefix="0" xfId="0"/>
    <xf numFmtId="3" fontId="4" fillId="2" borderId="0" applyAlignment="1" pivotButton="0" quotePrefix="0" xfId="0">
      <alignment horizontal="center"/>
    </xf>
    <xf numFmtId="3" fontId="4" fillId="2" borderId="4" applyAlignment="1" pivotButton="0" quotePrefix="0" xfId="0">
      <alignment horizontal="center"/>
    </xf>
    <xf numFmtId="4" fontId="5" fillId="0" borderId="0" pivotButton="0" quotePrefix="0" xfId="0"/>
    <xf numFmtId="2" fontId="4" fillId="2" borderId="0" applyAlignment="1" pivotButton="0" quotePrefix="0" xfId="0">
      <alignment horizontal="center"/>
    </xf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4" fillId="2" borderId="4" applyAlignment="1" pivotButton="0" quotePrefix="0" xfId="0">
      <alignment horizontal="center"/>
    </xf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1" fillId="0" borderId="1" applyAlignment="1" pivotButton="0" quotePrefix="0" xfId="0">
      <alignment horizontal="center"/>
    </xf>
    <xf numFmtId="0" fontId="6" fillId="0" borderId="2" pivotButton="0" quotePrefix="0" xfId="0"/>
    <xf numFmtId="0" fontId="6" fillId="0" borderId="3" pivotButton="0" quotePrefix="0" xfId="0"/>
    <xf numFmtId="0" fontId="7" fillId="4" borderId="4" applyAlignment="1" pivotButton="0" quotePrefix="0" xfId="0">
      <alignment horizontal="center" vertical="center" wrapText="1"/>
    </xf>
    <xf numFmtId="0" fontId="7" fillId="4" borderId="4" applyAlignment="1" pivotButton="0" quotePrefix="0" xfId="0">
      <alignment horizontal="center" vertical="center" wrapText="1"/>
    </xf>
    <xf numFmtId="0" fontId="7" fillId="4" borderId="10" applyAlignment="1" pivotButton="0" quotePrefix="0" xfId="0">
      <alignment horizontal="center" vertical="center" wrapText="1"/>
    </xf>
    <xf numFmtId="0" fontId="7" fillId="4" borderId="11" applyAlignment="1" pivotButton="0" quotePrefix="0" xfId="0">
      <alignment horizontal="center" vertical="center" wrapText="1"/>
    </xf>
    <xf numFmtId="0" fontId="7" fillId="4" borderId="12" applyAlignment="1" pivotButton="0" quotePrefix="0" xfId="0">
      <alignment horizontal="center" vertical="center" wrapText="1"/>
    </xf>
    <xf numFmtId="0" fontId="7" fillId="4" borderId="13" applyAlignment="1" pivotButton="0" quotePrefix="0" xfId="0">
      <alignment horizontal="center" vertical="center" wrapText="1"/>
    </xf>
    <xf numFmtId="0" fontId="5" fillId="0" borderId="4" applyAlignment="1" pivotButton="0" quotePrefix="0" xfId="0">
      <alignment wrapText="1"/>
    </xf>
    <xf numFmtId="0" fontId="8" fillId="5" borderId="4" applyAlignment="1" pivotButton="0" quotePrefix="0" xfId="0">
      <alignment horizontal="center"/>
    </xf>
    <xf numFmtId="0" fontId="8" fillId="5" borderId="4" pivotButton="0" quotePrefix="0" xfId="0"/>
    <xf numFmtId="3" fontId="4" fillId="6" borderId="4" applyAlignment="1" pivotButton="0" quotePrefix="0" xfId="0">
      <alignment horizontal="center"/>
    </xf>
    <xf numFmtId="164" fontId="5" fillId="2" borderId="10" pivotButton="0" quotePrefix="0" xfId="0"/>
    <xf numFmtId="3" fontId="5" fillId="0" borderId="11" pivotButton="0" quotePrefix="0" xfId="0"/>
    <xf numFmtId="4" fontId="5" fillId="2" borderId="4" pivotButton="0" quotePrefix="0" xfId="0"/>
    <xf numFmtId="4" fontId="5" fillId="0" borderId="4" pivotButton="0" quotePrefix="0" xfId="0"/>
    <xf numFmtId="4" fontId="5" fillId="0" borderId="12" pivotButton="0" quotePrefix="0" xfId="0"/>
    <xf numFmtId="3" fontId="1" fillId="0" borderId="0" applyAlignment="1" pivotButton="0" quotePrefix="0" xfId="0">
      <alignment horizontal="center"/>
    </xf>
    <xf numFmtId="164" fontId="5" fillId="2" borderId="11" pivotButton="0" quotePrefix="0" xfId="0"/>
    <xf numFmtId="164" fontId="1" fillId="0" borderId="0" applyAlignment="1" pivotButton="0" quotePrefix="0" xfId="0">
      <alignment horizontal="center"/>
    </xf>
    <xf numFmtId="3" fontId="5" fillId="0" borderId="4" pivotButton="0" quotePrefix="0" xfId="0"/>
    <xf numFmtId="3" fontId="5" fillId="2" borderId="4" pivotButton="0" quotePrefix="0" xfId="0"/>
    <xf numFmtId="164" fontId="5" fillId="2" borderId="4" pivotButton="0" quotePrefix="0" xfId="0"/>
    <xf numFmtId="2" fontId="5" fillId="2" borderId="4" pivotButton="0" quotePrefix="0" xfId="0"/>
    <xf numFmtId="164" fontId="5" fillId="0" borderId="12" pivotButton="0" quotePrefix="0" xfId="0"/>
    <xf numFmtId="3" fontId="5" fillId="0" borderId="13" pivotButton="0" quotePrefix="0" xfId="0"/>
    <xf numFmtId="3" fontId="4" fillId="7" borderId="4" pivotButton="0" quotePrefix="0" xfId="0"/>
    <xf numFmtId="164" fontId="5" fillId="0" borderId="4" pivotButton="0" quotePrefix="0" xfId="0"/>
    <xf numFmtId="164" fontId="4" fillId="7" borderId="4" pivotButton="0" quotePrefix="0" xfId="0"/>
    <xf numFmtId="0" fontId="5" fillId="0" borderId="4" applyAlignment="1" pivotButton="0" quotePrefix="0" xfId="0">
      <alignment wrapText="1"/>
    </xf>
    <xf numFmtId="0" fontId="3" fillId="8" borderId="0" pivotButton="0" quotePrefix="0" xfId="0"/>
    <xf numFmtId="0" fontId="3" fillId="8" borderId="0" applyAlignment="1" pivotButton="0" quotePrefix="0" xfId="0">
      <alignment horizontal="center"/>
    </xf>
    <xf numFmtId="0" fontId="5" fillId="3" borderId="4" applyAlignment="1" pivotButton="0" quotePrefix="0" xfId="0">
      <alignment wrapText="1"/>
    </xf>
    <xf numFmtId="0" fontId="8" fillId="3" borderId="4" applyAlignment="1" pivotButton="0" quotePrefix="0" xfId="0">
      <alignment horizontal="center"/>
    </xf>
    <xf numFmtId="4" fontId="5" fillId="2" borderId="4" pivotButton="0" quotePrefix="0" xfId="0"/>
    <xf numFmtId="164" fontId="5" fillId="2" borderId="11" pivotButton="0" quotePrefix="0" xfId="0"/>
    <xf numFmtId="164" fontId="5" fillId="2" borderId="4" pivotButton="0" quotePrefix="0" xfId="0"/>
    <xf numFmtId="0" fontId="8" fillId="5" borderId="0" pivotButton="0" quotePrefix="0" xfId="0"/>
    <xf numFmtId="0" fontId="8" fillId="5" borderId="4" applyAlignment="1" pivotButton="0" quotePrefix="0" xfId="0">
      <alignment horizontal="center"/>
    </xf>
    <xf numFmtId="0" fontId="8" fillId="5" borderId="4" pivotButton="0" quotePrefix="0" xfId="0"/>
    <xf numFmtId="0" fontId="5" fillId="9" borderId="4" applyAlignment="1" pivotButton="0" quotePrefix="0" xfId="0">
      <alignment wrapText="1"/>
    </xf>
    <xf numFmtId="3" fontId="4" fillId="6" borderId="4" applyAlignment="1" pivotButton="0" quotePrefix="0" xfId="0">
      <alignment horizontal="center"/>
    </xf>
    <xf numFmtId="3" fontId="4" fillId="10" borderId="4" pivotButton="0" quotePrefix="0" xfId="0"/>
    <xf numFmtId="164" fontId="5" fillId="10" borderId="4" pivotButton="0" quotePrefix="0" xfId="0"/>
    <xf numFmtId="164" fontId="4" fillId="10" borderId="4" pivotButton="0" quotePrefix="0" xfId="0"/>
    <xf numFmtId="0" fontId="9" fillId="11" borderId="14" applyAlignment="1" pivotButton="0" quotePrefix="0" xfId="0">
      <alignment vertical="bottom"/>
    </xf>
    <xf numFmtId="4" fontId="10" fillId="8" borderId="15" applyAlignment="1" pivotButton="0" quotePrefix="0" xfId="0">
      <alignment horizontal="center"/>
    </xf>
    <xf numFmtId="4" fontId="11" fillId="8" borderId="15" applyAlignment="1" pivotButton="0" quotePrefix="0" xfId="0">
      <alignment horizontal="center"/>
    </xf>
    <xf numFmtId="2" fontId="5" fillId="2" borderId="4" pivotButton="0" quotePrefix="0" xfId="0"/>
    <xf numFmtId="0" fontId="9" fillId="2" borderId="14" applyAlignment="1" pivotButton="0" quotePrefix="0" xfId="0">
      <alignment vertical="bottom"/>
    </xf>
    <xf numFmtId="0" fontId="11" fillId="8" borderId="16" applyAlignment="1" pivotButton="0" quotePrefix="0" xfId="0">
      <alignment horizontal="center" vertical="bottom"/>
    </xf>
    <xf numFmtId="3" fontId="5" fillId="2" borderId="4" pivotButton="0" quotePrefix="0" xfId="0"/>
    <xf numFmtId="0" fontId="9" fillId="12" borderId="14" applyAlignment="1" pivotButton="0" quotePrefix="0" xfId="0">
      <alignment vertical="bottom"/>
    </xf>
    <xf numFmtId="0" fontId="12" fillId="0" borderId="0" pivotButton="0" quotePrefix="0" xfId="0"/>
    <xf numFmtId="0" fontId="0" fillId="0" borderId="0" pivotButton="0" quotePrefix="0" xfId="0"/>
    <xf numFmtId="0" fontId="1" fillId="0" borderId="17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39"/>
  <sheetViews>
    <sheetView workbookViewId="0">
      <pane xSplit="7" ySplit="12" topLeftCell="H13" activePane="bottomRight" state="frozen"/>
      <selection pane="topRight" activeCell="H1" sqref="H1"/>
      <selection pane="bottomLeft" activeCell="A13" sqref="A13"/>
      <selection pane="bottomRight" activeCell="H13" sqref="H13"/>
    </sheetView>
  </sheetViews>
  <sheetFormatPr baseColWidth="8" defaultColWidth="14.43" defaultRowHeight="15" customHeight="1"/>
  <cols>
    <col width="62.71" customWidth="1" style="91" min="1" max="1"/>
    <col width="12.14" customWidth="1" style="91" min="2" max="2"/>
    <col width="35.29" customWidth="1" style="91" min="3" max="3"/>
    <col width="10" customWidth="1" style="91" min="4" max="4"/>
    <col width="11.14" customWidth="1" style="91" min="5" max="5"/>
    <col width="11.29" customWidth="1" style="91" min="6" max="6"/>
    <col width="10" customWidth="1" style="91" min="7" max="7"/>
    <col width="7.43" customWidth="1" style="91" min="8" max="8"/>
    <col width="8.57" customWidth="1" style="91" min="9" max="9"/>
    <col width="7.71" customWidth="1" style="91" min="10" max="10"/>
    <col width="9.859999999999999" customWidth="1" style="91" min="11" max="11"/>
    <col width="7.14" customWidth="1" style="91" min="12" max="12"/>
    <col width="9.43" customWidth="1" style="91" min="13" max="13"/>
    <col width="19.86" customWidth="1" style="91" min="14" max="14"/>
    <col width="13.29" customWidth="1" style="91" min="15" max="15"/>
    <col width="9.289999999999999" customWidth="1" style="91" min="16" max="16"/>
    <col width="9.43" customWidth="1" style="91" min="17" max="17"/>
    <col width="10" customWidth="1" style="91" min="18" max="18"/>
    <col width="6.43" customWidth="1" style="91" min="19" max="19"/>
    <col width="9" customWidth="1" style="91" min="20" max="20"/>
    <col width="8.289999999999999" customWidth="1" style="91" min="21" max="22"/>
    <col width="9.43" customWidth="1" style="91" min="23" max="23"/>
    <col width="10" customWidth="1" style="91" min="24" max="24"/>
    <col width="13.43" customWidth="1" style="91" min="25" max="25"/>
    <col width="10" customWidth="1" style="91" min="26" max="27"/>
    <col width="8.710000000000001" customWidth="1" style="91" min="28" max="29"/>
    <col width="9" customWidth="1" style="91" min="30" max="30"/>
    <col width="6.86" customWidth="1" style="91" min="31" max="31"/>
    <col width="10.43" customWidth="1" style="91" min="32" max="32"/>
    <col width="8.57" customWidth="1" style="91" min="33" max="33"/>
    <col width="9.710000000000001" customWidth="1" style="91" min="34" max="34"/>
    <col width="6.43" customWidth="1" style="91" min="35" max="35"/>
    <col width="9.140000000000001" customWidth="1" style="91" min="36" max="36"/>
  </cols>
  <sheetData>
    <row r="1" ht="14.25" customHeight="1" s="91">
      <c r="A1" s="2" t="inlineStr">
        <is>
          <t>ПАРАМЕТРЫ — меняй жёлтые ячейки, всё пересчитается</t>
        </is>
      </c>
      <c r="B1" s="9" t="n"/>
      <c r="D1" s="9" t="n"/>
      <c r="E1" s="9" t="n"/>
      <c r="F1" s="9" t="n"/>
      <c r="G1" s="9" t="n"/>
    </row>
    <row r="2" ht="14.25" customHeight="1" s="91">
      <c r="A2" s="6" t="n"/>
      <c r="B2" s="9" t="n"/>
      <c r="D2" s="9" t="n"/>
      <c r="E2" s="9" t="n"/>
      <c r="F2" s="9" t="n"/>
      <c r="G2" s="9" t="n"/>
      <c r="M2" s="11" t="n"/>
      <c r="N2" s="13" t="n"/>
      <c r="O2" s="13" t="n"/>
      <c r="P2" s="15" t="n"/>
    </row>
    <row r="3" ht="14.25" customHeight="1" s="91">
      <c r="A3" s="6" t="inlineStr">
        <is>
          <t>Налог с оборота</t>
        </is>
      </c>
      <c r="B3" s="9" t="n"/>
      <c r="D3" s="16" t="n"/>
      <c r="E3" s="16" t="n"/>
      <c r="F3" s="16" t="n"/>
      <c r="G3" s="17" t="n">
        <v>0.07000000000000001</v>
      </c>
      <c r="M3" s="24" t="n"/>
      <c r="N3" s="19" t="n">
        <v>0.45</v>
      </c>
      <c r="O3" s="20" t="n"/>
      <c r="P3" s="21" t="n"/>
    </row>
    <row r="4" ht="14.25" customHeight="1" s="91">
      <c r="A4" s="6" t="inlineStr">
        <is>
          <t>Эквайринг</t>
        </is>
      </c>
      <c r="B4" s="9" t="n"/>
      <c r="D4" s="22" t="n"/>
      <c r="E4" s="22" t="n"/>
      <c r="F4" s="22" t="n"/>
      <c r="G4" s="23" t="n">
        <v>0.015</v>
      </c>
      <c r="M4" s="24" t="n"/>
      <c r="N4" s="25" t="inlineStr">
        <is>
          <t>Цена с СПП</t>
        </is>
      </c>
      <c r="O4" s="25" t="inlineStr">
        <is>
          <t>Цена без СПП</t>
        </is>
      </c>
      <c r="P4" s="21" t="n"/>
    </row>
    <row r="5" ht="14.25" customHeight="1" s="91">
      <c r="A5" s="6" t="inlineStr">
        <is>
          <t>Фулфилмент, ₽/шт</t>
        </is>
      </c>
      <c r="B5" s="9" t="n"/>
      <c r="D5" s="26" t="n"/>
      <c r="E5" s="26" t="n"/>
      <c r="F5" s="26" t="n"/>
      <c r="G5" s="27" t="n">
        <v>60</v>
      </c>
      <c r="M5" s="24" t="n"/>
      <c r="N5" s="25" t="n">
        <v>1860</v>
      </c>
      <c r="O5" s="28">
        <f>IF(N5="","",N5/(1-N3))</f>
        <v/>
      </c>
      <c r="P5" s="21" t="n"/>
    </row>
    <row r="6" ht="14.25" customHeight="1" s="91">
      <c r="A6" s="6" t="inlineStr">
        <is>
          <t>Хранение, ₽/л/день</t>
        </is>
      </c>
      <c r="B6" s="9" t="n"/>
      <c r="D6" s="29" t="n"/>
      <c r="E6" s="29" t="n"/>
      <c r="F6" s="29" t="n"/>
      <c r="G6" s="32" t="n">
        <v>0.16</v>
      </c>
      <c r="M6" s="24" t="n"/>
      <c r="P6" s="21" t="n"/>
    </row>
    <row r="7" ht="14.25" customHeight="1" s="91">
      <c r="A7" s="6" t="inlineStr">
        <is>
          <t>Дней хранения</t>
        </is>
      </c>
      <c r="B7" s="9" t="n"/>
      <c r="D7" s="26" t="n"/>
      <c r="E7" s="26" t="n"/>
      <c r="F7" s="26" t="n"/>
      <c r="G7" s="27" t="n">
        <v>0</v>
      </c>
      <c r="M7" s="33" t="n"/>
      <c r="N7" s="34" t="n"/>
      <c r="O7" s="34" t="n"/>
      <c r="P7" s="35" t="n"/>
    </row>
    <row r="8" ht="14.25" customHeight="1" s="91">
      <c r="A8" s="6" t="inlineStr">
        <is>
          <t>Наценка за нелокальные продажи %</t>
        </is>
      </c>
      <c r="B8" s="9" t="n"/>
      <c r="D8" s="22" t="n"/>
      <c r="E8" s="22" t="n"/>
      <c r="F8" s="22" t="n"/>
      <c r="G8" s="23" t="n">
        <v>0.02</v>
      </c>
    </row>
    <row r="9" ht="14.25" customHeight="1" s="91">
      <c r="A9" s="6" t="inlineStr">
        <is>
          <t>Кроссдок: обработка (склады/СЦ) ₽/л</t>
        </is>
      </c>
      <c r="B9" s="9" t="n"/>
      <c r="D9" s="29" t="n"/>
      <c r="E9" s="29" t="n"/>
      <c r="F9" s="29" t="n"/>
      <c r="G9" s="32" t="n">
        <v>0.75</v>
      </c>
    </row>
    <row r="10" ht="14.25" customHeight="1" s="91">
      <c r="A10" s="6" t="inlineStr">
        <is>
          <t>Кроссдок: перевозка ₽/л (средн. 26 скл.)</t>
        </is>
      </c>
      <c r="B10" s="9" t="n"/>
      <c r="D10" s="29" t="n"/>
      <c r="E10" s="29" t="n"/>
      <c r="F10" s="29" t="n"/>
      <c r="G10" s="32" t="n">
        <v>4.423</v>
      </c>
    </row>
    <row r="11" ht="14.25" customHeight="1" s="91">
      <c r="A11" s="6" t="n"/>
      <c r="B11" s="9" t="n"/>
      <c r="D11" s="9" t="n"/>
      <c r="E11" s="9" t="n"/>
      <c r="F11" s="9" t="n"/>
      <c r="G11" s="9" t="n"/>
      <c r="I11" s="92" t="inlineStr">
        <is>
          <t>Себестоимость</t>
        </is>
      </c>
      <c r="J11" s="93" t="n"/>
      <c r="K11" s="93" t="n"/>
      <c r="L11" s="94" t="n"/>
      <c r="M11" s="92" t="inlineStr">
        <is>
          <t>Комиссия ОЗОН</t>
        </is>
      </c>
      <c r="N11" s="93" t="n"/>
      <c r="O11" s="93" t="n"/>
      <c r="P11" s="93" t="n"/>
      <c r="Q11" s="93" t="n"/>
      <c r="R11" s="93" t="n"/>
      <c r="S11" s="93" t="n"/>
      <c r="T11" s="93" t="n"/>
      <c r="U11" s="93" t="n"/>
      <c r="V11" s="93" t="n"/>
      <c r="W11" s="93" t="n"/>
      <c r="X11" s="93" t="n"/>
      <c r="Y11" s="94" t="n"/>
      <c r="Z11" s="92" t="inlineStr">
        <is>
          <t>Реклама</t>
        </is>
      </c>
      <c r="AA11" s="93" t="n"/>
      <c r="AB11" s="93" t="n"/>
      <c r="AC11" s="93" t="n"/>
      <c r="AD11" s="93" t="n"/>
      <c r="AE11" s="94" t="n"/>
    </row>
    <row r="12" ht="58.5" customHeight="1" s="91">
      <c r="A12" s="40" t="inlineStr">
        <is>
          <t>Товар</t>
        </is>
      </c>
      <c r="B12" s="40" t="inlineStr">
        <is>
          <t>Заказ контейнер шт</t>
        </is>
      </c>
      <c r="C12" s="40" t="inlineStr">
        <is>
          <t>Комментарий</t>
        </is>
      </c>
      <c r="D12" s="40" t="inlineStr">
        <is>
          <t>Цена конкурента без СПП</t>
        </is>
      </c>
      <c r="E12" s="40" t="inlineStr">
        <is>
          <t>Кол-во продаж конкурент</t>
        </is>
      </c>
      <c r="F12" s="40" t="inlineStr">
        <is>
          <t>ДРР конкурент</t>
        </is>
      </c>
      <c r="G12" s="40" t="inlineStr">
        <is>
          <t>Цена наша без СПП</t>
        </is>
      </c>
      <c r="H12" s="41" t="inlineStr">
        <is>
          <t>СПП, %</t>
        </is>
      </c>
      <c r="I12" s="42" t="inlineStr">
        <is>
          <t>Цена с СПП</t>
        </is>
      </c>
      <c r="J12" s="40" t="inlineStr">
        <is>
          <t>Себест.</t>
        </is>
      </c>
      <c r="K12" s="40" t="inlineStr">
        <is>
          <t>Фулфилмент</t>
        </is>
      </c>
      <c r="L12" s="43" t="inlineStr">
        <is>
          <t>База затрат</t>
        </is>
      </c>
      <c r="M12" s="42" t="inlineStr">
        <is>
          <t>Комиссия %</t>
        </is>
      </c>
      <c r="N12" s="40" t="inlineStr">
        <is>
          <t>Комиссия ₽</t>
        </is>
      </c>
      <c r="O12" s="40" t="inlineStr">
        <is>
          <t>Логистика</t>
        </is>
      </c>
      <c r="P12" s="40" t="inlineStr">
        <is>
          <t>Наценка нелок., ₽</t>
        </is>
      </c>
      <c r="Q12" s="40" t="inlineStr">
        <is>
          <t>Доставка до ПВЗ</t>
        </is>
      </c>
      <c r="R12" s="40" t="inlineStr">
        <is>
          <t>Эквайринг</t>
        </is>
      </c>
      <c r="S12" s="40" t="inlineStr">
        <is>
          <t>Налог</t>
        </is>
      </c>
      <c r="T12" s="40" t="inlineStr">
        <is>
          <t>Выкуп %</t>
        </is>
      </c>
      <c r="U12" s="40" t="inlineStr">
        <is>
          <t>Обр.лог база</t>
        </is>
      </c>
      <c r="V12" s="40" t="inlineStr">
        <is>
          <t>Обр.лог</t>
        </is>
      </c>
      <c r="W12" s="40" t="inlineStr">
        <is>
          <t>Объём, л</t>
        </is>
      </c>
      <c r="X12" s="40" t="inlineStr">
        <is>
          <t>Хранение</t>
        </is>
      </c>
      <c r="Y12" s="43" t="inlineStr">
        <is>
          <t>Кроссдок ср., ₽/ед</t>
        </is>
      </c>
      <c r="Z12" s="42" t="inlineStr">
        <is>
          <t>Оплата за клик, %</t>
        </is>
      </c>
      <c r="AA12" s="40" t="inlineStr">
        <is>
          <t>Оплата за клик ₽</t>
        </is>
      </c>
      <c r="AB12" s="40" t="inlineStr">
        <is>
          <t>Вывод в топ, %</t>
        </is>
      </c>
      <c r="AC12" s="40" t="inlineStr">
        <is>
          <t>Вывод в топ ₽</t>
        </is>
      </c>
      <c r="AD12" s="40" t="inlineStr">
        <is>
          <t>Реклама всего ₽</t>
        </is>
      </c>
      <c r="AE12" s="43" t="inlineStr">
        <is>
          <t>ДРР %</t>
        </is>
      </c>
      <c r="AF12" s="44" t="inlineStr">
        <is>
          <t>Маржа до рекл.</t>
        </is>
      </c>
      <c r="AG12" s="40" t="inlineStr">
        <is>
          <t>Маржа/шт</t>
        </is>
      </c>
      <c r="AH12" s="40" t="inlineStr">
        <is>
          <t>Маржа % цены</t>
        </is>
      </c>
      <c r="AI12" s="40" t="inlineStr">
        <is>
          <t>ROI %</t>
        </is>
      </c>
      <c r="AJ12" s="40" t="inlineStr">
        <is>
          <t>Цена безубыт.</t>
        </is>
      </c>
    </row>
    <row r="13" ht="14.25" customHeight="1" s="91">
      <c r="A13" s="66" t="inlineStr">
        <is>
          <t>Celimax Dual Barrier Creamy Toner</t>
        </is>
      </c>
      <c r="B13" s="75" t="n"/>
      <c r="C13" s="76" t="n"/>
      <c r="D13" s="78" t="n">
        <v>2600</v>
      </c>
      <c r="E13" s="78" t="n">
        <v>5500</v>
      </c>
      <c r="F13" s="78" t="inlineStr">
        <is>
          <t>10-15</t>
        </is>
      </c>
      <c r="G13" s="78" t="n">
        <v>2450</v>
      </c>
      <c r="H13" s="49" t="n">
        <v>0.45</v>
      </c>
      <c r="I13" s="50">
        <f>G13*(1-H13)</f>
        <v/>
      </c>
      <c r="J13" s="71" t="n">
        <v>663.86</v>
      </c>
      <c r="K13" s="52">
        <f>$G$5</f>
        <v/>
      </c>
      <c r="L13" s="53">
        <f>J13+K13</f>
        <v/>
      </c>
      <c r="M13" s="72" t="n">
        <v>0.41</v>
      </c>
      <c r="N13" s="57">
        <f>G13*M13</f>
        <v/>
      </c>
      <c r="O13" s="88" t="n">
        <v>67</v>
      </c>
      <c r="P13" s="57">
        <f>G13*$G$8</f>
        <v/>
      </c>
      <c r="Q13" s="88" t="n">
        <v>25</v>
      </c>
      <c r="R13" s="57">
        <f>G13*$G$4</f>
        <v/>
      </c>
      <c r="S13" s="57">
        <f>I13*$G$3</f>
        <v/>
      </c>
      <c r="T13" s="73" t="n">
        <v>0.9</v>
      </c>
      <c r="U13" s="88">
        <f>O13</f>
        <v/>
      </c>
      <c r="V13" s="57">
        <f>U13*(1-T13)</f>
        <v/>
      </c>
      <c r="W13" s="85" t="n">
        <v>0.735</v>
      </c>
      <c r="X13" s="57">
        <f>$G$6*$G$7*W13</f>
        <v/>
      </c>
      <c r="Y13" s="53">
        <f>W13*($G$9+$G$10)</f>
        <v/>
      </c>
      <c r="Z13" s="72" t="n">
        <v>0.07000000000000001</v>
      </c>
      <c r="AA13" s="57">
        <f>G13*Z13</f>
        <v/>
      </c>
      <c r="AB13" s="73" t="n">
        <v>0.08</v>
      </c>
      <c r="AC13" s="57">
        <f>G13*AB13</f>
        <v/>
      </c>
      <c r="AD13" s="57">
        <f>AA13+AC13</f>
        <v/>
      </c>
      <c r="AE13" s="61">
        <f>AD13/G13</f>
        <v/>
      </c>
      <c r="AF13" s="62">
        <f>G13-N13-O13-P13-Q13-R13-S13-V13-X13-Y13-L13</f>
        <v/>
      </c>
      <c r="AG13" s="63">
        <f>AF13-AD13</f>
        <v/>
      </c>
      <c r="AH13" s="64">
        <f>AG13/G13</f>
        <v/>
      </c>
      <c r="AI13" s="65">
        <f>AG13/L13</f>
        <v/>
      </c>
      <c r="AJ13" s="57">
        <f>(O13+Q13+V13+X13+Y13+L13)/(1-(M13+$G$4+(1-H13)*$G$3+$G$8+Z13+AB13))</f>
        <v/>
      </c>
    </row>
    <row r="14" ht="14.25" customHeight="1" s="91">
      <c r="A14" s="66" t="inlineStr">
        <is>
          <t>CELIMAX THE VITA-A RETINOL SHOT TIGHTENING SERUM [30ml]/Сыворотка с ретинолом и микроиглами для лица</t>
        </is>
      </c>
      <c r="C14" s="76" t="inlineStr">
        <is>
          <t>-</t>
        </is>
      </c>
      <c r="D14" s="78" t="n">
        <v>2450</v>
      </c>
      <c r="E14" s="78" t="n">
        <v>3500</v>
      </c>
      <c r="F14" s="78" t="n">
        <v>10</v>
      </c>
      <c r="G14" s="78" t="n">
        <v>2350</v>
      </c>
      <c r="H14" s="49" t="n">
        <v>0.45</v>
      </c>
      <c r="I14" s="50">
        <f>G14*(1-H14)</f>
        <v/>
      </c>
      <c r="J14" s="71" t="n">
        <v>532.1</v>
      </c>
      <c r="K14" s="52">
        <f>$G$5</f>
        <v/>
      </c>
      <c r="L14" s="53">
        <f>J14+K14</f>
        <v/>
      </c>
      <c r="M14" s="72" t="n">
        <v>0.41</v>
      </c>
      <c r="N14" s="57">
        <f>G14*M14</f>
        <v/>
      </c>
      <c r="O14" s="88" t="n">
        <v>63</v>
      </c>
      <c r="P14" s="57">
        <f>G14*$G$8</f>
        <v/>
      </c>
      <c r="Q14" s="88" t="n">
        <v>25</v>
      </c>
      <c r="R14" s="57">
        <f>G14*$G$4</f>
        <v/>
      </c>
      <c r="S14" s="57">
        <f>I14*$G$3</f>
        <v/>
      </c>
      <c r="T14" s="73" t="n">
        <v>0.9</v>
      </c>
      <c r="U14" s="88">
        <f>O14</f>
        <v/>
      </c>
      <c r="V14" s="57">
        <f>U14*(1-T14)</f>
        <v/>
      </c>
      <c r="W14" s="85" t="n">
        <v>0.38</v>
      </c>
      <c r="X14" s="57">
        <f>$G$6*$G$7*W14</f>
        <v/>
      </c>
      <c r="Y14" s="53">
        <f>W14*($G$9+$G$10)</f>
        <v/>
      </c>
      <c r="Z14" s="72" t="n">
        <v>0.07000000000000001</v>
      </c>
      <c r="AA14" s="57">
        <f>G14*Z14</f>
        <v/>
      </c>
      <c r="AB14" s="73" t="n">
        <v>0.08</v>
      </c>
      <c r="AC14" s="57">
        <f>G14*AB14</f>
        <v/>
      </c>
      <c r="AD14" s="57">
        <f>AA14+AC14</f>
        <v/>
      </c>
      <c r="AE14" s="61">
        <f>AD14/G14</f>
        <v/>
      </c>
      <c r="AF14" s="62">
        <f>G14-N14-O14-P14-Q14-R14-S14-V14-X14-Y14-L14</f>
        <v/>
      </c>
      <c r="AG14" s="63">
        <f>AF14-AD14</f>
        <v/>
      </c>
      <c r="AH14" s="64">
        <f>AG14/G14</f>
        <v/>
      </c>
      <c r="AI14" s="65">
        <f>AG14/L14</f>
        <v/>
      </c>
      <c r="AJ14" s="57">
        <f>(O14+Q14+V14+X14+Y14+L14)/(1-(M14+$G$4+(1-H14)*$G$3+$G$8+Z14+AB14))</f>
        <v/>
      </c>
    </row>
    <row r="15" ht="14.25" customHeight="1" s="91">
      <c r="A15" s="66" t="inlineStr">
        <is>
          <t>CELIMAX THE VITA-A RETINAL SHOT TIGHTENING BOOSTER [15ml]/Подтягивающий бустер-крем с ретинолом для лица</t>
        </is>
      </c>
      <c r="C15" s="76" t="n"/>
      <c r="D15" s="78" t="n">
        <v>2250</v>
      </c>
      <c r="E15" s="78" t="n">
        <v>3000</v>
      </c>
      <c r="F15" s="78" t="n">
        <v>13</v>
      </c>
      <c r="G15" s="78" t="n">
        <v>2150</v>
      </c>
      <c r="H15" s="49" t="n">
        <v>0.45</v>
      </c>
      <c r="I15" s="50">
        <f>G15*(1-H15)</f>
        <v/>
      </c>
      <c r="J15" s="71" t="n">
        <v>512.1799999999999</v>
      </c>
      <c r="K15" s="52" t="n">
        <v>60</v>
      </c>
      <c r="L15" s="53">
        <f>J15+K15</f>
        <v/>
      </c>
      <c r="M15" s="72" t="n">
        <v>0.41</v>
      </c>
      <c r="N15" s="57">
        <f>G15*M15</f>
        <v/>
      </c>
      <c r="O15" s="88" t="n">
        <v>56</v>
      </c>
      <c r="P15" s="57">
        <f>G15*$G$8</f>
        <v/>
      </c>
      <c r="Q15" s="88" t="n">
        <v>25</v>
      </c>
      <c r="R15" s="57">
        <f>G15*$G$4</f>
        <v/>
      </c>
      <c r="S15" s="57">
        <f>I15*$G$3</f>
        <v/>
      </c>
      <c r="T15" s="73" t="n">
        <v>0.9</v>
      </c>
      <c r="U15" s="88" t="n">
        <v>56</v>
      </c>
      <c r="V15" s="57">
        <f>U15*(1-T15)</f>
        <v/>
      </c>
      <c r="W15" s="85" t="n">
        <v>0.18</v>
      </c>
      <c r="X15" s="57">
        <f>$G$6*$G$7*W15</f>
        <v/>
      </c>
      <c r="Y15" s="53">
        <f>W15*($G$9+$G$10)</f>
        <v/>
      </c>
      <c r="Z15" s="72" t="n">
        <v>0.07000000000000001</v>
      </c>
      <c r="AA15" s="57">
        <f>G15*Z15</f>
        <v/>
      </c>
      <c r="AB15" s="73" t="n">
        <v>0.08</v>
      </c>
      <c r="AC15" s="57">
        <f>G15*AB15</f>
        <v/>
      </c>
      <c r="AD15" s="57">
        <f>AA15+AC15</f>
        <v/>
      </c>
      <c r="AE15" s="61" t="n">
        <v>0.15</v>
      </c>
      <c r="AF15" s="62">
        <f>G15-N15-O15-P15-Q15-R15-S15-V15-X15-Y15-L15</f>
        <v/>
      </c>
      <c r="AG15" s="63">
        <f>AF15-AD15</f>
        <v/>
      </c>
      <c r="AH15" s="64">
        <f>AG15/G15</f>
        <v/>
      </c>
      <c r="AI15" s="65">
        <f>AG15/L15</f>
        <v/>
      </c>
      <c r="AJ15" s="57">
        <f>(O15+Q15+V15+X15+Y15+L15)/(1-(M15+$G$4+(1-H15)*$G$3+$G$8+Z15+AB15))</f>
        <v/>
      </c>
    </row>
    <row r="16" ht="14.25" customHeight="1" s="91">
      <c r="A16" s="66" t="inlineStr">
        <is>
          <t>CELIMAX JI WOO GAE CICA BHA BLEMISH TONER PAD_10EA [30ml]/успокаивающие тонер-пэды</t>
        </is>
      </c>
      <c r="C16" s="76" t="n"/>
      <c r="D16" s="78" t="n">
        <v>775</v>
      </c>
      <c r="E16" s="78" t="inlineStr">
        <is>
          <t>2 740</t>
        </is>
      </c>
      <c r="F16" s="78" t="n">
        <v>11</v>
      </c>
      <c r="G16" s="78" t="n">
        <v>745</v>
      </c>
      <c r="H16" s="49" t="n">
        <v>0.45</v>
      </c>
      <c r="I16" s="50">
        <f>G16*(1-H16)</f>
        <v/>
      </c>
      <c r="J16" s="71" t="n">
        <v>96.94</v>
      </c>
      <c r="K16" s="52" t="n">
        <v>60</v>
      </c>
      <c r="L16" s="53">
        <f>J16+K16</f>
        <v/>
      </c>
      <c r="M16" s="72" t="n">
        <v>0.41</v>
      </c>
      <c r="N16" s="57">
        <f>G16*M16</f>
        <v/>
      </c>
      <c r="O16" s="88" t="n">
        <v>56</v>
      </c>
      <c r="P16" s="57">
        <f>G16*$G$8</f>
        <v/>
      </c>
      <c r="Q16" s="88" t="n">
        <v>25</v>
      </c>
      <c r="R16" s="57">
        <f>G16*$G$4</f>
        <v/>
      </c>
      <c r="S16" s="57">
        <f>I16*$G$3</f>
        <v/>
      </c>
      <c r="T16" s="73" t="n">
        <v>0.9</v>
      </c>
      <c r="U16" s="88" t="n">
        <v>56</v>
      </c>
      <c r="V16" s="57">
        <f>U16*(1-T16)</f>
        <v/>
      </c>
      <c r="W16" s="85" t="n">
        <v>0.14</v>
      </c>
      <c r="X16" s="57">
        <f>$G$6*$G$7*W16</f>
        <v/>
      </c>
      <c r="Y16" s="53">
        <f>W16*($G$9+$G$10)</f>
        <v/>
      </c>
      <c r="Z16" s="72" t="n">
        <v>0.07000000000000001</v>
      </c>
      <c r="AA16" s="57">
        <f>G16*Z16</f>
        <v/>
      </c>
      <c r="AB16" s="73" t="n">
        <v>0.08</v>
      </c>
      <c r="AC16" s="57">
        <f>G16*AB16</f>
        <v/>
      </c>
      <c r="AD16" s="57">
        <f>AA16+AC16</f>
        <v/>
      </c>
      <c r="AE16" s="61" t="n">
        <v>0.15</v>
      </c>
      <c r="AF16" s="62">
        <f>G16-N16-O16-P16-Q16-R16-S16-V16-X16-Y16-L16</f>
        <v/>
      </c>
      <c r="AG16" s="63">
        <f>AF16-AD16</f>
        <v/>
      </c>
      <c r="AH16" s="64">
        <f>AG16/G16</f>
        <v/>
      </c>
      <c r="AI16" s="65">
        <f>AG16/L16</f>
        <v/>
      </c>
      <c r="AJ16" s="57">
        <f>(O16+Q16+V16+X16+Y16+L16)/(1-(M16+$G$4+(1-H16)*$G$3+$G$8+Z16+AB16))</f>
        <v/>
      </c>
    </row>
    <row r="17" ht="14.25" customHeight="1" s="91">
      <c r="A17" s="66" t="inlineStr">
        <is>
          <t>CELIMAX JI WOO GAE CICA BHA BLEMISH TONER PAD [170ml / 60pads]/Тонер-пэды от воспалений</t>
        </is>
      </c>
      <c r="C17" s="76" t="n"/>
      <c r="D17" s="78" t="n">
        <v>3450</v>
      </c>
      <c r="E17" s="78" t="inlineStr">
        <is>
          <t>1 820</t>
        </is>
      </c>
      <c r="F17" s="78" t="n">
        <v>11</v>
      </c>
      <c r="G17" s="78" t="n">
        <v>3150</v>
      </c>
      <c r="H17" s="49" t="n">
        <v>0.45</v>
      </c>
      <c r="I17" s="50">
        <f>G17*(1-H17)</f>
        <v/>
      </c>
      <c r="J17" s="71" t="n">
        <v>707.88</v>
      </c>
      <c r="K17" s="52" t="n">
        <v>60</v>
      </c>
      <c r="L17" s="53">
        <f>J17+K17</f>
        <v/>
      </c>
      <c r="M17" s="72" t="n">
        <v>0.41</v>
      </c>
      <c r="N17" s="57">
        <f>G17*M17</f>
        <v/>
      </c>
      <c r="O17" s="88" t="n">
        <v>67</v>
      </c>
      <c r="P17" s="57">
        <f>G17*$G$8</f>
        <v/>
      </c>
      <c r="Q17" s="88" t="n">
        <v>25</v>
      </c>
      <c r="R17" s="57">
        <f>G17*$G$4</f>
        <v/>
      </c>
      <c r="S17" s="57">
        <f>I17*$G$3</f>
        <v/>
      </c>
      <c r="T17" s="73" t="n">
        <v>0.9</v>
      </c>
      <c r="U17" s="88" t="n">
        <v>67</v>
      </c>
      <c r="V17" s="57">
        <f>U17*(1-T17)</f>
        <v/>
      </c>
      <c r="W17" s="85" t="n">
        <v>0.96</v>
      </c>
      <c r="X17" s="57">
        <f>$G$6*$G$7*W17</f>
        <v/>
      </c>
      <c r="Y17" s="53">
        <f>W17*($G$9+$G$10)</f>
        <v/>
      </c>
      <c r="Z17" s="72" t="n">
        <v>0.07000000000000001</v>
      </c>
      <c r="AA17" s="57">
        <f>G17*Z17</f>
        <v/>
      </c>
      <c r="AB17" s="73" t="n">
        <v>0.08</v>
      </c>
      <c r="AC17" s="57">
        <f>G17*AB17</f>
        <v/>
      </c>
      <c r="AD17" s="57">
        <f>AA17+AC17</f>
        <v/>
      </c>
      <c r="AE17" s="61" t="n">
        <v>0.15</v>
      </c>
      <c r="AF17" s="62">
        <f>G17-N17-O17-P17-Q17-R17-S17-V17-X17-Y17-L17</f>
        <v/>
      </c>
      <c r="AG17" s="63">
        <f>AF17-AD17</f>
        <v/>
      </c>
      <c r="AH17" s="64">
        <f>AG17/G17</f>
        <v/>
      </c>
      <c r="AI17" s="65">
        <f>AG17/L17</f>
        <v/>
      </c>
      <c r="AJ17" s="57">
        <f>(O17+Q17+V17+X17+Y17+L17)/(1-(M17+$G$4+(1-H17)*$G$3+$G$8+Z17+AB17))</f>
        <v/>
      </c>
    </row>
    <row r="18" ht="14.25" customHeight="1" s="91">
      <c r="A18" s="66" t="inlineStr">
        <is>
          <t>CELIMAX PORE+DARK SPOT BRIGHTENING PAD [100ml / 40pads]/Тонер-пэды для выравнивания тона и рельефа кожи</t>
        </is>
      </c>
      <c r="C18" s="76" t="n"/>
      <c r="D18" s="78" t="n">
        <v>2880</v>
      </c>
      <c r="E18" s="78" t="inlineStr">
        <is>
          <t>1 640</t>
        </is>
      </c>
      <c r="F18" s="78" t="n">
        <v>21</v>
      </c>
      <c r="G18" s="78" t="n">
        <v>2580</v>
      </c>
      <c r="H18" s="49" t="n">
        <v>0.45</v>
      </c>
      <c r="I18" s="50">
        <f>G18*(1-H18)</f>
        <v/>
      </c>
      <c r="J18" s="71" t="n">
        <v>556.1799999999999</v>
      </c>
      <c r="K18" s="52" t="n">
        <v>60</v>
      </c>
      <c r="L18" s="53">
        <f>J18+K18</f>
        <v/>
      </c>
      <c r="M18" s="72" t="n">
        <v>0.41</v>
      </c>
      <c r="N18" s="57">
        <f>G18*M18</f>
        <v/>
      </c>
      <c r="O18" s="88" t="n">
        <v>67</v>
      </c>
      <c r="P18" s="57">
        <f>G18*$G$8</f>
        <v/>
      </c>
      <c r="Q18" s="88" t="n">
        <v>25</v>
      </c>
      <c r="R18" s="57">
        <f>G18*$G$4</f>
        <v/>
      </c>
      <c r="S18" s="57">
        <f>I18*$G$3</f>
        <v/>
      </c>
      <c r="T18" s="73" t="n">
        <v>0.9</v>
      </c>
      <c r="U18" s="88" t="n">
        <v>67</v>
      </c>
      <c r="V18" s="57">
        <f>U18*(1-T18)</f>
        <v/>
      </c>
      <c r="W18" s="85" t="n">
        <v>0.57</v>
      </c>
      <c r="X18" s="57">
        <f>$G$6*$G$7*W18</f>
        <v/>
      </c>
      <c r="Y18" s="53">
        <f>W18*($G$9+$G$10)</f>
        <v/>
      </c>
      <c r="Z18" s="72" t="n">
        <v>0.07000000000000001</v>
      </c>
      <c r="AA18" s="57">
        <f>G18*Z18</f>
        <v/>
      </c>
      <c r="AB18" s="73" t="n">
        <v>0.08</v>
      </c>
      <c r="AC18" s="57">
        <f>G18*AB18</f>
        <v/>
      </c>
      <c r="AD18" s="57">
        <f>AA18+AC18</f>
        <v/>
      </c>
      <c r="AE18" s="61" t="n">
        <v>0.15</v>
      </c>
      <c r="AF18" s="62">
        <f>G18-N18-O18-P18-Q18-R18-S18-V18-X18-Y18-L18</f>
        <v/>
      </c>
      <c r="AG18" s="63">
        <f>AF18-AD18</f>
        <v/>
      </c>
      <c r="AH18" s="64">
        <f>AG18/G18</f>
        <v/>
      </c>
      <c r="AI18" s="65">
        <f>AG18/L18</f>
        <v/>
      </c>
      <c r="AJ18" s="57">
        <f>(O18+Q18+V18+X18+Y18+L18)/(1-(M18+$G$4+(1-H18)*$G$3+$G$8+Z18+AB18))</f>
        <v/>
      </c>
    </row>
    <row r="19" ht="14.25" customHeight="1" s="91">
      <c r="A19" s="69" t="inlineStr">
        <is>
          <t>CELIMAX JI WOO GAE HEARTLEAF BHA PEELING PAD 60PADS</t>
        </is>
      </c>
      <c r="B19" s="70" t="n">
        <v>1200</v>
      </c>
      <c r="C19" s="76" t="n"/>
      <c r="D19" s="78" t="n">
        <v>2870</v>
      </c>
      <c r="E19" s="78" t="n">
        <v>1100</v>
      </c>
      <c r="F19" s="78" t="n">
        <v>10</v>
      </c>
      <c r="G19" s="78" t="n">
        <v>2670</v>
      </c>
      <c r="H19" s="49" t="n">
        <v>0.45</v>
      </c>
      <c r="I19" s="50">
        <f>G19*(1-H19)</f>
        <v/>
      </c>
      <c r="J19" s="71" t="n">
        <v>467</v>
      </c>
      <c r="K19" s="52" t="n">
        <v>60</v>
      </c>
      <c r="L19" s="53">
        <f>J19+K19</f>
        <v/>
      </c>
      <c r="M19" s="72" t="n">
        <v>0.41</v>
      </c>
      <c r="N19" s="57">
        <f>G19*M19</f>
        <v/>
      </c>
      <c r="O19" s="88" t="n">
        <v>67</v>
      </c>
      <c r="P19" s="57">
        <f>G19*$G$8</f>
        <v/>
      </c>
      <c r="Q19" s="88" t="n">
        <v>25</v>
      </c>
      <c r="R19" s="57">
        <f>G19*$G$4</f>
        <v/>
      </c>
      <c r="S19" s="57">
        <f>I19*$G$3</f>
        <v/>
      </c>
      <c r="T19" s="73" t="n">
        <v>0.9</v>
      </c>
      <c r="U19" s="88" t="n">
        <v>67</v>
      </c>
      <c r="V19" s="57">
        <f>U19*(1-T19)</f>
        <v/>
      </c>
      <c r="W19" s="85" t="n">
        <v>0.96</v>
      </c>
      <c r="X19" s="57">
        <f>$G$6*$G$7*W19</f>
        <v/>
      </c>
      <c r="Y19" s="53">
        <f>W19*($G$9+$G$10)</f>
        <v/>
      </c>
      <c r="Z19" s="72" t="n">
        <v>0.07000000000000001</v>
      </c>
      <c r="AA19" s="57">
        <f>G19*Z19</f>
        <v/>
      </c>
      <c r="AB19" s="73" t="n">
        <v>0.08</v>
      </c>
      <c r="AC19" s="57">
        <f>G19*AB19</f>
        <v/>
      </c>
      <c r="AD19" s="57">
        <f>AA19+AC19</f>
        <v/>
      </c>
      <c r="AE19" s="61" t="n">
        <v>0.15</v>
      </c>
      <c r="AF19" s="62">
        <f>G19-N19-O19-P19-Q19-R19-S19-V19-X19-Y19-L19</f>
        <v/>
      </c>
      <c r="AG19" s="63">
        <f>AF19-AD19</f>
        <v/>
      </c>
      <c r="AH19" s="64">
        <f>AG19/G19</f>
        <v/>
      </c>
      <c r="AI19" s="65">
        <f>AG19/L19</f>
        <v/>
      </c>
      <c r="AJ19" s="57">
        <f>(O19+Q19+V19+X19+Y19+L19)/(1-(M19+$G$4+(1-H19)*$G$3+$G$8+Z19+AB19))</f>
        <v/>
      </c>
    </row>
    <row r="20" ht="14.25" customHeight="1" s="91">
      <c r="A20" s="69" t="inlineStr">
        <is>
          <t>CELIMAX THE REAL NONI STARTER KIT</t>
        </is>
      </c>
      <c r="B20" s="70" t="n">
        <v>480</v>
      </c>
      <c r="C20" s="76" t="n"/>
      <c r="D20" s="78" t="n">
        <v>2340</v>
      </c>
      <c r="E20" s="78" t="n">
        <v>1000</v>
      </c>
      <c r="F20" s="78" t="n">
        <v>12</v>
      </c>
      <c r="G20" s="78" t="n">
        <v>2140</v>
      </c>
      <c r="H20" s="49" t="n">
        <v>0.45</v>
      </c>
      <c r="I20" s="50">
        <f>G20*(1-H20)</f>
        <v/>
      </c>
      <c r="J20" s="71" t="n">
        <v>483</v>
      </c>
      <c r="K20" s="52" t="n">
        <v>60</v>
      </c>
      <c r="L20" s="53">
        <f>J20+K20</f>
        <v/>
      </c>
      <c r="M20" s="72" t="n">
        <v>0.41</v>
      </c>
      <c r="N20" s="57">
        <f>G20*M20</f>
        <v/>
      </c>
      <c r="O20" s="88" t="n">
        <v>67</v>
      </c>
      <c r="P20" s="57">
        <f>G20*$G$8</f>
        <v/>
      </c>
      <c r="Q20" s="88" t="n">
        <v>25</v>
      </c>
      <c r="R20" s="57">
        <f>G20*$G$4</f>
        <v/>
      </c>
      <c r="S20" s="57">
        <f>I20*$G$3</f>
        <v/>
      </c>
      <c r="T20" s="73" t="n">
        <v>0.9</v>
      </c>
      <c r="U20" s="88" t="n">
        <v>67</v>
      </c>
      <c r="V20" s="57">
        <f>U20*(1-T20)</f>
        <v/>
      </c>
      <c r="W20" s="85" t="n">
        <v>0.96</v>
      </c>
      <c r="X20" s="57">
        <f>$G$6*$G$7*W20</f>
        <v/>
      </c>
      <c r="Y20" s="53">
        <f>W20*($G$9+$G$10)</f>
        <v/>
      </c>
      <c r="Z20" s="72" t="n">
        <v>0.07000000000000001</v>
      </c>
      <c r="AA20" s="57">
        <f>G20*Z20</f>
        <v/>
      </c>
      <c r="AB20" s="73" t="n">
        <v>0.08</v>
      </c>
      <c r="AC20" s="57">
        <f>G20*AB20</f>
        <v/>
      </c>
      <c r="AD20" s="57">
        <f>AA20+AC20</f>
        <v/>
      </c>
      <c r="AE20" s="61" t="n">
        <v>0.15</v>
      </c>
      <c r="AF20" s="62">
        <f>G20-N20-O20-P20-Q20-R20-S20-V20-X20-Y20-L20</f>
        <v/>
      </c>
      <c r="AG20" s="63">
        <f>AF20-AD20</f>
        <v/>
      </c>
      <c r="AH20" s="64">
        <f>AG20/G20</f>
        <v/>
      </c>
      <c r="AI20" s="65">
        <f>AG20/L20</f>
        <v/>
      </c>
      <c r="AJ20" s="57">
        <f>(O20+Q20+V20+X20+Y20+L20)/(1-(M20+$G$4+(1-H20)*$G$3+$G$8+Z20+AB20))</f>
        <v/>
      </c>
    </row>
    <row r="21" ht="14.25" customHeight="1" s="91">
      <c r="A21" s="69" t="inlineStr">
        <is>
          <t>CELIMAX DUAL BARRIER TRIAL KIT</t>
        </is>
      </c>
      <c r="B21" s="70" t="n">
        <v>448</v>
      </c>
      <c r="C21" s="76" t="n"/>
      <c r="D21" s="78" t="n">
        <v>2027</v>
      </c>
      <c r="E21" s="78" t="n">
        <v>1150</v>
      </c>
      <c r="F21" s="78" t="n">
        <v>12</v>
      </c>
      <c r="G21" s="78" t="n">
        <v>1850</v>
      </c>
      <c r="H21" s="49" t="n">
        <v>0.45</v>
      </c>
      <c r="I21" s="50">
        <f>G21*(1-H21)</f>
        <v/>
      </c>
      <c r="J21" s="71" t="n">
        <v>343</v>
      </c>
      <c r="K21" s="52" t="n">
        <v>60</v>
      </c>
      <c r="L21" s="53">
        <f>J21+K21</f>
        <v/>
      </c>
      <c r="M21" s="72" t="n">
        <v>0.41</v>
      </c>
      <c r="N21" s="57">
        <f>G21*M21</f>
        <v/>
      </c>
      <c r="O21" s="88" t="n">
        <v>67</v>
      </c>
      <c r="P21" s="57">
        <f>G21*$G$8</f>
        <v/>
      </c>
      <c r="Q21" s="88" t="n">
        <v>25</v>
      </c>
      <c r="R21" s="57">
        <f>G21*$G$4</f>
        <v/>
      </c>
      <c r="S21" s="57">
        <f>I21*$G$3</f>
        <v/>
      </c>
      <c r="T21" s="73" t="n">
        <v>0.9</v>
      </c>
      <c r="U21" s="88" t="n">
        <v>67</v>
      </c>
      <c r="V21" s="57">
        <f>U21*(1-T21)</f>
        <v/>
      </c>
      <c r="W21" s="85" t="n">
        <v>0.96</v>
      </c>
      <c r="X21" s="57">
        <f>$G$6*$G$7*W21</f>
        <v/>
      </c>
      <c r="Y21" s="53">
        <f>W21*($G$9+$G$10)</f>
        <v/>
      </c>
      <c r="Z21" s="72" t="n">
        <v>0.07000000000000001</v>
      </c>
      <c r="AA21" s="57">
        <f>G21*Z21</f>
        <v/>
      </c>
      <c r="AB21" s="73" t="n">
        <v>0.08</v>
      </c>
      <c r="AC21" s="57">
        <f>G21*AB21</f>
        <v/>
      </c>
      <c r="AD21" s="57">
        <f>AA21+AC21</f>
        <v/>
      </c>
      <c r="AE21" s="61" t="n">
        <v>0.15</v>
      </c>
      <c r="AF21" s="62">
        <f>G21-N21-O21-P21-Q21-R21-S21-V21-X21-Y21-L21</f>
        <v/>
      </c>
      <c r="AG21" s="63">
        <f>AF21-AD21</f>
        <v/>
      </c>
      <c r="AH21" s="64">
        <f>AG21/G21</f>
        <v/>
      </c>
      <c r="AI21" s="65">
        <f>AG21/L21</f>
        <v/>
      </c>
      <c r="AJ21" s="57">
        <f>(O21+Q21+V21+X21+Y21+L21)/(1-(M21+$G$4+(1-H21)*$G$3+$G$8+Z21+AB21))</f>
        <v/>
      </c>
    </row>
    <row r="22" ht="14.25" customHeight="1" s="91">
      <c r="A22" s="69" t="inlineStr">
        <is>
          <t>CELIMAX THE REAL NONI ACNE BUBBLE CLEANSER 155ML</t>
        </is>
      </c>
      <c r="B22" s="70" t="n">
        <v>312</v>
      </c>
      <c r="C22" s="76" t="n"/>
      <c r="D22" s="78" t="n">
        <v>3150</v>
      </c>
      <c r="E22" s="78" t="n">
        <v>500</v>
      </c>
      <c r="F22" s="78" t="n">
        <v>10</v>
      </c>
      <c r="G22" s="78" t="n">
        <v>2850</v>
      </c>
      <c r="H22" s="49" t="n">
        <v>0.45</v>
      </c>
      <c r="I22" s="50">
        <f>G22*(1-H22)</f>
        <v/>
      </c>
      <c r="J22" s="71" t="n">
        <v>417</v>
      </c>
      <c r="K22" s="52" t="n">
        <v>60</v>
      </c>
      <c r="L22" s="53">
        <f>J22+K22</f>
        <v/>
      </c>
      <c r="M22" s="72" t="n">
        <v>0.41</v>
      </c>
      <c r="N22" s="57">
        <f>G22*M22</f>
        <v/>
      </c>
      <c r="O22" s="88" t="n">
        <v>67</v>
      </c>
      <c r="P22" s="57">
        <f>G22*$G$8</f>
        <v/>
      </c>
      <c r="Q22" s="88" t="n">
        <v>25</v>
      </c>
      <c r="R22" s="57">
        <f>G22*$G$4</f>
        <v/>
      </c>
      <c r="S22" s="57">
        <f>I22*$G$3</f>
        <v/>
      </c>
      <c r="T22" s="73" t="n">
        <v>0.9</v>
      </c>
      <c r="U22" s="88" t="n">
        <v>67</v>
      </c>
      <c r="V22" s="57">
        <f>U22*(1-T22)</f>
        <v/>
      </c>
      <c r="W22" s="85" t="n">
        <v>0.96</v>
      </c>
      <c r="X22" s="57">
        <f>$G$6*$G$7*W22</f>
        <v/>
      </c>
      <c r="Y22" s="53">
        <f>W22*($G$9+$G$10)</f>
        <v/>
      </c>
      <c r="Z22" s="72" t="n">
        <v>0.07000000000000001</v>
      </c>
      <c r="AA22" s="57">
        <f>G22*Z22</f>
        <v/>
      </c>
      <c r="AB22" s="73" t="n">
        <v>0.08</v>
      </c>
      <c r="AC22" s="57">
        <f>G22*AB22</f>
        <v/>
      </c>
      <c r="AD22" s="57">
        <f>AA22+AC22</f>
        <v/>
      </c>
      <c r="AE22" s="61" t="n">
        <v>0.15</v>
      </c>
      <c r="AF22" s="62">
        <f>G22-N22-O22-P22-Q22-R22-S22-V22-X22-Y22-L22</f>
        <v/>
      </c>
      <c r="AG22" s="63">
        <f>AF22-AD22</f>
        <v/>
      </c>
      <c r="AH22" s="64">
        <f>AG22/G22</f>
        <v/>
      </c>
      <c r="AI22" s="65">
        <f>AG22/L22</f>
        <v/>
      </c>
      <c r="AJ22" s="57">
        <f>(O22+Q22+V22+X22+Y22+L22)/(1-(M22+$G$4+(1-H22)*$G$3+$G$8+Z22+AB22))</f>
        <v/>
      </c>
    </row>
    <row r="23" ht="14.25" customHeight="1" s="91">
      <c r="A23" s="69" t="inlineStr">
        <is>
          <t>CELIMAX DERMA NATURE FRESH BLACKHEAD JOJOBA CLEANSING OIL 150ML</t>
        </is>
      </c>
      <c r="B23" s="70" t="n">
        <v>315</v>
      </c>
      <c r="C23" s="76" t="n"/>
      <c r="D23" s="78" t="n">
        <v>2720</v>
      </c>
      <c r="E23" s="78" t="n">
        <v>500</v>
      </c>
      <c r="F23" s="78" t="n">
        <v>15</v>
      </c>
      <c r="G23" s="78" t="n">
        <v>2520</v>
      </c>
      <c r="H23" s="49" t="n">
        <v>0.45</v>
      </c>
      <c r="I23" s="50">
        <f>G23*(1-H23)</f>
        <v/>
      </c>
      <c r="J23" s="71" t="n">
        <v>452</v>
      </c>
      <c r="K23" s="52" t="n">
        <v>60</v>
      </c>
      <c r="L23" s="53">
        <f>J23+K23</f>
        <v/>
      </c>
      <c r="M23" s="72" t="n">
        <v>0.41</v>
      </c>
      <c r="N23" s="57">
        <f>G23*M23</f>
        <v/>
      </c>
      <c r="O23" s="88" t="n">
        <v>67</v>
      </c>
      <c r="P23" s="57">
        <f>G23*$G$8</f>
        <v/>
      </c>
      <c r="Q23" s="88" t="n">
        <v>25</v>
      </c>
      <c r="R23" s="57">
        <f>G23*$G$4</f>
        <v/>
      </c>
      <c r="S23" s="57">
        <f>I23*$G$3</f>
        <v/>
      </c>
      <c r="T23" s="73" t="n">
        <v>0.9</v>
      </c>
      <c r="U23" s="88" t="n">
        <v>67</v>
      </c>
      <c r="V23" s="57">
        <f>U23*(1-T23)</f>
        <v/>
      </c>
      <c r="W23" s="85" t="n">
        <v>0.96</v>
      </c>
      <c r="X23" s="57">
        <f>$G$6*$G$7*W23</f>
        <v/>
      </c>
      <c r="Y23" s="53">
        <f>W23*($G$9+$G$10)</f>
        <v/>
      </c>
      <c r="Z23" s="72" t="n">
        <v>0.07000000000000001</v>
      </c>
      <c r="AA23" s="57">
        <f>G23*Z23</f>
        <v/>
      </c>
      <c r="AB23" s="73" t="n">
        <v>0.08</v>
      </c>
      <c r="AC23" s="57">
        <f>G23*AB23</f>
        <v/>
      </c>
      <c r="AD23" s="57">
        <f>AA23+AC23</f>
        <v/>
      </c>
      <c r="AE23" s="61" t="n">
        <v>0.15</v>
      </c>
      <c r="AF23" s="62">
        <f>G23-N23-O23-P23-Q23-R23-S23-V23-X23-Y23-L23</f>
        <v/>
      </c>
      <c r="AG23" s="63">
        <f>AF23-AD23</f>
        <v/>
      </c>
      <c r="AH23" s="64">
        <f>AG23/G23</f>
        <v/>
      </c>
      <c r="AI23" s="65">
        <f>AG23/L23</f>
        <v/>
      </c>
      <c r="AJ23" s="57">
        <f>(O23+Q23+V23+X23+Y23+L23)/(1-(M23+$G$4+(1-H23)*$G$3+$G$8+Z23+AB23))</f>
        <v/>
      </c>
    </row>
    <row r="24" ht="14.25" customHeight="1" s="91">
      <c r="A24" s="69" t="inlineStr">
        <is>
          <t>CELIMAX THE REAL NONI CALMING GLOW PAD 50EA</t>
        </is>
      </c>
      <c r="B24" s="70" t="n">
        <v>984</v>
      </c>
      <c r="C24" s="76" t="n"/>
      <c r="D24" s="78" t="n">
        <v>3500</v>
      </c>
      <c r="E24" s="78" t="n">
        <v>200</v>
      </c>
      <c r="F24" s="78" t="n">
        <v>15</v>
      </c>
      <c r="G24" s="78" t="n">
        <v>3250</v>
      </c>
      <c r="H24" s="49" t="n">
        <v>0.45</v>
      </c>
      <c r="I24" s="50">
        <f>G24*(1-H24)</f>
        <v/>
      </c>
      <c r="J24" s="71" t="n">
        <v>544</v>
      </c>
      <c r="K24" s="52" t="n">
        <v>60</v>
      </c>
      <c r="L24" s="53">
        <f>J24+K24</f>
        <v/>
      </c>
      <c r="M24" s="72" t="n">
        <v>0.41</v>
      </c>
      <c r="N24" s="57">
        <f>G24*M24</f>
        <v/>
      </c>
      <c r="O24" s="88" t="n">
        <v>67</v>
      </c>
      <c r="P24" s="57">
        <f>G24*$G$8</f>
        <v/>
      </c>
      <c r="Q24" s="88" t="n">
        <v>25</v>
      </c>
      <c r="R24" s="57">
        <f>G24*$G$4</f>
        <v/>
      </c>
      <c r="S24" s="57">
        <f>I24*$G$3</f>
        <v/>
      </c>
      <c r="T24" s="73" t="n">
        <v>0.9</v>
      </c>
      <c r="U24" s="88" t="n">
        <v>67</v>
      </c>
      <c r="V24" s="57">
        <f>U24*(1-T24)</f>
        <v/>
      </c>
      <c r="W24" s="85" t="n">
        <v>0.96</v>
      </c>
      <c r="X24" s="57">
        <f>$G$6*$G$7*W24</f>
        <v/>
      </c>
      <c r="Y24" s="53">
        <f>W24*($G$9+$G$10)</f>
        <v/>
      </c>
      <c r="Z24" s="72" t="n">
        <v>0.07000000000000001</v>
      </c>
      <c r="AA24" s="57">
        <f>G24*Z24</f>
        <v/>
      </c>
      <c r="AB24" s="73" t="n">
        <v>0.08</v>
      </c>
      <c r="AC24" s="57">
        <f>G24*AB24</f>
        <v/>
      </c>
      <c r="AD24" s="57">
        <f>AA24+AC24</f>
        <v/>
      </c>
      <c r="AE24" s="61" t="n">
        <v>0.15</v>
      </c>
      <c r="AF24" s="62">
        <f>G24-N24-O24-P24-Q24-R24-S24-V24-X24-Y24-L24</f>
        <v/>
      </c>
      <c r="AG24" s="63">
        <f>AF24-AD24</f>
        <v/>
      </c>
      <c r="AH24" s="64">
        <f>AG24/G24</f>
        <v/>
      </c>
      <c r="AI24" s="65">
        <f>AG24/L24</f>
        <v/>
      </c>
      <c r="AJ24" s="57">
        <f>(O24+Q24+V24+X24+Y24+L24)/(1-(M24+$G$4+(1-H24)*$G$3+$G$8+Z24+AB24))</f>
        <v/>
      </c>
    </row>
    <row r="25" ht="14.25" customHeight="1" s="91">
      <c r="A25" s="69" t="inlineStr">
        <is>
          <t>CELIMAX THE REAL CICA SOOTHING CREAM 50ML</t>
        </is>
      </c>
      <c r="B25" s="70" t="n">
        <v>1200</v>
      </c>
      <c r="C25" s="76" t="n"/>
      <c r="D25" s="78" t="n">
        <v>2770</v>
      </c>
      <c r="E25" s="78" t="n">
        <v>600</v>
      </c>
      <c r="F25" s="78" t="n">
        <v>15</v>
      </c>
      <c r="G25" s="78" t="n">
        <v>2570</v>
      </c>
      <c r="H25" s="49" t="n">
        <v>0.45</v>
      </c>
      <c r="I25" s="50">
        <f>G25*(1-H25)</f>
        <v/>
      </c>
      <c r="J25" s="71" t="n">
        <v>514</v>
      </c>
      <c r="K25" s="52" t="n">
        <v>60</v>
      </c>
      <c r="L25" s="53">
        <f>J25+K25</f>
        <v/>
      </c>
      <c r="M25" s="72" t="n">
        <v>0.41</v>
      </c>
      <c r="N25" s="57">
        <f>G25*M25</f>
        <v/>
      </c>
      <c r="O25" s="88" t="n">
        <v>67</v>
      </c>
      <c r="P25" s="57">
        <f>G25*$G$8</f>
        <v/>
      </c>
      <c r="Q25" s="88" t="n">
        <v>25</v>
      </c>
      <c r="R25" s="57">
        <f>G25*$G$4</f>
        <v/>
      </c>
      <c r="S25" s="57">
        <f>I25*$G$3</f>
        <v/>
      </c>
      <c r="T25" s="73" t="n">
        <v>0.9</v>
      </c>
      <c r="U25" s="88" t="n">
        <v>67</v>
      </c>
      <c r="V25" s="57">
        <f>U25*(1-T25)</f>
        <v/>
      </c>
      <c r="W25" s="85" t="n">
        <v>0.96</v>
      </c>
      <c r="X25" s="57">
        <f>$G$6*$G$7*W25</f>
        <v/>
      </c>
      <c r="Y25" s="53">
        <f>W25*($G$9+$G$10)</f>
        <v/>
      </c>
      <c r="Z25" s="72" t="n">
        <v>0.07000000000000001</v>
      </c>
      <c r="AA25" s="57">
        <f>G25*Z25</f>
        <v/>
      </c>
      <c r="AB25" s="73" t="n">
        <v>0.08</v>
      </c>
      <c r="AC25" s="57">
        <f>G25*AB25</f>
        <v/>
      </c>
      <c r="AD25" s="57">
        <f>AA25+AC25</f>
        <v/>
      </c>
      <c r="AE25" s="61" t="n">
        <v>0.15</v>
      </c>
      <c r="AF25" s="62">
        <f>G25-N25-O25-P25-Q25-R25-S25-V25-X25-Y25-L25</f>
        <v/>
      </c>
      <c r="AG25" s="63">
        <f>AF25-AD25</f>
        <v/>
      </c>
      <c r="AH25" s="64">
        <f>AG25/G25</f>
        <v/>
      </c>
      <c r="AI25" s="65">
        <f>AG25/L25</f>
        <v/>
      </c>
      <c r="AJ25" s="57">
        <f>(O25+Q25+V25+X25+Y25+L25)/(1-(M25+$G$4+(1-H25)*$G$3+$G$8+Z25+AB25))</f>
        <v/>
      </c>
    </row>
    <row r="26" ht="14.25" customHeight="1" s="91">
      <c r="A26" s="69" t="inlineStr">
        <is>
          <t>CELIMAX THE REAL CICA NIACINAMIDE AC CALMING SERUM 40ML</t>
        </is>
      </c>
      <c r="B26" s="70" t="n">
        <v>864</v>
      </c>
      <c r="C26" s="76" t="n"/>
      <c r="D26" s="78" t="n">
        <v>3250</v>
      </c>
      <c r="E26" s="78" t="n">
        <v>300</v>
      </c>
      <c r="F26" s="78" t="n">
        <v>17</v>
      </c>
      <c r="G26" s="78" t="n">
        <v>3000</v>
      </c>
      <c r="H26" s="49" t="n">
        <v>0.45</v>
      </c>
      <c r="I26" s="50">
        <f>G26*(1-H26)</f>
        <v/>
      </c>
      <c r="J26" s="71" t="n">
        <v>632</v>
      </c>
      <c r="K26" s="52" t="n">
        <v>60</v>
      </c>
      <c r="L26" s="53">
        <f>J26+K26</f>
        <v/>
      </c>
      <c r="M26" s="72" t="n">
        <v>0.41</v>
      </c>
      <c r="N26" s="57">
        <f>G26*M26</f>
        <v/>
      </c>
      <c r="O26" s="88" t="n">
        <v>67</v>
      </c>
      <c r="P26" s="57">
        <f>G26*$G$8</f>
        <v/>
      </c>
      <c r="Q26" s="88" t="n">
        <v>25</v>
      </c>
      <c r="R26" s="57">
        <f>G26*$G$4</f>
        <v/>
      </c>
      <c r="S26" s="57">
        <f>I26*$G$3</f>
        <v/>
      </c>
      <c r="T26" s="73" t="n">
        <v>0.9</v>
      </c>
      <c r="U26" s="88" t="n">
        <v>67</v>
      </c>
      <c r="V26" s="57">
        <f>U26*(1-T26)</f>
        <v/>
      </c>
      <c r="W26" s="85" t="n">
        <v>0.96</v>
      </c>
      <c r="X26" s="57">
        <f>$G$6*$G$7*W26</f>
        <v/>
      </c>
      <c r="Y26" s="53">
        <f>W26*($G$9+$G$10)</f>
        <v/>
      </c>
      <c r="Z26" s="72" t="n">
        <v>0.09</v>
      </c>
      <c r="AA26" s="57">
        <f>G26*Z26</f>
        <v/>
      </c>
      <c r="AB26" s="73" t="n">
        <v>0.08</v>
      </c>
      <c r="AC26" s="57">
        <f>G26*AB26</f>
        <v/>
      </c>
      <c r="AD26" s="57">
        <f>AA26+AC26</f>
        <v/>
      </c>
      <c r="AE26" s="61" t="n">
        <v>0.15</v>
      </c>
      <c r="AF26" s="62">
        <f>G26-N26-O26-P26-Q26-R26-S26-V26-X26-Y26-L26</f>
        <v/>
      </c>
      <c r="AG26" s="63">
        <f>AF26-AD26</f>
        <v/>
      </c>
      <c r="AH26" s="64">
        <f>AG26/G26</f>
        <v/>
      </c>
      <c r="AI26" s="65">
        <f>AG26/L26</f>
        <v/>
      </c>
      <c r="AJ26" s="57">
        <f>(O26+Q26+V26+X26+Y26+L26)/(1-(M26+$G$4+(1-H26)*$G$3+$G$8+Z26+AB26))</f>
        <v/>
      </c>
    </row>
    <row r="27" ht="14.25" customHeight="1" s="91">
      <c r="A27" s="69" t="inlineStr">
        <is>
          <t>CELIMAX THE REAL NONI ENERGY REPAIR CREAM 50ML</t>
        </is>
      </c>
      <c r="B27" s="70" t="n">
        <v>720</v>
      </c>
      <c r="C27" s="76" t="n"/>
      <c r="D27" s="78" t="n">
        <v>3200</v>
      </c>
      <c r="E27" s="78" t="n">
        <v>450</v>
      </c>
      <c r="F27" s="78" t="n">
        <v>20</v>
      </c>
      <c r="G27" s="78" t="n">
        <v>3050</v>
      </c>
      <c r="H27" s="49" t="n">
        <v>0.45</v>
      </c>
      <c r="I27" s="50">
        <f>G27*(1-H27)</f>
        <v/>
      </c>
      <c r="J27" s="71" t="n">
        <v>734</v>
      </c>
      <c r="K27" s="52" t="n">
        <v>60</v>
      </c>
      <c r="L27" s="53">
        <f>J27+K27</f>
        <v/>
      </c>
      <c r="M27" s="72" t="n">
        <v>0.41</v>
      </c>
      <c r="N27" s="57">
        <f>G27*M27</f>
        <v/>
      </c>
      <c r="O27" s="88" t="n">
        <v>67</v>
      </c>
      <c r="P27" s="57">
        <f>G27*$G$8</f>
        <v/>
      </c>
      <c r="Q27" s="88" t="n">
        <v>25</v>
      </c>
      <c r="R27" s="57">
        <f>G27*$G$4</f>
        <v/>
      </c>
      <c r="S27" s="57">
        <f>I27*$G$3</f>
        <v/>
      </c>
      <c r="T27" s="73" t="n">
        <v>0.9</v>
      </c>
      <c r="U27" s="88" t="n">
        <v>67</v>
      </c>
      <c r="V27" s="57">
        <f>U27*(1-T27)</f>
        <v/>
      </c>
      <c r="W27" s="85" t="n">
        <v>0.96</v>
      </c>
      <c r="X27" s="57">
        <f>$G$6*$G$7*W27</f>
        <v/>
      </c>
      <c r="Y27" s="53">
        <f>W27*($G$9+$G$10)</f>
        <v/>
      </c>
      <c r="Z27" s="72" t="n">
        <v>0.1</v>
      </c>
      <c r="AA27" s="57">
        <f>G27*Z27</f>
        <v/>
      </c>
      <c r="AB27" s="73" t="n">
        <v>0.1</v>
      </c>
      <c r="AC27" s="57">
        <f>G27*AB27</f>
        <v/>
      </c>
      <c r="AD27" s="57">
        <f>AA27+AC27</f>
        <v/>
      </c>
      <c r="AE27" s="61" t="n">
        <v>0.15</v>
      </c>
      <c r="AF27" s="62">
        <f>G27-N27-O27-P27-Q27-R27-S27-V27-X27-Y27-L27</f>
        <v/>
      </c>
      <c r="AG27" s="63">
        <f>AF27-AD27</f>
        <v/>
      </c>
      <c r="AH27" s="64">
        <f>AG27/G27</f>
        <v/>
      </c>
      <c r="AI27" s="65">
        <f>AG27/L27</f>
        <v/>
      </c>
      <c r="AJ27" s="57">
        <f>(O27+Q27+V27+X27+Y27+L27)/(1-(M27+$G$4+(1-H27)*$G$3+$G$8+Z27+AB27))</f>
        <v/>
      </c>
    </row>
    <row r="28" ht="14.25" customHeight="1" s="91">
      <c r="A28" s="69" t="inlineStr">
        <is>
          <t>CELIMAX OIL CONTROL MOISTURIZING CREAM 80ML</t>
        </is>
      </c>
      <c r="B28" s="70" t="n">
        <v>600</v>
      </c>
      <c r="C28" s="76" t="n"/>
      <c r="D28" s="78" t="n">
        <v>3440</v>
      </c>
      <c r="E28" s="78" t="n">
        <v>400</v>
      </c>
      <c r="F28" s="78" t="n">
        <v>8</v>
      </c>
      <c r="G28" s="78" t="n">
        <v>3240</v>
      </c>
      <c r="H28" s="49" t="n">
        <v>0.45</v>
      </c>
      <c r="I28" s="50">
        <f>G28*(1-H28)</f>
        <v/>
      </c>
      <c r="J28" s="71" t="n">
        <v>602</v>
      </c>
      <c r="K28" s="52" t="n">
        <v>60</v>
      </c>
      <c r="L28" s="53">
        <f>J28+K28</f>
        <v/>
      </c>
      <c r="M28" s="72" t="n">
        <v>0.41</v>
      </c>
      <c r="N28" s="57">
        <f>G28*M28</f>
        <v/>
      </c>
      <c r="O28" s="88" t="n">
        <v>67</v>
      </c>
      <c r="P28" s="57">
        <f>G28*$G$8</f>
        <v/>
      </c>
      <c r="Q28" s="88" t="n">
        <v>25</v>
      </c>
      <c r="R28" s="57">
        <f>G28*$G$4</f>
        <v/>
      </c>
      <c r="S28" s="57">
        <f>I28*$G$3</f>
        <v/>
      </c>
      <c r="T28" s="73" t="n">
        <v>0.9</v>
      </c>
      <c r="U28" s="88" t="n">
        <v>67</v>
      </c>
      <c r="V28" s="57">
        <f>U28*(1-T28)</f>
        <v/>
      </c>
      <c r="W28" s="85" t="n">
        <v>0.96</v>
      </c>
      <c r="X28" s="57">
        <f>$G$6*$G$7*W28</f>
        <v/>
      </c>
      <c r="Y28" s="53">
        <f>W28*($G$9+$G$10)</f>
        <v/>
      </c>
      <c r="Z28" s="72" t="n">
        <v>0.07000000000000001</v>
      </c>
      <c r="AA28" s="57">
        <f>G28*Z28</f>
        <v/>
      </c>
      <c r="AB28" s="73" t="n">
        <v>0.08</v>
      </c>
      <c r="AC28" s="57">
        <f>G28*AB28</f>
        <v/>
      </c>
      <c r="AD28" s="57">
        <f>AA28+AC28</f>
        <v/>
      </c>
      <c r="AE28" s="61" t="n">
        <v>0.15</v>
      </c>
      <c r="AF28" s="62">
        <f>G28-N28-O28-P28-Q28-R28-S28-V28-X28-Y28-L28</f>
        <v/>
      </c>
      <c r="AG28" s="63">
        <f>AF28-AD28</f>
        <v/>
      </c>
      <c r="AH28" s="64">
        <f>AG28/G28</f>
        <v/>
      </c>
      <c r="AI28" s="65">
        <f>AG28/L28</f>
        <v/>
      </c>
      <c r="AJ28" s="57">
        <f>(O28+Q28+V28+X28+Y28+L28)/(1-(M28+$G$4+(1-H28)*$G$3+$G$8+Z28+AB28))</f>
        <v/>
      </c>
    </row>
    <row r="29" ht="14.25" customHeight="1" s="91">
      <c r="A29" s="69" t="inlineStr">
        <is>
          <t>CELIMAX PORE+DARK SPOT BRIGHTENING KIT</t>
        </is>
      </c>
      <c r="B29" s="70" t="n">
        <v>576</v>
      </c>
      <c r="C29" s="76" t="n"/>
      <c r="D29" s="78" t="n">
        <v>2630</v>
      </c>
      <c r="E29" s="78" t="n">
        <v>350</v>
      </c>
      <c r="F29" s="78" t="n">
        <v>15</v>
      </c>
      <c r="G29" s="78" t="n">
        <v>2430</v>
      </c>
      <c r="H29" s="49" t="n">
        <v>0.45</v>
      </c>
      <c r="I29" s="50">
        <f>G29*(1-H29)</f>
        <v/>
      </c>
      <c r="J29" s="71" t="n">
        <v>405</v>
      </c>
      <c r="K29" s="52" t="n">
        <v>60</v>
      </c>
      <c r="L29" s="53">
        <f>J29+K29</f>
        <v/>
      </c>
      <c r="M29" s="72" t="n">
        <v>0.41</v>
      </c>
      <c r="N29" s="57">
        <f>G29*M29</f>
        <v/>
      </c>
      <c r="O29" s="88" t="n">
        <v>67</v>
      </c>
      <c r="P29" s="57">
        <f>G29*$G$8</f>
        <v/>
      </c>
      <c r="Q29" s="88" t="n">
        <v>25</v>
      </c>
      <c r="R29" s="57">
        <f>G29*$G$4</f>
        <v/>
      </c>
      <c r="S29" s="57">
        <f>I29*$G$3</f>
        <v/>
      </c>
      <c r="T29" s="73" t="n">
        <v>0.9</v>
      </c>
      <c r="U29" s="88" t="n">
        <v>67</v>
      </c>
      <c r="V29" s="57">
        <f>U29*(1-T29)</f>
        <v/>
      </c>
      <c r="W29" s="85" t="n">
        <v>0.96</v>
      </c>
      <c r="X29" s="57">
        <f>$G$6*$G$7*W29</f>
        <v/>
      </c>
      <c r="Y29" s="53">
        <f>W29*($G$9+$G$10)</f>
        <v/>
      </c>
      <c r="Z29" s="72" t="n">
        <v>0.07000000000000001</v>
      </c>
      <c r="AA29" s="57">
        <f>G29*Z29</f>
        <v/>
      </c>
      <c r="AB29" s="73" t="n">
        <v>0.08</v>
      </c>
      <c r="AC29" s="57">
        <f>G29*AB29</f>
        <v/>
      </c>
      <c r="AD29" s="57">
        <f>AA29+AC29</f>
        <v/>
      </c>
      <c r="AE29" s="61" t="n">
        <v>0.15</v>
      </c>
      <c r="AF29" s="62">
        <f>G29-N29-O29-P29-Q29-R29-S29-V29-X29-Y29-L29</f>
        <v/>
      </c>
      <c r="AG29" s="63">
        <f>AF29-AD29</f>
        <v/>
      </c>
      <c r="AH29" s="64">
        <f>AG29/G29</f>
        <v/>
      </c>
      <c r="AI29" s="65">
        <f>AG29/L29</f>
        <v/>
      </c>
      <c r="AJ29" s="57">
        <f>(O29+Q29+V29+X29+Y29+L29)/(1-(M29+$G$4+(1-H29)*$G$3+$G$8+Z29+AB29))</f>
        <v/>
      </c>
    </row>
    <row r="30" ht="14.25" customHeight="1" s="91">
      <c r="A30" s="69" t="inlineStr">
        <is>
          <t>CELIMAX ONE STEP BODY BRIGHTENING PAD 60PADS</t>
        </is>
      </c>
      <c r="B30" s="70" t="n">
        <v>528</v>
      </c>
      <c r="C30" s="76" t="n"/>
      <c r="D30" s="78" t="n">
        <v>2360</v>
      </c>
      <c r="E30" s="78" t="n">
        <v>80</v>
      </c>
      <c r="F30" s="78" t="n">
        <v>15</v>
      </c>
      <c r="G30" s="78" t="n">
        <v>2160</v>
      </c>
      <c r="H30" s="49" t="n">
        <v>0.45</v>
      </c>
      <c r="I30" s="50">
        <f>G30*(1-H30)</f>
        <v/>
      </c>
      <c r="J30" s="71" t="n">
        <v>387</v>
      </c>
      <c r="K30" s="52" t="n">
        <v>60</v>
      </c>
      <c r="L30" s="53">
        <f>J30+K30</f>
        <v/>
      </c>
      <c r="M30" s="72" t="n">
        <v>0.41</v>
      </c>
      <c r="N30" s="57">
        <f>G30*M30</f>
        <v/>
      </c>
      <c r="O30" s="88" t="n">
        <v>67</v>
      </c>
      <c r="P30" s="57">
        <f>G30*$G$8</f>
        <v/>
      </c>
      <c r="Q30" s="88" t="n">
        <v>25</v>
      </c>
      <c r="R30" s="57">
        <f>G30*$G$4</f>
        <v/>
      </c>
      <c r="S30" s="57">
        <f>I30*$G$3</f>
        <v/>
      </c>
      <c r="T30" s="73" t="n">
        <v>0.9</v>
      </c>
      <c r="U30" s="88" t="n">
        <v>67</v>
      </c>
      <c r="V30" s="57">
        <f>U30*(1-T30)</f>
        <v/>
      </c>
      <c r="W30" s="85" t="n">
        <v>0.96</v>
      </c>
      <c r="X30" s="57">
        <f>$G$6*$G$7*W30</f>
        <v/>
      </c>
      <c r="Y30" s="53">
        <f>W30*($G$9+$G$10)</f>
        <v/>
      </c>
      <c r="Z30" s="72" t="n">
        <v>0.07000000000000001</v>
      </c>
      <c r="AA30" s="57">
        <f>G30*Z30</f>
        <v/>
      </c>
      <c r="AB30" s="73" t="n">
        <v>0.08</v>
      </c>
      <c r="AC30" s="57">
        <f>G30*AB30</f>
        <v/>
      </c>
      <c r="AD30" s="57">
        <f>AA30+AC30</f>
        <v/>
      </c>
      <c r="AE30" s="61" t="n">
        <v>0.15</v>
      </c>
      <c r="AF30" s="62">
        <f>G30-N30-O30-P30-Q30-R30-S30-V30-X30-Y30-L30</f>
        <v/>
      </c>
      <c r="AG30" s="63">
        <f>AF30-AD30</f>
        <v/>
      </c>
      <c r="AH30" s="64">
        <f>AG30/G30</f>
        <v/>
      </c>
      <c r="AI30" s="65">
        <f>AG30/L30</f>
        <v/>
      </c>
      <c r="AJ30" s="57">
        <f>(O30+Q30+V30+X30+Y30+L30)/(1-(M30+$G$4+(1-H30)*$G$3+$G$8+Z30+AB30))</f>
        <v/>
      </c>
    </row>
    <row r="31" ht="14.25" customHeight="1" s="91">
      <c r="A31" s="69" t="inlineStr">
        <is>
          <t>CELIMAX JI WOO GAE ONE STEP MILD CLEANSING PAD 60PADS</t>
        </is>
      </c>
      <c r="B31" s="70" t="n">
        <v>352</v>
      </c>
      <c r="C31" s="76" t="n"/>
      <c r="D31" s="78" t="n">
        <v>2900</v>
      </c>
      <c r="E31" s="78" t="n">
        <v>50</v>
      </c>
      <c r="F31" s="78" t="n">
        <v>14</v>
      </c>
      <c r="G31" s="78" t="n">
        <v>2700</v>
      </c>
      <c r="H31" s="49" t="n">
        <v>0.45</v>
      </c>
      <c r="I31" s="50">
        <f>G31*(1-H31)</f>
        <v/>
      </c>
      <c r="J31" s="71" t="n">
        <v>387</v>
      </c>
      <c r="K31" s="52" t="n">
        <v>60</v>
      </c>
      <c r="L31" s="53">
        <f>J31+K31</f>
        <v/>
      </c>
      <c r="M31" s="72" t="n">
        <v>0.41</v>
      </c>
      <c r="N31" s="57">
        <f>G31*M31</f>
        <v/>
      </c>
      <c r="O31" s="88" t="n">
        <v>67</v>
      </c>
      <c r="P31" s="57">
        <f>G31*$G$8</f>
        <v/>
      </c>
      <c r="Q31" s="88" t="n">
        <v>25</v>
      </c>
      <c r="R31" s="57">
        <f>G31*$G$4</f>
        <v/>
      </c>
      <c r="S31" s="57">
        <f>I31*$G$3</f>
        <v/>
      </c>
      <c r="T31" s="73" t="n">
        <v>0.9</v>
      </c>
      <c r="U31" s="88" t="n">
        <v>67</v>
      </c>
      <c r="V31" s="57">
        <f>U31*(1-T31)</f>
        <v/>
      </c>
      <c r="W31" s="85" t="n">
        <v>0.96</v>
      </c>
      <c r="X31" s="57">
        <f>$G$6*$G$7*W31</f>
        <v/>
      </c>
      <c r="Y31" s="53">
        <f>W31*($G$9+$G$10)</f>
        <v/>
      </c>
      <c r="Z31" s="72" t="n">
        <v>0.07000000000000001</v>
      </c>
      <c r="AA31" s="57">
        <f>G31*Z31</f>
        <v/>
      </c>
      <c r="AB31" s="73" t="n">
        <v>0.08</v>
      </c>
      <c r="AC31" s="57">
        <f>G31*AB31</f>
        <v/>
      </c>
      <c r="AD31" s="57">
        <f>AA31+AC31</f>
        <v/>
      </c>
      <c r="AE31" s="61" t="n">
        <v>0.15</v>
      </c>
      <c r="AF31" s="62">
        <f>G31-N31-O31-P31-Q31-R31-S31-V31-X31-Y31-L31</f>
        <v/>
      </c>
      <c r="AG31" s="63">
        <f>AF31-AD31</f>
        <v/>
      </c>
      <c r="AH31" s="64">
        <f>AG31/G31</f>
        <v/>
      </c>
      <c r="AI31" s="65">
        <f>AG31/L31</f>
        <v/>
      </c>
      <c r="AJ31" s="57">
        <f>(O31+Q31+V31+X31+Y31+L31)/(1-(M31+$G$4+(1-H31)*$G$3+$G$8+Z31+AB31))</f>
        <v/>
      </c>
    </row>
    <row r="32" ht="14.25" customHeight="1" s="91">
      <c r="A32" s="69" t="inlineStr">
        <is>
          <t>CELIMAX DUAL BARRIER MILD GEL CLEANSER 200ML</t>
        </is>
      </c>
      <c r="B32" s="70" t="n">
        <v>288</v>
      </c>
      <c r="C32" s="76" t="n"/>
      <c r="D32" s="78" t="n">
        <v>3630</v>
      </c>
      <c r="E32" s="78" t="n">
        <v>600</v>
      </c>
      <c r="F32" s="78" t="n">
        <v>15</v>
      </c>
      <c r="G32" s="78" t="n">
        <v>3430</v>
      </c>
      <c r="H32" s="49" t="n">
        <v>0.45</v>
      </c>
      <c r="I32" s="50">
        <f>G32*(1-H32)</f>
        <v/>
      </c>
      <c r="J32" s="71" t="n">
        <v>510</v>
      </c>
      <c r="K32" s="52" t="n">
        <v>60</v>
      </c>
      <c r="L32" s="53">
        <f>J32+K32</f>
        <v/>
      </c>
      <c r="M32" s="72" t="n">
        <v>0.41</v>
      </c>
      <c r="N32" s="57">
        <f>G32*M32</f>
        <v/>
      </c>
      <c r="O32" s="88" t="n">
        <v>67</v>
      </c>
      <c r="P32" s="57">
        <f>G32*$G$8</f>
        <v/>
      </c>
      <c r="Q32" s="88" t="n">
        <v>25</v>
      </c>
      <c r="R32" s="57">
        <f>G32*$G$4</f>
        <v/>
      </c>
      <c r="S32" s="57">
        <f>I32*$G$3</f>
        <v/>
      </c>
      <c r="T32" s="73" t="n">
        <v>0.9</v>
      </c>
      <c r="U32" s="88" t="n">
        <v>67</v>
      </c>
      <c r="V32" s="57">
        <f>U32*(1-T32)</f>
        <v/>
      </c>
      <c r="W32" s="85" t="n">
        <v>0.96</v>
      </c>
      <c r="X32" s="57">
        <f>$G$6*$G$7*W32</f>
        <v/>
      </c>
      <c r="Y32" s="53">
        <f>W32*($G$9+$G$10)</f>
        <v/>
      </c>
      <c r="Z32" s="72" t="n">
        <v>0.07000000000000001</v>
      </c>
      <c r="AA32" s="57">
        <f>G32*Z32</f>
        <v/>
      </c>
      <c r="AB32" s="73" t="n">
        <v>0.08</v>
      </c>
      <c r="AC32" s="57">
        <f>G32*AB32</f>
        <v/>
      </c>
      <c r="AD32" s="57">
        <f>AA32+AC32</f>
        <v/>
      </c>
      <c r="AE32" s="61" t="n">
        <v>0.15</v>
      </c>
      <c r="AF32" s="62">
        <f>G32-N32-O32-P32-Q32-R32-S32-V32-X32-Y32-L32</f>
        <v/>
      </c>
      <c r="AG32" s="63">
        <f>AF32-AD32</f>
        <v/>
      </c>
      <c r="AH32" s="64">
        <f>AG32/G32</f>
        <v/>
      </c>
      <c r="AI32" s="65">
        <f>AG32/L32</f>
        <v/>
      </c>
      <c r="AJ32" s="57">
        <f>(O32+Q32+V32+X32+Y32+L32)/(1-(M32+$G$4+(1-H32)*$G$3+$G$8+Z32+AB32))</f>
        <v/>
      </c>
    </row>
    <row r="33" ht="14.25" customHeight="1" s="91">
      <c r="A33" s="69" t="inlineStr">
        <is>
          <t>CELIMAX THE REAL NONI REFRESH CLAY MASK 120G</t>
        </is>
      </c>
      <c r="B33" s="70" t="n">
        <v>408</v>
      </c>
      <c r="C33" s="76" t="n"/>
      <c r="D33" s="78" t="n">
        <v>2500</v>
      </c>
      <c r="E33" s="78" t="n">
        <v>75</v>
      </c>
      <c r="F33" s="78" t="n">
        <v>10</v>
      </c>
      <c r="G33" s="78" t="n">
        <v>2300</v>
      </c>
      <c r="H33" s="49" t="n">
        <v>0.45</v>
      </c>
      <c r="I33" s="50">
        <f>G33*(1-H33)</f>
        <v/>
      </c>
      <c r="J33" s="71" t="n">
        <v>420</v>
      </c>
      <c r="K33" s="52" t="n">
        <v>60</v>
      </c>
      <c r="L33" s="53">
        <f>J33+K33</f>
        <v/>
      </c>
      <c r="M33" s="72" t="n">
        <v>0.41</v>
      </c>
      <c r="N33" s="57">
        <f>G33*M33</f>
        <v/>
      </c>
      <c r="O33" s="88" t="n">
        <v>67</v>
      </c>
      <c r="P33" s="57">
        <f>G33*$G$8</f>
        <v/>
      </c>
      <c r="Q33" s="88" t="n">
        <v>25</v>
      </c>
      <c r="R33" s="57">
        <f>G33*$G$4</f>
        <v/>
      </c>
      <c r="S33" s="57">
        <f>I33*$G$3</f>
        <v/>
      </c>
      <c r="T33" s="73" t="n">
        <v>0.9</v>
      </c>
      <c r="U33" s="88" t="n">
        <v>67</v>
      </c>
      <c r="V33" s="57">
        <f>U33*(1-T33)</f>
        <v/>
      </c>
      <c r="W33" s="85" t="n">
        <v>0.96</v>
      </c>
      <c r="X33" s="57">
        <f>$G$6*$G$7*W33</f>
        <v/>
      </c>
      <c r="Y33" s="53">
        <f>W33*($G$9+$G$10)</f>
        <v/>
      </c>
      <c r="Z33" s="72" t="n">
        <v>0.07000000000000001</v>
      </c>
      <c r="AA33" s="57">
        <f>G33*Z33</f>
        <v/>
      </c>
      <c r="AB33" s="73" t="n">
        <v>0.08</v>
      </c>
      <c r="AC33" s="57">
        <f>G33*AB33</f>
        <v/>
      </c>
      <c r="AD33" s="57">
        <f>AA33+AC33</f>
        <v/>
      </c>
      <c r="AE33" s="61" t="n">
        <v>0.15</v>
      </c>
      <c r="AF33" s="62">
        <f>G33-N33-O33-P33-Q33-R33-S33-V33-X33-Y33-L33</f>
        <v/>
      </c>
      <c r="AG33" s="63">
        <f>AF33-AD33</f>
        <v/>
      </c>
      <c r="AH33" s="64">
        <f>AG33/G33</f>
        <v/>
      </c>
      <c r="AI33" s="65">
        <f>AG33/L33</f>
        <v/>
      </c>
      <c r="AJ33" s="57">
        <f>(O33+Q33+V33+X33+Y33+L33)/(1-(M33+$G$4+(1-H33)*$G$3+$G$8+Z33+AB33))</f>
        <v/>
      </c>
    </row>
    <row r="34" ht="14.25" customHeight="1" s="91">
      <c r="A34" s="69" t="inlineStr">
        <is>
          <t>CELIMAX DERMA NATURE GLUTATHIONE LONGLASTING TONE-UP CREAM 35ML</t>
        </is>
      </c>
      <c r="B34" s="70" t="n">
        <v>468</v>
      </c>
      <c r="C34" s="76" t="n"/>
      <c r="D34" s="78" t="n">
        <v>2045</v>
      </c>
      <c r="E34" s="78" t="n">
        <v>130</v>
      </c>
      <c r="F34" s="78" t="n">
        <v>15</v>
      </c>
      <c r="G34" s="78" t="n">
        <v>1850</v>
      </c>
      <c r="H34" s="49" t="n">
        <v>0.45</v>
      </c>
      <c r="I34" s="50">
        <f>G34*(1-H34)</f>
        <v/>
      </c>
      <c r="J34" s="71" t="n">
        <v>406</v>
      </c>
      <c r="K34" s="52" t="n">
        <v>60</v>
      </c>
      <c r="L34" s="53">
        <f>J34+K34</f>
        <v/>
      </c>
      <c r="M34" s="72" t="n">
        <v>0.41</v>
      </c>
      <c r="N34" s="57">
        <f>G34*M34</f>
        <v/>
      </c>
      <c r="O34" s="88" t="n">
        <v>67</v>
      </c>
      <c r="P34" s="57">
        <f>G34*$G$8</f>
        <v/>
      </c>
      <c r="Q34" s="88" t="n">
        <v>25</v>
      </c>
      <c r="R34" s="57">
        <f>G34*$G$4</f>
        <v/>
      </c>
      <c r="S34" s="57">
        <f>I34*$G$3</f>
        <v/>
      </c>
      <c r="T34" s="73" t="n">
        <v>0.9</v>
      </c>
      <c r="U34" s="88" t="n">
        <v>67</v>
      </c>
      <c r="V34" s="57">
        <f>U34*(1-T34)</f>
        <v/>
      </c>
      <c r="W34" s="85" t="n">
        <v>0.96</v>
      </c>
      <c r="X34" s="57">
        <f>$G$6*$G$7*W34</f>
        <v/>
      </c>
      <c r="Y34" s="53">
        <f>W34*($G$9+$G$10)</f>
        <v/>
      </c>
      <c r="Z34" s="72" t="n">
        <v>0.07000000000000001</v>
      </c>
      <c r="AA34" s="57">
        <f>G34*Z34</f>
        <v/>
      </c>
      <c r="AB34" s="73" t="n">
        <v>0.08</v>
      </c>
      <c r="AC34" s="57">
        <f>G34*AB34</f>
        <v/>
      </c>
      <c r="AD34" s="57">
        <f>AA34+AC34</f>
        <v/>
      </c>
      <c r="AE34" s="61" t="n">
        <v>0.15</v>
      </c>
      <c r="AF34" s="62">
        <f>G34-N34-O34-P34-Q34-R34-S34-V34-X34-Y34-L34</f>
        <v/>
      </c>
      <c r="AG34" s="63">
        <f>AF34-AD34</f>
        <v/>
      </c>
      <c r="AH34" s="64">
        <f>AG34/G34</f>
        <v/>
      </c>
      <c r="AI34" s="65">
        <f>AG34/L34</f>
        <v/>
      </c>
      <c r="AJ34" s="57">
        <f>(O34+Q34+V34+X34+Y34+L34)/(1-(M34+$G$4+(1-H34)*$G$3+$G$8+Z34+AB34))</f>
        <v/>
      </c>
    </row>
    <row r="35" ht="14.25" customHeight="1" s="91">
      <c r="A35" s="69" t="inlineStr">
        <is>
          <t>CELIMAX DERMA NATURE RELIEF MADECICA PH BALANCING FOAM CLEANSING 150ML</t>
        </is>
      </c>
      <c r="B35" s="70" t="n">
        <v>320</v>
      </c>
      <c r="C35" s="76" t="n"/>
      <c r="D35" s="78" t="n">
        <v>2270</v>
      </c>
      <c r="E35" s="78" t="n">
        <v>340</v>
      </c>
      <c r="F35" s="78" t="n">
        <v>12</v>
      </c>
      <c r="G35" s="78" t="n">
        <v>2070</v>
      </c>
      <c r="H35" s="49" t="n">
        <v>0.45</v>
      </c>
      <c r="I35" s="50">
        <f>G35*(1-H35)</f>
        <v/>
      </c>
      <c r="J35" s="71" t="n">
        <v>327</v>
      </c>
      <c r="K35" s="52" t="n">
        <v>60</v>
      </c>
      <c r="L35" s="53">
        <f>J35+K35</f>
        <v/>
      </c>
      <c r="M35" s="72" t="n">
        <v>0.41</v>
      </c>
      <c r="N35" s="57">
        <f>G35*M35</f>
        <v/>
      </c>
      <c r="O35" s="88" t="n">
        <v>67</v>
      </c>
      <c r="P35" s="57">
        <f>G35*$G$8</f>
        <v/>
      </c>
      <c r="Q35" s="88" t="n">
        <v>25</v>
      </c>
      <c r="R35" s="57">
        <f>G35*$G$4</f>
        <v/>
      </c>
      <c r="S35" s="57">
        <f>I35*$G$3</f>
        <v/>
      </c>
      <c r="T35" s="73" t="n">
        <v>0.9</v>
      </c>
      <c r="U35" s="88" t="n">
        <v>67</v>
      </c>
      <c r="V35" s="57">
        <f>U35*(1-T35)</f>
        <v/>
      </c>
      <c r="W35" s="85" t="n">
        <v>0.96</v>
      </c>
      <c r="X35" s="57">
        <f>$G$6*$G$7*W35</f>
        <v/>
      </c>
      <c r="Y35" s="53">
        <f>W35*($G$9+$G$10)</f>
        <v/>
      </c>
      <c r="Z35" s="72" t="n">
        <v>0.07000000000000001</v>
      </c>
      <c r="AA35" s="57">
        <f>G35*Z35</f>
        <v/>
      </c>
      <c r="AB35" s="73" t="n">
        <v>0.08</v>
      </c>
      <c r="AC35" s="57">
        <f>G35*AB35</f>
        <v/>
      </c>
      <c r="AD35" s="57">
        <f>AA35+AC35</f>
        <v/>
      </c>
      <c r="AE35" s="61" t="n">
        <v>0.15</v>
      </c>
      <c r="AF35" s="62">
        <f>G35-N35-O35-P35-Q35-R35-S35-V35-X35-Y35-L35</f>
        <v/>
      </c>
      <c r="AG35" s="63">
        <f>AF35-AD35</f>
        <v/>
      </c>
      <c r="AH35" s="64">
        <f>AG35/G35</f>
        <v/>
      </c>
      <c r="AI35" s="65">
        <f>AG35/L35</f>
        <v/>
      </c>
      <c r="AJ35" s="57">
        <f>(O35+Q35+V35+X35+Y35+L35)/(1-(M35+$G$4+(1-H35)*$G$3+$G$8+Z35+AB35))</f>
        <v/>
      </c>
    </row>
    <row r="36" ht="14.25" customHeight="1" s="91">
      <c r="A36" s="66" t="inlineStr">
        <is>
          <t>ROUND LAB 1025 DOKDO CLEANSER_150ml</t>
        </is>
      </c>
      <c r="B36" s="75" t="n"/>
      <c r="C36" s="76" t="n"/>
      <c r="D36" s="78" t="n">
        <v>2335</v>
      </c>
      <c r="E36" s="78" t="n">
        <v>4000</v>
      </c>
      <c r="F36" s="78" t="n">
        <v>3</v>
      </c>
      <c r="G36" s="78" t="n">
        <v>2200</v>
      </c>
      <c r="H36" s="49" t="n">
        <v>0.45</v>
      </c>
      <c r="I36" s="50">
        <f>G36*(1-H36)</f>
        <v/>
      </c>
      <c r="J36" s="71" t="n">
        <v>463.19</v>
      </c>
      <c r="K36" s="52">
        <f>$G$5</f>
        <v/>
      </c>
      <c r="L36" s="53">
        <f>J36+K36</f>
        <v/>
      </c>
      <c r="M36" s="72" t="n">
        <v>0.41</v>
      </c>
      <c r="N36" s="57">
        <f>G36*M36</f>
        <v/>
      </c>
      <c r="O36" s="88" t="n">
        <v>74</v>
      </c>
      <c r="P36" s="57">
        <f>G36*$G$8</f>
        <v/>
      </c>
      <c r="Q36" s="88" t="n">
        <v>25</v>
      </c>
      <c r="R36" s="57">
        <f>G36*$G$4</f>
        <v/>
      </c>
      <c r="S36" s="57">
        <f>I36*$G$3</f>
        <v/>
      </c>
      <c r="T36" s="73" t="n">
        <v>0.9</v>
      </c>
      <c r="U36" s="88">
        <f>O36</f>
        <v/>
      </c>
      <c r="V36" s="57">
        <f>U36*(1-T36)</f>
        <v/>
      </c>
      <c r="W36" s="85" t="n">
        <v>1.28</v>
      </c>
      <c r="X36" s="57">
        <f>$G$6*$G$7*W36</f>
        <v/>
      </c>
      <c r="Y36" s="53">
        <f>W36*($G$9+$G$10)</f>
        <v/>
      </c>
      <c r="Z36" s="72" t="n">
        <v>0.07000000000000001</v>
      </c>
      <c r="AA36" s="57">
        <f>G36*Z36</f>
        <v/>
      </c>
      <c r="AB36" s="73" t="n">
        <v>0.08</v>
      </c>
      <c r="AC36" s="57">
        <f>G36*AB36</f>
        <v/>
      </c>
      <c r="AD36" s="57">
        <f>AA36+AC36</f>
        <v/>
      </c>
      <c r="AE36" s="61">
        <f>AD36/G36</f>
        <v/>
      </c>
      <c r="AF36" s="62">
        <f>G36-N36-O36-P36-Q36-R36-S36-V36-X36-Y36-L36</f>
        <v/>
      </c>
      <c r="AG36" s="63">
        <f>AF36-AD36</f>
        <v/>
      </c>
      <c r="AH36" s="64">
        <f>AG36/G36</f>
        <v/>
      </c>
      <c r="AI36" s="65">
        <f>AG36/L36</f>
        <v/>
      </c>
      <c r="AJ36" s="57">
        <f>(O36+Q36+V36+X36+Y36+L36)/(1-(M36+$G$4+(1-H36)*$G$3+$G$8+Z36+AB36))</f>
        <v/>
      </c>
    </row>
    <row r="37">
      <c r="A37" s="66" t="inlineStr">
        <is>
          <t>ROUND LAB 1025 DOKDO TONER_200ml</t>
        </is>
      </c>
      <c r="B37" s="9" t="n"/>
      <c r="D37" s="78" t="n">
        <v>3400</v>
      </c>
      <c r="E37" s="78" t="n">
        <v>260</v>
      </c>
      <c r="F37" s="78" t="n">
        <v>2</v>
      </c>
      <c r="G37" s="78" t="n">
        <v>3100</v>
      </c>
      <c r="H37" s="49" t="n">
        <v>0.45</v>
      </c>
      <c r="I37" s="50">
        <f>G37*(1-H37)</f>
        <v/>
      </c>
      <c r="J37" s="71" t="n">
        <v>463.19</v>
      </c>
      <c r="K37" s="52">
        <f>$G$5</f>
        <v/>
      </c>
      <c r="L37" s="53">
        <f>J37+K37</f>
        <v/>
      </c>
      <c r="M37" s="72" t="n">
        <v>0.41</v>
      </c>
      <c r="N37" s="57">
        <f>G37*M37</f>
        <v/>
      </c>
      <c r="O37" s="88" t="n">
        <v>74</v>
      </c>
      <c r="P37" s="57">
        <f>G37*$G$8</f>
        <v/>
      </c>
      <c r="Q37" s="88" t="n">
        <v>25</v>
      </c>
      <c r="R37" s="57">
        <f>G37*$G$4</f>
        <v/>
      </c>
      <c r="S37" s="57">
        <f>I37*$G$3</f>
        <v/>
      </c>
      <c r="T37" s="73" t="n">
        <v>0.9</v>
      </c>
      <c r="U37" s="88">
        <f>O37</f>
        <v/>
      </c>
      <c r="V37" s="57">
        <f>U37*(1-T37)</f>
        <v/>
      </c>
      <c r="W37" s="85" t="n">
        <v>1.28</v>
      </c>
      <c r="X37" s="57">
        <f>$G$6*$G$7*W37</f>
        <v/>
      </c>
      <c r="Y37" s="53">
        <f>W37*($G$9+$G$10)</f>
        <v/>
      </c>
      <c r="Z37" s="72" t="n">
        <v>0.07000000000000001</v>
      </c>
      <c r="AA37" s="57">
        <f>G37*Z37</f>
        <v/>
      </c>
      <c r="AB37" s="73" t="n">
        <v>0.08</v>
      </c>
      <c r="AC37" s="57">
        <f>G37*AB37</f>
        <v/>
      </c>
      <c r="AD37" s="57">
        <f>AA37+AC37</f>
        <v/>
      </c>
      <c r="AE37" s="61">
        <f>AD37/G37</f>
        <v/>
      </c>
      <c r="AF37" s="62">
        <f>G37-N37-O37-P37-Q37-R37-S37-V37-X37-Y37-L37</f>
        <v/>
      </c>
      <c r="AG37" s="63">
        <f>AF37-AD37</f>
        <v/>
      </c>
      <c r="AH37" s="64">
        <f>AG37/G37</f>
        <v/>
      </c>
      <c r="AI37" s="65">
        <f>AG37/L37</f>
        <v/>
      </c>
      <c r="AJ37" s="57">
        <f>(O37+Q37+V37+X37+Y37+L37)/(1-(M37+$G$4+(1-H37)*$G$3+$G$8+Z37+AB37))</f>
        <v/>
      </c>
    </row>
    <row r="38" ht="14.25" customHeight="1" s="91">
      <c r="A38" s="69" t="inlineStr">
        <is>
          <t>1025 DOKDO BUBBLE FOAM_150ml</t>
        </is>
      </c>
      <c r="B38" s="70" t="n">
        <v>600</v>
      </c>
      <c r="C38" s="74" t="n"/>
      <c r="D38" s="78" t="n">
        <v>2650</v>
      </c>
      <c r="E38" s="78" t="n">
        <v>20</v>
      </c>
      <c r="F38" s="78" t="n">
        <v>2</v>
      </c>
      <c r="G38" s="78" t="n">
        <v>2500</v>
      </c>
      <c r="H38" s="49" t="n">
        <v>0.45</v>
      </c>
      <c r="I38" s="50">
        <f>G38*(1-H38)</f>
        <v/>
      </c>
      <c r="J38" s="71" t="n">
        <v>455</v>
      </c>
      <c r="K38" s="52">
        <f>$G$5</f>
        <v/>
      </c>
      <c r="L38" s="53">
        <f>J38+K38</f>
        <v/>
      </c>
      <c r="M38" s="72" t="n">
        <v>0.41</v>
      </c>
      <c r="N38" s="57">
        <f>G38*M38</f>
        <v/>
      </c>
      <c r="O38" s="88" t="n">
        <v>74</v>
      </c>
      <c r="P38" s="57">
        <f>G38*$G$8</f>
        <v/>
      </c>
      <c r="Q38" s="88" t="n">
        <v>25</v>
      </c>
      <c r="R38" s="57">
        <f>G38*$G$4</f>
        <v/>
      </c>
      <c r="S38" s="57">
        <f>I38*$G$3</f>
        <v/>
      </c>
      <c r="T38" s="73" t="n">
        <v>0.9</v>
      </c>
      <c r="U38" s="88">
        <f>O38</f>
        <v/>
      </c>
      <c r="V38" s="57">
        <f>U38*(1-T38)</f>
        <v/>
      </c>
      <c r="W38" s="85" t="n">
        <v>1.28</v>
      </c>
      <c r="X38" s="57">
        <f>$G$6*$G$7*W38</f>
        <v/>
      </c>
      <c r="Y38" s="53">
        <f>W38*($G$9+$G$10)</f>
        <v/>
      </c>
      <c r="Z38" s="72" t="n">
        <v>0.07000000000000001</v>
      </c>
      <c r="AA38" s="57">
        <f>G38*Z38</f>
        <v/>
      </c>
      <c r="AB38" s="73" t="n">
        <v>0.08</v>
      </c>
      <c r="AC38" s="57">
        <f>G38*AB38</f>
        <v/>
      </c>
      <c r="AD38" s="57">
        <f>AA38+AC38</f>
        <v/>
      </c>
      <c r="AE38" s="61">
        <f>AD38/G38</f>
        <v/>
      </c>
      <c r="AF38" s="62">
        <f>G38-N38-O38-P38-Q38-R38-S38-V38-X38-Y38-L38</f>
        <v/>
      </c>
      <c r="AG38" s="63">
        <f>AF38-AD38</f>
        <v/>
      </c>
      <c r="AH38" s="64">
        <f>AG38/G38</f>
        <v/>
      </c>
      <c r="AI38" s="65">
        <f>AG38/L38</f>
        <v/>
      </c>
      <c r="AJ38" s="57">
        <f>(O38+Q38+V38+X38+Y38+L38)/(1-(M38+$G$4+(1-H38)*$G$3+$G$8+Z38+AB38))</f>
        <v/>
      </c>
    </row>
    <row r="39" ht="14.25" customHeight="1" s="91">
      <c r="A39" s="69" t="inlineStr">
        <is>
          <t>PINE CALMING CICA CLEANSER_150ml</t>
        </is>
      </c>
      <c r="B39" s="70" t="n">
        <v>600</v>
      </c>
      <c r="C39" s="74" t="n"/>
      <c r="D39" s="78" t="n">
        <v>3050</v>
      </c>
      <c r="E39" s="78" t="n">
        <v>200</v>
      </c>
      <c r="F39" s="78" t="n">
        <v>3</v>
      </c>
      <c r="G39" s="78" t="n">
        <v>2750</v>
      </c>
      <c r="H39" s="49" t="n">
        <v>0.45</v>
      </c>
      <c r="I39" s="50">
        <f>G39*(1-H39)</f>
        <v/>
      </c>
      <c r="J39" s="71" t="n">
        <v>406</v>
      </c>
      <c r="K39" s="52">
        <f>$G$5</f>
        <v/>
      </c>
      <c r="L39" s="53">
        <f>J39+K39</f>
        <v/>
      </c>
      <c r="M39" s="72" t="n">
        <v>0.41</v>
      </c>
      <c r="N39" s="57">
        <f>G39*M39</f>
        <v/>
      </c>
      <c r="O39" s="88" t="n">
        <v>74</v>
      </c>
      <c r="P39" s="57">
        <f>G39*$G$8</f>
        <v/>
      </c>
      <c r="Q39" s="88" t="n">
        <v>25</v>
      </c>
      <c r="R39" s="57">
        <f>G39*$G$4</f>
        <v/>
      </c>
      <c r="S39" s="57">
        <f>I39*$G$3</f>
        <v/>
      </c>
      <c r="T39" s="73" t="n">
        <v>0.9</v>
      </c>
      <c r="U39" s="88">
        <f>O39</f>
        <v/>
      </c>
      <c r="V39" s="57">
        <f>U39*(1-T39)</f>
        <v/>
      </c>
      <c r="W39" s="85" t="n">
        <v>1.28</v>
      </c>
      <c r="X39" s="57">
        <f>$G$6*$G$7*W39</f>
        <v/>
      </c>
      <c r="Y39" s="53">
        <f>W39*($G$9+$G$10)</f>
        <v/>
      </c>
      <c r="Z39" s="72" t="n">
        <v>0.07000000000000001</v>
      </c>
      <c r="AA39" s="57">
        <f>G39*Z39</f>
        <v/>
      </c>
      <c r="AB39" s="73" t="n">
        <v>0.08</v>
      </c>
      <c r="AC39" s="57">
        <f>G39*AB39</f>
        <v/>
      </c>
      <c r="AD39" s="57">
        <f>AA39+AC39</f>
        <v/>
      </c>
      <c r="AE39" s="61">
        <f>AD39/G39</f>
        <v/>
      </c>
      <c r="AF39" s="62">
        <f>G39-N39-O39-P39-Q39-R39-S39-V39-X39-Y39-L39</f>
        <v/>
      </c>
      <c r="AG39" s="63">
        <f>AF39-AD39</f>
        <v/>
      </c>
      <c r="AH39" s="64">
        <f>AG39/G39</f>
        <v/>
      </c>
      <c r="AI39" s="65">
        <f>AG39/L39</f>
        <v/>
      </c>
      <c r="AJ39" s="57">
        <f>(O39+Q39+V39+X39+Y39+L39)/(1-(M39+$G$4+(1-H39)*$G$3+$G$8+Z39+AB39))</f>
        <v/>
      </c>
    </row>
    <row r="40" ht="14.25" customHeight="1" s="91">
      <c r="A40" s="69" t="inlineStr">
        <is>
          <t>PINE CALMING CICA BODY WASH_400ml</t>
        </is>
      </c>
      <c r="B40" s="70" t="n">
        <v>400</v>
      </c>
      <c r="C40" s="74" t="n"/>
      <c r="D40" s="78" t="n">
        <v>2850</v>
      </c>
      <c r="E40" s="78" t="n">
        <v>300</v>
      </c>
      <c r="F40" s="78" t="n">
        <v>2</v>
      </c>
      <c r="G40" s="78" t="n">
        <v>2650</v>
      </c>
      <c r="H40" s="49" t="n">
        <v>0.45</v>
      </c>
      <c r="I40" s="50">
        <f>G40*(1-H40)</f>
        <v/>
      </c>
      <c r="J40" s="71" t="n">
        <v>483</v>
      </c>
      <c r="K40" s="52">
        <f>$G$5</f>
        <v/>
      </c>
      <c r="L40" s="53">
        <f>J40+K40</f>
        <v/>
      </c>
      <c r="M40" s="72" t="n">
        <v>0.41</v>
      </c>
      <c r="N40" s="57">
        <f>G40*M40</f>
        <v/>
      </c>
      <c r="O40" s="88" t="n">
        <v>74</v>
      </c>
      <c r="P40" s="57">
        <f>G40*$G$8</f>
        <v/>
      </c>
      <c r="Q40" s="88" t="n">
        <v>25</v>
      </c>
      <c r="R40" s="57">
        <f>G40*$G$4</f>
        <v/>
      </c>
      <c r="S40" s="57">
        <f>I40*$G$3</f>
        <v/>
      </c>
      <c r="T40" s="73" t="n">
        <v>0.9</v>
      </c>
      <c r="U40" s="88">
        <f>O40</f>
        <v/>
      </c>
      <c r="V40" s="57">
        <f>U40*(1-T40)</f>
        <v/>
      </c>
      <c r="W40" s="85" t="n">
        <v>1.28</v>
      </c>
      <c r="X40" s="57">
        <f>$G$6*$G$7*W40</f>
        <v/>
      </c>
      <c r="Y40" s="53">
        <f>W40*($G$9+$G$10)</f>
        <v/>
      </c>
      <c r="Z40" s="72" t="n">
        <v>0.07000000000000001</v>
      </c>
      <c r="AA40" s="57">
        <f>G40*Z40</f>
        <v/>
      </c>
      <c r="AB40" s="73" t="n">
        <v>0.08</v>
      </c>
      <c r="AC40" s="57">
        <f>G40*AB40</f>
        <v/>
      </c>
      <c r="AD40" s="57">
        <f>AA40+AC40</f>
        <v/>
      </c>
      <c r="AE40" s="61">
        <f>AD40/G40</f>
        <v/>
      </c>
      <c r="AF40" s="62">
        <f>G40-N40-O40-P40-Q40-R40-S40-V40-X40-Y40-L40</f>
        <v/>
      </c>
      <c r="AG40" s="63">
        <f>AF40-AD40</f>
        <v/>
      </c>
      <c r="AH40" s="64">
        <f>AG40/G40</f>
        <v/>
      </c>
      <c r="AI40" s="65">
        <f>AG40/L40</f>
        <v/>
      </c>
      <c r="AJ40" s="57">
        <f>(O40+Q40+V40+X40+Y40+L40)/(1-(M40+$G$4+(1-H40)*$G$3+$G$8+Z40+AB40))</f>
        <v/>
      </c>
    </row>
    <row r="41" ht="14.25" customHeight="1" s="91">
      <c r="A41" s="69" t="inlineStr">
        <is>
          <t>PINE CALMING CICA CREAM PLUS_60ml</t>
        </is>
      </c>
      <c r="B41" s="70" t="n">
        <v>240</v>
      </c>
      <c r="C41" s="74" t="n"/>
      <c r="D41" s="78" t="n">
        <v>4670</v>
      </c>
      <c r="E41" s="78" t="n">
        <v>20</v>
      </c>
      <c r="F41" s="78" t="n">
        <v>0</v>
      </c>
      <c r="G41" s="78" t="n">
        <v>4300</v>
      </c>
      <c r="H41" s="49" t="n">
        <v>0.45</v>
      </c>
      <c r="I41" s="50">
        <f>G41*(1-H41)</f>
        <v/>
      </c>
      <c r="J41" s="71" t="n">
        <v>712</v>
      </c>
      <c r="K41" s="52">
        <f>$G$5</f>
        <v/>
      </c>
      <c r="L41" s="53">
        <f>J41+K41</f>
        <v/>
      </c>
      <c r="M41" s="72" t="n">
        <v>0.41</v>
      </c>
      <c r="N41" s="57">
        <f>G41*M41</f>
        <v/>
      </c>
      <c r="O41" s="88" t="n">
        <v>74</v>
      </c>
      <c r="P41" s="57">
        <f>G41*$G$8</f>
        <v/>
      </c>
      <c r="Q41" s="88" t="n">
        <v>25</v>
      </c>
      <c r="R41" s="57">
        <f>G41*$G$4</f>
        <v/>
      </c>
      <c r="S41" s="57">
        <f>I41*$G$3</f>
        <v/>
      </c>
      <c r="T41" s="73" t="n">
        <v>0.9</v>
      </c>
      <c r="U41" s="88">
        <f>O41</f>
        <v/>
      </c>
      <c r="V41" s="57">
        <f>U41*(1-T41)</f>
        <v/>
      </c>
      <c r="W41" s="85" t="n">
        <v>1.28</v>
      </c>
      <c r="X41" s="57">
        <f>$G$6*$G$7*W41</f>
        <v/>
      </c>
      <c r="Y41" s="53">
        <f>W41*($G$9+$G$10)</f>
        <v/>
      </c>
      <c r="Z41" s="72" t="n">
        <v>0.07000000000000001</v>
      </c>
      <c r="AA41" s="57">
        <f>G41*Z41</f>
        <v/>
      </c>
      <c r="AB41" s="73" t="n">
        <v>0.08</v>
      </c>
      <c r="AC41" s="57">
        <f>G41*AB41</f>
        <v/>
      </c>
      <c r="AD41" s="57">
        <f>AA41+AC41</f>
        <v/>
      </c>
      <c r="AE41" s="61">
        <f>AD41/G41</f>
        <v/>
      </c>
      <c r="AF41" s="62">
        <f>G41-N41-O41-P41-Q41-R41-S41-V41-X41-Y41-L41</f>
        <v/>
      </c>
      <c r="AG41" s="63">
        <f>AF41-AD41</f>
        <v/>
      </c>
      <c r="AH41" s="64">
        <f>AG41/G41</f>
        <v/>
      </c>
      <c r="AI41" s="65">
        <f>AG41/L41</f>
        <v/>
      </c>
      <c r="AJ41" s="57">
        <f>(O41+Q41+V41+X41+Y41+L41)/(1-(M41+$G$4+(1-H41)*$G$3+$G$8+Z41+AB41))</f>
        <v/>
      </c>
    </row>
    <row r="42" ht="14.25" customHeight="1" s="91">
      <c r="A42" s="69" t="inlineStr">
        <is>
          <t>ROUND LAB CAMELLIA DEEP COLLAGEN FIRMING CREAM_50ml</t>
        </is>
      </c>
      <c r="B42" s="70" t="n">
        <v>400</v>
      </c>
      <c r="C42" s="74" t="n"/>
      <c r="D42" s="78" t="n">
        <v>4360</v>
      </c>
      <c r="E42" s="78" t="n">
        <v>60</v>
      </c>
      <c r="F42" s="78" t="n">
        <v>4</v>
      </c>
      <c r="G42" s="78" t="n">
        <v>4000</v>
      </c>
      <c r="H42" s="49" t="n">
        <v>0.45</v>
      </c>
      <c r="I42" s="50">
        <f>G42*(1-H42)</f>
        <v/>
      </c>
      <c r="J42" s="71" t="n">
        <v>761</v>
      </c>
      <c r="K42" s="52">
        <f>$G$5</f>
        <v/>
      </c>
      <c r="L42" s="53">
        <f>J42+K42</f>
        <v/>
      </c>
      <c r="M42" s="72" t="n">
        <v>0.41</v>
      </c>
      <c r="N42" s="57">
        <f>G42*M42</f>
        <v/>
      </c>
      <c r="O42" s="88" t="n">
        <v>74</v>
      </c>
      <c r="P42" s="57">
        <f>G42*$G$8</f>
        <v/>
      </c>
      <c r="Q42" s="88" t="n">
        <v>25</v>
      </c>
      <c r="R42" s="57">
        <f>G42*$G$4</f>
        <v/>
      </c>
      <c r="S42" s="57">
        <f>I42*$G$3</f>
        <v/>
      </c>
      <c r="T42" s="73" t="n">
        <v>0.9</v>
      </c>
      <c r="U42" s="88">
        <f>O42</f>
        <v/>
      </c>
      <c r="V42" s="57">
        <f>U42*(1-T42)</f>
        <v/>
      </c>
      <c r="W42" s="85" t="n">
        <v>1.28</v>
      </c>
      <c r="X42" s="57">
        <f>$G$6*$G$7*W42</f>
        <v/>
      </c>
      <c r="Y42" s="53">
        <f>W42*($G$9+$G$10)</f>
        <v/>
      </c>
      <c r="Z42" s="72" t="n">
        <v>0.07000000000000001</v>
      </c>
      <c r="AA42" s="57">
        <f>G42*Z42</f>
        <v/>
      </c>
      <c r="AB42" s="73" t="n">
        <v>0.08</v>
      </c>
      <c r="AC42" s="57">
        <f>G42*AB42</f>
        <v/>
      </c>
      <c r="AD42" s="57">
        <f>AA42+AC42</f>
        <v/>
      </c>
      <c r="AE42" s="61">
        <f>AD42/G42</f>
        <v/>
      </c>
      <c r="AF42" s="62">
        <f>G42-N42-O42-P42-Q42-R42-S42-V42-X42-Y42-L42</f>
        <v/>
      </c>
      <c r="AG42" s="63">
        <f>AF42-AD42</f>
        <v/>
      </c>
      <c r="AH42" s="64">
        <f>AG42/G42</f>
        <v/>
      </c>
      <c r="AI42" s="65">
        <f>AG42/L42</f>
        <v/>
      </c>
      <c r="AJ42" s="57">
        <f>(O42+Q42+V42+X42+Y42+L42)/(1-(M42+$G$4+(1-H42)*$G$3+$G$8+Z42+AB42))</f>
        <v/>
      </c>
    </row>
    <row r="43" ht="14.25" customHeight="1" s="91">
      <c r="A43" s="69" t="inlineStr">
        <is>
          <t>PINE CALMING CICA PAD_50pcs</t>
        </is>
      </c>
      <c r="B43" s="70" t="n">
        <v>270</v>
      </c>
      <c r="C43" s="74" t="n"/>
      <c r="D43" s="78" t="n">
        <v>3120</v>
      </c>
      <c r="E43" s="78" t="n">
        <v>50</v>
      </c>
      <c r="F43" s="78" t="n">
        <v>4</v>
      </c>
      <c r="G43" s="78" t="n">
        <v>2920</v>
      </c>
      <c r="H43" s="49" t="n">
        <v>0.45</v>
      </c>
      <c r="I43" s="50">
        <f>G43*(1-H43)</f>
        <v/>
      </c>
      <c r="J43" s="71" t="n">
        <v>636</v>
      </c>
      <c r="K43" s="52">
        <f>$G$5</f>
        <v/>
      </c>
      <c r="L43" s="53">
        <f>J43+K43</f>
        <v/>
      </c>
      <c r="M43" s="72" t="n">
        <v>0.41</v>
      </c>
      <c r="N43" s="57">
        <f>G43*M43</f>
        <v/>
      </c>
      <c r="O43" s="88" t="n">
        <v>74</v>
      </c>
      <c r="P43" s="57">
        <f>G43*$G$8</f>
        <v/>
      </c>
      <c r="Q43" s="88" t="n">
        <v>25</v>
      </c>
      <c r="R43" s="57">
        <f>G43*$G$4</f>
        <v/>
      </c>
      <c r="S43" s="57">
        <f>I43*$G$3</f>
        <v/>
      </c>
      <c r="T43" s="73" t="n">
        <v>0.9</v>
      </c>
      <c r="U43" s="88">
        <f>O43</f>
        <v/>
      </c>
      <c r="V43" s="57">
        <f>U43*(1-T43)</f>
        <v/>
      </c>
      <c r="W43" s="85" t="n">
        <v>1.28</v>
      </c>
      <c r="X43" s="57">
        <f>$G$6*$G$7*W43</f>
        <v/>
      </c>
      <c r="Y43" s="53">
        <f>W43*($G$9+$G$10)</f>
        <v/>
      </c>
      <c r="Z43" s="72" t="n">
        <v>0.07000000000000001</v>
      </c>
      <c r="AA43" s="57">
        <f>G43*Z43</f>
        <v/>
      </c>
      <c r="AB43" s="73" t="n">
        <v>0.08</v>
      </c>
      <c r="AC43" s="57">
        <f>G43*AB43</f>
        <v/>
      </c>
      <c r="AD43" s="57">
        <f>AA43+AC43</f>
        <v/>
      </c>
      <c r="AE43" s="61">
        <f>AD43/G43</f>
        <v/>
      </c>
      <c r="AF43" s="62">
        <f>G43-N43-O43-P43-Q43-R43-S43-V43-X43-Y43-L43</f>
        <v/>
      </c>
      <c r="AG43" s="63">
        <f>AF43-AD43</f>
        <v/>
      </c>
      <c r="AH43" s="64">
        <f>AG43/G43</f>
        <v/>
      </c>
      <c r="AI43" s="65">
        <f>AG43/L43</f>
        <v/>
      </c>
      <c r="AJ43" s="57">
        <f>(O43+Q43+V43+X43+Y43+L43)/(1-(M43+$G$4+(1-H43)*$G$3+$G$8+Z43+AB43))</f>
        <v/>
      </c>
    </row>
    <row r="44" ht="14.25" customHeight="1" s="91">
      <c r="A44" s="69" t="inlineStr">
        <is>
          <t>SOYBEAN SERUM_50ml</t>
        </is>
      </c>
      <c r="B44" s="70" t="n">
        <v>210</v>
      </c>
      <c r="C44" s="74" t="n"/>
      <c r="D44" s="78" t="n">
        <v>3630</v>
      </c>
      <c r="E44" s="78" t="n">
        <v>70</v>
      </c>
      <c r="F44" s="78" t="n">
        <v>12</v>
      </c>
      <c r="G44" s="78" t="n">
        <v>3330</v>
      </c>
      <c r="H44" s="49" t="n">
        <v>0.45</v>
      </c>
      <c r="I44" s="50">
        <f>G44*(1-H44)</f>
        <v/>
      </c>
      <c r="J44" s="71" t="n">
        <v>668</v>
      </c>
      <c r="K44" s="52">
        <f>$G$5</f>
        <v/>
      </c>
      <c r="L44" s="53">
        <f>J44+K44</f>
        <v/>
      </c>
      <c r="M44" s="72" t="n">
        <v>0.41</v>
      </c>
      <c r="N44" s="57">
        <f>G44*M44</f>
        <v/>
      </c>
      <c r="O44" s="88" t="n">
        <v>74</v>
      </c>
      <c r="P44" s="57">
        <f>G44*$G$8</f>
        <v/>
      </c>
      <c r="Q44" s="88" t="n">
        <v>25</v>
      </c>
      <c r="R44" s="57">
        <f>G44*$G$4</f>
        <v/>
      </c>
      <c r="S44" s="57">
        <f>I44*$G$3</f>
        <v/>
      </c>
      <c r="T44" s="73" t="n">
        <v>0.9</v>
      </c>
      <c r="U44" s="88">
        <f>O44</f>
        <v/>
      </c>
      <c r="V44" s="57">
        <f>U44*(1-T44)</f>
        <v/>
      </c>
      <c r="W44" s="85" t="n">
        <v>1.28</v>
      </c>
      <c r="X44" s="57">
        <f>$G$6*$G$7*W44</f>
        <v/>
      </c>
      <c r="Y44" s="53">
        <f>W44*($G$9+$G$10)</f>
        <v/>
      </c>
      <c r="Z44" s="72" t="n">
        <v>0.07000000000000001</v>
      </c>
      <c r="AA44" s="57">
        <f>G44*Z44</f>
        <v/>
      </c>
      <c r="AB44" s="73" t="n">
        <v>0.08</v>
      </c>
      <c r="AC44" s="57">
        <f>G44*AB44</f>
        <v/>
      </c>
      <c r="AD44" s="57">
        <f>AA44+AC44</f>
        <v/>
      </c>
      <c r="AE44" s="61">
        <f>AD44/G44</f>
        <v/>
      </c>
      <c r="AF44" s="62">
        <f>G44-N44-O44-P44-Q44-R44-S44-V44-X44-Y44-L44</f>
        <v/>
      </c>
      <c r="AG44" s="63">
        <f>AF44-AD44</f>
        <v/>
      </c>
      <c r="AH44" s="64">
        <f>AG44/G44</f>
        <v/>
      </c>
      <c r="AI44" s="65">
        <f>AG44/L44</f>
        <v/>
      </c>
      <c r="AJ44" s="57">
        <f>(O44+Q44+V44+X44+Y44+L44)/(1-(M44+$G$4+(1-H44)*$G$3+$G$8+Z44+AB44))</f>
        <v/>
      </c>
    </row>
    <row r="45" ht="14.25" customHeight="1" s="91">
      <c r="A45" s="69" t="inlineStr">
        <is>
          <t>ROUND LAB STICK POUCH KIT</t>
        </is>
      </c>
      <c r="B45" s="70" t="n">
        <v>300</v>
      </c>
      <c r="C45" s="74" t="n"/>
      <c r="D45" s="78" t="n">
        <v>2300</v>
      </c>
      <c r="E45" s="78" t="n">
        <v>50</v>
      </c>
      <c r="F45" s="78" t="n">
        <v>10</v>
      </c>
      <c r="G45" s="78" t="n">
        <v>2100</v>
      </c>
      <c r="H45" s="49" t="n">
        <v>0.45</v>
      </c>
      <c r="I45" s="50">
        <f>G45*(1-H45)</f>
        <v/>
      </c>
      <c r="J45" s="71" t="n">
        <v>378</v>
      </c>
      <c r="K45" s="52">
        <f>$G$5</f>
        <v/>
      </c>
      <c r="L45" s="53">
        <f>J45+K45</f>
        <v/>
      </c>
      <c r="M45" s="72" t="n">
        <v>0.41</v>
      </c>
      <c r="N45" s="57">
        <f>G45*M45</f>
        <v/>
      </c>
      <c r="O45" s="88" t="n">
        <v>74</v>
      </c>
      <c r="P45" s="57">
        <f>G45*$G$8</f>
        <v/>
      </c>
      <c r="Q45" s="88" t="n">
        <v>25</v>
      </c>
      <c r="R45" s="57">
        <f>G45*$G$4</f>
        <v/>
      </c>
      <c r="S45" s="57">
        <f>I45*$G$3</f>
        <v/>
      </c>
      <c r="T45" s="73" t="n">
        <v>0.9</v>
      </c>
      <c r="U45" s="88">
        <f>O45</f>
        <v/>
      </c>
      <c r="V45" s="57">
        <f>U45*(1-T45)</f>
        <v/>
      </c>
      <c r="W45" s="85" t="n">
        <v>1.28</v>
      </c>
      <c r="X45" s="57">
        <f>$G$6*$G$7*W45</f>
        <v/>
      </c>
      <c r="Y45" s="53">
        <f>W45*($G$9+$G$10)</f>
        <v/>
      </c>
      <c r="Z45" s="72" t="n">
        <v>0.07000000000000001</v>
      </c>
      <c r="AA45" s="57">
        <f>G45*Z45</f>
        <v/>
      </c>
      <c r="AB45" s="73" t="n">
        <v>0.08</v>
      </c>
      <c r="AC45" s="57">
        <f>G45*AB45</f>
        <v/>
      </c>
      <c r="AD45" s="57">
        <f>AA45+AC45</f>
        <v/>
      </c>
      <c r="AE45" s="61">
        <f>AD45/G45</f>
        <v/>
      </c>
      <c r="AF45" s="62">
        <f>G45-N45-O45-P45-Q45-R45-S45-V45-X45-Y45-L45</f>
        <v/>
      </c>
      <c r="AG45" s="63">
        <f>AF45-AD45</f>
        <v/>
      </c>
      <c r="AH45" s="64">
        <f>AG45/G45</f>
        <v/>
      </c>
      <c r="AI45" s="65">
        <f>AG45/L45</f>
        <v/>
      </c>
      <c r="AJ45" s="57">
        <f>(O45+Q45+V45+X45+Y45+L45)/(1-(M45+$G$4+(1-H45)*$G$3+$G$8+Z45+AB45))</f>
        <v/>
      </c>
    </row>
    <row r="46" ht="14.25" customHeight="1" s="91">
      <c r="A46" s="66" t="inlineStr">
        <is>
          <t>ETUDE - Baking Powder Crunch Pore Scrub [200ml] / Очищающий скраб для лица с содой</t>
        </is>
      </c>
      <c r="B46" s="75" t="n"/>
      <c r="C46" s="76" t="n"/>
      <c r="D46" s="78" t="n">
        <v>1730</v>
      </c>
      <c r="E46" s="78" t="n">
        <v>300</v>
      </c>
      <c r="F46" s="78" t="n">
        <v>5</v>
      </c>
      <c r="G46" s="78" t="n">
        <v>1650</v>
      </c>
      <c r="H46" s="49" t="n">
        <v>0.45</v>
      </c>
      <c r="I46" s="50">
        <f>G46*(1-H46)</f>
        <v/>
      </c>
      <c r="J46" s="71" t="n">
        <v>361.03</v>
      </c>
      <c r="K46" s="52">
        <f>$G$5</f>
        <v/>
      </c>
      <c r="L46" s="53">
        <f>J46+K46</f>
        <v/>
      </c>
      <c r="M46" s="72" t="n">
        <v>0.41</v>
      </c>
      <c r="N46" s="57">
        <f>G46*M46</f>
        <v/>
      </c>
      <c r="O46" s="88" t="n">
        <v>67</v>
      </c>
      <c r="P46" s="57">
        <f>G46*$G$8</f>
        <v/>
      </c>
      <c r="Q46" s="88" t="n">
        <v>25</v>
      </c>
      <c r="R46" s="57">
        <f>G46*$G$4</f>
        <v/>
      </c>
      <c r="S46" s="57">
        <f>I46*$G$3</f>
        <v/>
      </c>
      <c r="T46" s="73" t="n">
        <v>0.9</v>
      </c>
      <c r="U46" s="88">
        <f>O46</f>
        <v/>
      </c>
      <c r="V46" s="57">
        <f>U46*(1-T46)</f>
        <v/>
      </c>
      <c r="W46" s="85" t="n">
        <v>0.5600000000000001</v>
      </c>
      <c r="X46" s="57">
        <f>$G$6*$G$7*W46</f>
        <v/>
      </c>
      <c r="Y46" s="53">
        <f>W46*($G$9+$G$10)</f>
        <v/>
      </c>
      <c r="Z46" s="72" t="n">
        <v>0.05</v>
      </c>
      <c r="AA46" s="57">
        <f>G46*Z46</f>
        <v/>
      </c>
      <c r="AB46" s="73" t="n">
        <v>0.05</v>
      </c>
      <c r="AC46" s="57">
        <f>G46*AB46</f>
        <v/>
      </c>
      <c r="AD46" s="57">
        <f>AA46+AC46</f>
        <v/>
      </c>
      <c r="AE46" s="61">
        <f>AD46/G46</f>
        <v/>
      </c>
      <c r="AF46" s="62">
        <f>G46-N46-O46-P46-Q46-R46-S46-V46-X46-Y46-L46</f>
        <v/>
      </c>
      <c r="AG46" s="63">
        <f>AF46-AD46</f>
        <v/>
      </c>
      <c r="AH46" s="64">
        <f>AG46/G46</f>
        <v/>
      </c>
      <c r="AI46" s="65">
        <f>AG46/L46</f>
        <v/>
      </c>
      <c r="AJ46" s="57">
        <f>(O46+Q46+V46+X46+Y46+L46)/(1-(M46+$G$4+(1-H46)*$G$3+$G$8+Z46+AB46))</f>
        <v/>
      </c>
    </row>
    <row r="47" ht="14.25" customHeight="1" s="91">
      <c r="A47" s="66" t="inlineStr">
        <is>
          <t>ETUDE - Baking Powder BB Deep Cleansing Foam [160ml] / Пенка с содой для глубокого очищения и снятия макияжа</t>
        </is>
      </c>
      <c r="B47" s="75" t="n"/>
      <c r="C47" s="76" t="n"/>
      <c r="D47" s="78" t="n">
        <v>1870</v>
      </c>
      <c r="E47" s="78" t="n">
        <v>230</v>
      </c>
      <c r="F47" s="78" t="n">
        <v>8</v>
      </c>
      <c r="G47" s="78" t="n">
        <v>1770</v>
      </c>
      <c r="H47" s="49" t="n">
        <v>0.45</v>
      </c>
      <c r="I47" s="50">
        <f>G47*(1-H47)</f>
        <v/>
      </c>
      <c r="J47" s="71" t="n">
        <v>292.89</v>
      </c>
      <c r="K47" s="52">
        <f>$G$5</f>
        <v/>
      </c>
      <c r="L47" s="53">
        <f>J47+K47</f>
        <v/>
      </c>
      <c r="M47" s="72" t="n">
        <v>0.41</v>
      </c>
      <c r="N47" s="57">
        <f>G47*M47</f>
        <v/>
      </c>
      <c r="O47" s="88" t="n">
        <v>67</v>
      </c>
      <c r="P47" s="57">
        <f>G47*$G$8</f>
        <v/>
      </c>
      <c r="Q47" s="88" t="n">
        <v>25</v>
      </c>
      <c r="R47" s="57">
        <f>G47*$G$4</f>
        <v/>
      </c>
      <c r="S47" s="57">
        <f>I47*$G$3</f>
        <v/>
      </c>
      <c r="T47" s="73" t="n">
        <v>0.9</v>
      </c>
      <c r="U47" s="88" t="n">
        <v>67</v>
      </c>
      <c r="V47" s="57">
        <f>U47*(1-T47)</f>
        <v/>
      </c>
      <c r="W47" s="85" t="n">
        <v>0.5600000000000001</v>
      </c>
      <c r="X47" s="57">
        <f>$G$6*$G$7*W47</f>
        <v/>
      </c>
      <c r="Y47" s="53">
        <f>W47*($G$9+$G$10)</f>
        <v/>
      </c>
      <c r="Z47" s="72" t="n">
        <v>0.07000000000000001</v>
      </c>
      <c r="AA47" s="57">
        <f>G47*Z47</f>
        <v/>
      </c>
      <c r="AB47" s="73" t="n">
        <v>0.05</v>
      </c>
      <c r="AC47" s="57">
        <f>G47*AB47</f>
        <v/>
      </c>
      <c r="AD47" s="57">
        <f>AA47+AC47</f>
        <v/>
      </c>
      <c r="AE47" s="61">
        <f>AD47/G47</f>
        <v/>
      </c>
      <c r="AF47" s="62">
        <f>G47-N47-O47-P47-Q47-R47-S47-V47-X47-Y47-L47</f>
        <v/>
      </c>
      <c r="AG47" s="63">
        <f>AF47-AD47</f>
        <v/>
      </c>
      <c r="AH47" s="64">
        <f>AG47/G47</f>
        <v/>
      </c>
      <c r="AI47" s="65">
        <f>AG47/L47</f>
        <v/>
      </c>
      <c r="AJ47" s="57">
        <f>(O47+Q47+V47+X47+Y47+L47)/(1-(M47+$G$4+(1-H47)*$G$3+$G$8+Z47+AB47))</f>
        <v/>
      </c>
    </row>
    <row r="48" ht="14.25" customHeight="1" s="91">
      <c r="A48" s="66" t="inlineStr">
        <is>
          <t>ETUDE - Baking Powder Crunch Pore Scrub [24*7ml] / Очищающий скраб для лица с содой</t>
        </is>
      </c>
      <c r="B48" s="75" t="n"/>
      <c r="C48" s="76" t="n"/>
      <c r="D48" s="78" t="n">
        <v>1900</v>
      </c>
      <c r="E48" s="78" t="n">
        <v>60</v>
      </c>
      <c r="F48" s="78" t="n">
        <v>10</v>
      </c>
      <c r="G48" s="78" t="n">
        <v>1835</v>
      </c>
      <c r="H48" s="49" t="n">
        <v>0.45</v>
      </c>
      <c r="I48" s="50">
        <f>G48*(1-H48)</f>
        <v/>
      </c>
      <c r="J48" s="71" t="n">
        <v>389.99</v>
      </c>
      <c r="K48" s="52">
        <f>$G$5</f>
        <v/>
      </c>
      <c r="L48" s="53">
        <f>J48+K48</f>
        <v/>
      </c>
      <c r="M48" s="72" t="n">
        <v>0.41</v>
      </c>
      <c r="N48" s="57">
        <f>G48*M48</f>
        <v/>
      </c>
      <c r="O48" s="88" t="n">
        <v>72</v>
      </c>
      <c r="P48" s="57">
        <f>G48*$G$8</f>
        <v/>
      </c>
      <c r="Q48" s="88" t="n">
        <v>25</v>
      </c>
      <c r="R48" s="57">
        <f>G48*$G$4</f>
        <v/>
      </c>
      <c r="S48" s="57">
        <f>I48*$G$3</f>
        <v/>
      </c>
      <c r="T48" s="73" t="n">
        <v>0.9</v>
      </c>
      <c r="U48" s="88" t="n">
        <v>72</v>
      </c>
      <c r="V48" s="57">
        <f>U48*(1-T48)</f>
        <v/>
      </c>
      <c r="W48" s="85" t="n">
        <v>1.15</v>
      </c>
      <c r="X48" s="57">
        <f>$G$6*$G$7*W48</f>
        <v/>
      </c>
      <c r="Y48" s="53">
        <f>W48*($G$9+$G$10)</f>
        <v/>
      </c>
      <c r="Z48" s="72" t="n">
        <v>0.07000000000000001</v>
      </c>
      <c r="AA48" s="57">
        <f>G48*Z48</f>
        <v/>
      </c>
      <c r="AB48" s="73" t="n">
        <v>0.08</v>
      </c>
      <c r="AC48" s="57">
        <f>G48*AB48</f>
        <v/>
      </c>
      <c r="AD48" s="57">
        <f>AA48+AC48</f>
        <v/>
      </c>
      <c r="AE48" s="61">
        <f>AD48/G48</f>
        <v/>
      </c>
      <c r="AF48" s="62">
        <f>G48-N48-O48-P48-Q48-R48-S48-V48-X48-Y48-L48</f>
        <v/>
      </c>
      <c r="AG48" s="63">
        <f>AF48-AD48</f>
        <v/>
      </c>
      <c r="AH48" s="64">
        <f>AG48/G48</f>
        <v/>
      </c>
      <c r="AI48" s="65">
        <f>AG48/L48</f>
        <v/>
      </c>
      <c r="AJ48" s="57">
        <f>(O48+Q48+V48+X48+Y48+L48)/(1-(M48+$G$4+(1-H48)*$G$3+$G$8+Z48+AB48))</f>
        <v/>
      </c>
    </row>
    <row r="49" ht="14.25" customHeight="1" s="91">
      <c r="A49" s="77" t="inlineStr">
        <is>
          <t>FARMSTAY COLLAGEN&amp;HYALURONIC ACID ALL-IN ONE</t>
        </is>
      </c>
      <c r="B49" s="75" t="n"/>
      <c r="C49" s="76" t="inlineStr">
        <is>
          <t>только Holika продает на Озон</t>
        </is>
      </c>
      <c r="D49" s="78" t="n"/>
      <c r="E49" s="78" t="n"/>
      <c r="F49" s="78" t="n"/>
      <c r="G49" s="78">
        <f>(1.25*L49+O49+Q49+V49+X49+Y49)/(1-M49-$G$8-$G$4-(1-H49)*$G$3-Z49-AB49)</f>
        <v/>
      </c>
      <c r="H49" s="49" t="n">
        <v>0.45</v>
      </c>
      <c r="I49" s="50">
        <f>G49*(1-H49)</f>
        <v/>
      </c>
      <c r="J49" s="71" t="n">
        <v>347.76</v>
      </c>
      <c r="K49" s="52">
        <f>$G$5</f>
        <v/>
      </c>
      <c r="L49" s="53">
        <f>J49+K49</f>
        <v/>
      </c>
      <c r="M49" s="72" t="n">
        <v>0.41</v>
      </c>
      <c r="N49" s="57">
        <f>G49*M49</f>
        <v/>
      </c>
      <c r="O49" s="88" t="n">
        <v>67</v>
      </c>
      <c r="P49" s="57">
        <f>G49*$G$8</f>
        <v/>
      </c>
      <c r="Q49" s="88" t="n">
        <v>25</v>
      </c>
      <c r="R49" s="57">
        <f>G49*$G$4</f>
        <v/>
      </c>
      <c r="S49" s="57">
        <f>I49*$G$3</f>
        <v/>
      </c>
      <c r="T49" s="73" t="n">
        <v>0.9</v>
      </c>
      <c r="U49" s="88">
        <f>O49</f>
        <v/>
      </c>
      <c r="V49" s="57">
        <f>U49*(1-T49)</f>
        <v/>
      </c>
      <c r="W49" s="85" t="n">
        <v>0.832</v>
      </c>
      <c r="X49" s="57">
        <f>$G$6*$G$7*W49</f>
        <v/>
      </c>
      <c r="Y49" s="53">
        <f>W49*($G$9+$G$10)</f>
        <v/>
      </c>
      <c r="Z49" s="72" t="n">
        <v>0.07000000000000001</v>
      </c>
      <c r="AA49" s="57">
        <f>G49*Z49</f>
        <v/>
      </c>
      <c r="AB49" s="73" t="n">
        <v>0.08</v>
      </c>
      <c r="AC49" s="57">
        <f>G49*AB49</f>
        <v/>
      </c>
      <c r="AD49" s="57">
        <f>AA49+AC49</f>
        <v/>
      </c>
      <c r="AE49" s="61">
        <f>AD49/G49</f>
        <v/>
      </c>
      <c r="AF49" s="62">
        <f>G49-N49-O49-P49-Q49-R49-S49-V49-X49-Y49-L49</f>
        <v/>
      </c>
      <c r="AG49" s="63">
        <f>AF49-AD49</f>
        <v/>
      </c>
      <c r="AH49" s="64">
        <f>AG49/G49</f>
        <v/>
      </c>
      <c r="AI49" s="65">
        <f>AG49/L49</f>
        <v/>
      </c>
      <c r="AJ49" s="57">
        <f>(O49+Q49+V49+X49+Y49+L49)/(1-(M49+$G$4+(1-H49)*$G$3+$G$8+Z49+AB49))</f>
        <v/>
      </c>
    </row>
    <row r="50" ht="14.25" customHeight="1" s="91">
      <c r="A50" s="77" t="inlineStr">
        <is>
          <t>FARMSTAY - Black Garlic Nourishing Shampoo [530ml] / Шампунь-кондиционер 2в1 с экстрактом черного чеснока</t>
        </is>
      </c>
      <c r="B50" s="75" t="n"/>
      <c r="C50" s="76" t="inlineStr">
        <is>
          <t>только Holika продает на Озон</t>
        </is>
      </c>
      <c r="D50" s="78" t="n"/>
      <c r="E50" s="78" t="n"/>
      <c r="F50" s="78" t="n"/>
      <c r="G50" s="78">
        <f>(1.25*L50+O50+Q50+V50+X50+Y50)/(1-M50-$G$8-$G$4-(1-H50)*$G$3-Z50-AB50)</f>
        <v/>
      </c>
      <c r="H50" s="49" t="n">
        <v>0.45</v>
      </c>
      <c r="I50" s="50">
        <f>G50*(1-H50)</f>
        <v/>
      </c>
      <c r="J50" s="71" t="n">
        <v>396.72</v>
      </c>
      <c r="K50" s="52">
        <f>$G$5</f>
        <v/>
      </c>
      <c r="L50" s="53">
        <f>J50+K50</f>
        <v/>
      </c>
      <c r="M50" s="72" t="n">
        <v>0.41</v>
      </c>
      <c r="N50" s="57">
        <f>G50*M50</f>
        <v/>
      </c>
      <c r="O50" s="88" t="n">
        <v>75</v>
      </c>
      <c r="P50" s="57">
        <f>G50*$G$8</f>
        <v/>
      </c>
      <c r="Q50" s="88" t="n">
        <v>25</v>
      </c>
      <c r="R50" s="57">
        <f>G50*$G$4</f>
        <v/>
      </c>
      <c r="S50" s="57">
        <f>I50*$G$3</f>
        <v/>
      </c>
      <c r="T50" s="73" t="n">
        <v>0.9</v>
      </c>
      <c r="U50" s="88">
        <f>O50</f>
        <v/>
      </c>
      <c r="V50" s="57">
        <f>U50*(1-T50)</f>
        <v/>
      </c>
      <c r="W50" s="85" t="n">
        <v>1.89</v>
      </c>
      <c r="X50" s="57">
        <f>$G$6*$G$7*W50</f>
        <v/>
      </c>
      <c r="Y50" s="53">
        <f>W50*($G$9+$G$10)</f>
        <v/>
      </c>
      <c r="Z50" s="72" t="n">
        <v>0.07000000000000001</v>
      </c>
      <c r="AA50" s="57">
        <f>G50*Z50</f>
        <v/>
      </c>
      <c r="AB50" s="73" t="n">
        <v>0.08</v>
      </c>
      <c r="AC50" s="57">
        <f>G50*AB50</f>
        <v/>
      </c>
      <c r="AD50" s="57">
        <f>AA50+AC50</f>
        <v/>
      </c>
      <c r="AE50" s="61">
        <f>AD50/G50</f>
        <v/>
      </c>
      <c r="AF50" s="62">
        <f>G50-N50-O50-P50-Q50-R50-S50-V50-X50-Y50-L50</f>
        <v/>
      </c>
      <c r="AG50" s="63">
        <f>AF50-AD50</f>
        <v/>
      </c>
      <c r="AH50" s="64">
        <f>AG50/G50</f>
        <v/>
      </c>
      <c r="AI50" s="65">
        <f>AG50/L50</f>
        <v/>
      </c>
      <c r="AJ50" s="57">
        <f>(O50+Q50+V50+X50+Y50+L50)/(1-(M50+$G$4+(1-H50)*$G$3+$G$8+Z50+AB50))</f>
        <v/>
      </c>
    </row>
    <row r="51" ht="14.25" customHeight="1" s="91">
      <c r="A51" s="77" t="inlineStr">
        <is>
          <t>FARMSTAY - Gold Snail Premium Cream [50ml] / Омолаживающий крем с муцином улитки и коллоидным золотом</t>
        </is>
      </c>
      <c r="B51" s="75" t="n"/>
      <c r="C51" s="76" t="inlineStr">
        <is>
          <t>только Holika продает на Озон</t>
        </is>
      </c>
      <c r="D51" s="78" t="n"/>
      <c r="E51" s="78" t="n"/>
      <c r="F51" s="78" t="n"/>
      <c r="G51" s="78">
        <f>(1.25*L51+O51+Q51+V51+X51+Y51)/(1-M51-$G$8-$G$4-(1-H51)*$G$3-Z51-AB51)</f>
        <v/>
      </c>
      <c r="H51" s="49" t="n">
        <v>0.45</v>
      </c>
      <c r="I51" s="50">
        <f>G51*(1-H51)</f>
        <v/>
      </c>
      <c r="J51" s="71" t="n">
        <v>431.05</v>
      </c>
      <c r="K51" s="52">
        <f>$G$5</f>
        <v/>
      </c>
      <c r="L51" s="53">
        <f>J51+K51</f>
        <v/>
      </c>
      <c r="M51" s="72" t="n">
        <v>0.41</v>
      </c>
      <c r="N51" s="57">
        <f>G51*M51</f>
        <v/>
      </c>
      <c r="O51" s="88" t="n">
        <v>67</v>
      </c>
      <c r="P51" s="57">
        <f>G51*$G$8</f>
        <v/>
      </c>
      <c r="Q51" s="88" t="n">
        <v>25</v>
      </c>
      <c r="R51" s="57">
        <f>G51*$G$4</f>
        <v/>
      </c>
      <c r="S51" s="57">
        <f>I51*$G$3</f>
        <v/>
      </c>
      <c r="T51" s="73" t="n">
        <v>0.9</v>
      </c>
      <c r="U51" s="88">
        <f>O51</f>
        <v/>
      </c>
      <c r="V51" s="57">
        <f>U51*(1-T51)</f>
        <v/>
      </c>
      <c r="W51" s="85" t="n">
        <v>0.73</v>
      </c>
      <c r="X51" s="57">
        <f>$G$6*$G$7*W51</f>
        <v/>
      </c>
      <c r="Y51" s="53">
        <f>W51*($G$9+$G$10)</f>
        <v/>
      </c>
      <c r="Z51" s="72" t="n">
        <v>0.07000000000000001</v>
      </c>
      <c r="AA51" s="57">
        <f>G51*Z51</f>
        <v/>
      </c>
      <c r="AB51" s="73" t="n">
        <v>0.08</v>
      </c>
      <c r="AC51" s="57">
        <f>G51*AB51</f>
        <v/>
      </c>
      <c r="AD51" s="57">
        <f>AA51+AC51</f>
        <v/>
      </c>
      <c r="AE51" s="61">
        <f>AD51/G51</f>
        <v/>
      </c>
      <c r="AF51" s="62">
        <f>G51-N51-O51-P51-Q51-R51-S51-V51-X51-Y51-L51</f>
        <v/>
      </c>
      <c r="AG51" s="63">
        <f>AF51-AD51</f>
        <v/>
      </c>
      <c r="AH51" s="64">
        <f>AG51/G51</f>
        <v/>
      </c>
      <c r="AI51" s="65">
        <f>AG51/L51</f>
        <v/>
      </c>
      <c r="AJ51" s="57">
        <f>(O51+Q51+V51+X51+Y51+L51)/(1-(M51+$G$4+(1-H51)*$G$3+$G$8+Z51+AB51))</f>
        <v/>
      </c>
    </row>
    <row r="52" ht="14.25" customHeight="1" s="91">
      <c r="A52" s="77" t="inlineStr">
        <is>
          <t>FARMSTAY - Escargot Noblesse Intensive Cream [50g] / Крем с муцином королевской улитки</t>
        </is>
      </c>
      <c r="B52" s="75" t="n"/>
      <c r="C52" s="76" t="inlineStr">
        <is>
          <t>только Holika продает на Озон</t>
        </is>
      </c>
      <c r="D52" s="78" t="n"/>
      <c r="E52" s="78" t="n"/>
      <c r="F52" s="78" t="n"/>
      <c r="G52" s="78">
        <f>(1.25*L52+O52+Q52+V52+X52+Y52)/(1-M52-$G$8-$G$4-(1-H52)*$G$3-Z52-AB52)</f>
        <v/>
      </c>
      <c r="H52" s="49" t="n">
        <v>0.45</v>
      </c>
      <c r="I52" s="50">
        <f>G52*(1-H52)</f>
        <v/>
      </c>
      <c r="J52" s="71" t="n">
        <v>313.84</v>
      </c>
      <c r="K52" s="52">
        <f>$G$5</f>
        <v/>
      </c>
      <c r="L52" s="53">
        <f>J52+K52</f>
        <v/>
      </c>
      <c r="M52" s="72" t="n">
        <v>0.41</v>
      </c>
      <c r="N52" s="57">
        <f>G52*M52</f>
        <v/>
      </c>
      <c r="O52" s="88" t="n">
        <v>67</v>
      </c>
      <c r="P52" s="57">
        <f>G52*$G$8</f>
        <v/>
      </c>
      <c r="Q52" s="88" t="n">
        <v>25</v>
      </c>
      <c r="R52" s="57">
        <f>G52*$G$4</f>
        <v/>
      </c>
      <c r="S52" s="57">
        <f>I52*$G$3</f>
        <v/>
      </c>
      <c r="T52" s="73" t="n">
        <v>0.9</v>
      </c>
      <c r="U52" s="88">
        <f>O52</f>
        <v/>
      </c>
      <c r="V52" s="57">
        <f>U52*(1-T52)</f>
        <v/>
      </c>
      <c r="W52" s="85" t="n">
        <v>0.86</v>
      </c>
      <c r="X52" s="57">
        <f>$G$6*$G$7*W52</f>
        <v/>
      </c>
      <c r="Y52" s="53">
        <f>W52*($G$9+$G$10)</f>
        <v/>
      </c>
      <c r="Z52" s="72" t="n">
        <v>0.07000000000000001</v>
      </c>
      <c r="AA52" s="57">
        <f>G52*Z52</f>
        <v/>
      </c>
      <c r="AB52" s="73" t="n">
        <v>0.08</v>
      </c>
      <c r="AC52" s="57">
        <f>G52*AB52</f>
        <v/>
      </c>
      <c r="AD52" s="57">
        <f>AA52+AC52</f>
        <v/>
      </c>
      <c r="AE52" s="61">
        <f>AD52/G52</f>
        <v/>
      </c>
      <c r="AF52" s="62">
        <f>G52-N52-O52-P52-Q52-R52-S52-V52-X52-Y52-L52</f>
        <v/>
      </c>
      <c r="AG52" s="63">
        <f>AF52-AD52</f>
        <v/>
      </c>
      <c r="AH52" s="64">
        <f>AG52/G52</f>
        <v/>
      </c>
      <c r="AI52" s="65">
        <f>AG52/L52</f>
        <v/>
      </c>
      <c r="AJ52" s="57">
        <f>(O52+Q52+V52+X52+Y52+L52)/(1-(M52+$G$4+(1-H52)*$G$3+$G$8+Z52+AB52))</f>
        <v/>
      </c>
    </row>
    <row r="53" ht="14.25" customHeight="1" s="91">
      <c r="A53" s="66" t="inlineStr">
        <is>
          <t>MANYO BIFIDA INFUSION SHOT AMPOULE 1DX [50ml] / Сыворотка с микроиглами и пробиотиками</t>
        </is>
      </c>
      <c r="B53" s="75" t="n"/>
      <c r="C53" s="76" t="n"/>
      <c r="D53" s="78" t="n">
        <v>3800</v>
      </c>
      <c r="E53" s="78" t="n">
        <v>370</v>
      </c>
      <c r="F53" s="78" t="n">
        <v>0</v>
      </c>
      <c r="G53" s="78" t="n">
        <v>3500</v>
      </c>
      <c r="H53" s="49" t="n">
        <v>0.45</v>
      </c>
      <c r="I53" s="50">
        <f>G53*(1-H53)</f>
        <v/>
      </c>
      <c r="J53" s="71" t="n">
        <v>899.78</v>
      </c>
      <c r="K53" s="52">
        <f>$G$5</f>
        <v/>
      </c>
      <c r="L53" s="53">
        <f>J53+K53</f>
        <v/>
      </c>
      <c r="M53" s="72" t="n">
        <v>0.41</v>
      </c>
      <c r="N53" s="57">
        <f>G53*M53</f>
        <v/>
      </c>
      <c r="O53" s="88" t="n">
        <v>63</v>
      </c>
      <c r="P53" s="57">
        <f>G53*$G$8</f>
        <v/>
      </c>
      <c r="Q53" s="88" t="n">
        <v>25</v>
      </c>
      <c r="R53" s="57">
        <f>G53*$G$4</f>
        <v/>
      </c>
      <c r="S53" s="57">
        <f>I53*$G$3</f>
        <v/>
      </c>
      <c r="T53" s="73" t="n">
        <v>0.9</v>
      </c>
      <c r="U53" s="88">
        <f>O53</f>
        <v/>
      </c>
      <c r="V53" s="57">
        <f>U53*(1-T53)</f>
        <v/>
      </c>
      <c r="W53" s="85" t="n">
        <v>0.3</v>
      </c>
      <c r="X53" s="57">
        <f>$G$6*$G$7*W53</f>
        <v/>
      </c>
      <c r="Y53" s="53">
        <f>W53*($G$9+$G$10)</f>
        <v/>
      </c>
      <c r="Z53" s="72" t="n">
        <v>0.025</v>
      </c>
      <c r="AA53" s="57">
        <f>G53*Z53</f>
        <v/>
      </c>
      <c r="AB53" s="73" t="n">
        <v>0.025</v>
      </c>
      <c r="AC53" s="57">
        <f>G53*AB53</f>
        <v/>
      </c>
      <c r="AD53" s="57">
        <f>AA53+AC53</f>
        <v/>
      </c>
      <c r="AE53" s="61">
        <f>AD53/G53</f>
        <v/>
      </c>
      <c r="AF53" s="62">
        <f>G53-N53-O53-P53-Q53-R53-S53-V53-X53-Y53-L53</f>
        <v/>
      </c>
      <c r="AG53" s="63">
        <f>AF53-AD53</f>
        <v/>
      </c>
      <c r="AH53" s="64">
        <f>AG53/G53</f>
        <v/>
      </c>
      <c r="AI53" s="65">
        <f>AG53/L53</f>
        <v/>
      </c>
      <c r="AJ53" s="57">
        <f>(O53+Q53+V53+X53+Y53+L53)/(1-(M53+$G$4+(1-H53)*$G$3+$G$8+Z53+AB53))</f>
        <v/>
      </c>
    </row>
    <row r="54" ht="14.25" customHeight="1" s="91">
      <c r="A54" s="66" t="inlineStr">
        <is>
          <t>MANYO - Bifida Biome Complex Ampoule [50ml] / Антивозрастная сыворотка для лица</t>
        </is>
      </c>
      <c r="B54" s="75" t="n"/>
      <c r="C54" s="76" t="n"/>
      <c r="D54" s="78" t="n">
        <v>5800</v>
      </c>
      <c r="E54" s="78" t="n">
        <v>152</v>
      </c>
      <c r="F54" s="78" t="n">
        <v>0</v>
      </c>
      <c r="G54" s="78" t="n">
        <v>5500</v>
      </c>
      <c r="H54" s="49" t="n">
        <v>0.45</v>
      </c>
      <c r="I54" s="50">
        <f>G54*(1-H54)</f>
        <v/>
      </c>
      <c r="J54" s="71" t="n">
        <v>899.78</v>
      </c>
      <c r="K54" s="52">
        <f>$G$5</f>
        <v/>
      </c>
      <c r="L54" s="53">
        <f>J54+K54</f>
        <v/>
      </c>
      <c r="M54" s="72" t="n">
        <v>0.41</v>
      </c>
      <c r="N54" s="57">
        <f>G54*M54</f>
        <v/>
      </c>
      <c r="O54" s="88" t="n">
        <v>63</v>
      </c>
      <c r="P54" s="57">
        <f>G54*$G$8</f>
        <v/>
      </c>
      <c r="Q54" s="88" t="n">
        <v>25</v>
      </c>
      <c r="R54" s="57">
        <f>G54*$G$4</f>
        <v/>
      </c>
      <c r="S54" s="57">
        <f>I54*$G$3</f>
        <v/>
      </c>
      <c r="T54" s="73" t="n">
        <v>0.9</v>
      </c>
      <c r="U54" s="88">
        <f>O54</f>
        <v/>
      </c>
      <c r="V54" s="57">
        <f>U54*(1-T54)</f>
        <v/>
      </c>
      <c r="W54" s="85" t="n">
        <v>0.3</v>
      </c>
      <c r="X54" s="57">
        <f>$G$6*$G$7*W54</f>
        <v/>
      </c>
      <c r="Y54" s="53">
        <f>W54*($G$9+$G$10)</f>
        <v/>
      </c>
      <c r="Z54" s="72" t="n">
        <v>0.025</v>
      </c>
      <c r="AA54" s="57">
        <f>G54*Z54</f>
        <v/>
      </c>
      <c r="AB54" s="73" t="n">
        <v>0.025</v>
      </c>
      <c r="AC54" s="57">
        <f>G54*AB54</f>
        <v/>
      </c>
      <c r="AD54" s="57">
        <f>AA54+AC54</f>
        <v/>
      </c>
      <c r="AE54" s="61">
        <f>AD54/G54</f>
        <v/>
      </c>
      <c r="AF54" s="62">
        <f>G54-N54-O54-P54-Q54-R54-S54-V54-X54-Y54-L54</f>
        <v/>
      </c>
      <c r="AG54" s="63">
        <f>AF54-AD54</f>
        <v/>
      </c>
      <c r="AH54" s="64">
        <f>AG54/G54</f>
        <v/>
      </c>
      <c r="AI54" s="65">
        <f>AG54/L54</f>
        <v/>
      </c>
      <c r="AJ54" s="57">
        <f>(O54+Q54+V54+X54+Y54+L54)/(1-(M54+$G$4+(1-H54)*$G$3+$G$8+Z54+AB54))</f>
        <v/>
      </c>
    </row>
    <row r="55" ht="14.25" customHeight="1" s="91">
      <c r="A55" s="66" t="inlineStr">
        <is>
          <t>MANYO - Galac Whitening Vita Serum [50ml] / Осветляющая сыворотка с Витамином C</t>
        </is>
      </c>
      <c r="B55" s="75" t="n"/>
      <c r="C55" s="76" t="inlineStr">
        <is>
          <t>-</t>
        </is>
      </c>
      <c r="D55" s="78" t="n">
        <v>4000</v>
      </c>
      <c r="E55" s="78" t="n">
        <v>163</v>
      </c>
      <c r="F55" s="78" t="n">
        <v>0</v>
      </c>
      <c r="G55" s="78" t="n">
        <v>3700</v>
      </c>
      <c r="H55" s="49" t="n">
        <v>0.45</v>
      </c>
      <c r="I55" s="50">
        <f>G55*(1-H55)</f>
        <v/>
      </c>
      <c r="J55" s="71" t="n">
        <v>646.83</v>
      </c>
      <c r="K55" s="52">
        <f>$G$5</f>
        <v/>
      </c>
      <c r="L55" s="53">
        <f>J55+K55</f>
        <v/>
      </c>
      <c r="M55" s="72" t="n">
        <v>0.41</v>
      </c>
      <c r="N55" s="57">
        <f>G55*M55</f>
        <v/>
      </c>
      <c r="O55" s="88" t="n">
        <v>56</v>
      </c>
      <c r="P55" s="57">
        <f>G55*$G$8</f>
        <v/>
      </c>
      <c r="Q55" s="88" t="n">
        <v>25</v>
      </c>
      <c r="R55" s="57">
        <f>G55*$G$4</f>
        <v/>
      </c>
      <c r="S55" s="57">
        <f>I55*$G$3</f>
        <v/>
      </c>
      <c r="T55" s="73" t="n">
        <v>0.9</v>
      </c>
      <c r="U55" s="88">
        <f>O55</f>
        <v/>
      </c>
      <c r="V55" s="57">
        <f>U55*(1-T55)</f>
        <v/>
      </c>
      <c r="W55" s="85" t="n">
        <v>0.19</v>
      </c>
      <c r="X55" s="57">
        <f>$G$6*$G$7*W55</f>
        <v/>
      </c>
      <c r="Y55" s="53">
        <f>W55*($G$9+$G$10)</f>
        <v/>
      </c>
      <c r="Z55" s="72" t="n">
        <v>0.025</v>
      </c>
      <c r="AA55" s="57">
        <f>G55*Z55</f>
        <v/>
      </c>
      <c r="AB55" s="73" t="n">
        <v>0.025</v>
      </c>
      <c r="AC55" s="57">
        <f>G55*AB55</f>
        <v/>
      </c>
      <c r="AD55" s="57">
        <f>AA55+AC55</f>
        <v/>
      </c>
      <c r="AE55" s="61">
        <f>AD55/G55</f>
        <v/>
      </c>
      <c r="AF55" s="62">
        <f>G55-N55-O55-P55-Q55-R55-S55-V55-X55-Y55-L55</f>
        <v/>
      </c>
      <c r="AG55" s="63">
        <f>AF55-AD55</f>
        <v/>
      </c>
      <c r="AH55" s="64">
        <f>AG55/G55</f>
        <v/>
      </c>
      <c r="AI55" s="65">
        <f>AG55/L55</f>
        <v/>
      </c>
      <c r="AJ55" s="57">
        <f>(O55+Q55+V55+X55+Y55+L55)/(1-(M55+$G$4+(1-H55)*$G$3+$G$8+Z55+AB55))</f>
        <v/>
      </c>
    </row>
    <row r="56" ht="14.25" customHeight="1" s="91">
      <c r="A56" s="66" t="inlineStr">
        <is>
          <t>MANYO - Bifida Biome Ampoule Lotion [300ml] / Укрепляющий лосьон с бифидобактериями</t>
        </is>
      </c>
      <c r="B56" s="75" t="n"/>
      <c r="C56" s="76" t="inlineStr">
        <is>
          <t>нет у официала</t>
        </is>
      </c>
      <c r="D56" s="78" t="n">
        <v>4000</v>
      </c>
      <c r="E56" s="78" t="n">
        <v>140</v>
      </c>
      <c r="F56" s="78" t="n">
        <v>0</v>
      </c>
      <c r="G56" s="78" t="n">
        <v>3700</v>
      </c>
      <c r="H56" s="49" t="n">
        <v>0.45</v>
      </c>
      <c r="I56" s="50">
        <f>G56*(1-H56)</f>
        <v/>
      </c>
      <c r="J56" s="71" t="n">
        <v>735.34</v>
      </c>
      <c r="K56" s="52">
        <f>$G$5</f>
        <v/>
      </c>
      <c r="L56" s="53">
        <f>J56+K56</f>
        <v/>
      </c>
      <c r="M56" s="72" t="n">
        <v>0.41</v>
      </c>
      <c r="N56" s="57">
        <f>G56*M56</f>
        <v/>
      </c>
      <c r="O56" s="88" t="n">
        <v>67</v>
      </c>
      <c r="P56" s="57">
        <f>G56*$G$8</f>
        <v/>
      </c>
      <c r="Q56" s="88" t="n">
        <v>25</v>
      </c>
      <c r="R56" s="57">
        <f>G56*$G$4</f>
        <v/>
      </c>
      <c r="S56" s="57">
        <f>I56*$G$3</f>
        <v/>
      </c>
      <c r="T56" s="73" t="n">
        <v>0.9</v>
      </c>
      <c r="U56" s="88">
        <f>O56</f>
        <v/>
      </c>
      <c r="V56" s="57">
        <f>U56*(1-T56)</f>
        <v/>
      </c>
      <c r="W56" s="85" t="n">
        <v>0.61</v>
      </c>
      <c r="X56" s="57">
        <f>$G$6*$G$7*W56</f>
        <v/>
      </c>
      <c r="Y56" s="53">
        <f>W56*($G$9+$G$10)</f>
        <v/>
      </c>
      <c r="Z56" s="72" t="n">
        <v>0.025</v>
      </c>
      <c r="AA56" s="57">
        <f>G56*Z56</f>
        <v/>
      </c>
      <c r="AB56" s="73" t="n">
        <v>0.025</v>
      </c>
      <c r="AC56" s="57">
        <f>G56*AB56</f>
        <v/>
      </c>
      <c r="AD56" s="57">
        <f>AA56+AC56</f>
        <v/>
      </c>
      <c r="AE56" s="61">
        <f>AD56/G56</f>
        <v/>
      </c>
      <c r="AF56" s="62">
        <f>G56-N56-O56-P56-Q56-R56-S56-V56-X56-Y56-L56</f>
        <v/>
      </c>
      <c r="AG56" s="63">
        <f>AF56-AD56</f>
        <v/>
      </c>
      <c r="AH56" s="64">
        <f>AG56/G56</f>
        <v/>
      </c>
      <c r="AI56" s="65">
        <f>AG56/L56</f>
        <v/>
      </c>
      <c r="AJ56" s="57">
        <f>(O56+Q56+V56+X56+Y56+L56)/(1-(M56+$G$4+(1-H56)*$G$3+$G$8+Z56+AB56))</f>
        <v/>
      </c>
    </row>
    <row r="57" ht="14.25" customHeight="1" s="91">
      <c r="A57" s="66" t="inlineStr">
        <is>
          <t>MANYO - Pure Cleansing Oil [200ml] / Гидрофильное масло для глубокого очищения</t>
        </is>
      </c>
      <c r="B57" s="75" t="n"/>
      <c r="C57" s="76" t="inlineStr">
        <is>
          <t>-</t>
        </is>
      </c>
      <c r="D57" s="78" t="n">
        <v>4000</v>
      </c>
      <c r="E57" s="78" t="n">
        <v>60</v>
      </c>
      <c r="F57" s="78" t="n">
        <v>0</v>
      </c>
      <c r="G57" s="78" t="n">
        <v>3700</v>
      </c>
      <c r="H57" s="49" t="n">
        <v>0.45</v>
      </c>
      <c r="I57" s="50">
        <f>G57*(1-H57)</f>
        <v/>
      </c>
      <c r="J57" s="71" t="n">
        <v>853</v>
      </c>
      <c r="K57" s="52">
        <f>$G$5</f>
        <v/>
      </c>
      <c r="L57" s="53">
        <f>J57+K57</f>
        <v/>
      </c>
      <c r="M57" s="72" t="n">
        <v>0.41</v>
      </c>
      <c r="N57" s="57">
        <f>G57*M57</f>
        <v/>
      </c>
      <c r="O57" s="88" t="n">
        <v>67</v>
      </c>
      <c r="P57" s="57">
        <f>G57*$G$8</f>
        <v/>
      </c>
      <c r="Q57" s="88" t="n">
        <v>25</v>
      </c>
      <c r="R57" s="57">
        <f>G57*$G$4</f>
        <v/>
      </c>
      <c r="S57" s="57">
        <f>I57*$G$3</f>
        <v/>
      </c>
      <c r="T57" s="73" t="n">
        <v>0.9</v>
      </c>
      <c r="U57" s="88">
        <f>O57</f>
        <v/>
      </c>
      <c r="V57" s="57">
        <f>U57*(1-T57)</f>
        <v/>
      </c>
      <c r="W57" s="85" t="n">
        <v>0.5</v>
      </c>
      <c r="X57" s="57">
        <f>$G$6*$G$7*W57</f>
        <v/>
      </c>
      <c r="Y57" s="53">
        <f>W57*($G$9+$G$10)</f>
        <v/>
      </c>
      <c r="Z57" s="72" t="n">
        <v>0.025</v>
      </c>
      <c r="AA57" s="57">
        <f>G57*Z57</f>
        <v/>
      </c>
      <c r="AB57" s="73" t="n">
        <v>0.025</v>
      </c>
      <c r="AC57" s="57">
        <f>G57*AB57</f>
        <v/>
      </c>
      <c r="AD57" s="57">
        <f>AA57+AC57</f>
        <v/>
      </c>
      <c r="AE57" s="61">
        <f>AD57/G57</f>
        <v/>
      </c>
      <c r="AF57" s="62">
        <f>G57-N57-O57-P57-Q57-R57-S57-V57-X57-Y57-L57</f>
        <v/>
      </c>
      <c r="AG57" s="63">
        <f>AF57-AD57</f>
        <v/>
      </c>
      <c r="AH57" s="64">
        <f>AG57/G57</f>
        <v/>
      </c>
      <c r="AI57" s="65">
        <f>AG57/L57</f>
        <v/>
      </c>
      <c r="AJ57" s="57">
        <f>(O57+Q57+V57+X57+Y57+L57)/(1-(M57+$G$4+(1-H57)*$G$3+$G$8+Z57+AB57))</f>
        <v/>
      </c>
    </row>
    <row r="58" ht="14.25" customHeight="1" s="91">
      <c r="A58" s="66" t="inlineStr">
        <is>
          <t>MANYO BIFIDA COMPLEX AMPOULE GEL CLEANSER [400ml] / Гель для умывания с бифидобактериями</t>
        </is>
      </c>
      <c r="B58" s="75" t="n"/>
      <c r="C58" s="76" t="inlineStr">
        <is>
          <t>-</t>
        </is>
      </c>
      <c r="D58" s="78" t="n">
        <v>4800</v>
      </c>
      <c r="E58" s="78" t="n">
        <v>20</v>
      </c>
      <c r="F58" s="78" t="n">
        <v>0</v>
      </c>
      <c r="G58" s="78" t="n">
        <v>4500</v>
      </c>
      <c r="H58" s="49" t="n">
        <v>0.45</v>
      </c>
      <c r="I58" s="50">
        <f>G58*(1-H58)</f>
        <v/>
      </c>
      <c r="J58" s="71" t="n">
        <v>650</v>
      </c>
      <c r="K58" s="52">
        <f>$G$5</f>
        <v/>
      </c>
      <c r="L58" s="53">
        <f>J58+K58</f>
        <v/>
      </c>
      <c r="M58" s="72" t="n">
        <v>0.41</v>
      </c>
      <c r="N58" s="57">
        <f>G58*M58</f>
        <v/>
      </c>
      <c r="O58" s="88" t="n">
        <v>75</v>
      </c>
      <c r="P58" s="57">
        <f>G58*$G$8</f>
        <v/>
      </c>
      <c r="Q58" s="88" t="n">
        <v>25</v>
      </c>
      <c r="R58" s="57">
        <f>G58*$G$4</f>
        <v/>
      </c>
      <c r="S58" s="57">
        <f>I58*$G$3</f>
        <v/>
      </c>
      <c r="T58" s="73" t="n">
        <v>0.9</v>
      </c>
      <c r="U58" s="88">
        <f>O58</f>
        <v/>
      </c>
      <c r="V58" s="57">
        <f>U58*(1-T58)</f>
        <v/>
      </c>
      <c r="W58" s="85" t="n">
        <v>0.931</v>
      </c>
      <c r="X58" s="57">
        <f>$G$6*$G$7*W58</f>
        <v/>
      </c>
      <c r="Y58" s="53">
        <f>W58*($G$9+$G$10)</f>
        <v/>
      </c>
      <c r="Z58" s="72" t="n">
        <v>0.025</v>
      </c>
      <c r="AA58" s="57">
        <f>G58*Z58</f>
        <v/>
      </c>
      <c r="AB58" s="73" t="n">
        <v>0.025</v>
      </c>
      <c r="AC58" s="57">
        <f>G58*AB58</f>
        <v/>
      </c>
      <c r="AD58" s="57">
        <f>AA58+AC58</f>
        <v/>
      </c>
      <c r="AE58" s="61">
        <f>AD58/G58</f>
        <v/>
      </c>
      <c r="AF58" s="62">
        <f>G58-N58-O58-P58-Q58-R58-S58-V58-X58-Y58-L58</f>
        <v/>
      </c>
      <c r="AG58" s="63">
        <f>AF58-AD58</f>
        <v/>
      </c>
      <c r="AH58" s="64">
        <f>AG58/G58</f>
        <v/>
      </c>
      <c r="AI58" s="65">
        <f>AG58/L58</f>
        <v/>
      </c>
      <c r="AJ58" s="57">
        <f>(O58+Q58+V58+X58+Y58+L58)/(1-(M58+$G$4+(1-H58)*$G$3+$G$8+Z58+AB58))</f>
        <v/>
      </c>
    </row>
    <row r="59" ht="14.25" customHeight="1" s="91">
      <c r="A59" s="66" t="inlineStr">
        <is>
          <t>ENOUGH - Collagen Moisture Essential Cream [50ml] / Увлажняющий крем для лица с коллагеном</t>
        </is>
      </c>
      <c r="B59" s="75" t="n"/>
      <c r="C59" s="76" t="inlineStr">
        <is>
          <t>260-382 (много подделок)</t>
        </is>
      </c>
      <c r="D59" s="78" t="n">
        <v>424</v>
      </c>
      <c r="E59" s="78" t="n">
        <v>166</v>
      </c>
      <c r="F59" s="78" t="n">
        <v>17</v>
      </c>
      <c r="G59" s="78" t="n">
        <v>750</v>
      </c>
      <c r="H59" s="49" t="n">
        <v>0.45</v>
      </c>
      <c r="I59" s="50">
        <f>G59*(1-H59)</f>
        <v/>
      </c>
      <c r="J59" s="71" t="n">
        <v>161.3</v>
      </c>
      <c r="K59" s="52">
        <f>$G$5</f>
        <v/>
      </c>
      <c r="L59" s="53">
        <f>J59+K59</f>
        <v/>
      </c>
      <c r="M59" s="72" t="n">
        <v>0.41</v>
      </c>
      <c r="N59" s="57">
        <f>G59*M59</f>
        <v/>
      </c>
      <c r="O59" s="88" t="n">
        <v>67</v>
      </c>
      <c r="P59" s="57">
        <f>G59*$G$8</f>
        <v/>
      </c>
      <c r="Q59" s="88" t="n">
        <v>25</v>
      </c>
      <c r="R59" s="57">
        <f>G59*$G$4</f>
        <v/>
      </c>
      <c r="S59" s="57">
        <f>I59*$G$3</f>
        <v/>
      </c>
      <c r="T59" s="73" t="n">
        <v>0.9</v>
      </c>
      <c r="U59" s="88">
        <f>O59</f>
        <v/>
      </c>
      <c r="V59" s="57">
        <f>U59*(1-T59)</f>
        <v/>
      </c>
      <c r="W59" s="85" t="n">
        <v>0.72</v>
      </c>
      <c r="X59" s="57">
        <f>$G$6*$G$7*W59</f>
        <v/>
      </c>
      <c r="Y59" s="53">
        <f>W59*($G$9+$G$10)</f>
        <v/>
      </c>
      <c r="Z59" s="72" t="n">
        <v>0.07000000000000001</v>
      </c>
      <c r="AA59" s="57">
        <f>G59*Z59</f>
        <v/>
      </c>
      <c r="AB59" s="73" t="n">
        <v>0.08</v>
      </c>
      <c r="AC59" s="57">
        <f>G59*AB59</f>
        <v/>
      </c>
      <c r="AD59" s="57">
        <f>AA59+AC59</f>
        <v/>
      </c>
      <c r="AE59" s="61">
        <f>AD59/G59</f>
        <v/>
      </c>
      <c r="AF59" s="62">
        <f>G59-N59-O59-P59-Q59-R59-S59-V59-X59-Y59-L59</f>
        <v/>
      </c>
      <c r="AG59" s="79">
        <f>AF59-AD59</f>
        <v/>
      </c>
      <c r="AH59" s="80">
        <f>AG59/G59</f>
        <v/>
      </c>
      <c r="AI59" s="81">
        <f>AG59/L59</f>
        <v/>
      </c>
      <c r="AJ59" s="57">
        <f>(O59+Q59+V59+X59+Y59+L59)/(1-(M59+$G$4+(1-H59)*$G$3+$G$8+Z59+AB59))</f>
        <v/>
      </c>
    </row>
    <row r="60" ht="14.25" customHeight="1" s="91">
      <c r="A60" s="82" t="inlineStr">
        <is>
          <t>ENOUGH - Collagen Whitening Moisture Cream 3in1 [50g] / Антивозрастной отбеливающий крем с коллагеном</t>
        </is>
      </c>
      <c r="B60" s="75" t="n"/>
      <c r="C60" s="76" t="n"/>
      <c r="D60" s="78" t="n"/>
      <c r="E60" s="78" t="n"/>
      <c r="F60" s="78" t="n"/>
      <c r="G60" s="78">
        <f>(1.25*L60+O60+Q60+V60+X60+Y60)/(1-M60-$G$8-$G$4-(1-H60)*$G$3-Z60-AB60)</f>
        <v/>
      </c>
      <c r="H60" s="49" t="n">
        <v>0.45</v>
      </c>
      <c r="I60" s="50">
        <f>G60*(1-H60)</f>
        <v/>
      </c>
      <c r="J60" s="83" t="n">
        <v>216.45</v>
      </c>
      <c r="K60" s="52">
        <f>$G$5</f>
        <v/>
      </c>
      <c r="L60" s="53">
        <f>J60+K60</f>
        <v/>
      </c>
      <c r="M60" s="72" t="n">
        <v>0.41</v>
      </c>
      <c r="N60" s="57">
        <f>G60*M60</f>
        <v/>
      </c>
      <c r="O60" s="88" t="n">
        <v>67</v>
      </c>
      <c r="P60" s="57">
        <f>G60*$G$8</f>
        <v/>
      </c>
      <c r="Q60" s="88" t="n">
        <v>25</v>
      </c>
      <c r="R60" s="57">
        <f>G60*$G$4</f>
        <v/>
      </c>
      <c r="S60" s="57">
        <f>I60*$G$3</f>
        <v/>
      </c>
      <c r="T60" s="73" t="n">
        <v>0.9</v>
      </c>
      <c r="U60" s="88">
        <f>O60</f>
        <v/>
      </c>
      <c r="V60" s="57">
        <f>U60*(1-T60)</f>
        <v/>
      </c>
      <c r="W60" s="85" t="n">
        <v>0.72</v>
      </c>
      <c r="X60" s="57">
        <f>$G$6*$G$7*W60</f>
        <v/>
      </c>
      <c r="Y60" s="53">
        <f>W60*($G$9+$G$10)</f>
        <v/>
      </c>
      <c r="Z60" s="72" t="n">
        <v>0.07000000000000001</v>
      </c>
      <c r="AA60" s="57">
        <f>G60*Z60</f>
        <v/>
      </c>
      <c r="AB60" s="73" t="n">
        <v>0.08</v>
      </c>
      <c r="AC60" s="57">
        <f>G60*AB60</f>
        <v/>
      </c>
      <c r="AD60" s="57">
        <f>AA60+AC60</f>
        <v/>
      </c>
      <c r="AE60" s="61">
        <f>AD60/G60</f>
        <v/>
      </c>
      <c r="AF60" s="62">
        <f>G60-N60-O60-P60-Q60-R60-S60-V60-X60-Y60-L60</f>
        <v/>
      </c>
      <c r="AG60" s="79">
        <f>AF60-AD60</f>
        <v/>
      </c>
      <c r="AH60" s="80">
        <f>AG60/G60</f>
        <v/>
      </c>
      <c r="AI60" s="81">
        <f>AG60/L60</f>
        <v/>
      </c>
      <c r="AJ60" s="57">
        <f>(O60+Q60+V60+X60+Y60+L60)/(1-(M60+$G$4+(1-H60)*$G$3+$G$8+Z60+AB60))</f>
        <v/>
      </c>
    </row>
    <row r="61" ht="14.25" customHeight="1" s="91">
      <c r="A61" s="82" t="inlineStr">
        <is>
          <t>ENOUGH - Collagen Moisture Foundation [Tone 13] / Тональный крем для лица с коллагеном 13 тон</t>
        </is>
      </c>
      <c r="B61" s="75" t="n"/>
      <c r="C61" s="76" t="n"/>
      <c r="D61" s="78" t="n"/>
      <c r="E61" s="78" t="n"/>
      <c r="F61" s="78" t="n"/>
      <c r="G61" s="78">
        <f>(1.25*L61+O61+Q61+V61+X61+Y61)/(1-M61-$G$8-$G$4-(1-H61)*$G$3-Z61-AB61)</f>
        <v/>
      </c>
      <c r="H61" s="49" t="n">
        <v>0.45</v>
      </c>
      <c r="I61" s="50">
        <f>G61*(1-H61)</f>
        <v/>
      </c>
      <c r="J61" s="84" t="n">
        <v>242.88</v>
      </c>
      <c r="K61" s="52">
        <f>$G$5</f>
        <v/>
      </c>
      <c r="L61" s="53">
        <f>J61+K61</f>
        <v/>
      </c>
      <c r="M61" s="72" t="n">
        <v>0.41</v>
      </c>
      <c r="N61" s="57">
        <f>G61*M61</f>
        <v/>
      </c>
      <c r="O61" s="88" t="n">
        <v>67</v>
      </c>
      <c r="P61" s="57">
        <f>G61*$G$8</f>
        <v/>
      </c>
      <c r="Q61" s="88" t="n">
        <v>25</v>
      </c>
      <c r="R61" s="57">
        <f>G61*$G$4</f>
        <v/>
      </c>
      <c r="S61" s="57">
        <f>I61*$G$3</f>
        <v/>
      </c>
      <c r="T61" s="73" t="n">
        <v>0.9</v>
      </c>
      <c r="U61" s="88">
        <f>O61</f>
        <v/>
      </c>
      <c r="V61" s="57">
        <f>U61*(1-T61)</f>
        <v/>
      </c>
      <c r="W61" s="85" t="n">
        <v>0.4</v>
      </c>
      <c r="X61" s="57">
        <f>$G$6*$G$7*W61</f>
        <v/>
      </c>
      <c r="Y61" s="53">
        <f>W61*($G$9+$G$10)</f>
        <v/>
      </c>
      <c r="Z61" s="72" t="n">
        <v>0.07000000000000001</v>
      </c>
      <c r="AA61" s="57">
        <f>G61*Z61</f>
        <v/>
      </c>
      <c r="AB61" s="73" t="n">
        <v>0.08</v>
      </c>
      <c r="AC61" s="57">
        <f>G61*AB61</f>
        <v/>
      </c>
      <c r="AD61" s="57">
        <f>AA61+AC61</f>
        <v/>
      </c>
      <c r="AE61" s="61">
        <f>AD61/G61</f>
        <v/>
      </c>
      <c r="AF61" s="62">
        <f>G61-N61-O61-P61-Q61-R61-S61-V61-X61-Y61-L61</f>
        <v/>
      </c>
      <c r="AG61" s="79">
        <f>AF61-AD61</f>
        <v/>
      </c>
      <c r="AH61" s="80">
        <f>AG61/G61</f>
        <v/>
      </c>
      <c r="AI61" s="81">
        <f>AG61/L61</f>
        <v/>
      </c>
      <c r="AJ61" s="57">
        <f>(O61+Q61+V61+X61+Y61+L61)/(1-(M61+$G$4+(1-H61)*$G$3+$G$8+Z61+AB61))</f>
        <v/>
      </c>
    </row>
    <row r="62" ht="14.25" customHeight="1" s="91">
      <c r="A62" s="86" t="inlineStr">
        <is>
          <t>ENOUGH - Collagen Moisture Foundation [Tone 21] / Тональный крем для лица с коллагеном 21 тон</t>
        </is>
      </c>
      <c r="B62" s="75" t="n"/>
      <c r="C62" s="76" t="n"/>
      <c r="D62" s="78" t="n"/>
      <c r="E62" s="78" t="n"/>
      <c r="F62" s="78" t="n"/>
      <c r="G62" s="78">
        <f>(1.25*L62+O62+Q62+V62+X62+Y62)/(1-M62-$G$8-$G$4-(1-H62)*$G$3-Z62-AB62)</f>
        <v/>
      </c>
      <c r="H62" s="49" t="n">
        <v>0.45</v>
      </c>
      <c r="I62" s="50">
        <f>G62*(1-H62)</f>
        <v/>
      </c>
      <c r="J62" s="83" t="n">
        <v>245.65</v>
      </c>
      <c r="K62" s="52">
        <f>$G$5</f>
        <v/>
      </c>
      <c r="L62" s="53">
        <f>J62+K62</f>
        <v/>
      </c>
      <c r="M62" s="72" t="n">
        <v>0.41</v>
      </c>
      <c r="N62" s="57">
        <f>G62*M62</f>
        <v/>
      </c>
      <c r="O62" s="88" t="n">
        <v>67</v>
      </c>
      <c r="P62" s="57">
        <f>G62*$G$8</f>
        <v/>
      </c>
      <c r="Q62" s="88" t="n">
        <v>25</v>
      </c>
      <c r="R62" s="57">
        <f>G62*$G$4</f>
        <v/>
      </c>
      <c r="S62" s="57">
        <f>I62*$G$3</f>
        <v/>
      </c>
      <c r="T62" s="73" t="n">
        <v>0.9</v>
      </c>
      <c r="U62" s="88">
        <f>O62</f>
        <v/>
      </c>
      <c r="V62" s="57">
        <f>U62*(1-T62)</f>
        <v/>
      </c>
      <c r="W62" s="85" t="n">
        <v>0.4</v>
      </c>
      <c r="X62" s="57">
        <f>$G$6*$G$7*W62</f>
        <v/>
      </c>
      <c r="Y62" s="53">
        <f>W62*($G$9+$G$10)</f>
        <v/>
      </c>
      <c r="Z62" s="72" t="n">
        <v>0.07000000000000001</v>
      </c>
      <c r="AA62" s="57">
        <f>G62*Z62</f>
        <v/>
      </c>
      <c r="AB62" s="73" t="n">
        <v>0.08</v>
      </c>
      <c r="AC62" s="57">
        <f>G62*AB62</f>
        <v/>
      </c>
      <c r="AD62" s="57">
        <f>AA62+AC62</f>
        <v/>
      </c>
      <c r="AE62" s="61">
        <f>AD62/G62</f>
        <v/>
      </c>
      <c r="AF62" s="62">
        <f>G62-N62-O62-P62-Q62-R62-S62-V62-X62-Y62-L62</f>
        <v/>
      </c>
      <c r="AG62" s="79">
        <f>AF62-AD62</f>
        <v/>
      </c>
      <c r="AH62" s="80">
        <f>AG62/G62</f>
        <v/>
      </c>
      <c r="AI62" s="81">
        <f>AG62/L62</f>
        <v/>
      </c>
      <c r="AJ62" s="57">
        <f>(O62+Q62+V62+X62+Y62+L62)/(1-(M62+$G$4+(1-H62)*$G$3+$G$8+Z62+AB62))</f>
        <v/>
      </c>
    </row>
    <row r="63" ht="14.25" customHeight="1" s="91">
      <c r="A63" s="86" t="inlineStr">
        <is>
          <t>ENOUGH - Gold Snail Moisture Foundation [Tone 13] / Тональный крем с муцином улитки 13 тон</t>
        </is>
      </c>
      <c r="B63" s="75" t="n"/>
      <c r="C63" s="76" t="n"/>
      <c r="D63" s="78" t="n"/>
      <c r="E63" s="78" t="n"/>
      <c r="F63" s="78" t="n"/>
      <c r="G63" s="78">
        <f>(1.25*L63+O63+Q63+V63+X63+Y63)/(1-M63-$G$8-$G$4-(1-H63)*$G$3-Z63-AB63)</f>
        <v/>
      </c>
      <c r="H63" s="49" t="n">
        <v>0.45</v>
      </c>
      <c r="I63" s="50">
        <f>G63*(1-H63)</f>
        <v/>
      </c>
      <c r="J63" s="84" t="n">
        <v>270.81</v>
      </c>
      <c r="K63" s="52">
        <f>$G$5</f>
        <v/>
      </c>
      <c r="L63" s="53">
        <f>J63+K63</f>
        <v/>
      </c>
      <c r="M63" s="72" t="n">
        <v>0.41</v>
      </c>
      <c r="N63" s="57">
        <f>G63*M63</f>
        <v/>
      </c>
      <c r="O63" s="88" t="n">
        <v>67</v>
      </c>
      <c r="P63" s="57">
        <f>G63*$G$8</f>
        <v/>
      </c>
      <c r="Q63" s="88" t="n">
        <v>25</v>
      </c>
      <c r="R63" s="57">
        <f>G63*$G$4</f>
        <v/>
      </c>
      <c r="S63" s="57">
        <f>I63*$G$3</f>
        <v/>
      </c>
      <c r="T63" s="73" t="n">
        <v>0.9</v>
      </c>
      <c r="U63" s="88">
        <f>O63</f>
        <v/>
      </c>
      <c r="V63" s="57">
        <f>U63*(1-T63)</f>
        <v/>
      </c>
      <c r="W63" s="85" t="n">
        <v>0.4</v>
      </c>
      <c r="X63" s="57">
        <f>$G$6*$G$7*W63</f>
        <v/>
      </c>
      <c r="Y63" s="53">
        <f>W63*($G$9+$G$10)</f>
        <v/>
      </c>
      <c r="Z63" s="72" t="n">
        <v>0.07000000000000001</v>
      </c>
      <c r="AA63" s="57">
        <f>G63*Z63</f>
        <v/>
      </c>
      <c r="AB63" s="73" t="n">
        <v>0.08</v>
      </c>
      <c r="AC63" s="57">
        <f>G63*AB63</f>
        <v/>
      </c>
      <c r="AD63" s="57">
        <f>AA63+AC63</f>
        <v/>
      </c>
      <c r="AE63" s="61">
        <f>AD63/G63</f>
        <v/>
      </c>
      <c r="AF63" s="62">
        <f>G63-N63-O63-P63-Q63-R63-S63-V63-X63-Y63-L63</f>
        <v/>
      </c>
      <c r="AG63" s="79">
        <f>AF63-AD63</f>
        <v/>
      </c>
      <c r="AH63" s="80">
        <f>AG63/G63</f>
        <v/>
      </c>
      <c r="AI63" s="81">
        <f>AG63/L63</f>
        <v/>
      </c>
      <c r="AJ63" s="57">
        <f>(O63+Q63+V63+X63+Y63+L63)/(1-(M63+$G$4+(1-H63)*$G$3+$G$8+Z63+AB63))</f>
        <v/>
      </c>
    </row>
    <row r="64" ht="14.25" customHeight="1" s="91">
      <c r="A64" s="86" t="inlineStr">
        <is>
          <t>ENOUGH - Gold Snail Moisture Foundation [Tone 21] / Тональный крем с муцином улитки 21 тон</t>
        </is>
      </c>
      <c r="B64" s="75" t="n"/>
      <c r="C64" s="76" t="n"/>
      <c r="D64" s="78" t="n"/>
      <c r="E64" s="78" t="n"/>
      <c r="F64" s="78" t="n"/>
      <c r="G64" s="78">
        <f>(1.25*L64+O64+Q64+V64+X64+Y64)/(1-M64-$G$8-$G$4-(1-H64)*$G$3-Z64-AB64)</f>
        <v/>
      </c>
      <c r="H64" s="49" t="n">
        <v>0.45</v>
      </c>
      <c r="I64" s="50">
        <f>G64*(1-H64)</f>
        <v/>
      </c>
      <c r="J64" s="84" t="n">
        <v>238.13</v>
      </c>
      <c r="K64" s="52">
        <f>$G$5</f>
        <v/>
      </c>
      <c r="L64" s="53">
        <f>J64+K64</f>
        <v/>
      </c>
      <c r="M64" s="72" t="n">
        <v>0.41</v>
      </c>
      <c r="N64" s="57">
        <f>G64*M64</f>
        <v/>
      </c>
      <c r="O64" s="88" t="n">
        <v>67</v>
      </c>
      <c r="P64" s="57">
        <f>G64*$G$8</f>
        <v/>
      </c>
      <c r="Q64" s="88" t="n">
        <v>25</v>
      </c>
      <c r="R64" s="57">
        <f>G64*$G$4</f>
        <v/>
      </c>
      <c r="S64" s="57">
        <f>I64*$G$3</f>
        <v/>
      </c>
      <c r="T64" s="73" t="n">
        <v>0.9</v>
      </c>
      <c r="U64" s="88">
        <f>O64</f>
        <v/>
      </c>
      <c r="V64" s="57">
        <f>U64*(1-T64)</f>
        <v/>
      </c>
      <c r="W64" s="85" t="n">
        <v>0.4</v>
      </c>
      <c r="X64" s="57">
        <f>$G$6*$G$7*W64</f>
        <v/>
      </c>
      <c r="Y64" s="53">
        <f>W64*($G$9+$G$10)</f>
        <v/>
      </c>
      <c r="Z64" s="72" t="n">
        <v>0.07000000000000001</v>
      </c>
      <c r="AA64" s="57">
        <f>G64*Z64</f>
        <v/>
      </c>
      <c r="AB64" s="73" t="n">
        <v>0.08</v>
      </c>
      <c r="AC64" s="57">
        <f>G64*AB64</f>
        <v/>
      </c>
      <c r="AD64" s="57">
        <f>AA64+AC64</f>
        <v/>
      </c>
      <c r="AE64" s="61">
        <f>AD64/G64</f>
        <v/>
      </c>
      <c r="AF64" s="62">
        <f>G64-N64-O64-P64-Q64-R64-S64-V64-X64-Y64-L64</f>
        <v/>
      </c>
      <c r="AG64" s="79">
        <f>AF64-AD64</f>
        <v/>
      </c>
      <c r="AH64" s="80">
        <f>AG64/G64</f>
        <v/>
      </c>
      <c r="AI64" s="81">
        <f>AG64/L64</f>
        <v/>
      </c>
      <c r="AJ64" s="57">
        <f>(O64+Q64+V64+X64+Y64+L64)/(1-(M64+$G$4+(1-H64)*$G$3+$G$8+Z64+AB64))</f>
        <v/>
      </c>
    </row>
    <row r="65" ht="14.25" customHeight="1" s="91">
      <c r="A65" s="86" t="inlineStr">
        <is>
          <t>ENOUGH - Collagen 3in1 Whitening Moisture Foundation [Tone 13] / Тональный крем для лица с коллагеном 3в1 [13 тон]</t>
        </is>
      </c>
      <c r="B65" s="75" t="n"/>
      <c r="C65" s="76" t="n"/>
      <c r="D65" s="78" t="n"/>
      <c r="E65" s="78" t="n"/>
      <c r="F65" s="78" t="n"/>
      <c r="G65" s="78">
        <f>(1.25*L65+O65+Q65+V65+X65+Y65)/(1-M65-$G$8-$G$4-(1-H65)*$G$3-Z65-AB65)</f>
        <v/>
      </c>
      <c r="H65" s="49" t="n">
        <v>0.45</v>
      </c>
      <c r="I65" s="50">
        <f>G65*(1-H65)</f>
        <v/>
      </c>
      <c r="J65" s="87" t="n">
        <v>223.35</v>
      </c>
      <c r="K65" s="52">
        <f>$G$5</f>
        <v/>
      </c>
      <c r="L65" s="53">
        <f>J65+K65</f>
        <v/>
      </c>
      <c r="M65" s="72" t="n">
        <v>0.41</v>
      </c>
      <c r="N65" s="57">
        <f>G65*M65</f>
        <v/>
      </c>
      <c r="O65" s="88" t="n">
        <v>67</v>
      </c>
      <c r="P65" s="57">
        <f>G65*$G$8</f>
        <v/>
      </c>
      <c r="Q65" s="88" t="n">
        <v>25</v>
      </c>
      <c r="R65" s="57">
        <f>G65*$G$4</f>
        <v/>
      </c>
      <c r="S65" s="57">
        <f>I65*$G$3</f>
        <v/>
      </c>
      <c r="T65" s="73" t="n">
        <v>0.9</v>
      </c>
      <c r="U65" s="88">
        <f>O65</f>
        <v/>
      </c>
      <c r="V65" s="57">
        <f>U65*(1-T65)</f>
        <v/>
      </c>
      <c r="W65" s="85" t="n">
        <v>0.4</v>
      </c>
      <c r="X65" s="57">
        <f>$G$6*$G$7*W65</f>
        <v/>
      </c>
      <c r="Y65" s="53">
        <f>W65*($G$9+$G$10)</f>
        <v/>
      </c>
      <c r="Z65" s="72" t="n">
        <v>0.07000000000000001</v>
      </c>
      <c r="AA65" s="57">
        <f>G65*Z65</f>
        <v/>
      </c>
      <c r="AB65" s="73" t="n">
        <v>0.08</v>
      </c>
      <c r="AC65" s="57">
        <f>G65*AB65</f>
        <v/>
      </c>
      <c r="AD65" s="57">
        <f>AA65+AC65</f>
        <v/>
      </c>
      <c r="AE65" s="61">
        <f>AD65/G65</f>
        <v/>
      </c>
      <c r="AF65" s="62">
        <f>G65-N65-O65-P65-Q65-R65-S65-V65-X65-Y65-L65</f>
        <v/>
      </c>
      <c r="AG65" s="79">
        <f>AF65-AD65</f>
        <v/>
      </c>
      <c r="AH65" s="80">
        <f>AG65/G65</f>
        <v/>
      </c>
      <c r="AI65" s="81">
        <f>AG65/L65</f>
        <v/>
      </c>
      <c r="AJ65" s="57">
        <f>(O65+Q65+V65+X65+Y65+L65)/(1-(M65+$G$4+(1-H65)*$G$3+$G$8+Z65+AB65))</f>
        <v/>
      </c>
    </row>
    <row r="66" ht="14.25" customHeight="1" s="91">
      <c r="A66" s="86" t="inlineStr">
        <is>
          <t>ENOUGH - Collagen 3in1 Whitening Moisture Foundation [Tone 21] / Тональный крем для лица с коллагеном 3в1 [21 тон]</t>
        </is>
      </c>
      <c r="B66" s="75" t="n"/>
      <c r="C66" s="76" t="n"/>
      <c r="D66" s="78" t="n"/>
      <c r="E66" s="78" t="n"/>
      <c r="F66" s="78" t="n"/>
      <c r="G66" s="78">
        <f>(1.25*L66+O66+Q66+V66+X66+Y66)/(1-M66-$G$8-$G$4-(1-H66)*$G$3-Z66-AB66)</f>
        <v/>
      </c>
      <c r="H66" s="49" t="n">
        <v>0.45</v>
      </c>
      <c r="I66" s="50">
        <f>G66*(1-H66)</f>
        <v/>
      </c>
      <c r="J66" s="84" t="n">
        <v>335.9</v>
      </c>
      <c r="K66" s="52">
        <f>$G$5</f>
        <v/>
      </c>
      <c r="L66" s="53">
        <f>J66+K66</f>
        <v/>
      </c>
      <c r="M66" s="72" t="n">
        <v>0.41</v>
      </c>
      <c r="N66" s="57">
        <f>G66*M66</f>
        <v/>
      </c>
      <c r="O66" s="88" t="n">
        <v>67</v>
      </c>
      <c r="P66" s="57">
        <f>G66*$G$8</f>
        <v/>
      </c>
      <c r="Q66" s="88" t="n">
        <v>25</v>
      </c>
      <c r="R66" s="57">
        <f>G66*$G$4</f>
        <v/>
      </c>
      <c r="S66" s="57">
        <f>I66*$G$3</f>
        <v/>
      </c>
      <c r="T66" s="73" t="n">
        <v>0.9</v>
      </c>
      <c r="U66" s="88">
        <f>O66</f>
        <v/>
      </c>
      <c r="V66" s="57">
        <f>U66*(1-T66)</f>
        <v/>
      </c>
      <c r="W66" s="85" t="n">
        <v>0.4</v>
      </c>
      <c r="X66" s="57">
        <f>$G$6*$G$7*W66</f>
        <v/>
      </c>
      <c r="Y66" s="53">
        <f>W66*($G$9+$G$10)</f>
        <v/>
      </c>
      <c r="Z66" s="72" t="n">
        <v>0.07000000000000001</v>
      </c>
      <c r="AA66" s="57">
        <f>G66*Z66</f>
        <v/>
      </c>
      <c r="AB66" s="73" t="n">
        <v>0.08</v>
      </c>
      <c r="AC66" s="57">
        <f>G66*AB66</f>
        <v/>
      </c>
      <c r="AD66" s="57">
        <f>AA66+AC66</f>
        <v/>
      </c>
      <c r="AE66" s="61">
        <f>AD66/G66</f>
        <v/>
      </c>
      <c r="AF66" s="62">
        <f>G66-N66-O66-P66-Q66-R66-S66-V66-X66-Y66-L66</f>
        <v/>
      </c>
      <c r="AG66" s="79">
        <f>AF66-AD66</f>
        <v/>
      </c>
      <c r="AH66" s="80">
        <f>AG66/G66</f>
        <v/>
      </c>
      <c r="AI66" s="81">
        <f>AG66/L66</f>
        <v/>
      </c>
      <c r="AJ66" s="57">
        <f>(O66+Q66+V66+X66+Y66+L66)/(1-(M66+$G$4+(1-H66)*$G$3+$G$8+Z66+AB66))</f>
        <v/>
      </c>
    </row>
    <row r="67" ht="14.25" customHeight="1" s="91">
      <c r="A67" s="86" t="inlineStr">
        <is>
          <t>ENOUGH - Premium 8 Peptide Full Cover Perfect Foundation [Tone 13] / Тональный крем с пептидами 13 тон</t>
        </is>
      </c>
      <c r="B67" s="75" t="n"/>
      <c r="C67" s="76" t="n"/>
      <c r="D67" s="78" t="n"/>
      <c r="E67" s="78" t="n"/>
      <c r="F67" s="78" t="n"/>
      <c r="G67" s="78">
        <f>(1.25*L67+O67+Q67+V67+X67+Y67)/(1-M67-$G$8-$G$4-(1-H67)*$G$3-Z67-AB67)</f>
        <v/>
      </c>
      <c r="H67" s="49" t="n">
        <v>0.45</v>
      </c>
      <c r="I67" s="50">
        <f>G67*(1-H67)</f>
        <v/>
      </c>
      <c r="J67" s="84" t="n">
        <v>304.77</v>
      </c>
      <c r="K67" s="52">
        <f>$G$5</f>
        <v/>
      </c>
      <c r="L67" s="53">
        <f>J67+K67</f>
        <v/>
      </c>
      <c r="M67" s="72" t="n">
        <v>0.41</v>
      </c>
      <c r="N67" s="57">
        <f>G67*M67</f>
        <v/>
      </c>
      <c r="O67" s="88" t="n">
        <v>67</v>
      </c>
      <c r="P67" s="57">
        <f>G67*$G$8</f>
        <v/>
      </c>
      <c r="Q67" s="88" t="n">
        <v>25</v>
      </c>
      <c r="R67" s="57">
        <f>G67*$G$4</f>
        <v/>
      </c>
      <c r="S67" s="57">
        <f>I67*$G$3</f>
        <v/>
      </c>
      <c r="T67" s="73" t="n">
        <v>0.9</v>
      </c>
      <c r="U67" s="88">
        <f>O67</f>
        <v/>
      </c>
      <c r="V67" s="57">
        <f>U67*(1-T67)</f>
        <v/>
      </c>
      <c r="W67" s="85" t="n">
        <v>0.4</v>
      </c>
      <c r="X67" s="57">
        <f>$G$6*$G$7*W67</f>
        <v/>
      </c>
      <c r="Y67" s="53">
        <f>W67*($G$9+$G$10)</f>
        <v/>
      </c>
      <c r="Z67" s="72" t="n">
        <v>0.07000000000000001</v>
      </c>
      <c r="AA67" s="57">
        <f>G67*Z67</f>
        <v/>
      </c>
      <c r="AB67" s="73" t="n">
        <v>0.08</v>
      </c>
      <c r="AC67" s="57">
        <f>G67*AB67</f>
        <v/>
      </c>
      <c r="AD67" s="57">
        <f>AA67+AC67</f>
        <v/>
      </c>
      <c r="AE67" s="61">
        <f>AD67/G67</f>
        <v/>
      </c>
      <c r="AF67" s="62">
        <f>G67-N67-O67-P67-Q67-R67-S67-V67-X67-Y67-L67</f>
        <v/>
      </c>
      <c r="AG67" s="79">
        <f>AF67-AD67</f>
        <v/>
      </c>
      <c r="AH67" s="80">
        <f>AG67/G67</f>
        <v/>
      </c>
      <c r="AI67" s="81">
        <f>AG67/L67</f>
        <v/>
      </c>
      <c r="AJ67" s="57">
        <f>(O67+Q67+V67+X67+Y67+L67)/(1-(M67+$G$4+(1-H67)*$G$3+$G$8+Z67+AB67))</f>
        <v/>
      </c>
    </row>
    <row r="68" ht="14.25" customHeight="1" s="91">
      <c r="A68" s="86" t="inlineStr">
        <is>
          <t>ENOUGH - Premium 8 Peptide Full Cover Perfect Foundation [Tone 21] / Тональный крем с пептидами 21 тон</t>
        </is>
      </c>
      <c r="B68" s="75" t="n"/>
      <c r="C68" s="76" t="n"/>
      <c r="D68" s="78" t="n"/>
      <c r="E68" s="78" t="n"/>
      <c r="F68" s="78" t="n"/>
      <c r="G68" s="78">
        <f>(1.25*L68+O68+Q68+V68+X68+Y68)/(1-M68-$G$8-$G$4-(1-H68)*$G$3-Z68-AB68)</f>
        <v/>
      </c>
      <c r="H68" s="49" t="n">
        <v>0.45</v>
      </c>
      <c r="I68" s="50">
        <f>G68*(1-H68)</f>
        <v/>
      </c>
      <c r="J68" s="84" t="n">
        <v>183.24</v>
      </c>
      <c r="K68" s="52">
        <f>$G$5</f>
        <v/>
      </c>
      <c r="L68" s="53">
        <f>J68+K68</f>
        <v/>
      </c>
      <c r="M68" s="72" t="n">
        <v>0.41</v>
      </c>
      <c r="N68" s="57">
        <f>G68*M68</f>
        <v/>
      </c>
      <c r="O68" s="88" t="n">
        <v>67</v>
      </c>
      <c r="P68" s="57">
        <f>G68*$G$8</f>
        <v/>
      </c>
      <c r="Q68" s="88" t="n">
        <v>25</v>
      </c>
      <c r="R68" s="57">
        <f>G68*$G$4</f>
        <v/>
      </c>
      <c r="S68" s="57">
        <f>I68*$G$3</f>
        <v/>
      </c>
      <c r="T68" s="73" t="n">
        <v>0.9</v>
      </c>
      <c r="U68" s="88">
        <f>O68</f>
        <v/>
      </c>
      <c r="V68" s="57">
        <f>U68*(1-T68)</f>
        <v/>
      </c>
      <c r="W68" s="85" t="n">
        <v>0.4</v>
      </c>
      <c r="X68" s="57">
        <f>$G$6*$G$7*W68</f>
        <v/>
      </c>
      <c r="Y68" s="53">
        <f>W68*($G$9+$G$10)</f>
        <v/>
      </c>
      <c r="Z68" s="72" t="n">
        <v>0.07000000000000001</v>
      </c>
      <c r="AA68" s="57">
        <f>G68*Z68</f>
        <v/>
      </c>
      <c r="AB68" s="73" t="n">
        <v>0.08</v>
      </c>
      <c r="AC68" s="57">
        <f>G68*AB68</f>
        <v/>
      </c>
      <c r="AD68" s="57">
        <f>AA68+AC68</f>
        <v/>
      </c>
      <c r="AE68" s="61">
        <f>AD68/G68</f>
        <v/>
      </c>
      <c r="AF68" s="62">
        <f>G68-N68-O68-P68-Q68-R68-S68-V68-X68-Y68-L68</f>
        <v/>
      </c>
      <c r="AG68" s="79">
        <f>AF68-AD68</f>
        <v/>
      </c>
      <c r="AH68" s="80">
        <f>AG68/G68</f>
        <v/>
      </c>
      <c r="AI68" s="81">
        <f>AG68/L68</f>
        <v/>
      </c>
      <c r="AJ68" s="57">
        <f>(O68+Q68+V68+X68+Y68+L68)/(1-(M68+$G$4+(1-H68)*$G$3+$G$8+Z68+AB68))</f>
        <v/>
      </c>
    </row>
    <row r="69" ht="14.25" customHeight="1" s="91">
      <c r="A69" s="86" t="inlineStr">
        <is>
          <t>ENOUGH Collagen whitening cover tip concealer #01 [9g]/Консилер для лица (основная карточка) 4.5 рейтинг</t>
        </is>
      </c>
      <c r="B69" s="75" t="n"/>
      <c r="C69" s="76" t="n"/>
      <c r="D69" s="78" t="n"/>
      <c r="E69" s="78" t="n"/>
      <c r="F69" s="78" t="n"/>
      <c r="G69" s="78">
        <f>(1.25*L69+O69+Q69+V69+X69+Y69)/(1-M69-$G$8-$G$4-(1-H69)*$G$3-Z69-AB69)</f>
        <v/>
      </c>
      <c r="H69" s="49" t="n">
        <v>0.45</v>
      </c>
      <c r="I69" s="50">
        <f>G69*(1-H69)</f>
        <v/>
      </c>
      <c r="J69" s="84" t="n">
        <v>183.24</v>
      </c>
      <c r="K69" s="52">
        <f>$G$5</f>
        <v/>
      </c>
      <c r="L69" s="53">
        <f>J69+K69</f>
        <v/>
      </c>
      <c r="M69" s="72" t="n">
        <v>0.41</v>
      </c>
      <c r="N69" s="57">
        <f>G69*M69</f>
        <v/>
      </c>
      <c r="O69" s="88" t="n">
        <v>56</v>
      </c>
      <c r="P69" s="57">
        <f>G69*$G$8</f>
        <v/>
      </c>
      <c r="Q69" s="88" t="n">
        <v>25</v>
      </c>
      <c r="R69" s="57">
        <f>G69*$G$4</f>
        <v/>
      </c>
      <c r="S69" s="57">
        <f>I69*$G$3</f>
        <v/>
      </c>
      <c r="T69" s="73" t="n">
        <v>0.9</v>
      </c>
      <c r="U69" s="88">
        <f>O69</f>
        <v/>
      </c>
      <c r="V69" s="57">
        <f>U69*(1-T69)</f>
        <v/>
      </c>
      <c r="W69" s="85" t="n">
        <v>0.05</v>
      </c>
      <c r="X69" s="57">
        <f>$G$6*$G$7*W69</f>
        <v/>
      </c>
      <c r="Y69" s="53">
        <f>W69*($G$9+$G$10)</f>
        <v/>
      </c>
      <c r="Z69" s="72" t="n">
        <v>0.07000000000000001</v>
      </c>
      <c r="AA69" s="57">
        <f>G69*Z69</f>
        <v/>
      </c>
      <c r="AB69" s="73" t="n">
        <v>0.08</v>
      </c>
      <c r="AC69" s="57">
        <f>G69*AB69</f>
        <v/>
      </c>
      <c r="AD69" s="57">
        <f>AA69+AC69</f>
        <v/>
      </c>
      <c r="AE69" s="61">
        <f>AD69/G69</f>
        <v/>
      </c>
      <c r="AF69" s="62">
        <f>G69-N69-O69-P69-Q69-R69-S69-V69-X69-Y69-L69</f>
        <v/>
      </c>
      <c r="AG69" s="79">
        <f>AF69-AD69</f>
        <v/>
      </c>
      <c r="AH69" s="80">
        <f>AG69/G69</f>
        <v/>
      </c>
      <c r="AI69" s="81">
        <f>AG69/L69</f>
        <v/>
      </c>
      <c r="AJ69" s="57">
        <f>(O69+Q69+V69+X69+Y69+L69)/(1-(M69+$G$4+(1-H69)*$G$3+$G$8+Z69+AB69))</f>
        <v/>
      </c>
    </row>
    <row r="70" ht="14.25" customHeight="1" s="91">
      <c r="A70" s="86" t="inlineStr">
        <is>
          <t>ENOUGH Collagen whitening cover tip concealer #02 [9g]/Консилер для лица (основная карточка)</t>
        </is>
      </c>
      <c r="B70" s="75" t="n"/>
      <c r="C70" s="76" t="n"/>
      <c r="D70" s="78" t="n"/>
      <c r="E70" s="78" t="n"/>
      <c r="F70" s="78" t="n"/>
      <c r="G70" s="78">
        <f>(1.25*L70+O70+Q70+V70+X70+Y70)/(1-M70-$G$8-$G$4-(1-H70)*$G$3-Z70-AB70)</f>
        <v/>
      </c>
      <c r="H70" s="49" t="n">
        <v>0.45</v>
      </c>
      <c r="I70" s="50">
        <f>G70*(1-H70)</f>
        <v/>
      </c>
      <c r="J70" s="84" t="n">
        <v>183.24</v>
      </c>
      <c r="K70" s="52">
        <f>$G$5</f>
        <v/>
      </c>
      <c r="L70" s="53">
        <f>J70+K70</f>
        <v/>
      </c>
      <c r="M70" s="72" t="n">
        <v>0.41</v>
      </c>
      <c r="N70" s="57">
        <f>G70*M70</f>
        <v/>
      </c>
      <c r="O70" s="88" t="n">
        <v>56</v>
      </c>
      <c r="P70" s="57">
        <f>G70*$G$8</f>
        <v/>
      </c>
      <c r="Q70" s="88" t="n">
        <v>25</v>
      </c>
      <c r="R70" s="57">
        <f>G70*$G$4</f>
        <v/>
      </c>
      <c r="S70" s="57">
        <f>I70*$G$3</f>
        <v/>
      </c>
      <c r="T70" s="73" t="n">
        <v>0.9</v>
      </c>
      <c r="U70" s="88">
        <f>O70</f>
        <v/>
      </c>
      <c r="V70" s="57">
        <f>U70*(1-T70)</f>
        <v/>
      </c>
      <c r="W70" s="85" t="n">
        <v>0.05</v>
      </c>
      <c r="X70" s="57">
        <f>$G$6*$G$7*W70</f>
        <v/>
      </c>
      <c r="Y70" s="53">
        <f>W70*($G$9+$G$10)</f>
        <v/>
      </c>
      <c r="Z70" s="72" t="n">
        <v>0.07000000000000001</v>
      </c>
      <c r="AA70" s="57">
        <f>G70*Z70</f>
        <v/>
      </c>
      <c r="AB70" s="73" t="n">
        <v>0.08</v>
      </c>
      <c r="AC70" s="57">
        <f>G70*AB70</f>
        <v/>
      </c>
      <c r="AD70" s="57">
        <f>AA70+AC70</f>
        <v/>
      </c>
      <c r="AE70" s="61">
        <f>AD70/G70</f>
        <v/>
      </c>
      <c r="AF70" s="62">
        <f>G70-N70-O70-P70-Q70-R70-S70-V70-X70-Y70-L70</f>
        <v/>
      </c>
      <c r="AG70" s="79">
        <f>AF70-AD70</f>
        <v/>
      </c>
      <c r="AH70" s="80">
        <f>AG70/G70</f>
        <v/>
      </c>
      <c r="AI70" s="81">
        <f>AG70/L70</f>
        <v/>
      </c>
      <c r="AJ70" s="57">
        <f>(O70+Q70+V70+X70+Y70+L70)/(1-(M70+$G$4+(1-H70)*$G$3+$G$8+Z70+AB70))</f>
        <v/>
      </c>
    </row>
    <row r="71" ht="14.25" customHeight="1" s="91">
      <c r="A71" s="86" t="inlineStr">
        <is>
          <t>ENOUGH Collagen whitening cover tip concealer #03 [9g]/ Консилер для лица (основаная карточка)</t>
        </is>
      </c>
      <c r="B71" s="75" t="n"/>
      <c r="C71" s="76" t="n"/>
      <c r="D71" s="78" t="n"/>
      <c r="E71" s="78" t="n"/>
      <c r="F71" s="78" t="n"/>
      <c r="G71" s="78">
        <f>(1.25*L71+O71+Q71+V71+X71+Y71)/(1-M71-$G$8-$G$4-(1-H71)*$G$3-Z71-AB71)</f>
        <v/>
      </c>
      <c r="H71" s="49" t="n">
        <v>0.45</v>
      </c>
      <c r="I71" s="50">
        <f>G71*(1-H71)</f>
        <v/>
      </c>
      <c r="J71" s="84" t="n">
        <v>189.27</v>
      </c>
      <c r="K71" s="52">
        <f>$G$5</f>
        <v/>
      </c>
      <c r="L71" s="53">
        <f>J71+K71</f>
        <v/>
      </c>
      <c r="M71" s="72" t="n">
        <v>0.41</v>
      </c>
      <c r="N71" s="57">
        <f>G71*M71</f>
        <v/>
      </c>
      <c r="O71" s="88" t="n">
        <v>56</v>
      </c>
      <c r="P71" s="57">
        <f>G71*$G$8</f>
        <v/>
      </c>
      <c r="Q71" s="88" t="n">
        <v>25</v>
      </c>
      <c r="R71" s="57">
        <f>G71*$G$4</f>
        <v/>
      </c>
      <c r="S71" s="57">
        <f>I71*$G$3</f>
        <v/>
      </c>
      <c r="T71" s="73" t="n">
        <v>0.9</v>
      </c>
      <c r="U71" s="88">
        <f>O71</f>
        <v/>
      </c>
      <c r="V71" s="57">
        <f>U71*(1-T71)</f>
        <v/>
      </c>
      <c r="W71" s="85" t="n">
        <v>0.05</v>
      </c>
      <c r="X71" s="57">
        <f>$G$6*$G$7*W71</f>
        <v/>
      </c>
      <c r="Y71" s="53">
        <f>W71*($G$9+$G$10)</f>
        <v/>
      </c>
      <c r="Z71" s="72" t="n">
        <v>0.07000000000000001</v>
      </c>
      <c r="AA71" s="57">
        <f>G71*Z71</f>
        <v/>
      </c>
      <c r="AB71" s="73" t="n">
        <v>0.08</v>
      </c>
      <c r="AC71" s="57">
        <f>G71*AB71</f>
        <v/>
      </c>
      <c r="AD71" s="57">
        <f>AA71+AC71</f>
        <v/>
      </c>
      <c r="AE71" s="61">
        <f>AD71/G71</f>
        <v/>
      </c>
      <c r="AF71" s="62">
        <f>G71-N71-O71-P71-Q71-R71-S71-V71-X71-Y71-L71</f>
        <v/>
      </c>
      <c r="AG71" s="79">
        <f>AF71-AD71</f>
        <v/>
      </c>
      <c r="AH71" s="80">
        <f>AG71/G71</f>
        <v/>
      </c>
      <c r="AI71" s="81">
        <f>AG71/L71</f>
        <v/>
      </c>
      <c r="AJ71" s="57">
        <f>(O71+Q71+V71+X71+Y71+L71)/(1-(M71+$G$4+(1-H71)*$G$3+$G$8+Z71+AB71))</f>
        <v/>
      </c>
    </row>
    <row r="72" ht="14.25" customHeight="1" s="91">
      <c r="A72" s="89" t="inlineStr">
        <is>
          <t>ENOUGH - Collagen Moisture BB Cream SPF47 PA+++ [50ml] / Увлажняющий BB крем с коллагеном</t>
        </is>
      </c>
      <c r="B72" s="75" t="n"/>
      <c r="C72" s="76" t="n"/>
      <c r="D72" s="78" t="n"/>
      <c r="E72" s="78" t="n"/>
      <c r="F72" s="78" t="n"/>
      <c r="G72" s="78">
        <f>(1.25*L72+O72+Q72+V72+X72+Y72)/(1-M72-$G$8-$G$4-(1-H72)*$G$3-Z72-AB72)</f>
        <v/>
      </c>
      <c r="H72" s="49" t="n">
        <v>0.45</v>
      </c>
      <c r="I72" s="50">
        <f>G72*(1-H72)</f>
        <v/>
      </c>
      <c r="J72" s="71" t="n"/>
      <c r="K72" s="52">
        <f>$G$5</f>
        <v/>
      </c>
      <c r="L72" s="53">
        <f>J72+K72</f>
        <v/>
      </c>
      <c r="M72" s="72" t="n">
        <v>0.41</v>
      </c>
      <c r="N72" s="57">
        <f>G72*M72</f>
        <v/>
      </c>
      <c r="O72" s="88" t="n">
        <v>63</v>
      </c>
      <c r="P72" s="57">
        <f>G72*$G$8</f>
        <v/>
      </c>
      <c r="Q72" s="88" t="n">
        <v>25</v>
      </c>
      <c r="R72" s="57">
        <f>G72*$G$4</f>
        <v/>
      </c>
      <c r="S72" s="57">
        <f>I72*$G$3</f>
        <v/>
      </c>
      <c r="T72" s="73" t="n">
        <v>0.9</v>
      </c>
      <c r="U72" s="88">
        <f>O72</f>
        <v/>
      </c>
      <c r="V72" s="57">
        <f>U72*(1-T72)</f>
        <v/>
      </c>
      <c r="W72" s="85" t="n">
        <v>0.28</v>
      </c>
      <c r="X72" s="57">
        <f>$G$6*$G$7*W72</f>
        <v/>
      </c>
      <c r="Y72" s="53">
        <f>W72*($G$9+$G$10)</f>
        <v/>
      </c>
      <c r="Z72" s="72" t="n">
        <v>0.07000000000000001</v>
      </c>
      <c r="AA72" s="57">
        <f>G72*Z72</f>
        <v/>
      </c>
      <c r="AB72" s="73" t="n">
        <v>0.08</v>
      </c>
      <c r="AC72" s="57">
        <f>G72*AB72</f>
        <v/>
      </c>
      <c r="AD72" s="57">
        <f>AA72+AC72</f>
        <v/>
      </c>
      <c r="AE72" s="61">
        <f>AD72/G72</f>
        <v/>
      </c>
      <c r="AF72" s="62">
        <f>G72-N72-O72-P72-Q72-R72-S72-V72-X72-Y72-L72</f>
        <v/>
      </c>
      <c r="AG72" s="79">
        <f>AF72-AD72</f>
        <v/>
      </c>
      <c r="AH72" s="80">
        <f>AG72/G72</f>
        <v/>
      </c>
      <c r="AI72" s="81">
        <f>AG72/L72</f>
        <v/>
      </c>
      <c r="AJ72" s="57">
        <f>(O72+Q72+V72+X72+Y72+L72)/(1-(M72+$G$4+(1-H72)*$G$3+$G$8+Z72+AB72))</f>
        <v/>
      </c>
    </row>
    <row r="73" ht="14.25" customHeight="1" s="91">
      <c r="A73" s="66" t="inlineStr">
        <is>
          <t>JIGOTT - Snail Lifting Cream [70ml] / Крем для лица увлажняющий антивозрастной</t>
        </is>
      </c>
      <c r="B73" s="75" t="n"/>
      <c r="C73" s="76" t="n"/>
      <c r="D73" s="78" t="n">
        <v>980</v>
      </c>
      <c r="E73" s="78" t="n">
        <v>160</v>
      </c>
      <c r="F73" s="78" t="n">
        <v>4.5</v>
      </c>
      <c r="G73" s="78" t="n">
        <v>880</v>
      </c>
      <c r="H73" s="49" t="n">
        <v>0.45</v>
      </c>
      <c r="I73" s="50">
        <f>G73*(1-H73)</f>
        <v/>
      </c>
      <c r="J73" s="71" t="n">
        <v>202.27</v>
      </c>
      <c r="K73" s="52">
        <f>$G$5</f>
        <v/>
      </c>
      <c r="L73" s="53">
        <f>J73+K73</f>
        <v/>
      </c>
      <c r="M73" s="72" t="n">
        <v>0.41</v>
      </c>
      <c r="N73" s="57">
        <f>G73*M73</f>
        <v/>
      </c>
      <c r="O73" s="88" t="n">
        <v>67</v>
      </c>
      <c r="P73" s="57">
        <f>G73*$G$8</f>
        <v/>
      </c>
      <c r="Q73" s="88" t="n">
        <v>25</v>
      </c>
      <c r="R73" s="57">
        <f>G73*$G$4</f>
        <v/>
      </c>
      <c r="S73" s="57">
        <f>I73*$G$3</f>
        <v/>
      </c>
      <c r="T73" s="73" t="n">
        <v>0.9</v>
      </c>
      <c r="U73" s="88" t="n">
        <v>67</v>
      </c>
      <c r="V73" s="57">
        <f>U73*(1-T73)</f>
        <v/>
      </c>
      <c r="W73" s="85" t="n">
        <v>0.42</v>
      </c>
      <c r="X73" s="57">
        <f>$G$6*$G$7*W73</f>
        <v/>
      </c>
      <c r="Y73" s="53">
        <f>W73*($G$9+$G$10)</f>
        <v/>
      </c>
      <c r="Z73" s="72" t="n">
        <v>0.07000000000000001</v>
      </c>
      <c r="AA73" s="57">
        <f>G73*Z73</f>
        <v/>
      </c>
      <c r="AB73" s="73" t="n">
        <v>0.08</v>
      </c>
      <c r="AC73" s="57">
        <f>G73*AB73</f>
        <v/>
      </c>
      <c r="AD73" s="57">
        <f>AA73+AC73</f>
        <v/>
      </c>
      <c r="AE73" s="61">
        <f>AD73/G73</f>
        <v/>
      </c>
      <c r="AF73" s="62">
        <f>G73-N73-O73-P73-Q73-R73-S73-V73-X73-Y73-L73</f>
        <v/>
      </c>
      <c r="AG73" s="79">
        <f>AF73-AD73</f>
        <v/>
      </c>
      <c r="AH73" s="80">
        <f>AG73/G73</f>
        <v/>
      </c>
      <c r="AI73" s="81">
        <f>AG73/L73</f>
        <v/>
      </c>
      <c r="AJ73" s="57">
        <f>(O73+Q73+V73+X73+Y73+L73)/(1-(M73+$G$4+(1-H73)*$G$3+$G$8+Z73+AB73))</f>
        <v/>
      </c>
    </row>
    <row r="74" ht="14.25" customHeight="1" s="91">
      <c r="A74" s="66" t="inlineStr">
        <is>
          <t>JIGOTT - Snail Reparing Cream [100ml] / Крем для лица увлажняющий антивозрастной с муцином улитки</t>
        </is>
      </c>
      <c r="B74" s="75" t="n"/>
      <c r="C74" s="76" t="n"/>
      <c r="D74" s="78" t="n">
        <v>1030</v>
      </c>
      <c r="E74" s="78" t="n">
        <v>153</v>
      </c>
      <c r="F74" s="78" t="n">
        <v>5</v>
      </c>
      <c r="G74" s="78" t="n">
        <v>930</v>
      </c>
      <c r="H74" s="49" t="n">
        <v>0.45</v>
      </c>
      <c r="I74" s="50">
        <f>G74*(1-H74)</f>
        <v/>
      </c>
      <c r="J74" s="71" t="n">
        <v>185.86</v>
      </c>
      <c r="K74" s="52">
        <f>$G$5</f>
        <v/>
      </c>
      <c r="L74" s="53">
        <f>J74+K74</f>
        <v/>
      </c>
      <c r="M74" s="72" t="n">
        <v>0.41</v>
      </c>
      <c r="N74" s="57">
        <f>G74*M74</f>
        <v/>
      </c>
      <c r="O74" s="88" t="n">
        <v>67</v>
      </c>
      <c r="P74" s="57">
        <f>G74*$G$8</f>
        <v/>
      </c>
      <c r="Q74" s="88" t="n">
        <v>25</v>
      </c>
      <c r="R74" s="57">
        <f>G74*$G$4</f>
        <v/>
      </c>
      <c r="S74" s="57">
        <f>I74*$G$3</f>
        <v/>
      </c>
      <c r="T74" s="73" t="n">
        <v>0.9</v>
      </c>
      <c r="U74" s="88" t="n">
        <v>67</v>
      </c>
      <c r="V74" s="57">
        <f>U74*(1-T74)</f>
        <v/>
      </c>
      <c r="W74" s="85" t="n">
        <v>0.57</v>
      </c>
      <c r="X74" s="57">
        <f>$G$6*$G$7*W74</f>
        <v/>
      </c>
      <c r="Y74" s="53">
        <f>W74*($G$9+$G$10)</f>
        <v/>
      </c>
      <c r="Z74" s="72" t="n">
        <v>0.07000000000000001</v>
      </c>
      <c r="AA74" s="57">
        <f>G74*Z74</f>
        <v/>
      </c>
      <c r="AB74" s="73" t="n">
        <v>0.08</v>
      </c>
      <c r="AC74" s="57">
        <f>G74*AB74</f>
        <v/>
      </c>
      <c r="AD74" s="57">
        <f>AA74+AC74</f>
        <v/>
      </c>
      <c r="AE74" s="61">
        <f>AD74/G74</f>
        <v/>
      </c>
      <c r="AF74" s="62">
        <f>G74-N74-O74-P74-Q74-R74-S74-V74-X74-Y74-L74</f>
        <v/>
      </c>
      <c r="AG74" s="79">
        <f>AF74-AD74</f>
        <v/>
      </c>
      <c r="AH74" s="80">
        <f>AG74/G74</f>
        <v/>
      </c>
      <c r="AI74" s="81">
        <f>AG74/L74</f>
        <v/>
      </c>
      <c r="AJ74" s="57">
        <f>(O74+Q74+V74+X74+Y74+L74)/(1-(M74+$G$4+(1-H74)*$G$3+$G$8+Z74+AB74))</f>
        <v/>
      </c>
    </row>
    <row r="75" ht="14.25" customHeight="1" s="91">
      <c r="A75" s="66" t="inlineStr">
        <is>
          <t>JIGOTT - Birds Nest Firming Cream [70ml] / Антивозрастной крем с экстрактом ласточкиного гнезда</t>
        </is>
      </c>
      <c r="B75" s="75" t="n"/>
      <c r="C75" s="76" t="n"/>
      <c r="D75" s="78" t="n">
        <v>1040</v>
      </c>
      <c r="E75" s="78" t="n">
        <v>49</v>
      </c>
      <c r="F75" s="78" t="n">
        <v>4</v>
      </c>
      <c r="G75" s="78" t="n">
        <v>960</v>
      </c>
      <c r="H75" s="49" t="n">
        <v>0.45</v>
      </c>
      <c r="I75" s="50">
        <f>G75*(1-H75)</f>
        <v/>
      </c>
      <c r="J75" s="71" t="n">
        <v>202.27</v>
      </c>
      <c r="K75" s="52">
        <f>$G$5</f>
        <v/>
      </c>
      <c r="L75" s="53">
        <f>J75+K75</f>
        <v/>
      </c>
      <c r="M75" s="72" t="n">
        <v>0.41</v>
      </c>
      <c r="N75" s="57">
        <f>G75*M75</f>
        <v/>
      </c>
      <c r="O75" s="88" t="n">
        <v>67</v>
      </c>
      <c r="P75" s="57">
        <f>G75*$G$8</f>
        <v/>
      </c>
      <c r="Q75" s="88" t="n">
        <v>25</v>
      </c>
      <c r="R75" s="57">
        <f>G75*$G$4</f>
        <v/>
      </c>
      <c r="S75" s="57">
        <f>I75*$G$3</f>
        <v/>
      </c>
      <c r="T75" s="73" t="n">
        <v>0.9</v>
      </c>
      <c r="U75" s="88" t="n">
        <v>67</v>
      </c>
      <c r="V75" s="57">
        <f>U75*(1-T75)</f>
        <v/>
      </c>
      <c r="W75" s="85" t="n">
        <v>0.42</v>
      </c>
      <c r="X75" s="57">
        <f>$G$6*$G$7*W75</f>
        <v/>
      </c>
      <c r="Y75" s="53">
        <f>W75*($G$9+$G$10)</f>
        <v/>
      </c>
      <c r="Z75" s="72" t="n">
        <v>0.07000000000000001</v>
      </c>
      <c r="AA75" s="57">
        <f>G75*Z75</f>
        <v/>
      </c>
      <c r="AB75" s="73" t="n">
        <v>0.08</v>
      </c>
      <c r="AC75" s="57">
        <f>G75*AB75</f>
        <v/>
      </c>
      <c r="AD75" s="57">
        <f>AA75+AC75</f>
        <v/>
      </c>
      <c r="AE75" s="61">
        <f>AD75/G75</f>
        <v/>
      </c>
      <c r="AF75" s="62">
        <f>G75-N75-O75-P75-Q75-R75-S75-V75-X75-Y75-L75</f>
        <v/>
      </c>
      <c r="AG75" s="79">
        <f>AF75-AD75</f>
        <v/>
      </c>
      <c r="AH75" s="80">
        <f>AG75/G75</f>
        <v/>
      </c>
      <c r="AI75" s="81">
        <f>AG75/L75</f>
        <v/>
      </c>
      <c r="AJ75" s="57">
        <f>(O75+Q75+V75+X75+Y75+L75)/(1-(M75+$G$4+(1-H75)*$G$3+$G$8+Z75+AB75))</f>
        <v/>
      </c>
    </row>
    <row r="76" ht="14.25" customHeight="1" s="91">
      <c r="A76" s="66" t="inlineStr">
        <is>
          <t>JIGOTT - Ultimate Real Collagen Toner [300ml] / тонер с коллагеном антивозрастной</t>
        </is>
      </c>
      <c r="B76" s="75" t="n"/>
      <c r="C76" s="76" t="n"/>
      <c r="D76" s="78" t="n">
        <v>1140</v>
      </c>
      <c r="E76" s="78" t="n">
        <v>131</v>
      </c>
      <c r="F76" s="78" t="n">
        <v>0</v>
      </c>
      <c r="G76" s="78" t="n">
        <v>960</v>
      </c>
      <c r="H76" s="49" t="n">
        <v>0.45</v>
      </c>
      <c r="I76" s="50">
        <f>G76*(1-H76)</f>
        <v/>
      </c>
      <c r="J76" s="71" t="n">
        <v>265.36</v>
      </c>
      <c r="K76" s="52">
        <f>$G$5</f>
        <v/>
      </c>
      <c r="L76" s="53">
        <f>J76+K76</f>
        <v/>
      </c>
      <c r="M76" s="72" t="n">
        <v>0.41</v>
      </c>
      <c r="N76" s="57">
        <f>G76*M76</f>
        <v/>
      </c>
      <c r="O76" s="88" t="n">
        <v>67</v>
      </c>
      <c r="P76" s="57">
        <f>G76*$G$8</f>
        <v/>
      </c>
      <c r="Q76" s="88" t="n">
        <v>25</v>
      </c>
      <c r="R76" s="57">
        <f>G76*$G$4</f>
        <v/>
      </c>
      <c r="S76" s="57">
        <f>I76*$G$3</f>
        <v/>
      </c>
      <c r="T76" s="73" t="n">
        <v>0.9</v>
      </c>
      <c r="U76" s="88" t="n">
        <v>67</v>
      </c>
      <c r="V76" s="57">
        <f>U76*(1-T76)</f>
        <v/>
      </c>
      <c r="W76" s="85" t="n">
        <v>0.93</v>
      </c>
      <c r="X76" s="57">
        <f>$G$6*$G$7*W76</f>
        <v/>
      </c>
      <c r="Y76" s="53">
        <f>W76*($G$9+$G$10)</f>
        <v/>
      </c>
      <c r="Z76" s="72" t="n">
        <v>0.07000000000000001</v>
      </c>
      <c r="AA76" s="57">
        <f>G76*Z76</f>
        <v/>
      </c>
      <c r="AB76" s="73" t="n">
        <v>0.08</v>
      </c>
      <c r="AC76" s="57">
        <f>G76*AB76</f>
        <v/>
      </c>
      <c r="AD76" s="57">
        <f>AA76+AC76</f>
        <v/>
      </c>
      <c r="AE76" s="61">
        <f>AD76/G76</f>
        <v/>
      </c>
      <c r="AF76" s="62">
        <f>G76-N76-O76-P76-Q76-R76-S76-V76-X76-Y76-L76</f>
        <v/>
      </c>
      <c r="AG76" s="79">
        <f>AF76-AD76</f>
        <v/>
      </c>
      <c r="AH76" s="80">
        <f>AG76/G76</f>
        <v/>
      </c>
      <c r="AI76" s="81">
        <f>AG76/L76</f>
        <v/>
      </c>
      <c r="AJ76" s="57">
        <f>(O76+Q76+V76+X76+Y76+L76)/(1-(M76+$G$4+(1-H76)*$G$3+$G$8+Z76+AB76))</f>
        <v/>
      </c>
    </row>
    <row r="77" ht="14.25" customHeight="1" s="91">
      <c r="A77" s="66" t="inlineStr">
        <is>
          <t>JIGOTT - Daily Real Cica Toner [300ml] / Тонер для лица с центеллой азиатской</t>
        </is>
      </c>
      <c r="B77" s="75" t="n"/>
      <c r="C77" s="76" t="n"/>
      <c r="D77" s="78" t="n">
        <v>1140</v>
      </c>
      <c r="E77" s="78" t="n">
        <v>191</v>
      </c>
      <c r="F77" s="78" t="n">
        <v>0</v>
      </c>
      <c r="G77" s="78" t="n">
        <v>960</v>
      </c>
      <c r="H77" s="49" t="n">
        <v>0.45</v>
      </c>
      <c r="I77" s="50">
        <f>G77*(1-H77)</f>
        <v/>
      </c>
      <c r="J77" s="71" t="n">
        <v>265.36</v>
      </c>
      <c r="K77" s="52">
        <f>$G$5</f>
        <v/>
      </c>
      <c r="L77" s="53">
        <f>J77+K77</f>
        <v/>
      </c>
      <c r="M77" s="72" t="n">
        <v>0.41</v>
      </c>
      <c r="N77" s="57">
        <f>G77*M77</f>
        <v/>
      </c>
      <c r="O77" s="88" t="n">
        <v>67</v>
      </c>
      <c r="P77" s="57">
        <f>G77*$G$8</f>
        <v/>
      </c>
      <c r="Q77" s="88" t="n">
        <v>25</v>
      </c>
      <c r="R77" s="57">
        <f>G77*$G$4</f>
        <v/>
      </c>
      <c r="S77" s="57">
        <f>I77*$G$3</f>
        <v/>
      </c>
      <c r="T77" s="73" t="n">
        <v>0.9</v>
      </c>
      <c r="U77" s="88" t="n">
        <v>67</v>
      </c>
      <c r="V77" s="57">
        <f>U77*(1-T77)</f>
        <v/>
      </c>
      <c r="W77" s="85" t="n">
        <v>0.93</v>
      </c>
      <c r="X77" s="57">
        <f>$G$6*$G$7*W77</f>
        <v/>
      </c>
      <c r="Y77" s="53">
        <f>W77*($G$9+$G$10)</f>
        <v/>
      </c>
      <c r="Z77" s="72" t="n">
        <v>0.07000000000000001</v>
      </c>
      <c r="AA77" s="57">
        <f>G77*Z77</f>
        <v/>
      </c>
      <c r="AB77" s="73" t="n">
        <v>0.08</v>
      </c>
      <c r="AC77" s="57">
        <f>G77*AB77</f>
        <v/>
      </c>
      <c r="AD77" s="57">
        <f>AA77+AC77</f>
        <v/>
      </c>
      <c r="AE77" s="61">
        <f>AD77/G77</f>
        <v/>
      </c>
      <c r="AF77" s="62">
        <f>G77-N77-O77-P77-Q77-R77-S77-V77-X77-Y77-L77</f>
        <v/>
      </c>
      <c r="AG77" s="79">
        <f>AF77-AD77</f>
        <v/>
      </c>
      <c r="AH77" s="80">
        <f>AG77/G77</f>
        <v/>
      </c>
      <c r="AI77" s="81">
        <f>AG77/L77</f>
        <v/>
      </c>
      <c r="AJ77" s="57">
        <f>(O77+Q77+V77+X77+Y77+L77)/(1-(M77+$G$4+(1-H77)*$G$3+$G$8+Z77+AB77))</f>
        <v/>
      </c>
    </row>
    <row r="78" ht="14.25" customHeight="1" s="91">
      <c r="A78" s="66" t="inlineStr">
        <is>
          <t>JIGOTT - Aura Secret Hyaluronec Acid Toner [300ml] / Тонер с гиалуроновой кислотой антивозрастной</t>
        </is>
      </c>
      <c r="B78" s="75" t="n"/>
      <c r="C78" s="76" t="n"/>
      <c r="D78" s="78" t="n">
        <v>975</v>
      </c>
      <c r="E78" s="78" t="n">
        <v>77</v>
      </c>
      <c r="F78" s="78" t="n">
        <v>0</v>
      </c>
      <c r="G78" s="78" t="n">
        <v>900</v>
      </c>
      <c r="H78" s="49" t="n">
        <v>0.45</v>
      </c>
      <c r="I78" s="50">
        <f>G78*(1-H78)</f>
        <v/>
      </c>
      <c r="J78" s="71" t="n">
        <v>265.36</v>
      </c>
      <c r="K78" s="52">
        <f>$G$5</f>
        <v/>
      </c>
      <c r="L78" s="53">
        <f>J78+K78</f>
        <v/>
      </c>
      <c r="M78" s="72" t="n">
        <v>0.41</v>
      </c>
      <c r="N78" s="57">
        <f>G78*M78</f>
        <v/>
      </c>
      <c r="O78" s="88" t="n">
        <v>67</v>
      </c>
      <c r="P78" s="57">
        <f>G78*$G$8</f>
        <v/>
      </c>
      <c r="Q78" s="88" t="n">
        <v>25</v>
      </c>
      <c r="R78" s="57">
        <f>G78*$G$4</f>
        <v/>
      </c>
      <c r="S78" s="57">
        <f>I78*$G$3</f>
        <v/>
      </c>
      <c r="T78" s="73" t="n">
        <v>0.9</v>
      </c>
      <c r="U78" s="88" t="n">
        <v>67</v>
      </c>
      <c r="V78" s="57">
        <f>U78*(1-T78)</f>
        <v/>
      </c>
      <c r="W78" s="85" t="n">
        <v>0.93</v>
      </c>
      <c r="X78" s="57">
        <f>$G$6*$G$7*W78</f>
        <v/>
      </c>
      <c r="Y78" s="53">
        <f>W78*($G$9+$G$10)</f>
        <v/>
      </c>
      <c r="Z78" s="72" t="n">
        <v>0.07000000000000001</v>
      </c>
      <c r="AA78" s="57">
        <f>G78*Z78</f>
        <v/>
      </c>
      <c r="AB78" s="73" t="n">
        <v>0.08</v>
      </c>
      <c r="AC78" s="57">
        <f>G78*AB78</f>
        <v/>
      </c>
      <c r="AD78" s="57">
        <f>AA78+AC78</f>
        <v/>
      </c>
      <c r="AE78" s="61">
        <f>AD78/G78</f>
        <v/>
      </c>
      <c r="AF78" s="62">
        <f>G78-N78-O78-P78-Q78-R78-S78-V78-X78-Y78-L78</f>
        <v/>
      </c>
      <c r="AG78" s="79">
        <f>AF78-AD78</f>
        <v/>
      </c>
      <c r="AH78" s="80">
        <f>AG78/G78</f>
        <v/>
      </c>
      <c r="AI78" s="81">
        <f>AG78/L78</f>
        <v/>
      </c>
      <c r="AJ78" s="57">
        <f>(O78+Q78+V78+X78+Y78+L78)/(1-(M78+$G$4+(1-H78)*$G$3+$G$8+Z78+AB78))</f>
        <v/>
      </c>
    </row>
    <row r="79" ht="14.25" customHeight="1" s="91">
      <c r="A79" s="66" t="inlineStr">
        <is>
          <t>JIGOTT - Moisture Real Aloe Vera Toner [300ml] / Тонер для лица увлажняющий с экстрактом алоэ</t>
        </is>
      </c>
      <c r="B79" s="75" t="n"/>
      <c r="C79" s="76" t="n"/>
      <c r="D79" s="78" t="n">
        <v>1100</v>
      </c>
      <c r="E79" s="78" t="n">
        <v>169</v>
      </c>
      <c r="F79" s="78" t="n">
        <v>8</v>
      </c>
      <c r="G79" s="78" t="n">
        <v>1000</v>
      </c>
      <c r="H79" s="49" t="n">
        <v>0.45</v>
      </c>
      <c r="I79" s="50">
        <f>G79*(1-H79)</f>
        <v/>
      </c>
      <c r="J79" s="71" t="n">
        <v>265.36</v>
      </c>
      <c r="K79" s="52">
        <f>$G$5</f>
        <v/>
      </c>
      <c r="L79" s="53">
        <f>J79+K79</f>
        <v/>
      </c>
      <c r="M79" s="72" t="n">
        <v>0.41</v>
      </c>
      <c r="N79" s="57">
        <f>G79*M79</f>
        <v/>
      </c>
      <c r="O79" s="88" t="n">
        <v>67</v>
      </c>
      <c r="P79" s="57">
        <f>G79*$G$8</f>
        <v/>
      </c>
      <c r="Q79" s="88" t="n">
        <v>25</v>
      </c>
      <c r="R79" s="57">
        <f>G79*$G$4</f>
        <v/>
      </c>
      <c r="S79" s="57">
        <f>I79*$G$3</f>
        <v/>
      </c>
      <c r="T79" s="73" t="n">
        <v>0.9</v>
      </c>
      <c r="U79" s="88" t="n">
        <v>67</v>
      </c>
      <c r="V79" s="57">
        <f>U79*(1-T79)</f>
        <v/>
      </c>
      <c r="W79" s="85" t="n">
        <v>0.93</v>
      </c>
      <c r="X79" s="57">
        <f>$G$6*$G$7*W79</f>
        <v/>
      </c>
      <c r="Y79" s="53">
        <f>W79*($G$9+$G$10)</f>
        <v/>
      </c>
      <c r="Z79" s="72" t="n">
        <v>0.07000000000000001</v>
      </c>
      <c r="AA79" s="57">
        <f>G79*Z79</f>
        <v/>
      </c>
      <c r="AB79" s="73" t="n">
        <v>0.08</v>
      </c>
      <c r="AC79" s="57">
        <f>G79*AB79</f>
        <v/>
      </c>
      <c r="AD79" s="57">
        <f>AA79+AC79</f>
        <v/>
      </c>
      <c r="AE79" s="61">
        <f>AD79/G79</f>
        <v/>
      </c>
      <c r="AF79" s="62">
        <f>G79-N79-O79-P79-Q79-R79-S79-V79-X79-Y79-L79</f>
        <v/>
      </c>
      <c r="AG79" s="79">
        <f>AF79-AD79</f>
        <v/>
      </c>
      <c r="AH79" s="80">
        <f>AG79/G79</f>
        <v/>
      </c>
      <c r="AI79" s="81">
        <f>AG79/L79</f>
        <v/>
      </c>
      <c r="AJ79" s="57">
        <f>(O79+Q79+V79+X79+Y79+L79)/(1-(M79+$G$4+(1-H79)*$G$3+$G$8+Z79+AB79))</f>
        <v/>
      </c>
    </row>
    <row r="80" ht="14.25" customHeight="1" s="91">
      <c r="A80" s="66" t="inlineStr">
        <is>
          <t>PETITFEE - Collagen &amp; CoQ10 Hydrogel Eye Patch [60ea] / Гидрогелевые патчи для глаз с коллагеном и коэнзимом Q10</t>
        </is>
      </c>
      <c r="B80" s="75" t="n"/>
      <c r="C80" s="76" t="n"/>
      <c r="D80" s="78" t="n">
        <v>1818</v>
      </c>
      <c r="E80" s="78" t="n">
        <v>734</v>
      </c>
      <c r="F80" s="78" t="n">
        <v>16</v>
      </c>
      <c r="G80" s="78" t="n">
        <v>1700</v>
      </c>
      <c r="H80" s="49" t="n">
        <v>0.45</v>
      </c>
      <c r="I80" s="50">
        <f>G80*(1-H80)</f>
        <v/>
      </c>
      <c r="J80" s="71" t="n">
        <v>385.05</v>
      </c>
      <c r="K80" s="52">
        <f>$G$5</f>
        <v/>
      </c>
      <c r="L80" s="53">
        <f>J80+K80</f>
        <v/>
      </c>
      <c r="M80" s="72" t="n">
        <v>0.41</v>
      </c>
      <c r="N80" s="57">
        <f>G80*M80</f>
        <v/>
      </c>
      <c r="O80" s="88" t="n">
        <v>67</v>
      </c>
      <c r="P80" s="57">
        <f>G80*$G$8</f>
        <v/>
      </c>
      <c r="Q80" s="88" t="n">
        <v>25</v>
      </c>
      <c r="R80" s="57">
        <f>G80*$G$4</f>
        <v/>
      </c>
      <c r="S80" s="57">
        <f>I80*$G$3</f>
        <v/>
      </c>
      <c r="T80" s="73" t="n">
        <v>0.9</v>
      </c>
      <c r="U80" s="88" t="n">
        <v>67</v>
      </c>
      <c r="V80" s="57">
        <f>U80*(1-T80)</f>
        <v/>
      </c>
      <c r="W80" s="85" t="n">
        <v>0.6</v>
      </c>
      <c r="X80" s="57">
        <f>$G$6*$G$7*W80</f>
        <v/>
      </c>
      <c r="Y80" s="53">
        <f>W80*($G$9+$G$10)</f>
        <v/>
      </c>
      <c r="Z80" s="72" t="n">
        <v>0.07000000000000001</v>
      </c>
      <c r="AA80" s="57">
        <f>G80*Z80</f>
        <v/>
      </c>
      <c r="AB80" s="73" t="n">
        <v>0.08</v>
      </c>
      <c r="AC80" s="57">
        <f>G80*AB80</f>
        <v/>
      </c>
      <c r="AD80" s="57">
        <f>AA80+AC80</f>
        <v/>
      </c>
      <c r="AE80" s="61">
        <f>AD80/G80</f>
        <v/>
      </c>
      <c r="AF80" s="62">
        <f>G80-N80-O80-P80-Q80-R80-S80-V80-X80-Y80-L80</f>
        <v/>
      </c>
      <c r="AG80" s="63">
        <f>AF80-AD80</f>
        <v/>
      </c>
      <c r="AH80" s="64">
        <f>AG80/G80</f>
        <v/>
      </c>
      <c r="AI80" s="65">
        <f>AG80/L80</f>
        <v/>
      </c>
      <c r="AJ80" s="57">
        <f>(O80+Q80+V80+X80+Y80+L80)/(1-(M80+$G$4+(1-H80)*$G$3+$G$8+Z80+AB80))</f>
        <v/>
      </c>
    </row>
    <row r="81" ht="14.25" customHeight="1" s="91">
      <c r="A81" s="66" t="inlineStr">
        <is>
          <t>PETITFEE - Black Pearl &amp; Gold Hydrogel Eye Patch [60ea] / Гидрогелевые патчи для глаз с черным жемчугом и золотом</t>
        </is>
      </c>
      <c r="B81" s="75" t="n"/>
      <c r="C81" s="76" t="n"/>
      <c r="D81" s="78" t="n">
        <v>1780</v>
      </c>
      <c r="E81" s="78" t="n">
        <v>489</v>
      </c>
      <c r="F81" s="78" t="n">
        <v>16</v>
      </c>
      <c r="G81" s="78" t="n">
        <v>1650</v>
      </c>
      <c r="H81" s="49" t="n">
        <v>0.45</v>
      </c>
      <c r="I81" s="50">
        <f>G81*(1-H81)</f>
        <v/>
      </c>
      <c r="J81" s="71" t="n">
        <v>387.67</v>
      </c>
      <c r="K81" s="52">
        <f>$G$5</f>
        <v/>
      </c>
      <c r="L81" s="53">
        <f>J81+K81</f>
        <v/>
      </c>
      <c r="M81" s="72" t="n">
        <v>0.41</v>
      </c>
      <c r="N81" s="57">
        <f>G81*M81</f>
        <v/>
      </c>
      <c r="O81" s="88" t="n">
        <v>67</v>
      </c>
      <c r="P81" s="57">
        <f>G81*$G$8</f>
        <v/>
      </c>
      <c r="Q81" s="88" t="n">
        <v>25</v>
      </c>
      <c r="R81" s="57">
        <f>G81*$G$4</f>
        <v/>
      </c>
      <c r="S81" s="57">
        <f>I81*$G$3</f>
        <v/>
      </c>
      <c r="T81" s="73" t="n">
        <v>0.9</v>
      </c>
      <c r="U81" s="88" t="n">
        <v>67</v>
      </c>
      <c r="V81" s="57">
        <f>U81*(1-T81)</f>
        <v/>
      </c>
      <c r="W81" s="85" t="n">
        <v>0.6</v>
      </c>
      <c r="X81" s="57">
        <f>$G$6*$G$7*W81</f>
        <v/>
      </c>
      <c r="Y81" s="53">
        <f>W81*($G$9+$G$10)</f>
        <v/>
      </c>
      <c r="Z81" s="72" t="n">
        <v>0.07000000000000001</v>
      </c>
      <c r="AA81" s="57">
        <f>G81*Z81</f>
        <v/>
      </c>
      <c r="AB81" s="73" t="n">
        <v>0.08</v>
      </c>
      <c r="AC81" s="57">
        <f>G81*AB81</f>
        <v/>
      </c>
      <c r="AD81" s="57">
        <f>AA81+AC81</f>
        <v/>
      </c>
      <c r="AE81" s="61">
        <f>AD81/G81</f>
        <v/>
      </c>
      <c r="AF81" s="62">
        <f>G81-N81-O81-P81-Q81-R81-S81-V81-X81-Y81-L81</f>
        <v/>
      </c>
      <c r="AG81" s="63">
        <f>AF81-AD81</f>
        <v/>
      </c>
      <c r="AH81" s="64">
        <f>AG81/G81</f>
        <v/>
      </c>
      <c r="AI81" s="65">
        <f>AG81/L81</f>
        <v/>
      </c>
      <c r="AJ81" s="57">
        <f>(O81+Q81+V81+X81+Y81+L81)/(1-(M81+$G$4+(1-H81)*$G$3+$G$8+Z81+AB81))</f>
        <v/>
      </c>
    </row>
    <row r="82" ht="14.25" customHeight="1" s="91">
      <c r="A82" s="66" t="inlineStr">
        <is>
          <t>PETITFEE - Agave Cooling Hydrogel Eye Patch [60ea] / Охлаждающие гидрогелевые патчи для глаз с экстрактом агавы</t>
        </is>
      </c>
      <c r="B82" s="75" t="n"/>
      <c r="C82" s="76" t="n"/>
      <c r="D82" s="78" t="n">
        <v>1730</v>
      </c>
      <c r="E82" s="78" t="n">
        <v>568</v>
      </c>
      <c r="F82" s="78" t="n">
        <v>17</v>
      </c>
      <c r="G82" s="78" t="n">
        <v>1630</v>
      </c>
      <c r="H82" s="49" t="n">
        <v>0.45</v>
      </c>
      <c r="I82" s="50">
        <f>G82*(1-H82)</f>
        <v/>
      </c>
      <c r="J82" s="71" t="n">
        <v>415.46</v>
      </c>
      <c r="K82" s="52">
        <f>$G$5</f>
        <v/>
      </c>
      <c r="L82" s="53">
        <f>J82+K82</f>
        <v/>
      </c>
      <c r="M82" s="72" t="n">
        <v>0.41</v>
      </c>
      <c r="N82" s="57">
        <f>G82*M82</f>
        <v/>
      </c>
      <c r="O82" s="88" t="n">
        <v>67</v>
      </c>
      <c r="P82" s="57">
        <f>G82*$G$8</f>
        <v/>
      </c>
      <c r="Q82" s="88" t="n">
        <v>25</v>
      </c>
      <c r="R82" s="57">
        <f>G82*$G$4</f>
        <v/>
      </c>
      <c r="S82" s="57">
        <f>I82*$G$3</f>
        <v/>
      </c>
      <c r="T82" s="73" t="n">
        <v>0.9</v>
      </c>
      <c r="U82" s="88" t="n">
        <v>67</v>
      </c>
      <c r="V82" s="57">
        <f>U82*(1-T82)</f>
        <v/>
      </c>
      <c r="W82" s="85" t="n">
        <v>0.6</v>
      </c>
      <c r="X82" s="57">
        <f>$G$6*$G$7*W82</f>
        <v/>
      </c>
      <c r="Y82" s="53">
        <f>W82*($G$9+$G$10)</f>
        <v/>
      </c>
      <c r="Z82" s="72" t="n">
        <v>0.07000000000000001</v>
      </c>
      <c r="AA82" s="57">
        <f>G82*Z82</f>
        <v/>
      </c>
      <c r="AB82" s="73" t="n">
        <v>0.08</v>
      </c>
      <c r="AC82" s="57">
        <f>G82*AB82</f>
        <v/>
      </c>
      <c r="AD82" s="57">
        <f>AA82+AC82</f>
        <v/>
      </c>
      <c r="AE82" s="61">
        <f>AD82/G82</f>
        <v/>
      </c>
      <c r="AF82" s="62">
        <f>G82-N82-O82-P82-Q82-R82-S82-V82-X82-Y82-L82</f>
        <v/>
      </c>
      <c r="AG82" s="63">
        <f>AF82-AD82</f>
        <v/>
      </c>
      <c r="AH82" s="64">
        <f>AG82/G82</f>
        <v/>
      </c>
      <c r="AI82" s="65">
        <f>AG82/L82</f>
        <v/>
      </c>
      <c r="AJ82" s="57">
        <f>(O82+Q82+V82+X82+Y82+L82)/(1-(M82+$G$4+(1-H82)*$G$3+$G$8+Z82+AB82))</f>
        <v/>
      </c>
    </row>
    <row r="83" ht="14.25" customHeight="1" s="91">
      <c r="A83" s="66" t="inlineStr">
        <is>
          <t>PETITFEE - Gold &amp; Snail Hydrogel Eye Patch [60ea] / Гидрогелевые патчи для глаз с золотом и улиткой</t>
        </is>
      </c>
      <c r="B83" s="75" t="n"/>
      <c r="C83" s="76" t="n"/>
      <c r="D83" s="78" t="n">
        <v>1740</v>
      </c>
      <c r="E83" s="78" t="n">
        <v>150</v>
      </c>
      <c r="F83" s="78" t="n">
        <v>7</v>
      </c>
      <c r="G83" s="78" t="n">
        <v>1630</v>
      </c>
      <c r="H83" s="49" t="n">
        <v>0.45</v>
      </c>
      <c r="I83" s="50">
        <f>G83*(1-H83)</f>
        <v/>
      </c>
      <c r="J83" s="71" t="n">
        <v>415.46</v>
      </c>
      <c r="K83" s="52">
        <f>$G$5</f>
        <v/>
      </c>
      <c r="L83" s="53">
        <f>J83+K83</f>
        <v/>
      </c>
      <c r="M83" s="72" t="n">
        <v>0.41</v>
      </c>
      <c r="N83" s="57">
        <f>G83*M83</f>
        <v/>
      </c>
      <c r="O83" s="88" t="n">
        <v>67</v>
      </c>
      <c r="P83" s="57">
        <f>G83*$G$8</f>
        <v/>
      </c>
      <c r="Q83" s="88" t="n">
        <v>25</v>
      </c>
      <c r="R83" s="57">
        <f>G83*$G$4</f>
        <v/>
      </c>
      <c r="S83" s="57">
        <f>I83*$G$3</f>
        <v/>
      </c>
      <c r="T83" s="73" t="n">
        <v>0.9</v>
      </c>
      <c r="U83" s="88" t="n">
        <v>67</v>
      </c>
      <c r="V83" s="57">
        <f>U83*(1-T83)</f>
        <v/>
      </c>
      <c r="W83" s="85" t="n">
        <v>0.6</v>
      </c>
      <c r="X83" s="57">
        <f>$G$6*$G$7*W83</f>
        <v/>
      </c>
      <c r="Y83" s="53">
        <f>W83*($G$9+$G$10)</f>
        <v/>
      </c>
      <c r="Z83" s="72" t="n">
        <v>0.07000000000000001</v>
      </c>
      <c r="AA83" s="57">
        <f>G83*Z83</f>
        <v/>
      </c>
      <c r="AB83" s="73" t="n">
        <v>0.08</v>
      </c>
      <c r="AC83" s="57">
        <f>G83*AB83</f>
        <v/>
      </c>
      <c r="AD83" s="57">
        <f>AA83+AC83</f>
        <v/>
      </c>
      <c r="AE83" s="61">
        <f>AD83/G83</f>
        <v/>
      </c>
      <c r="AF83" s="62">
        <f>G83-N83-O83-P83-Q83-R83-S83-V83-X83-Y83-L83</f>
        <v/>
      </c>
      <c r="AG83" s="63">
        <f>AF83-AD83</f>
        <v/>
      </c>
      <c r="AH83" s="64">
        <f>AG83/G83</f>
        <v/>
      </c>
      <c r="AI83" s="65">
        <f>AG83/L83</f>
        <v/>
      </c>
      <c r="AJ83" s="57">
        <f>(O83+Q83+V83+X83+Y83+L83)/(1-(M83+$G$4+(1-H83)*$G$3+$G$8+Z83+AB83))</f>
        <v/>
      </c>
    </row>
    <row r="84" ht="14.25" customHeight="1" s="91">
      <c r="A84" s="66" t="inlineStr">
        <is>
          <t>PETITFEE - Gold Hydrogel Eye Patch [60ea] / гидрогелевые патчи для глаз с золотом</t>
        </is>
      </c>
      <c r="B84" s="75" t="n"/>
      <c r="C84" s="76" t="n"/>
      <c r="D84" s="78" t="n">
        <v>1930</v>
      </c>
      <c r="E84" s="78" t="n">
        <v>128</v>
      </c>
      <c r="F84" s="78" t="n">
        <v>2.2</v>
      </c>
      <c r="G84" s="78" t="n">
        <v>1800</v>
      </c>
      <c r="H84" s="49" t="n">
        <v>0.45</v>
      </c>
      <c r="I84" s="50">
        <f>G84*(1-H84)</f>
        <v/>
      </c>
      <c r="J84" s="71" t="n">
        <v>415.46</v>
      </c>
      <c r="K84" s="52">
        <f>$G$5</f>
        <v/>
      </c>
      <c r="L84" s="53">
        <f>J84+K84</f>
        <v/>
      </c>
      <c r="M84" s="72" t="n">
        <v>0.41</v>
      </c>
      <c r="N84" s="57">
        <f>G84*M84</f>
        <v/>
      </c>
      <c r="O84" s="88" t="n">
        <v>67</v>
      </c>
      <c r="P84" s="57">
        <f>G84*$G$8</f>
        <v/>
      </c>
      <c r="Q84" s="88" t="n">
        <v>25</v>
      </c>
      <c r="R84" s="57">
        <f>G84*$G$4</f>
        <v/>
      </c>
      <c r="S84" s="57">
        <f>I84*$G$3</f>
        <v/>
      </c>
      <c r="T84" s="73" t="n">
        <v>0.9</v>
      </c>
      <c r="U84" s="88" t="n">
        <v>67</v>
      </c>
      <c r="V84" s="57">
        <f>U84*(1-T84)</f>
        <v/>
      </c>
      <c r="W84" s="85" t="n">
        <v>0.6</v>
      </c>
      <c r="X84" s="57">
        <f>$G$6*$G$7*W84</f>
        <v/>
      </c>
      <c r="Y84" s="53">
        <f>W84*($G$9+$G$10)</f>
        <v/>
      </c>
      <c r="Z84" s="72" t="n">
        <v>0.07000000000000001</v>
      </c>
      <c r="AA84" s="57">
        <f>G84*Z84</f>
        <v/>
      </c>
      <c r="AB84" s="73" t="n">
        <v>0.08</v>
      </c>
      <c r="AC84" s="57">
        <f>G84*AB84</f>
        <v/>
      </c>
      <c r="AD84" s="57">
        <f>AA84+AC84</f>
        <v/>
      </c>
      <c r="AE84" s="61">
        <f>AD84/G84</f>
        <v/>
      </c>
      <c r="AF84" s="62">
        <f>G84-N84-O84-P84-Q84-R84-S84-V84-X84-Y84-L84</f>
        <v/>
      </c>
      <c r="AG84" s="63">
        <f>AF84-AD84</f>
        <v/>
      </c>
      <c r="AH84" s="64">
        <f>AG84/G84</f>
        <v/>
      </c>
      <c r="AI84" s="65">
        <f>AG84/L84</f>
        <v/>
      </c>
      <c r="AJ84" s="57">
        <f>(O84+Q84+V84+X84+Y84+L84)/(1-(M84+$G$4+(1-H84)*$G$3+$G$8+Z84+AB84))</f>
        <v/>
      </c>
    </row>
    <row r="85" ht="14.25" customHeight="1" s="91">
      <c r="A85" s="66" t="inlineStr">
        <is>
          <t>PETITFEE - Agave Cooling Hydrogel Face Mask [5pcs] / Охлаждающая гидрогелевая маска для лица с экстрактом агавы</t>
        </is>
      </c>
      <c r="B85" s="75" t="n"/>
      <c r="C85" s="76" t="n"/>
      <c r="D85" s="78" t="n">
        <v>2480</v>
      </c>
      <c r="E85" s="78" t="n">
        <v>293</v>
      </c>
      <c r="F85" s="78" t="n">
        <v>21</v>
      </c>
      <c r="G85" s="78" t="n">
        <v>2200</v>
      </c>
      <c r="H85" s="49" t="n">
        <v>0.45</v>
      </c>
      <c r="I85" s="50">
        <f>G85*(1-H85)</f>
        <v/>
      </c>
      <c r="J85" s="71" t="n">
        <v>486.41</v>
      </c>
      <c r="K85" s="52">
        <f>$G$5</f>
        <v/>
      </c>
      <c r="L85" s="53">
        <f>J85+K85</f>
        <v/>
      </c>
      <c r="M85" s="72" t="n">
        <v>0.41</v>
      </c>
      <c r="N85" s="57">
        <f>G85*M85</f>
        <v/>
      </c>
      <c r="O85" s="88" t="n">
        <v>72</v>
      </c>
      <c r="P85" s="57">
        <f>G85*$G$8</f>
        <v/>
      </c>
      <c r="Q85" s="88" t="n">
        <v>25</v>
      </c>
      <c r="R85" s="57">
        <f>G85*$G$4</f>
        <v/>
      </c>
      <c r="S85" s="57">
        <f>I85*$G$3</f>
        <v/>
      </c>
      <c r="T85" s="73" t="n">
        <v>0.9</v>
      </c>
      <c r="U85" s="88" t="n">
        <v>72</v>
      </c>
      <c r="V85" s="57">
        <f>U85*(1-T85)</f>
        <v/>
      </c>
      <c r="W85" s="85" t="n">
        <v>1.1</v>
      </c>
      <c r="X85" s="57">
        <f>$G$6*$G$7*W85</f>
        <v/>
      </c>
      <c r="Y85" s="53">
        <f>W85*($G$9+$G$10)</f>
        <v/>
      </c>
      <c r="Z85" s="72" t="n">
        <v>0.07000000000000001</v>
      </c>
      <c r="AA85" s="57">
        <f>G85*Z85</f>
        <v/>
      </c>
      <c r="AB85" s="73" t="n">
        <v>0.08</v>
      </c>
      <c r="AC85" s="57">
        <f>G85*AB85</f>
        <v/>
      </c>
      <c r="AD85" s="57">
        <f>AA85+AC85</f>
        <v/>
      </c>
      <c r="AE85" s="61">
        <f>AD85/G85</f>
        <v/>
      </c>
      <c r="AF85" s="62">
        <f>G85-N85-O85-P85-Q85-R85-S85-V85-X85-Y85-L85</f>
        <v/>
      </c>
      <c r="AG85" s="63">
        <f>AF85-AD85</f>
        <v/>
      </c>
      <c r="AH85" s="64">
        <f>AG85/G85</f>
        <v/>
      </c>
      <c r="AI85" s="65">
        <f>AG85/L85</f>
        <v/>
      </c>
      <c r="AJ85" s="57">
        <f>(O85+Q85+V85+X85+Y85+L85)/(1-(M85+$G$4+(1-H85)*$G$3+$G$8+Z85+AB85))</f>
        <v/>
      </c>
    </row>
    <row r="86" ht="14.25" customHeight="1" s="91">
      <c r="A86" s="66" t="inlineStr">
        <is>
          <t>PETITFEE - Gold Hydrogel Mask Pack [5pcs] / Гидрогелевая маска для лица с золотом</t>
        </is>
      </c>
      <c r="B86" s="75" t="n"/>
      <c r="C86" s="76" t="n"/>
      <c r="D86" s="78" t="n">
        <v>2570</v>
      </c>
      <c r="E86" s="78" t="n">
        <v>121</v>
      </c>
      <c r="F86" s="78" t="n">
        <v>12</v>
      </c>
      <c r="G86" s="78" t="n">
        <v>2300</v>
      </c>
      <c r="H86" s="49" t="n">
        <v>0.45</v>
      </c>
      <c r="I86" s="50">
        <f>G86*(1-H86)</f>
        <v/>
      </c>
      <c r="J86" s="71" t="n">
        <v>507.16</v>
      </c>
      <c r="K86" s="52">
        <f>$G$5</f>
        <v/>
      </c>
      <c r="L86" s="53">
        <f>J86+K86</f>
        <v/>
      </c>
      <c r="M86" s="72" t="n">
        <v>0.41</v>
      </c>
      <c r="N86" s="57">
        <f>G86*M86</f>
        <v/>
      </c>
      <c r="O86" s="88" t="n">
        <v>72</v>
      </c>
      <c r="P86" s="57">
        <f>G86*$G$8</f>
        <v/>
      </c>
      <c r="Q86" s="88" t="n">
        <v>25</v>
      </c>
      <c r="R86" s="57">
        <f>G86*$G$4</f>
        <v/>
      </c>
      <c r="S86" s="57">
        <f>I86*$G$3</f>
        <v/>
      </c>
      <c r="T86" s="73" t="n">
        <v>0.9</v>
      </c>
      <c r="U86" s="88" t="n">
        <v>72</v>
      </c>
      <c r="V86" s="57">
        <f>U86*(1-T86)</f>
        <v/>
      </c>
      <c r="W86" s="85" t="n">
        <v>1.1</v>
      </c>
      <c r="X86" s="57">
        <f>$G$6*$G$7*W86</f>
        <v/>
      </c>
      <c r="Y86" s="53">
        <f>W86*($G$9+$G$10)</f>
        <v/>
      </c>
      <c r="Z86" s="72" t="n">
        <v>0.07000000000000001</v>
      </c>
      <c r="AA86" s="57">
        <f>G86*Z86</f>
        <v/>
      </c>
      <c r="AB86" s="73" t="n">
        <v>0.08</v>
      </c>
      <c r="AC86" s="57">
        <f>G86*AB86</f>
        <v/>
      </c>
      <c r="AD86" s="57">
        <f>AA86+AC86</f>
        <v/>
      </c>
      <c r="AE86" s="61">
        <f>AD86/G86</f>
        <v/>
      </c>
      <c r="AF86" s="62">
        <f>G86-N86-O86-P86-Q86-R86-S86-V86-X86-Y86-L86</f>
        <v/>
      </c>
      <c r="AG86" s="63">
        <f>AF86-AD86</f>
        <v/>
      </c>
      <c r="AH86" s="64">
        <f>AG86/G86</f>
        <v/>
      </c>
      <c r="AI86" s="65">
        <f>AG86/L86</f>
        <v/>
      </c>
      <c r="AJ86" s="57">
        <f>(O86+Q86+V86+X86+Y86+L86)/(1-(M86+$G$4+(1-H86)*$G$3+$G$8+Z86+AB86))</f>
        <v/>
      </c>
    </row>
    <row r="87" ht="14.25" customHeight="1" s="91">
      <c r="A87" s="66" t="inlineStr">
        <is>
          <t>PETITFEE - Cacao Energizing Hydrogel Mask Pack [5pcs] / Тонизирующая гидрогелевая маска для лица с экстрактом какао</t>
        </is>
      </c>
      <c r="B87" s="75" t="n"/>
      <c r="C87" s="76" t="n"/>
      <c r="D87" s="78" t="n">
        <v>2680</v>
      </c>
      <c r="E87" s="78" t="n">
        <v>38</v>
      </c>
      <c r="F87" s="78" t="n">
        <v>9.699999999999999</v>
      </c>
      <c r="G87" s="78" t="n">
        <v>2250</v>
      </c>
      <c r="H87" s="49" t="n">
        <v>0.45</v>
      </c>
      <c r="I87" s="50">
        <f>G87*(1-H87)</f>
        <v/>
      </c>
      <c r="J87" s="71" t="n">
        <v>496.86</v>
      </c>
      <c r="K87" s="52">
        <f>$G$5</f>
        <v/>
      </c>
      <c r="L87" s="53">
        <f>J87+K87</f>
        <v/>
      </c>
      <c r="M87" s="72" t="n">
        <v>0.41</v>
      </c>
      <c r="N87" s="57">
        <f>G87*M87</f>
        <v/>
      </c>
      <c r="O87" s="88" t="n">
        <v>72</v>
      </c>
      <c r="P87" s="57">
        <f>G87*$G$8</f>
        <v/>
      </c>
      <c r="Q87" s="88" t="n">
        <v>25</v>
      </c>
      <c r="R87" s="57">
        <f>G87*$G$4</f>
        <v/>
      </c>
      <c r="S87" s="57">
        <f>I87*$G$3</f>
        <v/>
      </c>
      <c r="T87" s="73" t="n">
        <v>0.9</v>
      </c>
      <c r="U87" s="88" t="n">
        <v>72</v>
      </c>
      <c r="V87" s="57">
        <f>U87*(1-T87)</f>
        <v/>
      </c>
      <c r="W87" s="85" t="n">
        <v>1.1</v>
      </c>
      <c r="X87" s="57">
        <f>$G$6*$G$7*W87</f>
        <v/>
      </c>
      <c r="Y87" s="53">
        <f>W87*($G$9+$G$10)</f>
        <v/>
      </c>
      <c r="Z87" s="72" t="n">
        <v>0.07000000000000001</v>
      </c>
      <c r="AA87" s="57">
        <f>G87*Z87</f>
        <v/>
      </c>
      <c r="AB87" s="73" t="n">
        <v>0.08</v>
      </c>
      <c r="AC87" s="57">
        <f>G87*AB87</f>
        <v/>
      </c>
      <c r="AD87" s="57">
        <f>AA87+AC87</f>
        <v/>
      </c>
      <c r="AE87" s="61">
        <f>AD87/G87</f>
        <v/>
      </c>
      <c r="AF87" s="62">
        <f>G87-N87-O87-P87-Q87-R87-S87-V87-X87-Y87-L87</f>
        <v/>
      </c>
      <c r="AG87" s="63">
        <f>AF87-AD87</f>
        <v/>
      </c>
      <c r="AH87" s="64">
        <f>AG87/G87</f>
        <v/>
      </c>
      <c r="AI87" s="65">
        <f>AG87/L87</f>
        <v/>
      </c>
      <c r="AJ87" s="57">
        <f>(O87+Q87+V87+X87+Y87+L87)/(1-(M87+$G$4+(1-H87)*$G$3+$G$8+Z87+AB87))</f>
        <v/>
      </c>
    </row>
    <row r="88" ht="14.25" customHeight="1" s="91">
      <c r="A88" s="66" t="inlineStr">
        <is>
          <t>PETITFEE - Artichoke Soothing Hydrogel Face Mask [5pcs] / Смягчающая гидрогелевая маска для лица с экстрактом артишока</t>
        </is>
      </c>
      <c r="B88" s="75" t="n"/>
      <c r="C88" s="76" t="n"/>
      <c r="D88" s="78" t="n">
        <v>2420</v>
      </c>
      <c r="E88" s="78" t="n">
        <v>409</v>
      </c>
      <c r="F88" s="78" t="n">
        <v>23</v>
      </c>
      <c r="G88" s="78" t="n">
        <v>2300</v>
      </c>
      <c r="H88" s="49" t="n">
        <v>0.45</v>
      </c>
      <c r="I88" s="50">
        <f>G88*(1-H88)</f>
        <v/>
      </c>
      <c r="J88" s="71" t="n">
        <v>498.54</v>
      </c>
      <c r="K88" s="52">
        <f>$G$5</f>
        <v/>
      </c>
      <c r="L88" s="53">
        <f>J88+K88</f>
        <v/>
      </c>
      <c r="M88" s="72" t="n">
        <v>0.41</v>
      </c>
      <c r="N88" s="57">
        <f>G88*M88</f>
        <v/>
      </c>
      <c r="O88" s="88" t="n">
        <v>72</v>
      </c>
      <c r="P88" s="57">
        <f>G88*$G$8</f>
        <v/>
      </c>
      <c r="Q88" s="88" t="n">
        <v>25</v>
      </c>
      <c r="R88" s="57">
        <f>G88*$G$4</f>
        <v/>
      </c>
      <c r="S88" s="57">
        <f>I88*$G$3</f>
        <v/>
      </c>
      <c r="T88" s="73" t="n">
        <v>0.9</v>
      </c>
      <c r="U88" s="88" t="n">
        <v>72</v>
      </c>
      <c r="V88" s="57">
        <f>U88*(1-T88)</f>
        <v/>
      </c>
      <c r="W88" s="85" t="n">
        <v>1.1</v>
      </c>
      <c r="X88" s="57">
        <f>$G$6*$G$7*W88</f>
        <v/>
      </c>
      <c r="Y88" s="53">
        <f>W88*($G$9+$G$10)</f>
        <v/>
      </c>
      <c r="Z88" s="72" t="n">
        <v>0.07000000000000001</v>
      </c>
      <c r="AA88" s="57">
        <f>G88*Z88</f>
        <v/>
      </c>
      <c r="AB88" s="73" t="n">
        <v>0.08</v>
      </c>
      <c r="AC88" s="57">
        <f>G88*AB88</f>
        <v/>
      </c>
      <c r="AD88" s="57">
        <f>AA88+AC88</f>
        <v/>
      </c>
      <c r="AE88" s="61">
        <f>AD88/G88</f>
        <v/>
      </c>
      <c r="AF88" s="62">
        <f>G88-N88-O88-P88-Q88-R88-S88-V88-X88-Y88-L88</f>
        <v/>
      </c>
      <c r="AG88" s="63">
        <f>AF88-AD88</f>
        <v/>
      </c>
      <c r="AH88" s="64">
        <f>AG88/G88</f>
        <v/>
      </c>
      <c r="AI88" s="65">
        <f>AG88/L88</f>
        <v/>
      </c>
      <c r="AJ88" s="57">
        <f>(O88+Q88+V88+X88+Y88+L88)/(1-(M88+$G$4+(1-H88)*$G$3+$G$8+Z88+AB88))</f>
        <v/>
      </c>
    </row>
    <row r="89" ht="14.25" customHeight="1" s="91">
      <c r="A89" s="66" t="inlineStr">
        <is>
          <t>PETITFEE - Gold &amp; Snail Hydrogel Mask Pack [5pcs] / Гидрогелевая маска для лица с золотом и экстрактом улитки</t>
        </is>
      </c>
      <c r="B89" s="75" t="n"/>
      <c r="C89" s="76" t="n"/>
      <c r="D89" s="78" t="n">
        <v>2280</v>
      </c>
      <c r="E89" s="78" t="n">
        <v>19</v>
      </c>
      <c r="F89" s="78" t="n">
        <v>8</v>
      </c>
      <c r="G89" s="78" t="n">
        <v>2135</v>
      </c>
      <c r="H89" s="49" t="n">
        <v>0.45</v>
      </c>
      <c r="I89" s="50">
        <f>G89*(1-H89)</f>
        <v/>
      </c>
      <c r="J89" s="71" t="n">
        <v>478.17</v>
      </c>
      <c r="K89" s="52">
        <f>$G$5</f>
        <v/>
      </c>
      <c r="L89" s="53">
        <f>J89+K89</f>
        <v/>
      </c>
      <c r="M89" s="72" t="n">
        <v>0.41</v>
      </c>
      <c r="N89" s="57">
        <f>G89*M89</f>
        <v/>
      </c>
      <c r="O89" s="88" t="n">
        <v>72</v>
      </c>
      <c r="P89" s="57">
        <f>G89*$G$8</f>
        <v/>
      </c>
      <c r="Q89" s="88" t="n">
        <v>25</v>
      </c>
      <c r="R89" s="57">
        <f>G89*$G$4</f>
        <v/>
      </c>
      <c r="S89" s="57">
        <f>I89*$G$3</f>
        <v/>
      </c>
      <c r="T89" s="73" t="n">
        <v>0.9</v>
      </c>
      <c r="U89" s="88" t="n">
        <v>72</v>
      </c>
      <c r="V89" s="57">
        <f>U89*(1-T89)</f>
        <v/>
      </c>
      <c r="W89" s="85" t="n">
        <v>1.1</v>
      </c>
      <c r="X89" s="57">
        <f>$G$6*$G$7*W89</f>
        <v/>
      </c>
      <c r="Y89" s="53">
        <f>W89*($G$9+$G$10)</f>
        <v/>
      </c>
      <c r="Z89" s="72" t="n">
        <v>0.07000000000000001</v>
      </c>
      <c r="AA89" s="57">
        <f>G89*Z89</f>
        <v/>
      </c>
      <c r="AB89" s="73" t="n">
        <v>0.08</v>
      </c>
      <c r="AC89" s="57">
        <f>G89*AB89</f>
        <v/>
      </c>
      <c r="AD89" s="57">
        <f>AA89+AC89</f>
        <v/>
      </c>
      <c r="AE89" s="61">
        <f>AD89/G89</f>
        <v/>
      </c>
      <c r="AF89" s="62">
        <f>G89-N89-O89-P89-Q89-R89-S89-V89-X89-Y89-L89</f>
        <v/>
      </c>
      <c r="AG89" s="63">
        <f>AF89-AD89</f>
        <v/>
      </c>
      <c r="AH89" s="64">
        <f>AG89/G89</f>
        <v/>
      </c>
      <c r="AI89" s="65">
        <f>AG89/L89</f>
        <v/>
      </c>
      <c r="AJ89" s="57">
        <f>(O89+Q89+V89+X89+Y89+L89)/(1-(M89+$G$4+(1-H89)*$G$3+$G$8+Z89+AB89))</f>
        <v/>
      </c>
    </row>
    <row r="90" ht="14.25" customHeight="1" s="91">
      <c r="A90" s="66" t="inlineStr">
        <is>
          <t>PETITFEE - Black Pearl &amp; Gold Hydrogel Mask Pack [5pcs] / Гидрогелевая маска для лица с черным жемчугом и золотом</t>
        </is>
      </c>
      <c r="B90" s="75" t="n"/>
      <c r="C90" s="76" t="n"/>
      <c r="D90" s="78" t="n">
        <v>2225</v>
      </c>
      <c r="E90" s="78" t="n">
        <v>156</v>
      </c>
      <c r="F90" s="78" t="n">
        <v>23</v>
      </c>
      <c r="G90" s="78" t="n">
        <v>2135</v>
      </c>
      <c r="H90" s="49" t="n">
        <v>0.45</v>
      </c>
      <c r="I90" s="50">
        <f>G90*(1-H90)</f>
        <v/>
      </c>
      <c r="J90" s="71" t="n">
        <v>478.05</v>
      </c>
      <c r="K90" s="52">
        <f>$G$5</f>
        <v/>
      </c>
      <c r="L90" s="53">
        <f>J90+K90</f>
        <v/>
      </c>
      <c r="M90" s="72" t="n">
        <v>0.41</v>
      </c>
      <c r="N90" s="57">
        <f>G90*M90</f>
        <v/>
      </c>
      <c r="O90" s="88" t="n">
        <v>72</v>
      </c>
      <c r="P90" s="57">
        <f>G90*$G$8</f>
        <v/>
      </c>
      <c r="Q90" s="88" t="n">
        <v>25</v>
      </c>
      <c r="R90" s="57">
        <f>G90*$G$4</f>
        <v/>
      </c>
      <c r="S90" s="57">
        <f>I90*$G$3</f>
        <v/>
      </c>
      <c r="T90" s="73" t="n">
        <v>0.9</v>
      </c>
      <c r="U90" s="88" t="n">
        <v>72</v>
      </c>
      <c r="V90" s="57">
        <f>U90*(1-T90)</f>
        <v/>
      </c>
      <c r="W90" s="85" t="n">
        <v>1.1</v>
      </c>
      <c r="X90" s="57">
        <f>$G$6*$G$7*W90</f>
        <v/>
      </c>
      <c r="Y90" s="53">
        <f>W90*($G$9+$G$10)</f>
        <v/>
      </c>
      <c r="Z90" s="72" t="n">
        <v>0.07000000000000001</v>
      </c>
      <c r="AA90" s="57">
        <f>G90*Z90</f>
        <v/>
      </c>
      <c r="AB90" s="73" t="n">
        <v>0.08</v>
      </c>
      <c r="AC90" s="57">
        <f>G90*AB90</f>
        <v/>
      </c>
      <c r="AD90" s="57">
        <f>AA90+AC90</f>
        <v/>
      </c>
      <c r="AE90" s="61">
        <f>AD90/G90</f>
        <v/>
      </c>
      <c r="AF90" s="62">
        <f>G90-N90-O90-P90-Q90-R90-S90-V90-X90-Y90-L90</f>
        <v/>
      </c>
      <c r="AG90" s="63">
        <f>AF90-AD90</f>
        <v/>
      </c>
      <c r="AH90" s="64">
        <f>AG90/G90</f>
        <v/>
      </c>
      <c r="AI90" s="65">
        <f>AG90/L90</f>
        <v/>
      </c>
      <c r="AJ90" s="57">
        <f>(O90+Q90+V90+X90+Y90+L90)/(1-(M90+$G$4+(1-H90)*$G$3+$G$8+Z90+AB90))</f>
        <v/>
      </c>
    </row>
    <row r="91" ht="14.25" customHeight="1" s="91">
      <c r="A91" s="66" t="inlineStr">
        <is>
          <t>DEOPROCE SHAMPOO - BLACK GARLIC INTENSME ENERGY [200ml]/ Шампунь с черным чесноком против выпадения волос</t>
        </is>
      </c>
      <c r="B91" s="75" t="n"/>
      <c r="C91" s="76" t="n"/>
      <c r="D91" s="78" t="n">
        <v>980</v>
      </c>
      <c r="E91" s="78" t="n">
        <v>8</v>
      </c>
      <c r="F91" s="78" t="n">
        <v>0</v>
      </c>
      <c r="G91" s="78" t="n">
        <v>900</v>
      </c>
      <c r="H91" s="49" t="n">
        <v>0.45</v>
      </c>
      <c r="I91" s="50">
        <f>G91*(1-H91)</f>
        <v/>
      </c>
      <c r="J91" s="71" t="n">
        <v>151.13</v>
      </c>
      <c r="K91" s="52">
        <f>$G$5</f>
        <v/>
      </c>
      <c r="L91" s="53">
        <f>J91+K91</f>
        <v/>
      </c>
      <c r="M91" s="72" t="n">
        <v>0.41</v>
      </c>
      <c r="N91" s="57">
        <f>G91*M91</f>
        <v/>
      </c>
      <c r="O91" s="88" t="n">
        <v>67</v>
      </c>
      <c r="P91" s="57">
        <f>G91*$G$8</f>
        <v/>
      </c>
      <c r="Q91" s="88" t="n">
        <v>25</v>
      </c>
      <c r="R91" s="57">
        <f>G91*$G$4</f>
        <v/>
      </c>
      <c r="S91" s="57">
        <f>I91*$G$3</f>
        <v/>
      </c>
      <c r="T91" s="73" t="n">
        <v>0.9</v>
      </c>
      <c r="U91" s="88" t="n">
        <v>67</v>
      </c>
      <c r="V91" s="57">
        <f>U91*(1-T91)</f>
        <v/>
      </c>
      <c r="W91" s="85" t="n">
        <v>0.68</v>
      </c>
      <c r="X91" s="57">
        <f>$G$6*$G$7*W91</f>
        <v/>
      </c>
      <c r="Y91" s="53">
        <f>W91*($G$9+$G$10)</f>
        <v/>
      </c>
      <c r="Z91" s="72" t="n">
        <v>0.07000000000000001</v>
      </c>
      <c r="AA91" s="57">
        <f>G91*Z91</f>
        <v/>
      </c>
      <c r="AB91" s="73" t="n">
        <v>0.08</v>
      </c>
      <c r="AC91" s="57">
        <f>G91*AB91</f>
        <v/>
      </c>
      <c r="AD91" s="57">
        <f>AA91+AC91</f>
        <v/>
      </c>
      <c r="AE91" s="61">
        <f>AD91/G91</f>
        <v/>
      </c>
      <c r="AF91" s="62">
        <f>G91-N91-O91-P91-Q91-R91-S91-V91-X91-Y91-L91</f>
        <v/>
      </c>
      <c r="AG91" s="63">
        <f>AF91-AD91</f>
        <v/>
      </c>
      <c r="AH91" s="64">
        <f>AG91/G91</f>
        <v/>
      </c>
      <c r="AI91" s="65">
        <f>AG91/L91</f>
        <v/>
      </c>
      <c r="AJ91" s="57">
        <f>(O91+Q91+V91+X91+Y91+L91)/(1-(M91+$G$4+(1-H91)*$G$3+$G$8+Z91+AB91))</f>
        <v/>
      </c>
    </row>
    <row r="92" ht="14.25" customHeight="1" s="91">
      <c r="A92" s="66" t="inlineStr">
        <is>
          <t>HEIMISH - Artless Glow Base SPF50+ PA+++(Renew) [40ml] / База под макияж SPF50+ PA+++</t>
        </is>
      </c>
      <c r="B92" s="75" t="n"/>
      <c r="C92" s="76" t="n"/>
      <c r="D92" s="78" t="n">
        <v>2980</v>
      </c>
      <c r="E92" s="78" t="n">
        <v>100</v>
      </c>
      <c r="F92" s="78" t="n">
        <v>0</v>
      </c>
      <c r="G92" s="78" t="n">
        <v>2750</v>
      </c>
      <c r="H92" s="49" t="n">
        <v>0.45</v>
      </c>
      <c r="I92" s="50">
        <f>G92*(1-H92)</f>
        <v/>
      </c>
      <c r="J92" s="71" t="n">
        <v>770.48</v>
      </c>
      <c r="K92" s="52">
        <f>$G$5</f>
        <v/>
      </c>
      <c r="L92" s="53">
        <f>J92+K92</f>
        <v/>
      </c>
      <c r="M92" s="72" t="n">
        <v>0.41</v>
      </c>
      <c r="N92" s="57">
        <f>G92*M92</f>
        <v/>
      </c>
      <c r="O92" s="88" t="n">
        <v>56</v>
      </c>
      <c r="P92" s="57">
        <f>G92*$G$8</f>
        <v/>
      </c>
      <c r="Q92" s="88" t="n">
        <v>25</v>
      </c>
      <c r="R92" s="57">
        <f>G92*$G$4</f>
        <v/>
      </c>
      <c r="S92" s="57">
        <f>I92*$G$3</f>
        <v/>
      </c>
      <c r="T92" s="73" t="n">
        <v>0.9</v>
      </c>
      <c r="U92" s="88" t="n">
        <v>56</v>
      </c>
      <c r="V92" s="57">
        <f>U92*(1-T92)</f>
        <v/>
      </c>
      <c r="W92" s="85" t="n">
        <v>0.14</v>
      </c>
      <c r="X92" s="57">
        <f>$G$6*$G$7*W92</f>
        <v/>
      </c>
      <c r="Y92" s="53">
        <f>W92*($G$9+$G$10)</f>
        <v/>
      </c>
      <c r="Z92" s="72" t="n">
        <v>0.05</v>
      </c>
      <c r="AA92" s="57">
        <f>G92*Z92</f>
        <v/>
      </c>
      <c r="AB92" s="73" t="n">
        <v>0.05</v>
      </c>
      <c r="AC92" s="57">
        <f>G92*AB92</f>
        <v/>
      </c>
      <c r="AD92" s="57">
        <f>AA92+AC92</f>
        <v/>
      </c>
      <c r="AE92" s="61">
        <f>AD92/G92</f>
        <v/>
      </c>
      <c r="AF92" s="62">
        <f>G92-N92-O92-P92-Q92-R92-S92-V92-X92-Y92-L92</f>
        <v/>
      </c>
      <c r="AG92" s="63">
        <f>AF92-AD92</f>
        <v/>
      </c>
      <c r="AH92" s="64">
        <f>AG92/G92</f>
        <v/>
      </c>
      <c r="AI92" s="65">
        <f>AG92/L92</f>
        <v/>
      </c>
      <c r="AJ92" s="57">
        <f>(O92+Q92+V92+X92+Y92+L92)/(1-(M92+$G$4+(1-H92)*$G$3+$G$8+Z92+AB92))</f>
        <v/>
      </c>
    </row>
    <row r="93" ht="14.25" customHeight="1" s="91">
      <c r="A93" s="66" t="inlineStr">
        <is>
          <t>JMSOLUTION - MASK PACK BLACK [30ml*10ea] - ассорти набор 10шт в упаковке</t>
        </is>
      </c>
      <c r="B93" s="75" t="n"/>
      <c r="C93" s="76" t="n"/>
      <c r="D93" s="78" t="n">
        <v>2340</v>
      </c>
      <c r="E93" s="78" t="inlineStr">
        <is>
          <t>51 (закончились)</t>
        </is>
      </c>
      <c r="F93" s="78" t="n">
        <v>4</v>
      </c>
      <c r="G93" s="78" t="n">
        <v>2086</v>
      </c>
      <c r="H93" s="49" t="n">
        <v>0.45</v>
      </c>
      <c r="I93" s="50">
        <f>G93*(1-H93)</f>
        <v/>
      </c>
      <c r="J93" s="71" t="n">
        <v>463.2</v>
      </c>
      <c r="K93" s="52">
        <f>$G$5</f>
        <v/>
      </c>
      <c r="L93" s="53">
        <f>J93+K93</f>
        <v/>
      </c>
      <c r="M93" s="72" t="n">
        <v>0.41</v>
      </c>
      <c r="N93" s="57">
        <f>G93*M93</f>
        <v/>
      </c>
      <c r="O93" s="88" t="n">
        <v>72</v>
      </c>
      <c r="P93" s="57">
        <f>G93*$G$8</f>
        <v/>
      </c>
      <c r="Q93" s="88" t="n">
        <v>25</v>
      </c>
      <c r="R93" s="57">
        <f>G93*$G$4</f>
        <v/>
      </c>
      <c r="S93" s="57">
        <f>I93*$G$3</f>
        <v/>
      </c>
      <c r="T93" s="73" t="n">
        <v>0.9</v>
      </c>
      <c r="U93" s="88" t="n">
        <v>72</v>
      </c>
      <c r="V93" s="57">
        <f>U93*(1-T93)</f>
        <v/>
      </c>
      <c r="W93" s="85" t="n">
        <v>1.25</v>
      </c>
      <c r="X93" s="57">
        <f>$G$6*$G$7*W93</f>
        <v/>
      </c>
      <c r="Y93" s="53">
        <f>W93*($G$9+$G$10)</f>
        <v/>
      </c>
      <c r="Z93" s="72" t="n">
        <v>0.07000000000000001</v>
      </c>
      <c r="AA93" s="57">
        <f>G93*Z93</f>
        <v/>
      </c>
      <c r="AB93" s="73" t="n">
        <v>0.08</v>
      </c>
      <c r="AC93" s="57">
        <f>G93*AB93</f>
        <v/>
      </c>
      <c r="AD93" s="57">
        <f>AA93+AC93</f>
        <v/>
      </c>
      <c r="AE93" s="61">
        <f>AD93/G93</f>
        <v/>
      </c>
      <c r="AF93" s="62">
        <f>G93-N93-O93-P93-Q93-R93-S93-V93-X93-Y93-L93</f>
        <v/>
      </c>
      <c r="AG93" s="63">
        <f>AF93-AD93</f>
        <v/>
      </c>
      <c r="AH93" s="64">
        <f>AG93/G93</f>
        <v/>
      </c>
      <c r="AI93" s="65">
        <f>AG93/L93</f>
        <v/>
      </c>
      <c r="AJ93" s="57">
        <f>(O93+Q93+V93+X93+Y93+L93)/(1-(M93+$G$4+(1-H93)*$G$3+$G$8+Z93+AB93))</f>
        <v/>
      </c>
    </row>
    <row r="94" ht="14.25" customHeight="1" s="91">
      <c r="A94" s="66" t="inlineStr">
        <is>
          <t>JMSOLUTION - MASK PACK DISNEY [30ml*10ea] - ассорти набор из 10шт</t>
        </is>
      </c>
      <c r="B94" s="75" t="n"/>
      <c r="C94" s="76" t="inlineStr">
        <is>
          <t>нет таких наборов</t>
        </is>
      </c>
      <c r="D94" s="78" t="n"/>
      <c r="E94" s="78" t="n"/>
      <c r="F94" s="78" t="n"/>
      <c r="G94" s="78" t="n">
        <v>2086</v>
      </c>
      <c r="H94" s="49" t="n">
        <v>0.45</v>
      </c>
      <c r="I94" s="50">
        <f>G94*(1-H94)</f>
        <v/>
      </c>
      <c r="J94" s="71" t="n">
        <v>463.2</v>
      </c>
      <c r="K94" s="52">
        <f>$G$5</f>
        <v/>
      </c>
      <c r="L94" s="53">
        <f>J94+K94</f>
        <v/>
      </c>
      <c r="M94" s="72" t="n">
        <v>0.41</v>
      </c>
      <c r="N94" s="57">
        <f>G94*M94</f>
        <v/>
      </c>
      <c r="O94" s="88" t="n">
        <v>72</v>
      </c>
      <c r="P94" s="57">
        <f>G94*$G$8</f>
        <v/>
      </c>
      <c r="Q94" s="88" t="n">
        <v>25</v>
      </c>
      <c r="R94" s="57">
        <f>G94*$G$4</f>
        <v/>
      </c>
      <c r="S94" s="57">
        <f>I94*$G$3</f>
        <v/>
      </c>
      <c r="T94" s="73" t="n">
        <v>0.9</v>
      </c>
      <c r="U94" s="88" t="n">
        <v>72</v>
      </c>
      <c r="V94" s="57">
        <f>U94*(1-T94)</f>
        <v/>
      </c>
      <c r="W94" s="85" t="n">
        <v>1.25</v>
      </c>
      <c r="X94" s="57">
        <f>$G$6*$G$7*W94</f>
        <v/>
      </c>
      <c r="Y94" s="53">
        <f>W94*($G$9+$G$10)</f>
        <v/>
      </c>
      <c r="Z94" s="72" t="n">
        <v>0.07000000000000001</v>
      </c>
      <c r="AA94" s="57">
        <f>G94*Z94</f>
        <v/>
      </c>
      <c r="AB94" s="73" t="n">
        <v>0.08</v>
      </c>
      <c r="AC94" s="57">
        <f>G94*AB94</f>
        <v/>
      </c>
      <c r="AD94" s="57">
        <f>AA94+AC94</f>
        <v/>
      </c>
      <c r="AE94" s="61">
        <f>AD94/G94</f>
        <v/>
      </c>
      <c r="AF94" s="62">
        <f>G94-N94-O94-P94-Q94-R94-S94-V94-X94-Y94-L94</f>
        <v/>
      </c>
      <c r="AG94" s="63">
        <f>AF94-AD94</f>
        <v/>
      </c>
      <c r="AH94" s="64">
        <f>AG94/G94</f>
        <v/>
      </c>
      <c r="AI94" s="65">
        <f>AG94/L94</f>
        <v/>
      </c>
      <c r="AJ94" s="57">
        <f>(O94+Q94+V94+X94+Y94+L94)/(1-(M94+$G$4+(1-H94)*$G$3+$G$8+Z94+AB94))</f>
        <v/>
      </c>
    </row>
    <row r="95" ht="14.25" customHeight="1" s="91">
      <c r="A95" s="66" t="inlineStr">
        <is>
          <t>VT PDRN ESSENCE 100 / Укрепляющая бустер-эссенция с ПДРН</t>
        </is>
      </c>
      <c r="B95" s="75" t="n"/>
      <c r="C95" s="76" t="n"/>
      <c r="D95" s="78" t="n">
        <v>6000</v>
      </c>
      <c r="E95" s="78" t="n">
        <v>500</v>
      </c>
      <c r="F95" s="78" t="n">
        <v>10</v>
      </c>
      <c r="G95" s="78" t="n">
        <v>5700</v>
      </c>
      <c r="H95" s="49" t="n">
        <v>0.45</v>
      </c>
      <c r="I95" s="50">
        <f>G95*(1-H95)</f>
        <v/>
      </c>
      <c r="J95" s="71" t="n">
        <v>1335.95</v>
      </c>
      <c r="K95" s="52">
        <f>$G$5</f>
        <v/>
      </c>
      <c r="L95" s="53">
        <f>J95+K95</f>
        <v/>
      </c>
      <c r="M95" s="72" t="n">
        <v>0.41</v>
      </c>
      <c r="N95" s="57">
        <f>G95*M95</f>
        <v/>
      </c>
      <c r="O95" s="88" t="n">
        <v>63</v>
      </c>
      <c r="P95" s="57">
        <f>G95*$G$8</f>
        <v/>
      </c>
      <c r="Q95" s="88" t="n">
        <v>25</v>
      </c>
      <c r="R95" s="57">
        <f>G95*$G$4</f>
        <v/>
      </c>
      <c r="S95" s="57">
        <f>I95*$G$3</f>
        <v/>
      </c>
      <c r="T95" s="73" t="n">
        <v>0.9</v>
      </c>
      <c r="U95" s="88" t="n">
        <v>63</v>
      </c>
      <c r="V95" s="57">
        <f>U95*(1-T95)</f>
        <v/>
      </c>
      <c r="W95" s="85" t="n">
        <v>0.3</v>
      </c>
      <c r="X95" s="57">
        <f>$G$6*$G$7*W95</f>
        <v/>
      </c>
      <c r="Y95" s="53">
        <f>W95*($G$9+$G$10)</f>
        <v/>
      </c>
      <c r="Z95" s="72" t="n">
        <v>0.07000000000000001</v>
      </c>
      <c r="AA95" s="57">
        <f>G95*Z95</f>
        <v/>
      </c>
      <c r="AB95" s="73" t="n">
        <v>0.08</v>
      </c>
      <c r="AC95" s="57">
        <f>G95*AB95</f>
        <v/>
      </c>
      <c r="AD95" s="57">
        <f>AA95+AC95</f>
        <v/>
      </c>
      <c r="AE95" s="61">
        <f>AD95/G95</f>
        <v/>
      </c>
      <c r="AF95" s="62">
        <f>G95-N95-O95-P95-Q95-R95-S95-V95-X95-Y95-L95</f>
        <v/>
      </c>
      <c r="AG95" s="63">
        <f>AF95-AD95</f>
        <v/>
      </c>
      <c r="AH95" s="64">
        <f>AG95/G95</f>
        <v/>
      </c>
      <c r="AI95" s="65">
        <f>AG95/L95</f>
        <v/>
      </c>
      <c r="AJ95" s="57">
        <f>(O95+Q95+V95+X95+Y95+L95)/(1-(M95+$G$4+(1-H95)*$G$3+$G$8+Z95+AB95))</f>
        <v/>
      </c>
    </row>
    <row r="96" ht="14.25" customHeight="1" s="91">
      <c r="A96" s="66" t="inlineStr">
        <is>
          <t>VT REEDLE SHOT 100 / Бустер-сыворотка с микроиглами</t>
        </is>
      </c>
      <c r="B96" s="75" t="n"/>
      <c r="C96" s="76" t="n"/>
      <c r="D96" s="78" t="n">
        <v>5900</v>
      </c>
      <c r="E96" s="78" t="n">
        <v>220</v>
      </c>
      <c r="F96" s="78" t="n">
        <v>11</v>
      </c>
      <c r="G96" s="78" t="n">
        <v>5600</v>
      </c>
      <c r="H96" s="49" t="n">
        <v>0.45</v>
      </c>
      <c r="I96" s="50">
        <f>G96*(1-H96)</f>
        <v/>
      </c>
      <c r="J96" s="71" t="n">
        <v>974.04</v>
      </c>
      <c r="K96" s="52">
        <f>$G$5</f>
        <v/>
      </c>
      <c r="L96" s="53">
        <f>J96+K96</f>
        <v/>
      </c>
      <c r="M96" s="72" t="n">
        <v>0.41</v>
      </c>
      <c r="N96" s="57">
        <f>G96*M96</f>
        <v/>
      </c>
      <c r="O96" s="88" t="n">
        <v>63</v>
      </c>
      <c r="P96" s="57">
        <f>G96*$G$8</f>
        <v/>
      </c>
      <c r="Q96" s="88" t="n">
        <v>25</v>
      </c>
      <c r="R96" s="57">
        <f>G96*$G$4</f>
        <v/>
      </c>
      <c r="S96" s="57">
        <f>I96*$G$3</f>
        <v/>
      </c>
      <c r="T96" s="73" t="n">
        <v>0.9</v>
      </c>
      <c r="U96" s="88" t="n">
        <v>63</v>
      </c>
      <c r="V96" s="57">
        <f>U96*(1-T96)</f>
        <v/>
      </c>
      <c r="W96" s="85" t="n">
        <v>0.4</v>
      </c>
      <c r="X96" s="57">
        <f>$G$6*$G$7*W96</f>
        <v/>
      </c>
      <c r="Y96" s="53">
        <f>W96*($G$9+$G$10)</f>
        <v/>
      </c>
      <c r="Z96" s="72" t="n">
        <v>0.07000000000000001</v>
      </c>
      <c r="AA96" s="57">
        <f>G96*Z96</f>
        <v/>
      </c>
      <c r="AB96" s="73" t="n">
        <v>0.08</v>
      </c>
      <c r="AC96" s="57">
        <f>G96*AB96</f>
        <v/>
      </c>
      <c r="AD96" s="57">
        <f>AA96+AC96</f>
        <v/>
      </c>
      <c r="AE96" s="61">
        <f>AD96/G96</f>
        <v/>
      </c>
      <c r="AF96" s="62">
        <f>G96-N96-O96-P96-Q96-R96-S96-V96-X96-Y96-L96</f>
        <v/>
      </c>
      <c r="AG96" s="63">
        <f>AF96-AD96</f>
        <v/>
      </c>
      <c r="AH96" s="64">
        <f>AG96/G96</f>
        <v/>
      </c>
      <c r="AI96" s="65">
        <f>AG96/L96</f>
        <v/>
      </c>
      <c r="AJ96" s="57">
        <f>(O96+Q96+V96+X96+Y96+L96)/(1-(M96+$G$4+(1-H96)*$G$3+$G$8+Z96+AB96))</f>
        <v/>
      </c>
    </row>
    <row r="97" ht="14.25" customHeight="1" s="91">
      <c r="A97" s="69" t="inlineStr">
        <is>
          <t>MEDICUBE PDRN PINK PEPTIDE SERUM 30ml</t>
        </is>
      </c>
      <c r="B97" s="70" t="n">
        <v>320</v>
      </c>
      <c r="D97" s="78" t="n">
        <v>4880</v>
      </c>
      <c r="E97" s="78" t="n">
        <v>220</v>
      </c>
      <c r="F97" s="78" t="n">
        <v>10</v>
      </c>
      <c r="G97" s="78" t="n">
        <v>4580</v>
      </c>
      <c r="H97" s="49" t="n">
        <v>0.45</v>
      </c>
      <c r="I97" s="50">
        <f>G97*(1-H97)</f>
        <v/>
      </c>
      <c r="J97" s="71" t="n">
        <v>674</v>
      </c>
      <c r="K97" s="52">
        <f>$G$5</f>
        <v/>
      </c>
      <c r="L97" s="53">
        <f>J97+K97</f>
        <v/>
      </c>
      <c r="M97" s="72" t="n">
        <v>0.41</v>
      </c>
      <c r="N97" s="57">
        <f>G97*M97</f>
        <v/>
      </c>
      <c r="O97" s="88" t="n">
        <v>63</v>
      </c>
      <c r="P97" s="57">
        <f>G97*$G$8</f>
        <v/>
      </c>
      <c r="Q97" s="88" t="n">
        <v>25</v>
      </c>
      <c r="R97" s="57">
        <f>G97*$G$4</f>
        <v/>
      </c>
      <c r="S97" s="57">
        <f>I97*$G$3</f>
        <v/>
      </c>
      <c r="T97" s="73" t="n">
        <v>0.9</v>
      </c>
      <c r="U97" s="88" t="n">
        <v>63</v>
      </c>
      <c r="V97" s="57">
        <f>U97*(1-T97)</f>
        <v/>
      </c>
      <c r="W97" s="85" t="n">
        <v>0.4</v>
      </c>
      <c r="X97" s="57">
        <f>$G$6*$G$7*W97</f>
        <v/>
      </c>
      <c r="Y97" s="53">
        <f>W97*($G$9+$G$10)</f>
        <v/>
      </c>
      <c r="Z97" s="72" t="n">
        <v>0.07000000000000001</v>
      </c>
      <c r="AA97" s="57">
        <f>G97*Z97</f>
        <v/>
      </c>
      <c r="AB97" s="73" t="n">
        <v>0.08</v>
      </c>
      <c r="AC97" s="57">
        <f>G97*AB97</f>
        <v/>
      </c>
      <c r="AD97" s="57">
        <f>AA97+AC97</f>
        <v/>
      </c>
      <c r="AE97" s="61">
        <f>AD97/G97</f>
        <v/>
      </c>
      <c r="AF97" s="62">
        <f>G97-N97-O97-P97-Q97-R97-S97-V97-X97-Y97-L97</f>
        <v/>
      </c>
      <c r="AG97" s="63">
        <f>AF97-AD97</f>
        <v/>
      </c>
      <c r="AH97" s="64">
        <f>AG97/G97</f>
        <v/>
      </c>
      <c r="AI97" s="65">
        <f>AG97/L97</f>
        <v/>
      </c>
      <c r="AJ97" s="57">
        <f>(O97+Q97+V97+X97+Y97+L97)/(1-(M97+$G$4+(1-H97)*$G$3+$G$8+Z97+AB97))</f>
        <v/>
      </c>
    </row>
    <row r="98" ht="14.25" customHeight="1" s="91">
      <c r="A98" s="69" t="inlineStr">
        <is>
          <t>MEDICUBE PDRN PINK EXOSOME SHOT SERUM 7500 30ml</t>
        </is>
      </c>
      <c r="B98" s="70" t="n">
        <v>400</v>
      </c>
      <c r="C98" s="90" t="n"/>
      <c r="D98" s="78" t="n">
        <v>5000</v>
      </c>
      <c r="E98" s="78" t="n">
        <v>60</v>
      </c>
      <c r="F98" s="78" t="n">
        <v>10</v>
      </c>
      <c r="G98" s="78" t="n">
        <v>4700</v>
      </c>
      <c r="H98" s="49" t="n">
        <v>0.45</v>
      </c>
      <c r="I98" s="50">
        <f>G98*(1-H98)</f>
        <v/>
      </c>
      <c r="J98" s="71" t="n">
        <v>833</v>
      </c>
      <c r="K98" s="52">
        <f>$G$5</f>
        <v/>
      </c>
      <c r="L98" s="53">
        <f>J98+K98</f>
        <v/>
      </c>
      <c r="M98" s="72" t="n">
        <v>0.41</v>
      </c>
      <c r="N98" s="57">
        <f>G98*M98</f>
        <v/>
      </c>
      <c r="O98" s="88" t="n">
        <v>63</v>
      </c>
      <c r="P98" s="57">
        <f>G98*$G$8</f>
        <v/>
      </c>
      <c r="Q98" s="88" t="n">
        <v>25</v>
      </c>
      <c r="R98" s="57">
        <f>G98*$G$4</f>
        <v/>
      </c>
      <c r="S98" s="57">
        <f>I98*$G$3</f>
        <v/>
      </c>
      <c r="T98" s="73" t="n">
        <v>0.9</v>
      </c>
      <c r="U98" s="88" t="n">
        <v>63</v>
      </c>
      <c r="V98" s="57">
        <f>U98*(1-T98)</f>
        <v/>
      </c>
      <c r="W98" s="85" t="n">
        <v>0.4</v>
      </c>
      <c r="X98" s="57">
        <f>$G$6*$G$7*W98</f>
        <v/>
      </c>
      <c r="Y98" s="53">
        <f>W98*($G$9+$G$10)</f>
        <v/>
      </c>
      <c r="Z98" s="72" t="n">
        <v>0.07000000000000001</v>
      </c>
      <c r="AA98" s="57">
        <f>G98*Z98</f>
        <v/>
      </c>
      <c r="AB98" s="73" t="n">
        <v>0.08</v>
      </c>
      <c r="AC98" s="57">
        <f>G98*AB98</f>
        <v/>
      </c>
      <c r="AD98" s="57">
        <f>AA98+AC98</f>
        <v/>
      </c>
      <c r="AE98" s="61">
        <f>AD98/G98</f>
        <v/>
      </c>
      <c r="AF98" s="62">
        <f>G98-N98-O98-P98-Q98-R98-S98-V98-X98-Y98-L98</f>
        <v/>
      </c>
      <c r="AG98" s="63">
        <f>AF98-AD98</f>
        <v/>
      </c>
      <c r="AH98" s="64">
        <f>AG98/G98</f>
        <v/>
      </c>
      <c r="AI98" s="65">
        <f>AG98/L98</f>
        <v/>
      </c>
      <c r="AJ98" s="57">
        <f>(O98+Q98+V98+X98+Y98+L98)/(1-(M98+$G$4+(1-H98)*$G$3+$G$8+Z98+AB98))</f>
        <v/>
      </c>
    </row>
    <row r="99" ht="14.25" customHeight="1" s="91">
      <c r="A99" s="69" t="inlineStr">
        <is>
          <t>MEDICUBE PDRN PINK EXOSOME SHOT SERUM 2000 30ml</t>
        </is>
      </c>
      <c r="B99" s="70" t="n">
        <v>300</v>
      </c>
      <c r="D99" s="78" t="n">
        <v>5150</v>
      </c>
      <c r="E99" s="78" t="n">
        <v>65</v>
      </c>
      <c r="F99" s="78" t="n">
        <v>5</v>
      </c>
      <c r="G99" s="78" t="n">
        <v>4850</v>
      </c>
      <c r="H99" s="49" t="n">
        <v>0.45</v>
      </c>
      <c r="I99" s="50">
        <f>G99*(1-H99)</f>
        <v/>
      </c>
      <c r="J99" s="71" t="n">
        <v>757</v>
      </c>
      <c r="K99" s="52">
        <f>$G$5</f>
        <v/>
      </c>
      <c r="L99" s="53">
        <f>J99+K99</f>
        <v/>
      </c>
      <c r="M99" s="72" t="n">
        <v>0.41</v>
      </c>
      <c r="N99" s="57">
        <f>G99*M99</f>
        <v/>
      </c>
      <c r="O99" s="88" t="n">
        <v>63</v>
      </c>
      <c r="P99" s="57">
        <f>G99*$G$8</f>
        <v/>
      </c>
      <c r="Q99" s="88" t="n">
        <v>25</v>
      </c>
      <c r="R99" s="57">
        <f>G99*$G$4</f>
        <v/>
      </c>
      <c r="S99" s="57">
        <f>I99*$G$3</f>
        <v/>
      </c>
      <c r="T99" s="73" t="n">
        <v>0.9</v>
      </c>
      <c r="U99" s="88" t="n">
        <v>63</v>
      </c>
      <c r="V99" s="57">
        <f>U99*(1-T99)</f>
        <v/>
      </c>
      <c r="W99" s="85" t="n">
        <v>0.4</v>
      </c>
      <c r="X99" s="57">
        <f>$G$6*$G$7*W99</f>
        <v/>
      </c>
      <c r="Y99" s="53">
        <f>W99*($G$9+$G$10)</f>
        <v/>
      </c>
      <c r="Z99" s="72" t="n">
        <v>0.07000000000000001</v>
      </c>
      <c r="AA99" s="57">
        <f>G99*Z99</f>
        <v/>
      </c>
      <c r="AB99" s="73" t="n">
        <v>0.08</v>
      </c>
      <c r="AC99" s="57">
        <f>G99*AB99</f>
        <v/>
      </c>
      <c r="AD99" s="57">
        <f>AA99+AC99</f>
        <v/>
      </c>
      <c r="AE99" s="61">
        <f>AD99/G99</f>
        <v/>
      </c>
      <c r="AF99" s="62">
        <f>G99-N99-O99-P99-Q99-R99-S99-V99-X99-Y99-L99</f>
        <v/>
      </c>
      <c r="AG99" s="63">
        <f>AF99-AD99</f>
        <v/>
      </c>
      <c r="AH99" s="64">
        <f>AG99/G99</f>
        <v/>
      </c>
      <c r="AI99" s="65">
        <f>AG99/L99</f>
        <v/>
      </c>
      <c r="AJ99" s="57">
        <f>(O99+Q99+V99+X99+Y99+L99)/(1-(M99+$G$4+(1-H99)*$G$3+$G$8+Z99+AB99))</f>
        <v/>
      </c>
    </row>
    <row r="100" ht="14.25" customHeight="1" s="91">
      <c r="A100" s="69" t="inlineStr">
        <is>
          <t>MEDICUBE TXA NIACINAMIDE CAPSULE CREAM 55g</t>
        </is>
      </c>
      <c r="B100" s="70" t="n">
        <v>240</v>
      </c>
      <c r="D100" s="78" t="n">
        <v>6900</v>
      </c>
      <c r="E100" s="78" t="n">
        <v>25</v>
      </c>
      <c r="F100" s="78" t="n">
        <v>0</v>
      </c>
      <c r="G100" s="78" t="n">
        <v>6500</v>
      </c>
      <c r="H100" s="49" t="n">
        <v>0.45</v>
      </c>
      <c r="I100" s="50">
        <f>G100*(1-H100)</f>
        <v/>
      </c>
      <c r="J100" s="71" t="n">
        <v>922</v>
      </c>
      <c r="K100" s="52">
        <f>$G$5</f>
        <v/>
      </c>
      <c r="L100" s="53">
        <f>J100+K100</f>
        <v/>
      </c>
      <c r="M100" s="72" t="n">
        <v>0.41</v>
      </c>
      <c r="N100" s="57">
        <f>G100*M100</f>
        <v/>
      </c>
      <c r="O100" s="88" t="n">
        <v>63</v>
      </c>
      <c r="P100" s="57">
        <f>G100*$G$8</f>
        <v/>
      </c>
      <c r="Q100" s="88" t="n">
        <v>25</v>
      </c>
      <c r="R100" s="57">
        <f>G100*$G$4</f>
        <v/>
      </c>
      <c r="S100" s="57">
        <f>I100*$G$3</f>
        <v/>
      </c>
      <c r="T100" s="73" t="n">
        <v>0.9</v>
      </c>
      <c r="U100" s="88" t="n">
        <v>63</v>
      </c>
      <c r="V100" s="57">
        <f>U100*(1-T100)</f>
        <v/>
      </c>
      <c r="W100" s="85" t="n">
        <v>0.4</v>
      </c>
      <c r="X100" s="57">
        <f>$G$6*$G$7*W100</f>
        <v/>
      </c>
      <c r="Y100" s="53">
        <f>W100*($G$9+$G$10)</f>
        <v/>
      </c>
      <c r="Z100" s="72" t="n">
        <v>0.07000000000000001</v>
      </c>
      <c r="AA100" s="57">
        <f>G100*Z100</f>
        <v/>
      </c>
      <c r="AB100" s="73" t="n">
        <v>0.08</v>
      </c>
      <c r="AC100" s="57">
        <f>G100*AB100</f>
        <v/>
      </c>
      <c r="AD100" s="57">
        <f>AA100+AC100</f>
        <v/>
      </c>
      <c r="AE100" s="61">
        <f>AD100/G100</f>
        <v/>
      </c>
      <c r="AF100" s="62">
        <f>G100-N100-O100-P100-Q100-R100-S100-V100-X100-Y100-L100</f>
        <v/>
      </c>
      <c r="AG100" s="63">
        <f>AF100-AD100</f>
        <v/>
      </c>
      <c r="AH100" s="64">
        <f>AG100/G100</f>
        <v/>
      </c>
      <c r="AI100" s="65">
        <f>AG100/L100</f>
        <v/>
      </c>
      <c r="AJ100" s="57">
        <f>(O100+Q100+V100+X100+Y100+L100)/(1-(M100+$G$4+(1-H100)*$G$3+$G$8+Z100+AB100))</f>
        <v/>
      </c>
    </row>
    <row r="101" ht="14.25" customHeight="1" s="91">
      <c r="A101" s="69" t="inlineStr">
        <is>
          <t>MEDICUBE PDRN PINK COLLAGEN CAPSULE CREAM 55g</t>
        </is>
      </c>
      <c r="B101" s="70" t="n">
        <v>160</v>
      </c>
      <c r="D101" s="78" t="n">
        <v>5270</v>
      </c>
      <c r="E101" s="78" t="n">
        <v>200</v>
      </c>
      <c r="F101" s="78" t="n">
        <v>17</v>
      </c>
      <c r="G101" s="78" t="n">
        <v>5000</v>
      </c>
      <c r="H101" s="49" t="n">
        <v>0.45</v>
      </c>
      <c r="I101" s="50">
        <f>G101*(1-H101)</f>
        <v/>
      </c>
      <c r="J101" s="71" t="n">
        <v>1019</v>
      </c>
      <c r="K101" s="52">
        <f>$G$5</f>
        <v/>
      </c>
      <c r="L101" s="53">
        <f>J101+K101</f>
        <v/>
      </c>
      <c r="M101" s="72" t="n">
        <v>0.41</v>
      </c>
      <c r="N101" s="57">
        <f>G101*M101</f>
        <v/>
      </c>
      <c r="O101" s="88" t="n">
        <v>63</v>
      </c>
      <c r="P101" s="57">
        <f>G101*$G$8</f>
        <v/>
      </c>
      <c r="Q101" s="88" t="n">
        <v>25</v>
      </c>
      <c r="R101" s="57">
        <f>G101*$G$4</f>
        <v/>
      </c>
      <c r="S101" s="57">
        <f>I101*$G$3</f>
        <v/>
      </c>
      <c r="T101" s="73" t="n">
        <v>0.9</v>
      </c>
      <c r="U101" s="88" t="n">
        <v>63</v>
      </c>
      <c r="V101" s="57">
        <f>U101*(1-T101)</f>
        <v/>
      </c>
      <c r="W101" s="85" t="n">
        <v>0.4</v>
      </c>
      <c r="X101" s="57">
        <f>$G$6*$G$7*W101</f>
        <v/>
      </c>
      <c r="Y101" s="53">
        <f>W101*($G$9+$G$10)</f>
        <v/>
      </c>
      <c r="Z101" s="72" t="n">
        <v>0.07000000000000001</v>
      </c>
      <c r="AA101" s="57">
        <f>G101*Z101</f>
        <v/>
      </c>
      <c r="AB101" s="73" t="n">
        <v>0.08</v>
      </c>
      <c r="AC101" s="57">
        <f>G101*AB101</f>
        <v/>
      </c>
      <c r="AD101" s="57">
        <f>AA101+AC101</f>
        <v/>
      </c>
      <c r="AE101" s="61">
        <f>AD101/G101</f>
        <v/>
      </c>
      <c r="AF101" s="62">
        <f>G101-N101-O101-P101-Q101-R101-S101-V101-X101-Y101-L101</f>
        <v/>
      </c>
      <c r="AG101" s="63">
        <f>AF101-AD101</f>
        <v/>
      </c>
      <c r="AH101" s="64">
        <f>AG101/G101</f>
        <v/>
      </c>
      <c r="AI101" s="65">
        <f>AG101/L101</f>
        <v/>
      </c>
      <c r="AJ101" s="57">
        <f>(O101+Q101+V101+X101+Y101+L101)/(1-(M101+$G$4+(1-H101)*$G$3+$G$8+Z101+AB101))</f>
        <v/>
      </c>
    </row>
    <row r="102" ht="14.25" customHeight="1" s="91">
      <c r="A102" s="69" t="inlineStr">
        <is>
          <t>MEDICUBE PDRN PINK HYALURONIC MOISTURIZING CREAM 50ml</t>
        </is>
      </c>
      <c r="B102" s="70" t="n">
        <v>200</v>
      </c>
      <c r="D102" s="78" t="n">
        <v>3450</v>
      </c>
      <c r="E102" s="78" t="n">
        <v>100</v>
      </c>
      <c r="F102" s="78" t="n">
        <v>10</v>
      </c>
      <c r="G102" s="78" t="n">
        <v>3150</v>
      </c>
      <c r="H102" s="49" t="n">
        <v>0.45</v>
      </c>
      <c r="I102" s="50">
        <f>G102*(1-H102)</f>
        <v/>
      </c>
      <c r="J102" s="71" t="n">
        <v>670</v>
      </c>
      <c r="K102" s="52">
        <f>$G$5</f>
        <v/>
      </c>
      <c r="L102" s="53">
        <f>J102+K102</f>
        <v/>
      </c>
      <c r="M102" s="72" t="n">
        <v>0.41</v>
      </c>
      <c r="N102" s="57">
        <f>G102*M102</f>
        <v/>
      </c>
      <c r="O102" s="88" t="n">
        <v>63</v>
      </c>
      <c r="P102" s="57">
        <f>G102*$G$8</f>
        <v/>
      </c>
      <c r="Q102" s="88" t="n">
        <v>25</v>
      </c>
      <c r="R102" s="57">
        <f>G102*$G$4</f>
        <v/>
      </c>
      <c r="S102" s="57">
        <f>I102*$G$3</f>
        <v/>
      </c>
      <c r="T102" s="73" t="n">
        <v>0.9</v>
      </c>
      <c r="U102" s="88" t="n">
        <v>63</v>
      </c>
      <c r="V102" s="57">
        <f>U102*(1-T102)</f>
        <v/>
      </c>
      <c r="W102" s="85" t="n">
        <v>0.4</v>
      </c>
      <c r="X102" s="57">
        <f>$G$6*$G$7*W102</f>
        <v/>
      </c>
      <c r="Y102" s="53">
        <f>W102*($G$9+$G$10)</f>
        <v/>
      </c>
      <c r="Z102" s="72" t="n">
        <v>0.07000000000000001</v>
      </c>
      <c r="AA102" s="57">
        <f>G102*Z102</f>
        <v/>
      </c>
      <c r="AB102" s="73" t="n">
        <v>0.08</v>
      </c>
      <c r="AC102" s="57">
        <f>G102*AB102</f>
        <v/>
      </c>
      <c r="AD102" s="57">
        <f>AA102+AC102</f>
        <v/>
      </c>
      <c r="AE102" s="61">
        <f>AD102/G102</f>
        <v/>
      </c>
      <c r="AF102" s="62">
        <f>G102-N102-O102-P102-Q102-R102-S102-V102-X102-Y102-L102</f>
        <v/>
      </c>
      <c r="AG102" s="63">
        <f>AF102-AD102</f>
        <v/>
      </c>
      <c r="AH102" s="64">
        <f>AG102/G102</f>
        <v/>
      </c>
      <c r="AI102" s="65">
        <f>AG102/L102</f>
        <v/>
      </c>
      <c r="AJ102" s="57">
        <f>(O102+Q102+V102+X102+Y102+L102)/(1-(M102+$G$4+(1-H102)*$G$3+$G$8+Z102+AB102))</f>
        <v/>
      </c>
    </row>
    <row r="103" ht="14.25" customHeight="1" s="91">
      <c r="A103" s="69" t="inlineStr">
        <is>
          <t>[Derma Factory] PDRN 4% Ampoule</t>
        </is>
      </c>
      <c r="B103" s="70" t="n">
        <v>1530</v>
      </c>
      <c r="D103" s="78" t="n">
        <v>3350</v>
      </c>
      <c r="E103" s="78" t="n">
        <v>400</v>
      </c>
      <c r="F103" s="78" t="n">
        <v>13</v>
      </c>
      <c r="G103" s="78" t="n">
        <v>3050</v>
      </c>
      <c r="H103" s="49" t="n">
        <v>0.45</v>
      </c>
      <c r="I103" s="50">
        <f>G103*(1-H103)</f>
        <v/>
      </c>
      <c r="J103" s="71" t="n">
        <v>407</v>
      </c>
      <c r="K103" s="52">
        <f>$G$5</f>
        <v/>
      </c>
      <c r="L103" s="53">
        <f>J103+K103</f>
        <v/>
      </c>
      <c r="M103" s="72" t="n">
        <v>0.41</v>
      </c>
      <c r="N103" s="57">
        <f>G103*M103</f>
        <v/>
      </c>
      <c r="O103" s="88" t="n">
        <v>63</v>
      </c>
      <c r="P103" s="57">
        <f>G103*$G$8</f>
        <v/>
      </c>
      <c r="Q103" s="88" t="n">
        <v>25</v>
      </c>
      <c r="R103" s="57">
        <f>G103*$G$4</f>
        <v/>
      </c>
      <c r="S103" s="57">
        <f>I103*$G$3</f>
        <v/>
      </c>
      <c r="T103" s="73" t="n">
        <v>0.9</v>
      </c>
      <c r="U103" s="88" t="n">
        <v>63</v>
      </c>
      <c r="V103" s="57">
        <f>U103*(1-T103)</f>
        <v/>
      </c>
      <c r="W103" s="85" t="n">
        <v>0.4</v>
      </c>
      <c r="X103" s="57">
        <f>$G$6*$G$7*W103</f>
        <v/>
      </c>
      <c r="Y103" s="53">
        <f>W103*($G$9+$G$10)</f>
        <v/>
      </c>
      <c r="Z103" s="72" t="n">
        <v>0.07000000000000001</v>
      </c>
      <c r="AA103" s="57">
        <f>G103*Z103</f>
        <v/>
      </c>
      <c r="AB103" s="73" t="n">
        <v>0.08</v>
      </c>
      <c r="AC103" s="57">
        <f>G103*AB103</f>
        <v/>
      </c>
      <c r="AD103" s="57">
        <f>AA103+AC103</f>
        <v/>
      </c>
      <c r="AE103" s="61">
        <f>AD103/G103</f>
        <v/>
      </c>
      <c r="AF103" s="62">
        <f>G103-N103-O103-P103-Q103-R103-S103-V103-X103-Y103-L103</f>
        <v/>
      </c>
      <c r="AG103" s="63">
        <f>AF103-AD103</f>
        <v/>
      </c>
      <c r="AH103" s="64">
        <f>AG103/G103</f>
        <v/>
      </c>
      <c r="AI103" s="65">
        <f>AG103/L103</f>
        <v/>
      </c>
      <c r="AJ103" s="57">
        <f>(O103+Q103+V103+X103+Y103+L103)/(1-(M103+$G$4+(1-H103)*$G$3+$G$8+Z103+AB103))</f>
        <v/>
      </c>
    </row>
    <row r="104" ht="14.25" customHeight="1" s="91">
      <c r="A104" s="69" t="inlineStr">
        <is>
          <t>[Derma Factory] Tranexamic Acid 6% Cream</t>
        </is>
      </c>
      <c r="B104" s="70" t="n">
        <v>1344</v>
      </c>
      <c r="D104" s="78" t="n">
        <v>2210</v>
      </c>
      <c r="E104" s="78" t="n">
        <v>1100</v>
      </c>
      <c r="F104" s="78" t="n">
        <v>13</v>
      </c>
      <c r="G104" s="78" t="n">
        <v>2000</v>
      </c>
      <c r="H104" s="49" t="n">
        <v>0.45</v>
      </c>
      <c r="I104" s="50">
        <f>G104*(1-H104)</f>
        <v/>
      </c>
      <c r="J104" s="71" t="n">
        <v>261</v>
      </c>
      <c r="K104" s="52">
        <f>$G$5</f>
        <v/>
      </c>
      <c r="L104" s="53">
        <f>J104+K104</f>
        <v/>
      </c>
      <c r="M104" s="72" t="n">
        <v>0.41</v>
      </c>
      <c r="N104" s="57">
        <f>G104*M104</f>
        <v/>
      </c>
      <c r="O104" s="88" t="n">
        <v>63</v>
      </c>
      <c r="P104" s="57">
        <f>G104*$G$8</f>
        <v/>
      </c>
      <c r="Q104" s="88" t="n">
        <v>25</v>
      </c>
      <c r="R104" s="57">
        <f>G104*$G$4</f>
        <v/>
      </c>
      <c r="S104" s="57">
        <f>I104*$G$3</f>
        <v/>
      </c>
      <c r="T104" s="73" t="n">
        <v>0.9</v>
      </c>
      <c r="U104" s="88" t="n">
        <v>63</v>
      </c>
      <c r="V104" s="57">
        <f>U104*(1-T104)</f>
        <v/>
      </c>
      <c r="W104" s="85" t="n">
        <v>0.4</v>
      </c>
      <c r="X104" s="57">
        <f>$G$6*$G$7*W104</f>
        <v/>
      </c>
      <c r="Y104" s="53">
        <f>W104*($G$9+$G$10)</f>
        <v/>
      </c>
      <c r="Z104" s="72" t="n">
        <v>0.07000000000000001</v>
      </c>
      <c r="AA104" s="57">
        <f>G104*Z104</f>
        <v/>
      </c>
      <c r="AB104" s="73" t="n">
        <v>0.08</v>
      </c>
      <c r="AC104" s="57">
        <f>G104*AB104</f>
        <v/>
      </c>
      <c r="AD104" s="57">
        <f>AA104+AC104</f>
        <v/>
      </c>
      <c r="AE104" s="61">
        <f>AD104/G104</f>
        <v/>
      </c>
      <c r="AF104" s="62">
        <f>G104-N104-O104-P104-Q104-R104-S104-V104-X104-Y104-L104</f>
        <v/>
      </c>
      <c r="AG104" s="63">
        <f>AF104-AD104</f>
        <v/>
      </c>
      <c r="AH104" s="64">
        <f>AG104/G104</f>
        <v/>
      </c>
      <c r="AI104" s="65">
        <f>AG104/L104</f>
        <v/>
      </c>
      <c r="AJ104" s="57">
        <f>(O104+Q104+V104+X104+Y104+L104)/(1-(M104+$G$4+(1-H104)*$G$3+$G$8+Z104+AB104))</f>
        <v/>
      </c>
    </row>
    <row r="105" ht="14.25" customHeight="1" s="91">
      <c r="A105" s="69" t="inlineStr">
        <is>
          <t>[Derma Factory] Retinal 300ppm Cream</t>
        </is>
      </c>
      <c r="B105" s="70" t="n">
        <v>1248</v>
      </c>
      <c r="D105" s="78" t="n">
        <v>2490</v>
      </c>
      <c r="E105" s="78" t="n">
        <v>500</v>
      </c>
      <c r="F105" s="78" t="n">
        <v>13</v>
      </c>
      <c r="G105" s="78" t="n">
        <v>2190</v>
      </c>
      <c r="H105" s="49" t="n">
        <v>0.45</v>
      </c>
      <c r="I105" s="50">
        <f>G105*(1-H105)</f>
        <v/>
      </c>
      <c r="J105" s="71" t="n">
        <v>293</v>
      </c>
      <c r="K105" s="52">
        <f>$G$5</f>
        <v/>
      </c>
      <c r="L105" s="53">
        <f>J105+K105</f>
        <v/>
      </c>
      <c r="M105" s="72" t="n">
        <v>0.41</v>
      </c>
      <c r="N105" s="57">
        <f>G105*M105</f>
        <v/>
      </c>
      <c r="O105" s="88" t="n">
        <v>63</v>
      </c>
      <c r="P105" s="57">
        <f>G105*$G$8</f>
        <v/>
      </c>
      <c r="Q105" s="88" t="n">
        <v>25</v>
      </c>
      <c r="R105" s="57">
        <f>G105*$G$4</f>
        <v/>
      </c>
      <c r="S105" s="57">
        <f>I105*$G$3</f>
        <v/>
      </c>
      <c r="T105" s="73" t="n">
        <v>0.9</v>
      </c>
      <c r="U105" s="88" t="n">
        <v>63</v>
      </c>
      <c r="V105" s="57">
        <f>U105*(1-T105)</f>
        <v/>
      </c>
      <c r="W105" s="85" t="n">
        <v>0.4</v>
      </c>
      <c r="X105" s="57">
        <f>$G$6*$G$7*W105</f>
        <v/>
      </c>
      <c r="Y105" s="53">
        <f>W105*($G$9+$G$10)</f>
        <v/>
      </c>
      <c r="Z105" s="72" t="n">
        <v>0.07000000000000001</v>
      </c>
      <c r="AA105" s="57">
        <f>G105*Z105</f>
        <v/>
      </c>
      <c r="AB105" s="73" t="n">
        <v>0.08</v>
      </c>
      <c r="AC105" s="57">
        <f>G105*AB105</f>
        <v/>
      </c>
      <c r="AD105" s="57">
        <f>AA105+AC105</f>
        <v/>
      </c>
      <c r="AE105" s="61">
        <f>AD105/G105</f>
        <v/>
      </c>
      <c r="AF105" s="62">
        <f>G105-N105-O105-P105-Q105-R105-S105-V105-X105-Y105-L105</f>
        <v/>
      </c>
      <c r="AG105" s="63">
        <f>AF105-AD105</f>
        <v/>
      </c>
      <c r="AH105" s="64">
        <f>AG105/G105</f>
        <v/>
      </c>
      <c r="AI105" s="65">
        <f>AG105/L105</f>
        <v/>
      </c>
      <c r="AJ105" s="57">
        <f>(O105+Q105+V105+X105+Y105+L105)/(1-(M105+$G$4+(1-H105)*$G$3+$G$8+Z105+AB105))</f>
        <v/>
      </c>
    </row>
    <row r="106" ht="14.25" customHeight="1" s="91">
      <c r="A106" s="69" t="inlineStr">
        <is>
          <t>[Derma Factory] Niacinamide 20% Serum</t>
        </is>
      </c>
      <c r="B106" s="70" t="n">
        <v>1020</v>
      </c>
      <c r="D106" s="78" t="n">
        <v>1800</v>
      </c>
      <c r="E106" s="78" t="n">
        <v>1400</v>
      </c>
      <c r="F106" s="78" t="n">
        <v>12</v>
      </c>
      <c r="G106" s="78" t="n">
        <v>1600</v>
      </c>
      <c r="H106" s="49" t="n">
        <v>0.45</v>
      </c>
      <c r="I106" s="50">
        <f>G106*(1-H106)</f>
        <v/>
      </c>
      <c r="J106" s="71" t="n">
        <v>175</v>
      </c>
      <c r="K106" s="52">
        <f>$G$5</f>
        <v/>
      </c>
      <c r="L106" s="53">
        <f>J106+K106</f>
        <v/>
      </c>
      <c r="M106" s="72" t="n">
        <v>0.41</v>
      </c>
      <c r="N106" s="57">
        <f>G106*M106</f>
        <v/>
      </c>
      <c r="O106" s="88" t="n">
        <v>63</v>
      </c>
      <c r="P106" s="57">
        <f>G106*$G$8</f>
        <v/>
      </c>
      <c r="Q106" s="88" t="n">
        <v>25</v>
      </c>
      <c r="R106" s="57">
        <f>G106*$G$4</f>
        <v/>
      </c>
      <c r="S106" s="57">
        <f>I106*$G$3</f>
        <v/>
      </c>
      <c r="T106" s="73" t="n">
        <v>0.9</v>
      </c>
      <c r="U106" s="88" t="n">
        <v>63</v>
      </c>
      <c r="V106" s="57">
        <f>U106*(1-T106)</f>
        <v/>
      </c>
      <c r="W106" s="85" t="n">
        <v>0.4</v>
      </c>
      <c r="X106" s="57">
        <f>$G$6*$G$7*W106</f>
        <v/>
      </c>
      <c r="Y106" s="53">
        <f>W106*($G$9+$G$10)</f>
        <v/>
      </c>
      <c r="Z106" s="72" t="n">
        <v>0.07000000000000001</v>
      </c>
      <c r="AA106" s="57">
        <f>G106*Z106</f>
        <v/>
      </c>
      <c r="AB106" s="73" t="n">
        <v>0.08</v>
      </c>
      <c r="AC106" s="57">
        <f>G106*AB106</f>
        <v/>
      </c>
      <c r="AD106" s="57">
        <f>AA106+AC106</f>
        <v/>
      </c>
      <c r="AE106" s="61">
        <f>AD106/G106</f>
        <v/>
      </c>
      <c r="AF106" s="62">
        <f>G106-N106-O106-P106-Q106-R106-S106-V106-X106-Y106-L106</f>
        <v/>
      </c>
      <c r="AG106" s="63">
        <f>AF106-AD106</f>
        <v/>
      </c>
      <c r="AH106" s="64">
        <f>AG106/G106</f>
        <v/>
      </c>
      <c r="AI106" s="65">
        <f>AG106/L106</f>
        <v/>
      </c>
      <c r="AJ106" s="57">
        <f>(O106+Q106+V106+X106+Y106+L106)/(1-(M106+$G$4+(1-H106)*$G$3+$G$8+Z106+AB106))</f>
        <v/>
      </c>
    </row>
    <row r="107" ht="14.25" customHeight="1" s="91">
      <c r="A107" s="69" t="inlineStr">
        <is>
          <t>[Derma Factory] Porphyrin 20% Ampoule stick</t>
        </is>
      </c>
      <c r="B107" s="70" t="n">
        <v>1053</v>
      </c>
      <c r="D107" s="78" t="n">
        <v>2600</v>
      </c>
      <c r="E107" s="78" t="n">
        <v>250</v>
      </c>
      <c r="F107" s="78" t="n">
        <v>12</v>
      </c>
      <c r="G107" s="78" t="n">
        <v>2390</v>
      </c>
      <c r="H107" s="49" t="n">
        <v>0.45</v>
      </c>
      <c r="I107" s="50">
        <f>G107*(1-H107)</f>
        <v/>
      </c>
      <c r="J107" s="71" t="n">
        <v>363</v>
      </c>
      <c r="K107" s="52">
        <f>$G$5</f>
        <v/>
      </c>
      <c r="L107" s="53">
        <f>J107+K107</f>
        <v/>
      </c>
      <c r="M107" s="72" t="n">
        <v>0.41</v>
      </c>
      <c r="N107" s="57">
        <f>G107*M107</f>
        <v/>
      </c>
      <c r="O107" s="88" t="n">
        <v>63</v>
      </c>
      <c r="P107" s="57">
        <f>G107*$G$8</f>
        <v/>
      </c>
      <c r="Q107" s="88" t="n">
        <v>25</v>
      </c>
      <c r="R107" s="57">
        <f>G107*$G$4</f>
        <v/>
      </c>
      <c r="S107" s="57">
        <f>I107*$G$3</f>
        <v/>
      </c>
      <c r="T107" s="73" t="n">
        <v>0.9</v>
      </c>
      <c r="U107" s="88" t="n">
        <v>63</v>
      </c>
      <c r="V107" s="57">
        <f>U107*(1-T107)</f>
        <v/>
      </c>
      <c r="W107" s="85" t="n">
        <v>0.4</v>
      </c>
      <c r="X107" s="57">
        <f>$G$6*$G$7*W107</f>
        <v/>
      </c>
      <c r="Y107" s="53">
        <f>W107*($G$9+$G$10)</f>
        <v/>
      </c>
      <c r="Z107" s="72" t="n">
        <v>0.07000000000000001</v>
      </c>
      <c r="AA107" s="57">
        <f>G107*Z107</f>
        <v/>
      </c>
      <c r="AB107" s="73" t="n">
        <v>0.08</v>
      </c>
      <c r="AC107" s="57">
        <f>G107*AB107</f>
        <v/>
      </c>
      <c r="AD107" s="57">
        <f>AA107+AC107</f>
        <v/>
      </c>
      <c r="AE107" s="61">
        <f>AD107/G107</f>
        <v/>
      </c>
      <c r="AF107" s="62">
        <f>G107-N107-O107-P107-Q107-R107-S107-V107-X107-Y107-L107</f>
        <v/>
      </c>
      <c r="AG107" s="63">
        <f>AF107-AD107</f>
        <v/>
      </c>
      <c r="AH107" s="64">
        <f>AG107/G107</f>
        <v/>
      </c>
      <c r="AI107" s="65">
        <f>AG107/L107</f>
        <v/>
      </c>
      <c r="AJ107" s="57">
        <f>(O107+Q107+V107+X107+Y107+L107)/(1-(M107+$G$4+(1-H107)*$G$3+$G$8+Z107+AB107))</f>
        <v/>
      </c>
    </row>
    <row r="108" ht="14.25" customHeight="1" s="91">
      <c r="A108" s="69" t="inlineStr">
        <is>
          <t>[Derma Factory] Bakuchiol Spicule Cream</t>
        </is>
      </c>
      <c r="B108" s="70" t="n">
        <v>480</v>
      </c>
      <c r="D108" s="78" t="n">
        <v>2700</v>
      </c>
      <c r="E108" s="78" t="n">
        <v>250</v>
      </c>
      <c r="F108" s="78" t="n">
        <v>10</v>
      </c>
      <c r="G108" s="78" t="n">
        <v>2400</v>
      </c>
      <c r="H108" s="49" t="n">
        <v>0.45</v>
      </c>
      <c r="I108" s="50">
        <f>G108*(1-H108)</f>
        <v/>
      </c>
      <c r="J108" s="71" t="n">
        <v>302</v>
      </c>
      <c r="K108" s="52">
        <f>$G$5</f>
        <v/>
      </c>
      <c r="L108" s="53">
        <f>J108+K108</f>
        <v/>
      </c>
      <c r="M108" s="72" t="n">
        <v>0.41</v>
      </c>
      <c r="N108" s="57">
        <f>G108*M108</f>
        <v/>
      </c>
      <c r="O108" s="88" t="n">
        <v>63</v>
      </c>
      <c r="P108" s="57">
        <f>G108*$G$8</f>
        <v/>
      </c>
      <c r="Q108" s="88" t="n">
        <v>25</v>
      </c>
      <c r="R108" s="57">
        <f>G108*$G$4</f>
        <v/>
      </c>
      <c r="S108" s="57">
        <f>I108*$G$3</f>
        <v/>
      </c>
      <c r="T108" s="73" t="n">
        <v>0.9</v>
      </c>
      <c r="U108" s="88" t="n">
        <v>63</v>
      </c>
      <c r="V108" s="57">
        <f>U108*(1-T108)</f>
        <v/>
      </c>
      <c r="W108" s="85" t="n">
        <v>0.4</v>
      </c>
      <c r="X108" s="57">
        <f>$G$6*$G$7*W108</f>
        <v/>
      </c>
      <c r="Y108" s="53">
        <f>W108*($G$9+$G$10)</f>
        <v/>
      </c>
      <c r="Z108" s="72" t="n">
        <v>0.07000000000000001</v>
      </c>
      <c r="AA108" s="57">
        <f>G108*Z108</f>
        <v/>
      </c>
      <c r="AB108" s="73" t="n">
        <v>0.08</v>
      </c>
      <c r="AC108" s="57">
        <f>G108*AB108</f>
        <v/>
      </c>
      <c r="AD108" s="57">
        <f>AA108+AC108</f>
        <v/>
      </c>
      <c r="AE108" s="61">
        <f>AD108/G108</f>
        <v/>
      </c>
      <c r="AF108" s="62">
        <f>G108-N108-O108-P108-Q108-R108-S108-V108-X108-Y108-L108</f>
        <v/>
      </c>
      <c r="AG108" s="63">
        <f>AF108-AD108</f>
        <v/>
      </c>
      <c r="AH108" s="64">
        <f>AG108/G108</f>
        <v/>
      </c>
      <c r="AI108" s="65">
        <f>AG108/L108</f>
        <v/>
      </c>
      <c r="AJ108" s="57">
        <f>(O108+Q108+V108+X108+Y108+L108)/(1-(M108+$G$4+(1-H108)*$G$3+$G$8+Z108+AB108))</f>
        <v/>
      </c>
    </row>
    <row r="109" ht="14.25" customHeight="1" s="91">
      <c r="A109" s="69" t="inlineStr">
        <is>
          <t>[Derma Factory] Matrixyl 15% + Argireline 2% Serum</t>
        </is>
      </c>
      <c r="B109" s="70" t="n">
        <v>420</v>
      </c>
      <c r="D109" s="78" t="n">
        <v>3380</v>
      </c>
      <c r="E109" s="78" t="n">
        <v>80</v>
      </c>
      <c r="F109" s="78" t="n">
        <v>12</v>
      </c>
      <c r="G109" s="78" t="n">
        <v>3050</v>
      </c>
      <c r="H109" s="49" t="n">
        <v>0.45</v>
      </c>
      <c r="I109" s="50">
        <f>G109*(1-H109)</f>
        <v/>
      </c>
      <c r="J109" s="71" t="n">
        <v>477</v>
      </c>
      <c r="K109" s="52">
        <f>$G$5</f>
        <v/>
      </c>
      <c r="L109" s="53">
        <f>J109+K109</f>
        <v/>
      </c>
      <c r="M109" s="72" t="n">
        <v>0.41</v>
      </c>
      <c r="N109" s="57">
        <f>G109*M109</f>
        <v/>
      </c>
      <c r="O109" s="88" t="n">
        <v>63</v>
      </c>
      <c r="P109" s="57">
        <f>G109*$G$8</f>
        <v/>
      </c>
      <c r="Q109" s="88" t="n">
        <v>25</v>
      </c>
      <c r="R109" s="57">
        <f>G109*$G$4</f>
        <v/>
      </c>
      <c r="S109" s="57">
        <f>I109*$G$3</f>
        <v/>
      </c>
      <c r="T109" s="73" t="n">
        <v>0.9</v>
      </c>
      <c r="U109" s="88" t="n">
        <v>63</v>
      </c>
      <c r="V109" s="57">
        <f>U109*(1-T109)</f>
        <v/>
      </c>
      <c r="W109" s="85" t="n">
        <v>0.4</v>
      </c>
      <c r="X109" s="57">
        <f>$G$6*$G$7*W109</f>
        <v/>
      </c>
      <c r="Y109" s="53">
        <f>W109*($G$9+$G$10)</f>
        <v/>
      </c>
      <c r="Z109" s="72" t="n">
        <v>0.07000000000000001</v>
      </c>
      <c r="AA109" s="57">
        <f>G109*Z109</f>
        <v/>
      </c>
      <c r="AB109" s="73" t="n">
        <v>0.08</v>
      </c>
      <c r="AC109" s="57">
        <f>G109*AB109</f>
        <v/>
      </c>
      <c r="AD109" s="57">
        <f>AA109+AC109</f>
        <v/>
      </c>
      <c r="AE109" s="61">
        <f>AD109/G109</f>
        <v/>
      </c>
      <c r="AF109" s="62">
        <f>G109-N109-O109-P109-Q109-R109-S109-V109-X109-Y109-L109</f>
        <v/>
      </c>
      <c r="AG109" s="63">
        <f>AF109-AD109</f>
        <v/>
      </c>
      <c r="AH109" s="64">
        <f>AG109/G109</f>
        <v/>
      </c>
      <c r="AI109" s="65">
        <f>AG109/L109</f>
        <v/>
      </c>
      <c r="AJ109" s="57">
        <f>(O109+Q109+V109+X109+Y109+L109)/(1-(M109+$G$4+(1-H109)*$G$3+$G$8+Z109+AB109))</f>
        <v/>
      </c>
    </row>
    <row r="110" ht="14.25" customHeight="1" s="91">
      <c r="A110" s="6" t="n"/>
      <c r="B110" s="9" t="n"/>
      <c r="D110" s="9" t="n"/>
      <c r="E110" s="9" t="n"/>
      <c r="F110" s="9" t="n"/>
      <c r="G110" s="9" t="n"/>
    </row>
    <row r="111" ht="14.25" customHeight="1" s="91">
      <c r="A111" s="6" t="n"/>
      <c r="B111" s="9" t="n"/>
      <c r="D111" s="9" t="n"/>
      <c r="E111" s="9" t="n"/>
      <c r="F111" s="9" t="n"/>
      <c r="G111" s="9" t="n"/>
    </row>
    <row r="112" ht="14.25" customHeight="1" s="91">
      <c r="A112" s="6" t="n"/>
      <c r="B112" s="9" t="n"/>
      <c r="D112" s="9" t="n"/>
      <c r="E112" s="9" t="n"/>
      <c r="F112" s="9" t="n"/>
      <c r="G112" s="9" t="n"/>
    </row>
    <row r="113" ht="14.25" customHeight="1" s="91">
      <c r="A113" s="6" t="n"/>
      <c r="B113" s="9" t="n"/>
      <c r="D113" s="9" t="n"/>
      <c r="E113" s="9" t="n"/>
      <c r="F113" s="9" t="n"/>
      <c r="G113" s="9" t="n"/>
    </row>
    <row r="114" ht="14.25" customHeight="1" s="91">
      <c r="A114" s="6" t="n"/>
      <c r="B114" s="9" t="n"/>
      <c r="D114" s="9" t="n"/>
      <c r="E114" s="9" t="n"/>
      <c r="F114" s="9" t="n"/>
      <c r="G114" s="9" t="n"/>
    </row>
    <row r="115" ht="14.25" customHeight="1" s="91">
      <c r="A115" s="6" t="n"/>
      <c r="B115" s="9" t="n"/>
      <c r="D115" s="9" t="n"/>
      <c r="E115" s="9" t="n"/>
      <c r="F115" s="9" t="n"/>
      <c r="G115" s="9" t="n"/>
    </row>
    <row r="116" ht="14.25" customHeight="1" s="91">
      <c r="A116" s="6" t="n"/>
      <c r="B116" s="9" t="n"/>
      <c r="D116" s="9" t="n"/>
      <c r="E116" s="9" t="n"/>
      <c r="F116" s="9" t="n"/>
      <c r="G116" s="9" t="n"/>
    </row>
    <row r="117" ht="14.25" customHeight="1" s="91">
      <c r="A117" s="6" t="n"/>
      <c r="B117" s="9" t="n"/>
      <c r="D117" s="9" t="n"/>
      <c r="E117" s="9" t="n"/>
      <c r="F117" s="9" t="n"/>
      <c r="G117" s="9" t="n"/>
    </row>
    <row r="118" ht="14.25" customHeight="1" s="91">
      <c r="A118" s="6" t="n"/>
      <c r="B118" s="9" t="n"/>
      <c r="D118" s="9" t="n"/>
      <c r="E118" s="9" t="n"/>
      <c r="F118" s="9" t="n"/>
      <c r="G118" s="9" t="n"/>
    </row>
    <row r="119" ht="14.25" customHeight="1" s="91">
      <c r="A119" s="6" t="n"/>
      <c r="B119" s="9" t="n"/>
      <c r="D119" s="9" t="n"/>
      <c r="E119" s="9" t="n"/>
      <c r="F119" s="9" t="n"/>
      <c r="G119" s="9" t="n"/>
    </row>
    <row r="120" ht="14.25" customHeight="1" s="91">
      <c r="A120" s="6" t="n"/>
      <c r="B120" s="9" t="n"/>
      <c r="D120" s="9" t="n"/>
      <c r="E120" s="9" t="n"/>
      <c r="F120" s="9" t="n"/>
      <c r="G120" s="9" t="n"/>
    </row>
    <row r="121" ht="14.25" customHeight="1" s="91">
      <c r="A121" s="6" t="n"/>
      <c r="B121" s="9" t="n"/>
      <c r="D121" s="9" t="n"/>
      <c r="E121" s="9" t="n"/>
      <c r="F121" s="9" t="n"/>
      <c r="G121" s="9" t="n"/>
    </row>
    <row r="122" ht="14.25" customHeight="1" s="91">
      <c r="A122" s="6" t="n"/>
      <c r="B122" s="9" t="n"/>
      <c r="D122" s="9" t="n"/>
      <c r="E122" s="9" t="n"/>
      <c r="F122" s="9" t="n"/>
      <c r="G122" s="9" t="n"/>
    </row>
    <row r="123" ht="14.25" customHeight="1" s="91">
      <c r="A123" s="6" t="n"/>
      <c r="B123" s="9" t="n"/>
      <c r="D123" s="9" t="n"/>
      <c r="E123" s="9" t="n"/>
      <c r="F123" s="9" t="n"/>
      <c r="G123" s="9" t="n"/>
    </row>
    <row r="124" ht="14.25" customHeight="1" s="91">
      <c r="A124" s="6" t="n"/>
      <c r="B124" s="9" t="n"/>
      <c r="D124" s="9" t="n"/>
      <c r="E124" s="9" t="n"/>
      <c r="F124" s="9" t="n"/>
      <c r="G124" s="9" t="n"/>
    </row>
    <row r="125" ht="14.25" customHeight="1" s="91">
      <c r="A125" s="6" t="n"/>
      <c r="B125" s="9" t="n"/>
      <c r="D125" s="9" t="n"/>
      <c r="E125" s="9" t="n"/>
      <c r="F125" s="9" t="n"/>
      <c r="G125" s="9" t="n"/>
    </row>
    <row r="126" ht="14.25" customHeight="1" s="91">
      <c r="A126" s="6" t="n"/>
      <c r="B126" s="9" t="n"/>
      <c r="D126" s="9" t="n"/>
      <c r="E126" s="9" t="n"/>
      <c r="F126" s="9" t="n"/>
      <c r="G126" s="9" t="n"/>
    </row>
    <row r="127" ht="14.25" customHeight="1" s="91">
      <c r="A127" s="6" t="n"/>
      <c r="B127" s="9" t="n"/>
      <c r="D127" s="9" t="n"/>
      <c r="E127" s="9" t="n"/>
      <c r="F127" s="9" t="n"/>
      <c r="G127" s="9" t="n"/>
    </row>
    <row r="128" ht="14.25" customHeight="1" s="91">
      <c r="A128" s="6" t="n"/>
      <c r="B128" s="9" t="n"/>
      <c r="D128" s="9" t="n"/>
      <c r="E128" s="9" t="n"/>
      <c r="F128" s="9" t="n"/>
      <c r="G128" s="9" t="n"/>
    </row>
    <row r="129" ht="14.25" customHeight="1" s="91">
      <c r="A129" s="6" t="n"/>
      <c r="B129" s="9" t="n"/>
      <c r="D129" s="9" t="n"/>
      <c r="E129" s="9" t="n"/>
      <c r="F129" s="9" t="n"/>
      <c r="G129" s="9" t="n"/>
    </row>
    <row r="130" ht="14.25" customHeight="1" s="91">
      <c r="A130" s="6" t="n"/>
      <c r="B130" s="9" t="n"/>
      <c r="D130" s="9" t="n"/>
      <c r="E130" s="9" t="n"/>
      <c r="F130" s="9" t="n"/>
      <c r="G130" s="9" t="n"/>
    </row>
    <row r="131" ht="14.25" customHeight="1" s="91">
      <c r="A131" s="6" t="n"/>
      <c r="B131" s="9" t="n"/>
      <c r="D131" s="9" t="n"/>
      <c r="E131" s="9" t="n"/>
      <c r="F131" s="9" t="n"/>
      <c r="G131" s="9" t="n"/>
    </row>
    <row r="132" ht="14.25" customHeight="1" s="91">
      <c r="A132" s="6" t="n"/>
      <c r="B132" s="9" t="n"/>
      <c r="D132" s="9" t="n"/>
      <c r="E132" s="9" t="n"/>
      <c r="F132" s="9" t="n"/>
      <c r="G132" s="9" t="n"/>
    </row>
    <row r="133" ht="14.25" customHeight="1" s="91">
      <c r="A133" s="6" t="n"/>
      <c r="B133" s="9" t="n"/>
      <c r="D133" s="9" t="n"/>
      <c r="E133" s="9" t="n"/>
      <c r="F133" s="9" t="n"/>
      <c r="G133" s="9" t="n"/>
    </row>
    <row r="134" ht="14.25" customHeight="1" s="91">
      <c r="A134" s="6" t="n"/>
      <c r="B134" s="9" t="n"/>
      <c r="D134" s="9" t="n"/>
      <c r="E134" s="9" t="n"/>
      <c r="F134" s="9" t="n"/>
      <c r="G134" s="9" t="n"/>
    </row>
    <row r="135" ht="14.25" customHeight="1" s="91">
      <c r="A135" s="6" t="n"/>
      <c r="B135" s="9" t="n"/>
      <c r="D135" s="9" t="n"/>
      <c r="E135" s="9" t="n"/>
      <c r="F135" s="9" t="n"/>
      <c r="G135" s="9" t="n"/>
    </row>
    <row r="136" ht="14.25" customHeight="1" s="91">
      <c r="A136" s="6" t="n"/>
      <c r="B136" s="9" t="n"/>
      <c r="D136" s="9" t="n"/>
      <c r="E136" s="9" t="n"/>
      <c r="F136" s="9" t="n"/>
      <c r="G136" s="9" t="n"/>
    </row>
    <row r="137" ht="14.25" customHeight="1" s="91">
      <c r="A137" s="6" t="n"/>
      <c r="B137" s="9" t="n"/>
      <c r="D137" s="9" t="n"/>
      <c r="E137" s="9" t="n"/>
      <c r="F137" s="9" t="n"/>
      <c r="G137" s="9" t="n"/>
    </row>
    <row r="138" ht="14.25" customHeight="1" s="91">
      <c r="A138" s="6" t="n"/>
      <c r="B138" s="9" t="n"/>
      <c r="D138" s="9" t="n"/>
      <c r="E138" s="9" t="n"/>
      <c r="F138" s="9" t="n"/>
      <c r="G138" s="9" t="n"/>
    </row>
    <row r="139" ht="14.25" customHeight="1" s="91">
      <c r="A139" s="6" t="n"/>
      <c r="B139" s="9" t="n"/>
      <c r="D139" s="9" t="n"/>
      <c r="E139" s="9" t="n"/>
      <c r="F139" s="9" t="n"/>
      <c r="G139" s="9" t="n"/>
    </row>
    <row r="140" ht="14.25" customHeight="1" s="91">
      <c r="A140" s="6" t="n"/>
      <c r="B140" s="9" t="n"/>
      <c r="D140" s="9" t="n"/>
      <c r="E140" s="9" t="n"/>
      <c r="F140" s="9" t="n"/>
      <c r="G140" s="9" t="n"/>
    </row>
    <row r="141" ht="14.25" customHeight="1" s="91">
      <c r="A141" s="6" t="n"/>
      <c r="B141" s="9" t="n"/>
      <c r="D141" s="9" t="n"/>
      <c r="E141" s="9" t="n"/>
      <c r="F141" s="9" t="n"/>
      <c r="G141" s="9" t="n"/>
    </row>
    <row r="142" ht="14.25" customHeight="1" s="91">
      <c r="A142" s="6" t="n"/>
      <c r="B142" s="9" t="n"/>
      <c r="D142" s="9" t="n"/>
      <c r="E142" s="9" t="n"/>
      <c r="F142" s="9" t="n"/>
      <c r="G142" s="9" t="n"/>
    </row>
    <row r="143" ht="14.25" customHeight="1" s="91">
      <c r="A143" s="6" t="n"/>
      <c r="B143" s="9" t="n"/>
      <c r="D143" s="9" t="n"/>
      <c r="E143" s="9" t="n"/>
      <c r="F143" s="9" t="n"/>
      <c r="G143" s="9" t="n"/>
    </row>
    <row r="144" ht="14.25" customHeight="1" s="91">
      <c r="A144" s="6" t="n"/>
      <c r="B144" s="9" t="n"/>
      <c r="D144" s="9" t="n"/>
      <c r="E144" s="9" t="n"/>
      <c r="F144" s="9" t="n"/>
      <c r="G144" s="9" t="n"/>
    </row>
    <row r="145" ht="14.25" customHeight="1" s="91">
      <c r="A145" s="6" t="n"/>
      <c r="B145" s="9" t="n"/>
      <c r="D145" s="9" t="n"/>
      <c r="E145" s="9" t="n"/>
      <c r="F145" s="9" t="n"/>
      <c r="G145" s="9" t="n"/>
    </row>
    <row r="146" ht="14.25" customHeight="1" s="91">
      <c r="A146" s="6" t="n"/>
      <c r="B146" s="9" t="n"/>
      <c r="D146" s="9" t="n"/>
      <c r="E146" s="9" t="n"/>
      <c r="F146" s="9" t="n"/>
      <c r="G146" s="9" t="n"/>
    </row>
    <row r="147" ht="14.25" customHeight="1" s="91">
      <c r="A147" s="6" t="n"/>
      <c r="B147" s="9" t="n"/>
      <c r="D147" s="9" t="n"/>
      <c r="E147" s="9" t="n"/>
      <c r="F147" s="9" t="n"/>
      <c r="G147" s="9" t="n"/>
    </row>
    <row r="148" ht="14.25" customHeight="1" s="91">
      <c r="A148" s="6" t="n"/>
      <c r="B148" s="9" t="n"/>
      <c r="D148" s="9" t="n"/>
      <c r="E148" s="9" t="n"/>
      <c r="F148" s="9" t="n"/>
      <c r="G148" s="9" t="n"/>
    </row>
    <row r="149" ht="14.25" customHeight="1" s="91">
      <c r="A149" s="6" t="n"/>
      <c r="B149" s="9" t="n"/>
      <c r="D149" s="9" t="n"/>
      <c r="E149" s="9" t="n"/>
      <c r="F149" s="9" t="n"/>
      <c r="G149" s="9" t="n"/>
    </row>
    <row r="150" ht="14.25" customHeight="1" s="91">
      <c r="A150" s="6" t="n"/>
      <c r="B150" s="9" t="n"/>
      <c r="D150" s="9" t="n"/>
      <c r="E150" s="9" t="n"/>
      <c r="F150" s="9" t="n"/>
      <c r="G150" s="9" t="n"/>
    </row>
    <row r="151" ht="14.25" customHeight="1" s="91">
      <c r="A151" s="6" t="n"/>
      <c r="B151" s="9" t="n"/>
      <c r="D151" s="9" t="n"/>
      <c r="E151" s="9" t="n"/>
      <c r="F151" s="9" t="n"/>
      <c r="G151" s="9" t="n"/>
    </row>
    <row r="152" ht="14.25" customHeight="1" s="91">
      <c r="A152" s="6" t="n"/>
      <c r="B152" s="9" t="n"/>
      <c r="D152" s="9" t="n"/>
      <c r="E152" s="9" t="n"/>
      <c r="F152" s="9" t="n"/>
      <c r="G152" s="9" t="n"/>
    </row>
    <row r="153" ht="14.25" customHeight="1" s="91">
      <c r="A153" s="6" t="n"/>
      <c r="B153" s="9" t="n"/>
      <c r="D153" s="9" t="n"/>
      <c r="E153" s="9" t="n"/>
      <c r="F153" s="9" t="n"/>
      <c r="G153" s="9" t="n"/>
    </row>
    <row r="154" ht="14.25" customHeight="1" s="91">
      <c r="A154" s="6" t="n"/>
      <c r="B154" s="9" t="n"/>
      <c r="D154" s="9" t="n"/>
      <c r="E154" s="9" t="n"/>
      <c r="F154" s="9" t="n"/>
      <c r="G154" s="9" t="n"/>
    </row>
    <row r="155" ht="14.25" customHeight="1" s="91">
      <c r="A155" s="6" t="n"/>
      <c r="B155" s="9" t="n"/>
      <c r="D155" s="9" t="n"/>
      <c r="E155" s="9" t="n"/>
      <c r="F155" s="9" t="n"/>
      <c r="G155" s="9" t="n"/>
    </row>
    <row r="156" ht="14.25" customHeight="1" s="91">
      <c r="A156" s="6" t="n"/>
      <c r="B156" s="9" t="n"/>
      <c r="D156" s="9" t="n"/>
      <c r="E156" s="9" t="n"/>
      <c r="F156" s="9" t="n"/>
      <c r="G156" s="9" t="n"/>
    </row>
    <row r="157" ht="14.25" customHeight="1" s="91">
      <c r="A157" s="6" t="n"/>
      <c r="B157" s="9" t="n"/>
      <c r="D157" s="9" t="n"/>
      <c r="E157" s="9" t="n"/>
      <c r="F157" s="9" t="n"/>
      <c r="G157" s="9" t="n"/>
    </row>
    <row r="158" ht="14.25" customHeight="1" s="91">
      <c r="A158" s="6" t="n"/>
      <c r="B158" s="9" t="n"/>
      <c r="D158" s="9" t="n"/>
      <c r="E158" s="9" t="n"/>
      <c r="F158" s="9" t="n"/>
      <c r="G158" s="9" t="n"/>
    </row>
    <row r="159" ht="14.25" customHeight="1" s="91">
      <c r="A159" s="6" t="n"/>
      <c r="B159" s="9" t="n"/>
      <c r="D159" s="9" t="n"/>
      <c r="E159" s="9" t="n"/>
      <c r="F159" s="9" t="n"/>
      <c r="G159" s="9" t="n"/>
    </row>
    <row r="160" ht="14.25" customHeight="1" s="91">
      <c r="A160" s="6" t="n"/>
      <c r="B160" s="9" t="n"/>
      <c r="D160" s="9" t="n"/>
      <c r="E160" s="9" t="n"/>
      <c r="F160" s="9" t="n"/>
      <c r="G160" s="9" t="n"/>
    </row>
    <row r="161" ht="14.25" customHeight="1" s="91">
      <c r="A161" s="6" t="n"/>
      <c r="B161" s="9" t="n"/>
      <c r="D161" s="9" t="n"/>
      <c r="E161" s="9" t="n"/>
      <c r="F161" s="9" t="n"/>
      <c r="G161" s="9" t="n"/>
    </row>
    <row r="162" ht="14.25" customHeight="1" s="91">
      <c r="A162" s="6" t="n"/>
      <c r="B162" s="9" t="n"/>
      <c r="D162" s="9" t="n"/>
      <c r="E162" s="9" t="n"/>
      <c r="F162" s="9" t="n"/>
      <c r="G162" s="9" t="n"/>
    </row>
    <row r="163" ht="14.25" customHeight="1" s="91">
      <c r="A163" s="6" t="n"/>
      <c r="B163" s="9" t="n"/>
      <c r="D163" s="9" t="n"/>
      <c r="E163" s="9" t="n"/>
      <c r="F163" s="9" t="n"/>
      <c r="G163" s="9" t="n"/>
    </row>
    <row r="164" ht="14.25" customHeight="1" s="91">
      <c r="A164" s="6" t="n"/>
      <c r="B164" s="9" t="n"/>
      <c r="D164" s="9" t="n"/>
      <c r="E164" s="9" t="n"/>
      <c r="F164" s="9" t="n"/>
      <c r="G164" s="9" t="n"/>
    </row>
    <row r="165" ht="14.25" customHeight="1" s="91">
      <c r="A165" s="6" t="n"/>
      <c r="B165" s="9" t="n"/>
      <c r="D165" s="9" t="n"/>
      <c r="E165" s="9" t="n"/>
      <c r="F165" s="9" t="n"/>
      <c r="G165" s="9" t="n"/>
    </row>
    <row r="166" ht="14.25" customHeight="1" s="91">
      <c r="A166" s="6" t="n"/>
      <c r="B166" s="9" t="n"/>
      <c r="D166" s="9" t="n"/>
      <c r="E166" s="9" t="n"/>
      <c r="F166" s="9" t="n"/>
      <c r="G166" s="9" t="n"/>
    </row>
    <row r="167" ht="14.25" customHeight="1" s="91">
      <c r="A167" s="6" t="n"/>
      <c r="B167" s="9" t="n"/>
      <c r="D167" s="9" t="n"/>
      <c r="E167" s="9" t="n"/>
      <c r="F167" s="9" t="n"/>
      <c r="G167" s="9" t="n"/>
    </row>
    <row r="168" ht="14.25" customHeight="1" s="91">
      <c r="A168" s="6" t="n"/>
      <c r="B168" s="9" t="n"/>
      <c r="D168" s="9" t="n"/>
      <c r="E168" s="9" t="n"/>
      <c r="F168" s="9" t="n"/>
      <c r="G168" s="9" t="n"/>
    </row>
    <row r="169" ht="14.25" customHeight="1" s="91">
      <c r="A169" s="6" t="n"/>
      <c r="B169" s="9" t="n"/>
      <c r="D169" s="9" t="n"/>
      <c r="E169" s="9" t="n"/>
      <c r="F169" s="9" t="n"/>
      <c r="G169" s="9" t="n"/>
    </row>
    <row r="170" ht="14.25" customHeight="1" s="91">
      <c r="A170" s="6" t="n"/>
      <c r="B170" s="9" t="n"/>
      <c r="D170" s="9" t="n"/>
      <c r="E170" s="9" t="n"/>
      <c r="F170" s="9" t="n"/>
      <c r="G170" s="9" t="n"/>
    </row>
    <row r="171" ht="14.25" customHeight="1" s="91">
      <c r="A171" s="6" t="n"/>
      <c r="B171" s="9" t="n"/>
      <c r="D171" s="9" t="n"/>
      <c r="E171" s="9" t="n"/>
      <c r="F171" s="9" t="n"/>
      <c r="G171" s="9" t="n"/>
    </row>
    <row r="172" ht="14.25" customHeight="1" s="91">
      <c r="A172" s="6" t="n"/>
      <c r="B172" s="9" t="n"/>
      <c r="D172" s="9" t="n"/>
      <c r="E172" s="9" t="n"/>
      <c r="F172" s="9" t="n"/>
      <c r="G172" s="9" t="n"/>
    </row>
    <row r="173" ht="14.25" customHeight="1" s="91">
      <c r="A173" s="6" t="n"/>
      <c r="B173" s="9" t="n"/>
      <c r="D173" s="9" t="n"/>
      <c r="E173" s="9" t="n"/>
      <c r="F173" s="9" t="n"/>
      <c r="G173" s="9" t="n"/>
    </row>
    <row r="174" ht="14.25" customHeight="1" s="91">
      <c r="A174" s="6" t="n"/>
      <c r="B174" s="9" t="n"/>
      <c r="D174" s="9" t="n"/>
      <c r="E174" s="9" t="n"/>
      <c r="F174" s="9" t="n"/>
      <c r="G174" s="9" t="n"/>
    </row>
    <row r="175" ht="14.25" customHeight="1" s="91">
      <c r="A175" s="6" t="n"/>
      <c r="B175" s="9" t="n"/>
      <c r="D175" s="9" t="n"/>
      <c r="E175" s="9" t="n"/>
      <c r="F175" s="9" t="n"/>
      <c r="G175" s="9" t="n"/>
    </row>
    <row r="176" ht="14.25" customHeight="1" s="91">
      <c r="A176" s="6" t="n"/>
      <c r="B176" s="9" t="n"/>
      <c r="D176" s="9" t="n"/>
      <c r="E176" s="9" t="n"/>
      <c r="F176" s="9" t="n"/>
      <c r="G176" s="9" t="n"/>
    </row>
    <row r="177" ht="14.25" customHeight="1" s="91">
      <c r="A177" s="6" t="n"/>
      <c r="B177" s="9" t="n"/>
      <c r="D177" s="9" t="n"/>
      <c r="E177" s="9" t="n"/>
      <c r="F177" s="9" t="n"/>
      <c r="G177" s="9" t="n"/>
    </row>
    <row r="178" ht="14.25" customHeight="1" s="91">
      <c r="A178" s="6" t="n"/>
      <c r="B178" s="9" t="n"/>
      <c r="D178" s="9" t="n"/>
      <c r="E178" s="9" t="n"/>
      <c r="F178" s="9" t="n"/>
      <c r="G178" s="9" t="n"/>
    </row>
    <row r="179" ht="14.25" customHeight="1" s="91">
      <c r="A179" s="6" t="n"/>
      <c r="B179" s="9" t="n"/>
      <c r="D179" s="9" t="n"/>
      <c r="E179" s="9" t="n"/>
      <c r="F179" s="9" t="n"/>
      <c r="G179" s="9" t="n"/>
    </row>
    <row r="180" ht="14.25" customHeight="1" s="91">
      <c r="A180" s="6" t="n"/>
      <c r="B180" s="9" t="n"/>
      <c r="D180" s="9" t="n"/>
      <c r="E180" s="9" t="n"/>
      <c r="F180" s="9" t="n"/>
      <c r="G180" s="9" t="n"/>
    </row>
    <row r="181" ht="14.25" customHeight="1" s="91">
      <c r="A181" s="6" t="n"/>
      <c r="B181" s="9" t="n"/>
      <c r="D181" s="9" t="n"/>
      <c r="E181" s="9" t="n"/>
      <c r="F181" s="9" t="n"/>
      <c r="G181" s="9" t="n"/>
    </row>
    <row r="182" ht="14.25" customHeight="1" s="91">
      <c r="A182" s="6" t="n"/>
      <c r="B182" s="9" t="n"/>
      <c r="D182" s="9" t="n"/>
      <c r="E182" s="9" t="n"/>
      <c r="F182" s="9" t="n"/>
      <c r="G182" s="9" t="n"/>
    </row>
    <row r="183" ht="14.25" customHeight="1" s="91">
      <c r="A183" s="6" t="n"/>
      <c r="B183" s="9" t="n"/>
      <c r="D183" s="9" t="n"/>
      <c r="E183" s="9" t="n"/>
      <c r="F183" s="9" t="n"/>
      <c r="G183" s="9" t="n"/>
    </row>
    <row r="184" ht="14.25" customHeight="1" s="91">
      <c r="A184" s="6" t="n"/>
      <c r="B184" s="9" t="n"/>
      <c r="D184" s="9" t="n"/>
      <c r="E184" s="9" t="n"/>
      <c r="F184" s="9" t="n"/>
      <c r="G184" s="9" t="n"/>
    </row>
    <row r="185" ht="14.25" customHeight="1" s="91">
      <c r="A185" s="6" t="n"/>
      <c r="B185" s="9" t="n"/>
      <c r="D185" s="9" t="n"/>
      <c r="E185" s="9" t="n"/>
      <c r="F185" s="9" t="n"/>
      <c r="G185" s="9" t="n"/>
    </row>
    <row r="186" ht="14.25" customHeight="1" s="91">
      <c r="A186" s="6" t="n"/>
      <c r="B186" s="9" t="n"/>
      <c r="D186" s="9" t="n"/>
      <c r="E186" s="9" t="n"/>
      <c r="F186" s="9" t="n"/>
      <c r="G186" s="9" t="n"/>
    </row>
    <row r="187" ht="14.25" customHeight="1" s="91">
      <c r="A187" s="6" t="n"/>
      <c r="B187" s="9" t="n"/>
      <c r="D187" s="9" t="n"/>
      <c r="E187" s="9" t="n"/>
      <c r="F187" s="9" t="n"/>
      <c r="G187" s="9" t="n"/>
    </row>
    <row r="188" ht="14.25" customHeight="1" s="91">
      <c r="A188" s="6" t="n"/>
      <c r="B188" s="9" t="n"/>
      <c r="D188" s="9" t="n"/>
      <c r="E188" s="9" t="n"/>
      <c r="F188" s="9" t="n"/>
      <c r="G188" s="9" t="n"/>
    </row>
    <row r="189" ht="14.25" customHeight="1" s="91">
      <c r="A189" s="6" t="n"/>
      <c r="B189" s="9" t="n"/>
      <c r="D189" s="9" t="n"/>
      <c r="E189" s="9" t="n"/>
      <c r="F189" s="9" t="n"/>
      <c r="G189" s="9" t="n"/>
    </row>
    <row r="190" ht="14.25" customHeight="1" s="91">
      <c r="A190" s="6" t="n"/>
      <c r="B190" s="9" t="n"/>
      <c r="D190" s="9" t="n"/>
      <c r="E190" s="9" t="n"/>
      <c r="F190" s="9" t="n"/>
      <c r="G190" s="9" t="n"/>
    </row>
    <row r="191" ht="14.25" customHeight="1" s="91">
      <c r="A191" s="6" t="n"/>
      <c r="B191" s="9" t="n"/>
      <c r="D191" s="9" t="n"/>
      <c r="E191" s="9" t="n"/>
      <c r="F191" s="9" t="n"/>
      <c r="G191" s="9" t="n"/>
    </row>
    <row r="192" ht="14.25" customHeight="1" s="91">
      <c r="A192" s="6" t="n"/>
      <c r="B192" s="9" t="n"/>
      <c r="D192" s="9" t="n"/>
      <c r="E192" s="9" t="n"/>
      <c r="F192" s="9" t="n"/>
      <c r="G192" s="9" t="n"/>
    </row>
    <row r="193" ht="14.25" customHeight="1" s="91">
      <c r="A193" s="6" t="n"/>
      <c r="B193" s="9" t="n"/>
      <c r="D193" s="9" t="n"/>
      <c r="E193" s="9" t="n"/>
      <c r="F193" s="9" t="n"/>
      <c r="G193" s="9" t="n"/>
    </row>
    <row r="194" ht="14.25" customHeight="1" s="91">
      <c r="A194" s="6" t="n"/>
      <c r="B194" s="9" t="n"/>
      <c r="D194" s="9" t="n"/>
      <c r="E194" s="9" t="n"/>
      <c r="F194" s="9" t="n"/>
      <c r="G194" s="9" t="n"/>
    </row>
    <row r="195" ht="14.25" customHeight="1" s="91">
      <c r="A195" s="6" t="n"/>
      <c r="B195" s="9" t="n"/>
      <c r="D195" s="9" t="n"/>
      <c r="E195" s="9" t="n"/>
      <c r="F195" s="9" t="n"/>
      <c r="G195" s="9" t="n"/>
    </row>
    <row r="196" ht="14.25" customHeight="1" s="91">
      <c r="A196" s="6" t="n"/>
      <c r="B196" s="9" t="n"/>
      <c r="D196" s="9" t="n"/>
      <c r="E196" s="9" t="n"/>
      <c r="F196" s="9" t="n"/>
      <c r="G196" s="9" t="n"/>
    </row>
    <row r="197" ht="14.25" customHeight="1" s="91">
      <c r="A197" s="6" t="n"/>
      <c r="B197" s="9" t="n"/>
      <c r="D197" s="9" t="n"/>
      <c r="E197" s="9" t="n"/>
      <c r="F197" s="9" t="n"/>
      <c r="G197" s="9" t="n"/>
    </row>
    <row r="198" ht="14.25" customHeight="1" s="91">
      <c r="A198" s="6" t="n"/>
      <c r="B198" s="9" t="n"/>
      <c r="D198" s="9" t="n"/>
      <c r="E198" s="9" t="n"/>
      <c r="F198" s="9" t="n"/>
      <c r="G198" s="9" t="n"/>
    </row>
    <row r="199" ht="14.25" customHeight="1" s="91">
      <c r="A199" s="6" t="n"/>
      <c r="B199" s="9" t="n"/>
      <c r="D199" s="9" t="n"/>
      <c r="E199" s="9" t="n"/>
      <c r="F199" s="9" t="n"/>
      <c r="G199" s="9" t="n"/>
    </row>
    <row r="200" ht="14.25" customHeight="1" s="91">
      <c r="A200" s="6" t="n"/>
      <c r="B200" s="9" t="n"/>
      <c r="D200" s="9" t="n"/>
      <c r="E200" s="9" t="n"/>
      <c r="F200" s="9" t="n"/>
      <c r="G200" s="9" t="n"/>
    </row>
    <row r="201" ht="14.25" customHeight="1" s="91">
      <c r="A201" s="6" t="n"/>
      <c r="B201" s="9" t="n"/>
      <c r="D201" s="9" t="n"/>
      <c r="E201" s="9" t="n"/>
      <c r="F201" s="9" t="n"/>
      <c r="G201" s="9" t="n"/>
    </row>
    <row r="202" ht="14.25" customHeight="1" s="91">
      <c r="A202" s="6" t="n"/>
      <c r="B202" s="9" t="n"/>
      <c r="D202" s="9" t="n"/>
      <c r="E202" s="9" t="n"/>
      <c r="F202" s="9" t="n"/>
      <c r="G202" s="9" t="n"/>
    </row>
    <row r="203" ht="14.25" customHeight="1" s="91">
      <c r="A203" s="6" t="n"/>
      <c r="B203" s="9" t="n"/>
      <c r="D203" s="9" t="n"/>
      <c r="E203" s="9" t="n"/>
      <c r="F203" s="9" t="n"/>
      <c r="G203" s="9" t="n"/>
    </row>
    <row r="204" ht="14.25" customHeight="1" s="91">
      <c r="A204" s="6" t="n"/>
      <c r="B204" s="9" t="n"/>
      <c r="D204" s="9" t="n"/>
      <c r="E204" s="9" t="n"/>
      <c r="F204" s="9" t="n"/>
      <c r="G204" s="9" t="n"/>
    </row>
    <row r="205" ht="14.25" customHeight="1" s="91">
      <c r="A205" s="6" t="n"/>
      <c r="B205" s="9" t="n"/>
      <c r="D205" s="9" t="n"/>
      <c r="E205" s="9" t="n"/>
      <c r="F205" s="9" t="n"/>
      <c r="G205" s="9" t="n"/>
    </row>
    <row r="206" ht="14.25" customHeight="1" s="91">
      <c r="A206" s="6" t="n"/>
      <c r="B206" s="9" t="n"/>
      <c r="D206" s="9" t="n"/>
      <c r="E206" s="9" t="n"/>
      <c r="F206" s="9" t="n"/>
      <c r="G206" s="9" t="n"/>
    </row>
    <row r="207" ht="14.25" customHeight="1" s="91">
      <c r="A207" s="6" t="n"/>
      <c r="B207" s="9" t="n"/>
      <c r="D207" s="9" t="n"/>
      <c r="E207" s="9" t="n"/>
      <c r="F207" s="9" t="n"/>
      <c r="G207" s="9" t="n"/>
    </row>
    <row r="208" ht="14.25" customHeight="1" s="91">
      <c r="A208" s="6" t="n"/>
      <c r="B208" s="9" t="n"/>
      <c r="D208" s="9" t="n"/>
      <c r="E208" s="9" t="n"/>
      <c r="F208" s="9" t="n"/>
      <c r="G208" s="9" t="n"/>
    </row>
    <row r="209" ht="14.25" customHeight="1" s="91">
      <c r="A209" s="6" t="n"/>
      <c r="B209" s="9" t="n"/>
      <c r="D209" s="9" t="n"/>
      <c r="E209" s="9" t="n"/>
      <c r="F209" s="9" t="n"/>
      <c r="G209" s="9" t="n"/>
    </row>
    <row r="210" ht="14.25" customHeight="1" s="91">
      <c r="A210" s="6" t="n"/>
      <c r="B210" s="9" t="n"/>
      <c r="D210" s="9" t="n"/>
      <c r="E210" s="9" t="n"/>
      <c r="F210" s="9" t="n"/>
      <c r="G210" s="9" t="n"/>
    </row>
    <row r="211" ht="14.25" customHeight="1" s="91">
      <c r="A211" s="6" t="n"/>
      <c r="B211" s="9" t="n"/>
      <c r="D211" s="9" t="n"/>
      <c r="E211" s="9" t="n"/>
      <c r="F211" s="9" t="n"/>
      <c r="G211" s="9" t="n"/>
    </row>
    <row r="212" ht="14.25" customHeight="1" s="91">
      <c r="A212" s="6" t="n"/>
      <c r="B212" s="9" t="n"/>
      <c r="D212" s="9" t="n"/>
      <c r="E212" s="9" t="n"/>
      <c r="F212" s="9" t="n"/>
      <c r="G212" s="9" t="n"/>
    </row>
    <row r="213" ht="14.25" customHeight="1" s="91">
      <c r="A213" s="6" t="n"/>
      <c r="B213" s="9" t="n"/>
      <c r="D213" s="9" t="n"/>
      <c r="E213" s="9" t="n"/>
      <c r="F213" s="9" t="n"/>
      <c r="G213" s="9" t="n"/>
    </row>
    <row r="214" ht="14.25" customHeight="1" s="91">
      <c r="A214" s="6" t="n"/>
      <c r="B214" s="9" t="n"/>
      <c r="D214" s="9" t="n"/>
      <c r="E214" s="9" t="n"/>
      <c r="F214" s="9" t="n"/>
      <c r="G214" s="9" t="n"/>
    </row>
    <row r="215" ht="14.25" customHeight="1" s="91">
      <c r="A215" s="6" t="n"/>
      <c r="B215" s="9" t="n"/>
      <c r="D215" s="9" t="n"/>
      <c r="E215" s="9" t="n"/>
      <c r="F215" s="9" t="n"/>
      <c r="G215" s="9" t="n"/>
    </row>
    <row r="216" ht="14.25" customHeight="1" s="91">
      <c r="A216" s="6" t="n"/>
      <c r="B216" s="9" t="n"/>
      <c r="D216" s="9" t="n"/>
      <c r="E216" s="9" t="n"/>
      <c r="F216" s="9" t="n"/>
      <c r="G216" s="9" t="n"/>
    </row>
    <row r="217" ht="14.25" customHeight="1" s="91">
      <c r="A217" s="6" t="n"/>
      <c r="B217" s="9" t="n"/>
      <c r="D217" s="9" t="n"/>
      <c r="E217" s="9" t="n"/>
      <c r="F217" s="9" t="n"/>
      <c r="G217" s="9" t="n"/>
    </row>
    <row r="218" ht="14.25" customHeight="1" s="91">
      <c r="A218" s="6" t="n"/>
      <c r="B218" s="9" t="n"/>
      <c r="D218" s="9" t="n"/>
      <c r="E218" s="9" t="n"/>
      <c r="F218" s="9" t="n"/>
      <c r="G218" s="9" t="n"/>
    </row>
    <row r="219" ht="14.25" customHeight="1" s="91">
      <c r="A219" s="6" t="n"/>
      <c r="B219" s="9" t="n"/>
      <c r="D219" s="9" t="n"/>
      <c r="E219" s="9" t="n"/>
      <c r="F219" s="9" t="n"/>
      <c r="G219" s="9" t="n"/>
    </row>
    <row r="220" ht="14.25" customHeight="1" s="91">
      <c r="A220" s="6" t="n"/>
      <c r="B220" s="9" t="n"/>
      <c r="D220" s="9" t="n"/>
      <c r="E220" s="9" t="n"/>
      <c r="F220" s="9" t="n"/>
      <c r="G220" s="9" t="n"/>
    </row>
    <row r="221" ht="14.25" customHeight="1" s="91">
      <c r="A221" s="6" t="n"/>
      <c r="B221" s="9" t="n"/>
      <c r="D221" s="9" t="n"/>
      <c r="E221" s="9" t="n"/>
      <c r="F221" s="9" t="n"/>
      <c r="G221" s="9" t="n"/>
    </row>
    <row r="222" ht="14.25" customHeight="1" s="91">
      <c r="A222" s="6" t="n"/>
      <c r="B222" s="9" t="n"/>
      <c r="D222" s="9" t="n"/>
      <c r="E222" s="9" t="n"/>
      <c r="F222" s="9" t="n"/>
      <c r="G222" s="9" t="n"/>
    </row>
    <row r="223" ht="14.25" customHeight="1" s="91">
      <c r="A223" s="6" t="n"/>
      <c r="B223" s="9" t="n"/>
      <c r="D223" s="9" t="n"/>
      <c r="E223" s="9" t="n"/>
      <c r="F223" s="9" t="n"/>
      <c r="G223" s="9" t="n"/>
    </row>
    <row r="224" ht="14.25" customHeight="1" s="91">
      <c r="A224" s="6" t="n"/>
      <c r="B224" s="9" t="n"/>
      <c r="D224" s="9" t="n"/>
      <c r="E224" s="9" t="n"/>
      <c r="F224" s="9" t="n"/>
      <c r="G224" s="9" t="n"/>
    </row>
    <row r="225" ht="14.25" customHeight="1" s="91">
      <c r="A225" s="6" t="n"/>
      <c r="B225" s="9" t="n"/>
      <c r="D225" s="9" t="n"/>
      <c r="E225" s="9" t="n"/>
      <c r="F225" s="9" t="n"/>
      <c r="G225" s="9" t="n"/>
    </row>
    <row r="226" ht="14.25" customHeight="1" s="91">
      <c r="A226" s="6" t="n"/>
      <c r="B226" s="9" t="n"/>
      <c r="D226" s="9" t="n"/>
      <c r="E226" s="9" t="n"/>
      <c r="F226" s="9" t="n"/>
      <c r="G226" s="9" t="n"/>
    </row>
    <row r="227" ht="14.25" customHeight="1" s="91">
      <c r="A227" s="6" t="n"/>
      <c r="B227" s="9" t="n"/>
      <c r="D227" s="9" t="n"/>
      <c r="E227" s="9" t="n"/>
      <c r="F227" s="9" t="n"/>
      <c r="G227" s="9" t="n"/>
    </row>
    <row r="228" ht="14.25" customHeight="1" s="91">
      <c r="A228" s="6" t="n"/>
      <c r="B228" s="9" t="n"/>
      <c r="D228" s="9" t="n"/>
      <c r="E228" s="9" t="n"/>
      <c r="F228" s="9" t="n"/>
      <c r="G228" s="9" t="n"/>
    </row>
    <row r="229" ht="14.25" customHeight="1" s="91">
      <c r="A229" s="6" t="n"/>
      <c r="B229" s="9" t="n"/>
      <c r="D229" s="9" t="n"/>
      <c r="E229" s="9" t="n"/>
      <c r="F229" s="9" t="n"/>
      <c r="G229" s="9" t="n"/>
    </row>
    <row r="230" ht="14.25" customHeight="1" s="91">
      <c r="A230" s="6" t="n"/>
      <c r="B230" s="9" t="n"/>
      <c r="D230" s="9" t="n"/>
      <c r="E230" s="9" t="n"/>
      <c r="F230" s="9" t="n"/>
      <c r="G230" s="9" t="n"/>
    </row>
    <row r="231" ht="14.25" customHeight="1" s="91">
      <c r="A231" s="6" t="n"/>
      <c r="B231" s="9" t="n"/>
      <c r="D231" s="9" t="n"/>
      <c r="E231" s="9" t="n"/>
      <c r="F231" s="9" t="n"/>
      <c r="G231" s="9" t="n"/>
    </row>
    <row r="232" ht="14.25" customHeight="1" s="91">
      <c r="A232" s="6" t="n"/>
      <c r="B232" s="9" t="n"/>
      <c r="D232" s="9" t="n"/>
      <c r="E232" s="9" t="n"/>
      <c r="F232" s="9" t="n"/>
      <c r="G232" s="9" t="n"/>
    </row>
    <row r="233" ht="14.25" customHeight="1" s="91">
      <c r="A233" s="6" t="n"/>
      <c r="B233" s="9" t="n"/>
      <c r="D233" s="9" t="n"/>
      <c r="E233" s="9" t="n"/>
      <c r="F233" s="9" t="n"/>
      <c r="G233" s="9" t="n"/>
    </row>
    <row r="234" ht="14.25" customHeight="1" s="91">
      <c r="A234" s="6" t="n"/>
      <c r="B234" s="9" t="n"/>
      <c r="D234" s="9" t="n"/>
      <c r="E234" s="9" t="n"/>
      <c r="F234" s="9" t="n"/>
      <c r="G234" s="9" t="n"/>
    </row>
    <row r="235" ht="14.25" customHeight="1" s="91">
      <c r="A235" s="6" t="n"/>
      <c r="B235" s="9" t="n"/>
      <c r="D235" s="9" t="n"/>
      <c r="E235" s="9" t="n"/>
      <c r="F235" s="9" t="n"/>
      <c r="G235" s="9" t="n"/>
    </row>
    <row r="236" ht="14.25" customHeight="1" s="91">
      <c r="A236" s="6" t="n"/>
      <c r="B236" s="9" t="n"/>
      <c r="D236" s="9" t="n"/>
      <c r="E236" s="9" t="n"/>
      <c r="F236" s="9" t="n"/>
      <c r="G236" s="9" t="n"/>
    </row>
    <row r="237" ht="14.25" customHeight="1" s="91">
      <c r="A237" s="6" t="n"/>
      <c r="B237" s="9" t="n"/>
      <c r="D237" s="9" t="n"/>
      <c r="E237" s="9" t="n"/>
      <c r="F237" s="9" t="n"/>
      <c r="G237" s="9" t="n"/>
    </row>
    <row r="238" ht="14.25" customHeight="1" s="91">
      <c r="A238" s="6" t="n"/>
      <c r="B238" s="9" t="n"/>
      <c r="D238" s="9" t="n"/>
      <c r="E238" s="9" t="n"/>
      <c r="F238" s="9" t="n"/>
      <c r="G238" s="9" t="n"/>
    </row>
    <row r="239" ht="14.25" customHeight="1" s="91">
      <c r="A239" s="6" t="n"/>
      <c r="B239" s="9" t="n"/>
      <c r="D239" s="9" t="n"/>
      <c r="E239" s="9" t="n"/>
      <c r="F239" s="9" t="n"/>
      <c r="G239" s="9" t="n"/>
    </row>
    <row r="240" ht="14.25" customHeight="1" s="91">
      <c r="A240" s="6" t="n"/>
      <c r="B240" s="9" t="n"/>
      <c r="D240" s="9" t="n"/>
      <c r="E240" s="9" t="n"/>
      <c r="F240" s="9" t="n"/>
      <c r="G240" s="9" t="n"/>
    </row>
    <row r="241" ht="14.25" customHeight="1" s="91">
      <c r="A241" s="6" t="n"/>
      <c r="B241" s="9" t="n"/>
      <c r="D241" s="9" t="n"/>
      <c r="E241" s="9" t="n"/>
      <c r="F241" s="9" t="n"/>
      <c r="G241" s="9" t="n"/>
    </row>
    <row r="242" ht="14.25" customHeight="1" s="91">
      <c r="A242" s="6" t="n"/>
      <c r="B242" s="9" t="n"/>
      <c r="D242" s="9" t="n"/>
      <c r="E242" s="9" t="n"/>
      <c r="F242" s="9" t="n"/>
      <c r="G242" s="9" t="n"/>
    </row>
    <row r="243" ht="14.25" customHeight="1" s="91">
      <c r="A243" s="6" t="n"/>
      <c r="B243" s="9" t="n"/>
      <c r="D243" s="9" t="n"/>
      <c r="E243" s="9" t="n"/>
      <c r="F243" s="9" t="n"/>
      <c r="G243" s="9" t="n"/>
    </row>
    <row r="244" ht="14.25" customHeight="1" s="91">
      <c r="A244" s="6" t="n"/>
      <c r="B244" s="9" t="n"/>
      <c r="D244" s="9" t="n"/>
      <c r="E244" s="9" t="n"/>
      <c r="F244" s="9" t="n"/>
      <c r="G244" s="9" t="n"/>
    </row>
    <row r="245" ht="14.25" customHeight="1" s="91">
      <c r="A245" s="6" t="n"/>
      <c r="B245" s="9" t="n"/>
      <c r="D245" s="9" t="n"/>
      <c r="E245" s="9" t="n"/>
      <c r="F245" s="9" t="n"/>
      <c r="G245" s="9" t="n"/>
    </row>
    <row r="246" ht="14.25" customHeight="1" s="91">
      <c r="A246" s="6" t="n"/>
      <c r="B246" s="9" t="n"/>
      <c r="D246" s="9" t="n"/>
      <c r="E246" s="9" t="n"/>
      <c r="F246" s="9" t="n"/>
      <c r="G246" s="9" t="n"/>
    </row>
    <row r="247" ht="14.25" customHeight="1" s="91">
      <c r="A247" s="6" t="n"/>
      <c r="B247" s="9" t="n"/>
      <c r="D247" s="9" t="n"/>
      <c r="E247" s="9" t="n"/>
      <c r="F247" s="9" t="n"/>
      <c r="G247" s="9" t="n"/>
    </row>
    <row r="248" ht="14.25" customHeight="1" s="91">
      <c r="A248" s="6" t="n"/>
      <c r="B248" s="9" t="n"/>
      <c r="D248" s="9" t="n"/>
      <c r="E248" s="9" t="n"/>
      <c r="F248" s="9" t="n"/>
      <c r="G248" s="9" t="n"/>
    </row>
    <row r="249" ht="14.25" customHeight="1" s="91">
      <c r="A249" s="6" t="n"/>
      <c r="B249" s="9" t="n"/>
      <c r="D249" s="9" t="n"/>
      <c r="E249" s="9" t="n"/>
      <c r="F249" s="9" t="n"/>
      <c r="G249" s="9" t="n"/>
    </row>
    <row r="250" ht="14.25" customHeight="1" s="91">
      <c r="A250" s="6" t="n"/>
      <c r="B250" s="9" t="n"/>
      <c r="D250" s="9" t="n"/>
      <c r="E250" s="9" t="n"/>
      <c r="F250" s="9" t="n"/>
      <c r="G250" s="9" t="n"/>
    </row>
    <row r="251" ht="14.25" customHeight="1" s="91">
      <c r="A251" s="6" t="n"/>
      <c r="B251" s="9" t="n"/>
      <c r="D251" s="9" t="n"/>
      <c r="E251" s="9" t="n"/>
      <c r="F251" s="9" t="n"/>
      <c r="G251" s="9" t="n"/>
    </row>
    <row r="252" ht="14.25" customHeight="1" s="91">
      <c r="A252" s="6" t="n"/>
      <c r="B252" s="9" t="n"/>
      <c r="D252" s="9" t="n"/>
      <c r="E252" s="9" t="n"/>
      <c r="F252" s="9" t="n"/>
      <c r="G252" s="9" t="n"/>
    </row>
    <row r="253" ht="14.25" customHeight="1" s="91">
      <c r="A253" s="6" t="n"/>
      <c r="B253" s="9" t="n"/>
      <c r="D253" s="9" t="n"/>
      <c r="E253" s="9" t="n"/>
      <c r="F253" s="9" t="n"/>
      <c r="G253" s="9" t="n"/>
    </row>
    <row r="254" ht="14.25" customHeight="1" s="91">
      <c r="A254" s="6" t="n"/>
      <c r="B254" s="9" t="n"/>
      <c r="D254" s="9" t="n"/>
      <c r="E254" s="9" t="n"/>
      <c r="F254" s="9" t="n"/>
      <c r="G254" s="9" t="n"/>
    </row>
    <row r="255" ht="14.25" customHeight="1" s="91">
      <c r="A255" s="6" t="n"/>
      <c r="B255" s="9" t="n"/>
      <c r="D255" s="9" t="n"/>
      <c r="E255" s="9" t="n"/>
      <c r="F255" s="9" t="n"/>
      <c r="G255" s="9" t="n"/>
    </row>
    <row r="256" ht="14.25" customHeight="1" s="91">
      <c r="A256" s="6" t="n"/>
      <c r="B256" s="9" t="n"/>
      <c r="D256" s="9" t="n"/>
      <c r="E256" s="9" t="n"/>
      <c r="F256" s="9" t="n"/>
      <c r="G256" s="9" t="n"/>
    </row>
    <row r="257" ht="14.25" customHeight="1" s="91">
      <c r="A257" s="6" t="n"/>
      <c r="B257" s="9" t="n"/>
      <c r="D257" s="9" t="n"/>
      <c r="E257" s="9" t="n"/>
      <c r="F257" s="9" t="n"/>
      <c r="G257" s="9" t="n"/>
    </row>
    <row r="258" ht="14.25" customHeight="1" s="91">
      <c r="A258" s="6" t="n"/>
      <c r="B258" s="9" t="n"/>
      <c r="D258" s="9" t="n"/>
      <c r="E258" s="9" t="n"/>
      <c r="F258" s="9" t="n"/>
      <c r="G258" s="9" t="n"/>
    </row>
    <row r="259" ht="14.25" customHeight="1" s="91">
      <c r="A259" s="6" t="n"/>
      <c r="B259" s="9" t="n"/>
      <c r="D259" s="9" t="n"/>
      <c r="E259" s="9" t="n"/>
      <c r="F259" s="9" t="n"/>
      <c r="G259" s="9" t="n"/>
    </row>
    <row r="260" ht="14.25" customHeight="1" s="91">
      <c r="A260" s="6" t="n"/>
      <c r="B260" s="9" t="n"/>
      <c r="D260" s="9" t="n"/>
      <c r="E260" s="9" t="n"/>
      <c r="F260" s="9" t="n"/>
      <c r="G260" s="9" t="n"/>
    </row>
    <row r="261" ht="14.25" customHeight="1" s="91">
      <c r="A261" s="6" t="n"/>
      <c r="B261" s="9" t="n"/>
      <c r="D261" s="9" t="n"/>
      <c r="E261" s="9" t="n"/>
      <c r="F261" s="9" t="n"/>
      <c r="G261" s="9" t="n"/>
    </row>
    <row r="262" ht="14.25" customHeight="1" s="91">
      <c r="A262" s="6" t="n"/>
      <c r="B262" s="9" t="n"/>
      <c r="D262" s="9" t="n"/>
      <c r="E262" s="9" t="n"/>
      <c r="F262" s="9" t="n"/>
      <c r="G262" s="9" t="n"/>
    </row>
    <row r="263" ht="14.25" customHeight="1" s="91">
      <c r="A263" s="6" t="n"/>
      <c r="B263" s="9" t="n"/>
      <c r="D263" s="9" t="n"/>
      <c r="E263" s="9" t="n"/>
      <c r="F263" s="9" t="n"/>
      <c r="G263" s="9" t="n"/>
    </row>
    <row r="264" ht="14.25" customHeight="1" s="91">
      <c r="A264" s="6" t="n"/>
      <c r="B264" s="9" t="n"/>
      <c r="D264" s="9" t="n"/>
      <c r="E264" s="9" t="n"/>
      <c r="F264" s="9" t="n"/>
      <c r="G264" s="9" t="n"/>
    </row>
    <row r="265" ht="14.25" customHeight="1" s="91">
      <c r="A265" s="6" t="n"/>
      <c r="B265" s="9" t="n"/>
      <c r="D265" s="9" t="n"/>
      <c r="E265" s="9" t="n"/>
      <c r="F265" s="9" t="n"/>
      <c r="G265" s="9" t="n"/>
    </row>
    <row r="266" ht="14.25" customHeight="1" s="91">
      <c r="A266" s="6" t="n"/>
      <c r="B266" s="9" t="n"/>
      <c r="D266" s="9" t="n"/>
      <c r="E266" s="9" t="n"/>
      <c r="F266" s="9" t="n"/>
      <c r="G266" s="9" t="n"/>
    </row>
    <row r="267" ht="14.25" customHeight="1" s="91">
      <c r="A267" s="6" t="n"/>
      <c r="B267" s="9" t="n"/>
      <c r="D267" s="9" t="n"/>
      <c r="E267" s="9" t="n"/>
      <c r="F267" s="9" t="n"/>
      <c r="G267" s="9" t="n"/>
    </row>
    <row r="268" ht="14.25" customHeight="1" s="91">
      <c r="A268" s="6" t="n"/>
      <c r="B268" s="9" t="n"/>
      <c r="D268" s="9" t="n"/>
      <c r="E268" s="9" t="n"/>
      <c r="F268" s="9" t="n"/>
      <c r="G268" s="9" t="n"/>
    </row>
    <row r="269" ht="14.25" customHeight="1" s="91">
      <c r="A269" s="6" t="n"/>
      <c r="B269" s="9" t="n"/>
      <c r="D269" s="9" t="n"/>
      <c r="E269" s="9" t="n"/>
      <c r="F269" s="9" t="n"/>
      <c r="G269" s="9" t="n"/>
    </row>
    <row r="270" ht="14.25" customHeight="1" s="91">
      <c r="A270" s="6" t="n"/>
      <c r="B270" s="9" t="n"/>
      <c r="D270" s="9" t="n"/>
      <c r="E270" s="9" t="n"/>
      <c r="F270" s="9" t="n"/>
      <c r="G270" s="9" t="n"/>
    </row>
    <row r="271" ht="14.25" customHeight="1" s="91">
      <c r="A271" s="6" t="n"/>
      <c r="B271" s="9" t="n"/>
      <c r="D271" s="9" t="n"/>
      <c r="E271" s="9" t="n"/>
      <c r="F271" s="9" t="n"/>
      <c r="G271" s="9" t="n"/>
    </row>
    <row r="272" ht="14.25" customHeight="1" s="91">
      <c r="A272" s="6" t="n"/>
      <c r="B272" s="9" t="n"/>
      <c r="D272" s="9" t="n"/>
      <c r="E272" s="9" t="n"/>
      <c r="F272" s="9" t="n"/>
      <c r="G272" s="9" t="n"/>
    </row>
    <row r="273" ht="14.25" customHeight="1" s="91">
      <c r="A273" s="6" t="n"/>
      <c r="B273" s="9" t="n"/>
      <c r="D273" s="9" t="n"/>
      <c r="E273" s="9" t="n"/>
      <c r="F273" s="9" t="n"/>
      <c r="G273" s="9" t="n"/>
    </row>
    <row r="274" ht="14.25" customHeight="1" s="91">
      <c r="A274" s="6" t="n"/>
      <c r="B274" s="9" t="n"/>
      <c r="D274" s="9" t="n"/>
      <c r="E274" s="9" t="n"/>
      <c r="F274" s="9" t="n"/>
      <c r="G274" s="9" t="n"/>
    </row>
    <row r="275" ht="14.25" customHeight="1" s="91">
      <c r="A275" s="6" t="n"/>
      <c r="B275" s="9" t="n"/>
      <c r="D275" s="9" t="n"/>
      <c r="E275" s="9" t="n"/>
      <c r="F275" s="9" t="n"/>
      <c r="G275" s="9" t="n"/>
    </row>
    <row r="276" ht="14.25" customHeight="1" s="91">
      <c r="A276" s="6" t="n"/>
      <c r="B276" s="9" t="n"/>
      <c r="D276" s="9" t="n"/>
      <c r="E276" s="9" t="n"/>
      <c r="F276" s="9" t="n"/>
      <c r="G276" s="9" t="n"/>
    </row>
    <row r="277" ht="14.25" customHeight="1" s="91">
      <c r="A277" s="6" t="n"/>
      <c r="B277" s="9" t="n"/>
      <c r="D277" s="9" t="n"/>
      <c r="E277" s="9" t="n"/>
      <c r="F277" s="9" t="n"/>
      <c r="G277" s="9" t="n"/>
    </row>
    <row r="278" ht="14.25" customHeight="1" s="91">
      <c r="A278" s="6" t="n"/>
      <c r="B278" s="9" t="n"/>
      <c r="D278" s="9" t="n"/>
      <c r="E278" s="9" t="n"/>
      <c r="F278" s="9" t="n"/>
      <c r="G278" s="9" t="n"/>
    </row>
    <row r="279" ht="14.25" customHeight="1" s="91">
      <c r="A279" s="6" t="n"/>
      <c r="B279" s="9" t="n"/>
      <c r="D279" s="9" t="n"/>
      <c r="E279" s="9" t="n"/>
      <c r="F279" s="9" t="n"/>
      <c r="G279" s="9" t="n"/>
    </row>
    <row r="280" ht="14.25" customHeight="1" s="91">
      <c r="A280" s="6" t="n"/>
      <c r="B280" s="9" t="n"/>
      <c r="D280" s="9" t="n"/>
      <c r="E280" s="9" t="n"/>
      <c r="F280" s="9" t="n"/>
      <c r="G280" s="9" t="n"/>
    </row>
    <row r="281" ht="14.25" customHeight="1" s="91">
      <c r="A281" s="6" t="n"/>
      <c r="B281" s="9" t="n"/>
      <c r="D281" s="9" t="n"/>
      <c r="E281" s="9" t="n"/>
      <c r="F281" s="9" t="n"/>
      <c r="G281" s="9" t="n"/>
    </row>
    <row r="282" ht="14.25" customHeight="1" s="91">
      <c r="A282" s="6" t="n"/>
      <c r="B282" s="9" t="n"/>
      <c r="D282" s="9" t="n"/>
      <c r="E282" s="9" t="n"/>
      <c r="F282" s="9" t="n"/>
      <c r="G282" s="9" t="n"/>
    </row>
    <row r="283" ht="14.25" customHeight="1" s="91">
      <c r="A283" s="6" t="n"/>
      <c r="B283" s="9" t="n"/>
      <c r="D283" s="9" t="n"/>
      <c r="E283" s="9" t="n"/>
      <c r="F283" s="9" t="n"/>
      <c r="G283" s="9" t="n"/>
    </row>
    <row r="284" ht="14.25" customHeight="1" s="91">
      <c r="A284" s="6" t="n"/>
      <c r="B284" s="9" t="n"/>
      <c r="D284" s="9" t="n"/>
      <c r="E284" s="9" t="n"/>
      <c r="F284" s="9" t="n"/>
      <c r="G284" s="9" t="n"/>
    </row>
    <row r="285" ht="14.25" customHeight="1" s="91">
      <c r="A285" s="6" t="n"/>
      <c r="B285" s="9" t="n"/>
      <c r="D285" s="9" t="n"/>
      <c r="E285" s="9" t="n"/>
      <c r="F285" s="9" t="n"/>
      <c r="G285" s="9" t="n"/>
    </row>
    <row r="286" ht="14.25" customHeight="1" s="91">
      <c r="A286" s="6" t="n"/>
      <c r="B286" s="9" t="n"/>
      <c r="D286" s="9" t="n"/>
      <c r="E286" s="9" t="n"/>
      <c r="F286" s="9" t="n"/>
      <c r="G286" s="9" t="n"/>
    </row>
    <row r="287" ht="14.25" customHeight="1" s="91">
      <c r="A287" s="6" t="n"/>
      <c r="B287" s="9" t="n"/>
      <c r="D287" s="9" t="n"/>
      <c r="E287" s="9" t="n"/>
      <c r="F287" s="9" t="n"/>
      <c r="G287" s="9" t="n"/>
    </row>
    <row r="288" ht="14.25" customHeight="1" s="91">
      <c r="A288" s="6" t="n"/>
      <c r="B288" s="9" t="n"/>
      <c r="D288" s="9" t="n"/>
      <c r="E288" s="9" t="n"/>
      <c r="F288" s="9" t="n"/>
      <c r="G288" s="9" t="n"/>
    </row>
    <row r="289" ht="14.25" customHeight="1" s="91">
      <c r="A289" s="6" t="n"/>
      <c r="B289" s="9" t="n"/>
      <c r="D289" s="9" t="n"/>
      <c r="E289" s="9" t="n"/>
      <c r="F289" s="9" t="n"/>
      <c r="G289" s="9" t="n"/>
    </row>
    <row r="290" ht="14.25" customHeight="1" s="91">
      <c r="A290" s="6" t="n"/>
      <c r="B290" s="9" t="n"/>
      <c r="D290" s="9" t="n"/>
      <c r="E290" s="9" t="n"/>
      <c r="F290" s="9" t="n"/>
      <c r="G290" s="9" t="n"/>
    </row>
    <row r="291" ht="14.25" customHeight="1" s="91">
      <c r="A291" s="6" t="n"/>
      <c r="B291" s="9" t="n"/>
      <c r="D291" s="9" t="n"/>
      <c r="E291" s="9" t="n"/>
      <c r="F291" s="9" t="n"/>
      <c r="G291" s="9" t="n"/>
    </row>
    <row r="292" ht="14.25" customHeight="1" s="91">
      <c r="A292" s="6" t="n"/>
      <c r="B292" s="9" t="n"/>
      <c r="D292" s="9" t="n"/>
      <c r="E292" s="9" t="n"/>
      <c r="F292" s="9" t="n"/>
      <c r="G292" s="9" t="n"/>
    </row>
    <row r="293" ht="14.25" customHeight="1" s="91">
      <c r="A293" s="6" t="n"/>
      <c r="B293" s="9" t="n"/>
      <c r="D293" s="9" t="n"/>
      <c r="E293" s="9" t="n"/>
      <c r="F293" s="9" t="n"/>
      <c r="G293" s="9" t="n"/>
    </row>
    <row r="294" ht="14.25" customHeight="1" s="91">
      <c r="A294" s="6" t="n"/>
      <c r="B294" s="9" t="n"/>
      <c r="D294" s="9" t="n"/>
      <c r="E294" s="9" t="n"/>
      <c r="F294" s="9" t="n"/>
      <c r="G294" s="9" t="n"/>
    </row>
    <row r="295" ht="14.25" customHeight="1" s="91">
      <c r="A295" s="6" t="n"/>
      <c r="B295" s="9" t="n"/>
      <c r="D295" s="9" t="n"/>
      <c r="E295" s="9" t="n"/>
      <c r="F295" s="9" t="n"/>
      <c r="G295" s="9" t="n"/>
    </row>
    <row r="296" ht="14.25" customHeight="1" s="91">
      <c r="A296" s="6" t="n"/>
      <c r="B296" s="9" t="n"/>
      <c r="D296" s="9" t="n"/>
      <c r="E296" s="9" t="n"/>
      <c r="F296" s="9" t="n"/>
      <c r="G296" s="9" t="n"/>
    </row>
    <row r="297" ht="14.25" customHeight="1" s="91">
      <c r="A297" s="6" t="n"/>
      <c r="B297" s="9" t="n"/>
      <c r="D297" s="9" t="n"/>
      <c r="E297" s="9" t="n"/>
      <c r="F297" s="9" t="n"/>
      <c r="G297" s="9" t="n"/>
    </row>
    <row r="298" ht="14.25" customHeight="1" s="91">
      <c r="A298" s="6" t="n"/>
      <c r="B298" s="9" t="n"/>
      <c r="D298" s="9" t="n"/>
      <c r="E298" s="9" t="n"/>
      <c r="F298" s="9" t="n"/>
      <c r="G298" s="9" t="n"/>
    </row>
    <row r="299" ht="14.25" customHeight="1" s="91">
      <c r="A299" s="6" t="n"/>
      <c r="B299" s="9" t="n"/>
      <c r="D299" s="9" t="n"/>
      <c r="E299" s="9" t="n"/>
      <c r="F299" s="9" t="n"/>
      <c r="G299" s="9" t="n"/>
    </row>
    <row r="300" ht="14.25" customHeight="1" s="91">
      <c r="A300" s="6" t="n"/>
      <c r="B300" s="9" t="n"/>
      <c r="D300" s="9" t="n"/>
      <c r="E300" s="9" t="n"/>
      <c r="F300" s="9" t="n"/>
      <c r="G300" s="9" t="n"/>
    </row>
    <row r="301" ht="14.25" customHeight="1" s="91">
      <c r="A301" s="6" t="n"/>
      <c r="B301" s="9" t="n"/>
      <c r="D301" s="9" t="n"/>
      <c r="E301" s="9" t="n"/>
      <c r="F301" s="9" t="n"/>
      <c r="G301" s="9" t="n"/>
    </row>
    <row r="302" ht="14.25" customHeight="1" s="91">
      <c r="A302" s="6" t="n"/>
      <c r="B302" s="9" t="n"/>
      <c r="D302" s="9" t="n"/>
      <c r="E302" s="9" t="n"/>
      <c r="F302" s="9" t="n"/>
      <c r="G302" s="9" t="n"/>
    </row>
    <row r="303" ht="14.25" customHeight="1" s="91">
      <c r="A303" s="6" t="n"/>
      <c r="B303" s="9" t="n"/>
      <c r="D303" s="9" t="n"/>
      <c r="E303" s="9" t="n"/>
      <c r="F303" s="9" t="n"/>
      <c r="G303" s="9" t="n"/>
    </row>
    <row r="304" ht="14.25" customHeight="1" s="91">
      <c r="A304" s="6" t="n"/>
      <c r="B304" s="9" t="n"/>
      <c r="D304" s="9" t="n"/>
      <c r="E304" s="9" t="n"/>
      <c r="F304" s="9" t="n"/>
      <c r="G304" s="9" t="n"/>
    </row>
    <row r="305" ht="14.25" customHeight="1" s="91">
      <c r="A305" s="6" t="n"/>
      <c r="B305" s="9" t="n"/>
      <c r="D305" s="9" t="n"/>
      <c r="E305" s="9" t="n"/>
      <c r="F305" s="9" t="n"/>
      <c r="G305" s="9" t="n"/>
    </row>
    <row r="306" ht="14.25" customHeight="1" s="91">
      <c r="A306" s="6" t="n"/>
      <c r="B306" s="9" t="n"/>
      <c r="D306" s="9" t="n"/>
      <c r="E306" s="9" t="n"/>
      <c r="F306" s="9" t="n"/>
      <c r="G306" s="9" t="n"/>
    </row>
    <row r="307" ht="14.25" customHeight="1" s="91">
      <c r="A307" s="6" t="n"/>
      <c r="B307" s="9" t="n"/>
      <c r="D307" s="9" t="n"/>
      <c r="E307" s="9" t="n"/>
      <c r="F307" s="9" t="n"/>
      <c r="G307" s="9" t="n"/>
    </row>
    <row r="308" ht="14.25" customHeight="1" s="91">
      <c r="A308" s="6" t="n"/>
      <c r="B308" s="9" t="n"/>
      <c r="D308" s="9" t="n"/>
      <c r="E308" s="9" t="n"/>
      <c r="F308" s="9" t="n"/>
      <c r="G308" s="9" t="n"/>
    </row>
    <row r="309" ht="14.25" customHeight="1" s="91">
      <c r="A309" s="6" t="n"/>
      <c r="B309" s="9" t="n"/>
      <c r="D309" s="9" t="n"/>
      <c r="E309" s="9" t="n"/>
      <c r="F309" s="9" t="n"/>
      <c r="G309" s="9" t="n"/>
    </row>
    <row r="310" ht="14.25" customHeight="1" s="91">
      <c r="A310" s="6" t="n"/>
      <c r="B310" s="9" t="n"/>
      <c r="D310" s="9" t="n"/>
      <c r="E310" s="9" t="n"/>
      <c r="F310" s="9" t="n"/>
      <c r="G310" s="9" t="n"/>
    </row>
    <row r="311" ht="14.25" customHeight="1" s="91">
      <c r="A311" s="6" t="n"/>
      <c r="B311" s="9" t="n"/>
      <c r="D311" s="9" t="n"/>
      <c r="E311" s="9" t="n"/>
      <c r="F311" s="9" t="n"/>
      <c r="G311" s="9" t="n"/>
    </row>
    <row r="312" ht="14.25" customHeight="1" s="91">
      <c r="A312" s="6" t="n"/>
      <c r="B312" s="9" t="n"/>
      <c r="D312" s="9" t="n"/>
      <c r="E312" s="9" t="n"/>
      <c r="F312" s="9" t="n"/>
      <c r="G312" s="9" t="n"/>
    </row>
    <row r="313" ht="14.25" customHeight="1" s="91">
      <c r="A313" s="6" t="n"/>
      <c r="B313" s="9" t="n"/>
      <c r="D313" s="9" t="n"/>
      <c r="E313" s="9" t="n"/>
      <c r="F313" s="9" t="n"/>
      <c r="G313" s="9" t="n"/>
    </row>
    <row r="314" ht="14.25" customHeight="1" s="91">
      <c r="A314" s="6" t="n"/>
      <c r="B314" s="9" t="n"/>
      <c r="D314" s="9" t="n"/>
      <c r="E314" s="9" t="n"/>
      <c r="F314" s="9" t="n"/>
      <c r="G314" s="9" t="n"/>
    </row>
    <row r="315" ht="14.25" customHeight="1" s="91">
      <c r="A315" s="6" t="n"/>
      <c r="B315" s="9" t="n"/>
      <c r="D315" s="9" t="n"/>
      <c r="E315" s="9" t="n"/>
      <c r="F315" s="9" t="n"/>
      <c r="G315" s="9" t="n"/>
    </row>
    <row r="316" ht="14.25" customHeight="1" s="91">
      <c r="A316" s="6" t="n"/>
      <c r="B316" s="9" t="n"/>
      <c r="D316" s="9" t="n"/>
      <c r="E316" s="9" t="n"/>
      <c r="F316" s="9" t="n"/>
      <c r="G316" s="9" t="n"/>
    </row>
    <row r="317" ht="14.25" customHeight="1" s="91">
      <c r="A317" s="6" t="n"/>
      <c r="B317" s="9" t="n"/>
      <c r="D317" s="9" t="n"/>
      <c r="E317" s="9" t="n"/>
      <c r="F317" s="9" t="n"/>
      <c r="G317" s="9" t="n"/>
    </row>
    <row r="318" ht="14.25" customHeight="1" s="91">
      <c r="A318" s="6" t="n"/>
      <c r="B318" s="9" t="n"/>
      <c r="D318" s="9" t="n"/>
      <c r="E318" s="9" t="n"/>
      <c r="F318" s="9" t="n"/>
      <c r="G318" s="9" t="n"/>
    </row>
    <row r="319" ht="14.25" customHeight="1" s="91">
      <c r="A319" s="6" t="n"/>
      <c r="B319" s="9" t="n"/>
      <c r="D319" s="9" t="n"/>
      <c r="E319" s="9" t="n"/>
      <c r="F319" s="9" t="n"/>
      <c r="G319" s="9" t="n"/>
    </row>
    <row r="320" ht="14.25" customHeight="1" s="91">
      <c r="A320" s="6" t="n"/>
      <c r="B320" s="9" t="n"/>
      <c r="D320" s="9" t="n"/>
      <c r="E320" s="9" t="n"/>
      <c r="F320" s="9" t="n"/>
      <c r="G320" s="9" t="n"/>
    </row>
    <row r="321" ht="14.25" customHeight="1" s="91">
      <c r="A321" s="6" t="n"/>
      <c r="B321" s="9" t="n"/>
      <c r="D321" s="9" t="n"/>
      <c r="E321" s="9" t="n"/>
      <c r="F321" s="9" t="n"/>
      <c r="G321" s="9" t="n"/>
    </row>
    <row r="322" ht="14.25" customHeight="1" s="91">
      <c r="A322" s="6" t="n"/>
      <c r="B322" s="9" t="n"/>
      <c r="D322" s="9" t="n"/>
      <c r="E322" s="9" t="n"/>
      <c r="F322" s="9" t="n"/>
      <c r="G322" s="9" t="n"/>
    </row>
    <row r="323" ht="14.25" customHeight="1" s="91">
      <c r="A323" s="6" t="n"/>
      <c r="B323" s="9" t="n"/>
      <c r="D323" s="9" t="n"/>
      <c r="E323" s="9" t="n"/>
      <c r="F323" s="9" t="n"/>
      <c r="G323" s="9" t="n"/>
    </row>
    <row r="324" ht="14.25" customHeight="1" s="91">
      <c r="A324" s="6" t="n"/>
      <c r="B324" s="9" t="n"/>
      <c r="D324" s="9" t="n"/>
      <c r="E324" s="9" t="n"/>
      <c r="F324" s="9" t="n"/>
      <c r="G324" s="9" t="n"/>
    </row>
    <row r="325" ht="14.25" customHeight="1" s="91">
      <c r="A325" s="6" t="n"/>
      <c r="B325" s="9" t="n"/>
      <c r="D325" s="9" t="n"/>
      <c r="E325" s="9" t="n"/>
      <c r="F325" s="9" t="n"/>
      <c r="G325" s="9" t="n"/>
    </row>
    <row r="326" ht="14.25" customHeight="1" s="91">
      <c r="A326" s="6" t="n"/>
      <c r="B326" s="9" t="n"/>
      <c r="D326" s="9" t="n"/>
      <c r="E326" s="9" t="n"/>
      <c r="F326" s="9" t="n"/>
      <c r="G326" s="9" t="n"/>
    </row>
    <row r="327" ht="14.25" customHeight="1" s="91">
      <c r="A327" s="6" t="n"/>
      <c r="B327" s="9" t="n"/>
      <c r="D327" s="9" t="n"/>
      <c r="E327" s="9" t="n"/>
      <c r="F327" s="9" t="n"/>
      <c r="G327" s="9" t="n"/>
    </row>
    <row r="328" ht="14.25" customHeight="1" s="91">
      <c r="A328" s="6" t="n"/>
      <c r="B328" s="9" t="n"/>
      <c r="D328" s="9" t="n"/>
      <c r="E328" s="9" t="n"/>
      <c r="F328" s="9" t="n"/>
      <c r="G328" s="9" t="n"/>
    </row>
    <row r="329" ht="14.25" customHeight="1" s="91">
      <c r="A329" s="6" t="n"/>
      <c r="B329" s="9" t="n"/>
      <c r="D329" s="9" t="n"/>
      <c r="E329" s="9" t="n"/>
      <c r="F329" s="9" t="n"/>
      <c r="G329" s="9" t="n"/>
    </row>
    <row r="330" ht="14.25" customHeight="1" s="91">
      <c r="A330" s="6" t="n"/>
      <c r="B330" s="9" t="n"/>
      <c r="D330" s="9" t="n"/>
      <c r="E330" s="9" t="n"/>
      <c r="F330" s="9" t="n"/>
      <c r="G330" s="9" t="n"/>
    </row>
    <row r="331" ht="14.25" customHeight="1" s="91">
      <c r="A331" s="6" t="n"/>
      <c r="B331" s="9" t="n"/>
      <c r="D331" s="9" t="n"/>
      <c r="E331" s="9" t="n"/>
      <c r="F331" s="9" t="n"/>
      <c r="G331" s="9" t="n"/>
    </row>
    <row r="332" ht="14.25" customHeight="1" s="91">
      <c r="A332" s="6" t="n"/>
      <c r="B332" s="9" t="n"/>
      <c r="D332" s="9" t="n"/>
      <c r="E332" s="9" t="n"/>
      <c r="F332" s="9" t="n"/>
      <c r="G332" s="9" t="n"/>
    </row>
    <row r="333" ht="14.25" customHeight="1" s="91">
      <c r="A333" s="6" t="n"/>
      <c r="B333" s="9" t="n"/>
      <c r="D333" s="9" t="n"/>
      <c r="E333" s="9" t="n"/>
      <c r="F333" s="9" t="n"/>
      <c r="G333" s="9" t="n"/>
    </row>
    <row r="334" ht="14.25" customHeight="1" s="91">
      <c r="A334" s="6" t="n"/>
      <c r="B334" s="9" t="n"/>
      <c r="D334" s="9" t="n"/>
      <c r="E334" s="9" t="n"/>
      <c r="F334" s="9" t="n"/>
      <c r="G334" s="9" t="n"/>
    </row>
    <row r="335" ht="14.25" customHeight="1" s="91">
      <c r="A335" s="6" t="n"/>
      <c r="B335" s="9" t="n"/>
      <c r="D335" s="9" t="n"/>
      <c r="E335" s="9" t="n"/>
      <c r="F335" s="9" t="n"/>
      <c r="G335" s="9" t="n"/>
    </row>
    <row r="336" ht="14.25" customHeight="1" s="91">
      <c r="A336" s="6" t="n"/>
      <c r="B336" s="9" t="n"/>
      <c r="D336" s="9" t="n"/>
      <c r="E336" s="9" t="n"/>
      <c r="F336" s="9" t="n"/>
      <c r="G336" s="9" t="n"/>
    </row>
    <row r="337" ht="14.25" customHeight="1" s="91">
      <c r="A337" s="6" t="n"/>
      <c r="B337" s="9" t="n"/>
      <c r="D337" s="9" t="n"/>
      <c r="E337" s="9" t="n"/>
      <c r="F337" s="9" t="n"/>
      <c r="G337" s="9" t="n"/>
    </row>
    <row r="338" ht="14.25" customHeight="1" s="91">
      <c r="A338" s="6" t="n"/>
      <c r="B338" s="9" t="n"/>
      <c r="D338" s="9" t="n"/>
      <c r="E338" s="9" t="n"/>
      <c r="F338" s="9" t="n"/>
      <c r="G338" s="9" t="n"/>
    </row>
    <row r="339" ht="14.25" customHeight="1" s="91">
      <c r="A339" s="6" t="n"/>
      <c r="B339" s="9" t="n"/>
      <c r="D339" s="9" t="n"/>
      <c r="E339" s="9" t="n"/>
      <c r="F339" s="9" t="n"/>
      <c r="G339" s="9" t="n"/>
    </row>
    <row r="340" ht="14.25" customHeight="1" s="91">
      <c r="A340" s="6" t="n"/>
      <c r="B340" s="9" t="n"/>
      <c r="D340" s="9" t="n"/>
      <c r="E340" s="9" t="n"/>
      <c r="F340" s="9" t="n"/>
      <c r="G340" s="9" t="n"/>
    </row>
    <row r="341" ht="14.25" customHeight="1" s="91">
      <c r="A341" s="6" t="n"/>
      <c r="B341" s="9" t="n"/>
      <c r="D341" s="9" t="n"/>
      <c r="E341" s="9" t="n"/>
      <c r="F341" s="9" t="n"/>
      <c r="G341" s="9" t="n"/>
    </row>
    <row r="342" ht="14.25" customHeight="1" s="91">
      <c r="A342" s="6" t="n"/>
      <c r="B342" s="9" t="n"/>
      <c r="D342" s="9" t="n"/>
      <c r="E342" s="9" t="n"/>
      <c r="F342" s="9" t="n"/>
      <c r="G342" s="9" t="n"/>
    </row>
    <row r="343" ht="14.25" customHeight="1" s="91">
      <c r="A343" s="6" t="n"/>
      <c r="B343" s="9" t="n"/>
      <c r="D343" s="9" t="n"/>
      <c r="E343" s="9" t="n"/>
      <c r="F343" s="9" t="n"/>
      <c r="G343" s="9" t="n"/>
    </row>
    <row r="344" ht="14.25" customHeight="1" s="91">
      <c r="A344" s="6" t="n"/>
      <c r="B344" s="9" t="n"/>
      <c r="D344" s="9" t="n"/>
      <c r="E344" s="9" t="n"/>
      <c r="F344" s="9" t="n"/>
      <c r="G344" s="9" t="n"/>
    </row>
    <row r="345" ht="14.25" customHeight="1" s="91">
      <c r="A345" s="6" t="n"/>
      <c r="B345" s="9" t="n"/>
      <c r="D345" s="9" t="n"/>
      <c r="E345" s="9" t="n"/>
      <c r="F345" s="9" t="n"/>
      <c r="G345" s="9" t="n"/>
    </row>
    <row r="346" ht="14.25" customHeight="1" s="91">
      <c r="A346" s="6" t="n"/>
      <c r="B346" s="9" t="n"/>
      <c r="D346" s="9" t="n"/>
      <c r="E346" s="9" t="n"/>
      <c r="F346" s="9" t="n"/>
      <c r="G346" s="9" t="n"/>
    </row>
    <row r="347" ht="14.25" customHeight="1" s="91">
      <c r="A347" s="6" t="n"/>
      <c r="B347" s="9" t="n"/>
      <c r="D347" s="9" t="n"/>
      <c r="E347" s="9" t="n"/>
      <c r="F347" s="9" t="n"/>
      <c r="G347" s="9" t="n"/>
    </row>
    <row r="348" ht="14.25" customHeight="1" s="91">
      <c r="A348" s="6" t="n"/>
      <c r="B348" s="9" t="n"/>
      <c r="D348" s="9" t="n"/>
      <c r="E348" s="9" t="n"/>
      <c r="F348" s="9" t="n"/>
      <c r="G348" s="9" t="n"/>
    </row>
    <row r="349" ht="14.25" customHeight="1" s="91">
      <c r="A349" s="6" t="n"/>
      <c r="B349" s="9" t="n"/>
      <c r="D349" s="9" t="n"/>
      <c r="E349" s="9" t="n"/>
      <c r="F349" s="9" t="n"/>
      <c r="G349" s="9" t="n"/>
    </row>
    <row r="350" ht="14.25" customHeight="1" s="91">
      <c r="A350" s="6" t="n"/>
      <c r="B350" s="9" t="n"/>
      <c r="D350" s="9" t="n"/>
      <c r="E350" s="9" t="n"/>
      <c r="F350" s="9" t="n"/>
      <c r="G350" s="9" t="n"/>
    </row>
    <row r="351" ht="14.25" customHeight="1" s="91">
      <c r="A351" s="6" t="n"/>
      <c r="B351" s="9" t="n"/>
      <c r="D351" s="9" t="n"/>
      <c r="E351" s="9" t="n"/>
      <c r="F351" s="9" t="n"/>
      <c r="G351" s="9" t="n"/>
    </row>
    <row r="352" ht="14.25" customHeight="1" s="91">
      <c r="A352" s="6" t="n"/>
      <c r="B352" s="9" t="n"/>
      <c r="D352" s="9" t="n"/>
      <c r="E352" s="9" t="n"/>
      <c r="F352" s="9" t="n"/>
      <c r="G352" s="9" t="n"/>
    </row>
    <row r="353" ht="14.25" customHeight="1" s="91">
      <c r="A353" s="6" t="n"/>
      <c r="B353" s="9" t="n"/>
      <c r="D353" s="9" t="n"/>
      <c r="E353" s="9" t="n"/>
      <c r="F353" s="9" t="n"/>
      <c r="G353" s="9" t="n"/>
    </row>
    <row r="354" ht="14.25" customHeight="1" s="91">
      <c r="A354" s="6" t="n"/>
      <c r="B354" s="9" t="n"/>
      <c r="D354" s="9" t="n"/>
      <c r="E354" s="9" t="n"/>
      <c r="F354" s="9" t="n"/>
      <c r="G354" s="9" t="n"/>
    </row>
    <row r="355" ht="14.25" customHeight="1" s="91">
      <c r="A355" s="6" t="n"/>
      <c r="B355" s="9" t="n"/>
      <c r="D355" s="9" t="n"/>
      <c r="E355" s="9" t="n"/>
      <c r="F355" s="9" t="n"/>
      <c r="G355" s="9" t="n"/>
    </row>
    <row r="356" ht="14.25" customHeight="1" s="91">
      <c r="A356" s="6" t="n"/>
      <c r="B356" s="9" t="n"/>
      <c r="D356" s="9" t="n"/>
      <c r="E356" s="9" t="n"/>
      <c r="F356" s="9" t="n"/>
      <c r="G356" s="9" t="n"/>
    </row>
    <row r="357" ht="14.25" customHeight="1" s="91">
      <c r="A357" s="6" t="n"/>
      <c r="B357" s="9" t="n"/>
      <c r="D357" s="9" t="n"/>
      <c r="E357" s="9" t="n"/>
      <c r="F357" s="9" t="n"/>
      <c r="G357" s="9" t="n"/>
    </row>
    <row r="358" ht="14.25" customHeight="1" s="91">
      <c r="A358" s="6" t="n"/>
      <c r="B358" s="9" t="n"/>
      <c r="D358" s="9" t="n"/>
      <c r="E358" s="9" t="n"/>
      <c r="F358" s="9" t="n"/>
      <c r="G358" s="9" t="n"/>
    </row>
    <row r="359" ht="14.25" customHeight="1" s="91">
      <c r="A359" s="6" t="n"/>
      <c r="B359" s="9" t="n"/>
      <c r="D359" s="9" t="n"/>
      <c r="E359" s="9" t="n"/>
      <c r="F359" s="9" t="n"/>
      <c r="G359" s="9" t="n"/>
    </row>
    <row r="360" ht="14.25" customHeight="1" s="91">
      <c r="A360" s="6" t="n"/>
      <c r="B360" s="9" t="n"/>
      <c r="D360" s="9" t="n"/>
      <c r="E360" s="9" t="n"/>
      <c r="F360" s="9" t="n"/>
      <c r="G360" s="9" t="n"/>
    </row>
    <row r="361" ht="14.25" customHeight="1" s="91">
      <c r="A361" s="6" t="n"/>
      <c r="B361" s="9" t="n"/>
      <c r="D361" s="9" t="n"/>
      <c r="E361" s="9" t="n"/>
      <c r="F361" s="9" t="n"/>
      <c r="G361" s="9" t="n"/>
    </row>
    <row r="362" ht="14.25" customHeight="1" s="91">
      <c r="A362" s="6" t="n"/>
      <c r="B362" s="9" t="n"/>
      <c r="D362" s="9" t="n"/>
      <c r="E362" s="9" t="n"/>
      <c r="F362" s="9" t="n"/>
      <c r="G362" s="9" t="n"/>
    </row>
    <row r="363" ht="14.25" customHeight="1" s="91">
      <c r="A363" s="6" t="n"/>
      <c r="B363" s="9" t="n"/>
      <c r="D363" s="9" t="n"/>
      <c r="E363" s="9" t="n"/>
      <c r="F363" s="9" t="n"/>
      <c r="G363" s="9" t="n"/>
    </row>
    <row r="364" ht="14.25" customHeight="1" s="91">
      <c r="A364" s="6" t="n"/>
      <c r="B364" s="9" t="n"/>
      <c r="D364" s="9" t="n"/>
      <c r="E364" s="9" t="n"/>
      <c r="F364" s="9" t="n"/>
      <c r="G364" s="9" t="n"/>
    </row>
    <row r="365" ht="14.25" customHeight="1" s="91">
      <c r="A365" s="6" t="n"/>
      <c r="B365" s="9" t="n"/>
      <c r="D365" s="9" t="n"/>
      <c r="E365" s="9" t="n"/>
      <c r="F365" s="9" t="n"/>
      <c r="G365" s="9" t="n"/>
    </row>
    <row r="366" ht="14.25" customHeight="1" s="91">
      <c r="A366" s="6" t="n"/>
      <c r="B366" s="9" t="n"/>
      <c r="D366" s="9" t="n"/>
      <c r="E366" s="9" t="n"/>
      <c r="F366" s="9" t="n"/>
      <c r="G366" s="9" t="n"/>
    </row>
    <row r="367" ht="14.25" customHeight="1" s="91">
      <c r="A367" s="6" t="n"/>
      <c r="B367" s="9" t="n"/>
      <c r="D367" s="9" t="n"/>
      <c r="E367" s="9" t="n"/>
      <c r="F367" s="9" t="n"/>
      <c r="G367" s="9" t="n"/>
    </row>
    <row r="368" ht="14.25" customHeight="1" s="91">
      <c r="A368" s="6" t="n"/>
      <c r="B368" s="9" t="n"/>
      <c r="D368" s="9" t="n"/>
      <c r="E368" s="9" t="n"/>
      <c r="F368" s="9" t="n"/>
      <c r="G368" s="9" t="n"/>
    </row>
    <row r="369" ht="14.25" customHeight="1" s="91">
      <c r="A369" s="6" t="n"/>
      <c r="B369" s="9" t="n"/>
      <c r="D369" s="9" t="n"/>
      <c r="E369" s="9" t="n"/>
      <c r="F369" s="9" t="n"/>
      <c r="G369" s="9" t="n"/>
    </row>
    <row r="370" ht="14.25" customHeight="1" s="91">
      <c r="A370" s="6" t="n"/>
      <c r="B370" s="9" t="n"/>
      <c r="D370" s="9" t="n"/>
      <c r="E370" s="9" t="n"/>
      <c r="F370" s="9" t="n"/>
      <c r="G370" s="9" t="n"/>
    </row>
    <row r="371" ht="14.25" customHeight="1" s="91">
      <c r="A371" s="6" t="n"/>
      <c r="B371" s="9" t="n"/>
      <c r="D371" s="9" t="n"/>
      <c r="E371" s="9" t="n"/>
      <c r="F371" s="9" t="n"/>
      <c r="G371" s="9" t="n"/>
    </row>
    <row r="372" ht="14.25" customHeight="1" s="91">
      <c r="A372" s="6" t="n"/>
      <c r="B372" s="9" t="n"/>
      <c r="D372" s="9" t="n"/>
      <c r="E372" s="9" t="n"/>
      <c r="F372" s="9" t="n"/>
      <c r="G372" s="9" t="n"/>
    </row>
    <row r="373" ht="14.25" customHeight="1" s="91">
      <c r="A373" s="6" t="n"/>
      <c r="B373" s="9" t="n"/>
      <c r="D373" s="9" t="n"/>
      <c r="E373" s="9" t="n"/>
      <c r="F373" s="9" t="n"/>
      <c r="G373" s="9" t="n"/>
    </row>
    <row r="374" ht="14.25" customHeight="1" s="91">
      <c r="A374" s="6" t="n"/>
      <c r="B374" s="9" t="n"/>
      <c r="D374" s="9" t="n"/>
      <c r="E374" s="9" t="n"/>
      <c r="F374" s="9" t="n"/>
      <c r="G374" s="9" t="n"/>
    </row>
    <row r="375" ht="14.25" customHeight="1" s="91">
      <c r="A375" s="6" t="n"/>
      <c r="B375" s="9" t="n"/>
      <c r="D375" s="9" t="n"/>
      <c r="E375" s="9" t="n"/>
      <c r="F375" s="9" t="n"/>
      <c r="G375" s="9" t="n"/>
    </row>
    <row r="376" ht="14.25" customHeight="1" s="91">
      <c r="A376" s="6" t="n"/>
      <c r="B376" s="9" t="n"/>
      <c r="D376" s="9" t="n"/>
      <c r="E376" s="9" t="n"/>
      <c r="F376" s="9" t="n"/>
      <c r="G376" s="9" t="n"/>
    </row>
    <row r="377" ht="14.25" customHeight="1" s="91">
      <c r="A377" s="6" t="n"/>
      <c r="B377" s="9" t="n"/>
      <c r="D377" s="9" t="n"/>
      <c r="E377" s="9" t="n"/>
      <c r="F377" s="9" t="n"/>
      <c r="G377" s="9" t="n"/>
    </row>
    <row r="378" ht="14.25" customHeight="1" s="91">
      <c r="A378" s="6" t="n"/>
      <c r="B378" s="9" t="n"/>
      <c r="D378" s="9" t="n"/>
      <c r="E378" s="9" t="n"/>
      <c r="F378" s="9" t="n"/>
      <c r="G378" s="9" t="n"/>
    </row>
    <row r="379" ht="14.25" customHeight="1" s="91">
      <c r="A379" s="6" t="n"/>
      <c r="B379" s="9" t="n"/>
      <c r="D379" s="9" t="n"/>
      <c r="E379" s="9" t="n"/>
      <c r="F379" s="9" t="n"/>
      <c r="G379" s="9" t="n"/>
    </row>
    <row r="380" ht="14.25" customHeight="1" s="91">
      <c r="A380" s="6" t="n"/>
      <c r="B380" s="9" t="n"/>
      <c r="D380" s="9" t="n"/>
      <c r="E380" s="9" t="n"/>
      <c r="F380" s="9" t="n"/>
      <c r="G380" s="9" t="n"/>
    </row>
    <row r="381" ht="14.25" customHeight="1" s="91">
      <c r="A381" s="6" t="n"/>
      <c r="B381" s="9" t="n"/>
      <c r="D381" s="9" t="n"/>
      <c r="E381" s="9" t="n"/>
      <c r="F381" s="9" t="n"/>
      <c r="G381" s="9" t="n"/>
    </row>
    <row r="382" ht="14.25" customHeight="1" s="91">
      <c r="A382" s="6" t="n"/>
      <c r="B382" s="9" t="n"/>
      <c r="D382" s="9" t="n"/>
      <c r="E382" s="9" t="n"/>
      <c r="F382" s="9" t="n"/>
      <c r="G382" s="9" t="n"/>
    </row>
    <row r="383" ht="14.25" customHeight="1" s="91">
      <c r="A383" s="6" t="n"/>
      <c r="B383" s="9" t="n"/>
      <c r="D383" s="9" t="n"/>
      <c r="E383" s="9" t="n"/>
      <c r="F383" s="9" t="n"/>
      <c r="G383" s="9" t="n"/>
    </row>
    <row r="384" ht="14.25" customHeight="1" s="91">
      <c r="A384" s="6" t="n"/>
      <c r="B384" s="9" t="n"/>
      <c r="D384" s="9" t="n"/>
      <c r="E384" s="9" t="n"/>
      <c r="F384" s="9" t="n"/>
      <c r="G384" s="9" t="n"/>
    </row>
    <row r="385" ht="14.25" customHeight="1" s="91">
      <c r="A385" s="6" t="n"/>
      <c r="B385" s="9" t="n"/>
      <c r="D385" s="9" t="n"/>
      <c r="E385" s="9" t="n"/>
      <c r="F385" s="9" t="n"/>
      <c r="G385" s="9" t="n"/>
    </row>
    <row r="386" ht="14.25" customHeight="1" s="91">
      <c r="A386" s="6" t="n"/>
      <c r="B386" s="9" t="n"/>
      <c r="D386" s="9" t="n"/>
      <c r="E386" s="9" t="n"/>
      <c r="F386" s="9" t="n"/>
      <c r="G386" s="9" t="n"/>
    </row>
    <row r="387" ht="14.25" customHeight="1" s="91">
      <c r="A387" s="6" t="n"/>
      <c r="B387" s="9" t="n"/>
      <c r="D387" s="9" t="n"/>
      <c r="E387" s="9" t="n"/>
      <c r="F387" s="9" t="n"/>
      <c r="G387" s="9" t="n"/>
    </row>
    <row r="388" ht="14.25" customHeight="1" s="91">
      <c r="A388" s="6" t="n"/>
      <c r="B388" s="9" t="n"/>
      <c r="D388" s="9" t="n"/>
      <c r="E388" s="9" t="n"/>
      <c r="F388" s="9" t="n"/>
      <c r="G388" s="9" t="n"/>
    </row>
    <row r="389" ht="14.25" customHeight="1" s="91">
      <c r="A389" s="6" t="n"/>
      <c r="B389" s="9" t="n"/>
      <c r="D389" s="9" t="n"/>
      <c r="E389" s="9" t="n"/>
      <c r="F389" s="9" t="n"/>
      <c r="G389" s="9" t="n"/>
    </row>
    <row r="390" ht="14.25" customHeight="1" s="91">
      <c r="A390" s="6" t="n"/>
      <c r="B390" s="9" t="n"/>
      <c r="D390" s="9" t="n"/>
      <c r="E390" s="9" t="n"/>
      <c r="F390" s="9" t="n"/>
      <c r="G390" s="9" t="n"/>
    </row>
    <row r="391" ht="14.25" customHeight="1" s="91">
      <c r="A391" s="6" t="n"/>
      <c r="B391" s="9" t="n"/>
      <c r="D391" s="9" t="n"/>
      <c r="E391" s="9" t="n"/>
      <c r="F391" s="9" t="n"/>
      <c r="G391" s="9" t="n"/>
    </row>
    <row r="392" ht="14.25" customHeight="1" s="91">
      <c r="A392" s="6" t="n"/>
      <c r="B392" s="9" t="n"/>
      <c r="D392" s="9" t="n"/>
      <c r="E392" s="9" t="n"/>
      <c r="F392" s="9" t="n"/>
      <c r="G392" s="9" t="n"/>
    </row>
    <row r="393" ht="14.25" customHeight="1" s="91">
      <c r="A393" s="6" t="n"/>
      <c r="B393" s="9" t="n"/>
      <c r="D393" s="9" t="n"/>
      <c r="E393" s="9" t="n"/>
      <c r="F393" s="9" t="n"/>
      <c r="G393" s="9" t="n"/>
    </row>
    <row r="394" ht="14.25" customHeight="1" s="91">
      <c r="A394" s="6" t="n"/>
      <c r="B394" s="9" t="n"/>
      <c r="D394" s="9" t="n"/>
      <c r="E394" s="9" t="n"/>
      <c r="F394" s="9" t="n"/>
      <c r="G394" s="9" t="n"/>
    </row>
    <row r="395" ht="14.25" customHeight="1" s="91">
      <c r="A395" s="6" t="n"/>
      <c r="B395" s="9" t="n"/>
      <c r="D395" s="9" t="n"/>
      <c r="E395" s="9" t="n"/>
      <c r="F395" s="9" t="n"/>
      <c r="G395" s="9" t="n"/>
    </row>
    <row r="396" ht="14.25" customHeight="1" s="91">
      <c r="A396" s="6" t="n"/>
      <c r="B396" s="9" t="n"/>
      <c r="D396" s="9" t="n"/>
      <c r="E396" s="9" t="n"/>
      <c r="F396" s="9" t="n"/>
      <c r="G396" s="9" t="n"/>
    </row>
    <row r="397" ht="14.25" customHeight="1" s="91">
      <c r="A397" s="6" t="n"/>
      <c r="B397" s="9" t="n"/>
      <c r="D397" s="9" t="n"/>
      <c r="E397" s="9" t="n"/>
      <c r="F397" s="9" t="n"/>
      <c r="G397" s="9" t="n"/>
    </row>
    <row r="398" ht="14.25" customHeight="1" s="91">
      <c r="A398" s="6" t="n"/>
      <c r="B398" s="9" t="n"/>
      <c r="D398" s="9" t="n"/>
      <c r="E398" s="9" t="n"/>
      <c r="F398" s="9" t="n"/>
      <c r="G398" s="9" t="n"/>
    </row>
    <row r="399" ht="14.25" customHeight="1" s="91">
      <c r="A399" s="6" t="n"/>
      <c r="B399" s="9" t="n"/>
      <c r="D399" s="9" t="n"/>
      <c r="E399" s="9" t="n"/>
      <c r="F399" s="9" t="n"/>
      <c r="G399" s="9" t="n"/>
    </row>
    <row r="400" ht="14.25" customHeight="1" s="91">
      <c r="A400" s="6" t="n"/>
      <c r="B400" s="9" t="n"/>
      <c r="D400" s="9" t="n"/>
      <c r="E400" s="9" t="n"/>
      <c r="F400" s="9" t="n"/>
      <c r="G400" s="9" t="n"/>
    </row>
    <row r="401" ht="14.25" customHeight="1" s="91">
      <c r="A401" s="6" t="n"/>
      <c r="B401" s="9" t="n"/>
      <c r="D401" s="9" t="n"/>
      <c r="E401" s="9" t="n"/>
      <c r="F401" s="9" t="n"/>
      <c r="G401" s="9" t="n"/>
    </row>
    <row r="402" ht="14.25" customHeight="1" s="91">
      <c r="A402" s="6" t="n"/>
      <c r="B402" s="9" t="n"/>
      <c r="D402" s="9" t="n"/>
      <c r="E402" s="9" t="n"/>
      <c r="F402" s="9" t="n"/>
      <c r="G402" s="9" t="n"/>
    </row>
    <row r="403" ht="14.25" customHeight="1" s="91">
      <c r="A403" s="6" t="n"/>
      <c r="B403" s="9" t="n"/>
      <c r="D403" s="9" t="n"/>
      <c r="E403" s="9" t="n"/>
      <c r="F403" s="9" t="n"/>
      <c r="G403" s="9" t="n"/>
    </row>
    <row r="404" ht="14.25" customHeight="1" s="91">
      <c r="A404" s="6" t="n"/>
      <c r="B404" s="9" t="n"/>
      <c r="D404" s="9" t="n"/>
      <c r="E404" s="9" t="n"/>
      <c r="F404" s="9" t="n"/>
      <c r="G404" s="9" t="n"/>
    </row>
    <row r="405" ht="14.25" customHeight="1" s="91">
      <c r="A405" s="6" t="n"/>
      <c r="B405" s="9" t="n"/>
      <c r="D405" s="9" t="n"/>
      <c r="E405" s="9" t="n"/>
      <c r="F405" s="9" t="n"/>
      <c r="G405" s="9" t="n"/>
    </row>
    <row r="406" ht="14.25" customHeight="1" s="91">
      <c r="A406" s="6" t="n"/>
      <c r="B406" s="9" t="n"/>
      <c r="D406" s="9" t="n"/>
      <c r="E406" s="9" t="n"/>
      <c r="F406" s="9" t="n"/>
      <c r="G406" s="9" t="n"/>
    </row>
    <row r="407" ht="14.25" customHeight="1" s="91">
      <c r="A407" s="6" t="n"/>
      <c r="B407" s="9" t="n"/>
      <c r="D407" s="9" t="n"/>
      <c r="E407" s="9" t="n"/>
      <c r="F407" s="9" t="n"/>
      <c r="G407" s="9" t="n"/>
    </row>
    <row r="408" ht="14.25" customHeight="1" s="91">
      <c r="A408" s="6" t="n"/>
      <c r="B408" s="9" t="n"/>
      <c r="D408" s="9" t="n"/>
      <c r="E408" s="9" t="n"/>
      <c r="F408" s="9" t="n"/>
      <c r="G408" s="9" t="n"/>
    </row>
    <row r="409" ht="14.25" customHeight="1" s="91">
      <c r="A409" s="6" t="n"/>
      <c r="B409" s="9" t="n"/>
      <c r="D409" s="9" t="n"/>
      <c r="E409" s="9" t="n"/>
      <c r="F409" s="9" t="n"/>
      <c r="G409" s="9" t="n"/>
    </row>
    <row r="410" ht="14.25" customHeight="1" s="91">
      <c r="A410" s="6" t="n"/>
      <c r="B410" s="9" t="n"/>
      <c r="D410" s="9" t="n"/>
      <c r="E410" s="9" t="n"/>
      <c r="F410" s="9" t="n"/>
      <c r="G410" s="9" t="n"/>
    </row>
    <row r="411" ht="14.25" customHeight="1" s="91">
      <c r="A411" s="6" t="n"/>
      <c r="B411" s="9" t="n"/>
      <c r="D411" s="9" t="n"/>
      <c r="E411" s="9" t="n"/>
      <c r="F411" s="9" t="n"/>
      <c r="G411" s="9" t="n"/>
    </row>
    <row r="412" ht="14.25" customHeight="1" s="91">
      <c r="A412" s="6" t="n"/>
      <c r="B412" s="9" t="n"/>
      <c r="D412" s="9" t="n"/>
      <c r="E412" s="9" t="n"/>
      <c r="F412" s="9" t="n"/>
      <c r="G412" s="9" t="n"/>
    </row>
    <row r="413" ht="14.25" customHeight="1" s="91">
      <c r="A413" s="6" t="n"/>
      <c r="B413" s="9" t="n"/>
      <c r="D413" s="9" t="n"/>
      <c r="E413" s="9" t="n"/>
      <c r="F413" s="9" t="n"/>
      <c r="G413" s="9" t="n"/>
    </row>
    <row r="414" ht="14.25" customHeight="1" s="91">
      <c r="A414" s="6" t="n"/>
      <c r="B414" s="9" t="n"/>
      <c r="D414" s="9" t="n"/>
      <c r="E414" s="9" t="n"/>
      <c r="F414" s="9" t="n"/>
      <c r="G414" s="9" t="n"/>
    </row>
    <row r="415" ht="14.25" customHeight="1" s="91">
      <c r="A415" s="6" t="n"/>
      <c r="B415" s="9" t="n"/>
      <c r="D415" s="9" t="n"/>
      <c r="E415" s="9" t="n"/>
      <c r="F415" s="9" t="n"/>
      <c r="G415" s="9" t="n"/>
    </row>
    <row r="416" ht="14.25" customHeight="1" s="91">
      <c r="A416" s="6" t="n"/>
      <c r="B416" s="9" t="n"/>
      <c r="D416" s="9" t="n"/>
      <c r="E416" s="9" t="n"/>
      <c r="F416" s="9" t="n"/>
      <c r="G416" s="9" t="n"/>
    </row>
    <row r="417" ht="14.25" customHeight="1" s="91">
      <c r="A417" s="6" t="n"/>
      <c r="B417" s="9" t="n"/>
      <c r="D417" s="9" t="n"/>
      <c r="E417" s="9" t="n"/>
      <c r="F417" s="9" t="n"/>
      <c r="G417" s="9" t="n"/>
    </row>
    <row r="418" ht="14.25" customHeight="1" s="91">
      <c r="A418" s="6" t="n"/>
      <c r="B418" s="9" t="n"/>
      <c r="D418" s="9" t="n"/>
      <c r="E418" s="9" t="n"/>
      <c r="F418" s="9" t="n"/>
      <c r="G418" s="9" t="n"/>
    </row>
    <row r="419" ht="14.25" customHeight="1" s="91">
      <c r="A419" s="6" t="n"/>
      <c r="B419" s="9" t="n"/>
      <c r="D419" s="9" t="n"/>
      <c r="E419" s="9" t="n"/>
      <c r="F419" s="9" t="n"/>
      <c r="G419" s="9" t="n"/>
    </row>
    <row r="420" ht="14.25" customHeight="1" s="91">
      <c r="A420" s="6" t="n"/>
      <c r="B420" s="9" t="n"/>
      <c r="D420" s="9" t="n"/>
      <c r="E420" s="9" t="n"/>
      <c r="F420" s="9" t="n"/>
      <c r="G420" s="9" t="n"/>
    </row>
    <row r="421" ht="14.25" customHeight="1" s="91">
      <c r="A421" s="6" t="n"/>
      <c r="B421" s="9" t="n"/>
      <c r="D421" s="9" t="n"/>
      <c r="E421" s="9" t="n"/>
      <c r="F421" s="9" t="n"/>
      <c r="G421" s="9" t="n"/>
    </row>
    <row r="422" ht="14.25" customHeight="1" s="91">
      <c r="A422" s="6" t="n"/>
      <c r="B422" s="9" t="n"/>
      <c r="D422" s="9" t="n"/>
      <c r="E422" s="9" t="n"/>
      <c r="F422" s="9" t="n"/>
      <c r="G422" s="9" t="n"/>
    </row>
    <row r="423" ht="14.25" customHeight="1" s="91">
      <c r="A423" s="6" t="n"/>
      <c r="B423" s="9" t="n"/>
      <c r="D423" s="9" t="n"/>
      <c r="E423" s="9" t="n"/>
      <c r="F423" s="9" t="n"/>
      <c r="G423" s="9" t="n"/>
    </row>
    <row r="424" ht="14.25" customHeight="1" s="91">
      <c r="A424" s="6" t="n"/>
      <c r="B424" s="9" t="n"/>
      <c r="D424" s="9" t="n"/>
      <c r="E424" s="9" t="n"/>
      <c r="F424" s="9" t="n"/>
      <c r="G424" s="9" t="n"/>
    </row>
    <row r="425" ht="14.25" customHeight="1" s="91">
      <c r="A425" s="6" t="n"/>
      <c r="B425" s="9" t="n"/>
      <c r="D425" s="9" t="n"/>
      <c r="E425" s="9" t="n"/>
      <c r="F425" s="9" t="n"/>
      <c r="G425" s="9" t="n"/>
    </row>
    <row r="426" ht="14.25" customHeight="1" s="91">
      <c r="A426" s="6" t="n"/>
      <c r="B426" s="9" t="n"/>
      <c r="D426" s="9" t="n"/>
      <c r="E426" s="9" t="n"/>
      <c r="F426" s="9" t="n"/>
      <c r="G426" s="9" t="n"/>
    </row>
    <row r="427" ht="14.25" customHeight="1" s="91">
      <c r="A427" s="6" t="n"/>
      <c r="B427" s="9" t="n"/>
      <c r="D427" s="9" t="n"/>
      <c r="E427" s="9" t="n"/>
      <c r="F427" s="9" t="n"/>
      <c r="G427" s="9" t="n"/>
    </row>
    <row r="428" ht="14.25" customHeight="1" s="91">
      <c r="A428" s="6" t="n"/>
      <c r="B428" s="9" t="n"/>
      <c r="D428" s="9" t="n"/>
      <c r="E428" s="9" t="n"/>
      <c r="F428" s="9" t="n"/>
      <c r="G428" s="9" t="n"/>
    </row>
    <row r="429" ht="14.25" customHeight="1" s="91">
      <c r="A429" s="6" t="n"/>
      <c r="B429" s="9" t="n"/>
      <c r="D429" s="9" t="n"/>
      <c r="E429" s="9" t="n"/>
      <c r="F429" s="9" t="n"/>
      <c r="G429" s="9" t="n"/>
    </row>
    <row r="430" ht="14.25" customHeight="1" s="91">
      <c r="A430" s="6" t="n"/>
      <c r="B430" s="9" t="n"/>
      <c r="D430" s="9" t="n"/>
      <c r="E430" s="9" t="n"/>
      <c r="F430" s="9" t="n"/>
      <c r="G430" s="9" t="n"/>
    </row>
    <row r="431" ht="14.25" customHeight="1" s="91">
      <c r="A431" s="6" t="n"/>
      <c r="B431" s="9" t="n"/>
      <c r="D431" s="9" t="n"/>
      <c r="E431" s="9" t="n"/>
      <c r="F431" s="9" t="n"/>
      <c r="G431" s="9" t="n"/>
    </row>
    <row r="432" ht="14.25" customHeight="1" s="91">
      <c r="A432" s="6" t="n"/>
      <c r="B432" s="9" t="n"/>
      <c r="D432" s="9" t="n"/>
      <c r="E432" s="9" t="n"/>
      <c r="F432" s="9" t="n"/>
      <c r="G432" s="9" t="n"/>
    </row>
    <row r="433" ht="14.25" customHeight="1" s="91">
      <c r="A433" s="6" t="n"/>
      <c r="B433" s="9" t="n"/>
      <c r="D433" s="9" t="n"/>
      <c r="E433" s="9" t="n"/>
      <c r="F433" s="9" t="n"/>
      <c r="G433" s="9" t="n"/>
    </row>
    <row r="434" ht="14.25" customHeight="1" s="91">
      <c r="A434" s="6" t="n"/>
      <c r="B434" s="9" t="n"/>
      <c r="D434" s="9" t="n"/>
      <c r="E434" s="9" t="n"/>
      <c r="F434" s="9" t="n"/>
      <c r="G434" s="9" t="n"/>
    </row>
    <row r="435" ht="14.25" customHeight="1" s="91">
      <c r="A435" s="6" t="n"/>
      <c r="B435" s="9" t="n"/>
      <c r="D435" s="9" t="n"/>
      <c r="E435" s="9" t="n"/>
      <c r="F435" s="9" t="n"/>
      <c r="G435" s="9" t="n"/>
    </row>
    <row r="436" ht="14.25" customHeight="1" s="91">
      <c r="A436" s="6" t="n"/>
      <c r="B436" s="9" t="n"/>
      <c r="D436" s="9" t="n"/>
      <c r="E436" s="9" t="n"/>
      <c r="F436" s="9" t="n"/>
      <c r="G436" s="9" t="n"/>
    </row>
    <row r="437" ht="14.25" customHeight="1" s="91">
      <c r="A437" s="6" t="n"/>
      <c r="B437" s="9" t="n"/>
      <c r="D437" s="9" t="n"/>
      <c r="E437" s="9" t="n"/>
      <c r="F437" s="9" t="n"/>
      <c r="G437" s="9" t="n"/>
    </row>
    <row r="438" ht="14.25" customHeight="1" s="91">
      <c r="A438" s="6" t="n"/>
      <c r="B438" s="9" t="n"/>
      <c r="D438" s="9" t="n"/>
      <c r="E438" s="9" t="n"/>
      <c r="F438" s="9" t="n"/>
      <c r="G438" s="9" t="n"/>
    </row>
    <row r="439" ht="14.25" customHeight="1" s="91">
      <c r="A439" s="6" t="n"/>
      <c r="B439" s="9" t="n"/>
      <c r="D439" s="9" t="n"/>
      <c r="E439" s="9" t="n"/>
      <c r="F439" s="9" t="n"/>
      <c r="G439" s="9" t="n"/>
    </row>
    <row r="440" ht="14.25" customHeight="1" s="91">
      <c r="A440" s="6" t="n"/>
      <c r="B440" s="9" t="n"/>
      <c r="D440" s="9" t="n"/>
      <c r="E440" s="9" t="n"/>
      <c r="F440" s="9" t="n"/>
      <c r="G440" s="9" t="n"/>
    </row>
    <row r="441" ht="14.25" customHeight="1" s="91">
      <c r="A441" s="6" t="n"/>
      <c r="B441" s="9" t="n"/>
      <c r="D441" s="9" t="n"/>
      <c r="E441" s="9" t="n"/>
      <c r="F441" s="9" t="n"/>
      <c r="G441" s="9" t="n"/>
    </row>
    <row r="442" ht="14.25" customHeight="1" s="91">
      <c r="A442" s="6" t="n"/>
      <c r="B442" s="9" t="n"/>
      <c r="D442" s="9" t="n"/>
      <c r="E442" s="9" t="n"/>
      <c r="F442" s="9" t="n"/>
      <c r="G442" s="9" t="n"/>
    </row>
    <row r="443" ht="14.25" customHeight="1" s="91">
      <c r="A443" s="6" t="n"/>
      <c r="B443" s="9" t="n"/>
      <c r="D443" s="9" t="n"/>
      <c r="E443" s="9" t="n"/>
      <c r="F443" s="9" t="n"/>
      <c r="G443" s="9" t="n"/>
    </row>
    <row r="444" ht="14.25" customHeight="1" s="91">
      <c r="A444" s="6" t="n"/>
      <c r="B444" s="9" t="n"/>
      <c r="D444" s="9" t="n"/>
      <c r="E444" s="9" t="n"/>
      <c r="F444" s="9" t="n"/>
      <c r="G444" s="9" t="n"/>
    </row>
    <row r="445" ht="14.25" customHeight="1" s="91">
      <c r="A445" s="6" t="n"/>
      <c r="B445" s="9" t="n"/>
      <c r="D445" s="9" t="n"/>
      <c r="E445" s="9" t="n"/>
      <c r="F445" s="9" t="n"/>
      <c r="G445" s="9" t="n"/>
    </row>
    <row r="446" ht="14.25" customHeight="1" s="91">
      <c r="A446" s="6" t="n"/>
      <c r="B446" s="9" t="n"/>
      <c r="D446" s="9" t="n"/>
      <c r="E446" s="9" t="n"/>
      <c r="F446" s="9" t="n"/>
      <c r="G446" s="9" t="n"/>
    </row>
    <row r="447" ht="14.25" customHeight="1" s="91">
      <c r="A447" s="6" t="n"/>
      <c r="B447" s="9" t="n"/>
      <c r="D447" s="9" t="n"/>
      <c r="E447" s="9" t="n"/>
      <c r="F447" s="9" t="n"/>
      <c r="G447" s="9" t="n"/>
    </row>
    <row r="448" ht="14.25" customHeight="1" s="91">
      <c r="A448" s="6" t="n"/>
      <c r="B448" s="9" t="n"/>
      <c r="D448" s="9" t="n"/>
      <c r="E448" s="9" t="n"/>
      <c r="F448" s="9" t="n"/>
      <c r="G448" s="9" t="n"/>
    </row>
    <row r="449" ht="14.25" customHeight="1" s="91">
      <c r="A449" s="6" t="n"/>
      <c r="B449" s="9" t="n"/>
      <c r="D449" s="9" t="n"/>
      <c r="E449" s="9" t="n"/>
      <c r="F449" s="9" t="n"/>
      <c r="G449" s="9" t="n"/>
    </row>
    <row r="450" ht="14.25" customHeight="1" s="91">
      <c r="A450" s="6" t="n"/>
      <c r="B450" s="9" t="n"/>
      <c r="D450" s="9" t="n"/>
      <c r="E450" s="9" t="n"/>
      <c r="F450" s="9" t="n"/>
      <c r="G450" s="9" t="n"/>
    </row>
    <row r="451" ht="14.25" customHeight="1" s="91">
      <c r="A451" s="6" t="n"/>
      <c r="B451" s="9" t="n"/>
      <c r="D451" s="9" t="n"/>
      <c r="E451" s="9" t="n"/>
      <c r="F451" s="9" t="n"/>
      <c r="G451" s="9" t="n"/>
    </row>
    <row r="452" ht="14.25" customHeight="1" s="91">
      <c r="A452" s="6" t="n"/>
      <c r="B452" s="9" t="n"/>
      <c r="D452" s="9" t="n"/>
      <c r="E452" s="9" t="n"/>
      <c r="F452" s="9" t="n"/>
      <c r="G452" s="9" t="n"/>
    </row>
    <row r="453" ht="14.25" customHeight="1" s="91">
      <c r="A453" s="6" t="n"/>
      <c r="B453" s="9" t="n"/>
      <c r="D453" s="9" t="n"/>
      <c r="E453" s="9" t="n"/>
      <c r="F453" s="9" t="n"/>
      <c r="G453" s="9" t="n"/>
    </row>
    <row r="454" ht="14.25" customHeight="1" s="91">
      <c r="A454" s="6" t="n"/>
      <c r="B454" s="9" t="n"/>
      <c r="D454" s="9" t="n"/>
      <c r="E454" s="9" t="n"/>
      <c r="F454" s="9" t="n"/>
      <c r="G454" s="9" t="n"/>
    </row>
    <row r="455" ht="14.25" customHeight="1" s="91">
      <c r="A455" s="6" t="n"/>
      <c r="B455" s="9" t="n"/>
      <c r="D455" s="9" t="n"/>
      <c r="E455" s="9" t="n"/>
      <c r="F455" s="9" t="n"/>
      <c r="G455" s="9" t="n"/>
    </row>
    <row r="456" ht="14.25" customHeight="1" s="91">
      <c r="A456" s="6" t="n"/>
      <c r="B456" s="9" t="n"/>
      <c r="D456" s="9" t="n"/>
      <c r="E456" s="9" t="n"/>
      <c r="F456" s="9" t="n"/>
      <c r="G456" s="9" t="n"/>
    </row>
    <row r="457" ht="14.25" customHeight="1" s="91">
      <c r="A457" s="6" t="n"/>
      <c r="B457" s="9" t="n"/>
      <c r="D457" s="9" t="n"/>
      <c r="E457" s="9" t="n"/>
      <c r="F457" s="9" t="n"/>
      <c r="G457" s="9" t="n"/>
    </row>
    <row r="458" ht="14.25" customHeight="1" s="91">
      <c r="A458" s="6" t="n"/>
      <c r="B458" s="9" t="n"/>
      <c r="D458" s="9" t="n"/>
      <c r="E458" s="9" t="n"/>
      <c r="F458" s="9" t="n"/>
      <c r="G458" s="9" t="n"/>
    </row>
    <row r="459" ht="14.25" customHeight="1" s="91">
      <c r="A459" s="6" t="n"/>
      <c r="B459" s="9" t="n"/>
      <c r="D459" s="9" t="n"/>
      <c r="E459" s="9" t="n"/>
      <c r="F459" s="9" t="n"/>
      <c r="G459" s="9" t="n"/>
    </row>
    <row r="460" ht="14.25" customHeight="1" s="91">
      <c r="A460" s="6" t="n"/>
      <c r="B460" s="9" t="n"/>
      <c r="D460" s="9" t="n"/>
      <c r="E460" s="9" t="n"/>
      <c r="F460" s="9" t="n"/>
      <c r="G460" s="9" t="n"/>
    </row>
    <row r="461" ht="14.25" customHeight="1" s="91">
      <c r="A461" s="6" t="n"/>
      <c r="B461" s="9" t="n"/>
      <c r="D461" s="9" t="n"/>
      <c r="E461" s="9" t="n"/>
      <c r="F461" s="9" t="n"/>
      <c r="G461" s="9" t="n"/>
    </row>
    <row r="462" ht="14.25" customHeight="1" s="91">
      <c r="A462" s="6" t="n"/>
      <c r="B462" s="9" t="n"/>
      <c r="D462" s="9" t="n"/>
      <c r="E462" s="9" t="n"/>
      <c r="F462" s="9" t="n"/>
      <c r="G462" s="9" t="n"/>
    </row>
    <row r="463" ht="14.25" customHeight="1" s="91">
      <c r="A463" s="6" t="n"/>
      <c r="B463" s="9" t="n"/>
      <c r="D463" s="9" t="n"/>
      <c r="E463" s="9" t="n"/>
      <c r="F463" s="9" t="n"/>
      <c r="G463" s="9" t="n"/>
    </row>
    <row r="464" ht="14.25" customHeight="1" s="91">
      <c r="A464" s="6" t="n"/>
      <c r="B464" s="9" t="n"/>
      <c r="D464" s="9" t="n"/>
      <c r="E464" s="9" t="n"/>
      <c r="F464" s="9" t="n"/>
      <c r="G464" s="9" t="n"/>
    </row>
    <row r="465" ht="14.25" customHeight="1" s="91">
      <c r="A465" s="6" t="n"/>
      <c r="B465" s="9" t="n"/>
      <c r="D465" s="9" t="n"/>
      <c r="E465" s="9" t="n"/>
      <c r="F465" s="9" t="n"/>
      <c r="G465" s="9" t="n"/>
    </row>
    <row r="466" ht="14.25" customHeight="1" s="91">
      <c r="A466" s="6" t="n"/>
      <c r="B466" s="9" t="n"/>
      <c r="D466" s="9" t="n"/>
      <c r="E466" s="9" t="n"/>
      <c r="F466" s="9" t="n"/>
      <c r="G466" s="9" t="n"/>
    </row>
    <row r="467" ht="14.25" customHeight="1" s="91">
      <c r="A467" s="6" t="n"/>
      <c r="B467" s="9" t="n"/>
      <c r="D467" s="9" t="n"/>
      <c r="E467" s="9" t="n"/>
      <c r="F467" s="9" t="n"/>
      <c r="G467" s="9" t="n"/>
    </row>
    <row r="468" ht="14.25" customHeight="1" s="91">
      <c r="A468" s="6" t="n"/>
      <c r="B468" s="9" t="n"/>
      <c r="D468" s="9" t="n"/>
      <c r="E468" s="9" t="n"/>
      <c r="F468" s="9" t="n"/>
      <c r="G468" s="9" t="n"/>
    </row>
    <row r="469" ht="14.25" customHeight="1" s="91">
      <c r="A469" s="6" t="n"/>
      <c r="B469" s="9" t="n"/>
      <c r="D469" s="9" t="n"/>
      <c r="E469" s="9" t="n"/>
      <c r="F469" s="9" t="n"/>
      <c r="G469" s="9" t="n"/>
    </row>
    <row r="470" ht="14.25" customHeight="1" s="91">
      <c r="A470" s="6" t="n"/>
      <c r="B470" s="9" t="n"/>
      <c r="D470" s="9" t="n"/>
      <c r="E470" s="9" t="n"/>
      <c r="F470" s="9" t="n"/>
      <c r="G470" s="9" t="n"/>
    </row>
    <row r="471" ht="14.25" customHeight="1" s="91">
      <c r="A471" s="6" t="n"/>
      <c r="B471" s="9" t="n"/>
      <c r="D471" s="9" t="n"/>
      <c r="E471" s="9" t="n"/>
      <c r="F471" s="9" t="n"/>
      <c r="G471" s="9" t="n"/>
    </row>
    <row r="472" ht="14.25" customHeight="1" s="91">
      <c r="A472" s="6" t="n"/>
      <c r="B472" s="9" t="n"/>
      <c r="D472" s="9" t="n"/>
      <c r="E472" s="9" t="n"/>
      <c r="F472" s="9" t="n"/>
      <c r="G472" s="9" t="n"/>
    </row>
    <row r="473" ht="14.25" customHeight="1" s="91">
      <c r="A473" s="6" t="n"/>
      <c r="B473" s="9" t="n"/>
      <c r="D473" s="9" t="n"/>
      <c r="E473" s="9" t="n"/>
      <c r="F473" s="9" t="n"/>
      <c r="G473" s="9" t="n"/>
    </row>
    <row r="474" ht="14.25" customHeight="1" s="91">
      <c r="A474" s="6" t="n"/>
      <c r="B474" s="9" t="n"/>
      <c r="D474" s="9" t="n"/>
      <c r="E474" s="9" t="n"/>
      <c r="F474" s="9" t="n"/>
      <c r="G474" s="9" t="n"/>
    </row>
    <row r="475" ht="14.25" customHeight="1" s="91">
      <c r="A475" s="6" t="n"/>
      <c r="B475" s="9" t="n"/>
      <c r="D475" s="9" t="n"/>
      <c r="E475" s="9" t="n"/>
      <c r="F475" s="9" t="n"/>
      <c r="G475" s="9" t="n"/>
    </row>
    <row r="476" ht="14.25" customHeight="1" s="91">
      <c r="A476" s="6" t="n"/>
      <c r="B476" s="9" t="n"/>
      <c r="D476" s="9" t="n"/>
      <c r="E476" s="9" t="n"/>
      <c r="F476" s="9" t="n"/>
      <c r="G476" s="9" t="n"/>
    </row>
    <row r="477" ht="14.25" customHeight="1" s="91">
      <c r="A477" s="6" t="n"/>
      <c r="B477" s="9" t="n"/>
      <c r="D477" s="9" t="n"/>
      <c r="E477" s="9" t="n"/>
      <c r="F477" s="9" t="n"/>
      <c r="G477" s="9" t="n"/>
    </row>
    <row r="478" ht="14.25" customHeight="1" s="91">
      <c r="A478" s="6" t="n"/>
      <c r="B478" s="9" t="n"/>
      <c r="D478" s="9" t="n"/>
      <c r="E478" s="9" t="n"/>
      <c r="F478" s="9" t="n"/>
      <c r="G478" s="9" t="n"/>
    </row>
    <row r="479" ht="14.25" customHeight="1" s="91">
      <c r="A479" s="6" t="n"/>
      <c r="B479" s="9" t="n"/>
      <c r="D479" s="9" t="n"/>
      <c r="E479" s="9" t="n"/>
      <c r="F479" s="9" t="n"/>
      <c r="G479" s="9" t="n"/>
    </row>
    <row r="480" ht="14.25" customHeight="1" s="91">
      <c r="A480" s="6" t="n"/>
      <c r="B480" s="9" t="n"/>
      <c r="D480" s="9" t="n"/>
      <c r="E480" s="9" t="n"/>
      <c r="F480" s="9" t="n"/>
      <c r="G480" s="9" t="n"/>
    </row>
    <row r="481" ht="14.25" customHeight="1" s="91">
      <c r="A481" s="6" t="n"/>
      <c r="B481" s="9" t="n"/>
      <c r="D481" s="9" t="n"/>
      <c r="E481" s="9" t="n"/>
      <c r="F481" s="9" t="n"/>
      <c r="G481" s="9" t="n"/>
    </row>
    <row r="482" ht="14.25" customHeight="1" s="91">
      <c r="A482" s="6" t="n"/>
      <c r="B482" s="9" t="n"/>
      <c r="D482" s="9" t="n"/>
      <c r="E482" s="9" t="n"/>
      <c r="F482" s="9" t="n"/>
      <c r="G482" s="9" t="n"/>
    </row>
    <row r="483" ht="14.25" customHeight="1" s="91">
      <c r="A483" s="6" t="n"/>
      <c r="B483" s="9" t="n"/>
      <c r="D483" s="9" t="n"/>
      <c r="E483" s="9" t="n"/>
      <c r="F483" s="9" t="n"/>
      <c r="G483" s="9" t="n"/>
    </row>
    <row r="484" ht="14.25" customHeight="1" s="91">
      <c r="A484" s="6" t="n"/>
      <c r="B484" s="9" t="n"/>
      <c r="D484" s="9" t="n"/>
      <c r="E484" s="9" t="n"/>
      <c r="F484" s="9" t="n"/>
      <c r="G484" s="9" t="n"/>
    </row>
    <row r="485" ht="14.25" customHeight="1" s="91">
      <c r="A485" s="6" t="n"/>
      <c r="B485" s="9" t="n"/>
      <c r="D485" s="9" t="n"/>
      <c r="E485" s="9" t="n"/>
      <c r="F485" s="9" t="n"/>
      <c r="G485" s="9" t="n"/>
    </row>
    <row r="486" ht="14.25" customHeight="1" s="91">
      <c r="A486" s="6" t="n"/>
      <c r="B486" s="9" t="n"/>
      <c r="D486" s="9" t="n"/>
      <c r="E486" s="9" t="n"/>
      <c r="F486" s="9" t="n"/>
      <c r="G486" s="9" t="n"/>
    </row>
    <row r="487" ht="14.25" customHeight="1" s="91">
      <c r="A487" s="6" t="n"/>
      <c r="B487" s="9" t="n"/>
      <c r="D487" s="9" t="n"/>
      <c r="E487" s="9" t="n"/>
      <c r="F487" s="9" t="n"/>
      <c r="G487" s="9" t="n"/>
    </row>
    <row r="488" ht="14.25" customHeight="1" s="91">
      <c r="A488" s="6" t="n"/>
      <c r="B488" s="9" t="n"/>
      <c r="D488" s="9" t="n"/>
      <c r="E488" s="9" t="n"/>
      <c r="F488" s="9" t="n"/>
      <c r="G488" s="9" t="n"/>
    </row>
    <row r="489" ht="14.25" customHeight="1" s="91">
      <c r="A489" s="6" t="n"/>
      <c r="B489" s="9" t="n"/>
      <c r="D489" s="9" t="n"/>
      <c r="E489" s="9" t="n"/>
      <c r="F489" s="9" t="n"/>
      <c r="G489" s="9" t="n"/>
    </row>
    <row r="490" ht="14.25" customHeight="1" s="91">
      <c r="A490" s="6" t="n"/>
      <c r="B490" s="9" t="n"/>
      <c r="D490" s="9" t="n"/>
      <c r="E490" s="9" t="n"/>
      <c r="F490" s="9" t="n"/>
      <c r="G490" s="9" t="n"/>
    </row>
    <row r="491" ht="14.25" customHeight="1" s="91">
      <c r="A491" s="6" t="n"/>
      <c r="B491" s="9" t="n"/>
      <c r="D491" s="9" t="n"/>
      <c r="E491" s="9" t="n"/>
      <c r="F491" s="9" t="n"/>
      <c r="G491" s="9" t="n"/>
    </row>
    <row r="492" ht="14.25" customHeight="1" s="91">
      <c r="A492" s="6" t="n"/>
      <c r="B492" s="9" t="n"/>
      <c r="D492" s="9" t="n"/>
      <c r="E492" s="9" t="n"/>
      <c r="F492" s="9" t="n"/>
      <c r="G492" s="9" t="n"/>
    </row>
    <row r="493" ht="14.25" customHeight="1" s="91">
      <c r="A493" s="6" t="n"/>
      <c r="B493" s="9" t="n"/>
      <c r="D493" s="9" t="n"/>
      <c r="E493" s="9" t="n"/>
      <c r="F493" s="9" t="n"/>
      <c r="G493" s="9" t="n"/>
    </row>
    <row r="494" ht="14.25" customHeight="1" s="91">
      <c r="A494" s="6" t="n"/>
      <c r="B494" s="9" t="n"/>
      <c r="D494" s="9" t="n"/>
      <c r="E494" s="9" t="n"/>
      <c r="F494" s="9" t="n"/>
      <c r="G494" s="9" t="n"/>
    </row>
    <row r="495" ht="14.25" customHeight="1" s="91">
      <c r="A495" s="6" t="n"/>
      <c r="B495" s="9" t="n"/>
      <c r="D495" s="9" t="n"/>
      <c r="E495" s="9" t="n"/>
      <c r="F495" s="9" t="n"/>
      <c r="G495" s="9" t="n"/>
    </row>
    <row r="496" ht="14.25" customHeight="1" s="91">
      <c r="A496" s="6" t="n"/>
      <c r="B496" s="9" t="n"/>
      <c r="D496" s="9" t="n"/>
      <c r="E496" s="9" t="n"/>
      <c r="F496" s="9" t="n"/>
      <c r="G496" s="9" t="n"/>
    </row>
    <row r="497" ht="14.25" customHeight="1" s="91">
      <c r="A497" s="6" t="n"/>
      <c r="B497" s="9" t="n"/>
      <c r="D497" s="9" t="n"/>
      <c r="E497" s="9" t="n"/>
      <c r="F497" s="9" t="n"/>
      <c r="G497" s="9" t="n"/>
    </row>
    <row r="498" ht="14.25" customHeight="1" s="91">
      <c r="A498" s="6" t="n"/>
      <c r="B498" s="9" t="n"/>
      <c r="D498" s="9" t="n"/>
      <c r="E498" s="9" t="n"/>
      <c r="F498" s="9" t="n"/>
      <c r="G498" s="9" t="n"/>
    </row>
    <row r="499" ht="14.25" customHeight="1" s="91">
      <c r="A499" s="6" t="n"/>
      <c r="B499" s="9" t="n"/>
      <c r="D499" s="9" t="n"/>
      <c r="E499" s="9" t="n"/>
      <c r="F499" s="9" t="n"/>
      <c r="G499" s="9" t="n"/>
    </row>
    <row r="500" ht="14.25" customHeight="1" s="91">
      <c r="A500" s="6" t="n"/>
      <c r="B500" s="9" t="n"/>
      <c r="D500" s="9" t="n"/>
      <c r="E500" s="9" t="n"/>
      <c r="F500" s="9" t="n"/>
      <c r="G500" s="9" t="n"/>
    </row>
    <row r="501" ht="14.25" customHeight="1" s="91">
      <c r="A501" s="6" t="n"/>
      <c r="B501" s="9" t="n"/>
      <c r="D501" s="9" t="n"/>
      <c r="E501" s="9" t="n"/>
      <c r="F501" s="9" t="n"/>
      <c r="G501" s="9" t="n"/>
    </row>
    <row r="502" ht="14.25" customHeight="1" s="91">
      <c r="A502" s="6" t="n"/>
      <c r="B502" s="9" t="n"/>
      <c r="D502" s="9" t="n"/>
      <c r="E502" s="9" t="n"/>
      <c r="F502" s="9" t="n"/>
      <c r="G502" s="9" t="n"/>
    </row>
    <row r="503" ht="14.25" customHeight="1" s="91">
      <c r="A503" s="6" t="n"/>
      <c r="B503" s="9" t="n"/>
      <c r="D503" s="9" t="n"/>
      <c r="E503" s="9" t="n"/>
      <c r="F503" s="9" t="n"/>
      <c r="G503" s="9" t="n"/>
    </row>
    <row r="504" ht="14.25" customHeight="1" s="91">
      <c r="A504" s="6" t="n"/>
      <c r="B504" s="9" t="n"/>
      <c r="D504" s="9" t="n"/>
      <c r="E504" s="9" t="n"/>
      <c r="F504" s="9" t="n"/>
      <c r="G504" s="9" t="n"/>
    </row>
    <row r="505" ht="14.25" customHeight="1" s="91">
      <c r="A505" s="6" t="n"/>
      <c r="B505" s="9" t="n"/>
      <c r="D505" s="9" t="n"/>
      <c r="E505" s="9" t="n"/>
      <c r="F505" s="9" t="n"/>
      <c r="G505" s="9" t="n"/>
    </row>
    <row r="506" ht="14.25" customHeight="1" s="91">
      <c r="A506" s="6" t="n"/>
      <c r="B506" s="9" t="n"/>
      <c r="D506" s="9" t="n"/>
      <c r="E506" s="9" t="n"/>
      <c r="F506" s="9" t="n"/>
      <c r="G506" s="9" t="n"/>
    </row>
    <row r="507" ht="14.25" customHeight="1" s="91">
      <c r="A507" s="6" t="n"/>
      <c r="B507" s="9" t="n"/>
      <c r="D507" s="9" t="n"/>
      <c r="E507" s="9" t="n"/>
      <c r="F507" s="9" t="n"/>
      <c r="G507" s="9" t="n"/>
    </row>
    <row r="508" ht="14.25" customHeight="1" s="91">
      <c r="A508" s="6" t="n"/>
      <c r="B508" s="9" t="n"/>
      <c r="D508" s="9" t="n"/>
      <c r="E508" s="9" t="n"/>
      <c r="F508" s="9" t="n"/>
      <c r="G508" s="9" t="n"/>
    </row>
    <row r="509" ht="14.25" customHeight="1" s="91">
      <c r="A509" s="6" t="n"/>
      <c r="B509" s="9" t="n"/>
      <c r="D509" s="9" t="n"/>
      <c r="E509" s="9" t="n"/>
      <c r="F509" s="9" t="n"/>
      <c r="G509" s="9" t="n"/>
    </row>
    <row r="510" ht="14.25" customHeight="1" s="91">
      <c r="A510" s="6" t="n"/>
      <c r="B510" s="9" t="n"/>
      <c r="D510" s="9" t="n"/>
      <c r="E510" s="9" t="n"/>
      <c r="F510" s="9" t="n"/>
      <c r="G510" s="9" t="n"/>
    </row>
    <row r="511" ht="14.25" customHeight="1" s="91">
      <c r="A511" s="6" t="n"/>
      <c r="B511" s="9" t="n"/>
      <c r="D511" s="9" t="n"/>
      <c r="E511" s="9" t="n"/>
      <c r="F511" s="9" t="n"/>
      <c r="G511" s="9" t="n"/>
    </row>
    <row r="512" ht="14.25" customHeight="1" s="91">
      <c r="A512" s="6" t="n"/>
      <c r="B512" s="9" t="n"/>
      <c r="D512" s="9" t="n"/>
      <c r="E512" s="9" t="n"/>
      <c r="F512" s="9" t="n"/>
      <c r="G512" s="9" t="n"/>
    </row>
    <row r="513" ht="14.25" customHeight="1" s="91">
      <c r="A513" s="6" t="n"/>
      <c r="B513" s="9" t="n"/>
      <c r="D513" s="9" t="n"/>
      <c r="E513" s="9" t="n"/>
      <c r="F513" s="9" t="n"/>
      <c r="G513" s="9" t="n"/>
    </row>
    <row r="514" ht="14.25" customHeight="1" s="91">
      <c r="A514" s="6" t="n"/>
      <c r="B514" s="9" t="n"/>
      <c r="D514" s="9" t="n"/>
      <c r="E514" s="9" t="n"/>
      <c r="F514" s="9" t="n"/>
      <c r="G514" s="9" t="n"/>
    </row>
    <row r="515" ht="14.25" customHeight="1" s="91">
      <c r="A515" s="6" t="n"/>
      <c r="B515" s="9" t="n"/>
      <c r="D515" s="9" t="n"/>
      <c r="E515" s="9" t="n"/>
      <c r="F515" s="9" t="n"/>
      <c r="G515" s="9" t="n"/>
    </row>
    <row r="516" ht="14.25" customHeight="1" s="91">
      <c r="A516" s="6" t="n"/>
      <c r="B516" s="9" t="n"/>
      <c r="D516" s="9" t="n"/>
      <c r="E516" s="9" t="n"/>
      <c r="F516" s="9" t="n"/>
      <c r="G516" s="9" t="n"/>
    </row>
    <row r="517" ht="14.25" customHeight="1" s="91">
      <c r="A517" s="6" t="n"/>
      <c r="B517" s="9" t="n"/>
      <c r="D517" s="9" t="n"/>
      <c r="E517" s="9" t="n"/>
      <c r="F517" s="9" t="n"/>
      <c r="G517" s="9" t="n"/>
    </row>
    <row r="518" ht="14.25" customHeight="1" s="91">
      <c r="A518" s="6" t="n"/>
      <c r="B518" s="9" t="n"/>
      <c r="D518" s="9" t="n"/>
      <c r="E518" s="9" t="n"/>
      <c r="F518" s="9" t="n"/>
      <c r="G518" s="9" t="n"/>
    </row>
    <row r="519" ht="14.25" customHeight="1" s="91">
      <c r="A519" s="6" t="n"/>
      <c r="B519" s="9" t="n"/>
      <c r="D519" s="9" t="n"/>
      <c r="E519" s="9" t="n"/>
      <c r="F519" s="9" t="n"/>
      <c r="G519" s="9" t="n"/>
    </row>
    <row r="520" ht="14.25" customHeight="1" s="91">
      <c r="A520" s="6" t="n"/>
      <c r="B520" s="9" t="n"/>
      <c r="D520" s="9" t="n"/>
      <c r="E520" s="9" t="n"/>
      <c r="F520" s="9" t="n"/>
      <c r="G520" s="9" t="n"/>
    </row>
    <row r="521" ht="14.25" customHeight="1" s="91">
      <c r="A521" s="6" t="n"/>
      <c r="B521" s="9" t="n"/>
      <c r="D521" s="9" t="n"/>
      <c r="E521" s="9" t="n"/>
      <c r="F521" s="9" t="n"/>
      <c r="G521" s="9" t="n"/>
    </row>
    <row r="522" ht="14.25" customHeight="1" s="91">
      <c r="A522" s="6" t="n"/>
      <c r="B522" s="9" t="n"/>
      <c r="D522" s="9" t="n"/>
      <c r="E522" s="9" t="n"/>
      <c r="F522" s="9" t="n"/>
      <c r="G522" s="9" t="n"/>
    </row>
    <row r="523" ht="14.25" customHeight="1" s="91">
      <c r="A523" s="6" t="n"/>
      <c r="B523" s="9" t="n"/>
      <c r="D523" s="9" t="n"/>
      <c r="E523" s="9" t="n"/>
      <c r="F523" s="9" t="n"/>
      <c r="G523" s="9" t="n"/>
    </row>
    <row r="524" ht="14.25" customHeight="1" s="91">
      <c r="A524" s="6" t="n"/>
      <c r="B524" s="9" t="n"/>
      <c r="D524" s="9" t="n"/>
      <c r="E524" s="9" t="n"/>
      <c r="F524" s="9" t="n"/>
      <c r="G524" s="9" t="n"/>
    </row>
    <row r="525" ht="14.25" customHeight="1" s="91">
      <c r="A525" s="6" t="n"/>
      <c r="B525" s="9" t="n"/>
      <c r="D525" s="9" t="n"/>
      <c r="E525" s="9" t="n"/>
      <c r="F525" s="9" t="n"/>
      <c r="G525" s="9" t="n"/>
    </row>
    <row r="526" ht="14.25" customHeight="1" s="91">
      <c r="A526" s="6" t="n"/>
      <c r="B526" s="9" t="n"/>
      <c r="D526" s="9" t="n"/>
      <c r="E526" s="9" t="n"/>
      <c r="F526" s="9" t="n"/>
      <c r="G526" s="9" t="n"/>
    </row>
    <row r="527" ht="14.25" customHeight="1" s="91">
      <c r="A527" s="6" t="n"/>
      <c r="B527" s="9" t="n"/>
      <c r="D527" s="9" t="n"/>
      <c r="E527" s="9" t="n"/>
      <c r="F527" s="9" t="n"/>
      <c r="G527" s="9" t="n"/>
    </row>
    <row r="528" ht="14.25" customHeight="1" s="91">
      <c r="A528" s="6" t="n"/>
      <c r="B528" s="9" t="n"/>
      <c r="D528" s="9" t="n"/>
      <c r="E528" s="9" t="n"/>
      <c r="F528" s="9" t="n"/>
      <c r="G528" s="9" t="n"/>
    </row>
    <row r="529" ht="14.25" customHeight="1" s="91">
      <c r="A529" s="6" t="n"/>
      <c r="B529" s="9" t="n"/>
      <c r="D529" s="9" t="n"/>
      <c r="E529" s="9" t="n"/>
      <c r="F529" s="9" t="n"/>
      <c r="G529" s="9" t="n"/>
    </row>
    <row r="530" ht="14.25" customHeight="1" s="91">
      <c r="A530" s="6" t="n"/>
      <c r="B530" s="9" t="n"/>
      <c r="D530" s="9" t="n"/>
      <c r="E530" s="9" t="n"/>
      <c r="F530" s="9" t="n"/>
      <c r="G530" s="9" t="n"/>
    </row>
    <row r="531" ht="14.25" customHeight="1" s="91">
      <c r="A531" s="6" t="n"/>
      <c r="B531" s="9" t="n"/>
      <c r="D531" s="9" t="n"/>
      <c r="E531" s="9" t="n"/>
      <c r="F531" s="9" t="n"/>
      <c r="G531" s="9" t="n"/>
    </row>
    <row r="532" ht="14.25" customHeight="1" s="91">
      <c r="A532" s="6" t="n"/>
      <c r="B532" s="9" t="n"/>
      <c r="D532" s="9" t="n"/>
      <c r="E532" s="9" t="n"/>
      <c r="F532" s="9" t="n"/>
      <c r="G532" s="9" t="n"/>
    </row>
    <row r="533" ht="14.25" customHeight="1" s="91">
      <c r="A533" s="6" t="n"/>
      <c r="B533" s="9" t="n"/>
      <c r="D533" s="9" t="n"/>
      <c r="E533" s="9" t="n"/>
      <c r="F533" s="9" t="n"/>
      <c r="G533" s="9" t="n"/>
    </row>
    <row r="534" ht="14.25" customHeight="1" s="91">
      <c r="A534" s="6" t="n"/>
      <c r="B534" s="9" t="n"/>
      <c r="D534" s="9" t="n"/>
      <c r="E534" s="9" t="n"/>
      <c r="F534" s="9" t="n"/>
      <c r="G534" s="9" t="n"/>
    </row>
    <row r="535" ht="14.25" customHeight="1" s="91">
      <c r="A535" s="6" t="n"/>
      <c r="B535" s="9" t="n"/>
      <c r="D535" s="9" t="n"/>
      <c r="E535" s="9" t="n"/>
      <c r="F535" s="9" t="n"/>
      <c r="G535" s="9" t="n"/>
    </row>
    <row r="536" ht="14.25" customHeight="1" s="91">
      <c r="A536" s="6" t="n"/>
      <c r="B536" s="9" t="n"/>
      <c r="D536" s="9" t="n"/>
      <c r="E536" s="9" t="n"/>
      <c r="F536" s="9" t="n"/>
      <c r="G536" s="9" t="n"/>
    </row>
    <row r="537" ht="14.25" customHeight="1" s="91">
      <c r="A537" s="6" t="n"/>
      <c r="B537" s="9" t="n"/>
      <c r="D537" s="9" t="n"/>
      <c r="E537" s="9" t="n"/>
      <c r="F537" s="9" t="n"/>
      <c r="G537" s="9" t="n"/>
    </row>
    <row r="538" ht="14.25" customHeight="1" s="91">
      <c r="A538" s="6" t="n"/>
      <c r="B538" s="9" t="n"/>
      <c r="D538" s="9" t="n"/>
      <c r="E538" s="9" t="n"/>
      <c r="F538" s="9" t="n"/>
      <c r="G538" s="9" t="n"/>
    </row>
    <row r="539" ht="14.25" customHeight="1" s="91">
      <c r="A539" s="6" t="n"/>
      <c r="B539" s="9" t="n"/>
      <c r="D539" s="9" t="n"/>
      <c r="E539" s="9" t="n"/>
      <c r="F539" s="9" t="n"/>
      <c r="G539" s="9" t="n"/>
    </row>
    <row r="540" ht="14.25" customHeight="1" s="91">
      <c r="A540" s="6" t="n"/>
      <c r="B540" s="9" t="n"/>
      <c r="D540" s="9" t="n"/>
      <c r="E540" s="9" t="n"/>
      <c r="F540" s="9" t="n"/>
      <c r="G540" s="9" t="n"/>
    </row>
    <row r="541" ht="14.25" customHeight="1" s="91">
      <c r="A541" s="6" t="n"/>
      <c r="B541" s="9" t="n"/>
      <c r="D541" s="9" t="n"/>
      <c r="E541" s="9" t="n"/>
      <c r="F541" s="9" t="n"/>
      <c r="G541" s="9" t="n"/>
    </row>
    <row r="542" ht="14.25" customHeight="1" s="91">
      <c r="A542" s="6" t="n"/>
      <c r="B542" s="9" t="n"/>
      <c r="D542" s="9" t="n"/>
      <c r="E542" s="9" t="n"/>
      <c r="F542" s="9" t="n"/>
      <c r="G542" s="9" t="n"/>
    </row>
    <row r="543" ht="14.25" customHeight="1" s="91">
      <c r="A543" s="6" t="n"/>
      <c r="B543" s="9" t="n"/>
      <c r="D543" s="9" t="n"/>
      <c r="E543" s="9" t="n"/>
      <c r="F543" s="9" t="n"/>
      <c r="G543" s="9" t="n"/>
    </row>
    <row r="544" ht="14.25" customHeight="1" s="91">
      <c r="A544" s="6" t="n"/>
      <c r="B544" s="9" t="n"/>
      <c r="D544" s="9" t="n"/>
      <c r="E544" s="9" t="n"/>
      <c r="F544" s="9" t="n"/>
      <c r="G544" s="9" t="n"/>
    </row>
    <row r="545" ht="14.25" customHeight="1" s="91">
      <c r="A545" s="6" t="n"/>
      <c r="B545" s="9" t="n"/>
      <c r="D545" s="9" t="n"/>
      <c r="E545" s="9" t="n"/>
      <c r="F545" s="9" t="n"/>
      <c r="G545" s="9" t="n"/>
    </row>
    <row r="546" ht="14.25" customHeight="1" s="91">
      <c r="A546" s="6" t="n"/>
      <c r="B546" s="9" t="n"/>
      <c r="D546" s="9" t="n"/>
      <c r="E546" s="9" t="n"/>
      <c r="F546" s="9" t="n"/>
      <c r="G546" s="9" t="n"/>
    </row>
    <row r="547" ht="14.25" customHeight="1" s="91">
      <c r="A547" s="6" t="n"/>
      <c r="B547" s="9" t="n"/>
      <c r="D547" s="9" t="n"/>
      <c r="E547" s="9" t="n"/>
      <c r="F547" s="9" t="n"/>
      <c r="G547" s="9" t="n"/>
    </row>
    <row r="548" ht="14.25" customHeight="1" s="91">
      <c r="A548" s="6" t="n"/>
      <c r="B548" s="9" t="n"/>
      <c r="D548" s="9" t="n"/>
      <c r="E548" s="9" t="n"/>
      <c r="F548" s="9" t="n"/>
      <c r="G548" s="9" t="n"/>
    </row>
    <row r="549" ht="14.25" customHeight="1" s="91">
      <c r="A549" s="6" t="n"/>
      <c r="B549" s="9" t="n"/>
      <c r="D549" s="9" t="n"/>
      <c r="E549" s="9" t="n"/>
      <c r="F549" s="9" t="n"/>
      <c r="G549" s="9" t="n"/>
    </row>
    <row r="550" ht="14.25" customHeight="1" s="91">
      <c r="A550" s="6" t="n"/>
      <c r="B550" s="9" t="n"/>
      <c r="D550" s="9" t="n"/>
      <c r="E550" s="9" t="n"/>
      <c r="F550" s="9" t="n"/>
      <c r="G550" s="9" t="n"/>
    </row>
    <row r="551" ht="14.25" customHeight="1" s="91">
      <c r="A551" s="6" t="n"/>
      <c r="B551" s="9" t="n"/>
      <c r="D551" s="9" t="n"/>
      <c r="E551" s="9" t="n"/>
      <c r="F551" s="9" t="n"/>
      <c r="G551" s="9" t="n"/>
    </row>
    <row r="552" ht="14.25" customHeight="1" s="91">
      <c r="A552" s="6" t="n"/>
      <c r="B552" s="9" t="n"/>
      <c r="D552" s="9" t="n"/>
      <c r="E552" s="9" t="n"/>
      <c r="F552" s="9" t="n"/>
      <c r="G552" s="9" t="n"/>
    </row>
    <row r="553" ht="14.25" customHeight="1" s="91">
      <c r="A553" s="6" t="n"/>
      <c r="B553" s="9" t="n"/>
      <c r="D553" s="9" t="n"/>
      <c r="E553" s="9" t="n"/>
      <c r="F553" s="9" t="n"/>
      <c r="G553" s="9" t="n"/>
    </row>
    <row r="554" ht="14.25" customHeight="1" s="91">
      <c r="A554" s="6" t="n"/>
      <c r="B554" s="9" t="n"/>
      <c r="D554" s="9" t="n"/>
      <c r="E554" s="9" t="n"/>
      <c r="F554" s="9" t="n"/>
      <c r="G554" s="9" t="n"/>
    </row>
    <row r="555" ht="14.25" customHeight="1" s="91">
      <c r="A555" s="6" t="n"/>
      <c r="B555" s="9" t="n"/>
      <c r="D555" s="9" t="n"/>
      <c r="E555" s="9" t="n"/>
      <c r="F555" s="9" t="n"/>
      <c r="G555" s="9" t="n"/>
    </row>
    <row r="556" ht="14.25" customHeight="1" s="91">
      <c r="A556" s="6" t="n"/>
      <c r="B556" s="9" t="n"/>
      <c r="D556" s="9" t="n"/>
      <c r="E556" s="9" t="n"/>
      <c r="F556" s="9" t="n"/>
      <c r="G556" s="9" t="n"/>
    </row>
    <row r="557" ht="14.25" customHeight="1" s="91">
      <c r="A557" s="6" t="n"/>
      <c r="B557" s="9" t="n"/>
      <c r="D557" s="9" t="n"/>
      <c r="E557" s="9" t="n"/>
      <c r="F557" s="9" t="n"/>
      <c r="G557" s="9" t="n"/>
    </row>
    <row r="558" ht="14.25" customHeight="1" s="91">
      <c r="A558" s="6" t="n"/>
      <c r="B558" s="9" t="n"/>
      <c r="D558" s="9" t="n"/>
      <c r="E558" s="9" t="n"/>
      <c r="F558" s="9" t="n"/>
      <c r="G558" s="9" t="n"/>
    </row>
    <row r="559" ht="14.25" customHeight="1" s="91">
      <c r="A559" s="6" t="n"/>
      <c r="B559" s="9" t="n"/>
      <c r="D559" s="9" t="n"/>
      <c r="E559" s="9" t="n"/>
      <c r="F559" s="9" t="n"/>
      <c r="G559" s="9" t="n"/>
    </row>
    <row r="560" ht="14.25" customHeight="1" s="91">
      <c r="A560" s="6" t="n"/>
      <c r="B560" s="9" t="n"/>
      <c r="D560" s="9" t="n"/>
      <c r="E560" s="9" t="n"/>
      <c r="F560" s="9" t="n"/>
      <c r="G560" s="9" t="n"/>
    </row>
    <row r="561" ht="14.25" customHeight="1" s="91">
      <c r="A561" s="6" t="n"/>
      <c r="B561" s="9" t="n"/>
      <c r="D561" s="9" t="n"/>
      <c r="E561" s="9" t="n"/>
      <c r="F561" s="9" t="n"/>
      <c r="G561" s="9" t="n"/>
    </row>
    <row r="562" ht="14.25" customHeight="1" s="91">
      <c r="A562" s="6" t="n"/>
      <c r="B562" s="9" t="n"/>
      <c r="D562" s="9" t="n"/>
      <c r="E562" s="9" t="n"/>
      <c r="F562" s="9" t="n"/>
      <c r="G562" s="9" t="n"/>
    </row>
    <row r="563" ht="14.25" customHeight="1" s="91">
      <c r="A563" s="6" t="n"/>
      <c r="B563" s="9" t="n"/>
      <c r="D563" s="9" t="n"/>
      <c r="E563" s="9" t="n"/>
      <c r="F563" s="9" t="n"/>
      <c r="G563" s="9" t="n"/>
    </row>
    <row r="564" ht="14.25" customHeight="1" s="91">
      <c r="A564" s="6" t="n"/>
      <c r="B564" s="9" t="n"/>
      <c r="D564" s="9" t="n"/>
      <c r="E564" s="9" t="n"/>
      <c r="F564" s="9" t="n"/>
      <c r="G564" s="9" t="n"/>
    </row>
    <row r="565" ht="14.25" customHeight="1" s="91">
      <c r="A565" s="6" t="n"/>
      <c r="B565" s="9" t="n"/>
      <c r="D565" s="9" t="n"/>
      <c r="E565" s="9" t="n"/>
      <c r="F565" s="9" t="n"/>
      <c r="G565" s="9" t="n"/>
    </row>
    <row r="566" ht="14.25" customHeight="1" s="91">
      <c r="A566" s="6" t="n"/>
      <c r="B566" s="9" t="n"/>
      <c r="D566" s="9" t="n"/>
      <c r="E566" s="9" t="n"/>
      <c r="F566" s="9" t="n"/>
      <c r="G566" s="9" t="n"/>
    </row>
    <row r="567" ht="14.25" customHeight="1" s="91">
      <c r="A567" s="6" t="n"/>
      <c r="B567" s="9" t="n"/>
      <c r="D567" s="9" t="n"/>
      <c r="E567" s="9" t="n"/>
      <c r="F567" s="9" t="n"/>
      <c r="G567" s="9" t="n"/>
    </row>
    <row r="568" ht="14.25" customHeight="1" s="91">
      <c r="A568" s="6" t="n"/>
      <c r="B568" s="9" t="n"/>
      <c r="D568" s="9" t="n"/>
      <c r="E568" s="9" t="n"/>
      <c r="F568" s="9" t="n"/>
      <c r="G568" s="9" t="n"/>
    </row>
    <row r="569" ht="14.25" customHeight="1" s="91">
      <c r="A569" s="6" t="n"/>
      <c r="B569" s="9" t="n"/>
      <c r="D569" s="9" t="n"/>
      <c r="E569" s="9" t="n"/>
      <c r="F569" s="9" t="n"/>
      <c r="G569" s="9" t="n"/>
    </row>
    <row r="570" ht="14.25" customHeight="1" s="91">
      <c r="A570" s="6" t="n"/>
      <c r="B570" s="9" t="n"/>
      <c r="D570" s="9" t="n"/>
      <c r="E570" s="9" t="n"/>
      <c r="F570" s="9" t="n"/>
      <c r="G570" s="9" t="n"/>
    </row>
    <row r="571" ht="14.25" customHeight="1" s="91">
      <c r="A571" s="6" t="n"/>
      <c r="B571" s="9" t="n"/>
      <c r="D571" s="9" t="n"/>
      <c r="E571" s="9" t="n"/>
      <c r="F571" s="9" t="n"/>
      <c r="G571" s="9" t="n"/>
    </row>
    <row r="572" ht="14.25" customHeight="1" s="91">
      <c r="A572" s="6" t="n"/>
      <c r="B572" s="9" t="n"/>
      <c r="D572" s="9" t="n"/>
      <c r="E572" s="9" t="n"/>
      <c r="F572" s="9" t="n"/>
      <c r="G572" s="9" t="n"/>
    </row>
    <row r="573" ht="14.25" customHeight="1" s="91">
      <c r="A573" s="6" t="n"/>
      <c r="B573" s="9" t="n"/>
      <c r="D573" s="9" t="n"/>
      <c r="E573" s="9" t="n"/>
      <c r="F573" s="9" t="n"/>
      <c r="G573" s="9" t="n"/>
    </row>
    <row r="574" ht="14.25" customHeight="1" s="91">
      <c r="A574" s="6" t="n"/>
      <c r="B574" s="9" t="n"/>
      <c r="D574" s="9" t="n"/>
      <c r="E574" s="9" t="n"/>
      <c r="F574" s="9" t="n"/>
      <c r="G574" s="9" t="n"/>
    </row>
    <row r="575" ht="14.25" customHeight="1" s="91">
      <c r="A575" s="6" t="n"/>
      <c r="B575" s="9" t="n"/>
      <c r="D575" s="9" t="n"/>
      <c r="E575" s="9" t="n"/>
      <c r="F575" s="9" t="n"/>
      <c r="G575" s="9" t="n"/>
    </row>
    <row r="576" ht="14.25" customHeight="1" s="91">
      <c r="A576" s="6" t="n"/>
      <c r="B576" s="9" t="n"/>
      <c r="D576" s="9" t="n"/>
      <c r="E576" s="9" t="n"/>
      <c r="F576" s="9" t="n"/>
      <c r="G576" s="9" t="n"/>
    </row>
    <row r="577" ht="14.25" customHeight="1" s="91">
      <c r="A577" s="6" t="n"/>
      <c r="B577" s="9" t="n"/>
      <c r="D577" s="9" t="n"/>
      <c r="E577" s="9" t="n"/>
      <c r="F577" s="9" t="n"/>
      <c r="G577" s="9" t="n"/>
    </row>
    <row r="578" ht="14.25" customHeight="1" s="91">
      <c r="A578" s="6" t="n"/>
      <c r="B578" s="9" t="n"/>
      <c r="D578" s="9" t="n"/>
      <c r="E578" s="9" t="n"/>
      <c r="F578" s="9" t="n"/>
      <c r="G578" s="9" t="n"/>
    </row>
    <row r="579" ht="14.25" customHeight="1" s="91">
      <c r="A579" s="6" t="n"/>
      <c r="B579" s="9" t="n"/>
      <c r="D579" s="9" t="n"/>
      <c r="E579" s="9" t="n"/>
      <c r="F579" s="9" t="n"/>
      <c r="G579" s="9" t="n"/>
    </row>
    <row r="580" ht="14.25" customHeight="1" s="91">
      <c r="A580" s="6" t="n"/>
      <c r="B580" s="9" t="n"/>
      <c r="D580" s="9" t="n"/>
      <c r="E580" s="9" t="n"/>
      <c r="F580" s="9" t="n"/>
      <c r="G580" s="9" t="n"/>
    </row>
    <row r="581" ht="14.25" customHeight="1" s="91">
      <c r="A581" s="6" t="n"/>
      <c r="B581" s="9" t="n"/>
      <c r="D581" s="9" t="n"/>
      <c r="E581" s="9" t="n"/>
      <c r="F581" s="9" t="n"/>
      <c r="G581" s="9" t="n"/>
    </row>
    <row r="582" ht="14.25" customHeight="1" s="91">
      <c r="A582" s="6" t="n"/>
      <c r="B582" s="9" t="n"/>
      <c r="D582" s="9" t="n"/>
      <c r="E582" s="9" t="n"/>
      <c r="F582" s="9" t="n"/>
      <c r="G582" s="9" t="n"/>
    </row>
    <row r="583" ht="14.25" customHeight="1" s="91">
      <c r="A583" s="6" t="n"/>
      <c r="B583" s="9" t="n"/>
      <c r="D583" s="9" t="n"/>
      <c r="E583" s="9" t="n"/>
      <c r="F583" s="9" t="n"/>
      <c r="G583" s="9" t="n"/>
    </row>
    <row r="584" ht="14.25" customHeight="1" s="91">
      <c r="A584" s="6" t="n"/>
      <c r="B584" s="9" t="n"/>
      <c r="D584" s="9" t="n"/>
      <c r="E584" s="9" t="n"/>
      <c r="F584" s="9" t="n"/>
      <c r="G584" s="9" t="n"/>
    </row>
    <row r="585" ht="14.25" customHeight="1" s="91">
      <c r="A585" s="6" t="n"/>
      <c r="B585" s="9" t="n"/>
      <c r="D585" s="9" t="n"/>
      <c r="E585" s="9" t="n"/>
      <c r="F585" s="9" t="n"/>
      <c r="G585" s="9" t="n"/>
    </row>
    <row r="586" ht="14.25" customHeight="1" s="91">
      <c r="A586" s="6" t="n"/>
      <c r="B586" s="9" t="n"/>
      <c r="D586" s="9" t="n"/>
      <c r="E586" s="9" t="n"/>
      <c r="F586" s="9" t="n"/>
      <c r="G586" s="9" t="n"/>
    </row>
    <row r="587" ht="14.25" customHeight="1" s="91">
      <c r="A587" s="6" t="n"/>
      <c r="B587" s="9" t="n"/>
      <c r="D587" s="9" t="n"/>
      <c r="E587" s="9" t="n"/>
      <c r="F587" s="9" t="n"/>
      <c r="G587" s="9" t="n"/>
    </row>
    <row r="588" ht="14.25" customHeight="1" s="91">
      <c r="A588" s="6" t="n"/>
      <c r="B588" s="9" t="n"/>
      <c r="D588" s="9" t="n"/>
      <c r="E588" s="9" t="n"/>
      <c r="F588" s="9" t="n"/>
      <c r="G588" s="9" t="n"/>
    </row>
    <row r="589" ht="14.25" customHeight="1" s="91">
      <c r="A589" s="6" t="n"/>
      <c r="B589" s="9" t="n"/>
      <c r="D589" s="9" t="n"/>
      <c r="E589" s="9" t="n"/>
      <c r="F589" s="9" t="n"/>
      <c r="G589" s="9" t="n"/>
    </row>
    <row r="590" ht="14.25" customHeight="1" s="91">
      <c r="A590" s="6" t="n"/>
      <c r="B590" s="9" t="n"/>
      <c r="D590" s="9" t="n"/>
      <c r="E590" s="9" t="n"/>
      <c r="F590" s="9" t="n"/>
      <c r="G590" s="9" t="n"/>
    </row>
    <row r="591" ht="14.25" customHeight="1" s="91">
      <c r="A591" s="6" t="n"/>
      <c r="B591" s="9" t="n"/>
      <c r="D591" s="9" t="n"/>
      <c r="E591" s="9" t="n"/>
      <c r="F591" s="9" t="n"/>
      <c r="G591" s="9" t="n"/>
    </row>
    <row r="592" ht="14.25" customHeight="1" s="91">
      <c r="A592" s="6" t="n"/>
      <c r="B592" s="9" t="n"/>
      <c r="D592" s="9" t="n"/>
      <c r="E592" s="9" t="n"/>
      <c r="F592" s="9" t="n"/>
      <c r="G592" s="9" t="n"/>
    </row>
    <row r="593" ht="14.25" customHeight="1" s="91">
      <c r="A593" s="6" t="n"/>
      <c r="B593" s="9" t="n"/>
      <c r="D593" s="9" t="n"/>
      <c r="E593" s="9" t="n"/>
      <c r="F593" s="9" t="n"/>
      <c r="G593" s="9" t="n"/>
    </row>
    <row r="594" ht="14.25" customHeight="1" s="91">
      <c r="A594" s="6" t="n"/>
      <c r="B594" s="9" t="n"/>
      <c r="D594" s="9" t="n"/>
      <c r="E594" s="9" t="n"/>
      <c r="F594" s="9" t="n"/>
      <c r="G594" s="9" t="n"/>
    </row>
    <row r="595" ht="14.25" customHeight="1" s="91">
      <c r="A595" s="6" t="n"/>
      <c r="B595" s="9" t="n"/>
      <c r="D595" s="9" t="n"/>
      <c r="E595" s="9" t="n"/>
      <c r="F595" s="9" t="n"/>
      <c r="G595" s="9" t="n"/>
    </row>
    <row r="596" ht="14.25" customHeight="1" s="91">
      <c r="A596" s="6" t="n"/>
      <c r="B596" s="9" t="n"/>
      <c r="D596" s="9" t="n"/>
      <c r="E596" s="9" t="n"/>
      <c r="F596" s="9" t="n"/>
      <c r="G596" s="9" t="n"/>
    </row>
    <row r="597" ht="14.25" customHeight="1" s="91">
      <c r="A597" s="6" t="n"/>
      <c r="B597" s="9" t="n"/>
      <c r="D597" s="9" t="n"/>
      <c r="E597" s="9" t="n"/>
      <c r="F597" s="9" t="n"/>
      <c r="G597" s="9" t="n"/>
    </row>
    <row r="598" ht="14.25" customHeight="1" s="91">
      <c r="A598" s="6" t="n"/>
      <c r="B598" s="9" t="n"/>
      <c r="D598" s="9" t="n"/>
      <c r="E598" s="9" t="n"/>
      <c r="F598" s="9" t="n"/>
      <c r="G598" s="9" t="n"/>
    </row>
    <row r="599" ht="14.25" customHeight="1" s="91">
      <c r="A599" s="6" t="n"/>
      <c r="B599" s="9" t="n"/>
      <c r="D599" s="9" t="n"/>
      <c r="E599" s="9" t="n"/>
      <c r="F599" s="9" t="n"/>
      <c r="G599" s="9" t="n"/>
    </row>
    <row r="600" ht="14.25" customHeight="1" s="91">
      <c r="A600" s="6" t="n"/>
      <c r="B600" s="9" t="n"/>
      <c r="D600" s="9" t="n"/>
      <c r="E600" s="9" t="n"/>
      <c r="F600" s="9" t="n"/>
      <c r="G600" s="9" t="n"/>
    </row>
    <row r="601" ht="14.25" customHeight="1" s="91">
      <c r="A601" s="6" t="n"/>
      <c r="B601" s="9" t="n"/>
      <c r="D601" s="9" t="n"/>
      <c r="E601" s="9" t="n"/>
      <c r="F601" s="9" t="n"/>
      <c r="G601" s="9" t="n"/>
    </row>
    <row r="602" ht="14.25" customHeight="1" s="91">
      <c r="A602" s="6" t="n"/>
      <c r="B602" s="9" t="n"/>
      <c r="D602" s="9" t="n"/>
      <c r="E602" s="9" t="n"/>
      <c r="F602" s="9" t="n"/>
      <c r="G602" s="9" t="n"/>
    </row>
    <row r="603" ht="14.25" customHeight="1" s="91">
      <c r="A603" s="6" t="n"/>
      <c r="B603" s="9" t="n"/>
      <c r="D603" s="9" t="n"/>
      <c r="E603" s="9" t="n"/>
      <c r="F603" s="9" t="n"/>
      <c r="G603" s="9" t="n"/>
    </row>
    <row r="604" ht="14.25" customHeight="1" s="91">
      <c r="A604" s="6" t="n"/>
      <c r="B604" s="9" t="n"/>
      <c r="D604" s="9" t="n"/>
      <c r="E604" s="9" t="n"/>
      <c r="F604" s="9" t="n"/>
      <c r="G604" s="9" t="n"/>
    </row>
    <row r="605" ht="14.25" customHeight="1" s="91">
      <c r="A605" s="6" t="n"/>
      <c r="B605" s="9" t="n"/>
      <c r="D605" s="9" t="n"/>
      <c r="E605" s="9" t="n"/>
      <c r="F605" s="9" t="n"/>
      <c r="G605" s="9" t="n"/>
    </row>
    <row r="606" ht="14.25" customHeight="1" s="91">
      <c r="A606" s="6" t="n"/>
      <c r="B606" s="9" t="n"/>
      <c r="D606" s="9" t="n"/>
      <c r="E606" s="9" t="n"/>
      <c r="F606" s="9" t="n"/>
      <c r="G606" s="9" t="n"/>
    </row>
    <row r="607" ht="14.25" customHeight="1" s="91">
      <c r="A607" s="6" t="n"/>
      <c r="B607" s="9" t="n"/>
      <c r="D607" s="9" t="n"/>
      <c r="E607" s="9" t="n"/>
      <c r="F607" s="9" t="n"/>
      <c r="G607" s="9" t="n"/>
    </row>
    <row r="608" ht="14.25" customHeight="1" s="91">
      <c r="A608" s="6" t="n"/>
      <c r="B608" s="9" t="n"/>
      <c r="D608" s="9" t="n"/>
      <c r="E608" s="9" t="n"/>
      <c r="F608" s="9" t="n"/>
      <c r="G608" s="9" t="n"/>
    </row>
    <row r="609" ht="14.25" customHeight="1" s="91">
      <c r="A609" s="6" t="n"/>
      <c r="B609" s="9" t="n"/>
      <c r="D609" s="9" t="n"/>
      <c r="E609" s="9" t="n"/>
      <c r="F609" s="9" t="n"/>
      <c r="G609" s="9" t="n"/>
    </row>
    <row r="610" ht="14.25" customHeight="1" s="91">
      <c r="A610" s="6" t="n"/>
      <c r="B610" s="9" t="n"/>
      <c r="D610" s="9" t="n"/>
      <c r="E610" s="9" t="n"/>
      <c r="F610" s="9" t="n"/>
      <c r="G610" s="9" t="n"/>
    </row>
    <row r="611" ht="14.25" customHeight="1" s="91">
      <c r="A611" s="6" t="n"/>
      <c r="B611" s="9" t="n"/>
      <c r="D611" s="9" t="n"/>
      <c r="E611" s="9" t="n"/>
      <c r="F611" s="9" t="n"/>
      <c r="G611" s="9" t="n"/>
    </row>
    <row r="612" ht="14.25" customHeight="1" s="91">
      <c r="A612" s="6" t="n"/>
      <c r="B612" s="9" t="n"/>
      <c r="D612" s="9" t="n"/>
      <c r="E612" s="9" t="n"/>
      <c r="F612" s="9" t="n"/>
      <c r="G612" s="9" t="n"/>
    </row>
    <row r="613" ht="14.25" customHeight="1" s="91">
      <c r="A613" s="6" t="n"/>
      <c r="B613" s="9" t="n"/>
      <c r="D613" s="9" t="n"/>
      <c r="E613" s="9" t="n"/>
      <c r="F613" s="9" t="n"/>
      <c r="G613" s="9" t="n"/>
    </row>
    <row r="614" ht="14.25" customHeight="1" s="91">
      <c r="A614" s="6" t="n"/>
      <c r="B614" s="9" t="n"/>
      <c r="D614" s="9" t="n"/>
      <c r="E614" s="9" t="n"/>
      <c r="F614" s="9" t="n"/>
      <c r="G614" s="9" t="n"/>
    </row>
    <row r="615" ht="14.25" customHeight="1" s="91">
      <c r="A615" s="6" t="n"/>
      <c r="B615" s="9" t="n"/>
      <c r="D615" s="9" t="n"/>
      <c r="E615" s="9" t="n"/>
      <c r="F615" s="9" t="n"/>
      <c r="G615" s="9" t="n"/>
    </row>
    <row r="616" ht="14.25" customHeight="1" s="91">
      <c r="A616" s="6" t="n"/>
      <c r="B616" s="9" t="n"/>
      <c r="D616" s="9" t="n"/>
      <c r="E616" s="9" t="n"/>
      <c r="F616" s="9" t="n"/>
      <c r="G616" s="9" t="n"/>
    </row>
    <row r="617" ht="14.25" customHeight="1" s="91">
      <c r="A617" s="6" t="n"/>
      <c r="B617" s="9" t="n"/>
      <c r="D617" s="9" t="n"/>
      <c r="E617" s="9" t="n"/>
      <c r="F617" s="9" t="n"/>
      <c r="G617" s="9" t="n"/>
    </row>
    <row r="618" ht="14.25" customHeight="1" s="91">
      <c r="A618" s="6" t="n"/>
      <c r="B618" s="9" t="n"/>
      <c r="D618" s="9" t="n"/>
      <c r="E618" s="9" t="n"/>
      <c r="F618" s="9" t="n"/>
      <c r="G618" s="9" t="n"/>
    </row>
    <row r="619" ht="14.25" customHeight="1" s="91">
      <c r="A619" s="6" t="n"/>
      <c r="B619" s="9" t="n"/>
      <c r="D619" s="9" t="n"/>
      <c r="E619" s="9" t="n"/>
      <c r="F619" s="9" t="n"/>
      <c r="G619" s="9" t="n"/>
    </row>
    <row r="620" ht="14.25" customHeight="1" s="91">
      <c r="A620" s="6" t="n"/>
      <c r="B620" s="9" t="n"/>
      <c r="D620" s="9" t="n"/>
      <c r="E620" s="9" t="n"/>
      <c r="F620" s="9" t="n"/>
      <c r="G620" s="9" t="n"/>
    </row>
    <row r="621" ht="14.25" customHeight="1" s="91">
      <c r="A621" s="6" t="n"/>
      <c r="B621" s="9" t="n"/>
      <c r="D621" s="9" t="n"/>
      <c r="E621" s="9" t="n"/>
      <c r="F621" s="9" t="n"/>
      <c r="G621" s="9" t="n"/>
    </row>
    <row r="622" ht="14.25" customHeight="1" s="91">
      <c r="A622" s="6" t="n"/>
      <c r="B622" s="9" t="n"/>
      <c r="D622" s="9" t="n"/>
      <c r="E622" s="9" t="n"/>
      <c r="F622" s="9" t="n"/>
      <c r="G622" s="9" t="n"/>
    </row>
    <row r="623" ht="14.25" customHeight="1" s="91">
      <c r="A623" s="6" t="n"/>
      <c r="B623" s="9" t="n"/>
      <c r="D623" s="9" t="n"/>
      <c r="E623" s="9" t="n"/>
      <c r="F623" s="9" t="n"/>
      <c r="G623" s="9" t="n"/>
    </row>
    <row r="624" ht="14.25" customHeight="1" s="91">
      <c r="A624" s="6" t="n"/>
      <c r="B624" s="9" t="n"/>
      <c r="D624" s="9" t="n"/>
      <c r="E624" s="9" t="n"/>
      <c r="F624" s="9" t="n"/>
      <c r="G624" s="9" t="n"/>
    </row>
    <row r="625" ht="14.25" customHeight="1" s="91">
      <c r="A625" s="6" t="n"/>
      <c r="B625" s="9" t="n"/>
      <c r="D625" s="9" t="n"/>
      <c r="E625" s="9" t="n"/>
      <c r="F625" s="9" t="n"/>
      <c r="G625" s="9" t="n"/>
    </row>
    <row r="626" ht="14.25" customHeight="1" s="91">
      <c r="A626" s="6" t="n"/>
      <c r="B626" s="9" t="n"/>
      <c r="D626" s="9" t="n"/>
      <c r="E626" s="9" t="n"/>
      <c r="F626" s="9" t="n"/>
      <c r="G626" s="9" t="n"/>
    </row>
    <row r="627" ht="14.25" customHeight="1" s="91">
      <c r="A627" s="6" t="n"/>
      <c r="B627" s="9" t="n"/>
      <c r="D627" s="9" t="n"/>
      <c r="E627" s="9" t="n"/>
      <c r="F627" s="9" t="n"/>
      <c r="G627" s="9" t="n"/>
    </row>
    <row r="628" ht="14.25" customHeight="1" s="91">
      <c r="A628" s="6" t="n"/>
      <c r="B628" s="9" t="n"/>
      <c r="D628" s="9" t="n"/>
      <c r="E628" s="9" t="n"/>
      <c r="F628" s="9" t="n"/>
      <c r="G628" s="9" t="n"/>
    </row>
    <row r="629" ht="14.25" customHeight="1" s="91">
      <c r="A629" s="6" t="n"/>
      <c r="B629" s="9" t="n"/>
      <c r="D629" s="9" t="n"/>
      <c r="E629" s="9" t="n"/>
      <c r="F629" s="9" t="n"/>
      <c r="G629" s="9" t="n"/>
    </row>
    <row r="630" ht="14.25" customHeight="1" s="91">
      <c r="A630" s="6" t="n"/>
      <c r="B630" s="9" t="n"/>
      <c r="D630" s="9" t="n"/>
      <c r="E630" s="9" t="n"/>
      <c r="F630" s="9" t="n"/>
      <c r="G630" s="9" t="n"/>
    </row>
    <row r="631" ht="14.25" customHeight="1" s="91">
      <c r="A631" s="6" t="n"/>
      <c r="B631" s="9" t="n"/>
      <c r="D631" s="9" t="n"/>
      <c r="E631" s="9" t="n"/>
      <c r="F631" s="9" t="n"/>
      <c r="G631" s="9" t="n"/>
    </row>
    <row r="632" ht="14.25" customHeight="1" s="91">
      <c r="A632" s="6" t="n"/>
      <c r="B632" s="9" t="n"/>
      <c r="D632" s="9" t="n"/>
      <c r="E632" s="9" t="n"/>
      <c r="F632" s="9" t="n"/>
      <c r="G632" s="9" t="n"/>
    </row>
    <row r="633" ht="14.25" customHeight="1" s="91">
      <c r="A633" s="6" t="n"/>
      <c r="B633" s="9" t="n"/>
      <c r="D633" s="9" t="n"/>
      <c r="E633" s="9" t="n"/>
      <c r="F633" s="9" t="n"/>
      <c r="G633" s="9" t="n"/>
    </row>
    <row r="634" ht="14.25" customHeight="1" s="91">
      <c r="A634" s="6" t="n"/>
      <c r="B634" s="9" t="n"/>
      <c r="D634" s="9" t="n"/>
      <c r="E634" s="9" t="n"/>
      <c r="F634" s="9" t="n"/>
      <c r="G634" s="9" t="n"/>
    </row>
    <row r="635" ht="14.25" customHeight="1" s="91">
      <c r="A635" s="6" t="n"/>
      <c r="B635" s="9" t="n"/>
      <c r="D635" s="9" t="n"/>
      <c r="E635" s="9" t="n"/>
      <c r="F635" s="9" t="n"/>
      <c r="G635" s="9" t="n"/>
    </row>
    <row r="636" ht="14.25" customHeight="1" s="91">
      <c r="A636" s="6" t="n"/>
      <c r="B636" s="9" t="n"/>
      <c r="D636" s="9" t="n"/>
      <c r="E636" s="9" t="n"/>
      <c r="F636" s="9" t="n"/>
      <c r="G636" s="9" t="n"/>
    </row>
    <row r="637" ht="14.25" customHeight="1" s="91">
      <c r="A637" s="6" t="n"/>
      <c r="B637" s="9" t="n"/>
      <c r="D637" s="9" t="n"/>
      <c r="E637" s="9" t="n"/>
      <c r="F637" s="9" t="n"/>
      <c r="G637" s="9" t="n"/>
    </row>
    <row r="638" ht="14.25" customHeight="1" s="91">
      <c r="A638" s="6" t="n"/>
      <c r="B638" s="9" t="n"/>
      <c r="D638" s="9" t="n"/>
      <c r="E638" s="9" t="n"/>
      <c r="F638" s="9" t="n"/>
      <c r="G638" s="9" t="n"/>
    </row>
    <row r="639" ht="14.25" customHeight="1" s="91">
      <c r="A639" s="6" t="n"/>
      <c r="B639" s="9" t="n"/>
      <c r="D639" s="9" t="n"/>
      <c r="E639" s="9" t="n"/>
      <c r="F639" s="9" t="n"/>
      <c r="G639" s="9" t="n"/>
    </row>
    <row r="640" ht="14.25" customHeight="1" s="91">
      <c r="A640" s="6" t="n"/>
      <c r="B640" s="9" t="n"/>
      <c r="D640" s="9" t="n"/>
      <c r="E640" s="9" t="n"/>
      <c r="F640" s="9" t="n"/>
      <c r="G640" s="9" t="n"/>
    </row>
    <row r="641" ht="14.25" customHeight="1" s="91">
      <c r="A641" s="6" t="n"/>
      <c r="B641" s="9" t="n"/>
      <c r="D641" s="9" t="n"/>
      <c r="E641" s="9" t="n"/>
      <c r="F641" s="9" t="n"/>
      <c r="G641" s="9" t="n"/>
    </row>
    <row r="642" ht="14.25" customHeight="1" s="91">
      <c r="A642" s="6" t="n"/>
      <c r="B642" s="9" t="n"/>
      <c r="D642" s="9" t="n"/>
      <c r="E642" s="9" t="n"/>
      <c r="F642" s="9" t="n"/>
      <c r="G642" s="9" t="n"/>
    </row>
    <row r="643" ht="14.25" customHeight="1" s="91">
      <c r="A643" s="6" t="n"/>
      <c r="B643" s="9" t="n"/>
      <c r="D643" s="9" t="n"/>
      <c r="E643" s="9" t="n"/>
      <c r="F643" s="9" t="n"/>
      <c r="G643" s="9" t="n"/>
    </row>
    <row r="644" ht="14.25" customHeight="1" s="91">
      <c r="A644" s="6" t="n"/>
      <c r="B644" s="9" t="n"/>
      <c r="D644" s="9" t="n"/>
      <c r="E644" s="9" t="n"/>
      <c r="F644" s="9" t="n"/>
      <c r="G644" s="9" t="n"/>
    </row>
    <row r="645" ht="14.25" customHeight="1" s="91">
      <c r="A645" s="6" t="n"/>
      <c r="B645" s="9" t="n"/>
      <c r="D645" s="9" t="n"/>
      <c r="E645" s="9" t="n"/>
      <c r="F645" s="9" t="n"/>
      <c r="G645" s="9" t="n"/>
    </row>
    <row r="646" ht="14.25" customHeight="1" s="91">
      <c r="A646" s="6" t="n"/>
      <c r="B646" s="9" t="n"/>
      <c r="D646" s="9" t="n"/>
      <c r="E646" s="9" t="n"/>
      <c r="F646" s="9" t="n"/>
      <c r="G646" s="9" t="n"/>
    </row>
    <row r="647" ht="14.25" customHeight="1" s="91">
      <c r="A647" s="6" t="n"/>
      <c r="B647" s="9" t="n"/>
      <c r="D647" s="9" t="n"/>
      <c r="E647" s="9" t="n"/>
      <c r="F647" s="9" t="n"/>
      <c r="G647" s="9" t="n"/>
    </row>
    <row r="648" ht="14.25" customHeight="1" s="91">
      <c r="A648" s="6" t="n"/>
      <c r="B648" s="9" t="n"/>
      <c r="D648" s="9" t="n"/>
      <c r="E648" s="9" t="n"/>
      <c r="F648" s="9" t="n"/>
      <c r="G648" s="9" t="n"/>
    </row>
    <row r="649" ht="14.25" customHeight="1" s="91">
      <c r="A649" s="6" t="n"/>
      <c r="B649" s="9" t="n"/>
      <c r="D649" s="9" t="n"/>
      <c r="E649" s="9" t="n"/>
      <c r="F649" s="9" t="n"/>
      <c r="G649" s="9" t="n"/>
    </row>
    <row r="650" ht="14.25" customHeight="1" s="91">
      <c r="A650" s="6" t="n"/>
      <c r="B650" s="9" t="n"/>
      <c r="D650" s="9" t="n"/>
      <c r="E650" s="9" t="n"/>
      <c r="F650" s="9" t="n"/>
      <c r="G650" s="9" t="n"/>
    </row>
    <row r="651" ht="14.25" customHeight="1" s="91">
      <c r="A651" s="6" t="n"/>
      <c r="B651" s="9" t="n"/>
      <c r="D651" s="9" t="n"/>
      <c r="E651" s="9" t="n"/>
      <c r="F651" s="9" t="n"/>
      <c r="G651" s="9" t="n"/>
    </row>
    <row r="652" ht="14.25" customHeight="1" s="91">
      <c r="A652" s="6" t="n"/>
      <c r="B652" s="9" t="n"/>
      <c r="D652" s="9" t="n"/>
      <c r="E652" s="9" t="n"/>
      <c r="F652" s="9" t="n"/>
      <c r="G652" s="9" t="n"/>
    </row>
    <row r="653" ht="14.25" customHeight="1" s="91">
      <c r="A653" s="6" t="n"/>
      <c r="B653" s="9" t="n"/>
      <c r="D653" s="9" t="n"/>
      <c r="E653" s="9" t="n"/>
      <c r="F653" s="9" t="n"/>
      <c r="G653" s="9" t="n"/>
    </row>
    <row r="654" ht="14.25" customHeight="1" s="91">
      <c r="A654" s="6" t="n"/>
      <c r="B654" s="9" t="n"/>
      <c r="D654" s="9" t="n"/>
      <c r="E654" s="9" t="n"/>
      <c r="F654" s="9" t="n"/>
      <c r="G654" s="9" t="n"/>
    </row>
    <row r="655" ht="14.25" customHeight="1" s="91">
      <c r="A655" s="6" t="n"/>
      <c r="B655" s="9" t="n"/>
      <c r="D655" s="9" t="n"/>
      <c r="E655" s="9" t="n"/>
      <c r="F655" s="9" t="n"/>
      <c r="G655" s="9" t="n"/>
    </row>
    <row r="656" ht="14.25" customHeight="1" s="91">
      <c r="A656" s="6" t="n"/>
      <c r="B656" s="9" t="n"/>
      <c r="D656" s="9" t="n"/>
      <c r="E656" s="9" t="n"/>
      <c r="F656" s="9" t="n"/>
      <c r="G656" s="9" t="n"/>
    </row>
    <row r="657" ht="14.25" customHeight="1" s="91">
      <c r="A657" s="6" t="n"/>
      <c r="B657" s="9" t="n"/>
      <c r="D657" s="9" t="n"/>
      <c r="E657" s="9" t="n"/>
      <c r="F657" s="9" t="n"/>
      <c r="G657" s="9" t="n"/>
    </row>
    <row r="658" ht="14.25" customHeight="1" s="91">
      <c r="A658" s="6" t="n"/>
      <c r="B658" s="9" t="n"/>
      <c r="D658" s="9" t="n"/>
      <c r="E658" s="9" t="n"/>
      <c r="F658" s="9" t="n"/>
      <c r="G658" s="9" t="n"/>
    </row>
    <row r="659" ht="14.25" customHeight="1" s="91">
      <c r="A659" s="6" t="n"/>
      <c r="B659" s="9" t="n"/>
      <c r="D659" s="9" t="n"/>
      <c r="E659" s="9" t="n"/>
      <c r="F659" s="9" t="n"/>
      <c r="G659" s="9" t="n"/>
    </row>
    <row r="660" ht="14.25" customHeight="1" s="91">
      <c r="A660" s="6" t="n"/>
      <c r="B660" s="9" t="n"/>
      <c r="D660" s="9" t="n"/>
      <c r="E660" s="9" t="n"/>
      <c r="F660" s="9" t="n"/>
      <c r="G660" s="9" t="n"/>
    </row>
    <row r="661" ht="14.25" customHeight="1" s="91">
      <c r="A661" s="6" t="n"/>
      <c r="B661" s="9" t="n"/>
      <c r="D661" s="9" t="n"/>
      <c r="E661" s="9" t="n"/>
      <c r="F661" s="9" t="n"/>
      <c r="G661" s="9" t="n"/>
    </row>
    <row r="662" ht="14.25" customHeight="1" s="91">
      <c r="A662" s="6" t="n"/>
      <c r="B662" s="9" t="n"/>
      <c r="D662" s="9" t="n"/>
      <c r="E662" s="9" t="n"/>
      <c r="F662" s="9" t="n"/>
      <c r="G662" s="9" t="n"/>
    </row>
    <row r="663" ht="14.25" customHeight="1" s="91">
      <c r="A663" s="6" t="n"/>
      <c r="B663" s="9" t="n"/>
      <c r="D663" s="9" t="n"/>
      <c r="E663" s="9" t="n"/>
      <c r="F663" s="9" t="n"/>
      <c r="G663" s="9" t="n"/>
    </row>
    <row r="664" ht="14.25" customHeight="1" s="91">
      <c r="A664" s="6" t="n"/>
      <c r="B664" s="9" t="n"/>
      <c r="D664" s="9" t="n"/>
      <c r="E664" s="9" t="n"/>
      <c r="F664" s="9" t="n"/>
      <c r="G664" s="9" t="n"/>
    </row>
    <row r="665" ht="14.25" customHeight="1" s="91">
      <c r="A665" s="6" t="n"/>
      <c r="B665" s="9" t="n"/>
      <c r="D665" s="9" t="n"/>
      <c r="E665" s="9" t="n"/>
      <c r="F665" s="9" t="n"/>
      <c r="G665" s="9" t="n"/>
    </row>
    <row r="666" ht="14.25" customHeight="1" s="91">
      <c r="A666" s="6" t="n"/>
      <c r="B666" s="9" t="n"/>
      <c r="D666" s="9" t="n"/>
      <c r="E666" s="9" t="n"/>
      <c r="F666" s="9" t="n"/>
      <c r="G666" s="9" t="n"/>
    </row>
    <row r="667" ht="14.25" customHeight="1" s="91">
      <c r="A667" s="6" t="n"/>
      <c r="B667" s="9" t="n"/>
      <c r="D667" s="9" t="n"/>
      <c r="E667" s="9" t="n"/>
      <c r="F667" s="9" t="n"/>
      <c r="G667" s="9" t="n"/>
    </row>
    <row r="668" ht="14.25" customHeight="1" s="91">
      <c r="A668" s="6" t="n"/>
      <c r="B668" s="9" t="n"/>
      <c r="D668" s="9" t="n"/>
      <c r="E668" s="9" t="n"/>
      <c r="F668" s="9" t="n"/>
      <c r="G668" s="9" t="n"/>
    </row>
    <row r="669" ht="14.25" customHeight="1" s="91">
      <c r="A669" s="6" t="n"/>
      <c r="B669" s="9" t="n"/>
      <c r="D669" s="9" t="n"/>
      <c r="E669" s="9" t="n"/>
      <c r="F669" s="9" t="n"/>
      <c r="G669" s="9" t="n"/>
    </row>
    <row r="670" ht="14.25" customHeight="1" s="91">
      <c r="A670" s="6" t="n"/>
      <c r="B670" s="9" t="n"/>
      <c r="D670" s="9" t="n"/>
      <c r="E670" s="9" t="n"/>
      <c r="F670" s="9" t="n"/>
      <c r="G670" s="9" t="n"/>
    </row>
    <row r="671" ht="14.25" customHeight="1" s="91">
      <c r="A671" s="6" t="n"/>
      <c r="B671" s="9" t="n"/>
      <c r="D671" s="9" t="n"/>
      <c r="E671" s="9" t="n"/>
      <c r="F671" s="9" t="n"/>
      <c r="G671" s="9" t="n"/>
    </row>
    <row r="672" ht="14.25" customHeight="1" s="91">
      <c r="A672" s="6" t="n"/>
      <c r="B672" s="9" t="n"/>
      <c r="D672" s="9" t="n"/>
      <c r="E672" s="9" t="n"/>
      <c r="F672" s="9" t="n"/>
      <c r="G672" s="9" t="n"/>
    </row>
    <row r="673" ht="14.25" customHeight="1" s="91">
      <c r="A673" s="6" t="n"/>
      <c r="B673" s="9" t="n"/>
      <c r="D673" s="9" t="n"/>
      <c r="E673" s="9" t="n"/>
      <c r="F673" s="9" t="n"/>
      <c r="G673" s="9" t="n"/>
    </row>
    <row r="674" ht="14.25" customHeight="1" s="91">
      <c r="A674" s="6" t="n"/>
      <c r="B674" s="9" t="n"/>
      <c r="D674" s="9" t="n"/>
      <c r="E674" s="9" t="n"/>
      <c r="F674" s="9" t="n"/>
      <c r="G674" s="9" t="n"/>
    </row>
    <row r="675" ht="14.25" customHeight="1" s="91">
      <c r="A675" s="6" t="n"/>
      <c r="B675" s="9" t="n"/>
      <c r="D675" s="9" t="n"/>
      <c r="E675" s="9" t="n"/>
      <c r="F675" s="9" t="n"/>
      <c r="G675" s="9" t="n"/>
    </row>
    <row r="676" ht="14.25" customHeight="1" s="91">
      <c r="A676" s="6" t="n"/>
      <c r="B676" s="9" t="n"/>
      <c r="D676" s="9" t="n"/>
      <c r="E676" s="9" t="n"/>
      <c r="F676" s="9" t="n"/>
      <c r="G676" s="9" t="n"/>
    </row>
    <row r="677" ht="14.25" customHeight="1" s="91">
      <c r="A677" s="6" t="n"/>
      <c r="B677" s="9" t="n"/>
      <c r="D677" s="9" t="n"/>
      <c r="E677" s="9" t="n"/>
      <c r="F677" s="9" t="n"/>
      <c r="G677" s="9" t="n"/>
    </row>
    <row r="678" ht="14.25" customHeight="1" s="91">
      <c r="A678" s="6" t="n"/>
      <c r="B678" s="9" t="n"/>
      <c r="D678" s="9" t="n"/>
      <c r="E678" s="9" t="n"/>
      <c r="F678" s="9" t="n"/>
      <c r="G678" s="9" t="n"/>
    </row>
    <row r="679" ht="14.25" customHeight="1" s="91">
      <c r="A679" s="6" t="n"/>
      <c r="B679" s="9" t="n"/>
      <c r="D679" s="9" t="n"/>
      <c r="E679" s="9" t="n"/>
      <c r="F679" s="9" t="n"/>
      <c r="G679" s="9" t="n"/>
    </row>
    <row r="680" ht="14.25" customHeight="1" s="91">
      <c r="A680" s="6" t="n"/>
      <c r="B680" s="9" t="n"/>
      <c r="D680" s="9" t="n"/>
      <c r="E680" s="9" t="n"/>
      <c r="F680" s="9" t="n"/>
      <c r="G680" s="9" t="n"/>
    </row>
    <row r="681" ht="14.25" customHeight="1" s="91">
      <c r="A681" s="6" t="n"/>
      <c r="B681" s="9" t="n"/>
      <c r="D681" s="9" t="n"/>
      <c r="E681" s="9" t="n"/>
      <c r="F681" s="9" t="n"/>
      <c r="G681" s="9" t="n"/>
    </row>
    <row r="682" ht="14.25" customHeight="1" s="91">
      <c r="A682" s="6" t="n"/>
      <c r="B682" s="9" t="n"/>
      <c r="D682" s="9" t="n"/>
      <c r="E682" s="9" t="n"/>
      <c r="F682" s="9" t="n"/>
      <c r="G682" s="9" t="n"/>
    </row>
    <row r="683" ht="14.25" customHeight="1" s="91">
      <c r="A683" s="6" t="n"/>
      <c r="B683" s="9" t="n"/>
      <c r="D683" s="9" t="n"/>
      <c r="E683" s="9" t="n"/>
      <c r="F683" s="9" t="n"/>
      <c r="G683" s="9" t="n"/>
    </row>
    <row r="684" ht="14.25" customHeight="1" s="91">
      <c r="A684" s="6" t="n"/>
      <c r="B684" s="9" t="n"/>
      <c r="D684" s="9" t="n"/>
      <c r="E684" s="9" t="n"/>
      <c r="F684" s="9" t="n"/>
      <c r="G684" s="9" t="n"/>
    </row>
    <row r="685" ht="14.25" customHeight="1" s="91">
      <c r="A685" s="6" t="n"/>
      <c r="B685" s="9" t="n"/>
      <c r="D685" s="9" t="n"/>
      <c r="E685" s="9" t="n"/>
      <c r="F685" s="9" t="n"/>
      <c r="G685" s="9" t="n"/>
    </row>
    <row r="686" ht="14.25" customHeight="1" s="91">
      <c r="A686" s="6" t="n"/>
      <c r="B686" s="9" t="n"/>
      <c r="D686" s="9" t="n"/>
      <c r="E686" s="9" t="n"/>
      <c r="F686" s="9" t="n"/>
      <c r="G686" s="9" t="n"/>
    </row>
    <row r="687" ht="14.25" customHeight="1" s="91">
      <c r="A687" s="6" t="n"/>
      <c r="B687" s="9" t="n"/>
      <c r="D687" s="9" t="n"/>
      <c r="E687" s="9" t="n"/>
      <c r="F687" s="9" t="n"/>
      <c r="G687" s="9" t="n"/>
    </row>
    <row r="688" ht="14.25" customHeight="1" s="91">
      <c r="A688" s="6" t="n"/>
      <c r="B688" s="9" t="n"/>
      <c r="D688" s="9" t="n"/>
      <c r="E688" s="9" t="n"/>
      <c r="F688" s="9" t="n"/>
      <c r="G688" s="9" t="n"/>
    </row>
    <row r="689" ht="14.25" customHeight="1" s="91">
      <c r="A689" s="6" t="n"/>
      <c r="B689" s="9" t="n"/>
      <c r="D689" s="9" t="n"/>
      <c r="E689" s="9" t="n"/>
      <c r="F689" s="9" t="n"/>
      <c r="G689" s="9" t="n"/>
    </row>
    <row r="690" ht="14.25" customHeight="1" s="91">
      <c r="A690" s="6" t="n"/>
      <c r="B690" s="9" t="n"/>
      <c r="D690" s="9" t="n"/>
      <c r="E690" s="9" t="n"/>
      <c r="F690" s="9" t="n"/>
      <c r="G690" s="9" t="n"/>
    </row>
    <row r="691" ht="14.25" customHeight="1" s="91">
      <c r="A691" s="6" t="n"/>
      <c r="B691" s="9" t="n"/>
      <c r="D691" s="9" t="n"/>
      <c r="E691" s="9" t="n"/>
      <c r="F691" s="9" t="n"/>
      <c r="G691" s="9" t="n"/>
    </row>
    <row r="692" ht="14.25" customHeight="1" s="91">
      <c r="A692" s="6" t="n"/>
      <c r="B692" s="9" t="n"/>
      <c r="D692" s="9" t="n"/>
      <c r="E692" s="9" t="n"/>
      <c r="F692" s="9" t="n"/>
      <c r="G692" s="9" t="n"/>
    </row>
    <row r="693" ht="14.25" customHeight="1" s="91">
      <c r="A693" s="6" t="n"/>
      <c r="B693" s="9" t="n"/>
      <c r="D693" s="9" t="n"/>
      <c r="E693" s="9" t="n"/>
      <c r="F693" s="9" t="n"/>
      <c r="G693" s="9" t="n"/>
    </row>
    <row r="694" ht="14.25" customHeight="1" s="91">
      <c r="A694" s="6" t="n"/>
      <c r="B694" s="9" t="n"/>
      <c r="D694" s="9" t="n"/>
      <c r="E694" s="9" t="n"/>
      <c r="F694" s="9" t="n"/>
      <c r="G694" s="9" t="n"/>
    </row>
    <row r="695" ht="14.25" customHeight="1" s="91">
      <c r="A695" s="6" t="n"/>
      <c r="B695" s="9" t="n"/>
      <c r="D695" s="9" t="n"/>
      <c r="E695" s="9" t="n"/>
      <c r="F695" s="9" t="n"/>
      <c r="G695" s="9" t="n"/>
    </row>
    <row r="696" ht="14.25" customHeight="1" s="91">
      <c r="A696" s="6" t="n"/>
      <c r="B696" s="9" t="n"/>
      <c r="D696" s="9" t="n"/>
      <c r="E696" s="9" t="n"/>
      <c r="F696" s="9" t="n"/>
      <c r="G696" s="9" t="n"/>
    </row>
    <row r="697" ht="14.25" customHeight="1" s="91">
      <c r="A697" s="6" t="n"/>
      <c r="B697" s="9" t="n"/>
      <c r="D697" s="9" t="n"/>
      <c r="E697" s="9" t="n"/>
      <c r="F697" s="9" t="n"/>
      <c r="G697" s="9" t="n"/>
    </row>
    <row r="698" ht="14.25" customHeight="1" s="91">
      <c r="A698" s="6" t="n"/>
      <c r="B698" s="9" t="n"/>
      <c r="D698" s="9" t="n"/>
      <c r="E698" s="9" t="n"/>
      <c r="F698" s="9" t="n"/>
      <c r="G698" s="9" t="n"/>
    </row>
    <row r="699" ht="14.25" customHeight="1" s="91">
      <c r="A699" s="6" t="n"/>
      <c r="B699" s="9" t="n"/>
      <c r="D699" s="9" t="n"/>
      <c r="E699" s="9" t="n"/>
      <c r="F699" s="9" t="n"/>
      <c r="G699" s="9" t="n"/>
    </row>
    <row r="700" ht="14.25" customHeight="1" s="91">
      <c r="A700" s="6" t="n"/>
      <c r="B700" s="9" t="n"/>
      <c r="D700" s="9" t="n"/>
      <c r="E700" s="9" t="n"/>
      <c r="F700" s="9" t="n"/>
      <c r="G700" s="9" t="n"/>
    </row>
    <row r="701" ht="14.25" customHeight="1" s="91">
      <c r="A701" s="6" t="n"/>
      <c r="B701" s="9" t="n"/>
      <c r="D701" s="9" t="n"/>
      <c r="E701" s="9" t="n"/>
      <c r="F701" s="9" t="n"/>
      <c r="G701" s="9" t="n"/>
    </row>
    <row r="702" ht="14.25" customHeight="1" s="91">
      <c r="A702" s="6" t="n"/>
      <c r="B702" s="9" t="n"/>
      <c r="D702" s="9" t="n"/>
      <c r="E702" s="9" t="n"/>
      <c r="F702" s="9" t="n"/>
      <c r="G702" s="9" t="n"/>
    </row>
    <row r="703" ht="14.25" customHeight="1" s="91">
      <c r="A703" s="6" t="n"/>
      <c r="B703" s="9" t="n"/>
      <c r="D703" s="9" t="n"/>
      <c r="E703" s="9" t="n"/>
      <c r="F703" s="9" t="n"/>
      <c r="G703" s="9" t="n"/>
    </row>
    <row r="704" ht="14.25" customHeight="1" s="91">
      <c r="A704" s="6" t="n"/>
      <c r="B704" s="9" t="n"/>
      <c r="D704" s="9" t="n"/>
      <c r="E704" s="9" t="n"/>
      <c r="F704" s="9" t="n"/>
      <c r="G704" s="9" t="n"/>
    </row>
    <row r="705" ht="14.25" customHeight="1" s="91">
      <c r="A705" s="6" t="n"/>
      <c r="B705" s="9" t="n"/>
      <c r="D705" s="9" t="n"/>
      <c r="E705" s="9" t="n"/>
      <c r="F705" s="9" t="n"/>
      <c r="G705" s="9" t="n"/>
    </row>
    <row r="706" ht="14.25" customHeight="1" s="91">
      <c r="A706" s="6" t="n"/>
      <c r="B706" s="9" t="n"/>
      <c r="D706" s="9" t="n"/>
      <c r="E706" s="9" t="n"/>
      <c r="F706" s="9" t="n"/>
      <c r="G706" s="9" t="n"/>
    </row>
    <row r="707" ht="14.25" customHeight="1" s="91">
      <c r="A707" s="6" t="n"/>
      <c r="B707" s="9" t="n"/>
      <c r="D707" s="9" t="n"/>
      <c r="E707" s="9" t="n"/>
      <c r="F707" s="9" t="n"/>
      <c r="G707" s="9" t="n"/>
    </row>
    <row r="708" ht="14.25" customHeight="1" s="91">
      <c r="A708" s="6" t="n"/>
      <c r="B708" s="9" t="n"/>
      <c r="D708" s="9" t="n"/>
      <c r="E708" s="9" t="n"/>
      <c r="F708" s="9" t="n"/>
      <c r="G708" s="9" t="n"/>
    </row>
    <row r="709" ht="14.25" customHeight="1" s="91">
      <c r="A709" s="6" t="n"/>
      <c r="B709" s="9" t="n"/>
      <c r="D709" s="9" t="n"/>
      <c r="E709" s="9" t="n"/>
      <c r="F709" s="9" t="n"/>
      <c r="G709" s="9" t="n"/>
    </row>
    <row r="710" ht="14.25" customHeight="1" s="91">
      <c r="A710" s="6" t="n"/>
      <c r="B710" s="9" t="n"/>
      <c r="D710" s="9" t="n"/>
      <c r="E710" s="9" t="n"/>
      <c r="F710" s="9" t="n"/>
      <c r="G710" s="9" t="n"/>
    </row>
    <row r="711" ht="14.25" customHeight="1" s="91">
      <c r="A711" s="6" t="n"/>
      <c r="B711" s="9" t="n"/>
      <c r="D711" s="9" t="n"/>
      <c r="E711" s="9" t="n"/>
      <c r="F711" s="9" t="n"/>
      <c r="G711" s="9" t="n"/>
    </row>
    <row r="712" ht="14.25" customHeight="1" s="91">
      <c r="A712" s="6" t="n"/>
      <c r="B712" s="9" t="n"/>
      <c r="D712" s="9" t="n"/>
      <c r="E712" s="9" t="n"/>
      <c r="F712" s="9" t="n"/>
      <c r="G712" s="9" t="n"/>
    </row>
    <row r="713" ht="14.25" customHeight="1" s="91">
      <c r="A713" s="6" t="n"/>
      <c r="B713" s="9" t="n"/>
      <c r="D713" s="9" t="n"/>
      <c r="E713" s="9" t="n"/>
      <c r="F713" s="9" t="n"/>
      <c r="G713" s="9" t="n"/>
    </row>
    <row r="714" ht="14.25" customHeight="1" s="91">
      <c r="A714" s="6" t="n"/>
      <c r="B714" s="9" t="n"/>
      <c r="D714" s="9" t="n"/>
      <c r="E714" s="9" t="n"/>
      <c r="F714" s="9" t="n"/>
      <c r="G714" s="9" t="n"/>
    </row>
    <row r="715" ht="14.25" customHeight="1" s="91">
      <c r="A715" s="6" t="n"/>
      <c r="B715" s="9" t="n"/>
      <c r="D715" s="9" t="n"/>
      <c r="E715" s="9" t="n"/>
      <c r="F715" s="9" t="n"/>
      <c r="G715" s="9" t="n"/>
    </row>
    <row r="716" ht="14.25" customHeight="1" s="91">
      <c r="A716" s="6" t="n"/>
      <c r="B716" s="9" t="n"/>
      <c r="D716" s="9" t="n"/>
      <c r="E716" s="9" t="n"/>
      <c r="F716" s="9" t="n"/>
      <c r="G716" s="9" t="n"/>
    </row>
    <row r="717" ht="14.25" customHeight="1" s="91">
      <c r="A717" s="6" t="n"/>
      <c r="B717" s="9" t="n"/>
      <c r="D717" s="9" t="n"/>
      <c r="E717" s="9" t="n"/>
      <c r="F717" s="9" t="n"/>
      <c r="G717" s="9" t="n"/>
    </row>
    <row r="718" ht="14.25" customHeight="1" s="91">
      <c r="A718" s="6" t="n"/>
      <c r="B718" s="9" t="n"/>
      <c r="D718" s="9" t="n"/>
      <c r="E718" s="9" t="n"/>
      <c r="F718" s="9" t="n"/>
      <c r="G718" s="9" t="n"/>
    </row>
    <row r="719" ht="14.25" customHeight="1" s="91">
      <c r="A719" s="6" t="n"/>
      <c r="B719" s="9" t="n"/>
      <c r="D719" s="9" t="n"/>
      <c r="E719" s="9" t="n"/>
      <c r="F719" s="9" t="n"/>
      <c r="G719" s="9" t="n"/>
    </row>
    <row r="720" ht="14.25" customHeight="1" s="91">
      <c r="A720" s="6" t="n"/>
      <c r="B720" s="9" t="n"/>
      <c r="D720" s="9" t="n"/>
      <c r="E720" s="9" t="n"/>
      <c r="F720" s="9" t="n"/>
      <c r="G720" s="9" t="n"/>
    </row>
    <row r="721" ht="14.25" customHeight="1" s="91">
      <c r="A721" s="6" t="n"/>
      <c r="B721" s="9" t="n"/>
      <c r="D721" s="9" t="n"/>
      <c r="E721" s="9" t="n"/>
      <c r="F721" s="9" t="n"/>
      <c r="G721" s="9" t="n"/>
    </row>
    <row r="722" ht="14.25" customHeight="1" s="91">
      <c r="A722" s="6" t="n"/>
      <c r="B722" s="9" t="n"/>
      <c r="D722" s="9" t="n"/>
      <c r="E722" s="9" t="n"/>
      <c r="F722" s="9" t="n"/>
      <c r="G722" s="9" t="n"/>
    </row>
    <row r="723" ht="14.25" customHeight="1" s="91">
      <c r="A723" s="6" t="n"/>
      <c r="B723" s="9" t="n"/>
      <c r="D723" s="9" t="n"/>
      <c r="E723" s="9" t="n"/>
      <c r="F723" s="9" t="n"/>
      <c r="G723" s="9" t="n"/>
    </row>
    <row r="724" ht="14.25" customHeight="1" s="91">
      <c r="A724" s="6" t="n"/>
      <c r="B724" s="9" t="n"/>
      <c r="D724" s="9" t="n"/>
      <c r="E724" s="9" t="n"/>
      <c r="F724" s="9" t="n"/>
      <c r="G724" s="9" t="n"/>
    </row>
    <row r="725" ht="14.25" customHeight="1" s="91">
      <c r="A725" s="6" t="n"/>
      <c r="B725" s="9" t="n"/>
      <c r="D725" s="9" t="n"/>
      <c r="E725" s="9" t="n"/>
      <c r="F725" s="9" t="n"/>
      <c r="G725" s="9" t="n"/>
    </row>
    <row r="726" ht="14.25" customHeight="1" s="91">
      <c r="A726" s="6" t="n"/>
      <c r="B726" s="9" t="n"/>
      <c r="D726" s="9" t="n"/>
      <c r="E726" s="9" t="n"/>
      <c r="F726" s="9" t="n"/>
      <c r="G726" s="9" t="n"/>
    </row>
    <row r="727" ht="14.25" customHeight="1" s="91">
      <c r="A727" s="6" t="n"/>
      <c r="B727" s="9" t="n"/>
      <c r="D727" s="9" t="n"/>
      <c r="E727" s="9" t="n"/>
      <c r="F727" s="9" t="n"/>
      <c r="G727" s="9" t="n"/>
    </row>
    <row r="728" ht="14.25" customHeight="1" s="91">
      <c r="A728" s="6" t="n"/>
      <c r="B728" s="9" t="n"/>
      <c r="D728" s="9" t="n"/>
      <c r="E728" s="9" t="n"/>
      <c r="F728" s="9" t="n"/>
      <c r="G728" s="9" t="n"/>
    </row>
    <row r="729" ht="14.25" customHeight="1" s="91">
      <c r="A729" s="6" t="n"/>
      <c r="B729" s="9" t="n"/>
      <c r="D729" s="9" t="n"/>
      <c r="E729" s="9" t="n"/>
      <c r="F729" s="9" t="n"/>
      <c r="G729" s="9" t="n"/>
    </row>
    <row r="730" ht="14.25" customHeight="1" s="91">
      <c r="A730" s="6" t="n"/>
      <c r="B730" s="9" t="n"/>
      <c r="D730" s="9" t="n"/>
      <c r="E730" s="9" t="n"/>
      <c r="F730" s="9" t="n"/>
      <c r="G730" s="9" t="n"/>
    </row>
    <row r="731" ht="14.25" customHeight="1" s="91">
      <c r="A731" s="6" t="n"/>
      <c r="B731" s="9" t="n"/>
      <c r="D731" s="9" t="n"/>
      <c r="E731" s="9" t="n"/>
      <c r="F731" s="9" t="n"/>
      <c r="G731" s="9" t="n"/>
    </row>
    <row r="732" ht="14.25" customHeight="1" s="91">
      <c r="A732" s="6" t="n"/>
      <c r="B732" s="9" t="n"/>
      <c r="D732" s="9" t="n"/>
      <c r="E732" s="9" t="n"/>
      <c r="F732" s="9" t="n"/>
      <c r="G732" s="9" t="n"/>
    </row>
    <row r="733" ht="14.25" customHeight="1" s="91">
      <c r="A733" s="6" t="n"/>
      <c r="B733" s="9" t="n"/>
      <c r="D733" s="9" t="n"/>
      <c r="E733" s="9" t="n"/>
      <c r="F733" s="9" t="n"/>
      <c r="G733" s="9" t="n"/>
    </row>
    <row r="734" ht="14.25" customHeight="1" s="91">
      <c r="A734" s="6" t="n"/>
      <c r="B734" s="9" t="n"/>
      <c r="D734" s="9" t="n"/>
      <c r="E734" s="9" t="n"/>
      <c r="F734" s="9" t="n"/>
      <c r="G734" s="9" t="n"/>
    </row>
    <row r="735" ht="14.25" customHeight="1" s="91">
      <c r="A735" s="6" t="n"/>
      <c r="B735" s="9" t="n"/>
      <c r="D735" s="9" t="n"/>
      <c r="E735" s="9" t="n"/>
      <c r="F735" s="9" t="n"/>
      <c r="G735" s="9" t="n"/>
    </row>
    <row r="736" ht="14.25" customHeight="1" s="91">
      <c r="A736" s="6" t="n"/>
      <c r="B736" s="9" t="n"/>
      <c r="D736" s="9" t="n"/>
      <c r="E736" s="9" t="n"/>
      <c r="F736" s="9" t="n"/>
      <c r="G736" s="9" t="n"/>
    </row>
    <row r="737" ht="14.25" customHeight="1" s="91">
      <c r="A737" s="6" t="n"/>
      <c r="B737" s="9" t="n"/>
      <c r="D737" s="9" t="n"/>
      <c r="E737" s="9" t="n"/>
      <c r="F737" s="9" t="n"/>
      <c r="G737" s="9" t="n"/>
    </row>
    <row r="738" ht="14.25" customHeight="1" s="91">
      <c r="A738" s="6" t="n"/>
      <c r="B738" s="9" t="n"/>
      <c r="D738" s="9" t="n"/>
      <c r="E738" s="9" t="n"/>
      <c r="F738" s="9" t="n"/>
      <c r="G738" s="9" t="n"/>
    </row>
    <row r="739" ht="14.25" customHeight="1" s="91">
      <c r="A739" s="6" t="n"/>
      <c r="B739" s="9" t="n"/>
      <c r="D739" s="9" t="n"/>
      <c r="E739" s="9" t="n"/>
      <c r="F739" s="9" t="n"/>
      <c r="G739" s="9" t="n"/>
    </row>
    <row r="740" ht="14.25" customHeight="1" s="91">
      <c r="A740" s="6" t="n"/>
      <c r="B740" s="9" t="n"/>
      <c r="D740" s="9" t="n"/>
      <c r="E740" s="9" t="n"/>
      <c r="F740" s="9" t="n"/>
      <c r="G740" s="9" t="n"/>
    </row>
    <row r="741" ht="14.25" customHeight="1" s="91">
      <c r="A741" s="6" t="n"/>
      <c r="B741" s="9" t="n"/>
      <c r="D741" s="9" t="n"/>
      <c r="E741" s="9" t="n"/>
      <c r="F741" s="9" t="n"/>
      <c r="G741" s="9" t="n"/>
    </row>
    <row r="742" ht="14.25" customHeight="1" s="91">
      <c r="A742" s="6" t="n"/>
      <c r="B742" s="9" t="n"/>
      <c r="D742" s="9" t="n"/>
      <c r="E742" s="9" t="n"/>
      <c r="F742" s="9" t="n"/>
      <c r="G742" s="9" t="n"/>
    </row>
    <row r="743" ht="14.25" customHeight="1" s="91">
      <c r="A743" s="6" t="n"/>
      <c r="B743" s="9" t="n"/>
      <c r="D743" s="9" t="n"/>
      <c r="E743" s="9" t="n"/>
      <c r="F743" s="9" t="n"/>
      <c r="G743" s="9" t="n"/>
    </row>
    <row r="744" ht="14.25" customHeight="1" s="91">
      <c r="A744" s="6" t="n"/>
      <c r="B744" s="9" t="n"/>
      <c r="D744" s="9" t="n"/>
      <c r="E744" s="9" t="n"/>
      <c r="F744" s="9" t="n"/>
      <c r="G744" s="9" t="n"/>
    </row>
    <row r="745" ht="14.25" customHeight="1" s="91">
      <c r="A745" s="6" t="n"/>
      <c r="B745" s="9" t="n"/>
      <c r="D745" s="9" t="n"/>
      <c r="E745" s="9" t="n"/>
      <c r="F745" s="9" t="n"/>
      <c r="G745" s="9" t="n"/>
    </row>
    <row r="746" ht="14.25" customHeight="1" s="91">
      <c r="A746" s="6" t="n"/>
      <c r="B746" s="9" t="n"/>
      <c r="D746" s="9" t="n"/>
      <c r="E746" s="9" t="n"/>
      <c r="F746" s="9" t="n"/>
      <c r="G746" s="9" t="n"/>
    </row>
    <row r="747" ht="14.25" customHeight="1" s="91">
      <c r="A747" s="6" t="n"/>
      <c r="B747" s="9" t="n"/>
      <c r="D747" s="9" t="n"/>
      <c r="E747" s="9" t="n"/>
      <c r="F747" s="9" t="n"/>
      <c r="G747" s="9" t="n"/>
    </row>
    <row r="748" ht="14.25" customHeight="1" s="91">
      <c r="A748" s="6" t="n"/>
      <c r="B748" s="9" t="n"/>
      <c r="D748" s="9" t="n"/>
      <c r="E748" s="9" t="n"/>
      <c r="F748" s="9" t="n"/>
      <c r="G748" s="9" t="n"/>
    </row>
    <row r="749" ht="14.25" customHeight="1" s="91">
      <c r="A749" s="6" t="n"/>
      <c r="B749" s="9" t="n"/>
      <c r="D749" s="9" t="n"/>
      <c r="E749" s="9" t="n"/>
      <c r="F749" s="9" t="n"/>
      <c r="G749" s="9" t="n"/>
    </row>
    <row r="750" ht="14.25" customHeight="1" s="91">
      <c r="A750" s="6" t="n"/>
      <c r="B750" s="9" t="n"/>
      <c r="D750" s="9" t="n"/>
      <c r="E750" s="9" t="n"/>
      <c r="F750" s="9" t="n"/>
      <c r="G750" s="9" t="n"/>
    </row>
    <row r="751" ht="14.25" customHeight="1" s="91">
      <c r="A751" s="6" t="n"/>
      <c r="B751" s="9" t="n"/>
      <c r="D751" s="9" t="n"/>
      <c r="E751" s="9" t="n"/>
      <c r="F751" s="9" t="n"/>
      <c r="G751" s="9" t="n"/>
    </row>
    <row r="752" ht="14.25" customHeight="1" s="91">
      <c r="A752" s="6" t="n"/>
      <c r="B752" s="9" t="n"/>
      <c r="D752" s="9" t="n"/>
      <c r="E752" s="9" t="n"/>
      <c r="F752" s="9" t="n"/>
      <c r="G752" s="9" t="n"/>
    </row>
    <row r="753" ht="14.25" customHeight="1" s="91">
      <c r="A753" s="6" t="n"/>
      <c r="B753" s="9" t="n"/>
      <c r="D753" s="9" t="n"/>
      <c r="E753" s="9" t="n"/>
      <c r="F753" s="9" t="n"/>
      <c r="G753" s="9" t="n"/>
    </row>
    <row r="754" ht="14.25" customHeight="1" s="91">
      <c r="A754" s="6" t="n"/>
      <c r="B754" s="9" t="n"/>
      <c r="D754" s="9" t="n"/>
      <c r="E754" s="9" t="n"/>
      <c r="F754" s="9" t="n"/>
      <c r="G754" s="9" t="n"/>
    </row>
    <row r="755" ht="14.25" customHeight="1" s="91">
      <c r="A755" s="6" t="n"/>
      <c r="B755" s="9" t="n"/>
      <c r="D755" s="9" t="n"/>
      <c r="E755" s="9" t="n"/>
      <c r="F755" s="9" t="n"/>
      <c r="G755" s="9" t="n"/>
    </row>
    <row r="756" ht="14.25" customHeight="1" s="91">
      <c r="A756" s="6" t="n"/>
      <c r="B756" s="9" t="n"/>
      <c r="D756" s="9" t="n"/>
      <c r="E756" s="9" t="n"/>
      <c r="F756" s="9" t="n"/>
      <c r="G756" s="9" t="n"/>
    </row>
    <row r="757" ht="14.25" customHeight="1" s="91">
      <c r="A757" s="6" t="n"/>
      <c r="B757" s="9" t="n"/>
      <c r="D757" s="9" t="n"/>
      <c r="E757" s="9" t="n"/>
      <c r="F757" s="9" t="n"/>
      <c r="G757" s="9" t="n"/>
    </row>
    <row r="758" ht="14.25" customHeight="1" s="91">
      <c r="A758" s="6" t="n"/>
      <c r="B758" s="9" t="n"/>
      <c r="D758" s="9" t="n"/>
      <c r="E758" s="9" t="n"/>
      <c r="F758" s="9" t="n"/>
      <c r="G758" s="9" t="n"/>
    </row>
    <row r="759" ht="14.25" customHeight="1" s="91">
      <c r="A759" s="6" t="n"/>
      <c r="B759" s="9" t="n"/>
      <c r="D759" s="9" t="n"/>
      <c r="E759" s="9" t="n"/>
      <c r="F759" s="9" t="n"/>
      <c r="G759" s="9" t="n"/>
    </row>
    <row r="760" ht="14.25" customHeight="1" s="91">
      <c r="A760" s="6" t="n"/>
      <c r="B760" s="9" t="n"/>
      <c r="D760" s="9" t="n"/>
      <c r="E760" s="9" t="n"/>
      <c r="F760" s="9" t="n"/>
      <c r="G760" s="9" t="n"/>
    </row>
    <row r="761" ht="14.25" customHeight="1" s="91">
      <c r="A761" s="6" t="n"/>
      <c r="B761" s="9" t="n"/>
      <c r="D761" s="9" t="n"/>
      <c r="E761" s="9" t="n"/>
      <c r="F761" s="9" t="n"/>
      <c r="G761" s="9" t="n"/>
    </row>
    <row r="762" ht="14.25" customHeight="1" s="91">
      <c r="A762" s="6" t="n"/>
      <c r="B762" s="9" t="n"/>
      <c r="D762" s="9" t="n"/>
      <c r="E762" s="9" t="n"/>
      <c r="F762" s="9" t="n"/>
      <c r="G762" s="9" t="n"/>
    </row>
    <row r="763" ht="14.25" customHeight="1" s="91">
      <c r="A763" s="6" t="n"/>
      <c r="B763" s="9" t="n"/>
      <c r="D763" s="9" t="n"/>
      <c r="E763" s="9" t="n"/>
      <c r="F763" s="9" t="n"/>
      <c r="G763" s="9" t="n"/>
    </row>
    <row r="764" ht="14.25" customHeight="1" s="91">
      <c r="A764" s="6" t="n"/>
      <c r="B764" s="9" t="n"/>
      <c r="D764" s="9" t="n"/>
      <c r="E764" s="9" t="n"/>
      <c r="F764" s="9" t="n"/>
      <c r="G764" s="9" t="n"/>
    </row>
    <row r="765" ht="14.25" customHeight="1" s="91">
      <c r="A765" s="6" t="n"/>
      <c r="B765" s="9" t="n"/>
      <c r="D765" s="9" t="n"/>
      <c r="E765" s="9" t="n"/>
      <c r="F765" s="9" t="n"/>
      <c r="G765" s="9" t="n"/>
    </row>
    <row r="766" ht="14.25" customHeight="1" s="91">
      <c r="A766" s="6" t="n"/>
      <c r="B766" s="9" t="n"/>
      <c r="D766" s="9" t="n"/>
      <c r="E766" s="9" t="n"/>
      <c r="F766" s="9" t="n"/>
      <c r="G766" s="9" t="n"/>
    </row>
    <row r="767" ht="14.25" customHeight="1" s="91">
      <c r="A767" s="6" t="n"/>
      <c r="B767" s="9" t="n"/>
      <c r="D767" s="9" t="n"/>
      <c r="E767" s="9" t="n"/>
      <c r="F767" s="9" t="n"/>
      <c r="G767" s="9" t="n"/>
    </row>
    <row r="768" ht="14.25" customHeight="1" s="91">
      <c r="A768" s="6" t="n"/>
      <c r="B768" s="9" t="n"/>
      <c r="D768" s="9" t="n"/>
      <c r="E768" s="9" t="n"/>
      <c r="F768" s="9" t="n"/>
      <c r="G768" s="9" t="n"/>
    </row>
    <row r="769" ht="14.25" customHeight="1" s="91">
      <c r="A769" s="6" t="n"/>
      <c r="B769" s="9" t="n"/>
      <c r="D769" s="9" t="n"/>
      <c r="E769" s="9" t="n"/>
      <c r="F769" s="9" t="n"/>
      <c r="G769" s="9" t="n"/>
    </row>
    <row r="770" ht="14.25" customHeight="1" s="91">
      <c r="A770" s="6" t="n"/>
      <c r="B770" s="9" t="n"/>
      <c r="D770" s="9" t="n"/>
      <c r="E770" s="9" t="n"/>
      <c r="F770" s="9" t="n"/>
      <c r="G770" s="9" t="n"/>
    </row>
    <row r="771" ht="14.25" customHeight="1" s="91">
      <c r="A771" s="6" t="n"/>
      <c r="B771" s="9" t="n"/>
      <c r="D771" s="9" t="n"/>
      <c r="E771" s="9" t="n"/>
      <c r="F771" s="9" t="n"/>
      <c r="G771" s="9" t="n"/>
    </row>
    <row r="772" ht="14.25" customHeight="1" s="91">
      <c r="A772" s="6" t="n"/>
      <c r="B772" s="9" t="n"/>
      <c r="D772" s="9" t="n"/>
      <c r="E772" s="9" t="n"/>
      <c r="F772" s="9" t="n"/>
      <c r="G772" s="9" t="n"/>
    </row>
    <row r="773" ht="14.25" customHeight="1" s="91">
      <c r="A773" s="6" t="n"/>
      <c r="B773" s="9" t="n"/>
      <c r="D773" s="9" t="n"/>
      <c r="E773" s="9" t="n"/>
      <c r="F773" s="9" t="n"/>
      <c r="G773" s="9" t="n"/>
    </row>
    <row r="774" ht="14.25" customHeight="1" s="91">
      <c r="A774" s="6" t="n"/>
      <c r="B774" s="9" t="n"/>
      <c r="D774" s="9" t="n"/>
      <c r="E774" s="9" t="n"/>
      <c r="F774" s="9" t="n"/>
      <c r="G774" s="9" t="n"/>
    </row>
    <row r="775" ht="14.25" customHeight="1" s="91">
      <c r="A775" s="6" t="n"/>
      <c r="B775" s="9" t="n"/>
      <c r="D775" s="9" t="n"/>
      <c r="E775" s="9" t="n"/>
      <c r="F775" s="9" t="n"/>
      <c r="G775" s="9" t="n"/>
    </row>
    <row r="776" ht="14.25" customHeight="1" s="91">
      <c r="A776" s="6" t="n"/>
      <c r="B776" s="9" t="n"/>
      <c r="D776" s="9" t="n"/>
      <c r="E776" s="9" t="n"/>
      <c r="F776" s="9" t="n"/>
      <c r="G776" s="9" t="n"/>
    </row>
    <row r="777" ht="14.25" customHeight="1" s="91">
      <c r="A777" s="6" t="n"/>
      <c r="B777" s="9" t="n"/>
      <c r="D777" s="9" t="n"/>
      <c r="E777" s="9" t="n"/>
      <c r="F777" s="9" t="n"/>
      <c r="G777" s="9" t="n"/>
    </row>
    <row r="778" ht="14.25" customHeight="1" s="91">
      <c r="A778" s="6" t="n"/>
      <c r="B778" s="9" t="n"/>
      <c r="D778" s="9" t="n"/>
      <c r="E778" s="9" t="n"/>
      <c r="F778" s="9" t="n"/>
      <c r="G778" s="9" t="n"/>
    </row>
    <row r="779" ht="14.25" customHeight="1" s="91">
      <c r="A779" s="6" t="n"/>
      <c r="B779" s="9" t="n"/>
      <c r="D779" s="9" t="n"/>
      <c r="E779" s="9" t="n"/>
      <c r="F779" s="9" t="n"/>
      <c r="G779" s="9" t="n"/>
    </row>
    <row r="780" ht="14.25" customHeight="1" s="91">
      <c r="A780" s="6" t="n"/>
      <c r="B780" s="9" t="n"/>
      <c r="D780" s="9" t="n"/>
      <c r="E780" s="9" t="n"/>
      <c r="F780" s="9" t="n"/>
      <c r="G780" s="9" t="n"/>
    </row>
    <row r="781" ht="14.25" customHeight="1" s="91">
      <c r="A781" s="6" t="n"/>
      <c r="B781" s="9" t="n"/>
      <c r="D781" s="9" t="n"/>
      <c r="E781" s="9" t="n"/>
      <c r="F781" s="9" t="n"/>
      <c r="G781" s="9" t="n"/>
    </row>
    <row r="782" ht="14.25" customHeight="1" s="91">
      <c r="A782" s="6" t="n"/>
      <c r="B782" s="9" t="n"/>
      <c r="D782" s="9" t="n"/>
      <c r="E782" s="9" t="n"/>
      <c r="F782" s="9" t="n"/>
      <c r="G782" s="9" t="n"/>
    </row>
    <row r="783" ht="14.25" customHeight="1" s="91">
      <c r="A783" s="6" t="n"/>
      <c r="B783" s="9" t="n"/>
      <c r="D783" s="9" t="n"/>
      <c r="E783" s="9" t="n"/>
      <c r="F783" s="9" t="n"/>
      <c r="G783" s="9" t="n"/>
    </row>
    <row r="784" ht="14.25" customHeight="1" s="91">
      <c r="A784" s="6" t="n"/>
      <c r="B784" s="9" t="n"/>
      <c r="D784" s="9" t="n"/>
      <c r="E784" s="9" t="n"/>
      <c r="F784" s="9" t="n"/>
      <c r="G784" s="9" t="n"/>
    </row>
    <row r="785" ht="14.25" customHeight="1" s="91">
      <c r="A785" s="6" t="n"/>
      <c r="B785" s="9" t="n"/>
      <c r="D785" s="9" t="n"/>
      <c r="E785" s="9" t="n"/>
      <c r="F785" s="9" t="n"/>
      <c r="G785" s="9" t="n"/>
    </row>
    <row r="786" ht="14.25" customHeight="1" s="91">
      <c r="A786" s="6" t="n"/>
      <c r="B786" s="9" t="n"/>
      <c r="D786" s="9" t="n"/>
      <c r="E786" s="9" t="n"/>
      <c r="F786" s="9" t="n"/>
      <c r="G786" s="9" t="n"/>
    </row>
    <row r="787" ht="14.25" customHeight="1" s="91">
      <c r="A787" s="6" t="n"/>
      <c r="B787" s="9" t="n"/>
      <c r="D787" s="9" t="n"/>
      <c r="E787" s="9" t="n"/>
      <c r="F787" s="9" t="n"/>
      <c r="G787" s="9" t="n"/>
    </row>
    <row r="788" ht="14.25" customHeight="1" s="91">
      <c r="A788" s="6" t="n"/>
      <c r="B788" s="9" t="n"/>
      <c r="D788" s="9" t="n"/>
      <c r="E788" s="9" t="n"/>
      <c r="F788" s="9" t="n"/>
      <c r="G788" s="9" t="n"/>
    </row>
    <row r="789" ht="14.25" customHeight="1" s="91">
      <c r="A789" s="6" t="n"/>
      <c r="B789" s="9" t="n"/>
      <c r="D789" s="9" t="n"/>
      <c r="E789" s="9" t="n"/>
      <c r="F789" s="9" t="n"/>
      <c r="G789" s="9" t="n"/>
    </row>
    <row r="790" ht="14.25" customHeight="1" s="91">
      <c r="A790" s="6" t="n"/>
      <c r="B790" s="9" t="n"/>
      <c r="D790" s="9" t="n"/>
      <c r="E790" s="9" t="n"/>
      <c r="F790" s="9" t="n"/>
      <c r="G790" s="9" t="n"/>
    </row>
    <row r="791" ht="14.25" customHeight="1" s="91">
      <c r="A791" s="6" t="n"/>
      <c r="B791" s="9" t="n"/>
      <c r="D791" s="9" t="n"/>
      <c r="E791" s="9" t="n"/>
      <c r="F791" s="9" t="n"/>
      <c r="G791" s="9" t="n"/>
    </row>
    <row r="792" ht="14.25" customHeight="1" s="91">
      <c r="A792" s="6" t="n"/>
      <c r="B792" s="9" t="n"/>
      <c r="D792" s="9" t="n"/>
      <c r="E792" s="9" t="n"/>
      <c r="F792" s="9" t="n"/>
      <c r="G792" s="9" t="n"/>
    </row>
    <row r="793" ht="14.25" customHeight="1" s="91">
      <c r="A793" s="6" t="n"/>
      <c r="B793" s="9" t="n"/>
      <c r="D793" s="9" t="n"/>
      <c r="E793" s="9" t="n"/>
      <c r="F793" s="9" t="n"/>
      <c r="G793" s="9" t="n"/>
    </row>
    <row r="794" ht="14.25" customHeight="1" s="91">
      <c r="A794" s="6" t="n"/>
      <c r="B794" s="9" t="n"/>
      <c r="D794" s="9" t="n"/>
      <c r="E794" s="9" t="n"/>
      <c r="F794" s="9" t="n"/>
      <c r="G794" s="9" t="n"/>
    </row>
    <row r="795" ht="14.25" customHeight="1" s="91">
      <c r="A795" s="6" t="n"/>
      <c r="B795" s="9" t="n"/>
      <c r="D795" s="9" t="n"/>
      <c r="E795" s="9" t="n"/>
      <c r="F795" s="9" t="n"/>
      <c r="G795" s="9" t="n"/>
    </row>
    <row r="796" ht="14.25" customHeight="1" s="91">
      <c r="A796" s="6" t="n"/>
      <c r="B796" s="9" t="n"/>
      <c r="D796" s="9" t="n"/>
      <c r="E796" s="9" t="n"/>
      <c r="F796" s="9" t="n"/>
      <c r="G796" s="9" t="n"/>
    </row>
    <row r="797" ht="14.25" customHeight="1" s="91">
      <c r="A797" s="6" t="n"/>
      <c r="B797" s="9" t="n"/>
      <c r="D797" s="9" t="n"/>
      <c r="E797" s="9" t="n"/>
      <c r="F797" s="9" t="n"/>
      <c r="G797" s="9" t="n"/>
    </row>
    <row r="798" ht="14.25" customHeight="1" s="91">
      <c r="A798" s="6" t="n"/>
      <c r="B798" s="9" t="n"/>
      <c r="D798" s="9" t="n"/>
      <c r="E798" s="9" t="n"/>
      <c r="F798" s="9" t="n"/>
      <c r="G798" s="9" t="n"/>
    </row>
    <row r="799" ht="14.25" customHeight="1" s="91">
      <c r="A799" s="6" t="n"/>
      <c r="B799" s="9" t="n"/>
      <c r="D799" s="9" t="n"/>
      <c r="E799" s="9" t="n"/>
      <c r="F799" s="9" t="n"/>
      <c r="G799" s="9" t="n"/>
    </row>
    <row r="800" ht="14.25" customHeight="1" s="91">
      <c r="A800" s="6" t="n"/>
      <c r="B800" s="9" t="n"/>
      <c r="D800" s="9" t="n"/>
      <c r="E800" s="9" t="n"/>
      <c r="F800" s="9" t="n"/>
      <c r="G800" s="9" t="n"/>
    </row>
    <row r="801" ht="14.25" customHeight="1" s="91">
      <c r="A801" s="6" t="n"/>
      <c r="B801" s="9" t="n"/>
      <c r="D801" s="9" t="n"/>
      <c r="E801" s="9" t="n"/>
      <c r="F801" s="9" t="n"/>
      <c r="G801" s="9" t="n"/>
    </row>
    <row r="802" ht="14.25" customHeight="1" s="91">
      <c r="A802" s="6" t="n"/>
      <c r="B802" s="9" t="n"/>
      <c r="D802" s="9" t="n"/>
      <c r="E802" s="9" t="n"/>
      <c r="F802" s="9" t="n"/>
      <c r="G802" s="9" t="n"/>
    </row>
    <row r="803" ht="14.25" customHeight="1" s="91">
      <c r="A803" s="6" t="n"/>
      <c r="B803" s="9" t="n"/>
      <c r="D803" s="9" t="n"/>
      <c r="E803" s="9" t="n"/>
      <c r="F803" s="9" t="n"/>
      <c r="G803" s="9" t="n"/>
    </row>
    <row r="804" ht="14.25" customHeight="1" s="91">
      <c r="A804" s="6" t="n"/>
      <c r="B804" s="9" t="n"/>
      <c r="D804" s="9" t="n"/>
      <c r="E804" s="9" t="n"/>
      <c r="F804" s="9" t="n"/>
      <c r="G804" s="9" t="n"/>
    </row>
    <row r="805" ht="14.25" customHeight="1" s="91">
      <c r="A805" s="6" t="n"/>
      <c r="B805" s="9" t="n"/>
      <c r="D805" s="9" t="n"/>
      <c r="E805" s="9" t="n"/>
      <c r="F805" s="9" t="n"/>
      <c r="G805" s="9" t="n"/>
    </row>
    <row r="806" ht="14.25" customHeight="1" s="91">
      <c r="A806" s="6" t="n"/>
      <c r="B806" s="9" t="n"/>
      <c r="D806" s="9" t="n"/>
      <c r="E806" s="9" t="n"/>
      <c r="F806" s="9" t="n"/>
      <c r="G806" s="9" t="n"/>
    </row>
    <row r="807" ht="14.25" customHeight="1" s="91">
      <c r="A807" s="6" t="n"/>
      <c r="B807" s="9" t="n"/>
      <c r="D807" s="9" t="n"/>
      <c r="E807" s="9" t="n"/>
      <c r="F807" s="9" t="n"/>
      <c r="G807" s="9" t="n"/>
    </row>
    <row r="808" ht="14.25" customHeight="1" s="91">
      <c r="A808" s="6" t="n"/>
      <c r="B808" s="9" t="n"/>
      <c r="D808" s="9" t="n"/>
      <c r="E808" s="9" t="n"/>
      <c r="F808" s="9" t="n"/>
      <c r="G808" s="9" t="n"/>
    </row>
    <row r="809" ht="14.25" customHeight="1" s="91">
      <c r="A809" s="6" t="n"/>
      <c r="B809" s="9" t="n"/>
      <c r="D809" s="9" t="n"/>
      <c r="E809" s="9" t="n"/>
      <c r="F809" s="9" t="n"/>
      <c r="G809" s="9" t="n"/>
    </row>
    <row r="810" ht="14.25" customHeight="1" s="91">
      <c r="A810" s="6" t="n"/>
      <c r="B810" s="9" t="n"/>
      <c r="D810" s="9" t="n"/>
      <c r="E810" s="9" t="n"/>
      <c r="F810" s="9" t="n"/>
      <c r="G810" s="9" t="n"/>
    </row>
    <row r="811" ht="14.25" customHeight="1" s="91">
      <c r="A811" s="6" t="n"/>
      <c r="B811" s="9" t="n"/>
      <c r="D811" s="9" t="n"/>
      <c r="E811" s="9" t="n"/>
      <c r="F811" s="9" t="n"/>
      <c r="G811" s="9" t="n"/>
    </row>
    <row r="812" ht="14.25" customHeight="1" s="91">
      <c r="A812" s="6" t="n"/>
      <c r="B812" s="9" t="n"/>
      <c r="D812" s="9" t="n"/>
      <c r="E812" s="9" t="n"/>
      <c r="F812" s="9" t="n"/>
      <c r="G812" s="9" t="n"/>
    </row>
    <row r="813" ht="14.25" customHeight="1" s="91">
      <c r="A813" s="6" t="n"/>
      <c r="B813" s="9" t="n"/>
      <c r="D813" s="9" t="n"/>
      <c r="E813" s="9" t="n"/>
      <c r="F813" s="9" t="n"/>
      <c r="G813" s="9" t="n"/>
    </row>
    <row r="814" ht="14.25" customHeight="1" s="91">
      <c r="A814" s="6" t="n"/>
      <c r="B814" s="9" t="n"/>
      <c r="D814" s="9" t="n"/>
      <c r="E814" s="9" t="n"/>
      <c r="F814" s="9" t="n"/>
      <c r="G814" s="9" t="n"/>
    </row>
    <row r="815" ht="14.25" customHeight="1" s="91">
      <c r="A815" s="6" t="n"/>
      <c r="B815" s="9" t="n"/>
      <c r="D815" s="9" t="n"/>
      <c r="E815" s="9" t="n"/>
      <c r="F815" s="9" t="n"/>
      <c r="G815" s="9" t="n"/>
    </row>
    <row r="816" ht="14.25" customHeight="1" s="91">
      <c r="A816" s="6" t="n"/>
      <c r="B816" s="9" t="n"/>
      <c r="D816" s="9" t="n"/>
      <c r="E816" s="9" t="n"/>
      <c r="F816" s="9" t="n"/>
      <c r="G816" s="9" t="n"/>
    </row>
    <row r="817" ht="14.25" customHeight="1" s="91">
      <c r="A817" s="6" t="n"/>
      <c r="B817" s="9" t="n"/>
      <c r="D817" s="9" t="n"/>
      <c r="E817" s="9" t="n"/>
      <c r="F817" s="9" t="n"/>
      <c r="G817" s="9" t="n"/>
    </row>
    <row r="818" ht="14.25" customHeight="1" s="91">
      <c r="A818" s="6" t="n"/>
      <c r="B818" s="9" t="n"/>
      <c r="D818" s="9" t="n"/>
      <c r="E818" s="9" t="n"/>
      <c r="F818" s="9" t="n"/>
      <c r="G818" s="9" t="n"/>
    </row>
    <row r="819" ht="14.25" customHeight="1" s="91">
      <c r="A819" s="6" t="n"/>
      <c r="B819" s="9" t="n"/>
      <c r="D819" s="9" t="n"/>
      <c r="E819" s="9" t="n"/>
      <c r="F819" s="9" t="n"/>
      <c r="G819" s="9" t="n"/>
    </row>
    <row r="820" ht="14.25" customHeight="1" s="91">
      <c r="A820" s="6" t="n"/>
      <c r="B820" s="9" t="n"/>
      <c r="D820" s="9" t="n"/>
      <c r="E820" s="9" t="n"/>
      <c r="F820" s="9" t="n"/>
      <c r="G820" s="9" t="n"/>
    </row>
    <row r="821" ht="14.25" customHeight="1" s="91">
      <c r="A821" s="6" t="n"/>
      <c r="B821" s="9" t="n"/>
      <c r="D821" s="9" t="n"/>
      <c r="E821" s="9" t="n"/>
      <c r="F821" s="9" t="n"/>
      <c r="G821" s="9" t="n"/>
    </row>
    <row r="822" ht="14.25" customHeight="1" s="91">
      <c r="A822" s="6" t="n"/>
      <c r="B822" s="9" t="n"/>
      <c r="D822" s="9" t="n"/>
      <c r="E822" s="9" t="n"/>
      <c r="F822" s="9" t="n"/>
      <c r="G822" s="9" t="n"/>
    </row>
    <row r="823" ht="14.25" customHeight="1" s="91">
      <c r="A823" s="6" t="n"/>
      <c r="B823" s="9" t="n"/>
      <c r="D823" s="9" t="n"/>
      <c r="E823" s="9" t="n"/>
      <c r="F823" s="9" t="n"/>
      <c r="G823" s="9" t="n"/>
    </row>
    <row r="824" ht="14.25" customHeight="1" s="91">
      <c r="A824" s="6" t="n"/>
      <c r="B824" s="9" t="n"/>
      <c r="D824" s="9" t="n"/>
      <c r="E824" s="9" t="n"/>
      <c r="F824" s="9" t="n"/>
      <c r="G824" s="9" t="n"/>
    </row>
    <row r="825" ht="14.25" customHeight="1" s="91">
      <c r="A825" s="6" t="n"/>
      <c r="B825" s="9" t="n"/>
      <c r="D825" s="9" t="n"/>
      <c r="E825" s="9" t="n"/>
      <c r="F825" s="9" t="n"/>
      <c r="G825" s="9" t="n"/>
    </row>
    <row r="826" ht="14.25" customHeight="1" s="91">
      <c r="A826" s="6" t="n"/>
      <c r="B826" s="9" t="n"/>
      <c r="D826" s="9" t="n"/>
      <c r="E826" s="9" t="n"/>
      <c r="F826" s="9" t="n"/>
      <c r="G826" s="9" t="n"/>
    </row>
    <row r="827" ht="14.25" customHeight="1" s="91">
      <c r="A827" s="6" t="n"/>
      <c r="B827" s="9" t="n"/>
      <c r="D827" s="9" t="n"/>
      <c r="E827" s="9" t="n"/>
      <c r="F827" s="9" t="n"/>
      <c r="G827" s="9" t="n"/>
    </row>
    <row r="828" ht="14.25" customHeight="1" s="91">
      <c r="A828" s="6" t="n"/>
      <c r="B828" s="9" t="n"/>
      <c r="D828" s="9" t="n"/>
      <c r="E828" s="9" t="n"/>
      <c r="F828" s="9" t="n"/>
      <c r="G828" s="9" t="n"/>
    </row>
    <row r="829" ht="14.25" customHeight="1" s="91">
      <c r="A829" s="6" t="n"/>
      <c r="B829" s="9" t="n"/>
      <c r="D829" s="9" t="n"/>
      <c r="E829" s="9" t="n"/>
      <c r="F829" s="9" t="n"/>
      <c r="G829" s="9" t="n"/>
    </row>
    <row r="830" ht="14.25" customHeight="1" s="91">
      <c r="A830" s="6" t="n"/>
      <c r="B830" s="9" t="n"/>
      <c r="D830" s="9" t="n"/>
      <c r="E830" s="9" t="n"/>
      <c r="F830" s="9" t="n"/>
      <c r="G830" s="9" t="n"/>
    </row>
    <row r="831" ht="14.25" customHeight="1" s="91">
      <c r="A831" s="6" t="n"/>
      <c r="B831" s="9" t="n"/>
      <c r="D831" s="9" t="n"/>
      <c r="E831" s="9" t="n"/>
      <c r="F831" s="9" t="n"/>
      <c r="G831" s="9" t="n"/>
    </row>
    <row r="832" ht="14.25" customHeight="1" s="91">
      <c r="A832" s="6" t="n"/>
      <c r="B832" s="9" t="n"/>
      <c r="D832" s="9" t="n"/>
      <c r="E832" s="9" t="n"/>
      <c r="F832" s="9" t="n"/>
      <c r="G832" s="9" t="n"/>
    </row>
    <row r="833" ht="14.25" customHeight="1" s="91">
      <c r="A833" s="6" t="n"/>
      <c r="B833" s="9" t="n"/>
      <c r="D833" s="9" t="n"/>
      <c r="E833" s="9" t="n"/>
      <c r="F833" s="9" t="n"/>
      <c r="G833" s="9" t="n"/>
    </row>
    <row r="834" ht="14.25" customHeight="1" s="91">
      <c r="A834" s="6" t="n"/>
      <c r="B834" s="9" t="n"/>
      <c r="D834" s="9" t="n"/>
      <c r="E834" s="9" t="n"/>
      <c r="F834" s="9" t="n"/>
      <c r="G834" s="9" t="n"/>
    </row>
    <row r="835" ht="14.25" customHeight="1" s="91">
      <c r="A835" s="6" t="n"/>
      <c r="B835" s="9" t="n"/>
      <c r="D835" s="9" t="n"/>
      <c r="E835" s="9" t="n"/>
      <c r="F835" s="9" t="n"/>
      <c r="G835" s="9" t="n"/>
    </row>
    <row r="836" ht="14.25" customHeight="1" s="91">
      <c r="A836" s="6" t="n"/>
      <c r="B836" s="9" t="n"/>
      <c r="D836" s="9" t="n"/>
      <c r="E836" s="9" t="n"/>
      <c r="F836" s="9" t="n"/>
      <c r="G836" s="9" t="n"/>
    </row>
    <row r="837" ht="14.25" customHeight="1" s="91">
      <c r="A837" s="6" t="n"/>
      <c r="B837" s="9" t="n"/>
      <c r="D837" s="9" t="n"/>
      <c r="E837" s="9" t="n"/>
      <c r="F837" s="9" t="n"/>
      <c r="G837" s="9" t="n"/>
    </row>
    <row r="838" ht="14.25" customHeight="1" s="91">
      <c r="A838" s="6" t="n"/>
      <c r="B838" s="9" t="n"/>
      <c r="D838" s="9" t="n"/>
      <c r="E838" s="9" t="n"/>
      <c r="F838" s="9" t="n"/>
      <c r="G838" s="9" t="n"/>
    </row>
    <row r="839" ht="14.25" customHeight="1" s="91">
      <c r="A839" s="6" t="n"/>
      <c r="B839" s="9" t="n"/>
      <c r="D839" s="9" t="n"/>
      <c r="E839" s="9" t="n"/>
      <c r="F839" s="9" t="n"/>
      <c r="G839" s="9" t="n"/>
    </row>
    <row r="840" ht="14.25" customHeight="1" s="91">
      <c r="A840" s="6" t="n"/>
      <c r="B840" s="9" t="n"/>
      <c r="D840" s="9" t="n"/>
      <c r="E840" s="9" t="n"/>
      <c r="F840" s="9" t="n"/>
      <c r="G840" s="9" t="n"/>
    </row>
    <row r="841" ht="14.25" customHeight="1" s="91">
      <c r="A841" s="6" t="n"/>
      <c r="B841" s="9" t="n"/>
      <c r="D841" s="9" t="n"/>
      <c r="E841" s="9" t="n"/>
      <c r="F841" s="9" t="n"/>
      <c r="G841" s="9" t="n"/>
    </row>
    <row r="842" ht="14.25" customHeight="1" s="91">
      <c r="A842" s="6" t="n"/>
      <c r="B842" s="9" t="n"/>
      <c r="D842" s="9" t="n"/>
      <c r="E842" s="9" t="n"/>
      <c r="F842" s="9" t="n"/>
      <c r="G842" s="9" t="n"/>
    </row>
    <row r="843" ht="14.25" customHeight="1" s="91">
      <c r="A843" s="6" t="n"/>
      <c r="B843" s="9" t="n"/>
      <c r="D843" s="9" t="n"/>
      <c r="E843" s="9" t="n"/>
      <c r="F843" s="9" t="n"/>
      <c r="G843" s="9" t="n"/>
    </row>
    <row r="844" ht="14.25" customHeight="1" s="91">
      <c r="A844" s="6" t="n"/>
      <c r="B844" s="9" t="n"/>
      <c r="D844" s="9" t="n"/>
      <c r="E844" s="9" t="n"/>
      <c r="F844" s="9" t="n"/>
      <c r="G844" s="9" t="n"/>
    </row>
    <row r="845" ht="14.25" customHeight="1" s="91">
      <c r="A845" s="6" t="n"/>
      <c r="B845" s="9" t="n"/>
      <c r="D845" s="9" t="n"/>
      <c r="E845" s="9" t="n"/>
      <c r="F845" s="9" t="n"/>
      <c r="G845" s="9" t="n"/>
    </row>
    <row r="846" ht="14.25" customHeight="1" s="91">
      <c r="A846" s="6" t="n"/>
      <c r="B846" s="9" t="n"/>
      <c r="D846" s="9" t="n"/>
      <c r="E846" s="9" t="n"/>
      <c r="F846" s="9" t="n"/>
      <c r="G846" s="9" t="n"/>
    </row>
    <row r="847" ht="14.25" customHeight="1" s="91">
      <c r="A847" s="6" t="n"/>
      <c r="B847" s="9" t="n"/>
      <c r="D847" s="9" t="n"/>
      <c r="E847" s="9" t="n"/>
      <c r="F847" s="9" t="n"/>
      <c r="G847" s="9" t="n"/>
    </row>
    <row r="848" ht="14.25" customHeight="1" s="91">
      <c r="A848" s="6" t="n"/>
      <c r="B848" s="9" t="n"/>
      <c r="D848" s="9" t="n"/>
      <c r="E848" s="9" t="n"/>
      <c r="F848" s="9" t="n"/>
      <c r="G848" s="9" t="n"/>
    </row>
    <row r="849" ht="14.25" customHeight="1" s="91">
      <c r="A849" s="6" t="n"/>
      <c r="B849" s="9" t="n"/>
      <c r="D849" s="9" t="n"/>
      <c r="E849" s="9" t="n"/>
      <c r="F849" s="9" t="n"/>
      <c r="G849" s="9" t="n"/>
    </row>
    <row r="850" ht="14.25" customHeight="1" s="91">
      <c r="A850" s="6" t="n"/>
      <c r="B850" s="9" t="n"/>
      <c r="D850" s="9" t="n"/>
      <c r="E850" s="9" t="n"/>
      <c r="F850" s="9" t="n"/>
      <c r="G850" s="9" t="n"/>
    </row>
    <row r="851" ht="14.25" customHeight="1" s="91">
      <c r="A851" s="6" t="n"/>
      <c r="B851" s="9" t="n"/>
      <c r="D851" s="9" t="n"/>
      <c r="E851" s="9" t="n"/>
      <c r="F851" s="9" t="n"/>
      <c r="G851" s="9" t="n"/>
    </row>
    <row r="852" ht="14.25" customHeight="1" s="91">
      <c r="A852" s="6" t="n"/>
      <c r="B852" s="9" t="n"/>
      <c r="D852" s="9" t="n"/>
      <c r="E852" s="9" t="n"/>
      <c r="F852" s="9" t="n"/>
      <c r="G852" s="9" t="n"/>
    </row>
    <row r="853" ht="14.25" customHeight="1" s="91">
      <c r="A853" s="6" t="n"/>
      <c r="B853" s="9" t="n"/>
      <c r="D853" s="9" t="n"/>
      <c r="E853" s="9" t="n"/>
      <c r="F853" s="9" t="n"/>
      <c r="G853" s="9" t="n"/>
    </row>
    <row r="854" ht="14.25" customHeight="1" s="91">
      <c r="A854" s="6" t="n"/>
      <c r="B854" s="9" t="n"/>
      <c r="D854" s="9" t="n"/>
      <c r="E854" s="9" t="n"/>
      <c r="F854" s="9" t="n"/>
      <c r="G854" s="9" t="n"/>
    </row>
    <row r="855" ht="14.25" customHeight="1" s="91">
      <c r="A855" s="6" t="n"/>
      <c r="B855" s="9" t="n"/>
      <c r="D855" s="9" t="n"/>
      <c r="E855" s="9" t="n"/>
      <c r="F855" s="9" t="n"/>
      <c r="G855" s="9" t="n"/>
    </row>
    <row r="856" ht="14.25" customHeight="1" s="91">
      <c r="A856" s="6" t="n"/>
      <c r="B856" s="9" t="n"/>
      <c r="D856" s="9" t="n"/>
      <c r="E856" s="9" t="n"/>
      <c r="F856" s="9" t="n"/>
      <c r="G856" s="9" t="n"/>
    </row>
    <row r="857" ht="14.25" customHeight="1" s="91">
      <c r="A857" s="6" t="n"/>
      <c r="B857" s="9" t="n"/>
      <c r="D857" s="9" t="n"/>
      <c r="E857" s="9" t="n"/>
      <c r="F857" s="9" t="n"/>
      <c r="G857" s="9" t="n"/>
    </row>
    <row r="858" ht="14.25" customHeight="1" s="91">
      <c r="A858" s="6" t="n"/>
      <c r="B858" s="9" t="n"/>
      <c r="D858" s="9" t="n"/>
      <c r="E858" s="9" t="n"/>
      <c r="F858" s="9" t="n"/>
      <c r="G858" s="9" t="n"/>
    </row>
    <row r="859" ht="14.25" customHeight="1" s="91">
      <c r="A859" s="6" t="n"/>
      <c r="B859" s="9" t="n"/>
      <c r="D859" s="9" t="n"/>
      <c r="E859" s="9" t="n"/>
      <c r="F859" s="9" t="n"/>
      <c r="G859" s="9" t="n"/>
    </row>
    <row r="860" ht="14.25" customHeight="1" s="91">
      <c r="A860" s="6" t="n"/>
      <c r="B860" s="9" t="n"/>
      <c r="D860" s="9" t="n"/>
      <c r="E860" s="9" t="n"/>
      <c r="F860" s="9" t="n"/>
      <c r="G860" s="9" t="n"/>
    </row>
    <row r="861" ht="14.25" customHeight="1" s="91">
      <c r="A861" s="6" t="n"/>
      <c r="B861" s="9" t="n"/>
      <c r="D861" s="9" t="n"/>
      <c r="E861" s="9" t="n"/>
      <c r="F861" s="9" t="n"/>
      <c r="G861" s="9" t="n"/>
    </row>
    <row r="862" ht="14.25" customHeight="1" s="91">
      <c r="A862" s="6" t="n"/>
      <c r="B862" s="9" t="n"/>
      <c r="D862" s="9" t="n"/>
      <c r="E862" s="9" t="n"/>
      <c r="F862" s="9" t="n"/>
      <c r="G862" s="9" t="n"/>
    </row>
    <row r="863" ht="14.25" customHeight="1" s="91">
      <c r="A863" s="6" t="n"/>
      <c r="B863" s="9" t="n"/>
      <c r="D863" s="9" t="n"/>
      <c r="E863" s="9" t="n"/>
      <c r="F863" s="9" t="n"/>
      <c r="G863" s="9" t="n"/>
    </row>
    <row r="864" ht="14.25" customHeight="1" s="91">
      <c r="A864" s="6" t="n"/>
      <c r="B864" s="9" t="n"/>
      <c r="D864" s="9" t="n"/>
      <c r="E864" s="9" t="n"/>
      <c r="F864" s="9" t="n"/>
      <c r="G864" s="9" t="n"/>
    </row>
    <row r="865" ht="14.25" customHeight="1" s="91">
      <c r="A865" s="6" t="n"/>
      <c r="B865" s="9" t="n"/>
      <c r="D865" s="9" t="n"/>
      <c r="E865" s="9" t="n"/>
      <c r="F865" s="9" t="n"/>
      <c r="G865" s="9" t="n"/>
    </row>
    <row r="866" ht="14.25" customHeight="1" s="91">
      <c r="A866" s="6" t="n"/>
      <c r="B866" s="9" t="n"/>
      <c r="D866" s="9" t="n"/>
      <c r="E866" s="9" t="n"/>
      <c r="F866" s="9" t="n"/>
      <c r="G866" s="9" t="n"/>
    </row>
    <row r="867" ht="14.25" customHeight="1" s="91">
      <c r="A867" s="6" t="n"/>
      <c r="B867" s="9" t="n"/>
      <c r="D867" s="9" t="n"/>
      <c r="E867" s="9" t="n"/>
      <c r="F867" s="9" t="n"/>
      <c r="G867" s="9" t="n"/>
    </row>
    <row r="868" ht="14.25" customHeight="1" s="91">
      <c r="A868" s="6" t="n"/>
      <c r="B868" s="9" t="n"/>
      <c r="D868" s="9" t="n"/>
      <c r="E868" s="9" t="n"/>
      <c r="F868" s="9" t="n"/>
      <c r="G868" s="9" t="n"/>
    </row>
    <row r="869" ht="14.25" customHeight="1" s="91">
      <c r="A869" s="6" t="n"/>
      <c r="B869" s="9" t="n"/>
      <c r="D869" s="9" t="n"/>
      <c r="E869" s="9" t="n"/>
      <c r="F869" s="9" t="n"/>
      <c r="G869" s="9" t="n"/>
    </row>
    <row r="870" ht="14.25" customHeight="1" s="91">
      <c r="A870" s="6" t="n"/>
      <c r="B870" s="9" t="n"/>
      <c r="D870" s="9" t="n"/>
      <c r="E870" s="9" t="n"/>
      <c r="F870" s="9" t="n"/>
      <c r="G870" s="9" t="n"/>
    </row>
    <row r="871" ht="14.25" customHeight="1" s="91">
      <c r="A871" s="6" t="n"/>
      <c r="B871" s="9" t="n"/>
      <c r="D871" s="9" t="n"/>
      <c r="E871" s="9" t="n"/>
      <c r="F871" s="9" t="n"/>
      <c r="G871" s="9" t="n"/>
    </row>
    <row r="872" ht="14.25" customHeight="1" s="91">
      <c r="A872" s="6" t="n"/>
      <c r="B872" s="9" t="n"/>
      <c r="D872" s="9" t="n"/>
      <c r="E872" s="9" t="n"/>
      <c r="F872" s="9" t="n"/>
      <c r="G872" s="9" t="n"/>
    </row>
    <row r="873" ht="14.25" customHeight="1" s="91">
      <c r="A873" s="6" t="n"/>
      <c r="B873" s="9" t="n"/>
      <c r="D873" s="9" t="n"/>
      <c r="E873" s="9" t="n"/>
      <c r="F873" s="9" t="n"/>
      <c r="G873" s="9" t="n"/>
    </row>
    <row r="874" ht="14.25" customHeight="1" s="91">
      <c r="A874" s="6" t="n"/>
      <c r="B874" s="9" t="n"/>
      <c r="D874" s="9" t="n"/>
      <c r="E874" s="9" t="n"/>
      <c r="F874" s="9" t="n"/>
      <c r="G874" s="9" t="n"/>
    </row>
    <row r="875" ht="14.25" customHeight="1" s="91">
      <c r="A875" s="6" t="n"/>
      <c r="B875" s="9" t="n"/>
      <c r="D875" s="9" t="n"/>
      <c r="E875" s="9" t="n"/>
      <c r="F875" s="9" t="n"/>
      <c r="G875" s="9" t="n"/>
    </row>
    <row r="876" ht="14.25" customHeight="1" s="91">
      <c r="A876" s="6" t="n"/>
      <c r="B876" s="9" t="n"/>
      <c r="D876" s="9" t="n"/>
      <c r="E876" s="9" t="n"/>
      <c r="F876" s="9" t="n"/>
      <c r="G876" s="9" t="n"/>
    </row>
    <row r="877" ht="14.25" customHeight="1" s="91">
      <c r="A877" s="6" t="n"/>
      <c r="B877" s="9" t="n"/>
      <c r="D877" s="9" t="n"/>
      <c r="E877" s="9" t="n"/>
      <c r="F877" s="9" t="n"/>
      <c r="G877" s="9" t="n"/>
    </row>
    <row r="878" ht="14.25" customHeight="1" s="91">
      <c r="A878" s="6" t="n"/>
      <c r="B878" s="9" t="n"/>
      <c r="D878" s="9" t="n"/>
      <c r="E878" s="9" t="n"/>
      <c r="F878" s="9" t="n"/>
      <c r="G878" s="9" t="n"/>
    </row>
    <row r="879" ht="14.25" customHeight="1" s="91">
      <c r="A879" s="6" t="n"/>
      <c r="B879" s="9" t="n"/>
      <c r="D879" s="9" t="n"/>
      <c r="E879" s="9" t="n"/>
      <c r="F879" s="9" t="n"/>
      <c r="G879" s="9" t="n"/>
    </row>
    <row r="880" ht="14.25" customHeight="1" s="91">
      <c r="A880" s="6" t="n"/>
      <c r="B880" s="9" t="n"/>
      <c r="D880" s="9" t="n"/>
      <c r="E880" s="9" t="n"/>
      <c r="F880" s="9" t="n"/>
      <c r="G880" s="9" t="n"/>
    </row>
    <row r="881" ht="14.25" customHeight="1" s="91">
      <c r="A881" s="6" t="n"/>
      <c r="B881" s="9" t="n"/>
      <c r="D881" s="9" t="n"/>
      <c r="E881" s="9" t="n"/>
      <c r="F881" s="9" t="n"/>
      <c r="G881" s="9" t="n"/>
    </row>
    <row r="882" ht="14.25" customHeight="1" s="91">
      <c r="A882" s="6" t="n"/>
      <c r="B882" s="9" t="n"/>
      <c r="D882" s="9" t="n"/>
      <c r="E882" s="9" t="n"/>
      <c r="F882" s="9" t="n"/>
      <c r="G882" s="9" t="n"/>
    </row>
    <row r="883" ht="14.25" customHeight="1" s="91">
      <c r="A883" s="6" t="n"/>
      <c r="B883" s="9" t="n"/>
      <c r="D883" s="9" t="n"/>
      <c r="E883" s="9" t="n"/>
      <c r="F883" s="9" t="n"/>
      <c r="G883" s="9" t="n"/>
    </row>
    <row r="884" ht="14.25" customHeight="1" s="91">
      <c r="A884" s="6" t="n"/>
      <c r="B884" s="9" t="n"/>
      <c r="D884" s="9" t="n"/>
      <c r="E884" s="9" t="n"/>
      <c r="F884" s="9" t="n"/>
      <c r="G884" s="9" t="n"/>
    </row>
    <row r="885" ht="14.25" customHeight="1" s="91">
      <c r="A885" s="6" t="n"/>
      <c r="B885" s="9" t="n"/>
      <c r="D885" s="9" t="n"/>
      <c r="E885" s="9" t="n"/>
      <c r="F885" s="9" t="n"/>
      <c r="G885" s="9" t="n"/>
    </row>
    <row r="886" ht="14.25" customHeight="1" s="91">
      <c r="A886" s="6" t="n"/>
      <c r="B886" s="9" t="n"/>
      <c r="D886" s="9" t="n"/>
      <c r="E886" s="9" t="n"/>
      <c r="F886" s="9" t="n"/>
      <c r="G886" s="9" t="n"/>
    </row>
    <row r="887" ht="14.25" customHeight="1" s="91">
      <c r="A887" s="6" t="n"/>
      <c r="B887" s="9" t="n"/>
      <c r="D887" s="9" t="n"/>
      <c r="E887" s="9" t="n"/>
      <c r="F887" s="9" t="n"/>
      <c r="G887" s="9" t="n"/>
    </row>
    <row r="888" ht="14.25" customHeight="1" s="91">
      <c r="A888" s="6" t="n"/>
      <c r="B888" s="9" t="n"/>
      <c r="D888" s="9" t="n"/>
      <c r="E888" s="9" t="n"/>
      <c r="F888" s="9" t="n"/>
      <c r="G888" s="9" t="n"/>
    </row>
    <row r="889" ht="14.25" customHeight="1" s="91">
      <c r="A889" s="6" t="n"/>
      <c r="B889" s="9" t="n"/>
      <c r="D889" s="9" t="n"/>
      <c r="E889" s="9" t="n"/>
      <c r="F889" s="9" t="n"/>
      <c r="G889" s="9" t="n"/>
    </row>
    <row r="890" ht="14.25" customHeight="1" s="91">
      <c r="A890" s="6" t="n"/>
      <c r="B890" s="9" t="n"/>
      <c r="D890" s="9" t="n"/>
      <c r="E890" s="9" t="n"/>
      <c r="F890" s="9" t="n"/>
      <c r="G890" s="9" t="n"/>
    </row>
    <row r="891" ht="14.25" customHeight="1" s="91">
      <c r="A891" s="6" t="n"/>
      <c r="B891" s="9" t="n"/>
      <c r="D891" s="9" t="n"/>
      <c r="E891" s="9" t="n"/>
      <c r="F891" s="9" t="n"/>
      <c r="G891" s="9" t="n"/>
    </row>
    <row r="892" ht="14.25" customHeight="1" s="91">
      <c r="A892" s="6" t="n"/>
      <c r="B892" s="9" t="n"/>
      <c r="D892" s="9" t="n"/>
      <c r="E892" s="9" t="n"/>
      <c r="F892" s="9" t="n"/>
      <c r="G892" s="9" t="n"/>
    </row>
    <row r="893" ht="14.25" customHeight="1" s="91">
      <c r="A893" s="6" t="n"/>
      <c r="B893" s="9" t="n"/>
      <c r="D893" s="9" t="n"/>
      <c r="E893" s="9" t="n"/>
      <c r="F893" s="9" t="n"/>
      <c r="G893" s="9" t="n"/>
    </row>
    <row r="894" ht="14.25" customHeight="1" s="91">
      <c r="A894" s="6" t="n"/>
      <c r="B894" s="9" t="n"/>
      <c r="D894" s="9" t="n"/>
      <c r="E894" s="9" t="n"/>
      <c r="F894" s="9" t="n"/>
      <c r="G894" s="9" t="n"/>
    </row>
    <row r="895" ht="14.25" customHeight="1" s="91">
      <c r="A895" s="6" t="n"/>
      <c r="B895" s="9" t="n"/>
      <c r="D895" s="9" t="n"/>
      <c r="E895" s="9" t="n"/>
      <c r="F895" s="9" t="n"/>
      <c r="G895" s="9" t="n"/>
    </row>
    <row r="896" ht="14.25" customHeight="1" s="91">
      <c r="A896" s="6" t="n"/>
      <c r="B896" s="9" t="n"/>
      <c r="D896" s="9" t="n"/>
      <c r="E896" s="9" t="n"/>
      <c r="F896" s="9" t="n"/>
      <c r="G896" s="9" t="n"/>
    </row>
    <row r="897" ht="14.25" customHeight="1" s="91">
      <c r="A897" s="6" t="n"/>
      <c r="B897" s="9" t="n"/>
      <c r="D897" s="9" t="n"/>
      <c r="E897" s="9" t="n"/>
      <c r="F897" s="9" t="n"/>
      <c r="G897" s="9" t="n"/>
    </row>
    <row r="898" ht="14.25" customHeight="1" s="91">
      <c r="A898" s="6" t="n"/>
      <c r="B898" s="9" t="n"/>
      <c r="D898" s="9" t="n"/>
      <c r="E898" s="9" t="n"/>
      <c r="F898" s="9" t="n"/>
      <c r="G898" s="9" t="n"/>
    </row>
    <row r="899" ht="14.25" customHeight="1" s="91">
      <c r="A899" s="6" t="n"/>
      <c r="B899" s="9" t="n"/>
      <c r="D899" s="9" t="n"/>
      <c r="E899" s="9" t="n"/>
      <c r="F899" s="9" t="n"/>
      <c r="G899" s="9" t="n"/>
    </row>
    <row r="900" ht="14.25" customHeight="1" s="91">
      <c r="A900" s="6" t="n"/>
      <c r="B900" s="9" t="n"/>
      <c r="D900" s="9" t="n"/>
      <c r="E900" s="9" t="n"/>
      <c r="F900" s="9" t="n"/>
      <c r="G900" s="9" t="n"/>
    </row>
    <row r="901" ht="14.25" customHeight="1" s="91">
      <c r="A901" s="6" t="n"/>
      <c r="B901" s="9" t="n"/>
      <c r="D901" s="9" t="n"/>
      <c r="E901" s="9" t="n"/>
      <c r="F901" s="9" t="n"/>
      <c r="G901" s="9" t="n"/>
    </row>
    <row r="902" ht="14.25" customHeight="1" s="91">
      <c r="A902" s="6" t="n"/>
      <c r="B902" s="9" t="n"/>
      <c r="D902" s="9" t="n"/>
      <c r="E902" s="9" t="n"/>
      <c r="F902" s="9" t="n"/>
      <c r="G902" s="9" t="n"/>
    </row>
    <row r="903" ht="14.25" customHeight="1" s="91">
      <c r="A903" s="6" t="n"/>
      <c r="B903" s="9" t="n"/>
      <c r="D903" s="9" t="n"/>
      <c r="E903" s="9" t="n"/>
      <c r="F903" s="9" t="n"/>
      <c r="G903" s="9" t="n"/>
    </row>
    <row r="904" ht="14.25" customHeight="1" s="91">
      <c r="A904" s="6" t="n"/>
      <c r="B904" s="9" t="n"/>
      <c r="D904" s="9" t="n"/>
      <c r="E904" s="9" t="n"/>
      <c r="F904" s="9" t="n"/>
      <c r="G904" s="9" t="n"/>
    </row>
    <row r="905" ht="14.25" customHeight="1" s="91">
      <c r="A905" s="6" t="n"/>
      <c r="B905" s="9" t="n"/>
      <c r="D905" s="9" t="n"/>
      <c r="E905" s="9" t="n"/>
      <c r="F905" s="9" t="n"/>
      <c r="G905" s="9" t="n"/>
    </row>
    <row r="906" ht="14.25" customHeight="1" s="91">
      <c r="A906" s="6" t="n"/>
      <c r="B906" s="9" t="n"/>
      <c r="D906" s="9" t="n"/>
      <c r="E906" s="9" t="n"/>
      <c r="F906" s="9" t="n"/>
      <c r="G906" s="9" t="n"/>
    </row>
    <row r="907" ht="14.25" customHeight="1" s="91">
      <c r="A907" s="6" t="n"/>
      <c r="B907" s="9" t="n"/>
      <c r="D907" s="9" t="n"/>
      <c r="E907" s="9" t="n"/>
      <c r="F907" s="9" t="n"/>
      <c r="G907" s="9" t="n"/>
    </row>
    <row r="908" ht="14.25" customHeight="1" s="91">
      <c r="A908" s="6" t="n"/>
      <c r="B908" s="9" t="n"/>
      <c r="D908" s="9" t="n"/>
      <c r="E908" s="9" t="n"/>
      <c r="F908" s="9" t="n"/>
      <c r="G908" s="9" t="n"/>
    </row>
    <row r="909" ht="14.25" customHeight="1" s="91">
      <c r="A909" s="6" t="n"/>
      <c r="B909" s="9" t="n"/>
      <c r="D909" s="9" t="n"/>
      <c r="E909" s="9" t="n"/>
      <c r="F909" s="9" t="n"/>
      <c r="G909" s="9" t="n"/>
    </row>
    <row r="910" ht="14.25" customHeight="1" s="91">
      <c r="A910" s="6" t="n"/>
      <c r="B910" s="9" t="n"/>
      <c r="D910" s="9" t="n"/>
      <c r="E910" s="9" t="n"/>
      <c r="F910" s="9" t="n"/>
      <c r="G910" s="9" t="n"/>
    </row>
    <row r="911" ht="14.25" customHeight="1" s="91">
      <c r="A911" s="6" t="n"/>
      <c r="B911" s="9" t="n"/>
      <c r="D911" s="9" t="n"/>
      <c r="E911" s="9" t="n"/>
      <c r="F911" s="9" t="n"/>
      <c r="G911" s="9" t="n"/>
    </row>
    <row r="912" ht="14.25" customHeight="1" s="91">
      <c r="A912" s="6" t="n"/>
      <c r="B912" s="9" t="n"/>
      <c r="D912" s="9" t="n"/>
      <c r="E912" s="9" t="n"/>
      <c r="F912" s="9" t="n"/>
      <c r="G912" s="9" t="n"/>
    </row>
    <row r="913" ht="14.25" customHeight="1" s="91">
      <c r="A913" s="6" t="n"/>
      <c r="B913" s="9" t="n"/>
      <c r="D913" s="9" t="n"/>
      <c r="E913" s="9" t="n"/>
      <c r="F913" s="9" t="n"/>
      <c r="G913" s="9" t="n"/>
    </row>
    <row r="914" ht="14.25" customHeight="1" s="91">
      <c r="A914" s="6" t="n"/>
      <c r="B914" s="9" t="n"/>
      <c r="D914" s="9" t="n"/>
      <c r="E914" s="9" t="n"/>
      <c r="F914" s="9" t="n"/>
      <c r="G914" s="9" t="n"/>
    </row>
    <row r="915" ht="14.25" customHeight="1" s="91">
      <c r="A915" s="6" t="n"/>
      <c r="B915" s="9" t="n"/>
      <c r="D915" s="9" t="n"/>
      <c r="E915" s="9" t="n"/>
      <c r="F915" s="9" t="n"/>
      <c r="G915" s="9" t="n"/>
    </row>
    <row r="916" ht="14.25" customHeight="1" s="91">
      <c r="A916" s="6" t="n"/>
      <c r="B916" s="9" t="n"/>
      <c r="D916" s="9" t="n"/>
      <c r="E916" s="9" t="n"/>
      <c r="F916" s="9" t="n"/>
      <c r="G916" s="9" t="n"/>
    </row>
    <row r="917" ht="14.25" customHeight="1" s="91">
      <c r="A917" s="6" t="n"/>
      <c r="B917" s="9" t="n"/>
      <c r="D917" s="9" t="n"/>
      <c r="E917" s="9" t="n"/>
      <c r="F917" s="9" t="n"/>
      <c r="G917" s="9" t="n"/>
    </row>
    <row r="918" ht="14.25" customHeight="1" s="91">
      <c r="A918" s="6" t="n"/>
      <c r="B918" s="9" t="n"/>
      <c r="D918" s="9" t="n"/>
      <c r="E918" s="9" t="n"/>
      <c r="F918" s="9" t="n"/>
      <c r="G918" s="9" t="n"/>
    </row>
    <row r="919" ht="14.25" customHeight="1" s="91">
      <c r="A919" s="6" t="n"/>
      <c r="B919" s="9" t="n"/>
      <c r="D919" s="9" t="n"/>
      <c r="E919" s="9" t="n"/>
      <c r="F919" s="9" t="n"/>
      <c r="G919" s="9" t="n"/>
    </row>
    <row r="920" ht="14.25" customHeight="1" s="91">
      <c r="A920" s="6" t="n"/>
      <c r="B920" s="9" t="n"/>
      <c r="D920" s="9" t="n"/>
      <c r="E920" s="9" t="n"/>
      <c r="F920" s="9" t="n"/>
      <c r="G920" s="9" t="n"/>
    </row>
    <row r="921" ht="14.25" customHeight="1" s="91">
      <c r="A921" s="6" t="n"/>
      <c r="B921" s="9" t="n"/>
      <c r="D921" s="9" t="n"/>
      <c r="E921" s="9" t="n"/>
      <c r="F921" s="9" t="n"/>
      <c r="G921" s="9" t="n"/>
    </row>
    <row r="922" ht="14.25" customHeight="1" s="91">
      <c r="A922" s="6" t="n"/>
      <c r="B922" s="9" t="n"/>
      <c r="D922" s="9" t="n"/>
      <c r="E922" s="9" t="n"/>
      <c r="F922" s="9" t="n"/>
      <c r="G922" s="9" t="n"/>
    </row>
    <row r="923" ht="14.25" customHeight="1" s="91">
      <c r="A923" s="6" t="n"/>
      <c r="B923" s="9" t="n"/>
      <c r="D923" s="9" t="n"/>
      <c r="E923" s="9" t="n"/>
      <c r="F923" s="9" t="n"/>
      <c r="G923" s="9" t="n"/>
    </row>
    <row r="924" ht="14.25" customHeight="1" s="91">
      <c r="A924" s="6" t="n"/>
      <c r="B924" s="9" t="n"/>
      <c r="D924" s="9" t="n"/>
      <c r="E924" s="9" t="n"/>
      <c r="F924" s="9" t="n"/>
      <c r="G924" s="9" t="n"/>
    </row>
    <row r="925" ht="14.25" customHeight="1" s="91">
      <c r="A925" s="6" t="n"/>
      <c r="B925" s="9" t="n"/>
      <c r="D925" s="9" t="n"/>
      <c r="E925" s="9" t="n"/>
      <c r="F925" s="9" t="n"/>
      <c r="G925" s="9" t="n"/>
    </row>
    <row r="926" ht="14.25" customHeight="1" s="91">
      <c r="A926" s="6" t="n"/>
      <c r="B926" s="9" t="n"/>
      <c r="D926" s="9" t="n"/>
      <c r="E926" s="9" t="n"/>
      <c r="F926" s="9" t="n"/>
      <c r="G926" s="9" t="n"/>
    </row>
    <row r="927" ht="14.25" customHeight="1" s="91">
      <c r="A927" s="6" t="n"/>
      <c r="B927" s="9" t="n"/>
      <c r="D927" s="9" t="n"/>
      <c r="E927" s="9" t="n"/>
      <c r="F927" s="9" t="n"/>
      <c r="G927" s="9" t="n"/>
    </row>
    <row r="928" ht="14.25" customHeight="1" s="91">
      <c r="A928" s="6" t="n"/>
      <c r="B928" s="9" t="n"/>
      <c r="D928" s="9" t="n"/>
      <c r="E928" s="9" t="n"/>
      <c r="F928" s="9" t="n"/>
      <c r="G928" s="9" t="n"/>
    </row>
    <row r="929" ht="14.25" customHeight="1" s="91">
      <c r="A929" s="6" t="n"/>
      <c r="B929" s="9" t="n"/>
      <c r="D929" s="9" t="n"/>
      <c r="E929" s="9" t="n"/>
      <c r="F929" s="9" t="n"/>
      <c r="G929" s="9" t="n"/>
    </row>
    <row r="930" ht="14.25" customHeight="1" s="91">
      <c r="A930" s="6" t="n"/>
      <c r="B930" s="9" t="n"/>
      <c r="D930" s="9" t="n"/>
      <c r="E930" s="9" t="n"/>
      <c r="F930" s="9" t="n"/>
      <c r="G930" s="9" t="n"/>
    </row>
    <row r="931" ht="14.25" customHeight="1" s="91">
      <c r="A931" s="6" t="n"/>
      <c r="B931" s="9" t="n"/>
      <c r="D931" s="9" t="n"/>
      <c r="E931" s="9" t="n"/>
      <c r="F931" s="9" t="n"/>
      <c r="G931" s="9" t="n"/>
    </row>
    <row r="932" ht="14.25" customHeight="1" s="91">
      <c r="A932" s="6" t="n"/>
      <c r="B932" s="9" t="n"/>
      <c r="D932" s="9" t="n"/>
      <c r="E932" s="9" t="n"/>
      <c r="F932" s="9" t="n"/>
      <c r="G932" s="9" t="n"/>
    </row>
    <row r="933" ht="14.25" customHeight="1" s="91">
      <c r="A933" s="6" t="n"/>
      <c r="B933" s="9" t="n"/>
      <c r="D933" s="9" t="n"/>
      <c r="E933" s="9" t="n"/>
      <c r="F933" s="9" t="n"/>
      <c r="G933" s="9" t="n"/>
    </row>
    <row r="934" ht="14.25" customHeight="1" s="91">
      <c r="A934" s="6" t="n"/>
      <c r="B934" s="9" t="n"/>
      <c r="D934" s="9" t="n"/>
      <c r="E934" s="9" t="n"/>
      <c r="F934" s="9" t="n"/>
      <c r="G934" s="9" t="n"/>
    </row>
    <row r="935" ht="14.25" customHeight="1" s="91">
      <c r="A935" s="6" t="n"/>
      <c r="B935" s="9" t="n"/>
      <c r="D935" s="9" t="n"/>
      <c r="E935" s="9" t="n"/>
      <c r="F935" s="9" t="n"/>
      <c r="G935" s="9" t="n"/>
    </row>
    <row r="936" ht="14.25" customHeight="1" s="91">
      <c r="A936" s="6" t="n"/>
      <c r="B936" s="9" t="n"/>
      <c r="D936" s="9" t="n"/>
      <c r="E936" s="9" t="n"/>
      <c r="F936" s="9" t="n"/>
      <c r="G936" s="9" t="n"/>
    </row>
    <row r="937" ht="14.25" customHeight="1" s="91">
      <c r="A937" s="6" t="n"/>
      <c r="B937" s="9" t="n"/>
      <c r="D937" s="9" t="n"/>
      <c r="E937" s="9" t="n"/>
      <c r="F937" s="9" t="n"/>
      <c r="G937" s="9" t="n"/>
    </row>
    <row r="938" ht="14.25" customHeight="1" s="91">
      <c r="A938" s="6" t="n"/>
      <c r="B938" s="9" t="n"/>
      <c r="D938" s="9" t="n"/>
      <c r="E938" s="9" t="n"/>
      <c r="F938" s="9" t="n"/>
      <c r="G938" s="9" t="n"/>
    </row>
    <row r="939" ht="14.25" customHeight="1" s="91">
      <c r="A939" s="6" t="n"/>
      <c r="B939" s="9" t="n"/>
      <c r="D939" s="9" t="n"/>
      <c r="E939" s="9" t="n"/>
      <c r="F939" s="9" t="n"/>
      <c r="G939" s="9" t="n"/>
    </row>
    <row r="940" ht="14.25" customHeight="1" s="91">
      <c r="A940" s="6" t="n"/>
      <c r="B940" s="9" t="n"/>
      <c r="D940" s="9" t="n"/>
      <c r="E940" s="9" t="n"/>
      <c r="F940" s="9" t="n"/>
      <c r="G940" s="9" t="n"/>
    </row>
    <row r="941" ht="14.25" customHeight="1" s="91">
      <c r="A941" s="6" t="n"/>
      <c r="B941" s="9" t="n"/>
      <c r="D941" s="9" t="n"/>
      <c r="E941" s="9" t="n"/>
      <c r="F941" s="9" t="n"/>
      <c r="G941" s="9" t="n"/>
    </row>
    <row r="942" ht="14.25" customHeight="1" s="91">
      <c r="A942" s="6" t="n"/>
      <c r="B942" s="9" t="n"/>
      <c r="D942" s="9" t="n"/>
      <c r="E942" s="9" t="n"/>
      <c r="F942" s="9" t="n"/>
      <c r="G942" s="9" t="n"/>
    </row>
    <row r="943" ht="14.25" customHeight="1" s="91">
      <c r="A943" s="6" t="n"/>
      <c r="B943" s="9" t="n"/>
      <c r="D943" s="9" t="n"/>
      <c r="E943" s="9" t="n"/>
      <c r="F943" s="9" t="n"/>
      <c r="G943" s="9" t="n"/>
    </row>
    <row r="944" ht="14.25" customHeight="1" s="91">
      <c r="A944" s="6" t="n"/>
      <c r="B944" s="9" t="n"/>
      <c r="D944" s="9" t="n"/>
      <c r="E944" s="9" t="n"/>
      <c r="F944" s="9" t="n"/>
      <c r="G944" s="9" t="n"/>
    </row>
    <row r="945" ht="14.25" customHeight="1" s="91">
      <c r="A945" s="6" t="n"/>
      <c r="B945" s="9" t="n"/>
      <c r="D945" s="9" t="n"/>
      <c r="E945" s="9" t="n"/>
      <c r="F945" s="9" t="n"/>
      <c r="G945" s="9" t="n"/>
    </row>
    <row r="946" ht="14.25" customHeight="1" s="91">
      <c r="A946" s="6" t="n"/>
      <c r="B946" s="9" t="n"/>
      <c r="D946" s="9" t="n"/>
      <c r="E946" s="9" t="n"/>
      <c r="F946" s="9" t="n"/>
      <c r="G946" s="9" t="n"/>
    </row>
    <row r="947" ht="14.25" customHeight="1" s="91">
      <c r="A947" s="6" t="n"/>
      <c r="B947" s="9" t="n"/>
      <c r="D947" s="9" t="n"/>
      <c r="E947" s="9" t="n"/>
      <c r="F947" s="9" t="n"/>
      <c r="G947" s="9" t="n"/>
    </row>
    <row r="948" ht="14.25" customHeight="1" s="91">
      <c r="A948" s="6" t="n"/>
      <c r="B948" s="9" t="n"/>
      <c r="D948" s="9" t="n"/>
      <c r="E948" s="9" t="n"/>
      <c r="F948" s="9" t="n"/>
      <c r="G948" s="9" t="n"/>
    </row>
    <row r="949" ht="14.25" customHeight="1" s="91">
      <c r="A949" s="6" t="n"/>
      <c r="B949" s="9" t="n"/>
      <c r="D949" s="9" t="n"/>
      <c r="E949" s="9" t="n"/>
      <c r="F949" s="9" t="n"/>
      <c r="G949" s="9" t="n"/>
    </row>
    <row r="950" ht="14.25" customHeight="1" s="91">
      <c r="A950" s="6" t="n"/>
      <c r="B950" s="9" t="n"/>
      <c r="D950" s="9" t="n"/>
      <c r="E950" s="9" t="n"/>
      <c r="F950" s="9" t="n"/>
      <c r="G950" s="9" t="n"/>
    </row>
    <row r="951" ht="14.25" customHeight="1" s="91">
      <c r="A951" s="6" t="n"/>
      <c r="B951" s="9" t="n"/>
      <c r="D951" s="9" t="n"/>
      <c r="E951" s="9" t="n"/>
      <c r="F951" s="9" t="n"/>
      <c r="G951" s="9" t="n"/>
    </row>
    <row r="952" ht="14.25" customHeight="1" s="91">
      <c r="A952" s="6" t="n"/>
      <c r="B952" s="9" t="n"/>
      <c r="D952" s="9" t="n"/>
      <c r="E952" s="9" t="n"/>
      <c r="F952" s="9" t="n"/>
      <c r="G952" s="9" t="n"/>
    </row>
    <row r="953" ht="14.25" customHeight="1" s="91">
      <c r="A953" s="6" t="n"/>
      <c r="B953" s="9" t="n"/>
      <c r="D953" s="9" t="n"/>
      <c r="E953" s="9" t="n"/>
      <c r="F953" s="9" t="n"/>
      <c r="G953" s="9" t="n"/>
    </row>
    <row r="954" ht="14.25" customHeight="1" s="91">
      <c r="A954" s="6" t="n"/>
      <c r="B954" s="9" t="n"/>
      <c r="D954" s="9" t="n"/>
      <c r="E954" s="9" t="n"/>
      <c r="F954" s="9" t="n"/>
      <c r="G954" s="9" t="n"/>
    </row>
    <row r="955" ht="14.25" customHeight="1" s="91">
      <c r="A955" s="6" t="n"/>
      <c r="B955" s="9" t="n"/>
      <c r="D955" s="9" t="n"/>
      <c r="E955" s="9" t="n"/>
      <c r="F955" s="9" t="n"/>
      <c r="G955" s="9" t="n"/>
    </row>
    <row r="956" ht="14.25" customHeight="1" s="91">
      <c r="A956" s="6" t="n"/>
      <c r="B956" s="9" t="n"/>
      <c r="D956" s="9" t="n"/>
      <c r="E956" s="9" t="n"/>
      <c r="F956" s="9" t="n"/>
      <c r="G956" s="9" t="n"/>
    </row>
    <row r="957" ht="14.25" customHeight="1" s="91">
      <c r="A957" s="6" t="n"/>
      <c r="B957" s="9" t="n"/>
      <c r="D957" s="9" t="n"/>
      <c r="E957" s="9" t="n"/>
      <c r="F957" s="9" t="n"/>
      <c r="G957" s="9" t="n"/>
    </row>
    <row r="958" ht="14.25" customHeight="1" s="91">
      <c r="A958" s="6" t="n"/>
      <c r="B958" s="9" t="n"/>
      <c r="D958" s="9" t="n"/>
      <c r="E958" s="9" t="n"/>
      <c r="F958" s="9" t="n"/>
      <c r="G958" s="9" t="n"/>
    </row>
    <row r="959" ht="14.25" customHeight="1" s="91">
      <c r="A959" s="6" t="n"/>
      <c r="B959" s="9" t="n"/>
      <c r="D959" s="9" t="n"/>
      <c r="E959" s="9" t="n"/>
      <c r="F959" s="9" t="n"/>
      <c r="G959" s="9" t="n"/>
    </row>
    <row r="960" ht="14.25" customHeight="1" s="91">
      <c r="A960" s="6" t="n"/>
      <c r="B960" s="9" t="n"/>
      <c r="D960" s="9" t="n"/>
      <c r="E960" s="9" t="n"/>
      <c r="F960" s="9" t="n"/>
      <c r="G960" s="9" t="n"/>
    </row>
    <row r="961" ht="14.25" customHeight="1" s="91">
      <c r="A961" s="6" t="n"/>
      <c r="B961" s="9" t="n"/>
      <c r="D961" s="9" t="n"/>
      <c r="E961" s="9" t="n"/>
      <c r="F961" s="9" t="n"/>
      <c r="G961" s="9" t="n"/>
    </row>
    <row r="962" ht="14.25" customHeight="1" s="91">
      <c r="A962" s="6" t="n"/>
      <c r="B962" s="9" t="n"/>
      <c r="D962" s="9" t="n"/>
      <c r="E962" s="9" t="n"/>
      <c r="F962" s="9" t="n"/>
      <c r="G962" s="9" t="n"/>
    </row>
    <row r="963" ht="14.25" customHeight="1" s="91">
      <c r="A963" s="6" t="n"/>
      <c r="B963" s="9" t="n"/>
      <c r="D963" s="9" t="n"/>
      <c r="E963" s="9" t="n"/>
      <c r="F963" s="9" t="n"/>
      <c r="G963" s="9" t="n"/>
    </row>
    <row r="964" ht="14.25" customHeight="1" s="91">
      <c r="A964" s="6" t="n"/>
      <c r="B964" s="9" t="n"/>
      <c r="D964" s="9" t="n"/>
      <c r="E964" s="9" t="n"/>
      <c r="F964" s="9" t="n"/>
      <c r="G964" s="9" t="n"/>
    </row>
    <row r="965" ht="14.25" customHeight="1" s="91">
      <c r="A965" s="6" t="n"/>
      <c r="B965" s="9" t="n"/>
      <c r="D965" s="9" t="n"/>
      <c r="E965" s="9" t="n"/>
      <c r="F965" s="9" t="n"/>
      <c r="G965" s="9" t="n"/>
    </row>
    <row r="966" ht="14.25" customHeight="1" s="91">
      <c r="A966" s="6" t="n"/>
      <c r="B966" s="9" t="n"/>
      <c r="D966" s="9" t="n"/>
      <c r="E966" s="9" t="n"/>
      <c r="F966" s="9" t="n"/>
      <c r="G966" s="9" t="n"/>
    </row>
    <row r="967" ht="14.25" customHeight="1" s="91">
      <c r="A967" s="6" t="n"/>
      <c r="B967" s="9" t="n"/>
      <c r="D967" s="9" t="n"/>
      <c r="E967" s="9" t="n"/>
      <c r="F967" s="9" t="n"/>
      <c r="G967" s="9" t="n"/>
    </row>
    <row r="968" ht="14.25" customHeight="1" s="91">
      <c r="A968" s="6" t="n"/>
      <c r="B968" s="9" t="n"/>
      <c r="D968" s="9" t="n"/>
      <c r="E968" s="9" t="n"/>
      <c r="F968" s="9" t="n"/>
      <c r="G968" s="9" t="n"/>
    </row>
    <row r="969" ht="14.25" customHeight="1" s="91">
      <c r="A969" s="6" t="n"/>
      <c r="B969" s="9" t="n"/>
      <c r="D969" s="9" t="n"/>
      <c r="E969" s="9" t="n"/>
      <c r="F969" s="9" t="n"/>
      <c r="G969" s="9" t="n"/>
    </row>
    <row r="970" ht="14.25" customHeight="1" s="91">
      <c r="A970" s="6" t="n"/>
      <c r="B970" s="9" t="n"/>
      <c r="D970" s="9" t="n"/>
      <c r="E970" s="9" t="n"/>
      <c r="F970" s="9" t="n"/>
      <c r="G970" s="9" t="n"/>
    </row>
    <row r="971" ht="14.25" customHeight="1" s="91">
      <c r="A971" s="6" t="n"/>
      <c r="B971" s="9" t="n"/>
      <c r="D971" s="9" t="n"/>
      <c r="E971" s="9" t="n"/>
      <c r="F971" s="9" t="n"/>
      <c r="G971" s="9" t="n"/>
    </row>
    <row r="972" ht="14.25" customHeight="1" s="91">
      <c r="A972" s="6" t="n"/>
      <c r="B972" s="9" t="n"/>
      <c r="D972" s="9" t="n"/>
      <c r="E972" s="9" t="n"/>
      <c r="F972" s="9" t="n"/>
      <c r="G972" s="9" t="n"/>
    </row>
    <row r="973" ht="14.25" customHeight="1" s="91">
      <c r="A973" s="6" t="n"/>
      <c r="B973" s="9" t="n"/>
      <c r="D973" s="9" t="n"/>
      <c r="E973" s="9" t="n"/>
      <c r="F973" s="9" t="n"/>
      <c r="G973" s="9" t="n"/>
    </row>
    <row r="974" ht="14.25" customHeight="1" s="91">
      <c r="A974" s="6" t="n"/>
      <c r="B974" s="9" t="n"/>
      <c r="D974" s="9" t="n"/>
      <c r="E974" s="9" t="n"/>
      <c r="F974" s="9" t="n"/>
      <c r="G974" s="9" t="n"/>
    </row>
    <row r="975" ht="14.25" customHeight="1" s="91">
      <c r="A975" s="6" t="n"/>
      <c r="B975" s="9" t="n"/>
      <c r="D975" s="9" t="n"/>
      <c r="E975" s="9" t="n"/>
      <c r="F975" s="9" t="n"/>
      <c r="G975" s="9" t="n"/>
    </row>
    <row r="976" ht="14.25" customHeight="1" s="91">
      <c r="A976" s="6" t="n"/>
      <c r="B976" s="9" t="n"/>
      <c r="D976" s="9" t="n"/>
      <c r="E976" s="9" t="n"/>
      <c r="F976" s="9" t="n"/>
      <c r="G976" s="9" t="n"/>
    </row>
    <row r="977" ht="14.25" customHeight="1" s="91">
      <c r="A977" s="6" t="n"/>
      <c r="B977" s="9" t="n"/>
      <c r="D977" s="9" t="n"/>
      <c r="E977" s="9" t="n"/>
      <c r="F977" s="9" t="n"/>
      <c r="G977" s="9" t="n"/>
    </row>
    <row r="978" ht="14.25" customHeight="1" s="91">
      <c r="A978" s="6" t="n"/>
      <c r="B978" s="9" t="n"/>
      <c r="D978" s="9" t="n"/>
      <c r="E978" s="9" t="n"/>
      <c r="F978" s="9" t="n"/>
      <c r="G978" s="9" t="n"/>
    </row>
    <row r="979" ht="14.25" customHeight="1" s="91">
      <c r="A979" s="6" t="n"/>
      <c r="B979" s="9" t="n"/>
      <c r="D979" s="9" t="n"/>
      <c r="E979" s="9" t="n"/>
      <c r="F979" s="9" t="n"/>
      <c r="G979" s="9" t="n"/>
    </row>
    <row r="980" ht="14.25" customHeight="1" s="91">
      <c r="A980" s="6" t="n"/>
      <c r="B980" s="9" t="n"/>
      <c r="D980" s="9" t="n"/>
      <c r="E980" s="9" t="n"/>
      <c r="F980" s="9" t="n"/>
      <c r="G980" s="9" t="n"/>
    </row>
    <row r="981" ht="14.25" customHeight="1" s="91">
      <c r="A981" s="6" t="n"/>
      <c r="B981" s="9" t="n"/>
      <c r="D981" s="9" t="n"/>
      <c r="E981" s="9" t="n"/>
      <c r="F981" s="9" t="n"/>
      <c r="G981" s="9" t="n"/>
    </row>
    <row r="982" ht="14.25" customHeight="1" s="91">
      <c r="A982" s="6" t="n"/>
      <c r="B982" s="9" t="n"/>
      <c r="D982" s="9" t="n"/>
      <c r="E982" s="9" t="n"/>
      <c r="F982" s="9" t="n"/>
      <c r="G982" s="9" t="n"/>
    </row>
    <row r="983" ht="14.25" customHeight="1" s="91">
      <c r="A983" s="6" t="n"/>
      <c r="B983" s="9" t="n"/>
      <c r="D983" s="9" t="n"/>
      <c r="E983" s="9" t="n"/>
      <c r="F983" s="9" t="n"/>
      <c r="G983" s="9" t="n"/>
    </row>
    <row r="984" ht="14.25" customHeight="1" s="91">
      <c r="A984" s="6" t="n"/>
      <c r="B984" s="9" t="n"/>
      <c r="D984" s="9" t="n"/>
      <c r="E984" s="9" t="n"/>
      <c r="F984" s="9" t="n"/>
      <c r="G984" s="9" t="n"/>
    </row>
    <row r="985" ht="14.25" customHeight="1" s="91">
      <c r="A985" s="6" t="n"/>
      <c r="B985" s="9" t="n"/>
      <c r="D985" s="9" t="n"/>
      <c r="E985" s="9" t="n"/>
      <c r="F985" s="9" t="n"/>
      <c r="G985" s="9" t="n"/>
    </row>
    <row r="986" ht="14.25" customHeight="1" s="91">
      <c r="A986" s="6" t="n"/>
      <c r="B986" s="9" t="n"/>
      <c r="D986" s="9" t="n"/>
      <c r="E986" s="9" t="n"/>
      <c r="F986" s="9" t="n"/>
      <c r="G986" s="9" t="n"/>
    </row>
    <row r="987" ht="14.25" customHeight="1" s="91">
      <c r="A987" s="6" t="n"/>
      <c r="B987" s="9" t="n"/>
      <c r="D987" s="9" t="n"/>
      <c r="E987" s="9" t="n"/>
      <c r="F987" s="9" t="n"/>
      <c r="G987" s="9" t="n"/>
    </row>
    <row r="988" ht="14.25" customHeight="1" s="91">
      <c r="A988" s="6" t="n"/>
      <c r="B988" s="9" t="n"/>
      <c r="D988" s="9" t="n"/>
      <c r="E988" s="9" t="n"/>
      <c r="F988" s="9" t="n"/>
      <c r="G988" s="9" t="n"/>
    </row>
    <row r="989" ht="14.25" customHeight="1" s="91">
      <c r="A989" s="6" t="n"/>
      <c r="B989" s="9" t="n"/>
      <c r="D989" s="9" t="n"/>
      <c r="E989" s="9" t="n"/>
      <c r="F989" s="9" t="n"/>
      <c r="G989" s="9" t="n"/>
    </row>
    <row r="990" ht="14.25" customHeight="1" s="91">
      <c r="A990" s="6" t="n"/>
      <c r="B990" s="9" t="n"/>
      <c r="D990" s="9" t="n"/>
      <c r="E990" s="9" t="n"/>
      <c r="F990" s="9" t="n"/>
      <c r="G990" s="9" t="n"/>
    </row>
    <row r="991" ht="14.25" customHeight="1" s="91">
      <c r="A991" s="6" t="n"/>
      <c r="B991" s="9" t="n"/>
      <c r="D991" s="9" t="n"/>
      <c r="E991" s="9" t="n"/>
      <c r="F991" s="9" t="n"/>
      <c r="G991" s="9" t="n"/>
    </row>
    <row r="992" ht="14.25" customHeight="1" s="91">
      <c r="A992" s="6" t="n"/>
      <c r="B992" s="9" t="n"/>
      <c r="D992" s="9" t="n"/>
      <c r="E992" s="9" t="n"/>
      <c r="F992" s="9" t="n"/>
      <c r="G992" s="9" t="n"/>
    </row>
    <row r="993" ht="14.25" customHeight="1" s="91">
      <c r="A993" s="6" t="n"/>
      <c r="B993" s="9" t="n"/>
      <c r="D993" s="9" t="n"/>
      <c r="E993" s="9" t="n"/>
      <c r="F993" s="9" t="n"/>
      <c r="G993" s="9" t="n"/>
    </row>
    <row r="994" ht="14.25" customHeight="1" s="91">
      <c r="A994" s="6" t="n"/>
      <c r="B994" s="9" t="n"/>
      <c r="D994" s="9" t="n"/>
      <c r="E994" s="9" t="n"/>
      <c r="F994" s="9" t="n"/>
      <c r="G994" s="9" t="n"/>
    </row>
    <row r="995" ht="14.25" customHeight="1" s="91">
      <c r="A995" s="6" t="n"/>
      <c r="B995" s="9" t="n"/>
      <c r="D995" s="9" t="n"/>
      <c r="E995" s="9" t="n"/>
      <c r="F995" s="9" t="n"/>
      <c r="G995" s="9" t="n"/>
    </row>
    <row r="996" ht="14.25" customHeight="1" s="91">
      <c r="A996" s="6" t="n"/>
      <c r="B996" s="9" t="n"/>
      <c r="D996" s="9" t="n"/>
      <c r="E996" s="9" t="n"/>
      <c r="F996" s="9" t="n"/>
      <c r="G996" s="9" t="n"/>
    </row>
    <row r="997" ht="14.25" customHeight="1" s="91">
      <c r="A997" s="6" t="n"/>
      <c r="B997" s="9" t="n"/>
      <c r="D997" s="9" t="n"/>
      <c r="E997" s="9" t="n"/>
      <c r="F997" s="9" t="n"/>
      <c r="G997" s="9" t="n"/>
    </row>
    <row r="998" ht="14.25" customHeight="1" s="91">
      <c r="A998" s="6" t="n"/>
      <c r="B998" s="9" t="n"/>
      <c r="D998" s="9" t="n"/>
      <c r="E998" s="9" t="n"/>
      <c r="F998" s="9" t="n"/>
      <c r="G998" s="9" t="n"/>
    </row>
    <row r="999" ht="14.25" customHeight="1" s="91">
      <c r="A999" s="6" t="n"/>
      <c r="B999" s="9" t="n"/>
      <c r="D999" s="9" t="n"/>
      <c r="E999" s="9" t="n"/>
      <c r="F999" s="9" t="n"/>
      <c r="G999" s="9" t="n"/>
    </row>
    <row r="1000" ht="14.25" customHeight="1" s="91">
      <c r="A1000" s="6" t="n"/>
      <c r="B1000" s="9" t="n"/>
      <c r="D1000" s="9" t="n"/>
      <c r="E1000" s="9" t="n"/>
      <c r="F1000" s="9" t="n"/>
      <c r="G1000" s="9" t="n"/>
    </row>
    <row r="1001" ht="14.25" customHeight="1" s="91">
      <c r="A1001" s="6" t="n"/>
      <c r="B1001" s="9" t="n"/>
      <c r="D1001" s="9" t="n"/>
      <c r="E1001" s="9" t="n"/>
      <c r="F1001" s="9" t="n"/>
      <c r="G1001" s="9" t="n"/>
    </row>
    <row r="1002" ht="14.25" customHeight="1" s="91">
      <c r="A1002" s="6" t="n"/>
      <c r="B1002" s="9" t="n"/>
      <c r="D1002" s="9" t="n"/>
      <c r="E1002" s="9" t="n"/>
      <c r="F1002" s="9" t="n"/>
      <c r="G1002" s="9" t="n"/>
    </row>
    <row r="1003" ht="14.25" customHeight="1" s="91">
      <c r="A1003" s="6" t="n"/>
      <c r="B1003" s="9" t="n"/>
      <c r="D1003" s="9" t="n"/>
      <c r="E1003" s="9" t="n"/>
      <c r="F1003" s="9" t="n"/>
      <c r="G1003" s="9" t="n"/>
    </row>
    <row r="1004" ht="14.25" customHeight="1" s="91">
      <c r="A1004" s="6" t="n"/>
      <c r="B1004" s="9" t="n"/>
      <c r="D1004" s="9" t="n"/>
      <c r="E1004" s="9" t="n"/>
      <c r="F1004" s="9" t="n"/>
      <c r="G1004" s="9" t="n"/>
    </row>
    <row r="1005" ht="14.25" customHeight="1" s="91">
      <c r="A1005" s="6" t="n"/>
      <c r="B1005" s="9" t="n"/>
      <c r="D1005" s="9" t="n"/>
      <c r="E1005" s="9" t="n"/>
      <c r="F1005" s="9" t="n"/>
      <c r="G1005" s="9" t="n"/>
    </row>
    <row r="1006" ht="14.25" customHeight="1" s="91">
      <c r="A1006" s="6" t="n"/>
      <c r="B1006" s="9" t="n"/>
      <c r="D1006" s="9" t="n"/>
      <c r="E1006" s="9" t="n"/>
      <c r="F1006" s="9" t="n"/>
      <c r="G1006" s="9" t="n"/>
    </row>
    <row r="1007" ht="14.25" customHeight="1" s="91">
      <c r="A1007" s="6" t="n"/>
      <c r="B1007" s="9" t="n"/>
      <c r="D1007" s="9" t="n"/>
      <c r="E1007" s="9" t="n"/>
      <c r="F1007" s="9" t="n"/>
      <c r="G1007" s="9" t="n"/>
    </row>
    <row r="1008" ht="14.25" customHeight="1" s="91">
      <c r="A1008" s="6" t="n"/>
      <c r="B1008" s="9" t="n"/>
      <c r="D1008" s="9" t="n"/>
      <c r="E1008" s="9" t="n"/>
      <c r="F1008" s="9" t="n"/>
      <c r="G1008" s="9" t="n"/>
    </row>
    <row r="1009" ht="14.25" customHeight="1" s="91">
      <c r="A1009" s="6" t="n"/>
      <c r="B1009" s="9" t="n"/>
      <c r="D1009" s="9" t="n"/>
      <c r="E1009" s="9" t="n"/>
      <c r="F1009" s="9" t="n"/>
      <c r="G1009" s="9" t="n"/>
    </row>
    <row r="1010" ht="14.25" customHeight="1" s="91">
      <c r="A1010" s="6" t="n"/>
      <c r="B1010" s="9" t="n"/>
      <c r="D1010" s="9" t="n"/>
      <c r="E1010" s="9" t="n"/>
      <c r="F1010" s="9" t="n"/>
      <c r="G1010" s="9" t="n"/>
    </row>
    <row r="1011" ht="14.25" customHeight="1" s="91">
      <c r="A1011" s="6" t="n"/>
      <c r="B1011" s="9" t="n"/>
      <c r="D1011" s="9" t="n"/>
      <c r="E1011" s="9" t="n"/>
      <c r="F1011" s="9" t="n"/>
      <c r="G1011" s="9" t="n"/>
    </row>
    <row r="1012" ht="14.25" customHeight="1" s="91">
      <c r="A1012" s="6" t="n"/>
      <c r="B1012" s="9" t="n"/>
      <c r="D1012" s="9" t="n"/>
      <c r="E1012" s="9" t="n"/>
      <c r="F1012" s="9" t="n"/>
      <c r="G1012" s="9" t="n"/>
    </row>
    <row r="1013" ht="14.25" customHeight="1" s="91">
      <c r="A1013" s="6" t="n"/>
      <c r="B1013" s="9" t="n"/>
      <c r="D1013" s="9" t="n"/>
      <c r="E1013" s="9" t="n"/>
      <c r="F1013" s="9" t="n"/>
      <c r="G1013" s="9" t="n"/>
    </row>
    <row r="1014" ht="14.25" customHeight="1" s="91">
      <c r="A1014" s="6" t="n"/>
      <c r="B1014" s="9" t="n"/>
      <c r="D1014" s="9" t="n"/>
      <c r="E1014" s="9" t="n"/>
      <c r="F1014" s="9" t="n"/>
      <c r="G1014" s="9" t="n"/>
    </row>
    <row r="1015" ht="14.25" customHeight="1" s="91">
      <c r="A1015" s="6" t="n"/>
      <c r="B1015" s="9" t="n"/>
      <c r="D1015" s="9" t="n"/>
      <c r="E1015" s="9" t="n"/>
      <c r="F1015" s="9" t="n"/>
      <c r="G1015" s="9" t="n"/>
    </row>
    <row r="1016" ht="14.25" customHeight="1" s="91">
      <c r="A1016" s="6" t="n"/>
      <c r="B1016" s="9" t="n"/>
      <c r="D1016" s="9" t="n"/>
      <c r="E1016" s="9" t="n"/>
      <c r="F1016" s="9" t="n"/>
      <c r="G1016" s="9" t="n"/>
    </row>
    <row r="1017" ht="14.25" customHeight="1" s="91">
      <c r="A1017" s="6" t="n"/>
      <c r="B1017" s="9" t="n"/>
      <c r="D1017" s="9" t="n"/>
      <c r="E1017" s="9" t="n"/>
      <c r="F1017" s="9" t="n"/>
      <c r="G1017" s="9" t="n"/>
    </row>
    <row r="1018" ht="14.25" customHeight="1" s="91">
      <c r="A1018" s="6" t="n"/>
      <c r="B1018" s="9" t="n"/>
      <c r="D1018" s="9" t="n"/>
      <c r="E1018" s="9" t="n"/>
      <c r="F1018" s="9" t="n"/>
      <c r="G1018" s="9" t="n"/>
    </row>
    <row r="1019" ht="14.25" customHeight="1" s="91">
      <c r="A1019" s="6" t="n"/>
      <c r="B1019" s="9" t="n"/>
      <c r="D1019" s="9" t="n"/>
      <c r="E1019" s="9" t="n"/>
      <c r="F1019" s="9" t="n"/>
      <c r="G1019" s="9" t="n"/>
    </row>
    <row r="1020" ht="14.25" customHeight="1" s="91">
      <c r="A1020" s="6" t="n"/>
      <c r="B1020" s="9" t="n"/>
      <c r="D1020" s="9" t="n"/>
      <c r="E1020" s="9" t="n"/>
      <c r="F1020" s="9" t="n"/>
      <c r="G1020" s="9" t="n"/>
    </row>
    <row r="1021" ht="14.25" customHeight="1" s="91">
      <c r="A1021" s="6" t="n"/>
      <c r="B1021" s="9" t="n"/>
      <c r="D1021" s="9" t="n"/>
      <c r="E1021" s="9" t="n"/>
      <c r="F1021" s="9" t="n"/>
      <c r="G1021" s="9" t="n"/>
    </row>
    <row r="1022" ht="14.25" customHeight="1" s="91">
      <c r="A1022" s="6" t="n"/>
      <c r="B1022" s="9" t="n"/>
      <c r="D1022" s="9" t="n"/>
      <c r="E1022" s="9" t="n"/>
      <c r="F1022" s="9" t="n"/>
      <c r="G1022" s="9" t="n"/>
    </row>
    <row r="1023" ht="14.25" customHeight="1" s="91">
      <c r="A1023" s="6" t="n"/>
      <c r="B1023" s="9" t="n"/>
      <c r="D1023" s="9" t="n"/>
      <c r="E1023" s="9" t="n"/>
      <c r="F1023" s="9" t="n"/>
      <c r="G1023" s="9" t="n"/>
    </row>
    <row r="1024" ht="14.25" customHeight="1" s="91">
      <c r="A1024" s="6" t="n"/>
      <c r="B1024" s="9" t="n"/>
      <c r="D1024" s="9" t="n"/>
      <c r="E1024" s="9" t="n"/>
      <c r="F1024" s="9" t="n"/>
      <c r="G1024" s="9" t="n"/>
    </row>
    <row r="1025" ht="14.25" customHeight="1" s="91">
      <c r="A1025" s="6" t="n"/>
      <c r="B1025" s="9" t="n"/>
      <c r="D1025" s="9" t="n"/>
      <c r="E1025" s="9" t="n"/>
      <c r="F1025" s="9" t="n"/>
      <c r="G1025" s="9" t="n"/>
    </row>
    <row r="1026" ht="14.25" customHeight="1" s="91">
      <c r="A1026" s="6" t="n"/>
      <c r="B1026" s="9" t="n"/>
      <c r="D1026" s="9" t="n"/>
      <c r="E1026" s="9" t="n"/>
      <c r="F1026" s="9" t="n"/>
      <c r="G1026" s="9" t="n"/>
    </row>
    <row r="1027" ht="14.25" customHeight="1" s="91">
      <c r="A1027" s="6" t="n"/>
      <c r="B1027" s="9" t="n"/>
      <c r="D1027" s="9" t="n"/>
      <c r="E1027" s="9" t="n"/>
      <c r="F1027" s="9" t="n"/>
      <c r="G1027" s="9" t="n"/>
    </row>
    <row r="1028" ht="14.25" customHeight="1" s="91">
      <c r="A1028" s="6" t="n"/>
      <c r="B1028" s="9" t="n"/>
      <c r="D1028" s="9" t="n"/>
      <c r="E1028" s="9" t="n"/>
      <c r="F1028" s="9" t="n"/>
      <c r="G1028" s="9" t="n"/>
    </row>
    <row r="1029" ht="14.25" customHeight="1" s="91">
      <c r="A1029" s="6" t="n"/>
      <c r="B1029" s="9" t="n"/>
      <c r="D1029" s="9" t="n"/>
      <c r="E1029" s="9" t="n"/>
      <c r="F1029" s="9" t="n"/>
      <c r="G1029" s="9" t="n"/>
    </row>
    <row r="1030" ht="14.25" customHeight="1" s="91">
      <c r="A1030" s="6" t="n"/>
      <c r="B1030" s="9" t="n"/>
      <c r="D1030" s="9" t="n"/>
      <c r="E1030" s="9" t="n"/>
      <c r="F1030" s="9" t="n"/>
      <c r="G1030" s="9" t="n"/>
    </row>
    <row r="1031" ht="14.25" customHeight="1" s="91">
      <c r="A1031" s="6" t="n"/>
      <c r="B1031" s="9" t="n"/>
      <c r="D1031" s="9" t="n"/>
      <c r="E1031" s="9" t="n"/>
      <c r="F1031" s="9" t="n"/>
      <c r="G1031" s="9" t="n"/>
    </row>
    <row r="1032" ht="14.25" customHeight="1" s="91">
      <c r="A1032" s="6" t="n"/>
      <c r="B1032" s="9" t="n"/>
      <c r="D1032" s="9" t="n"/>
      <c r="E1032" s="9" t="n"/>
      <c r="F1032" s="9" t="n"/>
      <c r="G1032" s="9" t="n"/>
    </row>
    <row r="1033" ht="14.25" customHeight="1" s="91">
      <c r="A1033" s="6" t="n"/>
      <c r="B1033" s="9" t="n"/>
      <c r="D1033" s="9" t="n"/>
      <c r="E1033" s="9" t="n"/>
      <c r="F1033" s="9" t="n"/>
      <c r="G1033" s="9" t="n"/>
    </row>
    <row r="1034" ht="14.25" customHeight="1" s="91">
      <c r="A1034" s="6" t="n"/>
      <c r="B1034" s="9" t="n"/>
      <c r="D1034" s="9" t="n"/>
      <c r="E1034" s="9" t="n"/>
      <c r="F1034" s="9" t="n"/>
      <c r="G1034" s="9" t="n"/>
    </row>
    <row r="1035" ht="14.25" customHeight="1" s="91">
      <c r="A1035" s="6" t="n"/>
      <c r="B1035" s="9" t="n"/>
      <c r="D1035" s="9" t="n"/>
      <c r="E1035" s="9" t="n"/>
      <c r="F1035" s="9" t="n"/>
      <c r="G1035" s="9" t="n"/>
    </row>
    <row r="1036" ht="14.25" customHeight="1" s="91">
      <c r="A1036" s="6" t="n"/>
      <c r="B1036" s="9" t="n"/>
      <c r="D1036" s="9" t="n"/>
      <c r="E1036" s="9" t="n"/>
      <c r="F1036" s="9" t="n"/>
      <c r="G1036" s="9" t="n"/>
    </row>
    <row r="1037" ht="14.25" customHeight="1" s="91">
      <c r="A1037" s="6" t="n"/>
      <c r="B1037" s="9" t="n"/>
      <c r="D1037" s="9" t="n"/>
      <c r="E1037" s="9" t="n"/>
      <c r="F1037" s="9" t="n"/>
      <c r="G1037" s="9" t="n"/>
    </row>
    <row r="1038" ht="14.25" customHeight="1" s="91">
      <c r="A1038" s="6" t="n"/>
      <c r="B1038" s="9" t="n"/>
      <c r="D1038" s="9" t="n"/>
      <c r="E1038" s="9" t="n"/>
      <c r="F1038" s="9" t="n"/>
      <c r="G1038" s="9" t="n"/>
    </row>
    <row r="1039" ht="14.25" customHeight="1" s="91">
      <c r="A1039" s="6" t="n"/>
      <c r="B1039" s="9" t="n"/>
      <c r="D1039" s="9" t="n"/>
      <c r="E1039" s="9" t="n"/>
      <c r="F1039" s="9" t="n"/>
      <c r="G1039" s="9" t="n"/>
    </row>
  </sheetData>
  <mergeCells count="3">
    <mergeCell ref="I11:L11"/>
    <mergeCell ref="Z11:AE11"/>
    <mergeCell ref="M11:Y11"/>
  </mergeCells>
  <conditionalFormatting sqref="AG13:AI109">
    <cfRule type="notContainsBlanks" priority="1" dxfId="0">
      <formula>LEN(TRIM(AG13))&gt;0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J973"/>
  <sheetViews>
    <sheetView workbookViewId="0">
      <selection activeCell="A1" sqref="A1"/>
    </sheetView>
  </sheetViews>
  <sheetFormatPr baseColWidth="8" defaultColWidth="14.43" defaultRowHeight="15" customHeight="1"/>
  <cols>
    <col width="47.43" customWidth="1" style="91" min="1" max="1"/>
    <col width="16.14" customWidth="1" style="91" min="2" max="2"/>
    <col width="12.57" customWidth="1" style="91" min="3" max="3"/>
    <col width="14.71" customWidth="1" style="91" min="4" max="4"/>
    <col width="11" customWidth="1" style="91" min="5" max="5"/>
    <col width="7.43" customWidth="1" style="91" min="6" max="6"/>
    <col width="17.57" customWidth="1" style="91" min="7" max="10"/>
  </cols>
  <sheetData>
    <row r="1">
      <c r="A1" s="1" t="inlineStr">
        <is>
          <t>Товар</t>
        </is>
      </c>
      <c r="B1" s="5" t="inlineStr">
        <is>
          <t>Заказ контейнер шт</t>
        </is>
      </c>
      <c r="C1" s="5" t="inlineStr">
        <is>
          <t>Комментарий</t>
        </is>
      </c>
      <c r="D1" s="5" t="inlineStr">
        <is>
          <t>Цена конкурента без СПП</t>
        </is>
      </c>
      <c r="E1" s="5" t="inlineStr">
        <is>
          <t>Кол-во продаж конкурент</t>
        </is>
      </c>
      <c r="F1" s="5" t="inlineStr">
        <is>
          <t>ДРР конкурент</t>
        </is>
      </c>
      <c r="G1" s="5" t="inlineStr">
        <is>
          <t>Маржа/шт</t>
        </is>
      </c>
      <c r="H1" s="5" t="inlineStr">
        <is>
          <t>ROI %</t>
        </is>
      </c>
      <c r="I1" s="5" t="inlineStr">
        <is>
          <t>Заказы план</t>
        </is>
      </c>
      <c r="J1" s="5" t="inlineStr">
        <is>
          <t>Прибыль план</t>
        </is>
      </c>
    </row>
    <row r="2">
      <c r="A2" s="25" t="inlineStr">
        <is>
          <t>Celimax Dual Barrier Creamy Toner</t>
        </is>
      </c>
      <c r="B2" s="9" t="inlineStr">
        <is>
          <t>-</t>
        </is>
      </c>
      <c r="C2" s="9" t="n"/>
      <c r="D2" s="12" t="n">
        <v>2600</v>
      </c>
      <c r="E2" s="12" t="n">
        <v>5500</v>
      </c>
      <c r="F2" s="12" t="inlineStr">
        <is>
          <t>10-15</t>
        </is>
      </c>
      <c r="G2" s="12" t="n">
        <v>71.56284499999981</v>
      </c>
      <c r="H2" s="14" t="n">
        <v>0.09886282568452437</v>
      </c>
      <c r="I2" s="12">
        <f>E2*0.33</f>
        <v/>
      </c>
      <c r="J2" s="12">
        <f>I2*G2</f>
        <v/>
      </c>
    </row>
    <row r="3">
      <c r="A3" s="25" t="inlineStr">
        <is>
          <t>CELIMAX THE VITA-A RETINOL SHOT TIGHTENING SERUM [30ml]/Сыворотка с ретинолом и микроиглами для лица</t>
        </is>
      </c>
      <c r="B3" s="9" t="inlineStr">
        <is>
          <t>-</t>
        </is>
      </c>
      <c r="C3" s="9" t="inlineStr">
        <is>
          <t>-</t>
        </is>
      </c>
      <c r="D3" s="12" t="n">
        <v>2450</v>
      </c>
      <c r="E3" s="12" t="n">
        <v>3500</v>
      </c>
      <c r="F3" s="12" t="n">
        <v>10</v>
      </c>
      <c r="G3" s="12" t="n">
        <v>172.90926</v>
      </c>
      <c r="H3" s="14" t="n">
        <v>0.292027123796656</v>
      </c>
      <c r="I3" s="12">
        <f>E3*0.33</f>
        <v/>
      </c>
      <c r="J3" s="12">
        <f>I3*G3</f>
        <v/>
      </c>
    </row>
    <row r="4">
      <c r="A4" s="25" t="inlineStr">
        <is>
          <t>CELIMAX THE VITA-A RETINAL SHOT TIGHTENING BOOSTER [15ml]/Подтягивающий бустер-крем с ретинолом для лица</t>
        </is>
      </c>
      <c r="B4" s="9" t="inlineStr">
        <is>
          <t>-</t>
        </is>
      </c>
      <c r="C4" s="9" t="n"/>
      <c r="D4" s="12" t="n">
        <v>2250</v>
      </c>
      <c r="E4" s="12" t="n">
        <v>3000</v>
      </c>
      <c r="F4" s="12" t="n">
        <v>13</v>
      </c>
      <c r="G4" s="12" t="n">
        <v>128.2638599999999</v>
      </c>
      <c r="H4" s="14" t="n">
        <v>0.224166975427313</v>
      </c>
      <c r="I4" s="12">
        <f>E4*0.33</f>
        <v/>
      </c>
      <c r="J4" s="12">
        <f>I4*G4</f>
        <v/>
      </c>
    </row>
    <row r="5">
      <c r="A5" s="25" t="inlineStr">
        <is>
          <t>CELIMAX JI WOO GAE CICA BHA BLEMISH TONER PAD_10EA [30ml]/успокаивающие тонер-пэды</t>
        </is>
      </c>
      <c r="B5" s="9" t="inlineStr">
        <is>
          <t>-</t>
        </is>
      </c>
      <c r="C5" s="9" t="n"/>
      <c r="D5" s="12" t="n">
        <v>775</v>
      </c>
      <c r="E5" s="12" t="n">
        <v>2740</v>
      </c>
      <c r="F5" s="12" t="n">
        <v>11</v>
      </c>
      <c r="G5" s="12" t="n">
        <v>28.77828</v>
      </c>
      <c r="H5" s="14" t="n">
        <v>0.1833712246718491</v>
      </c>
      <c r="I5" s="12">
        <f>E5*0.33</f>
        <v/>
      </c>
      <c r="J5" s="12">
        <f>I5*G5</f>
        <v/>
      </c>
    </row>
    <row r="6">
      <c r="A6" s="25" t="inlineStr">
        <is>
          <t>CELIMAX JI WOO GAE CICA BHA BLEMISH TONER PAD [170ml / 60pads]/Тонер-пэды от воспалений</t>
        </is>
      </c>
      <c r="B6" s="9" t="inlineStr">
        <is>
          <t>-</t>
        </is>
      </c>
      <c r="C6" s="9" t="n"/>
      <c r="D6" s="12" t="n">
        <v>3450</v>
      </c>
      <c r="E6" s="12" t="n">
        <v>1820</v>
      </c>
      <c r="F6" s="12" t="n">
        <v>11</v>
      </c>
      <c r="G6" s="12" t="n">
        <v>282.9289199999999</v>
      </c>
      <c r="H6" s="14" t="n">
        <v>0.3684546022816064</v>
      </c>
      <c r="I6" s="12">
        <f>E6*0.33</f>
        <v/>
      </c>
      <c r="J6" s="12">
        <f>I6*G6</f>
        <v/>
      </c>
    </row>
    <row r="7">
      <c r="A7" s="25" t="inlineStr">
        <is>
          <t>CELIMAX PORE+DARK SPOT BRIGHTENING PAD [100ml / 40pads]/Тонер-пэды для выравнивания тона и рельефа кожи</t>
        </is>
      </c>
      <c r="B7" s="9" t="inlineStr">
        <is>
          <t>-</t>
        </is>
      </c>
      <c r="C7" s="9" t="n"/>
      <c r="D7" s="12" t="n">
        <v>2880</v>
      </c>
      <c r="E7" s="12" t="n">
        <v>1640</v>
      </c>
      <c r="F7" s="12" t="n">
        <v>21</v>
      </c>
      <c r="G7" s="12" t="n">
        <v>227.7413900000003</v>
      </c>
      <c r="H7" s="14" t="n">
        <v>0.3696020481028275</v>
      </c>
      <c r="I7" s="12">
        <f>E7*0.33</f>
        <v/>
      </c>
      <c r="J7" s="12">
        <f>I7*G7</f>
        <v/>
      </c>
    </row>
    <row r="8">
      <c r="A8" s="30" t="inlineStr">
        <is>
          <t>CELIMAX JI WOO GAE HEARTLEAF BHA PEELING PAD 60PADS</t>
        </is>
      </c>
      <c r="B8" s="31" t="n">
        <v>1200</v>
      </c>
      <c r="C8" s="9" t="n"/>
      <c r="D8" s="12" t="n">
        <v>2870</v>
      </c>
      <c r="E8" s="12" t="n">
        <v>1100</v>
      </c>
      <c r="F8" s="12" t="n">
        <v>10</v>
      </c>
      <c r="G8" s="12" t="n">
        <v>347.8889199999999</v>
      </c>
      <c r="H8" s="14" t="n">
        <v>0.6601307779886145</v>
      </c>
      <c r="I8" s="12">
        <f>E8*0.33</f>
        <v/>
      </c>
      <c r="J8" s="12">
        <f>I8*G8</f>
        <v/>
      </c>
    </row>
    <row r="9">
      <c r="A9" s="30" t="inlineStr">
        <is>
          <t>CELIMAX THE REAL NONI STARTER KIT</t>
        </is>
      </c>
      <c r="B9" s="31" t="n">
        <v>480</v>
      </c>
      <c r="C9" s="9" t="n"/>
      <c r="D9" s="12" t="n">
        <v>2340</v>
      </c>
      <c r="E9" s="12" t="n">
        <v>1000</v>
      </c>
      <c r="F9" s="12" t="n">
        <v>12</v>
      </c>
      <c r="G9" s="12" t="n">
        <v>137.64392</v>
      </c>
      <c r="H9" s="14" t="n">
        <v>0.2534878821362799</v>
      </c>
      <c r="I9" s="12">
        <f>E9*0.33</f>
        <v/>
      </c>
      <c r="J9" s="12">
        <f>I9*G9</f>
        <v/>
      </c>
    </row>
    <row r="10">
      <c r="A10" s="30" t="inlineStr">
        <is>
          <t>CELIMAX DUAL BARRIER TRIAL KIT</t>
        </is>
      </c>
      <c r="B10" s="31" t="n">
        <v>448</v>
      </c>
      <c r="C10" s="9" t="n"/>
      <c r="D10" s="12" t="n">
        <v>2027</v>
      </c>
      <c r="E10" s="12" t="n">
        <v>1150</v>
      </c>
      <c r="F10" s="12" t="n">
        <v>12</v>
      </c>
      <c r="G10" s="12" t="n">
        <v>171.3589199999999</v>
      </c>
      <c r="H10" s="14" t="n">
        <v>0.4252082382133993</v>
      </c>
      <c r="I10" s="12">
        <f>E10*0.33</f>
        <v/>
      </c>
      <c r="J10" s="12">
        <f>I10*G10</f>
        <v/>
      </c>
    </row>
    <row r="11">
      <c r="A11" s="30" t="inlineStr">
        <is>
          <t>CELIMAX THE REAL NONI ACNE BUBBLE CLEANSER 155ML</t>
        </is>
      </c>
      <c r="B11" s="31" t="n">
        <v>312</v>
      </c>
      <c r="C11" s="9" t="n"/>
      <c r="D11" s="12" t="n">
        <v>3150</v>
      </c>
      <c r="E11" s="12" t="n">
        <v>500</v>
      </c>
      <c r="F11" s="12" t="n">
        <v>10</v>
      </c>
      <c r="G11" s="12" t="n">
        <v>463.8589200000001</v>
      </c>
      <c r="H11" s="14" t="n">
        <v>0.9724505660377362</v>
      </c>
      <c r="I11" s="12">
        <f>E11*0.33</f>
        <v/>
      </c>
      <c r="J11" s="12">
        <f>I11*G11</f>
        <v/>
      </c>
    </row>
    <row r="12">
      <c r="A12" s="30" t="inlineStr">
        <is>
          <t>CELIMAX DERMA NATURE FRESH BLACKHEAD JOJOBA CLEANSING OIL 150ML</t>
        </is>
      </c>
      <c r="B12" s="31" t="n">
        <v>315</v>
      </c>
      <c r="C12" s="9" t="n"/>
      <c r="D12" s="12" t="n">
        <v>2720</v>
      </c>
      <c r="E12" s="12" t="n">
        <v>500</v>
      </c>
      <c r="F12" s="12" t="n">
        <v>15</v>
      </c>
      <c r="G12" s="12" t="n">
        <v>307.91392</v>
      </c>
      <c r="H12" s="14" t="n">
        <v>0.6013943749999999</v>
      </c>
      <c r="I12" s="12">
        <f>E12*0.33</f>
        <v/>
      </c>
      <c r="J12" s="12">
        <f>I12*G12</f>
        <v/>
      </c>
    </row>
    <row r="13">
      <c r="A13" s="30" t="inlineStr">
        <is>
          <t>CELIMAX THE REAL NONI CALMING GLOW PAD 50EA</t>
        </is>
      </c>
      <c r="B13" s="31" t="n">
        <v>984</v>
      </c>
      <c r="C13" s="9" t="n"/>
      <c r="D13" s="12" t="n">
        <v>3500</v>
      </c>
      <c r="E13" s="12" t="n">
        <v>200</v>
      </c>
      <c r="F13" s="12" t="n">
        <v>15</v>
      </c>
      <c r="G13" s="12" t="n">
        <v>483.45892</v>
      </c>
      <c r="H13" s="14" t="n">
        <v>0.8004286754966888</v>
      </c>
      <c r="I13" s="12">
        <f>E13*0.33</f>
        <v/>
      </c>
      <c r="J13" s="12">
        <f>I13*G13</f>
        <v/>
      </c>
    </row>
    <row r="14">
      <c r="A14" s="30" t="inlineStr">
        <is>
          <t>CELIMAX THE REAL CICA SOOTHING CREAM 50ML</t>
        </is>
      </c>
      <c r="B14" s="31" t="n">
        <v>1200</v>
      </c>
      <c r="C14" s="9" t="n"/>
      <c r="D14" s="12" t="n">
        <v>2770</v>
      </c>
      <c r="E14" s="12" t="n">
        <v>600</v>
      </c>
      <c r="F14" s="12" t="n">
        <v>15</v>
      </c>
      <c r="G14" s="12" t="n">
        <v>264.23892</v>
      </c>
      <c r="H14" s="14" t="n">
        <v>0.4603465505226481</v>
      </c>
      <c r="I14" s="12">
        <f>E14*0.33</f>
        <v/>
      </c>
      <c r="J14" s="12">
        <f>I14*G14</f>
        <v/>
      </c>
    </row>
    <row r="15">
      <c r="A15" s="30" t="inlineStr">
        <is>
          <t>CELIMAX THE REAL CICA NIACINAMIDE AC CALMING SERUM 40ML</t>
        </is>
      </c>
      <c r="B15" s="31" t="n">
        <v>864</v>
      </c>
      <c r="C15" s="9" t="n"/>
      <c r="D15" s="12" t="n">
        <v>3250</v>
      </c>
      <c r="E15" s="12" t="n">
        <v>300</v>
      </c>
      <c r="F15" s="12" t="n">
        <v>17</v>
      </c>
      <c r="G15" s="12" t="n">
        <v>243.83392</v>
      </c>
      <c r="H15" s="14" t="n">
        <v>0.3523611560693642</v>
      </c>
      <c r="I15" s="12">
        <f>E15*0.33</f>
        <v/>
      </c>
      <c r="J15" s="12">
        <f>I15*G15</f>
        <v/>
      </c>
    </row>
    <row r="16">
      <c r="A16" s="30" t="inlineStr">
        <is>
          <t>CELIMAX THE REAL NONI ENERGY REPAIR CREAM 50ML</t>
        </is>
      </c>
      <c r="B16" s="31" t="n">
        <v>720</v>
      </c>
      <c r="C16" s="9" t="n"/>
      <c r="D16" s="12" t="n">
        <v>3200</v>
      </c>
      <c r="E16" s="12" t="n">
        <v>450</v>
      </c>
      <c r="F16" s="12" t="n">
        <v>20</v>
      </c>
      <c r="G16" s="12" t="n">
        <v>67.65892000000008</v>
      </c>
      <c r="H16" s="14" t="n">
        <v>0.08521274559193964</v>
      </c>
      <c r="I16" s="12">
        <f>E16*0.33</f>
        <v/>
      </c>
      <c r="J16" s="12">
        <f>I16*G16</f>
        <v/>
      </c>
    </row>
    <row r="17">
      <c r="A17" s="30" t="inlineStr">
        <is>
          <t>CELIMAX OIL CONTROL MOISTURIZING CREAM 80ML</t>
        </is>
      </c>
      <c r="B17" s="31" t="n">
        <v>600</v>
      </c>
      <c r="C17" s="9" t="n"/>
      <c r="D17" s="12" t="n">
        <v>3440</v>
      </c>
      <c r="E17" s="12" t="n">
        <v>400</v>
      </c>
      <c r="F17" s="12" t="n">
        <v>8</v>
      </c>
      <c r="G17" s="12" t="n">
        <v>421.7939200000003</v>
      </c>
      <c r="H17" s="14" t="n">
        <v>0.6371509365558917</v>
      </c>
      <c r="I17" s="12">
        <f>E17*0.33</f>
        <v/>
      </c>
      <c r="J17" s="12">
        <f>I17*G17</f>
        <v/>
      </c>
    </row>
    <row r="18">
      <c r="A18" s="30" t="inlineStr">
        <is>
          <t>CELIMAX PORE+DARK SPOT BRIGHTENING KIT</t>
        </is>
      </c>
      <c r="B18" s="31" t="n">
        <v>576</v>
      </c>
      <c r="C18" s="9" t="n"/>
      <c r="D18" s="12" t="n">
        <v>2630</v>
      </c>
      <c r="E18" s="12" t="n">
        <v>350</v>
      </c>
      <c r="F18" s="12" t="n">
        <v>15</v>
      </c>
      <c r="G18" s="12" t="n">
        <v>321.9289200000001</v>
      </c>
      <c r="H18" s="14" t="n">
        <v>0.6923202580645162</v>
      </c>
      <c r="I18" s="12">
        <f>E18*0.33</f>
        <v/>
      </c>
      <c r="J18" s="12">
        <f>I18*G18</f>
        <v/>
      </c>
    </row>
    <row r="19">
      <c r="A19" s="30" t="inlineStr">
        <is>
          <t>CELIMAX ONE STEP BODY BRIGHTENING PAD 60PADS</t>
        </is>
      </c>
      <c r="B19" s="31" t="n">
        <v>528</v>
      </c>
      <c r="C19" s="9" t="n"/>
      <c r="D19" s="12" t="n">
        <v>2360</v>
      </c>
      <c r="E19" s="12" t="n">
        <v>80</v>
      </c>
      <c r="F19" s="12" t="n">
        <v>15</v>
      </c>
      <c r="G19" s="12" t="n">
        <v>240.9739199999999</v>
      </c>
      <c r="H19" s="14" t="n">
        <v>0.5390915436241609</v>
      </c>
      <c r="I19" s="12">
        <f>E19*0.33</f>
        <v/>
      </c>
      <c r="J19" s="12">
        <f>I19*G19</f>
        <v/>
      </c>
    </row>
    <row r="20">
      <c r="A20" s="30" t="inlineStr">
        <is>
          <t>CELIMAX JI WOO GAE ONE STEP MILD CLEANSING PAD 60PADS</t>
        </is>
      </c>
      <c r="B20" s="31" t="n">
        <v>352</v>
      </c>
      <c r="C20" s="9" t="n"/>
      <c r="D20" s="12" t="n">
        <v>2900</v>
      </c>
      <c r="E20" s="12" t="n">
        <v>50</v>
      </c>
      <c r="F20" s="12" t="n">
        <v>14</v>
      </c>
      <c r="G20" s="12" t="n">
        <v>438.88392</v>
      </c>
      <c r="H20" s="14" t="n">
        <v>0.98184322147651</v>
      </c>
      <c r="I20" s="12">
        <f>E20*0.33</f>
        <v/>
      </c>
      <c r="J20" s="12">
        <f>I20*G20</f>
        <v/>
      </c>
    </row>
    <row r="21">
      <c r="A21" s="30" t="inlineStr">
        <is>
          <t>CELIMAX DUAL BARRIER MILD GEL CLEANSER 200ML</t>
        </is>
      </c>
      <c r="B21" s="31" t="n">
        <v>288</v>
      </c>
      <c r="C21" s="9" t="n"/>
      <c r="D21" s="12" t="n">
        <v>3630</v>
      </c>
      <c r="E21" s="12" t="n">
        <v>600</v>
      </c>
      <c r="F21" s="12" t="n">
        <v>15</v>
      </c>
      <c r="G21" s="12" t="n">
        <v>583.4289200000001</v>
      </c>
      <c r="H21" s="14" t="n">
        <v>1.02355950877193</v>
      </c>
      <c r="I21" s="12">
        <f>E21*0.33</f>
        <v/>
      </c>
      <c r="J21" s="12">
        <f>I21*G21</f>
        <v/>
      </c>
    </row>
    <row r="22">
      <c r="A22" s="30" t="inlineStr">
        <is>
          <t>CELIMAX THE REAL NONI REFRESH CLAY MASK 120G</t>
        </is>
      </c>
      <c r="B22" s="31" t="n">
        <v>408</v>
      </c>
      <c r="C22" s="9" t="n"/>
      <c r="D22" s="12" t="n">
        <v>2500</v>
      </c>
      <c r="E22" s="12" t="n">
        <v>75</v>
      </c>
      <c r="F22" s="12" t="n">
        <v>10</v>
      </c>
      <c r="G22" s="12" t="n">
        <v>259.2839200000001</v>
      </c>
      <c r="H22" s="14" t="n">
        <v>0.5401748333333335</v>
      </c>
      <c r="I22" s="12">
        <f>E22*0.33</f>
        <v/>
      </c>
      <c r="J22" s="12">
        <f>I22*G22</f>
        <v/>
      </c>
    </row>
    <row r="23">
      <c r="A23" s="30" t="inlineStr">
        <is>
          <t>CELIMAX DERMA NATURE GLUTATHIONE LONGLASTING TONE-UP CREAM 35ML</t>
        </is>
      </c>
      <c r="B23" s="31" t="n">
        <v>468</v>
      </c>
      <c r="C23" s="9" t="n"/>
      <c r="D23" s="12" t="n">
        <v>2045</v>
      </c>
      <c r="E23" s="12" t="n">
        <v>130</v>
      </c>
      <c r="F23" s="12" t="n">
        <v>15</v>
      </c>
      <c r="G23" s="12" t="n">
        <v>108.3589199999999</v>
      </c>
      <c r="H23" s="14" t="n">
        <v>0.232529871244635</v>
      </c>
      <c r="I23" s="12">
        <f>E23*0.33</f>
        <v/>
      </c>
      <c r="J23" s="12">
        <f>I23*G23</f>
        <v/>
      </c>
    </row>
    <row r="24">
      <c r="A24" s="30" t="inlineStr">
        <is>
          <t>CELIMAX DERMA NATURE RELIEF MADECICA PH BALANCING FOAM CLEANSING 150ML</t>
        </is>
      </c>
      <c r="B24" s="31" t="n">
        <v>320</v>
      </c>
      <c r="C24" s="9" t="n"/>
      <c r="D24" s="12" t="n">
        <v>2270</v>
      </c>
      <c r="E24" s="12" t="n">
        <v>340</v>
      </c>
      <c r="F24" s="12" t="n">
        <v>12</v>
      </c>
      <c r="G24" s="12" t="n">
        <v>267.98892</v>
      </c>
      <c r="H24" s="14" t="n">
        <v>0.6924778294573644</v>
      </c>
      <c r="I24" s="12">
        <f>E24*0.33</f>
        <v/>
      </c>
      <c r="J24" s="12">
        <f>I24*G24</f>
        <v/>
      </c>
    </row>
    <row r="25">
      <c r="A25" s="25" t="inlineStr">
        <is>
          <t>ROUND LAB 1025 DOKDO CLEANSER_150ml</t>
        </is>
      </c>
      <c r="B25" s="9" t="n"/>
      <c r="C25" s="9" t="n"/>
      <c r="D25" s="12" t="n">
        <v>2335</v>
      </c>
      <c r="E25" s="12" t="n">
        <v>4000</v>
      </c>
      <c r="F25" s="12" t="n">
        <v>3</v>
      </c>
      <c r="G25" s="12" t="n">
        <v>170.0885599999998</v>
      </c>
      <c r="H25" s="14" t="n">
        <v>0.3250990271220776</v>
      </c>
      <c r="I25" s="12">
        <f>E25*0.33</f>
        <v/>
      </c>
      <c r="J25" s="12">
        <f>I25*G25</f>
        <v/>
      </c>
    </row>
    <row r="26">
      <c r="A26" s="25" t="inlineStr">
        <is>
          <t>ROUND LAB 1025 DOKDO TONER_200ml</t>
        </is>
      </c>
      <c r="B26" s="9" t="n"/>
      <c r="C26" s="9" t="n"/>
      <c r="D26" s="12" t="n">
        <v>3400</v>
      </c>
      <c r="E26" s="12" t="n">
        <v>260</v>
      </c>
      <c r="F26" s="12" t="n">
        <v>2</v>
      </c>
      <c r="G26" s="12" t="n">
        <v>499.9385600000001</v>
      </c>
      <c r="H26" s="14" t="n">
        <v>0.9555583248915308</v>
      </c>
      <c r="I26" s="12">
        <f>E26*0.33</f>
        <v/>
      </c>
      <c r="J26" s="12">
        <f>I26*G26</f>
        <v/>
      </c>
    </row>
    <row r="27">
      <c r="A27" s="30" t="inlineStr">
        <is>
          <t>ROUND LAB 1025 DOKDO BUBBLE FOAM_150ml</t>
        </is>
      </c>
      <c r="B27" s="31" t="n">
        <v>600</v>
      </c>
      <c r="C27" s="9" t="n"/>
      <c r="D27" s="12" t="n">
        <v>2650</v>
      </c>
      <c r="E27" s="12" t="n">
        <v>20</v>
      </c>
      <c r="F27" s="12" t="n">
        <v>2</v>
      </c>
      <c r="G27" s="12" t="n">
        <v>288.22856</v>
      </c>
      <c r="H27" s="14" t="n">
        <v>0.5596671067961165</v>
      </c>
      <c r="I27" s="12">
        <f>E27*0.33</f>
        <v/>
      </c>
      <c r="J27" s="12">
        <f>I27*G27</f>
        <v/>
      </c>
    </row>
    <row r="28">
      <c r="A28" s="30" t="inlineStr">
        <is>
          <t>ROUND LAB PINE CALMING CICA CLEANSER_150ml</t>
        </is>
      </c>
      <c r="B28" s="31" t="n">
        <v>600</v>
      </c>
      <c r="C28" s="9" t="n"/>
      <c r="D28" s="12" t="n">
        <v>3050</v>
      </c>
      <c r="E28" s="12" t="n">
        <v>200</v>
      </c>
      <c r="F28" s="12" t="n">
        <v>3</v>
      </c>
      <c r="G28" s="12" t="n">
        <v>428.85356</v>
      </c>
      <c r="H28" s="14" t="n">
        <v>0.9202866094420601</v>
      </c>
      <c r="I28" s="12">
        <f>E28*0.33</f>
        <v/>
      </c>
      <c r="J28" s="12">
        <f>I28*G28</f>
        <v/>
      </c>
    </row>
    <row r="29">
      <c r="A29" s="30" t="inlineStr">
        <is>
          <t>ROUND LAB PINE CALMING CICA BODY WASH_400ml</t>
        </is>
      </c>
      <c r="B29" s="31" t="n">
        <v>400</v>
      </c>
      <c r="C29" s="9" t="n"/>
      <c r="D29" s="12" t="n">
        <v>2850</v>
      </c>
      <c r="E29" s="12" t="n">
        <v>300</v>
      </c>
      <c r="F29" s="12" t="n">
        <v>2</v>
      </c>
      <c r="G29" s="12" t="n">
        <v>315.2035599999999</v>
      </c>
      <c r="H29" s="14" t="n">
        <v>0.5804853775322282</v>
      </c>
      <c r="I29" s="12">
        <f>E29*0.33</f>
        <v/>
      </c>
      <c r="J29" s="12">
        <f>I29*G29</f>
        <v/>
      </c>
    </row>
    <row r="30">
      <c r="A30" s="30" t="inlineStr">
        <is>
          <t>ROUND LAB PINE CALMING CICA CREAM PLUS_60ml</t>
        </is>
      </c>
      <c r="B30" s="31" t="n">
        <v>240</v>
      </c>
      <c r="C30" s="9" t="n"/>
      <c r="D30" s="12" t="n">
        <v>4670</v>
      </c>
      <c r="E30" s="12" t="n">
        <v>20</v>
      </c>
      <c r="F30" s="12" t="n">
        <v>0</v>
      </c>
      <c r="G30" s="12" t="n">
        <v>690.9285599999998</v>
      </c>
      <c r="H30" s="14" t="n">
        <v>0.89498518134715</v>
      </c>
      <c r="I30" s="12">
        <f>E30*0.33</f>
        <v/>
      </c>
      <c r="J30" s="12">
        <f>I30*G30</f>
        <v/>
      </c>
    </row>
    <row r="31">
      <c r="A31" s="30" t="inlineStr">
        <is>
          <t>ROUND LAB CAMELLIA DEEP COLLAGEN FIRMING CREAM_50ml</t>
        </is>
      </c>
      <c r="B31" s="31" t="n">
        <v>400</v>
      </c>
      <c r="C31" s="9" t="n"/>
      <c r="D31" s="12" t="n">
        <v>4360</v>
      </c>
      <c r="E31" s="12" t="n">
        <v>60</v>
      </c>
      <c r="F31" s="12" t="n">
        <v>4</v>
      </c>
      <c r="G31" s="12" t="n">
        <v>531.97856</v>
      </c>
      <c r="H31" s="14" t="n">
        <v>0.6479641412911085</v>
      </c>
      <c r="I31" s="12">
        <f>E31*0.33</f>
        <v/>
      </c>
      <c r="J31" s="12">
        <f>I31*G31</f>
        <v/>
      </c>
    </row>
    <row r="32">
      <c r="A32" s="30" t="inlineStr">
        <is>
          <t>ROUND LAB PINE CALMING CICA PAD_50pcs</t>
        </is>
      </c>
      <c r="B32" s="31" t="n">
        <v>270</v>
      </c>
      <c r="C32" s="9" t="n"/>
      <c r="D32" s="12" t="n">
        <v>3120</v>
      </c>
      <c r="E32" s="12" t="n">
        <v>50</v>
      </c>
      <c r="F32" s="12" t="n">
        <v>4</v>
      </c>
      <c r="G32" s="54" t="n">
        <v>261.1585600000001</v>
      </c>
      <c r="H32" s="56" t="n">
        <v>0.3752278160919542</v>
      </c>
      <c r="I32" s="12">
        <f>E32*0.33</f>
        <v/>
      </c>
      <c r="J32" s="12">
        <f>I32*G32</f>
        <v/>
      </c>
    </row>
    <row r="33">
      <c r="A33" s="30" t="inlineStr">
        <is>
          <t>ROUND LAB SOYBEAN SERUM_50ml</t>
        </is>
      </c>
      <c r="B33" s="31" t="n">
        <v>210</v>
      </c>
      <c r="C33" s="9" t="n"/>
      <c r="D33" s="12" t="n">
        <v>3630</v>
      </c>
      <c r="E33" s="12" t="n">
        <v>70</v>
      </c>
      <c r="F33" s="12" t="n">
        <v>12</v>
      </c>
      <c r="G33" s="12" t="n">
        <v>379.4235600000002</v>
      </c>
      <c r="H33" s="14" t="n">
        <v>0.521186208791209</v>
      </c>
      <c r="I33" s="12">
        <f>E33*0.33</f>
        <v/>
      </c>
      <c r="J33" s="12">
        <f>I33*G33</f>
        <v/>
      </c>
    </row>
    <row r="34">
      <c r="A34" s="30" t="inlineStr">
        <is>
          <t>ROUND LAB STICK POUCH KIT</t>
        </is>
      </c>
      <c r="B34" s="31" t="n">
        <v>300</v>
      </c>
      <c r="C34" s="9" t="n"/>
      <c r="D34" s="12" t="n">
        <v>2300</v>
      </c>
      <c r="E34" s="12" t="n">
        <v>50</v>
      </c>
      <c r="F34" s="12" t="n">
        <v>10</v>
      </c>
      <c r="G34" s="12" t="n">
        <v>218.62856</v>
      </c>
      <c r="H34" s="14" t="n">
        <v>0.4991519634703196</v>
      </c>
      <c r="I34" s="12">
        <f>E34*0.33</f>
        <v/>
      </c>
      <c r="J34" s="12">
        <f>I34*G34</f>
        <v/>
      </c>
    </row>
    <row r="35">
      <c r="A35" s="25" t="inlineStr">
        <is>
          <t>ETUDE - Baking Powder Crunch Pore Scrub [200ml] / Очищающий скраб для лица с содой</t>
        </is>
      </c>
      <c r="B35" s="9" t="inlineStr">
        <is>
          <t>-</t>
        </is>
      </c>
      <c r="C35" s="9" t="n"/>
      <c r="D35" s="12" t="n">
        <v>1730</v>
      </c>
      <c r="E35" s="12" t="n">
        <v>300</v>
      </c>
      <c r="F35" s="12" t="n">
        <v>5</v>
      </c>
      <c r="G35" s="12" t="n">
        <v>164.59812</v>
      </c>
      <c r="H35" s="14" t="n">
        <v>0.3909415481082108</v>
      </c>
      <c r="I35" s="12">
        <f>E35*0.33</f>
        <v/>
      </c>
      <c r="J35" s="12">
        <f>I35*G35</f>
        <v/>
      </c>
    </row>
    <row r="36">
      <c r="A36" s="25" t="inlineStr">
        <is>
          <t>ETUDE - Baking Powder BB Deep Cleansing Foam [160ml] / Пенка с содой для глубокого очищения и снятия макияжа</t>
        </is>
      </c>
      <c r="B36" s="9" t="inlineStr">
        <is>
          <t>-</t>
        </is>
      </c>
      <c r="C36" s="9" t="n"/>
      <c r="D36" s="12" t="n">
        <v>1870</v>
      </c>
      <c r="E36" s="12" t="n">
        <v>230</v>
      </c>
      <c r="F36" s="12" t="n">
        <v>8</v>
      </c>
      <c r="G36" s="12" t="n">
        <v>247.3181200000002</v>
      </c>
      <c r="H36" s="14" t="n">
        <v>0.7008362945960505</v>
      </c>
      <c r="I36" s="12">
        <f>E36*0.33</f>
        <v/>
      </c>
      <c r="J36" s="12">
        <f>I36*G36</f>
        <v/>
      </c>
    </row>
    <row r="37">
      <c r="A37" s="25" t="inlineStr">
        <is>
          <t>ETUDE - Baking Powder Crunch Pore Scrub [24*7ml] / Очищающий скраб для лица с содой</t>
        </is>
      </c>
      <c r="B37" s="9" t="inlineStr">
        <is>
          <t>-</t>
        </is>
      </c>
      <c r="C37" s="9" t="n"/>
      <c r="D37" s="12" t="n">
        <v>1900</v>
      </c>
      <c r="E37" s="12" t="n">
        <v>60</v>
      </c>
      <c r="F37" s="12" t="n">
        <v>10</v>
      </c>
      <c r="G37" s="12" t="n">
        <v>112.38855</v>
      </c>
      <c r="H37" s="14" t="n">
        <v>0.2497578835085224</v>
      </c>
      <c r="I37" s="12">
        <f>E37*0.33</f>
        <v/>
      </c>
      <c r="J37" s="12">
        <f>I37*G37</f>
        <v/>
      </c>
    </row>
    <row r="38">
      <c r="A38" s="25" t="inlineStr">
        <is>
          <t>MANYO BIFIDA INFUSION SHOT AMPOULE 1DX [50ml] / Сыворотка с микроиглами и пробиотиками</t>
        </is>
      </c>
      <c r="B38" s="9" t="inlineStr">
        <is>
          <t>-</t>
        </is>
      </c>
      <c r="C38" s="9" t="n"/>
      <c r="D38" s="12" t="n">
        <v>3800</v>
      </c>
      <c r="E38" s="12" t="n">
        <v>370</v>
      </c>
      <c r="F38" s="12" t="n">
        <v>0</v>
      </c>
      <c r="G38" s="12" t="n">
        <v>577.1181000000001</v>
      </c>
      <c r="H38" s="14" t="n">
        <v>0.601302485986372</v>
      </c>
      <c r="I38" s="12">
        <f>E38*0.33</f>
        <v/>
      </c>
      <c r="J38" s="12">
        <f>I38*G38</f>
        <v/>
      </c>
    </row>
    <row r="39">
      <c r="A39" s="25" t="inlineStr">
        <is>
          <t>MANYO - Bifida Biome Complex Ampoule [50ml] / Антивозрастная сыворотка для лица</t>
        </is>
      </c>
      <c r="B39" s="9" t="inlineStr">
        <is>
          <t>-</t>
        </is>
      </c>
      <c r="C39" s="9" t="n"/>
      <c r="D39" s="12" t="n">
        <v>5800</v>
      </c>
      <c r="E39" s="12" t="n">
        <v>152</v>
      </c>
      <c r="F39" s="12" t="n">
        <v>0</v>
      </c>
      <c r="G39" s="12" t="n">
        <v>1510.1181</v>
      </c>
      <c r="H39" s="14" t="n">
        <v>1.573400258392548</v>
      </c>
      <c r="I39" s="12">
        <f>E39*0.33</f>
        <v/>
      </c>
      <c r="J39" s="12">
        <f>I39*G39</f>
        <v/>
      </c>
    </row>
    <row r="40">
      <c r="A40" s="25" t="inlineStr">
        <is>
          <t>MANYO - Galac Whitening Vita Serum [50ml] / Осветляющая сыворотка с Витамином C</t>
        </is>
      </c>
      <c r="B40" s="9" t="inlineStr">
        <is>
          <t>-</t>
        </is>
      </c>
      <c r="C40" s="9" t="inlineStr">
        <is>
          <t>-</t>
        </is>
      </c>
      <c r="D40" s="12" t="n">
        <v>4000</v>
      </c>
      <c r="E40" s="12" t="n">
        <v>163</v>
      </c>
      <c r="F40" s="12" t="n">
        <v>0</v>
      </c>
      <c r="G40" s="12" t="n">
        <v>931.6371300000001</v>
      </c>
      <c r="H40" s="14" t="n">
        <v>1.318049785662748</v>
      </c>
      <c r="I40" s="12">
        <f>E40*0.33</f>
        <v/>
      </c>
      <c r="J40" s="12">
        <f>I40*G40</f>
        <v/>
      </c>
    </row>
    <row r="41">
      <c r="A41" s="25" t="inlineStr">
        <is>
          <t>MANYO - Bifida Biome Ampoule Lotion [300ml] / Укрепляющий лосьон с бифидобактериями</t>
        </is>
      </c>
      <c r="B41" s="9" t="inlineStr">
        <is>
          <t>-</t>
        </is>
      </c>
      <c r="C41" s="9" t="inlineStr">
        <is>
          <t>нет у официала</t>
        </is>
      </c>
      <c r="D41" s="12" t="n">
        <v>4000</v>
      </c>
      <c r="E41" s="12" t="n">
        <v>140</v>
      </c>
      <c r="F41" s="12" t="n">
        <v>0</v>
      </c>
      <c r="G41" s="12" t="n">
        <v>828.8544699999999</v>
      </c>
      <c r="H41" s="14" t="n">
        <v>1.04213854452184</v>
      </c>
      <c r="I41" s="12">
        <f>E41*0.33</f>
        <v/>
      </c>
      <c r="J41" s="12">
        <f>I41*G41</f>
        <v/>
      </c>
    </row>
    <row r="42">
      <c r="A42" s="25" t="inlineStr">
        <is>
          <t>MANYO - Pure Cleansing Oil [200ml] / Гидрофильное масло для глубокого очищения</t>
        </is>
      </c>
      <c r="B42" s="9" t="inlineStr">
        <is>
          <t>-</t>
        </is>
      </c>
      <c r="C42" s="9" t="inlineStr">
        <is>
          <t>-</t>
        </is>
      </c>
      <c r="D42" s="12" t="n">
        <v>4000</v>
      </c>
      <c r="E42" s="12" t="n">
        <v>60</v>
      </c>
      <c r="F42" s="12" t="n">
        <v>0</v>
      </c>
      <c r="G42" s="12" t="n">
        <v>711.7635</v>
      </c>
      <c r="H42" s="14" t="n">
        <v>0.7795876232201534</v>
      </c>
      <c r="I42" s="12">
        <f>E42*0.33</f>
        <v/>
      </c>
      <c r="J42" s="12">
        <f>I42*G42</f>
        <v/>
      </c>
    </row>
    <row r="43">
      <c r="A43" s="25" t="inlineStr">
        <is>
          <t>MANYO BIFIDA COMPLEX AMPOULE GEL CLEANSER [400ml] / Гель для умывания с бифидобактериями</t>
        </is>
      </c>
      <c r="B43" s="9" t="inlineStr">
        <is>
          <t>-</t>
        </is>
      </c>
      <c r="C43" s="9" t="inlineStr">
        <is>
          <t>-</t>
        </is>
      </c>
      <c r="D43" s="12" t="n">
        <v>4800</v>
      </c>
      <c r="E43" s="12" t="n">
        <v>20</v>
      </c>
      <c r="F43" s="12" t="n">
        <v>0</v>
      </c>
      <c r="G43" s="12" t="n">
        <v>1276.933937</v>
      </c>
      <c r="H43" s="14" t="n">
        <v>1.798498502816901</v>
      </c>
      <c r="I43" s="12">
        <f>E43*0.33</f>
        <v/>
      </c>
      <c r="J43" s="12">
        <f>I43*G43</f>
        <v/>
      </c>
    </row>
    <row r="44">
      <c r="A44" s="25" t="inlineStr">
        <is>
          <t>PETITFEE - Collagen &amp; CoQ10 Hydrogel Eye Patch [60ea] / Гидрогелевые патчи для глаз с коллагеном и коэнзимом Q10</t>
        </is>
      </c>
      <c r="B44" s="9" t="inlineStr">
        <is>
          <t>-</t>
        </is>
      </c>
      <c r="C44" s="9" t="n"/>
      <c r="D44" s="12" t="n">
        <v>1818</v>
      </c>
      <c r="E44" s="12" t="n">
        <v>734</v>
      </c>
      <c r="F44" s="12" t="n">
        <v>16</v>
      </c>
      <c r="G44" s="12" t="n">
        <v>76.19619999999992</v>
      </c>
      <c r="H44" s="14" t="n">
        <v>0.1712081788563081</v>
      </c>
      <c r="I44" s="12">
        <f>E44*0.33</f>
        <v/>
      </c>
      <c r="J44" s="12">
        <f>I44*G44</f>
        <v/>
      </c>
    </row>
    <row r="45">
      <c r="A45" s="25" t="inlineStr">
        <is>
          <t>PETITFEE - Black Pearl &amp; Gold Hydrogel Eye Patch [60ea] / Гидрогелевые патчи для глаз с черным жемчугом и золотом</t>
        </is>
      </c>
      <c r="B45" s="9" t="inlineStr">
        <is>
          <t>-</t>
        </is>
      </c>
      <c r="C45" s="9" t="n"/>
      <c r="D45" s="12" t="n">
        <v>1780</v>
      </c>
      <c r="E45" s="12" t="n">
        <v>489</v>
      </c>
      <c r="F45" s="12" t="n">
        <v>16</v>
      </c>
      <c r="G45" s="12" t="n">
        <v>55.25119999999998</v>
      </c>
      <c r="H45" s="14" t="n">
        <v>0.1234194831013916</v>
      </c>
      <c r="I45" s="12">
        <f>E45*0.33</f>
        <v/>
      </c>
      <c r="J45" s="12">
        <f>I45*G45</f>
        <v/>
      </c>
    </row>
    <row r="46">
      <c r="A46" s="25" t="inlineStr">
        <is>
          <t>PETITFEE - Agave Cooling Hydrogel Eye Patch [60ea] / Охлаждающие гидрогелевые патчи для глаз с экстрактом агавы</t>
        </is>
      </c>
      <c r="B46" s="9" t="inlineStr">
        <is>
          <t>-</t>
        </is>
      </c>
      <c r="C46" s="9" t="n"/>
      <c r="D46" s="12" t="n">
        <v>1730</v>
      </c>
      <c r="E46" s="12" t="n">
        <v>568</v>
      </c>
      <c r="F46" s="12" t="n">
        <v>17</v>
      </c>
      <c r="G46" s="12" t="n">
        <v>20.13119999999998</v>
      </c>
      <c r="H46" s="14" t="n">
        <v>0.04234047028141164</v>
      </c>
      <c r="I46" s="12">
        <f>E46*0.33</f>
        <v/>
      </c>
      <c r="J46" s="12">
        <f>I46*G46</f>
        <v/>
      </c>
    </row>
    <row r="47">
      <c r="A47" s="25" t="inlineStr">
        <is>
          <t>PETITFEE - Gold &amp; Snail Hydrogel Eye Patch [60ea] / Гидрогелевые патчи для глаз с золотом и улиткой</t>
        </is>
      </c>
      <c r="B47" s="9" t="inlineStr">
        <is>
          <t>-</t>
        </is>
      </c>
      <c r="C47" s="9" t="n"/>
      <c r="D47" s="12" t="n">
        <v>1740</v>
      </c>
      <c r="E47" s="12" t="n">
        <v>150</v>
      </c>
      <c r="F47" s="12" t="n">
        <v>7</v>
      </c>
      <c r="G47" s="12" t="n">
        <v>20.13119999999998</v>
      </c>
      <c r="H47" s="14" t="n">
        <v>0.04234047028141164</v>
      </c>
      <c r="I47" s="12">
        <f>E47*0.33</f>
        <v/>
      </c>
      <c r="J47" s="12">
        <f>I47*G47</f>
        <v/>
      </c>
    </row>
    <row r="48">
      <c r="A48" s="25" t="inlineStr">
        <is>
          <t>PETITFEE - Gold Hydrogel Eye Patch [60ea] / гидрогелевые патчи для глаз с золотом</t>
        </is>
      </c>
      <c r="B48" s="9" t="inlineStr">
        <is>
          <t>-</t>
        </is>
      </c>
      <c r="C48" s="9" t="n"/>
      <c r="D48" s="12" t="n">
        <v>1930</v>
      </c>
      <c r="E48" s="12" t="n">
        <v>128</v>
      </c>
      <c r="F48" s="12" t="n">
        <v>2.2</v>
      </c>
      <c r="G48" s="12" t="n">
        <v>82.43620000000004</v>
      </c>
      <c r="H48" s="14" t="n">
        <v>0.1733819879695454</v>
      </c>
      <c r="I48" s="12">
        <f>E48*0.33</f>
        <v/>
      </c>
      <c r="J48" s="12">
        <f>I48*G48</f>
        <v/>
      </c>
    </row>
    <row r="49">
      <c r="A49" s="25" t="inlineStr">
        <is>
          <t>PETITFEE - Agave Cooling Hydrogel Face Mask [5pcs] / Охлаждающая гидрогелевая маска для лица с экстрактом агавы</t>
        </is>
      </c>
      <c r="B49" s="9" t="inlineStr">
        <is>
          <t>-</t>
        </is>
      </c>
      <c r="C49" s="9" t="n"/>
      <c r="D49" s="12" t="n">
        <v>2480</v>
      </c>
      <c r="E49" s="12" t="n">
        <v>293</v>
      </c>
      <c r="F49" s="12" t="n">
        <v>21</v>
      </c>
      <c r="G49" s="12" t="n">
        <v>149.9996999999998</v>
      </c>
      <c r="H49" s="14" t="n">
        <v>0.2745185849453703</v>
      </c>
      <c r="I49" s="12">
        <f>E49*0.33</f>
        <v/>
      </c>
      <c r="J49" s="12">
        <f>I49*G49</f>
        <v/>
      </c>
    </row>
    <row r="50">
      <c r="A50" s="25" t="inlineStr">
        <is>
          <t>PETITFEE - Gold Hydrogel Mask Pack [5pcs] / Гидрогелевая маска для лица с золотом</t>
        </is>
      </c>
      <c r="B50" s="9" t="inlineStr">
        <is>
          <t>-</t>
        </is>
      </c>
      <c r="C50" s="9" t="n"/>
      <c r="D50" s="12" t="n">
        <v>2570</v>
      </c>
      <c r="E50" s="12" t="n">
        <v>121</v>
      </c>
      <c r="F50" s="12" t="n">
        <v>12</v>
      </c>
      <c r="G50" s="12" t="n">
        <v>165.8996999999999</v>
      </c>
      <c r="H50" s="14" t="n">
        <v>0.2925095211227871</v>
      </c>
      <c r="I50" s="12">
        <f>E50*0.33</f>
        <v/>
      </c>
      <c r="J50" s="12">
        <f>I50*G50</f>
        <v/>
      </c>
    </row>
    <row r="51">
      <c r="A51" s="25" t="inlineStr">
        <is>
          <t>PETITFEE - Cacao Energizing Hydrogel Mask Pack [5pcs] / Тонизирующая гидрогелевая маска для лица с экстрактом какао</t>
        </is>
      </c>
      <c r="B51" s="9" t="inlineStr">
        <is>
          <t>-</t>
        </is>
      </c>
      <c r="C51" s="9" t="n"/>
      <c r="D51" s="12" t="n">
        <v>2680</v>
      </c>
      <c r="E51" s="12" t="n">
        <v>38</v>
      </c>
      <c r="F51" s="12" t="n">
        <v>9.699999999999999</v>
      </c>
      <c r="G51" s="12" t="n">
        <v>157.8747</v>
      </c>
      <c r="H51" s="14" t="n">
        <v>0.2835087813813166</v>
      </c>
      <c r="I51" s="12">
        <f>E51*0.33</f>
        <v/>
      </c>
      <c r="J51" s="12">
        <f>I51*G51</f>
        <v/>
      </c>
    </row>
    <row r="52">
      <c r="A52" s="25" t="inlineStr">
        <is>
          <t>PETITFEE - Artichoke Soothing Hydrogel Face Mask [5pcs] / Смягчающая гидрогелевая маска для лица с экстрактом артишока</t>
        </is>
      </c>
      <c r="B52" s="9" t="inlineStr">
        <is>
          <t>-</t>
        </is>
      </c>
      <c r="C52" s="9" t="n"/>
      <c r="D52" s="12" t="n">
        <v>2420</v>
      </c>
      <c r="E52" s="12" t="n">
        <v>409</v>
      </c>
      <c r="F52" s="12" t="n">
        <v>23</v>
      </c>
      <c r="G52" s="12" t="n">
        <v>174.5197000000001</v>
      </c>
      <c r="H52" s="14" t="n">
        <v>0.3124569413112759</v>
      </c>
      <c r="I52" s="12">
        <f>E52*0.33</f>
        <v/>
      </c>
      <c r="J52" s="12">
        <f>I52*G52</f>
        <v/>
      </c>
    </row>
    <row r="53">
      <c r="A53" s="25" t="inlineStr">
        <is>
          <t>PETITFEE - Gold &amp; Snail Hydrogel Mask Pack [5pcs] / Гидрогелевая маска для лица с золотом и экстрактом улитки</t>
        </is>
      </c>
      <c r="B53" s="9" t="inlineStr">
        <is>
          <t>-</t>
        </is>
      </c>
      <c r="C53" s="9" t="n"/>
      <c r="D53" s="12" t="n">
        <v>2280</v>
      </c>
      <c r="E53" s="12" t="n">
        <v>19</v>
      </c>
      <c r="F53" s="12" t="n">
        <v>8</v>
      </c>
      <c r="G53" s="12" t="n">
        <v>134.4171999999999</v>
      </c>
      <c r="H53" s="14" t="n">
        <v>0.2497671739413194</v>
      </c>
      <c r="I53" s="12">
        <f>E53*0.33</f>
        <v/>
      </c>
      <c r="J53" s="12">
        <f>I53*G53</f>
        <v/>
      </c>
    </row>
    <row r="54">
      <c r="A54" s="25" t="inlineStr">
        <is>
          <t>PETITFEE - Black Pearl &amp; Gold Hydrogel Mask Pack [5pcs] / Гидрогелевая маска для лица с черным жемчугом и золотом</t>
        </is>
      </c>
      <c r="B54" s="9" t="inlineStr">
        <is>
          <t>-</t>
        </is>
      </c>
      <c r="C54" s="9" t="n"/>
      <c r="D54" s="12" t="n">
        <v>2225</v>
      </c>
      <c r="E54" s="12" t="n">
        <v>156</v>
      </c>
      <c r="F54" s="12" t="n">
        <v>23</v>
      </c>
      <c r="G54" s="12" t="n">
        <v>134.5372</v>
      </c>
      <c r="H54" s="14" t="n">
        <v>0.2500459065142644</v>
      </c>
      <c r="I54" s="12">
        <f>E54*0.33</f>
        <v/>
      </c>
      <c r="J54" s="12">
        <f>I54*G54</f>
        <v/>
      </c>
    </row>
    <row r="55">
      <c r="A55" s="25" t="inlineStr">
        <is>
          <t>DEOPROCE SHAMPOO - BLACK GARLIC INTENSME ENERGY [200ml]/ Шампунь с черным чесноком против выпадения волос</t>
        </is>
      </c>
      <c r="B55" s="9" t="inlineStr">
        <is>
          <t>-</t>
        </is>
      </c>
      <c r="C55" s="9" t="n"/>
      <c r="D55" s="12" t="n">
        <v>980</v>
      </c>
      <c r="E55" s="12" t="n">
        <v>8</v>
      </c>
      <c r="F55" s="12" t="n">
        <v>0</v>
      </c>
      <c r="G55" s="12" t="n">
        <v>16.50236000000007</v>
      </c>
      <c r="H55" s="14" t="n">
        <v>0.07816208023492667</v>
      </c>
      <c r="I55" s="12">
        <f>E55*0.33</f>
        <v/>
      </c>
      <c r="J55" s="12">
        <f>I55*G55</f>
        <v/>
      </c>
    </row>
    <row r="56">
      <c r="A56" s="25" t="inlineStr">
        <is>
          <t>HEIMISH - Artless Glow Base SPF50+ PA+++(Renew) [40ml] / База под макияж SPF50+ PA+++</t>
        </is>
      </c>
      <c r="B56" s="9" t="inlineStr">
        <is>
          <t>-</t>
        </is>
      </c>
      <c r="C56" s="9" t="n"/>
      <c r="D56" s="12" t="n">
        <v>2980</v>
      </c>
      <c r="E56" s="12" t="n">
        <v>100</v>
      </c>
      <c r="F56" s="12" t="n">
        <v>0</v>
      </c>
      <c r="G56" s="12" t="n">
        <v>227.57078</v>
      </c>
      <c r="H56" s="14" t="n">
        <v>0.2740231914073789</v>
      </c>
      <c r="I56" s="12">
        <f>E56*0.33</f>
        <v/>
      </c>
      <c r="J56" s="12">
        <f>I56*G56</f>
        <v/>
      </c>
    </row>
    <row r="57">
      <c r="A57" s="25" t="inlineStr">
        <is>
          <t>JMSOLUTION - MASK PACK BLACK [30ml*10ea] - ассорти набор 10шт в упаковке</t>
        </is>
      </c>
      <c r="B57" s="9" t="inlineStr">
        <is>
          <t>-</t>
        </is>
      </c>
      <c r="C57" s="9" t="n"/>
      <c r="D57" s="12" t="n">
        <v>2340</v>
      </c>
      <c r="E57" s="12" t="n">
        <v>100</v>
      </c>
      <c r="F57" s="12" t="n">
        <v>4</v>
      </c>
      <c r="G57" s="12" t="n">
        <v>130.65275</v>
      </c>
      <c r="H57" s="14" t="n">
        <v>0.2497185588685014</v>
      </c>
      <c r="I57" s="12">
        <f>E57*0.33</f>
        <v/>
      </c>
      <c r="J57" s="12">
        <f>I57*G57</f>
        <v/>
      </c>
    </row>
    <row r="58">
      <c r="A58" s="25" t="inlineStr">
        <is>
          <t>JMSOLUTION - MASK PACK DISNEY [30ml*10ea] - ассорти набор из 10шт</t>
        </is>
      </c>
      <c r="B58" s="9" t="inlineStr">
        <is>
          <t>-</t>
        </is>
      </c>
      <c r="C58" s="9" t="inlineStr">
        <is>
          <t>нет таких наборов</t>
        </is>
      </c>
      <c r="D58" s="12" t="n"/>
      <c r="E58" s="12" t="n">
        <v>100</v>
      </c>
      <c r="F58" s="12" t="n"/>
      <c r="G58" s="12" t="n">
        <v>130.65275</v>
      </c>
      <c r="H58" s="14" t="n">
        <v>0.2497185588685014</v>
      </c>
      <c r="I58" s="12">
        <f>E58*0.33</f>
        <v/>
      </c>
      <c r="J58" s="12">
        <f>I58*G58</f>
        <v/>
      </c>
    </row>
    <row r="59">
      <c r="A59" s="25" t="inlineStr">
        <is>
          <t>VT PDRN ESSENCE 100 / Укрепляющая бустер-эссенция с ПДРН</t>
        </is>
      </c>
      <c r="B59" s="9" t="inlineStr">
        <is>
          <t>-</t>
        </is>
      </c>
      <c r="C59" s="9" t="n"/>
      <c r="D59" s="12" t="n">
        <v>6000</v>
      </c>
      <c r="E59" s="12" t="n">
        <v>500</v>
      </c>
      <c r="F59" s="12" t="n">
        <v>10</v>
      </c>
      <c r="G59" s="12" t="n">
        <v>597.2481</v>
      </c>
      <c r="H59" s="14" t="n">
        <v>0.4278434757691895</v>
      </c>
      <c r="I59" s="12">
        <f>E59*0.33</f>
        <v/>
      </c>
      <c r="J59" s="12">
        <f>I59*G59</f>
        <v/>
      </c>
    </row>
    <row r="60">
      <c r="A60" s="25" t="inlineStr">
        <is>
          <t>VT REEDLE SHOT 100 / Бустер-сыворотка с микроиглами</t>
        </is>
      </c>
      <c r="B60" s="9" t="inlineStr">
        <is>
          <t>-</t>
        </is>
      </c>
      <c r="C60" s="9" t="n"/>
      <c r="D60" s="12" t="n">
        <v>5900</v>
      </c>
      <c r="E60" s="12" t="n">
        <v>220</v>
      </c>
      <c r="F60" s="12" t="n">
        <v>11</v>
      </c>
      <c r="G60" s="12" t="n">
        <v>921.9908</v>
      </c>
      <c r="H60" s="14" t="n">
        <v>0.891639394994391</v>
      </c>
      <c r="I60" s="12">
        <f>E60*0.33</f>
        <v/>
      </c>
      <c r="J60" s="12">
        <f>I60*G60</f>
        <v/>
      </c>
    </row>
    <row r="61">
      <c r="A61" s="67" t="inlineStr">
        <is>
          <t>MEDICUBE PDRN PINK PEPTIDE SERUM 30ml</t>
        </is>
      </c>
      <c r="B61" s="68" t="n">
        <v>320</v>
      </c>
      <c r="C61" s="9" t="n"/>
      <c r="D61" s="12" t="n">
        <v>4880</v>
      </c>
      <c r="E61" s="12" t="n">
        <v>220</v>
      </c>
      <c r="F61" s="12" t="n">
        <v>10</v>
      </c>
      <c r="G61" s="12" t="n">
        <v>848.2008000000001</v>
      </c>
      <c r="H61" s="14" t="n">
        <v>1.155586920980927</v>
      </c>
      <c r="I61" s="12">
        <f>E61*0.33</f>
        <v/>
      </c>
      <c r="J61" s="12">
        <f>I61*G61</f>
        <v/>
      </c>
    </row>
    <row r="62">
      <c r="A62" s="67" t="inlineStr">
        <is>
          <t>MEDICUBE PDRN PINK EXOSOME SHOT SERUM 7500 30ml</t>
        </is>
      </c>
      <c r="B62" s="68" t="n">
        <v>400</v>
      </c>
      <c r="C62" s="9" t="n"/>
      <c r="D62" s="12" t="n">
        <v>5000</v>
      </c>
      <c r="E62" s="12" t="n">
        <v>60</v>
      </c>
      <c r="F62" s="12" t="n">
        <v>10</v>
      </c>
      <c r="G62" s="12" t="n">
        <v>733.1808000000001</v>
      </c>
      <c r="H62" s="14" t="n">
        <v>0.821031131019037</v>
      </c>
      <c r="I62" s="12">
        <f>E62*0.33</f>
        <v/>
      </c>
      <c r="J62" s="12">
        <f>I62*G62</f>
        <v/>
      </c>
    </row>
    <row r="63">
      <c r="A63" s="67" t="inlineStr">
        <is>
          <t>MEDICUBE PDRN PINK EXOSOME SHOT SERUM 2000 30ml</t>
        </is>
      </c>
      <c r="B63" s="68" t="n">
        <v>300</v>
      </c>
      <c r="C63" s="9" t="n"/>
      <c r="D63" s="12" t="n">
        <v>5150</v>
      </c>
      <c r="E63" s="12" t="n">
        <v>65</v>
      </c>
      <c r="F63" s="12" t="n">
        <v>5</v>
      </c>
      <c r="G63" s="12" t="n">
        <v>864.1558</v>
      </c>
      <c r="H63" s="14" t="n">
        <v>1.0577182374541</v>
      </c>
      <c r="I63" s="12">
        <f>E63*0.33</f>
        <v/>
      </c>
      <c r="J63" s="12">
        <f>I63*G63</f>
        <v/>
      </c>
    </row>
    <row r="64">
      <c r="A64" s="67" t="inlineStr">
        <is>
          <t>MEDICUBE TXA NIACINAMIDE CAPSULE CREAM 55g</t>
        </is>
      </c>
      <c r="B64" s="68" t="n">
        <v>240</v>
      </c>
      <c r="C64" s="9" t="n"/>
      <c r="D64" s="12" t="n">
        <v>6900</v>
      </c>
      <c r="E64" s="12" t="n">
        <v>25</v>
      </c>
      <c r="F64" s="12" t="n">
        <v>0</v>
      </c>
      <c r="G64" s="12" t="n">
        <v>1303.8808</v>
      </c>
      <c r="H64" s="14" t="n">
        <v>1.327780855397149</v>
      </c>
      <c r="I64" s="12">
        <f>E64*0.33</f>
        <v/>
      </c>
      <c r="J64" s="12">
        <f>I64*G64</f>
        <v/>
      </c>
    </row>
    <row r="65">
      <c r="A65" s="67" t="inlineStr">
        <is>
          <t>MEDICUBE PDRN PINK COLLAGEN CAPSULE CREAM 55g</t>
        </is>
      </c>
      <c r="B65" s="68" t="n">
        <v>160</v>
      </c>
      <c r="C65" s="9" t="n"/>
      <c r="D65" s="12" t="n">
        <v>5270</v>
      </c>
      <c r="E65" s="12" t="n">
        <v>200</v>
      </c>
      <c r="F65" s="12" t="n">
        <v>17</v>
      </c>
      <c r="G65" s="12" t="n">
        <v>657.1307999999999</v>
      </c>
      <c r="H65" s="14" t="n">
        <v>0.6090183503243743</v>
      </c>
      <c r="I65" s="12">
        <f>E65*0.33</f>
        <v/>
      </c>
      <c r="J65" s="12">
        <f>I65*G65</f>
        <v/>
      </c>
    </row>
    <row r="66">
      <c r="A66" s="67" t="inlineStr">
        <is>
          <t>MEDICUBE PDRN PINK HYALURONIC MOISTURIZING CREAM 50ml</t>
        </is>
      </c>
      <c r="B66" s="68" t="n">
        <v>200</v>
      </c>
      <c r="C66" s="9" t="n"/>
      <c r="D66" s="12" t="n">
        <v>3450</v>
      </c>
      <c r="E66" s="12" t="n">
        <v>100</v>
      </c>
      <c r="F66" s="12" t="n">
        <v>10</v>
      </c>
      <c r="G66" s="12" t="n">
        <v>328.1058</v>
      </c>
      <c r="H66" s="14" t="n">
        <v>0.4494600000000001</v>
      </c>
      <c r="I66" s="12">
        <f>E66*0.33</f>
        <v/>
      </c>
      <c r="J66" s="12">
        <f>I66*G66</f>
        <v/>
      </c>
    </row>
    <row r="67">
      <c r="A67" s="67" t="inlineStr">
        <is>
          <t>[Derma Factory] PDRN 4% Ampoule</t>
        </is>
      </c>
      <c r="B67" s="68" t="n">
        <v>1530</v>
      </c>
      <c r="C67" s="9" t="n"/>
      <c r="D67" s="12" t="n">
        <v>3350</v>
      </c>
      <c r="E67" s="12" t="n">
        <v>400</v>
      </c>
      <c r="F67" s="12" t="n">
        <v>13</v>
      </c>
      <c r="G67" s="12" t="n">
        <v>554.4558000000002</v>
      </c>
      <c r="H67" s="14" t="n">
        <v>1.187271520342613</v>
      </c>
      <c r="I67" s="12">
        <f>E67*0.33</f>
        <v/>
      </c>
      <c r="J67" s="12">
        <f>I67*G67</f>
        <v/>
      </c>
    </row>
    <row r="68">
      <c r="A68" s="67" t="inlineStr">
        <is>
          <t>[Derma Factory] Tranexamic Acid 6% Cream</t>
        </is>
      </c>
      <c r="B68" s="68" t="n">
        <v>1344</v>
      </c>
      <c r="C68" s="9" t="n"/>
      <c r="D68" s="12" t="n">
        <v>2210</v>
      </c>
      <c r="E68" s="12" t="n">
        <v>1100</v>
      </c>
      <c r="F68" s="12" t="n">
        <v>13</v>
      </c>
      <c r="G68" s="12" t="n">
        <v>315.6308</v>
      </c>
      <c r="H68" s="14" t="n">
        <v>0.9832735202492212</v>
      </c>
      <c r="I68" s="12">
        <f>E68*0.33</f>
        <v/>
      </c>
      <c r="J68" s="12">
        <f>I68*G68</f>
        <v/>
      </c>
    </row>
    <row r="69">
      <c r="A69" s="67" t="inlineStr">
        <is>
          <t>[Derma Factory] Retinal 300ppm Cream</t>
        </is>
      </c>
      <c r="B69" s="68" t="n">
        <v>1248</v>
      </c>
      <c r="C69" s="9" t="n"/>
      <c r="D69" s="12" t="n">
        <v>2490</v>
      </c>
      <c r="E69" s="12" t="n">
        <v>500</v>
      </c>
      <c r="F69" s="12" t="n">
        <v>13</v>
      </c>
      <c r="G69" s="12" t="n">
        <v>353.2658000000001</v>
      </c>
      <c r="H69" s="14" t="n">
        <v>1.00075297450425</v>
      </c>
      <c r="I69" s="12">
        <f>E69*0.33</f>
        <v/>
      </c>
      <c r="J69" s="12">
        <f>I69*G69</f>
        <v/>
      </c>
    </row>
    <row r="70">
      <c r="A70" s="67" t="inlineStr">
        <is>
          <t>[Derma Factory] Niacinamide 20% Serum</t>
        </is>
      </c>
      <c r="B70" s="68" t="n">
        <v>1020</v>
      </c>
      <c r="C70" s="9" t="n"/>
      <c r="D70" s="12" t="n">
        <v>1800</v>
      </c>
      <c r="E70" s="12" t="n">
        <v>1400</v>
      </c>
      <c r="F70" s="12" t="n">
        <v>12</v>
      </c>
      <c r="G70" s="12" t="n">
        <v>255.0308</v>
      </c>
      <c r="H70" s="14" t="n">
        <v>1.085237446808511</v>
      </c>
      <c r="I70" s="12">
        <f>E70*0.33</f>
        <v/>
      </c>
      <c r="J70" s="12">
        <f>I70*G70</f>
        <v/>
      </c>
    </row>
    <row r="71">
      <c r="A71" s="67" t="inlineStr">
        <is>
          <t>[Derma Factory] Porphyrin 20% Ampoule stick</t>
        </is>
      </c>
      <c r="B71" s="68" t="n">
        <v>1053</v>
      </c>
      <c r="C71" s="9" t="n"/>
      <c r="D71" s="12" t="n">
        <v>2600</v>
      </c>
      <c r="E71" s="12" t="n">
        <v>250</v>
      </c>
      <c r="F71" s="12" t="n">
        <v>12</v>
      </c>
      <c r="G71" s="12" t="n">
        <v>356.5658000000001</v>
      </c>
      <c r="H71" s="14" t="n">
        <v>0.8429451536643028</v>
      </c>
      <c r="I71" s="12">
        <f>E71*0.33</f>
        <v/>
      </c>
      <c r="J71" s="12">
        <f>I71*G71</f>
        <v/>
      </c>
    </row>
    <row r="72">
      <c r="A72" s="67" t="inlineStr">
        <is>
          <t>[Derma Factory] Bakuchiol Spicule Cream</t>
        </is>
      </c>
      <c r="B72" s="68" t="n">
        <v>480</v>
      </c>
      <c r="C72" s="9" t="n"/>
      <c r="D72" s="12" t="n">
        <v>2700</v>
      </c>
      <c r="E72" s="12" t="n">
        <v>250</v>
      </c>
      <c r="F72" s="12" t="n">
        <v>10</v>
      </c>
      <c r="G72" s="12" t="n">
        <v>421.2308</v>
      </c>
      <c r="H72" s="14" t="n">
        <v>1.163620994475138</v>
      </c>
      <c r="I72" s="12">
        <f>E72*0.33</f>
        <v/>
      </c>
      <c r="J72" s="12">
        <f>I72*G72</f>
        <v/>
      </c>
    </row>
    <row r="73">
      <c r="A73" s="67" t="inlineStr">
        <is>
          <t>[Derma Factory] Matrixyl 15% + Argireline 2% Serum</t>
        </is>
      </c>
      <c r="B73" s="68" t="n">
        <v>420</v>
      </c>
      <c r="C73" s="9" t="n"/>
      <c r="D73" s="12" t="n">
        <v>3380</v>
      </c>
      <c r="E73" s="12" t="n">
        <v>80</v>
      </c>
      <c r="F73" s="12" t="n">
        <v>12</v>
      </c>
      <c r="G73" s="12" t="n">
        <v>484.4558000000002</v>
      </c>
      <c r="H73" s="14" t="n">
        <v>0.9021523277467415</v>
      </c>
      <c r="I73" s="12">
        <f>E73*0.33</f>
        <v/>
      </c>
      <c r="J73" s="12">
        <f>I73*G73</f>
        <v/>
      </c>
    </row>
    <row r="74">
      <c r="B74" s="9" t="n"/>
      <c r="C74" s="9" t="n"/>
      <c r="D74" s="9" t="n"/>
      <c r="E74" s="9" t="n"/>
      <c r="F74" s="9" t="n"/>
      <c r="G74" s="9" t="n"/>
      <c r="H74" s="9" t="n"/>
      <c r="I74" s="54">
        <f>SUM(I2:I73)</f>
        <v/>
      </c>
      <c r="J74" s="54">
        <f>SUM(J2:J73)</f>
        <v/>
      </c>
    </row>
    <row r="75"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</row>
    <row r="76"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</row>
    <row r="77"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</row>
    <row r="78"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</row>
    <row r="79"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</row>
    <row r="80"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</row>
    <row r="81"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</row>
    <row r="82"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</row>
    <row r="83"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</row>
    <row r="84"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</row>
    <row r="85"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</row>
    <row r="86"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</row>
    <row r="87"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</row>
    <row r="88"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</row>
    <row r="89"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</row>
    <row r="90"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</row>
    <row r="91"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</row>
    <row r="92"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</row>
    <row r="93"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</row>
    <row r="94"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</row>
    <row r="95"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</row>
    <row r="96"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</row>
    <row r="97"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</row>
    <row r="98"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</row>
    <row r="99"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</row>
    <row r="100"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</row>
    <row r="101"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</row>
    <row r="102"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</row>
    <row r="103"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</row>
    <row r="104"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</row>
    <row r="105"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</row>
    <row r="106"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</row>
    <row r="107"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</row>
    <row r="108"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</row>
    <row r="109"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</row>
    <row r="110"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</row>
    <row r="111"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</row>
    <row r="112"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</row>
    <row r="113"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</row>
    <row r="114"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</row>
    <row r="115"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</row>
    <row r="116"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</row>
    <row r="117"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</row>
    <row r="118"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</row>
    <row r="119"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</row>
    <row r="120"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</row>
    <row r="121"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</row>
    <row r="122"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</row>
    <row r="123"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</row>
    <row r="124"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</row>
    <row r="125"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</row>
    <row r="126"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</row>
    <row r="127"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</row>
    <row r="128"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</row>
    <row r="129"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</row>
    <row r="130"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</row>
    <row r="131"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</row>
    <row r="132"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</row>
    <row r="133"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</row>
    <row r="134"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</row>
    <row r="135"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</row>
    <row r="136"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</row>
    <row r="137"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</row>
    <row r="138"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</row>
    <row r="139"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</row>
    <row r="140"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</row>
    <row r="141"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</row>
    <row r="142"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</row>
    <row r="143"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</row>
    <row r="144"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</row>
    <row r="145"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</row>
    <row r="146"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</row>
    <row r="147"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</row>
    <row r="148"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</row>
    <row r="149"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</row>
    <row r="150"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</row>
    <row r="151"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</row>
    <row r="152"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</row>
    <row r="153"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</row>
    <row r="154"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</row>
    <row r="155"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</row>
    <row r="156"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</row>
    <row r="157"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</row>
    <row r="158"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</row>
    <row r="159"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</row>
    <row r="160"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</row>
    <row r="161"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</row>
    <row r="162"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</row>
    <row r="163"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</row>
    <row r="164"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</row>
    <row r="165"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</row>
    <row r="166"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</row>
    <row r="167"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</row>
    <row r="168"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</row>
    <row r="169"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</row>
    <row r="170"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</row>
    <row r="171"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</row>
    <row r="172"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</row>
    <row r="173"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</row>
    <row r="174"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</row>
    <row r="175"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</row>
    <row r="176"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</row>
    <row r="177"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</row>
    <row r="178"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</row>
    <row r="179"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</row>
    <row r="180"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</row>
    <row r="181"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</row>
    <row r="182"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</row>
    <row r="183"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</row>
    <row r="184"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</row>
    <row r="185"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</row>
    <row r="186"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</row>
    <row r="187"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</row>
    <row r="188"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</row>
    <row r="189"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</row>
    <row r="190"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</row>
    <row r="191"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</row>
    <row r="192"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</row>
    <row r="193"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</row>
    <row r="194"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</row>
    <row r="195"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</row>
    <row r="196"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</row>
    <row r="197"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</row>
    <row r="198"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</row>
    <row r="199"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</row>
    <row r="200"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</row>
    <row r="201"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</row>
    <row r="202"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</row>
    <row r="203"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</row>
    <row r="204"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</row>
    <row r="205"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</row>
    <row r="206"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</row>
    <row r="207"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</row>
    <row r="208"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</row>
    <row r="209"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</row>
    <row r="210"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</row>
    <row r="211"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</row>
    <row r="212"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</row>
    <row r="213"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</row>
    <row r="214"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</row>
    <row r="215"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</row>
    <row r="216"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</row>
    <row r="217"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</row>
    <row r="218"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</row>
    <row r="219"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</row>
    <row r="220"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</row>
    <row r="221"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</row>
    <row r="222"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</row>
    <row r="223"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</row>
    <row r="224"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</row>
    <row r="225"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</row>
    <row r="226"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</row>
    <row r="227"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</row>
    <row r="228"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</row>
    <row r="229"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</row>
    <row r="230"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</row>
    <row r="231"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</row>
    <row r="232"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</row>
    <row r="233"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</row>
    <row r="234"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</row>
    <row r="235"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</row>
    <row r="236"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</row>
    <row r="237"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</row>
    <row r="238"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</row>
    <row r="239"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</row>
    <row r="240"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</row>
    <row r="241"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</row>
    <row r="242"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</row>
    <row r="243"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</row>
    <row r="244"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</row>
    <row r="245"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</row>
    <row r="246"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</row>
    <row r="247"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</row>
    <row r="248"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</row>
    <row r="249"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</row>
    <row r="250"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</row>
    <row r="251"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</row>
    <row r="252"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</row>
    <row r="253"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</row>
    <row r="254"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</row>
    <row r="255"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</row>
    <row r="256"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</row>
    <row r="257"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</row>
    <row r="258"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</row>
    <row r="259"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</row>
    <row r="260"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</row>
    <row r="261"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</row>
    <row r="262"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</row>
    <row r="263"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</row>
    <row r="264"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</row>
    <row r="265"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</row>
    <row r="266"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</row>
    <row r="267"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</row>
    <row r="268"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</row>
    <row r="269"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</row>
    <row r="270"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</row>
    <row r="271"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</row>
    <row r="272"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</row>
    <row r="273"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</row>
    <row r="274"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</row>
    <row r="275"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</row>
    <row r="276"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</row>
    <row r="277"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</row>
    <row r="278"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</row>
    <row r="279"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</row>
    <row r="280"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</row>
    <row r="281"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</row>
    <row r="282"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</row>
    <row r="283"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</row>
    <row r="284"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</row>
    <row r="285"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</row>
    <row r="286"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</row>
    <row r="287"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</row>
    <row r="288"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</row>
    <row r="289"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</row>
    <row r="290"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</row>
    <row r="291"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</row>
    <row r="292"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</row>
    <row r="293"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</row>
    <row r="294"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</row>
    <row r="295"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</row>
    <row r="296"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</row>
    <row r="297"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</row>
    <row r="298"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</row>
    <row r="299"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</row>
    <row r="300"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</row>
    <row r="301"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</row>
    <row r="302"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</row>
    <row r="303"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</row>
    <row r="304"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</row>
    <row r="305"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</row>
    <row r="306"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</row>
    <row r="307"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</row>
    <row r="308"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</row>
    <row r="309"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</row>
    <row r="310"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</row>
    <row r="311"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</row>
    <row r="312"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</row>
    <row r="313"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</row>
    <row r="314"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</row>
    <row r="315"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</row>
    <row r="316"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</row>
    <row r="317"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</row>
    <row r="318"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</row>
    <row r="319"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</row>
    <row r="320"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</row>
    <row r="321"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</row>
    <row r="322"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</row>
    <row r="323"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</row>
    <row r="324"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</row>
    <row r="325"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</row>
    <row r="326"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</row>
    <row r="327"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</row>
    <row r="328"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</row>
    <row r="329"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</row>
    <row r="330"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</row>
    <row r="331"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</row>
    <row r="332"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</row>
    <row r="333"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</row>
    <row r="334"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</row>
    <row r="335"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</row>
    <row r="336"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</row>
    <row r="337"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</row>
    <row r="338"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</row>
    <row r="339"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</row>
    <row r="340"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</row>
    <row r="341"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</row>
    <row r="342"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</row>
    <row r="343"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</row>
    <row r="344"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</row>
    <row r="345"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</row>
    <row r="346"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</row>
    <row r="347"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</row>
    <row r="348"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</row>
    <row r="349"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</row>
    <row r="350"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</row>
    <row r="351"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</row>
    <row r="352"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</row>
    <row r="353"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</row>
    <row r="354"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</row>
    <row r="355"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</row>
    <row r="356"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</row>
    <row r="357"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</row>
    <row r="358"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</row>
    <row r="359"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</row>
    <row r="360"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</row>
    <row r="361"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</row>
    <row r="362"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</row>
    <row r="363"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</row>
    <row r="364"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</row>
    <row r="365"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</row>
    <row r="366"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</row>
    <row r="367"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</row>
    <row r="368"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</row>
    <row r="369"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</row>
    <row r="370"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</row>
    <row r="371"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</row>
    <row r="372"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</row>
    <row r="373"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</row>
    <row r="374"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</row>
    <row r="375"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</row>
    <row r="376"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</row>
    <row r="377"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</row>
    <row r="378"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</row>
    <row r="379"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</row>
    <row r="380"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</row>
    <row r="381"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</row>
    <row r="382"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</row>
    <row r="383"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</row>
    <row r="384"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</row>
    <row r="385"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</row>
    <row r="386"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</row>
    <row r="387"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</row>
    <row r="388"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</row>
    <row r="389"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</row>
    <row r="390"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</row>
    <row r="391"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</row>
    <row r="392"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</row>
    <row r="393"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</row>
    <row r="394"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</row>
    <row r="395"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</row>
    <row r="396"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</row>
    <row r="397"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</row>
    <row r="398"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</row>
    <row r="399"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</row>
    <row r="400"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</row>
    <row r="401"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</row>
    <row r="402"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</row>
    <row r="403"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</row>
    <row r="404"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</row>
    <row r="405"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</row>
    <row r="406"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</row>
    <row r="407"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</row>
    <row r="408"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</row>
    <row r="409"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</row>
    <row r="410"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</row>
    <row r="411"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</row>
    <row r="412"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</row>
    <row r="413"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</row>
    <row r="414"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</row>
    <row r="415"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</row>
    <row r="416"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</row>
    <row r="417"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</row>
    <row r="418"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</row>
    <row r="419"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</row>
    <row r="420"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</row>
    <row r="421"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</row>
    <row r="422"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</row>
    <row r="423"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</row>
    <row r="424"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</row>
    <row r="425"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</row>
    <row r="426"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</row>
    <row r="427"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</row>
    <row r="428"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</row>
    <row r="429"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</row>
    <row r="430"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</row>
    <row r="431"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</row>
    <row r="432"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</row>
    <row r="433"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</row>
    <row r="434"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</row>
    <row r="435"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</row>
    <row r="436"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</row>
    <row r="437"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</row>
    <row r="438"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</row>
    <row r="439"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</row>
    <row r="440"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</row>
    <row r="441"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</row>
    <row r="442"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</row>
    <row r="443"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</row>
    <row r="444"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</row>
    <row r="445"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</row>
    <row r="446"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</row>
    <row r="447"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</row>
    <row r="448"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</row>
    <row r="449"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</row>
    <row r="450"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</row>
    <row r="451"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</row>
    <row r="452"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</row>
    <row r="453"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</row>
    <row r="454"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</row>
    <row r="455"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</row>
    <row r="456"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</row>
    <row r="457"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</row>
    <row r="458"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</row>
    <row r="459"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</row>
    <row r="460"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</row>
    <row r="461"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</row>
    <row r="462"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</row>
    <row r="463"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</row>
    <row r="464"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</row>
    <row r="465"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</row>
    <row r="466"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</row>
    <row r="467"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</row>
    <row r="468"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</row>
    <row r="469"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</row>
    <row r="470"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</row>
    <row r="471"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</row>
    <row r="472"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</row>
    <row r="473"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</row>
    <row r="474"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</row>
    <row r="475"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</row>
    <row r="476"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</row>
    <row r="477"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</row>
    <row r="478"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</row>
    <row r="479"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</row>
    <row r="480"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</row>
    <row r="481"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</row>
    <row r="482"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</row>
    <row r="483"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</row>
    <row r="484"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</row>
    <row r="485"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</row>
    <row r="486"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</row>
    <row r="487"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</row>
    <row r="488"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</row>
    <row r="489"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</row>
    <row r="490"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</row>
    <row r="491"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</row>
    <row r="492"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</row>
    <row r="493"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</row>
    <row r="494"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</row>
    <row r="495"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</row>
    <row r="496"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</row>
    <row r="497"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</row>
    <row r="498"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</row>
    <row r="499"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</row>
    <row r="500"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</row>
    <row r="501"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</row>
    <row r="502"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</row>
    <row r="503"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</row>
    <row r="504"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</row>
    <row r="505"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</row>
    <row r="506"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</row>
    <row r="507"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</row>
    <row r="508"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</row>
    <row r="509"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</row>
    <row r="510"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</row>
    <row r="511"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</row>
    <row r="512"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</row>
    <row r="513"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</row>
    <row r="514"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</row>
    <row r="515"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</row>
    <row r="516"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</row>
    <row r="517"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</row>
    <row r="518"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</row>
    <row r="519"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</row>
    <row r="520"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</row>
    <row r="521"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</row>
    <row r="522"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</row>
    <row r="523"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</row>
    <row r="524"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</row>
    <row r="525"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</row>
    <row r="526"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</row>
    <row r="527"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</row>
    <row r="528"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</row>
    <row r="529"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</row>
    <row r="530"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</row>
    <row r="531"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</row>
    <row r="532"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</row>
    <row r="533"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</row>
    <row r="534"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</row>
    <row r="535"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</row>
    <row r="536"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</row>
    <row r="537"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</row>
    <row r="538"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</row>
    <row r="539"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</row>
    <row r="540"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</row>
    <row r="541"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</row>
    <row r="542"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</row>
    <row r="543"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</row>
    <row r="544"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</row>
    <row r="545"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</row>
    <row r="546"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</row>
    <row r="547"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</row>
    <row r="548"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</row>
    <row r="549"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</row>
    <row r="550"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</row>
    <row r="551"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</row>
    <row r="552"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</row>
    <row r="553"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</row>
    <row r="554"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</row>
    <row r="555"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</row>
    <row r="556"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</row>
    <row r="557"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</row>
    <row r="558"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</row>
    <row r="559"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</row>
    <row r="560"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</row>
    <row r="561"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</row>
    <row r="562"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</row>
    <row r="563"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</row>
    <row r="564"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</row>
    <row r="565"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</row>
    <row r="566"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</row>
    <row r="567"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</row>
    <row r="568"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</row>
    <row r="569"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</row>
    <row r="570"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</row>
    <row r="571"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</row>
    <row r="572"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</row>
    <row r="573"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</row>
    <row r="574"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</row>
    <row r="575"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</row>
    <row r="576"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</row>
    <row r="577"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</row>
    <row r="578"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</row>
    <row r="579"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</row>
    <row r="580"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</row>
    <row r="581"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</row>
    <row r="582"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</row>
    <row r="583"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</row>
    <row r="584"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</row>
    <row r="585"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</row>
    <row r="586"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</row>
    <row r="587"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</row>
    <row r="588"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</row>
    <row r="589"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</row>
    <row r="590"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</row>
    <row r="591"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</row>
    <row r="592"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</row>
    <row r="593"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</row>
    <row r="594"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</row>
    <row r="595"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</row>
    <row r="596"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</row>
    <row r="597"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</row>
    <row r="598"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</row>
    <row r="599"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</row>
    <row r="600"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</row>
    <row r="601"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</row>
    <row r="602"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</row>
    <row r="603"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</row>
    <row r="604"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</row>
    <row r="605"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</row>
    <row r="606"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</row>
    <row r="607"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</row>
    <row r="608"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</row>
    <row r="609"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</row>
    <row r="610"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</row>
    <row r="611"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</row>
    <row r="612"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</row>
    <row r="613"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</row>
    <row r="614"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</row>
    <row r="615"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</row>
    <row r="616"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</row>
    <row r="617"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</row>
    <row r="618"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</row>
    <row r="619"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</row>
    <row r="620"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</row>
    <row r="621"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</row>
    <row r="622"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</row>
    <row r="623"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</row>
    <row r="624"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</row>
    <row r="625"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</row>
    <row r="626"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</row>
    <row r="627"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</row>
    <row r="628"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</row>
    <row r="629"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</row>
    <row r="630"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</row>
    <row r="631"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</row>
    <row r="632"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</row>
    <row r="633"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</row>
    <row r="634"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</row>
    <row r="635"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</row>
    <row r="636"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</row>
    <row r="637"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</row>
    <row r="638"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</row>
    <row r="639"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</row>
    <row r="640"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</row>
    <row r="641"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</row>
    <row r="642"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</row>
    <row r="643"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</row>
    <row r="644"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</row>
    <row r="645"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</row>
    <row r="646"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</row>
    <row r="647"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</row>
    <row r="648"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</row>
    <row r="649"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</row>
    <row r="650"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</row>
    <row r="651"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</row>
    <row r="652"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</row>
    <row r="653"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</row>
    <row r="654"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</row>
    <row r="655"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</row>
    <row r="656"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</row>
    <row r="657"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</row>
    <row r="658"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</row>
    <row r="659"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</row>
    <row r="660"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</row>
    <row r="661"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</row>
    <row r="662"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</row>
    <row r="663"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</row>
    <row r="664"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</row>
    <row r="665"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</row>
    <row r="666"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</row>
    <row r="667"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</row>
    <row r="668"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</row>
    <row r="669"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</row>
    <row r="670"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</row>
    <row r="671"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</row>
    <row r="672"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</row>
    <row r="673"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</row>
    <row r="674"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</row>
    <row r="675"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</row>
    <row r="676"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</row>
    <row r="677"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</row>
    <row r="678"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</row>
    <row r="679"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</row>
    <row r="680"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</row>
    <row r="681"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</row>
    <row r="682"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</row>
    <row r="683"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</row>
    <row r="684"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</row>
    <row r="685"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</row>
    <row r="686"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</row>
    <row r="687"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</row>
    <row r="688"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</row>
    <row r="689"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</row>
    <row r="690"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</row>
    <row r="691"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</row>
    <row r="692"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</row>
    <row r="693"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</row>
    <row r="694"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</row>
    <row r="695"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</row>
    <row r="696"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</row>
    <row r="697"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</row>
    <row r="698"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</row>
    <row r="699"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</row>
    <row r="700"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</row>
    <row r="701"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</row>
    <row r="702"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</row>
    <row r="703"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</row>
    <row r="704"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</row>
    <row r="705"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</row>
    <row r="706"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</row>
    <row r="707"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</row>
    <row r="708"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</row>
    <row r="709"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</row>
    <row r="710"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</row>
    <row r="711"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</row>
    <row r="712"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</row>
    <row r="713"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</row>
    <row r="714"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</row>
    <row r="715"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</row>
    <row r="716"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</row>
    <row r="717"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</row>
    <row r="718"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</row>
    <row r="719"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</row>
    <row r="720"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</row>
    <row r="721"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</row>
    <row r="722"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</row>
    <row r="723"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</row>
    <row r="724"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</row>
    <row r="725"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</row>
    <row r="726"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</row>
    <row r="727"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</row>
    <row r="728"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</row>
    <row r="729"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</row>
    <row r="730"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</row>
    <row r="731"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</row>
    <row r="732"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</row>
    <row r="733"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</row>
    <row r="734"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</row>
    <row r="735"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</row>
    <row r="736"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</row>
    <row r="737"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</row>
    <row r="738"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</row>
    <row r="739"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</row>
    <row r="740"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</row>
    <row r="741"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</row>
    <row r="742"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</row>
    <row r="743"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</row>
    <row r="744"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</row>
    <row r="745"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</row>
    <row r="746"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</row>
    <row r="747"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</row>
    <row r="748"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</row>
    <row r="749"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</row>
    <row r="750"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</row>
    <row r="751"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</row>
    <row r="752"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</row>
    <row r="753"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</row>
    <row r="754"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</row>
    <row r="755"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</row>
    <row r="756"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</row>
    <row r="757"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</row>
    <row r="758"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</row>
    <row r="759"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</row>
    <row r="760"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</row>
    <row r="761"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</row>
    <row r="762"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</row>
    <row r="763"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</row>
    <row r="764"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</row>
    <row r="765"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</row>
    <row r="766"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</row>
    <row r="767"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</row>
    <row r="768"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</row>
    <row r="769"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</row>
    <row r="770"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</row>
    <row r="771"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</row>
    <row r="772"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</row>
    <row r="773"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</row>
    <row r="774"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</row>
    <row r="775"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</row>
    <row r="776"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</row>
    <row r="777"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</row>
    <row r="778"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</row>
    <row r="779"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</row>
    <row r="780"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</row>
    <row r="781"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</row>
    <row r="782"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</row>
    <row r="783"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</row>
    <row r="784"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</row>
    <row r="785"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</row>
    <row r="786"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</row>
    <row r="787"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</row>
    <row r="788"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</row>
    <row r="789"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</row>
    <row r="790"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</row>
    <row r="791"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</row>
    <row r="792"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</row>
    <row r="793"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</row>
    <row r="794"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</row>
    <row r="795"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</row>
    <row r="796"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</row>
    <row r="797"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</row>
    <row r="798"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</row>
    <row r="799"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</row>
    <row r="800"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</row>
    <row r="801"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</row>
    <row r="802"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</row>
    <row r="803"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</row>
    <row r="804"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</row>
    <row r="805"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</row>
    <row r="806"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</row>
    <row r="807"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</row>
    <row r="808"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</row>
    <row r="809"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</row>
    <row r="810"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</row>
    <row r="811"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</row>
    <row r="812"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</row>
    <row r="813"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</row>
    <row r="814"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</row>
    <row r="815"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</row>
    <row r="816"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</row>
    <row r="817"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</row>
    <row r="818"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</row>
    <row r="819"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</row>
    <row r="820"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</row>
    <row r="821"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</row>
    <row r="822"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</row>
    <row r="823"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</row>
    <row r="824"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</row>
    <row r="825"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</row>
    <row r="826"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</row>
    <row r="827"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</row>
    <row r="828"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</row>
    <row r="829"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</row>
    <row r="830"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</row>
    <row r="831"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</row>
    <row r="832"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</row>
    <row r="833"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</row>
    <row r="834"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</row>
    <row r="835"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</row>
    <row r="836"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</row>
    <row r="837"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</row>
    <row r="838"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</row>
    <row r="839"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</row>
    <row r="840"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</row>
    <row r="841"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</row>
    <row r="842"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</row>
    <row r="843"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</row>
    <row r="844"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</row>
    <row r="845"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</row>
    <row r="846"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</row>
    <row r="847"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</row>
    <row r="848"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</row>
    <row r="849"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</row>
    <row r="850"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</row>
    <row r="851"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</row>
    <row r="852"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</row>
    <row r="853"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</row>
    <row r="854"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</row>
    <row r="855"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</row>
    <row r="856"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</row>
    <row r="857"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</row>
    <row r="858"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</row>
    <row r="859"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</row>
    <row r="860"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</row>
    <row r="861"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</row>
    <row r="862"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</row>
    <row r="863"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</row>
    <row r="864"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</row>
    <row r="865"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</row>
    <row r="866"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</row>
    <row r="867"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</row>
    <row r="868"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</row>
    <row r="869"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</row>
    <row r="870"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</row>
    <row r="871"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</row>
    <row r="872"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</row>
    <row r="873"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</row>
    <row r="874"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</row>
    <row r="875"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</row>
    <row r="876"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</row>
    <row r="877"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</row>
    <row r="878"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</row>
    <row r="879"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</row>
    <row r="880"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</row>
    <row r="881"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</row>
    <row r="882"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</row>
    <row r="883"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</row>
    <row r="884"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</row>
    <row r="885"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</row>
    <row r="886"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</row>
    <row r="887"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</row>
    <row r="888"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</row>
    <row r="889"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</row>
    <row r="890"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</row>
    <row r="891"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</row>
    <row r="892"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</row>
    <row r="893"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</row>
    <row r="894"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</row>
    <row r="895"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</row>
    <row r="896"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</row>
    <row r="897"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</row>
    <row r="898"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</row>
    <row r="899"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</row>
    <row r="900"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</row>
    <row r="901"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</row>
    <row r="902"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</row>
    <row r="903"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</row>
    <row r="904"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</row>
    <row r="905"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</row>
    <row r="906"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</row>
    <row r="907"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</row>
    <row r="908"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</row>
    <row r="909"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</row>
    <row r="910"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</row>
    <row r="911"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</row>
    <row r="912"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</row>
    <row r="913"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</row>
    <row r="914"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</row>
    <row r="915"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</row>
    <row r="916"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</row>
    <row r="917"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</row>
    <row r="918"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</row>
    <row r="919"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</row>
    <row r="920"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</row>
    <row r="921"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</row>
    <row r="922"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</row>
    <row r="923"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</row>
    <row r="924"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</row>
    <row r="925"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</row>
    <row r="926"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</row>
    <row r="927"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</row>
    <row r="928"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</row>
    <row r="929"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</row>
    <row r="930"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</row>
    <row r="931"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</row>
    <row r="932"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</row>
    <row r="933"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</row>
    <row r="934"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</row>
    <row r="935"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</row>
    <row r="936"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</row>
    <row r="937"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</row>
    <row r="938"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</row>
    <row r="939"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</row>
    <row r="940"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</row>
    <row r="941"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</row>
    <row r="942"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</row>
    <row r="943"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</row>
    <row r="944"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</row>
    <row r="945"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</row>
    <row r="946"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</row>
    <row r="947"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</row>
    <row r="948"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</row>
    <row r="949"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</row>
    <row r="950"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</row>
    <row r="951"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</row>
    <row r="952"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</row>
    <row r="953"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</row>
    <row r="954"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</row>
    <row r="955"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</row>
    <row r="956"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</row>
    <row r="957"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</row>
    <row r="958"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</row>
    <row r="959"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</row>
    <row r="960"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</row>
    <row r="961"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</row>
    <row r="962"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</row>
    <row r="963"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</row>
    <row r="964"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</row>
    <row r="965"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</row>
    <row r="966"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</row>
    <row r="967"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</row>
    <row r="968"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</row>
    <row r="969"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</row>
    <row r="970"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</row>
    <row r="971"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</row>
    <row r="972"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</row>
    <row r="973"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2026-08-04T08:53:55Z</dcterms:created>
  <dcterms:modified xsi:type="dcterms:W3CDTF">2026-08-05T08:11:42Z</dcterms:modified>
</cp:coreProperties>
</file>
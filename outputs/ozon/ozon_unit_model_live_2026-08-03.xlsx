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Юнитка Ozon (live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30549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9" fontId="2" fillId="2" borderId="1" pivotButton="0" quotePrefix="0" xfId="0"/>
    <xf numFmtId="164" fontId="2" fillId="2" borderId="1" pivotButton="0" quotePrefix="0" xfId="0"/>
    <xf numFmtId="3" fontId="2" fillId="2" borderId="1" pivotButton="0" quotePrefix="0" xfId="0"/>
    <xf numFmtId="2" fontId="2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2" borderId="1" pivotButton="0" quotePrefix="0" xfId="0"/>
    <xf numFmtId="4" fontId="0" fillId="2" borderId="1" pivotButton="0" quotePrefix="0" xfId="0"/>
    <xf numFmtId="4" fontId="0" fillId="0" borderId="1" pivotButton="0" quotePrefix="0" xfId="0"/>
    <xf numFmtId="164" fontId="0" fillId="2" borderId="1" pivotButton="0" quotePrefix="0" xfId="0"/>
    <xf numFmtId="3" fontId="0" fillId="0" borderId="1" pivotButton="0" quotePrefix="0" xfId="0"/>
    <xf numFmtId="2" fontId="0" fillId="2" borderId="1" pivotButton="0" quotePrefix="0" xfId="0"/>
    <xf numFmtId="3" fontId="2" fillId="4" borderId="1" pivotButton="0" quotePrefix="0" xfId="0"/>
    <xf numFmtId="164" fontId="0" fillId="0" borderId="1" pivotButton="0" quotePrefix="0" xfId="0"/>
    <xf numFmtId="164" fontId="2" fillId="4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0"/>
  <sheetViews>
    <sheetView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7" customWidth="1" min="2" max="2"/>
    <col width="10" customWidth="1" min="3" max="3"/>
    <col width="10" customWidth="1" min="4" max="4"/>
    <col width="10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2" customWidth="1" min="18" max="18"/>
    <col width="13" customWidth="1" min="19" max="19"/>
    <col width="10" customWidth="1" min="20" max="20"/>
    <col width="11" customWidth="1" min="21" max="21"/>
    <col width="10" customWidth="1" min="22" max="22"/>
    <col width="12" customWidth="1" min="23" max="23"/>
  </cols>
  <sheetData>
    <row r="1">
      <c r="A1" s="1" t="inlineStr">
        <is>
          <t>ПАРАМЕТРЫ — меняй жёлтые ячейки, всё пересчитается</t>
        </is>
      </c>
    </row>
    <row r="3">
      <c r="A3" t="inlineStr">
        <is>
          <t>ДРР (доля рекламы)</t>
        </is>
      </c>
      <c r="B3" s="2" t="n">
        <v>0.1</v>
      </c>
    </row>
    <row r="4">
      <c r="A4" t="inlineStr">
        <is>
          <t>Налог с оборота</t>
        </is>
      </c>
      <c r="B4" s="2" t="n">
        <v>0.08</v>
      </c>
    </row>
    <row r="5">
      <c r="A5" t="inlineStr">
        <is>
          <t>Эквайринг</t>
        </is>
      </c>
      <c r="B5" s="3" t="n">
        <v>0.015</v>
      </c>
    </row>
    <row r="6">
      <c r="A6" t="inlineStr">
        <is>
          <t>Фулфилмент, ₽/шт</t>
        </is>
      </c>
      <c r="B6" s="4" t="n">
        <v>60</v>
      </c>
    </row>
    <row r="7">
      <c r="A7" t="inlineStr">
        <is>
          <t>Хранение, ₽/л/день</t>
        </is>
      </c>
      <c r="B7" s="5" t="n">
        <v>0.16</v>
      </c>
    </row>
    <row r="8">
      <c r="A8" t="inlineStr">
        <is>
          <t>Дней хранения</t>
        </is>
      </c>
      <c r="B8" s="4" t="n">
        <v>30</v>
      </c>
    </row>
    <row r="11" ht="30" customHeight="1">
      <c r="A11" s="6" t="inlineStr">
        <is>
          <t>Товар</t>
        </is>
      </c>
      <c r="B11" s="6" t="inlineStr">
        <is>
          <t>Схема</t>
        </is>
      </c>
      <c r="C11" s="6" t="inlineStr">
        <is>
          <t>Цена</t>
        </is>
      </c>
      <c r="D11" s="6" t="inlineStr">
        <is>
          <t>Себест.</t>
        </is>
      </c>
      <c r="E11" s="6" t="inlineStr">
        <is>
          <t>Фулфилмент</t>
        </is>
      </c>
      <c r="F11" s="6" t="inlineStr">
        <is>
          <t>База затрат</t>
        </is>
      </c>
      <c r="G11" s="6" t="inlineStr">
        <is>
          <t>Комиссия %</t>
        </is>
      </c>
      <c r="H11" s="6" t="inlineStr">
        <is>
          <t>Комиссия ₽</t>
        </is>
      </c>
      <c r="I11" s="6" t="inlineStr">
        <is>
          <t>Логистика</t>
        </is>
      </c>
      <c r="J11" s="6" t="inlineStr">
        <is>
          <t>Посл.миля</t>
        </is>
      </c>
      <c r="K11" s="6" t="inlineStr">
        <is>
          <t>Эквайринг</t>
        </is>
      </c>
      <c r="L11" s="6" t="inlineStr">
        <is>
          <t>Налог</t>
        </is>
      </c>
      <c r="M11" s="6" t="inlineStr">
        <is>
          <t>Выкуп %</t>
        </is>
      </c>
      <c r="N11" s="6" t="inlineStr">
        <is>
          <t>Обр.лог база</t>
        </is>
      </c>
      <c r="O11" s="6" t="inlineStr">
        <is>
          <t>Обр.лог</t>
        </is>
      </c>
      <c r="P11" s="6" t="inlineStr">
        <is>
          <t>Объём, л</t>
        </is>
      </c>
      <c r="Q11" s="6" t="inlineStr">
        <is>
          <t>Хранение</t>
        </is>
      </c>
      <c r="R11" s="6" t="inlineStr">
        <is>
          <t>Реклама (ДРР)</t>
        </is>
      </c>
      <c r="S11" s="6" t="inlineStr">
        <is>
          <t>Маржа до рекл.</t>
        </is>
      </c>
      <c r="T11" s="6" t="inlineStr">
        <is>
          <t>Маржа/шт</t>
        </is>
      </c>
      <c r="U11" s="6" t="inlineStr">
        <is>
          <t>Маржа % цены</t>
        </is>
      </c>
      <c r="V11" s="6" t="inlineStr">
        <is>
          <t>ROI %</t>
        </is>
      </c>
      <c r="W11" s="6" t="inlineStr">
        <is>
          <t>Цена безубыт.</t>
        </is>
      </c>
    </row>
    <row r="12">
      <c r="A12" s="7" t="inlineStr">
        <is>
          <t>Celimax Dual Barrier Creamy Toner</t>
        </is>
      </c>
      <c r="B12" s="7" t="inlineStr">
        <is>
          <t>FBO</t>
        </is>
      </c>
      <c r="C12" s="8" t="n">
        <v>2500</v>
      </c>
      <c r="D12" s="9" t="n">
        <v>663.86</v>
      </c>
      <c r="E12" s="10">
        <f>$B$6</f>
        <v/>
      </c>
      <c r="F12" s="10">
        <f>D12+E12</f>
        <v/>
      </c>
      <c r="G12" s="11" t="n">
        <v>0.41</v>
      </c>
      <c r="H12" s="12">
        <f>C12*G12</f>
        <v/>
      </c>
      <c r="I12" s="8" t="n">
        <v>67</v>
      </c>
      <c r="J12" s="8" t="n">
        <v>25</v>
      </c>
      <c r="K12" s="12">
        <f>C12*$B$5</f>
        <v/>
      </c>
      <c r="L12" s="12">
        <f>C12*$B$4</f>
        <v/>
      </c>
      <c r="M12" s="11" t="n">
        <v>0.9219000000000001</v>
      </c>
      <c r="N12" s="8" t="n">
        <v>81</v>
      </c>
      <c r="O12" s="12">
        <f>N12*(1-M12)</f>
        <v/>
      </c>
      <c r="P12" s="13" t="n">
        <v>0.2</v>
      </c>
      <c r="Q12" s="12">
        <f>$B$7*$B$8*P12</f>
        <v/>
      </c>
      <c r="R12" s="12">
        <f>C12*$B$3</f>
        <v/>
      </c>
      <c r="S12" s="12">
        <f>C12-H12-I12-J12-K12-L12-O12-Q12-F12</f>
        <v/>
      </c>
      <c r="T12" s="14">
        <f>S12-R12</f>
        <v/>
      </c>
      <c r="U12" s="15">
        <f>T12/C12</f>
        <v/>
      </c>
      <c r="V12" s="16">
        <f>T12/F12</f>
        <v/>
      </c>
      <c r="W12" s="12">
        <f>(I12+J12+O12+Q12+F12)/(1-(G12+$B$5+$B$4+$B$3))</f>
        <v/>
      </c>
    </row>
    <row r="13">
      <c r="A13" s="7" t="inlineStr">
        <is>
          <t>Celimax Dual Barrier Creamy Toner</t>
        </is>
      </c>
      <c r="B13" s="7" t="inlineStr">
        <is>
          <t>FBS</t>
        </is>
      </c>
      <c r="C13" s="8" t="n">
        <v>2500</v>
      </c>
      <c r="D13" s="9" t="n">
        <v>663.86</v>
      </c>
      <c r="E13" s="10">
        <f>$B$6</f>
        <v/>
      </c>
      <c r="F13" s="10">
        <f>D13+E13</f>
        <v/>
      </c>
      <c r="G13" s="11" t="n">
        <v>0.47</v>
      </c>
      <c r="H13" s="12">
        <f>C13*G13</f>
        <v/>
      </c>
      <c r="I13" s="8" t="n">
        <v>67</v>
      </c>
      <c r="J13" s="8" t="n">
        <v>25</v>
      </c>
      <c r="K13" s="12">
        <f>C13*$B$5</f>
        <v/>
      </c>
      <c r="L13" s="12">
        <f>C13*$B$4</f>
        <v/>
      </c>
      <c r="M13" s="11" t="n">
        <v>0.9219000000000001</v>
      </c>
      <c r="N13" s="8" t="n">
        <v>154</v>
      </c>
      <c r="O13" s="12">
        <f>N13*(1-M13)</f>
        <v/>
      </c>
      <c r="P13" s="13" t="n">
        <v>0.2</v>
      </c>
      <c r="Q13" s="12">
        <f>$B$7*$B$8*P13</f>
        <v/>
      </c>
      <c r="R13" s="12">
        <f>C13*$B$3</f>
        <v/>
      </c>
      <c r="S13" s="12">
        <f>C13-H13-I13-J13-K13-L13-O13-Q13-F13</f>
        <v/>
      </c>
      <c r="T13" s="14">
        <f>S13-R13</f>
        <v/>
      </c>
      <c r="U13" s="15">
        <f>T13/C13</f>
        <v/>
      </c>
      <c r="V13" s="16">
        <f>T13/F13</f>
        <v/>
      </c>
      <c r="W13" s="12">
        <f>(I13+J13+O13+Q13+F13)/(1-(G13+$B$5+$B$4+$B$3))</f>
        <v/>
      </c>
    </row>
    <row r="14">
      <c r="A14" s="7" t="inlineStr">
        <is>
          <t>ROUND LAB 1025 DOKDO CLEANSER_150ml</t>
        </is>
      </c>
      <c r="B14" s="7" t="inlineStr">
        <is>
          <t>FBO</t>
        </is>
      </c>
      <c r="C14" s="8" t="n">
        <v>2500</v>
      </c>
      <c r="D14" s="9" t="n">
        <v>463.19</v>
      </c>
      <c r="E14" s="10">
        <f>$B$6</f>
        <v/>
      </c>
      <c r="F14" s="10">
        <f>D14+E14</f>
        <v/>
      </c>
      <c r="G14" s="11" t="n">
        <v>0.41</v>
      </c>
      <c r="H14" s="12">
        <f>C14*G14</f>
        <v/>
      </c>
      <c r="I14" s="8" t="n">
        <v>74</v>
      </c>
      <c r="J14" s="8" t="n">
        <v>25</v>
      </c>
      <c r="K14" s="12">
        <f>C14*$B$5</f>
        <v/>
      </c>
      <c r="L14" s="12">
        <f>C14*$B$4</f>
        <v/>
      </c>
      <c r="M14" s="11" t="n">
        <v>0.96</v>
      </c>
      <c r="N14" s="8" t="n">
        <v>89</v>
      </c>
      <c r="O14" s="12">
        <f>N14*(1-M14)</f>
        <v/>
      </c>
      <c r="P14" s="13" t="n">
        <v>0.3</v>
      </c>
      <c r="Q14" s="12">
        <f>$B$7*$B$8*P14</f>
        <v/>
      </c>
      <c r="R14" s="12">
        <f>C14*$B$3</f>
        <v/>
      </c>
      <c r="S14" s="12">
        <f>C14-H14-I14-J14-K14-L14-O14-Q14-F14</f>
        <v/>
      </c>
      <c r="T14" s="14">
        <f>S14-R14</f>
        <v/>
      </c>
      <c r="U14" s="15">
        <f>T14/C14</f>
        <v/>
      </c>
      <c r="V14" s="16">
        <f>T14/F14</f>
        <v/>
      </c>
      <c r="W14" s="12">
        <f>(I14+J14+O14+Q14+F14)/(1-(G14+$B$5+$B$4+$B$3))</f>
        <v/>
      </c>
    </row>
    <row r="15">
      <c r="A15" s="7" t="inlineStr">
        <is>
          <t>ROUND LAB 1025 DOKDO CLEANSER_150ml</t>
        </is>
      </c>
      <c r="B15" s="7" t="inlineStr">
        <is>
          <t>FBS</t>
        </is>
      </c>
      <c r="C15" s="8" t="n">
        <v>2500</v>
      </c>
      <c r="D15" s="9" t="n">
        <v>463.19</v>
      </c>
      <c r="E15" s="10">
        <f>$B$6</f>
        <v/>
      </c>
      <c r="F15" s="10">
        <f>D15+E15</f>
        <v/>
      </c>
      <c r="G15" s="11" t="n">
        <v>0.47</v>
      </c>
      <c r="H15" s="12">
        <f>C15*G15</f>
        <v/>
      </c>
      <c r="I15" s="8" t="n">
        <v>74</v>
      </c>
      <c r="J15" s="8" t="n">
        <v>25</v>
      </c>
      <c r="K15" s="12">
        <f>C15*$B$5</f>
        <v/>
      </c>
      <c r="L15" s="12">
        <f>C15*$B$4</f>
        <v/>
      </c>
      <c r="M15" s="11" t="n">
        <v>0.96</v>
      </c>
      <c r="N15" s="8" t="n">
        <v>218</v>
      </c>
      <c r="O15" s="12">
        <f>N15*(1-M15)</f>
        <v/>
      </c>
      <c r="P15" s="13" t="n">
        <v>0.3</v>
      </c>
      <c r="Q15" s="12">
        <f>$B$7*$B$8*P15</f>
        <v/>
      </c>
      <c r="R15" s="12">
        <f>C15*$B$3</f>
        <v/>
      </c>
      <c r="S15" s="12">
        <f>C15-H15-I15-J15-K15-L15-O15-Q15-F15</f>
        <v/>
      </c>
      <c r="T15" s="14">
        <f>S15-R15</f>
        <v/>
      </c>
      <c r="U15" s="15">
        <f>T15/C15</f>
        <v/>
      </c>
      <c r="V15" s="16">
        <f>T15/F15</f>
        <v/>
      </c>
      <c r="W15" s="12">
        <f>(I15+J15+O15+Q15+F15)/(1-(G15+$B$5+$B$4+$B$3))</f>
        <v/>
      </c>
    </row>
    <row r="16">
      <c r="A16" s="7" t="inlineStr">
        <is>
          <t>FARMSTAY COLLAGEN&amp;HYALURONIC ACID ALL-IN ONE</t>
        </is>
      </c>
      <c r="B16" s="7" t="inlineStr">
        <is>
          <t>FBO</t>
        </is>
      </c>
      <c r="C16" s="8" t="n">
        <v>2500</v>
      </c>
      <c r="D16" s="9" t="n">
        <v>347.76</v>
      </c>
      <c r="E16" s="10">
        <f>$B$6</f>
        <v/>
      </c>
      <c r="F16" s="10">
        <f>D16+E16</f>
        <v/>
      </c>
      <c r="G16" s="11" t="n">
        <v>0.41</v>
      </c>
      <c r="H16" s="12">
        <f>C16*G16</f>
        <v/>
      </c>
      <c r="I16" s="8" t="n">
        <v>67</v>
      </c>
      <c r="J16" s="8" t="n">
        <v>25</v>
      </c>
      <c r="K16" s="12">
        <f>C16*$B$5</f>
        <v/>
      </c>
      <c r="L16" s="12">
        <f>C16*$B$4</f>
        <v/>
      </c>
      <c r="M16" s="11" t="n">
        <v>0.9219000000000001</v>
      </c>
      <c r="N16" s="8" t="n">
        <v>81</v>
      </c>
      <c r="O16" s="12">
        <f>N16*(1-M16)</f>
        <v/>
      </c>
      <c r="P16" s="13" t="n">
        <v>0.3</v>
      </c>
      <c r="Q16" s="12">
        <f>$B$7*$B$8*P16</f>
        <v/>
      </c>
      <c r="R16" s="12">
        <f>C16*$B$3</f>
        <v/>
      </c>
      <c r="S16" s="12">
        <f>C16-H16-I16-J16-K16-L16-O16-Q16-F16</f>
        <v/>
      </c>
      <c r="T16" s="14">
        <f>S16-R16</f>
        <v/>
      </c>
      <c r="U16" s="15">
        <f>T16/C16</f>
        <v/>
      </c>
      <c r="V16" s="16">
        <f>T16/F16</f>
        <v/>
      </c>
      <c r="W16" s="12">
        <f>(I16+J16+O16+Q16+F16)/(1-(G16+$B$5+$B$4+$B$3))</f>
        <v/>
      </c>
    </row>
    <row r="17">
      <c r="A17" s="7" t="inlineStr">
        <is>
          <t>FARMSTAY COLLAGEN&amp;HYALURONIC ACID ALL-IN ONE</t>
        </is>
      </c>
      <c r="B17" s="7" t="inlineStr">
        <is>
          <t>FBS</t>
        </is>
      </c>
      <c r="C17" s="8" t="n">
        <v>2500</v>
      </c>
      <c r="D17" s="9" t="n">
        <v>347.76</v>
      </c>
      <c r="E17" s="10">
        <f>$B$6</f>
        <v/>
      </c>
      <c r="F17" s="10">
        <f>D17+E17</f>
        <v/>
      </c>
      <c r="G17" s="11" t="n">
        <v>0.47</v>
      </c>
      <c r="H17" s="12">
        <f>C17*G17</f>
        <v/>
      </c>
      <c r="I17" s="8" t="n">
        <v>67</v>
      </c>
      <c r="J17" s="8" t="n">
        <v>25</v>
      </c>
      <c r="K17" s="12">
        <f>C17*$B$5</f>
        <v/>
      </c>
      <c r="L17" s="12">
        <f>C17*$B$4</f>
        <v/>
      </c>
      <c r="M17" s="11" t="n">
        <v>0.9219000000000001</v>
      </c>
      <c r="N17" s="8" t="n">
        <v>168</v>
      </c>
      <c r="O17" s="12">
        <f>N17*(1-M17)</f>
        <v/>
      </c>
      <c r="P17" s="13" t="n">
        <v>0.3</v>
      </c>
      <c r="Q17" s="12">
        <f>$B$7*$B$8*P17</f>
        <v/>
      </c>
      <c r="R17" s="12">
        <f>C17*$B$3</f>
        <v/>
      </c>
      <c r="S17" s="12">
        <f>C17-H17-I17-J17-K17-L17-O17-Q17-F17</f>
        <v/>
      </c>
      <c r="T17" s="14">
        <f>S17-R17</f>
        <v/>
      </c>
      <c r="U17" s="15">
        <f>T17/C17</f>
        <v/>
      </c>
      <c r="V17" s="16">
        <f>T17/F17</f>
        <v/>
      </c>
      <c r="W17" s="12">
        <f>(I17+J17+O17+Q17+F17)/(1-(G17+$B$5+$B$4+$B$3))</f>
        <v/>
      </c>
    </row>
    <row r="20">
      <c r="A20" s="17" t="inlineStr">
        <is>
          <t>Жёлтые ячейки — вход (цена, себест., комиссия, логистика, выкуп, объём) и параметры B3:B8. Остальное — формулы. Меняешь цену в колонке C → маржа и ROI пересчитываются.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2026-08-03T12:52:56Z</dcterms:created>
  <dcterms:modified xsi:type="dcterms:W3CDTF">2026-08-03T12:52:56Z</dcterms:modified>
</cp:coreProperties>
</file>
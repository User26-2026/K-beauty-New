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Юнитка Ozon (live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theme="1"/>
      <sz val="12"/>
    </font>
    <font>
      <name val="Calibri"/>
      <color theme="1"/>
      <scheme val="minor"/>
    </font>
    <font>
      <name val="Calibri"/>
      <b val="1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i val="1"/>
      <color theme="1"/>
      <sz val="11"/>
    </font>
    <font>
      <name val="Arial"/>
      <color theme="1"/>
      <sz val="8"/>
    </font>
    <font>
      <name val="Arial"/>
      <color rgb="FFFF0000"/>
      <sz val="9"/>
    </font>
    <font>
      <name val="Arial"/>
      <color theme="1"/>
      <sz val="9"/>
    </font>
    <font>
      <name val="Calibri"/>
      <color theme="1"/>
      <sz val="11"/>
      <scheme val="minor"/>
    </font>
    <font>
      <name val="Calibri"/>
      <color rgb="FFFF0000"/>
      <scheme val="minor"/>
    </font>
  </fonts>
  <fills count="14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rgb="00F2F2F2"/>
      </patternFill>
    </fill>
    <fill>
      <patternFill patternType="solid">
        <fgColor theme="0"/>
        <bgColor theme="0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E06666"/>
        <bgColor rgb="FFE06666"/>
      </patternFill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00"/>
        <bgColor rgb="FFFFFF00"/>
      </patternFill>
    </fill>
  </fills>
  <borders count="10">
    <border>
      <left/>
      <right/>
      <top/>
      <bottom/>
      <diagonal/>
    </border>
    <border/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top style="thin">
        <color rgb="FFD0D0D0"/>
      </top>
      <bottom style="thin">
        <color rgb="FFD0D0D0"/>
      </bottom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</border>
    <border>
      <right style="thin">
        <color rgb="FFD0D0D0"/>
      </right>
      <top style="thin">
        <color rgb="FFD0D0D0"/>
      </top>
      <bottom style="thin">
        <color rgb="FFD0D0D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9" fontId="3" fillId="2" borderId="2" pivotButton="0" quotePrefix="0" xfId="0"/>
    <xf numFmtId="164" fontId="3" fillId="2" borderId="2" pivotButton="0" quotePrefix="0" xfId="0"/>
    <xf numFmtId="3" fontId="3" fillId="2" borderId="2" pivotButton="0" quotePrefix="0" xfId="0"/>
    <xf numFmtId="2" fontId="3" fillId="2" borderId="2" pivotButton="0" quotePrefix="0" xfId="0"/>
    <xf numFmtId="0" fontId="4" fillId="3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4" fillId="3" borderId="4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center" vertical="center" wrapText="1"/>
    </xf>
    <xf numFmtId="0" fontId="0" fillId="4" borderId="2" pivotButton="0" quotePrefix="0" xfId="0"/>
    <xf numFmtId="0" fontId="0" fillId="0" borderId="2" pivotButton="0" quotePrefix="0" xfId="0"/>
    <xf numFmtId="3" fontId="0" fillId="0" borderId="2" pivotButton="0" quotePrefix="0" xfId="0"/>
    <xf numFmtId="164" fontId="0" fillId="0" borderId="3" pivotButton="0" quotePrefix="0" xfId="0"/>
    <xf numFmtId="3" fontId="0" fillId="0" borderId="4" pivotButton="0" quotePrefix="0" xfId="0"/>
    <xf numFmtId="4" fontId="0" fillId="0" borderId="2" pivotButton="0" quotePrefix="0" xfId="0"/>
    <xf numFmtId="4" fontId="0" fillId="0" borderId="5" pivotButton="0" quotePrefix="0" xfId="0"/>
    <xf numFmtId="164" fontId="0" fillId="0" borderId="4" pivotButton="0" quotePrefix="0" xfId="0"/>
    <xf numFmtId="164" fontId="0" fillId="0" borderId="2" pivotButton="0" quotePrefix="0" xfId="0"/>
    <xf numFmtId="2" fontId="0" fillId="0" borderId="2" pivotButton="0" quotePrefix="0" xfId="0"/>
    <xf numFmtId="164" fontId="0" fillId="0" borderId="5" pivotButton="0" quotePrefix="0" xfId="0"/>
    <xf numFmtId="3" fontId="0" fillId="0" borderId="6" pivotButton="0" quotePrefix="0" xfId="0"/>
    <xf numFmtId="0" fontId="5" fillId="0" borderId="2" applyAlignment="1" pivotButton="0" quotePrefix="0" xfId="0">
      <alignment wrapText="1"/>
    </xf>
    <xf numFmtId="0" fontId="6" fillId="5" borderId="2" applyAlignment="1" pivotButton="0" quotePrefix="0" xfId="0">
      <alignment horizontal="center"/>
    </xf>
    <xf numFmtId="0" fontId="6" fillId="5" borderId="2" pivotButton="0" quotePrefix="0" xfId="0"/>
    <xf numFmtId="3" fontId="3" fillId="6" borderId="2" applyAlignment="1" pivotButton="0" quotePrefix="0" xfId="0">
      <alignment horizontal="center"/>
    </xf>
    <xf numFmtId="164" fontId="5" fillId="2" borderId="3" pivotButton="0" quotePrefix="0" xfId="0"/>
    <xf numFmtId="3" fontId="5" fillId="0" borderId="4" pivotButton="0" quotePrefix="0" xfId="0"/>
    <xf numFmtId="4" fontId="5" fillId="2" borderId="2" pivotButton="0" quotePrefix="0" xfId="0"/>
    <xf numFmtId="4" fontId="5" fillId="0" borderId="2" pivotButton="0" quotePrefix="0" xfId="0"/>
    <xf numFmtId="4" fontId="5" fillId="0" borderId="5" pivotButton="0" quotePrefix="0" xfId="0"/>
    <xf numFmtId="164" fontId="5" fillId="2" borderId="4" pivotButton="0" quotePrefix="0" xfId="0"/>
    <xf numFmtId="3" fontId="5" fillId="0" borderId="2" pivotButton="0" quotePrefix="0" xfId="0"/>
    <xf numFmtId="3" fontId="5" fillId="2" borderId="2" pivotButton="0" quotePrefix="0" xfId="0"/>
    <xf numFmtId="164" fontId="5" fillId="2" borderId="2" pivotButton="0" quotePrefix="0" xfId="0"/>
    <xf numFmtId="2" fontId="5" fillId="2" borderId="2" pivotButton="0" quotePrefix="0" xfId="0"/>
    <xf numFmtId="164" fontId="5" fillId="0" borderId="5" pivotButton="0" quotePrefix="0" xfId="0"/>
    <xf numFmtId="3" fontId="5" fillId="0" borderId="6" pivotButton="0" quotePrefix="0" xfId="0"/>
    <xf numFmtId="3" fontId="3" fillId="7" borderId="2" pivotButton="0" quotePrefix="0" xfId="0"/>
    <xf numFmtId="164" fontId="5" fillId="0" borderId="2" pivotButton="0" quotePrefix="0" xfId="0"/>
    <xf numFmtId="164" fontId="3" fillId="7" borderId="2" pivotButton="0" quotePrefix="0" xfId="0"/>
    <xf numFmtId="3" fontId="3" fillId="8" borderId="2" pivotButton="0" quotePrefix="0" xfId="0"/>
    <xf numFmtId="164" fontId="5" fillId="8" borderId="2" pivotButton="0" quotePrefix="0" xfId="0"/>
    <xf numFmtId="164" fontId="3" fillId="8" borderId="2" pivotButton="0" quotePrefix="0" xfId="0"/>
    <xf numFmtId="0" fontId="7" fillId="9" borderId="7" applyAlignment="1" pivotButton="0" quotePrefix="0" xfId="0">
      <alignment vertical="bottom"/>
    </xf>
    <xf numFmtId="4" fontId="8" fillId="10" borderId="8" applyAlignment="1" pivotButton="0" quotePrefix="0" xfId="0">
      <alignment horizontal="center"/>
    </xf>
    <xf numFmtId="0" fontId="7" fillId="2" borderId="7" applyAlignment="1" pivotButton="0" quotePrefix="0" xfId="0">
      <alignment vertical="bottom"/>
    </xf>
    <xf numFmtId="4" fontId="9" fillId="10" borderId="8" applyAlignment="1" pivotButton="0" quotePrefix="0" xfId="0">
      <alignment horizontal="center"/>
    </xf>
    <xf numFmtId="4" fontId="9" fillId="10" borderId="9" applyAlignment="1" pivotButton="0" quotePrefix="0" xfId="0">
      <alignment horizontal="center" vertical="bottom"/>
    </xf>
    <xf numFmtId="0" fontId="7" fillId="11" borderId="7" applyAlignment="1" pivotButton="0" quotePrefix="0" xfId="0">
      <alignment vertical="bottom"/>
    </xf>
    <xf numFmtId="0" fontId="5" fillId="12" borderId="2" applyAlignment="1" pivotButton="0" quotePrefix="0" xfId="0">
      <alignment wrapText="1"/>
    </xf>
    <xf numFmtId="0" fontId="2" fillId="0" borderId="1" applyAlignment="1" pivotButton="0" quotePrefix="0" xfId="0">
      <alignment horizontal="center"/>
    </xf>
    <xf numFmtId="0" fontId="10" fillId="0" borderId="1" pivotButton="0" quotePrefix="0" xfId="0"/>
    <xf numFmtId="0" fontId="5" fillId="13" borderId="2" applyAlignment="1" pivotButton="0" quotePrefix="0" xfId="0">
      <alignment wrapText="1"/>
    </xf>
    <xf numFmtId="0" fontId="6" fillId="13" borderId="2" applyAlignment="1" pivotButton="0" quotePrefix="0" xfId="0">
      <alignment horizontal="center"/>
    </xf>
    <xf numFmtId="0" fontId="6" fillId="5" borderId="1" pivotButton="0" quotePrefix="0" xfId="0"/>
    <xf numFmtId="0" fontId="1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94"/>
  <sheetViews>
    <sheetView workbookViewId="0">
      <pane xSplit="7" ySplit="12" topLeftCell="H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.71" customWidth="1" min="1" max="1"/>
    <col width="12.14" customWidth="1" min="2" max="2"/>
    <col width="18.86" customWidth="1" min="3" max="3"/>
    <col width="10" customWidth="1" min="4" max="4"/>
    <col width="11.14" customWidth="1" min="5" max="5"/>
    <col width="11.29" customWidth="1" min="6" max="6"/>
    <col width="10" customWidth="1" min="7" max="7"/>
    <col width="7.43" customWidth="1" min="8" max="8"/>
    <col width="8.57" customWidth="1" min="9" max="9"/>
    <col width="7.71" customWidth="1" min="10" max="10"/>
    <col width="9.859999999999999" customWidth="1" min="11" max="11"/>
    <col width="7.14" customWidth="1" min="12" max="12"/>
    <col width="9.43" customWidth="1" min="13" max="13"/>
    <col width="13.43" customWidth="1" min="14" max="14"/>
    <col width="13.29" customWidth="1" min="15" max="15"/>
    <col width="9.289999999999999" customWidth="1" min="16" max="16"/>
    <col width="9.43" customWidth="1" min="17" max="17"/>
    <col width="10" customWidth="1" min="18" max="18"/>
    <col width="6.43" customWidth="1" min="19" max="19"/>
    <col width="9" customWidth="1" min="20" max="20"/>
    <col width="8.289999999999999" customWidth="1" min="21" max="21"/>
    <col width="13" customWidth="1" min="22" max="22"/>
    <col width="9.43" customWidth="1" min="23" max="23"/>
    <col width="10" customWidth="1" min="24" max="24"/>
    <col width="13.43" customWidth="1" min="25" max="25"/>
    <col width="10" customWidth="1" min="26" max="26"/>
    <col width="13" customWidth="1" min="27" max="27"/>
    <col width="8.710000000000001" customWidth="1" min="28" max="28"/>
    <col width="13" customWidth="1" min="29" max="29"/>
    <col width="9" customWidth="1" min="30" max="30"/>
    <col width="6.86" customWidth="1" min="31" max="31"/>
    <col width="10.43" customWidth="1" min="32" max="32"/>
    <col width="8.57" customWidth="1" min="33" max="33"/>
    <col width="9.710000000000001" customWidth="1" min="34" max="34"/>
    <col width="6.43" customWidth="1" min="35" max="35"/>
    <col width="9.140000000000001" customWidth="1" min="36" max="36"/>
  </cols>
  <sheetData>
    <row r="1">
      <c r="A1" s="1" t="inlineStr">
        <is>
          <t>ПАРАМЕТРЫ — меняй жёлтые ячейки, всё пересчитается</t>
        </is>
      </c>
    </row>
    <row r="3">
      <c r="A3" s="2" t="inlineStr">
        <is>
          <t>Налог с оборота</t>
        </is>
      </c>
      <c r="G3" s="3" t="n">
        <v>0.07000000000000001</v>
      </c>
    </row>
    <row r="4">
      <c r="A4" s="2" t="inlineStr">
        <is>
          <t>Эквайринг</t>
        </is>
      </c>
      <c r="G4" s="4" t="n">
        <v>0.015</v>
      </c>
    </row>
    <row r="5">
      <c r="A5" s="2" t="inlineStr">
        <is>
          <t>Фулфилмент, ₽/шт</t>
        </is>
      </c>
      <c r="G5" s="5" t="n">
        <v>60</v>
      </c>
    </row>
    <row r="6">
      <c r="A6" s="2" t="inlineStr">
        <is>
          <t>Хранение, ₽/л/день</t>
        </is>
      </c>
      <c r="G6" s="6" t="n">
        <v>0.16</v>
      </c>
    </row>
    <row r="7">
      <c r="A7" s="2" t="inlineStr">
        <is>
          <t>Дней хранения</t>
        </is>
      </c>
      <c r="G7" s="5" t="n">
        <v>0</v>
      </c>
    </row>
    <row r="8">
      <c r="A8" s="2" t="inlineStr">
        <is>
          <t>Наценка за нелокальные продажи %</t>
        </is>
      </c>
      <c r="G8" s="4" t="n">
        <v>0.02</v>
      </c>
    </row>
    <row r="9">
      <c r="A9" s="2" t="inlineStr">
        <is>
          <t>Кроссдок: обработка (склады/СЦ) ₽/л</t>
        </is>
      </c>
      <c r="G9" s="6" t="n">
        <v>0.75</v>
      </c>
    </row>
    <row r="10">
      <c r="A10" s="2" t="inlineStr">
        <is>
          <t>Кроссдок: перевозка ₽/л (средн. 26 скл.)</t>
        </is>
      </c>
      <c r="G10" s="6" t="n">
        <v>4.423</v>
      </c>
    </row>
    <row r="12">
      <c r="A12" s="7" t="inlineStr">
        <is>
          <t>Товар</t>
        </is>
      </c>
      <c r="B12" s="7" t="inlineStr">
        <is>
          <t>Заказ контейнер шт</t>
        </is>
      </c>
      <c r="C12" s="7" t="inlineStr">
        <is>
          <t>Комментарий</t>
        </is>
      </c>
      <c r="D12" s="7" t="inlineStr">
        <is>
          <t>Цена конкурента без СПП</t>
        </is>
      </c>
      <c r="E12" s="7" t="inlineStr">
        <is>
          <t>Кол-во продаж конкурент</t>
        </is>
      </c>
      <c r="F12" s="7" t="inlineStr">
        <is>
          <t>ДРР конкурент</t>
        </is>
      </c>
      <c r="G12" s="7" t="inlineStr">
        <is>
          <t>Цена наша без СПП</t>
        </is>
      </c>
      <c r="H12" s="8" t="inlineStr">
        <is>
          <t>СПП, %</t>
        </is>
      </c>
      <c r="I12" s="9" t="inlineStr">
        <is>
          <t>Цена с СПП</t>
        </is>
      </c>
      <c r="J12" s="7" t="inlineStr">
        <is>
          <t>Себест.</t>
        </is>
      </c>
      <c r="K12" s="7" t="inlineStr">
        <is>
          <t>Фулфилмент</t>
        </is>
      </c>
      <c r="L12" s="10" t="inlineStr">
        <is>
          <t>База затрат</t>
        </is>
      </c>
      <c r="M12" s="9" t="inlineStr">
        <is>
          <t>Комиссия %</t>
        </is>
      </c>
      <c r="N12" s="7" t="inlineStr">
        <is>
          <t>Комиссия ₽</t>
        </is>
      </c>
      <c r="O12" s="7" t="inlineStr">
        <is>
          <t>Логистика</t>
        </is>
      </c>
      <c r="P12" s="7" t="inlineStr">
        <is>
          <t>Наценка нелок., ₽</t>
        </is>
      </c>
      <c r="Q12" s="7" t="inlineStr">
        <is>
          <t>Доставка до ПВЗ</t>
        </is>
      </c>
      <c r="R12" s="7" t="inlineStr">
        <is>
          <t>Эквайринг</t>
        </is>
      </c>
      <c r="S12" s="7" t="inlineStr">
        <is>
          <t>Налог</t>
        </is>
      </c>
      <c r="T12" s="7" t="inlineStr">
        <is>
          <t>Выкуп %</t>
        </is>
      </c>
      <c r="U12" s="7" t="inlineStr">
        <is>
          <t>Обр.лог база</t>
        </is>
      </c>
      <c r="V12" s="7" t="inlineStr">
        <is>
          <t>Обр.лог</t>
        </is>
      </c>
      <c r="W12" s="7" t="inlineStr">
        <is>
          <t>Объём, л</t>
        </is>
      </c>
      <c r="X12" s="7" t="inlineStr">
        <is>
          <t>Хранение</t>
        </is>
      </c>
      <c r="Y12" s="10" t="inlineStr">
        <is>
          <t>Кроссдок ср., ₽/ед</t>
        </is>
      </c>
      <c r="Z12" s="9" t="inlineStr">
        <is>
          <t>Оплата за клик, %</t>
        </is>
      </c>
      <c r="AA12" s="7" t="inlineStr">
        <is>
          <t>Оплата за клик ₽</t>
        </is>
      </c>
      <c r="AB12" s="7" t="inlineStr">
        <is>
          <t>Вывод в топ, %</t>
        </is>
      </c>
      <c r="AC12" s="7" t="inlineStr">
        <is>
          <t>Вывод в топ ₽</t>
        </is>
      </c>
      <c r="AD12" s="7" t="inlineStr">
        <is>
          <t>Реклама всего ₽</t>
        </is>
      </c>
      <c r="AE12" s="10" t="inlineStr">
        <is>
          <t>ДРР %</t>
        </is>
      </c>
      <c r="AF12" s="11" t="inlineStr">
        <is>
          <t>Маржа до рекл.</t>
        </is>
      </c>
      <c r="AG12" s="7" t="inlineStr">
        <is>
          <t>Маржа/шт</t>
        </is>
      </c>
      <c r="AH12" s="7" t="inlineStr">
        <is>
          <t>Маржа % цены</t>
        </is>
      </c>
      <c r="AI12" s="7" t="inlineStr">
        <is>
          <t>ROI %</t>
        </is>
      </c>
      <c r="AJ12" s="7" t="inlineStr">
        <is>
          <t>Цена безубыт.</t>
        </is>
      </c>
    </row>
    <row r="13">
      <c r="A13" s="12" t="inlineStr">
        <is>
          <t>COSRX - Advanced Snail 96 Mucin Power Essence [100ml] / Высокоактивная эссенция для лица с 96% муцина улитки</t>
        </is>
      </c>
      <c r="B13" s="13" t="n"/>
      <c r="C13" s="13" t="n"/>
      <c r="D13" s="14" t="n"/>
      <c r="E13" s="14" t="n"/>
      <c r="F13" s="14" t="n"/>
      <c r="G13" s="14" t="n"/>
      <c r="H13" s="15" t="n"/>
      <c r="I13" s="16" t="n"/>
      <c r="J13" s="17" t="n"/>
      <c r="K13" s="17" t="n"/>
      <c r="L13" s="18" t="n"/>
      <c r="M13" s="19" t="n"/>
      <c r="N13" s="14" t="n"/>
      <c r="O13" s="14" t="n"/>
      <c r="P13" s="14" t="n"/>
      <c r="Q13" s="14" t="n"/>
      <c r="R13" s="14" t="n"/>
      <c r="S13" s="14" t="n"/>
      <c r="T13" s="20" t="n"/>
      <c r="U13" s="14" t="n"/>
      <c r="V13" s="14" t="n"/>
      <c r="W13" s="21" t="n"/>
      <c r="X13" s="14" t="n"/>
      <c r="Y13" s="18" t="n"/>
      <c r="Z13" s="19" t="n"/>
      <c r="AA13" s="14" t="n"/>
      <c r="AB13" s="20" t="n"/>
      <c r="AC13" s="14" t="n"/>
      <c r="AD13" s="14" t="n"/>
      <c r="AE13" s="22" t="n"/>
      <c r="AF13" s="23" t="n"/>
      <c r="AG13" s="14" t="n"/>
      <c r="AH13" s="20" t="n"/>
      <c r="AI13" s="20" t="n"/>
      <c r="AJ13" s="14" t="n"/>
    </row>
    <row r="14">
      <c r="A14" s="24" t="inlineStr">
        <is>
          <t>COSRX - Salicylic Acid Daily Gentle Cleanser [150ml] / Пенка с салициловой кислотой для проблемной кожи</t>
        </is>
      </c>
      <c r="B14" s="25" t="n"/>
      <c r="C14" s="26" t="n"/>
      <c r="D14" s="27" t="n">
        <v>1680</v>
      </c>
      <c r="E14" s="27" t="n">
        <v>286</v>
      </c>
      <c r="F14" s="27" t="n">
        <v>22.3</v>
      </c>
      <c r="G14" s="27" t="n">
        <v>1630</v>
      </c>
      <c r="H14" s="28" t="n">
        <v>0.45</v>
      </c>
      <c r="I14" s="29">
        <f>G14*(1-H14)</f>
        <v/>
      </c>
      <c r="J14" s="30" t="n">
        <v>343.82</v>
      </c>
      <c r="K14" s="31">
        <f>$G$5</f>
        <v/>
      </c>
      <c r="L14" s="32">
        <f>J14+K14</f>
        <v/>
      </c>
      <c r="M14" s="33" t="n">
        <v>0.41</v>
      </c>
      <c r="N14" s="34">
        <f>G14*M14</f>
        <v/>
      </c>
      <c r="O14" s="35" t="n">
        <v>67</v>
      </c>
      <c r="P14" s="34">
        <f>G14*$G$8</f>
        <v/>
      </c>
      <c r="Q14" s="35" t="n">
        <v>25</v>
      </c>
      <c r="R14" s="34">
        <f>G14*$G$4</f>
        <v/>
      </c>
      <c r="S14" s="34">
        <f>I14*$G$3</f>
        <v/>
      </c>
      <c r="T14" s="36" t="n">
        <v>0.9</v>
      </c>
      <c r="U14" s="35" t="n">
        <v>67</v>
      </c>
      <c r="V14" s="34">
        <f>U14*(1-T14)</f>
        <v/>
      </c>
      <c r="W14" s="37" t="n">
        <v>0.63</v>
      </c>
      <c r="X14" s="34">
        <f>$G$6*$G$7*W14</f>
        <v/>
      </c>
      <c r="Y14" s="32">
        <f>W14*($G$9+$G$10)</f>
        <v/>
      </c>
      <c r="Z14" s="33" t="n">
        <v>0.11</v>
      </c>
      <c r="AA14" s="34">
        <f>G14*Z14</f>
        <v/>
      </c>
      <c r="AB14" s="36" t="n">
        <v>0.11</v>
      </c>
      <c r="AC14" s="34">
        <f>G14*AB14</f>
        <v/>
      </c>
      <c r="AD14" s="34">
        <f>AA14+AC14</f>
        <v/>
      </c>
      <c r="AE14" s="38">
        <f>AD14/G14</f>
        <v/>
      </c>
      <c r="AF14" s="39">
        <f>G14-N14-O14-P14-Q14-R14-S14-V14-X14-Y14-L14</f>
        <v/>
      </c>
      <c r="AG14" s="40">
        <f>AF14-AD14</f>
        <v/>
      </c>
      <c r="AH14" s="41">
        <f>AG14/G14</f>
        <v/>
      </c>
      <c r="AI14" s="42">
        <f>AG14/L14</f>
        <v/>
      </c>
      <c r="AJ14" s="34">
        <f>(O14+Q14+V14+X14+Y14+L14)/(1-(M14+$G$4+(1-H14)*$G$3+$G$8+Z14+AB14))</f>
        <v/>
      </c>
    </row>
    <row r="15">
      <c r="A15" s="12" t="inlineStr">
        <is>
          <t>DEOPROCE - SNAIL RECOVERY CREAM [100g] / Крем восстанавливающий с муцином улитки</t>
        </is>
      </c>
      <c r="B15" s="13" t="n"/>
      <c r="C15" s="13" t="n"/>
      <c r="D15" s="14" t="n"/>
      <c r="E15" s="14" t="n"/>
      <c r="F15" s="14" t="n"/>
      <c r="G15" s="14" t="n"/>
      <c r="H15" s="15" t="n"/>
      <c r="I15" s="16" t="n"/>
      <c r="J15" s="17" t="n"/>
      <c r="K15" s="17" t="n"/>
      <c r="L15" s="18" t="n"/>
      <c r="M15" s="19" t="n"/>
      <c r="N15" s="14" t="n"/>
      <c r="O15" s="14" t="n"/>
      <c r="P15" s="14" t="n"/>
      <c r="Q15" s="14" t="n"/>
      <c r="R15" s="14" t="n"/>
      <c r="S15" s="14" t="n"/>
      <c r="T15" s="20" t="n"/>
      <c r="U15" s="14" t="n"/>
      <c r="V15" s="14" t="n"/>
      <c r="W15" s="21" t="n"/>
      <c r="X15" s="14" t="n"/>
      <c r="Y15" s="18" t="n"/>
      <c r="Z15" s="19" t="n"/>
      <c r="AA15" s="14" t="n"/>
      <c r="AB15" s="20" t="n"/>
      <c r="AC15" s="14" t="n"/>
      <c r="AD15" s="14" t="n"/>
      <c r="AE15" s="22" t="n"/>
      <c r="AF15" s="23" t="n"/>
      <c r="AG15" s="14" t="n"/>
      <c r="AH15" s="20" t="n"/>
      <c r="AI15" s="20" t="n"/>
      <c r="AJ15" s="14" t="n"/>
    </row>
    <row r="16">
      <c r="A16" s="12" t="inlineStr">
        <is>
          <t>DEOPROCE RINSE - BLACK GARLIC INTENSME ENERGY [1000ml] / Бальзам от выпадения волос Чёрный чеснок</t>
        </is>
      </c>
      <c r="B16" s="13" t="n"/>
      <c r="C16" s="13" t="n"/>
      <c r="D16" s="14" t="n"/>
      <c r="E16" s="14" t="n"/>
      <c r="F16" s="14" t="n"/>
      <c r="G16" s="14" t="n"/>
      <c r="H16" s="15" t="n"/>
      <c r="I16" s="16" t="n"/>
      <c r="J16" s="17" t="n"/>
      <c r="K16" s="17" t="n"/>
      <c r="L16" s="18" t="n"/>
      <c r="M16" s="19" t="n"/>
      <c r="N16" s="14" t="n"/>
      <c r="O16" s="14" t="n"/>
      <c r="P16" s="14" t="n"/>
      <c r="Q16" s="14" t="n"/>
      <c r="R16" s="14" t="n"/>
      <c r="S16" s="14" t="n"/>
      <c r="T16" s="20" t="n"/>
      <c r="U16" s="14" t="n"/>
      <c r="V16" s="14" t="n"/>
      <c r="W16" s="21" t="n"/>
      <c r="X16" s="14" t="n"/>
      <c r="Y16" s="18" t="n"/>
      <c r="Z16" s="19" t="n"/>
      <c r="AA16" s="14" t="n"/>
      <c r="AB16" s="20" t="n"/>
      <c r="AC16" s="14" t="n"/>
      <c r="AD16" s="14" t="n"/>
      <c r="AE16" s="22" t="n"/>
      <c r="AF16" s="23" t="n"/>
      <c r="AG16" s="14" t="n"/>
      <c r="AH16" s="20" t="n"/>
      <c r="AI16" s="20" t="n"/>
      <c r="AJ16" s="14" t="n"/>
    </row>
    <row r="17">
      <c r="A17" s="12" t="inlineStr">
        <is>
          <t>DEOPROCE SHAMPOO - ARGAN SILKY MOISTURE [1000ml] / Шампунь для волос с аргановым маслом</t>
        </is>
      </c>
      <c r="B17" s="13" t="n"/>
      <c r="C17" s="13" t="n"/>
      <c r="D17" s="14" t="n"/>
      <c r="E17" s="14" t="n"/>
      <c r="F17" s="14" t="n"/>
      <c r="G17" s="14" t="n"/>
      <c r="H17" s="15" t="n"/>
      <c r="I17" s="16" t="n"/>
      <c r="J17" s="17" t="n"/>
      <c r="K17" s="17" t="n"/>
      <c r="L17" s="18" t="n"/>
      <c r="M17" s="19" t="n"/>
      <c r="N17" s="14" t="n"/>
      <c r="O17" s="14" t="n"/>
      <c r="P17" s="14" t="n"/>
      <c r="Q17" s="14" t="n"/>
      <c r="R17" s="14" t="n"/>
      <c r="S17" s="14" t="n"/>
      <c r="T17" s="20" t="n"/>
      <c r="U17" s="14" t="n"/>
      <c r="V17" s="14" t="n"/>
      <c r="W17" s="21" t="n"/>
      <c r="X17" s="14" t="n"/>
      <c r="Y17" s="18" t="n"/>
      <c r="Z17" s="19" t="n"/>
      <c r="AA17" s="14" t="n"/>
      <c r="AB17" s="20" t="n"/>
      <c r="AC17" s="14" t="n"/>
      <c r="AD17" s="14" t="n"/>
      <c r="AE17" s="22" t="n"/>
      <c r="AF17" s="23" t="n"/>
      <c r="AG17" s="14" t="n"/>
      <c r="AH17" s="20" t="n"/>
      <c r="AI17" s="20" t="n"/>
      <c r="AJ17" s="14" t="n"/>
    </row>
    <row r="18">
      <c r="A18" s="12" t="inlineStr">
        <is>
          <t>DEOPROCE SHAMPOO - BLACK GARLIC INTENSME ENERGY [600ml] мягкая упаковка Шампунь с черным чесноком против выпадения волос</t>
        </is>
      </c>
      <c r="B18" s="13" t="n"/>
      <c r="C18" s="13" t="n"/>
      <c r="D18" s="14" t="n"/>
      <c r="E18" s="14" t="n"/>
      <c r="F18" s="14" t="n"/>
      <c r="G18" s="14" t="n"/>
      <c r="H18" s="15" t="n"/>
      <c r="I18" s="16" t="n"/>
      <c r="J18" s="17" t="n"/>
      <c r="K18" s="17" t="n"/>
      <c r="L18" s="18" t="n"/>
      <c r="M18" s="19" t="n"/>
      <c r="N18" s="14" t="n"/>
      <c r="O18" s="14" t="n"/>
      <c r="P18" s="14" t="n"/>
      <c r="Q18" s="14" t="n"/>
      <c r="R18" s="14" t="n"/>
      <c r="S18" s="14" t="n"/>
      <c r="T18" s="20" t="n"/>
      <c r="U18" s="14" t="n"/>
      <c r="V18" s="14" t="n"/>
      <c r="W18" s="21" t="n"/>
      <c r="X18" s="14" t="n"/>
      <c r="Y18" s="18" t="n"/>
      <c r="Z18" s="19" t="n"/>
      <c r="AA18" s="14" t="n"/>
      <c r="AB18" s="20" t="n"/>
      <c r="AC18" s="14" t="n"/>
      <c r="AD18" s="14" t="n"/>
      <c r="AE18" s="22" t="n"/>
      <c r="AF18" s="23" t="n"/>
      <c r="AG18" s="14" t="n"/>
      <c r="AH18" s="20" t="n"/>
      <c r="AI18" s="20" t="n"/>
      <c r="AJ18" s="14" t="n"/>
    </row>
    <row r="19">
      <c r="A19" s="12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B19" s="13" t="n"/>
      <c r="C19" s="13" t="n"/>
      <c r="D19" s="14" t="n"/>
      <c r="E19" s="14" t="n"/>
      <c r="F19" s="14" t="n"/>
      <c r="G19" s="14" t="n"/>
      <c r="H19" s="15" t="n"/>
      <c r="I19" s="16" t="n"/>
      <c r="J19" s="17" t="n"/>
      <c r="K19" s="17" t="n"/>
      <c r="L19" s="18" t="n"/>
      <c r="M19" s="19" t="n"/>
      <c r="N19" s="14" t="n"/>
      <c r="O19" s="14" t="n"/>
      <c r="P19" s="14" t="n"/>
      <c r="Q19" s="14" t="n"/>
      <c r="R19" s="14" t="n"/>
      <c r="S19" s="14" t="n"/>
      <c r="T19" s="20" t="n"/>
      <c r="U19" s="14" t="n"/>
      <c r="V19" s="14" t="n"/>
      <c r="W19" s="21" t="n"/>
      <c r="X19" s="14" t="n"/>
      <c r="Y19" s="18" t="n"/>
      <c r="Z19" s="19" t="n"/>
      <c r="AA19" s="14" t="n"/>
      <c r="AB19" s="20" t="n"/>
      <c r="AC19" s="14" t="n"/>
      <c r="AD19" s="14" t="n"/>
      <c r="AE19" s="22" t="n"/>
      <c r="AF19" s="23" t="n"/>
      <c r="AG19" s="14" t="n"/>
      <c r="AH19" s="20" t="n"/>
      <c r="AI19" s="20" t="n"/>
      <c r="AJ19" s="14" t="n"/>
    </row>
    <row r="20">
      <c r="A20" s="24" t="inlineStr">
        <is>
          <t>DEOPROCE SHAMPOO - BLACK GARLIC INTENSME ENERGY [200ml]/ Шампунь с черным чесноком против выпадения волос</t>
        </is>
      </c>
      <c r="B20" s="25" t="n"/>
      <c r="C20" s="26" t="n"/>
      <c r="D20" s="27" t="n">
        <v>980</v>
      </c>
      <c r="E20" s="27" t="n">
        <v>8</v>
      </c>
      <c r="F20" s="27" t="n">
        <v>0</v>
      </c>
      <c r="G20" s="27" t="n">
        <v>900</v>
      </c>
      <c r="H20" s="28" t="n">
        <v>0.45</v>
      </c>
      <c r="I20" s="29">
        <f>G20*(1-H20)</f>
        <v/>
      </c>
      <c r="J20" s="30" t="n">
        <v>151.13</v>
      </c>
      <c r="K20" s="31">
        <f>$G$5</f>
        <v/>
      </c>
      <c r="L20" s="32">
        <f>J20+K20</f>
        <v/>
      </c>
      <c r="M20" s="33" t="n">
        <v>0.41</v>
      </c>
      <c r="N20" s="34">
        <f>G20*M20</f>
        <v/>
      </c>
      <c r="O20" s="35" t="n">
        <v>67</v>
      </c>
      <c r="P20" s="34">
        <f>G20*$G$8</f>
        <v/>
      </c>
      <c r="Q20" s="35" t="n">
        <v>25</v>
      </c>
      <c r="R20" s="34">
        <f>G20*$G$4</f>
        <v/>
      </c>
      <c r="S20" s="34">
        <f>I20*$G$3</f>
        <v/>
      </c>
      <c r="T20" s="36" t="n">
        <v>0.9</v>
      </c>
      <c r="U20" s="35" t="n">
        <v>67</v>
      </c>
      <c r="V20" s="34">
        <f>U20*(1-T20)</f>
        <v/>
      </c>
      <c r="W20" s="37" t="n">
        <v>0.68</v>
      </c>
      <c r="X20" s="34">
        <f>$G$6*$G$7*W20</f>
        <v/>
      </c>
      <c r="Y20" s="32">
        <f>W20*($G$9+$G$10)</f>
        <v/>
      </c>
      <c r="Z20" s="33" t="n">
        <v>0.07000000000000001</v>
      </c>
      <c r="AA20" s="34">
        <f>G20*Z20</f>
        <v/>
      </c>
      <c r="AB20" s="36" t="n">
        <v>0.08</v>
      </c>
      <c r="AC20" s="34">
        <f>G20*AB20</f>
        <v/>
      </c>
      <c r="AD20" s="34">
        <f>AA20+AC20</f>
        <v/>
      </c>
      <c r="AE20" s="38">
        <f>AD20/G20</f>
        <v/>
      </c>
      <c r="AF20" s="39">
        <f>G20-N20-O20-P20-Q20-R20-S20-V20-X20-Y20-L20</f>
        <v/>
      </c>
      <c r="AG20" s="40">
        <f>AF20-AD20</f>
        <v/>
      </c>
      <c r="AH20" s="41">
        <f>AG20/G20</f>
        <v/>
      </c>
      <c r="AI20" s="42">
        <f>AG20/L20</f>
        <v/>
      </c>
      <c r="AJ20" s="34">
        <f>(O20+Q20+V20+X20+Y20+L20)/(1-(M20+$G$4+(1-H20)*$G$3+$G$8+Z20+AB20))</f>
        <v/>
      </c>
    </row>
    <row r="21">
      <c r="A21" s="12" t="inlineStr">
        <is>
          <t>DEOPROCE SHAMPOO - ARGAN SILKY MOISTURE [1000ml] / Шампунь для волос с аргановым маслом</t>
        </is>
      </c>
      <c r="B21" s="13" t="n"/>
      <c r="C21" s="13" t="n"/>
      <c r="D21" s="14" t="n"/>
      <c r="E21" s="14" t="n"/>
      <c r="F21" s="14" t="n"/>
      <c r="G21" s="14" t="n"/>
      <c r="H21" s="15" t="n"/>
      <c r="I21" s="16" t="n"/>
      <c r="J21" s="17" t="n"/>
      <c r="K21" s="17" t="n"/>
      <c r="L21" s="18" t="n"/>
      <c r="M21" s="19" t="n"/>
      <c r="N21" s="14" t="n"/>
      <c r="O21" s="14" t="n"/>
      <c r="P21" s="14" t="n"/>
      <c r="Q21" s="14" t="n"/>
      <c r="R21" s="14" t="n"/>
      <c r="S21" s="14" t="n"/>
      <c r="T21" s="20" t="n"/>
      <c r="U21" s="14" t="n"/>
      <c r="V21" s="14" t="n"/>
      <c r="W21" s="21" t="n"/>
      <c r="X21" s="14" t="n"/>
      <c r="Y21" s="18" t="n"/>
      <c r="Z21" s="19" t="n"/>
      <c r="AA21" s="14" t="n"/>
      <c r="AB21" s="20" t="n"/>
      <c r="AC21" s="14" t="n"/>
      <c r="AD21" s="14" t="n"/>
      <c r="AE21" s="22" t="n"/>
      <c r="AF21" s="23" t="n"/>
      <c r="AG21" s="14" t="n"/>
      <c r="AH21" s="20" t="n"/>
      <c r="AI21" s="20" t="n"/>
      <c r="AJ21" s="14" t="n"/>
    </row>
    <row r="22">
      <c r="A22" s="12" t="inlineStr">
        <is>
          <t>DEOPROCE SHAMPOO - BLACK GARLIC INTENSME ENERGY [1000ml] / Шампунь с черным чесноком против выпадения волос</t>
        </is>
      </c>
      <c r="B22" s="13" t="n"/>
      <c r="C22" s="13" t="n"/>
      <c r="D22" s="14" t="n"/>
      <c r="E22" s="14" t="n"/>
      <c r="F22" s="14" t="n"/>
      <c r="G22" s="14" t="n"/>
      <c r="H22" s="15" t="n"/>
      <c r="I22" s="16" t="n"/>
      <c r="J22" s="17" t="n"/>
      <c r="K22" s="17" t="n"/>
      <c r="L22" s="18" t="n"/>
      <c r="M22" s="19" t="n"/>
      <c r="N22" s="14" t="n"/>
      <c r="O22" s="14" t="n"/>
      <c r="P22" s="14" t="n"/>
      <c r="Q22" s="14" t="n"/>
      <c r="R22" s="14" t="n"/>
      <c r="S22" s="14" t="n"/>
      <c r="T22" s="20" t="n"/>
      <c r="U22" s="14" t="n"/>
      <c r="V22" s="14" t="n"/>
      <c r="W22" s="21" t="n"/>
      <c r="X22" s="14" t="n"/>
      <c r="Y22" s="18" t="n"/>
      <c r="Z22" s="19" t="n"/>
      <c r="AA22" s="14" t="n"/>
      <c r="AB22" s="20" t="n"/>
      <c r="AC22" s="14" t="n"/>
      <c r="AD22" s="14" t="n"/>
      <c r="AE22" s="22" t="n"/>
      <c r="AF22" s="23" t="n"/>
      <c r="AG22" s="14" t="n"/>
      <c r="AH22" s="20" t="n"/>
      <c r="AI22" s="20" t="n"/>
      <c r="AJ22" s="14" t="n"/>
    </row>
    <row r="23">
      <c r="A23" s="12" t="inlineStr">
        <is>
          <t>DEOPROCE SHAMPOO+BALSAM - BLACK GARLIC[2000ml]</t>
        </is>
      </c>
      <c r="B23" s="13" t="n"/>
      <c r="C23" s="13" t="n"/>
      <c r="D23" s="14" t="n"/>
      <c r="E23" s="14" t="n"/>
      <c r="F23" s="14" t="n"/>
      <c r="G23" s="14" t="n"/>
      <c r="H23" s="15" t="n"/>
      <c r="I23" s="16" t="n"/>
      <c r="J23" s="17" t="n"/>
      <c r="K23" s="17" t="n"/>
      <c r="L23" s="18" t="n"/>
      <c r="M23" s="19" t="n"/>
      <c r="N23" s="14" t="n"/>
      <c r="O23" s="14" t="n"/>
      <c r="P23" s="14" t="n"/>
      <c r="Q23" s="14" t="n"/>
      <c r="R23" s="14" t="n"/>
      <c r="S23" s="14" t="n"/>
      <c r="T23" s="20" t="n"/>
      <c r="U23" s="14" t="n"/>
      <c r="V23" s="14" t="n"/>
      <c r="W23" s="21" t="n"/>
      <c r="X23" s="14" t="n"/>
      <c r="Y23" s="18" t="n"/>
      <c r="Z23" s="19" t="n"/>
      <c r="AA23" s="14" t="n"/>
      <c r="AB23" s="20" t="n"/>
      <c r="AC23" s="14" t="n"/>
      <c r="AD23" s="14" t="n"/>
      <c r="AE23" s="22" t="n"/>
      <c r="AF23" s="23" t="n"/>
      <c r="AG23" s="14" t="n"/>
      <c r="AH23" s="20" t="n"/>
      <c r="AI23" s="20" t="n"/>
      <c r="AJ23" s="14" t="n"/>
    </row>
    <row r="24">
      <c r="A24" s="12" t="inlineStr">
        <is>
          <t>DEOPROCE - AC CICA CALMING BOOSTING TONER [150ml] / Успокаивающий тонизирующий тонер</t>
        </is>
      </c>
      <c r="B24" s="13" t="n"/>
      <c r="C24" s="13" t="n"/>
      <c r="D24" s="14" t="n"/>
      <c r="E24" s="14" t="n"/>
      <c r="F24" s="14" t="n"/>
      <c r="G24" s="14" t="n"/>
      <c r="H24" s="15" t="n"/>
      <c r="I24" s="16" t="n"/>
      <c r="J24" s="17" t="n"/>
      <c r="K24" s="17" t="n"/>
      <c r="L24" s="18" t="n"/>
      <c r="M24" s="19" t="n"/>
      <c r="N24" s="14" t="n"/>
      <c r="O24" s="14" t="n"/>
      <c r="P24" s="14" t="n"/>
      <c r="Q24" s="14" t="n"/>
      <c r="R24" s="14" t="n"/>
      <c r="S24" s="14" t="n"/>
      <c r="T24" s="20" t="n"/>
      <c r="U24" s="14" t="n"/>
      <c r="V24" s="14" t="n"/>
      <c r="W24" s="21" t="n"/>
      <c r="X24" s="14" t="n"/>
      <c r="Y24" s="18" t="n"/>
      <c r="Z24" s="19" t="n"/>
      <c r="AA24" s="14" t="n"/>
      <c r="AB24" s="20" t="n"/>
      <c r="AC24" s="14" t="n"/>
      <c r="AD24" s="14" t="n"/>
      <c r="AE24" s="22" t="n"/>
      <c r="AF24" s="23" t="n"/>
      <c r="AG24" s="14" t="n"/>
      <c r="AH24" s="20" t="n"/>
      <c r="AI24" s="20" t="n"/>
      <c r="AJ24" s="14" t="n"/>
    </row>
    <row r="25">
      <c r="A25" s="12" t="inlineStr">
        <is>
          <t>DEOPROCE - REAL FRESH VEGAN CALMING TONER [200ml] / Успокаивающий тоник для лица</t>
        </is>
      </c>
      <c r="B25" s="13" t="n"/>
      <c r="C25" s="13" t="n"/>
      <c r="D25" s="14" t="n"/>
      <c r="E25" s="14" t="n"/>
      <c r="F25" s="14" t="n"/>
      <c r="G25" s="14" t="n"/>
      <c r="H25" s="15" t="n"/>
      <c r="I25" s="16" t="n"/>
      <c r="J25" s="17" t="n"/>
      <c r="K25" s="17" t="n"/>
      <c r="L25" s="18" t="n"/>
      <c r="M25" s="19" t="n"/>
      <c r="N25" s="14" t="n"/>
      <c r="O25" s="14" t="n"/>
      <c r="P25" s="14" t="n"/>
      <c r="Q25" s="14" t="n"/>
      <c r="R25" s="14" t="n"/>
      <c r="S25" s="14" t="n"/>
      <c r="T25" s="20" t="n"/>
      <c r="U25" s="14" t="n"/>
      <c r="V25" s="14" t="n"/>
      <c r="W25" s="21" t="n"/>
      <c r="X25" s="14" t="n"/>
      <c r="Y25" s="18" t="n"/>
      <c r="Z25" s="19" t="n"/>
      <c r="AA25" s="14" t="n"/>
      <c r="AB25" s="20" t="n"/>
      <c r="AC25" s="14" t="n"/>
      <c r="AD25" s="14" t="n"/>
      <c r="AE25" s="22" t="n"/>
      <c r="AF25" s="23" t="n"/>
      <c r="AG25" s="14" t="n"/>
      <c r="AH25" s="20" t="n"/>
      <c r="AI25" s="20" t="n"/>
      <c r="AJ25" s="14" t="n"/>
    </row>
    <row r="26">
      <c r="A26" s="12" t="inlineStr">
        <is>
          <t>DR. JART - Ctrl+A Teatreatment Moisturizer [50ml] / Увлажняющий лечебный крем для лица против акне</t>
        </is>
      </c>
      <c r="B26" s="13" t="n"/>
      <c r="C26" s="13" t="n"/>
      <c r="D26" s="14" t="n"/>
      <c r="E26" s="14" t="n"/>
      <c r="F26" s="14" t="n"/>
      <c r="G26" s="14" t="n"/>
      <c r="H26" s="15" t="n"/>
      <c r="I26" s="16" t="n"/>
      <c r="J26" s="17" t="n"/>
      <c r="K26" s="17" t="n"/>
      <c r="L26" s="18" t="n"/>
      <c r="M26" s="19" t="n"/>
      <c r="N26" s="14" t="n"/>
      <c r="O26" s="14" t="n"/>
      <c r="P26" s="14" t="n"/>
      <c r="Q26" s="14" t="n"/>
      <c r="R26" s="14" t="n"/>
      <c r="S26" s="14" t="n"/>
      <c r="T26" s="20" t="n"/>
      <c r="U26" s="14" t="n"/>
      <c r="V26" s="14" t="n"/>
      <c r="W26" s="21" t="n"/>
      <c r="X26" s="14" t="n"/>
      <c r="Y26" s="18" t="n"/>
      <c r="Z26" s="19" t="n"/>
      <c r="AA26" s="14" t="n"/>
      <c r="AB26" s="20" t="n"/>
      <c r="AC26" s="14" t="n"/>
      <c r="AD26" s="14" t="n"/>
      <c r="AE26" s="22" t="n"/>
      <c r="AF26" s="23" t="n"/>
      <c r="AG26" s="14" t="n"/>
      <c r="AH26" s="20" t="n"/>
      <c r="AI26" s="20" t="n"/>
      <c r="AJ26" s="14" t="n"/>
    </row>
    <row r="27">
      <c r="A27" s="12" t="inlineStr">
        <is>
          <t>DR. JART - Ctrl+A Teatreatment Soothing Spot AI [15ml] / Корректор для лица против акне</t>
        </is>
      </c>
      <c r="B27" s="13" t="n"/>
      <c r="C27" s="13" t="n"/>
      <c r="D27" s="14" t="n"/>
      <c r="E27" s="14" t="n"/>
      <c r="F27" s="14" t="n"/>
      <c r="G27" s="14" t="n"/>
      <c r="H27" s="15" t="n"/>
      <c r="I27" s="16" t="n"/>
      <c r="J27" s="17" t="n"/>
      <c r="K27" s="17" t="n"/>
      <c r="L27" s="18" t="n"/>
      <c r="M27" s="19" t="n"/>
      <c r="N27" s="14" t="n"/>
      <c r="O27" s="14" t="n"/>
      <c r="P27" s="14" t="n"/>
      <c r="Q27" s="14" t="n"/>
      <c r="R27" s="14" t="n"/>
      <c r="S27" s="14" t="n"/>
      <c r="T27" s="20" t="n"/>
      <c r="U27" s="14" t="n"/>
      <c r="V27" s="14" t="n"/>
      <c r="W27" s="21" t="n"/>
      <c r="X27" s="14" t="n"/>
      <c r="Y27" s="18" t="n"/>
      <c r="Z27" s="19" t="n"/>
      <c r="AA27" s="14" t="n"/>
      <c r="AB27" s="20" t="n"/>
      <c r="AC27" s="14" t="n"/>
      <c r="AD27" s="14" t="n"/>
      <c r="AE27" s="22" t="n"/>
      <c r="AF27" s="23" t="n"/>
      <c r="AG27" s="14" t="n"/>
      <c r="AH27" s="20" t="n"/>
      <c r="AI27" s="20" t="n"/>
      <c r="AJ27" s="14" t="n"/>
    </row>
    <row r="28">
      <c r="A28" s="12" t="inlineStr">
        <is>
          <t>DR. JART - Dermaclear Micro Foam [120ml] / Гель пенка для умывания лица</t>
        </is>
      </c>
      <c r="B28" s="13" t="n"/>
      <c r="C28" s="13" t="n"/>
      <c r="D28" s="14" t="n"/>
      <c r="E28" s="14" t="n"/>
      <c r="F28" s="14" t="n"/>
      <c r="G28" s="14" t="n"/>
      <c r="H28" s="15" t="n"/>
      <c r="I28" s="16" t="n"/>
      <c r="J28" s="17" t="n"/>
      <c r="K28" s="17" t="n"/>
      <c r="L28" s="18" t="n"/>
      <c r="M28" s="19" t="n"/>
      <c r="N28" s="14" t="n"/>
      <c r="O28" s="14" t="n"/>
      <c r="P28" s="14" t="n"/>
      <c r="Q28" s="14" t="n"/>
      <c r="R28" s="14" t="n"/>
      <c r="S28" s="14" t="n"/>
      <c r="T28" s="20" t="n"/>
      <c r="U28" s="14" t="n"/>
      <c r="V28" s="14" t="n"/>
      <c r="W28" s="21" t="n"/>
      <c r="X28" s="14" t="n"/>
      <c r="Y28" s="18" t="n"/>
      <c r="Z28" s="19" t="n"/>
      <c r="AA28" s="14" t="n"/>
      <c r="AB28" s="20" t="n"/>
      <c r="AC28" s="14" t="n"/>
      <c r="AD28" s="14" t="n"/>
      <c r="AE28" s="22" t="n"/>
      <c r="AF28" s="23" t="n"/>
      <c r="AG28" s="14" t="n"/>
      <c r="AH28" s="20" t="n"/>
      <c r="AI28" s="20" t="n"/>
      <c r="AJ28" s="14" t="n"/>
    </row>
    <row r="29">
      <c r="A29" s="24" t="inlineStr">
        <is>
          <t>DR. JART - Ctrl+A Teatreatment Toner [120ml] / Тонер тоник для лица увлажняющий с чайным деревом</t>
        </is>
      </c>
      <c r="B29" s="25" t="n"/>
      <c r="C29" s="26" t="n"/>
      <c r="D29" s="27" t="n"/>
      <c r="E29" s="27" t="inlineStr">
        <is>
          <t>89 (Закончились)</t>
        </is>
      </c>
      <c r="F29" s="27" t="n">
        <v>9.199999999999999</v>
      </c>
      <c r="G29" s="27">
        <f>(1.25*L29+O29+Q29+V29+X29+Y29)/(1-M29-$G$8-$G$4-(1-H29)*$G$3-Z29-AB29)</f>
        <v/>
      </c>
      <c r="H29" s="28" t="n">
        <v>0.45</v>
      </c>
      <c r="I29" s="29">
        <f>G29*(1-H29)</f>
        <v/>
      </c>
      <c r="J29" s="30" t="n">
        <v>637.89</v>
      </c>
      <c r="K29" s="31">
        <f>$G$5</f>
        <v/>
      </c>
      <c r="L29" s="32">
        <f>J29+K29</f>
        <v/>
      </c>
      <c r="M29" s="33" t="n">
        <v>0.41</v>
      </c>
      <c r="N29" s="34">
        <f>G29*M29</f>
        <v/>
      </c>
      <c r="O29" s="35" t="n">
        <v>63</v>
      </c>
      <c r="P29" s="34">
        <f>G29*$G$8</f>
        <v/>
      </c>
      <c r="Q29" s="35" t="n">
        <v>25</v>
      </c>
      <c r="R29" s="34">
        <f>G29*$G$4</f>
        <v/>
      </c>
      <c r="S29" s="34">
        <f>I29*$G$3</f>
        <v/>
      </c>
      <c r="T29" s="36" t="n">
        <v>0.9</v>
      </c>
      <c r="U29" s="35" t="n">
        <v>63</v>
      </c>
      <c r="V29" s="34">
        <f>U29*(1-T29)</f>
        <v/>
      </c>
      <c r="W29" s="37" t="n">
        <v>0.33</v>
      </c>
      <c r="X29" s="34">
        <f>$G$6*$G$7*W29</f>
        <v/>
      </c>
      <c r="Y29" s="32">
        <f>W29*($G$9+$G$10)</f>
        <v/>
      </c>
      <c r="Z29" s="33" t="n">
        <v>0.07000000000000001</v>
      </c>
      <c r="AA29" s="34">
        <f>G29*Z29</f>
        <v/>
      </c>
      <c r="AB29" s="36" t="n">
        <v>0.08</v>
      </c>
      <c r="AC29" s="34">
        <f>G29*AB29</f>
        <v/>
      </c>
      <c r="AD29" s="34">
        <f>AA29+AC29</f>
        <v/>
      </c>
      <c r="AE29" s="38">
        <f>AD29/G29</f>
        <v/>
      </c>
      <c r="AF29" s="39">
        <f>G29-N29-O29-P29-Q29-R29-S29-V29-X29-Y29-L29</f>
        <v/>
      </c>
      <c r="AG29" s="40">
        <f>AF29-AD29</f>
        <v/>
      </c>
      <c r="AH29" s="41">
        <f>AG29/G29</f>
        <v/>
      </c>
      <c r="AI29" s="42">
        <f>AG29/L29</f>
        <v/>
      </c>
      <c r="AJ29" s="34">
        <f>(O29+Q29+V29+X29+Y29+L29)/(1-(M29+$G$4+(1-H29)*$G$3+$G$8+Z29+AB29))</f>
        <v/>
      </c>
    </row>
    <row r="30">
      <c r="A30" s="12" t="inlineStr">
        <is>
          <t>DR. JART - Cicapair Tiger Grass Color Correcting Treatment [50ml] / СС Крем корректор для лица</t>
        </is>
      </c>
      <c r="B30" s="13" t="n"/>
      <c r="C30" s="13" t="n"/>
      <c r="D30" s="14" t="n"/>
      <c r="E30" s="14" t="n"/>
      <c r="F30" s="14" t="n"/>
      <c r="G30" s="14" t="n"/>
      <c r="H30" s="15" t="n"/>
      <c r="I30" s="16" t="n"/>
      <c r="J30" s="17" t="n"/>
      <c r="K30" s="17" t="n"/>
      <c r="L30" s="18" t="n"/>
      <c r="M30" s="19" t="n"/>
      <c r="N30" s="14" t="n"/>
      <c r="O30" s="14" t="n"/>
      <c r="P30" s="14" t="n"/>
      <c r="Q30" s="14" t="n"/>
      <c r="R30" s="14" t="n"/>
      <c r="S30" s="14" t="n"/>
      <c r="T30" s="20" t="n"/>
      <c r="U30" s="14" t="n"/>
      <c r="V30" s="14" t="n"/>
      <c r="W30" s="21" t="n"/>
      <c r="X30" s="14" t="n"/>
      <c r="Y30" s="18" t="n"/>
      <c r="Z30" s="19" t="n"/>
      <c r="AA30" s="14" t="n"/>
      <c r="AB30" s="20" t="n"/>
      <c r="AC30" s="14" t="n"/>
      <c r="AD30" s="14" t="n"/>
      <c r="AE30" s="22" t="n"/>
      <c r="AF30" s="23" t="n"/>
      <c r="AG30" s="14" t="n"/>
      <c r="AH30" s="20" t="n"/>
      <c r="AI30" s="20" t="n"/>
      <c r="AJ30" s="14" t="n"/>
    </row>
    <row r="31">
      <c r="A31" s="12" t="inlineStr">
        <is>
          <t>EKEL - Ampoule Toner Collagen [150ml] / Увлажняющий тоник для лица омолаживающий тонер</t>
        </is>
      </c>
      <c r="B31" s="13" t="n"/>
      <c r="C31" s="13" t="n"/>
      <c r="D31" s="14" t="n"/>
      <c r="E31" s="14" t="n"/>
      <c r="F31" s="14" t="n"/>
      <c r="G31" s="14" t="n"/>
      <c r="H31" s="15" t="n"/>
      <c r="I31" s="16" t="n"/>
      <c r="J31" s="17" t="n"/>
      <c r="K31" s="17" t="n"/>
      <c r="L31" s="18" t="n"/>
      <c r="M31" s="19" t="n"/>
      <c r="N31" s="14" t="n"/>
      <c r="O31" s="14" t="n"/>
      <c r="P31" s="14" t="n"/>
      <c r="Q31" s="14" t="n"/>
      <c r="R31" s="14" t="n"/>
      <c r="S31" s="14" t="n"/>
      <c r="T31" s="20" t="n"/>
      <c r="U31" s="14" t="n"/>
      <c r="V31" s="14" t="n"/>
      <c r="W31" s="21" t="n"/>
      <c r="X31" s="14" t="n"/>
      <c r="Y31" s="18" t="n"/>
      <c r="Z31" s="19" t="n"/>
      <c r="AA31" s="14" t="n"/>
      <c r="AB31" s="20" t="n"/>
      <c r="AC31" s="14" t="n"/>
      <c r="AD31" s="14" t="n"/>
      <c r="AE31" s="22" t="n"/>
      <c r="AF31" s="23" t="n"/>
      <c r="AG31" s="14" t="n"/>
      <c r="AH31" s="20" t="n"/>
      <c r="AI31" s="20" t="n"/>
      <c r="AJ31" s="14" t="n"/>
    </row>
    <row r="32">
      <c r="A32" s="24" t="inlineStr">
        <is>
          <t>EKEL - Ampule Сream Сollagen [70ml] / Крем для лица ампульный с коллагеном</t>
        </is>
      </c>
      <c r="B32" s="25" t="n"/>
      <c r="C32" s="26" t="n"/>
      <c r="D32" s="27" t="n">
        <v>1280</v>
      </c>
      <c r="E32" s="27" t="n">
        <v>4</v>
      </c>
      <c r="F32" s="27" t="n">
        <v>0</v>
      </c>
      <c r="G32" s="27">
        <f>(1.25*L32+O32+Q32+V32+X32+Y32)/(1-M32-$G$8-$G$4-(1-H32)*$G$3-Z32-AB32)</f>
        <v/>
      </c>
      <c r="H32" s="28" t="n">
        <v>0.45</v>
      </c>
      <c r="I32" s="29">
        <f>G32*(1-H32)</f>
        <v/>
      </c>
      <c r="J32" s="30" t="n">
        <v>142.13</v>
      </c>
      <c r="K32" s="31">
        <f>$G$5</f>
        <v/>
      </c>
      <c r="L32" s="32">
        <f>J32+K32</f>
        <v/>
      </c>
      <c r="M32" s="33" t="n">
        <v>0.41</v>
      </c>
      <c r="N32" s="34">
        <f>G32*M32</f>
        <v/>
      </c>
      <c r="O32" s="35" t="n">
        <v>67</v>
      </c>
      <c r="P32" s="34">
        <f>G32*$G$8</f>
        <v/>
      </c>
      <c r="Q32" s="35" t="n">
        <v>25</v>
      </c>
      <c r="R32" s="34">
        <f>G32*$G$4</f>
        <v/>
      </c>
      <c r="S32" s="34">
        <f>I32*$G$3</f>
        <v/>
      </c>
      <c r="T32" s="36" t="n">
        <v>0.9</v>
      </c>
      <c r="U32" s="35" t="n">
        <v>67</v>
      </c>
      <c r="V32" s="34">
        <f>U32*(1-T32)</f>
        <v/>
      </c>
      <c r="W32" s="37" t="n">
        <v>0.42</v>
      </c>
      <c r="X32" s="34">
        <f>$G$6*$G$7*W32</f>
        <v/>
      </c>
      <c r="Y32" s="32">
        <f>W32*($G$9+$G$10)</f>
        <v/>
      </c>
      <c r="Z32" s="33" t="n">
        <v>0.07000000000000001</v>
      </c>
      <c r="AA32" s="34">
        <f>G32*Z32</f>
        <v/>
      </c>
      <c r="AB32" s="36" t="n">
        <v>0.08</v>
      </c>
      <c r="AC32" s="34">
        <f>G32*AB32</f>
        <v/>
      </c>
      <c r="AD32" s="34">
        <f>AA32+AC32</f>
        <v/>
      </c>
      <c r="AE32" s="38">
        <f>AD32/G32</f>
        <v/>
      </c>
      <c r="AF32" s="39">
        <f>G32-N32-O32-P32-Q32-R32-S32-V32-X32-Y32-L32</f>
        <v/>
      </c>
      <c r="AG32" s="40">
        <f>AF32-AD32</f>
        <v/>
      </c>
      <c r="AH32" s="41">
        <f>AG32/G32</f>
        <v/>
      </c>
      <c r="AI32" s="42">
        <f>AG32/L32</f>
        <v/>
      </c>
      <c r="AJ32" s="34">
        <f>(O32+Q32+V32+X32+Y32+L32)/(1-(M32+$G$4+(1-H32)*$G$3+$G$8+Z32+AB32))</f>
        <v/>
      </c>
    </row>
    <row r="33">
      <c r="A33" s="12" t="inlineStr">
        <is>
          <t>EKEL - Ampoule Cream Collagen [50ml] / Ампульный крем с коллагеном</t>
        </is>
      </c>
      <c r="B33" s="13" t="n"/>
      <c r="C33" s="13" t="n"/>
      <c r="D33" s="14" t="n"/>
      <c r="E33" s="14" t="n"/>
      <c r="F33" s="14" t="n"/>
      <c r="G33" s="14" t="n"/>
      <c r="H33" s="15" t="n"/>
      <c r="I33" s="16" t="n"/>
      <c r="J33" s="17" t="n"/>
      <c r="K33" s="17" t="n"/>
      <c r="L33" s="18" t="n"/>
      <c r="M33" s="19" t="n"/>
      <c r="N33" s="14" t="n"/>
      <c r="O33" s="14" t="n"/>
      <c r="P33" s="14" t="n"/>
      <c r="Q33" s="14" t="n"/>
      <c r="R33" s="14" t="n"/>
      <c r="S33" s="14" t="n"/>
      <c r="T33" s="20" t="n"/>
      <c r="U33" s="14" t="n"/>
      <c r="V33" s="14" t="n"/>
      <c r="W33" s="21" t="n"/>
      <c r="X33" s="14" t="n"/>
      <c r="Y33" s="18" t="n"/>
      <c r="Z33" s="19" t="n"/>
      <c r="AA33" s="14" t="n"/>
      <c r="AB33" s="20" t="n"/>
      <c r="AC33" s="14" t="n"/>
      <c r="AD33" s="14" t="n"/>
      <c r="AE33" s="22" t="n"/>
      <c r="AF33" s="23" t="n"/>
      <c r="AG33" s="14" t="n"/>
      <c r="AH33" s="20" t="n"/>
      <c r="AI33" s="20" t="n"/>
      <c r="AJ33" s="14" t="n"/>
    </row>
    <row r="34">
      <c r="A34" s="12" t="inlineStr">
        <is>
          <t>ELIZAVECCA - 24K Gold Snail Cleansing Foam [180ml] / Золотая пенка умывалка для лица с улиткой</t>
        </is>
      </c>
      <c r="B34" s="13" t="n"/>
      <c r="C34" s="13" t="n"/>
      <c r="D34" s="14" t="n"/>
      <c r="E34" s="14" t="n"/>
      <c r="F34" s="14" t="n"/>
      <c r="G34" s="14" t="n"/>
      <c r="H34" s="15" t="n"/>
      <c r="I34" s="16" t="n"/>
      <c r="J34" s="17" t="n"/>
      <c r="K34" s="17" t="n"/>
      <c r="L34" s="18" t="n"/>
      <c r="M34" s="19" t="n"/>
      <c r="N34" s="14" t="n"/>
      <c r="O34" s="14" t="n"/>
      <c r="P34" s="14" t="n"/>
      <c r="Q34" s="14" t="n"/>
      <c r="R34" s="14" t="n"/>
      <c r="S34" s="14" t="n"/>
      <c r="T34" s="20" t="n"/>
      <c r="U34" s="14" t="n"/>
      <c r="V34" s="14" t="n"/>
      <c r="W34" s="21" t="n"/>
      <c r="X34" s="14" t="n"/>
      <c r="Y34" s="18" t="n"/>
      <c r="Z34" s="19" t="n"/>
      <c r="AA34" s="14" t="n"/>
      <c r="AB34" s="20" t="n"/>
      <c r="AC34" s="14" t="n"/>
      <c r="AD34" s="14" t="n"/>
      <c r="AE34" s="22" t="n"/>
      <c r="AF34" s="23" t="n"/>
      <c r="AG34" s="14" t="n"/>
      <c r="AH34" s="20" t="n"/>
      <c r="AI34" s="20" t="n"/>
      <c r="AJ34" s="14" t="n"/>
    </row>
    <row r="35">
      <c r="A35" s="12" t="inlineStr">
        <is>
          <t>ELIZAVECCA - Aqua Hyaluronic Acid Water Drop Cream / Увлажняющий крем для лица с гиалуроновой кислотой</t>
        </is>
      </c>
      <c r="B35" s="13" t="n"/>
      <c r="C35" s="13" t="n"/>
      <c r="D35" s="14" t="n"/>
      <c r="E35" s="14" t="n"/>
      <c r="F35" s="14" t="n"/>
      <c r="G35" s="14" t="n"/>
      <c r="H35" s="15" t="n"/>
      <c r="I35" s="16" t="n"/>
      <c r="J35" s="17" t="n"/>
      <c r="K35" s="17" t="n"/>
      <c r="L35" s="18" t="n"/>
      <c r="M35" s="19" t="n"/>
      <c r="N35" s="14" t="n"/>
      <c r="O35" s="14" t="n"/>
      <c r="P35" s="14" t="n"/>
      <c r="Q35" s="14" t="n"/>
      <c r="R35" s="14" t="n"/>
      <c r="S35" s="14" t="n"/>
      <c r="T35" s="20" t="n"/>
      <c r="U35" s="14" t="n"/>
      <c r="V35" s="14" t="n"/>
      <c r="W35" s="21" t="n"/>
      <c r="X35" s="14" t="n"/>
      <c r="Y35" s="18" t="n"/>
      <c r="Z35" s="19" t="n"/>
      <c r="AA35" s="14" t="n"/>
      <c r="AB35" s="20" t="n"/>
      <c r="AC35" s="14" t="n"/>
      <c r="AD35" s="14" t="n"/>
      <c r="AE35" s="22" t="n"/>
      <c r="AF35" s="23" t="n"/>
      <c r="AG35" s="14" t="n"/>
      <c r="AH35" s="20" t="n"/>
      <c r="AI35" s="20" t="n"/>
      <c r="AJ35" s="14" t="n"/>
    </row>
    <row r="36">
      <c r="A36" s="24" t="inlineStr">
        <is>
          <t>ELIZAVECCA - CER-100 Collagen Ceramide Coating Protein Treatment [100ml] / Коллагеновая маска для волос</t>
        </is>
      </c>
      <c r="B36" s="25" t="n"/>
      <c r="C36" s="26" t="n"/>
      <c r="D36" s="27" t="n">
        <v>1315</v>
      </c>
      <c r="E36" s="27" t="n">
        <v>150</v>
      </c>
      <c r="F36" s="27" t="n">
        <v>0</v>
      </c>
      <c r="G36" s="27">
        <f>(1.25*L36+O36+Q36+V36+X36+Y36)/(1-M36-$G$8-$G$4-(1-H36)*$G$3-Z36-AB36)</f>
        <v/>
      </c>
      <c r="H36" s="28" t="n">
        <v>0.45</v>
      </c>
      <c r="I36" s="29">
        <f>G36*(1-H36)</f>
        <v/>
      </c>
      <c r="J36" s="30" t="n">
        <v>242.23</v>
      </c>
      <c r="K36" s="31">
        <f>$G$5</f>
        <v/>
      </c>
      <c r="L36" s="32">
        <f>J36+K36</f>
        <v/>
      </c>
      <c r="M36" s="33" t="n">
        <v>0.41</v>
      </c>
      <c r="N36" s="34">
        <f>G36*M36</f>
        <v/>
      </c>
      <c r="O36" s="35" t="n">
        <v>67</v>
      </c>
      <c r="P36" s="34">
        <f>G36*$G$8</f>
        <v/>
      </c>
      <c r="Q36" s="35" t="n">
        <v>25</v>
      </c>
      <c r="R36" s="34">
        <f>G36*$G$4</f>
        <v/>
      </c>
      <c r="S36" s="34">
        <f>I36*$G$3</f>
        <v/>
      </c>
      <c r="T36" s="36" t="n">
        <v>0.9</v>
      </c>
      <c r="U36" s="35" t="n">
        <v>67</v>
      </c>
      <c r="V36" s="34">
        <f>U36*(1-T36)</f>
        <v/>
      </c>
      <c r="W36" s="37" t="n">
        <v>0.46</v>
      </c>
      <c r="X36" s="34">
        <f>$G$6*$G$7*W36</f>
        <v/>
      </c>
      <c r="Y36" s="32">
        <f>W36*($G$9+$G$10)</f>
        <v/>
      </c>
      <c r="Z36" s="33" t="n">
        <v>0.07000000000000001</v>
      </c>
      <c r="AA36" s="34">
        <f>G36*Z36</f>
        <v/>
      </c>
      <c r="AB36" s="36" t="n">
        <v>0.08</v>
      </c>
      <c r="AC36" s="34">
        <f>G36*AB36</f>
        <v/>
      </c>
      <c r="AD36" s="34">
        <f>AA36+AC36</f>
        <v/>
      </c>
      <c r="AE36" s="38">
        <f>AD36/G36</f>
        <v/>
      </c>
      <c r="AF36" s="39">
        <f>G36-N36-O36-P36-Q36-R36-S36-V36-X36-Y36-L36</f>
        <v/>
      </c>
      <c r="AG36" s="40">
        <f>AF36-AD36</f>
        <v/>
      </c>
      <c r="AH36" s="41">
        <f>AG36/G36</f>
        <v/>
      </c>
      <c r="AI36" s="42">
        <f>AG36/L36</f>
        <v/>
      </c>
      <c r="AJ36" s="34">
        <f>(O36+Q36+V36+X36+Y36+L36)/(1-(M36+$G$4+(1-H36)*$G$3+$G$8+Z36+AB36))</f>
        <v/>
      </c>
    </row>
    <row r="37">
      <c r="A37" s="12" t="inlineStr">
        <is>
          <t>ELIZAVECCA - Hell pore clean up aha fruit toner [ 200ml] / Пилинг-тоник с фруктовыми кислотами</t>
        </is>
      </c>
      <c r="B37" s="13" t="n"/>
      <c r="C37" s="13" t="n"/>
      <c r="D37" s="14" t="n"/>
      <c r="E37" s="14" t="n"/>
      <c r="F37" s="14" t="n"/>
      <c r="G37" s="14" t="n"/>
      <c r="H37" s="15" t="n"/>
      <c r="I37" s="16" t="n"/>
      <c r="J37" s="17" t="n"/>
      <c r="K37" s="17" t="n"/>
      <c r="L37" s="18" t="n"/>
      <c r="M37" s="19" t="n"/>
      <c r="N37" s="14" t="n"/>
      <c r="O37" s="14" t="n"/>
      <c r="P37" s="14" t="n"/>
      <c r="Q37" s="14" t="n"/>
      <c r="R37" s="14" t="n"/>
      <c r="S37" s="14" t="n"/>
      <c r="T37" s="20" t="n"/>
      <c r="U37" s="14" t="n"/>
      <c r="V37" s="14" t="n"/>
      <c r="W37" s="21" t="n"/>
      <c r="X37" s="14" t="n"/>
      <c r="Y37" s="18" t="n"/>
      <c r="Z37" s="19" t="n"/>
      <c r="AA37" s="14" t="n"/>
      <c r="AB37" s="20" t="n"/>
      <c r="AC37" s="14" t="n"/>
      <c r="AD37" s="14" t="n"/>
      <c r="AE37" s="22" t="n"/>
      <c r="AF37" s="23" t="n"/>
      <c r="AG37" s="14" t="n"/>
      <c r="AH37" s="20" t="n"/>
      <c r="AI37" s="20" t="n"/>
      <c r="AJ37" s="14" t="n"/>
    </row>
    <row r="38">
      <c r="A38" s="12" t="inlineStr">
        <is>
          <t>ELIZAVECCA - Hell-Pore Control Hyaluronic Acid 97 / Сыворотка для лица с гиалуроновой кислотой 97%</t>
        </is>
      </c>
      <c r="B38" s="13" t="n"/>
      <c r="C38" s="13" t="n"/>
      <c r="D38" s="14" t="n"/>
      <c r="E38" s="14" t="n"/>
      <c r="F38" s="14" t="n"/>
      <c r="G38" s="14" t="n"/>
      <c r="H38" s="15" t="n"/>
      <c r="I38" s="16" t="n"/>
      <c r="J38" s="17" t="n"/>
      <c r="K38" s="17" t="n"/>
      <c r="L38" s="18" t="n"/>
      <c r="M38" s="19" t="n"/>
      <c r="N38" s="14" t="n"/>
      <c r="O38" s="14" t="n"/>
      <c r="P38" s="14" t="n"/>
      <c r="Q38" s="14" t="n"/>
      <c r="R38" s="14" t="n"/>
      <c r="S38" s="14" t="n"/>
      <c r="T38" s="20" t="n"/>
      <c r="U38" s="14" t="n"/>
      <c r="V38" s="14" t="n"/>
      <c r="W38" s="21" t="n"/>
      <c r="X38" s="14" t="n"/>
      <c r="Y38" s="18" t="n"/>
      <c r="Z38" s="19" t="n"/>
      <c r="AA38" s="14" t="n"/>
      <c r="AB38" s="20" t="n"/>
      <c r="AC38" s="14" t="n"/>
      <c r="AD38" s="14" t="n"/>
      <c r="AE38" s="22" t="n"/>
      <c r="AF38" s="23" t="n"/>
      <c r="AG38" s="14" t="n"/>
      <c r="AH38" s="20" t="n"/>
      <c r="AI38" s="20" t="n"/>
      <c r="AJ38" s="14" t="n"/>
    </row>
    <row r="39">
      <c r="A39" s="24" t="inlineStr">
        <is>
          <t>ELIZAVECCA - Hell-Pore Galactomyces Pure Ample / Сыворотка для лица с экстрактом галактомисиса</t>
        </is>
      </c>
      <c r="B39" s="25" t="n"/>
      <c r="C39" s="26" t="inlineStr">
        <is>
          <t>не смогла найти с продажами</t>
        </is>
      </c>
      <c r="D39" s="27" t="n"/>
      <c r="E39" s="27" t="n"/>
      <c r="F39" s="27" t="n"/>
      <c r="G39" s="27">
        <f>(1.25*L39+O39+Q39+V39+X39+Y39)/(1-M39-$G$8-$G$4-(1-H39)*$G$3-Z39-AB39)</f>
        <v/>
      </c>
      <c r="H39" s="28" t="n">
        <v>0.45</v>
      </c>
      <c r="I39" s="29">
        <f>G39*(1-H39)</f>
        <v/>
      </c>
      <c r="J39" s="30" t="n">
        <v>447.64</v>
      </c>
      <c r="K39" s="31">
        <f>$G$5</f>
        <v/>
      </c>
      <c r="L39" s="32">
        <f>J39+K39</f>
        <v/>
      </c>
      <c r="M39" s="33" t="n">
        <v>0.41</v>
      </c>
      <c r="N39" s="34">
        <f>G39*M39</f>
        <v/>
      </c>
      <c r="O39" s="35" t="n">
        <v>63</v>
      </c>
      <c r="P39" s="34">
        <f>G39*$G$8</f>
        <v/>
      </c>
      <c r="Q39" s="35" t="n">
        <v>25</v>
      </c>
      <c r="R39" s="34">
        <f>G39*$G$4</f>
        <v/>
      </c>
      <c r="S39" s="34">
        <f>I39*$G$3</f>
        <v/>
      </c>
      <c r="T39" s="36" t="n">
        <v>0.9</v>
      </c>
      <c r="U39" s="35" t="n">
        <v>63</v>
      </c>
      <c r="V39" s="34">
        <f>U39*(1-T39)</f>
        <v/>
      </c>
      <c r="W39" s="37" t="n">
        <v>0.3</v>
      </c>
      <c r="X39" s="34">
        <f>$G$6*$G$7*W39</f>
        <v/>
      </c>
      <c r="Y39" s="32">
        <f>W39*($G$9+$G$10)</f>
        <v/>
      </c>
      <c r="Z39" s="33" t="n">
        <v>0.07000000000000001</v>
      </c>
      <c r="AA39" s="34">
        <f>G39*Z39</f>
        <v/>
      </c>
      <c r="AB39" s="36" t="n">
        <v>0.08</v>
      </c>
      <c r="AC39" s="34">
        <f>G39*AB39</f>
        <v/>
      </c>
      <c r="AD39" s="34">
        <f>AA39+AC39</f>
        <v/>
      </c>
      <c r="AE39" s="38">
        <f>AD39/G39</f>
        <v/>
      </c>
      <c r="AF39" s="39">
        <f>G39-N39-O39-P39-Q39-R39-S39-V39-X39-Y39-L39</f>
        <v/>
      </c>
      <c r="AG39" s="40">
        <f>AF39-AD39</f>
        <v/>
      </c>
      <c r="AH39" s="41">
        <f>AG39/G39</f>
        <v/>
      </c>
      <c r="AI39" s="42">
        <f>AG39/L39</f>
        <v/>
      </c>
      <c r="AJ39" s="34">
        <f>(O39+Q39+V39+X39+Y39+L39)/(1-(M39+$G$4+(1-H39)*$G$3+$G$8+Z39+AB39))</f>
        <v/>
      </c>
    </row>
    <row r="40">
      <c r="A40" s="12" t="inlineStr">
        <is>
          <t>ELIZAVECCA - Milky Piggy Carbonated Bubble Clay Pack / Глиняно-пузырьковая маска для лица - новая</t>
        </is>
      </c>
      <c r="B40" s="13" t="n"/>
      <c r="C40" s="13" t="n"/>
      <c r="D40" s="14" t="n"/>
      <c r="E40" s="14" t="n"/>
      <c r="F40" s="14" t="n"/>
      <c r="G40" s="14" t="n"/>
      <c r="H40" s="15" t="n"/>
      <c r="I40" s="16" t="n"/>
      <c r="J40" s="17" t="n"/>
      <c r="K40" s="17" t="n"/>
      <c r="L40" s="18" t="n"/>
      <c r="M40" s="19" t="n"/>
      <c r="N40" s="14" t="n"/>
      <c r="O40" s="14" t="n"/>
      <c r="P40" s="14" t="n"/>
      <c r="Q40" s="14" t="n"/>
      <c r="R40" s="14" t="n"/>
      <c r="S40" s="14" t="n"/>
      <c r="T40" s="20" t="n"/>
      <c r="U40" s="14" t="n"/>
      <c r="V40" s="14" t="n"/>
      <c r="W40" s="21" t="n"/>
      <c r="X40" s="14" t="n"/>
      <c r="Y40" s="18" t="n"/>
      <c r="Z40" s="19" t="n"/>
      <c r="AA40" s="14" t="n"/>
      <c r="AB40" s="20" t="n"/>
      <c r="AC40" s="14" t="n"/>
      <c r="AD40" s="14" t="n"/>
      <c r="AE40" s="22" t="n"/>
      <c r="AF40" s="23" t="n"/>
      <c r="AG40" s="14" t="n"/>
      <c r="AH40" s="20" t="n"/>
      <c r="AI40" s="20" t="n"/>
      <c r="AJ40" s="14" t="n"/>
    </row>
    <row r="41">
      <c r="A41" s="24" t="inlineStr">
        <is>
          <t>ELIZAVECCA - Milky Piggy EGF elastic retinol [100ml] / Антивозрастной крем для лица с ретинолом и EGF</t>
        </is>
      </c>
      <c r="B41" s="25" t="n"/>
      <c r="C41" s="26" t="n"/>
      <c r="D41" s="27" t="n">
        <v>1841</v>
      </c>
      <c r="E41" s="27" t="n">
        <v>47</v>
      </c>
      <c r="F41" s="27" t="n">
        <v>0</v>
      </c>
      <c r="G41" s="27" t="n">
        <v>1790</v>
      </c>
      <c r="H41" s="28" t="n">
        <v>0.45</v>
      </c>
      <c r="I41" s="29">
        <f>G41*(1-H41)</f>
        <v/>
      </c>
      <c r="J41" s="30" t="n">
        <v>602.1799999999999</v>
      </c>
      <c r="K41" s="31">
        <f>$G$5</f>
        <v/>
      </c>
      <c r="L41" s="32">
        <f>J41+K41</f>
        <v/>
      </c>
      <c r="M41" s="33" t="n">
        <v>0.41</v>
      </c>
      <c r="N41" s="34">
        <f>G41*M41</f>
        <v/>
      </c>
      <c r="O41" s="35" t="n">
        <v>67</v>
      </c>
      <c r="P41" s="34">
        <f>G41*$G$8</f>
        <v/>
      </c>
      <c r="Q41" s="35" t="n">
        <v>25</v>
      </c>
      <c r="R41" s="34">
        <f>G41*$G$4</f>
        <v/>
      </c>
      <c r="S41" s="34">
        <f>I41*$G$3</f>
        <v/>
      </c>
      <c r="T41" s="36" t="n">
        <v>0.9</v>
      </c>
      <c r="U41" s="35" t="n">
        <v>67</v>
      </c>
      <c r="V41" s="34">
        <f>U41*(1-T41)</f>
        <v/>
      </c>
      <c r="W41" s="37" t="n">
        <v>0.58</v>
      </c>
      <c r="X41" s="34">
        <f>$G$6*$G$7*W41</f>
        <v/>
      </c>
      <c r="Y41" s="32">
        <f>W41*($G$9+$G$10)</f>
        <v/>
      </c>
      <c r="Z41" s="33" t="n">
        <v>0.07000000000000001</v>
      </c>
      <c r="AA41" s="34">
        <f>G41*Z41</f>
        <v/>
      </c>
      <c r="AB41" s="36" t="n">
        <v>0.08</v>
      </c>
      <c r="AC41" s="34">
        <f>G41*AB41</f>
        <v/>
      </c>
      <c r="AD41" s="34">
        <f>AA41+AC41</f>
        <v/>
      </c>
      <c r="AE41" s="38">
        <f>AD41/G41</f>
        <v/>
      </c>
      <c r="AF41" s="39">
        <f>G41-N41-O41-P41-Q41-R41-S41-V41-X41-Y41-L41</f>
        <v/>
      </c>
      <c r="AG41" s="40">
        <f>AF41-AD41</f>
        <v/>
      </c>
      <c r="AH41" s="41">
        <f>AG41/G41</f>
        <v/>
      </c>
      <c r="AI41" s="42">
        <f>AG41/L41</f>
        <v/>
      </c>
      <c r="AJ41" s="34">
        <f>(O41+Q41+V41+X41+Y41+L41)/(1-(M41+$G$4+(1-H41)*$G$3+$G$8+Z41+AB41))</f>
        <v/>
      </c>
    </row>
    <row r="42">
      <c r="A42" s="12" t="inlineStr">
        <is>
          <t>ELIZAVECCA - Milky Piggy Hell-Pore Clean Up Enzyme Powder Wash / Очищаемая энзимная пудра для умывания</t>
        </is>
      </c>
      <c r="B42" s="13" t="n"/>
      <c r="C42" s="13" t="n"/>
      <c r="D42" s="14" t="n"/>
      <c r="E42" s="14" t="n"/>
      <c r="F42" s="14" t="n"/>
      <c r="G42" s="14" t="n"/>
      <c r="H42" s="15" t="n"/>
      <c r="I42" s="16" t="n"/>
      <c r="J42" s="17" t="n"/>
      <c r="K42" s="17" t="n"/>
      <c r="L42" s="18" t="n"/>
      <c r="M42" s="19" t="n"/>
      <c r="N42" s="14" t="n"/>
      <c r="O42" s="14" t="n"/>
      <c r="P42" s="14" t="n"/>
      <c r="Q42" s="14" t="n"/>
      <c r="R42" s="14" t="n"/>
      <c r="S42" s="14" t="n"/>
      <c r="T42" s="20" t="n"/>
      <c r="U42" s="14" t="n"/>
      <c r="V42" s="14" t="n"/>
      <c r="W42" s="21" t="n"/>
      <c r="X42" s="14" t="n"/>
      <c r="Y42" s="18" t="n"/>
      <c r="Z42" s="19" t="n"/>
      <c r="AA42" s="14" t="n"/>
      <c r="AB42" s="20" t="n"/>
      <c r="AC42" s="14" t="n"/>
      <c r="AD42" s="14" t="n"/>
      <c r="AE42" s="22" t="n"/>
      <c r="AF42" s="23" t="n"/>
      <c r="AG42" s="14" t="n"/>
      <c r="AH42" s="20" t="n"/>
      <c r="AI42" s="20" t="n"/>
      <c r="AJ42" s="14" t="n"/>
    </row>
    <row r="43">
      <c r="A43" s="12" t="inlineStr">
        <is>
          <t>ELIZAVECCA - Milky Piggy Hell-Pore Clean Up Enzyme Powder Wash / Очищаемая энзимная пудра для умывания</t>
        </is>
      </c>
      <c r="B43" s="13" t="n"/>
      <c r="C43" s="13" t="n"/>
      <c r="D43" s="14" t="n"/>
      <c r="E43" s="14" t="n"/>
      <c r="F43" s="14" t="n"/>
      <c r="G43" s="14" t="n"/>
      <c r="H43" s="15" t="n"/>
      <c r="I43" s="16" t="n"/>
      <c r="J43" s="17" t="n"/>
      <c r="K43" s="17" t="n"/>
      <c r="L43" s="18" t="n"/>
      <c r="M43" s="19" t="n"/>
      <c r="N43" s="14" t="n"/>
      <c r="O43" s="14" t="n"/>
      <c r="P43" s="14" t="n"/>
      <c r="Q43" s="14" t="n"/>
      <c r="R43" s="14" t="n"/>
      <c r="S43" s="14" t="n"/>
      <c r="T43" s="20" t="n"/>
      <c r="U43" s="14" t="n"/>
      <c r="V43" s="14" t="n"/>
      <c r="W43" s="21" t="n"/>
      <c r="X43" s="14" t="n"/>
      <c r="Y43" s="18" t="n"/>
      <c r="Z43" s="19" t="n"/>
      <c r="AA43" s="14" t="n"/>
      <c r="AB43" s="20" t="n"/>
      <c r="AC43" s="14" t="n"/>
      <c r="AD43" s="14" t="n"/>
      <c r="AE43" s="22" t="n"/>
      <c r="AF43" s="23" t="n"/>
      <c r="AG43" s="14" t="n"/>
      <c r="AH43" s="20" t="n"/>
      <c r="AI43" s="20" t="n"/>
      <c r="AJ43" s="14" t="n"/>
    </row>
    <row r="44">
      <c r="A44" s="12" t="inlineStr">
        <is>
          <t>ELIZAVECCA - Natural 90% Olive Cleansing Oil / Очищающее гидрофильное масло с экстрактом оливы 90%</t>
        </is>
      </c>
      <c r="B44" s="13" t="n"/>
      <c r="C44" s="13" t="n"/>
      <c r="D44" s="14" t="n"/>
      <c r="E44" s="14" t="n"/>
      <c r="F44" s="14" t="n"/>
      <c r="G44" s="14" t="n"/>
      <c r="H44" s="15" t="n"/>
      <c r="I44" s="16" t="n"/>
      <c r="J44" s="17" t="n"/>
      <c r="K44" s="17" t="n"/>
      <c r="L44" s="18" t="n"/>
      <c r="M44" s="19" t="n"/>
      <c r="N44" s="14" t="n"/>
      <c r="O44" s="14" t="n"/>
      <c r="P44" s="14" t="n"/>
      <c r="Q44" s="14" t="n"/>
      <c r="R44" s="14" t="n"/>
      <c r="S44" s="14" t="n"/>
      <c r="T44" s="20" t="n"/>
      <c r="U44" s="14" t="n"/>
      <c r="V44" s="14" t="n"/>
      <c r="W44" s="21" t="n"/>
      <c r="X44" s="14" t="n"/>
      <c r="Y44" s="18" t="n"/>
      <c r="Z44" s="19" t="n"/>
      <c r="AA44" s="14" t="n"/>
      <c r="AB44" s="20" t="n"/>
      <c r="AC44" s="14" t="n"/>
      <c r="AD44" s="14" t="n"/>
      <c r="AE44" s="22" t="n"/>
      <c r="AF44" s="23" t="n"/>
      <c r="AG44" s="14" t="n"/>
      <c r="AH44" s="20" t="n"/>
      <c r="AI44" s="20" t="n"/>
      <c r="AJ44" s="14" t="n"/>
    </row>
    <row r="45">
      <c r="A45" s="24" t="inlineStr">
        <is>
          <t>ENOUGH - Collagen Moisture Essential Cream [50ml] / Увлажняющий крем для лица с коллагеном</t>
        </is>
      </c>
      <c r="B45" s="25" t="n"/>
      <c r="C45" s="26" t="inlineStr">
        <is>
          <t>260-382 (много подделок)</t>
        </is>
      </c>
      <c r="D45" s="27" t="n">
        <v>424</v>
      </c>
      <c r="E45" s="27" t="n">
        <v>166</v>
      </c>
      <c r="F45" s="27" t="n">
        <v>17</v>
      </c>
      <c r="G45" s="27" t="n">
        <v>750</v>
      </c>
      <c r="H45" s="28" t="n">
        <v>0.45</v>
      </c>
      <c r="I45" s="29">
        <f>G45*(1-H45)</f>
        <v/>
      </c>
      <c r="J45" s="30" t="n">
        <v>161.3</v>
      </c>
      <c r="K45" s="31">
        <f>$G$5</f>
        <v/>
      </c>
      <c r="L45" s="32">
        <f>J45+K45</f>
        <v/>
      </c>
      <c r="M45" s="33" t="n">
        <v>0.41</v>
      </c>
      <c r="N45" s="34">
        <f>G45*M45</f>
        <v/>
      </c>
      <c r="O45" s="35" t="n">
        <v>67</v>
      </c>
      <c r="P45" s="34">
        <f>G45*$G$8</f>
        <v/>
      </c>
      <c r="Q45" s="35" t="n">
        <v>25</v>
      </c>
      <c r="R45" s="34">
        <f>G45*$G$4</f>
        <v/>
      </c>
      <c r="S45" s="34">
        <f>I45*$G$3</f>
        <v/>
      </c>
      <c r="T45" s="36" t="n">
        <v>0.9</v>
      </c>
      <c r="U45" s="35" t="n">
        <v>67</v>
      </c>
      <c r="V45" s="34">
        <f>U45*(1-T45)</f>
        <v/>
      </c>
      <c r="W45" s="37" t="n">
        <v>0.72</v>
      </c>
      <c r="X45" s="34">
        <f>$G$6*$G$7*W45</f>
        <v/>
      </c>
      <c r="Y45" s="32">
        <f>W45*($G$9+$G$10)</f>
        <v/>
      </c>
      <c r="Z45" s="33" t="n">
        <v>0.07000000000000001</v>
      </c>
      <c r="AA45" s="34">
        <f>G45*Z45</f>
        <v/>
      </c>
      <c r="AB45" s="36" t="n">
        <v>0.08</v>
      </c>
      <c r="AC45" s="34">
        <f>G45*AB45</f>
        <v/>
      </c>
      <c r="AD45" s="34">
        <f>AA45+AC45</f>
        <v/>
      </c>
      <c r="AE45" s="38">
        <f>AD45/G45</f>
        <v/>
      </c>
      <c r="AF45" s="39">
        <f>G45-N45-O45-P45-Q45-R45-S45-V45-X45-Y45-L45</f>
        <v/>
      </c>
      <c r="AG45" s="43">
        <f>AF45-AD45</f>
        <v/>
      </c>
      <c r="AH45" s="44">
        <f>AG45/G45</f>
        <v/>
      </c>
      <c r="AI45" s="45">
        <f>AG45/L45</f>
        <v/>
      </c>
      <c r="AJ45" s="34">
        <f>(O45+Q45+V45+X45+Y45+L45)/(1-(M45+$G$4+(1-H45)*$G$3+$G$8+Z45+AB45))</f>
        <v/>
      </c>
    </row>
    <row r="46">
      <c r="A46" s="46" t="inlineStr">
        <is>
          <t>ENOUGH - Collagen Whitening Moisture Cream 3in1 [50g] / Антивозрастной отбеливающий крем с коллагеном</t>
        </is>
      </c>
      <c r="B46" s="25" t="n"/>
      <c r="C46" s="26" t="n"/>
      <c r="D46" s="27" t="n">
        <v>827</v>
      </c>
      <c r="E46" s="27" t="n">
        <v>96</v>
      </c>
      <c r="F46" s="27" t="n">
        <v>20</v>
      </c>
      <c r="G46" s="27">
        <f>(1.25*L46+O46+Q46+V46+X46+Y46)/(1-M46-$G$8-$G$4-(1-H46)*$G$3-Z46-AB46)</f>
        <v/>
      </c>
      <c r="H46" s="28" t="n">
        <v>0.45</v>
      </c>
      <c r="I46" s="29">
        <f>G46*(1-H46)</f>
        <v/>
      </c>
      <c r="J46" s="47" t="n">
        <v>183.88</v>
      </c>
      <c r="K46" s="31">
        <f>$G$5</f>
        <v/>
      </c>
      <c r="L46" s="32">
        <f>J46+K46</f>
        <v/>
      </c>
      <c r="M46" s="33" t="n">
        <v>0.41</v>
      </c>
      <c r="N46" s="34">
        <f>G46*M46</f>
        <v/>
      </c>
      <c r="O46" s="35" t="n">
        <v>67</v>
      </c>
      <c r="P46" s="34">
        <f>G46*$G$8</f>
        <v/>
      </c>
      <c r="Q46" s="35" t="n">
        <v>25</v>
      </c>
      <c r="R46" s="34">
        <f>G46*$G$4</f>
        <v/>
      </c>
      <c r="S46" s="34">
        <f>I46*$G$3</f>
        <v/>
      </c>
      <c r="T46" s="36" t="n">
        <v>0.9</v>
      </c>
      <c r="U46" s="35" t="n">
        <v>67</v>
      </c>
      <c r="V46" s="34">
        <f>U46*(1-T46)</f>
        <v/>
      </c>
      <c r="W46" s="37" t="n">
        <v>0.72</v>
      </c>
      <c r="X46" s="34">
        <f>$G$6*$G$7*W46</f>
        <v/>
      </c>
      <c r="Y46" s="32">
        <f>W46*($G$9+$G$10)</f>
        <v/>
      </c>
      <c r="Z46" s="33" t="n">
        <v>0.07000000000000001</v>
      </c>
      <c r="AA46" s="34">
        <f>G46*Z46</f>
        <v/>
      </c>
      <c r="AB46" s="36" t="n">
        <v>0.08</v>
      </c>
      <c r="AC46" s="34">
        <f>G46*AB46</f>
        <v/>
      </c>
      <c r="AD46" s="34">
        <f>AA46+AC46</f>
        <v/>
      </c>
      <c r="AE46" s="38">
        <f>AD46/G46</f>
        <v/>
      </c>
      <c r="AF46" s="39">
        <f>G46-N46-O46-P46-Q46-R46-S46-V46-X46-Y46-L46</f>
        <v/>
      </c>
      <c r="AG46" s="43">
        <f>AF46-AD46</f>
        <v/>
      </c>
      <c r="AH46" s="44">
        <f>AG46/G46</f>
        <v/>
      </c>
      <c r="AI46" s="45">
        <f>AG46/L46</f>
        <v/>
      </c>
      <c r="AJ46" s="34">
        <f>(O46+Q46+V46+X46+Y46+L46)/(1-(M46+$G$4+(1-H46)*$G$3+$G$8+Z46+AB46))</f>
        <v/>
      </c>
    </row>
    <row r="47">
      <c r="A47" s="46" t="inlineStr">
        <is>
          <t>ENOUGH - Collagen Moisture Foundation [Tone 13] / Тональный крем для лица с коллагеном 13 тон</t>
        </is>
      </c>
      <c r="B47" s="25" t="n"/>
      <c r="C47" s="26" t="n"/>
      <c r="D47" s="27" t="n">
        <v>1980</v>
      </c>
      <c r="E47" s="27" t="n">
        <v>195</v>
      </c>
      <c r="F47" s="27" t="n">
        <v>8</v>
      </c>
      <c r="G47" s="27" t="n">
        <v>1800</v>
      </c>
      <c r="H47" s="28" t="n">
        <v>0.45</v>
      </c>
      <c r="I47" s="29">
        <f>G47*(1-H47)</f>
        <v/>
      </c>
      <c r="J47" s="47" t="n">
        <v>216.45</v>
      </c>
      <c r="K47" s="31">
        <f>$G$5</f>
        <v/>
      </c>
      <c r="L47" s="32">
        <f>J47+K47</f>
        <v/>
      </c>
      <c r="M47" s="33" t="n">
        <v>0.41</v>
      </c>
      <c r="N47" s="34">
        <f>G47*M47</f>
        <v/>
      </c>
      <c r="O47" s="35" t="n">
        <v>67</v>
      </c>
      <c r="P47" s="34">
        <f>G47*$G$8</f>
        <v/>
      </c>
      <c r="Q47" s="35" t="n">
        <v>25</v>
      </c>
      <c r="R47" s="34">
        <f>G47*$G$4</f>
        <v/>
      </c>
      <c r="S47" s="34">
        <f>I47*$G$3</f>
        <v/>
      </c>
      <c r="T47" s="36" t="n">
        <v>0.9</v>
      </c>
      <c r="U47" s="35" t="n">
        <v>67</v>
      </c>
      <c r="V47" s="34">
        <f>U47*(1-T47)</f>
        <v/>
      </c>
      <c r="W47" s="37" t="n">
        <v>0.4</v>
      </c>
      <c r="X47" s="34">
        <f>$G$6*$G$7*W47</f>
        <v/>
      </c>
      <c r="Y47" s="32">
        <f>W47*($G$9+$G$10)</f>
        <v/>
      </c>
      <c r="Z47" s="33" t="n">
        <v>0.07000000000000001</v>
      </c>
      <c r="AA47" s="34">
        <f>G47*Z47</f>
        <v/>
      </c>
      <c r="AB47" s="36" t="n">
        <v>0.08</v>
      </c>
      <c r="AC47" s="34">
        <f>G47*AB47</f>
        <v/>
      </c>
      <c r="AD47" s="34">
        <f>AA47+AC47</f>
        <v/>
      </c>
      <c r="AE47" s="38">
        <f>AD47/G47</f>
        <v/>
      </c>
      <c r="AF47" s="39">
        <f>G47-N47-O47-P47-Q47-R47-S47-V47-X47-Y47-L47</f>
        <v/>
      </c>
      <c r="AG47" s="43">
        <f>AF47-AD47</f>
        <v/>
      </c>
      <c r="AH47" s="44">
        <f>AG47/G47</f>
        <v/>
      </c>
      <c r="AI47" s="45">
        <f>AG47/L47</f>
        <v/>
      </c>
      <c r="AJ47" s="34">
        <f>(O47+Q47+V47+X47+Y47+L47)/(1-(M47+$G$4+(1-H47)*$G$3+$G$8+Z47+AB47))</f>
        <v/>
      </c>
    </row>
    <row r="48">
      <c r="A48" s="48" t="inlineStr">
        <is>
          <t>ENOUGH - Collagen Moisture Foundation [Tone 21] / Тональный крем для лица с коллагеном 21 тон</t>
        </is>
      </c>
      <c r="B48" s="25" t="n"/>
      <c r="C48" s="26" t="n"/>
      <c r="D48" s="27" t="n">
        <v>1910</v>
      </c>
      <c r="E48" s="27" t="n">
        <v>121</v>
      </c>
      <c r="F48" s="27" t="n">
        <v>7.3</v>
      </c>
      <c r="G48" s="27" t="n">
        <v>1800</v>
      </c>
      <c r="H48" s="28" t="n">
        <v>0.45</v>
      </c>
      <c r="I48" s="29">
        <f>G48*(1-H48)</f>
        <v/>
      </c>
      <c r="J48" s="49" t="n">
        <v>242.88</v>
      </c>
      <c r="K48" s="31">
        <f>$G$5</f>
        <v/>
      </c>
      <c r="L48" s="32">
        <f>J48+K48</f>
        <v/>
      </c>
      <c r="M48" s="33" t="n">
        <v>0.41</v>
      </c>
      <c r="N48" s="34">
        <f>G48*M48</f>
        <v/>
      </c>
      <c r="O48" s="35" t="n">
        <v>67</v>
      </c>
      <c r="P48" s="34">
        <f>G48*$G$8</f>
        <v/>
      </c>
      <c r="Q48" s="35" t="n">
        <v>25</v>
      </c>
      <c r="R48" s="34">
        <f>G48*$G$4</f>
        <v/>
      </c>
      <c r="S48" s="34">
        <f>I48*$G$3</f>
        <v/>
      </c>
      <c r="T48" s="36" t="n">
        <v>0.9</v>
      </c>
      <c r="U48" s="35" t="n">
        <v>67</v>
      </c>
      <c r="V48" s="34">
        <f>U48*(1-T48)</f>
        <v/>
      </c>
      <c r="W48" s="37" t="n">
        <v>0.4</v>
      </c>
      <c r="X48" s="34">
        <f>$G$6*$G$7*W48</f>
        <v/>
      </c>
      <c r="Y48" s="32">
        <f>W48*($G$9+$G$10)</f>
        <v/>
      </c>
      <c r="Z48" s="33" t="n">
        <v>0.07000000000000001</v>
      </c>
      <c r="AA48" s="34">
        <f>G48*Z48</f>
        <v/>
      </c>
      <c r="AB48" s="36" t="n">
        <v>0.08</v>
      </c>
      <c r="AC48" s="34">
        <f>G48*AB48</f>
        <v/>
      </c>
      <c r="AD48" s="34">
        <f>AA48+AC48</f>
        <v/>
      </c>
      <c r="AE48" s="38">
        <f>AD48/G48</f>
        <v/>
      </c>
      <c r="AF48" s="39">
        <f>G48-N48-O48-P48-Q48-R48-S48-V48-X48-Y48-L48</f>
        <v/>
      </c>
      <c r="AG48" s="43">
        <f>AF48-AD48</f>
        <v/>
      </c>
      <c r="AH48" s="44">
        <f>AG48/G48</f>
        <v/>
      </c>
      <c r="AI48" s="45">
        <f>AG48/L48</f>
        <v/>
      </c>
      <c r="AJ48" s="34">
        <f>(O48+Q48+V48+X48+Y48+L48)/(1-(M48+$G$4+(1-H48)*$G$3+$G$8+Z48+AB48))</f>
        <v/>
      </c>
    </row>
    <row r="49">
      <c r="A49" s="12" t="inlineStr">
        <is>
          <t>ENOUGH - Collagen Moisture Foundation [Tone 23] / Тональный крем для лица с коллагеном 23 тон</t>
        </is>
      </c>
      <c r="B49" s="13" t="n"/>
      <c r="C49" s="13" t="n"/>
      <c r="D49" s="14" t="n"/>
      <c r="E49" s="14" t="n"/>
      <c r="F49" s="14" t="n"/>
      <c r="G49" s="14" t="n"/>
      <c r="H49" s="15" t="n"/>
      <c r="I49" s="16" t="n"/>
      <c r="J49" s="17" t="n"/>
      <c r="K49" s="17" t="n"/>
      <c r="L49" s="18" t="n"/>
      <c r="M49" s="19" t="n"/>
      <c r="N49" s="14" t="n"/>
      <c r="O49" s="14" t="n"/>
      <c r="P49" s="14" t="n"/>
      <c r="Q49" s="14" t="n"/>
      <c r="R49" s="14" t="n"/>
      <c r="S49" s="14" t="n"/>
      <c r="T49" s="20" t="n"/>
      <c r="U49" s="14" t="n"/>
      <c r="V49" s="14" t="n"/>
      <c r="W49" s="21" t="n"/>
      <c r="X49" s="14" t="n"/>
      <c r="Y49" s="18" t="n"/>
      <c r="Z49" s="19" t="n"/>
      <c r="AA49" s="14" t="n"/>
      <c r="AB49" s="20" t="n"/>
      <c r="AC49" s="14" t="n"/>
      <c r="AD49" s="14" t="n"/>
      <c r="AE49" s="22" t="n"/>
      <c r="AF49" s="23" t="n"/>
      <c r="AG49" s="14" t="n"/>
      <c r="AH49" s="20" t="n"/>
      <c r="AI49" s="20" t="n"/>
      <c r="AJ49" s="14" t="n"/>
    </row>
    <row r="50">
      <c r="A50" s="48" t="inlineStr">
        <is>
          <t>ENOUGH - Gold Snail Moisture Foundation [Tone 13] / Тональный крем с муцином улитки 13 тон</t>
        </is>
      </c>
      <c r="B50" s="25" t="n"/>
      <c r="C50" s="26" t="n"/>
      <c r="D50" s="27" t="n">
        <v>1456</v>
      </c>
      <c r="E50" s="27" t="n">
        <v>109</v>
      </c>
      <c r="F50" s="27" t="n">
        <v>9</v>
      </c>
      <c r="G50" s="27" t="n">
        <v>1356</v>
      </c>
      <c r="H50" s="28" t="n">
        <v>0.45</v>
      </c>
      <c r="I50" s="29">
        <f>G50*(1-H50)</f>
        <v/>
      </c>
      <c r="J50" s="47" t="n">
        <v>245.65</v>
      </c>
      <c r="K50" s="31">
        <f>$G$5</f>
        <v/>
      </c>
      <c r="L50" s="32">
        <f>J50+K50</f>
        <v/>
      </c>
      <c r="M50" s="33" t="n">
        <v>0.41</v>
      </c>
      <c r="N50" s="34">
        <f>G50*M50</f>
        <v/>
      </c>
      <c r="O50" s="35" t="n">
        <v>67</v>
      </c>
      <c r="P50" s="34">
        <f>G50*$G$8</f>
        <v/>
      </c>
      <c r="Q50" s="35" t="n">
        <v>25</v>
      </c>
      <c r="R50" s="34">
        <f>G50*$G$4</f>
        <v/>
      </c>
      <c r="S50" s="34">
        <f>I50*$G$3</f>
        <v/>
      </c>
      <c r="T50" s="36" t="n">
        <v>0.9</v>
      </c>
      <c r="U50" s="35" t="n">
        <v>67</v>
      </c>
      <c r="V50" s="34">
        <f>U50*(1-T50)</f>
        <v/>
      </c>
      <c r="W50" s="37" t="n">
        <v>0.4</v>
      </c>
      <c r="X50" s="34">
        <f>$G$6*$G$7*W50</f>
        <v/>
      </c>
      <c r="Y50" s="32">
        <f>W50*($G$9+$G$10)</f>
        <v/>
      </c>
      <c r="Z50" s="33" t="n">
        <v>0.07000000000000001</v>
      </c>
      <c r="AA50" s="34">
        <f>G50*Z50</f>
        <v/>
      </c>
      <c r="AB50" s="36" t="n">
        <v>0.08</v>
      </c>
      <c r="AC50" s="34">
        <f>G50*AB50</f>
        <v/>
      </c>
      <c r="AD50" s="34">
        <f>AA50+AC50</f>
        <v/>
      </c>
      <c r="AE50" s="38">
        <f>AD50/G50</f>
        <v/>
      </c>
      <c r="AF50" s="39">
        <f>G50-N50-O50-P50-Q50-R50-S50-V50-X50-Y50-L50</f>
        <v/>
      </c>
      <c r="AG50" s="43">
        <f>AF50-AD50</f>
        <v/>
      </c>
      <c r="AH50" s="44">
        <f>AG50/G50</f>
        <v/>
      </c>
      <c r="AI50" s="45">
        <f>AG50/L50</f>
        <v/>
      </c>
      <c r="AJ50" s="34">
        <f>(O50+Q50+V50+X50+Y50+L50)/(1-(M50+$G$4+(1-H50)*$G$3+$G$8+Z50+AB50))</f>
        <v/>
      </c>
    </row>
    <row r="51">
      <c r="A51" s="48" t="inlineStr">
        <is>
          <t>ENOUGH - Gold Snail Moisture Foundation [Tone 21] / Тональный крем с муцином улитки 21 тон</t>
        </is>
      </c>
      <c r="B51" s="25" t="n"/>
      <c r="C51" s="26" t="n"/>
      <c r="D51" s="27" t="n">
        <v>1345</v>
      </c>
      <c r="E51" s="27" t="n">
        <v>114</v>
      </c>
      <c r="F51" s="27" t="n">
        <v>0</v>
      </c>
      <c r="G51" s="27" t="n">
        <v>1280</v>
      </c>
      <c r="H51" s="28" t="n">
        <v>0.45</v>
      </c>
      <c r="I51" s="29">
        <f>G51*(1-H51)</f>
        <v/>
      </c>
      <c r="J51" s="49" t="n">
        <v>270.81</v>
      </c>
      <c r="K51" s="31">
        <f>$G$5</f>
        <v/>
      </c>
      <c r="L51" s="32">
        <f>J51+K51</f>
        <v/>
      </c>
      <c r="M51" s="33" t="n">
        <v>0.41</v>
      </c>
      <c r="N51" s="34">
        <f>G51*M51</f>
        <v/>
      </c>
      <c r="O51" s="35" t="n">
        <v>67</v>
      </c>
      <c r="P51" s="34">
        <f>G51*$G$8</f>
        <v/>
      </c>
      <c r="Q51" s="35" t="n">
        <v>25</v>
      </c>
      <c r="R51" s="34">
        <f>G51*$G$4</f>
        <v/>
      </c>
      <c r="S51" s="34">
        <f>I51*$G$3</f>
        <v/>
      </c>
      <c r="T51" s="36" t="n">
        <v>0.9</v>
      </c>
      <c r="U51" s="35" t="n">
        <v>67</v>
      </c>
      <c r="V51" s="34">
        <f>U51*(1-T51)</f>
        <v/>
      </c>
      <c r="W51" s="37" t="n">
        <v>0.4</v>
      </c>
      <c r="X51" s="34">
        <f>$G$6*$G$7*W51</f>
        <v/>
      </c>
      <c r="Y51" s="32">
        <f>W51*($G$9+$G$10)</f>
        <v/>
      </c>
      <c r="Z51" s="33" t="n">
        <v>0.07000000000000001</v>
      </c>
      <c r="AA51" s="34">
        <f>G51*Z51</f>
        <v/>
      </c>
      <c r="AB51" s="36" t="n">
        <v>0.08</v>
      </c>
      <c r="AC51" s="34">
        <f>G51*AB51</f>
        <v/>
      </c>
      <c r="AD51" s="34">
        <f>AA51+AC51</f>
        <v/>
      </c>
      <c r="AE51" s="38">
        <f>AD51/G51</f>
        <v/>
      </c>
      <c r="AF51" s="39">
        <f>G51-N51-O51-P51-Q51-R51-S51-V51-X51-Y51-L51</f>
        <v/>
      </c>
      <c r="AG51" s="43">
        <f>AF51-AD51</f>
        <v/>
      </c>
      <c r="AH51" s="44">
        <f>AG51/G51</f>
        <v/>
      </c>
      <c r="AI51" s="45">
        <f>AG51/L51</f>
        <v/>
      </c>
      <c r="AJ51" s="34">
        <f>(O51+Q51+V51+X51+Y51+L51)/(1-(M51+$G$4+(1-H51)*$G$3+$G$8+Z51+AB51))</f>
        <v/>
      </c>
    </row>
    <row r="52">
      <c r="A52" s="48" t="inlineStr">
        <is>
          <t>ENOUGH - Collagen 3in1 Whitening Moisture Foundation [Tone 13] / Тональный крем для лица с коллагеном 3в1 [13 тон]</t>
        </is>
      </c>
      <c r="B52" s="25" t="n"/>
      <c r="C52" s="26" t="n"/>
      <c r="D52" s="27" t="n">
        <v>1732</v>
      </c>
      <c r="E52" s="27" t="n">
        <v>51</v>
      </c>
      <c r="F52" s="27" t="n">
        <v>9</v>
      </c>
      <c r="G52" s="27" t="n">
        <v>1600</v>
      </c>
      <c r="H52" s="28" t="n">
        <v>0.45</v>
      </c>
      <c r="I52" s="29">
        <f>G52*(1-H52)</f>
        <v/>
      </c>
      <c r="J52" s="49" t="n">
        <v>238.13</v>
      </c>
      <c r="K52" s="31">
        <f>$G$5</f>
        <v/>
      </c>
      <c r="L52" s="32">
        <f>J52+K52</f>
        <v/>
      </c>
      <c r="M52" s="33" t="n">
        <v>0.41</v>
      </c>
      <c r="N52" s="34">
        <f>G52*M52</f>
        <v/>
      </c>
      <c r="O52" s="35" t="n">
        <v>67</v>
      </c>
      <c r="P52" s="34">
        <f>G52*$G$8</f>
        <v/>
      </c>
      <c r="Q52" s="35" t="n">
        <v>25</v>
      </c>
      <c r="R52" s="34">
        <f>G52*$G$4</f>
        <v/>
      </c>
      <c r="S52" s="34">
        <f>I52*$G$3</f>
        <v/>
      </c>
      <c r="T52" s="36" t="n">
        <v>0.9</v>
      </c>
      <c r="U52" s="35" t="n">
        <v>67</v>
      </c>
      <c r="V52" s="34">
        <f>U52*(1-T52)</f>
        <v/>
      </c>
      <c r="W52" s="37" t="n">
        <v>0.4</v>
      </c>
      <c r="X52" s="34">
        <f>$G$6*$G$7*W52</f>
        <v/>
      </c>
      <c r="Y52" s="32">
        <f>W52*($G$9+$G$10)</f>
        <v/>
      </c>
      <c r="Z52" s="33" t="n">
        <v>0.07000000000000001</v>
      </c>
      <c r="AA52" s="34">
        <f>G52*Z52</f>
        <v/>
      </c>
      <c r="AB52" s="36" t="n">
        <v>0.08</v>
      </c>
      <c r="AC52" s="34">
        <f>G52*AB52</f>
        <v/>
      </c>
      <c r="AD52" s="34">
        <f>AA52+AC52</f>
        <v/>
      </c>
      <c r="AE52" s="38">
        <f>AD52/G52</f>
        <v/>
      </c>
      <c r="AF52" s="39">
        <f>G52-N52-O52-P52-Q52-R52-S52-V52-X52-Y52-L52</f>
        <v/>
      </c>
      <c r="AG52" s="43">
        <f>AF52-AD52</f>
        <v/>
      </c>
      <c r="AH52" s="44">
        <f>AG52/G52</f>
        <v/>
      </c>
      <c r="AI52" s="45">
        <f>AG52/L52</f>
        <v/>
      </c>
      <c r="AJ52" s="34">
        <f>(O52+Q52+V52+X52+Y52+L52)/(1-(M52+$G$4+(1-H52)*$G$3+$G$8+Z52+AB52))</f>
        <v/>
      </c>
    </row>
    <row r="53">
      <c r="A53" s="48" t="inlineStr">
        <is>
          <t>ENOUGH - Collagen 3in1 Whitening Moisture Foundation [Tone 21] / Тональный крем для лица с коллагеном 3в1 [21 тон]</t>
        </is>
      </c>
      <c r="B53" s="25" t="n"/>
      <c r="C53" s="26" t="n"/>
      <c r="D53" s="27" t="n">
        <v>1038</v>
      </c>
      <c r="E53" s="27" t="n">
        <v>65</v>
      </c>
      <c r="F53" s="27" t="n">
        <v>12</v>
      </c>
      <c r="G53" s="27" t="n">
        <v>1000</v>
      </c>
      <c r="H53" s="28" t="n">
        <v>0.45</v>
      </c>
      <c r="I53" s="29">
        <f>G53*(1-H53)</f>
        <v/>
      </c>
      <c r="J53" s="50" t="n">
        <v>223.35</v>
      </c>
      <c r="K53" s="31">
        <f>$G$5</f>
        <v/>
      </c>
      <c r="L53" s="32">
        <f>J53+K53</f>
        <v/>
      </c>
      <c r="M53" s="33" t="n">
        <v>0.41</v>
      </c>
      <c r="N53" s="34">
        <f>G53*M53</f>
        <v/>
      </c>
      <c r="O53" s="35" t="n">
        <v>67</v>
      </c>
      <c r="P53" s="34">
        <f>G53*$G$8</f>
        <v/>
      </c>
      <c r="Q53" s="35" t="n">
        <v>25</v>
      </c>
      <c r="R53" s="34">
        <f>G53*$G$4</f>
        <v/>
      </c>
      <c r="S53" s="34">
        <f>I53*$G$3</f>
        <v/>
      </c>
      <c r="T53" s="36" t="n">
        <v>0.9</v>
      </c>
      <c r="U53" s="35" t="n">
        <v>67</v>
      </c>
      <c r="V53" s="34">
        <f>U53*(1-T53)</f>
        <v/>
      </c>
      <c r="W53" s="37" t="n">
        <v>0.4</v>
      </c>
      <c r="X53" s="34">
        <f>$G$6*$G$7*W53</f>
        <v/>
      </c>
      <c r="Y53" s="32">
        <f>W53*($G$9+$G$10)</f>
        <v/>
      </c>
      <c r="Z53" s="33" t="n">
        <v>0.07000000000000001</v>
      </c>
      <c r="AA53" s="34">
        <f>G53*Z53</f>
        <v/>
      </c>
      <c r="AB53" s="36" t="n">
        <v>0.08</v>
      </c>
      <c r="AC53" s="34">
        <f>G53*AB53</f>
        <v/>
      </c>
      <c r="AD53" s="34">
        <f>AA53+AC53</f>
        <v/>
      </c>
      <c r="AE53" s="38">
        <f>AD53/G53</f>
        <v/>
      </c>
      <c r="AF53" s="39">
        <f>G53-N53-O53-P53-Q53-R53-S53-V53-X53-Y53-L53</f>
        <v/>
      </c>
      <c r="AG53" s="43">
        <f>AF53-AD53</f>
        <v/>
      </c>
      <c r="AH53" s="44">
        <f>AG53/G53</f>
        <v/>
      </c>
      <c r="AI53" s="45">
        <f>AG53/L53</f>
        <v/>
      </c>
      <c r="AJ53" s="34">
        <f>(O53+Q53+V53+X53+Y53+L53)/(1-(M53+$G$4+(1-H53)*$G$3+$G$8+Z53+AB53))</f>
        <v/>
      </c>
    </row>
    <row r="54">
      <c r="A54" s="48" t="inlineStr">
        <is>
          <t>ENOUGH - Premium 8 Peptide Full Cover Perfect Foundation [Tone 13] / Тональный крем с пептидами 13 тон</t>
        </is>
      </c>
      <c r="B54" s="25" t="n"/>
      <c r="C54" s="26" t="n"/>
      <c r="D54" s="27" t="n">
        <v>1330</v>
      </c>
      <c r="E54" s="27" t="n">
        <v>180</v>
      </c>
      <c r="F54" s="27" t="n">
        <v>0</v>
      </c>
      <c r="G54" s="27" t="n">
        <v>1290</v>
      </c>
      <c r="H54" s="28" t="n">
        <v>0.45</v>
      </c>
      <c r="I54" s="29">
        <f>G54*(1-H54)</f>
        <v/>
      </c>
      <c r="J54" s="49" t="n">
        <v>335.9</v>
      </c>
      <c r="K54" s="31">
        <f>$G$5</f>
        <v/>
      </c>
      <c r="L54" s="32">
        <f>J54+K54</f>
        <v/>
      </c>
      <c r="M54" s="33" t="n">
        <v>0.41</v>
      </c>
      <c r="N54" s="34">
        <f>G54*M54</f>
        <v/>
      </c>
      <c r="O54" s="35" t="n">
        <v>67</v>
      </c>
      <c r="P54" s="34">
        <f>G54*$G$8</f>
        <v/>
      </c>
      <c r="Q54" s="35" t="n">
        <v>25</v>
      </c>
      <c r="R54" s="34">
        <f>G54*$G$4</f>
        <v/>
      </c>
      <c r="S54" s="34">
        <f>I54*$G$3</f>
        <v/>
      </c>
      <c r="T54" s="36" t="n">
        <v>0.9</v>
      </c>
      <c r="U54" s="35" t="n">
        <v>67</v>
      </c>
      <c r="V54" s="34">
        <f>U54*(1-T54)</f>
        <v/>
      </c>
      <c r="W54" s="37" t="n">
        <v>0.4</v>
      </c>
      <c r="X54" s="34">
        <f>$G$6*$G$7*W54</f>
        <v/>
      </c>
      <c r="Y54" s="32">
        <f>W54*($G$9+$G$10)</f>
        <v/>
      </c>
      <c r="Z54" s="33" t="n">
        <v>0.07000000000000001</v>
      </c>
      <c r="AA54" s="34">
        <f>G54*Z54</f>
        <v/>
      </c>
      <c r="AB54" s="36" t="n">
        <v>0.08</v>
      </c>
      <c r="AC54" s="34">
        <f>G54*AB54</f>
        <v/>
      </c>
      <c r="AD54" s="34">
        <f>AA54+AC54</f>
        <v/>
      </c>
      <c r="AE54" s="38">
        <f>AD54/G54</f>
        <v/>
      </c>
      <c r="AF54" s="39">
        <f>G54-N54-O54-P54-Q54-R54-S54-V54-X54-Y54-L54</f>
        <v/>
      </c>
      <c r="AG54" s="43">
        <f>AF54-AD54</f>
        <v/>
      </c>
      <c r="AH54" s="44">
        <f>AG54/G54</f>
        <v/>
      </c>
      <c r="AI54" s="45">
        <f>AG54/L54</f>
        <v/>
      </c>
      <c r="AJ54" s="34">
        <f>(O54+Q54+V54+X54+Y54+L54)/(1-(M54+$G$4+(1-H54)*$G$3+$G$8+Z54+AB54))</f>
        <v/>
      </c>
    </row>
    <row r="55">
      <c r="A55" s="48" t="inlineStr">
        <is>
          <t>ENOUGH - Premium 8 Peptide Full Cover Perfect Foundation [Tone 21] / Тональный крем с пептидами 21 тон</t>
        </is>
      </c>
      <c r="B55" s="25" t="n"/>
      <c r="C55" s="26" t="n"/>
      <c r="D55" s="27" t="n">
        <v>1330</v>
      </c>
      <c r="E55" s="27" t="n">
        <v>265</v>
      </c>
      <c r="F55" s="27" t="n">
        <v>0</v>
      </c>
      <c r="G55" s="27">
        <f>(1.25*L55+O55+Q55+V55+X55+Y55)/(1-M55-$G$8-$G$4-(1-H55)*$G$3-Z55-AB55)</f>
        <v/>
      </c>
      <c r="H55" s="28" t="n">
        <v>0.45</v>
      </c>
      <c r="I55" s="29">
        <f>G55*(1-H55)</f>
        <v/>
      </c>
      <c r="J55" s="49" t="n">
        <v>304.77</v>
      </c>
      <c r="K55" s="31">
        <f>$G$5</f>
        <v/>
      </c>
      <c r="L55" s="32">
        <f>J55+K55</f>
        <v/>
      </c>
      <c r="M55" s="33" t="n">
        <v>0.41</v>
      </c>
      <c r="N55" s="34">
        <f>G55*M55</f>
        <v/>
      </c>
      <c r="O55" s="35" t="n">
        <v>67</v>
      </c>
      <c r="P55" s="34">
        <f>G55*$G$8</f>
        <v/>
      </c>
      <c r="Q55" s="35" t="n">
        <v>25</v>
      </c>
      <c r="R55" s="34">
        <f>G55*$G$4</f>
        <v/>
      </c>
      <c r="S55" s="34">
        <f>I55*$G$3</f>
        <v/>
      </c>
      <c r="T55" s="36" t="n">
        <v>0.9</v>
      </c>
      <c r="U55" s="35" t="n">
        <v>67</v>
      </c>
      <c r="V55" s="34">
        <f>U55*(1-T55)</f>
        <v/>
      </c>
      <c r="W55" s="37" t="n">
        <v>0.4</v>
      </c>
      <c r="X55" s="34">
        <f>$G$6*$G$7*W55</f>
        <v/>
      </c>
      <c r="Y55" s="32">
        <f>W55*($G$9+$G$10)</f>
        <v/>
      </c>
      <c r="Z55" s="33" t="n">
        <v>0.07000000000000001</v>
      </c>
      <c r="AA55" s="34">
        <f>G55*Z55</f>
        <v/>
      </c>
      <c r="AB55" s="36" t="n">
        <v>0.08</v>
      </c>
      <c r="AC55" s="34">
        <f>G55*AB55</f>
        <v/>
      </c>
      <c r="AD55" s="34">
        <f>AA55+AC55</f>
        <v/>
      </c>
      <c r="AE55" s="38">
        <f>AD55/G55</f>
        <v/>
      </c>
      <c r="AF55" s="39">
        <f>G55-N55-O55-P55-Q55-R55-S55-V55-X55-Y55-L55</f>
        <v/>
      </c>
      <c r="AG55" s="43">
        <f>AF55-AD55</f>
        <v/>
      </c>
      <c r="AH55" s="44">
        <f>AG55/G55</f>
        <v/>
      </c>
      <c r="AI55" s="45">
        <f>AG55/L55</f>
        <v/>
      </c>
      <c r="AJ55" s="34">
        <f>(O55+Q55+V55+X55+Y55+L55)/(1-(M55+$G$4+(1-H55)*$G$3+$G$8+Z55+AB55))</f>
        <v/>
      </c>
    </row>
    <row r="56">
      <c r="A56" s="12" t="inlineStr">
        <is>
          <t>ENOUGH - Premium Rich Gold Double Wear Radiance Foundation [Tone 13] / Тональный крем с частичками золота 13 тон</t>
        </is>
      </c>
      <c r="B56" s="13" t="n"/>
      <c r="C56" s="13" t="n"/>
      <c r="D56" s="14" t="n"/>
      <c r="E56" s="14" t="n"/>
      <c r="F56" s="14" t="n"/>
      <c r="G56" s="14" t="n"/>
      <c r="H56" s="15" t="n"/>
      <c r="I56" s="16" t="n"/>
      <c r="J56" s="17" t="n"/>
      <c r="K56" s="17" t="n"/>
      <c r="L56" s="18" t="n"/>
      <c r="M56" s="19" t="n"/>
      <c r="N56" s="14" t="n"/>
      <c r="O56" s="14" t="n"/>
      <c r="P56" s="14" t="n"/>
      <c r="Q56" s="14" t="n"/>
      <c r="R56" s="14" t="n"/>
      <c r="S56" s="14" t="n"/>
      <c r="T56" s="20" t="n"/>
      <c r="U56" s="14" t="n"/>
      <c r="V56" s="14" t="n"/>
      <c r="W56" s="21" t="n"/>
      <c r="X56" s="14" t="n"/>
      <c r="Y56" s="18" t="n"/>
      <c r="Z56" s="19" t="n"/>
      <c r="AA56" s="14" t="n"/>
      <c r="AB56" s="20" t="n"/>
      <c r="AC56" s="14" t="n"/>
      <c r="AD56" s="14" t="n"/>
      <c r="AE56" s="22" t="n"/>
      <c r="AF56" s="23" t="n"/>
      <c r="AG56" s="14" t="n"/>
      <c r="AH56" s="20" t="n"/>
      <c r="AI56" s="20" t="n"/>
      <c r="AJ56" s="14" t="n"/>
    </row>
    <row r="57">
      <c r="A57" s="12" t="inlineStr">
        <is>
          <t>ENOUGH - Premium Rich Gold Double Wear Radiance Foundation [Tone 21] / Тональный крем с частичками золота 21 тон</t>
        </is>
      </c>
      <c r="B57" s="13" t="n"/>
      <c r="C57" s="13" t="n"/>
      <c r="D57" s="14" t="n"/>
      <c r="E57" s="14" t="n"/>
      <c r="F57" s="14" t="n"/>
      <c r="G57" s="14" t="n"/>
      <c r="H57" s="15" t="n"/>
      <c r="I57" s="16" t="n"/>
      <c r="J57" s="17" t="n"/>
      <c r="K57" s="17" t="n"/>
      <c r="L57" s="18" t="n"/>
      <c r="M57" s="19" t="n"/>
      <c r="N57" s="14" t="n"/>
      <c r="O57" s="14" t="n"/>
      <c r="P57" s="14" t="n"/>
      <c r="Q57" s="14" t="n"/>
      <c r="R57" s="14" t="n"/>
      <c r="S57" s="14" t="n"/>
      <c r="T57" s="20" t="n"/>
      <c r="U57" s="14" t="n"/>
      <c r="V57" s="14" t="n"/>
      <c r="W57" s="21" t="n"/>
      <c r="X57" s="14" t="n"/>
      <c r="Y57" s="18" t="n"/>
      <c r="Z57" s="19" t="n"/>
      <c r="AA57" s="14" t="n"/>
      <c r="AB57" s="20" t="n"/>
      <c r="AC57" s="14" t="n"/>
      <c r="AD57" s="14" t="n"/>
      <c r="AE57" s="22" t="n"/>
      <c r="AF57" s="23" t="n"/>
      <c r="AG57" s="14" t="n"/>
      <c r="AH57" s="20" t="n"/>
      <c r="AI57" s="20" t="n"/>
      <c r="AJ57" s="14" t="n"/>
    </row>
    <row r="58">
      <c r="A58" s="12" t="inlineStr">
        <is>
          <t>ENOUGH - Premium Ultra X10 Cover Up Collagen Foundation [Tone 13] / Тональный крем с коллагеном 13 тон</t>
        </is>
      </c>
      <c r="B58" s="13" t="n"/>
      <c r="C58" s="13" t="n"/>
      <c r="D58" s="14" t="n"/>
      <c r="E58" s="14" t="n"/>
      <c r="F58" s="14" t="n"/>
      <c r="G58" s="14" t="n"/>
      <c r="H58" s="15" t="n"/>
      <c r="I58" s="16" t="n"/>
      <c r="J58" s="17" t="n"/>
      <c r="K58" s="17" t="n"/>
      <c r="L58" s="18" t="n"/>
      <c r="M58" s="19" t="n"/>
      <c r="N58" s="14" t="n"/>
      <c r="O58" s="14" t="n"/>
      <c r="P58" s="14" t="n"/>
      <c r="Q58" s="14" t="n"/>
      <c r="R58" s="14" t="n"/>
      <c r="S58" s="14" t="n"/>
      <c r="T58" s="20" t="n"/>
      <c r="U58" s="14" t="n"/>
      <c r="V58" s="14" t="n"/>
      <c r="W58" s="21" t="n"/>
      <c r="X58" s="14" t="n"/>
      <c r="Y58" s="18" t="n"/>
      <c r="Z58" s="19" t="n"/>
      <c r="AA58" s="14" t="n"/>
      <c r="AB58" s="20" t="n"/>
      <c r="AC58" s="14" t="n"/>
      <c r="AD58" s="14" t="n"/>
      <c r="AE58" s="22" t="n"/>
      <c r="AF58" s="23" t="n"/>
      <c r="AG58" s="14" t="n"/>
      <c r="AH58" s="20" t="n"/>
      <c r="AI58" s="20" t="n"/>
      <c r="AJ58" s="14" t="n"/>
    </row>
    <row r="59">
      <c r="A59" s="12" t="inlineStr">
        <is>
          <t>ENOUGH - Premium Ultra X10 Cover Up Collagen Foundation [Tone 21] / Тональный крем с коллагеном 21 тон</t>
        </is>
      </c>
      <c r="B59" s="13" t="n"/>
      <c r="C59" s="13" t="n"/>
      <c r="D59" s="14" t="n"/>
      <c r="E59" s="14" t="n"/>
      <c r="F59" s="14" t="n"/>
      <c r="G59" s="14" t="n"/>
      <c r="H59" s="15" t="n"/>
      <c r="I59" s="16" t="n"/>
      <c r="J59" s="17" t="n"/>
      <c r="K59" s="17" t="n"/>
      <c r="L59" s="18" t="n"/>
      <c r="M59" s="19" t="n"/>
      <c r="N59" s="14" t="n"/>
      <c r="O59" s="14" t="n"/>
      <c r="P59" s="14" t="n"/>
      <c r="Q59" s="14" t="n"/>
      <c r="R59" s="14" t="n"/>
      <c r="S59" s="14" t="n"/>
      <c r="T59" s="20" t="n"/>
      <c r="U59" s="14" t="n"/>
      <c r="V59" s="14" t="n"/>
      <c r="W59" s="21" t="n"/>
      <c r="X59" s="14" t="n"/>
      <c r="Y59" s="18" t="n"/>
      <c r="Z59" s="19" t="n"/>
      <c r="AA59" s="14" t="n"/>
      <c r="AB59" s="20" t="n"/>
      <c r="AC59" s="14" t="n"/>
      <c r="AD59" s="14" t="n"/>
      <c r="AE59" s="22" t="n"/>
      <c r="AF59" s="23" t="n"/>
      <c r="AG59" s="14" t="n"/>
      <c r="AH59" s="20" t="n"/>
      <c r="AI59" s="20" t="n"/>
      <c r="AJ59" s="14" t="n"/>
    </row>
    <row r="60">
      <c r="A60" s="48" t="inlineStr">
        <is>
          <t>ENOUGH Collagen whitening cover tip concealer #01 [9g]/Консилер для лица (основная карточка) 4.5 рейтинг</t>
        </is>
      </c>
      <c r="B60" s="25" t="n"/>
      <c r="C60" s="26" t="n"/>
      <c r="D60" s="27" t="n"/>
      <c r="E60" s="27" t="n"/>
      <c r="F60" s="27" t="n"/>
      <c r="G60" s="27">
        <f>(1.25*L60+O60+Q60+V60+X60+Y60)/(1-M60-$G$8-$G$4-(1-H60)*$G$3-Z60-AB60)</f>
        <v/>
      </c>
      <c r="H60" s="28" t="n">
        <v>0.45</v>
      </c>
      <c r="I60" s="29">
        <f>G60*(1-H60)</f>
        <v/>
      </c>
      <c r="J60" s="49" t="n">
        <v>183.24</v>
      </c>
      <c r="K60" s="31">
        <f>$G$5</f>
        <v/>
      </c>
      <c r="L60" s="32">
        <f>J60+K60</f>
        <v/>
      </c>
      <c r="M60" s="33" t="n">
        <v>0.41</v>
      </c>
      <c r="N60" s="34">
        <f>G60*M60</f>
        <v/>
      </c>
      <c r="O60" s="35" t="n">
        <v>56</v>
      </c>
      <c r="P60" s="34">
        <f>G60*$G$8</f>
        <v/>
      </c>
      <c r="Q60" s="35" t="n">
        <v>25</v>
      </c>
      <c r="R60" s="34">
        <f>G60*$G$4</f>
        <v/>
      </c>
      <c r="S60" s="34">
        <f>I60*$G$3</f>
        <v/>
      </c>
      <c r="T60" s="36" t="n">
        <v>0.9</v>
      </c>
      <c r="U60" s="35" t="n">
        <v>56</v>
      </c>
      <c r="V60" s="34">
        <f>U60*(1-T60)</f>
        <v/>
      </c>
      <c r="W60" s="37" t="n">
        <v>0.05</v>
      </c>
      <c r="X60" s="34">
        <f>$G$6*$G$7*W60</f>
        <v/>
      </c>
      <c r="Y60" s="32">
        <f>W60*($G$9+$G$10)</f>
        <v/>
      </c>
      <c r="Z60" s="33" t="n">
        <v>0.07000000000000001</v>
      </c>
      <c r="AA60" s="34">
        <f>G60*Z60</f>
        <v/>
      </c>
      <c r="AB60" s="36" t="n">
        <v>0.08</v>
      </c>
      <c r="AC60" s="34">
        <f>G60*AB60</f>
        <v/>
      </c>
      <c r="AD60" s="34">
        <f>AA60+AC60</f>
        <v/>
      </c>
      <c r="AE60" s="38">
        <f>AD60/G60</f>
        <v/>
      </c>
      <c r="AF60" s="39">
        <f>G60-N60-O60-P60-Q60-R60-S60-V60-X60-Y60-L60</f>
        <v/>
      </c>
      <c r="AG60" s="43">
        <f>AF60-AD60</f>
        <v/>
      </c>
      <c r="AH60" s="44">
        <f>AG60/G60</f>
        <v/>
      </c>
      <c r="AI60" s="45">
        <f>AG60/L60</f>
        <v/>
      </c>
      <c r="AJ60" s="34">
        <f>(O60+Q60+V60+X60+Y60+L60)/(1-(M60+$G$4+(1-H60)*$G$3+$G$8+Z60+AB60))</f>
        <v/>
      </c>
    </row>
    <row r="61">
      <c r="A61" s="12" t="inlineStr">
        <is>
          <t>ENOUGH Collagen whitening cover tip concealer #01 [9g]/Консилер для лица (основная карточка) 4.5 рейтинг</t>
        </is>
      </c>
      <c r="B61" s="13" t="n"/>
      <c r="C61" s="13" t="n"/>
      <c r="D61" s="14" t="n"/>
      <c r="E61" s="14" t="n"/>
      <c r="F61" s="14" t="n"/>
      <c r="G61" s="14" t="n"/>
      <c r="H61" s="15" t="n"/>
      <c r="I61" s="16" t="n"/>
      <c r="J61" s="17" t="n"/>
      <c r="K61" s="17" t="n"/>
      <c r="L61" s="18" t="n"/>
      <c r="M61" s="19" t="n"/>
      <c r="N61" s="14" t="n"/>
      <c r="O61" s="14" t="n"/>
      <c r="P61" s="14" t="n"/>
      <c r="Q61" s="14" t="n"/>
      <c r="R61" s="14" t="n"/>
      <c r="S61" s="14" t="n"/>
      <c r="T61" s="20" t="n"/>
      <c r="U61" s="14" t="n"/>
      <c r="V61" s="14" t="n"/>
      <c r="W61" s="21" t="n"/>
      <c r="X61" s="14" t="n"/>
      <c r="Y61" s="18" t="n"/>
      <c r="Z61" s="19" t="n"/>
      <c r="AA61" s="14" t="n"/>
      <c r="AB61" s="20" t="n"/>
      <c r="AC61" s="14" t="n"/>
      <c r="AD61" s="14" t="n"/>
      <c r="AE61" s="22" t="n"/>
      <c r="AF61" s="23" t="n"/>
      <c r="AG61" s="14" t="n"/>
      <c r="AH61" s="20" t="n"/>
      <c r="AI61" s="20" t="n"/>
      <c r="AJ61" s="14" t="n"/>
    </row>
    <row r="62">
      <c r="A62" s="48" t="inlineStr">
        <is>
          <t>ENOUGH Collagen whitening cover tip concealer #02 [9g]/Консилер для лица (основная карточка)</t>
        </is>
      </c>
      <c r="B62" s="25" t="n"/>
      <c r="C62" s="26" t="n"/>
      <c r="D62" s="27" t="n"/>
      <c r="E62" s="27" t="n"/>
      <c r="F62" s="27" t="n"/>
      <c r="G62" s="27">
        <f>(1.25*L62+O62+Q62+V62+X62+Y62)/(1-M62-$G$8-$G$4-(1-H62)*$G$3-Z62-AB62)</f>
        <v/>
      </c>
      <c r="H62" s="28" t="n">
        <v>0.45</v>
      </c>
      <c r="I62" s="29">
        <f>G62*(1-H62)</f>
        <v/>
      </c>
      <c r="J62" s="49" t="n">
        <v>183.24</v>
      </c>
      <c r="K62" s="31">
        <f>$G$5</f>
        <v/>
      </c>
      <c r="L62" s="32">
        <f>J62+K62</f>
        <v/>
      </c>
      <c r="M62" s="33" t="n">
        <v>0.41</v>
      </c>
      <c r="N62" s="34">
        <f>G62*M62</f>
        <v/>
      </c>
      <c r="O62" s="35" t="n">
        <v>56</v>
      </c>
      <c r="P62" s="34">
        <f>G62*$G$8</f>
        <v/>
      </c>
      <c r="Q62" s="35" t="n">
        <v>25</v>
      </c>
      <c r="R62" s="34">
        <f>G62*$G$4</f>
        <v/>
      </c>
      <c r="S62" s="34">
        <f>I62*$G$3</f>
        <v/>
      </c>
      <c r="T62" s="36" t="n">
        <v>0.9</v>
      </c>
      <c r="U62" s="35" t="n">
        <v>56</v>
      </c>
      <c r="V62" s="34">
        <f>U62*(1-T62)</f>
        <v/>
      </c>
      <c r="W62" s="37" t="n">
        <v>0.05</v>
      </c>
      <c r="X62" s="34">
        <f>$G$6*$G$7*W62</f>
        <v/>
      </c>
      <c r="Y62" s="32">
        <f>W62*($G$9+$G$10)</f>
        <v/>
      </c>
      <c r="Z62" s="33" t="n">
        <v>0.07000000000000001</v>
      </c>
      <c r="AA62" s="34">
        <f>G62*Z62</f>
        <v/>
      </c>
      <c r="AB62" s="36" t="n">
        <v>0.08</v>
      </c>
      <c r="AC62" s="34">
        <f>G62*AB62</f>
        <v/>
      </c>
      <c r="AD62" s="34">
        <f>AA62+AC62</f>
        <v/>
      </c>
      <c r="AE62" s="38">
        <f>AD62/G62</f>
        <v/>
      </c>
      <c r="AF62" s="39">
        <f>G62-N62-O62-P62-Q62-R62-S62-V62-X62-Y62-L62</f>
        <v/>
      </c>
      <c r="AG62" s="43">
        <f>AF62-AD62</f>
        <v/>
      </c>
      <c r="AH62" s="44">
        <f>AG62/G62</f>
        <v/>
      </c>
      <c r="AI62" s="45">
        <f>AG62/L62</f>
        <v/>
      </c>
      <c r="AJ62" s="34">
        <f>(O62+Q62+V62+X62+Y62+L62)/(1-(M62+$G$4+(1-H62)*$G$3+$G$8+Z62+AB62))</f>
        <v/>
      </c>
    </row>
    <row r="63">
      <c r="A63" s="12" t="inlineStr">
        <is>
          <t>ENOUGH Collagen whitening cover tip concealer #02 [9g]/Консилер для лица (основная карточка)</t>
        </is>
      </c>
      <c r="B63" s="13" t="n"/>
      <c r="C63" s="13" t="n"/>
      <c r="D63" s="14" t="n"/>
      <c r="E63" s="14" t="n"/>
      <c r="F63" s="14" t="n"/>
      <c r="G63" s="14" t="n"/>
      <c r="H63" s="15" t="n"/>
      <c r="I63" s="16" t="n"/>
      <c r="J63" s="17" t="n"/>
      <c r="K63" s="17" t="n"/>
      <c r="L63" s="18" t="n"/>
      <c r="M63" s="19" t="n"/>
      <c r="N63" s="14" t="n"/>
      <c r="O63" s="14" t="n"/>
      <c r="P63" s="14" t="n"/>
      <c r="Q63" s="14" t="n"/>
      <c r="R63" s="14" t="n"/>
      <c r="S63" s="14" t="n"/>
      <c r="T63" s="20" t="n"/>
      <c r="U63" s="14" t="n"/>
      <c r="V63" s="14" t="n"/>
      <c r="W63" s="21" t="n"/>
      <c r="X63" s="14" t="n"/>
      <c r="Y63" s="18" t="n"/>
      <c r="Z63" s="19" t="n"/>
      <c r="AA63" s="14" t="n"/>
      <c r="AB63" s="20" t="n"/>
      <c r="AC63" s="14" t="n"/>
      <c r="AD63" s="14" t="n"/>
      <c r="AE63" s="22" t="n"/>
      <c r="AF63" s="23" t="n"/>
      <c r="AG63" s="14" t="n"/>
      <c r="AH63" s="20" t="n"/>
      <c r="AI63" s="20" t="n"/>
      <c r="AJ63" s="14" t="n"/>
    </row>
    <row r="64">
      <c r="A64" s="48" t="inlineStr">
        <is>
          <t>ENOUGH Collagen whitening cover tip concealer #03 [9g]/ Консилер для лица (основаная карточка)</t>
        </is>
      </c>
      <c r="B64" s="25" t="n"/>
      <c r="C64" s="26" t="n"/>
      <c r="D64" s="27" t="n"/>
      <c r="E64" s="27" t="n"/>
      <c r="F64" s="27" t="n"/>
      <c r="G64" s="27">
        <f>(1.25*L64+O64+Q64+V64+X64+Y64)/(1-M64-$G$8-$G$4-(1-H64)*$G$3-Z64-AB64)</f>
        <v/>
      </c>
      <c r="H64" s="28" t="n">
        <v>0.45</v>
      </c>
      <c r="I64" s="29">
        <f>G64*(1-H64)</f>
        <v/>
      </c>
      <c r="J64" s="49" t="n">
        <v>183.24</v>
      </c>
      <c r="K64" s="31">
        <f>$G$5</f>
        <v/>
      </c>
      <c r="L64" s="32">
        <f>J64+K64</f>
        <v/>
      </c>
      <c r="M64" s="33" t="n">
        <v>0.41</v>
      </c>
      <c r="N64" s="34">
        <f>G64*M64</f>
        <v/>
      </c>
      <c r="O64" s="35" t="n">
        <v>56</v>
      </c>
      <c r="P64" s="34">
        <f>G64*$G$8</f>
        <v/>
      </c>
      <c r="Q64" s="35" t="n">
        <v>25</v>
      </c>
      <c r="R64" s="34">
        <f>G64*$G$4</f>
        <v/>
      </c>
      <c r="S64" s="34">
        <f>I64*$G$3</f>
        <v/>
      </c>
      <c r="T64" s="36" t="n">
        <v>0.9</v>
      </c>
      <c r="U64" s="35" t="n">
        <v>56</v>
      </c>
      <c r="V64" s="34">
        <f>U64*(1-T64)</f>
        <v/>
      </c>
      <c r="W64" s="37" t="n">
        <v>0.05</v>
      </c>
      <c r="X64" s="34">
        <f>$G$6*$G$7*W64</f>
        <v/>
      </c>
      <c r="Y64" s="32">
        <f>W64*($G$9+$G$10)</f>
        <v/>
      </c>
      <c r="Z64" s="33" t="n">
        <v>0.07000000000000001</v>
      </c>
      <c r="AA64" s="34">
        <f>G64*Z64</f>
        <v/>
      </c>
      <c r="AB64" s="36" t="n">
        <v>0.08</v>
      </c>
      <c r="AC64" s="34">
        <f>G64*AB64</f>
        <v/>
      </c>
      <c r="AD64" s="34">
        <f>AA64+AC64</f>
        <v/>
      </c>
      <c r="AE64" s="38">
        <f>AD64/G64</f>
        <v/>
      </c>
      <c r="AF64" s="39">
        <f>G64-N64-O64-P64-Q64-R64-S64-V64-X64-Y64-L64</f>
        <v/>
      </c>
      <c r="AG64" s="43">
        <f>AF64-AD64</f>
        <v/>
      </c>
      <c r="AH64" s="44">
        <f>AG64/G64</f>
        <v/>
      </c>
      <c r="AI64" s="45">
        <f>AG64/L64</f>
        <v/>
      </c>
      <c r="AJ64" s="34">
        <f>(O64+Q64+V64+X64+Y64+L64)/(1-(M64+$G$4+(1-H64)*$G$3+$G$8+Z64+AB64))</f>
        <v/>
      </c>
    </row>
    <row r="65">
      <c r="A65" s="12" t="inlineStr">
        <is>
          <t>ENOUGH Collagen whitening cover tip concealer #03 [9g]/ Консилер для лица (основаная карточка)</t>
        </is>
      </c>
      <c r="B65" s="13" t="n"/>
      <c r="C65" s="13" t="n"/>
      <c r="D65" s="14" t="n"/>
      <c r="E65" s="14" t="n"/>
      <c r="F65" s="14" t="n"/>
      <c r="G65" s="14" t="n"/>
      <c r="H65" s="15" t="n"/>
      <c r="I65" s="16" t="n"/>
      <c r="J65" s="17" t="n"/>
      <c r="K65" s="17" t="n"/>
      <c r="L65" s="18" t="n"/>
      <c r="M65" s="19" t="n"/>
      <c r="N65" s="14" t="n"/>
      <c r="O65" s="14" t="n"/>
      <c r="P65" s="14" t="n"/>
      <c r="Q65" s="14" t="n"/>
      <c r="R65" s="14" t="n"/>
      <c r="S65" s="14" t="n"/>
      <c r="T65" s="20" t="n"/>
      <c r="U65" s="14" t="n"/>
      <c r="V65" s="14" t="n"/>
      <c r="W65" s="21" t="n"/>
      <c r="X65" s="14" t="n"/>
      <c r="Y65" s="18" t="n"/>
      <c r="Z65" s="19" t="n"/>
      <c r="AA65" s="14" t="n"/>
      <c r="AB65" s="20" t="n"/>
      <c r="AC65" s="14" t="n"/>
      <c r="AD65" s="14" t="n"/>
      <c r="AE65" s="22" t="n"/>
      <c r="AF65" s="23" t="n"/>
      <c r="AG65" s="14" t="n"/>
      <c r="AH65" s="20" t="n"/>
      <c r="AI65" s="20" t="n"/>
      <c r="AJ65" s="14" t="n"/>
    </row>
    <row r="66">
      <c r="A66" s="12" t="inlineStr">
        <is>
          <t>ENOUGH - Collagen 3in1 Sun Cream SPF50 PA+++ [50ml] / отбеливающий увлажняющий солнцезащитный крем 3в1</t>
        </is>
      </c>
      <c r="B66" s="13" t="n"/>
      <c r="C66" s="13" t="n"/>
      <c r="D66" s="14" t="n"/>
      <c r="E66" s="14" t="n"/>
      <c r="F66" s="14" t="n"/>
      <c r="G66" s="14" t="n"/>
      <c r="H66" s="15" t="n"/>
      <c r="I66" s="16" t="n"/>
      <c r="J66" s="17" t="n"/>
      <c r="K66" s="17" t="n"/>
      <c r="L66" s="18" t="n"/>
      <c r="M66" s="19" t="n"/>
      <c r="N66" s="14" t="n"/>
      <c r="O66" s="14" t="n"/>
      <c r="P66" s="14" t="n"/>
      <c r="Q66" s="14" t="n"/>
      <c r="R66" s="14" t="n"/>
      <c r="S66" s="14" t="n"/>
      <c r="T66" s="20" t="n"/>
      <c r="U66" s="14" t="n"/>
      <c r="V66" s="14" t="n"/>
      <c r="W66" s="21" t="n"/>
      <c r="X66" s="14" t="n"/>
      <c r="Y66" s="18" t="n"/>
      <c r="Z66" s="19" t="n"/>
      <c r="AA66" s="14" t="n"/>
      <c r="AB66" s="20" t="n"/>
      <c r="AC66" s="14" t="n"/>
      <c r="AD66" s="14" t="n"/>
      <c r="AE66" s="22" t="n"/>
      <c r="AF66" s="23" t="n"/>
      <c r="AG66" s="14" t="n"/>
      <c r="AH66" s="20" t="n"/>
      <c r="AI66" s="20" t="n"/>
      <c r="AJ66" s="14" t="n"/>
    </row>
    <row r="67">
      <c r="A67" s="51" t="inlineStr">
        <is>
          <t>ENOUGH - Collagen Moisture BB Cream SPF47 PA+++ [50ml] / Увлажняющий BB крем с коллагеном</t>
        </is>
      </c>
      <c r="B67" s="25" t="n"/>
      <c r="C67" s="26" t="n"/>
      <c r="D67" s="27" t="n"/>
      <c r="E67" s="27" t="n"/>
      <c r="F67" s="27" t="n"/>
      <c r="G67" s="27">
        <f>(1.25*L67+O67+Q67+V67+X67+Y67)/(1-M67-$G$8-$G$4-(1-H67)*$G$3-Z67-AB67)</f>
        <v/>
      </c>
      <c r="H67" s="28" t="n">
        <v>0.45</v>
      </c>
      <c r="I67" s="29">
        <f>G67*(1-H67)</f>
        <v/>
      </c>
      <c r="J67" s="49" t="n">
        <v>189.27</v>
      </c>
      <c r="K67" s="31">
        <f>$G$5</f>
        <v/>
      </c>
      <c r="L67" s="32">
        <f>J67+K67</f>
        <v/>
      </c>
      <c r="M67" s="33" t="n">
        <v>0.41</v>
      </c>
      <c r="N67" s="34">
        <f>G67*M67</f>
        <v/>
      </c>
      <c r="O67" s="35" t="n">
        <v>63</v>
      </c>
      <c r="P67" s="34">
        <f>G67*$G$8</f>
        <v/>
      </c>
      <c r="Q67" s="35" t="n">
        <v>25</v>
      </c>
      <c r="R67" s="34">
        <f>G67*$G$4</f>
        <v/>
      </c>
      <c r="S67" s="34">
        <f>I67*$G$3</f>
        <v/>
      </c>
      <c r="T67" s="36" t="n">
        <v>0.9</v>
      </c>
      <c r="U67" s="35" t="n">
        <v>63</v>
      </c>
      <c r="V67" s="34">
        <f>U67*(1-T67)</f>
        <v/>
      </c>
      <c r="W67" s="37" t="n">
        <v>0.28</v>
      </c>
      <c r="X67" s="34">
        <f>$G$6*$G$7*W67</f>
        <v/>
      </c>
      <c r="Y67" s="32">
        <f>W67*($G$9+$G$10)</f>
        <v/>
      </c>
      <c r="Z67" s="33" t="n">
        <v>0.07000000000000001</v>
      </c>
      <c r="AA67" s="34">
        <f>G67*Z67</f>
        <v/>
      </c>
      <c r="AB67" s="36" t="n">
        <v>0.08</v>
      </c>
      <c r="AC67" s="34">
        <f>G67*AB67</f>
        <v/>
      </c>
      <c r="AD67" s="34">
        <f>AA67+AC67</f>
        <v/>
      </c>
      <c r="AE67" s="38">
        <f>AD67/G67</f>
        <v/>
      </c>
      <c r="AF67" s="39">
        <f>G67-N67-O67-P67-Q67-R67-S67-V67-X67-Y67-L67</f>
        <v/>
      </c>
      <c r="AG67" s="43">
        <f>AF67-AD67</f>
        <v/>
      </c>
      <c r="AH67" s="44">
        <f>AG67/G67</f>
        <v/>
      </c>
      <c r="AI67" s="45">
        <f>AG67/L67</f>
        <v/>
      </c>
      <c r="AJ67" s="34">
        <f>(O67+Q67+V67+X67+Y67+L67)/(1-(M67+$G$4+(1-H67)*$G$3+$G$8+Z67+AB67))</f>
        <v/>
      </c>
    </row>
    <row r="68">
      <c r="A68" s="12" t="inlineStr">
        <is>
          <t>ENOUGH - Collagen Moisture BB Cream SPF47 PA+++ [50ml] / Увлажняющий BB крем с коллагеном</t>
        </is>
      </c>
      <c r="B68" s="13" t="n"/>
      <c r="C68" s="13" t="n"/>
      <c r="D68" s="14" t="n"/>
      <c r="E68" s="14" t="n"/>
      <c r="F68" s="14" t="n"/>
      <c r="G68" s="14" t="n"/>
      <c r="H68" s="15" t="n"/>
      <c r="I68" s="16" t="n"/>
      <c r="J68" s="17" t="n"/>
      <c r="K68" s="17" t="n"/>
      <c r="L68" s="18" t="n"/>
      <c r="M68" s="19" t="n"/>
      <c r="N68" s="14" t="n"/>
      <c r="O68" s="14" t="n"/>
      <c r="P68" s="14" t="n"/>
      <c r="Q68" s="14" t="n"/>
      <c r="R68" s="14" t="n"/>
      <c r="S68" s="14" t="n"/>
      <c r="T68" s="20" t="n"/>
      <c r="U68" s="14" t="n"/>
      <c r="V68" s="14" t="n"/>
      <c r="W68" s="21" t="n"/>
      <c r="X68" s="14" t="n"/>
      <c r="Y68" s="18" t="n"/>
      <c r="Z68" s="19" t="n"/>
      <c r="AA68" s="14" t="n"/>
      <c r="AB68" s="20" t="n"/>
      <c r="AC68" s="14" t="n"/>
      <c r="AD68" s="14" t="n"/>
      <c r="AE68" s="22" t="n"/>
      <c r="AF68" s="23" t="n"/>
      <c r="AG68" s="14" t="n"/>
      <c r="AH68" s="20" t="n"/>
      <c r="AI68" s="20" t="n"/>
      <c r="AJ68" s="14" t="n"/>
    </row>
    <row r="69">
      <c r="A69" s="12" t="inlineStr">
        <is>
          <t>ENOUGH - Collagen Moisture Sun Cream SPF50+ PA++++ [50ml] / Увлажняющий солнцезащитный крем с коллагеном</t>
        </is>
      </c>
      <c r="B69" s="13" t="n"/>
      <c r="C69" s="13" t="n"/>
      <c r="D69" s="14" t="n"/>
      <c r="E69" s="14" t="n"/>
      <c r="F69" s="14" t="n"/>
      <c r="G69" s="14" t="n"/>
      <c r="H69" s="15" t="n"/>
      <c r="I69" s="16" t="n"/>
      <c r="J69" s="17" t="n"/>
      <c r="K69" s="17" t="n"/>
      <c r="L69" s="18" t="n"/>
      <c r="M69" s="19" t="n"/>
      <c r="N69" s="14" t="n"/>
      <c r="O69" s="14" t="n"/>
      <c r="P69" s="14" t="n"/>
      <c r="Q69" s="14" t="n"/>
      <c r="R69" s="14" t="n"/>
      <c r="S69" s="14" t="n"/>
      <c r="T69" s="20" t="n"/>
      <c r="U69" s="14" t="n"/>
      <c r="V69" s="14" t="n"/>
      <c r="W69" s="21" t="n"/>
      <c r="X69" s="14" t="n"/>
      <c r="Y69" s="18" t="n"/>
      <c r="Z69" s="19" t="n"/>
      <c r="AA69" s="14" t="n"/>
      <c r="AB69" s="20" t="n"/>
      <c r="AC69" s="14" t="n"/>
      <c r="AD69" s="14" t="n"/>
      <c r="AE69" s="22" t="n"/>
      <c r="AF69" s="23" t="n"/>
      <c r="AG69" s="14" t="n"/>
      <c r="AH69" s="20" t="n"/>
      <c r="AI69" s="20" t="n"/>
      <c r="AJ69" s="14" t="n"/>
    </row>
    <row r="70">
      <c r="A70" s="12" t="inlineStr">
        <is>
          <t>ENOUGH - Collagen Moisture Sun Cream SPF50+ PA++++ [50ml] / Увлажняющий солнцезащитный крем с коллагеном</t>
        </is>
      </c>
      <c r="B70" s="13" t="n"/>
      <c r="C70" s="13" t="n"/>
      <c r="D70" s="14" t="n"/>
      <c r="E70" s="14" t="n"/>
      <c r="F70" s="14" t="n"/>
      <c r="G70" s="14" t="n"/>
      <c r="H70" s="15" t="n"/>
      <c r="I70" s="16" t="n"/>
      <c r="J70" s="17" t="n"/>
      <c r="K70" s="17" t="n"/>
      <c r="L70" s="18" t="n"/>
      <c r="M70" s="19" t="n"/>
      <c r="N70" s="14" t="n"/>
      <c r="O70" s="14" t="n"/>
      <c r="P70" s="14" t="n"/>
      <c r="Q70" s="14" t="n"/>
      <c r="R70" s="14" t="n"/>
      <c r="S70" s="14" t="n"/>
      <c r="T70" s="20" t="n"/>
      <c r="U70" s="14" t="n"/>
      <c r="V70" s="14" t="n"/>
      <c r="W70" s="21" t="n"/>
      <c r="X70" s="14" t="n"/>
      <c r="Y70" s="18" t="n"/>
      <c r="Z70" s="19" t="n"/>
      <c r="AA70" s="14" t="n"/>
      <c r="AB70" s="20" t="n"/>
      <c r="AC70" s="14" t="n"/>
      <c r="AD70" s="14" t="n"/>
      <c r="AE70" s="22" t="n"/>
      <c r="AF70" s="23" t="n"/>
      <c r="AG70" s="14" t="n"/>
      <c r="AH70" s="20" t="n"/>
      <c r="AI70" s="20" t="n"/>
      <c r="AJ70" s="14" t="n"/>
    </row>
    <row r="71">
      <c r="A71" s="24" t="inlineStr">
        <is>
          <t>ETUDE - Baking Powder Crunch Pore Scrub [200ml] / Очищающий скраб для лица с содой</t>
        </is>
      </c>
      <c r="B71" s="25" t="n"/>
      <c r="C71" s="26" t="n"/>
      <c r="D71" s="27" t="n">
        <v>1730</v>
      </c>
      <c r="E71" s="27" t="n">
        <v>300</v>
      </c>
      <c r="F71" s="27" t="n">
        <v>5</v>
      </c>
      <c r="G71" s="27" t="n">
        <v>1650</v>
      </c>
      <c r="H71" s="28" t="n">
        <v>0.45</v>
      </c>
      <c r="I71" s="29">
        <f>G71*(1-H71)</f>
        <v/>
      </c>
      <c r="J71" s="30" t="n">
        <v>361.03</v>
      </c>
      <c r="K71" s="31">
        <f>$G$5</f>
        <v/>
      </c>
      <c r="L71" s="32">
        <f>J71+K71</f>
        <v/>
      </c>
      <c r="M71" s="33" t="n">
        <v>0.41</v>
      </c>
      <c r="N71" s="34">
        <f>G71*M71</f>
        <v/>
      </c>
      <c r="O71" s="35" t="n">
        <v>67</v>
      </c>
      <c r="P71" s="34">
        <f>G71*$G$8</f>
        <v/>
      </c>
      <c r="Q71" s="35" t="n">
        <v>25</v>
      </c>
      <c r="R71" s="34">
        <f>G71*$G$4</f>
        <v/>
      </c>
      <c r="S71" s="34">
        <f>I71*$G$3</f>
        <v/>
      </c>
      <c r="T71" s="36" t="n">
        <v>0.9</v>
      </c>
      <c r="U71" s="35" t="n">
        <v>67</v>
      </c>
      <c r="V71" s="34">
        <f>U71*(1-T71)</f>
        <v/>
      </c>
      <c r="W71" s="37" t="n">
        <v>0.5600000000000001</v>
      </c>
      <c r="X71" s="34">
        <f>$G$6*$G$7*W71</f>
        <v/>
      </c>
      <c r="Y71" s="32">
        <f>W71*($G$9+$G$10)</f>
        <v/>
      </c>
      <c r="Z71" s="33" t="n">
        <v>0.05</v>
      </c>
      <c r="AA71" s="34">
        <f>G71*Z71</f>
        <v/>
      </c>
      <c r="AB71" s="36" t="n">
        <v>0.05</v>
      </c>
      <c r="AC71" s="34">
        <f>G71*AB71</f>
        <v/>
      </c>
      <c r="AD71" s="34">
        <f>AA71+AC71</f>
        <v/>
      </c>
      <c r="AE71" s="38">
        <f>AD71/G71</f>
        <v/>
      </c>
      <c r="AF71" s="39">
        <f>G71-N71-O71-P71-Q71-R71-S71-V71-X71-Y71-L71</f>
        <v/>
      </c>
      <c r="AG71" s="40">
        <f>AF71-AD71</f>
        <v/>
      </c>
      <c r="AH71" s="41">
        <f>AG71/G71</f>
        <v/>
      </c>
      <c r="AI71" s="42">
        <f>AG71/L71</f>
        <v/>
      </c>
      <c r="AJ71" s="34">
        <f>(O71+Q71+V71+X71+Y71+L71)/(1-(M71+$G$4+(1-H71)*$G$3+$G$8+Z71+AB71))</f>
        <v/>
      </c>
    </row>
    <row r="72">
      <c r="A72" s="12" t="inlineStr">
        <is>
          <t>ETUDE - Baking Powder Pore Cleansing Foam [160ml] / Пенка для умывания с содой</t>
        </is>
      </c>
      <c r="B72" s="13" t="n"/>
      <c r="C72" s="13" t="n"/>
      <c r="D72" s="14" t="n"/>
      <c r="E72" s="14" t="n"/>
      <c r="F72" s="14" t="n"/>
      <c r="G72" s="14" t="n"/>
      <c r="H72" s="15" t="n"/>
      <c r="I72" s="16" t="n"/>
      <c r="J72" s="17" t="n"/>
      <c r="K72" s="17" t="n"/>
      <c r="L72" s="18" t="n"/>
      <c r="M72" s="19" t="n"/>
      <c r="N72" s="14" t="n"/>
      <c r="O72" s="14" t="n"/>
      <c r="P72" s="14" t="n"/>
      <c r="Q72" s="14" t="n"/>
      <c r="R72" s="14" t="n"/>
      <c r="S72" s="14" t="n"/>
      <c r="T72" s="20" t="n"/>
      <c r="U72" s="14" t="n"/>
      <c r="V72" s="14" t="n"/>
      <c r="W72" s="21" t="n"/>
      <c r="X72" s="14" t="n"/>
      <c r="Y72" s="18" t="n"/>
      <c r="Z72" s="19" t="n"/>
      <c r="AA72" s="14" t="n"/>
      <c r="AB72" s="20" t="n"/>
      <c r="AC72" s="14" t="n"/>
      <c r="AD72" s="14" t="n"/>
      <c r="AE72" s="22" t="n"/>
      <c r="AF72" s="23" t="n"/>
      <c r="AG72" s="14" t="n"/>
      <c r="AH72" s="20" t="n"/>
      <c r="AI72" s="20" t="n"/>
      <c r="AJ72" s="14" t="n"/>
    </row>
    <row r="73">
      <c r="A73" s="24" t="inlineStr">
        <is>
          <t>ETUDE - Baking Powder BB Deep Cleansing Foam [160ml] / Пенка с содой для глубокого очищения и снятия макияжа</t>
        </is>
      </c>
      <c r="B73" s="25" t="n"/>
      <c r="C73" s="26" t="n"/>
      <c r="D73" s="27" t="n">
        <v>1870</v>
      </c>
      <c r="E73" s="27" t="n">
        <v>230</v>
      </c>
      <c r="F73" s="27" t="n">
        <v>8</v>
      </c>
      <c r="G73" s="27" t="n">
        <v>1770</v>
      </c>
      <c r="H73" s="28" t="n">
        <v>0.45</v>
      </c>
      <c r="I73" s="29">
        <f>G73*(1-H73)</f>
        <v/>
      </c>
      <c r="J73" s="30" t="n">
        <v>292.89</v>
      </c>
      <c r="K73" s="31">
        <f>$G$5</f>
        <v/>
      </c>
      <c r="L73" s="32">
        <f>J73+K73</f>
        <v/>
      </c>
      <c r="M73" s="33" t="n">
        <v>0.41</v>
      </c>
      <c r="N73" s="34">
        <f>G73*M73</f>
        <v/>
      </c>
      <c r="O73" s="35" t="n">
        <v>67</v>
      </c>
      <c r="P73" s="34">
        <f>G73*$G$8</f>
        <v/>
      </c>
      <c r="Q73" s="35" t="n">
        <v>25</v>
      </c>
      <c r="R73" s="34">
        <f>G73*$G$4</f>
        <v/>
      </c>
      <c r="S73" s="34">
        <f>I73*$G$3</f>
        <v/>
      </c>
      <c r="T73" s="36" t="n">
        <v>0.9</v>
      </c>
      <c r="U73" s="35" t="n">
        <v>67</v>
      </c>
      <c r="V73" s="34">
        <f>U73*(1-T73)</f>
        <v/>
      </c>
      <c r="W73" s="37" t="n">
        <v>0.5600000000000001</v>
      </c>
      <c r="X73" s="34">
        <f>$G$6*$G$7*W73</f>
        <v/>
      </c>
      <c r="Y73" s="32">
        <f>W73*($G$9+$G$10)</f>
        <v/>
      </c>
      <c r="Z73" s="33" t="n">
        <v>0.07000000000000001</v>
      </c>
      <c r="AA73" s="34">
        <f>G73*Z73</f>
        <v/>
      </c>
      <c r="AB73" s="36" t="n">
        <v>0.05</v>
      </c>
      <c r="AC73" s="34">
        <f>G73*AB73</f>
        <v/>
      </c>
      <c r="AD73" s="34">
        <f>AA73+AC73</f>
        <v/>
      </c>
      <c r="AE73" s="38">
        <f>AD73/G73</f>
        <v/>
      </c>
      <c r="AF73" s="39">
        <f>G73-N73-O73-P73-Q73-R73-S73-V73-X73-Y73-L73</f>
        <v/>
      </c>
      <c r="AG73" s="40">
        <f>AF73-AD73</f>
        <v/>
      </c>
      <c r="AH73" s="41">
        <f>AG73/G73</f>
        <v/>
      </c>
      <c r="AI73" s="42">
        <f>AG73/L73</f>
        <v/>
      </c>
      <c r="AJ73" s="34">
        <f>(O73+Q73+V73+X73+Y73+L73)/(1-(M73+$G$4+(1-H73)*$G$3+$G$8+Z73+AB73))</f>
        <v/>
      </c>
    </row>
    <row r="74">
      <c r="A74" s="24" t="inlineStr">
        <is>
          <t>ETUDE - Baking Powder Crunch Pore Scrub [24*7ml] / Очищающий скраб для лица с содой</t>
        </is>
      </c>
      <c r="B74" s="25" t="n"/>
      <c r="C74" s="26" t="n"/>
      <c r="D74" s="27" t="n">
        <v>1900</v>
      </c>
      <c r="E74" s="27" t="n">
        <v>60</v>
      </c>
      <c r="F74" s="27" t="n">
        <v>10</v>
      </c>
      <c r="G74" s="27" t="n">
        <v>1835</v>
      </c>
      <c r="H74" s="28" t="n">
        <v>0.45</v>
      </c>
      <c r="I74" s="29">
        <f>G74*(1-H74)</f>
        <v/>
      </c>
      <c r="J74" s="30" t="n">
        <v>389.99</v>
      </c>
      <c r="K74" s="31">
        <f>$G$5</f>
        <v/>
      </c>
      <c r="L74" s="32">
        <f>J74+K74</f>
        <v/>
      </c>
      <c r="M74" s="33" t="n">
        <v>0.41</v>
      </c>
      <c r="N74" s="34">
        <f>G74*M74</f>
        <v/>
      </c>
      <c r="O74" s="35" t="n">
        <v>72</v>
      </c>
      <c r="P74" s="34">
        <f>G74*$G$8</f>
        <v/>
      </c>
      <c r="Q74" s="35" t="n">
        <v>25</v>
      </c>
      <c r="R74" s="34">
        <f>G74*$G$4</f>
        <v/>
      </c>
      <c r="S74" s="34">
        <f>I74*$G$3</f>
        <v/>
      </c>
      <c r="T74" s="36" t="n">
        <v>0.9</v>
      </c>
      <c r="U74" s="35" t="n">
        <v>72</v>
      </c>
      <c r="V74" s="34">
        <f>U74*(1-T74)</f>
        <v/>
      </c>
      <c r="W74" s="37" t="n">
        <v>1.15</v>
      </c>
      <c r="X74" s="34">
        <f>$G$6*$G$7*W74</f>
        <v/>
      </c>
      <c r="Y74" s="32">
        <f>W74*($G$9+$G$10)</f>
        <v/>
      </c>
      <c r="Z74" s="33" t="n">
        <v>0.07000000000000001</v>
      </c>
      <c r="AA74" s="34">
        <f>G74*Z74</f>
        <v/>
      </c>
      <c r="AB74" s="36" t="n">
        <v>0.08</v>
      </c>
      <c r="AC74" s="34">
        <f>G74*AB74</f>
        <v/>
      </c>
      <c r="AD74" s="34">
        <f>AA74+AC74</f>
        <v/>
      </c>
      <c r="AE74" s="38">
        <f>AD74/G74</f>
        <v/>
      </c>
      <c r="AF74" s="39">
        <f>G74-N74-O74-P74-Q74-R74-S74-V74-X74-Y74-L74</f>
        <v/>
      </c>
      <c r="AG74" s="40">
        <f>AF74-AD74</f>
        <v/>
      </c>
      <c r="AH74" s="41">
        <f>AG74/G74</f>
        <v/>
      </c>
      <c r="AI74" s="42">
        <f>AG74/L74</f>
        <v/>
      </c>
      <c r="AJ74" s="34">
        <f>(O74+Q74+V74+X74+Y74+L74)/(1-(M74+$G$4+(1-H74)*$G$3+$G$8+Z74+AB74))</f>
        <v/>
      </c>
    </row>
    <row r="75">
      <c r="A75" s="12" t="inlineStr">
        <is>
          <t>ETUDE - Baking Powder BB Deep Cleansing Foam [30ml] / Пенка с содой для глубокого очищения</t>
        </is>
      </c>
      <c r="B75" s="13" t="n"/>
      <c r="C75" s="13" t="n"/>
      <c r="D75" s="14" t="n"/>
      <c r="E75" s="14" t="n"/>
      <c r="F75" s="14" t="n"/>
      <c r="G75" s="14" t="n"/>
      <c r="H75" s="15" t="n"/>
      <c r="I75" s="16" t="n"/>
      <c r="J75" s="17" t="n"/>
      <c r="K75" s="17" t="n"/>
      <c r="L75" s="18" t="n"/>
      <c r="M75" s="19" t="n"/>
      <c r="N75" s="14" t="n"/>
      <c r="O75" s="14" t="n"/>
      <c r="P75" s="14" t="n"/>
      <c r="Q75" s="14" t="n"/>
      <c r="R75" s="14" t="n"/>
      <c r="S75" s="14" t="n"/>
      <c r="T75" s="20" t="n"/>
      <c r="U75" s="14" t="n"/>
      <c r="V75" s="14" t="n"/>
      <c r="W75" s="21" t="n"/>
      <c r="X75" s="14" t="n"/>
      <c r="Y75" s="18" t="n"/>
      <c r="Z75" s="19" t="n"/>
      <c r="AA75" s="14" t="n"/>
      <c r="AB75" s="20" t="n"/>
      <c r="AC75" s="14" t="n"/>
      <c r="AD75" s="14" t="n"/>
      <c r="AE75" s="22" t="n"/>
      <c r="AF75" s="23" t="n"/>
      <c r="AG75" s="14" t="n"/>
      <c r="AH75" s="20" t="n"/>
      <c r="AI75" s="20" t="n"/>
      <c r="AJ75" s="14" t="n"/>
    </row>
    <row r="76">
      <c r="A76" s="52" t="inlineStr">
        <is>
          <t>FARMSTAY COLLAGEN&amp;HYALURONIC ACID ALL-IN ONE</t>
        </is>
      </c>
      <c r="B76" s="25" t="n"/>
      <c r="C76" s="26" t="inlineStr">
        <is>
          <t>только Holika продает на Озон</t>
        </is>
      </c>
      <c r="D76" s="27" t="n">
        <v>3850</v>
      </c>
      <c r="E76" s="27" t="n">
        <v>127</v>
      </c>
      <c r="F76" s="27" t="n">
        <v>6</v>
      </c>
      <c r="G76" s="27" t="n">
        <v>3500</v>
      </c>
      <c r="H76" s="28" t="n">
        <v>0.45</v>
      </c>
      <c r="I76" s="29">
        <f>G76*(1-H76)</f>
        <v/>
      </c>
      <c r="J76" s="30" t="n">
        <v>347.76</v>
      </c>
      <c r="K76" s="31">
        <f>$G$5</f>
        <v/>
      </c>
      <c r="L76" s="32">
        <f>J76+K76</f>
        <v/>
      </c>
      <c r="M76" s="33" t="n">
        <v>0.41</v>
      </c>
      <c r="N76" s="34">
        <f>G76*M76</f>
        <v/>
      </c>
      <c r="O76" s="35" t="n">
        <v>67</v>
      </c>
      <c r="P76" s="34">
        <f>G76*$G$8</f>
        <v/>
      </c>
      <c r="Q76" s="35" t="n">
        <v>25</v>
      </c>
      <c r="R76" s="34">
        <f>G76*$G$4</f>
        <v/>
      </c>
      <c r="S76" s="34">
        <f>I76*$G$3</f>
        <v/>
      </c>
      <c r="T76" s="36" t="n">
        <v>0.9</v>
      </c>
      <c r="U76" s="35" t="n">
        <v>67</v>
      </c>
      <c r="V76" s="34">
        <f>U76*(1-T76)</f>
        <v/>
      </c>
      <c r="W76" s="37" t="n">
        <v>0.832</v>
      </c>
      <c r="X76" s="34">
        <f>$G$6*$G$7*W76</f>
        <v/>
      </c>
      <c r="Y76" s="32">
        <f>W76*($G$9+$G$10)</f>
        <v/>
      </c>
      <c r="Z76" s="33" t="n">
        <v>0.07000000000000001</v>
      </c>
      <c r="AA76" s="34">
        <f>G76*Z76</f>
        <v/>
      </c>
      <c r="AB76" s="36" t="n">
        <v>0.08</v>
      </c>
      <c r="AC76" s="34">
        <f>G76*AB76</f>
        <v/>
      </c>
      <c r="AD76" s="34">
        <f>AA76+AC76</f>
        <v/>
      </c>
      <c r="AE76" s="38">
        <f>AD76/G76</f>
        <v/>
      </c>
      <c r="AF76" s="39">
        <f>G76-N76-O76-P76-Q76-R76-S76-V76-X76-Y76-L76</f>
        <v/>
      </c>
      <c r="AG76" s="40">
        <f>AF76-AD76</f>
        <v/>
      </c>
      <c r="AH76" s="41">
        <f>AG76/G76</f>
        <v/>
      </c>
      <c r="AI76" s="42">
        <f>AG76/L76</f>
        <v/>
      </c>
      <c r="AJ76" s="34">
        <f>(O76+Q76+V76+X76+Y76+L76)/(1-(M76+$G$4+(1-H76)*$G$3+$G$8+Z76+AB76))</f>
        <v/>
      </c>
    </row>
    <row r="77">
      <c r="A77" s="52" t="inlineStr">
        <is>
          <t>FARMSTAY - Black Garlic Nourishing Shampoo [530ml] / Шампунь-кондиционер 2в1 с экстрактом черного чеснока</t>
        </is>
      </c>
      <c r="B77" s="25" t="n"/>
      <c r="C77" s="26" t="inlineStr">
        <is>
          <t>только Holika продает на Озон</t>
        </is>
      </c>
      <c r="D77" s="27" t="n">
        <v>2156</v>
      </c>
      <c r="E77" s="27" t="n">
        <v>46</v>
      </c>
      <c r="F77" s="27" t="n">
        <v>5</v>
      </c>
      <c r="G77" s="27" t="n">
        <v>1850</v>
      </c>
      <c r="H77" s="28" t="n">
        <v>0.45</v>
      </c>
      <c r="I77" s="29">
        <f>G77*(1-H77)</f>
        <v/>
      </c>
      <c r="J77" s="30" t="n">
        <v>396.72</v>
      </c>
      <c r="K77" s="31">
        <f>$G$5</f>
        <v/>
      </c>
      <c r="L77" s="32">
        <f>J77+K77</f>
        <v/>
      </c>
      <c r="M77" s="33" t="n">
        <v>0.41</v>
      </c>
      <c r="N77" s="34">
        <f>G77*M77</f>
        <v/>
      </c>
      <c r="O77" s="35" t="n">
        <v>75</v>
      </c>
      <c r="P77" s="34">
        <f>G77*$G$8</f>
        <v/>
      </c>
      <c r="Q77" s="35" t="n">
        <v>25</v>
      </c>
      <c r="R77" s="34">
        <f>G77*$G$4</f>
        <v/>
      </c>
      <c r="S77" s="34">
        <f>I77*$G$3</f>
        <v/>
      </c>
      <c r="T77" s="36" t="n">
        <v>0.9</v>
      </c>
      <c r="U77" s="35" t="n">
        <v>75</v>
      </c>
      <c r="V77" s="34">
        <f>U77*(1-T77)</f>
        <v/>
      </c>
      <c r="W77" s="37" t="n">
        <v>1.89</v>
      </c>
      <c r="X77" s="34">
        <f>$G$6*$G$7*W77</f>
        <v/>
      </c>
      <c r="Y77" s="32">
        <f>W77*($G$9+$G$10)</f>
        <v/>
      </c>
      <c r="Z77" s="33" t="n">
        <v>0.07000000000000001</v>
      </c>
      <c r="AA77" s="34">
        <f>G77*Z77</f>
        <v/>
      </c>
      <c r="AB77" s="36" t="n">
        <v>0.08</v>
      </c>
      <c r="AC77" s="34">
        <f>G77*AB77</f>
        <v/>
      </c>
      <c r="AD77" s="34">
        <f>AA77+AC77</f>
        <v/>
      </c>
      <c r="AE77" s="38">
        <f>AD77/G77</f>
        <v/>
      </c>
      <c r="AF77" s="39">
        <f>G77-N77-O77-P77-Q77-R77-S77-V77-X77-Y77-L77</f>
        <v/>
      </c>
      <c r="AG77" s="40">
        <f>AF77-AD77</f>
        <v/>
      </c>
      <c r="AH77" s="41">
        <f>AG77/G77</f>
        <v/>
      </c>
      <c r="AI77" s="42">
        <f>AG77/L77</f>
        <v/>
      </c>
      <c r="AJ77" s="34">
        <f>(O77+Q77+V77+X77+Y77+L77)/(1-(M77+$G$4+(1-H77)*$G$3+$G$8+Z77+AB77))</f>
        <v/>
      </c>
    </row>
    <row r="78">
      <c r="A78" s="52" t="inlineStr">
        <is>
          <t>FARMSTAY - Gold Snail Premium Cream [50ml] / Омолаживающий крем с муцином улитки и коллоидным золотом</t>
        </is>
      </c>
      <c r="B78" s="25" t="n"/>
      <c r="C78" s="26" t="inlineStr">
        <is>
          <t>не смогла найти с продажами</t>
        </is>
      </c>
      <c r="D78" s="27" t="n"/>
      <c r="E78" s="27" t="n"/>
      <c r="F78" s="27" t="n"/>
      <c r="G78" s="27">
        <f>(1.25*L78+O78+Q78+V78+X78+Y78)/(1-M78-$G$8-$G$4-(1-H78)*$G$3-Z78-AB78)</f>
        <v/>
      </c>
      <c r="H78" s="28" t="n">
        <v>0.45</v>
      </c>
      <c r="I78" s="29">
        <f>G78*(1-H78)</f>
        <v/>
      </c>
      <c r="J78" s="30" t="n">
        <v>431.05</v>
      </c>
      <c r="K78" s="31">
        <f>$G$5</f>
        <v/>
      </c>
      <c r="L78" s="32">
        <f>J78+K78</f>
        <v/>
      </c>
      <c r="M78" s="33" t="n">
        <v>0.41</v>
      </c>
      <c r="N78" s="34">
        <f>G78*M78</f>
        <v/>
      </c>
      <c r="O78" s="35" t="n">
        <v>67</v>
      </c>
      <c r="P78" s="34">
        <f>G78*$G$8</f>
        <v/>
      </c>
      <c r="Q78" s="35" t="n">
        <v>25</v>
      </c>
      <c r="R78" s="34">
        <f>G78*$G$4</f>
        <v/>
      </c>
      <c r="S78" s="34">
        <f>I78*$G$3</f>
        <v/>
      </c>
      <c r="T78" s="36" t="n">
        <v>0.9</v>
      </c>
      <c r="U78" s="35" t="n">
        <v>67</v>
      </c>
      <c r="V78" s="34">
        <f>U78*(1-T78)</f>
        <v/>
      </c>
      <c r="W78" s="37" t="n">
        <v>0.73</v>
      </c>
      <c r="X78" s="34">
        <f>$G$6*$G$7*W78</f>
        <v/>
      </c>
      <c r="Y78" s="32">
        <f>W78*($G$9+$G$10)</f>
        <v/>
      </c>
      <c r="Z78" s="33" t="n">
        <v>0.07000000000000001</v>
      </c>
      <c r="AA78" s="34">
        <f>G78*Z78</f>
        <v/>
      </c>
      <c r="AB78" s="36" t="n">
        <v>0.08</v>
      </c>
      <c r="AC78" s="34">
        <f>G78*AB78</f>
        <v/>
      </c>
      <c r="AD78" s="34">
        <f>AA78+AC78</f>
        <v/>
      </c>
      <c r="AE78" s="38">
        <f>AD78/G78</f>
        <v/>
      </c>
      <c r="AF78" s="39">
        <f>G78-N78-O78-P78-Q78-R78-S78-V78-X78-Y78-L78</f>
        <v/>
      </c>
      <c r="AG78" s="40">
        <f>AF78-AD78</f>
        <v/>
      </c>
      <c r="AH78" s="41">
        <f>AG78/G78</f>
        <v/>
      </c>
      <c r="AI78" s="42">
        <f>AG78/L78</f>
        <v/>
      </c>
      <c r="AJ78" s="34">
        <f>(O78+Q78+V78+X78+Y78+L78)/(1-(M78+$G$4+(1-H78)*$G$3+$G$8+Z78+AB78))</f>
        <v/>
      </c>
    </row>
    <row r="79">
      <c r="A79" s="52" t="inlineStr">
        <is>
          <t>FARMSTAY - Escargot Noblesse Intensive Cream [50g] / Крем с муцином королевской улитки</t>
        </is>
      </c>
      <c r="B79" s="25" t="n"/>
      <c r="C79" s="26" t="inlineStr">
        <is>
          <t>только Holika продает на Озон</t>
        </is>
      </c>
      <c r="D79" s="27" t="n">
        <v>3070</v>
      </c>
      <c r="E79" s="27" t="n">
        <v>48</v>
      </c>
      <c r="F79" s="27" t="n">
        <v>6.6</v>
      </c>
      <c r="G79" s="27" t="n">
        <v>2900</v>
      </c>
      <c r="H79" s="28" t="n">
        <v>0.45</v>
      </c>
      <c r="I79" s="29">
        <f>G79*(1-H79)</f>
        <v/>
      </c>
      <c r="J79" s="30" t="n">
        <v>313.84</v>
      </c>
      <c r="K79" s="31">
        <f>$G$5</f>
        <v/>
      </c>
      <c r="L79" s="32">
        <f>J79+K79</f>
        <v/>
      </c>
      <c r="M79" s="33" t="n">
        <v>0.41</v>
      </c>
      <c r="N79" s="34">
        <f>G79*M79</f>
        <v/>
      </c>
      <c r="O79" s="35" t="n">
        <v>67</v>
      </c>
      <c r="P79" s="34">
        <f>G79*$G$8</f>
        <v/>
      </c>
      <c r="Q79" s="35" t="n">
        <v>25</v>
      </c>
      <c r="R79" s="34">
        <f>G79*$G$4</f>
        <v/>
      </c>
      <c r="S79" s="34">
        <f>I79*$G$3</f>
        <v/>
      </c>
      <c r="T79" s="36" t="n">
        <v>0.9</v>
      </c>
      <c r="U79" s="35" t="n">
        <v>67</v>
      </c>
      <c r="V79" s="34">
        <f>U79*(1-T79)</f>
        <v/>
      </c>
      <c r="W79" s="37" t="n">
        <v>0.86</v>
      </c>
      <c r="X79" s="34">
        <f>$G$6*$G$7*W79</f>
        <v/>
      </c>
      <c r="Y79" s="32">
        <f>W79*($G$9+$G$10)</f>
        <v/>
      </c>
      <c r="Z79" s="33" t="n">
        <v>0.07000000000000001</v>
      </c>
      <c r="AA79" s="34">
        <f>G79*Z79</f>
        <v/>
      </c>
      <c r="AB79" s="36" t="n">
        <v>0.08</v>
      </c>
      <c r="AC79" s="34">
        <f>G79*AB79</f>
        <v/>
      </c>
      <c r="AD79" s="34">
        <f>AA79+AC79</f>
        <v/>
      </c>
      <c r="AE79" s="38">
        <f>AD79/G79</f>
        <v/>
      </c>
      <c r="AF79" s="39">
        <f>G79-N79-O79-P79-Q79-R79-S79-V79-X79-Y79-L79</f>
        <v/>
      </c>
      <c r="AG79" s="40">
        <f>AF79-AD79</f>
        <v/>
      </c>
      <c r="AH79" s="41">
        <f>AG79/G79</f>
        <v/>
      </c>
      <c r="AI79" s="42">
        <f>AG79/L79</f>
        <v/>
      </c>
      <c r="AJ79" s="34">
        <f>(O79+Q79+V79+X79+Y79+L79)/(1-(M79+$G$4+(1-H79)*$G$3+$G$8+Z79+AB79))</f>
        <v/>
      </c>
    </row>
    <row r="80">
      <c r="A80" s="24" t="inlineStr">
        <is>
          <t xml:space="preserve">FARMSTAY ESCARGOT NOBLESSE INTENSIVE AMPOULE/ сыворотка с улиткой </t>
        </is>
      </c>
      <c r="B80" s="25" t="n"/>
      <c r="C80" s="26" t="n"/>
      <c r="D80" s="27" t="n">
        <v>3820</v>
      </c>
      <c r="E80" s="27" t="n">
        <v>22</v>
      </c>
      <c r="F80" s="27" t="n">
        <v>7</v>
      </c>
      <c r="G80" s="27">
        <f>(1.25*L80+O80+Q80+V80+X80+Y80)/(1-M80-$G$8-$G$4-(1-H80)*$G$3-Z80-AB80)</f>
        <v/>
      </c>
      <c r="H80" s="28" t="n">
        <v>0.45</v>
      </c>
      <c r="I80" s="29">
        <f>G80*(1-H80)</f>
        <v/>
      </c>
      <c r="J80" s="30" t="n">
        <v>390.46</v>
      </c>
      <c r="K80" s="31">
        <f>$G$5</f>
        <v/>
      </c>
      <c r="L80" s="32">
        <f>J80+K80</f>
        <v/>
      </c>
      <c r="M80" s="33" t="n">
        <v>0.41</v>
      </c>
      <c r="N80" s="34">
        <f>G80*M80</f>
        <v/>
      </c>
      <c r="O80" s="35" t="n">
        <v>67</v>
      </c>
      <c r="P80" s="34">
        <f>G80*$G$8</f>
        <v/>
      </c>
      <c r="Q80" s="35" t="n">
        <v>25</v>
      </c>
      <c r="R80" s="34">
        <f>G80*$G$4</f>
        <v/>
      </c>
      <c r="S80" s="34">
        <f>I80*$G$3</f>
        <v/>
      </c>
      <c r="T80" s="36" t="n">
        <v>0.9</v>
      </c>
      <c r="U80" s="35" t="n">
        <v>67</v>
      </c>
      <c r="V80" s="34">
        <f>U80*(1-T80)</f>
        <v/>
      </c>
      <c r="W80" s="37" t="n">
        <v>0.86</v>
      </c>
      <c r="X80" s="34">
        <f>$G$6*$G$7*W80</f>
        <v/>
      </c>
      <c r="Y80" s="32">
        <f>W80*($G$9+$G$10)</f>
        <v/>
      </c>
      <c r="Z80" s="33" t="n">
        <v>0.07000000000000001</v>
      </c>
      <c r="AA80" s="34">
        <f>G80*Z80</f>
        <v/>
      </c>
      <c r="AB80" s="36" t="n">
        <v>0.08</v>
      </c>
      <c r="AC80" s="34">
        <f>G80*AB80</f>
        <v/>
      </c>
      <c r="AD80" s="34">
        <f>AA80+AC80</f>
        <v/>
      </c>
      <c r="AE80" s="38">
        <f>AD80/G80</f>
        <v/>
      </c>
      <c r="AF80" s="39">
        <f>G80-N80-O80-P80-Q80-R80-S80-V80-X80-Y80-L80</f>
        <v/>
      </c>
      <c r="AG80" s="40">
        <f>AF80-AD80</f>
        <v/>
      </c>
      <c r="AH80" s="41">
        <f>AG80/G80</f>
        <v/>
      </c>
      <c r="AI80" s="42">
        <f>AG80/L80</f>
        <v/>
      </c>
      <c r="AJ80" s="34">
        <f>(O80+Q80+V80+X80+Y80+L80)/(1-(M80+$G$4+(1-H80)*$G$3+$G$8+Z80+AB80))</f>
        <v/>
      </c>
    </row>
    <row r="81">
      <c r="A81" s="24" t="inlineStr">
        <is>
          <t>FARMSTAY - Argan Oil Complete Volume Up Shampoo &amp; Conditioner [530ml] / Шампунь-кондиционер с аргановым маслом</t>
        </is>
      </c>
      <c r="B81" s="25" t="n"/>
      <c r="C81" s="26" t="n"/>
      <c r="D81" s="27" t="n">
        <v>2000</v>
      </c>
      <c r="E81" s="27" t="n">
        <v>23</v>
      </c>
      <c r="F81" s="27" t="n">
        <v>1</v>
      </c>
      <c r="G81" s="27">
        <f>(1.25*L81+O81+Q81+V81+X81+Y81)/(1-M81-$G$8-$G$4-(1-H81)*$G$3-Z81-AB81)</f>
        <v/>
      </c>
      <c r="H81" s="28" t="n">
        <v>0.45</v>
      </c>
      <c r="I81" s="29">
        <f>G81*(1-H81)</f>
        <v/>
      </c>
      <c r="J81" s="30" t="n">
        <v>400.76</v>
      </c>
      <c r="K81" s="31">
        <f>$G$5</f>
        <v/>
      </c>
      <c r="L81" s="32">
        <f>J81+K81</f>
        <v/>
      </c>
      <c r="M81" s="33" t="n">
        <v>0.41</v>
      </c>
      <c r="N81" s="34">
        <f>G81*M81</f>
        <v/>
      </c>
      <c r="O81" s="35" t="n">
        <v>75</v>
      </c>
      <c r="P81" s="34">
        <f>G81*$G$8</f>
        <v/>
      </c>
      <c r="Q81" s="35" t="n">
        <v>25</v>
      </c>
      <c r="R81" s="34">
        <f>G81*$G$4</f>
        <v/>
      </c>
      <c r="S81" s="34">
        <f>I81*$G$3</f>
        <v/>
      </c>
      <c r="T81" s="36" t="n">
        <v>0.9</v>
      </c>
      <c r="U81" s="35" t="n">
        <v>75</v>
      </c>
      <c r="V81" s="34">
        <f>U81*(1-T81)</f>
        <v/>
      </c>
      <c r="W81" s="37" t="n">
        <v>1.26</v>
      </c>
      <c r="X81" s="34">
        <f>$G$6*$G$7*W81</f>
        <v/>
      </c>
      <c r="Y81" s="32">
        <f>W81*($G$9+$G$10)</f>
        <v/>
      </c>
      <c r="Z81" s="33" t="n">
        <v>0.07000000000000001</v>
      </c>
      <c r="AA81" s="34">
        <f>G81*Z81</f>
        <v/>
      </c>
      <c r="AB81" s="36" t="n">
        <v>0.08</v>
      </c>
      <c r="AC81" s="34">
        <f>G81*AB81</f>
        <v/>
      </c>
      <c r="AD81" s="34">
        <f>AA81+AC81</f>
        <v/>
      </c>
      <c r="AE81" s="38">
        <f>AD81/G81</f>
        <v/>
      </c>
      <c r="AF81" s="39">
        <f>G81-N81-O81-P81-Q81-R81-S81-V81-X81-Y81-L81</f>
        <v/>
      </c>
      <c r="AG81" s="40">
        <f>AF81-AD81</f>
        <v/>
      </c>
      <c r="AH81" s="41">
        <f>AG81/G81</f>
        <v/>
      </c>
      <c r="AI81" s="42">
        <f>AG81/L81</f>
        <v/>
      </c>
      <c r="AJ81" s="34">
        <f>(O81+Q81+V81+X81+Y81+L81)/(1-(M81+$G$4+(1-H81)*$G$3+$G$8+Z81+AB81))</f>
        <v/>
      </c>
    </row>
    <row r="82">
      <c r="A82" s="24" t="inlineStr">
        <is>
          <t>FARMSTAY - Collagen Water Full Shampoo &amp; Conditioner [530ml] / Шампунь-кондиционер 2в1 с коллагеном</t>
        </is>
      </c>
      <c r="B82" s="25" t="n"/>
      <c r="C82" s="26" t="n"/>
      <c r="D82" s="27" t="n">
        <v>2128</v>
      </c>
      <c r="E82" s="27" t="n">
        <v>22</v>
      </c>
      <c r="F82" s="27" t="n">
        <v>7.5</v>
      </c>
      <c r="G82" s="27">
        <f>(1.25*L82+O82+Q82+V82+X82+Y82)/(1-M82-$G$8-$G$4-(1-H82)*$G$3-Z82-AB82)</f>
        <v/>
      </c>
      <c r="H82" s="28" t="n">
        <v>0.45</v>
      </c>
      <c r="I82" s="29">
        <f>G82*(1-H82)</f>
        <v/>
      </c>
      <c r="J82" s="30" t="n">
        <v>396.72</v>
      </c>
      <c r="K82" s="31">
        <f>$G$5</f>
        <v/>
      </c>
      <c r="L82" s="32">
        <f>J82+K82</f>
        <v/>
      </c>
      <c r="M82" s="33" t="n">
        <v>0.41</v>
      </c>
      <c r="N82" s="34">
        <f>G82*M82</f>
        <v/>
      </c>
      <c r="O82" s="35" t="n">
        <v>75</v>
      </c>
      <c r="P82" s="34">
        <f>G82*$G$8</f>
        <v/>
      </c>
      <c r="Q82" s="35" t="n">
        <v>25</v>
      </c>
      <c r="R82" s="34">
        <f>G82*$G$4</f>
        <v/>
      </c>
      <c r="S82" s="34">
        <f>I82*$G$3</f>
        <v/>
      </c>
      <c r="T82" s="36" t="n">
        <v>0.9</v>
      </c>
      <c r="U82" s="35" t="n">
        <v>75</v>
      </c>
      <c r="V82" s="34">
        <f>U82*(1-T82)</f>
        <v/>
      </c>
      <c r="W82" s="37" t="n">
        <v>1.26</v>
      </c>
      <c r="X82" s="34">
        <f>$G$6*$G$7*W82</f>
        <v/>
      </c>
      <c r="Y82" s="32">
        <f>W82*($G$9+$G$10)</f>
        <v/>
      </c>
      <c r="Z82" s="33" t="n">
        <v>0.07000000000000001</v>
      </c>
      <c r="AA82" s="34">
        <f>G82*Z82</f>
        <v/>
      </c>
      <c r="AB82" s="36" t="n">
        <v>0.08</v>
      </c>
      <c r="AC82" s="34">
        <f>G82*AB82</f>
        <v/>
      </c>
      <c r="AD82" s="34">
        <f>AA82+AC82</f>
        <v/>
      </c>
      <c r="AE82" s="38">
        <f>AD82/G82</f>
        <v/>
      </c>
      <c r="AF82" s="39">
        <f>G82-N82-O82-P82-Q82-R82-S82-V82-X82-Y82-L82</f>
        <v/>
      </c>
      <c r="AG82" s="40">
        <f>AF82-AD82</f>
        <v/>
      </c>
      <c r="AH82" s="41">
        <f>AG82/G82</f>
        <v/>
      </c>
      <c r="AI82" s="42">
        <f>AG82/L82</f>
        <v/>
      </c>
      <c r="AJ82" s="34">
        <f>(O82+Q82+V82+X82+Y82+L82)/(1-(M82+$G$4+(1-H82)*$G$3+$G$8+Z82+AB82))</f>
        <v/>
      </c>
    </row>
    <row r="83">
      <c r="A83" s="24" t="inlineStr">
        <is>
          <t>FARMSTAY - Collagen Water Full Moist Rolling Eye Serum [25ml] / Сыворотка роллер для глаз</t>
        </is>
      </c>
      <c r="B83" s="25" t="n"/>
      <c r="C83" s="26" t="n"/>
      <c r="D83" s="27" t="n">
        <v>2145</v>
      </c>
      <c r="E83" s="27" t="n">
        <v>48</v>
      </c>
      <c r="F83" s="27" t="n">
        <v>5</v>
      </c>
      <c r="G83" s="27" t="n">
        <v>1800</v>
      </c>
      <c r="H83" s="28" t="n">
        <v>0.45</v>
      </c>
      <c r="I83" s="29">
        <f>G83*(1-H83)</f>
        <v/>
      </c>
      <c r="J83" s="30" t="n">
        <v>231.73</v>
      </c>
      <c r="K83" s="31">
        <f>$G$5</f>
        <v/>
      </c>
      <c r="L83" s="32">
        <f>J83+K83</f>
        <v/>
      </c>
      <c r="M83" s="33" t="n">
        <v>0.41</v>
      </c>
      <c r="N83" s="34">
        <f>G83*M83</f>
        <v/>
      </c>
      <c r="O83" s="35" t="n">
        <v>63</v>
      </c>
      <c r="P83" s="34">
        <f>G83*$G$8</f>
        <v/>
      </c>
      <c r="Q83" s="35" t="n">
        <v>25</v>
      </c>
      <c r="R83" s="34">
        <f>G83*$G$4</f>
        <v/>
      </c>
      <c r="S83" s="34">
        <f>I83*$G$3</f>
        <v/>
      </c>
      <c r="T83" s="36" t="n">
        <v>0.9</v>
      </c>
      <c r="U83" s="35" t="n">
        <v>63</v>
      </c>
      <c r="V83" s="34">
        <f>U83*(1-T83)</f>
        <v/>
      </c>
      <c r="W83" s="37" t="n">
        <v>0.22</v>
      </c>
      <c r="X83" s="34">
        <f>$G$6*$G$7*W83</f>
        <v/>
      </c>
      <c r="Y83" s="32">
        <f>W83*($G$9+$G$10)</f>
        <v/>
      </c>
      <c r="Z83" s="33" t="n">
        <v>0.07000000000000001</v>
      </c>
      <c r="AA83" s="34">
        <f>G83*Z83</f>
        <v/>
      </c>
      <c r="AB83" s="36" t="n">
        <v>0.08</v>
      </c>
      <c r="AC83" s="34">
        <f>G83*AB83</f>
        <v/>
      </c>
      <c r="AD83" s="34">
        <f>AA83+AC83</f>
        <v/>
      </c>
      <c r="AE83" s="38">
        <f>AD83/G83</f>
        <v/>
      </c>
      <c r="AF83" s="39">
        <f>G83-N83-O83-P83-Q83-R83-S83-V83-X83-Y83-L83</f>
        <v/>
      </c>
      <c r="AG83" s="40">
        <f>AF83-AD83</f>
        <v/>
      </c>
      <c r="AH83" s="41">
        <f>AG83/G83</f>
        <v/>
      </c>
      <c r="AI83" s="42">
        <f>AG83/L83</f>
        <v/>
      </c>
      <c r="AJ83" s="34">
        <f>(O83+Q83+V83+X83+Y83+L83)/(1-(M83+$G$4+(1-H83)*$G$3+$G$8+Z83+AB83))</f>
        <v/>
      </c>
    </row>
    <row r="84">
      <c r="A84" s="24" t="inlineStr">
        <is>
          <t>FARMSTAY - Collagen Water Full Moist Cream [100g] / Увлажняющий крем с коллагеном</t>
        </is>
      </c>
      <c r="B84" s="25" t="n"/>
      <c r="C84" s="26" t="n"/>
      <c r="D84" s="27" t="n">
        <v>4300</v>
      </c>
      <c r="E84" s="27" t="n">
        <v>29</v>
      </c>
      <c r="F84" s="27" t="n">
        <v>7</v>
      </c>
      <c r="G84" s="27">
        <f>(1.25*L84+O84+Q84+V84+X84+Y84)/(1-M84-$G$8-$G$4-(1-H84)*$G$3-Z84-AB84)</f>
        <v/>
      </c>
      <c r="H84" s="28" t="n">
        <v>0.45</v>
      </c>
      <c r="I84" s="29">
        <f>G84*(1-H84)</f>
        <v/>
      </c>
      <c r="J84" s="30" t="n">
        <v>484.42</v>
      </c>
      <c r="K84" s="31">
        <f>$G$5</f>
        <v/>
      </c>
      <c r="L84" s="32">
        <f>J84+K84</f>
        <v/>
      </c>
      <c r="M84" s="33" t="n">
        <v>0.41</v>
      </c>
      <c r="N84" s="34">
        <f>G84*M84</f>
        <v/>
      </c>
      <c r="O84" s="35" t="n">
        <v>67</v>
      </c>
      <c r="P84" s="34">
        <f>G84*$G$8</f>
        <v/>
      </c>
      <c r="Q84" s="35" t="n">
        <v>25</v>
      </c>
      <c r="R84" s="34">
        <f>G84*$G$4</f>
        <v/>
      </c>
      <c r="S84" s="34">
        <f>I84*$G$3</f>
        <v/>
      </c>
      <c r="T84" s="36" t="n">
        <v>0.9</v>
      </c>
      <c r="U84" s="35" t="n">
        <v>67</v>
      </c>
      <c r="V84" s="34">
        <f>U84*(1-T84)</f>
        <v/>
      </c>
      <c r="W84" s="37" t="n">
        <v>0.57</v>
      </c>
      <c r="X84" s="34">
        <f>$G$6*$G$7*W84</f>
        <v/>
      </c>
      <c r="Y84" s="32">
        <f>W84*($G$9+$G$10)</f>
        <v/>
      </c>
      <c r="Z84" s="33" t="n">
        <v>0.07000000000000001</v>
      </c>
      <c r="AA84" s="34">
        <f>G84*Z84</f>
        <v/>
      </c>
      <c r="AB84" s="36" t="n">
        <v>0.08</v>
      </c>
      <c r="AC84" s="34">
        <f>G84*AB84</f>
        <v/>
      </c>
      <c r="AD84" s="34">
        <f>AA84+AC84</f>
        <v/>
      </c>
      <c r="AE84" s="38">
        <f>AD84/G84</f>
        <v/>
      </c>
      <c r="AF84" s="39">
        <f>G84-N84-O84-P84-Q84-R84-S84-V84-X84-Y84-L84</f>
        <v/>
      </c>
      <c r="AG84" s="40">
        <f>AF84-AD84</f>
        <v/>
      </c>
      <c r="AH84" s="41">
        <f>AG84/G84</f>
        <v/>
      </c>
      <c r="AI84" s="42">
        <f>AG84/L84</f>
        <v/>
      </c>
      <c r="AJ84" s="34">
        <f>(O84+Q84+V84+X84+Y84+L84)/(1-(M84+$G$4+(1-H84)*$G$3+$G$8+Z84+AB84))</f>
        <v/>
      </c>
    </row>
    <row r="85">
      <c r="A85" s="24" t="inlineStr">
        <is>
          <t xml:space="preserve">FARMSTAY - Collagen Pure Cleansing Foam [180ml]/Пенка для умывания </t>
        </is>
      </c>
      <c r="B85" s="25" t="n"/>
      <c r="C85" s="26" t="n"/>
      <c r="D85" s="27" t="n">
        <v>1100</v>
      </c>
      <c r="E85" s="27" t="n">
        <v>163</v>
      </c>
      <c r="F85" s="27" t="n">
        <v>4.5</v>
      </c>
      <c r="G85" s="27">
        <f>(1.25*L85+O85+Q85+V85+X85+Y85)/(1-M85-$G$8-$G$4-(1-H85)*$G$3-Z85-AB85)</f>
        <v/>
      </c>
      <c r="H85" s="28" t="n">
        <v>0.45</v>
      </c>
      <c r="I85" s="29">
        <f>G85*(1-H85)</f>
        <v/>
      </c>
      <c r="J85" s="30" t="n">
        <v>161.47</v>
      </c>
      <c r="K85" s="31">
        <f>$G$5</f>
        <v/>
      </c>
      <c r="L85" s="32">
        <f>J85+K85</f>
        <v/>
      </c>
      <c r="M85" s="33" t="n">
        <v>0.41</v>
      </c>
      <c r="N85" s="34">
        <f>G85*M85</f>
        <v/>
      </c>
      <c r="O85" s="35" t="n">
        <v>67</v>
      </c>
      <c r="P85" s="34">
        <f>G85*$G$8</f>
        <v/>
      </c>
      <c r="Q85" s="35" t="n">
        <v>25</v>
      </c>
      <c r="R85" s="34">
        <f>G85*$G$4</f>
        <v/>
      </c>
      <c r="S85" s="34">
        <f>I85*$G$3</f>
        <v/>
      </c>
      <c r="T85" s="36" t="n">
        <v>0.9</v>
      </c>
      <c r="U85" s="35" t="n">
        <v>67</v>
      </c>
      <c r="V85" s="34">
        <f>U85*(1-T85)</f>
        <v/>
      </c>
      <c r="W85" s="37" t="n">
        <v>0.57</v>
      </c>
      <c r="X85" s="34">
        <f>$G$6*$G$7*W85</f>
        <v/>
      </c>
      <c r="Y85" s="32">
        <f>W85*($G$9+$G$10)</f>
        <v/>
      </c>
      <c r="Z85" s="33" t="n">
        <v>0.07000000000000001</v>
      </c>
      <c r="AA85" s="34">
        <f>G85*Z85</f>
        <v/>
      </c>
      <c r="AB85" s="36" t="n">
        <v>0.08</v>
      </c>
      <c r="AC85" s="34">
        <f>G85*AB85</f>
        <v/>
      </c>
      <c r="AD85" s="34">
        <f>AA85+AC85</f>
        <v/>
      </c>
      <c r="AE85" s="38">
        <f>AD85/G85</f>
        <v/>
      </c>
      <c r="AF85" s="39">
        <f>G85-N85-O85-P85-Q85-R85-S85-V85-X85-Y85-L85</f>
        <v/>
      </c>
      <c r="AG85" s="40">
        <f>AF85-AD85</f>
        <v/>
      </c>
      <c r="AH85" s="41">
        <f>AG85/G85</f>
        <v/>
      </c>
      <c r="AI85" s="42">
        <f>AG85/L85</f>
        <v/>
      </c>
      <c r="AJ85" s="34">
        <f>(O85+Q85+V85+X85+Y85+L85)/(1-(M85+$G$4+(1-H85)*$G$3+$G$8+Z85+AB85))</f>
        <v/>
      </c>
    </row>
    <row r="86">
      <c r="A86" s="24" t="inlineStr">
        <is>
          <t>HEIMISH - Artless Glow Base SPF50+ PA+++(Renew) [40ml] / База под макияж SPF50+ PA+++</t>
        </is>
      </c>
      <c r="B86" s="25" t="n"/>
      <c r="C86" s="26" t="n"/>
      <c r="D86" s="27" t="n">
        <v>2980</v>
      </c>
      <c r="E86" s="27" t="n">
        <v>100</v>
      </c>
      <c r="F86" s="27" t="n">
        <v>0</v>
      </c>
      <c r="G86" s="27" t="n">
        <v>2750</v>
      </c>
      <c r="H86" s="28" t="n">
        <v>0.45</v>
      </c>
      <c r="I86" s="29">
        <f>G86*(1-H86)</f>
        <v/>
      </c>
      <c r="J86" s="30" t="n">
        <v>770.48</v>
      </c>
      <c r="K86" s="31">
        <f>$G$5</f>
        <v/>
      </c>
      <c r="L86" s="32">
        <f>J86+K86</f>
        <v/>
      </c>
      <c r="M86" s="33" t="n">
        <v>0.41</v>
      </c>
      <c r="N86" s="34">
        <f>G86*M86</f>
        <v/>
      </c>
      <c r="O86" s="35" t="n">
        <v>56</v>
      </c>
      <c r="P86" s="34">
        <f>G86*$G$8</f>
        <v/>
      </c>
      <c r="Q86" s="35" t="n">
        <v>25</v>
      </c>
      <c r="R86" s="34">
        <f>G86*$G$4</f>
        <v/>
      </c>
      <c r="S86" s="34">
        <f>I86*$G$3</f>
        <v/>
      </c>
      <c r="T86" s="36" t="n">
        <v>0.9</v>
      </c>
      <c r="U86" s="35" t="n">
        <v>56</v>
      </c>
      <c r="V86" s="34">
        <f>U86*(1-T86)</f>
        <v/>
      </c>
      <c r="W86" s="37" t="n">
        <v>0.14</v>
      </c>
      <c r="X86" s="34">
        <f>$G$6*$G$7*W86</f>
        <v/>
      </c>
      <c r="Y86" s="32">
        <f>W86*($G$9+$G$10)</f>
        <v/>
      </c>
      <c r="Z86" s="33" t="n">
        <v>0.05</v>
      </c>
      <c r="AA86" s="34">
        <f>G86*Z86</f>
        <v/>
      </c>
      <c r="AB86" s="36" t="n">
        <v>0.05</v>
      </c>
      <c r="AC86" s="34">
        <f>G86*AB86</f>
        <v/>
      </c>
      <c r="AD86" s="34">
        <f>AA86+AC86</f>
        <v/>
      </c>
      <c r="AE86" s="38">
        <f>AD86/G86</f>
        <v/>
      </c>
      <c r="AF86" s="39">
        <f>G86-N86-O86-P86-Q86-R86-S86-V86-X86-Y86-L86</f>
        <v/>
      </c>
      <c r="AG86" s="40">
        <f>AF86-AD86</f>
        <v/>
      </c>
      <c r="AH86" s="41">
        <f>AG86/G86</f>
        <v/>
      </c>
      <c r="AI86" s="42">
        <f>AG86/L86</f>
        <v/>
      </c>
      <c r="AJ86" s="34">
        <f>(O86+Q86+V86+X86+Y86+L86)/(1-(M86+$G$4+(1-H86)*$G$3+$G$8+Z86+AB86))</f>
        <v/>
      </c>
    </row>
    <row r="87">
      <c r="A87" s="12" t="inlineStr">
        <is>
          <t>HEIMISH - All Clean Balm [120ml] / Очищающий гидрофильный бальзам щербет</t>
        </is>
      </c>
      <c r="B87" s="13" t="n"/>
      <c r="C87" s="13" t="n"/>
      <c r="D87" s="14" t="n"/>
      <c r="E87" s="14" t="n"/>
      <c r="F87" s="14" t="n"/>
      <c r="G87" s="14" t="n"/>
      <c r="H87" s="15" t="n"/>
      <c r="I87" s="16" t="n"/>
      <c r="J87" s="17" t="n"/>
      <c r="K87" s="17" t="n"/>
      <c r="L87" s="18" t="n"/>
      <c r="M87" s="19" t="n"/>
      <c r="N87" s="14" t="n"/>
      <c r="O87" s="14" t="n"/>
      <c r="P87" s="14" t="n"/>
      <c r="Q87" s="14" t="n"/>
      <c r="R87" s="14" t="n"/>
      <c r="S87" s="14" t="n"/>
      <c r="T87" s="20" t="n"/>
      <c r="U87" s="14" t="n"/>
      <c r="V87" s="14" t="n"/>
      <c r="W87" s="21" t="n"/>
      <c r="X87" s="14" t="n"/>
      <c r="Y87" s="18" t="n"/>
      <c r="Z87" s="19" t="n"/>
      <c r="AA87" s="14" t="n"/>
      <c r="AB87" s="20" t="n"/>
      <c r="AC87" s="14" t="n"/>
      <c r="AD87" s="14" t="n"/>
      <c r="AE87" s="22" t="n"/>
      <c r="AF87" s="23" t="n"/>
      <c r="AG87" s="14" t="n"/>
      <c r="AH87" s="20" t="n"/>
      <c r="AI87" s="20" t="n"/>
      <c r="AJ87" s="14" t="n"/>
    </row>
    <row r="88">
      <c r="A88" s="12" t="inlineStr">
        <is>
          <t>HEIMISH - All Clean Balm Mandarin [120ml] / Очищающий гидрофильный бальзам с мандарином</t>
        </is>
      </c>
      <c r="B88" s="13" t="n"/>
      <c r="C88" s="13" t="n"/>
      <c r="D88" s="14" t="n"/>
      <c r="E88" s="14" t="n"/>
      <c r="F88" s="14" t="n"/>
      <c r="G88" s="14" t="n"/>
      <c r="H88" s="15" t="n"/>
      <c r="I88" s="16" t="n"/>
      <c r="J88" s="17" t="n"/>
      <c r="K88" s="17" t="n"/>
      <c r="L88" s="18" t="n"/>
      <c r="M88" s="19" t="n"/>
      <c r="N88" s="14" t="n"/>
      <c r="O88" s="14" t="n"/>
      <c r="P88" s="14" t="n"/>
      <c r="Q88" s="14" t="n"/>
      <c r="R88" s="14" t="n"/>
      <c r="S88" s="14" t="n"/>
      <c r="T88" s="20" t="n"/>
      <c r="U88" s="14" t="n"/>
      <c r="V88" s="14" t="n"/>
      <c r="W88" s="21" t="n"/>
      <c r="X88" s="14" t="n"/>
      <c r="Y88" s="18" t="n"/>
      <c r="Z88" s="19" t="n"/>
      <c r="AA88" s="14" t="n"/>
      <c r="AB88" s="20" t="n"/>
      <c r="AC88" s="14" t="n"/>
      <c r="AD88" s="14" t="n"/>
      <c r="AE88" s="22" t="n"/>
      <c r="AF88" s="23" t="n"/>
      <c r="AG88" s="14" t="n"/>
      <c r="AH88" s="20" t="n"/>
      <c r="AI88" s="20" t="n"/>
      <c r="AJ88" s="14" t="n"/>
    </row>
    <row r="89">
      <c r="A89" s="12" t="inlineStr">
        <is>
          <t>HEIMISH - All Clean Balm / Очищающий гидрофильный бальзам щербет МИНИ ВЕРСИЯ</t>
        </is>
      </c>
      <c r="B89" s="13" t="n"/>
      <c r="C89" s="13" t="n"/>
      <c r="D89" s="14" t="n"/>
      <c r="E89" s="14" t="n"/>
      <c r="F89" s="14" t="n"/>
      <c r="G89" s="14" t="n"/>
      <c r="H89" s="15" t="n"/>
      <c r="I89" s="16" t="n"/>
      <c r="J89" s="17" t="n"/>
      <c r="K89" s="17" t="n"/>
      <c r="L89" s="18" t="n"/>
      <c r="M89" s="19" t="n"/>
      <c r="N89" s="14" t="n"/>
      <c r="O89" s="14" t="n"/>
      <c r="P89" s="14" t="n"/>
      <c r="Q89" s="14" t="n"/>
      <c r="R89" s="14" t="n"/>
      <c r="S89" s="14" t="n"/>
      <c r="T89" s="20" t="n"/>
      <c r="U89" s="14" t="n"/>
      <c r="V89" s="14" t="n"/>
      <c r="W89" s="21" t="n"/>
      <c r="X89" s="14" t="n"/>
      <c r="Y89" s="18" t="n"/>
      <c r="Z89" s="19" t="n"/>
      <c r="AA89" s="14" t="n"/>
      <c r="AB89" s="20" t="n"/>
      <c r="AC89" s="14" t="n"/>
      <c r="AD89" s="14" t="n"/>
      <c r="AE89" s="22" t="n"/>
      <c r="AF89" s="23" t="n"/>
      <c r="AG89" s="14" t="n"/>
      <c r="AH89" s="20" t="n"/>
      <c r="AI89" s="20" t="n"/>
      <c r="AJ89" s="14" t="n"/>
    </row>
    <row r="90">
      <c r="A90" s="12" t="inlineStr">
        <is>
          <t>I'm Sorry For My Skin - Age Capture Firming Enriched Cream / Увлажняющий капсульный крем</t>
        </is>
      </c>
      <c r="B90" s="13" t="n"/>
      <c r="C90" s="13" t="n"/>
      <c r="D90" s="14" t="n"/>
      <c r="E90" s="14" t="n"/>
      <c r="F90" s="14" t="n"/>
      <c r="G90" s="14" t="n"/>
      <c r="H90" s="15" t="n"/>
      <c r="I90" s="16" t="n"/>
      <c r="J90" s="17" t="n"/>
      <c r="K90" s="17" t="n"/>
      <c r="L90" s="18" t="n"/>
      <c r="M90" s="19" t="n"/>
      <c r="N90" s="14" t="n"/>
      <c r="O90" s="14" t="n"/>
      <c r="P90" s="14" t="n"/>
      <c r="Q90" s="14" t="n"/>
      <c r="R90" s="14" t="n"/>
      <c r="S90" s="14" t="n"/>
      <c r="T90" s="20" t="n"/>
      <c r="U90" s="14" t="n"/>
      <c r="V90" s="14" t="n"/>
      <c r="W90" s="21" t="n"/>
      <c r="X90" s="14" t="n"/>
      <c r="Y90" s="18" t="n"/>
      <c r="Z90" s="19" t="n"/>
      <c r="AA90" s="14" t="n"/>
      <c r="AB90" s="20" t="n"/>
      <c r="AC90" s="14" t="n"/>
      <c r="AD90" s="14" t="n"/>
      <c r="AE90" s="22" t="n"/>
      <c r="AF90" s="23" t="n"/>
      <c r="AG90" s="14" t="n"/>
      <c r="AH90" s="20" t="n"/>
      <c r="AI90" s="20" t="n"/>
      <c r="AJ90" s="14" t="n"/>
    </row>
    <row r="91">
      <c r="A91" s="12" t="inlineStr">
        <is>
          <t>I'm Sorry For My Skin - Age Capture Skin Relief Cream / Увлажняющий капсульный крем</t>
        </is>
      </c>
      <c r="B91" s="13" t="n"/>
      <c r="C91" s="13" t="n"/>
      <c r="D91" s="14" t="n"/>
      <c r="E91" s="14" t="n"/>
      <c r="F91" s="14" t="n"/>
      <c r="G91" s="14" t="n"/>
      <c r="H91" s="15" t="n"/>
      <c r="I91" s="16" t="n"/>
      <c r="J91" s="17" t="n"/>
      <c r="K91" s="17" t="n"/>
      <c r="L91" s="18" t="n"/>
      <c r="M91" s="19" t="n"/>
      <c r="N91" s="14" t="n"/>
      <c r="O91" s="14" t="n"/>
      <c r="P91" s="14" t="n"/>
      <c r="Q91" s="14" t="n"/>
      <c r="R91" s="14" t="n"/>
      <c r="S91" s="14" t="n"/>
      <c r="T91" s="20" t="n"/>
      <c r="U91" s="14" t="n"/>
      <c r="V91" s="14" t="n"/>
      <c r="W91" s="21" t="n"/>
      <c r="X91" s="14" t="n"/>
      <c r="Y91" s="18" t="n"/>
      <c r="Z91" s="19" t="n"/>
      <c r="AA91" s="14" t="n"/>
      <c r="AB91" s="20" t="n"/>
      <c r="AC91" s="14" t="n"/>
      <c r="AD91" s="14" t="n"/>
      <c r="AE91" s="22" t="n"/>
      <c r="AF91" s="23" t="n"/>
      <c r="AG91" s="14" t="n"/>
      <c r="AH91" s="20" t="n"/>
      <c r="AI91" s="20" t="n"/>
      <c r="AJ91" s="14" t="n"/>
    </row>
    <row r="92">
      <c r="A92" s="12" t="inlineStr">
        <is>
          <t>I'm Sorry For My Skin - Age Capture Hydrating Cream / Увлажняющий капсульный крем</t>
        </is>
      </c>
      <c r="B92" s="13" t="n"/>
      <c r="C92" s="13" t="n"/>
      <c r="D92" s="14" t="n"/>
      <c r="E92" s="14" t="n"/>
      <c r="F92" s="14" t="n"/>
      <c r="G92" s="14" t="n"/>
      <c r="H92" s="15" t="n"/>
      <c r="I92" s="16" t="n"/>
      <c r="J92" s="17" t="n"/>
      <c r="K92" s="17" t="n"/>
      <c r="L92" s="18" t="n"/>
      <c r="M92" s="19" t="n"/>
      <c r="N92" s="14" t="n"/>
      <c r="O92" s="14" t="n"/>
      <c r="P92" s="14" t="n"/>
      <c r="Q92" s="14" t="n"/>
      <c r="R92" s="14" t="n"/>
      <c r="S92" s="14" t="n"/>
      <c r="T92" s="20" t="n"/>
      <c r="U92" s="14" t="n"/>
      <c r="V92" s="14" t="n"/>
      <c r="W92" s="21" t="n"/>
      <c r="X92" s="14" t="n"/>
      <c r="Y92" s="18" t="n"/>
      <c r="Z92" s="19" t="n"/>
      <c r="AA92" s="14" t="n"/>
      <c r="AB92" s="20" t="n"/>
      <c r="AC92" s="14" t="n"/>
      <c r="AD92" s="14" t="n"/>
      <c r="AE92" s="22" t="n"/>
      <c r="AF92" s="23" t="n"/>
      <c r="AG92" s="14" t="n"/>
      <c r="AH92" s="20" t="n"/>
      <c r="AI92" s="20" t="n"/>
      <c r="AJ92" s="14" t="n"/>
    </row>
    <row r="93">
      <c r="A93" s="12" t="inlineStr">
        <is>
          <t>I'm Sorry For My Skin - Age Capture Vitalizer Cream / Увлажняющий капсульный крем</t>
        </is>
      </c>
      <c r="B93" s="13" t="n"/>
      <c r="C93" s="13" t="n"/>
      <c r="D93" s="14" t="n"/>
      <c r="E93" s="14" t="n"/>
      <c r="F93" s="14" t="n"/>
      <c r="G93" s="14" t="n"/>
      <c r="H93" s="15" t="n"/>
      <c r="I93" s="16" t="n"/>
      <c r="J93" s="17" t="n"/>
      <c r="K93" s="17" t="n"/>
      <c r="L93" s="18" t="n"/>
      <c r="M93" s="19" t="n"/>
      <c r="N93" s="14" t="n"/>
      <c r="O93" s="14" t="n"/>
      <c r="P93" s="14" t="n"/>
      <c r="Q93" s="14" t="n"/>
      <c r="R93" s="14" t="n"/>
      <c r="S93" s="14" t="n"/>
      <c r="T93" s="20" t="n"/>
      <c r="U93" s="14" t="n"/>
      <c r="V93" s="14" t="n"/>
      <c r="W93" s="21" t="n"/>
      <c r="X93" s="14" t="n"/>
      <c r="Y93" s="18" t="n"/>
      <c r="Z93" s="19" t="n"/>
      <c r="AA93" s="14" t="n"/>
      <c r="AB93" s="20" t="n"/>
      <c r="AC93" s="14" t="n"/>
      <c r="AD93" s="14" t="n"/>
      <c r="AE93" s="22" t="n"/>
      <c r="AF93" s="23" t="n"/>
      <c r="AG93" s="14" t="n"/>
      <c r="AH93" s="20" t="n"/>
      <c r="AI93" s="20" t="n"/>
      <c r="AJ93" s="14" t="n"/>
    </row>
    <row r="94">
      <c r="A94" s="12" t="inlineStr">
        <is>
          <t>ISNTREE - Chestnut AHA 8% Clear Essence [100ml] / Увлажняющая эссенция для глубокого очищения лица</t>
        </is>
      </c>
      <c r="B94" s="13" t="n"/>
      <c r="C94" s="13" t="n"/>
      <c r="D94" s="14" t="n"/>
      <c r="E94" s="14" t="n"/>
      <c r="F94" s="14" t="n"/>
      <c r="G94" s="14" t="n"/>
      <c r="H94" s="15" t="n"/>
      <c r="I94" s="16" t="n"/>
      <c r="J94" s="17" t="n"/>
      <c r="K94" s="17" t="n"/>
      <c r="L94" s="18" t="n"/>
      <c r="M94" s="19" t="n"/>
      <c r="N94" s="14" t="n"/>
      <c r="O94" s="14" t="n"/>
      <c r="P94" s="14" t="n"/>
      <c r="Q94" s="14" t="n"/>
      <c r="R94" s="14" t="n"/>
      <c r="S94" s="14" t="n"/>
      <c r="T94" s="20" t="n"/>
      <c r="U94" s="14" t="n"/>
      <c r="V94" s="14" t="n"/>
      <c r="W94" s="21" t="n"/>
      <c r="X94" s="14" t="n"/>
      <c r="Y94" s="18" t="n"/>
      <c r="Z94" s="19" t="n"/>
      <c r="AA94" s="14" t="n"/>
      <c r="AB94" s="20" t="n"/>
      <c r="AC94" s="14" t="n"/>
      <c r="AD94" s="14" t="n"/>
      <c r="AE94" s="22" t="n"/>
      <c r="AF94" s="23" t="n"/>
      <c r="AG94" s="14" t="n"/>
      <c r="AH94" s="20" t="n"/>
      <c r="AI94" s="20" t="n"/>
      <c r="AJ94" s="14" t="n"/>
    </row>
    <row r="95">
      <c r="A95" s="12" t="inlineStr">
        <is>
          <t>ISNTREE - Chestnut AHA 8% Clear Essence Sample [20ml] / Увлажняющая эссенция для глубокого очищения лица</t>
        </is>
      </c>
      <c r="B95" s="13" t="n"/>
      <c r="C95" s="13" t="n"/>
      <c r="D95" s="14" t="n"/>
      <c r="E95" s="14" t="n"/>
      <c r="F95" s="14" t="n"/>
      <c r="G95" s="14" t="n"/>
      <c r="H95" s="15" t="n"/>
      <c r="I95" s="16" t="n"/>
      <c r="J95" s="17" t="n"/>
      <c r="K95" s="17" t="n"/>
      <c r="L95" s="18" t="n"/>
      <c r="M95" s="19" t="n"/>
      <c r="N95" s="14" t="n"/>
      <c r="O95" s="14" t="n"/>
      <c r="P95" s="14" t="n"/>
      <c r="Q95" s="14" t="n"/>
      <c r="R95" s="14" t="n"/>
      <c r="S95" s="14" t="n"/>
      <c r="T95" s="20" t="n"/>
      <c r="U95" s="14" t="n"/>
      <c r="V95" s="14" t="n"/>
      <c r="W95" s="21" t="n"/>
      <c r="X95" s="14" t="n"/>
      <c r="Y95" s="18" t="n"/>
      <c r="Z95" s="19" t="n"/>
      <c r="AA95" s="14" t="n"/>
      <c r="AB95" s="20" t="n"/>
      <c r="AC95" s="14" t="n"/>
      <c r="AD95" s="14" t="n"/>
      <c r="AE95" s="22" t="n"/>
      <c r="AF95" s="23" t="n"/>
      <c r="AG95" s="14" t="n"/>
      <c r="AH95" s="20" t="n"/>
      <c r="AI95" s="20" t="n"/>
      <c r="AJ95" s="14" t="n"/>
    </row>
    <row r="96">
      <c r="A96" s="12" t="inlineStr">
        <is>
          <t>ISNTREE - Onion Newpair Gel Cream [50ml] / Успокаивающий крем от покраснений и акне прыщей с экстрактом лука Муана</t>
        </is>
      </c>
      <c r="B96" s="13" t="n"/>
      <c r="C96" s="13" t="n"/>
      <c r="D96" s="14" t="n"/>
      <c r="E96" s="14" t="n"/>
      <c r="F96" s="14" t="n"/>
      <c r="G96" s="14" t="n"/>
      <c r="H96" s="15" t="n"/>
      <c r="I96" s="16" t="n"/>
      <c r="J96" s="17" t="n"/>
      <c r="K96" s="17" t="n"/>
      <c r="L96" s="18" t="n"/>
      <c r="M96" s="19" t="n"/>
      <c r="N96" s="14" t="n"/>
      <c r="O96" s="14" t="n"/>
      <c r="P96" s="14" t="n"/>
      <c r="Q96" s="14" t="n"/>
      <c r="R96" s="14" t="n"/>
      <c r="S96" s="14" t="n"/>
      <c r="T96" s="20" t="n"/>
      <c r="U96" s="14" t="n"/>
      <c r="V96" s="14" t="n"/>
      <c r="W96" s="21" t="n"/>
      <c r="X96" s="14" t="n"/>
      <c r="Y96" s="18" t="n"/>
      <c r="Z96" s="19" t="n"/>
      <c r="AA96" s="14" t="n"/>
      <c r="AB96" s="20" t="n"/>
      <c r="AC96" s="14" t="n"/>
      <c r="AD96" s="14" t="n"/>
      <c r="AE96" s="22" t="n"/>
      <c r="AF96" s="23" t="n"/>
      <c r="AG96" s="14" t="n"/>
      <c r="AH96" s="20" t="n"/>
      <c r="AI96" s="20" t="n"/>
      <c r="AJ96" s="14" t="n"/>
    </row>
    <row r="97">
      <c r="A97" s="24" t="inlineStr">
        <is>
          <t>JIGOTT - Snail Lifting Cream [70ml] / Крем для лица увлажняющий антивозрастной</t>
        </is>
      </c>
      <c r="B97" s="25" t="n"/>
      <c r="C97" s="26" t="n"/>
      <c r="D97" s="27" t="n">
        <v>980</v>
      </c>
      <c r="E97" s="27" t="n">
        <v>160</v>
      </c>
      <c r="F97" s="27" t="n">
        <v>4.5</v>
      </c>
      <c r="G97" s="27" t="n">
        <v>880</v>
      </c>
      <c r="H97" s="28" t="n">
        <v>0.45</v>
      </c>
      <c r="I97" s="29">
        <f>G97*(1-H97)</f>
        <v/>
      </c>
      <c r="J97" s="30" t="n">
        <v>202.27</v>
      </c>
      <c r="K97" s="31">
        <f>$G$5</f>
        <v/>
      </c>
      <c r="L97" s="32">
        <f>J97+K97</f>
        <v/>
      </c>
      <c r="M97" s="33" t="n">
        <v>0.41</v>
      </c>
      <c r="N97" s="34">
        <f>G97*M97</f>
        <v/>
      </c>
      <c r="O97" s="35" t="n">
        <v>67</v>
      </c>
      <c r="P97" s="34">
        <f>G97*$G$8</f>
        <v/>
      </c>
      <c r="Q97" s="35" t="n">
        <v>25</v>
      </c>
      <c r="R97" s="34">
        <f>G97*$G$4</f>
        <v/>
      </c>
      <c r="S97" s="34">
        <f>I97*$G$3</f>
        <v/>
      </c>
      <c r="T97" s="36" t="n">
        <v>0.9</v>
      </c>
      <c r="U97" s="35" t="n">
        <v>67</v>
      </c>
      <c r="V97" s="34">
        <f>U97*(1-T97)</f>
        <v/>
      </c>
      <c r="W97" s="37" t="n">
        <v>0.42</v>
      </c>
      <c r="X97" s="34">
        <f>$G$6*$G$7*W97</f>
        <v/>
      </c>
      <c r="Y97" s="32">
        <f>W97*($G$9+$G$10)</f>
        <v/>
      </c>
      <c r="Z97" s="33" t="n">
        <v>0.07000000000000001</v>
      </c>
      <c r="AA97" s="34">
        <f>G97*Z97</f>
        <v/>
      </c>
      <c r="AB97" s="36" t="n">
        <v>0.08</v>
      </c>
      <c r="AC97" s="34">
        <f>G97*AB97</f>
        <v/>
      </c>
      <c r="AD97" s="34">
        <f>AA97+AC97</f>
        <v/>
      </c>
      <c r="AE97" s="38">
        <f>AD97/G97</f>
        <v/>
      </c>
      <c r="AF97" s="39">
        <f>G97-N97-O97-P97-Q97-R97-S97-V97-X97-Y97-L97</f>
        <v/>
      </c>
      <c r="AG97" s="43">
        <f>AF97-AD97</f>
        <v/>
      </c>
      <c r="AH97" s="44">
        <f>AG97/G97</f>
        <v/>
      </c>
      <c r="AI97" s="45">
        <f>AG97/L97</f>
        <v/>
      </c>
      <c r="AJ97" s="34">
        <f>(O97+Q97+V97+X97+Y97+L97)/(1-(M97+$G$4+(1-H97)*$G$3+$G$8+Z97+AB97))</f>
        <v/>
      </c>
    </row>
    <row r="98">
      <c r="A98" s="24" t="inlineStr">
        <is>
          <t>JIGOTT - Snail Reparing Cream [100ml] / Крем для лица увлажняющий антивозрастной с муцином улитки</t>
        </is>
      </c>
      <c r="B98" s="25" t="n"/>
      <c r="C98" s="26" t="n"/>
      <c r="D98" s="27" t="n">
        <v>1030</v>
      </c>
      <c r="E98" s="27" t="n">
        <v>153</v>
      </c>
      <c r="F98" s="27" t="n">
        <v>5</v>
      </c>
      <c r="G98" s="27" t="n">
        <v>930</v>
      </c>
      <c r="H98" s="28" t="n">
        <v>0.45</v>
      </c>
      <c r="I98" s="29">
        <f>G98*(1-H98)</f>
        <v/>
      </c>
      <c r="J98" s="30" t="n">
        <v>185.86</v>
      </c>
      <c r="K98" s="31">
        <f>$G$5</f>
        <v/>
      </c>
      <c r="L98" s="32">
        <f>J98+K98</f>
        <v/>
      </c>
      <c r="M98" s="33" t="n">
        <v>0.41</v>
      </c>
      <c r="N98" s="34">
        <f>G98*M98</f>
        <v/>
      </c>
      <c r="O98" s="35" t="n">
        <v>67</v>
      </c>
      <c r="P98" s="34">
        <f>G98*$G$8</f>
        <v/>
      </c>
      <c r="Q98" s="35" t="n">
        <v>25</v>
      </c>
      <c r="R98" s="34">
        <f>G98*$G$4</f>
        <v/>
      </c>
      <c r="S98" s="34">
        <f>I98*$G$3</f>
        <v/>
      </c>
      <c r="T98" s="36" t="n">
        <v>0.9</v>
      </c>
      <c r="U98" s="35" t="n">
        <v>67</v>
      </c>
      <c r="V98" s="34">
        <f>U98*(1-T98)</f>
        <v/>
      </c>
      <c r="W98" s="37" t="n">
        <v>0.57</v>
      </c>
      <c r="X98" s="34">
        <f>$G$6*$G$7*W98</f>
        <v/>
      </c>
      <c r="Y98" s="32">
        <f>W98*($G$9+$G$10)</f>
        <v/>
      </c>
      <c r="Z98" s="33" t="n">
        <v>0.07000000000000001</v>
      </c>
      <c r="AA98" s="34">
        <f>G98*Z98</f>
        <v/>
      </c>
      <c r="AB98" s="36" t="n">
        <v>0.08</v>
      </c>
      <c r="AC98" s="34">
        <f>G98*AB98</f>
        <v/>
      </c>
      <c r="AD98" s="34">
        <f>AA98+AC98</f>
        <v/>
      </c>
      <c r="AE98" s="38">
        <f>AD98/G98</f>
        <v/>
      </c>
      <c r="AF98" s="39">
        <f>G98-N98-O98-P98-Q98-R98-S98-V98-X98-Y98-L98</f>
        <v/>
      </c>
      <c r="AG98" s="43">
        <f>AF98-AD98</f>
        <v/>
      </c>
      <c r="AH98" s="44">
        <f>AG98/G98</f>
        <v/>
      </c>
      <c r="AI98" s="45">
        <f>AG98/L98</f>
        <v/>
      </c>
      <c r="AJ98" s="34">
        <f>(O98+Q98+V98+X98+Y98+L98)/(1-(M98+$G$4+(1-H98)*$G$3+$G$8+Z98+AB98))</f>
        <v/>
      </c>
    </row>
    <row r="99">
      <c r="A99" s="24" t="inlineStr">
        <is>
          <t>JIGOTT - Birds Nest Firming Cream [70ml] / Антивозрастной крем с экстрактом ласточкиного гнезда</t>
        </is>
      </c>
      <c r="B99" s="25" t="n"/>
      <c r="C99" s="26" t="n"/>
      <c r="D99" s="27" t="n">
        <v>1040</v>
      </c>
      <c r="E99" s="27" t="n">
        <v>49</v>
      </c>
      <c r="F99" s="27" t="n">
        <v>4</v>
      </c>
      <c r="G99" s="27" t="n">
        <v>960</v>
      </c>
      <c r="H99" s="28" t="n">
        <v>0.45</v>
      </c>
      <c r="I99" s="29">
        <f>G99*(1-H99)</f>
        <v/>
      </c>
      <c r="J99" s="30" t="n">
        <v>202.27</v>
      </c>
      <c r="K99" s="31">
        <f>$G$5</f>
        <v/>
      </c>
      <c r="L99" s="32">
        <f>J99+K99</f>
        <v/>
      </c>
      <c r="M99" s="33" t="n">
        <v>0.41</v>
      </c>
      <c r="N99" s="34">
        <f>G99*M99</f>
        <v/>
      </c>
      <c r="O99" s="35" t="n">
        <v>67</v>
      </c>
      <c r="P99" s="34">
        <f>G99*$G$8</f>
        <v/>
      </c>
      <c r="Q99" s="35" t="n">
        <v>25</v>
      </c>
      <c r="R99" s="34">
        <f>G99*$G$4</f>
        <v/>
      </c>
      <c r="S99" s="34">
        <f>I99*$G$3</f>
        <v/>
      </c>
      <c r="T99" s="36" t="n">
        <v>0.9</v>
      </c>
      <c r="U99" s="35" t="n">
        <v>67</v>
      </c>
      <c r="V99" s="34">
        <f>U99*(1-T99)</f>
        <v/>
      </c>
      <c r="W99" s="37" t="n">
        <v>0.42</v>
      </c>
      <c r="X99" s="34">
        <f>$G$6*$G$7*W99</f>
        <v/>
      </c>
      <c r="Y99" s="32">
        <f>W99*($G$9+$G$10)</f>
        <v/>
      </c>
      <c r="Z99" s="33" t="n">
        <v>0.07000000000000001</v>
      </c>
      <c r="AA99" s="34">
        <f>G99*Z99</f>
        <v/>
      </c>
      <c r="AB99" s="36" t="n">
        <v>0.08</v>
      </c>
      <c r="AC99" s="34">
        <f>G99*AB99</f>
        <v/>
      </c>
      <c r="AD99" s="34">
        <f>AA99+AC99</f>
        <v/>
      </c>
      <c r="AE99" s="38">
        <f>AD99/G99</f>
        <v/>
      </c>
      <c r="AF99" s="39">
        <f>G99-N99-O99-P99-Q99-R99-S99-V99-X99-Y99-L99</f>
        <v/>
      </c>
      <c r="AG99" s="43">
        <f>AF99-AD99</f>
        <v/>
      </c>
      <c r="AH99" s="44">
        <f>AG99/G99</f>
        <v/>
      </c>
      <c r="AI99" s="45">
        <f>AG99/L99</f>
        <v/>
      </c>
      <c r="AJ99" s="34">
        <f>(O99+Q99+V99+X99+Y99+L99)/(1-(M99+$G$4+(1-H99)*$G$3+$G$8+Z99+AB99))</f>
        <v/>
      </c>
    </row>
    <row r="100">
      <c r="A100" s="12" t="inlineStr">
        <is>
          <t>JIGOTT - Collagen Healing Cream [100ml] / Крем для лица с коллагеном</t>
        </is>
      </c>
      <c r="B100" s="13" t="n"/>
      <c r="C100" s="13" t="n"/>
      <c r="D100" s="14" t="n"/>
      <c r="E100" s="14" t="n"/>
      <c r="F100" s="14" t="n"/>
      <c r="G100" s="14" t="n"/>
      <c r="H100" s="15" t="n"/>
      <c r="I100" s="16" t="n"/>
      <c r="J100" s="17" t="n"/>
      <c r="K100" s="17" t="n"/>
      <c r="L100" s="18" t="n"/>
      <c r="M100" s="19" t="n"/>
      <c r="N100" s="14" t="n"/>
      <c r="O100" s="14" t="n"/>
      <c r="P100" s="14" t="n"/>
      <c r="Q100" s="14" t="n"/>
      <c r="R100" s="14" t="n"/>
      <c r="S100" s="14" t="n"/>
      <c r="T100" s="20" t="n"/>
      <c r="U100" s="14" t="n"/>
      <c r="V100" s="14" t="n"/>
      <c r="W100" s="21" t="n"/>
      <c r="X100" s="14" t="n"/>
      <c r="Y100" s="18" t="n"/>
      <c r="Z100" s="19" t="n"/>
      <c r="AA100" s="14" t="n"/>
      <c r="AB100" s="20" t="n"/>
      <c r="AC100" s="14" t="n"/>
      <c r="AD100" s="14" t="n"/>
      <c r="AE100" s="22" t="n"/>
      <c r="AF100" s="23" t="n"/>
      <c r="AG100" s="14" t="n"/>
      <c r="AH100" s="20" t="n"/>
      <c r="AI100" s="20" t="n"/>
      <c r="AJ100" s="14" t="n"/>
    </row>
    <row r="101">
      <c r="A101" s="12" t="inlineStr">
        <is>
          <t>JIGOTT - Ассорти набор масок [27ml х 15]</t>
        </is>
      </c>
      <c r="B101" s="13" t="n"/>
      <c r="C101" s="13" t="n"/>
      <c r="D101" s="14" t="n"/>
      <c r="E101" s="14" t="n"/>
      <c r="F101" s="14" t="n"/>
      <c r="G101" s="14" t="n"/>
      <c r="H101" s="15" t="n"/>
      <c r="I101" s="16" t="n"/>
      <c r="J101" s="17" t="n"/>
      <c r="K101" s="17" t="n"/>
      <c r="L101" s="18" t="n"/>
      <c r="M101" s="19" t="n"/>
      <c r="N101" s="14" t="n"/>
      <c r="O101" s="14" t="n"/>
      <c r="P101" s="14" t="n"/>
      <c r="Q101" s="14" t="n"/>
      <c r="R101" s="14" t="n"/>
      <c r="S101" s="14" t="n"/>
      <c r="T101" s="20" t="n"/>
      <c r="U101" s="14" t="n"/>
      <c r="V101" s="14" t="n"/>
      <c r="W101" s="21" t="n"/>
      <c r="X101" s="14" t="n"/>
      <c r="Y101" s="18" t="n"/>
      <c r="Z101" s="19" t="n"/>
      <c r="AA101" s="14" t="n"/>
      <c r="AB101" s="20" t="n"/>
      <c r="AC101" s="14" t="n"/>
      <c r="AD101" s="14" t="n"/>
      <c r="AE101" s="22" t="n"/>
      <c r="AF101" s="23" t="n"/>
      <c r="AG101" s="14" t="n"/>
      <c r="AH101" s="20" t="n"/>
      <c r="AI101" s="20" t="n"/>
      <c r="AJ101" s="14" t="n"/>
    </row>
    <row r="102">
      <c r="A102" s="12" t="inlineStr">
        <is>
          <t>JIGOTT - Aloe Real Ampoule Mask [27ml] / Ампульная маска с экстрактом алое</t>
        </is>
      </c>
      <c r="B102" s="13" t="n"/>
      <c r="C102" s="13" t="n"/>
      <c r="D102" s="14" t="n"/>
      <c r="E102" s="14" t="n"/>
      <c r="F102" s="14" t="n"/>
      <c r="G102" s="14" t="n"/>
      <c r="H102" s="15" t="n"/>
      <c r="I102" s="16" t="n"/>
      <c r="J102" s="17" t="n"/>
      <c r="K102" s="17" t="n"/>
      <c r="L102" s="18" t="n"/>
      <c r="M102" s="19" t="n"/>
      <c r="N102" s="14" t="n"/>
      <c r="O102" s="14" t="n"/>
      <c r="P102" s="14" t="n"/>
      <c r="Q102" s="14" t="n"/>
      <c r="R102" s="14" t="n"/>
      <c r="S102" s="14" t="n"/>
      <c r="T102" s="20" t="n"/>
      <c r="U102" s="14" t="n"/>
      <c r="V102" s="14" t="n"/>
      <c r="W102" s="21" t="n"/>
      <c r="X102" s="14" t="n"/>
      <c r="Y102" s="18" t="n"/>
      <c r="Z102" s="19" t="n"/>
      <c r="AA102" s="14" t="n"/>
      <c r="AB102" s="20" t="n"/>
      <c r="AC102" s="14" t="n"/>
      <c r="AD102" s="14" t="n"/>
      <c r="AE102" s="22" t="n"/>
      <c r="AF102" s="23" t="n"/>
      <c r="AG102" s="14" t="n"/>
      <c r="AH102" s="20" t="n"/>
      <c r="AI102" s="20" t="n"/>
      <c r="AJ102" s="14" t="n"/>
    </row>
    <row r="103">
      <c r="A103" s="12" t="inlineStr">
        <is>
          <t>JIGOTT - Black Snail Real Ampoule Mask [27ml] / Ампульная маска с экстрактом слизи черной улитки</t>
        </is>
      </c>
      <c r="B103" s="13" t="n"/>
      <c r="C103" s="13" t="n"/>
      <c r="D103" s="14" t="n"/>
      <c r="E103" s="14" t="n"/>
      <c r="F103" s="14" t="n"/>
      <c r="G103" s="14" t="n"/>
      <c r="H103" s="15" t="n"/>
      <c r="I103" s="16" t="n"/>
      <c r="J103" s="17" t="n"/>
      <c r="K103" s="17" t="n"/>
      <c r="L103" s="18" t="n"/>
      <c r="M103" s="19" t="n"/>
      <c r="N103" s="14" t="n"/>
      <c r="O103" s="14" t="n"/>
      <c r="P103" s="14" t="n"/>
      <c r="Q103" s="14" t="n"/>
      <c r="R103" s="14" t="n"/>
      <c r="S103" s="14" t="n"/>
      <c r="T103" s="20" t="n"/>
      <c r="U103" s="14" t="n"/>
      <c r="V103" s="14" t="n"/>
      <c r="W103" s="21" t="n"/>
      <c r="X103" s="14" t="n"/>
      <c r="Y103" s="18" t="n"/>
      <c r="Z103" s="19" t="n"/>
      <c r="AA103" s="14" t="n"/>
      <c r="AB103" s="20" t="n"/>
      <c r="AC103" s="14" t="n"/>
      <c r="AD103" s="14" t="n"/>
      <c r="AE103" s="22" t="n"/>
      <c r="AF103" s="23" t="n"/>
      <c r="AG103" s="14" t="n"/>
      <c r="AH103" s="20" t="n"/>
      <c r="AI103" s="20" t="n"/>
      <c r="AJ103" s="14" t="n"/>
    </row>
    <row r="104">
      <c r="A104" s="12" t="inlineStr">
        <is>
          <t>JIGOTT - Camellia Real Ampoule Mask [27ml] / Ампульная маска с экстрактом камелии</t>
        </is>
      </c>
      <c r="B104" s="13" t="n"/>
      <c r="C104" s="13" t="n"/>
      <c r="D104" s="14" t="n"/>
      <c r="E104" s="14" t="n"/>
      <c r="F104" s="14" t="n"/>
      <c r="G104" s="14" t="n"/>
      <c r="H104" s="15" t="n"/>
      <c r="I104" s="16" t="n"/>
      <c r="J104" s="17" t="n"/>
      <c r="K104" s="17" t="n"/>
      <c r="L104" s="18" t="n"/>
      <c r="M104" s="19" t="n"/>
      <c r="N104" s="14" t="n"/>
      <c r="O104" s="14" t="n"/>
      <c r="P104" s="14" t="n"/>
      <c r="Q104" s="14" t="n"/>
      <c r="R104" s="14" t="n"/>
      <c r="S104" s="14" t="n"/>
      <c r="T104" s="20" t="n"/>
      <c r="U104" s="14" t="n"/>
      <c r="V104" s="14" t="n"/>
      <c r="W104" s="21" t="n"/>
      <c r="X104" s="14" t="n"/>
      <c r="Y104" s="18" t="n"/>
      <c r="Z104" s="19" t="n"/>
      <c r="AA104" s="14" t="n"/>
      <c r="AB104" s="20" t="n"/>
      <c r="AC104" s="14" t="n"/>
      <c r="AD104" s="14" t="n"/>
      <c r="AE104" s="22" t="n"/>
      <c r="AF104" s="23" t="n"/>
      <c r="AG104" s="14" t="n"/>
      <c r="AH104" s="20" t="n"/>
      <c r="AI104" s="20" t="n"/>
      <c r="AJ104" s="14" t="n"/>
    </row>
    <row r="105">
      <c r="A105" s="12" t="inlineStr">
        <is>
          <t>JIGOTT - Caviar Real Ampoule Mask [27ml] / Ампульная маска с экстрактом икры</t>
        </is>
      </c>
      <c r="B105" s="13" t="n"/>
      <c r="C105" s="13" t="n"/>
      <c r="D105" s="14" t="n"/>
      <c r="E105" s="14" t="n"/>
      <c r="F105" s="14" t="n"/>
      <c r="G105" s="14" t="n"/>
      <c r="H105" s="15" t="n"/>
      <c r="I105" s="16" t="n"/>
      <c r="J105" s="17" t="n"/>
      <c r="K105" s="17" t="n"/>
      <c r="L105" s="18" t="n"/>
      <c r="M105" s="19" t="n"/>
      <c r="N105" s="14" t="n"/>
      <c r="O105" s="14" t="n"/>
      <c r="P105" s="14" t="n"/>
      <c r="Q105" s="14" t="n"/>
      <c r="R105" s="14" t="n"/>
      <c r="S105" s="14" t="n"/>
      <c r="T105" s="20" t="n"/>
      <c r="U105" s="14" t="n"/>
      <c r="V105" s="14" t="n"/>
      <c r="W105" s="21" t="n"/>
      <c r="X105" s="14" t="n"/>
      <c r="Y105" s="18" t="n"/>
      <c r="Z105" s="19" t="n"/>
      <c r="AA105" s="14" t="n"/>
      <c r="AB105" s="20" t="n"/>
      <c r="AC105" s="14" t="n"/>
      <c r="AD105" s="14" t="n"/>
      <c r="AE105" s="22" t="n"/>
      <c r="AF105" s="23" t="n"/>
      <c r="AG105" s="14" t="n"/>
      <c r="AH105" s="20" t="n"/>
      <c r="AI105" s="20" t="n"/>
      <c r="AJ105" s="14" t="n"/>
    </row>
    <row r="106">
      <c r="A106" s="12" t="inlineStr">
        <is>
          <t>JIGOTT - Collagen Real Ampoule Mask [27ml] / Ампульная маска с коллагеном</t>
        </is>
      </c>
      <c r="B106" s="13" t="n"/>
      <c r="C106" s="13" t="n"/>
      <c r="D106" s="14" t="n"/>
      <c r="E106" s="14" t="n"/>
      <c r="F106" s="14" t="n"/>
      <c r="G106" s="14" t="n"/>
      <c r="H106" s="15" t="n"/>
      <c r="I106" s="16" t="n"/>
      <c r="J106" s="17" t="n"/>
      <c r="K106" s="17" t="n"/>
      <c r="L106" s="18" t="n"/>
      <c r="M106" s="19" t="n"/>
      <c r="N106" s="14" t="n"/>
      <c r="O106" s="14" t="n"/>
      <c r="P106" s="14" t="n"/>
      <c r="Q106" s="14" t="n"/>
      <c r="R106" s="14" t="n"/>
      <c r="S106" s="14" t="n"/>
      <c r="T106" s="20" t="n"/>
      <c r="U106" s="14" t="n"/>
      <c r="V106" s="14" t="n"/>
      <c r="W106" s="21" t="n"/>
      <c r="X106" s="14" t="n"/>
      <c r="Y106" s="18" t="n"/>
      <c r="Z106" s="19" t="n"/>
      <c r="AA106" s="14" t="n"/>
      <c r="AB106" s="20" t="n"/>
      <c r="AC106" s="14" t="n"/>
      <c r="AD106" s="14" t="n"/>
      <c r="AE106" s="22" t="n"/>
      <c r="AF106" s="23" t="n"/>
      <c r="AG106" s="14" t="n"/>
      <c r="AH106" s="20" t="n"/>
      <c r="AI106" s="20" t="n"/>
      <c r="AJ106" s="14" t="n"/>
    </row>
    <row r="107">
      <c r="A107" s="12" t="inlineStr">
        <is>
          <t>JIGOTT - Cucumber Real Ampoule Mask [27ml] / Тканевая маска с экстрактом огурца</t>
        </is>
      </c>
      <c r="B107" s="13" t="n"/>
      <c r="C107" s="13" t="n"/>
      <c r="D107" s="14" t="n"/>
      <c r="E107" s="14" t="n"/>
      <c r="F107" s="14" t="n"/>
      <c r="G107" s="14" t="n"/>
      <c r="H107" s="15" t="n"/>
      <c r="I107" s="16" t="n"/>
      <c r="J107" s="17" t="n"/>
      <c r="K107" s="17" t="n"/>
      <c r="L107" s="18" t="n"/>
      <c r="M107" s="19" t="n"/>
      <c r="N107" s="14" t="n"/>
      <c r="O107" s="14" t="n"/>
      <c r="P107" s="14" t="n"/>
      <c r="Q107" s="14" t="n"/>
      <c r="R107" s="14" t="n"/>
      <c r="S107" s="14" t="n"/>
      <c r="T107" s="20" t="n"/>
      <c r="U107" s="14" t="n"/>
      <c r="V107" s="14" t="n"/>
      <c r="W107" s="21" t="n"/>
      <c r="X107" s="14" t="n"/>
      <c r="Y107" s="18" t="n"/>
      <c r="Z107" s="19" t="n"/>
      <c r="AA107" s="14" t="n"/>
      <c r="AB107" s="20" t="n"/>
      <c r="AC107" s="14" t="n"/>
      <c r="AD107" s="14" t="n"/>
      <c r="AE107" s="22" t="n"/>
      <c r="AF107" s="23" t="n"/>
      <c r="AG107" s="14" t="n"/>
      <c r="AH107" s="20" t="n"/>
      <c r="AI107" s="20" t="n"/>
      <c r="AJ107" s="14" t="n"/>
    </row>
    <row r="108">
      <c r="A108" s="12" t="inlineStr">
        <is>
          <t>JIGOTT - Green Tea Real Ampoule Mask [27ml] / Ампульная маска с экстрактом зеленого чая</t>
        </is>
      </c>
      <c r="B108" s="13" t="n"/>
      <c r="C108" s="13" t="n"/>
      <c r="D108" s="14" t="n"/>
      <c r="E108" s="14" t="n"/>
      <c r="F108" s="14" t="n"/>
      <c r="G108" s="14" t="n"/>
      <c r="H108" s="15" t="n"/>
      <c r="I108" s="16" t="n"/>
      <c r="J108" s="17" t="n"/>
      <c r="K108" s="17" t="n"/>
      <c r="L108" s="18" t="n"/>
      <c r="M108" s="19" t="n"/>
      <c r="N108" s="14" t="n"/>
      <c r="O108" s="14" t="n"/>
      <c r="P108" s="14" t="n"/>
      <c r="Q108" s="14" t="n"/>
      <c r="R108" s="14" t="n"/>
      <c r="S108" s="14" t="n"/>
      <c r="T108" s="20" t="n"/>
      <c r="U108" s="14" t="n"/>
      <c r="V108" s="14" t="n"/>
      <c r="W108" s="21" t="n"/>
      <c r="X108" s="14" t="n"/>
      <c r="Y108" s="18" t="n"/>
      <c r="Z108" s="19" t="n"/>
      <c r="AA108" s="14" t="n"/>
      <c r="AB108" s="20" t="n"/>
      <c r="AC108" s="14" t="n"/>
      <c r="AD108" s="14" t="n"/>
      <c r="AE108" s="22" t="n"/>
      <c r="AF108" s="23" t="n"/>
      <c r="AG108" s="14" t="n"/>
      <c r="AH108" s="20" t="n"/>
      <c r="AI108" s="20" t="n"/>
      <c r="AJ108" s="14" t="n"/>
    </row>
    <row r="109">
      <c r="A109" s="12" t="inlineStr">
        <is>
          <t>JIGOTT - Honey Real Ampoule Mask [27ml] / Ампульная маска с экстрактом меда</t>
        </is>
      </c>
      <c r="B109" s="13" t="n"/>
      <c r="C109" s="13" t="n"/>
      <c r="D109" s="14" t="n"/>
      <c r="E109" s="14" t="n"/>
      <c r="F109" s="14" t="n"/>
      <c r="G109" s="14" t="n"/>
      <c r="H109" s="15" t="n"/>
      <c r="I109" s="16" t="n"/>
      <c r="J109" s="17" t="n"/>
      <c r="K109" s="17" t="n"/>
      <c r="L109" s="18" t="n"/>
      <c r="M109" s="19" t="n"/>
      <c r="N109" s="14" t="n"/>
      <c r="O109" s="14" t="n"/>
      <c r="P109" s="14" t="n"/>
      <c r="Q109" s="14" t="n"/>
      <c r="R109" s="14" t="n"/>
      <c r="S109" s="14" t="n"/>
      <c r="T109" s="20" t="n"/>
      <c r="U109" s="14" t="n"/>
      <c r="V109" s="14" t="n"/>
      <c r="W109" s="21" t="n"/>
      <c r="X109" s="14" t="n"/>
      <c r="Y109" s="18" t="n"/>
      <c r="Z109" s="19" t="n"/>
      <c r="AA109" s="14" t="n"/>
      <c r="AB109" s="20" t="n"/>
      <c r="AC109" s="14" t="n"/>
      <c r="AD109" s="14" t="n"/>
      <c r="AE109" s="22" t="n"/>
      <c r="AF109" s="23" t="n"/>
      <c r="AG109" s="14" t="n"/>
      <c r="AH109" s="20" t="n"/>
      <c r="AI109" s="20" t="n"/>
      <c r="AJ109" s="14" t="n"/>
    </row>
    <row r="110">
      <c r="A110" s="12" t="inlineStr">
        <is>
          <t>JIGOTT - Hyaluronic Acid Real Ampoule Mask [27ml] / Ампульная маска с гиалуроновой кислотой</t>
        </is>
      </c>
      <c r="B110" s="13" t="n"/>
      <c r="C110" s="13" t="n"/>
      <c r="D110" s="14" t="n"/>
      <c r="E110" s="14" t="n"/>
      <c r="F110" s="14" t="n"/>
      <c r="G110" s="14" t="n"/>
      <c r="H110" s="15" t="n"/>
      <c r="I110" s="16" t="n"/>
      <c r="J110" s="17" t="n"/>
      <c r="K110" s="17" t="n"/>
      <c r="L110" s="18" t="n"/>
      <c r="M110" s="19" t="n"/>
      <c r="N110" s="14" t="n"/>
      <c r="O110" s="14" t="n"/>
      <c r="P110" s="14" t="n"/>
      <c r="Q110" s="14" t="n"/>
      <c r="R110" s="14" t="n"/>
      <c r="S110" s="14" t="n"/>
      <c r="T110" s="20" t="n"/>
      <c r="U110" s="14" t="n"/>
      <c r="V110" s="14" t="n"/>
      <c r="W110" s="21" t="n"/>
      <c r="X110" s="14" t="n"/>
      <c r="Y110" s="18" t="n"/>
      <c r="Z110" s="19" t="n"/>
      <c r="AA110" s="14" t="n"/>
      <c r="AB110" s="20" t="n"/>
      <c r="AC110" s="14" t="n"/>
      <c r="AD110" s="14" t="n"/>
      <c r="AE110" s="22" t="n"/>
      <c r="AF110" s="23" t="n"/>
      <c r="AG110" s="14" t="n"/>
      <c r="AH110" s="20" t="n"/>
      <c r="AI110" s="20" t="n"/>
      <c r="AJ110" s="14" t="n"/>
    </row>
    <row r="111">
      <c r="A111" s="12" t="inlineStr">
        <is>
          <t>JIGOTT - Lotus Real Ampoule Mask [27ml] / Ампульная маска с экстрактом лотоса</t>
        </is>
      </c>
      <c r="B111" s="13" t="n"/>
      <c r="C111" s="13" t="n"/>
      <c r="D111" s="14" t="n"/>
      <c r="E111" s="14" t="n"/>
      <c r="F111" s="14" t="n"/>
      <c r="G111" s="14" t="n"/>
      <c r="H111" s="15" t="n"/>
      <c r="I111" s="16" t="n"/>
      <c r="J111" s="17" t="n"/>
      <c r="K111" s="17" t="n"/>
      <c r="L111" s="18" t="n"/>
      <c r="M111" s="19" t="n"/>
      <c r="N111" s="14" t="n"/>
      <c r="O111" s="14" t="n"/>
      <c r="P111" s="14" t="n"/>
      <c r="Q111" s="14" t="n"/>
      <c r="R111" s="14" t="n"/>
      <c r="S111" s="14" t="n"/>
      <c r="T111" s="20" t="n"/>
      <c r="U111" s="14" t="n"/>
      <c r="V111" s="14" t="n"/>
      <c r="W111" s="21" t="n"/>
      <c r="X111" s="14" t="n"/>
      <c r="Y111" s="18" t="n"/>
      <c r="Z111" s="19" t="n"/>
      <c r="AA111" s="14" t="n"/>
      <c r="AB111" s="20" t="n"/>
      <c r="AC111" s="14" t="n"/>
      <c r="AD111" s="14" t="n"/>
      <c r="AE111" s="22" t="n"/>
      <c r="AF111" s="23" t="n"/>
      <c r="AG111" s="14" t="n"/>
      <c r="AH111" s="20" t="n"/>
      <c r="AI111" s="20" t="n"/>
      <c r="AJ111" s="14" t="n"/>
    </row>
    <row r="112">
      <c r="A112" s="12" t="inlineStr">
        <is>
          <t>JIGOTT - Pearl Real Ampoule Mask [27ml] / ампульная маска для лица с жемчугом</t>
        </is>
      </c>
      <c r="B112" s="13" t="n"/>
      <c r="C112" s="13" t="n"/>
      <c r="D112" s="14" t="n"/>
      <c r="E112" s="14" t="n"/>
      <c r="F112" s="14" t="n"/>
      <c r="G112" s="14" t="n"/>
      <c r="H112" s="15" t="n"/>
      <c r="I112" s="16" t="n"/>
      <c r="J112" s="17" t="n"/>
      <c r="K112" s="17" t="n"/>
      <c r="L112" s="18" t="n"/>
      <c r="M112" s="19" t="n"/>
      <c r="N112" s="14" t="n"/>
      <c r="O112" s="14" t="n"/>
      <c r="P112" s="14" t="n"/>
      <c r="Q112" s="14" t="n"/>
      <c r="R112" s="14" t="n"/>
      <c r="S112" s="14" t="n"/>
      <c r="T112" s="20" t="n"/>
      <c r="U112" s="14" t="n"/>
      <c r="V112" s="14" t="n"/>
      <c r="W112" s="21" t="n"/>
      <c r="X112" s="14" t="n"/>
      <c r="Y112" s="18" t="n"/>
      <c r="Z112" s="19" t="n"/>
      <c r="AA112" s="14" t="n"/>
      <c r="AB112" s="20" t="n"/>
      <c r="AC112" s="14" t="n"/>
      <c r="AD112" s="14" t="n"/>
      <c r="AE112" s="22" t="n"/>
      <c r="AF112" s="23" t="n"/>
      <c r="AG112" s="14" t="n"/>
      <c r="AH112" s="20" t="n"/>
      <c r="AI112" s="20" t="n"/>
      <c r="AJ112" s="14" t="n"/>
    </row>
    <row r="113">
      <c r="A113" s="12" t="inlineStr">
        <is>
          <t>JIGOTT - Placenta Real Ampoule Mask [27ml] / Ампульная маска с плацентой</t>
        </is>
      </c>
      <c r="B113" s="13" t="n"/>
      <c r="C113" s="13" t="n"/>
      <c r="D113" s="14" t="n"/>
      <c r="E113" s="14" t="n"/>
      <c r="F113" s="14" t="n"/>
      <c r="G113" s="14" t="n"/>
      <c r="H113" s="15" t="n"/>
      <c r="I113" s="16" t="n"/>
      <c r="J113" s="17" t="n"/>
      <c r="K113" s="17" t="n"/>
      <c r="L113" s="18" t="n"/>
      <c r="M113" s="19" t="n"/>
      <c r="N113" s="14" t="n"/>
      <c r="O113" s="14" t="n"/>
      <c r="P113" s="14" t="n"/>
      <c r="Q113" s="14" t="n"/>
      <c r="R113" s="14" t="n"/>
      <c r="S113" s="14" t="n"/>
      <c r="T113" s="20" t="n"/>
      <c r="U113" s="14" t="n"/>
      <c r="V113" s="14" t="n"/>
      <c r="W113" s="21" t="n"/>
      <c r="X113" s="14" t="n"/>
      <c r="Y113" s="18" t="n"/>
      <c r="Z113" s="19" t="n"/>
      <c r="AA113" s="14" t="n"/>
      <c r="AB113" s="20" t="n"/>
      <c r="AC113" s="14" t="n"/>
      <c r="AD113" s="14" t="n"/>
      <c r="AE113" s="22" t="n"/>
      <c r="AF113" s="23" t="n"/>
      <c r="AG113" s="14" t="n"/>
      <c r="AH113" s="20" t="n"/>
      <c r="AI113" s="20" t="n"/>
      <c r="AJ113" s="14" t="n"/>
    </row>
    <row r="114">
      <c r="A114" s="12" t="inlineStr">
        <is>
          <t>JIGOTT - Pomegranate Real Ampoule Mask [27ml] / Ампульная маска с экстрактом граната</t>
        </is>
      </c>
      <c r="B114" s="13" t="n"/>
      <c r="C114" s="13" t="n"/>
      <c r="D114" s="14" t="n"/>
      <c r="E114" s="14" t="n"/>
      <c r="F114" s="14" t="n"/>
      <c r="G114" s="14" t="n"/>
      <c r="H114" s="15" t="n"/>
      <c r="I114" s="16" t="n"/>
      <c r="J114" s="17" t="n"/>
      <c r="K114" s="17" t="n"/>
      <c r="L114" s="18" t="n"/>
      <c r="M114" s="19" t="n"/>
      <c r="N114" s="14" t="n"/>
      <c r="O114" s="14" t="n"/>
      <c r="P114" s="14" t="n"/>
      <c r="Q114" s="14" t="n"/>
      <c r="R114" s="14" t="n"/>
      <c r="S114" s="14" t="n"/>
      <c r="T114" s="20" t="n"/>
      <c r="U114" s="14" t="n"/>
      <c r="V114" s="14" t="n"/>
      <c r="W114" s="21" t="n"/>
      <c r="X114" s="14" t="n"/>
      <c r="Y114" s="18" t="n"/>
      <c r="Z114" s="19" t="n"/>
      <c r="AA114" s="14" t="n"/>
      <c r="AB114" s="20" t="n"/>
      <c r="AC114" s="14" t="n"/>
      <c r="AD114" s="14" t="n"/>
      <c r="AE114" s="22" t="n"/>
      <c r="AF114" s="23" t="n"/>
      <c r="AG114" s="14" t="n"/>
      <c r="AH114" s="20" t="n"/>
      <c r="AI114" s="20" t="n"/>
      <c r="AJ114" s="14" t="n"/>
    </row>
    <row r="115">
      <c r="A115" s="12" t="inlineStr">
        <is>
          <t>JIGOTT - Potato Real Ampoule Mask [27ml] / Ампульная маска с экстрактом картофеля</t>
        </is>
      </c>
      <c r="B115" s="13" t="n"/>
      <c r="C115" s="13" t="n"/>
      <c r="D115" s="14" t="n"/>
      <c r="E115" s="14" t="n"/>
      <c r="F115" s="14" t="n"/>
      <c r="G115" s="14" t="n"/>
      <c r="H115" s="15" t="n"/>
      <c r="I115" s="16" t="n"/>
      <c r="J115" s="17" t="n"/>
      <c r="K115" s="17" t="n"/>
      <c r="L115" s="18" t="n"/>
      <c r="M115" s="19" t="n"/>
      <c r="N115" s="14" t="n"/>
      <c r="O115" s="14" t="n"/>
      <c r="P115" s="14" t="n"/>
      <c r="Q115" s="14" t="n"/>
      <c r="R115" s="14" t="n"/>
      <c r="S115" s="14" t="n"/>
      <c r="T115" s="20" t="n"/>
      <c r="U115" s="14" t="n"/>
      <c r="V115" s="14" t="n"/>
      <c r="W115" s="21" t="n"/>
      <c r="X115" s="14" t="n"/>
      <c r="Y115" s="18" t="n"/>
      <c r="Z115" s="19" t="n"/>
      <c r="AA115" s="14" t="n"/>
      <c r="AB115" s="20" t="n"/>
      <c r="AC115" s="14" t="n"/>
      <c r="AD115" s="14" t="n"/>
      <c r="AE115" s="22" t="n"/>
      <c r="AF115" s="23" t="n"/>
      <c r="AG115" s="14" t="n"/>
      <c r="AH115" s="20" t="n"/>
      <c r="AI115" s="20" t="n"/>
      <c r="AJ115" s="14" t="n"/>
    </row>
    <row r="116">
      <c r="A116" s="12" t="inlineStr">
        <is>
          <t>JIGOTT - Red Ginseng Real Ampoule Mask [27ml] / Ампульная маска с красным женьшенем</t>
        </is>
      </c>
      <c r="B116" s="13" t="n"/>
      <c r="C116" s="13" t="n"/>
      <c r="D116" s="14" t="n"/>
      <c r="E116" s="14" t="n"/>
      <c r="F116" s="14" t="n"/>
      <c r="G116" s="14" t="n"/>
      <c r="H116" s="15" t="n"/>
      <c r="I116" s="16" t="n"/>
      <c r="J116" s="17" t="n"/>
      <c r="K116" s="17" t="n"/>
      <c r="L116" s="18" t="n"/>
      <c r="M116" s="19" t="n"/>
      <c r="N116" s="14" t="n"/>
      <c r="O116" s="14" t="n"/>
      <c r="P116" s="14" t="n"/>
      <c r="Q116" s="14" t="n"/>
      <c r="R116" s="14" t="n"/>
      <c r="S116" s="14" t="n"/>
      <c r="T116" s="20" t="n"/>
      <c r="U116" s="14" t="n"/>
      <c r="V116" s="14" t="n"/>
      <c r="W116" s="21" t="n"/>
      <c r="X116" s="14" t="n"/>
      <c r="Y116" s="18" t="n"/>
      <c r="Z116" s="19" t="n"/>
      <c r="AA116" s="14" t="n"/>
      <c r="AB116" s="20" t="n"/>
      <c r="AC116" s="14" t="n"/>
      <c r="AD116" s="14" t="n"/>
      <c r="AE116" s="22" t="n"/>
      <c r="AF116" s="23" t="n"/>
      <c r="AG116" s="14" t="n"/>
      <c r="AH116" s="20" t="n"/>
      <c r="AI116" s="20" t="n"/>
      <c r="AJ116" s="14" t="n"/>
    </row>
    <row r="117">
      <c r="A117" s="12" t="inlineStr">
        <is>
          <t>JIGOTT - Vitamin Real Ampoule Mask [27ml] / Ампульная маска с витаминами</t>
        </is>
      </c>
      <c r="B117" s="13" t="n"/>
      <c r="C117" s="13" t="n"/>
      <c r="D117" s="14" t="n"/>
      <c r="E117" s="14" t="n"/>
      <c r="F117" s="14" t="n"/>
      <c r="G117" s="14" t="n"/>
      <c r="H117" s="15" t="n"/>
      <c r="I117" s="16" t="n"/>
      <c r="J117" s="17" t="n"/>
      <c r="K117" s="17" t="n"/>
      <c r="L117" s="18" t="n"/>
      <c r="M117" s="19" t="n"/>
      <c r="N117" s="14" t="n"/>
      <c r="O117" s="14" t="n"/>
      <c r="P117" s="14" t="n"/>
      <c r="Q117" s="14" t="n"/>
      <c r="R117" s="14" t="n"/>
      <c r="S117" s="14" t="n"/>
      <c r="T117" s="20" t="n"/>
      <c r="U117" s="14" t="n"/>
      <c r="V117" s="14" t="n"/>
      <c r="W117" s="21" t="n"/>
      <c r="X117" s="14" t="n"/>
      <c r="Y117" s="18" t="n"/>
      <c r="Z117" s="19" t="n"/>
      <c r="AA117" s="14" t="n"/>
      <c r="AB117" s="20" t="n"/>
      <c r="AC117" s="14" t="n"/>
      <c r="AD117" s="14" t="n"/>
      <c r="AE117" s="22" t="n"/>
      <c r="AF117" s="23" t="n"/>
      <c r="AG117" s="14" t="n"/>
      <c r="AH117" s="20" t="n"/>
      <c r="AI117" s="20" t="n"/>
      <c r="AJ117" s="14" t="n"/>
    </row>
    <row r="118">
      <c r="A118" s="24" t="inlineStr">
        <is>
          <t>JIGOTT - Ultimate Real Collagen Toner [300ml] / тонер с коллагеном антивозрастной</t>
        </is>
      </c>
      <c r="B118" s="25" t="n"/>
      <c r="C118" s="26" t="n"/>
      <c r="D118" s="27" t="n">
        <v>1140</v>
      </c>
      <c r="E118" s="27" t="n">
        <v>131</v>
      </c>
      <c r="F118" s="27" t="n">
        <v>0</v>
      </c>
      <c r="G118" s="27" t="n">
        <v>960</v>
      </c>
      <c r="H118" s="28" t="n">
        <v>0.45</v>
      </c>
      <c r="I118" s="29">
        <f>G118*(1-H118)</f>
        <v/>
      </c>
      <c r="J118" s="30" t="n">
        <v>265.36</v>
      </c>
      <c r="K118" s="31">
        <f>$G$5</f>
        <v/>
      </c>
      <c r="L118" s="32">
        <f>J118+K118</f>
        <v/>
      </c>
      <c r="M118" s="33" t="n">
        <v>0.41</v>
      </c>
      <c r="N118" s="34">
        <f>G118*M118</f>
        <v/>
      </c>
      <c r="O118" s="35" t="n">
        <v>67</v>
      </c>
      <c r="P118" s="34">
        <f>G118*$G$8</f>
        <v/>
      </c>
      <c r="Q118" s="35" t="n">
        <v>25</v>
      </c>
      <c r="R118" s="34">
        <f>G118*$G$4</f>
        <v/>
      </c>
      <c r="S118" s="34">
        <f>I118*$G$3</f>
        <v/>
      </c>
      <c r="T118" s="36" t="n">
        <v>0.9</v>
      </c>
      <c r="U118" s="35" t="n">
        <v>67</v>
      </c>
      <c r="V118" s="34">
        <f>U118*(1-T118)</f>
        <v/>
      </c>
      <c r="W118" s="37" t="n">
        <v>0.93</v>
      </c>
      <c r="X118" s="34">
        <f>$G$6*$G$7*W118</f>
        <v/>
      </c>
      <c r="Y118" s="32">
        <f>W118*($G$9+$G$10)</f>
        <v/>
      </c>
      <c r="Z118" s="33" t="n">
        <v>0.07000000000000001</v>
      </c>
      <c r="AA118" s="34">
        <f>G118*Z118</f>
        <v/>
      </c>
      <c r="AB118" s="36" t="n">
        <v>0.08</v>
      </c>
      <c r="AC118" s="34">
        <f>G118*AB118</f>
        <v/>
      </c>
      <c r="AD118" s="34">
        <f>AA118+AC118</f>
        <v/>
      </c>
      <c r="AE118" s="38">
        <f>AD118/G118</f>
        <v/>
      </c>
      <c r="AF118" s="39">
        <f>G118-N118-O118-P118-Q118-R118-S118-V118-X118-Y118-L118</f>
        <v/>
      </c>
      <c r="AG118" s="43">
        <f>AF118-AD118</f>
        <v/>
      </c>
      <c r="AH118" s="44">
        <f>AG118/G118</f>
        <v/>
      </c>
      <c r="AI118" s="45">
        <f>AG118/L118</f>
        <v/>
      </c>
      <c r="AJ118" s="34">
        <f>(O118+Q118+V118+X118+Y118+L118)/(1-(M118+$G$4+(1-H118)*$G$3+$G$8+Z118+AB118))</f>
        <v/>
      </c>
    </row>
    <row r="119">
      <c r="A119" s="24" t="inlineStr">
        <is>
          <t>JIGOTT - Daily Real Cica Toner [300ml] / Тонер для лица с центеллой азиатской</t>
        </is>
      </c>
      <c r="B119" s="25" t="n"/>
      <c r="C119" s="26" t="n"/>
      <c r="D119" s="27" t="n">
        <v>1140</v>
      </c>
      <c r="E119" s="27" t="n">
        <v>191</v>
      </c>
      <c r="F119" s="27" t="n">
        <v>0</v>
      </c>
      <c r="G119" s="27" t="n">
        <v>960</v>
      </c>
      <c r="H119" s="28" t="n">
        <v>0.45</v>
      </c>
      <c r="I119" s="29">
        <f>G119*(1-H119)</f>
        <v/>
      </c>
      <c r="J119" s="30" t="n">
        <v>265.36</v>
      </c>
      <c r="K119" s="31">
        <f>$G$5</f>
        <v/>
      </c>
      <c r="L119" s="32">
        <f>J119+K119</f>
        <v/>
      </c>
      <c r="M119" s="33" t="n">
        <v>0.41</v>
      </c>
      <c r="N119" s="34">
        <f>G119*M119</f>
        <v/>
      </c>
      <c r="O119" s="35" t="n">
        <v>67</v>
      </c>
      <c r="P119" s="34">
        <f>G119*$G$8</f>
        <v/>
      </c>
      <c r="Q119" s="35" t="n">
        <v>25</v>
      </c>
      <c r="R119" s="34">
        <f>G119*$G$4</f>
        <v/>
      </c>
      <c r="S119" s="34">
        <f>I119*$G$3</f>
        <v/>
      </c>
      <c r="T119" s="36" t="n">
        <v>0.9</v>
      </c>
      <c r="U119" s="35" t="n">
        <v>67</v>
      </c>
      <c r="V119" s="34">
        <f>U119*(1-T119)</f>
        <v/>
      </c>
      <c r="W119" s="37" t="n">
        <v>0.93</v>
      </c>
      <c r="X119" s="34">
        <f>$G$6*$G$7*W119</f>
        <v/>
      </c>
      <c r="Y119" s="32">
        <f>W119*($G$9+$G$10)</f>
        <v/>
      </c>
      <c r="Z119" s="33" t="n">
        <v>0.07000000000000001</v>
      </c>
      <c r="AA119" s="34">
        <f>G119*Z119</f>
        <v/>
      </c>
      <c r="AB119" s="36" t="n">
        <v>0.08</v>
      </c>
      <c r="AC119" s="34">
        <f>G119*AB119</f>
        <v/>
      </c>
      <c r="AD119" s="34">
        <f>AA119+AC119</f>
        <v/>
      </c>
      <c r="AE119" s="38">
        <f>AD119/G119</f>
        <v/>
      </c>
      <c r="AF119" s="39">
        <f>G119-N119-O119-P119-Q119-R119-S119-V119-X119-Y119-L119</f>
        <v/>
      </c>
      <c r="AG119" s="43">
        <f>AF119-AD119</f>
        <v/>
      </c>
      <c r="AH119" s="44">
        <f>AG119/G119</f>
        <v/>
      </c>
      <c r="AI119" s="45">
        <f>AG119/L119</f>
        <v/>
      </c>
      <c r="AJ119" s="34">
        <f>(O119+Q119+V119+X119+Y119+L119)/(1-(M119+$G$4+(1-H119)*$G$3+$G$8+Z119+AB119))</f>
        <v/>
      </c>
    </row>
    <row r="120">
      <c r="A120" s="24" t="inlineStr">
        <is>
          <t>JIGOTT - Aura Secret Hyaluronec Acid Toner [300ml] / Тонер с гиалуроновой кислотой антивозрастной</t>
        </is>
      </c>
      <c r="B120" s="25" t="n"/>
      <c r="C120" s="26" t="n"/>
      <c r="D120" s="27" t="n">
        <v>975</v>
      </c>
      <c r="E120" s="27" t="n">
        <v>77</v>
      </c>
      <c r="F120" s="27" t="n">
        <v>0</v>
      </c>
      <c r="G120" s="27" t="n">
        <v>900</v>
      </c>
      <c r="H120" s="28" t="n">
        <v>0.45</v>
      </c>
      <c r="I120" s="29">
        <f>G120*(1-H120)</f>
        <v/>
      </c>
      <c r="J120" s="30" t="n">
        <v>265.36</v>
      </c>
      <c r="K120" s="31">
        <f>$G$5</f>
        <v/>
      </c>
      <c r="L120" s="32">
        <f>J120+K120</f>
        <v/>
      </c>
      <c r="M120" s="33" t="n">
        <v>0.41</v>
      </c>
      <c r="N120" s="34">
        <f>G120*M120</f>
        <v/>
      </c>
      <c r="O120" s="35" t="n">
        <v>67</v>
      </c>
      <c r="P120" s="34">
        <f>G120*$G$8</f>
        <v/>
      </c>
      <c r="Q120" s="35" t="n">
        <v>25</v>
      </c>
      <c r="R120" s="34">
        <f>G120*$G$4</f>
        <v/>
      </c>
      <c r="S120" s="34">
        <f>I120*$G$3</f>
        <v/>
      </c>
      <c r="T120" s="36" t="n">
        <v>0.9</v>
      </c>
      <c r="U120" s="35" t="n">
        <v>67</v>
      </c>
      <c r="V120" s="34">
        <f>U120*(1-T120)</f>
        <v/>
      </c>
      <c r="W120" s="37" t="n">
        <v>0.93</v>
      </c>
      <c r="X120" s="34">
        <f>$G$6*$G$7*W120</f>
        <v/>
      </c>
      <c r="Y120" s="32">
        <f>W120*($G$9+$G$10)</f>
        <v/>
      </c>
      <c r="Z120" s="33" t="n">
        <v>0.07000000000000001</v>
      </c>
      <c r="AA120" s="34">
        <f>G120*Z120</f>
        <v/>
      </c>
      <c r="AB120" s="36" t="n">
        <v>0.08</v>
      </c>
      <c r="AC120" s="34">
        <f>G120*AB120</f>
        <v/>
      </c>
      <c r="AD120" s="34">
        <f>AA120+AC120</f>
        <v/>
      </c>
      <c r="AE120" s="38">
        <f>AD120/G120</f>
        <v/>
      </c>
      <c r="AF120" s="39">
        <f>G120-N120-O120-P120-Q120-R120-S120-V120-X120-Y120-L120</f>
        <v/>
      </c>
      <c r="AG120" s="43">
        <f>AF120-AD120</f>
        <v/>
      </c>
      <c r="AH120" s="44">
        <f>AG120/G120</f>
        <v/>
      </c>
      <c r="AI120" s="45">
        <f>AG120/L120</f>
        <v/>
      </c>
      <c r="AJ120" s="34">
        <f>(O120+Q120+V120+X120+Y120+L120)/(1-(M120+$G$4+(1-H120)*$G$3+$G$8+Z120+AB120))</f>
        <v/>
      </c>
    </row>
    <row r="121">
      <c r="A121" s="24" t="inlineStr">
        <is>
          <t>JIGOTT - Moisture Real Aloe Vera Toner [300ml] / Тонер для лица увлажняющий с экстрактом алоэ</t>
        </is>
      </c>
      <c r="B121" s="25" t="n"/>
      <c r="C121" s="26" t="n"/>
      <c r="D121" s="27" t="n">
        <v>1100</v>
      </c>
      <c r="E121" s="27" t="n">
        <v>169</v>
      </c>
      <c r="F121" s="27" t="n">
        <v>8</v>
      </c>
      <c r="G121" s="27" t="n">
        <v>1000</v>
      </c>
      <c r="H121" s="28" t="n">
        <v>0.45</v>
      </c>
      <c r="I121" s="29">
        <f>G121*(1-H121)</f>
        <v/>
      </c>
      <c r="J121" s="30" t="n">
        <v>265.36</v>
      </c>
      <c r="K121" s="31">
        <f>$G$5</f>
        <v/>
      </c>
      <c r="L121" s="32">
        <f>J121+K121</f>
        <v/>
      </c>
      <c r="M121" s="33" t="n">
        <v>0.41</v>
      </c>
      <c r="N121" s="34">
        <f>G121*M121</f>
        <v/>
      </c>
      <c r="O121" s="35" t="n">
        <v>67</v>
      </c>
      <c r="P121" s="34">
        <f>G121*$G$8</f>
        <v/>
      </c>
      <c r="Q121" s="35" t="n">
        <v>25</v>
      </c>
      <c r="R121" s="34">
        <f>G121*$G$4</f>
        <v/>
      </c>
      <c r="S121" s="34">
        <f>I121*$G$3</f>
        <v/>
      </c>
      <c r="T121" s="36" t="n">
        <v>0.9</v>
      </c>
      <c r="U121" s="35" t="n">
        <v>67</v>
      </c>
      <c r="V121" s="34">
        <f>U121*(1-T121)</f>
        <v/>
      </c>
      <c r="W121" s="37" t="n">
        <v>0.93</v>
      </c>
      <c r="X121" s="34">
        <f>$G$6*$G$7*W121</f>
        <v/>
      </c>
      <c r="Y121" s="32">
        <f>W121*($G$9+$G$10)</f>
        <v/>
      </c>
      <c r="Z121" s="33" t="n">
        <v>0.07000000000000001</v>
      </c>
      <c r="AA121" s="34">
        <f>G121*Z121</f>
        <v/>
      </c>
      <c r="AB121" s="36" t="n">
        <v>0.08</v>
      </c>
      <c r="AC121" s="34">
        <f>G121*AB121</f>
        <v/>
      </c>
      <c r="AD121" s="34">
        <f>AA121+AC121</f>
        <v/>
      </c>
      <c r="AE121" s="38">
        <f>AD121/G121</f>
        <v/>
      </c>
      <c r="AF121" s="39">
        <f>G121-N121-O121-P121-Q121-R121-S121-V121-X121-Y121-L121</f>
        <v/>
      </c>
      <c r="AG121" s="43">
        <f>AF121-AD121</f>
        <v/>
      </c>
      <c r="AH121" s="44">
        <f>AG121/G121</f>
        <v/>
      </c>
      <c r="AI121" s="45">
        <f>AG121/L121</f>
        <v/>
      </c>
      <c r="AJ121" s="34">
        <f>(O121+Q121+V121+X121+Y121+L121)/(1-(M121+$G$4+(1-H121)*$G$3+$G$8+Z121+AB121))</f>
        <v/>
      </c>
    </row>
    <row r="122">
      <c r="A122" s="24" t="inlineStr">
        <is>
          <t>JMSOLUTION - MASK PACK BLACK [30ml*10ea] - ассорти набор 10шт в упаковке</t>
        </is>
      </c>
      <c r="B122" s="25" t="n"/>
      <c r="C122" s="26" t="n"/>
      <c r="D122" s="27" t="n">
        <v>2340</v>
      </c>
      <c r="E122" s="27" t="inlineStr">
        <is>
          <t>51 (закончились)</t>
        </is>
      </c>
      <c r="F122" s="27" t="n">
        <v>4</v>
      </c>
      <c r="G122" s="27" t="n">
        <v>2086</v>
      </c>
      <c r="H122" s="28" t="n">
        <v>0.45</v>
      </c>
      <c r="I122" s="29">
        <f>G122*(1-H122)</f>
        <v/>
      </c>
      <c r="J122" s="30" t="n">
        <v>463.2</v>
      </c>
      <c r="K122" s="31">
        <f>$G$5</f>
        <v/>
      </c>
      <c r="L122" s="32">
        <f>J122+K122</f>
        <v/>
      </c>
      <c r="M122" s="33" t="n">
        <v>0.41</v>
      </c>
      <c r="N122" s="34">
        <f>G122*M122</f>
        <v/>
      </c>
      <c r="O122" s="35" t="n">
        <v>72</v>
      </c>
      <c r="P122" s="34">
        <f>G122*$G$8</f>
        <v/>
      </c>
      <c r="Q122" s="35" t="n">
        <v>25</v>
      </c>
      <c r="R122" s="34">
        <f>G122*$G$4</f>
        <v/>
      </c>
      <c r="S122" s="34">
        <f>I122*$G$3</f>
        <v/>
      </c>
      <c r="T122" s="36" t="n">
        <v>0.9</v>
      </c>
      <c r="U122" s="35" t="n">
        <v>72</v>
      </c>
      <c r="V122" s="34">
        <f>U122*(1-T122)</f>
        <v/>
      </c>
      <c r="W122" s="37" t="n">
        <v>1.25</v>
      </c>
      <c r="X122" s="34">
        <f>$G$6*$G$7*W122</f>
        <v/>
      </c>
      <c r="Y122" s="32">
        <f>W122*($G$9+$G$10)</f>
        <v/>
      </c>
      <c r="Z122" s="33" t="n">
        <v>0.07000000000000001</v>
      </c>
      <c r="AA122" s="34">
        <f>G122*Z122</f>
        <v/>
      </c>
      <c r="AB122" s="36" t="n">
        <v>0.08</v>
      </c>
      <c r="AC122" s="34">
        <f>G122*AB122</f>
        <v/>
      </c>
      <c r="AD122" s="34">
        <f>AA122+AC122</f>
        <v/>
      </c>
      <c r="AE122" s="38">
        <f>AD122/G122</f>
        <v/>
      </c>
      <c r="AF122" s="39">
        <f>G122-N122-O122-P122-Q122-R122-S122-V122-X122-Y122-L122</f>
        <v/>
      </c>
      <c r="AG122" s="40">
        <f>AF122-AD122</f>
        <v/>
      </c>
      <c r="AH122" s="41">
        <f>AG122/G122</f>
        <v/>
      </c>
      <c r="AI122" s="42">
        <f>AG122/L122</f>
        <v/>
      </c>
      <c r="AJ122" s="34">
        <f>(O122+Q122+V122+X122+Y122+L122)/(1-(M122+$G$4+(1-H122)*$G$3+$G$8+Z122+AB122))</f>
        <v/>
      </c>
    </row>
    <row r="123">
      <c r="A123" s="12" t="inlineStr">
        <is>
          <t>JMSOLUTION - MASK PACK BLACK [30ml*7ea] - ассорти набор из 7шт</t>
        </is>
      </c>
      <c r="B123" s="13" t="n"/>
      <c r="C123" s="13" t="n"/>
      <c r="D123" s="14" t="n"/>
      <c r="E123" s="14" t="n"/>
      <c r="F123" s="14" t="n"/>
      <c r="G123" s="14" t="n"/>
      <c r="H123" s="15" t="n"/>
      <c r="I123" s="16" t="n"/>
      <c r="J123" s="17" t="n"/>
      <c r="K123" s="17" t="n"/>
      <c r="L123" s="18" t="n"/>
      <c r="M123" s="19" t="n"/>
      <c r="N123" s="14" t="n"/>
      <c r="O123" s="14" t="n"/>
      <c r="P123" s="14" t="n"/>
      <c r="Q123" s="14" t="n"/>
      <c r="R123" s="14" t="n"/>
      <c r="S123" s="14" t="n"/>
      <c r="T123" s="20" t="n"/>
      <c r="U123" s="14" t="n"/>
      <c r="V123" s="14" t="n"/>
      <c r="W123" s="21" t="n"/>
      <c r="X123" s="14" t="n"/>
      <c r="Y123" s="18" t="n"/>
      <c r="Z123" s="19" t="n"/>
      <c r="AA123" s="14" t="n"/>
      <c r="AB123" s="20" t="n"/>
      <c r="AC123" s="14" t="n"/>
      <c r="AD123" s="14" t="n"/>
      <c r="AE123" s="22" t="n"/>
      <c r="AF123" s="23" t="n"/>
      <c r="AG123" s="14" t="n"/>
      <c r="AH123" s="20" t="n"/>
      <c r="AI123" s="20" t="n"/>
      <c r="AJ123" s="14" t="n"/>
    </row>
    <row r="124">
      <c r="A124" s="12" t="inlineStr">
        <is>
          <t>JMSOLUTION - MASK PACK BLACK [30ml*5ea] - ассорти набор из 5шт</t>
        </is>
      </c>
      <c r="B124" s="13" t="n"/>
      <c r="C124" s="13" t="n"/>
      <c r="D124" s="14" t="n"/>
      <c r="E124" s="14" t="n"/>
      <c r="F124" s="14" t="n"/>
      <c r="G124" s="14" t="n"/>
      <c r="H124" s="15" t="n"/>
      <c r="I124" s="16" t="n"/>
      <c r="J124" s="17" t="n"/>
      <c r="K124" s="17" t="n"/>
      <c r="L124" s="18" t="n"/>
      <c r="M124" s="19" t="n"/>
      <c r="N124" s="14" t="n"/>
      <c r="O124" s="14" t="n"/>
      <c r="P124" s="14" t="n"/>
      <c r="Q124" s="14" t="n"/>
      <c r="R124" s="14" t="n"/>
      <c r="S124" s="14" t="n"/>
      <c r="T124" s="20" t="n"/>
      <c r="U124" s="14" t="n"/>
      <c r="V124" s="14" t="n"/>
      <c r="W124" s="21" t="n"/>
      <c r="X124" s="14" t="n"/>
      <c r="Y124" s="18" t="n"/>
      <c r="Z124" s="19" t="n"/>
      <c r="AA124" s="14" t="n"/>
      <c r="AB124" s="20" t="n"/>
      <c r="AC124" s="14" t="n"/>
      <c r="AD124" s="14" t="n"/>
      <c r="AE124" s="22" t="n"/>
      <c r="AF124" s="23" t="n"/>
      <c r="AG124" s="14" t="n"/>
      <c r="AH124" s="20" t="n"/>
      <c r="AI124" s="20" t="n"/>
      <c r="AJ124" s="14" t="n"/>
    </row>
    <row r="125">
      <c r="A125" s="12" t="inlineStr">
        <is>
          <t>JMSOLUTION - MASK PACK BLACK [30ml*3ea] - ассорти набор из 3шт</t>
        </is>
      </c>
      <c r="B125" s="13" t="n"/>
      <c r="C125" s="13" t="n"/>
      <c r="D125" s="14" t="n"/>
      <c r="E125" s="14" t="n"/>
      <c r="F125" s="14" t="n"/>
      <c r="G125" s="14" t="n"/>
      <c r="H125" s="15" t="n"/>
      <c r="I125" s="16" t="n"/>
      <c r="J125" s="17" t="n"/>
      <c r="K125" s="17" t="n"/>
      <c r="L125" s="18" t="n"/>
      <c r="M125" s="19" t="n"/>
      <c r="N125" s="14" t="n"/>
      <c r="O125" s="14" t="n"/>
      <c r="P125" s="14" t="n"/>
      <c r="Q125" s="14" t="n"/>
      <c r="R125" s="14" t="n"/>
      <c r="S125" s="14" t="n"/>
      <c r="T125" s="20" t="n"/>
      <c r="U125" s="14" t="n"/>
      <c r="V125" s="14" t="n"/>
      <c r="W125" s="21" t="n"/>
      <c r="X125" s="14" t="n"/>
      <c r="Y125" s="18" t="n"/>
      <c r="Z125" s="19" t="n"/>
      <c r="AA125" s="14" t="n"/>
      <c r="AB125" s="20" t="n"/>
      <c r="AC125" s="14" t="n"/>
      <c r="AD125" s="14" t="n"/>
      <c r="AE125" s="22" t="n"/>
      <c r="AF125" s="23" t="n"/>
      <c r="AG125" s="14" t="n"/>
      <c r="AH125" s="20" t="n"/>
      <c r="AI125" s="20" t="n"/>
      <c r="AJ125" s="14" t="n"/>
    </row>
    <row r="126">
      <c r="A126" s="12" t="inlineStr">
        <is>
          <t>JMSOLUTION - MASK PACK BLACK [30ml*6ea] - ассорти набор из 6шт</t>
        </is>
      </c>
      <c r="B126" s="13" t="n"/>
      <c r="C126" s="13" t="n"/>
      <c r="D126" s="14" t="n"/>
      <c r="E126" s="14" t="n"/>
      <c r="F126" s="14" t="n"/>
      <c r="G126" s="14" t="n"/>
      <c r="H126" s="15" t="n"/>
      <c r="I126" s="16" t="n"/>
      <c r="J126" s="17" t="n"/>
      <c r="K126" s="17" t="n"/>
      <c r="L126" s="18" t="n"/>
      <c r="M126" s="19" t="n"/>
      <c r="N126" s="14" t="n"/>
      <c r="O126" s="14" t="n"/>
      <c r="P126" s="14" t="n"/>
      <c r="Q126" s="14" t="n"/>
      <c r="R126" s="14" t="n"/>
      <c r="S126" s="14" t="n"/>
      <c r="T126" s="20" t="n"/>
      <c r="U126" s="14" t="n"/>
      <c r="V126" s="14" t="n"/>
      <c r="W126" s="21" t="n"/>
      <c r="X126" s="14" t="n"/>
      <c r="Y126" s="18" t="n"/>
      <c r="Z126" s="19" t="n"/>
      <c r="AA126" s="14" t="n"/>
      <c r="AB126" s="20" t="n"/>
      <c r="AC126" s="14" t="n"/>
      <c r="AD126" s="14" t="n"/>
      <c r="AE126" s="22" t="n"/>
      <c r="AF126" s="23" t="n"/>
      <c r="AG126" s="14" t="n"/>
      <c r="AH126" s="20" t="n"/>
      <c r="AI126" s="20" t="n"/>
      <c r="AJ126" s="14" t="n"/>
    </row>
    <row r="127">
      <c r="A127" s="12" t="inlineStr">
        <is>
          <t>JMSOLUTION - MASK PACK BLACK [30ml*8ea] - ассорти набор из 8шт</t>
        </is>
      </c>
      <c r="B127" s="13" t="n"/>
      <c r="C127" s="13" t="n"/>
      <c r="D127" s="14" t="n"/>
      <c r="E127" s="14" t="n"/>
      <c r="F127" s="14" t="n"/>
      <c r="G127" s="14" t="n"/>
      <c r="H127" s="15" t="n"/>
      <c r="I127" s="16" t="n"/>
      <c r="J127" s="17" t="n"/>
      <c r="K127" s="17" t="n"/>
      <c r="L127" s="18" t="n"/>
      <c r="M127" s="19" t="n"/>
      <c r="N127" s="14" t="n"/>
      <c r="O127" s="14" t="n"/>
      <c r="P127" s="14" t="n"/>
      <c r="Q127" s="14" t="n"/>
      <c r="R127" s="14" t="n"/>
      <c r="S127" s="14" t="n"/>
      <c r="T127" s="20" t="n"/>
      <c r="U127" s="14" t="n"/>
      <c r="V127" s="14" t="n"/>
      <c r="W127" s="21" t="n"/>
      <c r="X127" s="14" t="n"/>
      <c r="Y127" s="18" t="n"/>
      <c r="Z127" s="19" t="n"/>
      <c r="AA127" s="14" t="n"/>
      <c r="AB127" s="20" t="n"/>
      <c r="AC127" s="14" t="n"/>
      <c r="AD127" s="14" t="n"/>
      <c r="AE127" s="22" t="n"/>
      <c r="AF127" s="23" t="n"/>
      <c r="AG127" s="14" t="n"/>
      <c r="AH127" s="20" t="n"/>
      <c r="AI127" s="20" t="n"/>
      <c r="AJ127" s="14" t="n"/>
    </row>
    <row r="128">
      <c r="A128" s="12" t="inlineStr">
        <is>
          <t>JMSOLUTION - Active Astaxanthin Agecare Mask Prime [30ml*10ea] / Антиоксидантная маска с астаксантином</t>
        </is>
      </c>
      <c r="B128" s="13" t="n"/>
      <c r="C128" s="13" t="n"/>
      <c r="D128" s="14" t="n"/>
      <c r="E128" s="14" t="n"/>
      <c r="F128" s="14" t="n"/>
      <c r="G128" s="14" t="n"/>
      <c r="H128" s="15" t="n"/>
      <c r="I128" s="16" t="n"/>
      <c r="J128" s="17" t="n"/>
      <c r="K128" s="17" t="n"/>
      <c r="L128" s="18" t="n"/>
      <c r="M128" s="19" t="n"/>
      <c r="N128" s="14" t="n"/>
      <c r="O128" s="14" t="n"/>
      <c r="P128" s="14" t="n"/>
      <c r="Q128" s="14" t="n"/>
      <c r="R128" s="14" t="n"/>
      <c r="S128" s="14" t="n"/>
      <c r="T128" s="20" t="n"/>
      <c r="U128" s="14" t="n"/>
      <c r="V128" s="14" t="n"/>
      <c r="W128" s="21" t="n"/>
      <c r="X128" s="14" t="n"/>
      <c r="Y128" s="18" t="n"/>
      <c r="Z128" s="19" t="n"/>
      <c r="AA128" s="14" t="n"/>
      <c r="AB128" s="20" t="n"/>
      <c r="AC128" s="14" t="n"/>
      <c r="AD128" s="14" t="n"/>
      <c r="AE128" s="22" t="n"/>
      <c r="AF128" s="23" t="n"/>
      <c r="AG128" s="14" t="n"/>
      <c r="AH128" s="20" t="n"/>
      <c r="AI128" s="20" t="n"/>
      <c r="AJ128" s="14" t="n"/>
    </row>
    <row r="129">
      <c r="A129" s="12" t="inlineStr">
        <is>
          <t>JMSOLUTION - Active Birds Nest Moisture Mask [30ml*10ea] / Ультратонкая тканевая маска с ласточкиным гнездом</t>
        </is>
      </c>
      <c r="B129" s="13" t="n"/>
      <c r="C129" s="13" t="n"/>
      <c r="D129" s="14" t="n"/>
      <c r="E129" s="14" t="n"/>
      <c r="F129" s="14" t="n"/>
      <c r="G129" s="14" t="n"/>
      <c r="H129" s="15" t="n"/>
      <c r="I129" s="16" t="n"/>
      <c r="J129" s="17" t="n"/>
      <c r="K129" s="17" t="n"/>
      <c r="L129" s="18" t="n"/>
      <c r="M129" s="19" t="n"/>
      <c r="N129" s="14" t="n"/>
      <c r="O129" s="14" t="n"/>
      <c r="P129" s="14" t="n"/>
      <c r="Q129" s="14" t="n"/>
      <c r="R129" s="14" t="n"/>
      <c r="S129" s="14" t="n"/>
      <c r="T129" s="20" t="n"/>
      <c r="U129" s="14" t="n"/>
      <c r="V129" s="14" t="n"/>
      <c r="W129" s="21" t="n"/>
      <c r="X129" s="14" t="n"/>
      <c r="Y129" s="18" t="n"/>
      <c r="Z129" s="19" t="n"/>
      <c r="AA129" s="14" t="n"/>
      <c r="AB129" s="20" t="n"/>
      <c r="AC129" s="14" t="n"/>
      <c r="AD129" s="14" t="n"/>
      <c r="AE129" s="22" t="n"/>
      <c r="AF129" s="23" t="n"/>
      <c r="AG129" s="14" t="n"/>
      <c r="AH129" s="20" t="n"/>
      <c r="AI129" s="20" t="n"/>
      <c r="AJ129" s="14" t="n"/>
    </row>
    <row r="130">
      <c r="A130" s="12" t="inlineStr">
        <is>
          <t>JMSOLUTION ACTIVE BLACK CAVIAR MASK [30ml*10ea] / Ультратонкая тканевая маска с черной икрой</t>
        </is>
      </c>
      <c r="B130" s="13" t="n"/>
      <c r="C130" s="13" t="n"/>
      <c r="D130" s="14" t="n"/>
      <c r="E130" s="14" t="n"/>
      <c r="F130" s="14" t="n"/>
      <c r="G130" s="14" t="n"/>
      <c r="H130" s="15" t="n"/>
      <c r="I130" s="16" t="n"/>
      <c r="J130" s="17" t="n"/>
      <c r="K130" s="17" t="n"/>
      <c r="L130" s="18" t="n"/>
      <c r="M130" s="19" t="n"/>
      <c r="N130" s="14" t="n"/>
      <c r="O130" s="14" t="n"/>
      <c r="P130" s="14" t="n"/>
      <c r="Q130" s="14" t="n"/>
      <c r="R130" s="14" t="n"/>
      <c r="S130" s="14" t="n"/>
      <c r="T130" s="20" t="n"/>
      <c r="U130" s="14" t="n"/>
      <c r="V130" s="14" t="n"/>
      <c r="W130" s="21" t="n"/>
      <c r="X130" s="14" t="n"/>
      <c r="Y130" s="18" t="n"/>
      <c r="Z130" s="19" t="n"/>
      <c r="AA130" s="14" t="n"/>
      <c r="AB130" s="20" t="n"/>
      <c r="AC130" s="14" t="n"/>
      <c r="AD130" s="14" t="n"/>
      <c r="AE130" s="22" t="n"/>
      <c r="AF130" s="23" t="n"/>
      <c r="AG130" s="14" t="n"/>
      <c r="AH130" s="20" t="n"/>
      <c r="AI130" s="20" t="n"/>
      <c r="AJ130" s="14" t="n"/>
    </row>
    <row r="131">
      <c r="A131" s="12" t="inlineStr">
        <is>
          <t>JMSOLUTION - Active Golden Caviar Nourishing Mask [30ml*10ea] / Ультратонкая тканевая маска с золотом и икрой</t>
        </is>
      </c>
      <c r="B131" s="13" t="n"/>
      <c r="C131" s="13" t="n"/>
      <c r="D131" s="14" t="n"/>
      <c r="E131" s="14" t="n"/>
      <c r="F131" s="14" t="n"/>
      <c r="G131" s="14" t="n"/>
      <c r="H131" s="15" t="n"/>
      <c r="I131" s="16" t="n"/>
      <c r="J131" s="17" t="n"/>
      <c r="K131" s="17" t="n"/>
      <c r="L131" s="18" t="n"/>
      <c r="M131" s="19" t="n"/>
      <c r="N131" s="14" t="n"/>
      <c r="O131" s="14" t="n"/>
      <c r="P131" s="14" t="n"/>
      <c r="Q131" s="14" t="n"/>
      <c r="R131" s="14" t="n"/>
      <c r="S131" s="14" t="n"/>
      <c r="T131" s="20" t="n"/>
      <c r="U131" s="14" t="n"/>
      <c r="V131" s="14" t="n"/>
      <c r="W131" s="21" t="n"/>
      <c r="X131" s="14" t="n"/>
      <c r="Y131" s="18" t="n"/>
      <c r="Z131" s="19" t="n"/>
      <c r="AA131" s="14" t="n"/>
      <c r="AB131" s="20" t="n"/>
      <c r="AC131" s="14" t="n"/>
      <c r="AD131" s="14" t="n"/>
      <c r="AE131" s="22" t="n"/>
      <c r="AF131" s="23" t="n"/>
      <c r="AG131" s="14" t="n"/>
      <c r="AH131" s="20" t="n"/>
      <c r="AI131" s="20" t="n"/>
      <c r="AJ131" s="14" t="n"/>
    </row>
    <row r="132">
      <c r="A132" s="12" t="inlineStr">
        <is>
          <t>JMSOLUTION - Active Jellyfish Vital Mask [30ml*10ea] / Ультратонкая тканевая маска с экстрактом медузы</t>
        </is>
      </c>
      <c r="B132" s="13" t="n"/>
      <c r="C132" s="13" t="n"/>
      <c r="D132" s="14" t="n"/>
      <c r="E132" s="14" t="n"/>
      <c r="F132" s="14" t="n"/>
      <c r="G132" s="14" t="n"/>
      <c r="H132" s="15" t="n"/>
      <c r="I132" s="16" t="n"/>
      <c r="J132" s="17" t="n"/>
      <c r="K132" s="17" t="n"/>
      <c r="L132" s="18" t="n"/>
      <c r="M132" s="19" t="n"/>
      <c r="N132" s="14" t="n"/>
      <c r="O132" s="14" t="n"/>
      <c r="P132" s="14" t="n"/>
      <c r="Q132" s="14" t="n"/>
      <c r="R132" s="14" t="n"/>
      <c r="S132" s="14" t="n"/>
      <c r="T132" s="20" t="n"/>
      <c r="U132" s="14" t="n"/>
      <c r="V132" s="14" t="n"/>
      <c r="W132" s="21" t="n"/>
      <c r="X132" s="14" t="n"/>
      <c r="Y132" s="18" t="n"/>
      <c r="Z132" s="19" t="n"/>
      <c r="AA132" s="14" t="n"/>
      <c r="AB132" s="20" t="n"/>
      <c r="AC132" s="14" t="n"/>
      <c r="AD132" s="14" t="n"/>
      <c r="AE132" s="22" t="n"/>
      <c r="AF132" s="23" t="n"/>
      <c r="AG132" s="14" t="n"/>
      <c r="AH132" s="20" t="n"/>
      <c r="AI132" s="20" t="n"/>
      <c r="AJ132" s="14" t="n"/>
    </row>
    <row r="133">
      <c r="A133" s="12" t="inlineStr">
        <is>
          <t>JMSOLUTION - Active Lotus Nourishing Mask Ultimate [30ml*10ea] / Питательная маска с экстрактом лотоса</t>
        </is>
      </c>
      <c r="B133" s="13" t="n"/>
      <c r="C133" s="13" t="n"/>
      <c r="D133" s="14" t="n"/>
      <c r="E133" s="14" t="n"/>
      <c r="F133" s="14" t="n"/>
      <c r="G133" s="14" t="n"/>
      <c r="H133" s="15" t="n"/>
      <c r="I133" s="16" t="n"/>
      <c r="J133" s="17" t="n"/>
      <c r="K133" s="17" t="n"/>
      <c r="L133" s="18" t="n"/>
      <c r="M133" s="19" t="n"/>
      <c r="N133" s="14" t="n"/>
      <c r="O133" s="14" t="n"/>
      <c r="P133" s="14" t="n"/>
      <c r="Q133" s="14" t="n"/>
      <c r="R133" s="14" t="n"/>
      <c r="S133" s="14" t="n"/>
      <c r="T133" s="20" t="n"/>
      <c r="U133" s="14" t="n"/>
      <c r="V133" s="14" t="n"/>
      <c r="W133" s="21" t="n"/>
      <c r="X133" s="14" t="n"/>
      <c r="Y133" s="18" t="n"/>
      <c r="Z133" s="19" t="n"/>
      <c r="AA133" s="14" t="n"/>
      <c r="AB133" s="20" t="n"/>
      <c r="AC133" s="14" t="n"/>
      <c r="AD133" s="14" t="n"/>
      <c r="AE133" s="22" t="n"/>
      <c r="AF133" s="23" t="n"/>
      <c r="AG133" s="14" t="n"/>
      <c r="AH133" s="20" t="n"/>
      <c r="AI133" s="20" t="n"/>
      <c r="AJ133" s="14" t="n"/>
    </row>
    <row r="134">
      <c r="A134" s="12" t="inlineStr">
        <is>
          <t>JMSOLUTION - Active Pink Snail Brightening Mask [30ml*10ea] / Маска тканевая увлажняющая с улиткой</t>
        </is>
      </c>
      <c r="B134" s="13" t="n"/>
      <c r="C134" s="13" t="n"/>
      <c r="D134" s="14" t="n"/>
      <c r="E134" s="14" t="n"/>
      <c r="F134" s="14" t="n"/>
      <c r="G134" s="14" t="n"/>
      <c r="H134" s="15" t="n"/>
      <c r="I134" s="16" t="n"/>
      <c r="J134" s="17" t="n"/>
      <c r="K134" s="17" t="n"/>
      <c r="L134" s="18" t="n"/>
      <c r="M134" s="19" t="n"/>
      <c r="N134" s="14" t="n"/>
      <c r="O134" s="14" t="n"/>
      <c r="P134" s="14" t="n"/>
      <c r="Q134" s="14" t="n"/>
      <c r="R134" s="14" t="n"/>
      <c r="S134" s="14" t="n"/>
      <c r="T134" s="20" t="n"/>
      <c r="U134" s="14" t="n"/>
      <c r="V134" s="14" t="n"/>
      <c r="W134" s="21" t="n"/>
      <c r="X134" s="14" t="n"/>
      <c r="Y134" s="18" t="n"/>
      <c r="Z134" s="19" t="n"/>
      <c r="AA134" s="14" t="n"/>
      <c r="AB134" s="20" t="n"/>
      <c r="AC134" s="14" t="n"/>
      <c r="AD134" s="14" t="n"/>
      <c r="AE134" s="22" t="n"/>
      <c r="AF134" s="23" t="n"/>
      <c r="AG134" s="14" t="n"/>
      <c r="AH134" s="20" t="n"/>
      <c r="AI134" s="20" t="n"/>
      <c r="AJ134" s="14" t="n"/>
    </row>
    <row r="135">
      <c r="A135" s="12" t="inlineStr">
        <is>
          <t>JMSOLUTION - Glory Aqua Idebenone Egg Mask Deluxe [30ml*10ea] / Тканевая маска с яйцом</t>
        </is>
      </c>
      <c r="B135" s="13" t="n"/>
      <c r="C135" s="13" t="n"/>
      <c r="D135" s="14" t="n"/>
      <c r="E135" s="14" t="n"/>
      <c r="F135" s="14" t="n"/>
      <c r="G135" s="14" t="n"/>
      <c r="H135" s="15" t="n"/>
      <c r="I135" s="16" t="n"/>
      <c r="J135" s="17" t="n"/>
      <c r="K135" s="17" t="n"/>
      <c r="L135" s="18" t="n"/>
      <c r="M135" s="19" t="n"/>
      <c r="N135" s="14" t="n"/>
      <c r="O135" s="14" t="n"/>
      <c r="P135" s="14" t="n"/>
      <c r="Q135" s="14" t="n"/>
      <c r="R135" s="14" t="n"/>
      <c r="S135" s="14" t="n"/>
      <c r="T135" s="20" t="n"/>
      <c r="U135" s="14" t="n"/>
      <c r="V135" s="14" t="n"/>
      <c r="W135" s="21" t="n"/>
      <c r="X135" s="14" t="n"/>
      <c r="Y135" s="18" t="n"/>
      <c r="Z135" s="19" t="n"/>
      <c r="AA135" s="14" t="n"/>
      <c r="AB135" s="20" t="n"/>
      <c r="AC135" s="14" t="n"/>
      <c r="AD135" s="14" t="n"/>
      <c r="AE135" s="22" t="n"/>
      <c r="AF135" s="23" t="n"/>
      <c r="AG135" s="14" t="n"/>
      <c r="AH135" s="20" t="n"/>
      <c r="AI135" s="20" t="n"/>
      <c r="AJ135" s="14" t="n"/>
    </row>
    <row r="136">
      <c r="A136" s="12" t="inlineStr">
        <is>
          <t>JMSOLUTION GLORY AQUA FULLERENE MASK DELUXE</t>
        </is>
      </c>
      <c r="B136" s="13" t="n"/>
      <c r="C136" s="13" t="n"/>
      <c r="D136" s="14" t="n"/>
      <c r="E136" s="14" t="n"/>
      <c r="F136" s="14" t="n"/>
      <c r="G136" s="14" t="n"/>
      <c r="H136" s="15" t="n"/>
      <c r="I136" s="16" t="n"/>
      <c r="J136" s="17" t="n"/>
      <c r="K136" s="17" t="n"/>
      <c r="L136" s="18" t="n"/>
      <c r="M136" s="19" t="n"/>
      <c r="N136" s="14" t="n"/>
      <c r="O136" s="14" t="n"/>
      <c r="P136" s="14" t="n"/>
      <c r="Q136" s="14" t="n"/>
      <c r="R136" s="14" t="n"/>
      <c r="S136" s="14" t="n"/>
      <c r="T136" s="20" t="n"/>
      <c r="U136" s="14" t="n"/>
      <c r="V136" s="14" t="n"/>
      <c r="W136" s="21" t="n"/>
      <c r="X136" s="14" t="n"/>
      <c r="Y136" s="18" t="n"/>
      <c r="Z136" s="19" t="n"/>
      <c r="AA136" s="14" t="n"/>
      <c r="AB136" s="20" t="n"/>
      <c r="AC136" s="14" t="n"/>
      <c r="AD136" s="14" t="n"/>
      <c r="AE136" s="22" t="n"/>
      <c r="AF136" s="23" t="n"/>
      <c r="AG136" s="14" t="n"/>
      <c r="AH136" s="20" t="n"/>
      <c r="AI136" s="20" t="n"/>
      <c r="AJ136" s="14" t="n"/>
    </row>
    <row r="137">
      <c r="A137" s="12" t="inlineStr">
        <is>
          <t>JMSOLUTION LACTO SACCHAROMYCES GOLDEN RICE MASK PLUS</t>
        </is>
      </c>
      <c r="B137" s="13" t="n"/>
      <c r="C137" s="13" t="n"/>
      <c r="D137" s="14" t="n"/>
      <c r="E137" s="14" t="n"/>
      <c r="F137" s="14" t="n"/>
      <c r="G137" s="14" t="n"/>
      <c r="H137" s="15" t="n"/>
      <c r="I137" s="16" t="n"/>
      <c r="J137" s="17" t="n"/>
      <c r="K137" s="17" t="n"/>
      <c r="L137" s="18" t="n"/>
      <c r="M137" s="19" t="n"/>
      <c r="N137" s="14" t="n"/>
      <c r="O137" s="14" t="n"/>
      <c r="P137" s="14" t="n"/>
      <c r="Q137" s="14" t="n"/>
      <c r="R137" s="14" t="n"/>
      <c r="S137" s="14" t="n"/>
      <c r="T137" s="20" t="n"/>
      <c r="U137" s="14" t="n"/>
      <c r="V137" s="14" t="n"/>
      <c r="W137" s="21" t="n"/>
      <c r="X137" s="14" t="n"/>
      <c r="Y137" s="18" t="n"/>
      <c r="Z137" s="19" t="n"/>
      <c r="AA137" s="14" t="n"/>
      <c r="AB137" s="20" t="n"/>
      <c r="AC137" s="14" t="n"/>
      <c r="AD137" s="14" t="n"/>
      <c r="AE137" s="22" t="n"/>
      <c r="AF137" s="23" t="n"/>
      <c r="AG137" s="14" t="n"/>
      <c r="AH137" s="20" t="n"/>
      <c r="AI137" s="20" t="n"/>
      <c r="AJ137" s="14" t="n"/>
    </row>
    <row r="138">
      <c r="A138" s="12" t="inlineStr">
        <is>
          <t>JMSOLUTION - HONEY LUMINOUS ROYAL PROPOLIS MASK BLACK [30g*10ea]</t>
        </is>
      </c>
      <c r="B138" s="13" t="n"/>
      <c r="C138" s="13" t="n"/>
      <c r="D138" s="14" t="n"/>
      <c r="E138" s="14" t="n"/>
      <c r="F138" s="14" t="n"/>
      <c r="G138" s="14" t="n"/>
      <c r="H138" s="15" t="n"/>
      <c r="I138" s="16" t="n"/>
      <c r="J138" s="17" t="n"/>
      <c r="K138" s="17" t="n"/>
      <c r="L138" s="18" t="n"/>
      <c r="M138" s="19" t="n"/>
      <c r="N138" s="14" t="n"/>
      <c r="O138" s="14" t="n"/>
      <c r="P138" s="14" t="n"/>
      <c r="Q138" s="14" t="n"/>
      <c r="R138" s="14" t="n"/>
      <c r="S138" s="14" t="n"/>
      <c r="T138" s="20" t="n"/>
      <c r="U138" s="14" t="n"/>
      <c r="V138" s="14" t="n"/>
      <c r="W138" s="21" t="n"/>
      <c r="X138" s="14" t="n"/>
      <c r="Y138" s="18" t="n"/>
      <c r="Z138" s="19" t="n"/>
      <c r="AA138" s="14" t="n"/>
      <c r="AB138" s="20" t="n"/>
      <c r="AC138" s="14" t="n"/>
      <c r="AD138" s="14" t="n"/>
      <c r="AE138" s="22" t="n"/>
      <c r="AF138" s="23" t="n"/>
      <c r="AG138" s="14" t="n"/>
      <c r="AH138" s="20" t="n"/>
      <c r="AI138" s="20" t="n"/>
      <c r="AJ138" s="14" t="n"/>
    </row>
    <row r="139">
      <c r="A139" s="12" t="inlineStr">
        <is>
          <t>JMSOLUTION PANTHELENE INTENSIVE BARRIER MASK</t>
        </is>
      </c>
      <c r="B139" s="13" t="n"/>
      <c r="C139" s="13" t="n"/>
      <c r="D139" s="14" t="n"/>
      <c r="E139" s="14" t="n"/>
      <c r="F139" s="14" t="n"/>
      <c r="G139" s="14" t="n"/>
      <c r="H139" s="15" t="n"/>
      <c r="I139" s="16" t="n"/>
      <c r="J139" s="17" t="n"/>
      <c r="K139" s="17" t="n"/>
      <c r="L139" s="18" t="n"/>
      <c r="M139" s="19" t="n"/>
      <c r="N139" s="14" t="n"/>
      <c r="O139" s="14" t="n"/>
      <c r="P139" s="14" t="n"/>
      <c r="Q139" s="14" t="n"/>
      <c r="R139" s="14" t="n"/>
      <c r="S139" s="14" t="n"/>
      <c r="T139" s="20" t="n"/>
      <c r="U139" s="14" t="n"/>
      <c r="V139" s="14" t="n"/>
      <c r="W139" s="21" t="n"/>
      <c r="X139" s="14" t="n"/>
      <c r="Y139" s="18" t="n"/>
      <c r="Z139" s="19" t="n"/>
      <c r="AA139" s="14" t="n"/>
      <c r="AB139" s="20" t="n"/>
      <c r="AC139" s="14" t="n"/>
      <c r="AD139" s="14" t="n"/>
      <c r="AE139" s="22" t="n"/>
      <c r="AF139" s="23" t="n"/>
      <c r="AG139" s="14" t="n"/>
      <c r="AH139" s="20" t="n"/>
      <c r="AI139" s="20" t="n"/>
      <c r="AJ139" s="14" t="n"/>
    </row>
    <row r="140">
      <c r="A140" s="12" t="inlineStr">
        <is>
          <t>JMSOLUTION - The Natural Cordyceps Melitaris Mask Moisture [30ml*10ea] / Тканевая маска для лица с экстрактом кордицепса и комплексом аминокислот</t>
        </is>
      </c>
      <c r="B140" s="13" t="n"/>
      <c r="C140" s="13" t="n"/>
      <c r="D140" s="14" t="n"/>
      <c r="E140" s="14" t="n"/>
      <c r="F140" s="14" t="n"/>
      <c r="G140" s="14" t="n"/>
      <c r="H140" s="15" t="n"/>
      <c r="I140" s="16" t="n"/>
      <c r="J140" s="17" t="n"/>
      <c r="K140" s="17" t="n"/>
      <c r="L140" s="18" t="n"/>
      <c r="M140" s="19" t="n"/>
      <c r="N140" s="14" t="n"/>
      <c r="O140" s="14" t="n"/>
      <c r="P140" s="14" t="n"/>
      <c r="Q140" s="14" t="n"/>
      <c r="R140" s="14" t="n"/>
      <c r="S140" s="14" t="n"/>
      <c r="T140" s="20" t="n"/>
      <c r="U140" s="14" t="n"/>
      <c r="V140" s="14" t="n"/>
      <c r="W140" s="21" t="n"/>
      <c r="X140" s="14" t="n"/>
      <c r="Y140" s="18" t="n"/>
      <c r="Z140" s="19" t="n"/>
      <c r="AA140" s="14" t="n"/>
      <c r="AB140" s="20" t="n"/>
      <c r="AC140" s="14" t="n"/>
      <c r="AD140" s="14" t="n"/>
      <c r="AE140" s="22" t="n"/>
      <c r="AF140" s="23" t="n"/>
      <c r="AG140" s="14" t="n"/>
      <c r="AH140" s="20" t="n"/>
      <c r="AI140" s="20" t="n"/>
      <c r="AJ140" s="14" t="n"/>
    </row>
    <row r="141">
      <c r="A141" s="12" t="inlineStr">
        <is>
          <t>JMSOLUTION - Water Luminous S.O.S. Ringer Mask Black [35ml*10ea] / Ультраувлажняющая тканевая маска</t>
        </is>
      </c>
      <c r="B141" s="13" t="n"/>
      <c r="C141" s="13" t="n"/>
      <c r="D141" s="14" t="n"/>
      <c r="E141" s="14" t="n"/>
      <c r="F141" s="14" t="n"/>
      <c r="G141" s="14" t="n"/>
      <c r="H141" s="15" t="n"/>
      <c r="I141" s="16" t="n"/>
      <c r="J141" s="17" t="n"/>
      <c r="K141" s="17" t="n"/>
      <c r="L141" s="18" t="n"/>
      <c r="M141" s="19" t="n"/>
      <c r="N141" s="14" t="n"/>
      <c r="O141" s="14" t="n"/>
      <c r="P141" s="14" t="n"/>
      <c r="Q141" s="14" t="n"/>
      <c r="R141" s="14" t="n"/>
      <c r="S141" s="14" t="n"/>
      <c r="T141" s="20" t="n"/>
      <c r="U141" s="14" t="n"/>
      <c r="V141" s="14" t="n"/>
      <c r="W141" s="21" t="n"/>
      <c r="X141" s="14" t="n"/>
      <c r="Y141" s="18" t="n"/>
      <c r="Z141" s="19" t="n"/>
      <c r="AA141" s="14" t="n"/>
      <c r="AB141" s="20" t="n"/>
      <c r="AC141" s="14" t="n"/>
      <c r="AD141" s="14" t="n"/>
      <c r="AE141" s="22" t="n"/>
      <c r="AF141" s="23" t="n"/>
      <c r="AG141" s="14" t="n"/>
      <c r="AH141" s="20" t="n"/>
      <c r="AI141" s="20" t="n"/>
      <c r="AJ141" s="14" t="n"/>
    </row>
    <row r="142">
      <c r="A142" s="12" t="inlineStr">
        <is>
          <t>JMSOLUTION - WATER LUMINOUS SILKY COCOON MASK PLUS [35ml*10ea]</t>
        </is>
      </c>
      <c r="B142" s="13" t="n"/>
      <c r="C142" s="13" t="n"/>
      <c r="D142" s="14" t="n"/>
      <c r="E142" s="14" t="n"/>
      <c r="F142" s="14" t="n"/>
      <c r="G142" s="14" t="n"/>
      <c r="H142" s="15" t="n"/>
      <c r="I142" s="16" t="n"/>
      <c r="J142" s="17" t="n"/>
      <c r="K142" s="17" t="n"/>
      <c r="L142" s="18" t="n"/>
      <c r="M142" s="19" t="n"/>
      <c r="N142" s="14" t="n"/>
      <c r="O142" s="14" t="n"/>
      <c r="P142" s="14" t="n"/>
      <c r="Q142" s="14" t="n"/>
      <c r="R142" s="14" t="n"/>
      <c r="S142" s="14" t="n"/>
      <c r="T142" s="20" t="n"/>
      <c r="U142" s="14" t="n"/>
      <c r="V142" s="14" t="n"/>
      <c r="W142" s="21" t="n"/>
      <c r="X142" s="14" t="n"/>
      <c r="Y142" s="18" t="n"/>
      <c r="Z142" s="19" t="n"/>
      <c r="AA142" s="14" t="n"/>
      <c r="AB142" s="20" t="n"/>
      <c r="AC142" s="14" t="n"/>
      <c r="AD142" s="14" t="n"/>
      <c r="AE142" s="22" t="n"/>
      <c r="AF142" s="23" t="n"/>
      <c r="AG142" s="14" t="n"/>
      <c r="AH142" s="20" t="n"/>
      <c r="AI142" s="20" t="n"/>
      <c r="AJ142" s="14" t="n"/>
    </row>
    <row r="143">
      <c r="A143" s="12" t="inlineStr">
        <is>
          <t>JMSOLUTION - WATER LUMINOUS S.O.S RINGER AMINO MASK PLUS Black</t>
        </is>
      </c>
      <c r="B143" s="13" t="n"/>
      <c r="C143" s="13" t="n"/>
      <c r="D143" s="14" t="n"/>
      <c r="E143" s="14" t="n"/>
      <c r="F143" s="14" t="n"/>
      <c r="G143" s="14" t="n"/>
      <c r="H143" s="15" t="n"/>
      <c r="I143" s="16" t="n"/>
      <c r="J143" s="17" t="n"/>
      <c r="K143" s="17" t="n"/>
      <c r="L143" s="18" t="n"/>
      <c r="M143" s="19" t="n"/>
      <c r="N143" s="14" t="n"/>
      <c r="O143" s="14" t="n"/>
      <c r="P143" s="14" t="n"/>
      <c r="Q143" s="14" t="n"/>
      <c r="R143" s="14" t="n"/>
      <c r="S143" s="14" t="n"/>
      <c r="T143" s="20" t="n"/>
      <c r="U143" s="14" t="n"/>
      <c r="V143" s="14" t="n"/>
      <c r="W143" s="21" t="n"/>
      <c r="X143" s="14" t="n"/>
      <c r="Y143" s="18" t="n"/>
      <c r="Z143" s="19" t="n"/>
      <c r="AA143" s="14" t="n"/>
      <c r="AB143" s="20" t="n"/>
      <c r="AC143" s="14" t="n"/>
      <c r="AD143" s="14" t="n"/>
      <c r="AE143" s="22" t="n"/>
      <c r="AF143" s="23" t="n"/>
      <c r="AG143" s="14" t="n"/>
      <c r="AH143" s="20" t="n"/>
      <c r="AI143" s="20" t="n"/>
      <c r="AJ143" s="14" t="n"/>
    </row>
    <row r="144">
      <c r="A144" s="12" t="inlineStr">
        <is>
          <t>JMSOLUTION GREEN DEAR TIGER CICA MASK PURE 30ml*10ea / Регенерирующая маска для лица с центеллой</t>
        </is>
      </c>
      <c r="B144" s="13" t="n"/>
      <c r="C144" s="13" t="n"/>
      <c r="D144" s="14" t="n"/>
      <c r="E144" s="14" t="n"/>
      <c r="F144" s="14" t="n"/>
      <c r="G144" s="14" t="n"/>
      <c r="H144" s="15" t="n"/>
      <c r="I144" s="16" t="n"/>
      <c r="J144" s="17" t="n"/>
      <c r="K144" s="17" t="n"/>
      <c r="L144" s="18" t="n"/>
      <c r="M144" s="19" t="n"/>
      <c r="N144" s="14" t="n"/>
      <c r="O144" s="14" t="n"/>
      <c r="P144" s="14" t="n"/>
      <c r="Q144" s="14" t="n"/>
      <c r="R144" s="14" t="n"/>
      <c r="S144" s="14" t="n"/>
      <c r="T144" s="20" t="n"/>
      <c r="U144" s="14" t="n"/>
      <c r="V144" s="14" t="n"/>
      <c r="W144" s="21" t="n"/>
      <c r="X144" s="14" t="n"/>
      <c r="Y144" s="18" t="n"/>
      <c r="Z144" s="19" t="n"/>
      <c r="AA144" s="14" t="n"/>
      <c r="AB144" s="20" t="n"/>
      <c r="AC144" s="14" t="n"/>
      <c r="AD144" s="14" t="n"/>
      <c r="AE144" s="22" t="n"/>
      <c r="AF144" s="23" t="n"/>
      <c r="AG144" s="14" t="n"/>
      <c r="AH144" s="20" t="n"/>
      <c r="AI144" s="20" t="n"/>
      <c r="AJ144" s="14" t="n"/>
    </row>
    <row r="145">
      <c r="A145" s="24" t="inlineStr">
        <is>
          <t>JMSOLUTION - MASK PACK DISNEY [30ml*10ea] - ассорти набор из 10шт</t>
        </is>
      </c>
      <c r="B145" s="25" t="n"/>
      <c r="C145" s="26" t="inlineStr">
        <is>
          <t>нет таких наборов</t>
        </is>
      </c>
      <c r="D145" s="27" t="n"/>
      <c r="E145" s="27" t="n"/>
      <c r="F145" s="27" t="n"/>
      <c r="G145" s="27" t="n">
        <v>2086</v>
      </c>
      <c r="H145" s="28" t="n">
        <v>0.45</v>
      </c>
      <c r="I145" s="29">
        <f>G145*(1-H145)</f>
        <v/>
      </c>
      <c r="J145" s="30" t="n">
        <v>463.2</v>
      </c>
      <c r="K145" s="31">
        <f>$G$5</f>
        <v/>
      </c>
      <c r="L145" s="32">
        <f>J145+K145</f>
        <v/>
      </c>
      <c r="M145" s="33" t="n">
        <v>0.41</v>
      </c>
      <c r="N145" s="34">
        <f>G145*M145</f>
        <v/>
      </c>
      <c r="O145" s="35" t="n">
        <v>72</v>
      </c>
      <c r="P145" s="34">
        <f>G145*$G$8</f>
        <v/>
      </c>
      <c r="Q145" s="35" t="n">
        <v>25</v>
      </c>
      <c r="R145" s="34">
        <f>G145*$G$4</f>
        <v/>
      </c>
      <c r="S145" s="34">
        <f>I145*$G$3</f>
        <v/>
      </c>
      <c r="T145" s="36" t="n">
        <v>0.9</v>
      </c>
      <c r="U145" s="35" t="n">
        <v>72</v>
      </c>
      <c r="V145" s="34">
        <f>U145*(1-T145)</f>
        <v/>
      </c>
      <c r="W145" s="37" t="n">
        <v>1.25</v>
      </c>
      <c r="X145" s="34">
        <f>$G$6*$G$7*W145</f>
        <v/>
      </c>
      <c r="Y145" s="32">
        <f>W145*($G$9+$G$10)</f>
        <v/>
      </c>
      <c r="Z145" s="33" t="n">
        <v>0.07000000000000001</v>
      </c>
      <c r="AA145" s="34">
        <f>G145*Z145</f>
        <v/>
      </c>
      <c r="AB145" s="36" t="n">
        <v>0.08</v>
      </c>
      <c r="AC145" s="34">
        <f>G145*AB145</f>
        <v/>
      </c>
      <c r="AD145" s="34">
        <f>AA145+AC145</f>
        <v/>
      </c>
      <c r="AE145" s="38">
        <f>AD145/G145</f>
        <v/>
      </c>
      <c r="AF145" s="39">
        <f>G145-N145-O145-P145-Q145-R145-S145-V145-X145-Y145-L145</f>
        <v/>
      </c>
      <c r="AG145" s="40">
        <f>AF145-AD145</f>
        <v/>
      </c>
      <c r="AH145" s="41">
        <f>AG145/G145</f>
        <v/>
      </c>
      <c r="AI145" s="42">
        <f>AG145/L145</f>
        <v/>
      </c>
      <c r="AJ145" s="34">
        <f>(O145+Q145+V145+X145+Y145+L145)/(1-(M145+$G$4+(1-H145)*$G$3+$G$8+Z145+AB145))</f>
        <v/>
      </c>
    </row>
    <row r="146">
      <c r="A146" s="12" t="inlineStr">
        <is>
          <t>JMSOLUTION - MASK PACK DISNEY [30ml*9ea] - ассорти набор из 9шт</t>
        </is>
      </c>
      <c r="B146" s="13" t="n"/>
      <c r="C146" s="13" t="n"/>
      <c r="D146" s="14" t="n"/>
      <c r="E146" s="14" t="n"/>
      <c r="F146" s="14" t="n"/>
      <c r="G146" s="14" t="n"/>
      <c r="H146" s="15" t="n"/>
      <c r="I146" s="16" t="n"/>
      <c r="J146" s="17" t="n"/>
      <c r="K146" s="17" t="n"/>
      <c r="L146" s="18" t="n"/>
      <c r="M146" s="19" t="n"/>
      <c r="N146" s="14" t="n"/>
      <c r="O146" s="14" t="n"/>
      <c r="P146" s="14" t="n"/>
      <c r="Q146" s="14" t="n"/>
      <c r="R146" s="14" t="n"/>
      <c r="S146" s="14" t="n"/>
      <c r="T146" s="20" t="n"/>
      <c r="U146" s="14" t="n"/>
      <c r="V146" s="14" t="n"/>
      <c r="W146" s="21" t="n"/>
      <c r="X146" s="14" t="n"/>
      <c r="Y146" s="18" t="n"/>
      <c r="Z146" s="19" t="n"/>
      <c r="AA146" s="14" t="n"/>
      <c r="AB146" s="20" t="n"/>
      <c r="AC146" s="14" t="n"/>
      <c r="AD146" s="14" t="n"/>
      <c r="AE146" s="22" t="n"/>
      <c r="AF146" s="23" t="n"/>
      <c r="AG146" s="14" t="n"/>
      <c r="AH146" s="20" t="n"/>
      <c r="AI146" s="20" t="n"/>
      <c r="AJ146" s="14" t="n"/>
    </row>
    <row r="147">
      <c r="A147" s="12" t="inlineStr">
        <is>
          <t>JMSOLUTION - MASK PACK DISNEY [30ml*6ea] - ассорти набор из 6шт</t>
        </is>
      </c>
      <c r="B147" s="13" t="n"/>
      <c r="C147" s="13" t="n"/>
      <c r="D147" s="14" t="n"/>
      <c r="E147" s="14" t="n"/>
      <c r="F147" s="14" t="n"/>
      <c r="G147" s="14" t="n"/>
      <c r="H147" s="15" t="n"/>
      <c r="I147" s="16" t="n"/>
      <c r="J147" s="17" t="n"/>
      <c r="K147" s="17" t="n"/>
      <c r="L147" s="18" t="n"/>
      <c r="M147" s="19" t="n"/>
      <c r="N147" s="14" t="n"/>
      <c r="O147" s="14" t="n"/>
      <c r="P147" s="14" t="n"/>
      <c r="Q147" s="14" t="n"/>
      <c r="R147" s="14" t="n"/>
      <c r="S147" s="14" t="n"/>
      <c r="T147" s="20" t="n"/>
      <c r="U147" s="14" t="n"/>
      <c r="V147" s="14" t="n"/>
      <c r="W147" s="21" t="n"/>
      <c r="X147" s="14" t="n"/>
      <c r="Y147" s="18" t="n"/>
      <c r="Z147" s="19" t="n"/>
      <c r="AA147" s="14" t="n"/>
      <c r="AB147" s="20" t="n"/>
      <c r="AC147" s="14" t="n"/>
      <c r="AD147" s="14" t="n"/>
      <c r="AE147" s="22" t="n"/>
      <c r="AF147" s="23" t="n"/>
      <c r="AG147" s="14" t="n"/>
      <c r="AH147" s="20" t="n"/>
      <c r="AI147" s="20" t="n"/>
      <c r="AJ147" s="14" t="n"/>
    </row>
    <row r="148">
      <c r="A148" s="12" t="inlineStr">
        <is>
          <t>JMSOLUTION - Collection Moisture N.M.F. Mask [30ml*10ea] / Увлажняющая маска с аквасилом и пептидами</t>
        </is>
      </c>
      <c r="B148" s="13" t="n"/>
      <c r="C148" s="13" t="n"/>
      <c r="D148" s="14" t="n"/>
      <c r="E148" s="14" t="n"/>
      <c r="F148" s="14" t="n"/>
      <c r="G148" s="14" t="n"/>
      <c r="H148" s="15" t="n"/>
      <c r="I148" s="16" t="n"/>
      <c r="J148" s="17" t="n"/>
      <c r="K148" s="17" t="n"/>
      <c r="L148" s="18" t="n"/>
      <c r="M148" s="19" t="n"/>
      <c r="N148" s="14" t="n"/>
      <c r="O148" s="14" t="n"/>
      <c r="P148" s="14" t="n"/>
      <c r="Q148" s="14" t="n"/>
      <c r="R148" s="14" t="n"/>
      <c r="S148" s="14" t="n"/>
      <c r="T148" s="20" t="n"/>
      <c r="U148" s="14" t="n"/>
      <c r="V148" s="14" t="n"/>
      <c r="W148" s="21" t="n"/>
      <c r="X148" s="14" t="n"/>
      <c r="Y148" s="18" t="n"/>
      <c r="Z148" s="19" t="n"/>
      <c r="AA148" s="14" t="n"/>
      <c r="AB148" s="20" t="n"/>
      <c r="AC148" s="14" t="n"/>
      <c r="AD148" s="14" t="n"/>
      <c r="AE148" s="22" t="n"/>
      <c r="AF148" s="23" t="n"/>
      <c r="AG148" s="14" t="n"/>
      <c r="AH148" s="20" t="n"/>
      <c r="AI148" s="20" t="n"/>
      <c r="AJ148" s="14" t="n"/>
    </row>
    <row r="149">
      <c r="A149" s="12" t="inlineStr">
        <is>
          <t>JMSOLUTION - Collection Nourishing Perilla Frutescens Mask [30ml*10ea] / Маска питательная для лица с экстрактом периллы</t>
        </is>
      </c>
      <c r="B149" s="13" t="n"/>
      <c r="C149" s="13" t="n"/>
      <c r="D149" s="14" t="n"/>
      <c r="E149" s="14" t="n"/>
      <c r="F149" s="14" t="n"/>
      <c r="G149" s="14" t="n"/>
      <c r="H149" s="15" t="n"/>
      <c r="I149" s="16" t="n"/>
      <c r="J149" s="17" t="n"/>
      <c r="K149" s="17" t="n"/>
      <c r="L149" s="18" t="n"/>
      <c r="M149" s="19" t="n"/>
      <c r="N149" s="14" t="n"/>
      <c r="O149" s="14" t="n"/>
      <c r="P149" s="14" t="n"/>
      <c r="Q149" s="14" t="n"/>
      <c r="R149" s="14" t="n"/>
      <c r="S149" s="14" t="n"/>
      <c r="T149" s="20" t="n"/>
      <c r="U149" s="14" t="n"/>
      <c r="V149" s="14" t="n"/>
      <c r="W149" s="21" t="n"/>
      <c r="X149" s="14" t="n"/>
      <c r="Y149" s="18" t="n"/>
      <c r="Z149" s="19" t="n"/>
      <c r="AA149" s="14" t="n"/>
      <c r="AB149" s="20" t="n"/>
      <c r="AC149" s="14" t="n"/>
      <c r="AD149" s="14" t="n"/>
      <c r="AE149" s="22" t="n"/>
      <c r="AF149" s="23" t="n"/>
      <c r="AG149" s="14" t="n"/>
      <c r="AH149" s="20" t="n"/>
      <c r="AI149" s="20" t="n"/>
      <c r="AJ149" s="14" t="n"/>
    </row>
    <row r="150">
      <c r="A150" s="12" t="inlineStr">
        <is>
          <t>JMSOLUTION - Collection Vital Citrus Junos Mask [30ml*10ea] / Тканевая маска с экстрактом юдзу</t>
        </is>
      </c>
      <c r="B150" s="13" t="n"/>
      <c r="C150" s="13" t="n"/>
      <c r="D150" s="14" t="n"/>
      <c r="E150" s="14" t="n"/>
      <c r="F150" s="14" t="n"/>
      <c r="G150" s="14" t="n"/>
      <c r="H150" s="15" t="n"/>
      <c r="I150" s="16" t="n"/>
      <c r="J150" s="17" t="n"/>
      <c r="K150" s="17" t="n"/>
      <c r="L150" s="18" t="n"/>
      <c r="M150" s="19" t="n"/>
      <c r="N150" s="14" t="n"/>
      <c r="O150" s="14" t="n"/>
      <c r="P150" s="14" t="n"/>
      <c r="Q150" s="14" t="n"/>
      <c r="R150" s="14" t="n"/>
      <c r="S150" s="14" t="n"/>
      <c r="T150" s="20" t="n"/>
      <c r="U150" s="14" t="n"/>
      <c r="V150" s="14" t="n"/>
      <c r="W150" s="21" t="n"/>
      <c r="X150" s="14" t="n"/>
      <c r="Y150" s="18" t="n"/>
      <c r="Z150" s="19" t="n"/>
      <c r="AA150" s="14" t="n"/>
      <c r="AB150" s="20" t="n"/>
      <c r="AC150" s="14" t="n"/>
      <c r="AD150" s="14" t="n"/>
      <c r="AE150" s="22" t="n"/>
      <c r="AF150" s="23" t="n"/>
      <c r="AG150" s="14" t="n"/>
      <c r="AH150" s="20" t="n"/>
      <c r="AI150" s="20" t="n"/>
      <c r="AJ150" s="14" t="n"/>
    </row>
    <row r="151">
      <c r="A151" s="12" t="inlineStr">
        <is>
          <t>JMSOLUTION - Collection Vital Retinol Mask [30ml*10ea] / Маска тканевая против пигментации кожи с ретинолом</t>
        </is>
      </c>
      <c r="B151" s="13" t="n"/>
      <c r="C151" s="13" t="n"/>
      <c r="D151" s="14" t="n"/>
      <c r="E151" s="14" t="n"/>
      <c r="F151" s="14" t="n"/>
      <c r="G151" s="14" t="n"/>
      <c r="H151" s="15" t="n"/>
      <c r="I151" s="16" t="n"/>
      <c r="J151" s="17" t="n"/>
      <c r="K151" s="17" t="n"/>
      <c r="L151" s="18" t="n"/>
      <c r="M151" s="19" t="n"/>
      <c r="N151" s="14" t="n"/>
      <c r="O151" s="14" t="n"/>
      <c r="P151" s="14" t="n"/>
      <c r="Q151" s="14" t="n"/>
      <c r="R151" s="14" t="n"/>
      <c r="S151" s="14" t="n"/>
      <c r="T151" s="20" t="n"/>
      <c r="U151" s="14" t="n"/>
      <c r="V151" s="14" t="n"/>
      <c r="W151" s="21" t="n"/>
      <c r="X151" s="14" t="n"/>
      <c r="Y151" s="18" t="n"/>
      <c r="Z151" s="19" t="n"/>
      <c r="AA151" s="14" t="n"/>
      <c r="AB151" s="20" t="n"/>
      <c r="AC151" s="14" t="n"/>
      <c r="AD151" s="14" t="n"/>
      <c r="AE151" s="22" t="n"/>
      <c r="AF151" s="23" t="n"/>
      <c r="AG151" s="14" t="n"/>
      <c r="AH151" s="20" t="n"/>
      <c r="AI151" s="20" t="n"/>
      <c r="AJ151" s="14" t="n"/>
    </row>
    <row r="152">
      <c r="A152" s="12" t="inlineStr">
        <is>
          <t>JMSOLUTION - Collection Vital Vita C Mask [30ml*10ea] / Маска тканевая с витамином C</t>
        </is>
      </c>
      <c r="B152" s="13" t="n"/>
      <c r="C152" s="13" t="n"/>
      <c r="D152" s="14" t="n"/>
      <c r="E152" s="14" t="n"/>
      <c r="F152" s="14" t="n"/>
      <c r="G152" s="14" t="n"/>
      <c r="H152" s="15" t="n"/>
      <c r="I152" s="16" t="n"/>
      <c r="J152" s="17" t="n"/>
      <c r="K152" s="17" t="n"/>
      <c r="L152" s="18" t="n"/>
      <c r="M152" s="19" t="n"/>
      <c r="N152" s="14" t="n"/>
      <c r="O152" s="14" t="n"/>
      <c r="P152" s="14" t="n"/>
      <c r="Q152" s="14" t="n"/>
      <c r="R152" s="14" t="n"/>
      <c r="S152" s="14" t="n"/>
      <c r="T152" s="20" t="n"/>
      <c r="U152" s="14" t="n"/>
      <c r="V152" s="14" t="n"/>
      <c r="W152" s="21" t="n"/>
      <c r="X152" s="14" t="n"/>
      <c r="Y152" s="18" t="n"/>
      <c r="Z152" s="19" t="n"/>
      <c r="AA152" s="14" t="n"/>
      <c r="AB152" s="20" t="n"/>
      <c r="AC152" s="14" t="n"/>
      <c r="AD152" s="14" t="n"/>
      <c r="AE152" s="22" t="n"/>
      <c r="AF152" s="23" t="n"/>
      <c r="AG152" s="14" t="n"/>
      <c r="AH152" s="20" t="n"/>
      <c r="AI152" s="20" t="n"/>
      <c r="AJ152" s="14" t="n"/>
    </row>
    <row r="153">
      <c r="A153" s="12" t="inlineStr">
        <is>
          <t>JMSOLUTION - Lacto Saccharomyces Golden Rice Mask Plus [30ml*10ea] / Маска с лактобактериями</t>
        </is>
      </c>
      <c r="B153" s="13" t="n"/>
      <c r="C153" s="13" t="n"/>
      <c r="D153" s="14" t="n"/>
      <c r="E153" s="14" t="n"/>
      <c r="F153" s="14" t="n"/>
      <c r="G153" s="14" t="n"/>
      <c r="H153" s="15" t="n"/>
      <c r="I153" s="16" t="n"/>
      <c r="J153" s="17" t="n"/>
      <c r="K153" s="17" t="n"/>
      <c r="L153" s="18" t="n"/>
      <c r="M153" s="19" t="n"/>
      <c r="N153" s="14" t="n"/>
      <c r="O153" s="14" t="n"/>
      <c r="P153" s="14" t="n"/>
      <c r="Q153" s="14" t="n"/>
      <c r="R153" s="14" t="n"/>
      <c r="S153" s="14" t="n"/>
      <c r="T153" s="20" t="n"/>
      <c r="U153" s="14" t="n"/>
      <c r="V153" s="14" t="n"/>
      <c r="W153" s="21" t="n"/>
      <c r="X153" s="14" t="n"/>
      <c r="Y153" s="18" t="n"/>
      <c r="Z153" s="19" t="n"/>
      <c r="AA153" s="14" t="n"/>
      <c r="AB153" s="20" t="n"/>
      <c r="AC153" s="14" t="n"/>
      <c r="AD153" s="14" t="n"/>
      <c r="AE153" s="22" t="n"/>
      <c r="AF153" s="23" t="n"/>
      <c r="AG153" s="14" t="n"/>
      <c r="AH153" s="20" t="n"/>
      <c r="AI153" s="20" t="n"/>
      <c r="AJ153" s="14" t="n"/>
    </row>
    <row r="154">
      <c r="A154" s="12" t="inlineStr">
        <is>
          <t>JMSOLUTION SELFIE BARRIER HEARTLEAF MASK</t>
        </is>
      </c>
      <c r="B154" s="13" t="n"/>
      <c r="C154" s="13" t="n"/>
      <c r="D154" s="14" t="n"/>
      <c r="E154" s="14" t="n"/>
      <c r="F154" s="14" t="n"/>
      <c r="G154" s="14" t="n"/>
      <c r="H154" s="15" t="n"/>
      <c r="I154" s="16" t="n"/>
      <c r="J154" s="17" t="n"/>
      <c r="K154" s="17" t="n"/>
      <c r="L154" s="18" t="n"/>
      <c r="M154" s="19" t="n"/>
      <c r="N154" s="14" t="n"/>
      <c r="O154" s="14" t="n"/>
      <c r="P154" s="14" t="n"/>
      <c r="Q154" s="14" t="n"/>
      <c r="R154" s="14" t="n"/>
      <c r="S154" s="14" t="n"/>
      <c r="T154" s="20" t="n"/>
      <c r="U154" s="14" t="n"/>
      <c r="V154" s="14" t="n"/>
      <c r="W154" s="21" t="n"/>
      <c r="X154" s="14" t="n"/>
      <c r="Y154" s="18" t="n"/>
      <c r="Z154" s="19" t="n"/>
      <c r="AA154" s="14" t="n"/>
      <c r="AB154" s="20" t="n"/>
      <c r="AC154" s="14" t="n"/>
      <c r="AD154" s="14" t="n"/>
      <c r="AE154" s="22" t="n"/>
      <c r="AF154" s="23" t="n"/>
      <c r="AG154" s="14" t="n"/>
      <c r="AH154" s="20" t="n"/>
      <c r="AI154" s="20" t="n"/>
      <c r="AJ154" s="14" t="n"/>
    </row>
    <row r="155">
      <c r="A155" s="12" t="inlineStr">
        <is>
          <t>JMSOLUTION SELFIE BARRIER CALENDULA MASK</t>
        </is>
      </c>
      <c r="B155" s="13" t="n"/>
      <c r="C155" s="13" t="n"/>
      <c r="D155" s="14" t="n"/>
      <c r="E155" s="14" t="n"/>
      <c r="F155" s="14" t="n"/>
      <c r="G155" s="14" t="n"/>
      <c r="H155" s="15" t="n"/>
      <c r="I155" s="16" t="n"/>
      <c r="J155" s="17" t="n"/>
      <c r="K155" s="17" t="n"/>
      <c r="L155" s="18" t="n"/>
      <c r="M155" s="19" t="n"/>
      <c r="N155" s="14" t="n"/>
      <c r="O155" s="14" t="n"/>
      <c r="P155" s="14" t="n"/>
      <c r="Q155" s="14" t="n"/>
      <c r="R155" s="14" t="n"/>
      <c r="S155" s="14" t="n"/>
      <c r="T155" s="20" t="n"/>
      <c r="U155" s="14" t="n"/>
      <c r="V155" s="14" t="n"/>
      <c r="W155" s="21" t="n"/>
      <c r="X155" s="14" t="n"/>
      <c r="Y155" s="18" t="n"/>
      <c r="Z155" s="19" t="n"/>
      <c r="AA155" s="14" t="n"/>
      <c r="AB155" s="20" t="n"/>
      <c r="AC155" s="14" t="n"/>
      <c r="AD155" s="14" t="n"/>
      <c r="AE155" s="22" t="n"/>
      <c r="AF155" s="23" t="n"/>
      <c r="AG155" s="14" t="n"/>
      <c r="AH155" s="20" t="n"/>
      <c r="AI155" s="20" t="n"/>
      <c r="AJ155" s="14" t="n"/>
    </row>
    <row r="156">
      <c r="A156" s="12" t="inlineStr">
        <is>
          <t>JMSOLUTION SELFIE NOURISING PHYTO PLACENTA MASK</t>
        </is>
      </c>
      <c r="B156" s="13" t="n"/>
      <c r="C156" s="13" t="n"/>
      <c r="D156" s="14" t="n"/>
      <c r="E156" s="14" t="n"/>
      <c r="F156" s="14" t="n"/>
      <c r="G156" s="14" t="n"/>
      <c r="H156" s="15" t="n"/>
      <c r="I156" s="16" t="n"/>
      <c r="J156" s="17" t="n"/>
      <c r="K156" s="17" t="n"/>
      <c r="L156" s="18" t="n"/>
      <c r="M156" s="19" t="n"/>
      <c r="N156" s="14" t="n"/>
      <c r="O156" s="14" t="n"/>
      <c r="P156" s="14" t="n"/>
      <c r="Q156" s="14" t="n"/>
      <c r="R156" s="14" t="n"/>
      <c r="S156" s="14" t="n"/>
      <c r="T156" s="20" t="n"/>
      <c r="U156" s="14" t="n"/>
      <c r="V156" s="14" t="n"/>
      <c r="W156" s="21" t="n"/>
      <c r="X156" s="14" t="n"/>
      <c r="Y156" s="18" t="n"/>
      <c r="Z156" s="19" t="n"/>
      <c r="AA156" s="14" t="n"/>
      <c r="AB156" s="20" t="n"/>
      <c r="AC156" s="14" t="n"/>
      <c r="AD156" s="14" t="n"/>
      <c r="AE156" s="22" t="n"/>
      <c r="AF156" s="23" t="n"/>
      <c r="AG156" s="14" t="n"/>
      <c r="AH156" s="20" t="n"/>
      <c r="AI156" s="20" t="n"/>
      <c r="AJ156" s="14" t="n"/>
    </row>
    <row r="157">
      <c r="A157" s="12" t="inlineStr">
        <is>
          <t>JMSOLUTION COLLECTION NOURISING CERAMIDE MASK</t>
        </is>
      </c>
      <c r="B157" s="13" t="n"/>
      <c r="C157" s="13" t="n"/>
      <c r="D157" s="14" t="n"/>
      <c r="E157" s="14" t="n"/>
      <c r="F157" s="14" t="n"/>
      <c r="G157" s="14" t="n"/>
      <c r="H157" s="15" t="n"/>
      <c r="I157" s="16" t="n"/>
      <c r="J157" s="17" t="n"/>
      <c r="K157" s="17" t="n"/>
      <c r="L157" s="18" t="n"/>
      <c r="M157" s="19" t="n"/>
      <c r="N157" s="14" t="n"/>
      <c r="O157" s="14" t="n"/>
      <c r="P157" s="14" t="n"/>
      <c r="Q157" s="14" t="n"/>
      <c r="R157" s="14" t="n"/>
      <c r="S157" s="14" t="n"/>
      <c r="T157" s="20" t="n"/>
      <c r="U157" s="14" t="n"/>
      <c r="V157" s="14" t="n"/>
      <c r="W157" s="21" t="n"/>
      <c r="X157" s="14" t="n"/>
      <c r="Y157" s="18" t="n"/>
      <c r="Z157" s="19" t="n"/>
      <c r="AA157" s="14" t="n"/>
      <c r="AB157" s="20" t="n"/>
      <c r="AC157" s="14" t="n"/>
      <c r="AD157" s="14" t="n"/>
      <c r="AE157" s="22" t="n"/>
      <c r="AF157" s="23" t="n"/>
      <c r="AG157" s="14" t="n"/>
      <c r="AH157" s="20" t="n"/>
      <c r="AI157" s="20" t="n"/>
      <c r="AJ157" s="14" t="n"/>
    </row>
    <row r="158">
      <c r="A158" s="12" t="inlineStr">
        <is>
          <t>JMSOLUTION - Selfie Barrier Rose Of Jericho Mask [30ml*10ea] / Тканевая маска с экстрактом розы</t>
        </is>
      </c>
      <c r="B158" s="13" t="n"/>
      <c r="C158" s="13" t="n"/>
      <c r="D158" s="14" t="n"/>
      <c r="E158" s="14" t="n"/>
      <c r="F158" s="14" t="n"/>
      <c r="G158" s="14" t="n"/>
      <c r="H158" s="15" t="n"/>
      <c r="I158" s="16" t="n"/>
      <c r="J158" s="17" t="n"/>
      <c r="K158" s="17" t="n"/>
      <c r="L158" s="18" t="n"/>
      <c r="M158" s="19" t="n"/>
      <c r="N158" s="14" t="n"/>
      <c r="O158" s="14" t="n"/>
      <c r="P158" s="14" t="n"/>
      <c r="Q158" s="14" t="n"/>
      <c r="R158" s="14" t="n"/>
      <c r="S158" s="14" t="n"/>
      <c r="T158" s="20" t="n"/>
      <c r="U158" s="14" t="n"/>
      <c r="V158" s="14" t="n"/>
      <c r="W158" s="21" t="n"/>
      <c r="X158" s="14" t="n"/>
      <c r="Y158" s="18" t="n"/>
      <c r="Z158" s="19" t="n"/>
      <c r="AA158" s="14" t="n"/>
      <c r="AB158" s="20" t="n"/>
      <c r="AC158" s="14" t="n"/>
      <c r="AD158" s="14" t="n"/>
      <c r="AE158" s="22" t="n"/>
      <c r="AF158" s="23" t="n"/>
      <c r="AG158" s="14" t="n"/>
      <c r="AH158" s="20" t="n"/>
      <c r="AI158" s="20" t="n"/>
      <c r="AJ158" s="14" t="n"/>
    </row>
    <row r="159">
      <c r="A159" s="12" t="inlineStr">
        <is>
          <t>JMSOLUTION - Selfie Barrier Tea Tree Mask [30ml*10ea] / Маска тканевая с чайным деревом</t>
        </is>
      </c>
      <c r="B159" s="13" t="n"/>
      <c r="C159" s="13" t="n"/>
      <c r="D159" s="14" t="n"/>
      <c r="E159" s="14" t="n"/>
      <c r="F159" s="14" t="n"/>
      <c r="G159" s="14" t="n"/>
      <c r="H159" s="15" t="n"/>
      <c r="I159" s="16" t="n"/>
      <c r="J159" s="17" t="n"/>
      <c r="K159" s="17" t="n"/>
      <c r="L159" s="18" t="n"/>
      <c r="M159" s="19" t="n"/>
      <c r="N159" s="14" t="n"/>
      <c r="O159" s="14" t="n"/>
      <c r="P159" s="14" t="n"/>
      <c r="Q159" s="14" t="n"/>
      <c r="R159" s="14" t="n"/>
      <c r="S159" s="14" t="n"/>
      <c r="T159" s="20" t="n"/>
      <c r="U159" s="14" t="n"/>
      <c r="V159" s="14" t="n"/>
      <c r="W159" s="21" t="n"/>
      <c r="X159" s="14" t="n"/>
      <c r="Y159" s="18" t="n"/>
      <c r="Z159" s="19" t="n"/>
      <c r="AA159" s="14" t="n"/>
      <c r="AB159" s="20" t="n"/>
      <c r="AC159" s="14" t="n"/>
      <c r="AD159" s="14" t="n"/>
      <c r="AE159" s="22" t="n"/>
      <c r="AF159" s="23" t="n"/>
      <c r="AG159" s="14" t="n"/>
      <c r="AH159" s="20" t="n"/>
      <c r="AI159" s="20" t="n"/>
      <c r="AJ159" s="14" t="n"/>
    </row>
    <row r="160">
      <c r="A160" s="12" t="inlineStr">
        <is>
          <t>JMSOLUTION - Selfie Vital Rosehip Mask [30ml*10ea] / Тканевая маска с экстрактом шиповника</t>
        </is>
      </c>
      <c r="B160" s="13" t="n"/>
      <c r="C160" s="13" t="n"/>
      <c r="D160" s="14" t="n"/>
      <c r="E160" s="14" t="n"/>
      <c r="F160" s="14" t="n"/>
      <c r="G160" s="14" t="n"/>
      <c r="H160" s="15" t="n"/>
      <c r="I160" s="16" t="n"/>
      <c r="J160" s="17" t="n"/>
      <c r="K160" s="17" t="n"/>
      <c r="L160" s="18" t="n"/>
      <c r="M160" s="19" t="n"/>
      <c r="N160" s="14" t="n"/>
      <c r="O160" s="14" t="n"/>
      <c r="P160" s="14" t="n"/>
      <c r="Q160" s="14" t="n"/>
      <c r="R160" s="14" t="n"/>
      <c r="S160" s="14" t="n"/>
      <c r="T160" s="20" t="n"/>
      <c r="U160" s="14" t="n"/>
      <c r="V160" s="14" t="n"/>
      <c r="W160" s="21" t="n"/>
      <c r="X160" s="14" t="n"/>
      <c r="Y160" s="18" t="n"/>
      <c r="Z160" s="19" t="n"/>
      <c r="AA160" s="14" t="n"/>
      <c r="AB160" s="20" t="n"/>
      <c r="AC160" s="14" t="n"/>
      <c r="AD160" s="14" t="n"/>
      <c r="AE160" s="22" t="n"/>
      <c r="AF160" s="23" t="n"/>
      <c r="AG160" s="14" t="n"/>
      <c r="AH160" s="20" t="n"/>
      <c r="AI160" s="20" t="n"/>
      <c r="AJ160" s="14" t="n"/>
    </row>
    <row r="161">
      <c r="A161" s="12" t="inlineStr">
        <is>
          <t>JMSOLUTION - Selfie Vital Vitamin Tree Fruit Mask [30ml*10ea] / Витаминизированная тканевая маска с облепихой</t>
        </is>
      </c>
      <c r="B161" s="13" t="n"/>
      <c r="C161" s="13" t="n"/>
      <c r="D161" s="14" t="n"/>
      <c r="E161" s="14" t="n"/>
      <c r="F161" s="14" t="n"/>
      <c r="G161" s="14" t="n"/>
      <c r="H161" s="15" t="n"/>
      <c r="I161" s="16" t="n"/>
      <c r="J161" s="17" t="n"/>
      <c r="K161" s="17" t="n"/>
      <c r="L161" s="18" t="n"/>
      <c r="M161" s="19" t="n"/>
      <c r="N161" s="14" t="n"/>
      <c r="O161" s="14" t="n"/>
      <c r="P161" s="14" t="n"/>
      <c r="Q161" s="14" t="n"/>
      <c r="R161" s="14" t="n"/>
      <c r="S161" s="14" t="n"/>
      <c r="T161" s="20" t="n"/>
      <c r="U161" s="14" t="n"/>
      <c r="V161" s="14" t="n"/>
      <c r="W161" s="21" t="n"/>
      <c r="X161" s="14" t="n"/>
      <c r="Y161" s="18" t="n"/>
      <c r="Z161" s="19" t="n"/>
      <c r="AA161" s="14" t="n"/>
      <c r="AB161" s="20" t="n"/>
      <c r="AC161" s="14" t="n"/>
      <c r="AD161" s="14" t="n"/>
      <c r="AE161" s="22" t="n"/>
      <c r="AF161" s="23" t="n"/>
      <c r="AG161" s="14" t="n"/>
      <c r="AH161" s="20" t="n"/>
      <c r="AI161" s="20" t="n"/>
      <c r="AJ161" s="14" t="n"/>
    </row>
    <row r="162">
      <c r="A162" s="12" t="inlineStr">
        <is>
          <t>JMSOLUTION - Marine Luminous Pearl Deep Moisture Mask Pearl [1/2/3]*[10ea] / Тканевая маска для лица с жемчужной пудрой</t>
        </is>
      </c>
      <c r="B162" s="13" t="n"/>
      <c r="C162" s="13" t="n"/>
      <c r="D162" s="14" t="n"/>
      <c r="E162" s="14" t="n"/>
      <c r="F162" s="14" t="n"/>
      <c r="G162" s="14" t="n"/>
      <c r="H162" s="15" t="n"/>
      <c r="I162" s="16" t="n"/>
      <c r="J162" s="17" t="n"/>
      <c r="K162" s="17" t="n"/>
      <c r="L162" s="18" t="n"/>
      <c r="M162" s="19" t="n"/>
      <c r="N162" s="14" t="n"/>
      <c r="O162" s="14" t="n"/>
      <c r="P162" s="14" t="n"/>
      <c r="Q162" s="14" t="n"/>
      <c r="R162" s="14" t="n"/>
      <c r="S162" s="14" t="n"/>
      <c r="T162" s="20" t="n"/>
      <c r="U162" s="14" t="n"/>
      <c r="V162" s="14" t="n"/>
      <c r="W162" s="21" t="n"/>
      <c r="X162" s="14" t="n"/>
      <c r="Y162" s="18" t="n"/>
      <c r="Z162" s="19" t="n"/>
      <c r="AA162" s="14" t="n"/>
      <c r="AB162" s="20" t="n"/>
      <c r="AC162" s="14" t="n"/>
      <c r="AD162" s="14" t="n"/>
      <c r="AE162" s="22" t="n"/>
      <c r="AF162" s="23" t="n"/>
      <c r="AG162" s="14" t="n"/>
      <c r="AH162" s="20" t="n"/>
      <c r="AI162" s="20" t="n"/>
      <c r="AJ162" s="14" t="n"/>
    </row>
    <row r="163">
      <c r="A163" s="12" t="inlineStr">
        <is>
          <t>LEBELAGE - Dr. Hyaluronic Derma Eye Cream [40ml] / Крем для глаз антивозрастной с гиалуроновой кислотой</t>
        </is>
      </c>
      <c r="B163" s="13" t="n"/>
      <c r="C163" s="13" t="n"/>
      <c r="D163" s="14" t="n"/>
      <c r="E163" s="14" t="n"/>
      <c r="F163" s="14" t="n"/>
      <c r="G163" s="14" t="n"/>
      <c r="H163" s="15" t="n"/>
      <c r="I163" s="16" t="n"/>
      <c r="J163" s="17" t="n"/>
      <c r="K163" s="17" t="n"/>
      <c r="L163" s="18" t="n"/>
      <c r="M163" s="19" t="n"/>
      <c r="N163" s="14" t="n"/>
      <c r="O163" s="14" t="n"/>
      <c r="P163" s="14" t="n"/>
      <c r="Q163" s="14" t="n"/>
      <c r="R163" s="14" t="n"/>
      <c r="S163" s="14" t="n"/>
      <c r="T163" s="20" t="n"/>
      <c r="U163" s="14" t="n"/>
      <c r="V163" s="14" t="n"/>
      <c r="W163" s="21" t="n"/>
      <c r="X163" s="14" t="n"/>
      <c r="Y163" s="18" t="n"/>
      <c r="Z163" s="19" t="n"/>
      <c r="AA163" s="14" t="n"/>
      <c r="AB163" s="20" t="n"/>
      <c r="AC163" s="14" t="n"/>
      <c r="AD163" s="14" t="n"/>
      <c r="AE163" s="22" t="n"/>
      <c r="AF163" s="23" t="n"/>
      <c r="AG163" s="14" t="n"/>
      <c r="AH163" s="20" t="n"/>
      <c r="AI163" s="20" t="n"/>
      <c r="AJ163" s="14" t="n"/>
    </row>
    <row r="164">
      <c r="A164" s="24" t="inlineStr">
        <is>
          <t>LEBELAGE - Dr. Peptide Derma Eye Cream [40ml] / Крем для глаз антивозрастной с пептидами</t>
        </is>
      </c>
      <c r="B164" s="25" t="n"/>
      <c r="C164" s="26" t="n"/>
      <c r="D164" s="27" t="n">
        <v>667</v>
      </c>
      <c r="E164" s="27" t="n">
        <v>1738</v>
      </c>
      <c r="F164" s="27" t="n">
        <v>22</v>
      </c>
      <c r="G164" s="27" t="n">
        <v>600</v>
      </c>
      <c r="H164" s="28" t="n">
        <v>0.45</v>
      </c>
      <c r="I164" s="29">
        <f>G164*(1-H164)</f>
        <v/>
      </c>
      <c r="J164" s="30" t="n">
        <v>108.15</v>
      </c>
      <c r="K164" s="31">
        <f>$G$5</f>
        <v/>
      </c>
      <c r="L164" s="32">
        <f>J164+K164</f>
        <v/>
      </c>
      <c r="M164" s="33" t="n">
        <v>0.41</v>
      </c>
      <c r="N164" s="34">
        <f>G164*M164</f>
        <v/>
      </c>
      <c r="O164" s="35" t="n">
        <v>63</v>
      </c>
      <c r="P164" s="34">
        <f>G164*$G$8</f>
        <v/>
      </c>
      <c r="Q164" s="35" t="n">
        <v>25</v>
      </c>
      <c r="R164" s="34">
        <f>G164*$G$4</f>
        <v/>
      </c>
      <c r="S164" s="34">
        <f>I164*$G$3</f>
        <v/>
      </c>
      <c r="T164" s="36" t="n">
        <v>0.9</v>
      </c>
      <c r="U164" s="35" t="n">
        <v>63</v>
      </c>
      <c r="V164" s="34">
        <f>U164*(1-T164)</f>
        <v/>
      </c>
      <c r="W164" s="37" t="n">
        <v>0.27</v>
      </c>
      <c r="X164" s="34">
        <f>$G$6*$G$7*W164</f>
        <v/>
      </c>
      <c r="Y164" s="32">
        <f>W164*($G$9+$G$10)</f>
        <v/>
      </c>
      <c r="Z164" s="33" t="n">
        <v>0.07000000000000001</v>
      </c>
      <c r="AA164" s="34">
        <f>G164*Z164</f>
        <v/>
      </c>
      <c r="AB164" s="36" t="n">
        <v>0.08</v>
      </c>
      <c r="AC164" s="34">
        <f>G164*AB164</f>
        <v/>
      </c>
      <c r="AD164" s="34">
        <f>AA164+AC164</f>
        <v/>
      </c>
      <c r="AE164" s="38">
        <f>AD164/G164</f>
        <v/>
      </c>
      <c r="AF164" s="39">
        <f>G164-N164-O164-P164-Q164-R164-S164-V164-X164-Y164-L164</f>
        <v/>
      </c>
      <c r="AG164" s="40">
        <f>AF164-AD164</f>
        <v/>
      </c>
      <c r="AH164" s="41">
        <f>AG164/G164</f>
        <v/>
      </c>
      <c r="AI164" s="42">
        <f>AG164/L164</f>
        <v/>
      </c>
      <c r="AJ164" s="34">
        <f>(O164+Q164+V164+X164+Y164+L164)/(1-(M164+$G$4+(1-H164)*$G$3+$G$8+Z164+AB164))</f>
        <v/>
      </c>
    </row>
    <row r="165">
      <c r="A165" s="12" t="inlineStr">
        <is>
          <t>LEBELAGE - Dr. Snail Derma Eye Cream [40ml] / Крем для глаз антивозрастной с улиточным муцином</t>
        </is>
      </c>
      <c r="B165" s="13" t="n"/>
      <c r="C165" s="13" t="n"/>
      <c r="D165" s="14" t="n"/>
      <c r="E165" s="14" t="n"/>
      <c r="F165" s="14" t="n"/>
      <c r="G165" s="14" t="n"/>
      <c r="H165" s="15" t="n"/>
      <c r="I165" s="16" t="n"/>
      <c r="J165" s="17" t="n"/>
      <c r="K165" s="17" t="n"/>
      <c r="L165" s="18" t="n"/>
      <c r="M165" s="19" t="n"/>
      <c r="N165" s="14" t="n"/>
      <c r="O165" s="14" t="n"/>
      <c r="P165" s="14" t="n"/>
      <c r="Q165" s="14" t="n"/>
      <c r="R165" s="14" t="n"/>
      <c r="S165" s="14" t="n"/>
      <c r="T165" s="20" t="n"/>
      <c r="U165" s="14" t="n"/>
      <c r="V165" s="14" t="n"/>
      <c r="W165" s="21" t="n"/>
      <c r="X165" s="14" t="n"/>
      <c r="Y165" s="18" t="n"/>
      <c r="Z165" s="19" t="n"/>
      <c r="AA165" s="14" t="n"/>
      <c r="AB165" s="20" t="n"/>
      <c r="AC165" s="14" t="n"/>
      <c r="AD165" s="14" t="n"/>
      <c r="AE165" s="22" t="n"/>
      <c r="AF165" s="23" t="n"/>
      <c r="AG165" s="14" t="n"/>
      <c r="AH165" s="20" t="n"/>
      <c r="AI165" s="20" t="n"/>
      <c r="AJ165" s="14" t="n"/>
    </row>
    <row r="166">
      <c r="A166" s="24" t="inlineStr">
        <is>
          <t>LANEIGE LIP SLEEPING MASK-BERRY [3g]</t>
        </is>
      </c>
      <c r="B166" s="25" t="n"/>
      <c r="C166" s="26" t="n"/>
      <c r="D166" s="27" t="n">
        <v>1470</v>
      </c>
      <c r="E166" s="27" t="n">
        <v>568</v>
      </c>
      <c r="F166" s="27" t="n">
        <v>10</v>
      </c>
      <c r="G166" s="27">
        <f>(1.25*L166+O166+Q166+V166+X166+Y166)/(1-M166-$G$8-$G$4-(1-H166)*$G$3-Z166-AB166)</f>
        <v/>
      </c>
      <c r="H166" s="28" t="n">
        <v>0.45</v>
      </c>
      <c r="I166" s="29">
        <f>G166*(1-H166)</f>
        <v/>
      </c>
      <c r="J166" s="30" t="n">
        <v>130.86</v>
      </c>
      <c r="K166" s="31">
        <f>$G$5</f>
        <v/>
      </c>
      <c r="L166" s="32">
        <f>J166+K166</f>
        <v/>
      </c>
      <c r="M166" s="33" t="n">
        <v>0.41</v>
      </c>
      <c r="N166" s="34">
        <f>G166*M166</f>
        <v/>
      </c>
      <c r="O166" s="35" t="n">
        <v>56</v>
      </c>
      <c r="P166" s="34">
        <f>G166*$G$8</f>
        <v/>
      </c>
      <c r="Q166" s="35" t="n">
        <v>25</v>
      </c>
      <c r="R166" s="34">
        <f>G166*$G$4</f>
        <v/>
      </c>
      <c r="S166" s="34">
        <f>I166*$G$3</f>
        <v/>
      </c>
      <c r="T166" s="36" t="n">
        <v>0.9</v>
      </c>
      <c r="U166" s="35" t="n">
        <v>56</v>
      </c>
      <c r="V166" s="34">
        <f>U166*(1-T166)</f>
        <v/>
      </c>
      <c r="W166" s="37" t="n">
        <v>0.2</v>
      </c>
      <c r="X166" s="34">
        <f>$G$6*$G$7*W166</f>
        <v/>
      </c>
      <c r="Y166" s="32">
        <f>W166*($G$9+$G$10)</f>
        <v/>
      </c>
      <c r="Z166" s="33" t="n">
        <v>0.07000000000000001</v>
      </c>
      <c r="AA166" s="34">
        <f>G166*Z166</f>
        <v/>
      </c>
      <c r="AB166" s="36" t="n">
        <v>0.08</v>
      </c>
      <c r="AC166" s="34">
        <f>G166*AB166</f>
        <v/>
      </c>
      <c r="AD166" s="34">
        <f>AA166+AC166</f>
        <v/>
      </c>
      <c r="AE166" s="38">
        <f>AD166/G166</f>
        <v/>
      </c>
      <c r="AF166" s="39">
        <f>G166-N166-O166-P166-Q166-R166-S166-V166-X166-Y166-L166</f>
        <v/>
      </c>
      <c r="AG166" s="40">
        <f>AF166-AD166</f>
        <v/>
      </c>
      <c r="AH166" s="41">
        <f>AG166/G166</f>
        <v/>
      </c>
      <c r="AI166" s="42">
        <f>AG166/L166</f>
        <v/>
      </c>
      <c r="AJ166" s="34">
        <f>(O166+Q166+V166+X166+Y166+L166)/(1-(M166+$G$4+(1-H166)*$G$3+$G$8+Z166+AB166))</f>
        <v/>
      </c>
    </row>
    <row r="167">
      <c r="A167" s="12" t="inlineStr">
        <is>
          <t>MANYO - Bifida Biome Concentrate Cream [50ml] / Крем для лица омолаживающий антивозрастной</t>
        </is>
      </c>
      <c r="B167" s="13" t="n"/>
      <c r="C167" s="13" t="n"/>
      <c r="D167" s="14" t="n"/>
      <c r="E167" s="14" t="n"/>
      <c r="F167" s="14" t="n"/>
      <c r="G167" s="14" t="n"/>
      <c r="H167" s="15" t="n"/>
      <c r="I167" s="16" t="n"/>
      <c r="J167" s="17" t="n"/>
      <c r="K167" s="17" t="n"/>
      <c r="L167" s="18" t="n"/>
      <c r="M167" s="19" t="n"/>
      <c r="N167" s="14" t="n"/>
      <c r="O167" s="14" t="n"/>
      <c r="P167" s="14" t="n"/>
      <c r="Q167" s="14" t="n"/>
      <c r="R167" s="14" t="n"/>
      <c r="S167" s="14" t="n"/>
      <c r="T167" s="20" t="n"/>
      <c r="U167" s="14" t="n"/>
      <c r="V167" s="14" t="n"/>
      <c r="W167" s="21" t="n"/>
      <c r="X167" s="14" t="n"/>
      <c r="Y167" s="18" t="n"/>
      <c r="Z167" s="19" t="n"/>
      <c r="AA167" s="14" t="n"/>
      <c r="AB167" s="20" t="n"/>
      <c r="AC167" s="14" t="n"/>
      <c r="AD167" s="14" t="n"/>
      <c r="AE167" s="22" t="n"/>
      <c r="AF167" s="23" t="n"/>
      <c r="AG167" s="14" t="n"/>
      <c r="AH167" s="20" t="n"/>
      <c r="AI167" s="20" t="n"/>
      <c r="AJ167" s="14" t="n"/>
    </row>
    <row r="168">
      <c r="A168" s="24" t="inlineStr">
        <is>
          <t>MANYO - Bifida Biome Complex Ampoule [50ml] / Антивозрастная сыворотка для лица</t>
        </is>
      </c>
      <c r="B168" s="25" t="n"/>
      <c r="C168" s="26" t="n"/>
      <c r="D168" s="27" t="n">
        <v>5800</v>
      </c>
      <c r="E168" s="27" t="n">
        <v>152</v>
      </c>
      <c r="F168" s="27" t="n">
        <v>0</v>
      </c>
      <c r="G168" s="27" t="n">
        <v>5500</v>
      </c>
      <c r="H168" s="28" t="n">
        <v>0.45</v>
      </c>
      <c r="I168" s="29">
        <f>G168*(1-H168)</f>
        <v/>
      </c>
      <c r="J168" s="30" t="n">
        <v>899.78</v>
      </c>
      <c r="K168" s="31">
        <f>$G$5</f>
        <v/>
      </c>
      <c r="L168" s="32">
        <f>J168+K168</f>
        <v/>
      </c>
      <c r="M168" s="33" t="n">
        <v>0.41</v>
      </c>
      <c r="N168" s="34">
        <f>G168*M168</f>
        <v/>
      </c>
      <c r="O168" s="35" t="n">
        <v>63</v>
      </c>
      <c r="P168" s="34">
        <f>G168*$G$8</f>
        <v/>
      </c>
      <c r="Q168" s="35" t="n">
        <v>25</v>
      </c>
      <c r="R168" s="34">
        <f>G168*$G$4</f>
        <v/>
      </c>
      <c r="S168" s="34">
        <f>I168*$G$3</f>
        <v/>
      </c>
      <c r="T168" s="36" t="n">
        <v>0.9</v>
      </c>
      <c r="U168" s="35" t="n">
        <v>63</v>
      </c>
      <c r="V168" s="34">
        <f>U168*(1-T168)</f>
        <v/>
      </c>
      <c r="W168" s="37" t="n">
        <v>0.3</v>
      </c>
      <c r="X168" s="34">
        <f>$G$6*$G$7*W168</f>
        <v/>
      </c>
      <c r="Y168" s="32">
        <f>W168*($G$9+$G$10)</f>
        <v/>
      </c>
      <c r="Z168" s="33" t="n">
        <v>0.025</v>
      </c>
      <c r="AA168" s="34">
        <f>G168*Z168</f>
        <v/>
      </c>
      <c r="AB168" s="36" t="n">
        <v>0.025</v>
      </c>
      <c r="AC168" s="34">
        <f>G168*AB168</f>
        <v/>
      </c>
      <c r="AD168" s="34">
        <f>AA168+AC168</f>
        <v/>
      </c>
      <c r="AE168" s="38">
        <f>AD168/G168</f>
        <v/>
      </c>
      <c r="AF168" s="39">
        <f>G168-N168-O168-P168-Q168-R168-S168-V168-X168-Y168-L168</f>
        <v/>
      </c>
      <c r="AG168" s="40">
        <f>AF168-AD168</f>
        <v/>
      </c>
      <c r="AH168" s="41">
        <f>AG168/G168</f>
        <v/>
      </c>
      <c r="AI168" s="42">
        <f>AG168/L168</f>
        <v/>
      </c>
      <c r="AJ168" s="34">
        <f>(O168+Q168+V168+X168+Y168+L168)/(1-(M168+$G$4+(1-H168)*$G$3+$G$8+Z168+AB168))</f>
        <v/>
      </c>
    </row>
    <row r="169">
      <c r="A169" s="24" t="inlineStr">
        <is>
          <t>MANYO - Galac Whitening Vita Serum [50ml] / Осветляющая сыворотка с Витамином C</t>
        </is>
      </c>
      <c r="B169" s="25" t="n"/>
      <c r="C169" s="26" t="inlineStr">
        <is>
          <t>-</t>
        </is>
      </c>
      <c r="D169" s="27" t="n">
        <v>4000</v>
      </c>
      <c r="E169" s="27" t="n">
        <v>163</v>
      </c>
      <c r="F169" s="27" t="n">
        <v>0</v>
      </c>
      <c r="G169" s="27" t="n">
        <v>3700</v>
      </c>
      <c r="H169" s="28" t="n">
        <v>0.45</v>
      </c>
      <c r="I169" s="29">
        <f>G169*(1-H169)</f>
        <v/>
      </c>
      <c r="J169" s="30" t="n">
        <v>646.83</v>
      </c>
      <c r="K169" s="31">
        <f>$G$5</f>
        <v/>
      </c>
      <c r="L169" s="32">
        <f>J169+K169</f>
        <v/>
      </c>
      <c r="M169" s="33" t="n">
        <v>0.41</v>
      </c>
      <c r="N169" s="34">
        <f>G169*M169</f>
        <v/>
      </c>
      <c r="O169" s="35" t="n">
        <v>56</v>
      </c>
      <c r="P169" s="34">
        <f>G169*$G$8</f>
        <v/>
      </c>
      <c r="Q169" s="35" t="n">
        <v>25</v>
      </c>
      <c r="R169" s="34">
        <f>G169*$G$4</f>
        <v/>
      </c>
      <c r="S169" s="34">
        <f>I169*$G$3</f>
        <v/>
      </c>
      <c r="T169" s="36" t="n">
        <v>0.9</v>
      </c>
      <c r="U169" s="35" t="n">
        <v>56</v>
      </c>
      <c r="V169" s="34">
        <f>U169*(1-T169)</f>
        <v/>
      </c>
      <c r="W169" s="37" t="n">
        <v>0.19</v>
      </c>
      <c r="X169" s="34">
        <f>$G$6*$G$7*W169</f>
        <v/>
      </c>
      <c r="Y169" s="32">
        <f>W169*($G$9+$G$10)</f>
        <v/>
      </c>
      <c r="Z169" s="33" t="n">
        <v>0.025</v>
      </c>
      <c r="AA169" s="34">
        <f>G169*Z169</f>
        <v/>
      </c>
      <c r="AB169" s="36" t="n">
        <v>0.025</v>
      </c>
      <c r="AC169" s="34">
        <f>G169*AB169</f>
        <v/>
      </c>
      <c r="AD169" s="34">
        <f>AA169+AC169</f>
        <v/>
      </c>
      <c r="AE169" s="38">
        <f>AD169/G169</f>
        <v/>
      </c>
      <c r="AF169" s="39">
        <f>G169-N169-O169-P169-Q169-R169-S169-V169-X169-Y169-L169</f>
        <v/>
      </c>
      <c r="AG169" s="40">
        <f>AF169-AD169</f>
        <v/>
      </c>
      <c r="AH169" s="41">
        <f>AG169/G169</f>
        <v/>
      </c>
      <c r="AI169" s="42">
        <f>AG169/L169</f>
        <v/>
      </c>
      <c r="AJ169" s="34">
        <f>(O169+Q169+V169+X169+Y169+L169)/(1-(M169+$G$4+(1-H169)*$G$3+$G$8+Z169+AB169))</f>
        <v/>
      </c>
    </row>
    <row r="170">
      <c r="A170" s="12" t="inlineStr">
        <is>
          <t>MANYO - Pure Aqua Peeling Gel [120ml] / Пилинг гель с кислотой PHA для сияния кожи</t>
        </is>
      </c>
      <c r="B170" s="13" t="n"/>
      <c r="C170" s="13" t="n"/>
      <c r="D170" s="14" t="n"/>
      <c r="E170" s="14" t="n"/>
      <c r="F170" s="14" t="n"/>
      <c r="G170" s="14" t="n"/>
      <c r="H170" s="15" t="n"/>
      <c r="I170" s="16" t="n"/>
      <c r="J170" s="17" t="n"/>
      <c r="K170" s="17" t="n"/>
      <c r="L170" s="18" t="n"/>
      <c r="M170" s="19" t="n"/>
      <c r="N170" s="14" t="n"/>
      <c r="O170" s="14" t="n"/>
      <c r="P170" s="14" t="n"/>
      <c r="Q170" s="14" t="n"/>
      <c r="R170" s="14" t="n"/>
      <c r="S170" s="14" t="n"/>
      <c r="T170" s="20" t="n"/>
      <c r="U170" s="14" t="n"/>
      <c r="V170" s="14" t="n"/>
      <c r="W170" s="21" t="n"/>
      <c r="X170" s="14" t="n"/>
      <c r="Y170" s="18" t="n"/>
      <c r="Z170" s="19" t="n"/>
      <c r="AA170" s="14" t="n"/>
      <c r="AB170" s="20" t="n"/>
      <c r="AC170" s="14" t="n"/>
      <c r="AD170" s="14" t="n"/>
      <c r="AE170" s="22" t="n"/>
      <c r="AF170" s="23" t="n"/>
      <c r="AG170" s="14" t="n"/>
      <c r="AH170" s="20" t="n"/>
      <c r="AI170" s="20" t="n"/>
      <c r="AJ170" s="14" t="n"/>
    </row>
    <row r="171">
      <c r="A171" s="24" t="inlineStr">
        <is>
          <t>MANYO - Bifida Biome Ampoule Lotion [300ml] / Укрепляющий лосьон с бифидобактериями</t>
        </is>
      </c>
      <c r="B171" s="25" t="n"/>
      <c r="C171" s="26" t="inlineStr">
        <is>
          <t>нет у официала</t>
        </is>
      </c>
      <c r="D171" s="27" t="n">
        <v>4000</v>
      </c>
      <c r="E171" s="27" t="n">
        <v>140</v>
      </c>
      <c r="F171" s="27" t="n">
        <v>0</v>
      </c>
      <c r="G171" s="27" t="n">
        <v>3700</v>
      </c>
      <c r="H171" s="28" t="n">
        <v>0.45</v>
      </c>
      <c r="I171" s="29">
        <f>G171*(1-H171)</f>
        <v/>
      </c>
      <c r="J171" s="30" t="n">
        <v>735.34</v>
      </c>
      <c r="K171" s="31">
        <f>$G$5</f>
        <v/>
      </c>
      <c r="L171" s="32">
        <f>J171+K171</f>
        <v/>
      </c>
      <c r="M171" s="33" t="n">
        <v>0.41</v>
      </c>
      <c r="N171" s="34">
        <f>G171*M171</f>
        <v/>
      </c>
      <c r="O171" s="35" t="n">
        <v>67</v>
      </c>
      <c r="P171" s="34">
        <f>G171*$G$8</f>
        <v/>
      </c>
      <c r="Q171" s="35" t="n">
        <v>25</v>
      </c>
      <c r="R171" s="34">
        <f>G171*$G$4</f>
        <v/>
      </c>
      <c r="S171" s="34">
        <f>I171*$G$3</f>
        <v/>
      </c>
      <c r="T171" s="36" t="n">
        <v>0.9</v>
      </c>
      <c r="U171" s="35" t="n">
        <v>67</v>
      </c>
      <c r="V171" s="34">
        <f>U171*(1-T171)</f>
        <v/>
      </c>
      <c r="W171" s="37" t="n">
        <v>0.61</v>
      </c>
      <c r="X171" s="34">
        <f>$G$6*$G$7*W171</f>
        <v/>
      </c>
      <c r="Y171" s="32">
        <f>W171*($G$9+$G$10)</f>
        <v/>
      </c>
      <c r="Z171" s="33" t="n">
        <v>0.025</v>
      </c>
      <c r="AA171" s="34">
        <f>G171*Z171</f>
        <v/>
      </c>
      <c r="AB171" s="36" t="n">
        <v>0.025</v>
      </c>
      <c r="AC171" s="34">
        <f>G171*AB171</f>
        <v/>
      </c>
      <c r="AD171" s="34">
        <f>AA171+AC171</f>
        <v/>
      </c>
      <c r="AE171" s="38">
        <f>AD171/G171</f>
        <v/>
      </c>
      <c r="AF171" s="39">
        <f>G171-N171-O171-P171-Q171-R171-S171-V171-X171-Y171-L171</f>
        <v/>
      </c>
      <c r="AG171" s="40">
        <f>AF171-AD171</f>
        <v/>
      </c>
      <c r="AH171" s="41">
        <f>AG171/G171</f>
        <v/>
      </c>
      <c r="AI171" s="42">
        <f>AG171/L171</f>
        <v/>
      </c>
      <c r="AJ171" s="34">
        <f>(O171+Q171+V171+X171+Y171+L171)/(1-(M171+$G$4+(1-H171)*$G$3+$G$8+Z171+AB171))</f>
        <v/>
      </c>
    </row>
    <row r="172">
      <c r="A172" s="24" t="inlineStr">
        <is>
          <t>MANYO - Pure Cleansing Oil [200ml] / Гидрофильное масло для глубокого очищения</t>
        </is>
      </c>
      <c r="B172" s="25" t="n"/>
      <c r="C172" s="26" t="inlineStr">
        <is>
          <t>-</t>
        </is>
      </c>
      <c r="D172" s="27" t="n">
        <v>4000</v>
      </c>
      <c r="E172" s="27" t="n">
        <v>60</v>
      </c>
      <c r="F172" s="27" t="n">
        <v>0</v>
      </c>
      <c r="G172" s="27" t="n">
        <v>3700</v>
      </c>
      <c r="H172" s="28" t="n">
        <v>0.45</v>
      </c>
      <c r="I172" s="29">
        <f>G172*(1-H172)</f>
        <v/>
      </c>
      <c r="J172" s="30" t="n">
        <v>853</v>
      </c>
      <c r="K172" s="31">
        <f>$G$5</f>
        <v/>
      </c>
      <c r="L172" s="32">
        <f>J172+K172</f>
        <v/>
      </c>
      <c r="M172" s="33" t="n">
        <v>0.41</v>
      </c>
      <c r="N172" s="34">
        <f>G172*M172</f>
        <v/>
      </c>
      <c r="O172" s="35" t="n">
        <v>67</v>
      </c>
      <c r="P172" s="34">
        <f>G172*$G$8</f>
        <v/>
      </c>
      <c r="Q172" s="35" t="n">
        <v>25</v>
      </c>
      <c r="R172" s="34">
        <f>G172*$G$4</f>
        <v/>
      </c>
      <c r="S172" s="34">
        <f>I172*$G$3</f>
        <v/>
      </c>
      <c r="T172" s="36" t="n">
        <v>0.9</v>
      </c>
      <c r="U172" s="35" t="n">
        <v>67</v>
      </c>
      <c r="V172" s="34">
        <f>U172*(1-T172)</f>
        <v/>
      </c>
      <c r="W172" s="37" t="n">
        <v>0.5</v>
      </c>
      <c r="X172" s="34">
        <f>$G$6*$G$7*W172</f>
        <v/>
      </c>
      <c r="Y172" s="32">
        <f>W172*($G$9+$G$10)</f>
        <v/>
      </c>
      <c r="Z172" s="33" t="n">
        <v>0.025</v>
      </c>
      <c r="AA172" s="34">
        <f>G172*Z172</f>
        <v/>
      </c>
      <c r="AB172" s="36" t="n">
        <v>0.025</v>
      </c>
      <c r="AC172" s="34">
        <f>G172*AB172</f>
        <v/>
      </c>
      <c r="AD172" s="34">
        <f>AA172+AC172</f>
        <v/>
      </c>
      <c r="AE172" s="38">
        <f>AD172/G172</f>
        <v/>
      </c>
      <c r="AF172" s="39">
        <f>G172-N172-O172-P172-Q172-R172-S172-V172-X172-Y172-L172</f>
        <v/>
      </c>
      <c r="AG172" s="40">
        <f>AF172-AD172</f>
        <v/>
      </c>
      <c r="AH172" s="41">
        <f>AG172/G172</f>
        <v/>
      </c>
      <c r="AI172" s="42">
        <f>AG172/L172</f>
        <v/>
      </c>
      <c r="AJ172" s="34">
        <f>(O172+Q172+V172+X172+Y172+L172)/(1-(M172+$G$4+(1-H172)*$G$3+$G$8+Z172+AB172))</f>
        <v/>
      </c>
    </row>
    <row r="173">
      <c r="A173" s="12" t="inlineStr">
        <is>
          <t>MANYO - Bifida Biome Ampoule Toner [400ml] / Ампульный укрепляющий тонер с бифидобактериями</t>
        </is>
      </c>
      <c r="B173" s="13" t="n"/>
      <c r="C173" s="13" t="n"/>
      <c r="D173" s="14" t="n"/>
      <c r="E173" s="14" t="n"/>
      <c r="F173" s="14" t="n"/>
      <c r="G173" s="14" t="n"/>
      <c r="H173" s="15" t="n"/>
      <c r="I173" s="16" t="n"/>
      <c r="J173" s="17" t="n"/>
      <c r="K173" s="17" t="n"/>
      <c r="L173" s="18" t="n"/>
      <c r="M173" s="19" t="n"/>
      <c r="N173" s="14" t="n"/>
      <c r="O173" s="14" t="n"/>
      <c r="P173" s="14" t="n"/>
      <c r="Q173" s="14" t="n"/>
      <c r="R173" s="14" t="n"/>
      <c r="S173" s="14" t="n"/>
      <c r="T173" s="20" t="n"/>
      <c r="U173" s="14" t="n"/>
      <c r="V173" s="14" t="n"/>
      <c r="W173" s="21" t="n"/>
      <c r="X173" s="14" t="n"/>
      <c r="Y173" s="18" t="n"/>
      <c r="Z173" s="19" t="n"/>
      <c r="AA173" s="14" t="n"/>
      <c r="AB173" s="20" t="n"/>
      <c r="AC173" s="14" t="n"/>
      <c r="AD173" s="14" t="n"/>
      <c r="AE173" s="22" t="n"/>
      <c r="AF173" s="23" t="n"/>
      <c r="AG173" s="14" t="n"/>
      <c r="AH173" s="20" t="n"/>
      <c r="AI173" s="20" t="n"/>
      <c r="AJ173" s="14" t="n"/>
    </row>
    <row r="174">
      <c r="A174" s="24" t="inlineStr">
        <is>
          <t>MANYO BIFIDA COMPLEX AMPOULE GEL CLEANSER [400ml] / Гель для умывания с бифидобактериями</t>
        </is>
      </c>
      <c r="B174" s="25" t="n"/>
      <c r="C174" s="26" t="inlineStr">
        <is>
          <t>-</t>
        </is>
      </c>
      <c r="D174" s="27" t="n">
        <v>4800</v>
      </c>
      <c r="E174" s="27" t="n">
        <v>20</v>
      </c>
      <c r="F174" s="27" t="n">
        <v>0</v>
      </c>
      <c r="G174" s="27" t="n">
        <v>4500</v>
      </c>
      <c r="H174" s="28" t="n">
        <v>0.45</v>
      </c>
      <c r="I174" s="29">
        <f>G174*(1-H174)</f>
        <v/>
      </c>
      <c r="J174" s="30" t="n">
        <v>650</v>
      </c>
      <c r="K174" s="31">
        <f>$G$5</f>
        <v/>
      </c>
      <c r="L174" s="32">
        <f>J174+K174</f>
        <v/>
      </c>
      <c r="M174" s="33" t="n">
        <v>0.41</v>
      </c>
      <c r="N174" s="34">
        <f>G174*M174</f>
        <v/>
      </c>
      <c r="O174" s="35" t="n">
        <v>75</v>
      </c>
      <c r="P174" s="34">
        <f>G174*$G$8</f>
        <v/>
      </c>
      <c r="Q174" s="35" t="n">
        <v>25</v>
      </c>
      <c r="R174" s="34">
        <f>G174*$G$4</f>
        <v/>
      </c>
      <c r="S174" s="34">
        <f>I174*$G$3</f>
        <v/>
      </c>
      <c r="T174" s="36" t="n">
        <v>0.9</v>
      </c>
      <c r="U174" s="35" t="n">
        <v>75</v>
      </c>
      <c r="V174" s="34">
        <f>U174*(1-T174)</f>
        <v/>
      </c>
      <c r="W174" s="37" t="n">
        <v>0.931</v>
      </c>
      <c r="X174" s="34">
        <f>$G$6*$G$7*W174</f>
        <v/>
      </c>
      <c r="Y174" s="32">
        <f>W174*($G$9+$G$10)</f>
        <v/>
      </c>
      <c r="Z174" s="33" t="n">
        <v>0.025</v>
      </c>
      <c r="AA174" s="34">
        <f>G174*Z174</f>
        <v/>
      </c>
      <c r="AB174" s="36" t="n">
        <v>0.025</v>
      </c>
      <c r="AC174" s="34">
        <f>G174*AB174</f>
        <v/>
      </c>
      <c r="AD174" s="34">
        <f>AA174+AC174</f>
        <v/>
      </c>
      <c r="AE174" s="38">
        <f>AD174/G174</f>
        <v/>
      </c>
      <c r="AF174" s="39">
        <f>G174-N174-O174-P174-Q174-R174-S174-V174-X174-Y174-L174</f>
        <v/>
      </c>
      <c r="AG174" s="40">
        <f>AF174-AD174</f>
        <v/>
      </c>
      <c r="AH174" s="41">
        <f>AG174/G174</f>
        <v/>
      </c>
      <c r="AI174" s="42">
        <f>AG174/L174</f>
        <v/>
      </c>
      <c r="AJ174" s="34">
        <f>(O174+Q174+V174+X174+Y174+L174)/(1-(M174+$G$4+(1-H174)*$G$3+$G$8+Z174+AB174))</f>
        <v/>
      </c>
    </row>
    <row r="175">
      <c r="A175" s="24" t="inlineStr">
        <is>
          <t>MANYO BIFIDA INFUSION SHOT AMPOULE 1DX [50ml] / Сыворотка с микроиглами и пробиотиками</t>
        </is>
      </c>
      <c r="B175" s="25" t="n"/>
      <c r="C175" s="26" t="n"/>
      <c r="D175" s="27" t="n">
        <v>3800</v>
      </c>
      <c r="E175" s="27" t="n">
        <v>370</v>
      </c>
      <c r="F175" s="27" t="n">
        <v>0</v>
      </c>
      <c r="G175" s="27" t="n">
        <v>3500</v>
      </c>
      <c r="H175" s="28" t="n">
        <v>0.45</v>
      </c>
      <c r="I175" s="29">
        <f>G175*(1-H175)</f>
        <v/>
      </c>
      <c r="J175" s="30" t="n">
        <v>899.78</v>
      </c>
      <c r="K175" s="31">
        <f>$G$5</f>
        <v/>
      </c>
      <c r="L175" s="32">
        <f>J175+K175</f>
        <v/>
      </c>
      <c r="M175" s="33" t="n">
        <v>0.41</v>
      </c>
      <c r="N175" s="34">
        <f>G175*M175</f>
        <v/>
      </c>
      <c r="O175" s="35" t="n">
        <v>63</v>
      </c>
      <c r="P175" s="34">
        <f>G175*$G$8</f>
        <v/>
      </c>
      <c r="Q175" s="35" t="n">
        <v>25</v>
      </c>
      <c r="R175" s="34">
        <f>G175*$G$4</f>
        <v/>
      </c>
      <c r="S175" s="34">
        <f>I175*$G$3</f>
        <v/>
      </c>
      <c r="T175" s="36" t="n">
        <v>0.9</v>
      </c>
      <c r="U175" s="35" t="n">
        <v>63</v>
      </c>
      <c r="V175" s="34">
        <f>U175*(1-T175)</f>
        <v/>
      </c>
      <c r="W175" s="37" t="n">
        <v>0.3</v>
      </c>
      <c r="X175" s="34">
        <f>$G$6*$G$7*W175</f>
        <v/>
      </c>
      <c r="Y175" s="32">
        <f>W175*($G$9+$G$10)</f>
        <v/>
      </c>
      <c r="Z175" s="33" t="n">
        <v>0.025</v>
      </c>
      <c r="AA175" s="34">
        <f>G175*Z175</f>
        <v/>
      </c>
      <c r="AB175" s="36" t="n">
        <v>0.025</v>
      </c>
      <c r="AC175" s="34">
        <f>G175*AB175</f>
        <v/>
      </c>
      <c r="AD175" s="34">
        <f>AA175+AC175</f>
        <v/>
      </c>
      <c r="AE175" s="38">
        <f>AD175/G175</f>
        <v/>
      </c>
      <c r="AF175" s="39">
        <f>G175-N175-O175-P175-Q175-R175-S175-V175-X175-Y175-L175</f>
        <v/>
      </c>
      <c r="AG175" s="40">
        <f>AF175-AD175</f>
        <v/>
      </c>
      <c r="AH175" s="41">
        <f>AG175/G175</f>
        <v/>
      </c>
      <c r="AI175" s="42">
        <f>AG175/L175</f>
        <v/>
      </c>
      <c r="AJ175" s="34">
        <f>(O175+Q175+V175+X175+Y175+L175)/(1-(M175+$G$4+(1-H175)*$G$3+$G$8+Z175+AB175))</f>
        <v/>
      </c>
    </row>
    <row r="176">
      <c r="A176" s="12" t="inlineStr">
        <is>
          <t>BIFIDA BIOME AMPOULE TONER 210ml/ тонер</t>
        </is>
      </c>
      <c r="B176" s="13" t="n"/>
      <c r="C176" s="13" t="n"/>
      <c r="D176" s="14" t="n"/>
      <c r="E176" s="14" t="n"/>
      <c r="F176" s="14" t="n"/>
      <c r="G176" s="14" t="n"/>
      <c r="H176" s="15" t="n"/>
      <c r="I176" s="16" t="n"/>
      <c r="J176" s="17" t="n"/>
      <c r="K176" s="17" t="n"/>
      <c r="L176" s="18" t="n"/>
      <c r="M176" s="19" t="n"/>
      <c r="N176" s="14" t="n"/>
      <c r="O176" s="14" t="n"/>
      <c r="P176" s="14" t="n"/>
      <c r="Q176" s="14" t="n"/>
      <c r="R176" s="14" t="n"/>
      <c r="S176" s="14" t="n"/>
      <c r="T176" s="20" t="n"/>
      <c r="U176" s="14" t="n"/>
      <c r="V176" s="14" t="n"/>
      <c r="W176" s="21" t="n"/>
      <c r="X176" s="14" t="n"/>
      <c r="Y176" s="18" t="n"/>
      <c r="Z176" s="19" t="n"/>
      <c r="AA176" s="14" t="n"/>
      <c r="AB176" s="20" t="n"/>
      <c r="AC176" s="14" t="n"/>
      <c r="AD176" s="14" t="n"/>
      <c r="AE176" s="22" t="n"/>
      <c r="AF176" s="23" t="n"/>
      <c r="AG176" s="14" t="n"/>
      <c r="AH176" s="20" t="n"/>
      <c r="AI176" s="20" t="n"/>
      <c r="AJ176" s="14" t="n"/>
    </row>
    <row r="177">
      <c r="A177" s="12" t="inlineStr">
        <is>
          <t>MASIL - 8 Seconds Salon Hair Mask 350ml Set [350ml+8ml*2]</t>
        </is>
      </c>
      <c r="B177" s="13" t="n"/>
      <c r="C177" s="13" t="n"/>
      <c r="D177" s="14" t="n"/>
      <c r="E177" s="14" t="n"/>
      <c r="F177" s="14" t="n"/>
      <c r="G177" s="14" t="n"/>
      <c r="H177" s="15" t="n"/>
      <c r="I177" s="16" t="n"/>
      <c r="J177" s="17" t="n"/>
      <c r="K177" s="17" t="n"/>
      <c r="L177" s="18" t="n"/>
      <c r="M177" s="19" t="n"/>
      <c r="N177" s="14" t="n"/>
      <c r="O177" s="14" t="n"/>
      <c r="P177" s="14" t="n"/>
      <c r="Q177" s="14" t="n"/>
      <c r="R177" s="14" t="n"/>
      <c r="S177" s="14" t="n"/>
      <c r="T177" s="20" t="n"/>
      <c r="U177" s="14" t="n"/>
      <c r="V177" s="14" t="n"/>
      <c r="W177" s="21" t="n"/>
      <c r="X177" s="14" t="n"/>
      <c r="Y177" s="18" t="n"/>
      <c r="Z177" s="19" t="n"/>
      <c r="AA177" s="14" t="n"/>
      <c r="AB177" s="20" t="n"/>
      <c r="AC177" s="14" t="n"/>
      <c r="AD177" s="14" t="n"/>
      <c r="AE177" s="22" t="n"/>
      <c r="AF177" s="23" t="n"/>
      <c r="AG177" s="14" t="n"/>
      <c r="AH177" s="20" t="n"/>
      <c r="AI177" s="20" t="n"/>
      <c r="AJ177" s="14" t="n"/>
    </row>
    <row r="178">
      <c r="A178" s="24" t="inlineStr">
        <is>
          <t>PETITFEE - Collagen &amp; CoQ10 Hydrogel Eye Patch [60ea] / Гидрогелевые патчи для глаз с коллагеном и коэнзимом Q10</t>
        </is>
      </c>
      <c r="B178" s="25" t="n"/>
      <c r="C178" s="26" t="n"/>
      <c r="D178" s="27" t="n">
        <v>1818</v>
      </c>
      <c r="E178" s="27" t="n">
        <v>734</v>
      </c>
      <c r="F178" s="27" t="n">
        <v>16</v>
      </c>
      <c r="G178" s="27" t="n">
        <v>1700</v>
      </c>
      <c r="H178" s="28" t="n">
        <v>0.45</v>
      </c>
      <c r="I178" s="29">
        <f>G178*(1-H178)</f>
        <v/>
      </c>
      <c r="J178" s="30" t="n">
        <v>385.05</v>
      </c>
      <c r="K178" s="31">
        <f>$G$5</f>
        <v/>
      </c>
      <c r="L178" s="32">
        <f>J178+K178</f>
        <v/>
      </c>
      <c r="M178" s="33" t="n">
        <v>0.41</v>
      </c>
      <c r="N178" s="34">
        <f>G178*M178</f>
        <v/>
      </c>
      <c r="O178" s="35" t="n">
        <v>67</v>
      </c>
      <c r="P178" s="34">
        <f>G178*$G$8</f>
        <v/>
      </c>
      <c r="Q178" s="35" t="n">
        <v>25</v>
      </c>
      <c r="R178" s="34">
        <f>G178*$G$4</f>
        <v/>
      </c>
      <c r="S178" s="34">
        <f>I178*$G$3</f>
        <v/>
      </c>
      <c r="T178" s="36" t="n">
        <v>0.9</v>
      </c>
      <c r="U178" s="35" t="n">
        <v>67</v>
      </c>
      <c r="V178" s="34">
        <f>U178*(1-T178)</f>
        <v/>
      </c>
      <c r="W178" s="37" t="n">
        <v>0.6</v>
      </c>
      <c r="X178" s="34">
        <f>$G$6*$G$7*W178</f>
        <v/>
      </c>
      <c r="Y178" s="32">
        <f>W178*($G$9+$G$10)</f>
        <v/>
      </c>
      <c r="Z178" s="33" t="n">
        <v>0.07000000000000001</v>
      </c>
      <c r="AA178" s="34">
        <f>G178*Z178</f>
        <v/>
      </c>
      <c r="AB178" s="36" t="n">
        <v>0.08</v>
      </c>
      <c r="AC178" s="34">
        <f>G178*AB178</f>
        <v/>
      </c>
      <c r="AD178" s="34">
        <f>AA178+AC178</f>
        <v/>
      </c>
      <c r="AE178" s="38">
        <f>AD178/G178</f>
        <v/>
      </c>
      <c r="AF178" s="39">
        <f>G178-N178-O178-P178-Q178-R178-S178-V178-X178-Y178-L178</f>
        <v/>
      </c>
      <c r="AG178" s="40">
        <f>AF178-AD178</f>
        <v/>
      </c>
      <c r="AH178" s="41">
        <f>AG178/G178</f>
        <v/>
      </c>
      <c r="AI178" s="42">
        <f>AG178/L178</f>
        <v/>
      </c>
      <c r="AJ178" s="34">
        <f>(O178+Q178+V178+X178+Y178+L178)/(1-(M178+$G$4+(1-H178)*$G$3+$G$8+Z178+AB178))</f>
        <v/>
      </c>
    </row>
    <row r="179">
      <c r="A179" s="24" t="inlineStr">
        <is>
          <t>PETITFEE - Bera Glucan Deep Firming Eye Patch [60ea] / Тканевые патчи для век увлажняющие</t>
        </is>
      </c>
      <c r="B179" s="25" t="n"/>
      <c r="C179" s="26" t="n"/>
      <c r="D179" s="27" t="n"/>
      <c r="E179" s="27" t="n"/>
      <c r="F179" s="27" t="n"/>
      <c r="G179" s="27">
        <f>(1.25*L179+O179+Q179+V179+X179+Y179)/(1-M179-$G$8-$G$4-(1-H179)*$G$3-Z179-AB179)</f>
        <v/>
      </c>
      <c r="H179" s="28" t="n">
        <v>0.45</v>
      </c>
      <c r="I179" s="29">
        <f>G179*(1-H179)</f>
        <v/>
      </c>
      <c r="J179" s="30" t="n">
        <v>486.69</v>
      </c>
      <c r="K179" s="31">
        <f>$G$5</f>
        <v/>
      </c>
      <c r="L179" s="32">
        <f>J179+K179</f>
        <v/>
      </c>
      <c r="M179" s="33" t="n">
        <v>0.41</v>
      </c>
      <c r="N179" s="34">
        <f>G179*M179</f>
        <v/>
      </c>
      <c r="O179" s="35" t="n">
        <v>67</v>
      </c>
      <c r="P179" s="34">
        <f>G179*$G$8</f>
        <v/>
      </c>
      <c r="Q179" s="35" t="n">
        <v>25</v>
      </c>
      <c r="R179" s="34">
        <f>G179*$G$4</f>
        <v/>
      </c>
      <c r="S179" s="34">
        <f>I179*$G$3</f>
        <v/>
      </c>
      <c r="T179" s="36" t="n">
        <v>0.9</v>
      </c>
      <c r="U179" s="35" t="n">
        <v>67</v>
      </c>
      <c r="V179" s="34">
        <f>U179*(1-T179)</f>
        <v/>
      </c>
      <c r="W179" s="37" t="n">
        <v>0.93</v>
      </c>
      <c r="X179" s="34">
        <f>$G$6*$G$7*W179</f>
        <v/>
      </c>
      <c r="Y179" s="32">
        <f>W179*($G$9+$G$10)</f>
        <v/>
      </c>
      <c r="Z179" s="33" t="n">
        <v>0.07000000000000001</v>
      </c>
      <c r="AA179" s="34">
        <f>G179*Z179</f>
        <v/>
      </c>
      <c r="AB179" s="36" t="n">
        <v>0.08</v>
      </c>
      <c r="AC179" s="34">
        <f>G179*AB179</f>
        <v/>
      </c>
      <c r="AD179" s="34">
        <f>AA179+AC179</f>
        <v/>
      </c>
      <c r="AE179" s="38">
        <f>AD179/G179</f>
        <v/>
      </c>
      <c r="AF179" s="39">
        <f>G179-N179-O179-P179-Q179-R179-S179-V179-X179-Y179-L179</f>
        <v/>
      </c>
      <c r="AG179" s="40">
        <f>AF179-AD179</f>
        <v/>
      </c>
      <c r="AH179" s="41">
        <f>AG179/G179</f>
        <v/>
      </c>
      <c r="AI179" s="42">
        <f>AG179/L179</f>
        <v/>
      </c>
      <c r="AJ179" s="34">
        <f>(O179+Q179+V179+X179+Y179+L179)/(1-(M179+$G$4+(1-H179)*$G$3+$G$8+Z179+AB179))</f>
        <v/>
      </c>
    </row>
    <row r="180">
      <c r="A180" s="24" t="inlineStr">
        <is>
          <t>PETITFEE - Artichoke Soothing Hydrogel Eye Patch [60ea] / Смягчающие гидрогелевые патчи для глаз с экстрактом артишока</t>
        </is>
      </c>
      <c r="B180" s="25" t="n"/>
      <c r="C180" s="26" t="n"/>
      <c r="D180" s="27" t="n"/>
      <c r="E180" s="27" t="n"/>
      <c r="F180" s="27" t="n"/>
      <c r="G180" s="27">
        <f>(1.25*L180+O180+Q180+V180+X180+Y180)/(1-M180-$G$8-$G$4-(1-H180)*$G$3-Z180-AB180)</f>
        <v/>
      </c>
      <c r="H180" s="28" t="n">
        <v>0.45</v>
      </c>
      <c r="I180" s="29">
        <f>G180*(1-H180)</f>
        <v/>
      </c>
      <c r="J180" s="30" t="n">
        <v>415.46</v>
      </c>
      <c r="K180" s="31">
        <f>$G$5</f>
        <v/>
      </c>
      <c r="L180" s="32">
        <f>J180+K180</f>
        <v/>
      </c>
      <c r="M180" s="33" t="n">
        <v>0.41</v>
      </c>
      <c r="N180" s="34">
        <f>G180*M180</f>
        <v/>
      </c>
      <c r="O180" s="35" t="n">
        <v>67</v>
      </c>
      <c r="P180" s="34">
        <f>G180*$G$8</f>
        <v/>
      </c>
      <c r="Q180" s="35" t="n">
        <v>25</v>
      </c>
      <c r="R180" s="34">
        <f>G180*$G$4</f>
        <v/>
      </c>
      <c r="S180" s="34">
        <f>I180*$G$3</f>
        <v/>
      </c>
      <c r="T180" s="36" t="n">
        <v>0.9</v>
      </c>
      <c r="U180" s="35" t="n">
        <v>67</v>
      </c>
      <c r="V180" s="34">
        <f>U180*(1-T180)</f>
        <v/>
      </c>
      <c r="W180" s="37" t="n">
        <v>0.6</v>
      </c>
      <c r="X180" s="34">
        <f>$G$6*$G$7*W180</f>
        <v/>
      </c>
      <c r="Y180" s="32">
        <f>W180*($G$9+$G$10)</f>
        <v/>
      </c>
      <c r="Z180" s="33" t="n">
        <v>0.07000000000000001</v>
      </c>
      <c r="AA180" s="34">
        <f>G180*Z180</f>
        <v/>
      </c>
      <c r="AB180" s="36" t="n">
        <v>0.08</v>
      </c>
      <c r="AC180" s="34">
        <f>G180*AB180</f>
        <v/>
      </c>
      <c r="AD180" s="34">
        <f>AA180+AC180</f>
        <v/>
      </c>
      <c r="AE180" s="38">
        <f>AD180/G180</f>
        <v/>
      </c>
      <c r="AF180" s="39">
        <f>G180-N180-O180-P180-Q180-R180-S180-V180-X180-Y180-L180</f>
        <v/>
      </c>
      <c r="AG180" s="40">
        <f>AF180-AD180</f>
        <v/>
      </c>
      <c r="AH180" s="41">
        <f>AG180/G180</f>
        <v/>
      </c>
      <c r="AI180" s="42">
        <f>AG180/L180</f>
        <v/>
      </c>
      <c r="AJ180" s="34">
        <f>(O180+Q180+V180+X180+Y180+L180)/(1-(M180+$G$4+(1-H180)*$G$3+$G$8+Z180+AB180))</f>
        <v/>
      </c>
    </row>
    <row r="181">
      <c r="A181" s="24" t="inlineStr">
        <is>
          <t>PETITFEE - Aura Quartz Hydrogel Eye Patch [60ea]</t>
        </is>
      </c>
      <c r="B181" s="25" t="n"/>
      <c r="C181" s="26" t="n"/>
      <c r="D181" s="27" t="n"/>
      <c r="E181" s="27" t="n"/>
      <c r="F181" s="27" t="n"/>
      <c r="G181" s="27">
        <f>(1.25*L181+O181+Q181+V181+X181+Y181)/(1-M181-$G$8-$G$4-(1-H181)*$G$3-Z181-AB181)</f>
        <v/>
      </c>
      <c r="H181" s="28" t="n">
        <v>0.45</v>
      </c>
      <c r="I181" s="29">
        <f>G181*(1-H181)</f>
        <v/>
      </c>
      <c r="J181" s="30" t="n">
        <v>591.29</v>
      </c>
      <c r="K181" s="31">
        <f>$G$5</f>
        <v/>
      </c>
      <c r="L181" s="32">
        <f>J181+K181</f>
        <v/>
      </c>
      <c r="M181" s="33" t="n">
        <v>0.41</v>
      </c>
      <c r="N181" s="34">
        <f>G181*M181</f>
        <v/>
      </c>
      <c r="O181" s="35" t="n">
        <v>67</v>
      </c>
      <c r="P181" s="34">
        <f>G181*$G$8</f>
        <v/>
      </c>
      <c r="Q181" s="35" t="n">
        <v>25</v>
      </c>
      <c r="R181" s="34">
        <f>G181*$G$4</f>
        <v/>
      </c>
      <c r="S181" s="34">
        <f>I181*$G$3</f>
        <v/>
      </c>
      <c r="T181" s="36" t="n">
        <v>0.9</v>
      </c>
      <c r="U181" s="35" t="n">
        <v>67</v>
      </c>
      <c r="V181" s="34">
        <f>U181*(1-T181)</f>
        <v/>
      </c>
      <c r="W181" s="37" t="n">
        <v>0.93</v>
      </c>
      <c r="X181" s="34">
        <f>$G$6*$G$7*W181</f>
        <v/>
      </c>
      <c r="Y181" s="32">
        <f>W181*($G$9+$G$10)</f>
        <v/>
      </c>
      <c r="Z181" s="33" t="n">
        <v>0.07000000000000001</v>
      </c>
      <c r="AA181" s="34">
        <f>G181*Z181</f>
        <v/>
      </c>
      <c r="AB181" s="36" t="n">
        <v>0.08</v>
      </c>
      <c r="AC181" s="34">
        <f>G181*AB181</f>
        <v/>
      </c>
      <c r="AD181" s="34">
        <f>AA181+AC181</f>
        <v/>
      </c>
      <c r="AE181" s="38">
        <f>AD181/G181</f>
        <v/>
      </c>
      <c r="AF181" s="39">
        <f>G181-N181-O181-P181-Q181-R181-S181-V181-X181-Y181-L181</f>
        <v/>
      </c>
      <c r="AG181" s="40">
        <f>AF181-AD181</f>
        <v/>
      </c>
      <c r="AH181" s="41">
        <f>AG181/G181</f>
        <v/>
      </c>
      <c r="AI181" s="42">
        <f>AG181/L181</f>
        <v/>
      </c>
      <c r="AJ181" s="34">
        <f>(O181+Q181+V181+X181+Y181+L181)/(1-(M181+$G$4+(1-H181)*$G$3+$G$8+Z181+AB181))</f>
        <v/>
      </c>
    </row>
    <row r="182">
      <c r="A182" s="24" t="inlineStr">
        <is>
          <t>PETITFEE - Cacao Energizing Hydrogel Eye Patch [60ea] / Тонизирующие гидрогелевые патчи для глаз с экстрактом какао</t>
        </is>
      </c>
      <c r="B182" s="25" t="n"/>
      <c r="C182" s="26" t="n"/>
      <c r="D182" s="27" t="n"/>
      <c r="E182" s="27" t="n"/>
      <c r="F182" s="27" t="n"/>
      <c r="G182" s="27">
        <f>(1.25*L182+O182+Q182+V182+X182+Y182)/(1-M182-$G$8-$G$4-(1-H182)*$G$3-Z182-AB182)</f>
        <v/>
      </c>
      <c r="H182" s="28" t="n">
        <v>0.45</v>
      </c>
      <c r="I182" s="29">
        <f>G182*(1-H182)</f>
        <v/>
      </c>
      <c r="J182" s="30" t="n">
        <v>415.46</v>
      </c>
      <c r="K182" s="31">
        <f>$G$5</f>
        <v/>
      </c>
      <c r="L182" s="32">
        <f>J182+K182</f>
        <v/>
      </c>
      <c r="M182" s="33" t="n">
        <v>0.41</v>
      </c>
      <c r="N182" s="34">
        <f>G182*M182</f>
        <v/>
      </c>
      <c r="O182" s="35" t="n">
        <v>67</v>
      </c>
      <c r="P182" s="34">
        <f>G182*$G$8</f>
        <v/>
      </c>
      <c r="Q182" s="35" t="n">
        <v>25</v>
      </c>
      <c r="R182" s="34">
        <f>G182*$G$4</f>
        <v/>
      </c>
      <c r="S182" s="34">
        <f>I182*$G$3</f>
        <v/>
      </c>
      <c r="T182" s="36" t="n">
        <v>0.9</v>
      </c>
      <c r="U182" s="35" t="n">
        <v>67</v>
      </c>
      <c r="V182" s="34">
        <f>U182*(1-T182)</f>
        <v/>
      </c>
      <c r="W182" s="37" t="n">
        <v>0.6</v>
      </c>
      <c r="X182" s="34">
        <f>$G$6*$G$7*W182</f>
        <v/>
      </c>
      <c r="Y182" s="32">
        <f>W182*($G$9+$G$10)</f>
        <v/>
      </c>
      <c r="Z182" s="33" t="n">
        <v>0.07000000000000001</v>
      </c>
      <c r="AA182" s="34">
        <f>G182*Z182</f>
        <v/>
      </c>
      <c r="AB182" s="36" t="n">
        <v>0.08</v>
      </c>
      <c r="AC182" s="34">
        <f>G182*AB182</f>
        <v/>
      </c>
      <c r="AD182" s="34">
        <f>AA182+AC182</f>
        <v/>
      </c>
      <c r="AE182" s="38">
        <f>AD182/G182</f>
        <v/>
      </c>
      <c r="AF182" s="39">
        <f>G182-N182-O182-P182-Q182-R182-S182-V182-X182-Y182-L182</f>
        <v/>
      </c>
      <c r="AG182" s="40">
        <f>AF182-AD182</f>
        <v/>
      </c>
      <c r="AH182" s="41">
        <f>AG182/G182</f>
        <v/>
      </c>
      <c r="AI182" s="42">
        <f>AG182/L182</f>
        <v/>
      </c>
      <c r="AJ182" s="34">
        <f>(O182+Q182+V182+X182+Y182+L182)/(1-(M182+$G$4+(1-H182)*$G$3+$G$8+Z182+AB182))</f>
        <v/>
      </c>
    </row>
    <row r="183">
      <c r="A183" s="24" t="inlineStr">
        <is>
          <t>PETITFEE - Chamomile Lightening Hydrogel Eye Patch [60ea] / Успокаивающие гидрогелевые патчи для глаз с экстрактом ромашки</t>
        </is>
      </c>
      <c r="B183" s="25" t="n"/>
      <c r="C183" s="26" t="n"/>
      <c r="D183" s="27" t="n"/>
      <c r="E183" s="27" t="n"/>
      <c r="F183" s="27" t="n"/>
      <c r="G183" s="27">
        <f>(1.25*L183+O183+Q183+V183+X183+Y183)/(1-M183-$G$8-$G$4-(1-H183)*$G$3-Z183-AB183)</f>
        <v/>
      </c>
      <c r="H183" s="28" t="n">
        <v>0.45</v>
      </c>
      <c r="I183" s="29">
        <f>G183*(1-H183)</f>
        <v/>
      </c>
      <c r="J183" s="30" t="n">
        <v>415.46</v>
      </c>
      <c r="K183" s="31">
        <f>$G$5</f>
        <v/>
      </c>
      <c r="L183" s="32">
        <f>J183+K183</f>
        <v/>
      </c>
      <c r="M183" s="33" t="n">
        <v>0.41</v>
      </c>
      <c r="N183" s="34">
        <f>G183*M183</f>
        <v/>
      </c>
      <c r="O183" s="35" t="n">
        <v>67</v>
      </c>
      <c r="P183" s="34">
        <f>G183*$G$8</f>
        <v/>
      </c>
      <c r="Q183" s="35" t="n">
        <v>25</v>
      </c>
      <c r="R183" s="34">
        <f>G183*$G$4</f>
        <v/>
      </c>
      <c r="S183" s="34">
        <f>I183*$G$3</f>
        <v/>
      </c>
      <c r="T183" s="36" t="n">
        <v>0.9</v>
      </c>
      <c r="U183" s="35" t="n">
        <v>67</v>
      </c>
      <c r="V183" s="34">
        <f>U183*(1-T183)</f>
        <v/>
      </c>
      <c r="W183" s="37" t="n">
        <v>0.6</v>
      </c>
      <c r="X183" s="34">
        <f>$G$6*$G$7*W183</f>
        <v/>
      </c>
      <c r="Y183" s="32">
        <f>W183*($G$9+$G$10)</f>
        <v/>
      </c>
      <c r="Z183" s="33" t="n">
        <v>0.07000000000000001</v>
      </c>
      <c r="AA183" s="34">
        <f>G183*Z183</f>
        <v/>
      </c>
      <c r="AB183" s="36" t="n">
        <v>0.08</v>
      </c>
      <c r="AC183" s="34">
        <f>G183*AB183</f>
        <v/>
      </c>
      <c r="AD183" s="34">
        <f>AA183+AC183</f>
        <v/>
      </c>
      <c r="AE183" s="38">
        <f>AD183/G183</f>
        <v/>
      </c>
      <c r="AF183" s="39">
        <f>G183-N183-O183-P183-Q183-R183-S183-V183-X183-Y183-L183</f>
        <v/>
      </c>
      <c r="AG183" s="40">
        <f>AF183-AD183</f>
        <v/>
      </c>
      <c r="AH183" s="41">
        <f>AG183/G183</f>
        <v/>
      </c>
      <c r="AI183" s="42">
        <f>AG183/L183</f>
        <v/>
      </c>
      <c r="AJ183" s="34">
        <f>(O183+Q183+V183+X183+Y183+L183)/(1-(M183+$G$4+(1-H183)*$G$3+$G$8+Z183+AB183))</f>
        <v/>
      </c>
    </row>
    <row r="184">
      <c r="A184" s="24" t="inlineStr">
        <is>
          <t>PETITFEE - Gold &amp; EGF Hydrogel Eye &amp; Spot Patch [60ea]/ гидрогелевые патчи с золотом и EGF</t>
        </is>
      </c>
      <c r="B184" s="25" t="n"/>
      <c r="C184" s="26" t="n"/>
      <c r="D184" s="27" t="n"/>
      <c r="E184" s="27" t="n"/>
      <c r="F184" s="27" t="n"/>
      <c r="G184" s="27">
        <f>(1.25*L184+O184+Q184+V184+X184+Y184)/(1-M184-$G$8-$G$4-(1-H184)*$G$3-Z184-AB184)</f>
        <v/>
      </c>
      <c r="H184" s="28" t="n">
        <v>0.45</v>
      </c>
      <c r="I184" s="29">
        <f>G184*(1-H184)</f>
        <v/>
      </c>
      <c r="J184" s="30" t="n">
        <v>385.05</v>
      </c>
      <c r="K184" s="31">
        <f>$G$5</f>
        <v/>
      </c>
      <c r="L184" s="32">
        <f>J184+K184</f>
        <v/>
      </c>
      <c r="M184" s="33" t="n">
        <v>0.41</v>
      </c>
      <c r="N184" s="34">
        <f>G184*M184</f>
        <v/>
      </c>
      <c r="O184" s="35" t="n">
        <v>67</v>
      </c>
      <c r="P184" s="34">
        <f>G184*$G$8</f>
        <v/>
      </c>
      <c r="Q184" s="35" t="n">
        <v>25</v>
      </c>
      <c r="R184" s="34">
        <f>G184*$G$4</f>
        <v/>
      </c>
      <c r="S184" s="34">
        <f>I184*$G$3</f>
        <v/>
      </c>
      <c r="T184" s="36" t="n">
        <v>0.9</v>
      </c>
      <c r="U184" s="35" t="n">
        <v>67</v>
      </c>
      <c r="V184" s="34">
        <f>U184*(1-T184)</f>
        <v/>
      </c>
      <c r="W184" s="37" t="n">
        <v>0.6</v>
      </c>
      <c r="X184" s="34">
        <f>$G$6*$G$7*W184</f>
        <v/>
      </c>
      <c r="Y184" s="32">
        <f>W184*($G$9+$G$10)</f>
        <v/>
      </c>
      <c r="Z184" s="33" t="n">
        <v>0.07000000000000001</v>
      </c>
      <c r="AA184" s="34">
        <f>G184*Z184</f>
        <v/>
      </c>
      <c r="AB184" s="36" t="n">
        <v>0.08</v>
      </c>
      <c r="AC184" s="34">
        <f>G184*AB184</f>
        <v/>
      </c>
      <c r="AD184" s="34">
        <f>AA184+AC184</f>
        <v/>
      </c>
      <c r="AE184" s="38">
        <f>AD184/G184</f>
        <v/>
      </c>
      <c r="AF184" s="39">
        <f>G184-N184-O184-P184-Q184-R184-S184-V184-X184-Y184-L184</f>
        <v/>
      </c>
      <c r="AG184" s="40">
        <f>AF184-AD184</f>
        <v/>
      </c>
      <c r="AH184" s="41">
        <f>AG184/G184</f>
        <v/>
      </c>
      <c r="AI184" s="42">
        <f>AG184/L184</f>
        <v/>
      </c>
      <c r="AJ184" s="34">
        <f>(O184+Q184+V184+X184+Y184+L184)/(1-(M184+$G$4+(1-H184)*$G$3+$G$8+Z184+AB184))</f>
        <v/>
      </c>
    </row>
    <row r="185">
      <c r="A185" s="12" t="inlineStr">
        <is>
          <t xml:space="preserve">
PETITFEE Black Pearl &amp; Gold Hydrogel Eye Patch/Gold Hydrogel Eye Patch (комплект из одинарных патчей)</t>
        </is>
      </c>
      <c r="B185" s="13" t="n"/>
      <c r="C185" s="13" t="n"/>
      <c r="D185" s="14" t="n"/>
      <c r="E185" s="14" t="n"/>
      <c r="F185" s="14" t="n"/>
      <c r="G185" s="14" t="n"/>
      <c r="H185" s="15" t="n"/>
      <c r="I185" s="16" t="n"/>
      <c r="J185" s="17" t="n"/>
      <c r="K185" s="17" t="n"/>
      <c r="L185" s="18" t="n"/>
      <c r="M185" s="19" t="n"/>
      <c r="N185" s="14" t="n"/>
      <c r="O185" s="14" t="n"/>
      <c r="P185" s="14" t="n"/>
      <c r="Q185" s="14" t="n"/>
      <c r="R185" s="14" t="n"/>
      <c r="S185" s="14" t="n"/>
      <c r="T185" s="20" t="n"/>
      <c r="U185" s="14" t="n"/>
      <c r="V185" s="14" t="n"/>
      <c r="W185" s="21" t="n"/>
      <c r="X185" s="14" t="n"/>
      <c r="Y185" s="18" t="n"/>
      <c r="Z185" s="19" t="n"/>
      <c r="AA185" s="14" t="n"/>
      <c r="AB185" s="20" t="n"/>
      <c r="AC185" s="14" t="n"/>
      <c r="AD185" s="14" t="n"/>
      <c r="AE185" s="22" t="n"/>
      <c r="AF185" s="23" t="n"/>
      <c r="AG185" s="14" t="n"/>
      <c r="AH185" s="20" t="n"/>
      <c r="AI185" s="20" t="n"/>
      <c r="AJ185" s="14" t="n"/>
    </row>
    <row r="186">
      <c r="A186" s="24" t="inlineStr">
        <is>
          <t>PETITFEE - Pink Vita Brightening Eye Patch [60ea] / Тканевые патчи для век увлажняющие</t>
        </is>
      </c>
      <c r="B186" s="25" t="n"/>
      <c r="C186" s="26" t="n"/>
      <c r="D186" s="27" t="n"/>
      <c r="E186" s="27" t="n"/>
      <c r="F186" s="27" t="n"/>
      <c r="G186" s="27">
        <f>(1.25*L186+O186+Q186+V186+X186+Y186)/(1-M186-$G$8-$G$4-(1-H186)*$G$3-Z186-AB186)</f>
        <v/>
      </c>
      <c r="H186" s="28" t="n">
        <v>0.45</v>
      </c>
      <c r="I186" s="29">
        <f>G186*(1-H186)</f>
        <v/>
      </c>
      <c r="J186" s="30" t="n">
        <v>486.69</v>
      </c>
      <c r="K186" s="31">
        <f>$G$5</f>
        <v/>
      </c>
      <c r="L186" s="32">
        <f>J186+K186</f>
        <v/>
      </c>
      <c r="M186" s="33" t="n">
        <v>0.41</v>
      </c>
      <c r="N186" s="34">
        <f>G186*M186</f>
        <v/>
      </c>
      <c r="O186" s="35" t="n">
        <v>67</v>
      </c>
      <c r="P186" s="34">
        <f>G186*$G$8</f>
        <v/>
      </c>
      <c r="Q186" s="35" t="n">
        <v>25</v>
      </c>
      <c r="R186" s="34">
        <f>G186*$G$4</f>
        <v/>
      </c>
      <c r="S186" s="34">
        <f>I186*$G$3</f>
        <v/>
      </c>
      <c r="T186" s="36" t="n">
        <v>0.9</v>
      </c>
      <c r="U186" s="35" t="n">
        <v>67</v>
      </c>
      <c r="V186" s="34">
        <f>U186*(1-T186)</f>
        <v/>
      </c>
      <c r="W186" s="37" t="n">
        <v>0.93</v>
      </c>
      <c r="X186" s="34">
        <f>$G$6*$G$7*W186</f>
        <v/>
      </c>
      <c r="Y186" s="32">
        <f>W186*($G$9+$G$10)</f>
        <v/>
      </c>
      <c r="Z186" s="33" t="n">
        <v>0.07000000000000001</v>
      </c>
      <c r="AA186" s="34">
        <f>G186*Z186</f>
        <v/>
      </c>
      <c r="AB186" s="36" t="n">
        <v>0.08</v>
      </c>
      <c r="AC186" s="34">
        <f>G186*AB186</f>
        <v/>
      </c>
      <c r="AD186" s="34">
        <f>AA186+AC186</f>
        <v/>
      </c>
      <c r="AE186" s="38">
        <f>AD186/G186</f>
        <v/>
      </c>
      <c r="AF186" s="39">
        <f>G186-N186-O186-P186-Q186-R186-S186-V186-X186-Y186-L186</f>
        <v/>
      </c>
      <c r="AG186" s="40">
        <f>AF186-AD186</f>
        <v/>
      </c>
      <c r="AH186" s="41">
        <f>AG186/G186</f>
        <v/>
      </c>
      <c r="AI186" s="42">
        <f>AG186/L186</f>
        <v/>
      </c>
      <c r="AJ186" s="34">
        <f>(O186+Q186+V186+X186+Y186+L186)/(1-(M186+$G$4+(1-H186)*$G$3+$G$8+Z186+AB186))</f>
        <v/>
      </c>
    </row>
    <row r="187">
      <c r="A187" s="24" t="inlineStr">
        <is>
          <t>PETITFEE - Black Pearl &amp; Gold Hydrogel Eye Patch [60ea] / Гидрогелевые патчи для глаз с черным жемчугом и золотом</t>
        </is>
      </c>
      <c r="B187" s="25" t="n"/>
      <c r="C187" s="26" t="n"/>
      <c r="D187" s="27" t="n">
        <v>1780</v>
      </c>
      <c r="E187" s="27" t="n">
        <v>489</v>
      </c>
      <c r="F187" s="27" t="n">
        <v>16</v>
      </c>
      <c r="G187" s="27" t="n">
        <v>1650</v>
      </c>
      <c r="H187" s="28" t="n">
        <v>0.45</v>
      </c>
      <c r="I187" s="29">
        <f>G187*(1-H187)</f>
        <v/>
      </c>
      <c r="J187" s="30" t="n">
        <v>387.67</v>
      </c>
      <c r="K187" s="31">
        <f>$G$5</f>
        <v/>
      </c>
      <c r="L187" s="32">
        <f>J187+K187</f>
        <v/>
      </c>
      <c r="M187" s="33" t="n">
        <v>0.41</v>
      </c>
      <c r="N187" s="34">
        <f>G187*M187</f>
        <v/>
      </c>
      <c r="O187" s="35" t="n">
        <v>67</v>
      </c>
      <c r="P187" s="34">
        <f>G187*$G$8</f>
        <v/>
      </c>
      <c r="Q187" s="35" t="n">
        <v>25</v>
      </c>
      <c r="R187" s="34">
        <f>G187*$G$4</f>
        <v/>
      </c>
      <c r="S187" s="34">
        <f>I187*$G$3</f>
        <v/>
      </c>
      <c r="T187" s="36" t="n">
        <v>0.9</v>
      </c>
      <c r="U187" s="35" t="n">
        <v>67</v>
      </c>
      <c r="V187" s="34">
        <f>U187*(1-T187)</f>
        <v/>
      </c>
      <c r="W187" s="37" t="n">
        <v>0.6</v>
      </c>
      <c r="X187" s="34">
        <f>$G$6*$G$7*W187</f>
        <v/>
      </c>
      <c r="Y187" s="32">
        <f>W187*($G$9+$G$10)</f>
        <v/>
      </c>
      <c r="Z187" s="33" t="n">
        <v>0.07000000000000001</v>
      </c>
      <c r="AA187" s="34">
        <f>G187*Z187</f>
        <v/>
      </c>
      <c r="AB187" s="36" t="n">
        <v>0.08</v>
      </c>
      <c r="AC187" s="34">
        <f>G187*AB187</f>
        <v/>
      </c>
      <c r="AD187" s="34">
        <f>AA187+AC187</f>
        <v/>
      </c>
      <c r="AE187" s="38">
        <f>AD187/G187</f>
        <v/>
      </c>
      <c r="AF187" s="39">
        <f>G187-N187-O187-P187-Q187-R187-S187-V187-X187-Y187-L187</f>
        <v/>
      </c>
      <c r="AG187" s="40">
        <f>AF187-AD187</f>
        <v/>
      </c>
      <c r="AH187" s="41">
        <f>AG187/G187</f>
        <v/>
      </c>
      <c r="AI187" s="42">
        <f>AG187/L187</f>
        <v/>
      </c>
      <c r="AJ187" s="34">
        <f>(O187+Q187+V187+X187+Y187+L187)/(1-(M187+$G$4+(1-H187)*$G$3+$G$8+Z187+AB187))</f>
        <v/>
      </c>
    </row>
    <row r="188">
      <c r="A188" s="24" t="inlineStr">
        <is>
          <t>PETITFEE - Agave Cooling Hydrogel Eye Patch [60ea] / Охлаждающие гидрогелевые патчи для глаз с экстрактом агавы</t>
        </is>
      </c>
      <c r="B188" s="25" t="n"/>
      <c r="C188" s="26" t="n"/>
      <c r="D188" s="27" t="n">
        <v>1730</v>
      </c>
      <c r="E188" s="27" t="n">
        <v>568</v>
      </c>
      <c r="F188" s="27" t="n">
        <v>17</v>
      </c>
      <c r="G188" s="27" t="n">
        <v>1630</v>
      </c>
      <c r="H188" s="28" t="n">
        <v>0.45</v>
      </c>
      <c r="I188" s="29">
        <f>G188*(1-H188)</f>
        <v/>
      </c>
      <c r="J188" s="30" t="n">
        <v>415.46</v>
      </c>
      <c r="K188" s="31">
        <f>$G$5</f>
        <v/>
      </c>
      <c r="L188" s="32">
        <f>J188+K188</f>
        <v/>
      </c>
      <c r="M188" s="33" t="n">
        <v>0.41</v>
      </c>
      <c r="N188" s="34">
        <f>G188*M188</f>
        <v/>
      </c>
      <c r="O188" s="35" t="n">
        <v>67</v>
      </c>
      <c r="P188" s="34">
        <f>G188*$G$8</f>
        <v/>
      </c>
      <c r="Q188" s="35" t="n">
        <v>25</v>
      </c>
      <c r="R188" s="34">
        <f>G188*$G$4</f>
        <v/>
      </c>
      <c r="S188" s="34">
        <f>I188*$G$3</f>
        <v/>
      </c>
      <c r="T188" s="36" t="n">
        <v>0.9</v>
      </c>
      <c r="U188" s="35" t="n">
        <v>67</v>
      </c>
      <c r="V188" s="34">
        <f>U188*(1-T188)</f>
        <v/>
      </c>
      <c r="W188" s="37" t="n">
        <v>0.6</v>
      </c>
      <c r="X188" s="34">
        <f>$G$6*$G$7*W188</f>
        <v/>
      </c>
      <c r="Y188" s="32">
        <f>W188*($G$9+$G$10)</f>
        <v/>
      </c>
      <c r="Z188" s="33" t="n">
        <v>0.07000000000000001</v>
      </c>
      <c r="AA188" s="34">
        <f>G188*Z188</f>
        <v/>
      </c>
      <c r="AB188" s="36" t="n">
        <v>0.08</v>
      </c>
      <c r="AC188" s="34">
        <f>G188*AB188</f>
        <v/>
      </c>
      <c r="AD188" s="34">
        <f>AA188+AC188</f>
        <v/>
      </c>
      <c r="AE188" s="38">
        <f>AD188/G188</f>
        <v/>
      </c>
      <c r="AF188" s="39">
        <f>G188-N188-O188-P188-Q188-R188-S188-V188-X188-Y188-L188</f>
        <v/>
      </c>
      <c r="AG188" s="40">
        <f>AF188-AD188</f>
        <v/>
      </c>
      <c r="AH188" s="41">
        <f>AG188/G188</f>
        <v/>
      </c>
      <c r="AI188" s="42">
        <f>AG188/L188</f>
        <v/>
      </c>
      <c r="AJ188" s="34">
        <f>(O188+Q188+V188+X188+Y188+L188)/(1-(M188+$G$4+(1-H188)*$G$3+$G$8+Z188+AB188))</f>
        <v/>
      </c>
    </row>
    <row r="189">
      <c r="A189" s="24" t="inlineStr">
        <is>
          <t>PETITFEE - Gold &amp; Snail Hydrogel Eye Patch [60ea] / Гидрогелевые патчи для глаз с золотом и улиткой</t>
        </is>
      </c>
      <c r="B189" s="25" t="n"/>
      <c r="C189" s="26" t="n"/>
      <c r="D189" s="27" t="n">
        <v>1740</v>
      </c>
      <c r="E189" s="27" t="n">
        <v>150</v>
      </c>
      <c r="F189" s="27" t="n">
        <v>7</v>
      </c>
      <c r="G189" s="27" t="n">
        <v>1630</v>
      </c>
      <c r="H189" s="28" t="n">
        <v>0.45</v>
      </c>
      <c r="I189" s="29">
        <f>G189*(1-H189)</f>
        <v/>
      </c>
      <c r="J189" s="30" t="n">
        <v>415.46</v>
      </c>
      <c r="K189" s="31">
        <f>$G$5</f>
        <v/>
      </c>
      <c r="L189" s="32">
        <f>J189+K189</f>
        <v/>
      </c>
      <c r="M189" s="33" t="n">
        <v>0.41</v>
      </c>
      <c r="N189" s="34">
        <f>G189*M189</f>
        <v/>
      </c>
      <c r="O189" s="35" t="n">
        <v>67</v>
      </c>
      <c r="P189" s="34">
        <f>G189*$G$8</f>
        <v/>
      </c>
      <c r="Q189" s="35" t="n">
        <v>25</v>
      </c>
      <c r="R189" s="34">
        <f>G189*$G$4</f>
        <v/>
      </c>
      <c r="S189" s="34">
        <f>I189*$G$3</f>
        <v/>
      </c>
      <c r="T189" s="36" t="n">
        <v>0.9</v>
      </c>
      <c r="U189" s="35" t="n">
        <v>67</v>
      </c>
      <c r="V189" s="34">
        <f>U189*(1-T189)</f>
        <v/>
      </c>
      <c r="W189" s="37" t="n">
        <v>0.6</v>
      </c>
      <c r="X189" s="34">
        <f>$G$6*$G$7*W189</f>
        <v/>
      </c>
      <c r="Y189" s="32">
        <f>W189*($G$9+$G$10)</f>
        <v/>
      </c>
      <c r="Z189" s="33" t="n">
        <v>0.07000000000000001</v>
      </c>
      <c r="AA189" s="34">
        <f>G189*Z189</f>
        <v/>
      </c>
      <c r="AB189" s="36" t="n">
        <v>0.08</v>
      </c>
      <c r="AC189" s="34">
        <f>G189*AB189</f>
        <v/>
      </c>
      <c r="AD189" s="34">
        <f>AA189+AC189</f>
        <v/>
      </c>
      <c r="AE189" s="38">
        <f>AD189/G189</f>
        <v/>
      </c>
      <c r="AF189" s="39">
        <f>G189-N189-O189-P189-Q189-R189-S189-V189-X189-Y189-L189</f>
        <v/>
      </c>
      <c r="AG189" s="40">
        <f>AF189-AD189</f>
        <v/>
      </c>
      <c r="AH189" s="41">
        <f>AG189/G189</f>
        <v/>
      </c>
      <c r="AI189" s="42">
        <f>AG189/L189</f>
        <v/>
      </c>
      <c r="AJ189" s="34">
        <f>(O189+Q189+V189+X189+Y189+L189)/(1-(M189+$G$4+(1-H189)*$G$3+$G$8+Z189+AB189))</f>
        <v/>
      </c>
    </row>
    <row r="190">
      <c r="A190" s="24" t="inlineStr">
        <is>
          <t>PETITFEE - Gold Hydrogel Eye Patch [60ea] / гидрогелевые патчи для глаз с золотом</t>
        </is>
      </c>
      <c r="B190" s="25" t="n"/>
      <c r="C190" s="26" t="n"/>
      <c r="D190" s="27" t="n">
        <v>1930</v>
      </c>
      <c r="E190" s="27" t="n">
        <v>128</v>
      </c>
      <c r="F190" s="27" t="n">
        <v>2.2</v>
      </c>
      <c r="G190" s="27" t="n">
        <v>1800</v>
      </c>
      <c r="H190" s="28" t="n">
        <v>0.45</v>
      </c>
      <c r="I190" s="29">
        <f>G190*(1-H190)</f>
        <v/>
      </c>
      <c r="J190" s="30" t="n">
        <v>415.46</v>
      </c>
      <c r="K190" s="31">
        <f>$G$5</f>
        <v/>
      </c>
      <c r="L190" s="32">
        <f>J190+K190</f>
        <v/>
      </c>
      <c r="M190" s="33" t="n">
        <v>0.41</v>
      </c>
      <c r="N190" s="34">
        <f>G190*M190</f>
        <v/>
      </c>
      <c r="O190" s="35" t="n">
        <v>67</v>
      </c>
      <c r="P190" s="34">
        <f>G190*$G$8</f>
        <v/>
      </c>
      <c r="Q190" s="35" t="n">
        <v>25</v>
      </c>
      <c r="R190" s="34">
        <f>G190*$G$4</f>
        <v/>
      </c>
      <c r="S190" s="34">
        <f>I190*$G$3</f>
        <v/>
      </c>
      <c r="T190" s="36" t="n">
        <v>0.9</v>
      </c>
      <c r="U190" s="35" t="n">
        <v>67</v>
      </c>
      <c r="V190" s="34">
        <f>U190*(1-T190)</f>
        <v/>
      </c>
      <c r="W190" s="37" t="n">
        <v>0.6</v>
      </c>
      <c r="X190" s="34">
        <f>$G$6*$G$7*W190</f>
        <v/>
      </c>
      <c r="Y190" s="32">
        <f>W190*($G$9+$G$10)</f>
        <v/>
      </c>
      <c r="Z190" s="33" t="n">
        <v>0.07000000000000001</v>
      </c>
      <c r="AA190" s="34">
        <f>G190*Z190</f>
        <v/>
      </c>
      <c r="AB190" s="36" t="n">
        <v>0.08</v>
      </c>
      <c r="AC190" s="34">
        <f>G190*AB190</f>
        <v/>
      </c>
      <c r="AD190" s="34">
        <f>AA190+AC190</f>
        <v/>
      </c>
      <c r="AE190" s="38">
        <f>AD190/G190</f>
        <v/>
      </c>
      <c r="AF190" s="39">
        <f>G190-N190-O190-P190-Q190-R190-S190-V190-X190-Y190-L190</f>
        <v/>
      </c>
      <c r="AG190" s="40">
        <f>AF190-AD190</f>
        <v/>
      </c>
      <c r="AH190" s="41">
        <f>AG190/G190</f>
        <v/>
      </c>
      <c r="AI190" s="42">
        <f>AG190/L190</f>
        <v/>
      </c>
      <c r="AJ190" s="34">
        <f>(O190+Q190+V190+X190+Y190+L190)/(1-(M190+$G$4+(1-H190)*$G$3+$G$8+Z190+AB190))</f>
        <v/>
      </c>
    </row>
    <row r="191">
      <c r="A191" s="12" t="inlineStr">
        <is>
          <t>PETITFEE - Black Pearl &amp; Gold Hydrogel Eye Patch [1 pairs]/ Гидрогелевые патчи для глаз с черным жемчугом и золотом 1 пара</t>
        </is>
      </c>
      <c r="B191" s="13" t="n"/>
      <c r="C191" s="13" t="n"/>
      <c r="D191" s="14" t="n"/>
      <c r="E191" s="14" t="n"/>
      <c r="F191" s="14" t="n"/>
      <c r="G191" s="14" t="n"/>
      <c r="H191" s="15" t="n"/>
      <c r="I191" s="16" t="n"/>
      <c r="J191" s="17" t="n"/>
      <c r="K191" s="17" t="n"/>
      <c r="L191" s="18" t="n"/>
      <c r="M191" s="19" t="n"/>
      <c r="N191" s="14" t="n"/>
      <c r="O191" s="14" t="n"/>
      <c r="P191" s="14" t="n"/>
      <c r="Q191" s="14" t="n"/>
      <c r="R191" s="14" t="n"/>
      <c r="S191" s="14" t="n"/>
      <c r="T191" s="20" t="n"/>
      <c r="U191" s="14" t="n"/>
      <c r="V191" s="14" t="n"/>
      <c r="W191" s="21" t="n"/>
      <c r="X191" s="14" t="n"/>
      <c r="Y191" s="18" t="n"/>
      <c r="Z191" s="19" t="n"/>
      <c r="AA191" s="14" t="n"/>
      <c r="AB191" s="20" t="n"/>
      <c r="AC191" s="14" t="n"/>
      <c r="AD191" s="14" t="n"/>
      <c r="AE191" s="22" t="n"/>
      <c r="AF191" s="23" t="n"/>
      <c r="AG191" s="14" t="n"/>
      <c r="AH191" s="20" t="n"/>
      <c r="AI191" s="20" t="n"/>
      <c r="AJ191" s="14" t="n"/>
    </row>
    <row r="192">
      <c r="A192" s="12" t="inlineStr">
        <is>
          <t>PETITFEE - Gold Hydrogel Eye Patch [1 Pairs] / гидрогелевые патчи для глаз с золотом 1 пара</t>
        </is>
      </c>
      <c r="B192" s="13" t="n"/>
      <c r="C192" s="13" t="n"/>
      <c r="D192" s="14" t="n"/>
      <c r="E192" s="14" t="n"/>
      <c r="F192" s="14" t="n"/>
      <c r="G192" s="14" t="n"/>
      <c r="H192" s="15" t="n"/>
      <c r="I192" s="16" t="n"/>
      <c r="J192" s="17" t="n"/>
      <c r="K192" s="17" t="n"/>
      <c r="L192" s="18" t="n"/>
      <c r="M192" s="19" t="n"/>
      <c r="N192" s="14" t="n"/>
      <c r="O192" s="14" t="n"/>
      <c r="P192" s="14" t="n"/>
      <c r="Q192" s="14" t="n"/>
      <c r="R192" s="14" t="n"/>
      <c r="S192" s="14" t="n"/>
      <c r="T192" s="20" t="n"/>
      <c r="U192" s="14" t="n"/>
      <c r="V192" s="14" t="n"/>
      <c r="W192" s="21" t="n"/>
      <c r="X192" s="14" t="n"/>
      <c r="Y192" s="18" t="n"/>
      <c r="Z192" s="19" t="n"/>
      <c r="AA192" s="14" t="n"/>
      <c r="AB192" s="20" t="n"/>
      <c r="AC192" s="14" t="n"/>
      <c r="AD192" s="14" t="n"/>
      <c r="AE192" s="22" t="n"/>
      <c r="AF192" s="23" t="n"/>
      <c r="AG192" s="14" t="n"/>
      <c r="AH192" s="20" t="n"/>
      <c r="AI192" s="20" t="n"/>
      <c r="AJ192" s="14" t="n"/>
    </row>
    <row r="193">
      <c r="A193" s="24" t="inlineStr">
        <is>
          <t>PETITFEE - Agave Cooling Hydrogel Face Mask [5pcs] / Охлаждающая гидрогелевая маска для лица с экстрактом агавы</t>
        </is>
      </c>
      <c r="B193" s="25" t="n"/>
      <c r="C193" s="26" t="n"/>
      <c r="D193" s="27" t="n">
        <v>2480</v>
      </c>
      <c r="E193" s="27" t="n">
        <v>293</v>
      </c>
      <c r="F193" s="27" t="n">
        <v>21</v>
      </c>
      <c r="G193" s="27" t="n">
        <v>2200</v>
      </c>
      <c r="H193" s="28" t="n">
        <v>0.45</v>
      </c>
      <c r="I193" s="29">
        <f>G193*(1-H193)</f>
        <v/>
      </c>
      <c r="J193" s="30" t="n">
        <v>486.41</v>
      </c>
      <c r="K193" s="31">
        <f>$G$5</f>
        <v/>
      </c>
      <c r="L193" s="32">
        <f>J193+K193</f>
        <v/>
      </c>
      <c r="M193" s="33" t="n">
        <v>0.41</v>
      </c>
      <c r="N193" s="34">
        <f>G193*M193</f>
        <v/>
      </c>
      <c r="O193" s="35" t="n">
        <v>72</v>
      </c>
      <c r="P193" s="34">
        <f>G193*$G$8</f>
        <v/>
      </c>
      <c r="Q193" s="35" t="n">
        <v>25</v>
      </c>
      <c r="R193" s="34">
        <f>G193*$G$4</f>
        <v/>
      </c>
      <c r="S193" s="34">
        <f>I193*$G$3</f>
        <v/>
      </c>
      <c r="T193" s="36" t="n">
        <v>0.9</v>
      </c>
      <c r="U193" s="35" t="n">
        <v>72</v>
      </c>
      <c r="V193" s="34">
        <f>U193*(1-T193)</f>
        <v/>
      </c>
      <c r="W193" s="37" t="n">
        <v>1.1</v>
      </c>
      <c r="X193" s="34">
        <f>$G$6*$G$7*W193</f>
        <v/>
      </c>
      <c r="Y193" s="32">
        <f>W193*($G$9+$G$10)</f>
        <v/>
      </c>
      <c r="Z193" s="33" t="n">
        <v>0.07000000000000001</v>
      </c>
      <c r="AA193" s="34">
        <f>G193*Z193</f>
        <v/>
      </c>
      <c r="AB193" s="36" t="n">
        <v>0.08</v>
      </c>
      <c r="AC193" s="34">
        <f>G193*AB193</f>
        <v/>
      </c>
      <c r="AD193" s="34">
        <f>AA193+AC193</f>
        <v/>
      </c>
      <c r="AE193" s="38">
        <f>AD193/G193</f>
        <v/>
      </c>
      <c r="AF193" s="39">
        <f>G193-N193-O193-P193-Q193-R193-S193-V193-X193-Y193-L193</f>
        <v/>
      </c>
      <c r="AG193" s="40">
        <f>AF193-AD193</f>
        <v/>
      </c>
      <c r="AH193" s="41">
        <f>AG193/G193</f>
        <v/>
      </c>
      <c r="AI193" s="42">
        <f>AG193/L193</f>
        <v/>
      </c>
      <c r="AJ193" s="34">
        <f>(O193+Q193+V193+X193+Y193+L193)/(1-(M193+$G$4+(1-H193)*$G$3+$G$8+Z193+AB193))</f>
        <v/>
      </c>
    </row>
    <row r="194">
      <c r="A194" s="24" t="inlineStr">
        <is>
          <t>PETITFEE - Gold Hydrogel Mask Pack [5pcs] / Гидрогелевая маска для лица с золотом</t>
        </is>
      </c>
      <c r="B194" s="25" t="n"/>
      <c r="C194" s="26" t="n"/>
      <c r="D194" s="27" t="n">
        <v>2570</v>
      </c>
      <c r="E194" s="27" t="n">
        <v>121</v>
      </c>
      <c r="F194" s="27" t="n">
        <v>12</v>
      </c>
      <c r="G194" s="27" t="n">
        <v>2300</v>
      </c>
      <c r="H194" s="28" t="n">
        <v>0.45</v>
      </c>
      <c r="I194" s="29">
        <f>G194*(1-H194)</f>
        <v/>
      </c>
      <c r="J194" s="30" t="n">
        <v>507.16</v>
      </c>
      <c r="K194" s="31">
        <f>$G$5</f>
        <v/>
      </c>
      <c r="L194" s="32">
        <f>J194+K194</f>
        <v/>
      </c>
      <c r="M194" s="33" t="n">
        <v>0.41</v>
      </c>
      <c r="N194" s="34">
        <f>G194*M194</f>
        <v/>
      </c>
      <c r="O194" s="35" t="n">
        <v>72</v>
      </c>
      <c r="P194" s="34">
        <f>G194*$G$8</f>
        <v/>
      </c>
      <c r="Q194" s="35" t="n">
        <v>25</v>
      </c>
      <c r="R194" s="34">
        <f>G194*$G$4</f>
        <v/>
      </c>
      <c r="S194" s="34">
        <f>I194*$G$3</f>
        <v/>
      </c>
      <c r="T194" s="36" t="n">
        <v>0.9</v>
      </c>
      <c r="U194" s="35" t="n">
        <v>72</v>
      </c>
      <c r="V194" s="34">
        <f>U194*(1-T194)</f>
        <v/>
      </c>
      <c r="W194" s="37" t="n">
        <v>1.1</v>
      </c>
      <c r="X194" s="34">
        <f>$G$6*$G$7*W194</f>
        <v/>
      </c>
      <c r="Y194" s="32">
        <f>W194*($G$9+$G$10)</f>
        <v/>
      </c>
      <c r="Z194" s="33" t="n">
        <v>0.07000000000000001</v>
      </c>
      <c r="AA194" s="34">
        <f>G194*Z194</f>
        <v/>
      </c>
      <c r="AB194" s="36" t="n">
        <v>0.08</v>
      </c>
      <c r="AC194" s="34">
        <f>G194*AB194</f>
        <v/>
      </c>
      <c r="AD194" s="34">
        <f>AA194+AC194</f>
        <v/>
      </c>
      <c r="AE194" s="38">
        <f>AD194/G194</f>
        <v/>
      </c>
      <c r="AF194" s="39">
        <f>G194-N194-O194-P194-Q194-R194-S194-V194-X194-Y194-L194</f>
        <v/>
      </c>
      <c r="AG194" s="40">
        <f>AF194-AD194</f>
        <v/>
      </c>
      <c r="AH194" s="41">
        <f>AG194/G194</f>
        <v/>
      </c>
      <c r="AI194" s="42">
        <f>AG194/L194</f>
        <v/>
      </c>
      <c r="AJ194" s="34">
        <f>(O194+Q194+V194+X194+Y194+L194)/(1-(M194+$G$4+(1-H194)*$G$3+$G$8+Z194+AB194))</f>
        <v/>
      </c>
    </row>
    <row r="195">
      <c r="A195" s="24" t="inlineStr">
        <is>
          <t>PETITFEE - Cacao Energizing Hydrogel Mask Pack [5pcs] / Тонизирующая гидрогелевая маска для лица с экстрактом какао</t>
        </is>
      </c>
      <c r="B195" s="25" t="n"/>
      <c r="C195" s="26" t="n"/>
      <c r="D195" s="27" t="n">
        <v>2680</v>
      </c>
      <c r="E195" s="27" t="n">
        <v>38</v>
      </c>
      <c r="F195" s="27" t="n">
        <v>9.699999999999999</v>
      </c>
      <c r="G195" s="27" t="n">
        <v>2250</v>
      </c>
      <c r="H195" s="28" t="n">
        <v>0.45</v>
      </c>
      <c r="I195" s="29">
        <f>G195*(1-H195)</f>
        <v/>
      </c>
      <c r="J195" s="30" t="n">
        <v>496.86</v>
      </c>
      <c r="K195" s="31">
        <f>$G$5</f>
        <v/>
      </c>
      <c r="L195" s="32">
        <f>J195+K195</f>
        <v/>
      </c>
      <c r="M195" s="33" t="n">
        <v>0.41</v>
      </c>
      <c r="N195" s="34">
        <f>G195*M195</f>
        <v/>
      </c>
      <c r="O195" s="35" t="n">
        <v>72</v>
      </c>
      <c r="P195" s="34">
        <f>G195*$G$8</f>
        <v/>
      </c>
      <c r="Q195" s="35" t="n">
        <v>25</v>
      </c>
      <c r="R195" s="34">
        <f>G195*$G$4</f>
        <v/>
      </c>
      <c r="S195" s="34">
        <f>I195*$G$3</f>
        <v/>
      </c>
      <c r="T195" s="36" t="n">
        <v>0.9</v>
      </c>
      <c r="U195" s="35" t="n">
        <v>72</v>
      </c>
      <c r="V195" s="34">
        <f>U195*(1-T195)</f>
        <v/>
      </c>
      <c r="W195" s="37" t="n">
        <v>1.1</v>
      </c>
      <c r="X195" s="34">
        <f>$G$6*$G$7*W195</f>
        <v/>
      </c>
      <c r="Y195" s="32">
        <f>W195*($G$9+$G$10)</f>
        <v/>
      </c>
      <c r="Z195" s="33" t="n">
        <v>0.07000000000000001</v>
      </c>
      <c r="AA195" s="34">
        <f>G195*Z195</f>
        <v/>
      </c>
      <c r="AB195" s="36" t="n">
        <v>0.08</v>
      </c>
      <c r="AC195" s="34">
        <f>G195*AB195</f>
        <v/>
      </c>
      <c r="AD195" s="34">
        <f>AA195+AC195</f>
        <v/>
      </c>
      <c r="AE195" s="38">
        <f>AD195/G195</f>
        <v/>
      </c>
      <c r="AF195" s="39">
        <f>G195-N195-O195-P195-Q195-R195-S195-V195-X195-Y195-L195</f>
        <v/>
      </c>
      <c r="AG195" s="40">
        <f>AF195-AD195</f>
        <v/>
      </c>
      <c r="AH195" s="41">
        <f>AG195/G195</f>
        <v/>
      </c>
      <c r="AI195" s="42">
        <f>AG195/L195</f>
        <v/>
      </c>
      <c r="AJ195" s="34">
        <f>(O195+Q195+V195+X195+Y195+L195)/(1-(M195+$G$4+(1-H195)*$G$3+$G$8+Z195+AB195))</f>
        <v/>
      </c>
    </row>
    <row r="196">
      <c r="A196" s="24" t="inlineStr">
        <is>
          <t>PETITFEE - Artichoke Soothing Hydrogel Face Mask [5pcs] / Смягчающая гидрогелевая маска для лица с экстрактом артишока</t>
        </is>
      </c>
      <c r="B196" s="25" t="n"/>
      <c r="C196" s="26" t="n"/>
      <c r="D196" s="27" t="n">
        <v>2420</v>
      </c>
      <c r="E196" s="27" t="n">
        <v>409</v>
      </c>
      <c r="F196" s="27" t="n">
        <v>23</v>
      </c>
      <c r="G196" s="27" t="n">
        <v>2300</v>
      </c>
      <c r="H196" s="28" t="n">
        <v>0.45</v>
      </c>
      <c r="I196" s="29">
        <f>G196*(1-H196)</f>
        <v/>
      </c>
      <c r="J196" s="30" t="n">
        <v>498.54</v>
      </c>
      <c r="K196" s="31">
        <f>$G$5</f>
        <v/>
      </c>
      <c r="L196" s="32">
        <f>J196+K196</f>
        <v/>
      </c>
      <c r="M196" s="33" t="n">
        <v>0.41</v>
      </c>
      <c r="N196" s="34">
        <f>G196*M196</f>
        <v/>
      </c>
      <c r="O196" s="35" t="n">
        <v>72</v>
      </c>
      <c r="P196" s="34">
        <f>G196*$G$8</f>
        <v/>
      </c>
      <c r="Q196" s="35" t="n">
        <v>25</v>
      </c>
      <c r="R196" s="34">
        <f>G196*$G$4</f>
        <v/>
      </c>
      <c r="S196" s="34">
        <f>I196*$G$3</f>
        <v/>
      </c>
      <c r="T196" s="36" t="n">
        <v>0.9</v>
      </c>
      <c r="U196" s="35" t="n">
        <v>72</v>
      </c>
      <c r="V196" s="34">
        <f>U196*(1-T196)</f>
        <v/>
      </c>
      <c r="W196" s="37" t="n">
        <v>1.1</v>
      </c>
      <c r="X196" s="34">
        <f>$G$6*$G$7*W196</f>
        <v/>
      </c>
      <c r="Y196" s="32">
        <f>W196*($G$9+$G$10)</f>
        <v/>
      </c>
      <c r="Z196" s="33" t="n">
        <v>0.07000000000000001</v>
      </c>
      <c r="AA196" s="34">
        <f>G196*Z196</f>
        <v/>
      </c>
      <c r="AB196" s="36" t="n">
        <v>0.08</v>
      </c>
      <c r="AC196" s="34">
        <f>G196*AB196</f>
        <v/>
      </c>
      <c r="AD196" s="34">
        <f>AA196+AC196</f>
        <v/>
      </c>
      <c r="AE196" s="38">
        <f>AD196/G196</f>
        <v/>
      </c>
      <c r="AF196" s="39">
        <f>G196-N196-O196-P196-Q196-R196-S196-V196-X196-Y196-L196</f>
        <v/>
      </c>
      <c r="AG196" s="40">
        <f>AF196-AD196</f>
        <v/>
      </c>
      <c r="AH196" s="41">
        <f>AG196/G196</f>
        <v/>
      </c>
      <c r="AI196" s="42">
        <f>AG196/L196</f>
        <v/>
      </c>
      <c r="AJ196" s="34">
        <f>(O196+Q196+V196+X196+Y196+L196)/(1-(M196+$G$4+(1-H196)*$G$3+$G$8+Z196+AB196))</f>
        <v/>
      </c>
    </row>
    <row r="197">
      <c r="A197" s="24" t="inlineStr">
        <is>
          <t>PETITFEE - Gold &amp; Snail Hydrogel Mask Pack [5pcs] / Гидрогелевая маска для лица с золотом и экстрактом улитки</t>
        </is>
      </c>
      <c r="B197" s="25" t="n"/>
      <c r="C197" s="26" t="n"/>
      <c r="D197" s="27" t="n">
        <v>2280</v>
      </c>
      <c r="E197" s="27" t="n">
        <v>19</v>
      </c>
      <c r="F197" s="27" t="n">
        <v>8</v>
      </c>
      <c r="G197" s="27" t="n">
        <v>2135</v>
      </c>
      <c r="H197" s="28" t="n">
        <v>0.45</v>
      </c>
      <c r="I197" s="29">
        <f>G197*(1-H197)</f>
        <v/>
      </c>
      <c r="J197" s="30" t="n">
        <v>478.17</v>
      </c>
      <c r="K197" s="31">
        <f>$G$5</f>
        <v/>
      </c>
      <c r="L197" s="32">
        <f>J197+K197</f>
        <v/>
      </c>
      <c r="M197" s="33" t="n">
        <v>0.41</v>
      </c>
      <c r="N197" s="34">
        <f>G197*M197</f>
        <v/>
      </c>
      <c r="O197" s="35" t="n">
        <v>72</v>
      </c>
      <c r="P197" s="34">
        <f>G197*$G$8</f>
        <v/>
      </c>
      <c r="Q197" s="35" t="n">
        <v>25</v>
      </c>
      <c r="R197" s="34">
        <f>G197*$G$4</f>
        <v/>
      </c>
      <c r="S197" s="34">
        <f>I197*$G$3</f>
        <v/>
      </c>
      <c r="T197" s="36" t="n">
        <v>0.9</v>
      </c>
      <c r="U197" s="35" t="n">
        <v>72</v>
      </c>
      <c r="V197" s="34">
        <f>U197*(1-T197)</f>
        <v/>
      </c>
      <c r="W197" s="37" t="n">
        <v>1.1</v>
      </c>
      <c r="X197" s="34">
        <f>$G$6*$G$7*W197</f>
        <v/>
      </c>
      <c r="Y197" s="32">
        <f>W197*($G$9+$G$10)</f>
        <v/>
      </c>
      <c r="Z197" s="33" t="n">
        <v>0.07000000000000001</v>
      </c>
      <c r="AA197" s="34">
        <f>G197*Z197</f>
        <v/>
      </c>
      <c r="AB197" s="36" t="n">
        <v>0.08</v>
      </c>
      <c r="AC197" s="34">
        <f>G197*AB197</f>
        <v/>
      </c>
      <c r="AD197" s="34">
        <f>AA197+AC197</f>
        <v/>
      </c>
      <c r="AE197" s="38">
        <f>AD197/G197</f>
        <v/>
      </c>
      <c r="AF197" s="39">
        <f>G197-N197-O197-P197-Q197-R197-S197-V197-X197-Y197-L197</f>
        <v/>
      </c>
      <c r="AG197" s="40">
        <f>AF197-AD197</f>
        <v/>
      </c>
      <c r="AH197" s="41">
        <f>AG197/G197</f>
        <v/>
      </c>
      <c r="AI197" s="42">
        <f>AG197/L197</f>
        <v/>
      </c>
      <c r="AJ197" s="34">
        <f>(O197+Q197+V197+X197+Y197+L197)/(1-(M197+$G$4+(1-H197)*$G$3+$G$8+Z197+AB197))</f>
        <v/>
      </c>
    </row>
    <row r="198">
      <c r="A198" s="24" t="inlineStr">
        <is>
          <t>PETITFEE - Black Pearl &amp; Gold Hydrogel Mask Pack [5pcs] / Гидрогелевая маска для лица с черным жемчугом и золотом</t>
        </is>
      </c>
      <c r="B198" s="25" t="n"/>
      <c r="C198" s="26" t="n"/>
      <c r="D198" s="27" t="n">
        <v>2225</v>
      </c>
      <c r="E198" s="27" t="n">
        <v>156</v>
      </c>
      <c r="F198" s="27" t="n">
        <v>23</v>
      </c>
      <c r="G198" s="27" t="n">
        <v>2135</v>
      </c>
      <c r="H198" s="28" t="n">
        <v>0.45</v>
      </c>
      <c r="I198" s="29">
        <f>G198*(1-H198)</f>
        <v/>
      </c>
      <c r="J198" s="30" t="n">
        <v>478.05</v>
      </c>
      <c r="K198" s="31">
        <f>$G$5</f>
        <v/>
      </c>
      <c r="L198" s="32">
        <f>J198+K198</f>
        <v/>
      </c>
      <c r="M198" s="33" t="n">
        <v>0.41</v>
      </c>
      <c r="N198" s="34">
        <f>G198*M198</f>
        <v/>
      </c>
      <c r="O198" s="35" t="n">
        <v>72</v>
      </c>
      <c r="P198" s="34">
        <f>G198*$G$8</f>
        <v/>
      </c>
      <c r="Q198" s="35" t="n">
        <v>25</v>
      </c>
      <c r="R198" s="34">
        <f>G198*$G$4</f>
        <v/>
      </c>
      <c r="S198" s="34">
        <f>I198*$G$3</f>
        <v/>
      </c>
      <c r="T198" s="36" t="n">
        <v>0.9</v>
      </c>
      <c r="U198" s="35" t="n">
        <v>72</v>
      </c>
      <c r="V198" s="34">
        <f>U198*(1-T198)</f>
        <v/>
      </c>
      <c r="W198" s="37" t="n">
        <v>1.1</v>
      </c>
      <c r="X198" s="34">
        <f>$G$6*$G$7*W198</f>
        <v/>
      </c>
      <c r="Y198" s="32">
        <f>W198*($G$9+$G$10)</f>
        <v/>
      </c>
      <c r="Z198" s="33" t="n">
        <v>0.07000000000000001</v>
      </c>
      <c r="AA198" s="34">
        <f>G198*Z198</f>
        <v/>
      </c>
      <c r="AB198" s="36" t="n">
        <v>0.08</v>
      </c>
      <c r="AC198" s="34">
        <f>G198*AB198</f>
        <v/>
      </c>
      <c r="AD198" s="34">
        <f>AA198+AC198</f>
        <v/>
      </c>
      <c r="AE198" s="38">
        <f>AD198/G198</f>
        <v/>
      </c>
      <c r="AF198" s="39">
        <f>G198-N198-O198-P198-Q198-R198-S198-V198-X198-Y198-L198</f>
        <v/>
      </c>
      <c r="AG198" s="40">
        <f>AF198-AD198</f>
        <v/>
      </c>
      <c r="AH198" s="41">
        <f>AG198/G198</f>
        <v/>
      </c>
      <c r="AI198" s="42">
        <f>AG198/L198</f>
        <v/>
      </c>
      <c r="AJ198" s="34">
        <f>(O198+Q198+V198+X198+Y198+L198)/(1-(M198+$G$4+(1-H198)*$G$3+$G$8+Z198+AB198))</f>
        <v/>
      </c>
    </row>
    <row r="199">
      <c r="A199" s="12" t="inlineStr">
        <is>
          <t>PETITFEE - Chamomile Lightening Hydrogel Mask Pack [5pcs] / Успокаивающая гидрогелевая маска для лица с экстрактом ромашки</t>
        </is>
      </c>
      <c r="B199" s="13" t="n"/>
      <c r="C199" s="13" t="n"/>
      <c r="D199" s="14" t="n"/>
      <c r="E199" s="14" t="n"/>
      <c r="F199" s="14" t="n"/>
      <c r="G199" s="14" t="n"/>
      <c r="H199" s="15" t="n"/>
      <c r="I199" s="16" t="n"/>
      <c r="J199" s="17" t="n"/>
      <c r="K199" s="17" t="n"/>
      <c r="L199" s="18" t="n"/>
      <c r="M199" s="19" t="n"/>
      <c r="N199" s="14" t="n"/>
      <c r="O199" s="14" t="n"/>
      <c r="P199" s="14" t="n"/>
      <c r="Q199" s="14" t="n"/>
      <c r="R199" s="14" t="n"/>
      <c r="S199" s="14" t="n"/>
      <c r="T199" s="20" t="n"/>
      <c r="U199" s="14" t="n"/>
      <c r="V199" s="14" t="n"/>
      <c r="W199" s="21" t="n"/>
      <c r="X199" s="14" t="n"/>
      <c r="Y199" s="18" t="n"/>
      <c r="Z199" s="19" t="n"/>
      <c r="AA199" s="14" t="n"/>
      <c r="AB199" s="20" t="n"/>
      <c r="AC199" s="14" t="n"/>
      <c r="AD199" s="14" t="n"/>
      <c r="AE199" s="22" t="n"/>
      <c r="AF199" s="23" t="n"/>
      <c r="AG199" s="14" t="n"/>
      <c r="AH199" s="20" t="n"/>
      <c r="AI199" s="20" t="n"/>
      <c r="AJ199" s="14" t="n"/>
    </row>
    <row r="200">
      <c r="A200" s="12" t="inlineStr">
        <is>
          <t>PETITFEE - MASK 5 (блек, агава, какао, артишок, голд снейл)</t>
        </is>
      </c>
      <c r="B200" s="13" t="n"/>
      <c r="C200" s="13" t="n"/>
      <c r="D200" s="14" t="n"/>
      <c r="E200" s="14" t="n"/>
      <c r="F200" s="14" t="n"/>
      <c r="G200" s="14" t="n"/>
      <c r="H200" s="15" t="n"/>
      <c r="I200" s="16" t="n"/>
      <c r="J200" s="17" t="n"/>
      <c r="K200" s="17" t="n"/>
      <c r="L200" s="18" t="n"/>
      <c r="M200" s="19" t="n"/>
      <c r="N200" s="14" t="n"/>
      <c r="O200" s="14" t="n"/>
      <c r="P200" s="14" t="n"/>
      <c r="Q200" s="14" t="n"/>
      <c r="R200" s="14" t="n"/>
      <c r="S200" s="14" t="n"/>
      <c r="T200" s="20" t="n"/>
      <c r="U200" s="14" t="n"/>
      <c r="V200" s="14" t="n"/>
      <c r="W200" s="21" t="n"/>
      <c r="X200" s="14" t="n"/>
      <c r="Y200" s="18" t="n"/>
      <c r="Z200" s="19" t="n"/>
      <c r="AA200" s="14" t="n"/>
      <c r="AB200" s="20" t="n"/>
      <c r="AC200" s="14" t="n"/>
      <c r="AD200" s="14" t="n"/>
      <c r="AE200" s="22" t="n"/>
      <c r="AF200" s="23" t="n"/>
      <c r="AG200" s="14" t="n"/>
      <c r="AH200" s="20" t="n"/>
      <c r="AI200" s="20" t="n"/>
      <c r="AJ200" s="14" t="n"/>
    </row>
    <row r="201">
      <c r="A201" s="12" t="inlineStr">
        <is>
          <t>PETITFEE - MASK 6 (блек, агава, какао, артишок, голд, ромашка)</t>
        </is>
      </c>
      <c r="B201" s="13" t="n"/>
      <c r="C201" s="13" t="n"/>
      <c r="D201" s="14" t="n"/>
      <c r="E201" s="14" t="n"/>
      <c r="F201" s="14" t="n"/>
      <c r="G201" s="14" t="n"/>
      <c r="H201" s="15" t="n"/>
      <c r="I201" s="16" t="n"/>
      <c r="J201" s="17" t="n"/>
      <c r="K201" s="17" t="n"/>
      <c r="L201" s="18" t="n"/>
      <c r="M201" s="19" t="n"/>
      <c r="N201" s="14" t="n"/>
      <c r="O201" s="14" t="n"/>
      <c r="P201" s="14" t="n"/>
      <c r="Q201" s="14" t="n"/>
      <c r="R201" s="14" t="n"/>
      <c r="S201" s="14" t="n"/>
      <c r="T201" s="20" t="n"/>
      <c r="U201" s="14" t="n"/>
      <c r="V201" s="14" t="n"/>
      <c r="W201" s="21" t="n"/>
      <c r="X201" s="14" t="n"/>
      <c r="Y201" s="18" t="n"/>
      <c r="Z201" s="19" t="n"/>
      <c r="AA201" s="14" t="n"/>
      <c r="AB201" s="20" t="n"/>
      <c r="AC201" s="14" t="n"/>
      <c r="AD201" s="14" t="n"/>
      <c r="AE201" s="22" t="n"/>
      <c r="AF201" s="23" t="n"/>
      <c r="AG201" s="14" t="n"/>
      <c r="AH201" s="20" t="n"/>
      <c r="AI201" s="20" t="n"/>
      <c r="AJ201" s="14" t="n"/>
    </row>
    <row r="202">
      <c r="A202" s="12" t="inlineStr">
        <is>
          <t>PETITFEE - FACE MASK 7 (набор ассорти 7 видов по 1 шт)</t>
        </is>
      </c>
      <c r="B202" s="13" t="n"/>
      <c r="C202" s="13" t="n"/>
      <c r="D202" s="14" t="n"/>
      <c r="E202" s="14" t="n"/>
      <c r="F202" s="14" t="n"/>
      <c r="G202" s="14" t="n"/>
      <c r="H202" s="15" t="n"/>
      <c r="I202" s="16" t="n"/>
      <c r="J202" s="17" t="n"/>
      <c r="K202" s="17" t="n"/>
      <c r="L202" s="18" t="n"/>
      <c r="M202" s="19" t="n"/>
      <c r="N202" s="14" t="n"/>
      <c r="O202" s="14" t="n"/>
      <c r="P202" s="14" t="n"/>
      <c r="Q202" s="14" t="n"/>
      <c r="R202" s="14" t="n"/>
      <c r="S202" s="14" t="n"/>
      <c r="T202" s="20" t="n"/>
      <c r="U202" s="14" t="n"/>
      <c r="V202" s="14" t="n"/>
      <c r="W202" s="21" t="n"/>
      <c r="X202" s="14" t="n"/>
      <c r="Y202" s="18" t="n"/>
      <c r="Z202" s="19" t="n"/>
      <c r="AA202" s="14" t="n"/>
      <c r="AB202" s="20" t="n"/>
      <c r="AC202" s="14" t="n"/>
      <c r="AD202" s="14" t="n"/>
      <c r="AE202" s="22" t="n"/>
      <c r="AF202" s="23" t="n"/>
      <c r="AG202" s="14" t="n"/>
      <c r="AH202" s="20" t="n"/>
      <c r="AI202" s="20" t="n"/>
      <c r="AJ202" s="14" t="n"/>
    </row>
    <row r="203">
      <c r="A203" s="24" t="inlineStr">
        <is>
          <t>ROUND LAB 1025 DOKDO CLEANSER_150ml</t>
        </is>
      </c>
      <c r="B203" s="25" t="n"/>
      <c r="C203" s="26" t="n"/>
      <c r="D203" s="27" t="n">
        <v>2335</v>
      </c>
      <c r="E203" s="27" t="n">
        <v>4000</v>
      </c>
      <c r="F203" s="27" t="n">
        <v>3</v>
      </c>
      <c r="G203" s="27" t="n">
        <v>2200</v>
      </c>
      <c r="H203" s="28" t="n">
        <v>0.45</v>
      </c>
      <c r="I203" s="29">
        <f>G203*(1-H203)</f>
        <v/>
      </c>
      <c r="J203" s="30" t="n">
        <v>463.19</v>
      </c>
      <c r="K203" s="31">
        <f>$G$5</f>
        <v/>
      </c>
      <c r="L203" s="32">
        <f>J203+K203</f>
        <v/>
      </c>
      <c r="M203" s="33" t="n">
        <v>0.41</v>
      </c>
      <c r="N203" s="34">
        <f>G203*M203</f>
        <v/>
      </c>
      <c r="O203" s="35" t="n">
        <v>74</v>
      </c>
      <c r="P203" s="34">
        <f>G203*$G$8</f>
        <v/>
      </c>
      <c r="Q203" s="35" t="n">
        <v>25</v>
      </c>
      <c r="R203" s="34">
        <f>G203*$G$4</f>
        <v/>
      </c>
      <c r="S203" s="34">
        <f>I203*$G$3</f>
        <v/>
      </c>
      <c r="T203" s="36" t="n">
        <v>0.9</v>
      </c>
      <c r="U203" s="35" t="n">
        <v>74</v>
      </c>
      <c r="V203" s="34">
        <f>U203*(1-T203)</f>
        <v/>
      </c>
      <c r="W203" s="37" t="n">
        <v>1.28</v>
      </c>
      <c r="X203" s="34">
        <f>$G$6*$G$7*W203</f>
        <v/>
      </c>
      <c r="Y203" s="32">
        <f>W203*($G$9+$G$10)</f>
        <v/>
      </c>
      <c r="Z203" s="33" t="n">
        <v>0.07000000000000001</v>
      </c>
      <c r="AA203" s="34">
        <f>G203*Z203</f>
        <v/>
      </c>
      <c r="AB203" s="36" t="n">
        <v>0.08</v>
      </c>
      <c r="AC203" s="34">
        <f>G203*AB203</f>
        <v/>
      </c>
      <c r="AD203" s="34">
        <f>AA203+AC203</f>
        <v/>
      </c>
      <c r="AE203" s="38">
        <f>AD203/G203</f>
        <v/>
      </c>
      <c r="AF203" s="39">
        <f>G203-N203-O203-P203-Q203-R203-S203-V203-X203-Y203-L203</f>
        <v/>
      </c>
      <c r="AG203" s="40">
        <f>AF203-AD203</f>
        <v/>
      </c>
      <c r="AH203" s="41">
        <f>AG203/G203</f>
        <v/>
      </c>
      <c r="AI203" s="42">
        <f>AG203/L203</f>
        <v/>
      </c>
      <c r="AJ203" s="34">
        <f>(O203+Q203+V203+X203+Y203+L203)/(1-(M203+$G$4+(1-H203)*$G$3+$G$8+Z203+AB203))</f>
        <v/>
      </c>
    </row>
    <row r="204">
      <c r="A204" s="12" t="inlineStr">
        <is>
          <t>ROUND LAB BIRCH JUICE MOISTURIZING CREAM_80ml -Увлажняющий крем с березовым соком</t>
        </is>
      </c>
      <c r="B204" s="13" t="n"/>
      <c r="C204" s="13" t="n"/>
      <c r="D204" s="14" t="n"/>
      <c r="E204" s="14" t="n"/>
      <c r="F204" s="14" t="n"/>
      <c r="G204" s="14" t="n"/>
      <c r="H204" s="15" t="n"/>
      <c r="I204" s="16" t="n"/>
      <c r="J204" s="17" t="n"/>
      <c r="K204" s="17" t="n"/>
      <c r="L204" s="18" t="n"/>
      <c r="M204" s="19" t="n"/>
      <c r="N204" s="14" t="n"/>
      <c r="O204" s="14" t="n"/>
      <c r="P204" s="14" t="n"/>
      <c r="Q204" s="14" t="n"/>
      <c r="R204" s="14" t="n"/>
      <c r="S204" s="14" t="n"/>
      <c r="T204" s="20" t="n"/>
      <c r="U204" s="14" t="n"/>
      <c r="V204" s="14" t="n"/>
      <c r="W204" s="21" t="n"/>
      <c r="X204" s="14" t="n"/>
      <c r="Y204" s="18" t="n"/>
      <c r="Z204" s="19" t="n"/>
      <c r="AA204" s="14" t="n"/>
      <c r="AB204" s="20" t="n"/>
      <c r="AC204" s="14" t="n"/>
      <c r="AD204" s="14" t="n"/>
      <c r="AE204" s="22" t="n"/>
      <c r="AF204" s="23" t="n"/>
      <c r="AG204" s="14" t="n"/>
      <c r="AH204" s="20" t="n"/>
      <c r="AI204" s="20" t="n"/>
      <c r="AJ204" s="14" t="n"/>
    </row>
    <row r="205">
      <c r="A205" s="12" t="inlineStr">
        <is>
          <t>ROUND LAB BIRCH JUICE MOISTURIZING CLEANSER_150ml - Гель для умывания лица увлажняющий</t>
        </is>
      </c>
      <c r="B205" s="13" t="n"/>
      <c r="C205" s="13" t="n"/>
      <c r="D205" s="14" t="n"/>
      <c r="E205" s="14" t="n"/>
      <c r="F205" s="14" t="n"/>
      <c r="G205" s="14" t="n"/>
      <c r="H205" s="15" t="n"/>
      <c r="I205" s="16" t="n"/>
      <c r="J205" s="17" t="n"/>
      <c r="K205" s="17" t="n"/>
      <c r="L205" s="18" t="n"/>
      <c r="M205" s="19" t="n"/>
      <c r="N205" s="14" t="n"/>
      <c r="O205" s="14" t="n"/>
      <c r="P205" s="14" t="n"/>
      <c r="Q205" s="14" t="n"/>
      <c r="R205" s="14" t="n"/>
      <c r="S205" s="14" t="n"/>
      <c r="T205" s="20" t="n"/>
      <c r="U205" s="14" t="n"/>
      <c r="V205" s="14" t="n"/>
      <c r="W205" s="21" t="n"/>
      <c r="X205" s="14" t="n"/>
      <c r="Y205" s="18" t="n"/>
      <c r="Z205" s="19" t="n"/>
      <c r="AA205" s="14" t="n"/>
      <c r="AB205" s="20" t="n"/>
      <c r="AC205" s="14" t="n"/>
      <c r="AD205" s="14" t="n"/>
      <c r="AE205" s="22" t="n"/>
      <c r="AF205" s="23" t="n"/>
      <c r="AG205" s="14" t="n"/>
      <c r="AH205" s="20" t="n"/>
      <c r="AI205" s="20" t="n"/>
      <c r="AJ205" s="14" t="n"/>
    </row>
    <row r="206">
      <c r="A206" s="24" t="inlineStr">
        <is>
          <t>ROUND LAB MUGWORT CALMING CLEANSER_150ml - Очищающая пенка для умывания лица от прыщей и акне</t>
        </is>
      </c>
      <c r="B206" s="25" t="n"/>
      <c r="C206" s="26" t="n"/>
      <c r="D206" s="27" t="n"/>
      <c r="E206" s="27" t="n"/>
      <c r="F206" s="27" t="n"/>
      <c r="G206" s="27">
        <f>(1.25*L206+O206+Q206+V206+X206+Y206)/(1-M206-$G$8-$G$4-(1-H206)*$G$3-Z206-AB206)</f>
        <v/>
      </c>
      <c r="H206" s="28" t="n">
        <v>0.45</v>
      </c>
      <c r="I206" s="29">
        <f>G206*(1-H206)</f>
        <v/>
      </c>
      <c r="J206" s="30" t="n">
        <v>512.3200000000001</v>
      </c>
      <c r="K206" s="31">
        <f>$G$5</f>
        <v/>
      </c>
      <c r="L206" s="32">
        <f>J206+K206</f>
        <v/>
      </c>
      <c r="M206" s="33" t="n">
        <v>0.41</v>
      </c>
      <c r="N206" s="34">
        <f>G206*M206</f>
        <v/>
      </c>
      <c r="O206" s="35" t="n">
        <v>67</v>
      </c>
      <c r="P206" s="34">
        <f>G206*$G$8</f>
        <v/>
      </c>
      <c r="Q206" s="35" t="n">
        <v>25</v>
      </c>
      <c r="R206" s="34">
        <f>G206*$G$4</f>
        <v/>
      </c>
      <c r="S206" s="34">
        <f>I206*$G$3</f>
        <v/>
      </c>
      <c r="T206" s="36" t="n">
        <v>0.9</v>
      </c>
      <c r="U206" s="35" t="n">
        <v>67</v>
      </c>
      <c r="V206" s="34">
        <f>U206*(1-T206)</f>
        <v/>
      </c>
      <c r="W206" s="37" t="n">
        <v>0.8</v>
      </c>
      <c r="X206" s="34">
        <f>$G$6*$G$7*W206</f>
        <v/>
      </c>
      <c r="Y206" s="32">
        <f>W206*($G$9+$G$10)</f>
        <v/>
      </c>
      <c r="Z206" s="33" t="n">
        <v>0.07000000000000001</v>
      </c>
      <c r="AA206" s="34">
        <f>G206*Z206</f>
        <v/>
      </c>
      <c r="AB206" s="36" t="n">
        <v>0.08</v>
      </c>
      <c r="AC206" s="34">
        <f>G206*AB206</f>
        <v/>
      </c>
      <c r="AD206" s="34">
        <f>AA206+AC206</f>
        <v/>
      </c>
      <c r="AE206" s="38">
        <f>AD206/G206</f>
        <v/>
      </c>
      <c r="AF206" s="39">
        <f>G206-N206-O206-P206-Q206-R206-S206-V206-X206-Y206-L206</f>
        <v/>
      </c>
      <c r="AG206" s="40">
        <f>AF206-AD206</f>
        <v/>
      </c>
      <c r="AH206" s="41">
        <f>AG206/G206</f>
        <v/>
      </c>
      <c r="AI206" s="42">
        <f>AG206/L206</f>
        <v/>
      </c>
      <c r="AJ206" s="34">
        <f>(O206+Q206+V206+X206+Y206+L206)/(1-(M206+$G$4+(1-H206)*$G$3+$G$8+Z206+AB206))</f>
        <v/>
      </c>
    </row>
    <row r="207">
      <c r="A207" s="12" t="inlineStr">
        <is>
          <t>ROUND LAB SOYBEAN PANTHENOL CREAM_80ml - Крем для лица с чёрной соей и пантенолом успокаивающий</t>
        </is>
      </c>
      <c r="B207" s="13" t="n"/>
      <c r="C207" s="13" t="n"/>
      <c r="D207" s="14" t="n"/>
      <c r="E207" s="14" t="n"/>
      <c r="F207" s="14" t="n"/>
      <c r="G207" s="14" t="n"/>
      <c r="H207" s="15" t="n"/>
      <c r="I207" s="16" t="n"/>
      <c r="J207" s="17" t="n"/>
      <c r="K207" s="17" t="n"/>
      <c r="L207" s="18" t="n"/>
      <c r="M207" s="19" t="n"/>
      <c r="N207" s="14" t="n"/>
      <c r="O207" s="14" t="n"/>
      <c r="P207" s="14" t="n"/>
      <c r="Q207" s="14" t="n"/>
      <c r="R207" s="14" t="n"/>
      <c r="S207" s="14" t="n"/>
      <c r="T207" s="20" t="n"/>
      <c r="U207" s="14" t="n"/>
      <c r="V207" s="14" t="n"/>
      <c r="W207" s="21" t="n"/>
      <c r="X207" s="14" t="n"/>
      <c r="Y207" s="18" t="n"/>
      <c r="Z207" s="19" t="n"/>
      <c r="AA207" s="14" t="n"/>
      <c r="AB207" s="20" t="n"/>
      <c r="AC207" s="14" t="n"/>
      <c r="AD207" s="14" t="n"/>
      <c r="AE207" s="22" t="n"/>
      <c r="AF207" s="23" t="n"/>
      <c r="AG207" s="14" t="n"/>
      <c r="AH207" s="20" t="n"/>
      <c r="AI207" s="20" t="n"/>
      <c r="AJ207" s="14" t="n"/>
    </row>
    <row r="208">
      <c r="A208" s="12" t="inlineStr">
        <is>
          <t>ROUND LAB VITA NIACINAMIDE DARK SPOT SERUM 30ml - Сыворотка для лица c витамином С и ниацинамидом</t>
        </is>
      </c>
      <c r="B208" s="13" t="n"/>
      <c r="C208" s="13" t="n"/>
      <c r="D208" s="14" t="n"/>
      <c r="E208" s="14" t="n"/>
      <c r="F208" s="14" t="n"/>
      <c r="G208" s="14" t="n"/>
      <c r="H208" s="15" t="n"/>
      <c r="I208" s="16" t="n"/>
      <c r="J208" s="17" t="n"/>
      <c r="K208" s="17" t="n"/>
      <c r="L208" s="18" t="n"/>
      <c r="M208" s="19" t="n"/>
      <c r="N208" s="14" t="n"/>
      <c r="O208" s="14" t="n"/>
      <c r="P208" s="14" t="n"/>
      <c r="Q208" s="14" t="n"/>
      <c r="R208" s="14" t="n"/>
      <c r="S208" s="14" t="n"/>
      <c r="T208" s="20" t="n"/>
      <c r="U208" s="14" t="n"/>
      <c r="V208" s="14" t="n"/>
      <c r="W208" s="21" t="n"/>
      <c r="X208" s="14" t="n"/>
      <c r="Y208" s="18" t="n"/>
      <c r="Z208" s="19" t="n"/>
      <c r="AA208" s="14" t="n"/>
      <c r="AB208" s="20" t="n"/>
      <c r="AC208" s="14" t="n"/>
      <c r="AD208" s="14" t="n"/>
      <c r="AE208" s="22" t="n"/>
      <c r="AF208" s="23" t="n"/>
      <c r="AG208" s="14" t="n"/>
      <c r="AH208" s="20" t="n"/>
      <c r="AI208" s="20" t="n"/>
      <c r="AJ208" s="14" t="n"/>
    </row>
    <row r="209">
      <c r="A209" s="12" t="inlineStr">
        <is>
          <t>ROUND LAB MUGWORT CALMING TONER_300ml - Тоник для лица увлажняющий успокаивающий</t>
        </is>
      </c>
      <c r="B209" s="13" t="n"/>
      <c r="C209" s="13" t="n"/>
      <c r="D209" s="14" t="n"/>
      <c r="E209" s="14" t="n"/>
      <c r="F209" s="14" t="n"/>
      <c r="G209" s="14" t="n"/>
      <c r="H209" s="15" t="n"/>
      <c r="I209" s="16" t="n"/>
      <c r="J209" s="17" t="n"/>
      <c r="K209" s="17" t="n"/>
      <c r="L209" s="18" t="n"/>
      <c r="M209" s="19" t="n"/>
      <c r="N209" s="14" t="n"/>
      <c r="O209" s="14" t="n"/>
      <c r="P209" s="14" t="n"/>
      <c r="Q209" s="14" t="n"/>
      <c r="R209" s="14" t="n"/>
      <c r="S209" s="14" t="n"/>
      <c r="T209" s="20" t="n"/>
      <c r="U209" s="14" t="n"/>
      <c r="V209" s="14" t="n"/>
      <c r="W209" s="21" t="n"/>
      <c r="X209" s="14" t="n"/>
      <c r="Y209" s="18" t="n"/>
      <c r="Z209" s="19" t="n"/>
      <c r="AA209" s="14" t="n"/>
      <c r="AB209" s="20" t="n"/>
      <c r="AC209" s="14" t="n"/>
      <c r="AD209" s="14" t="n"/>
      <c r="AE209" s="22" t="n"/>
      <c r="AF209" s="23" t="n"/>
      <c r="AG209" s="14" t="n"/>
      <c r="AH209" s="20" t="n"/>
      <c r="AI209" s="20" t="n"/>
      <c r="AJ209" s="14" t="n"/>
    </row>
    <row r="210">
      <c r="A210" s="12" t="inlineStr">
        <is>
          <t>ROUND LAB BIRCH JUICE MOISTURIZING SUNSCREEN_50ml - Солнцезащитный крем spf 50 для лица с спф</t>
        </is>
      </c>
      <c r="B210" s="13" t="n"/>
      <c r="C210" s="13" t="n"/>
      <c r="D210" s="14" t="n"/>
      <c r="E210" s="14" t="n"/>
      <c r="F210" s="14" t="n"/>
      <c r="G210" s="14" t="n"/>
      <c r="H210" s="15" t="n"/>
      <c r="I210" s="16" t="n"/>
      <c r="J210" s="17" t="n"/>
      <c r="K210" s="17" t="n"/>
      <c r="L210" s="18" t="n"/>
      <c r="M210" s="19" t="n"/>
      <c r="N210" s="14" t="n"/>
      <c r="O210" s="14" t="n"/>
      <c r="P210" s="14" t="n"/>
      <c r="Q210" s="14" t="n"/>
      <c r="R210" s="14" t="n"/>
      <c r="S210" s="14" t="n"/>
      <c r="T210" s="20" t="n"/>
      <c r="U210" s="14" t="n"/>
      <c r="V210" s="14" t="n"/>
      <c r="W210" s="21" t="n"/>
      <c r="X210" s="14" t="n"/>
      <c r="Y210" s="18" t="n"/>
      <c r="Z210" s="19" t="n"/>
      <c r="AA210" s="14" t="n"/>
      <c r="AB210" s="20" t="n"/>
      <c r="AC210" s="14" t="n"/>
      <c r="AD210" s="14" t="n"/>
      <c r="AE210" s="22" t="n"/>
      <c r="AF210" s="23" t="n"/>
      <c r="AG210" s="14" t="n"/>
      <c r="AH210" s="20" t="n"/>
      <c r="AI210" s="20" t="n"/>
      <c r="AJ210" s="14" t="n"/>
    </row>
    <row r="211">
      <c r="A211" s="12" t="inlineStr">
        <is>
          <t>ROUND LAB PINE CALMING CICA AMPOULE_30ml - Сыворотка для жирной кожи лица увлажняющая с центеллой</t>
        </is>
      </c>
      <c r="B211" s="13" t="n"/>
      <c r="C211" s="13" t="n"/>
      <c r="D211" s="14" t="n"/>
      <c r="E211" s="14" t="n"/>
      <c r="F211" s="14" t="n"/>
      <c r="G211" s="14" t="n"/>
      <c r="H211" s="15" t="n"/>
      <c r="I211" s="16" t="n"/>
      <c r="J211" s="17" t="n"/>
      <c r="K211" s="17" t="n"/>
      <c r="L211" s="18" t="n"/>
      <c r="M211" s="19" t="n"/>
      <c r="N211" s="14" t="n"/>
      <c r="O211" s="14" t="n"/>
      <c r="P211" s="14" t="n"/>
      <c r="Q211" s="14" t="n"/>
      <c r="R211" s="14" t="n"/>
      <c r="S211" s="14" t="n"/>
      <c r="T211" s="20" t="n"/>
      <c r="U211" s="14" t="n"/>
      <c r="V211" s="14" t="n"/>
      <c r="W211" s="21" t="n"/>
      <c r="X211" s="14" t="n"/>
      <c r="Y211" s="18" t="n"/>
      <c r="Z211" s="19" t="n"/>
      <c r="AA211" s="14" t="n"/>
      <c r="AB211" s="20" t="n"/>
      <c r="AC211" s="14" t="n"/>
      <c r="AD211" s="14" t="n"/>
      <c r="AE211" s="22" t="n"/>
      <c r="AF211" s="23" t="n"/>
      <c r="AG211" s="14" t="n"/>
      <c r="AH211" s="20" t="n"/>
      <c r="AI211" s="20" t="n"/>
      <c r="AJ211" s="14" t="n"/>
    </row>
    <row r="212">
      <c r="A212" s="12" t="inlineStr">
        <is>
          <t>ROUND LAB SOYBEAN CLEANSING OIL_200ml - Гидрофильное масло для лица для умывания</t>
        </is>
      </c>
      <c r="B212" s="13" t="n"/>
      <c r="C212" s="13" t="n"/>
      <c r="D212" s="14" t="n"/>
      <c r="E212" s="14" t="n"/>
      <c r="F212" s="14" t="n"/>
      <c r="G212" s="14" t="n"/>
      <c r="H212" s="15" t="n"/>
      <c r="I212" s="16" t="n"/>
      <c r="J212" s="17" t="n"/>
      <c r="K212" s="17" t="n"/>
      <c r="L212" s="18" t="n"/>
      <c r="M212" s="19" t="n"/>
      <c r="N212" s="14" t="n"/>
      <c r="O212" s="14" t="n"/>
      <c r="P212" s="14" t="n"/>
      <c r="Q212" s="14" t="n"/>
      <c r="R212" s="14" t="n"/>
      <c r="S212" s="14" t="n"/>
      <c r="T212" s="20" t="n"/>
      <c r="U212" s="14" t="n"/>
      <c r="V212" s="14" t="n"/>
      <c r="W212" s="21" t="n"/>
      <c r="X212" s="14" t="n"/>
      <c r="Y212" s="18" t="n"/>
      <c r="Z212" s="19" t="n"/>
      <c r="AA212" s="14" t="n"/>
      <c r="AB212" s="20" t="n"/>
      <c r="AC212" s="14" t="n"/>
      <c r="AD212" s="14" t="n"/>
      <c r="AE212" s="22" t="n"/>
      <c r="AF212" s="23" t="n"/>
      <c r="AG212" s="14" t="n"/>
      <c r="AH212" s="20" t="n"/>
      <c r="AI212" s="20" t="n"/>
      <c r="AJ212" s="14" t="n"/>
    </row>
    <row r="213">
      <c r="A213" s="12" t="inlineStr">
        <is>
          <t>ROUND LAB MUGWORT CALMING SOOTHING GEL_150ml - Увлажняющий крем гель для лица и тела от воспалений</t>
        </is>
      </c>
      <c r="B213" s="13" t="n"/>
      <c r="C213" s="13" t="n"/>
      <c r="D213" s="14" t="n"/>
      <c r="E213" s="14" t="n"/>
      <c r="F213" s="14" t="n"/>
      <c r="G213" s="14" t="n"/>
      <c r="H213" s="15" t="n"/>
      <c r="I213" s="16" t="n"/>
      <c r="J213" s="17" t="n"/>
      <c r="K213" s="17" t="n"/>
      <c r="L213" s="18" t="n"/>
      <c r="M213" s="19" t="n"/>
      <c r="N213" s="14" t="n"/>
      <c r="O213" s="14" t="n"/>
      <c r="P213" s="14" t="n"/>
      <c r="Q213" s="14" t="n"/>
      <c r="R213" s="14" t="n"/>
      <c r="S213" s="14" t="n"/>
      <c r="T213" s="20" t="n"/>
      <c r="U213" s="14" t="n"/>
      <c r="V213" s="14" t="n"/>
      <c r="W213" s="21" t="n"/>
      <c r="X213" s="14" t="n"/>
      <c r="Y213" s="18" t="n"/>
      <c r="Z213" s="19" t="n"/>
      <c r="AA213" s="14" t="n"/>
      <c r="AB213" s="20" t="n"/>
      <c r="AC213" s="14" t="n"/>
      <c r="AD213" s="14" t="n"/>
      <c r="AE213" s="22" t="n"/>
      <c r="AF213" s="23" t="n"/>
      <c r="AG213" s="14" t="n"/>
      <c r="AH213" s="20" t="n"/>
      <c r="AI213" s="20" t="n"/>
      <c r="AJ213" s="14" t="n"/>
    </row>
    <row r="214">
      <c r="A214" s="12" t="inlineStr">
        <is>
          <t>ROUND LAB VITA NIACINAMIDE DARK SPOT CREAM 50ml - Крем для лица с ниацинамидом от чёрных точек</t>
        </is>
      </c>
      <c r="B214" s="13" t="n"/>
      <c r="C214" s="13" t="n"/>
      <c r="D214" s="14" t="n"/>
      <c r="E214" s="14" t="n"/>
      <c r="F214" s="14" t="n"/>
      <c r="G214" s="14" t="n"/>
      <c r="H214" s="15" t="n"/>
      <c r="I214" s="16" t="n"/>
      <c r="J214" s="17" t="n"/>
      <c r="K214" s="17" t="n"/>
      <c r="L214" s="18" t="n"/>
      <c r="M214" s="19" t="n"/>
      <c r="N214" s="14" t="n"/>
      <c r="O214" s="14" t="n"/>
      <c r="P214" s="14" t="n"/>
      <c r="Q214" s="14" t="n"/>
      <c r="R214" s="14" t="n"/>
      <c r="S214" s="14" t="n"/>
      <c r="T214" s="20" t="n"/>
      <c r="U214" s="14" t="n"/>
      <c r="V214" s="14" t="n"/>
      <c r="W214" s="21" t="n"/>
      <c r="X214" s="14" t="n"/>
      <c r="Y214" s="18" t="n"/>
      <c r="Z214" s="19" t="n"/>
      <c r="AA214" s="14" t="n"/>
      <c r="AB214" s="20" t="n"/>
      <c r="AC214" s="14" t="n"/>
      <c r="AD214" s="14" t="n"/>
      <c r="AE214" s="22" t="n"/>
      <c r="AF214" s="23" t="n"/>
      <c r="AG214" s="14" t="n"/>
      <c r="AH214" s="20" t="n"/>
      <c r="AI214" s="20" t="n"/>
      <c r="AJ214" s="14" t="n"/>
    </row>
    <row r="215">
      <c r="A215" s="24" t="inlineStr">
        <is>
          <t>ROUND LAB 1025 DOKDO TONER_200ml</t>
        </is>
      </c>
      <c r="B215" s="53" t="n"/>
      <c r="C215" s="54" t="n"/>
      <c r="D215" s="27" t="n">
        <v>3400</v>
      </c>
      <c r="E215" s="27" t="n">
        <v>260</v>
      </c>
      <c r="F215" s="27" t="n">
        <v>2</v>
      </c>
      <c r="G215" s="27" t="n">
        <v>3100</v>
      </c>
      <c r="H215" s="28" t="n">
        <v>0.45</v>
      </c>
      <c r="I215" s="29">
        <f>G215*(1-H215)</f>
        <v/>
      </c>
      <c r="J215" s="30" t="n">
        <v>463.19</v>
      </c>
      <c r="K215" s="31">
        <f>$G$5</f>
        <v/>
      </c>
      <c r="L215" s="32">
        <f>J215+K215</f>
        <v/>
      </c>
      <c r="M215" s="33" t="n">
        <v>0.41</v>
      </c>
      <c r="N215" s="34">
        <f>G215*M215</f>
        <v/>
      </c>
      <c r="O215" s="35" t="n">
        <v>74</v>
      </c>
      <c r="P215" s="34">
        <f>G215*$G$8</f>
        <v/>
      </c>
      <c r="Q215" s="35" t="n">
        <v>25</v>
      </c>
      <c r="R215" s="34">
        <f>G215*$G$4</f>
        <v/>
      </c>
      <c r="S215" s="34">
        <f>I215*$G$3</f>
        <v/>
      </c>
      <c r="T215" s="36" t="n">
        <v>0.9</v>
      </c>
      <c r="U215" s="35" t="n">
        <v>74</v>
      </c>
      <c r="V215" s="34">
        <f>U215*(1-T215)</f>
        <v/>
      </c>
      <c r="W215" s="37" t="n">
        <v>1.28</v>
      </c>
      <c r="X215" s="34">
        <f>$G$6*$G$7*W215</f>
        <v/>
      </c>
      <c r="Y215" s="32">
        <f>W215*($G$9+$G$10)</f>
        <v/>
      </c>
      <c r="Z215" s="33" t="n">
        <v>0.07000000000000001</v>
      </c>
      <c r="AA215" s="34">
        <f>G215*Z215</f>
        <v/>
      </c>
      <c r="AB215" s="36" t="n">
        <v>0.08</v>
      </c>
      <c r="AC215" s="34">
        <f>G215*AB215</f>
        <v/>
      </c>
      <c r="AD215" s="34">
        <f>AA215+AC215</f>
        <v/>
      </c>
      <c r="AE215" s="38">
        <f>AD215/G215</f>
        <v/>
      </c>
      <c r="AF215" s="39">
        <f>G215-N215-O215-P215-Q215-R215-S215-V215-X215-Y215-L215</f>
        <v/>
      </c>
      <c r="AG215" s="40">
        <f>AF215-AD215</f>
        <v/>
      </c>
      <c r="AH215" s="41">
        <f>AG215/G215</f>
        <v/>
      </c>
      <c r="AI215" s="42">
        <f>AG215/L215</f>
        <v/>
      </c>
      <c r="AJ215" s="34">
        <f>(O215+Q215+V215+X215+Y215+L215)/(1-(M215+$G$4+(1-H215)*$G$3+$G$8+Z215+AB215))</f>
        <v/>
      </c>
    </row>
    <row r="216">
      <c r="A216" s="12" t="inlineStr">
        <is>
          <t>1025 DOKDO BUBBLE FOAM_150ml/пенка дозатор</t>
        </is>
      </c>
      <c r="B216" s="13" t="n"/>
      <c r="C216" s="13" t="n"/>
      <c r="D216" s="14" t="n"/>
      <c r="E216" s="14" t="n"/>
      <c r="F216" s="14" t="n"/>
      <c r="G216" s="14" t="n"/>
      <c r="H216" s="15" t="n"/>
      <c r="I216" s="16" t="n"/>
      <c r="J216" s="17" t="n"/>
      <c r="K216" s="17" t="n"/>
      <c r="L216" s="18" t="n"/>
      <c r="M216" s="19" t="n"/>
      <c r="N216" s="14" t="n"/>
      <c r="O216" s="14" t="n"/>
      <c r="P216" s="14" t="n"/>
      <c r="Q216" s="14" t="n"/>
      <c r="R216" s="14" t="n"/>
      <c r="S216" s="14" t="n"/>
      <c r="T216" s="20" t="n"/>
      <c r="U216" s="14" t="n"/>
      <c r="V216" s="14" t="n"/>
      <c r="W216" s="21" t="n"/>
      <c r="X216" s="14" t="n"/>
      <c r="Y216" s="18" t="n"/>
      <c r="Z216" s="19" t="n"/>
      <c r="AA216" s="14" t="n"/>
      <c r="AB216" s="20" t="n"/>
      <c r="AC216" s="14" t="n"/>
      <c r="AD216" s="14" t="n"/>
      <c r="AE216" s="22" t="n"/>
      <c r="AF216" s="23" t="n"/>
      <c r="AG216" s="14" t="n"/>
      <c r="AH216" s="20" t="n"/>
      <c r="AI216" s="20" t="n"/>
      <c r="AJ216" s="14" t="n"/>
    </row>
    <row r="217">
      <c r="A217" s="55" t="inlineStr">
        <is>
          <t>PINE CALMING CICA CLEANSER_150ml</t>
        </is>
      </c>
      <c r="B217" s="56" t="n">
        <v>600</v>
      </c>
      <c r="C217" s="57" t="n"/>
      <c r="D217" s="27" t="n">
        <v>3050</v>
      </c>
      <c r="E217" s="27" t="n">
        <v>200</v>
      </c>
      <c r="F217" s="27" t="n">
        <v>3</v>
      </c>
      <c r="G217" s="27" t="n">
        <v>2750</v>
      </c>
      <c r="H217" s="28" t="n">
        <v>0.45</v>
      </c>
      <c r="I217" s="29">
        <f>G217*(1-H217)</f>
        <v/>
      </c>
      <c r="J217" s="30" t="n">
        <v>406</v>
      </c>
      <c r="K217" s="31">
        <f>$G$5</f>
        <v/>
      </c>
      <c r="L217" s="32">
        <f>J217+K217</f>
        <v/>
      </c>
      <c r="M217" s="33" t="n">
        <v>0.41</v>
      </c>
      <c r="N217" s="34">
        <f>G217*M217</f>
        <v/>
      </c>
      <c r="O217" s="35" t="n">
        <v>74</v>
      </c>
      <c r="P217" s="34">
        <f>G217*$G$8</f>
        <v/>
      </c>
      <c r="Q217" s="35" t="n">
        <v>25</v>
      </c>
      <c r="R217" s="34">
        <f>G217*$G$4</f>
        <v/>
      </c>
      <c r="S217" s="34">
        <f>I217*$G$3</f>
        <v/>
      </c>
      <c r="T217" s="36" t="n">
        <v>0.9</v>
      </c>
      <c r="U217" s="35" t="n">
        <v>74</v>
      </c>
      <c r="V217" s="34">
        <f>U217*(1-T217)</f>
        <v/>
      </c>
      <c r="W217" s="37" t="n">
        <v>1.28</v>
      </c>
      <c r="X217" s="34">
        <f>$G$6*$G$7*W217</f>
        <v/>
      </c>
      <c r="Y217" s="32">
        <f>W217*($G$9+$G$10)</f>
        <v/>
      </c>
      <c r="Z217" s="33" t="n">
        <v>0.07000000000000001</v>
      </c>
      <c r="AA217" s="34">
        <f>G217*Z217</f>
        <v/>
      </c>
      <c r="AB217" s="36" t="n">
        <v>0.08</v>
      </c>
      <c r="AC217" s="34">
        <f>G217*AB217</f>
        <v/>
      </c>
      <c r="AD217" s="34">
        <f>AA217+AC217</f>
        <v/>
      </c>
      <c r="AE217" s="38">
        <f>AD217/G217</f>
        <v/>
      </c>
      <c r="AF217" s="39">
        <f>G217-N217-O217-P217-Q217-R217-S217-V217-X217-Y217-L217</f>
        <v/>
      </c>
      <c r="AG217" s="40">
        <f>AF217-AD217</f>
        <v/>
      </c>
      <c r="AH217" s="41">
        <f>AG217/G217</f>
        <v/>
      </c>
      <c r="AI217" s="42">
        <f>AG217/L217</f>
        <v/>
      </c>
      <c r="AJ217" s="34">
        <f>(O217+Q217+V217+X217+Y217+L217)/(1-(M217+$G$4+(1-H217)*$G$3+$G$8+Z217+AB217))</f>
        <v/>
      </c>
    </row>
    <row r="218">
      <c r="A218" s="55" t="inlineStr">
        <is>
          <t>PINE CALMING CICA BODY WASH_400ml</t>
        </is>
      </c>
      <c r="B218" s="56" t="n">
        <v>400</v>
      </c>
      <c r="C218" s="57" t="n"/>
      <c r="D218" s="27" t="n">
        <v>2850</v>
      </c>
      <c r="E218" s="27" t="n">
        <v>300</v>
      </c>
      <c r="F218" s="27" t="n">
        <v>2</v>
      </c>
      <c r="G218" s="27" t="n">
        <v>2650</v>
      </c>
      <c r="H218" s="28" t="n">
        <v>0.45</v>
      </c>
      <c r="I218" s="29">
        <f>G218*(1-H218)</f>
        <v/>
      </c>
      <c r="J218" s="30" t="n">
        <v>483</v>
      </c>
      <c r="K218" s="31">
        <f>$G$5</f>
        <v/>
      </c>
      <c r="L218" s="32">
        <f>J218+K218</f>
        <v/>
      </c>
      <c r="M218" s="33" t="n">
        <v>0.41</v>
      </c>
      <c r="N218" s="34">
        <f>G218*M218</f>
        <v/>
      </c>
      <c r="O218" s="35" t="n">
        <v>74</v>
      </c>
      <c r="P218" s="34">
        <f>G218*$G$8</f>
        <v/>
      </c>
      <c r="Q218" s="35" t="n">
        <v>25</v>
      </c>
      <c r="R218" s="34">
        <f>G218*$G$4</f>
        <v/>
      </c>
      <c r="S218" s="34">
        <f>I218*$G$3</f>
        <v/>
      </c>
      <c r="T218" s="36" t="n">
        <v>0.9</v>
      </c>
      <c r="U218" s="35" t="n">
        <v>74</v>
      </c>
      <c r="V218" s="34">
        <f>U218*(1-T218)</f>
        <v/>
      </c>
      <c r="W218" s="37" t="n">
        <v>1.28</v>
      </c>
      <c r="X218" s="34">
        <f>$G$6*$G$7*W218</f>
        <v/>
      </c>
      <c r="Y218" s="32">
        <f>W218*($G$9+$G$10)</f>
        <v/>
      </c>
      <c r="Z218" s="33" t="n">
        <v>0.07000000000000001</v>
      </c>
      <c r="AA218" s="34">
        <f>G218*Z218</f>
        <v/>
      </c>
      <c r="AB218" s="36" t="n">
        <v>0.08</v>
      </c>
      <c r="AC218" s="34">
        <f>G218*AB218</f>
        <v/>
      </c>
      <c r="AD218" s="34">
        <f>AA218+AC218</f>
        <v/>
      </c>
      <c r="AE218" s="38">
        <f>AD218/G218</f>
        <v/>
      </c>
      <c r="AF218" s="39">
        <f>G218-N218-O218-P218-Q218-R218-S218-V218-X218-Y218-L218</f>
        <v/>
      </c>
      <c r="AG218" s="40">
        <f>AF218-AD218</f>
        <v/>
      </c>
      <c r="AH218" s="41">
        <f>AG218/G218</f>
        <v/>
      </c>
      <c r="AI218" s="42">
        <f>AG218/L218</f>
        <v/>
      </c>
      <c r="AJ218" s="34">
        <f>(O218+Q218+V218+X218+Y218+L218)/(1-(M218+$G$4+(1-H218)*$G$3+$G$8+Z218+AB218))</f>
        <v/>
      </c>
    </row>
    <row r="219">
      <c r="A219" s="55" t="inlineStr">
        <is>
          <t>PINE CALMING CICA CREAM PLUS_60ml</t>
        </is>
      </c>
      <c r="B219" s="56" t="n">
        <v>240</v>
      </c>
      <c r="C219" s="57" t="n"/>
      <c r="D219" s="27" t="n">
        <v>4670</v>
      </c>
      <c r="E219" s="27" t="n">
        <v>20</v>
      </c>
      <c r="F219" s="27" t="n">
        <v>0</v>
      </c>
      <c r="G219" s="27" t="n">
        <v>4300</v>
      </c>
      <c r="H219" s="28" t="n">
        <v>0.45</v>
      </c>
      <c r="I219" s="29">
        <f>G219*(1-H219)</f>
        <v/>
      </c>
      <c r="J219" s="30" t="n">
        <v>712</v>
      </c>
      <c r="K219" s="31">
        <f>$G$5</f>
        <v/>
      </c>
      <c r="L219" s="32">
        <f>J219+K219</f>
        <v/>
      </c>
      <c r="M219" s="33" t="n">
        <v>0.41</v>
      </c>
      <c r="N219" s="34">
        <f>G219*M219</f>
        <v/>
      </c>
      <c r="O219" s="35" t="n">
        <v>74</v>
      </c>
      <c r="P219" s="34">
        <f>G219*$G$8</f>
        <v/>
      </c>
      <c r="Q219" s="35" t="n">
        <v>25</v>
      </c>
      <c r="R219" s="34">
        <f>G219*$G$4</f>
        <v/>
      </c>
      <c r="S219" s="34">
        <f>I219*$G$3</f>
        <v/>
      </c>
      <c r="T219" s="36" t="n">
        <v>0.9</v>
      </c>
      <c r="U219" s="35" t="n">
        <v>74</v>
      </c>
      <c r="V219" s="34">
        <f>U219*(1-T219)</f>
        <v/>
      </c>
      <c r="W219" s="37" t="n">
        <v>1.28</v>
      </c>
      <c r="X219" s="34">
        <f>$G$6*$G$7*W219</f>
        <v/>
      </c>
      <c r="Y219" s="32">
        <f>W219*($G$9+$G$10)</f>
        <v/>
      </c>
      <c r="Z219" s="33" t="n">
        <v>0.07000000000000001</v>
      </c>
      <c r="AA219" s="34">
        <f>G219*Z219</f>
        <v/>
      </c>
      <c r="AB219" s="36" t="n">
        <v>0.08</v>
      </c>
      <c r="AC219" s="34">
        <f>G219*AB219</f>
        <v/>
      </c>
      <c r="AD219" s="34">
        <f>AA219+AC219</f>
        <v/>
      </c>
      <c r="AE219" s="38">
        <f>AD219/G219</f>
        <v/>
      </c>
      <c r="AF219" s="39">
        <f>G219-N219-O219-P219-Q219-R219-S219-V219-X219-Y219-L219</f>
        <v/>
      </c>
      <c r="AG219" s="40">
        <f>AF219-AD219</f>
        <v/>
      </c>
      <c r="AH219" s="41">
        <f>AG219/G219</f>
        <v/>
      </c>
      <c r="AI219" s="42">
        <f>AG219/L219</f>
        <v/>
      </c>
      <c r="AJ219" s="34">
        <f>(O219+Q219+V219+X219+Y219+L219)/(1-(M219+$G$4+(1-H219)*$G$3+$G$8+Z219+AB219))</f>
        <v/>
      </c>
    </row>
    <row r="220">
      <c r="A220" s="55" t="inlineStr">
        <is>
          <t>ROUND LAB CAMELLIA DEEP COLLAGEN FIRMING CREAM_50ml</t>
        </is>
      </c>
      <c r="B220" s="56" t="n">
        <v>400</v>
      </c>
      <c r="C220" s="57" t="n"/>
      <c r="D220" s="27" t="n">
        <v>4360</v>
      </c>
      <c r="E220" s="27" t="n">
        <v>60</v>
      </c>
      <c r="F220" s="27" t="n">
        <v>4</v>
      </c>
      <c r="G220" s="27" t="n">
        <v>4000</v>
      </c>
      <c r="H220" s="28" t="n">
        <v>0.45</v>
      </c>
      <c r="I220" s="29">
        <f>G220*(1-H220)</f>
        <v/>
      </c>
      <c r="J220" s="30" t="n">
        <v>761</v>
      </c>
      <c r="K220" s="31">
        <f>$G$5</f>
        <v/>
      </c>
      <c r="L220" s="32">
        <f>J220+K220</f>
        <v/>
      </c>
      <c r="M220" s="33" t="n">
        <v>0.41</v>
      </c>
      <c r="N220" s="34">
        <f>G220*M220</f>
        <v/>
      </c>
      <c r="O220" s="35" t="n">
        <v>74</v>
      </c>
      <c r="P220" s="34">
        <f>G220*$G$8</f>
        <v/>
      </c>
      <c r="Q220" s="35" t="n">
        <v>25</v>
      </c>
      <c r="R220" s="34">
        <f>G220*$G$4</f>
        <v/>
      </c>
      <c r="S220" s="34">
        <f>I220*$G$3</f>
        <v/>
      </c>
      <c r="T220" s="36" t="n">
        <v>0.9</v>
      </c>
      <c r="U220" s="35" t="n">
        <v>74</v>
      </c>
      <c r="V220" s="34">
        <f>U220*(1-T220)</f>
        <v/>
      </c>
      <c r="W220" s="37" t="n">
        <v>1.28</v>
      </c>
      <c r="X220" s="34">
        <f>$G$6*$G$7*W220</f>
        <v/>
      </c>
      <c r="Y220" s="32">
        <f>W220*($G$9+$G$10)</f>
        <v/>
      </c>
      <c r="Z220" s="33" t="n">
        <v>0.07000000000000001</v>
      </c>
      <c r="AA220" s="34">
        <f>G220*Z220</f>
        <v/>
      </c>
      <c r="AB220" s="36" t="n">
        <v>0.08</v>
      </c>
      <c r="AC220" s="34">
        <f>G220*AB220</f>
        <v/>
      </c>
      <c r="AD220" s="34">
        <f>AA220+AC220</f>
        <v/>
      </c>
      <c r="AE220" s="38">
        <f>AD220/G220</f>
        <v/>
      </c>
      <c r="AF220" s="39">
        <f>G220-N220-O220-P220-Q220-R220-S220-V220-X220-Y220-L220</f>
        <v/>
      </c>
      <c r="AG220" s="40">
        <f>AF220-AD220</f>
        <v/>
      </c>
      <c r="AH220" s="41">
        <f>AG220/G220</f>
        <v/>
      </c>
      <c r="AI220" s="42">
        <f>AG220/L220</f>
        <v/>
      </c>
      <c r="AJ220" s="34">
        <f>(O220+Q220+V220+X220+Y220+L220)/(1-(M220+$G$4+(1-H220)*$G$3+$G$8+Z220+AB220))</f>
        <v/>
      </c>
    </row>
    <row r="221">
      <c r="A221" s="55" t="inlineStr">
        <is>
          <t>PINE CALMING CICA PAD_50pcs</t>
        </is>
      </c>
      <c r="B221" s="56" t="n">
        <v>270</v>
      </c>
      <c r="C221" s="57" t="n"/>
      <c r="D221" s="27" t="n">
        <v>3120</v>
      </c>
      <c r="E221" s="27" t="n">
        <v>50</v>
      </c>
      <c r="F221" s="27" t="n">
        <v>4</v>
      </c>
      <c r="G221" s="27" t="n">
        <v>2920</v>
      </c>
      <c r="H221" s="28" t="n">
        <v>0.45</v>
      </c>
      <c r="I221" s="29">
        <f>G221*(1-H221)</f>
        <v/>
      </c>
      <c r="J221" s="30" t="n">
        <v>636</v>
      </c>
      <c r="K221" s="31">
        <f>$G$5</f>
        <v/>
      </c>
      <c r="L221" s="32">
        <f>J221+K221</f>
        <v/>
      </c>
      <c r="M221" s="33" t="n">
        <v>0.41</v>
      </c>
      <c r="N221" s="34">
        <f>G221*M221</f>
        <v/>
      </c>
      <c r="O221" s="35" t="n">
        <v>74</v>
      </c>
      <c r="P221" s="34">
        <f>G221*$G$8</f>
        <v/>
      </c>
      <c r="Q221" s="35" t="n">
        <v>25</v>
      </c>
      <c r="R221" s="34">
        <f>G221*$G$4</f>
        <v/>
      </c>
      <c r="S221" s="34">
        <f>I221*$G$3</f>
        <v/>
      </c>
      <c r="T221" s="36" t="n">
        <v>0.9</v>
      </c>
      <c r="U221" s="35" t="n">
        <v>74</v>
      </c>
      <c r="V221" s="34">
        <f>U221*(1-T221)</f>
        <v/>
      </c>
      <c r="W221" s="37" t="n">
        <v>1.28</v>
      </c>
      <c r="X221" s="34">
        <f>$G$6*$G$7*W221</f>
        <v/>
      </c>
      <c r="Y221" s="32">
        <f>W221*($G$9+$G$10)</f>
        <v/>
      </c>
      <c r="Z221" s="33" t="n">
        <v>0.07000000000000001</v>
      </c>
      <c r="AA221" s="34">
        <f>G221*Z221</f>
        <v/>
      </c>
      <c r="AB221" s="36" t="n">
        <v>0.08</v>
      </c>
      <c r="AC221" s="34">
        <f>G221*AB221</f>
        <v/>
      </c>
      <c r="AD221" s="34">
        <f>AA221+AC221</f>
        <v/>
      </c>
      <c r="AE221" s="38">
        <f>AD221/G221</f>
        <v/>
      </c>
      <c r="AF221" s="39">
        <f>G221-N221-O221-P221-Q221-R221-S221-V221-X221-Y221-L221</f>
        <v/>
      </c>
      <c r="AG221" s="40">
        <f>AF221-AD221</f>
        <v/>
      </c>
      <c r="AH221" s="41">
        <f>AG221/G221</f>
        <v/>
      </c>
      <c r="AI221" s="42">
        <f>AG221/L221</f>
        <v/>
      </c>
      <c r="AJ221" s="34">
        <f>(O221+Q221+V221+X221+Y221+L221)/(1-(M221+$G$4+(1-H221)*$G$3+$G$8+Z221+AB221))</f>
        <v/>
      </c>
    </row>
    <row r="222">
      <c r="A222" s="55" t="inlineStr">
        <is>
          <t>SOYBEAN SERUM_50ml</t>
        </is>
      </c>
      <c r="B222" s="56" t="n">
        <v>210</v>
      </c>
      <c r="C222" s="57" t="n"/>
      <c r="D222" s="27" t="n">
        <v>3630</v>
      </c>
      <c r="E222" s="27" t="n">
        <v>70</v>
      </c>
      <c r="F222" s="27" t="n">
        <v>12</v>
      </c>
      <c r="G222" s="27" t="n">
        <v>3330</v>
      </c>
      <c r="H222" s="28" t="n">
        <v>0.45</v>
      </c>
      <c r="I222" s="29">
        <f>G222*(1-H222)</f>
        <v/>
      </c>
      <c r="J222" s="30" t="n">
        <v>668</v>
      </c>
      <c r="K222" s="31">
        <f>$G$5</f>
        <v/>
      </c>
      <c r="L222" s="32">
        <f>J222+K222</f>
        <v/>
      </c>
      <c r="M222" s="33" t="n">
        <v>0.41</v>
      </c>
      <c r="N222" s="34">
        <f>G222*M222</f>
        <v/>
      </c>
      <c r="O222" s="35" t="n">
        <v>74</v>
      </c>
      <c r="P222" s="34">
        <f>G222*$G$8</f>
        <v/>
      </c>
      <c r="Q222" s="35" t="n">
        <v>25</v>
      </c>
      <c r="R222" s="34">
        <f>G222*$G$4</f>
        <v/>
      </c>
      <c r="S222" s="34">
        <f>I222*$G$3</f>
        <v/>
      </c>
      <c r="T222" s="36" t="n">
        <v>0.9</v>
      </c>
      <c r="U222" s="35" t="n">
        <v>74</v>
      </c>
      <c r="V222" s="34">
        <f>U222*(1-T222)</f>
        <v/>
      </c>
      <c r="W222" s="37" t="n">
        <v>1.28</v>
      </c>
      <c r="X222" s="34">
        <f>$G$6*$G$7*W222</f>
        <v/>
      </c>
      <c r="Y222" s="32">
        <f>W222*($G$9+$G$10)</f>
        <v/>
      </c>
      <c r="Z222" s="33" t="n">
        <v>0.07000000000000001</v>
      </c>
      <c r="AA222" s="34">
        <f>G222*Z222</f>
        <v/>
      </c>
      <c r="AB222" s="36" t="n">
        <v>0.08</v>
      </c>
      <c r="AC222" s="34">
        <f>G222*AB222</f>
        <v/>
      </c>
      <c r="AD222" s="34">
        <f>AA222+AC222</f>
        <v/>
      </c>
      <c r="AE222" s="38">
        <f>AD222/G222</f>
        <v/>
      </c>
      <c r="AF222" s="39">
        <f>G222-N222-O222-P222-Q222-R222-S222-V222-X222-Y222-L222</f>
        <v/>
      </c>
      <c r="AG222" s="40">
        <f>AF222-AD222</f>
        <v/>
      </c>
      <c r="AH222" s="41">
        <f>AG222/G222</f>
        <v/>
      </c>
      <c r="AI222" s="42">
        <f>AG222/L222</f>
        <v/>
      </c>
      <c r="AJ222" s="34">
        <f>(O222+Q222+V222+X222+Y222+L222)/(1-(M222+$G$4+(1-H222)*$G$3+$G$8+Z222+AB222))</f>
        <v/>
      </c>
    </row>
    <row r="223">
      <c r="A223" s="55" t="inlineStr">
        <is>
          <t>ROUND LAB STICK POUCH KIT</t>
        </is>
      </c>
      <c r="B223" s="56" t="n">
        <v>300</v>
      </c>
      <c r="C223" s="57" t="n"/>
      <c r="D223" s="27" t="n">
        <v>2300</v>
      </c>
      <c r="E223" s="27" t="n">
        <v>50</v>
      </c>
      <c r="F223" s="27" t="n">
        <v>10</v>
      </c>
      <c r="G223" s="27" t="n">
        <v>2100</v>
      </c>
      <c r="H223" s="28" t="n">
        <v>0.45</v>
      </c>
      <c r="I223" s="29">
        <f>G223*(1-H223)</f>
        <v/>
      </c>
      <c r="J223" s="30" t="n">
        <v>378</v>
      </c>
      <c r="K223" s="31">
        <f>$G$5</f>
        <v/>
      </c>
      <c r="L223" s="32">
        <f>J223+K223</f>
        <v/>
      </c>
      <c r="M223" s="33" t="n">
        <v>0.41</v>
      </c>
      <c r="N223" s="34">
        <f>G223*M223</f>
        <v/>
      </c>
      <c r="O223" s="35" t="n">
        <v>74</v>
      </c>
      <c r="P223" s="34">
        <f>G223*$G$8</f>
        <v/>
      </c>
      <c r="Q223" s="35" t="n">
        <v>25</v>
      </c>
      <c r="R223" s="34">
        <f>G223*$G$4</f>
        <v/>
      </c>
      <c r="S223" s="34">
        <f>I223*$G$3</f>
        <v/>
      </c>
      <c r="T223" s="36" t="n">
        <v>0.9</v>
      </c>
      <c r="U223" s="35" t="n">
        <v>74</v>
      </c>
      <c r="V223" s="34">
        <f>U223*(1-T223)</f>
        <v/>
      </c>
      <c r="W223" s="37" t="n">
        <v>1.28</v>
      </c>
      <c r="X223" s="34">
        <f>$G$6*$G$7*W223</f>
        <v/>
      </c>
      <c r="Y223" s="32">
        <f>W223*($G$9+$G$10)</f>
        <v/>
      </c>
      <c r="Z223" s="33" t="n">
        <v>0.07000000000000001</v>
      </c>
      <c r="AA223" s="34">
        <f>G223*Z223</f>
        <v/>
      </c>
      <c r="AB223" s="36" t="n">
        <v>0.08</v>
      </c>
      <c r="AC223" s="34">
        <f>G223*AB223</f>
        <v/>
      </c>
      <c r="AD223" s="34">
        <f>AA223+AC223</f>
        <v/>
      </c>
      <c r="AE223" s="38">
        <f>AD223/G223</f>
        <v/>
      </c>
      <c r="AF223" s="39">
        <f>G223-N223-O223-P223-Q223-R223-S223-V223-X223-Y223-L223</f>
        <v/>
      </c>
      <c r="AG223" s="40">
        <f>AF223-AD223</f>
        <v/>
      </c>
      <c r="AH223" s="41">
        <f>AG223/G223</f>
        <v/>
      </c>
      <c r="AI223" s="42">
        <f>AG223/L223</f>
        <v/>
      </c>
      <c r="AJ223" s="34">
        <f>(O223+Q223+V223+X223+Y223+L223)/(1-(M223+$G$4+(1-H223)*$G$3+$G$8+Z223+AB223))</f>
        <v/>
      </c>
    </row>
    <row r="224">
      <c r="A224" s="12" t="inlineStr">
        <is>
          <t>1025 DOKDO CREAM_80ml</t>
        </is>
      </c>
      <c r="B224" s="13" t="n"/>
      <c r="C224" s="13" t="n"/>
      <c r="D224" s="14" t="n"/>
      <c r="E224" s="14" t="n"/>
      <c r="F224" s="14" t="n"/>
      <c r="G224" s="14" t="n"/>
      <c r="H224" s="15" t="n"/>
      <c r="I224" s="16" t="n"/>
      <c r="J224" s="17" t="n"/>
      <c r="K224" s="17" t="n"/>
      <c r="L224" s="18" t="n"/>
      <c r="M224" s="19" t="n"/>
      <c r="N224" s="14" t="n"/>
      <c r="O224" s="14" t="n"/>
      <c r="P224" s="14" t="n"/>
      <c r="Q224" s="14" t="n"/>
      <c r="R224" s="14" t="n"/>
      <c r="S224" s="14" t="n"/>
      <c r="T224" s="20" t="n"/>
      <c r="U224" s="14" t="n"/>
      <c r="V224" s="14" t="n"/>
      <c r="W224" s="21" t="n"/>
      <c r="X224" s="14" t="n"/>
      <c r="Y224" s="18" t="n"/>
      <c r="Z224" s="19" t="n"/>
      <c r="AA224" s="14" t="n"/>
      <c r="AB224" s="20" t="n"/>
      <c r="AC224" s="14" t="n"/>
      <c r="AD224" s="14" t="n"/>
      <c r="AE224" s="22" t="n"/>
      <c r="AF224" s="23" t="n"/>
      <c r="AG224" s="14" t="n"/>
      <c r="AH224" s="20" t="n"/>
      <c r="AI224" s="20" t="n"/>
      <c r="AJ224" s="14" t="n"/>
    </row>
    <row r="225">
      <c r="A225" s="12" t="inlineStr">
        <is>
          <t>SKIN1004 - Madagascar Centella Ampoule [30ml] / Сыворотка для лица успокаивающая из экстракта центеллы.</t>
        </is>
      </c>
      <c r="B225" s="13" t="n"/>
      <c r="C225" s="13" t="n"/>
      <c r="D225" s="14" t="n"/>
      <c r="E225" s="14" t="n"/>
      <c r="F225" s="14" t="n"/>
      <c r="G225" s="14" t="n"/>
      <c r="H225" s="15" t="n"/>
      <c r="I225" s="16" t="n"/>
      <c r="J225" s="17" t="n"/>
      <c r="K225" s="17" t="n"/>
      <c r="L225" s="18" t="n"/>
      <c r="M225" s="19" t="n"/>
      <c r="N225" s="14" t="n"/>
      <c r="O225" s="14" t="n"/>
      <c r="P225" s="14" t="n"/>
      <c r="Q225" s="14" t="n"/>
      <c r="R225" s="14" t="n"/>
      <c r="S225" s="14" t="n"/>
      <c r="T225" s="20" t="n"/>
      <c r="U225" s="14" t="n"/>
      <c r="V225" s="14" t="n"/>
      <c r="W225" s="21" t="n"/>
      <c r="X225" s="14" t="n"/>
      <c r="Y225" s="18" t="n"/>
      <c r="Z225" s="19" t="n"/>
      <c r="AA225" s="14" t="n"/>
      <c r="AB225" s="20" t="n"/>
      <c r="AC225" s="14" t="n"/>
      <c r="AD225" s="14" t="n"/>
      <c r="AE225" s="22" t="n"/>
      <c r="AF225" s="23" t="n"/>
      <c r="AG225" s="14" t="n"/>
      <c r="AH225" s="20" t="n"/>
      <c r="AI225" s="20" t="n"/>
      <c r="AJ225" s="14" t="n"/>
    </row>
    <row r="226">
      <c r="A226" s="12" t="inlineStr">
        <is>
          <t>SKIN1004 - Madagascar Centella Hyalu-Cica Sleeping Pack [30ml] / Увлажняющая гиалуроновая ночная маска для сухой кожи</t>
        </is>
      </c>
      <c r="B226" s="13" t="n"/>
      <c r="C226" s="13" t="n"/>
      <c r="D226" s="14" t="n"/>
      <c r="E226" s="14" t="n"/>
      <c r="F226" s="14" t="n"/>
      <c r="G226" s="14" t="n"/>
      <c r="H226" s="15" t="n"/>
      <c r="I226" s="16" t="n"/>
      <c r="J226" s="17" t="n"/>
      <c r="K226" s="17" t="n"/>
      <c r="L226" s="18" t="n"/>
      <c r="M226" s="19" t="n"/>
      <c r="N226" s="14" t="n"/>
      <c r="O226" s="14" t="n"/>
      <c r="P226" s="14" t="n"/>
      <c r="Q226" s="14" t="n"/>
      <c r="R226" s="14" t="n"/>
      <c r="S226" s="14" t="n"/>
      <c r="T226" s="20" t="n"/>
      <c r="U226" s="14" t="n"/>
      <c r="V226" s="14" t="n"/>
      <c r="W226" s="21" t="n"/>
      <c r="X226" s="14" t="n"/>
      <c r="Y226" s="18" t="n"/>
      <c r="Z226" s="19" t="n"/>
      <c r="AA226" s="14" t="n"/>
      <c r="AB226" s="20" t="n"/>
      <c r="AC226" s="14" t="n"/>
      <c r="AD226" s="14" t="n"/>
      <c r="AE226" s="22" t="n"/>
      <c r="AF226" s="23" t="n"/>
      <c r="AG226" s="14" t="n"/>
      <c r="AH226" s="20" t="n"/>
      <c r="AI226" s="20" t="n"/>
      <c r="AJ226" s="14" t="n"/>
    </row>
    <row r="227">
      <c r="A227" s="12" t="inlineStr">
        <is>
          <t>SKIN1004 Madagascar Centella Ampoule 55ml</t>
        </is>
      </c>
      <c r="B227" s="13" t="n"/>
      <c r="C227" s="13" t="n"/>
      <c r="D227" s="14" t="n"/>
      <c r="E227" s="14" t="n"/>
      <c r="F227" s="14" t="n"/>
      <c r="G227" s="14" t="n"/>
      <c r="H227" s="15" t="n"/>
      <c r="I227" s="16" t="n"/>
      <c r="J227" s="17" t="n"/>
      <c r="K227" s="17" t="n"/>
      <c r="L227" s="18" t="n"/>
      <c r="M227" s="19" t="n"/>
      <c r="N227" s="14" t="n"/>
      <c r="O227" s="14" t="n"/>
      <c r="P227" s="14" t="n"/>
      <c r="Q227" s="14" t="n"/>
      <c r="R227" s="14" t="n"/>
      <c r="S227" s="14" t="n"/>
      <c r="T227" s="20" t="n"/>
      <c r="U227" s="14" t="n"/>
      <c r="V227" s="14" t="n"/>
      <c r="W227" s="21" t="n"/>
      <c r="X227" s="14" t="n"/>
      <c r="Y227" s="18" t="n"/>
      <c r="Z227" s="19" t="n"/>
      <c r="AA227" s="14" t="n"/>
      <c r="AB227" s="20" t="n"/>
      <c r="AC227" s="14" t="n"/>
      <c r="AD227" s="14" t="n"/>
      <c r="AE227" s="22" t="n"/>
      <c r="AF227" s="23" t="n"/>
      <c r="AG227" s="14" t="n"/>
      <c r="AH227" s="20" t="n"/>
      <c r="AI227" s="20" t="n"/>
      <c r="AJ227" s="14" t="n"/>
    </row>
    <row r="228">
      <c r="A228" s="12" t="inlineStr">
        <is>
          <t>SKIN1004 Madagascar Centella Tone Brightening Capsule Ampoule 100ml</t>
        </is>
      </c>
      <c r="B228" s="13" t="n"/>
      <c r="C228" s="13" t="n"/>
      <c r="D228" s="14" t="n"/>
      <c r="E228" s="14" t="n"/>
      <c r="F228" s="14" t="n"/>
      <c r="G228" s="14" t="n"/>
      <c r="H228" s="15" t="n"/>
      <c r="I228" s="16" t="n"/>
      <c r="J228" s="17" t="n"/>
      <c r="K228" s="17" t="n"/>
      <c r="L228" s="18" t="n"/>
      <c r="M228" s="19" t="n"/>
      <c r="N228" s="14" t="n"/>
      <c r="O228" s="14" t="n"/>
      <c r="P228" s="14" t="n"/>
      <c r="Q228" s="14" t="n"/>
      <c r="R228" s="14" t="n"/>
      <c r="S228" s="14" t="n"/>
      <c r="T228" s="20" t="n"/>
      <c r="U228" s="14" t="n"/>
      <c r="V228" s="14" t="n"/>
      <c r="W228" s="21" t="n"/>
      <c r="X228" s="14" t="n"/>
      <c r="Y228" s="18" t="n"/>
      <c r="Z228" s="19" t="n"/>
      <c r="AA228" s="14" t="n"/>
      <c r="AB228" s="20" t="n"/>
      <c r="AC228" s="14" t="n"/>
      <c r="AD228" s="14" t="n"/>
      <c r="AE228" s="22" t="n"/>
      <c r="AF228" s="23" t="n"/>
      <c r="AG228" s="14" t="n"/>
      <c r="AH228" s="20" t="n"/>
      <c r="AI228" s="20" t="n"/>
      <c r="AJ228" s="14" t="n"/>
    </row>
    <row r="229">
      <c r="A229" s="12" t="inlineStr">
        <is>
          <t>SKIN1004 Madagascar Centella Soothing Cream 75ml</t>
        </is>
      </c>
      <c r="B229" s="13" t="n"/>
      <c r="C229" s="13" t="n"/>
      <c r="D229" s="14" t="n"/>
      <c r="E229" s="14" t="n"/>
      <c r="F229" s="14" t="n"/>
      <c r="G229" s="14" t="n"/>
      <c r="H229" s="15" t="n"/>
      <c r="I229" s="16" t="n"/>
      <c r="J229" s="17" t="n"/>
      <c r="K229" s="17" t="n"/>
      <c r="L229" s="18" t="n"/>
      <c r="M229" s="19" t="n"/>
      <c r="N229" s="14" t="n"/>
      <c r="O229" s="14" t="n"/>
      <c r="P229" s="14" t="n"/>
      <c r="Q229" s="14" t="n"/>
      <c r="R229" s="14" t="n"/>
      <c r="S229" s="14" t="n"/>
      <c r="T229" s="20" t="n"/>
      <c r="U229" s="14" t="n"/>
      <c r="V229" s="14" t="n"/>
      <c r="W229" s="21" t="n"/>
      <c r="X229" s="14" t="n"/>
      <c r="Y229" s="18" t="n"/>
      <c r="Z229" s="19" t="n"/>
      <c r="AA229" s="14" t="n"/>
      <c r="AB229" s="20" t="n"/>
      <c r="AC229" s="14" t="n"/>
      <c r="AD229" s="14" t="n"/>
      <c r="AE229" s="22" t="n"/>
      <c r="AF229" s="23" t="n"/>
      <c r="AG229" s="14" t="n"/>
      <c r="AH229" s="20" t="n"/>
      <c r="AI229" s="20" t="n"/>
      <c r="AJ229" s="14" t="n"/>
    </row>
    <row r="230">
      <c r="A230" s="12" t="inlineStr">
        <is>
          <t>SOME BY MI - AHA-BHA-PHA 30 Days Miracle Acne Clear Body Cleanser [400g] /Очищающий гель-пенка для тела от прыщей и воспалений 400g</t>
        </is>
      </c>
      <c r="B230" s="13" t="n"/>
      <c r="C230" s="13" t="n"/>
      <c r="D230" s="14" t="n"/>
      <c r="E230" s="14" t="n"/>
      <c r="F230" s="14" t="n"/>
      <c r="G230" s="14" t="n"/>
      <c r="H230" s="15" t="n"/>
      <c r="I230" s="16" t="n"/>
      <c r="J230" s="17" t="n"/>
      <c r="K230" s="17" t="n"/>
      <c r="L230" s="18" t="n"/>
      <c r="M230" s="19" t="n"/>
      <c r="N230" s="14" t="n"/>
      <c r="O230" s="14" t="n"/>
      <c r="P230" s="14" t="n"/>
      <c r="Q230" s="14" t="n"/>
      <c r="R230" s="14" t="n"/>
      <c r="S230" s="14" t="n"/>
      <c r="T230" s="20" t="n"/>
      <c r="U230" s="14" t="n"/>
      <c r="V230" s="14" t="n"/>
      <c r="W230" s="21" t="n"/>
      <c r="X230" s="14" t="n"/>
      <c r="Y230" s="18" t="n"/>
      <c r="Z230" s="19" t="n"/>
      <c r="AA230" s="14" t="n"/>
      <c r="AB230" s="20" t="n"/>
      <c r="AC230" s="14" t="n"/>
      <c r="AD230" s="14" t="n"/>
      <c r="AE230" s="22" t="n"/>
      <c r="AF230" s="23" t="n"/>
      <c r="AG230" s="14" t="n"/>
      <c r="AH230" s="20" t="n"/>
      <c r="AI230" s="20" t="n"/>
      <c r="AJ230" s="14" t="n"/>
    </row>
    <row r="231">
      <c r="A231" s="12" t="inlineStr">
        <is>
          <t>SOME BY MI - AHA-BHA-PHA 30 Days Miracle Cleansing Bar [106g] / Мыло для проблемной кожи с aha bha кислотами</t>
        </is>
      </c>
      <c r="B231" s="13" t="n"/>
      <c r="C231" s="13" t="n"/>
      <c r="D231" s="14" t="n"/>
      <c r="E231" s="14" t="n"/>
      <c r="F231" s="14" t="n"/>
      <c r="G231" s="14" t="n"/>
      <c r="H231" s="15" t="n"/>
      <c r="I231" s="16" t="n"/>
      <c r="J231" s="17" t="n"/>
      <c r="K231" s="17" t="n"/>
      <c r="L231" s="18" t="n"/>
      <c r="M231" s="19" t="n"/>
      <c r="N231" s="14" t="n"/>
      <c r="O231" s="14" t="n"/>
      <c r="P231" s="14" t="n"/>
      <c r="Q231" s="14" t="n"/>
      <c r="R231" s="14" t="n"/>
      <c r="S231" s="14" t="n"/>
      <c r="T231" s="20" t="n"/>
      <c r="U231" s="14" t="n"/>
      <c r="V231" s="14" t="n"/>
      <c r="W231" s="21" t="n"/>
      <c r="X231" s="14" t="n"/>
      <c r="Y231" s="18" t="n"/>
      <c r="Z231" s="19" t="n"/>
      <c r="AA231" s="14" t="n"/>
      <c r="AB231" s="20" t="n"/>
      <c r="AC231" s="14" t="n"/>
      <c r="AD231" s="14" t="n"/>
      <c r="AE231" s="22" t="n"/>
      <c r="AF231" s="23" t="n"/>
      <c r="AG231" s="14" t="n"/>
      <c r="AH231" s="20" t="n"/>
      <c r="AI231" s="20" t="n"/>
      <c r="AJ231" s="14" t="n"/>
    </row>
    <row r="232">
      <c r="A232" s="12" t="inlineStr">
        <is>
          <t>SOME BY MI - AHA-BHA-PHA 30 Days Miracle Cream [60g] / Крем для лица</t>
        </is>
      </c>
      <c r="B232" s="13" t="n"/>
      <c r="C232" s="13" t="n"/>
      <c r="D232" s="14" t="n"/>
      <c r="E232" s="14" t="n"/>
      <c r="F232" s="14" t="n"/>
      <c r="G232" s="14" t="n"/>
      <c r="H232" s="15" t="n"/>
      <c r="I232" s="16" t="n"/>
      <c r="J232" s="17" t="n"/>
      <c r="K232" s="17" t="n"/>
      <c r="L232" s="18" t="n"/>
      <c r="M232" s="19" t="n"/>
      <c r="N232" s="14" t="n"/>
      <c r="O232" s="14" t="n"/>
      <c r="P232" s="14" t="n"/>
      <c r="Q232" s="14" t="n"/>
      <c r="R232" s="14" t="n"/>
      <c r="S232" s="14" t="n"/>
      <c r="T232" s="20" t="n"/>
      <c r="U232" s="14" t="n"/>
      <c r="V232" s="14" t="n"/>
      <c r="W232" s="21" t="n"/>
      <c r="X232" s="14" t="n"/>
      <c r="Y232" s="18" t="n"/>
      <c r="Z232" s="19" t="n"/>
      <c r="AA232" s="14" t="n"/>
      <c r="AB232" s="20" t="n"/>
      <c r="AC232" s="14" t="n"/>
      <c r="AD232" s="14" t="n"/>
      <c r="AE232" s="22" t="n"/>
      <c r="AF232" s="23" t="n"/>
      <c r="AG232" s="14" t="n"/>
      <c r="AH232" s="20" t="n"/>
      <c r="AI232" s="20" t="n"/>
      <c r="AJ232" s="14" t="n"/>
    </row>
    <row r="233">
      <c r="A233" s="12" t="inlineStr">
        <is>
          <t>THE ORDINARY - Argireline Solution 10% [30ml] / Сыворотка для лица от прыщей и акне с ниацинамидом 10 %</t>
        </is>
      </c>
      <c r="B233" s="13" t="n"/>
      <c r="C233" s="13" t="n"/>
      <c r="D233" s="14" t="n"/>
      <c r="E233" s="14" t="n"/>
      <c r="F233" s="14" t="n"/>
      <c r="G233" s="14" t="n"/>
      <c r="H233" s="15" t="n"/>
      <c r="I233" s="16" t="n"/>
      <c r="J233" s="17" t="n"/>
      <c r="K233" s="17" t="n"/>
      <c r="L233" s="18" t="n"/>
      <c r="M233" s="19" t="n"/>
      <c r="N233" s="14" t="n"/>
      <c r="O233" s="14" t="n"/>
      <c r="P233" s="14" t="n"/>
      <c r="Q233" s="14" t="n"/>
      <c r="R233" s="14" t="n"/>
      <c r="S233" s="14" t="n"/>
      <c r="T233" s="20" t="n"/>
      <c r="U233" s="14" t="n"/>
      <c r="V233" s="14" t="n"/>
      <c r="W233" s="21" t="n"/>
      <c r="X233" s="14" t="n"/>
      <c r="Y233" s="18" t="n"/>
      <c r="Z233" s="19" t="n"/>
      <c r="AA233" s="14" t="n"/>
      <c r="AB233" s="20" t="n"/>
      <c r="AC233" s="14" t="n"/>
      <c r="AD233" s="14" t="n"/>
      <c r="AE233" s="22" t="n"/>
      <c r="AF233" s="23" t="n"/>
      <c r="AG233" s="14" t="n"/>
      <c r="AH233" s="20" t="n"/>
      <c r="AI233" s="20" t="n"/>
      <c r="AJ233" s="14" t="n"/>
    </row>
    <row r="234">
      <c r="A234" s="12" t="inlineStr">
        <is>
          <t>THE ORDINARY - Glycolic Acid 7% Toning Solution [KOR] [240ml] / Тоник с гликолевой кислотой 7%</t>
        </is>
      </c>
      <c r="B234" s="13" t="n"/>
      <c r="C234" s="13" t="n"/>
      <c r="D234" s="14" t="n"/>
      <c r="E234" s="14" t="n"/>
      <c r="F234" s="14" t="n"/>
      <c r="G234" s="14" t="n"/>
      <c r="H234" s="15" t="n"/>
      <c r="I234" s="16" t="n"/>
      <c r="J234" s="17" t="n"/>
      <c r="K234" s="17" t="n"/>
      <c r="L234" s="18" t="n"/>
      <c r="M234" s="19" t="n"/>
      <c r="N234" s="14" t="n"/>
      <c r="O234" s="14" t="n"/>
      <c r="P234" s="14" t="n"/>
      <c r="Q234" s="14" t="n"/>
      <c r="R234" s="14" t="n"/>
      <c r="S234" s="14" t="n"/>
      <c r="T234" s="20" t="n"/>
      <c r="U234" s="14" t="n"/>
      <c r="V234" s="14" t="n"/>
      <c r="W234" s="21" t="n"/>
      <c r="X234" s="14" t="n"/>
      <c r="Y234" s="18" t="n"/>
      <c r="Z234" s="19" t="n"/>
      <c r="AA234" s="14" t="n"/>
      <c r="AB234" s="20" t="n"/>
      <c r="AC234" s="14" t="n"/>
      <c r="AD234" s="14" t="n"/>
      <c r="AE234" s="22" t="n"/>
      <c r="AF234" s="23" t="n"/>
      <c r="AG234" s="14" t="n"/>
      <c r="AH234" s="20" t="n"/>
      <c r="AI234" s="20" t="n"/>
      <c r="AJ234" s="14" t="n"/>
    </row>
    <row r="235">
      <c r="A235" s="24" t="inlineStr">
        <is>
          <t>Celimax Dual Barrier Creamy Toner</t>
        </is>
      </c>
      <c r="B235" s="25" t="n"/>
      <c r="C235" s="26" t="n"/>
      <c r="D235" s="27" t="n">
        <v>2600</v>
      </c>
      <c r="E235" s="27" t="n">
        <v>5500</v>
      </c>
      <c r="F235" s="27" t="inlineStr">
        <is>
          <t>10-15</t>
        </is>
      </c>
      <c r="G235" s="27" t="n">
        <v>2450</v>
      </c>
      <c r="H235" s="28" t="n">
        <v>0.45</v>
      </c>
      <c r="I235" s="29">
        <f>G235*(1-H235)</f>
        <v/>
      </c>
      <c r="J235" s="30" t="n">
        <v>663.86</v>
      </c>
      <c r="K235" s="31">
        <f>$G$5</f>
        <v/>
      </c>
      <c r="L235" s="32">
        <f>J235+K235</f>
        <v/>
      </c>
      <c r="M235" s="33" t="n">
        <v>0.41</v>
      </c>
      <c r="N235" s="34">
        <f>G235*M235</f>
        <v/>
      </c>
      <c r="O235" s="35" t="n">
        <v>67</v>
      </c>
      <c r="P235" s="34">
        <f>G235*$G$8</f>
        <v/>
      </c>
      <c r="Q235" s="35" t="n">
        <v>25</v>
      </c>
      <c r="R235" s="34">
        <f>G235*$G$4</f>
        <v/>
      </c>
      <c r="S235" s="34">
        <f>I235*$G$3</f>
        <v/>
      </c>
      <c r="T235" s="36" t="n">
        <v>0.9</v>
      </c>
      <c r="U235" s="35" t="n">
        <v>67</v>
      </c>
      <c r="V235" s="34">
        <f>U235*(1-T235)</f>
        <v/>
      </c>
      <c r="W235" s="37" t="n">
        <v>0.735</v>
      </c>
      <c r="X235" s="34">
        <f>$G$6*$G$7*W235</f>
        <v/>
      </c>
      <c r="Y235" s="32">
        <f>W235*($G$9+$G$10)</f>
        <v/>
      </c>
      <c r="Z235" s="33" t="n">
        <v>0.07000000000000001</v>
      </c>
      <c r="AA235" s="34">
        <f>G235*Z235</f>
        <v/>
      </c>
      <c r="AB235" s="36" t="n">
        <v>0.08</v>
      </c>
      <c r="AC235" s="34">
        <f>G235*AB235</f>
        <v/>
      </c>
      <c r="AD235" s="34">
        <f>AA235+AC235</f>
        <v/>
      </c>
      <c r="AE235" s="38">
        <f>AD235/G235</f>
        <v/>
      </c>
      <c r="AF235" s="39">
        <f>G235-N235-O235-P235-Q235-R235-S235-V235-X235-Y235-L235</f>
        <v/>
      </c>
      <c r="AG235" s="40">
        <f>AF235-AD235</f>
        <v/>
      </c>
      <c r="AH235" s="41">
        <f>AG235/G235</f>
        <v/>
      </c>
      <c r="AI235" s="42">
        <f>AG235/L235</f>
        <v/>
      </c>
      <c r="AJ235" s="34">
        <f>(O235+Q235+V235+X235+Y235+L235)/(1-(M235+$G$4+(1-H235)*$G$3+$G$8+Z235+AB235))</f>
        <v/>
      </c>
    </row>
    <row r="236">
      <c r="A236" s="24" t="inlineStr">
        <is>
          <t>CELIMAX THE VITA-A RETINAL SHOT TIGHTENING BOOSTER [15ml]/Подтягивающий бустер-крем с ретинолом для лица</t>
        </is>
      </c>
      <c r="B236" s="54" t="n"/>
      <c r="C236" s="26" t="n"/>
      <c r="D236" s="27" t="n">
        <v>2250</v>
      </c>
      <c r="E236" s="27" t="n">
        <v>3000</v>
      </c>
      <c r="F236" s="27" t="n">
        <v>13</v>
      </c>
      <c r="G236" s="27" t="n">
        <v>2150</v>
      </c>
      <c r="H236" s="28" t="n">
        <v>0.45</v>
      </c>
      <c r="I236" s="29">
        <f>G236*(1-H236)</f>
        <v/>
      </c>
      <c r="J236" s="30" t="n">
        <v>512.1799999999999</v>
      </c>
      <c r="K236" s="31">
        <f>$G$5</f>
        <v/>
      </c>
      <c r="L236" s="32">
        <f>J236+K236</f>
        <v/>
      </c>
      <c r="M236" s="33" t="n">
        <v>0.41</v>
      </c>
      <c r="N236" s="34">
        <f>G236*M236</f>
        <v/>
      </c>
      <c r="O236" s="35" t="n">
        <v>56</v>
      </c>
      <c r="P236" s="34">
        <f>G236*$G$8</f>
        <v/>
      </c>
      <c r="Q236" s="35" t="n">
        <v>25</v>
      </c>
      <c r="R236" s="34">
        <f>G236*$G$4</f>
        <v/>
      </c>
      <c r="S236" s="34">
        <f>I236*$G$3</f>
        <v/>
      </c>
      <c r="T236" s="36" t="n">
        <v>0.9</v>
      </c>
      <c r="U236" s="35" t="n">
        <v>56</v>
      </c>
      <c r="V236" s="34">
        <f>U236*(1-T236)</f>
        <v/>
      </c>
      <c r="W236" s="37" t="n">
        <v>0.18</v>
      </c>
      <c r="X236" s="34">
        <f>$G$6*$G$7*W236</f>
        <v/>
      </c>
      <c r="Y236" s="32">
        <f>W236*($G$9+$G$10)</f>
        <v/>
      </c>
      <c r="Z236" s="33" t="n">
        <v>0.07000000000000001</v>
      </c>
      <c r="AA236" s="34">
        <f>G236*Z236</f>
        <v/>
      </c>
      <c r="AB236" s="36" t="n">
        <v>0.08</v>
      </c>
      <c r="AC236" s="34">
        <f>G236*AB236</f>
        <v/>
      </c>
      <c r="AD236" s="34">
        <f>AA236+AC236</f>
        <v/>
      </c>
      <c r="AE236" s="38">
        <f>AD236/G236</f>
        <v/>
      </c>
      <c r="AF236" s="39">
        <f>G236-N236-O236-P236-Q236-R236-S236-V236-X236-Y236-L236</f>
        <v/>
      </c>
      <c r="AG236" s="40">
        <f>AF236-AD236</f>
        <v/>
      </c>
      <c r="AH236" s="41">
        <f>AG236/G236</f>
        <v/>
      </c>
      <c r="AI236" s="42">
        <f>AG236/L236</f>
        <v/>
      </c>
      <c r="AJ236" s="34">
        <f>(O236+Q236+V236+X236+Y236+L236)/(1-(M236+$G$4+(1-H236)*$G$3+$G$8+Z236+AB236))</f>
        <v/>
      </c>
    </row>
    <row r="237">
      <c r="A237" s="24" t="inlineStr">
        <is>
          <t>CELIMAX THE VITA-A RETINOL SHOT TIGHTENING SERUM [30ml]/Сыворотка с ретинолом и микроиглами для лица</t>
        </is>
      </c>
      <c r="B237" s="54" t="n"/>
      <c r="C237" s="26" t="inlineStr">
        <is>
          <t>-</t>
        </is>
      </c>
      <c r="D237" s="27" t="n">
        <v>2450</v>
      </c>
      <c r="E237" s="27" t="n">
        <v>3500</v>
      </c>
      <c r="F237" s="27" t="n">
        <v>10</v>
      </c>
      <c r="G237" s="27" t="n">
        <v>2350</v>
      </c>
      <c r="H237" s="28" t="n">
        <v>0.45</v>
      </c>
      <c r="I237" s="29">
        <f>G237*(1-H237)</f>
        <v/>
      </c>
      <c r="J237" s="30" t="n">
        <v>532.1</v>
      </c>
      <c r="K237" s="31">
        <f>$G$5</f>
        <v/>
      </c>
      <c r="L237" s="32">
        <f>J237+K237</f>
        <v/>
      </c>
      <c r="M237" s="33" t="n">
        <v>0.41</v>
      </c>
      <c r="N237" s="34">
        <f>G237*M237</f>
        <v/>
      </c>
      <c r="O237" s="35" t="n">
        <v>63</v>
      </c>
      <c r="P237" s="34">
        <f>G237*$G$8</f>
        <v/>
      </c>
      <c r="Q237" s="35" t="n">
        <v>25</v>
      </c>
      <c r="R237" s="34">
        <f>G237*$G$4</f>
        <v/>
      </c>
      <c r="S237" s="34">
        <f>I237*$G$3</f>
        <v/>
      </c>
      <c r="T237" s="36" t="n">
        <v>0.9</v>
      </c>
      <c r="U237" s="35" t="n">
        <v>63</v>
      </c>
      <c r="V237" s="34">
        <f>U237*(1-T237)</f>
        <v/>
      </c>
      <c r="W237" s="37" t="n">
        <v>0.38</v>
      </c>
      <c r="X237" s="34">
        <f>$G$6*$G$7*W237</f>
        <v/>
      </c>
      <c r="Y237" s="32">
        <f>W237*($G$9+$G$10)</f>
        <v/>
      </c>
      <c r="Z237" s="33" t="n">
        <v>0.07000000000000001</v>
      </c>
      <c r="AA237" s="34">
        <f>G237*Z237</f>
        <v/>
      </c>
      <c r="AB237" s="36" t="n">
        <v>0.08</v>
      </c>
      <c r="AC237" s="34">
        <f>G237*AB237</f>
        <v/>
      </c>
      <c r="AD237" s="34">
        <f>AA237+AC237</f>
        <v/>
      </c>
      <c r="AE237" s="38">
        <f>AD237/G237</f>
        <v/>
      </c>
      <c r="AF237" s="39">
        <f>G237-N237-O237-P237-Q237-R237-S237-V237-X237-Y237-L237</f>
        <v/>
      </c>
      <c r="AG237" s="40">
        <f>AF237-AD237</f>
        <v/>
      </c>
      <c r="AH237" s="41">
        <f>AG237/G237</f>
        <v/>
      </c>
      <c r="AI237" s="42">
        <f>AG237/L237</f>
        <v/>
      </c>
      <c r="AJ237" s="34">
        <f>(O237+Q237+V237+X237+Y237+L237)/(1-(M237+$G$4+(1-H237)*$G$3+$G$8+Z237+AB237))</f>
        <v/>
      </c>
    </row>
    <row r="238">
      <c r="A238" s="55" t="inlineStr">
        <is>
          <t>CELIMAX DUAL BARRIER TRIAL KIT</t>
        </is>
      </c>
      <c r="B238" s="56" t="n">
        <v>448</v>
      </c>
      <c r="C238" s="26" t="n"/>
      <c r="D238" s="27" t="n">
        <v>2027</v>
      </c>
      <c r="E238" s="27" t="n">
        <v>1150</v>
      </c>
      <c r="F238" s="27" t="n">
        <v>12</v>
      </c>
      <c r="G238" s="27" t="n">
        <v>1850</v>
      </c>
      <c r="H238" s="28" t="n">
        <v>0.45</v>
      </c>
      <c r="I238" s="29">
        <f>G238*(1-H238)</f>
        <v/>
      </c>
      <c r="J238" s="30" t="n">
        <v>343</v>
      </c>
      <c r="K238" s="31">
        <f>$G$5</f>
        <v/>
      </c>
      <c r="L238" s="32">
        <f>J238+K238</f>
        <v/>
      </c>
      <c r="M238" s="33" t="n">
        <v>0.41</v>
      </c>
      <c r="N238" s="34">
        <f>G238*M238</f>
        <v/>
      </c>
      <c r="O238" s="35" t="n">
        <v>67</v>
      </c>
      <c r="P238" s="34">
        <f>G238*$G$8</f>
        <v/>
      </c>
      <c r="Q238" s="35" t="n">
        <v>25</v>
      </c>
      <c r="R238" s="34">
        <f>G238*$G$4</f>
        <v/>
      </c>
      <c r="S238" s="34">
        <f>I238*$G$3</f>
        <v/>
      </c>
      <c r="T238" s="36" t="n">
        <v>0.9</v>
      </c>
      <c r="U238" s="35" t="n">
        <v>67</v>
      </c>
      <c r="V238" s="34">
        <f>U238*(1-T238)</f>
        <v/>
      </c>
      <c r="W238" s="37" t="n">
        <v>0.96</v>
      </c>
      <c r="X238" s="34">
        <f>$G$6*$G$7*W238</f>
        <v/>
      </c>
      <c r="Y238" s="32">
        <f>W238*($G$9+$G$10)</f>
        <v/>
      </c>
      <c r="Z238" s="33" t="n">
        <v>0.07000000000000001</v>
      </c>
      <c r="AA238" s="34">
        <f>G238*Z238</f>
        <v/>
      </c>
      <c r="AB238" s="36" t="n">
        <v>0.08</v>
      </c>
      <c r="AC238" s="34">
        <f>G238*AB238</f>
        <v/>
      </c>
      <c r="AD238" s="34">
        <f>AA238+AC238</f>
        <v/>
      </c>
      <c r="AE238" s="38">
        <f>AD238/G238</f>
        <v/>
      </c>
      <c r="AF238" s="39">
        <f>G238-N238-O238-P238-Q238-R238-S238-V238-X238-Y238-L238</f>
        <v/>
      </c>
      <c r="AG238" s="40">
        <f>AF238-AD238</f>
        <v/>
      </c>
      <c r="AH238" s="41">
        <f>AG238/G238</f>
        <v/>
      </c>
      <c r="AI238" s="42">
        <f>AG238/L238</f>
        <v/>
      </c>
      <c r="AJ238" s="34">
        <f>(O238+Q238+V238+X238+Y238+L238)/(1-(M238+$G$4+(1-H238)*$G$3+$G$8+Z238+AB238))</f>
        <v/>
      </c>
    </row>
    <row r="239">
      <c r="A239" s="55" t="inlineStr">
        <is>
          <t>CELIMAX THE REAL NONI STARTER KIT</t>
        </is>
      </c>
      <c r="B239" s="56" t="n">
        <v>480</v>
      </c>
      <c r="C239" s="26" t="n"/>
      <c r="D239" s="27" t="n">
        <v>2340</v>
      </c>
      <c r="E239" s="27" t="n">
        <v>1000</v>
      </c>
      <c r="F239" s="27" t="n">
        <v>12</v>
      </c>
      <c r="G239" s="27" t="n">
        <v>2140</v>
      </c>
      <c r="H239" s="28" t="n">
        <v>0.45</v>
      </c>
      <c r="I239" s="29">
        <f>G239*(1-H239)</f>
        <v/>
      </c>
      <c r="J239" s="30" t="n">
        <v>483</v>
      </c>
      <c r="K239" s="31">
        <f>$G$5</f>
        <v/>
      </c>
      <c r="L239" s="32">
        <f>J239+K239</f>
        <v/>
      </c>
      <c r="M239" s="33" t="n">
        <v>0.41</v>
      </c>
      <c r="N239" s="34">
        <f>G239*M239</f>
        <v/>
      </c>
      <c r="O239" s="35" t="n">
        <v>67</v>
      </c>
      <c r="P239" s="34">
        <f>G239*$G$8</f>
        <v/>
      </c>
      <c r="Q239" s="35" t="n">
        <v>25</v>
      </c>
      <c r="R239" s="34">
        <f>G239*$G$4</f>
        <v/>
      </c>
      <c r="S239" s="34">
        <f>I239*$G$3</f>
        <v/>
      </c>
      <c r="T239" s="36" t="n">
        <v>0.9</v>
      </c>
      <c r="U239" s="35" t="n">
        <v>67</v>
      </c>
      <c r="V239" s="34">
        <f>U239*(1-T239)</f>
        <v/>
      </c>
      <c r="W239" s="37" t="n">
        <v>0.96</v>
      </c>
      <c r="X239" s="34">
        <f>$G$6*$G$7*W239</f>
        <v/>
      </c>
      <c r="Y239" s="32">
        <f>W239*($G$9+$G$10)</f>
        <v/>
      </c>
      <c r="Z239" s="33" t="n">
        <v>0.07000000000000001</v>
      </c>
      <c r="AA239" s="34">
        <f>G239*Z239</f>
        <v/>
      </c>
      <c r="AB239" s="36" t="n">
        <v>0.08</v>
      </c>
      <c r="AC239" s="34">
        <f>G239*AB239</f>
        <v/>
      </c>
      <c r="AD239" s="34">
        <f>AA239+AC239</f>
        <v/>
      </c>
      <c r="AE239" s="38">
        <f>AD239/G239</f>
        <v/>
      </c>
      <c r="AF239" s="39">
        <f>G239-N239-O239-P239-Q239-R239-S239-V239-X239-Y239-L239</f>
        <v/>
      </c>
      <c r="AG239" s="40">
        <f>AF239-AD239</f>
        <v/>
      </c>
      <c r="AH239" s="41">
        <f>AG239/G239</f>
        <v/>
      </c>
      <c r="AI239" s="42">
        <f>AG239/L239</f>
        <v/>
      </c>
      <c r="AJ239" s="34">
        <f>(O239+Q239+V239+X239+Y239+L239)/(1-(M239+$G$4+(1-H239)*$G$3+$G$8+Z239+AB239))</f>
        <v/>
      </c>
    </row>
    <row r="240">
      <c r="A240" s="24" t="inlineStr">
        <is>
          <t>CELIMAX JI WOO GAE CICA BHA BLEMISH TONER PAD_10EA [30ml]/успокаивающие тонер-пэды</t>
        </is>
      </c>
      <c r="B240" s="54" t="n"/>
      <c r="C240" s="26" t="n"/>
      <c r="D240" s="27" t="n">
        <v>775</v>
      </c>
      <c r="E240" s="27" t="inlineStr">
        <is>
          <t>2 740</t>
        </is>
      </c>
      <c r="F240" s="27" t="n">
        <v>11</v>
      </c>
      <c r="G240" s="27" t="n">
        <v>745</v>
      </c>
      <c r="H240" s="28" t="n">
        <v>0.45</v>
      </c>
      <c r="I240" s="29">
        <f>G240*(1-H240)</f>
        <v/>
      </c>
      <c r="J240" s="30" t="n">
        <v>96.94</v>
      </c>
      <c r="K240" s="31">
        <f>$G$5</f>
        <v/>
      </c>
      <c r="L240" s="32">
        <f>J240+K240</f>
        <v/>
      </c>
      <c r="M240" s="33" t="n">
        <v>0.41</v>
      </c>
      <c r="N240" s="34">
        <f>G240*M240</f>
        <v/>
      </c>
      <c r="O240" s="35" t="n">
        <v>56</v>
      </c>
      <c r="P240" s="34">
        <f>G240*$G$8</f>
        <v/>
      </c>
      <c r="Q240" s="35" t="n">
        <v>25</v>
      </c>
      <c r="R240" s="34">
        <f>G240*$G$4</f>
        <v/>
      </c>
      <c r="S240" s="34">
        <f>I240*$G$3</f>
        <v/>
      </c>
      <c r="T240" s="36" t="n">
        <v>0.9</v>
      </c>
      <c r="U240" s="35" t="n">
        <v>56</v>
      </c>
      <c r="V240" s="34">
        <f>U240*(1-T240)</f>
        <v/>
      </c>
      <c r="W240" s="37" t="n">
        <v>0.14</v>
      </c>
      <c r="X240" s="34">
        <f>$G$6*$G$7*W240</f>
        <v/>
      </c>
      <c r="Y240" s="32">
        <f>W240*($G$9+$G$10)</f>
        <v/>
      </c>
      <c r="Z240" s="33" t="n">
        <v>0.07000000000000001</v>
      </c>
      <c r="AA240" s="34">
        <f>G240*Z240</f>
        <v/>
      </c>
      <c r="AB240" s="36" t="n">
        <v>0.08</v>
      </c>
      <c r="AC240" s="34">
        <f>G240*AB240</f>
        <v/>
      </c>
      <c r="AD240" s="34">
        <f>AA240+AC240</f>
        <v/>
      </c>
      <c r="AE240" s="38">
        <f>AD240/G240</f>
        <v/>
      </c>
      <c r="AF240" s="39">
        <f>G240-N240-O240-P240-Q240-R240-S240-V240-X240-Y240-L240</f>
        <v/>
      </c>
      <c r="AG240" s="40">
        <f>AF240-AD240</f>
        <v/>
      </c>
      <c r="AH240" s="41">
        <f>AG240/G240</f>
        <v/>
      </c>
      <c r="AI240" s="42">
        <f>AG240/L240</f>
        <v/>
      </c>
      <c r="AJ240" s="34">
        <f>(O240+Q240+V240+X240+Y240+L240)/(1-(M240+$G$4+(1-H240)*$G$3+$G$8+Z240+AB240))</f>
        <v/>
      </c>
    </row>
    <row r="241">
      <c r="A241" s="12" t="inlineStr">
        <is>
          <t>CELIMAX PORE+DARK SPOT BRIGHTENING SERUM_10ml [10ml]/Сыворотка для выравнивания тона и рельефа кожи лица</t>
        </is>
      </c>
      <c r="B241" s="13" t="n"/>
      <c r="C241" s="13" t="n"/>
      <c r="D241" s="14" t="n"/>
      <c r="E241" s="14" t="n"/>
      <c r="F241" s="14" t="n"/>
      <c r="G241" s="14" t="n"/>
      <c r="H241" s="15" t="n"/>
      <c r="I241" s="16" t="n"/>
      <c r="J241" s="17" t="n"/>
      <c r="K241" s="17" t="n"/>
      <c r="L241" s="18" t="n"/>
      <c r="M241" s="19" t="n"/>
      <c r="N241" s="14" t="n"/>
      <c r="O241" s="14" t="n"/>
      <c r="P241" s="14" t="n"/>
      <c r="Q241" s="14" t="n"/>
      <c r="R241" s="14" t="n"/>
      <c r="S241" s="14" t="n"/>
      <c r="T241" s="20" t="n"/>
      <c r="U241" s="14" t="n"/>
      <c r="V241" s="14" t="n"/>
      <c r="W241" s="21" t="n"/>
      <c r="X241" s="14" t="n"/>
      <c r="Y241" s="18" t="n"/>
      <c r="Z241" s="19" t="n"/>
      <c r="AA241" s="14" t="n"/>
      <c r="AB241" s="20" t="n"/>
      <c r="AC241" s="14" t="n"/>
      <c r="AD241" s="14" t="n"/>
      <c r="AE241" s="22" t="n"/>
      <c r="AF241" s="23" t="n"/>
      <c r="AG241" s="14" t="n"/>
      <c r="AH241" s="20" t="n"/>
      <c r="AI241" s="20" t="n"/>
      <c r="AJ241" s="14" t="n"/>
    </row>
    <row r="242">
      <c r="A242" s="12" t="inlineStr">
        <is>
          <t>CELIMAX PORE+DARK SPOT BRIGHTENING CREAM [35ml]/Крем для выравнивания тона и рельефа кожи лица</t>
        </is>
      </c>
      <c r="B242" s="13" t="n"/>
      <c r="C242" s="13" t="n"/>
      <c r="D242" s="14" t="n"/>
      <c r="E242" s="14" t="n"/>
      <c r="F242" s="14" t="n"/>
      <c r="G242" s="14" t="n"/>
      <c r="H242" s="15" t="n"/>
      <c r="I242" s="16" t="n"/>
      <c r="J242" s="17" t="n"/>
      <c r="K242" s="17" t="n"/>
      <c r="L242" s="18" t="n"/>
      <c r="M242" s="19" t="n"/>
      <c r="N242" s="14" t="n"/>
      <c r="O242" s="14" t="n"/>
      <c r="P242" s="14" t="n"/>
      <c r="Q242" s="14" t="n"/>
      <c r="R242" s="14" t="n"/>
      <c r="S242" s="14" t="n"/>
      <c r="T242" s="20" t="n"/>
      <c r="U242" s="14" t="n"/>
      <c r="V242" s="14" t="n"/>
      <c r="W242" s="21" t="n"/>
      <c r="X242" s="14" t="n"/>
      <c r="Y242" s="18" t="n"/>
      <c r="Z242" s="19" t="n"/>
      <c r="AA242" s="14" t="n"/>
      <c r="AB242" s="20" t="n"/>
      <c r="AC242" s="14" t="n"/>
      <c r="AD242" s="14" t="n"/>
      <c r="AE242" s="22" t="n"/>
      <c r="AF242" s="23" t="n"/>
      <c r="AG242" s="14" t="n"/>
      <c r="AH242" s="20" t="n"/>
      <c r="AI242" s="20" t="n"/>
      <c r="AJ242" s="14" t="n"/>
    </row>
    <row r="243">
      <c r="A243" s="12" t="inlineStr">
        <is>
          <t>CELIMAX DUAL BARRIER SKIN WEARABLE CREAM [50ml]/Крем для восстановления защитного барьера кожи лица</t>
        </is>
      </c>
      <c r="B243" s="13" t="n"/>
      <c r="C243" s="13" t="n"/>
      <c r="D243" s="14" t="n"/>
      <c r="E243" s="14" t="n"/>
      <c r="F243" s="14" t="n"/>
      <c r="G243" s="14" t="n"/>
      <c r="H243" s="15" t="n"/>
      <c r="I243" s="16" t="n"/>
      <c r="J243" s="17" t="n"/>
      <c r="K243" s="17" t="n"/>
      <c r="L243" s="18" t="n"/>
      <c r="M243" s="19" t="n"/>
      <c r="N243" s="14" t="n"/>
      <c r="O243" s="14" t="n"/>
      <c r="P243" s="14" t="n"/>
      <c r="Q243" s="14" t="n"/>
      <c r="R243" s="14" t="n"/>
      <c r="S243" s="14" t="n"/>
      <c r="T243" s="20" t="n"/>
      <c r="U243" s="14" t="n"/>
      <c r="V243" s="14" t="n"/>
      <c r="W243" s="21" t="n"/>
      <c r="X243" s="14" t="n"/>
      <c r="Y243" s="18" t="n"/>
      <c r="Z243" s="19" t="n"/>
      <c r="AA243" s="14" t="n"/>
      <c r="AB243" s="20" t="n"/>
      <c r="AC243" s="14" t="n"/>
      <c r="AD243" s="14" t="n"/>
      <c r="AE243" s="22" t="n"/>
      <c r="AF243" s="23" t="n"/>
      <c r="AG243" s="14" t="n"/>
      <c r="AH243" s="20" t="n"/>
      <c r="AI243" s="20" t="n"/>
      <c r="AJ243" s="14" t="n"/>
    </row>
    <row r="244">
      <c r="A244" s="24" t="inlineStr">
        <is>
          <t>CELIMAX JI WOO GAE CICA BHA BLEMISH TONER PAD [170ml / 60pads]/Тонер-пэды от воспалений</t>
        </is>
      </c>
      <c r="B244" s="54" t="n"/>
      <c r="C244" s="26" t="n"/>
      <c r="D244" s="27" t="n">
        <v>3450</v>
      </c>
      <c r="E244" s="27" t="inlineStr">
        <is>
          <t>1 820</t>
        </is>
      </c>
      <c r="F244" s="27" t="n">
        <v>11</v>
      </c>
      <c r="G244" s="27" t="n">
        <v>3150</v>
      </c>
      <c r="H244" s="28" t="n">
        <v>0.45</v>
      </c>
      <c r="I244" s="29">
        <f>G244*(1-H244)</f>
        <v/>
      </c>
      <c r="J244" s="30" t="n">
        <v>707.88</v>
      </c>
      <c r="K244" s="31">
        <f>$G$5</f>
        <v/>
      </c>
      <c r="L244" s="32">
        <f>J244+K244</f>
        <v/>
      </c>
      <c r="M244" s="33" t="n">
        <v>0.41</v>
      </c>
      <c r="N244" s="34">
        <f>G244*M244</f>
        <v/>
      </c>
      <c r="O244" s="35" t="n">
        <v>67</v>
      </c>
      <c r="P244" s="34">
        <f>G244*$G$8</f>
        <v/>
      </c>
      <c r="Q244" s="35" t="n">
        <v>25</v>
      </c>
      <c r="R244" s="34">
        <f>G244*$G$4</f>
        <v/>
      </c>
      <c r="S244" s="34">
        <f>I244*$G$3</f>
        <v/>
      </c>
      <c r="T244" s="36" t="n">
        <v>0.9</v>
      </c>
      <c r="U244" s="35" t="n">
        <v>67</v>
      </c>
      <c r="V244" s="34">
        <f>U244*(1-T244)</f>
        <v/>
      </c>
      <c r="W244" s="37" t="n">
        <v>0.96</v>
      </c>
      <c r="X244" s="34">
        <f>$G$6*$G$7*W244</f>
        <v/>
      </c>
      <c r="Y244" s="32">
        <f>W244*($G$9+$G$10)</f>
        <v/>
      </c>
      <c r="Z244" s="33" t="n">
        <v>0.07000000000000001</v>
      </c>
      <c r="AA244" s="34">
        <f>G244*Z244</f>
        <v/>
      </c>
      <c r="AB244" s="36" t="n">
        <v>0.08</v>
      </c>
      <c r="AC244" s="34">
        <f>G244*AB244</f>
        <v/>
      </c>
      <c r="AD244" s="34">
        <f>AA244+AC244</f>
        <v/>
      </c>
      <c r="AE244" s="38">
        <f>AD244/G244</f>
        <v/>
      </c>
      <c r="AF244" s="39">
        <f>G244-N244-O244-P244-Q244-R244-S244-V244-X244-Y244-L244</f>
        <v/>
      </c>
      <c r="AG244" s="40">
        <f>AF244-AD244</f>
        <v/>
      </c>
      <c r="AH244" s="41">
        <f>AG244/G244</f>
        <v/>
      </c>
      <c r="AI244" s="42">
        <f>AG244/L244</f>
        <v/>
      </c>
      <c r="AJ244" s="34">
        <f>(O244+Q244+V244+X244+Y244+L244)/(1-(M244+$G$4+(1-H244)*$G$3+$G$8+Z244+AB244))</f>
        <v/>
      </c>
    </row>
    <row r="245">
      <c r="A245" s="12" t="inlineStr">
        <is>
          <t>CELIMAX THE REAL NONI ENERGY AMPOULE_30ML (NEW) [30ml]/Восстанавливающая сыворотка с экстрактом нони для лица</t>
        </is>
      </c>
      <c r="B245" s="13" t="n"/>
      <c r="C245" s="13" t="n"/>
      <c r="D245" s="14" t="n"/>
      <c r="E245" s="14" t="n"/>
      <c r="F245" s="14" t="n"/>
      <c r="G245" s="14" t="n"/>
      <c r="H245" s="15" t="n"/>
      <c r="I245" s="16" t="n"/>
      <c r="J245" s="17" t="n"/>
      <c r="K245" s="17" t="n"/>
      <c r="L245" s="18" t="n"/>
      <c r="M245" s="19" t="n"/>
      <c r="N245" s="14" t="n"/>
      <c r="O245" s="14" t="n"/>
      <c r="P245" s="14" t="n"/>
      <c r="Q245" s="14" t="n"/>
      <c r="R245" s="14" t="n"/>
      <c r="S245" s="14" t="n"/>
      <c r="T245" s="20" t="n"/>
      <c r="U245" s="14" t="n"/>
      <c r="V245" s="14" t="n"/>
      <c r="W245" s="21" t="n"/>
      <c r="X245" s="14" t="n"/>
      <c r="Y245" s="18" t="n"/>
      <c r="Z245" s="19" t="n"/>
      <c r="AA245" s="14" t="n"/>
      <c r="AB245" s="20" t="n"/>
      <c r="AC245" s="14" t="n"/>
      <c r="AD245" s="14" t="n"/>
      <c r="AE245" s="22" t="n"/>
      <c r="AF245" s="23" t="n"/>
      <c r="AG245" s="14" t="n"/>
      <c r="AH245" s="20" t="n"/>
      <c r="AI245" s="20" t="n"/>
      <c r="AJ245" s="14" t="n"/>
    </row>
    <row r="246">
      <c r="A246" s="24" t="inlineStr">
        <is>
          <t>CELIMAX PORE+DARK SPOT BRIGHTENING PAD [100ml / 40pads]/Тонер-пэды для выравнивания тона и рельефа кожи</t>
        </is>
      </c>
      <c r="B246" s="54" t="n"/>
      <c r="C246" s="26" t="n"/>
      <c r="D246" s="27" t="n">
        <v>2880</v>
      </c>
      <c r="E246" s="27" t="inlineStr">
        <is>
          <t>1 640</t>
        </is>
      </c>
      <c r="F246" s="27" t="n">
        <v>21</v>
      </c>
      <c r="G246" s="27" t="n">
        <v>2580</v>
      </c>
      <c r="H246" s="28" t="n">
        <v>0.45</v>
      </c>
      <c r="I246" s="29">
        <f>G246*(1-H246)</f>
        <v/>
      </c>
      <c r="J246" s="30" t="n">
        <v>556.1799999999999</v>
      </c>
      <c r="K246" s="31">
        <f>$G$5</f>
        <v/>
      </c>
      <c r="L246" s="32">
        <f>J246+K246</f>
        <v/>
      </c>
      <c r="M246" s="33" t="n">
        <v>0.41</v>
      </c>
      <c r="N246" s="34">
        <f>G246*M246</f>
        <v/>
      </c>
      <c r="O246" s="35" t="n">
        <v>67</v>
      </c>
      <c r="P246" s="34">
        <f>G246*$G$8</f>
        <v/>
      </c>
      <c r="Q246" s="35" t="n">
        <v>25</v>
      </c>
      <c r="R246" s="34">
        <f>G246*$G$4</f>
        <v/>
      </c>
      <c r="S246" s="34">
        <f>I246*$G$3</f>
        <v/>
      </c>
      <c r="T246" s="36" t="n">
        <v>0.9</v>
      </c>
      <c r="U246" s="35" t="n">
        <v>67</v>
      </c>
      <c r="V246" s="34">
        <f>U246*(1-T246)</f>
        <v/>
      </c>
      <c r="W246" s="37" t="n">
        <v>0.57</v>
      </c>
      <c r="X246" s="34">
        <f>$G$6*$G$7*W246</f>
        <v/>
      </c>
      <c r="Y246" s="32">
        <f>W246*($G$9+$G$10)</f>
        <v/>
      </c>
      <c r="Z246" s="33" t="n">
        <v>0.07000000000000001</v>
      </c>
      <c r="AA246" s="34">
        <f>G246*Z246</f>
        <v/>
      </c>
      <c r="AB246" s="36" t="n">
        <v>0.08</v>
      </c>
      <c r="AC246" s="34">
        <f>G246*AB246</f>
        <v/>
      </c>
      <c r="AD246" s="34">
        <f>AA246+AC246</f>
        <v/>
      </c>
      <c r="AE246" s="38">
        <f>AD246/G246</f>
        <v/>
      </c>
      <c r="AF246" s="39">
        <f>G246-N246-O246-P246-Q246-R246-S246-V246-X246-Y246-L246</f>
        <v/>
      </c>
      <c r="AG246" s="40">
        <f>AF246-AD246</f>
        <v/>
      </c>
      <c r="AH246" s="41">
        <f>AG246/G246</f>
        <v/>
      </c>
      <c r="AI246" s="42">
        <f>AG246/L246</f>
        <v/>
      </c>
      <c r="AJ246" s="34">
        <f>(O246+Q246+V246+X246+Y246+L246)/(1-(M246+$G$4+(1-H246)*$G$3+$G$8+Z246+AB246))</f>
        <v/>
      </c>
    </row>
    <row r="247">
      <c r="A247" s="12" t="inlineStr">
        <is>
          <t>CELIMAX PORE+DARK SPOT BRIGHTENING SERUM_30ml [30ml]/Сыворотка для выравнивания тона и рельефа кожи лица</t>
        </is>
      </c>
      <c r="B247" s="13" t="n"/>
      <c r="C247" s="13" t="n"/>
      <c r="D247" s="14" t="n"/>
      <c r="E247" s="14" t="n"/>
      <c r="F247" s="14" t="n"/>
      <c r="G247" s="14" t="n"/>
      <c r="H247" s="15" t="n"/>
      <c r="I247" s="16" t="n"/>
      <c r="J247" s="17" t="n"/>
      <c r="K247" s="17" t="n"/>
      <c r="L247" s="18" t="n"/>
      <c r="M247" s="19" t="n"/>
      <c r="N247" s="14" t="n"/>
      <c r="O247" s="14" t="n"/>
      <c r="P247" s="14" t="n"/>
      <c r="Q247" s="14" t="n"/>
      <c r="R247" s="14" t="n"/>
      <c r="S247" s="14" t="n"/>
      <c r="T247" s="20" t="n"/>
      <c r="U247" s="14" t="n"/>
      <c r="V247" s="14" t="n"/>
      <c r="W247" s="21" t="n"/>
      <c r="X247" s="14" t="n"/>
      <c r="Y247" s="18" t="n"/>
      <c r="Z247" s="19" t="n"/>
      <c r="AA247" s="14" t="n"/>
      <c r="AB247" s="20" t="n"/>
      <c r="AC247" s="14" t="n"/>
      <c r="AD247" s="14" t="n"/>
      <c r="AE247" s="22" t="n"/>
      <c r="AF247" s="23" t="n"/>
      <c r="AG247" s="14" t="n"/>
      <c r="AH247" s="20" t="n"/>
      <c r="AI247" s="20" t="n"/>
      <c r="AJ247" s="14" t="n"/>
    </row>
    <row r="248">
      <c r="A248" s="12" t="inlineStr">
        <is>
          <t>CELIMAX THE REAL NONI MOISTURE BALANCING TONER (NEW) [150ml]/Восстанавливающий тонер с экстрактом нони</t>
        </is>
      </c>
      <c r="B248" s="13" t="n"/>
      <c r="C248" s="13" t="n"/>
      <c r="D248" s="14" t="n"/>
      <c r="E248" s="14" t="n"/>
      <c r="F248" s="14" t="n"/>
      <c r="G248" s="14" t="n"/>
      <c r="H248" s="15" t="n"/>
      <c r="I248" s="16" t="n"/>
      <c r="J248" s="17" t="n"/>
      <c r="K248" s="17" t="n"/>
      <c r="L248" s="18" t="n"/>
      <c r="M248" s="19" t="n"/>
      <c r="N248" s="14" t="n"/>
      <c r="O248" s="14" t="n"/>
      <c r="P248" s="14" t="n"/>
      <c r="Q248" s="14" t="n"/>
      <c r="R248" s="14" t="n"/>
      <c r="S248" s="14" t="n"/>
      <c r="T248" s="20" t="n"/>
      <c r="U248" s="14" t="n"/>
      <c r="V248" s="14" t="n"/>
      <c r="W248" s="21" t="n"/>
      <c r="X248" s="14" t="n"/>
      <c r="Y248" s="18" t="n"/>
      <c r="Z248" s="19" t="n"/>
      <c r="AA248" s="14" t="n"/>
      <c r="AB248" s="20" t="n"/>
      <c r="AC248" s="14" t="n"/>
      <c r="AD248" s="14" t="n"/>
      <c r="AE248" s="22" t="n"/>
      <c r="AF248" s="23" t="n"/>
      <c r="AG248" s="14" t="n"/>
      <c r="AH248" s="20" t="n"/>
      <c r="AI248" s="20" t="n"/>
      <c r="AJ248" s="14" t="n"/>
    </row>
    <row r="249">
      <c r="A249" s="55" t="inlineStr">
        <is>
          <t>CELIMAX JI WOO GAE HEARTLEAF BHA PEELING PAD 60PADS</t>
        </is>
      </c>
      <c r="B249" s="56" t="n">
        <v>1200</v>
      </c>
      <c r="C249" s="26" t="n"/>
      <c r="D249" s="27" t="n">
        <v>2870</v>
      </c>
      <c r="E249" s="27" t="n">
        <v>1100</v>
      </c>
      <c r="F249" s="27" t="n">
        <v>10</v>
      </c>
      <c r="G249" s="27" t="n">
        <v>2670</v>
      </c>
      <c r="H249" s="28" t="n">
        <v>0.45</v>
      </c>
      <c r="I249" s="29">
        <f>G249*(1-H249)</f>
        <v/>
      </c>
      <c r="J249" s="30" t="n">
        <v>467</v>
      </c>
      <c r="K249" s="31">
        <f>$G$5</f>
        <v/>
      </c>
      <c r="L249" s="32">
        <f>J249+K249</f>
        <v/>
      </c>
      <c r="M249" s="33" t="n">
        <v>0.41</v>
      </c>
      <c r="N249" s="34">
        <f>G249*M249</f>
        <v/>
      </c>
      <c r="O249" s="35" t="n">
        <v>67</v>
      </c>
      <c r="P249" s="34">
        <f>G249*$G$8</f>
        <v/>
      </c>
      <c r="Q249" s="35" t="n">
        <v>25</v>
      </c>
      <c r="R249" s="34">
        <f>G249*$G$4</f>
        <v/>
      </c>
      <c r="S249" s="34">
        <f>I249*$G$3</f>
        <v/>
      </c>
      <c r="T249" s="36" t="n">
        <v>0.9</v>
      </c>
      <c r="U249" s="35" t="n">
        <v>67</v>
      </c>
      <c r="V249" s="34">
        <f>U249*(1-T249)</f>
        <v/>
      </c>
      <c r="W249" s="37" t="n">
        <v>0.96</v>
      </c>
      <c r="X249" s="34">
        <f>$G$6*$G$7*W249</f>
        <v/>
      </c>
      <c r="Y249" s="32">
        <f>W249*($G$9+$G$10)</f>
        <v/>
      </c>
      <c r="Z249" s="33" t="n">
        <v>0.07000000000000001</v>
      </c>
      <c r="AA249" s="34">
        <f>G249*Z249</f>
        <v/>
      </c>
      <c r="AB249" s="36" t="n">
        <v>0.08</v>
      </c>
      <c r="AC249" s="34">
        <f>G249*AB249</f>
        <v/>
      </c>
      <c r="AD249" s="34">
        <f>AA249+AC249</f>
        <v/>
      </c>
      <c r="AE249" s="38">
        <f>AD249/G249</f>
        <v/>
      </c>
      <c r="AF249" s="39">
        <f>G249-N249-O249-P249-Q249-R249-S249-V249-X249-Y249-L249</f>
        <v/>
      </c>
      <c r="AG249" s="40">
        <f>AF249-AD249</f>
        <v/>
      </c>
      <c r="AH249" s="41">
        <f>AG249/G249</f>
        <v/>
      </c>
      <c r="AI249" s="42">
        <f>AG249/L249</f>
        <v/>
      </c>
      <c r="AJ249" s="34">
        <f>(O249+Q249+V249+X249+Y249+L249)/(1-(M249+$G$4+(1-H249)*$G$3+$G$8+Z249+AB249))</f>
        <v/>
      </c>
    </row>
    <row r="250">
      <c r="A250" s="55" t="inlineStr">
        <is>
          <t>CELIMAX THE REAL NONI ACNE BUBBLE CLEANSER 155ML</t>
        </is>
      </c>
      <c r="B250" s="56" t="n">
        <v>312</v>
      </c>
      <c r="C250" s="26" t="n"/>
      <c r="D250" s="27" t="n">
        <v>3150</v>
      </c>
      <c r="E250" s="27" t="n">
        <v>500</v>
      </c>
      <c r="F250" s="27" t="n">
        <v>10</v>
      </c>
      <c r="G250" s="27" t="n">
        <v>2850</v>
      </c>
      <c r="H250" s="28" t="n">
        <v>0.45</v>
      </c>
      <c r="I250" s="29">
        <f>G250*(1-H250)</f>
        <v/>
      </c>
      <c r="J250" s="30" t="n">
        <v>417</v>
      </c>
      <c r="K250" s="31">
        <f>$G$5</f>
        <v/>
      </c>
      <c r="L250" s="32">
        <f>J250+K250</f>
        <v/>
      </c>
      <c r="M250" s="33" t="n">
        <v>0.41</v>
      </c>
      <c r="N250" s="34">
        <f>G250*M250</f>
        <v/>
      </c>
      <c r="O250" s="35" t="n">
        <v>67</v>
      </c>
      <c r="P250" s="34">
        <f>G250*$G$8</f>
        <v/>
      </c>
      <c r="Q250" s="35" t="n">
        <v>25</v>
      </c>
      <c r="R250" s="34">
        <f>G250*$G$4</f>
        <v/>
      </c>
      <c r="S250" s="34">
        <f>I250*$G$3</f>
        <v/>
      </c>
      <c r="T250" s="36" t="n">
        <v>0.9</v>
      </c>
      <c r="U250" s="35" t="n">
        <v>67</v>
      </c>
      <c r="V250" s="34">
        <f>U250*(1-T250)</f>
        <v/>
      </c>
      <c r="W250" s="37" t="n">
        <v>0.96</v>
      </c>
      <c r="X250" s="34">
        <f>$G$6*$G$7*W250</f>
        <v/>
      </c>
      <c r="Y250" s="32">
        <f>W250*($G$9+$G$10)</f>
        <v/>
      </c>
      <c r="Z250" s="33" t="n">
        <v>0.07000000000000001</v>
      </c>
      <c r="AA250" s="34">
        <f>G250*Z250</f>
        <v/>
      </c>
      <c r="AB250" s="36" t="n">
        <v>0.08</v>
      </c>
      <c r="AC250" s="34">
        <f>G250*AB250</f>
        <v/>
      </c>
      <c r="AD250" s="34">
        <f>AA250+AC250</f>
        <v/>
      </c>
      <c r="AE250" s="38">
        <f>AD250/G250</f>
        <v/>
      </c>
      <c r="AF250" s="39">
        <f>G250-N250-O250-P250-Q250-R250-S250-V250-X250-Y250-L250</f>
        <v/>
      </c>
      <c r="AG250" s="40">
        <f>AF250-AD250</f>
        <v/>
      </c>
      <c r="AH250" s="41">
        <f>AG250/G250</f>
        <v/>
      </c>
      <c r="AI250" s="42">
        <f>AG250/L250</f>
        <v/>
      </c>
      <c r="AJ250" s="34">
        <f>(O250+Q250+V250+X250+Y250+L250)/(1-(M250+$G$4+(1-H250)*$G$3+$G$8+Z250+AB250))</f>
        <v/>
      </c>
    </row>
    <row r="251">
      <c r="A251" s="55" t="inlineStr">
        <is>
          <t>CELIMAX DERMA NATURE FRESH BLACKHEAD JOJOBA CLEANSING OIL 150ML</t>
        </is>
      </c>
      <c r="B251" s="56" t="n">
        <v>315</v>
      </c>
      <c r="C251" s="26" t="n"/>
      <c r="D251" s="27" t="n">
        <v>2720</v>
      </c>
      <c r="E251" s="27" t="n">
        <v>500</v>
      </c>
      <c r="F251" s="27" t="n">
        <v>15</v>
      </c>
      <c r="G251" s="27" t="n">
        <v>2520</v>
      </c>
      <c r="H251" s="28" t="n">
        <v>0.45</v>
      </c>
      <c r="I251" s="29">
        <f>G251*(1-H251)</f>
        <v/>
      </c>
      <c r="J251" s="30" t="n">
        <v>452</v>
      </c>
      <c r="K251" s="31">
        <f>$G$5</f>
        <v/>
      </c>
      <c r="L251" s="32">
        <f>J251+K251</f>
        <v/>
      </c>
      <c r="M251" s="33" t="n">
        <v>0.41</v>
      </c>
      <c r="N251" s="34">
        <f>G251*M251</f>
        <v/>
      </c>
      <c r="O251" s="35" t="n">
        <v>67</v>
      </c>
      <c r="P251" s="34">
        <f>G251*$G$8</f>
        <v/>
      </c>
      <c r="Q251" s="35" t="n">
        <v>25</v>
      </c>
      <c r="R251" s="34">
        <f>G251*$G$4</f>
        <v/>
      </c>
      <c r="S251" s="34">
        <f>I251*$G$3</f>
        <v/>
      </c>
      <c r="T251" s="36" t="n">
        <v>0.9</v>
      </c>
      <c r="U251" s="35" t="n">
        <v>67</v>
      </c>
      <c r="V251" s="34">
        <f>U251*(1-T251)</f>
        <v/>
      </c>
      <c r="W251" s="37" t="n">
        <v>0.96</v>
      </c>
      <c r="X251" s="34">
        <f>$G$6*$G$7*W251</f>
        <v/>
      </c>
      <c r="Y251" s="32">
        <f>W251*($G$9+$G$10)</f>
        <v/>
      </c>
      <c r="Z251" s="33" t="n">
        <v>0.07000000000000001</v>
      </c>
      <c r="AA251" s="34">
        <f>G251*Z251</f>
        <v/>
      </c>
      <c r="AB251" s="36" t="n">
        <v>0.08</v>
      </c>
      <c r="AC251" s="34">
        <f>G251*AB251</f>
        <v/>
      </c>
      <c r="AD251" s="34">
        <f>AA251+AC251</f>
        <v/>
      </c>
      <c r="AE251" s="38">
        <f>AD251/G251</f>
        <v/>
      </c>
      <c r="AF251" s="39">
        <f>G251-N251-O251-P251-Q251-R251-S251-V251-X251-Y251-L251</f>
        <v/>
      </c>
      <c r="AG251" s="40">
        <f>AF251-AD251</f>
        <v/>
      </c>
      <c r="AH251" s="41">
        <f>AG251/G251</f>
        <v/>
      </c>
      <c r="AI251" s="42">
        <f>AG251/L251</f>
        <v/>
      </c>
      <c r="AJ251" s="34">
        <f>(O251+Q251+V251+X251+Y251+L251)/(1-(M251+$G$4+(1-H251)*$G$3+$G$8+Z251+AB251))</f>
        <v/>
      </c>
    </row>
    <row r="252">
      <c r="A252" s="55" t="inlineStr">
        <is>
          <t>CELIMAX THE REAL NONI CALMING GLOW PAD 50EA</t>
        </is>
      </c>
      <c r="B252" s="56" t="n">
        <v>984</v>
      </c>
      <c r="C252" s="26" t="n"/>
      <c r="D252" s="27" t="n">
        <v>3500</v>
      </c>
      <c r="E252" s="27" t="n">
        <v>200</v>
      </c>
      <c r="F252" s="27" t="n">
        <v>15</v>
      </c>
      <c r="G252" s="27" t="n">
        <v>3250</v>
      </c>
      <c r="H252" s="28" t="n">
        <v>0.45</v>
      </c>
      <c r="I252" s="29">
        <f>G252*(1-H252)</f>
        <v/>
      </c>
      <c r="J252" s="30" t="n">
        <v>544</v>
      </c>
      <c r="K252" s="31">
        <f>$G$5</f>
        <v/>
      </c>
      <c r="L252" s="32">
        <f>J252+K252</f>
        <v/>
      </c>
      <c r="M252" s="33" t="n">
        <v>0.41</v>
      </c>
      <c r="N252" s="34">
        <f>G252*M252</f>
        <v/>
      </c>
      <c r="O252" s="35" t="n">
        <v>67</v>
      </c>
      <c r="P252" s="34">
        <f>G252*$G$8</f>
        <v/>
      </c>
      <c r="Q252" s="35" t="n">
        <v>25</v>
      </c>
      <c r="R252" s="34">
        <f>G252*$G$4</f>
        <v/>
      </c>
      <c r="S252" s="34">
        <f>I252*$G$3</f>
        <v/>
      </c>
      <c r="T252" s="36" t="n">
        <v>0.9</v>
      </c>
      <c r="U252" s="35" t="n">
        <v>67</v>
      </c>
      <c r="V252" s="34">
        <f>U252*(1-T252)</f>
        <v/>
      </c>
      <c r="W252" s="37" t="n">
        <v>0.96</v>
      </c>
      <c r="X252" s="34">
        <f>$G$6*$G$7*W252</f>
        <v/>
      </c>
      <c r="Y252" s="32">
        <f>W252*($G$9+$G$10)</f>
        <v/>
      </c>
      <c r="Z252" s="33" t="n">
        <v>0.07000000000000001</v>
      </c>
      <c r="AA252" s="34">
        <f>G252*Z252</f>
        <v/>
      </c>
      <c r="AB252" s="36" t="n">
        <v>0.08</v>
      </c>
      <c r="AC252" s="34">
        <f>G252*AB252</f>
        <v/>
      </c>
      <c r="AD252" s="34">
        <f>AA252+AC252</f>
        <v/>
      </c>
      <c r="AE252" s="38">
        <f>AD252/G252</f>
        <v/>
      </c>
      <c r="AF252" s="39">
        <f>G252-N252-O252-P252-Q252-R252-S252-V252-X252-Y252-L252</f>
        <v/>
      </c>
      <c r="AG252" s="40">
        <f>AF252-AD252</f>
        <v/>
      </c>
      <c r="AH252" s="41">
        <f>AG252/G252</f>
        <v/>
      </c>
      <c r="AI252" s="42">
        <f>AG252/L252</f>
        <v/>
      </c>
      <c r="AJ252" s="34">
        <f>(O252+Q252+V252+X252+Y252+L252)/(1-(M252+$G$4+(1-H252)*$G$3+$G$8+Z252+AB252))</f>
        <v/>
      </c>
    </row>
    <row r="253">
      <c r="A253" s="55" t="inlineStr">
        <is>
          <t>CELIMAX THE REAL CICA SOOTHING CREAM 50ML</t>
        </is>
      </c>
      <c r="B253" s="56" t="n">
        <v>1200</v>
      </c>
      <c r="C253" s="26" t="n"/>
      <c r="D253" s="27" t="n">
        <v>2770</v>
      </c>
      <c r="E253" s="27" t="n">
        <v>600</v>
      </c>
      <c r="F253" s="27" t="n">
        <v>15</v>
      </c>
      <c r="G253" s="27" t="n">
        <v>2570</v>
      </c>
      <c r="H253" s="28" t="n">
        <v>0.45</v>
      </c>
      <c r="I253" s="29">
        <f>G253*(1-H253)</f>
        <v/>
      </c>
      <c r="J253" s="30" t="n">
        <v>514</v>
      </c>
      <c r="K253" s="31">
        <f>$G$5</f>
        <v/>
      </c>
      <c r="L253" s="32">
        <f>J253+K253</f>
        <v/>
      </c>
      <c r="M253" s="33" t="n">
        <v>0.41</v>
      </c>
      <c r="N253" s="34">
        <f>G253*M253</f>
        <v/>
      </c>
      <c r="O253" s="35" t="n">
        <v>67</v>
      </c>
      <c r="P253" s="34">
        <f>G253*$G$8</f>
        <v/>
      </c>
      <c r="Q253" s="35" t="n">
        <v>25</v>
      </c>
      <c r="R253" s="34">
        <f>G253*$G$4</f>
        <v/>
      </c>
      <c r="S253" s="34">
        <f>I253*$G$3</f>
        <v/>
      </c>
      <c r="T253" s="36" t="n">
        <v>0.9</v>
      </c>
      <c r="U253" s="35" t="n">
        <v>67</v>
      </c>
      <c r="V253" s="34">
        <f>U253*(1-T253)</f>
        <v/>
      </c>
      <c r="W253" s="37" t="n">
        <v>0.96</v>
      </c>
      <c r="X253" s="34">
        <f>$G$6*$G$7*W253</f>
        <v/>
      </c>
      <c r="Y253" s="32">
        <f>W253*($G$9+$G$10)</f>
        <v/>
      </c>
      <c r="Z253" s="33" t="n">
        <v>0.07000000000000001</v>
      </c>
      <c r="AA253" s="34">
        <f>G253*Z253</f>
        <v/>
      </c>
      <c r="AB253" s="36" t="n">
        <v>0.08</v>
      </c>
      <c r="AC253" s="34">
        <f>G253*AB253</f>
        <v/>
      </c>
      <c r="AD253" s="34">
        <f>AA253+AC253</f>
        <v/>
      </c>
      <c r="AE253" s="38">
        <f>AD253/G253</f>
        <v/>
      </c>
      <c r="AF253" s="39">
        <f>G253-N253-O253-P253-Q253-R253-S253-V253-X253-Y253-L253</f>
        <v/>
      </c>
      <c r="AG253" s="40">
        <f>AF253-AD253</f>
        <v/>
      </c>
      <c r="AH253" s="41">
        <f>AG253/G253</f>
        <v/>
      </c>
      <c r="AI253" s="42">
        <f>AG253/L253</f>
        <v/>
      </c>
      <c r="AJ253" s="34">
        <f>(O253+Q253+V253+X253+Y253+L253)/(1-(M253+$G$4+(1-H253)*$G$3+$G$8+Z253+AB253))</f>
        <v/>
      </c>
    </row>
    <row r="254">
      <c r="A254" s="55" t="inlineStr">
        <is>
          <t>CELIMAX THE REAL CICA NIACINAMIDE AC CALMING SERUM 40ML</t>
        </is>
      </c>
      <c r="B254" s="56" t="n">
        <v>864</v>
      </c>
      <c r="C254" s="26" t="n"/>
      <c r="D254" s="27" t="n">
        <v>3250</v>
      </c>
      <c r="E254" s="27" t="n">
        <v>300</v>
      </c>
      <c r="F254" s="27" t="n">
        <v>17</v>
      </c>
      <c r="G254" s="27" t="n">
        <v>3000</v>
      </c>
      <c r="H254" s="28" t="n">
        <v>0.45</v>
      </c>
      <c r="I254" s="29">
        <f>G254*(1-H254)</f>
        <v/>
      </c>
      <c r="J254" s="30" t="n">
        <v>632</v>
      </c>
      <c r="K254" s="31">
        <f>$G$5</f>
        <v/>
      </c>
      <c r="L254" s="32">
        <f>J254+K254</f>
        <v/>
      </c>
      <c r="M254" s="33" t="n">
        <v>0.41</v>
      </c>
      <c r="N254" s="34">
        <f>G254*M254</f>
        <v/>
      </c>
      <c r="O254" s="35" t="n">
        <v>67</v>
      </c>
      <c r="P254" s="34">
        <f>G254*$G$8</f>
        <v/>
      </c>
      <c r="Q254" s="35" t="n">
        <v>25</v>
      </c>
      <c r="R254" s="34">
        <f>G254*$G$4</f>
        <v/>
      </c>
      <c r="S254" s="34">
        <f>I254*$G$3</f>
        <v/>
      </c>
      <c r="T254" s="36" t="n">
        <v>0.9</v>
      </c>
      <c r="U254" s="35" t="n">
        <v>67</v>
      </c>
      <c r="V254" s="34">
        <f>U254*(1-T254)</f>
        <v/>
      </c>
      <c r="W254" s="37" t="n">
        <v>0.96</v>
      </c>
      <c r="X254" s="34">
        <f>$G$6*$G$7*W254</f>
        <v/>
      </c>
      <c r="Y254" s="32">
        <f>W254*($G$9+$G$10)</f>
        <v/>
      </c>
      <c r="Z254" s="33" t="n">
        <v>0.09</v>
      </c>
      <c r="AA254" s="34">
        <f>G254*Z254</f>
        <v/>
      </c>
      <c r="AB254" s="36" t="n">
        <v>0.08</v>
      </c>
      <c r="AC254" s="34">
        <f>G254*AB254</f>
        <v/>
      </c>
      <c r="AD254" s="34">
        <f>AA254+AC254</f>
        <v/>
      </c>
      <c r="AE254" s="38">
        <f>AD254/G254</f>
        <v/>
      </c>
      <c r="AF254" s="39">
        <f>G254-N254-O254-P254-Q254-R254-S254-V254-X254-Y254-L254</f>
        <v/>
      </c>
      <c r="AG254" s="40">
        <f>AF254-AD254</f>
        <v/>
      </c>
      <c r="AH254" s="41">
        <f>AG254/G254</f>
        <v/>
      </c>
      <c r="AI254" s="42">
        <f>AG254/L254</f>
        <v/>
      </c>
      <c r="AJ254" s="34">
        <f>(O254+Q254+V254+X254+Y254+L254)/(1-(M254+$G$4+(1-H254)*$G$3+$G$8+Z254+AB254))</f>
        <v/>
      </c>
    </row>
    <row r="255">
      <c r="A255" s="55" t="inlineStr">
        <is>
          <t>CELIMAX THE REAL NONI ENERGY REPAIR CREAM 50ML</t>
        </is>
      </c>
      <c r="B255" s="56" t="n">
        <v>720</v>
      </c>
      <c r="C255" s="26" t="n"/>
      <c r="D255" s="27" t="n">
        <v>3200</v>
      </c>
      <c r="E255" s="27" t="n">
        <v>450</v>
      </c>
      <c r="F255" s="27" t="n">
        <v>20</v>
      </c>
      <c r="G255" s="27" t="n">
        <v>3050</v>
      </c>
      <c r="H255" s="28" t="n">
        <v>0.45</v>
      </c>
      <c r="I255" s="29">
        <f>G255*(1-H255)</f>
        <v/>
      </c>
      <c r="J255" s="30" t="n">
        <v>734</v>
      </c>
      <c r="K255" s="31">
        <f>$G$5</f>
        <v/>
      </c>
      <c r="L255" s="32">
        <f>J255+K255</f>
        <v/>
      </c>
      <c r="M255" s="33" t="n">
        <v>0.41</v>
      </c>
      <c r="N255" s="34">
        <f>G255*M255</f>
        <v/>
      </c>
      <c r="O255" s="35" t="n">
        <v>67</v>
      </c>
      <c r="P255" s="34">
        <f>G255*$G$8</f>
        <v/>
      </c>
      <c r="Q255" s="35" t="n">
        <v>25</v>
      </c>
      <c r="R255" s="34">
        <f>G255*$G$4</f>
        <v/>
      </c>
      <c r="S255" s="34">
        <f>I255*$G$3</f>
        <v/>
      </c>
      <c r="T255" s="36" t="n">
        <v>0.9</v>
      </c>
      <c r="U255" s="35" t="n">
        <v>67</v>
      </c>
      <c r="V255" s="34">
        <f>U255*(1-T255)</f>
        <v/>
      </c>
      <c r="W255" s="37" t="n">
        <v>0.96</v>
      </c>
      <c r="X255" s="34">
        <f>$G$6*$G$7*W255</f>
        <v/>
      </c>
      <c r="Y255" s="32">
        <f>W255*($G$9+$G$10)</f>
        <v/>
      </c>
      <c r="Z255" s="33" t="n">
        <v>0.1</v>
      </c>
      <c r="AA255" s="34">
        <f>G255*Z255</f>
        <v/>
      </c>
      <c r="AB255" s="36" t="n">
        <v>0.1</v>
      </c>
      <c r="AC255" s="34">
        <f>G255*AB255</f>
        <v/>
      </c>
      <c r="AD255" s="34">
        <f>AA255+AC255</f>
        <v/>
      </c>
      <c r="AE255" s="38">
        <f>AD255/G255</f>
        <v/>
      </c>
      <c r="AF255" s="39">
        <f>G255-N255-O255-P255-Q255-R255-S255-V255-X255-Y255-L255</f>
        <v/>
      </c>
      <c r="AG255" s="40">
        <f>AF255-AD255</f>
        <v/>
      </c>
      <c r="AH255" s="41">
        <f>AG255/G255</f>
        <v/>
      </c>
      <c r="AI255" s="42">
        <f>AG255/L255</f>
        <v/>
      </c>
      <c r="AJ255" s="34">
        <f>(O255+Q255+V255+X255+Y255+L255)/(1-(M255+$G$4+(1-H255)*$G$3+$G$8+Z255+AB255))</f>
        <v/>
      </c>
    </row>
    <row r="256">
      <c r="A256" s="55" t="inlineStr">
        <is>
          <t>CELIMAX OIL CONTROL MOISTURIZING CREAM 80ML</t>
        </is>
      </c>
      <c r="B256" s="56" t="n">
        <v>600</v>
      </c>
      <c r="C256" s="26" t="n"/>
      <c r="D256" s="27" t="n">
        <v>3440</v>
      </c>
      <c r="E256" s="27" t="n">
        <v>400</v>
      </c>
      <c r="F256" s="27" t="n">
        <v>8</v>
      </c>
      <c r="G256" s="27" t="n">
        <v>3240</v>
      </c>
      <c r="H256" s="28" t="n">
        <v>0.45</v>
      </c>
      <c r="I256" s="29">
        <f>G256*(1-H256)</f>
        <v/>
      </c>
      <c r="J256" s="30" t="n">
        <v>602</v>
      </c>
      <c r="K256" s="31">
        <f>$G$5</f>
        <v/>
      </c>
      <c r="L256" s="32">
        <f>J256+K256</f>
        <v/>
      </c>
      <c r="M256" s="33" t="n">
        <v>0.41</v>
      </c>
      <c r="N256" s="34">
        <f>G256*M256</f>
        <v/>
      </c>
      <c r="O256" s="35" t="n">
        <v>67</v>
      </c>
      <c r="P256" s="34">
        <f>G256*$G$8</f>
        <v/>
      </c>
      <c r="Q256" s="35" t="n">
        <v>25</v>
      </c>
      <c r="R256" s="34">
        <f>G256*$G$4</f>
        <v/>
      </c>
      <c r="S256" s="34">
        <f>I256*$G$3</f>
        <v/>
      </c>
      <c r="T256" s="36" t="n">
        <v>0.9</v>
      </c>
      <c r="U256" s="35" t="n">
        <v>67</v>
      </c>
      <c r="V256" s="34">
        <f>U256*(1-T256)</f>
        <v/>
      </c>
      <c r="W256" s="37" t="n">
        <v>0.96</v>
      </c>
      <c r="X256" s="34">
        <f>$G$6*$G$7*W256</f>
        <v/>
      </c>
      <c r="Y256" s="32">
        <f>W256*($G$9+$G$10)</f>
        <v/>
      </c>
      <c r="Z256" s="33" t="n">
        <v>0.07000000000000001</v>
      </c>
      <c r="AA256" s="34">
        <f>G256*Z256</f>
        <v/>
      </c>
      <c r="AB256" s="36" t="n">
        <v>0.08</v>
      </c>
      <c r="AC256" s="34">
        <f>G256*AB256</f>
        <v/>
      </c>
      <c r="AD256" s="34">
        <f>AA256+AC256</f>
        <v/>
      </c>
      <c r="AE256" s="38">
        <f>AD256/G256</f>
        <v/>
      </c>
      <c r="AF256" s="39">
        <f>G256-N256-O256-P256-Q256-R256-S256-V256-X256-Y256-L256</f>
        <v/>
      </c>
      <c r="AG256" s="40">
        <f>AF256-AD256</f>
        <v/>
      </c>
      <c r="AH256" s="41">
        <f>AG256/G256</f>
        <v/>
      </c>
      <c r="AI256" s="42">
        <f>AG256/L256</f>
        <v/>
      </c>
      <c r="AJ256" s="34">
        <f>(O256+Q256+V256+X256+Y256+L256)/(1-(M256+$G$4+(1-H256)*$G$3+$G$8+Z256+AB256))</f>
        <v/>
      </c>
    </row>
    <row r="257">
      <c r="A257" s="55" t="inlineStr">
        <is>
          <t>CELIMAX PORE+DARK SPOT BRIGHTENING KIT</t>
        </is>
      </c>
      <c r="B257" s="56" t="n">
        <v>576</v>
      </c>
      <c r="C257" s="26" t="n"/>
      <c r="D257" s="27" t="n">
        <v>2630</v>
      </c>
      <c r="E257" s="27" t="n">
        <v>350</v>
      </c>
      <c r="F257" s="27" t="n">
        <v>15</v>
      </c>
      <c r="G257" s="27" t="n">
        <v>2430</v>
      </c>
      <c r="H257" s="28" t="n">
        <v>0.45</v>
      </c>
      <c r="I257" s="29">
        <f>G257*(1-H257)</f>
        <v/>
      </c>
      <c r="J257" s="30" t="n">
        <v>405</v>
      </c>
      <c r="K257" s="31">
        <f>$G$5</f>
        <v/>
      </c>
      <c r="L257" s="32">
        <f>J257+K257</f>
        <v/>
      </c>
      <c r="M257" s="33" t="n">
        <v>0.41</v>
      </c>
      <c r="N257" s="34">
        <f>G257*M257</f>
        <v/>
      </c>
      <c r="O257" s="35" t="n">
        <v>67</v>
      </c>
      <c r="P257" s="34">
        <f>G257*$G$8</f>
        <v/>
      </c>
      <c r="Q257" s="35" t="n">
        <v>25</v>
      </c>
      <c r="R257" s="34">
        <f>G257*$G$4</f>
        <v/>
      </c>
      <c r="S257" s="34">
        <f>I257*$G$3</f>
        <v/>
      </c>
      <c r="T257" s="36" t="n">
        <v>0.9</v>
      </c>
      <c r="U257" s="35" t="n">
        <v>67</v>
      </c>
      <c r="V257" s="34">
        <f>U257*(1-T257)</f>
        <v/>
      </c>
      <c r="W257" s="37" t="n">
        <v>0.96</v>
      </c>
      <c r="X257" s="34">
        <f>$G$6*$G$7*W257</f>
        <v/>
      </c>
      <c r="Y257" s="32">
        <f>W257*($G$9+$G$10)</f>
        <v/>
      </c>
      <c r="Z257" s="33" t="n">
        <v>0.07000000000000001</v>
      </c>
      <c r="AA257" s="34">
        <f>G257*Z257</f>
        <v/>
      </c>
      <c r="AB257" s="36" t="n">
        <v>0.08</v>
      </c>
      <c r="AC257" s="34">
        <f>G257*AB257</f>
        <v/>
      </c>
      <c r="AD257" s="34">
        <f>AA257+AC257</f>
        <v/>
      </c>
      <c r="AE257" s="38">
        <f>AD257/G257</f>
        <v/>
      </c>
      <c r="AF257" s="39">
        <f>G257-N257-O257-P257-Q257-R257-S257-V257-X257-Y257-L257</f>
        <v/>
      </c>
      <c r="AG257" s="40">
        <f>AF257-AD257</f>
        <v/>
      </c>
      <c r="AH257" s="41">
        <f>AG257/G257</f>
        <v/>
      </c>
      <c r="AI257" s="42">
        <f>AG257/L257</f>
        <v/>
      </c>
      <c r="AJ257" s="34">
        <f>(O257+Q257+V257+X257+Y257+L257)/(1-(M257+$G$4+(1-H257)*$G$3+$G$8+Z257+AB257))</f>
        <v/>
      </c>
    </row>
    <row r="258">
      <c r="A258" s="55" t="inlineStr">
        <is>
          <t>CELIMAX ONE STEP BODY BRIGHTENING PAD 60PADS</t>
        </is>
      </c>
      <c r="B258" s="56" t="n">
        <v>528</v>
      </c>
      <c r="C258" s="26" t="n"/>
      <c r="D258" s="27" t="n">
        <v>2360</v>
      </c>
      <c r="E258" s="27" t="n">
        <v>80</v>
      </c>
      <c r="F258" s="27" t="n">
        <v>15</v>
      </c>
      <c r="G258" s="27" t="n">
        <v>2160</v>
      </c>
      <c r="H258" s="28" t="n">
        <v>0.45</v>
      </c>
      <c r="I258" s="29">
        <f>G258*(1-H258)</f>
        <v/>
      </c>
      <c r="J258" s="30" t="n">
        <v>387</v>
      </c>
      <c r="K258" s="31">
        <f>$G$5</f>
        <v/>
      </c>
      <c r="L258" s="32">
        <f>J258+K258</f>
        <v/>
      </c>
      <c r="M258" s="33" t="n">
        <v>0.41</v>
      </c>
      <c r="N258" s="34">
        <f>G258*M258</f>
        <v/>
      </c>
      <c r="O258" s="35" t="n">
        <v>67</v>
      </c>
      <c r="P258" s="34">
        <f>G258*$G$8</f>
        <v/>
      </c>
      <c r="Q258" s="35" t="n">
        <v>25</v>
      </c>
      <c r="R258" s="34">
        <f>G258*$G$4</f>
        <v/>
      </c>
      <c r="S258" s="34">
        <f>I258*$G$3</f>
        <v/>
      </c>
      <c r="T258" s="36" t="n">
        <v>0.9</v>
      </c>
      <c r="U258" s="35" t="n">
        <v>67</v>
      </c>
      <c r="V258" s="34">
        <f>U258*(1-T258)</f>
        <v/>
      </c>
      <c r="W258" s="37" t="n">
        <v>0.96</v>
      </c>
      <c r="X258" s="34">
        <f>$G$6*$G$7*W258</f>
        <v/>
      </c>
      <c r="Y258" s="32">
        <f>W258*($G$9+$G$10)</f>
        <v/>
      </c>
      <c r="Z258" s="33" t="n">
        <v>0.07000000000000001</v>
      </c>
      <c r="AA258" s="34">
        <f>G258*Z258</f>
        <v/>
      </c>
      <c r="AB258" s="36" t="n">
        <v>0.08</v>
      </c>
      <c r="AC258" s="34">
        <f>G258*AB258</f>
        <v/>
      </c>
      <c r="AD258" s="34">
        <f>AA258+AC258</f>
        <v/>
      </c>
      <c r="AE258" s="38">
        <f>AD258/G258</f>
        <v/>
      </c>
      <c r="AF258" s="39">
        <f>G258-N258-O258-P258-Q258-R258-S258-V258-X258-Y258-L258</f>
        <v/>
      </c>
      <c r="AG258" s="40">
        <f>AF258-AD258</f>
        <v/>
      </c>
      <c r="AH258" s="41">
        <f>AG258/G258</f>
        <v/>
      </c>
      <c r="AI258" s="42">
        <f>AG258/L258</f>
        <v/>
      </c>
      <c r="AJ258" s="34">
        <f>(O258+Q258+V258+X258+Y258+L258)/(1-(M258+$G$4+(1-H258)*$G$3+$G$8+Z258+AB258))</f>
        <v/>
      </c>
    </row>
    <row r="259">
      <c r="A259" s="12" t="inlineStr">
        <is>
          <t>CELIMAX JI WOO GAE CICA BHA ACNE FOAM CLEANSING 150ML</t>
        </is>
      </c>
      <c r="B259" s="13" t="n"/>
      <c r="C259" s="13" t="n"/>
      <c r="D259" s="14" t="n"/>
      <c r="E259" s="14" t="n"/>
      <c r="F259" s="14" t="n"/>
      <c r="G259" s="14" t="n"/>
      <c r="H259" s="15" t="n"/>
      <c r="I259" s="16" t="n"/>
      <c r="J259" s="17" t="n"/>
      <c r="K259" s="17" t="n"/>
      <c r="L259" s="18" t="n"/>
      <c r="M259" s="19" t="n"/>
      <c r="N259" s="14" t="n"/>
      <c r="O259" s="14" t="n"/>
      <c r="P259" s="14" t="n"/>
      <c r="Q259" s="14" t="n"/>
      <c r="R259" s="14" t="n"/>
      <c r="S259" s="14" t="n"/>
      <c r="T259" s="20" t="n"/>
      <c r="U259" s="14" t="n"/>
      <c r="V259" s="14" t="n"/>
      <c r="W259" s="21" t="n"/>
      <c r="X259" s="14" t="n"/>
      <c r="Y259" s="18" t="n"/>
      <c r="Z259" s="19" t="n"/>
      <c r="AA259" s="14" t="n"/>
      <c r="AB259" s="20" t="n"/>
      <c r="AC259" s="14" t="n"/>
      <c r="AD259" s="14" t="n"/>
      <c r="AE259" s="22" t="n"/>
      <c r="AF259" s="23" t="n"/>
      <c r="AG259" s="14" t="n"/>
      <c r="AH259" s="20" t="n"/>
      <c r="AI259" s="20" t="n"/>
      <c r="AJ259" s="14" t="n"/>
    </row>
    <row r="260">
      <c r="A260" s="12" t="inlineStr">
        <is>
          <t>CELIMAX OIL CONTROL CAPSULE ESSENCE 30ML</t>
        </is>
      </c>
      <c r="B260" s="13" t="n"/>
      <c r="C260" s="13" t="n"/>
      <c r="D260" s="14" t="n"/>
      <c r="E260" s="14" t="n"/>
      <c r="F260" s="14" t="n"/>
      <c r="G260" s="14" t="n"/>
      <c r="H260" s="15" t="n"/>
      <c r="I260" s="16" t="n"/>
      <c r="J260" s="17" t="n"/>
      <c r="K260" s="17" t="n"/>
      <c r="L260" s="18" t="n"/>
      <c r="M260" s="19" t="n"/>
      <c r="N260" s="14" t="n"/>
      <c r="O260" s="14" t="n"/>
      <c r="P260" s="14" t="n"/>
      <c r="Q260" s="14" t="n"/>
      <c r="R260" s="14" t="n"/>
      <c r="S260" s="14" t="n"/>
      <c r="T260" s="20" t="n"/>
      <c r="U260" s="14" t="n"/>
      <c r="V260" s="14" t="n"/>
      <c r="W260" s="21" t="n"/>
      <c r="X260" s="14" t="n"/>
      <c r="Y260" s="18" t="n"/>
      <c r="Z260" s="19" t="n"/>
      <c r="AA260" s="14" t="n"/>
      <c r="AB260" s="20" t="n"/>
      <c r="AC260" s="14" t="n"/>
      <c r="AD260" s="14" t="n"/>
      <c r="AE260" s="22" t="n"/>
      <c r="AF260" s="23" t="n"/>
      <c r="AG260" s="14" t="n"/>
      <c r="AH260" s="20" t="n"/>
      <c r="AI260" s="20" t="n"/>
      <c r="AJ260" s="14" t="n"/>
    </row>
    <row r="261">
      <c r="A261" s="55" t="inlineStr">
        <is>
          <t>CELIMAX JI WOO GAE ONE STEP MILD CLEANSING PAD 60PADS</t>
        </is>
      </c>
      <c r="B261" s="56" t="n">
        <v>352</v>
      </c>
      <c r="C261" s="26" t="n"/>
      <c r="D261" s="27" t="n">
        <v>2900</v>
      </c>
      <c r="E261" s="27" t="n">
        <v>50</v>
      </c>
      <c r="F261" s="27" t="n">
        <v>14</v>
      </c>
      <c r="G261" s="27" t="n">
        <v>2700</v>
      </c>
      <c r="H261" s="28" t="n">
        <v>0.45</v>
      </c>
      <c r="I261" s="29">
        <f>G261*(1-H261)</f>
        <v/>
      </c>
      <c r="J261" s="30" t="n">
        <v>387</v>
      </c>
      <c r="K261" s="31">
        <f>$G$5</f>
        <v/>
      </c>
      <c r="L261" s="32">
        <f>J261+K261</f>
        <v/>
      </c>
      <c r="M261" s="33" t="n">
        <v>0.41</v>
      </c>
      <c r="N261" s="34">
        <f>G261*M261</f>
        <v/>
      </c>
      <c r="O261" s="35" t="n">
        <v>67</v>
      </c>
      <c r="P261" s="34">
        <f>G261*$G$8</f>
        <v/>
      </c>
      <c r="Q261" s="35" t="n">
        <v>25</v>
      </c>
      <c r="R261" s="34">
        <f>G261*$G$4</f>
        <v/>
      </c>
      <c r="S261" s="34">
        <f>I261*$G$3</f>
        <v/>
      </c>
      <c r="T261" s="36" t="n">
        <v>0.9</v>
      </c>
      <c r="U261" s="35" t="n">
        <v>67</v>
      </c>
      <c r="V261" s="34">
        <f>U261*(1-T261)</f>
        <v/>
      </c>
      <c r="W261" s="37" t="n">
        <v>0.96</v>
      </c>
      <c r="X261" s="34">
        <f>$G$6*$G$7*W261</f>
        <v/>
      </c>
      <c r="Y261" s="32">
        <f>W261*($G$9+$G$10)</f>
        <v/>
      </c>
      <c r="Z261" s="33" t="n">
        <v>0.07000000000000001</v>
      </c>
      <c r="AA261" s="34">
        <f>G261*Z261</f>
        <v/>
      </c>
      <c r="AB261" s="36" t="n">
        <v>0.08</v>
      </c>
      <c r="AC261" s="34">
        <f>G261*AB261</f>
        <v/>
      </c>
      <c r="AD261" s="34">
        <f>AA261+AC261</f>
        <v/>
      </c>
      <c r="AE261" s="38">
        <f>AD261/G261</f>
        <v/>
      </c>
      <c r="AF261" s="39">
        <f>G261-N261-O261-P261-Q261-R261-S261-V261-X261-Y261-L261</f>
        <v/>
      </c>
      <c r="AG261" s="40">
        <f>AF261-AD261</f>
        <v/>
      </c>
      <c r="AH261" s="41">
        <f>AG261/G261</f>
        <v/>
      </c>
      <c r="AI261" s="42">
        <f>AG261/L261</f>
        <v/>
      </c>
      <c r="AJ261" s="34">
        <f>(O261+Q261+V261+X261+Y261+L261)/(1-(M261+$G$4+(1-H261)*$G$3+$G$8+Z261+AB261))</f>
        <v/>
      </c>
    </row>
    <row r="262">
      <c r="A262" s="55" t="inlineStr">
        <is>
          <t>CELIMAX DUAL BARRIER MILD GEL CLEANSER 200ML</t>
        </is>
      </c>
      <c r="B262" s="56" t="n">
        <v>288</v>
      </c>
      <c r="C262" s="26" t="n"/>
      <c r="D262" s="27" t="n">
        <v>3630</v>
      </c>
      <c r="E262" s="27" t="n">
        <v>600</v>
      </c>
      <c r="F262" s="27" t="n">
        <v>15</v>
      </c>
      <c r="G262" s="27" t="n">
        <v>3430</v>
      </c>
      <c r="H262" s="28" t="n">
        <v>0.45</v>
      </c>
      <c r="I262" s="29">
        <f>G262*(1-H262)</f>
        <v/>
      </c>
      <c r="J262" s="30" t="n">
        <v>510</v>
      </c>
      <c r="K262" s="31">
        <f>$G$5</f>
        <v/>
      </c>
      <c r="L262" s="32">
        <f>J262+K262</f>
        <v/>
      </c>
      <c r="M262" s="33" t="n">
        <v>0.41</v>
      </c>
      <c r="N262" s="34">
        <f>G262*M262</f>
        <v/>
      </c>
      <c r="O262" s="35" t="n">
        <v>67</v>
      </c>
      <c r="P262" s="34">
        <f>G262*$G$8</f>
        <v/>
      </c>
      <c r="Q262" s="35" t="n">
        <v>25</v>
      </c>
      <c r="R262" s="34">
        <f>G262*$G$4</f>
        <v/>
      </c>
      <c r="S262" s="34">
        <f>I262*$G$3</f>
        <v/>
      </c>
      <c r="T262" s="36" t="n">
        <v>0.9</v>
      </c>
      <c r="U262" s="35" t="n">
        <v>67</v>
      </c>
      <c r="V262" s="34">
        <f>U262*(1-T262)</f>
        <v/>
      </c>
      <c r="W262" s="37" t="n">
        <v>0.96</v>
      </c>
      <c r="X262" s="34">
        <f>$G$6*$G$7*W262</f>
        <v/>
      </c>
      <c r="Y262" s="32">
        <f>W262*($G$9+$G$10)</f>
        <v/>
      </c>
      <c r="Z262" s="33" t="n">
        <v>0.07000000000000001</v>
      </c>
      <c r="AA262" s="34">
        <f>G262*Z262</f>
        <v/>
      </c>
      <c r="AB262" s="36" t="n">
        <v>0.08</v>
      </c>
      <c r="AC262" s="34">
        <f>G262*AB262</f>
        <v/>
      </c>
      <c r="AD262" s="34">
        <f>AA262+AC262</f>
        <v/>
      </c>
      <c r="AE262" s="38">
        <f>AD262/G262</f>
        <v/>
      </c>
      <c r="AF262" s="39">
        <f>G262-N262-O262-P262-Q262-R262-S262-V262-X262-Y262-L262</f>
        <v/>
      </c>
      <c r="AG262" s="40">
        <f>AF262-AD262</f>
        <v/>
      </c>
      <c r="AH262" s="41">
        <f>AG262/G262</f>
        <v/>
      </c>
      <c r="AI262" s="42">
        <f>AG262/L262</f>
        <v/>
      </c>
      <c r="AJ262" s="34">
        <f>(O262+Q262+V262+X262+Y262+L262)/(1-(M262+$G$4+(1-H262)*$G$3+$G$8+Z262+AB262))</f>
        <v/>
      </c>
    </row>
    <row r="263">
      <c r="A263" s="55" t="inlineStr">
        <is>
          <t>CELIMAX THE REAL NONI REFRESH CLAY MASK 120G</t>
        </is>
      </c>
      <c r="B263" s="56" t="n">
        <v>408</v>
      </c>
      <c r="C263" s="26" t="n"/>
      <c r="D263" s="27" t="n">
        <v>2500</v>
      </c>
      <c r="E263" s="27" t="n">
        <v>75</v>
      </c>
      <c r="F263" s="27" t="n">
        <v>10</v>
      </c>
      <c r="G263" s="27" t="n">
        <v>2300</v>
      </c>
      <c r="H263" s="28" t="n">
        <v>0.45</v>
      </c>
      <c r="I263" s="29">
        <f>G263*(1-H263)</f>
        <v/>
      </c>
      <c r="J263" s="30" t="n">
        <v>420</v>
      </c>
      <c r="K263" s="31">
        <f>$G$5</f>
        <v/>
      </c>
      <c r="L263" s="32">
        <f>J263+K263</f>
        <v/>
      </c>
      <c r="M263" s="33" t="n">
        <v>0.41</v>
      </c>
      <c r="N263" s="34">
        <f>G263*M263</f>
        <v/>
      </c>
      <c r="O263" s="35" t="n">
        <v>67</v>
      </c>
      <c r="P263" s="34">
        <f>G263*$G$8</f>
        <v/>
      </c>
      <c r="Q263" s="35" t="n">
        <v>25</v>
      </c>
      <c r="R263" s="34">
        <f>G263*$G$4</f>
        <v/>
      </c>
      <c r="S263" s="34">
        <f>I263*$G$3</f>
        <v/>
      </c>
      <c r="T263" s="36" t="n">
        <v>0.9</v>
      </c>
      <c r="U263" s="35" t="n">
        <v>67</v>
      </c>
      <c r="V263" s="34">
        <f>U263*(1-T263)</f>
        <v/>
      </c>
      <c r="W263" s="37" t="n">
        <v>0.96</v>
      </c>
      <c r="X263" s="34">
        <f>$G$6*$G$7*W263</f>
        <v/>
      </c>
      <c r="Y263" s="32">
        <f>W263*($G$9+$G$10)</f>
        <v/>
      </c>
      <c r="Z263" s="33" t="n">
        <v>0.07000000000000001</v>
      </c>
      <c r="AA263" s="34">
        <f>G263*Z263</f>
        <v/>
      </c>
      <c r="AB263" s="36" t="n">
        <v>0.08</v>
      </c>
      <c r="AC263" s="34">
        <f>G263*AB263</f>
        <v/>
      </c>
      <c r="AD263" s="34">
        <f>AA263+AC263</f>
        <v/>
      </c>
      <c r="AE263" s="38">
        <f>AD263/G263</f>
        <v/>
      </c>
      <c r="AF263" s="39">
        <f>G263-N263-O263-P263-Q263-R263-S263-V263-X263-Y263-L263</f>
        <v/>
      </c>
      <c r="AG263" s="40">
        <f>AF263-AD263</f>
        <v/>
      </c>
      <c r="AH263" s="41">
        <f>AG263/G263</f>
        <v/>
      </c>
      <c r="AI263" s="42">
        <f>AG263/L263</f>
        <v/>
      </c>
      <c r="AJ263" s="34">
        <f>(O263+Q263+V263+X263+Y263+L263)/(1-(M263+$G$4+(1-H263)*$G$3+$G$8+Z263+AB263))</f>
        <v/>
      </c>
    </row>
    <row r="264">
      <c r="A264" s="55" t="inlineStr">
        <is>
          <t>CELIMAX DERMA NATURE GLUTATHIONE LONGLASTING TONE-UP CREAM 35ML</t>
        </is>
      </c>
      <c r="B264" s="56" t="n">
        <v>468</v>
      </c>
      <c r="C264" s="26" t="n"/>
      <c r="D264" s="27" t="n">
        <v>2045</v>
      </c>
      <c r="E264" s="27" t="n">
        <v>130</v>
      </c>
      <c r="F264" s="27" t="n">
        <v>15</v>
      </c>
      <c r="G264" s="27" t="n">
        <v>1850</v>
      </c>
      <c r="H264" s="28" t="n">
        <v>0.45</v>
      </c>
      <c r="I264" s="29">
        <f>G264*(1-H264)</f>
        <v/>
      </c>
      <c r="J264" s="30" t="n">
        <v>406</v>
      </c>
      <c r="K264" s="31">
        <f>$G$5</f>
        <v/>
      </c>
      <c r="L264" s="32">
        <f>J264+K264</f>
        <v/>
      </c>
      <c r="M264" s="33" t="n">
        <v>0.41</v>
      </c>
      <c r="N264" s="34">
        <f>G264*M264</f>
        <v/>
      </c>
      <c r="O264" s="35" t="n">
        <v>67</v>
      </c>
      <c r="P264" s="34">
        <f>G264*$G$8</f>
        <v/>
      </c>
      <c r="Q264" s="35" t="n">
        <v>25</v>
      </c>
      <c r="R264" s="34">
        <f>G264*$G$4</f>
        <v/>
      </c>
      <c r="S264" s="34">
        <f>I264*$G$3</f>
        <v/>
      </c>
      <c r="T264" s="36" t="n">
        <v>0.9</v>
      </c>
      <c r="U264" s="35" t="n">
        <v>67</v>
      </c>
      <c r="V264" s="34">
        <f>U264*(1-T264)</f>
        <v/>
      </c>
      <c r="W264" s="37" t="n">
        <v>0.96</v>
      </c>
      <c r="X264" s="34">
        <f>$G$6*$G$7*W264</f>
        <v/>
      </c>
      <c r="Y264" s="32">
        <f>W264*($G$9+$G$10)</f>
        <v/>
      </c>
      <c r="Z264" s="33" t="n">
        <v>0.07000000000000001</v>
      </c>
      <c r="AA264" s="34">
        <f>G264*Z264</f>
        <v/>
      </c>
      <c r="AB264" s="36" t="n">
        <v>0.08</v>
      </c>
      <c r="AC264" s="34">
        <f>G264*AB264</f>
        <v/>
      </c>
      <c r="AD264" s="34">
        <f>AA264+AC264</f>
        <v/>
      </c>
      <c r="AE264" s="38">
        <f>AD264/G264</f>
        <v/>
      </c>
      <c r="AF264" s="39">
        <f>G264-N264-O264-P264-Q264-R264-S264-V264-X264-Y264-L264</f>
        <v/>
      </c>
      <c r="AG264" s="40">
        <f>AF264-AD264</f>
        <v/>
      </c>
      <c r="AH264" s="41">
        <f>AG264/G264</f>
        <v/>
      </c>
      <c r="AI264" s="42">
        <f>AG264/L264</f>
        <v/>
      </c>
      <c r="AJ264" s="34">
        <f>(O264+Q264+V264+X264+Y264+L264)/(1-(M264+$G$4+(1-H264)*$G$3+$G$8+Z264+AB264))</f>
        <v/>
      </c>
    </row>
    <row r="265">
      <c r="A265" s="55" t="inlineStr">
        <is>
          <t>CELIMAX DERMA NATURE RELIEF MADECICA PH BALANCING FOAM CLEANSING 150ML</t>
        </is>
      </c>
      <c r="B265" s="56" t="n">
        <v>320</v>
      </c>
      <c r="C265" s="26" t="n"/>
      <c r="D265" s="27" t="n">
        <v>2270</v>
      </c>
      <c r="E265" s="27" t="n">
        <v>340</v>
      </c>
      <c r="F265" s="27" t="n">
        <v>12</v>
      </c>
      <c r="G265" s="27" t="n">
        <v>2070</v>
      </c>
      <c r="H265" s="28" t="n">
        <v>0.45</v>
      </c>
      <c r="I265" s="29">
        <f>G265*(1-H265)</f>
        <v/>
      </c>
      <c r="J265" s="30" t="n">
        <v>327</v>
      </c>
      <c r="K265" s="31">
        <f>$G$5</f>
        <v/>
      </c>
      <c r="L265" s="32">
        <f>J265+K265</f>
        <v/>
      </c>
      <c r="M265" s="33" t="n">
        <v>0.41</v>
      </c>
      <c r="N265" s="34">
        <f>G265*M265</f>
        <v/>
      </c>
      <c r="O265" s="35" t="n">
        <v>67</v>
      </c>
      <c r="P265" s="34">
        <f>G265*$G$8</f>
        <v/>
      </c>
      <c r="Q265" s="35" t="n">
        <v>25</v>
      </c>
      <c r="R265" s="34">
        <f>G265*$G$4</f>
        <v/>
      </c>
      <c r="S265" s="34">
        <f>I265*$G$3</f>
        <v/>
      </c>
      <c r="T265" s="36" t="n">
        <v>0.9</v>
      </c>
      <c r="U265" s="35" t="n">
        <v>67</v>
      </c>
      <c r="V265" s="34">
        <f>U265*(1-T265)</f>
        <v/>
      </c>
      <c r="W265" s="37" t="n">
        <v>0.96</v>
      </c>
      <c r="X265" s="34">
        <f>$G$6*$G$7*W265</f>
        <v/>
      </c>
      <c r="Y265" s="32">
        <f>W265*($G$9+$G$10)</f>
        <v/>
      </c>
      <c r="Z265" s="33" t="n">
        <v>0.07000000000000001</v>
      </c>
      <c r="AA265" s="34">
        <f>G265*Z265</f>
        <v/>
      </c>
      <c r="AB265" s="36" t="n">
        <v>0.08</v>
      </c>
      <c r="AC265" s="34">
        <f>G265*AB265</f>
        <v/>
      </c>
      <c r="AD265" s="34">
        <f>AA265+AC265</f>
        <v/>
      </c>
      <c r="AE265" s="38">
        <f>AD265/G265</f>
        <v/>
      </c>
      <c r="AF265" s="39">
        <f>G265-N265-O265-P265-Q265-R265-S265-V265-X265-Y265-L265</f>
        <v/>
      </c>
      <c r="AG265" s="40">
        <f>AF265-AD265</f>
        <v/>
      </c>
      <c r="AH265" s="41">
        <f>AG265/G265</f>
        <v/>
      </c>
      <c r="AI265" s="42">
        <f>AG265/L265</f>
        <v/>
      </c>
      <c r="AJ265" s="34">
        <f>(O265+Q265+V265+X265+Y265+L265)/(1-(M265+$G$4+(1-H265)*$G$3+$G$8+Z265+AB265))</f>
        <v/>
      </c>
    </row>
    <row r="266">
      <c r="A266" s="12" t="inlineStr">
        <is>
          <t>VT REEDLE SHOT LIFTING EYE CREAM / Массажный лифтинг-крем для век с микроиглами</t>
        </is>
      </c>
      <c r="B266" s="13" t="n"/>
      <c r="C266" s="13" t="n"/>
      <c r="D266" s="14" t="n"/>
      <c r="E266" s="14" t="n"/>
      <c r="F266" s="14" t="n"/>
      <c r="G266" s="14" t="n"/>
      <c r="H266" s="15" t="n"/>
      <c r="I266" s="16" t="n"/>
      <c r="J266" s="17" t="n"/>
      <c r="K266" s="17" t="n"/>
      <c r="L266" s="18" t="n"/>
      <c r="M266" s="19" t="n"/>
      <c r="N266" s="14" t="n"/>
      <c r="O266" s="14" t="n"/>
      <c r="P266" s="14" t="n"/>
      <c r="Q266" s="14" t="n"/>
      <c r="R266" s="14" t="n"/>
      <c r="S266" s="14" t="n"/>
      <c r="T266" s="20" t="n"/>
      <c r="U266" s="14" t="n"/>
      <c r="V266" s="14" t="n"/>
      <c r="W266" s="21" t="n"/>
      <c r="X266" s="14" t="n"/>
      <c r="Y266" s="18" t="n"/>
      <c r="Z266" s="19" t="n"/>
      <c r="AA266" s="14" t="n"/>
      <c r="AB266" s="20" t="n"/>
      <c r="AC266" s="14" t="n"/>
      <c r="AD266" s="14" t="n"/>
      <c r="AE266" s="22" t="n"/>
      <c r="AF266" s="23" t="n"/>
      <c r="AG266" s="14" t="n"/>
      <c r="AH266" s="20" t="n"/>
      <c r="AI266" s="20" t="n"/>
      <c r="AJ266" s="14" t="n"/>
    </row>
    <row r="267">
      <c r="A267" s="24" t="inlineStr">
        <is>
          <t>VT PDRN ESSENCE 100 / Укрепляющая бустер-эссенция с ПДРН</t>
        </is>
      </c>
      <c r="B267" s="25" t="n"/>
      <c r="C267" s="26" t="n"/>
      <c r="D267" s="27" t="n">
        <v>6000</v>
      </c>
      <c r="E267" s="27" t="n">
        <v>500</v>
      </c>
      <c r="F267" s="27" t="n">
        <v>10</v>
      </c>
      <c r="G267" s="27" t="n">
        <v>5700</v>
      </c>
      <c r="H267" s="28" t="n">
        <v>0.45</v>
      </c>
      <c r="I267" s="29">
        <f>G267*(1-H267)</f>
        <v/>
      </c>
      <c r="J267" s="30" t="n">
        <v>1335.95</v>
      </c>
      <c r="K267" s="31">
        <f>$G$5</f>
        <v/>
      </c>
      <c r="L267" s="32">
        <f>J267+K267</f>
        <v/>
      </c>
      <c r="M267" s="33" t="n">
        <v>0.41</v>
      </c>
      <c r="N267" s="34">
        <f>G267*M267</f>
        <v/>
      </c>
      <c r="O267" s="35" t="n">
        <v>63</v>
      </c>
      <c r="P267" s="34">
        <f>G267*$G$8</f>
        <v/>
      </c>
      <c r="Q267" s="35" t="n">
        <v>25</v>
      </c>
      <c r="R267" s="34">
        <f>G267*$G$4</f>
        <v/>
      </c>
      <c r="S267" s="34">
        <f>I267*$G$3</f>
        <v/>
      </c>
      <c r="T267" s="36" t="n">
        <v>0.9</v>
      </c>
      <c r="U267" s="35" t="n">
        <v>63</v>
      </c>
      <c r="V267" s="34">
        <f>U267*(1-T267)</f>
        <v/>
      </c>
      <c r="W267" s="37" t="n">
        <v>0.3</v>
      </c>
      <c r="X267" s="34">
        <f>$G$6*$G$7*W267</f>
        <v/>
      </c>
      <c r="Y267" s="32">
        <f>W267*($G$9+$G$10)</f>
        <v/>
      </c>
      <c r="Z267" s="33" t="n">
        <v>0.07000000000000001</v>
      </c>
      <c r="AA267" s="34">
        <f>G267*Z267</f>
        <v/>
      </c>
      <c r="AB267" s="36" t="n">
        <v>0.08</v>
      </c>
      <c r="AC267" s="34">
        <f>G267*AB267</f>
        <v/>
      </c>
      <c r="AD267" s="34">
        <f>AA267+AC267</f>
        <v/>
      </c>
      <c r="AE267" s="38">
        <f>AD267/G267</f>
        <v/>
      </c>
      <c r="AF267" s="39">
        <f>G267-N267-O267-P267-Q267-R267-S267-V267-X267-Y267-L267</f>
        <v/>
      </c>
      <c r="AG267" s="40">
        <f>AF267-AD267</f>
        <v/>
      </c>
      <c r="AH267" s="41">
        <f>AG267/G267</f>
        <v/>
      </c>
      <c r="AI267" s="42">
        <f>AG267/L267</f>
        <v/>
      </c>
      <c r="AJ267" s="34">
        <f>(O267+Q267+V267+X267+Y267+L267)/(1-(M267+$G$4+(1-H267)*$G$3+$G$8+Z267+AB267))</f>
        <v/>
      </c>
    </row>
    <row r="268">
      <c r="A268" s="24" t="inlineStr">
        <is>
          <t>VT REEDLE SHOT 100 / Бустер-сыворотка с микроиглами</t>
        </is>
      </c>
      <c r="B268" s="25" t="n"/>
      <c r="C268" s="26" t="n"/>
      <c r="D268" s="27" t="n">
        <v>5900</v>
      </c>
      <c r="E268" s="27" t="n">
        <v>220</v>
      </c>
      <c r="F268" s="27" t="n">
        <v>11</v>
      </c>
      <c r="G268" s="27" t="n">
        <v>5600</v>
      </c>
      <c r="H268" s="28" t="n">
        <v>0.45</v>
      </c>
      <c r="I268" s="29">
        <f>G268*(1-H268)</f>
        <v/>
      </c>
      <c r="J268" s="30" t="n">
        <v>974.04</v>
      </c>
      <c r="K268" s="31">
        <f>$G$5</f>
        <v/>
      </c>
      <c r="L268" s="32">
        <f>J268+K268</f>
        <v/>
      </c>
      <c r="M268" s="33" t="n">
        <v>0.41</v>
      </c>
      <c r="N268" s="34">
        <f>G268*M268</f>
        <v/>
      </c>
      <c r="O268" s="35" t="n">
        <v>63</v>
      </c>
      <c r="P268" s="34">
        <f>G268*$G$8</f>
        <v/>
      </c>
      <c r="Q268" s="35" t="n">
        <v>25</v>
      </c>
      <c r="R268" s="34">
        <f>G268*$G$4</f>
        <v/>
      </c>
      <c r="S268" s="34">
        <f>I268*$G$3</f>
        <v/>
      </c>
      <c r="T268" s="36" t="n">
        <v>0.9</v>
      </c>
      <c r="U268" s="35" t="n">
        <v>63</v>
      </c>
      <c r="V268" s="34">
        <f>U268*(1-T268)</f>
        <v/>
      </c>
      <c r="W268" s="37" t="n">
        <v>0.4</v>
      </c>
      <c r="X268" s="34">
        <f>$G$6*$G$7*W268</f>
        <v/>
      </c>
      <c r="Y268" s="32">
        <f>W268*($G$9+$G$10)</f>
        <v/>
      </c>
      <c r="Z268" s="33" t="n">
        <v>0.07000000000000001</v>
      </c>
      <c r="AA268" s="34">
        <f>G268*Z268</f>
        <v/>
      </c>
      <c r="AB268" s="36" t="n">
        <v>0.08</v>
      </c>
      <c r="AC268" s="34">
        <f>G268*AB268</f>
        <v/>
      </c>
      <c r="AD268" s="34">
        <f>AA268+AC268</f>
        <v/>
      </c>
      <c r="AE268" s="38">
        <f>AD268/G268</f>
        <v/>
      </c>
      <c r="AF268" s="39">
        <f>G268-N268-O268-P268-Q268-R268-S268-V268-X268-Y268-L268</f>
        <v/>
      </c>
      <c r="AG268" s="40">
        <f>AF268-AD268</f>
        <v/>
      </c>
      <c r="AH268" s="41">
        <f>AG268/G268</f>
        <v/>
      </c>
      <c r="AI268" s="42">
        <f>AG268/L268</f>
        <v/>
      </c>
      <c r="AJ268" s="34">
        <f>(O268+Q268+V268+X268+Y268+L268)/(1-(M268+$G$4+(1-H268)*$G$3+$G$8+Z268+AB268))</f>
        <v/>
      </c>
    </row>
    <row r="269">
      <c r="A269" s="12" t="inlineStr">
        <is>
          <t>VT REEDLE S LIP PLUMPER EXPERT</t>
        </is>
      </c>
      <c r="B269" s="13" t="n"/>
      <c r="C269" s="13" t="n"/>
      <c r="D269" s="14" t="n"/>
      <c r="E269" s="14" t="n"/>
      <c r="F269" s="14" t="n"/>
      <c r="G269" s="14" t="n"/>
      <c r="H269" s="15" t="n"/>
      <c r="I269" s="16" t="n"/>
      <c r="J269" s="17" t="n"/>
      <c r="K269" s="17" t="n"/>
      <c r="L269" s="18" t="n"/>
      <c r="M269" s="19" t="n"/>
      <c r="N269" s="14" t="n"/>
      <c r="O269" s="14" t="n"/>
      <c r="P269" s="14" t="n"/>
      <c r="Q269" s="14" t="n"/>
      <c r="R269" s="14" t="n"/>
      <c r="S269" s="14" t="n"/>
      <c r="T269" s="20" t="n"/>
      <c r="U269" s="14" t="n"/>
      <c r="V269" s="14" t="n"/>
      <c r="W269" s="21" t="n"/>
      <c r="X269" s="14" t="n"/>
      <c r="Y269" s="18" t="n"/>
      <c r="Z269" s="19" t="n"/>
      <c r="AA269" s="14" t="n"/>
      <c r="AB269" s="20" t="n"/>
      <c r="AC269" s="14" t="n"/>
      <c r="AD269" s="14" t="n"/>
      <c r="AE269" s="22" t="n"/>
      <c r="AF269" s="23" t="n"/>
      <c r="AG269" s="14" t="n"/>
      <c r="AH269" s="20" t="n"/>
      <c r="AI269" s="20" t="n"/>
      <c r="AJ269" s="14" t="n"/>
    </row>
    <row r="270">
      <c r="A270" s="12" t="inlineStr">
        <is>
          <t>PDRN PINK PEPTIDE SERUM 30ml/Сыворотка-лифтинг с ПДРН и пептидами</t>
        </is>
      </c>
      <c r="B270" s="13" t="n"/>
      <c r="C270" s="13" t="n"/>
      <c r="D270" s="14" t="n"/>
      <c r="E270" s="14" t="n"/>
      <c r="F270" s="14" t="n"/>
      <c r="G270" s="14" t="n"/>
      <c r="H270" s="15" t="n"/>
      <c r="I270" s="16" t="n"/>
      <c r="J270" s="17" t="n"/>
      <c r="K270" s="17" t="n"/>
      <c r="L270" s="18" t="n"/>
      <c r="M270" s="19" t="n"/>
      <c r="N270" s="14" t="n"/>
      <c r="O270" s="14" t="n"/>
      <c r="P270" s="14" t="n"/>
      <c r="Q270" s="14" t="n"/>
      <c r="R270" s="14" t="n"/>
      <c r="S270" s="14" t="n"/>
      <c r="T270" s="20" t="n"/>
      <c r="U270" s="14" t="n"/>
      <c r="V270" s="14" t="n"/>
      <c r="W270" s="21" t="n"/>
      <c r="X270" s="14" t="n"/>
      <c r="Y270" s="18" t="n"/>
      <c r="Z270" s="19" t="n"/>
      <c r="AA270" s="14" t="n"/>
      <c r="AB270" s="20" t="n"/>
      <c r="AC270" s="14" t="n"/>
      <c r="AD270" s="14" t="n"/>
      <c r="AE270" s="22" t="n"/>
      <c r="AF270" s="23" t="n"/>
      <c r="AG270" s="14" t="n"/>
      <c r="AH270" s="20" t="n"/>
      <c r="AI270" s="20" t="n"/>
      <c r="AJ270" s="14" t="n"/>
    </row>
    <row r="271">
      <c r="A271" s="12" t="inlineStr">
        <is>
          <t>PDRN PINK EXOSOME SHOT SERUM 7500 30ml/Сыворотка для лица от морщин с микроиглами 7500 и пдрн</t>
        </is>
      </c>
      <c r="B271" s="13" t="n"/>
      <c r="C271" s="13" t="n"/>
      <c r="D271" s="14" t="n"/>
      <c r="E271" s="14" t="n"/>
      <c r="F271" s="14" t="n"/>
      <c r="G271" s="14" t="n"/>
      <c r="H271" s="15" t="n"/>
      <c r="I271" s="16" t="n"/>
      <c r="J271" s="17" t="n"/>
      <c r="K271" s="17" t="n"/>
      <c r="L271" s="18" t="n"/>
      <c r="M271" s="19" t="n"/>
      <c r="N271" s="14" t="n"/>
      <c r="O271" s="14" t="n"/>
      <c r="P271" s="14" t="n"/>
      <c r="Q271" s="14" t="n"/>
      <c r="R271" s="14" t="n"/>
      <c r="S271" s="14" t="n"/>
      <c r="T271" s="20" t="n"/>
      <c r="U271" s="14" t="n"/>
      <c r="V271" s="14" t="n"/>
      <c r="W271" s="21" t="n"/>
      <c r="X271" s="14" t="n"/>
      <c r="Y271" s="18" t="n"/>
      <c r="Z271" s="19" t="n"/>
      <c r="AA271" s="14" t="n"/>
      <c r="AB271" s="20" t="n"/>
      <c r="AC271" s="14" t="n"/>
      <c r="AD271" s="14" t="n"/>
      <c r="AE271" s="22" t="n"/>
      <c r="AF271" s="23" t="n"/>
      <c r="AG271" s="14" t="n"/>
      <c r="AH271" s="20" t="n"/>
      <c r="AI271" s="20" t="n"/>
      <c r="AJ271" s="14" t="n"/>
    </row>
    <row r="272">
      <c r="A272" s="12" t="inlineStr">
        <is>
          <t>PDRN PINK EXOSOME SHOT SERUM 2000 30ml/Сыворотка для лица от морщин с микроиглами 2000 и пдрн</t>
        </is>
      </c>
      <c r="B272" s="13" t="n"/>
      <c r="C272" s="13" t="n"/>
      <c r="D272" s="14" t="n"/>
      <c r="E272" s="14" t="n"/>
      <c r="F272" s="14" t="n"/>
      <c r="G272" s="14" t="n"/>
      <c r="H272" s="15" t="n"/>
      <c r="I272" s="16" t="n"/>
      <c r="J272" s="17" t="n"/>
      <c r="K272" s="17" t="n"/>
      <c r="L272" s="18" t="n"/>
      <c r="M272" s="19" t="n"/>
      <c r="N272" s="14" t="n"/>
      <c r="O272" s="14" t="n"/>
      <c r="P272" s="14" t="n"/>
      <c r="Q272" s="14" t="n"/>
      <c r="R272" s="14" t="n"/>
      <c r="S272" s="14" t="n"/>
      <c r="T272" s="20" t="n"/>
      <c r="U272" s="14" t="n"/>
      <c r="V272" s="14" t="n"/>
      <c r="W272" s="21" t="n"/>
      <c r="X272" s="14" t="n"/>
      <c r="Y272" s="18" t="n"/>
      <c r="Z272" s="19" t="n"/>
      <c r="AA272" s="14" t="n"/>
      <c r="AB272" s="20" t="n"/>
      <c r="AC272" s="14" t="n"/>
      <c r="AD272" s="14" t="n"/>
      <c r="AE272" s="22" t="n"/>
      <c r="AF272" s="23" t="n"/>
      <c r="AG272" s="14" t="n"/>
      <c r="AH272" s="20" t="n"/>
      <c r="AI272" s="20" t="n"/>
      <c r="AJ272" s="14" t="n"/>
    </row>
    <row r="273">
      <c r="A273" s="12" t="inlineStr">
        <is>
          <t>EXOSOME CICA TONER 210ml/Тонер для лица увлажняющий от прыщей</t>
        </is>
      </c>
      <c r="B273" s="13" t="n"/>
      <c r="C273" s="13" t="n"/>
      <c r="D273" s="14" t="n"/>
      <c r="E273" s="14" t="n"/>
      <c r="F273" s="14" t="n"/>
      <c r="G273" s="14" t="n"/>
      <c r="H273" s="15" t="n"/>
      <c r="I273" s="16" t="n"/>
      <c r="J273" s="17" t="n"/>
      <c r="K273" s="17" t="n"/>
      <c r="L273" s="18" t="n"/>
      <c r="M273" s="19" t="n"/>
      <c r="N273" s="14" t="n"/>
      <c r="O273" s="14" t="n"/>
      <c r="P273" s="14" t="n"/>
      <c r="Q273" s="14" t="n"/>
      <c r="R273" s="14" t="n"/>
      <c r="S273" s="14" t="n"/>
      <c r="T273" s="20" t="n"/>
      <c r="U273" s="14" t="n"/>
      <c r="V273" s="14" t="n"/>
      <c r="W273" s="21" t="n"/>
      <c r="X273" s="14" t="n"/>
      <c r="Y273" s="18" t="n"/>
      <c r="Z273" s="19" t="n"/>
      <c r="AA273" s="14" t="n"/>
      <c r="AB273" s="20" t="n"/>
      <c r="AC273" s="14" t="n"/>
      <c r="AD273" s="14" t="n"/>
      <c r="AE273" s="22" t="n"/>
      <c r="AF273" s="23" t="n"/>
      <c r="AG273" s="14" t="n"/>
      <c r="AH273" s="20" t="n"/>
      <c r="AI273" s="20" t="n"/>
      <c r="AJ273" s="14" t="n"/>
    </row>
    <row r="274">
      <c r="A274" s="12" t="inlineStr">
        <is>
          <t>TXA NIACINAMIDE CAPSULE CREAM 55g/капсульный крем для лица</t>
        </is>
      </c>
      <c r="B274" s="13" t="n"/>
      <c r="C274" s="13" t="n"/>
      <c r="D274" s="14" t="n"/>
      <c r="E274" s="14" t="n"/>
      <c r="F274" s="14" t="n"/>
      <c r="G274" s="14" t="n"/>
      <c r="H274" s="15" t="n"/>
      <c r="I274" s="16" t="n"/>
      <c r="J274" s="17" t="n"/>
      <c r="K274" s="17" t="n"/>
      <c r="L274" s="18" t="n"/>
      <c r="M274" s="19" t="n"/>
      <c r="N274" s="14" t="n"/>
      <c r="O274" s="14" t="n"/>
      <c r="P274" s="14" t="n"/>
      <c r="Q274" s="14" t="n"/>
      <c r="R274" s="14" t="n"/>
      <c r="S274" s="14" t="n"/>
      <c r="T274" s="20" t="n"/>
      <c r="U274" s="14" t="n"/>
      <c r="V274" s="14" t="n"/>
      <c r="W274" s="21" t="n"/>
      <c r="X274" s="14" t="n"/>
      <c r="Y274" s="18" t="n"/>
      <c r="Z274" s="19" t="n"/>
      <c r="AA274" s="14" t="n"/>
      <c r="AB274" s="20" t="n"/>
      <c r="AC274" s="14" t="n"/>
      <c r="AD274" s="14" t="n"/>
      <c r="AE274" s="22" t="n"/>
      <c r="AF274" s="23" t="n"/>
      <c r="AG274" s="14" t="n"/>
      <c r="AH274" s="20" t="n"/>
      <c r="AI274" s="20" t="n"/>
      <c r="AJ274" s="14" t="n"/>
    </row>
    <row r="275">
      <c r="A275" s="12" t="inlineStr">
        <is>
          <t>PDRN PINK COLLAGEN CAPSULE CREAM 55g/капсульный крем для лица</t>
        </is>
      </c>
      <c r="B275" s="13" t="n"/>
      <c r="C275" s="13" t="n"/>
      <c r="D275" s="14" t="n"/>
      <c r="E275" s="14" t="n"/>
      <c r="F275" s="14" t="n"/>
      <c r="G275" s="14" t="n"/>
      <c r="H275" s="15" t="n"/>
      <c r="I275" s="16" t="n"/>
      <c r="J275" s="17" t="n"/>
      <c r="K275" s="17" t="n"/>
      <c r="L275" s="18" t="n"/>
      <c r="M275" s="19" t="n"/>
      <c r="N275" s="14" t="n"/>
      <c r="O275" s="14" t="n"/>
      <c r="P275" s="14" t="n"/>
      <c r="Q275" s="14" t="n"/>
      <c r="R275" s="14" t="n"/>
      <c r="S275" s="14" t="n"/>
      <c r="T275" s="20" t="n"/>
      <c r="U275" s="14" t="n"/>
      <c r="V275" s="14" t="n"/>
      <c r="W275" s="21" t="n"/>
      <c r="X275" s="14" t="n"/>
      <c r="Y275" s="18" t="n"/>
      <c r="Z275" s="19" t="n"/>
      <c r="AA275" s="14" t="n"/>
      <c r="AB275" s="20" t="n"/>
      <c r="AC275" s="14" t="n"/>
      <c r="AD275" s="14" t="n"/>
      <c r="AE275" s="22" t="n"/>
      <c r="AF275" s="23" t="n"/>
      <c r="AG275" s="14" t="n"/>
      <c r="AH275" s="20" t="n"/>
      <c r="AI275" s="20" t="n"/>
      <c r="AJ275" s="14" t="n"/>
    </row>
    <row r="276">
      <c r="A276" s="12" t="inlineStr">
        <is>
          <t>PDRN PINK HYALURONIC MOISTURIZING CREAM 50ml/ крем для лица</t>
        </is>
      </c>
      <c r="B276" s="13" t="n"/>
      <c r="C276" s="13" t="n"/>
      <c r="D276" s="14" t="n"/>
      <c r="E276" s="14" t="n"/>
      <c r="F276" s="14" t="n"/>
      <c r="G276" s="14" t="n"/>
      <c r="H276" s="15" t="n"/>
      <c r="I276" s="16" t="n"/>
      <c r="J276" s="17" t="n"/>
      <c r="K276" s="17" t="n"/>
      <c r="L276" s="18" t="n"/>
      <c r="M276" s="19" t="n"/>
      <c r="N276" s="14" t="n"/>
      <c r="O276" s="14" t="n"/>
      <c r="P276" s="14" t="n"/>
      <c r="Q276" s="14" t="n"/>
      <c r="R276" s="14" t="n"/>
      <c r="S276" s="14" t="n"/>
      <c r="T276" s="20" t="n"/>
      <c r="U276" s="14" t="n"/>
      <c r="V276" s="14" t="n"/>
      <c r="W276" s="21" t="n"/>
      <c r="X276" s="14" t="n"/>
      <c r="Y276" s="18" t="n"/>
      <c r="Z276" s="19" t="n"/>
      <c r="AA276" s="14" t="n"/>
      <c r="AB276" s="20" t="n"/>
      <c r="AC276" s="14" t="n"/>
      <c r="AD276" s="14" t="n"/>
      <c r="AE276" s="22" t="n"/>
      <c r="AF276" s="23" t="n"/>
      <c r="AG276" s="14" t="n"/>
      <c r="AH276" s="20" t="n"/>
      <c r="AI276" s="20" t="n"/>
      <c r="AJ276" s="14" t="n"/>
    </row>
    <row r="277">
      <c r="A277" s="12" t="inlineStr">
        <is>
          <t>[Derma Factory] PDRN 4% Ampoule/Интенсивная антивозрастная сыворотка для лица PDRN 4%, 30 мл</t>
        </is>
      </c>
      <c r="B277" s="13" t="n"/>
      <c r="C277" s="13" t="n"/>
      <c r="D277" s="14" t="n"/>
      <c r="E277" s="14" t="n"/>
      <c r="F277" s="14" t="n"/>
      <c r="G277" s="14" t="n"/>
      <c r="H277" s="15" t="n"/>
      <c r="I277" s="16" t="n"/>
      <c r="J277" s="17" t="n"/>
      <c r="K277" s="17" t="n"/>
      <c r="L277" s="18" t="n"/>
      <c r="M277" s="19" t="n"/>
      <c r="N277" s="14" t="n"/>
      <c r="O277" s="14" t="n"/>
      <c r="P277" s="14" t="n"/>
      <c r="Q277" s="14" t="n"/>
      <c r="R277" s="14" t="n"/>
      <c r="S277" s="14" t="n"/>
      <c r="T277" s="20" t="n"/>
      <c r="U277" s="14" t="n"/>
      <c r="V277" s="14" t="n"/>
      <c r="W277" s="21" t="n"/>
      <c r="X277" s="14" t="n"/>
      <c r="Y277" s="18" t="n"/>
      <c r="Z277" s="19" t="n"/>
      <c r="AA277" s="14" t="n"/>
      <c r="AB277" s="20" t="n"/>
      <c r="AC277" s="14" t="n"/>
      <c r="AD277" s="14" t="n"/>
      <c r="AE277" s="22" t="n"/>
      <c r="AF277" s="23" t="n"/>
      <c r="AG277" s="14" t="n"/>
      <c r="AH277" s="20" t="n"/>
      <c r="AI277" s="20" t="n"/>
      <c r="AJ277" s="14" t="n"/>
    </row>
    <row r="278">
      <c r="A278" s="55" t="inlineStr">
        <is>
          <t>[Derma Factory] Tranexamic Acid 6% Cream</t>
        </is>
      </c>
      <c r="B278" s="56" t="n">
        <v>1344</v>
      </c>
      <c r="C278" s="54" t="n"/>
      <c r="D278" s="27" t="n">
        <v>2210</v>
      </c>
      <c r="E278" s="27" t="n">
        <v>1100</v>
      </c>
      <c r="F278" s="27" t="n">
        <v>13</v>
      </c>
      <c r="G278" s="27" t="n">
        <v>2000</v>
      </c>
      <c r="H278" s="28" t="n">
        <v>0.45</v>
      </c>
      <c r="I278" s="29">
        <f>G278*(1-H278)</f>
        <v/>
      </c>
      <c r="J278" s="30" t="n">
        <v>261</v>
      </c>
      <c r="K278" s="31">
        <f>$G$5</f>
        <v/>
      </c>
      <c r="L278" s="32">
        <f>J278+K278</f>
        <v/>
      </c>
      <c r="M278" s="33" t="n">
        <v>0.41</v>
      </c>
      <c r="N278" s="34">
        <f>G278*M278</f>
        <v/>
      </c>
      <c r="O278" s="35" t="n">
        <v>63</v>
      </c>
      <c r="P278" s="34">
        <f>G278*$G$8</f>
        <v/>
      </c>
      <c r="Q278" s="35" t="n">
        <v>25</v>
      </c>
      <c r="R278" s="34">
        <f>G278*$G$4</f>
        <v/>
      </c>
      <c r="S278" s="34">
        <f>I278*$G$3</f>
        <v/>
      </c>
      <c r="T278" s="36" t="n">
        <v>0.9</v>
      </c>
      <c r="U278" s="35" t="n">
        <v>63</v>
      </c>
      <c r="V278" s="34">
        <f>U278*(1-T278)</f>
        <v/>
      </c>
      <c r="W278" s="37" t="n">
        <v>0.4</v>
      </c>
      <c r="X278" s="34">
        <f>$G$6*$G$7*W278</f>
        <v/>
      </c>
      <c r="Y278" s="32">
        <f>W278*($G$9+$G$10)</f>
        <v/>
      </c>
      <c r="Z278" s="33" t="n">
        <v>0.07000000000000001</v>
      </c>
      <c r="AA278" s="34">
        <f>G278*Z278</f>
        <v/>
      </c>
      <c r="AB278" s="36" t="n">
        <v>0.08</v>
      </c>
      <c r="AC278" s="34">
        <f>G278*AB278</f>
        <v/>
      </c>
      <c r="AD278" s="34">
        <f>AA278+AC278</f>
        <v/>
      </c>
      <c r="AE278" s="38">
        <f>AD278/G278</f>
        <v/>
      </c>
      <c r="AF278" s="39">
        <f>G278-N278-O278-P278-Q278-R278-S278-V278-X278-Y278-L278</f>
        <v/>
      </c>
      <c r="AG278" s="40">
        <f>AF278-AD278</f>
        <v/>
      </c>
      <c r="AH278" s="41">
        <f>AG278/G278</f>
        <v/>
      </c>
      <c r="AI278" s="42">
        <f>AG278/L278</f>
        <v/>
      </c>
      <c r="AJ278" s="34">
        <f>(O278+Q278+V278+X278+Y278+L278)/(1-(M278+$G$4+(1-H278)*$G$3+$G$8+Z278+AB278))</f>
        <v/>
      </c>
    </row>
    <row r="279">
      <c r="A279" s="55" t="inlineStr">
        <is>
          <t>[Derma Factory] Retinal 300ppm Cream</t>
        </is>
      </c>
      <c r="B279" s="56" t="n">
        <v>1248</v>
      </c>
      <c r="C279" s="54" t="n"/>
      <c r="D279" s="27" t="n">
        <v>2490</v>
      </c>
      <c r="E279" s="27" t="n">
        <v>500</v>
      </c>
      <c r="F279" s="27" t="n">
        <v>13</v>
      </c>
      <c r="G279" s="27" t="n">
        <v>2190</v>
      </c>
      <c r="H279" s="28" t="n">
        <v>0.45</v>
      </c>
      <c r="I279" s="29">
        <f>G279*(1-H279)</f>
        <v/>
      </c>
      <c r="J279" s="30" t="n">
        <v>293</v>
      </c>
      <c r="K279" s="31">
        <f>$G$5</f>
        <v/>
      </c>
      <c r="L279" s="32">
        <f>J279+K279</f>
        <v/>
      </c>
      <c r="M279" s="33" t="n">
        <v>0.41</v>
      </c>
      <c r="N279" s="34">
        <f>G279*M279</f>
        <v/>
      </c>
      <c r="O279" s="35" t="n">
        <v>63</v>
      </c>
      <c r="P279" s="34">
        <f>G279*$G$8</f>
        <v/>
      </c>
      <c r="Q279" s="35" t="n">
        <v>25</v>
      </c>
      <c r="R279" s="34">
        <f>G279*$G$4</f>
        <v/>
      </c>
      <c r="S279" s="34">
        <f>I279*$G$3</f>
        <v/>
      </c>
      <c r="T279" s="36" t="n">
        <v>0.9</v>
      </c>
      <c r="U279" s="35" t="n">
        <v>63</v>
      </c>
      <c r="V279" s="34">
        <f>U279*(1-T279)</f>
        <v/>
      </c>
      <c r="W279" s="37" t="n">
        <v>0.4</v>
      </c>
      <c r="X279" s="34">
        <f>$G$6*$G$7*W279</f>
        <v/>
      </c>
      <c r="Y279" s="32">
        <f>W279*($G$9+$G$10)</f>
        <v/>
      </c>
      <c r="Z279" s="33" t="n">
        <v>0.07000000000000001</v>
      </c>
      <c r="AA279" s="34">
        <f>G279*Z279</f>
        <v/>
      </c>
      <c r="AB279" s="36" t="n">
        <v>0.08</v>
      </c>
      <c r="AC279" s="34">
        <f>G279*AB279</f>
        <v/>
      </c>
      <c r="AD279" s="34">
        <f>AA279+AC279</f>
        <v/>
      </c>
      <c r="AE279" s="38">
        <f>AD279/G279</f>
        <v/>
      </c>
      <c r="AF279" s="39">
        <f>G279-N279-O279-P279-Q279-R279-S279-V279-X279-Y279-L279</f>
        <v/>
      </c>
      <c r="AG279" s="40">
        <f>AF279-AD279</f>
        <v/>
      </c>
      <c r="AH279" s="41">
        <f>AG279/G279</f>
        <v/>
      </c>
      <c r="AI279" s="42">
        <f>AG279/L279</f>
        <v/>
      </c>
      <c r="AJ279" s="34">
        <f>(O279+Q279+V279+X279+Y279+L279)/(1-(M279+$G$4+(1-H279)*$G$3+$G$8+Z279+AB279))</f>
        <v/>
      </c>
    </row>
    <row r="280">
      <c r="A280" s="12" t="inlineStr">
        <is>
          <t>[Derma Factory] Niacin Tranexamic Acid 13% Serum/Сыворотка для лица осветляющая от пигментации</t>
        </is>
      </c>
      <c r="B280" s="13" t="n"/>
      <c r="C280" s="13" t="n"/>
      <c r="D280" s="14" t="n"/>
      <c r="E280" s="14" t="n"/>
      <c r="F280" s="14" t="n"/>
      <c r="G280" s="14" t="n"/>
      <c r="H280" s="15" t="n"/>
      <c r="I280" s="16" t="n"/>
      <c r="J280" s="17" t="n"/>
      <c r="K280" s="17" t="n"/>
      <c r="L280" s="18" t="n"/>
      <c r="M280" s="19" t="n"/>
      <c r="N280" s="14" t="n"/>
      <c r="O280" s="14" t="n"/>
      <c r="P280" s="14" t="n"/>
      <c r="Q280" s="14" t="n"/>
      <c r="R280" s="14" t="n"/>
      <c r="S280" s="14" t="n"/>
      <c r="T280" s="20" t="n"/>
      <c r="U280" s="14" t="n"/>
      <c r="V280" s="14" t="n"/>
      <c r="W280" s="21" t="n"/>
      <c r="X280" s="14" t="n"/>
      <c r="Y280" s="18" t="n"/>
      <c r="Z280" s="19" t="n"/>
      <c r="AA280" s="14" t="n"/>
      <c r="AB280" s="20" t="n"/>
      <c r="AC280" s="14" t="n"/>
      <c r="AD280" s="14" t="n"/>
      <c r="AE280" s="22" t="n"/>
      <c r="AF280" s="23" t="n"/>
      <c r="AG280" s="14" t="n"/>
      <c r="AH280" s="20" t="n"/>
      <c r="AI280" s="20" t="n"/>
      <c r="AJ280" s="14" t="n"/>
    </row>
    <row r="281">
      <c r="A281" s="55" t="inlineStr">
        <is>
          <t>[Derma Factory] Niacinamide 20% Serum</t>
        </is>
      </c>
      <c r="B281" s="56" t="n">
        <v>1020</v>
      </c>
      <c r="C281" s="54" t="n"/>
      <c r="D281" s="27" t="n">
        <v>1800</v>
      </c>
      <c r="E281" s="27" t="n">
        <v>1400</v>
      </c>
      <c r="F281" s="27" t="n">
        <v>12</v>
      </c>
      <c r="G281" s="27" t="n">
        <v>1600</v>
      </c>
      <c r="H281" s="28" t="n">
        <v>0.45</v>
      </c>
      <c r="I281" s="29">
        <f>G281*(1-H281)</f>
        <v/>
      </c>
      <c r="J281" s="30" t="n">
        <v>175</v>
      </c>
      <c r="K281" s="31">
        <f>$G$5</f>
        <v/>
      </c>
      <c r="L281" s="32">
        <f>J281+K281</f>
        <v/>
      </c>
      <c r="M281" s="33" t="n">
        <v>0.41</v>
      </c>
      <c r="N281" s="34">
        <f>G281*M281</f>
        <v/>
      </c>
      <c r="O281" s="35" t="n">
        <v>63</v>
      </c>
      <c r="P281" s="34">
        <f>G281*$G$8</f>
        <v/>
      </c>
      <c r="Q281" s="35" t="n">
        <v>25</v>
      </c>
      <c r="R281" s="34">
        <f>G281*$G$4</f>
        <v/>
      </c>
      <c r="S281" s="34">
        <f>I281*$G$3</f>
        <v/>
      </c>
      <c r="T281" s="36" t="n">
        <v>0.9</v>
      </c>
      <c r="U281" s="35" t="n">
        <v>63</v>
      </c>
      <c r="V281" s="34">
        <f>U281*(1-T281)</f>
        <v/>
      </c>
      <c r="W281" s="37" t="n">
        <v>0.4</v>
      </c>
      <c r="X281" s="34">
        <f>$G$6*$G$7*W281</f>
        <v/>
      </c>
      <c r="Y281" s="32">
        <f>W281*($G$9+$G$10)</f>
        <v/>
      </c>
      <c r="Z281" s="33" t="n">
        <v>0.07000000000000001</v>
      </c>
      <c r="AA281" s="34">
        <f>G281*Z281</f>
        <v/>
      </c>
      <c r="AB281" s="36" t="n">
        <v>0.08</v>
      </c>
      <c r="AC281" s="34">
        <f>G281*AB281</f>
        <v/>
      </c>
      <c r="AD281" s="34">
        <f>AA281+AC281</f>
        <v/>
      </c>
      <c r="AE281" s="38">
        <f>AD281/G281</f>
        <v/>
      </c>
      <c r="AF281" s="39">
        <f>G281-N281-O281-P281-Q281-R281-S281-V281-X281-Y281-L281</f>
        <v/>
      </c>
      <c r="AG281" s="40">
        <f>AF281-AD281</f>
        <v/>
      </c>
      <c r="AH281" s="41">
        <f>AG281/G281</f>
        <v/>
      </c>
      <c r="AI281" s="42">
        <f>AG281/L281</f>
        <v/>
      </c>
      <c r="AJ281" s="34">
        <f>(O281+Q281+V281+X281+Y281+L281)/(1-(M281+$G$4+(1-H281)*$G$3+$G$8+Z281+AB281))</f>
        <v/>
      </c>
    </row>
    <row r="282">
      <c r="A282" s="55" t="inlineStr">
        <is>
          <t>[Derma Factory] Porphyrin 20% Ampoule stick</t>
        </is>
      </c>
      <c r="B282" s="56" t="n">
        <v>1053</v>
      </c>
      <c r="C282" s="54" t="n"/>
      <c r="D282" s="27" t="n">
        <v>2600</v>
      </c>
      <c r="E282" s="27" t="n">
        <v>250</v>
      </c>
      <c r="F282" s="27" t="n">
        <v>12</v>
      </c>
      <c r="G282" s="27" t="n">
        <v>2390</v>
      </c>
      <c r="H282" s="28" t="n">
        <v>0.45</v>
      </c>
      <c r="I282" s="29">
        <f>G282*(1-H282)</f>
        <v/>
      </c>
      <c r="J282" s="30" t="n">
        <v>363</v>
      </c>
      <c r="K282" s="31">
        <f>$G$5</f>
        <v/>
      </c>
      <c r="L282" s="32">
        <f>J282+K282</f>
        <v/>
      </c>
      <c r="M282" s="33" t="n">
        <v>0.41</v>
      </c>
      <c r="N282" s="34">
        <f>G282*M282</f>
        <v/>
      </c>
      <c r="O282" s="35" t="n">
        <v>63</v>
      </c>
      <c r="P282" s="34">
        <f>G282*$G$8</f>
        <v/>
      </c>
      <c r="Q282" s="35" t="n">
        <v>25</v>
      </c>
      <c r="R282" s="34">
        <f>G282*$G$4</f>
        <v/>
      </c>
      <c r="S282" s="34">
        <f>I282*$G$3</f>
        <v/>
      </c>
      <c r="T282" s="36" t="n">
        <v>0.9</v>
      </c>
      <c r="U282" s="35" t="n">
        <v>63</v>
      </c>
      <c r="V282" s="34">
        <f>U282*(1-T282)</f>
        <v/>
      </c>
      <c r="W282" s="37" t="n">
        <v>0.4</v>
      </c>
      <c r="X282" s="34">
        <f>$G$6*$G$7*W282</f>
        <v/>
      </c>
      <c r="Y282" s="32">
        <f>W282*($G$9+$G$10)</f>
        <v/>
      </c>
      <c r="Z282" s="33" t="n">
        <v>0.07000000000000001</v>
      </c>
      <c r="AA282" s="34">
        <f>G282*Z282</f>
        <v/>
      </c>
      <c r="AB282" s="36" t="n">
        <v>0.08</v>
      </c>
      <c r="AC282" s="34">
        <f>G282*AB282</f>
        <v/>
      </c>
      <c r="AD282" s="34">
        <f>AA282+AC282</f>
        <v/>
      </c>
      <c r="AE282" s="38">
        <f>AD282/G282</f>
        <v/>
      </c>
      <c r="AF282" s="39">
        <f>G282-N282-O282-P282-Q282-R282-S282-V282-X282-Y282-L282</f>
        <v/>
      </c>
      <c r="AG282" s="40">
        <f>AF282-AD282</f>
        <v/>
      </c>
      <c r="AH282" s="41">
        <f>AG282/G282</f>
        <v/>
      </c>
      <c r="AI282" s="42">
        <f>AG282/L282</f>
        <v/>
      </c>
      <c r="AJ282" s="34">
        <f>(O282+Q282+V282+X282+Y282+L282)/(1-(M282+$G$4+(1-H282)*$G$3+$G$8+Z282+AB282))</f>
        <v/>
      </c>
    </row>
    <row r="283">
      <c r="A283" s="55" t="inlineStr">
        <is>
          <t>[Derma Factory] Bakuchiol Spicule Cream</t>
        </is>
      </c>
      <c r="B283" s="56" t="n">
        <v>480</v>
      </c>
      <c r="C283" s="54" t="n"/>
      <c r="D283" s="27" t="n">
        <v>2700</v>
      </c>
      <c r="E283" s="27" t="n">
        <v>250</v>
      </c>
      <c r="F283" s="27" t="n">
        <v>10</v>
      </c>
      <c r="G283" s="27" t="n">
        <v>2400</v>
      </c>
      <c r="H283" s="28" t="n">
        <v>0.45</v>
      </c>
      <c r="I283" s="29">
        <f>G283*(1-H283)</f>
        <v/>
      </c>
      <c r="J283" s="30" t="n">
        <v>302</v>
      </c>
      <c r="K283" s="31">
        <f>$G$5</f>
        <v/>
      </c>
      <c r="L283" s="32">
        <f>J283+K283</f>
        <v/>
      </c>
      <c r="M283" s="33" t="n">
        <v>0.41</v>
      </c>
      <c r="N283" s="34">
        <f>G283*M283</f>
        <v/>
      </c>
      <c r="O283" s="35" t="n">
        <v>63</v>
      </c>
      <c r="P283" s="34">
        <f>G283*$G$8</f>
        <v/>
      </c>
      <c r="Q283" s="35" t="n">
        <v>25</v>
      </c>
      <c r="R283" s="34">
        <f>G283*$G$4</f>
        <v/>
      </c>
      <c r="S283" s="34">
        <f>I283*$G$3</f>
        <v/>
      </c>
      <c r="T283" s="36" t="n">
        <v>0.9</v>
      </c>
      <c r="U283" s="35" t="n">
        <v>63</v>
      </c>
      <c r="V283" s="34">
        <f>U283*(1-T283)</f>
        <v/>
      </c>
      <c r="W283" s="37" t="n">
        <v>0.4</v>
      </c>
      <c r="X283" s="34">
        <f>$G$6*$G$7*W283</f>
        <v/>
      </c>
      <c r="Y283" s="32">
        <f>W283*($G$9+$G$10)</f>
        <v/>
      </c>
      <c r="Z283" s="33" t="n">
        <v>0.07000000000000001</v>
      </c>
      <c r="AA283" s="34">
        <f>G283*Z283</f>
        <v/>
      </c>
      <c r="AB283" s="36" t="n">
        <v>0.08</v>
      </c>
      <c r="AC283" s="34">
        <f>G283*AB283</f>
        <v/>
      </c>
      <c r="AD283" s="34">
        <f>AA283+AC283</f>
        <v/>
      </c>
      <c r="AE283" s="38">
        <f>AD283/G283</f>
        <v/>
      </c>
      <c r="AF283" s="39">
        <f>G283-N283-O283-P283-Q283-R283-S283-V283-X283-Y283-L283</f>
        <v/>
      </c>
      <c r="AG283" s="40">
        <f>AF283-AD283</f>
        <v/>
      </c>
      <c r="AH283" s="41">
        <f>AG283/G283</f>
        <v/>
      </c>
      <c r="AI283" s="42">
        <f>AG283/L283</f>
        <v/>
      </c>
      <c r="AJ283" s="34">
        <f>(O283+Q283+V283+X283+Y283+L283)/(1-(M283+$G$4+(1-H283)*$G$3+$G$8+Z283+AB283))</f>
        <v/>
      </c>
    </row>
    <row r="284">
      <c r="A284" s="12" t="inlineStr">
        <is>
          <t>[Derma Factory] Adenosine 7500ppm Water Essence/Увлажняющий эссенция для лица с аденозином 7500 ppm</t>
        </is>
      </c>
      <c r="B284" s="13" t="n"/>
      <c r="C284" s="13" t="n"/>
      <c r="D284" s="14" t="n"/>
      <c r="E284" s="14" t="n"/>
      <c r="F284" s="14" t="n"/>
      <c r="G284" s="14" t="n"/>
      <c r="H284" s="15" t="n"/>
      <c r="I284" s="16" t="n"/>
      <c r="J284" s="17" t="n"/>
      <c r="K284" s="17" t="n"/>
      <c r="L284" s="18" t="n"/>
      <c r="M284" s="19" t="n"/>
      <c r="N284" s="14" t="n"/>
      <c r="O284" s="14" t="n"/>
      <c r="P284" s="14" t="n"/>
      <c r="Q284" s="14" t="n"/>
      <c r="R284" s="14" t="n"/>
      <c r="S284" s="14" t="n"/>
      <c r="T284" s="20" t="n"/>
      <c r="U284" s="14" t="n"/>
      <c r="V284" s="14" t="n"/>
      <c r="W284" s="21" t="n"/>
      <c r="X284" s="14" t="n"/>
      <c r="Y284" s="18" t="n"/>
      <c r="Z284" s="19" t="n"/>
      <c r="AA284" s="14" t="n"/>
      <c r="AB284" s="20" t="n"/>
      <c r="AC284" s="14" t="n"/>
      <c r="AD284" s="14" t="n"/>
      <c r="AE284" s="22" t="n"/>
      <c r="AF284" s="23" t="n"/>
      <c r="AG284" s="14" t="n"/>
      <c r="AH284" s="20" t="n"/>
      <c r="AI284" s="20" t="n"/>
      <c r="AJ284" s="14" t="n"/>
    </row>
    <row r="285">
      <c r="A285" s="55" t="inlineStr">
        <is>
          <t>[Derma Factory] Matrixyl 15% + Argireline 2% Serum</t>
        </is>
      </c>
      <c r="B285" s="56" t="n">
        <v>420</v>
      </c>
      <c r="C285" s="54" t="n"/>
      <c r="D285" s="27" t="n">
        <v>3380</v>
      </c>
      <c r="E285" s="27" t="n">
        <v>80</v>
      </c>
      <c r="F285" s="27" t="n">
        <v>12</v>
      </c>
      <c r="G285" s="27" t="n">
        <v>3050</v>
      </c>
      <c r="H285" s="28" t="n">
        <v>0.45</v>
      </c>
      <c r="I285" s="29">
        <f>G285*(1-H285)</f>
        <v/>
      </c>
      <c r="J285" s="30" t="n">
        <v>477</v>
      </c>
      <c r="K285" s="31">
        <f>$G$5</f>
        <v/>
      </c>
      <c r="L285" s="32">
        <f>J285+K285</f>
        <v/>
      </c>
      <c r="M285" s="33" t="n">
        <v>0.41</v>
      </c>
      <c r="N285" s="34">
        <f>G285*M285</f>
        <v/>
      </c>
      <c r="O285" s="35" t="n">
        <v>63</v>
      </c>
      <c r="P285" s="34">
        <f>G285*$G$8</f>
        <v/>
      </c>
      <c r="Q285" s="35" t="n">
        <v>25</v>
      </c>
      <c r="R285" s="34">
        <f>G285*$G$4</f>
        <v/>
      </c>
      <c r="S285" s="34">
        <f>I285*$G$3</f>
        <v/>
      </c>
      <c r="T285" s="36" t="n">
        <v>0.9</v>
      </c>
      <c r="U285" s="35" t="n">
        <v>63</v>
      </c>
      <c r="V285" s="34">
        <f>U285*(1-T285)</f>
        <v/>
      </c>
      <c r="W285" s="37" t="n">
        <v>0.4</v>
      </c>
      <c r="X285" s="34">
        <f>$G$6*$G$7*W285</f>
        <v/>
      </c>
      <c r="Y285" s="32">
        <f>W285*($G$9+$G$10)</f>
        <v/>
      </c>
      <c r="Z285" s="33" t="n">
        <v>0.07000000000000001</v>
      </c>
      <c r="AA285" s="34">
        <f>G285*Z285</f>
        <v/>
      </c>
      <c r="AB285" s="36" t="n">
        <v>0.08</v>
      </c>
      <c r="AC285" s="34">
        <f>G285*AB285</f>
        <v/>
      </c>
      <c r="AD285" s="34">
        <f>AA285+AC285</f>
        <v/>
      </c>
      <c r="AE285" s="38">
        <f>AD285/G285</f>
        <v/>
      </c>
      <c r="AF285" s="39">
        <f>G285-N285-O285-P285-Q285-R285-S285-V285-X285-Y285-L285</f>
        <v/>
      </c>
      <c r="AG285" s="40">
        <f>AF285-AD285</f>
        <v/>
      </c>
      <c r="AH285" s="41">
        <f>AG285/G285</f>
        <v/>
      </c>
      <c r="AI285" s="42">
        <f>AG285/L285</f>
        <v/>
      </c>
      <c r="AJ285" s="34">
        <f>(O285+Q285+V285+X285+Y285+L285)/(1-(M285+$G$4+(1-H285)*$G$3+$G$8+Z285+AB285))</f>
        <v/>
      </c>
    </row>
    <row r="286">
      <c r="A286" s="12" t="inlineStr">
        <is>
          <t>Итого:</t>
        </is>
      </c>
      <c r="B286" s="13" t="n"/>
      <c r="C286" s="13" t="n"/>
      <c r="D286" s="14" t="n"/>
      <c r="E286" s="14" t="n"/>
      <c r="F286" s="14" t="n"/>
      <c r="G286" s="14" t="n"/>
      <c r="H286" s="15" t="n"/>
      <c r="I286" s="16" t="n"/>
      <c r="J286" s="17" t="n"/>
      <c r="K286" s="17" t="n"/>
      <c r="L286" s="18" t="n"/>
      <c r="M286" s="19" t="n"/>
      <c r="N286" s="14" t="n"/>
      <c r="O286" s="14" t="n"/>
      <c r="P286" s="14" t="n"/>
      <c r="Q286" s="14" t="n"/>
      <c r="R286" s="14" t="n"/>
      <c r="S286" s="14" t="n"/>
      <c r="T286" s="20" t="n"/>
      <c r="U286" s="14" t="n"/>
      <c r="V286" s="14" t="n"/>
      <c r="W286" s="21" t="n"/>
      <c r="X286" s="14" t="n"/>
      <c r="Y286" s="18" t="n"/>
      <c r="Z286" s="19" t="n"/>
      <c r="AA286" s="14" t="n"/>
      <c r="AB286" s="20" t="n"/>
      <c r="AC286" s="14" t="n"/>
      <c r="AD286" s="14" t="n"/>
      <c r="AE286" s="22" t="n"/>
      <c r="AF286" s="23" t="n"/>
      <c r="AG286" s="14" t="n"/>
      <c r="AH286" s="20" t="n"/>
      <c r="AI286" s="20" t="n"/>
      <c r="AJ286" s="14" t="n"/>
    </row>
    <row r="287">
      <c r="A287" s="55" t="inlineStr">
        <is>
          <t>1025 DOKDO BUBBLE FOAM_150ml</t>
        </is>
      </c>
      <c r="B287" s="56" t="n">
        <v>600</v>
      </c>
      <c r="C287" s="57" t="n"/>
      <c r="D287" s="27" t="n">
        <v>2650</v>
      </c>
      <c r="E287" s="27" t="n">
        <v>20</v>
      </c>
      <c r="F287" s="27" t="n">
        <v>2</v>
      </c>
      <c r="G287" s="27" t="n">
        <v>2500</v>
      </c>
      <c r="H287" s="28" t="n">
        <v>0.45</v>
      </c>
      <c r="I287" s="29">
        <f>G287*(1-H287)</f>
        <v/>
      </c>
      <c r="J287" s="30" t="n">
        <v>455</v>
      </c>
      <c r="K287" s="31">
        <f>$G$5</f>
        <v/>
      </c>
      <c r="L287" s="32">
        <f>J287+K287</f>
        <v/>
      </c>
      <c r="M287" s="33" t="n">
        <v>0.41</v>
      </c>
      <c r="N287" s="34">
        <f>G287*M287</f>
        <v/>
      </c>
      <c r="O287" s="35" t="n">
        <v>74</v>
      </c>
      <c r="P287" s="34">
        <f>G287*$G$8</f>
        <v/>
      </c>
      <c r="Q287" s="35" t="n">
        <v>25</v>
      </c>
      <c r="R287" s="34">
        <f>G287*$G$4</f>
        <v/>
      </c>
      <c r="S287" s="34">
        <f>I287*$G$3</f>
        <v/>
      </c>
      <c r="T287" s="36" t="n">
        <v>0.9</v>
      </c>
      <c r="U287" s="35" t="n">
        <v>74</v>
      </c>
      <c r="V287" s="34">
        <f>U287*(1-T287)</f>
        <v/>
      </c>
      <c r="W287" s="37" t="n">
        <v>1.28</v>
      </c>
      <c r="X287" s="34">
        <f>$G$6*$G$7*W287</f>
        <v/>
      </c>
      <c r="Y287" s="32">
        <f>W287*($G$9+$G$10)</f>
        <v/>
      </c>
      <c r="Z287" s="33" t="n">
        <v>0.07000000000000001</v>
      </c>
      <c r="AA287" s="34">
        <f>G287*Z287</f>
        <v/>
      </c>
      <c r="AB287" s="36" t="n">
        <v>0.08</v>
      </c>
      <c r="AC287" s="34">
        <f>G287*AB287</f>
        <v/>
      </c>
      <c r="AD287" s="34">
        <f>AA287+AC287</f>
        <v/>
      </c>
      <c r="AE287" s="38">
        <f>AD287/G287</f>
        <v/>
      </c>
      <c r="AF287" s="39">
        <f>G287-N287-O287-P287-Q287-R287-S287-V287-X287-Y287-L287</f>
        <v/>
      </c>
      <c r="AG287" s="40">
        <f>AF287-AD287</f>
        <v/>
      </c>
      <c r="AH287" s="41">
        <f>AG287/G287</f>
        <v/>
      </c>
      <c r="AI287" s="42">
        <f>AG287/L287</f>
        <v/>
      </c>
      <c r="AJ287" s="34">
        <f>(O287+Q287+V287+X287+Y287+L287)/(1-(M287+$G$4+(1-H287)*$G$3+$G$8+Z287+AB287))</f>
        <v/>
      </c>
    </row>
    <row r="288">
      <c r="A288" s="55" t="inlineStr">
        <is>
          <t>MEDICUBE PDRN PINK PEPTIDE SERUM 30ml</t>
        </is>
      </c>
      <c r="B288" s="56" t="n">
        <v>320</v>
      </c>
      <c r="C288" s="54" t="n"/>
      <c r="D288" s="27" t="n">
        <v>4880</v>
      </c>
      <c r="E288" s="27" t="n">
        <v>220</v>
      </c>
      <c r="F288" s="27" t="n">
        <v>10</v>
      </c>
      <c r="G288" s="27" t="n">
        <v>4580</v>
      </c>
      <c r="H288" s="28" t="n">
        <v>0.45</v>
      </c>
      <c r="I288" s="29">
        <f>G288*(1-H288)</f>
        <v/>
      </c>
      <c r="J288" s="30" t="n">
        <v>674</v>
      </c>
      <c r="K288" s="31">
        <f>$G$5</f>
        <v/>
      </c>
      <c r="L288" s="32">
        <f>J288+K288</f>
        <v/>
      </c>
      <c r="M288" s="33" t="n">
        <v>0.41</v>
      </c>
      <c r="N288" s="34">
        <f>G288*M288</f>
        <v/>
      </c>
      <c r="O288" s="35" t="n">
        <v>63</v>
      </c>
      <c r="P288" s="34">
        <f>G288*$G$8</f>
        <v/>
      </c>
      <c r="Q288" s="35" t="n">
        <v>25</v>
      </c>
      <c r="R288" s="34">
        <f>G288*$G$4</f>
        <v/>
      </c>
      <c r="S288" s="34">
        <f>I288*$G$3</f>
        <v/>
      </c>
      <c r="T288" s="36" t="n">
        <v>0.9</v>
      </c>
      <c r="U288" s="35" t="n">
        <v>63</v>
      </c>
      <c r="V288" s="34">
        <f>U288*(1-T288)</f>
        <v/>
      </c>
      <c r="W288" s="37" t="n">
        <v>0.4</v>
      </c>
      <c r="X288" s="34">
        <f>$G$6*$G$7*W288</f>
        <v/>
      </c>
      <c r="Y288" s="32">
        <f>W288*($G$9+$G$10)</f>
        <v/>
      </c>
      <c r="Z288" s="33" t="n">
        <v>0.07000000000000001</v>
      </c>
      <c r="AA288" s="34">
        <f>G288*Z288</f>
        <v/>
      </c>
      <c r="AB288" s="36" t="n">
        <v>0.08</v>
      </c>
      <c r="AC288" s="34">
        <f>G288*AB288</f>
        <v/>
      </c>
      <c r="AD288" s="34">
        <f>AA288+AC288</f>
        <v/>
      </c>
      <c r="AE288" s="38">
        <f>AD288/G288</f>
        <v/>
      </c>
      <c r="AF288" s="39">
        <f>G288-N288-O288-P288-Q288-R288-S288-V288-X288-Y288-L288</f>
        <v/>
      </c>
      <c r="AG288" s="40">
        <f>AF288-AD288</f>
        <v/>
      </c>
      <c r="AH288" s="41">
        <f>AG288/G288</f>
        <v/>
      </c>
      <c r="AI288" s="42">
        <f>AG288/L288</f>
        <v/>
      </c>
      <c r="AJ288" s="34">
        <f>(O288+Q288+V288+X288+Y288+L288)/(1-(M288+$G$4+(1-H288)*$G$3+$G$8+Z288+AB288))</f>
        <v/>
      </c>
    </row>
    <row r="289">
      <c r="A289" s="55" t="inlineStr">
        <is>
          <t>MEDICUBE PDRN PINK EXOSOME SHOT SERUM 7500 30ml</t>
        </is>
      </c>
      <c r="B289" s="56" t="n">
        <v>400</v>
      </c>
      <c r="C289" s="58" t="n"/>
      <c r="D289" s="27" t="n">
        <v>5000</v>
      </c>
      <c r="E289" s="27" t="n">
        <v>60</v>
      </c>
      <c r="F289" s="27" t="n">
        <v>10</v>
      </c>
      <c r="G289" s="27" t="n">
        <v>4700</v>
      </c>
      <c r="H289" s="28" t="n">
        <v>0.45</v>
      </c>
      <c r="I289" s="29">
        <f>G289*(1-H289)</f>
        <v/>
      </c>
      <c r="J289" s="30" t="n">
        <v>833</v>
      </c>
      <c r="K289" s="31">
        <f>$G$5</f>
        <v/>
      </c>
      <c r="L289" s="32">
        <f>J289+K289</f>
        <v/>
      </c>
      <c r="M289" s="33" t="n">
        <v>0.41</v>
      </c>
      <c r="N289" s="34">
        <f>G289*M289</f>
        <v/>
      </c>
      <c r="O289" s="35" t="n">
        <v>63</v>
      </c>
      <c r="P289" s="34">
        <f>G289*$G$8</f>
        <v/>
      </c>
      <c r="Q289" s="35" t="n">
        <v>25</v>
      </c>
      <c r="R289" s="34">
        <f>G289*$G$4</f>
        <v/>
      </c>
      <c r="S289" s="34">
        <f>I289*$G$3</f>
        <v/>
      </c>
      <c r="T289" s="36" t="n">
        <v>0.9</v>
      </c>
      <c r="U289" s="35" t="n">
        <v>63</v>
      </c>
      <c r="V289" s="34">
        <f>U289*(1-T289)</f>
        <v/>
      </c>
      <c r="W289" s="37" t="n">
        <v>0.4</v>
      </c>
      <c r="X289" s="34">
        <f>$G$6*$G$7*W289</f>
        <v/>
      </c>
      <c r="Y289" s="32">
        <f>W289*($G$9+$G$10)</f>
        <v/>
      </c>
      <c r="Z289" s="33" t="n">
        <v>0.07000000000000001</v>
      </c>
      <c r="AA289" s="34">
        <f>G289*Z289</f>
        <v/>
      </c>
      <c r="AB289" s="36" t="n">
        <v>0.08</v>
      </c>
      <c r="AC289" s="34">
        <f>G289*AB289</f>
        <v/>
      </c>
      <c r="AD289" s="34">
        <f>AA289+AC289</f>
        <v/>
      </c>
      <c r="AE289" s="38">
        <f>AD289/G289</f>
        <v/>
      </c>
      <c r="AF289" s="39">
        <f>G289-N289-O289-P289-Q289-R289-S289-V289-X289-Y289-L289</f>
        <v/>
      </c>
      <c r="AG289" s="40">
        <f>AF289-AD289</f>
        <v/>
      </c>
      <c r="AH289" s="41">
        <f>AG289/G289</f>
        <v/>
      </c>
      <c r="AI289" s="42">
        <f>AG289/L289</f>
        <v/>
      </c>
      <c r="AJ289" s="34">
        <f>(O289+Q289+V289+X289+Y289+L289)/(1-(M289+$G$4+(1-H289)*$G$3+$G$8+Z289+AB289))</f>
        <v/>
      </c>
    </row>
    <row r="290">
      <c r="A290" s="55" t="inlineStr">
        <is>
          <t>MEDICUBE PDRN PINK EXOSOME SHOT SERUM 2000 30ml</t>
        </is>
      </c>
      <c r="B290" s="56" t="n">
        <v>300</v>
      </c>
      <c r="C290" s="54" t="n"/>
      <c r="D290" s="27" t="n">
        <v>5150</v>
      </c>
      <c r="E290" s="27" t="n">
        <v>65</v>
      </c>
      <c r="F290" s="27" t="n">
        <v>5</v>
      </c>
      <c r="G290" s="27" t="n">
        <v>4850</v>
      </c>
      <c r="H290" s="28" t="n">
        <v>0.45</v>
      </c>
      <c r="I290" s="29">
        <f>G290*(1-H290)</f>
        <v/>
      </c>
      <c r="J290" s="30" t="n">
        <v>757</v>
      </c>
      <c r="K290" s="31">
        <f>$G$5</f>
        <v/>
      </c>
      <c r="L290" s="32">
        <f>J290+K290</f>
        <v/>
      </c>
      <c r="M290" s="33" t="n">
        <v>0.41</v>
      </c>
      <c r="N290" s="34">
        <f>G290*M290</f>
        <v/>
      </c>
      <c r="O290" s="35" t="n">
        <v>63</v>
      </c>
      <c r="P290" s="34">
        <f>G290*$G$8</f>
        <v/>
      </c>
      <c r="Q290" s="35" t="n">
        <v>25</v>
      </c>
      <c r="R290" s="34">
        <f>G290*$G$4</f>
        <v/>
      </c>
      <c r="S290" s="34">
        <f>I290*$G$3</f>
        <v/>
      </c>
      <c r="T290" s="36" t="n">
        <v>0.9</v>
      </c>
      <c r="U290" s="35" t="n">
        <v>63</v>
      </c>
      <c r="V290" s="34">
        <f>U290*(1-T290)</f>
        <v/>
      </c>
      <c r="W290" s="37" t="n">
        <v>0.4</v>
      </c>
      <c r="X290" s="34">
        <f>$G$6*$G$7*W290</f>
        <v/>
      </c>
      <c r="Y290" s="32">
        <f>W290*($G$9+$G$10)</f>
        <v/>
      </c>
      <c r="Z290" s="33" t="n">
        <v>0.07000000000000001</v>
      </c>
      <c r="AA290" s="34">
        <f>G290*Z290</f>
        <v/>
      </c>
      <c r="AB290" s="36" t="n">
        <v>0.08</v>
      </c>
      <c r="AC290" s="34">
        <f>G290*AB290</f>
        <v/>
      </c>
      <c r="AD290" s="34">
        <f>AA290+AC290</f>
        <v/>
      </c>
      <c r="AE290" s="38">
        <f>AD290/G290</f>
        <v/>
      </c>
      <c r="AF290" s="39">
        <f>G290-N290-O290-P290-Q290-R290-S290-V290-X290-Y290-L290</f>
        <v/>
      </c>
      <c r="AG290" s="40">
        <f>AF290-AD290</f>
        <v/>
      </c>
      <c r="AH290" s="41">
        <f>AG290/G290</f>
        <v/>
      </c>
      <c r="AI290" s="42">
        <f>AG290/L290</f>
        <v/>
      </c>
      <c r="AJ290" s="34">
        <f>(O290+Q290+V290+X290+Y290+L290)/(1-(M290+$G$4+(1-H290)*$G$3+$G$8+Z290+AB290))</f>
        <v/>
      </c>
    </row>
    <row r="291">
      <c r="A291" s="55" t="inlineStr">
        <is>
          <t>MEDICUBE TXA NIACINAMIDE CAPSULE CREAM 55g</t>
        </is>
      </c>
      <c r="B291" s="56" t="n">
        <v>240</v>
      </c>
      <c r="C291" s="54" t="n"/>
      <c r="D291" s="27" t="n">
        <v>6900</v>
      </c>
      <c r="E291" s="27" t="n">
        <v>25</v>
      </c>
      <c r="F291" s="27" t="n">
        <v>0</v>
      </c>
      <c r="G291" s="27" t="n">
        <v>6500</v>
      </c>
      <c r="H291" s="28" t="n">
        <v>0.45</v>
      </c>
      <c r="I291" s="29">
        <f>G291*(1-H291)</f>
        <v/>
      </c>
      <c r="J291" s="30" t="n">
        <v>922</v>
      </c>
      <c r="K291" s="31">
        <f>$G$5</f>
        <v/>
      </c>
      <c r="L291" s="32">
        <f>J291+K291</f>
        <v/>
      </c>
      <c r="M291" s="33" t="n">
        <v>0.41</v>
      </c>
      <c r="N291" s="34">
        <f>G291*M291</f>
        <v/>
      </c>
      <c r="O291" s="35" t="n">
        <v>63</v>
      </c>
      <c r="P291" s="34">
        <f>G291*$G$8</f>
        <v/>
      </c>
      <c r="Q291" s="35" t="n">
        <v>25</v>
      </c>
      <c r="R291" s="34">
        <f>G291*$G$4</f>
        <v/>
      </c>
      <c r="S291" s="34">
        <f>I291*$G$3</f>
        <v/>
      </c>
      <c r="T291" s="36" t="n">
        <v>0.9</v>
      </c>
      <c r="U291" s="35" t="n">
        <v>63</v>
      </c>
      <c r="V291" s="34">
        <f>U291*(1-T291)</f>
        <v/>
      </c>
      <c r="W291" s="37" t="n">
        <v>0.4</v>
      </c>
      <c r="X291" s="34">
        <f>$G$6*$G$7*W291</f>
        <v/>
      </c>
      <c r="Y291" s="32">
        <f>W291*($G$9+$G$10)</f>
        <v/>
      </c>
      <c r="Z291" s="33" t="n">
        <v>0.07000000000000001</v>
      </c>
      <c r="AA291" s="34">
        <f>G291*Z291</f>
        <v/>
      </c>
      <c r="AB291" s="36" t="n">
        <v>0.08</v>
      </c>
      <c r="AC291" s="34">
        <f>G291*AB291</f>
        <v/>
      </c>
      <c r="AD291" s="34">
        <f>AA291+AC291</f>
        <v/>
      </c>
      <c r="AE291" s="38">
        <f>AD291/G291</f>
        <v/>
      </c>
      <c r="AF291" s="39">
        <f>G291-N291-O291-P291-Q291-R291-S291-V291-X291-Y291-L291</f>
        <v/>
      </c>
      <c r="AG291" s="40">
        <f>AF291-AD291</f>
        <v/>
      </c>
      <c r="AH291" s="41">
        <f>AG291/G291</f>
        <v/>
      </c>
      <c r="AI291" s="42">
        <f>AG291/L291</f>
        <v/>
      </c>
      <c r="AJ291" s="34">
        <f>(O291+Q291+V291+X291+Y291+L291)/(1-(M291+$G$4+(1-H291)*$G$3+$G$8+Z291+AB291))</f>
        <v/>
      </c>
    </row>
    <row r="292">
      <c r="A292" s="55" t="inlineStr">
        <is>
          <t>MEDICUBE PDRN PINK COLLAGEN CAPSULE CREAM 55g</t>
        </is>
      </c>
      <c r="B292" s="56" t="n">
        <v>160</v>
      </c>
      <c r="C292" s="54" t="n"/>
      <c r="D292" s="27" t="n">
        <v>5270</v>
      </c>
      <c r="E292" s="27" t="n">
        <v>200</v>
      </c>
      <c r="F292" s="27" t="n">
        <v>17</v>
      </c>
      <c r="G292" s="27" t="n">
        <v>5000</v>
      </c>
      <c r="H292" s="28" t="n">
        <v>0.45</v>
      </c>
      <c r="I292" s="29">
        <f>G292*(1-H292)</f>
        <v/>
      </c>
      <c r="J292" s="30" t="n">
        <v>1019</v>
      </c>
      <c r="K292" s="31">
        <f>$G$5</f>
        <v/>
      </c>
      <c r="L292" s="32">
        <f>J292+K292</f>
        <v/>
      </c>
      <c r="M292" s="33" t="n">
        <v>0.41</v>
      </c>
      <c r="N292" s="34">
        <f>G292*M292</f>
        <v/>
      </c>
      <c r="O292" s="35" t="n">
        <v>63</v>
      </c>
      <c r="P292" s="34">
        <f>G292*$G$8</f>
        <v/>
      </c>
      <c r="Q292" s="35" t="n">
        <v>25</v>
      </c>
      <c r="R292" s="34">
        <f>G292*$G$4</f>
        <v/>
      </c>
      <c r="S292" s="34">
        <f>I292*$G$3</f>
        <v/>
      </c>
      <c r="T292" s="36" t="n">
        <v>0.9</v>
      </c>
      <c r="U292" s="35" t="n">
        <v>63</v>
      </c>
      <c r="V292" s="34">
        <f>U292*(1-T292)</f>
        <v/>
      </c>
      <c r="W292" s="37" t="n">
        <v>0.4</v>
      </c>
      <c r="X292" s="34">
        <f>$G$6*$G$7*W292</f>
        <v/>
      </c>
      <c r="Y292" s="32">
        <f>W292*($G$9+$G$10)</f>
        <v/>
      </c>
      <c r="Z292" s="33" t="n">
        <v>0.07000000000000001</v>
      </c>
      <c r="AA292" s="34">
        <f>G292*Z292</f>
        <v/>
      </c>
      <c r="AB292" s="36" t="n">
        <v>0.08</v>
      </c>
      <c r="AC292" s="34">
        <f>G292*AB292</f>
        <v/>
      </c>
      <c r="AD292" s="34">
        <f>AA292+AC292</f>
        <v/>
      </c>
      <c r="AE292" s="38">
        <f>AD292/G292</f>
        <v/>
      </c>
      <c r="AF292" s="39">
        <f>G292-N292-O292-P292-Q292-R292-S292-V292-X292-Y292-L292</f>
        <v/>
      </c>
      <c r="AG292" s="40">
        <f>AF292-AD292</f>
        <v/>
      </c>
      <c r="AH292" s="41">
        <f>AG292/G292</f>
        <v/>
      </c>
      <c r="AI292" s="42">
        <f>AG292/L292</f>
        <v/>
      </c>
      <c r="AJ292" s="34">
        <f>(O292+Q292+V292+X292+Y292+L292)/(1-(M292+$G$4+(1-H292)*$G$3+$G$8+Z292+AB292))</f>
        <v/>
      </c>
    </row>
    <row r="293">
      <c r="A293" s="55" t="inlineStr">
        <is>
          <t>MEDICUBE PDRN PINK HYALURONIC MOISTURIZING CREAM 50ml</t>
        </is>
      </c>
      <c r="B293" s="56" t="n">
        <v>200</v>
      </c>
      <c r="C293" s="54" t="n"/>
      <c r="D293" s="27" t="n">
        <v>3450</v>
      </c>
      <c r="E293" s="27" t="n">
        <v>100</v>
      </c>
      <c r="F293" s="27" t="n">
        <v>10</v>
      </c>
      <c r="G293" s="27" t="n">
        <v>3150</v>
      </c>
      <c r="H293" s="28" t="n">
        <v>0.45</v>
      </c>
      <c r="I293" s="29">
        <f>G293*(1-H293)</f>
        <v/>
      </c>
      <c r="J293" s="30" t="n">
        <v>670</v>
      </c>
      <c r="K293" s="31">
        <f>$G$5</f>
        <v/>
      </c>
      <c r="L293" s="32">
        <f>J293+K293</f>
        <v/>
      </c>
      <c r="M293" s="33" t="n">
        <v>0.41</v>
      </c>
      <c r="N293" s="34">
        <f>G293*M293</f>
        <v/>
      </c>
      <c r="O293" s="35" t="n">
        <v>63</v>
      </c>
      <c r="P293" s="34">
        <f>G293*$G$8</f>
        <v/>
      </c>
      <c r="Q293" s="35" t="n">
        <v>25</v>
      </c>
      <c r="R293" s="34">
        <f>G293*$G$4</f>
        <v/>
      </c>
      <c r="S293" s="34">
        <f>I293*$G$3</f>
        <v/>
      </c>
      <c r="T293" s="36" t="n">
        <v>0.9</v>
      </c>
      <c r="U293" s="35" t="n">
        <v>63</v>
      </c>
      <c r="V293" s="34">
        <f>U293*(1-T293)</f>
        <v/>
      </c>
      <c r="W293" s="37" t="n">
        <v>0.4</v>
      </c>
      <c r="X293" s="34">
        <f>$G$6*$G$7*W293</f>
        <v/>
      </c>
      <c r="Y293" s="32">
        <f>W293*($G$9+$G$10)</f>
        <v/>
      </c>
      <c r="Z293" s="33" t="n">
        <v>0.07000000000000001</v>
      </c>
      <c r="AA293" s="34">
        <f>G293*Z293</f>
        <v/>
      </c>
      <c r="AB293" s="36" t="n">
        <v>0.08</v>
      </c>
      <c r="AC293" s="34">
        <f>G293*AB293</f>
        <v/>
      </c>
      <c r="AD293" s="34">
        <f>AA293+AC293</f>
        <v/>
      </c>
      <c r="AE293" s="38">
        <f>AD293/G293</f>
        <v/>
      </c>
      <c r="AF293" s="39">
        <f>G293-N293-O293-P293-Q293-R293-S293-V293-X293-Y293-L293</f>
        <v/>
      </c>
      <c r="AG293" s="40">
        <f>AF293-AD293</f>
        <v/>
      </c>
      <c r="AH293" s="41">
        <f>AG293/G293</f>
        <v/>
      </c>
      <c r="AI293" s="42">
        <f>AG293/L293</f>
        <v/>
      </c>
      <c r="AJ293" s="34">
        <f>(O293+Q293+V293+X293+Y293+L293)/(1-(M293+$G$4+(1-H293)*$G$3+$G$8+Z293+AB293))</f>
        <v/>
      </c>
    </row>
    <row r="294">
      <c r="A294" s="55" t="inlineStr">
        <is>
          <t>[Derma Factory] PDRN 4% Ampoule</t>
        </is>
      </c>
      <c r="B294" s="56" t="n">
        <v>1530</v>
      </c>
      <c r="C294" s="54" t="n"/>
      <c r="D294" s="27" t="n">
        <v>3350</v>
      </c>
      <c r="E294" s="27" t="n">
        <v>400</v>
      </c>
      <c r="F294" s="27" t="n">
        <v>13</v>
      </c>
      <c r="G294" s="27" t="n">
        <v>3050</v>
      </c>
      <c r="H294" s="28" t="n">
        <v>0.45</v>
      </c>
      <c r="I294" s="29">
        <f>G294*(1-H294)</f>
        <v/>
      </c>
      <c r="J294" s="30" t="n">
        <v>407</v>
      </c>
      <c r="K294" s="31">
        <f>$G$5</f>
        <v/>
      </c>
      <c r="L294" s="32">
        <f>J294+K294</f>
        <v/>
      </c>
      <c r="M294" s="33" t="n">
        <v>0.41</v>
      </c>
      <c r="N294" s="34">
        <f>G294*M294</f>
        <v/>
      </c>
      <c r="O294" s="35" t="n">
        <v>63</v>
      </c>
      <c r="P294" s="34">
        <f>G294*$G$8</f>
        <v/>
      </c>
      <c r="Q294" s="35" t="n">
        <v>25</v>
      </c>
      <c r="R294" s="34">
        <f>G294*$G$4</f>
        <v/>
      </c>
      <c r="S294" s="34">
        <f>I294*$G$3</f>
        <v/>
      </c>
      <c r="T294" s="36" t="n">
        <v>0.9</v>
      </c>
      <c r="U294" s="35" t="n">
        <v>63</v>
      </c>
      <c r="V294" s="34">
        <f>U294*(1-T294)</f>
        <v/>
      </c>
      <c r="W294" s="37" t="n">
        <v>0.4</v>
      </c>
      <c r="X294" s="34">
        <f>$G$6*$G$7*W294</f>
        <v/>
      </c>
      <c r="Y294" s="32">
        <f>W294*($G$9+$G$10)</f>
        <v/>
      </c>
      <c r="Z294" s="33" t="n">
        <v>0.07000000000000001</v>
      </c>
      <c r="AA294" s="34">
        <f>G294*Z294</f>
        <v/>
      </c>
      <c r="AB294" s="36" t="n">
        <v>0.08</v>
      </c>
      <c r="AC294" s="34">
        <f>G294*AB294</f>
        <v/>
      </c>
      <c r="AD294" s="34">
        <f>AA294+AC294</f>
        <v/>
      </c>
      <c r="AE294" s="38">
        <f>AD294/G294</f>
        <v/>
      </c>
      <c r="AF294" s="39">
        <f>G294-N294-O294-P294-Q294-R294-S294-V294-X294-Y294-L294</f>
        <v/>
      </c>
      <c r="AG294" s="40">
        <f>AF294-AD294</f>
        <v/>
      </c>
      <c r="AH294" s="41">
        <f>AG294/G294</f>
        <v/>
      </c>
      <c r="AI294" s="42">
        <f>AG294/L294</f>
        <v/>
      </c>
      <c r="AJ294" s="34">
        <f>(O294+Q294+V294+X294+Y294+L294)/(1-(M294+$G$4+(1-H294)*$G$3+$G$8+Z294+AB294))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2026-08-05T11:54:54Z</dcterms:created>
  <dcterms:modified xsi:type="dcterms:W3CDTF">2026-08-05T11:54:55Z</dcterms:modified>
</cp:coreProperties>
</file>
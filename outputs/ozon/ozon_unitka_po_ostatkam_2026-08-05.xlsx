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Юнитка Ozon (liv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theme="1"/>
      <sz val="12"/>
    </font>
    <font>
      <name val="Calibri"/>
      <color theme="1"/>
      <scheme val="minor"/>
    </font>
    <font>
      <name val="Calibri"/>
      <b val="1"/>
      <color theme="1"/>
      <sz val="11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i val="1"/>
      <color theme="1"/>
      <sz val="11"/>
    </font>
    <font>
      <name val="Arial"/>
      <color theme="1"/>
      <sz val="8"/>
    </font>
    <font>
      <name val="Arial"/>
      <color rgb="FFFF0000"/>
      <sz val="9"/>
    </font>
    <font>
      <name val="Arial"/>
      <color theme="1"/>
      <sz val="9"/>
    </font>
    <font>
      <name val="Calibri"/>
      <color theme="1"/>
      <sz val="11"/>
      <scheme val="minor"/>
    </font>
    <font>
      <name val="Calibri"/>
      <color rgb="FFFF0000"/>
      <scheme val="minor"/>
    </font>
  </fonts>
  <fills count="13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left style="medium">
        <color rgb="FF00000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000000"/>
      </righ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9" fontId="3" fillId="2" borderId="2" pivotButton="0" quotePrefix="0" xfId="0"/>
    <xf numFmtId="164" fontId="3" fillId="2" borderId="2" pivotButton="0" quotePrefix="0" xfId="0"/>
    <xf numFmtId="3" fontId="3" fillId="2" borderId="2" pivotButton="0" quotePrefix="0" xfId="0"/>
    <xf numFmtId="2" fontId="3" fillId="2" borderId="2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5" fillId="0" borderId="2" applyAlignment="1" pivotButton="0" quotePrefix="0" xfId="0">
      <alignment wrapText="1"/>
    </xf>
    <xf numFmtId="0" fontId="6" fillId="4" borderId="2" applyAlignment="1" pivotButton="0" quotePrefix="0" xfId="0">
      <alignment horizontal="center"/>
    </xf>
    <xf numFmtId="0" fontId="6" fillId="4" borderId="2" pivotButton="0" quotePrefix="0" xfId="0"/>
    <xf numFmtId="3" fontId="3" fillId="5" borderId="2" applyAlignment="1" pivotButton="0" quotePrefix="0" xfId="0">
      <alignment horizontal="center"/>
    </xf>
    <xf numFmtId="164" fontId="5" fillId="2" borderId="3" pivotButton="0" quotePrefix="0" xfId="0"/>
    <xf numFmtId="3" fontId="5" fillId="0" borderId="4" pivotButton="0" quotePrefix="0" xfId="0"/>
    <xf numFmtId="4" fontId="5" fillId="2" borderId="2" pivotButton="0" quotePrefix="0" xfId="0"/>
    <xf numFmtId="4" fontId="5" fillId="0" borderId="2" pivotButton="0" quotePrefix="0" xfId="0"/>
    <xf numFmtId="4" fontId="5" fillId="0" borderId="5" pivotButton="0" quotePrefix="0" xfId="0"/>
    <xf numFmtId="164" fontId="5" fillId="2" borderId="4" pivotButton="0" quotePrefix="0" xfId="0"/>
    <xf numFmtId="3" fontId="5" fillId="0" borderId="2" pivotButton="0" quotePrefix="0" xfId="0"/>
    <xf numFmtId="3" fontId="5" fillId="2" borderId="2" pivotButton="0" quotePrefix="0" xfId="0"/>
    <xf numFmtId="164" fontId="5" fillId="2" borderId="2" pivotButton="0" quotePrefix="0" xfId="0"/>
    <xf numFmtId="2" fontId="5" fillId="2" borderId="2" pivotButton="0" quotePrefix="0" xfId="0"/>
    <xf numFmtId="164" fontId="5" fillId="0" borderId="5" pivotButton="0" quotePrefix="0" xfId="0"/>
    <xf numFmtId="3" fontId="5" fillId="0" borderId="6" pivotButton="0" quotePrefix="0" xfId="0"/>
    <xf numFmtId="3" fontId="3" fillId="6" borderId="2" pivotButton="0" quotePrefix="0" xfId="0"/>
    <xf numFmtId="164" fontId="5" fillId="0" borderId="2" pivotButton="0" quotePrefix="0" xfId="0"/>
    <xf numFmtId="164" fontId="3" fillId="6" borderId="2" pivotButton="0" quotePrefix="0" xfId="0"/>
    <xf numFmtId="3" fontId="3" fillId="7" borderId="2" pivotButton="0" quotePrefix="0" xfId="0"/>
    <xf numFmtId="164" fontId="5" fillId="7" borderId="2" pivotButton="0" quotePrefix="0" xfId="0"/>
    <xf numFmtId="164" fontId="3" fillId="7" borderId="2" pivotButton="0" quotePrefix="0" xfId="0"/>
    <xf numFmtId="0" fontId="7" fillId="8" borderId="7" applyAlignment="1" pivotButton="0" quotePrefix="0" xfId="0">
      <alignment vertical="bottom"/>
    </xf>
    <xf numFmtId="4" fontId="8" fillId="9" borderId="8" applyAlignment="1" pivotButton="0" quotePrefix="0" xfId="0">
      <alignment horizontal="center"/>
    </xf>
    <xf numFmtId="0" fontId="7" fillId="2" borderId="7" applyAlignment="1" pivotButton="0" quotePrefix="0" xfId="0">
      <alignment vertical="bottom"/>
    </xf>
    <xf numFmtId="4" fontId="9" fillId="9" borderId="8" applyAlignment="1" pivotButton="0" quotePrefix="0" xfId="0">
      <alignment horizontal="center"/>
    </xf>
    <xf numFmtId="4" fontId="9" fillId="9" borderId="9" applyAlignment="1" pivotButton="0" quotePrefix="0" xfId="0">
      <alignment horizontal="center" vertical="bottom"/>
    </xf>
    <xf numFmtId="0" fontId="7" fillId="10" borderId="7" applyAlignment="1" pivotButton="0" quotePrefix="0" xfId="0">
      <alignment vertical="bottom"/>
    </xf>
    <xf numFmtId="0" fontId="5" fillId="11" borderId="2" applyAlignment="1" pivotButton="0" quotePrefix="0" xfId="0">
      <alignment wrapText="1"/>
    </xf>
    <xf numFmtId="0" fontId="2" fillId="0" borderId="1" applyAlignment="1" pivotButton="0" quotePrefix="0" xfId="0">
      <alignment horizontal="center"/>
    </xf>
    <xf numFmtId="0" fontId="10" fillId="0" borderId="1" pivotButton="0" quotePrefix="0" xfId="0"/>
    <xf numFmtId="0" fontId="5" fillId="12" borderId="2" applyAlignment="1" pivotButton="0" quotePrefix="0" xfId="0">
      <alignment wrapText="1"/>
    </xf>
    <xf numFmtId="0" fontId="6" fillId="12" borderId="2" applyAlignment="1" pivotButton="0" quotePrefix="0" xfId="0">
      <alignment horizontal="center"/>
    </xf>
    <xf numFmtId="0" fontId="6" fillId="4" borderId="1" pivotButton="0" quotePrefix="0" xfId="0"/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2"/>
  <sheetViews>
    <sheetView workbookViewId="0">
      <pane xSplit="7" ySplit="12" topLeftCell="H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.71" customWidth="1" min="1" max="1"/>
    <col width="12.14" customWidth="1" min="2" max="2"/>
    <col width="18.86" customWidth="1" min="3" max="3"/>
    <col width="10" customWidth="1" min="4" max="4"/>
    <col width="11.14" customWidth="1" min="5" max="5"/>
    <col width="11.29" customWidth="1" min="6" max="6"/>
    <col width="10" customWidth="1" min="7" max="7"/>
    <col width="7.43" customWidth="1" min="8" max="8"/>
    <col width="8.57" customWidth="1" min="9" max="9"/>
    <col width="7.71" customWidth="1" min="10" max="10"/>
    <col width="9.859999999999999" customWidth="1" min="11" max="11"/>
    <col width="7.14" customWidth="1" min="12" max="12"/>
    <col width="9.43" customWidth="1" min="13" max="13"/>
    <col width="13.43" customWidth="1" min="14" max="14"/>
    <col width="13.29" customWidth="1" min="15" max="15"/>
    <col width="9.289999999999999" customWidth="1" min="16" max="16"/>
    <col width="9.43" customWidth="1" min="17" max="17"/>
    <col width="10" customWidth="1" min="18" max="18"/>
    <col width="6.43" customWidth="1" min="19" max="19"/>
    <col width="9" customWidth="1" min="20" max="20"/>
    <col width="8.289999999999999" customWidth="1" min="21" max="21"/>
    <col width="13" customWidth="1" min="22" max="22"/>
    <col width="9.43" customWidth="1" min="23" max="23"/>
    <col width="10" customWidth="1" min="24" max="24"/>
    <col width="13.43" customWidth="1" min="25" max="25"/>
    <col width="10" customWidth="1" min="26" max="26"/>
    <col width="13" customWidth="1" min="27" max="27"/>
    <col width="8.710000000000001" customWidth="1" min="28" max="28"/>
    <col width="13" customWidth="1" min="29" max="29"/>
    <col width="9" customWidth="1" min="30" max="30"/>
    <col width="6.86" customWidth="1" min="31" max="31"/>
    <col width="10.43" customWidth="1" min="32" max="32"/>
    <col width="8.57" customWidth="1" min="33" max="33"/>
    <col width="9.710000000000001" customWidth="1" min="34" max="34"/>
    <col width="6.43" customWidth="1" min="35" max="35"/>
    <col width="9.140000000000001" customWidth="1" min="36" max="36"/>
  </cols>
  <sheetData>
    <row r="1">
      <c r="A1" s="1" t="inlineStr">
        <is>
          <t>ПАРАМЕТРЫ — меняй жёлтые ячейки, всё пересчитается</t>
        </is>
      </c>
    </row>
    <row r="3">
      <c r="A3" s="2" t="inlineStr">
        <is>
          <t>Налог с оборота</t>
        </is>
      </c>
      <c r="G3" s="3" t="n">
        <v>0.07000000000000001</v>
      </c>
    </row>
    <row r="4">
      <c r="A4" s="2" t="inlineStr">
        <is>
          <t>Эквайринг</t>
        </is>
      </c>
      <c r="G4" s="4" t="n">
        <v>0.015</v>
      </c>
    </row>
    <row r="5">
      <c r="A5" s="2" t="inlineStr">
        <is>
          <t>Фулфилмент, ₽/шт</t>
        </is>
      </c>
      <c r="G5" s="5" t="n">
        <v>60</v>
      </c>
    </row>
    <row r="6">
      <c r="A6" s="2" t="inlineStr">
        <is>
          <t>Хранение, ₽/л/день</t>
        </is>
      </c>
      <c r="G6" s="6" t="n">
        <v>0.16</v>
      </c>
    </row>
    <row r="7">
      <c r="A7" s="2" t="inlineStr">
        <is>
          <t>Дней хранения</t>
        </is>
      </c>
      <c r="G7" s="5" t="n">
        <v>0</v>
      </c>
    </row>
    <row r="8">
      <c r="A8" s="2" t="inlineStr">
        <is>
          <t>Наценка за нелокальные продажи %</t>
        </is>
      </c>
      <c r="G8" s="4" t="n">
        <v>0.02</v>
      </c>
    </row>
    <row r="9">
      <c r="A9" s="2" t="inlineStr">
        <is>
          <t>Кроссдок: обработка (склады/СЦ) ₽/л</t>
        </is>
      </c>
      <c r="G9" s="6" t="n">
        <v>0.75</v>
      </c>
    </row>
    <row r="10">
      <c r="A10" s="2" t="inlineStr">
        <is>
          <t>Кроссдок: перевозка ₽/л (средн. 26 скл.)</t>
        </is>
      </c>
      <c r="G10" s="6" t="n">
        <v>4.423</v>
      </c>
    </row>
    <row r="12">
      <c r="A12" s="7" t="inlineStr">
        <is>
          <t>Товар</t>
        </is>
      </c>
      <c r="B12" s="7" t="inlineStr">
        <is>
          <t>Заказ контейнер шт</t>
        </is>
      </c>
      <c r="C12" s="7" t="inlineStr">
        <is>
          <t>Комментарий</t>
        </is>
      </c>
      <c r="D12" s="7" t="inlineStr">
        <is>
          <t>Цена конкурента без СПП</t>
        </is>
      </c>
      <c r="E12" s="7" t="inlineStr">
        <is>
          <t>Кол-во продаж конкурент</t>
        </is>
      </c>
      <c r="F12" s="7" t="inlineStr">
        <is>
          <t>ДРР конкурент</t>
        </is>
      </c>
      <c r="G12" s="7" t="inlineStr">
        <is>
          <t>Цена наша без СПП</t>
        </is>
      </c>
      <c r="H12" s="8" t="inlineStr">
        <is>
          <t>СПП, %</t>
        </is>
      </c>
      <c r="I12" s="9" t="inlineStr">
        <is>
          <t>Цена с СПП</t>
        </is>
      </c>
      <c r="J12" s="7" t="inlineStr">
        <is>
          <t>Себест.</t>
        </is>
      </c>
      <c r="K12" s="7" t="inlineStr">
        <is>
          <t>Фулфилмент</t>
        </is>
      </c>
      <c r="L12" s="10" t="inlineStr">
        <is>
          <t>База затрат</t>
        </is>
      </c>
      <c r="M12" s="9" t="inlineStr">
        <is>
          <t>Комиссия %</t>
        </is>
      </c>
      <c r="N12" s="7" t="inlineStr">
        <is>
          <t>Комиссия ₽</t>
        </is>
      </c>
      <c r="O12" s="7" t="inlineStr">
        <is>
          <t>Логистика</t>
        </is>
      </c>
      <c r="P12" s="7" t="inlineStr">
        <is>
          <t>Наценка нелок., ₽</t>
        </is>
      </c>
      <c r="Q12" s="7" t="inlineStr">
        <is>
          <t>Доставка до ПВЗ</t>
        </is>
      </c>
      <c r="R12" s="7" t="inlineStr">
        <is>
          <t>Эквайринг</t>
        </is>
      </c>
      <c r="S12" s="7" t="inlineStr">
        <is>
          <t>Налог</t>
        </is>
      </c>
      <c r="T12" s="7" t="inlineStr">
        <is>
          <t>Выкуп %</t>
        </is>
      </c>
      <c r="U12" s="7" t="inlineStr">
        <is>
          <t>Обр.лог база</t>
        </is>
      </c>
      <c r="V12" s="7" t="inlineStr">
        <is>
          <t>Обр.лог</t>
        </is>
      </c>
      <c r="W12" s="7" t="inlineStr">
        <is>
          <t>Объём, л</t>
        </is>
      </c>
      <c r="X12" s="7" t="inlineStr">
        <is>
          <t>Хранение</t>
        </is>
      </c>
      <c r="Y12" s="10" t="inlineStr">
        <is>
          <t>Кроссдок ср., ₽/ед</t>
        </is>
      </c>
      <c r="Z12" s="9" t="inlineStr">
        <is>
          <t>Оплата за клик, %</t>
        </is>
      </c>
      <c r="AA12" s="7" t="inlineStr">
        <is>
          <t>Оплата за клик ₽</t>
        </is>
      </c>
      <c r="AB12" s="7" t="inlineStr">
        <is>
          <t>Вывод в топ, %</t>
        </is>
      </c>
      <c r="AC12" s="7" t="inlineStr">
        <is>
          <t>Вывод в топ ₽</t>
        </is>
      </c>
      <c r="AD12" s="7" t="inlineStr">
        <is>
          <t>Реклама всего ₽</t>
        </is>
      </c>
      <c r="AE12" s="10" t="inlineStr">
        <is>
          <t>ДРР %</t>
        </is>
      </c>
      <c r="AF12" s="11" t="inlineStr">
        <is>
          <t>Маржа до рекл.</t>
        </is>
      </c>
      <c r="AG12" s="7" t="inlineStr">
        <is>
          <t>Маржа/шт</t>
        </is>
      </c>
      <c r="AH12" s="7" t="inlineStr">
        <is>
          <t>Маржа % цены</t>
        </is>
      </c>
      <c r="AI12" s="7" t="inlineStr">
        <is>
          <t>ROI %</t>
        </is>
      </c>
      <c r="AJ12" s="7" t="inlineStr">
        <is>
          <t>Цена безубыт.</t>
        </is>
      </c>
    </row>
    <row r="13">
      <c r="A13" s="12" t="inlineStr">
        <is>
          <t>COSRX - Salicylic Acid Daily Gentle Cleanser [150ml] / Пенка с салициловой кислотой для проблемной кожи</t>
        </is>
      </c>
      <c r="B13" s="13" t="n"/>
      <c r="C13" s="14" t="n"/>
      <c r="D13" s="15" t="n">
        <v>1680</v>
      </c>
      <c r="E13" s="15" t="n">
        <v>286</v>
      </c>
      <c r="F13" s="15" t="n">
        <v>22.3</v>
      </c>
      <c r="G13" s="15" t="n">
        <v>1630</v>
      </c>
      <c r="H13" s="16" t="n">
        <v>0.45</v>
      </c>
      <c r="I13" s="17">
        <f>G13*(1-H13)</f>
        <v/>
      </c>
      <c r="J13" s="18" t="n">
        <v>343.82</v>
      </c>
      <c r="K13" s="19" t="inlineStr">
        <is>
          <t>=</t>
        </is>
      </c>
      <c r="L13" s="20">
        <f>J13+K13</f>
        <v/>
      </c>
      <c r="M13" s="21" t="n">
        <v>0.41</v>
      </c>
      <c r="N13" s="22">
        <f>G13*M13</f>
        <v/>
      </c>
      <c r="O13" s="23" t="n">
        <v>67</v>
      </c>
      <c r="P13" s="22">
        <f>G13*</f>
        <v/>
      </c>
      <c r="Q13" s="23" t="n">
        <v>25</v>
      </c>
      <c r="R13" s="22">
        <f>G13*</f>
        <v/>
      </c>
      <c r="S13" s="22">
        <f>I13*</f>
        <v/>
      </c>
      <c r="T13" s="24" t="n">
        <v>0.9</v>
      </c>
      <c r="U13" s="23" t="n">
        <v>67</v>
      </c>
      <c r="V13" s="22">
        <f>U13*(1-T13)</f>
        <v/>
      </c>
      <c r="W13" s="25" t="n">
        <v>0.63</v>
      </c>
      <c r="X13" s="22">
        <f>**W13</f>
        <v/>
      </c>
      <c r="Y13" s="20">
        <f>W13*(+0)</f>
        <v/>
      </c>
      <c r="Z13" s="21" t="n">
        <v>0.11</v>
      </c>
      <c r="AA13" s="22">
        <f>G13*Z13</f>
        <v/>
      </c>
      <c r="AB13" s="24" t="n">
        <v>0.11</v>
      </c>
      <c r="AC13" s="22">
        <f>G13*AB13</f>
        <v/>
      </c>
      <c r="AD13" s="22">
        <f>AA13+AC13</f>
        <v/>
      </c>
      <c r="AE13" s="26">
        <f>AD13/G13</f>
        <v/>
      </c>
      <c r="AF13" s="27">
        <f>G13-N13-O13-P13-Q13-R13-S13-V13-X13-Y13-L13</f>
        <v/>
      </c>
      <c r="AG13" s="28">
        <f>AF13-AD13</f>
        <v/>
      </c>
      <c r="AH13" s="29">
        <f>AG13/G13</f>
        <v/>
      </c>
      <c r="AI13" s="30">
        <f>AG13/L13</f>
        <v/>
      </c>
      <c r="AJ13" s="22">
        <f>(O13+Q13+V13+X13+Y13+L13)/(1-(M13++(1-H13)*++Z13+AB13))</f>
        <v/>
      </c>
    </row>
    <row r="14">
      <c r="A14" s="12" t="inlineStr">
        <is>
          <t>DEOPROCE SHAMPOO - BLACK GARLIC INTENSME ENERGY [200ml]/ Шампунь с черным чесноком против выпадения волос</t>
        </is>
      </c>
      <c r="B14" s="13" t="n"/>
      <c r="C14" s="14" t="n"/>
      <c r="D14" s="15" t="n">
        <v>980</v>
      </c>
      <c r="E14" s="15" t="n">
        <v>8</v>
      </c>
      <c r="F14" s="15" t="n">
        <v>0</v>
      </c>
      <c r="G14" s="15" t="n">
        <v>900</v>
      </c>
      <c r="H14" s="16" t="n">
        <v>0.45</v>
      </c>
      <c r="I14" s="17">
        <f>G14*(1-H14)</f>
        <v/>
      </c>
      <c r="J14" s="18" t="n">
        <v>151.13</v>
      </c>
      <c r="K14" s="19" t="inlineStr">
        <is>
          <t>=</t>
        </is>
      </c>
      <c r="L14" s="20">
        <f>J14+K14</f>
        <v/>
      </c>
      <c r="M14" s="21" t="n">
        <v>0.41</v>
      </c>
      <c r="N14" s="22">
        <f>G14*M14</f>
        <v/>
      </c>
      <c r="O14" s="23" t="n">
        <v>67</v>
      </c>
      <c r="P14" s="22">
        <f>G14*</f>
        <v/>
      </c>
      <c r="Q14" s="23" t="n">
        <v>25</v>
      </c>
      <c r="R14" s="22">
        <f>G14*</f>
        <v/>
      </c>
      <c r="S14" s="22">
        <f>I14*</f>
        <v/>
      </c>
      <c r="T14" s="24" t="n">
        <v>0.9</v>
      </c>
      <c r="U14" s="23" t="n">
        <v>67</v>
      </c>
      <c r="V14" s="22">
        <f>U14*(1-T14)</f>
        <v/>
      </c>
      <c r="W14" s="25" t="n">
        <v>0.68</v>
      </c>
      <c r="X14" s="22">
        <f>**W14</f>
        <v/>
      </c>
      <c r="Y14" s="20">
        <f>W14*(+0)</f>
        <v/>
      </c>
      <c r="Z14" s="21" t="n">
        <v>0.07000000000000001</v>
      </c>
      <c r="AA14" s="22">
        <f>G14*Z14</f>
        <v/>
      </c>
      <c r="AB14" s="24" t="n">
        <v>0.08</v>
      </c>
      <c r="AC14" s="22">
        <f>G14*AB14</f>
        <v/>
      </c>
      <c r="AD14" s="22">
        <f>AA14+AC14</f>
        <v/>
      </c>
      <c r="AE14" s="26">
        <f>AD14/G14</f>
        <v/>
      </c>
      <c r="AF14" s="27">
        <f>G14-N14-O14-P14-Q14-R14-S14-V14-X14-Y14-L14</f>
        <v/>
      </c>
      <c r="AG14" s="28">
        <f>AF14-AD14</f>
        <v/>
      </c>
      <c r="AH14" s="29">
        <f>AG14/G14</f>
        <v/>
      </c>
      <c r="AI14" s="30">
        <f>AG14/L14</f>
        <v/>
      </c>
      <c r="AJ14" s="22">
        <f>(O14+Q14+V14+X14+Y14+L14)/(1-(M14++(1-H14)*++Z14+AB14))</f>
        <v/>
      </c>
    </row>
    <row r="15">
      <c r="A15" s="12" t="inlineStr">
        <is>
          <t>DR. JART - Ctrl+A Teatreatment Toner [120ml] / Тонер тоник для лица увлажняющий с чайным деревом</t>
        </is>
      </c>
      <c r="B15" s="13" t="n"/>
      <c r="C15" s="14" t="n"/>
      <c r="D15" s="15" t="n"/>
      <c r="E15" s="15" t="inlineStr">
        <is>
          <t>89 (Закончились)</t>
        </is>
      </c>
      <c r="F15" s="15" t="n">
        <v>9.199999999999999</v>
      </c>
      <c r="G15" s="15">
        <f>(1.25*L15+O15+Q15+V15+X15+Y15)/(1-M15---(1-H15)*-Z15-AB15)</f>
        <v/>
      </c>
      <c r="H15" s="16" t="n">
        <v>0.45</v>
      </c>
      <c r="I15" s="17">
        <f>G15*(1-H15)</f>
        <v/>
      </c>
      <c r="J15" s="18" t="n">
        <v>637.89</v>
      </c>
      <c r="K15" s="19" t="inlineStr">
        <is>
          <t>=</t>
        </is>
      </c>
      <c r="L15" s="20">
        <f>J15+K15</f>
        <v/>
      </c>
      <c r="M15" s="21" t="n">
        <v>0.41</v>
      </c>
      <c r="N15" s="22">
        <f>G15*M15</f>
        <v/>
      </c>
      <c r="O15" s="23" t="n">
        <v>63</v>
      </c>
      <c r="P15" s="22">
        <f>G15*</f>
        <v/>
      </c>
      <c r="Q15" s="23" t="n">
        <v>25</v>
      </c>
      <c r="R15" s="22">
        <f>G15*</f>
        <v/>
      </c>
      <c r="S15" s="22">
        <f>I15*</f>
        <v/>
      </c>
      <c r="T15" s="24" t="n">
        <v>0.9</v>
      </c>
      <c r="U15" s="23" t="n">
        <v>63</v>
      </c>
      <c r="V15" s="22">
        <f>U15*(1-T15)</f>
        <v/>
      </c>
      <c r="W15" s="25" t="n">
        <v>0.33</v>
      </c>
      <c r="X15" s="22">
        <f>**W15</f>
        <v/>
      </c>
      <c r="Y15" s="20">
        <f>W15*(+0)</f>
        <v/>
      </c>
      <c r="Z15" s="21" t="n">
        <v>0.07000000000000001</v>
      </c>
      <c r="AA15" s="22">
        <f>G15*Z15</f>
        <v/>
      </c>
      <c r="AB15" s="24" t="n">
        <v>0.08</v>
      </c>
      <c r="AC15" s="22">
        <f>G15*AB15</f>
        <v/>
      </c>
      <c r="AD15" s="22">
        <f>AA15+AC15</f>
        <v/>
      </c>
      <c r="AE15" s="26">
        <f>AD15/G15</f>
        <v/>
      </c>
      <c r="AF15" s="27">
        <f>G15-N15-O15-P15-Q15-R15-S15-V15-X15-Y15-L15</f>
        <v/>
      </c>
      <c r="AG15" s="28">
        <f>AF15-AD15</f>
        <v/>
      </c>
      <c r="AH15" s="29">
        <f>AG15/G15</f>
        <v/>
      </c>
      <c r="AI15" s="30">
        <f>AG15/L15</f>
        <v/>
      </c>
      <c r="AJ15" s="22">
        <f>(O15+Q15+V15+X15+Y15+L15)/(1-(M15++(1-H15)*++Z15+AB15))</f>
        <v/>
      </c>
    </row>
    <row r="16">
      <c r="A16" s="12" t="inlineStr">
        <is>
          <t>EKEL - Ampule Сream Сollagen [70ml] / Крем для лица ампульный с коллагеном</t>
        </is>
      </c>
      <c r="B16" s="13" t="n"/>
      <c r="C16" s="14" t="n"/>
      <c r="D16" s="15" t="n">
        <v>1280</v>
      </c>
      <c r="E16" s="15" t="n">
        <v>4</v>
      </c>
      <c r="F16" s="15" t="n">
        <v>0</v>
      </c>
      <c r="G16" s="15">
        <f>(1.25*L16+O16+Q16+V16+X16+Y16)/(1-M16---(1-H16)*-Z16-AB16)</f>
        <v/>
      </c>
      <c r="H16" s="16" t="n">
        <v>0.45</v>
      </c>
      <c r="I16" s="17">
        <f>G16*(1-H16)</f>
        <v/>
      </c>
      <c r="J16" s="18" t="n">
        <v>142.13</v>
      </c>
      <c r="K16" s="19" t="inlineStr">
        <is>
          <t>=</t>
        </is>
      </c>
      <c r="L16" s="20">
        <f>J16+K16</f>
        <v/>
      </c>
      <c r="M16" s="21" t="n">
        <v>0.41</v>
      </c>
      <c r="N16" s="22">
        <f>G16*M16</f>
        <v/>
      </c>
      <c r="O16" s="23" t="n">
        <v>67</v>
      </c>
      <c r="P16" s="22">
        <f>G16*</f>
        <v/>
      </c>
      <c r="Q16" s="23" t="n">
        <v>25</v>
      </c>
      <c r="R16" s="22">
        <f>G16*</f>
        <v/>
      </c>
      <c r="S16" s="22">
        <f>I16*</f>
        <v/>
      </c>
      <c r="T16" s="24" t="n">
        <v>0.9</v>
      </c>
      <c r="U16" s="23" t="n">
        <v>67</v>
      </c>
      <c r="V16" s="22">
        <f>U16*(1-T16)</f>
        <v/>
      </c>
      <c r="W16" s="25" t="n">
        <v>0.42</v>
      </c>
      <c r="X16" s="22">
        <f>**W16</f>
        <v/>
      </c>
      <c r="Y16" s="20">
        <f>W16*(+0)</f>
        <v/>
      </c>
      <c r="Z16" s="21" t="n">
        <v>0.07000000000000001</v>
      </c>
      <c r="AA16" s="22">
        <f>G16*Z16</f>
        <v/>
      </c>
      <c r="AB16" s="24" t="n">
        <v>0.08</v>
      </c>
      <c r="AC16" s="22">
        <f>G16*AB16</f>
        <v/>
      </c>
      <c r="AD16" s="22">
        <f>AA16+AC16</f>
        <v/>
      </c>
      <c r="AE16" s="26">
        <f>AD16/G16</f>
        <v/>
      </c>
      <c r="AF16" s="27">
        <f>G16-N16-O16-P16-Q16-R16-S16-V16-X16-Y16-L16</f>
        <v/>
      </c>
      <c r="AG16" s="28">
        <f>AF16-AD16</f>
        <v/>
      </c>
      <c r="AH16" s="29">
        <f>AG16/G16</f>
        <v/>
      </c>
      <c r="AI16" s="30">
        <f>AG16/L16</f>
        <v/>
      </c>
      <c r="AJ16" s="22">
        <f>(O16+Q16+V16+X16+Y16+L16)/(1-(M16++(1-H16)*++Z16+AB16))</f>
        <v/>
      </c>
    </row>
    <row r="17">
      <c r="A17" s="12" t="inlineStr">
        <is>
          <t>ELIZAVECCA - CER-100 Collagen Ceramide Coating Protein Treatment [100ml] / Коллагеновая маска для волос</t>
        </is>
      </c>
      <c r="B17" s="13" t="n"/>
      <c r="C17" s="14" t="n"/>
      <c r="D17" s="15" t="n">
        <v>1315</v>
      </c>
      <c r="E17" s="15" t="n">
        <v>150</v>
      </c>
      <c r="F17" s="15" t="n">
        <v>0</v>
      </c>
      <c r="G17" s="15">
        <f>(1.25*L17+O17+Q17+V17+X17+Y17)/(1-M17---(1-H17)*-Z17-AB17)</f>
        <v/>
      </c>
      <c r="H17" s="16" t="n">
        <v>0.45</v>
      </c>
      <c r="I17" s="17">
        <f>G17*(1-H17)</f>
        <v/>
      </c>
      <c r="J17" s="18" t="n">
        <v>242.23</v>
      </c>
      <c r="K17" s="19" t="inlineStr">
        <is>
          <t>=</t>
        </is>
      </c>
      <c r="L17" s="20">
        <f>J17+K17</f>
        <v/>
      </c>
      <c r="M17" s="21" t="n">
        <v>0.41</v>
      </c>
      <c r="N17" s="22">
        <f>G17*M17</f>
        <v/>
      </c>
      <c r="O17" s="23" t="n">
        <v>67</v>
      </c>
      <c r="P17" s="22">
        <f>G17*</f>
        <v/>
      </c>
      <c r="Q17" s="23" t="n">
        <v>25</v>
      </c>
      <c r="R17" s="22">
        <f>G17*</f>
        <v/>
      </c>
      <c r="S17" s="22">
        <f>I17*</f>
        <v/>
      </c>
      <c r="T17" s="24" t="n">
        <v>0.9</v>
      </c>
      <c r="U17" s="23" t="n">
        <v>67</v>
      </c>
      <c r="V17" s="22">
        <f>U17*(1-T17)</f>
        <v/>
      </c>
      <c r="W17" s="25" t="n">
        <v>0.46</v>
      </c>
      <c r="X17" s="22">
        <f>**W17</f>
        <v/>
      </c>
      <c r="Y17" s="20">
        <f>W17*(+0)</f>
        <v/>
      </c>
      <c r="Z17" s="21" t="n">
        <v>0.07000000000000001</v>
      </c>
      <c r="AA17" s="22">
        <f>G17*Z17</f>
        <v/>
      </c>
      <c r="AB17" s="24" t="n">
        <v>0.08</v>
      </c>
      <c r="AC17" s="22">
        <f>G17*AB17</f>
        <v/>
      </c>
      <c r="AD17" s="22">
        <f>AA17+AC17</f>
        <v/>
      </c>
      <c r="AE17" s="26">
        <f>AD17/G17</f>
        <v/>
      </c>
      <c r="AF17" s="27">
        <f>G17-N17-O17-P17-Q17-R17-S17-V17-X17-Y17-L17</f>
        <v/>
      </c>
      <c r="AG17" s="28">
        <f>AF17-AD17</f>
        <v/>
      </c>
      <c r="AH17" s="29">
        <f>AG17/G17</f>
        <v/>
      </c>
      <c r="AI17" s="30">
        <f>AG17/L17</f>
        <v/>
      </c>
      <c r="AJ17" s="22">
        <f>(O17+Q17+V17+X17+Y17+L17)/(1-(M17++(1-H17)*++Z17+AB17))</f>
        <v/>
      </c>
    </row>
    <row r="18">
      <c r="A18" s="12" t="inlineStr">
        <is>
          <t>ELIZAVECCA - Hell-Pore Galactomyces Pure Ample / Сыворотка для лица с экстрактом галактомисиса</t>
        </is>
      </c>
      <c r="B18" s="13" t="n"/>
      <c r="C18" s="14" t="inlineStr">
        <is>
          <t>не смогла найти с продажами</t>
        </is>
      </c>
      <c r="D18" s="15" t="n"/>
      <c r="E18" s="15" t="n"/>
      <c r="F18" s="15" t="n"/>
      <c r="G18" s="15">
        <f>(1.25*L18+O18+Q18+V18+X18+Y18)/(1-M18---(1-H18)*-Z18-AB18)</f>
        <v/>
      </c>
      <c r="H18" s="16" t="n">
        <v>0.45</v>
      </c>
      <c r="I18" s="17">
        <f>G18*(1-H18)</f>
        <v/>
      </c>
      <c r="J18" s="18" t="n">
        <v>447.64</v>
      </c>
      <c r="K18" s="19" t="inlineStr">
        <is>
          <t>=</t>
        </is>
      </c>
      <c r="L18" s="20">
        <f>J18+K18</f>
        <v/>
      </c>
      <c r="M18" s="21" t="n">
        <v>0.41</v>
      </c>
      <c r="N18" s="22">
        <f>G18*M18</f>
        <v/>
      </c>
      <c r="O18" s="23" t="n">
        <v>63</v>
      </c>
      <c r="P18" s="22">
        <f>G18*</f>
        <v/>
      </c>
      <c r="Q18" s="23" t="n">
        <v>25</v>
      </c>
      <c r="R18" s="22">
        <f>G18*</f>
        <v/>
      </c>
      <c r="S18" s="22">
        <f>I18*</f>
        <v/>
      </c>
      <c r="T18" s="24" t="n">
        <v>0.9</v>
      </c>
      <c r="U18" s="23" t="n">
        <v>63</v>
      </c>
      <c r="V18" s="22">
        <f>U18*(1-T18)</f>
        <v/>
      </c>
      <c r="W18" s="25" t="n">
        <v>0.3</v>
      </c>
      <c r="X18" s="22">
        <f>**W18</f>
        <v/>
      </c>
      <c r="Y18" s="20">
        <f>W18*(+0)</f>
        <v/>
      </c>
      <c r="Z18" s="21" t="n">
        <v>0.07000000000000001</v>
      </c>
      <c r="AA18" s="22">
        <f>G18*Z18</f>
        <v/>
      </c>
      <c r="AB18" s="24" t="n">
        <v>0.08</v>
      </c>
      <c r="AC18" s="22">
        <f>G18*AB18</f>
        <v/>
      </c>
      <c r="AD18" s="22">
        <f>AA18+AC18</f>
        <v/>
      </c>
      <c r="AE18" s="26">
        <f>AD18/G18</f>
        <v/>
      </c>
      <c r="AF18" s="27">
        <f>G18-N18-O18-P18-Q18-R18-S18-V18-X18-Y18-L18</f>
        <v/>
      </c>
      <c r="AG18" s="28">
        <f>AF18-AD18</f>
        <v/>
      </c>
      <c r="AH18" s="29">
        <f>AG18/G18</f>
        <v/>
      </c>
      <c r="AI18" s="30">
        <f>AG18/L18</f>
        <v/>
      </c>
      <c r="AJ18" s="22">
        <f>(O18+Q18+V18+X18+Y18+L18)/(1-(M18++(1-H18)*++Z18+AB18))</f>
        <v/>
      </c>
    </row>
    <row r="19">
      <c r="A19" s="12" t="inlineStr">
        <is>
          <t>ELIZAVECCA - Milky Piggy EGF elastic retinol [100ml] / Антивозрастной крем для лица с ретинолом и EGF</t>
        </is>
      </c>
      <c r="B19" s="13" t="n"/>
      <c r="C19" s="14" t="n"/>
      <c r="D19" s="15" t="n">
        <v>1841</v>
      </c>
      <c r="E19" s="15" t="n">
        <v>47</v>
      </c>
      <c r="F19" s="15" t="n">
        <v>0</v>
      </c>
      <c r="G19" s="15" t="n">
        <v>1790</v>
      </c>
      <c r="H19" s="16" t="n">
        <v>0.45</v>
      </c>
      <c r="I19" s="17">
        <f>G19*(1-H19)</f>
        <v/>
      </c>
      <c r="J19" s="18" t="n">
        <v>602.1799999999999</v>
      </c>
      <c r="K19" s="19" t="inlineStr">
        <is>
          <t>=</t>
        </is>
      </c>
      <c r="L19" s="20">
        <f>J19+K19</f>
        <v/>
      </c>
      <c r="M19" s="21" t="n">
        <v>0.41</v>
      </c>
      <c r="N19" s="22">
        <f>G19*M19</f>
        <v/>
      </c>
      <c r="O19" s="23" t="n">
        <v>67</v>
      </c>
      <c r="P19" s="22">
        <f>G19*</f>
        <v/>
      </c>
      <c r="Q19" s="23" t="n">
        <v>25</v>
      </c>
      <c r="R19" s="22">
        <f>G19*</f>
        <v/>
      </c>
      <c r="S19" s="22">
        <f>I19*</f>
        <v/>
      </c>
      <c r="T19" s="24" t="n">
        <v>0.9</v>
      </c>
      <c r="U19" s="23" t="n">
        <v>67</v>
      </c>
      <c r="V19" s="22">
        <f>U19*(1-T19)</f>
        <v/>
      </c>
      <c r="W19" s="25" t="n">
        <v>0.58</v>
      </c>
      <c r="X19" s="22">
        <f>**W19</f>
        <v/>
      </c>
      <c r="Y19" s="20">
        <f>W19*(+0)</f>
        <v/>
      </c>
      <c r="Z19" s="21" t="n">
        <v>0.07000000000000001</v>
      </c>
      <c r="AA19" s="22">
        <f>G19*Z19</f>
        <v/>
      </c>
      <c r="AB19" s="24" t="n">
        <v>0.08</v>
      </c>
      <c r="AC19" s="22">
        <f>G19*AB19</f>
        <v/>
      </c>
      <c r="AD19" s="22">
        <f>AA19+AC19</f>
        <v/>
      </c>
      <c r="AE19" s="26">
        <f>AD19/G19</f>
        <v/>
      </c>
      <c r="AF19" s="27">
        <f>G19-N19-O19-P19-Q19-R19-S19-V19-X19-Y19-L19</f>
        <v/>
      </c>
      <c r="AG19" s="28">
        <f>AF19-AD19</f>
        <v/>
      </c>
      <c r="AH19" s="29">
        <f>AG19/G19</f>
        <v/>
      </c>
      <c r="AI19" s="30">
        <f>AG19/L19</f>
        <v/>
      </c>
      <c r="AJ19" s="22">
        <f>(O19+Q19+V19+X19+Y19+L19)/(1-(M19++(1-H19)*++Z19+AB19))</f>
        <v/>
      </c>
    </row>
    <row r="20">
      <c r="A20" s="12" t="inlineStr">
        <is>
          <t>ENOUGH - Collagen Moisture Essential Cream [50ml] / Увлажняющий крем для лица с коллагеном</t>
        </is>
      </c>
      <c r="B20" s="13" t="n"/>
      <c r="C20" s="14" t="inlineStr">
        <is>
          <t>260-382 (много подделок)</t>
        </is>
      </c>
      <c r="D20" s="15" t="n">
        <v>424</v>
      </c>
      <c r="E20" s="15" t="n">
        <v>166</v>
      </c>
      <c r="F20" s="15" t="n">
        <v>17</v>
      </c>
      <c r="G20" s="15" t="n">
        <v>750</v>
      </c>
      <c r="H20" s="16" t="n">
        <v>0.45</v>
      </c>
      <c r="I20" s="17">
        <f>G20*(1-H20)</f>
        <v/>
      </c>
      <c r="J20" s="18" t="n">
        <v>161.3</v>
      </c>
      <c r="K20" s="19" t="inlineStr">
        <is>
          <t>=</t>
        </is>
      </c>
      <c r="L20" s="20">
        <f>J20+K20</f>
        <v/>
      </c>
      <c r="M20" s="21" t="n">
        <v>0.41</v>
      </c>
      <c r="N20" s="22">
        <f>G20*M20</f>
        <v/>
      </c>
      <c r="O20" s="23" t="n">
        <v>67</v>
      </c>
      <c r="P20" s="22">
        <f>G20*</f>
        <v/>
      </c>
      <c r="Q20" s="23" t="n">
        <v>25</v>
      </c>
      <c r="R20" s="22">
        <f>G20*</f>
        <v/>
      </c>
      <c r="S20" s="22">
        <f>I20*</f>
        <v/>
      </c>
      <c r="T20" s="24" t="n">
        <v>0.9</v>
      </c>
      <c r="U20" s="23" t="n">
        <v>67</v>
      </c>
      <c r="V20" s="22">
        <f>U20*(1-T20)</f>
        <v/>
      </c>
      <c r="W20" s="25" t="n">
        <v>0.72</v>
      </c>
      <c r="X20" s="22">
        <f>**W20</f>
        <v/>
      </c>
      <c r="Y20" s="20">
        <f>W20*(+0)</f>
        <v/>
      </c>
      <c r="Z20" s="21" t="n">
        <v>0.07000000000000001</v>
      </c>
      <c r="AA20" s="22">
        <f>G20*Z20</f>
        <v/>
      </c>
      <c r="AB20" s="24" t="n">
        <v>0.08</v>
      </c>
      <c r="AC20" s="22">
        <f>G20*AB20</f>
        <v/>
      </c>
      <c r="AD20" s="22">
        <f>AA20+AC20</f>
        <v/>
      </c>
      <c r="AE20" s="26">
        <f>AD20/G20</f>
        <v/>
      </c>
      <c r="AF20" s="27">
        <f>G20-N20-O20-P20-Q20-R20-S20-V20-X20-Y20-L20</f>
        <v/>
      </c>
      <c r="AG20" s="31">
        <f>AF20-AD20</f>
        <v/>
      </c>
      <c r="AH20" s="32">
        <f>AG20/G20</f>
        <v/>
      </c>
      <c r="AI20" s="33">
        <f>AG20/L20</f>
        <v/>
      </c>
      <c r="AJ20" s="22">
        <f>(O20+Q20+V20+X20+Y20+L20)/(1-(M20++(1-H20)*++Z20+AB20))</f>
        <v/>
      </c>
    </row>
    <row r="21">
      <c r="A21" s="34" t="inlineStr">
        <is>
          <t>ENOUGH - Collagen Whitening Moisture Cream 3in1 [50g] / Антивозрастной отбеливающий крем с коллагеном</t>
        </is>
      </c>
      <c r="B21" s="13" t="n"/>
      <c r="C21" s="14" t="n"/>
      <c r="D21" s="15" t="n">
        <v>827</v>
      </c>
      <c r="E21" s="15" t="n">
        <v>96</v>
      </c>
      <c r="F21" s="15" t="n">
        <v>20</v>
      </c>
      <c r="G21" s="15">
        <f>(1.25*L21+O21+Q21+V21+X21+Y21)/(1-M21---(1-H21)*-Z21-AB21)</f>
        <v/>
      </c>
      <c r="H21" s="16" t="n">
        <v>0.45</v>
      </c>
      <c r="I21" s="17">
        <f>G21*(1-H21)</f>
        <v/>
      </c>
      <c r="J21" s="35" t="n">
        <v>183.88</v>
      </c>
      <c r="K21" s="19" t="inlineStr">
        <is>
          <t>=</t>
        </is>
      </c>
      <c r="L21" s="20">
        <f>J21+K21</f>
        <v/>
      </c>
      <c r="M21" s="21" t="n">
        <v>0.41</v>
      </c>
      <c r="N21" s="22">
        <f>G21*M21</f>
        <v/>
      </c>
      <c r="O21" s="23" t="n">
        <v>67</v>
      </c>
      <c r="P21" s="22">
        <f>G21*</f>
        <v/>
      </c>
      <c r="Q21" s="23" t="n">
        <v>25</v>
      </c>
      <c r="R21" s="22">
        <f>G21*</f>
        <v/>
      </c>
      <c r="S21" s="22">
        <f>I21*</f>
        <v/>
      </c>
      <c r="T21" s="24" t="n">
        <v>0.9</v>
      </c>
      <c r="U21" s="23" t="n">
        <v>67</v>
      </c>
      <c r="V21" s="22">
        <f>U21*(1-T21)</f>
        <v/>
      </c>
      <c r="W21" s="25" t="n">
        <v>0.72</v>
      </c>
      <c r="X21" s="22">
        <f>**W21</f>
        <v/>
      </c>
      <c r="Y21" s="20">
        <f>W21*(+0)</f>
        <v/>
      </c>
      <c r="Z21" s="21" t="n">
        <v>0.07000000000000001</v>
      </c>
      <c r="AA21" s="22">
        <f>G21*Z21</f>
        <v/>
      </c>
      <c r="AB21" s="24" t="n">
        <v>0.08</v>
      </c>
      <c r="AC21" s="22">
        <f>G21*AB21</f>
        <v/>
      </c>
      <c r="AD21" s="22">
        <f>AA21+AC21</f>
        <v/>
      </c>
      <c r="AE21" s="26">
        <f>AD21/G21</f>
        <v/>
      </c>
      <c r="AF21" s="27">
        <f>G21-N21-O21-P21-Q21-R21-S21-V21-X21-Y21-L21</f>
        <v/>
      </c>
      <c r="AG21" s="31">
        <f>AF21-AD21</f>
        <v/>
      </c>
      <c r="AH21" s="32">
        <f>AG21/G21</f>
        <v/>
      </c>
      <c r="AI21" s="33">
        <f>AG21/L21</f>
        <v/>
      </c>
      <c r="AJ21" s="22">
        <f>(O21+Q21+V21+X21+Y21+L21)/(1-(M21++(1-H21)*++Z21+AB21))</f>
        <v/>
      </c>
    </row>
    <row r="22">
      <c r="A22" s="34" t="inlineStr">
        <is>
          <t>ENOUGH - Collagen Moisture Foundation [Tone 13] / Тональный крем для лица с коллагеном 13 тон</t>
        </is>
      </c>
      <c r="B22" s="13" t="n"/>
      <c r="C22" s="14" t="n"/>
      <c r="D22" s="15" t="n">
        <v>1980</v>
      </c>
      <c r="E22" s="15" t="n">
        <v>195</v>
      </c>
      <c r="F22" s="15" t="n">
        <v>8</v>
      </c>
      <c r="G22" s="15" t="n">
        <v>1800</v>
      </c>
      <c r="H22" s="16" t="n">
        <v>0.45</v>
      </c>
      <c r="I22" s="17">
        <f>G22*(1-H22)</f>
        <v/>
      </c>
      <c r="J22" s="35" t="n">
        <v>216.45</v>
      </c>
      <c r="K22" s="19" t="inlineStr">
        <is>
          <t>=</t>
        </is>
      </c>
      <c r="L22" s="20">
        <f>J22+K22</f>
        <v/>
      </c>
      <c r="M22" s="21" t="n">
        <v>0.41</v>
      </c>
      <c r="N22" s="22">
        <f>G22*M22</f>
        <v/>
      </c>
      <c r="O22" s="23" t="n">
        <v>67</v>
      </c>
      <c r="P22" s="22">
        <f>G22*</f>
        <v/>
      </c>
      <c r="Q22" s="23" t="n">
        <v>25</v>
      </c>
      <c r="R22" s="22">
        <f>G22*</f>
        <v/>
      </c>
      <c r="S22" s="22">
        <f>I22*</f>
        <v/>
      </c>
      <c r="T22" s="24" t="n">
        <v>0.9</v>
      </c>
      <c r="U22" s="23" t="n">
        <v>67</v>
      </c>
      <c r="V22" s="22">
        <f>U22*(1-T22)</f>
        <v/>
      </c>
      <c r="W22" s="25" t="n">
        <v>0.4</v>
      </c>
      <c r="X22" s="22">
        <f>**W22</f>
        <v/>
      </c>
      <c r="Y22" s="20">
        <f>W22*(+0)</f>
        <v/>
      </c>
      <c r="Z22" s="21" t="n">
        <v>0.07000000000000001</v>
      </c>
      <c r="AA22" s="22">
        <f>G22*Z22</f>
        <v/>
      </c>
      <c r="AB22" s="24" t="n">
        <v>0.08</v>
      </c>
      <c r="AC22" s="22">
        <f>G22*AB22</f>
        <v/>
      </c>
      <c r="AD22" s="22">
        <f>AA22+AC22</f>
        <v/>
      </c>
      <c r="AE22" s="26">
        <f>AD22/G22</f>
        <v/>
      </c>
      <c r="AF22" s="27">
        <f>G22-N22-O22-P22-Q22-R22-S22-V22-X22-Y22-L22</f>
        <v/>
      </c>
      <c r="AG22" s="31">
        <f>AF22-AD22</f>
        <v/>
      </c>
      <c r="AH22" s="32">
        <f>AG22/G22</f>
        <v/>
      </c>
      <c r="AI22" s="33">
        <f>AG22/L22</f>
        <v/>
      </c>
      <c r="AJ22" s="22">
        <f>(O22+Q22+V22+X22+Y22+L22)/(1-(M22++(1-H22)*++Z22+AB22))</f>
        <v/>
      </c>
    </row>
    <row r="23">
      <c r="A23" s="36" t="inlineStr">
        <is>
          <t>ENOUGH - Collagen Moisture Foundation [Tone 21] / Тональный крем для лица с коллагеном 21 тон</t>
        </is>
      </c>
      <c r="B23" s="13" t="n"/>
      <c r="C23" s="14" t="n"/>
      <c r="D23" s="15" t="n">
        <v>1910</v>
      </c>
      <c r="E23" s="15" t="n">
        <v>121</v>
      </c>
      <c r="F23" s="15" t="n">
        <v>7.3</v>
      </c>
      <c r="G23" s="15" t="n">
        <v>1800</v>
      </c>
      <c r="H23" s="16" t="n">
        <v>0.45</v>
      </c>
      <c r="I23" s="17">
        <f>G23*(1-H23)</f>
        <v/>
      </c>
      <c r="J23" s="37" t="n">
        <v>242.88</v>
      </c>
      <c r="K23" s="19" t="inlineStr">
        <is>
          <t>=</t>
        </is>
      </c>
      <c r="L23" s="20">
        <f>J23+K23</f>
        <v/>
      </c>
      <c r="M23" s="21" t="n">
        <v>0.41</v>
      </c>
      <c r="N23" s="22">
        <f>G23*M23</f>
        <v/>
      </c>
      <c r="O23" s="23" t="n">
        <v>67</v>
      </c>
      <c r="P23" s="22">
        <f>G23*</f>
        <v/>
      </c>
      <c r="Q23" s="23" t="n">
        <v>25</v>
      </c>
      <c r="R23" s="22">
        <f>G23*</f>
        <v/>
      </c>
      <c r="S23" s="22">
        <f>I23*</f>
        <v/>
      </c>
      <c r="T23" s="24" t="n">
        <v>0.9</v>
      </c>
      <c r="U23" s="23" t="n">
        <v>67</v>
      </c>
      <c r="V23" s="22">
        <f>U23*(1-T23)</f>
        <v/>
      </c>
      <c r="W23" s="25" t="n">
        <v>0.4</v>
      </c>
      <c r="X23" s="22">
        <f>**W23</f>
        <v/>
      </c>
      <c r="Y23" s="20">
        <f>W23*(+0)</f>
        <v/>
      </c>
      <c r="Z23" s="21" t="n">
        <v>0.07000000000000001</v>
      </c>
      <c r="AA23" s="22">
        <f>G23*Z23</f>
        <v/>
      </c>
      <c r="AB23" s="24" t="n">
        <v>0.08</v>
      </c>
      <c r="AC23" s="22">
        <f>G23*AB23</f>
        <v/>
      </c>
      <c r="AD23" s="22">
        <f>AA23+AC23</f>
        <v/>
      </c>
      <c r="AE23" s="26">
        <f>AD23/G23</f>
        <v/>
      </c>
      <c r="AF23" s="27">
        <f>G23-N23-O23-P23-Q23-R23-S23-V23-X23-Y23-L23</f>
        <v/>
      </c>
      <c r="AG23" s="31">
        <f>AF23-AD23</f>
        <v/>
      </c>
      <c r="AH23" s="32">
        <f>AG23/G23</f>
        <v/>
      </c>
      <c r="AI23" s="33">
        <f>AG23/L23</f>
        <v/>
      </c>
      <c r="AJ23" s="22">
        <f>(O23+Q23+V23+X23+Y23+L23)/(1-(M23++(1-H23)*++Z23+AB23))</f>
        <v/>
      </c>
    </row>
    <row r="24">
      <c r="A24" s="36" t="inlineStr">
        <is>
          <t>ENOUGH - Gold Snail Moisture Foundation [Tone 13] / Тональный крем с муцином улитки 13 тон</t>
        </is>
      </c>
      <c r="B24" s="13" t="n"/>
      <c r="C24" s="14" t="n"/>
      <c r="D24" s="15" t="n">
        <v>1456</v>
      </c>
      <c r="E24" s="15" t="n">
        <v>109</v>
      </c>
      <c r="F24" s="15" t="n">
        <v>9</v>
      </c>
      <c r="G24" s="15" t="n">
        <v>1356</v>
      </c>
      <c r="H24" s="16" t="n">
        <v>0.45</v>
      </c>
      <c r="I24" s="17">
        <f>G24*(1-H24)</f>
        <v/>
      </c>
      <c r="J24" s="35" t="n">
        <v>245.65</v>
      </c>
      <c r="K24" s="19" t="inlineStr">
        <is>
          <t>=</t>
        </is>
      </c>
      <c r="L24" s="20">
        <f>J24+K24</f>
        <v/>
      </c>
      <c r="M24" s="21" t="n">
        <v>0.41</v>
      </c>
      <c r="N24" s="22">
        <f>G24*M24</f>
        <v/>
      </c>
      <c r="O24" s="23" t="n">
        <v>67</v>
      </c>
      <c r="P24" s="22">
        <f>G24*</f>
        <v/>
      </c>
      <c r="Q24" s="23" t="n">
        <v>25</v>
      </c>
      <c r="R24" s="22">
        <f>G24*</f>
        <v/>
      </c>
      <c r="S24" s="22">
        <f>I24*</f>
        <v/>
      </c>
      <c r="T24" s="24" t="n">
        <v>0.9</v>
      </c>
      <c r="U24" s="23" t="n">
        <v>67</v>
      </c>
      <c r="V24" s="22">
        <f>U24*(1-T24)</f>
        <v/>
      </c>
      <c r="W24" s="25" t="n">
        <v>0.4</v>
      </c>
      <c r="X24" s="22">
        <f>**W24</f>
        <v/>
      </c>
      <c r="Y24" s="20">
        <f>W24*(+0)</f>
        <v/>
      </c>
      <c r="Z24" s="21" t="n">
        <v>0.07000000000000001</v>
      </c>
      <c r="AA24" s="22">
        <f>G24*Z24</f>
        <v/>
      </c>
      <c r="AB24" s="24" t="n">
        <v>0.08</v>
      </c>
      <c r="AC24" s="22">
        <f>G24*AB24</f>
        <v/>
      </c>
      <c r="AD24" s="22">
        <f>AA24+AC24</f>
        <v/>
      </c>
      <c r="AE24" s="26">
        <f>AD24/G24</f>
        <v/>
      </c>
      <c r="AF24" s="27">
        <f>G24-N24-O24-P24-Q24-R24-S24-V24-X24-Y24-L24</f>
        <v/>
      </c>
      <c r="AG24" s="31">
        <f>AF24-AD24</f>
        <v/>
      </c>
      <c r="AH24" s="32">
        <f>AG24/G24</f>
        <v/>
      </c>
      <c r="AI24" s="33">
        <f>AG24/L24</f>
        <v/>
      </c>
      <c r="AJ24" s="22">
        <f>(O24+Q24+V24+X24+Y24+L24)/(1-(M24++(1-H24)*++Z24+AB24))</f>
        <v/>
      </c>
    </row>
    <row r="25">
      <c r="A25" s="36" t="inlineStr">
        <is>
          <t>ENOUGH - Gold Snail Moisture Foundation [Tone 21] / Тональный крем с муцином улитки 21 тон</t>
        </is>
      </c>
      <c r="B25" s="13" t="n"/>
      <c r="C25" s="14" t="n"/>
      <c r="D25" s="15" t="n">
        <v>1345</v>
      </c>
      <c r="E25" s="15" t="n">
        <v>114</v>
      </c>
      <c r="F25" s="15" t="n">
        <v>0</v>
      </c>
      <c r="G25" s="15" t="n">
        <v>1280</v>
      </c>
      <c r="H25" s="16" t="n">
        <v>0.45</v>
      </c>
      <c r="I25" s="17">
        <f>G25*(1-H25)</f>
        <v/>
      </c>
      <c r="J25" s="37" t="n">
        <v>270.81</v>
      </c>
      <c r="K25" s="19" t="inlineStr">
        <is>
          <t>=</t>
        </is>
      </c>
      <c r="L25" s="20">
        <f>J25+K25</f>
        <v/>
      </c>
      <c r="M25" s="21" t="n">
        <v>0.41</v>
      </c>
      <c r="N25" s="22">
        <f>G25*M25</f>
        <v/>
      </c>
      <c r="O25" s="23" t="n">
        <v>67</v>
      </c>
      <c r="P25" s="22">
        <f>G25*</f>
        <v/>
      </c>
      <c r="Q25" s="23" t="n">
        <v>25</v>
      </c>
      <c r="R25" s="22">
        <f>G25*</f>
        <v/>
      </c>
      <c r="S25" s="22">
        <f>I25*</f>
        <v/>
      </c>
      <c r="T25" s="24" t="n">
        <v>0.9</v>
      </c>
      <c r="U25" s="23" t="n">
        <v>67</v>
      </c>
      <c r="V25" s="22">
        <f>U25*(1-T25)</f>
        <v/>
      </c>
      <c r="W25" s="25" t="n">
        <v>0.4</v>
      </c>
      <c r="X25" s="22">
        <f>**W25</f>
        <v/>
      </c>
      <c r="Y25" s="20">
        <f>W25*(+0)</f>
        <v/>
      </c>
      <c r="Z25" s="21" t="n">
        <v>0.07000000000000001</v>
      </c>
      <c r="AA25" s="22">
        <f>G25*Z25</f>
        <v/>
      </c>
      <c r="AB25" s="24" t="n">
        <v>0.08</v>
      </c>
      <c r="AC25" s="22">
        <f>G25*AB25</f>
        <v/>
      </c>
      <c r="AD25" s="22">
        <f>AA25+AC25</f>
        <v/>
      </c>
      <c r="AE25" s="26">
        <f>AD25/G25</f>
        <v/>
      </c>
      <c r="AF25" s="27">
        <f>G25-N25-O25-P25-Q25-R25-S25-V25-X25-Y25-L25</f>
        <v/>
      </c>
      <c r="AG25" s="31">
        <f>AF25-AD25</f>
        <v/>
      </c>
      <c r="AH25" s="32">
        <f>AG25/G25</f>
        <v/>
      </c>
      <c r="AI25" s="33">
        <f>AG25/L25</f>
        <v/>
      </c>
      <c r="AJ25" s="22">
        <f>(O25+Q25+V25+X25+Y25+L25)/(1-(M25++(1-H25)*++Z25+AB25))</f>
        <v/>
      </c>
    </row>
    <row r="26">
      <c r="A26" s="36" t="inlineStr">
        <is>
          <t>ENOUGH - Collagen 3in1 Whitening Moisture Foundation [Tone 13] / Тональный крем для лица с коллагеном 3в1 [13 тон]</t>
        </is>
      </c>
      <c r="B26" s="13" t="n"/>
      <c r="C26" s="14" t="n"/>
      <c r="D26" s="15" t="n">
        <v>1732</v>
      </c>
      <c r="E26" s="15" t="n">
        <v>51</v>
      </c>
      <c r="F26" s="15" t="n">
        <v>9</v>
      </c>
      <c r="G26" s="15" t="n">
        <v>1600</v>
      </c>
      <c r="H26" s="16" t="n">
        <v>0.45</v>
      </c>
      <c r="I26" s="17">
        <f>G26*(1-H26)</f>
        <v/>
      </c>
      <c r="J26" s="37" t="n">
        <v>238.13</v>
      </c>
      <c r="K26" s="19" t="inlineStr">
        <is>
          <t>=</t>
        </is>
      </c>
      <c r="L26" s="20">
        <f>J26+K26</f>
        <v/>
      </c>
      <c r="M26" s="21" t="n">
        <v>0.41</v>
      </c>
      <c r="N26" s="22">
        <f>G26*M26</f>
        <v/>
      </c>
      <c r="O26" s="23" t="n">
        <v>67</v>
      </c>
      <c r="P26" s="22">
        <f>G26*</f>
        <v/>
      </c>
      <c r="Q26" s="23" t="n">
        <v>25</v>
      </c>
      <c r="R26" s="22">
        <f>G26*</f>
        <v/>
      </c>
      <c r="S26" s="22">
        <f>I26*</f>
        <v/>
      </c>
      <c r="T26" s="24" t="n">
        <v>0.9</v>
      </c>
      <c r="U26" s="23" t="n">
        <v>67</v>
      </c>
      <c r="V26" s="22">
        <f>U26*(1-T26)</f>
        <v/>
      </c>
      <c r="W26" s="25" t="n">
        <v>0.4</v>
      </c>
      <c r="X26" s="22">
        <f>**W26</f>
        <v/>
      </c>
      <c r="Y26" s="20">
        <f>W26*(+0)</f>
        <v/>
      </c>
      <c r="Z26" s="21" t="n">
        <v>0.07000000000000001</v>
      </c>
      <c r="AA26" s="22">
        <f>G26*Z26</f>
        <v/>
      </c>
      <c r="AB26" s="24" t="n">
        <v>0.08</v>
      </c>
      <c r="AC26" s="22">
        <f>G26*AB26</f>
        <v/>
      </c>
      <c r="AD26" s="22">
        <f>AA26+AC26</f>
        <v/>
      </c>
      <c r="AE26" s="26">
        <f>AD26/G26</f>
        <v/>
      </c>
      <c r="AF26" s="27">
        <f>G26-N26-O26-P26-Q26-R26-S26-V26-X26-Y26-L26</f>
        <v/>
      </c>
      <c r="AG26" s="31">
        <f>AF26-AD26</f>
        <v/>
      </c>
      <c r="AH26" s="32">
        <f>AG26/G26</f>
        <v/>
      </c>
      <c r="AI26" s="33">
        <f>AG26/L26</f>
        <v/>
      </c>
      <c r="AJ26" s="22">
        <f>(O26+Q26+V26+X26+Y26+L26)/(1-(M26++(1-H26)*++Z26+AB26))</f>
        <v/>
      </c>
    </row>
    <row r="27">
      <c r="A27" s="36" t="inlineStr">
        <is>
          <t>ENOUGH - Collagen 3in1 Whitening Moisture Foundation [Tone 21] / Тональный крем для лица с коллагеном 3в1 [21 тон]</t>
        </is>
      </c>
      <c r="B27" s="13" t="n"/>
      <c r="C27" s="14" t="n"/>
      <c r="D27" s="15" t="n">
        <v>1038</v>
      </c>
      <c r="E27" s="15" t="n">
        <v>65</v>
      </c>
      <c r="F27" s="15" t="n">
        <v>12</v>
      </c>
      <c r="G27" s="15" t="n">
        <v>1000</v>
      </c>
      <c r="H27" s="16" t="n">
        <v>0.45</v>
      </c>
      <c r="I27" s="17">
        <f>G27*(1-H27)</f>
        <v/>
      </c>
      <c r="J27" s="38" t="n">
        <v>223.35</v>
      </c>
      <c r="K27" s="19" t="inlineStr">
        <is>
          <t>=</t>
        </is>
      </c>
      <c r="L27" s="20">
        <f>J27+K27</f>
        <v/>
      </c>
      <c r="M27" s="21" t="n">
        <v>0.41</v>
      </c>
      <c r="N27" s="22">
        <f>G27*M27</f>
        <v/>
      </c>
      <c r="O27" s="23" t="n">
        <v>67</v>
      </c>
      <c r="P27" s="22">
        <f>G27*</f>
        <v/>
      </c>
      <c r="Q27" s="23" t="n">
        <v>25</v>
      </c>
      <c r="R27" s="22">
        <f>G27*</f>
        <v/>
      </c>
      <c r="S27" s="22">
        <f>I27*</f>
        <v/>
      </c>
      <c r="T27" s="24" t="n">
        <v>0.9</v>
      </c>
      <c r="U27" s="23" t="n">
        <v>67</v>
      </c>
      <c r="V27" s="22">
        <f>U27*(1-T27)</f>
        <v/>
      </c>
      <c r="W27" s="25" t="n">
        <v>0.4</v>
      </c>
      <c r="X27" s="22">
        <f>**W27</f>
        <v/>
      </c>
      <c r="Y27" s="20">
        <f>W27*(+0)</f>
        <v/>
      </c>
      <c r="Z27" s="21" t="n">
        <v>0.07000000000000001</v>
      </c>
      <c r="AA27" s="22">
        <f>G27*Z27</f>
        <v/>
      </c>
      <c r="AB27" s="24" t="n">
        <v>0.08</v>
      </c>
      <c r="AC27" s="22">
        <f>G27*AB27</f>
        <v/>
      </c>
      <c r="AD27" s="22">
        <f>AA27+AC27</f>
        <v/>
      </c>
      <c r="AE27" s="26">
        <f>AD27/G27</f>
        <v/>
      </c>
      <c r="AF27" s="27">
        <f>G27-N27-O27-P27-Q27-R27-S27-V27-X27-Y27-L27</f>
        <v/>
      </c>
      <c r="AG27" s="31">
        <f>AF27-AD27</f>
        <v/>
      </c>
      <c r="AH27" s="32">
        <f>AG27/G27</f>
        <v/>
      </c>
      <c r="AI27" s="33">
        <f>AG27/L27</f>
        <v/>
      </c>
      <c r="AJ27" s="22">
        <f>(O27+Q27+V27+X27+Y27+L27)/(1-(M27++(1-H27)*++Z27+AB27))</f>
        <v/>
      </c>
    </row>
    <row r="28">
      <c r="A28" s="36" t="inlineStr">
        <is>
          <t>ENOUGH - Premium 8 Peptide Full Cover Perfect Foundation [Tone 13] / Тональный крем с пептидами 13 тон</t>
        </is>
      </c>
      <c r="B28" s="13" t="n"/>
      <c r="C28" s="14" t="n"/>
      <c r="D28" s="15" t="n">
        <v>1330</v>
      </c>
      <c r="E28" s="15" t="n">
        <v>180</v>
      </c>
      <c r="F28" s="15" t="n">
        <v>0</v>
      </c>
      <c r="G28" s="15" t="n">
        <v>1290</v>
      </c>
      <c r="H28" s="16" t="n">
        <v>0.45</v>
      </c>
      <c r="I28" s="17">
        <f>G28*(1-H28)</f>
        <v/>
      </c>
      <c r="J28" s="37" t="n">
        <v>335.9</v>
      </c>
      <c r="K28" s="19" t="inlineStr">
        <is>
          <t>=</t>
        </is>
      </c>
      <c r="L28" s="20">
        <f>J28+K28</f>
        <v/>
      </c>
      <c r="M28" s="21" t="n">
        <v>0.41</v>
      </c>
      <c r="N28" s="22">
        <f>G28*M28</f>
        <v/>
      </c>
      <c r="O28" s="23" t="n">
        <v>67</v>
      </c>
      <c r="P28" s="22">
        <f>G28*</f>
        <v/>
      </c>
      <c r="Q28" s="23" t="n">
        <v>25</v>
      </c>
      <c r="R28" s="22">
        <f>G28*</f>
        <v/>
      </c>
      <c r="S28" s="22">
        <f>I28*</f>
        <v/>
      </c>
      <c r="T28" s="24" t="n">
        <v>0.9</v>
      </c>
      <c r="U28" s="23" t="n">
        <v>67</v>
      </c>
      <c r="V28" s="22">
        <f>U28*(1-T28)</f>
        <v/>
      </c>
      <c r="W28" s="25" t="n">
        <v>0.4</v>
      </c>
      <c r="X28" s="22">
        <f>**W28</f>
        <v/>
      </c>
      <c r="Y28" s="20">
        <f>W28*(+0)</f>
        <v/>
      </c>
      <c r="Z28" s="21" t="n">
        <v>0.07000000000000001</v>
      </c>
      <c r="AA28" s="22">
        <f>G28*Z28</f>
        <v/>
      </c>
      <c r="AB28" s="24" t="n">
        <v>0.08</v>
      </c>
      <c r="AC28" s="22">
        <f>G28*AB28</f>
        <v/>
      </c>
      <c r="AD28" s="22">
        <f>AA28+AC28</f>
        <v/>
      </c>
      <c r="AE28" s="26">
        <f>AD28/G28</f>
        <v/>
      </c>
      <c r="AF28" s="27">
        <f>G28-N28-O28-P28-Q28-R28-S28-V28-X28-Y28-L28</f>
        <v/>
      </c>
      <c r="AG28" s="31">
        <f>AF28-AD28</f>
        <v/>
      </c>
      <c r="AH28" s="32">
        <f>AG28/G28</f>
        <v/>
      </c>
      <c r="AI28" s="33">
        <f>AG28/L28</f>
        <v/>
      </c>
      <c r="AJ28" s="22">
        <f>(O28+Q28+V28+X28+Y28+L28)/(1-(M28++(1-H28)*++Z28+AB28))</f>
        <v/>
      </c>
    </row>
    <row r="29">
      <c r="A29" s="36" t="inlineStr">
        <is>
          <t>ENOUGH - Premium 8 Peptide Full Cover Perfect Foundation [Tone 21] / Тональный крем с пептидами 21 тон</t>
        </is>
      </c>
      <c r="B29" s="13" t="n"/>
      <c r="C29" s="14" t="n"/>
      <c r="D29" s="15" t="n">
        <v>1330</v>
      </c>
      <c r="E29" s="15" t="n">
        <v>265</v>
      </c>
      <c r="F29" s="15" t="n">
        <v>0</v>
      </c>
      <c r="G29" s="15">
        <f>(1.25*L29+O29+Q29+V29+X29+Y29)/(1-M29---(1-H29)*-Z29-AB29)</f>
        <v/>
      </c>
      <c r="H29" s="16" t="n">
        <v>0.45</v>
      </c>
      <c r="I29" s="17">
        <f>G29*(1-H29)</f>
        <v/>
      </c>
      <c r="J29" s="37" t="n">
        <v>304.77</v>
      </c>
      <c r="K29" s="19" t="inlineStr">
        <is>
          <t>=</t>
        </is>
      </c>
      <c r="L29" s="20">
        <f>J29+K29</f>
        <v/>
      </c>
      <c r="M29" s="21" t="n">
        <v>0.41</v>
      </c>
      <c r="N29" s="22">
        <f>G29*M29</f>
        <v/>
      </c>
      <c r="O29" s="23" t="n">
        <v>67</v>
      </c>
      <c r="P29" s="22">
        <f>G29*</f>
        <v/>
      </c>
      <c r="Q29" s="23" t="n">
        <v>25</v>
      </c>
      <c r="R29" s="22">
        <f>G29*</f>
        <v/>
      </c>
      <c r="S29" s="22">
        <f>I29*</f>
        <v/>
      </c>
      <c r="T29" s="24" t="n">
        <v>0.9</v>
      </c>
      <c r="U29" s="23" t="n">
        <v>67</v>
      </c>
      <c r="V29" s="22">
        <f>U29*(1-T29)</f>
        <v/>
      </c>
      <c r="W29" s="25" t="n">
        <v>0.4</v>
      </c>
      <c r="X29" s="22">
        <f>**W29</f>
        <v/>
      </c>
      <c r="Y29" s="20">
        <f>W29*(+0)</f>
        <v/>
      </c>
      <c r="Z29" s="21" t="n">
        <v>0.07000000000000001</v>
      </c>
      <c r="AA29" s="22">
        <f>G29*Z29</f>
        <v/>
      </c>
      <c r="AB29" s="24" t="n">
        <v>0.08</v>
      </c>
      <c r="AC29" s="22">
        <f>G29*AB29</f>
        <v/>
      </c>
      <c r="AD29" s="22">
        <f>AA29+AC29</f>
        <v/>
      </c>
      <c r="AE29" s="26">
        <f>AD29/G29</f>
        <v/>
      </c>
      <c r="AF29" s="27">
        <f>G29-N29-O29-P29-Q29-R29-S29-V29-X29-Y29-L29</f>
        <v/>
      </c>
      <c r="AG29" s="31">
        <f>AF29-AD29</f>
        <v/>
      </c>
      <c r="AH29" s="32">
        <f>AG29/G29</f>
        <v/>
      </c>
      <c r="AI29" s="33">
        <f>AG29/L29</f>
        <v/>
      </c>
      <c r="AJ29" s="22">
        <f>(O29+Q29+V29+X29+Y29+L29)/(1-(M29++(1-H29)*++Z29+AB29))</f>
        <v/>
      </c>
    </row>
    <row r="30">
      <c r="A30" s="36" t="inlineStr">
        <is>
          <t>ENOUGH Collagen whitening cover tip concealer #01 [9g]/Консилер для лица (основная карточка) 4.5 рейтинг</t>
        </is>
      </c>
      <c r="B30" s="13" t="n"/>
      <c r="C30" s="14" t="n"/>
      <c r="D30" s="15" t="n"/>
      <c r="E30" s="15" t="n"/>
      <c r="F30" s="15" t="n"/>
      <c r="G30" s="15">
        <f>(1.25*L30+O30+Q30+V30+X30+Y30)/(1-M30---(1-H30)*-Z30-AB30)</f>
        <v/>
      </c>
      <c r="H30" s="16" t="n">
        <v>0.45</v>
      </c>
      <c r="I30" s="17">
        <f>G30*(1-H30)</f>
        <v/>
      </c>
      <c r="J30" s="37" t="n">
        <v>183.24</v>
      </c>
      <c r="K30" s="19" t="inlineStr">
        <is>
          <t>=</t>
        </is>
      </c>
      <c r="L30" s="20">
        <f>J30+K30</f>
        <v/>
      </c>
      <c r="M30" s="21" t="n">
        <v>0.41</v>
      </c>
      <c r="N30" s="22">
        <f>G30*M30</f>
        <v/>
      </c>
      <c r="O30" s="23" t="n">
        <v>56</v>
      </c>
      <c r="P30" s="22">
        <f>G30*</f>
        <v/>
      </c>
      <c r="Q30" s="23" t="n">
        <v>25</v>
      </c>
      <c r="R30" s="22">
        <f>G30*</f>
        <v/>
      </c>
      <c r="S30" s="22">
        <f>I30*</f>
        <v/>
      </c>
      <c r="T30" s="24" t="n">
        <v>0.9</v>
      </c>
      <c r="U30" s="23" t="n">
        <v>56</v>
      </c>
      <c r="V30" s="22">
        <f>U30*(1-T30)</f>
        <v/>
      </c>
      <c r="W30" s="25" t="n">
        <v>0.05</v>
      </c>
      <c r="X30" s="22">
        <f>**W30</f>
        <v/>
      </c>
      <c r="Y30" s="20">
        <f>W30*(+0)</f>
        <v/>
      </c>
      <c r="Z30" s="21" t="n">
        <v>0.07000000000000001</v>
      </c>
      <c r="AA30" s="22">
        <f>G30*Z30</f>
        <v/>
      </c>
      <c r="AB30" s="24" t="n">
        <v>0.08</v>
      </c>
      <c r="AC30" s="22">
        <f>G30*AB30</f>
        <v/>
      </c>
      <c r="AD30" s="22">
        <f>AA30+AC30</f>
        <v/>
      </c>
      <c r="AE30" s="26">
        <f>AD30/G30</f>
        <v/>
      </c>
      <c r="AF30" s="27">
        <f>G30-N30-O30-P30-Q30-R30-S30-V30-X30-Y30-L30</f>
        <v/>
      </c>
      <c r="AG30" s="31">
        <f>AF30-AD30</f>
        <v/>
      </c>
      <c r="AH30" s="32">
        <f>AG30/G30</f>
        <v/>
      </c>
      <c r="AI30" s="33">
        <f>AG30/L30</f>
        <v/>
      </c>
      <c r="AJ30" s="22">
        <f>(O30+Q30+V30+X30+Y30+L30)/(1-(M30++(1-H30)*++Z30+AB30))</f>
        <v/>
      </c>
    </row>
    <row r="31">
      <c r="A31" s="36" t="inlineStr">
        <is>
          <t>ENOUGH Collagen whitening cover tip concealer #02 [9g]/Консилер для лица (основная карточка)</t>
        </is>
      </c>
      <c r="B31" s="13" t="n"/>
      <c r="C31" s="14" t="n"/>
      <c r="D31" s="15" t="n"/>
      <c r="E31" s="15" t="n"/>
      <c r="F31" s="15" t="n"/>
      <c r="G31" s="15">
        <f>(1.25*L31+O31+Q31+V31+X31+Y31)/(1-M31---(1-H31)*-Z31-AB31)</f>
        <v/>
      </c>
      <c r="H31" s="16" t="n">
        <v>0.45</v>
      </c>
      <c r="I31" s="17">
        <f>G31*(1-H31)</f>
        <v/>
      </c>
      <c r="J31" s="37" t="n">
        <v>183.24</v>
      </c>
      <c r="K31" s="19" t="inlineStr">
        <is>
          <t>=</t>
        </is>
      </c>
      <c r="L31" s="20">
        <f>J31+K31</f>
        <v/>
      </c>
      <c r="M31" s="21" t="n">
        <v>0.41</v>
      </c>
      <c r="N31" s="22">
        <f>G31*M31</f>
        <v/>
      </c>
      <c r="O31" s="23" t="n">
        <v>56</v>
      </c>
      <c r="P31" s="22">
        <f>G31*</f>
        <v/>
      </c>
      <c r="Q31" s="23" t="n">
        <v>25</v>
      </c>
      <c r="R31" s="22">
        <f>G31*</f>
        <v/>
      </c>
      <c r="S31" s="22">
        <f>I31*</f>
        <v/>
      </c>
      <c r="T31" s="24" t="n">
        <v>0.9</v>
      </c>
      <c r="U31" s="23" t="n">
        <v>56</v>
      </c>
      <c r="V31" s="22">
        <f>U31*(1-T31)</f>
        <v/>
      </c>
      <c r="W31" s="25" t="n">
        <v>0.05</v>
      </c>
      <c r="X31" s="22">
        <f>**W31</f>
        <v/>
      </c>
      <c r="Y31" s="20">
        <f>W31*(+0)</f>
        <v/>
      </c>
      <c r="Z31" s="21" t="n">
        <v>0.07000000000000001</v>
      </c>
      <c r="AA31" s="22">
        <f>G31*Z31</f>
        <v/>
      </c>
      <c r="AB31" s="24" t="n">
        <v>0.08</v>
      </c>
      <c r="AC31" s="22">
        <f>G31*AB31</f>
        <v/>
      </c>
      <c r="AD31" s="22">
        <f>AA31+AC31</f>
        <v/>
      </c>
      <c r="AE31" s="26">
        <f>AD31/G31</f>
        <v/>
      </c>
      <c r="AF31" s="27">
        <f>G31-N31-O31-P31-Q31-R31-S31-V31-X31-Y31-L31</f>
        <v/>
      </c>
      <c r="AG31" s="31">
        <f>AF31-AD31</f>
        <v/>
      </c>
      <c r="AH31" s="32">
        <f>AG31/G31</f>
        <v/>
      </c>
      <c r="AI31" s="33">
        <f>AG31/L31</f>
        <v/>
      </c>
      <c r="AJ31" s="22">
        <f>(O31+Q31+V31+X31+Y31+L31)/(1-(M31++(1-H31)*++Z31+AB31))</f>
        <v/>
      </c>
    </row>
    <row r="32">
      <c r="A32" s="36" t="inlineStr">
        <is>
          <t>ENOUGH Collagen whitening cover tip concealer #03 [9g]/ Консилер для лица (основаная карточка)</t>
        </is>
      </c>
      <c r="B32" s="13" t="n"/>
      <c r="C32" s="14" t="n"/>
      <c r="D32" s="15" t="n"/>
      <c r="E32" s="15" t="n"/>
      <c r="F32" s="15" t="n"/>
      <c r="G32" s="15">
        <f>(1.25*L32+O32+Q32+V32+X32+Y32)/(1-M32---(1-H32)*-Z32-AB32)</f>
        <v/>
      </c>
      <c r="H32" s="16" t="n">
        <v>0.45</v>
      </c>
      <c r="I32" s="17">
        <f>G32*(1-H32)</f>
        <v/>
      </c>
      <c r="J32" s="37" t="n">
        <v>183.24</v>
      </c>
      <c r="K32" s="19" t="inlineStr">
        <is>
          <t>=</t>
        </is>
      </c>
      <c r="L32" s="20">
        <f>J32+K32</f>
        <v/>
      </c>
      <c r="M32" s="21" t="n">
        <v>0.41</v>
      </c>
      <c r="N32" s="22">
        <f>G32*M32</f>
        <v/>
      </c>
      <c r="O32" s="23" t="n">
        <v>56</v>
      </c>
      <c r="P32" s="22">
        <f>G32*</f>
        <v/>
      </c>
      <c r="Q32" s="23" t="n">
        <v>25</v>
      </c>
      <c r="R32" s="22">
        <f>G32*</f>
        <v/>
      </c>
      <c r="S32" s="22">
        <f>I32*</f>
        <v/>
      </c>
      <c r="T32" s="24" t="n">
        <v>0.9</v>
      </c>
      <c r="U32" s="23" t="n">
        <v>56</v>
      </c>
      <c r="V32" s="22">
        <f>U32*(1-T32)</f>
        <v/>
      </c>
      <c r="W32" s="25" t="n">
        <v>0.05</v>
      </c>
      <c r="X32" s="22">
        <f>**W32</f>
        <v/>
      </c>
      <c r="Y32" s="20">
        <f>W32*(+0)</f>
        <v/>
      </c>
      <c r="Z32" s="21" t="n">
        <v>0.07000000000000001</v>
      </c>
      <c r="AA32" s="22">
        <f>G32*Z32</f>
        <v/>
      </c>
      <c r="AB32" s="24" t="n">
        <v>0.08</v>
      </c>
      <c r="AC32" s="22">
        <f>G32*AB32</f>
        <v/>
      </c>
      <c r="AD32" s="22">
        <f>AA32+AC32</f>
        <v/>
      </c>
      <c r="AE32" s="26">
        <f>AD32/G32</f>
        <v/>
      </c>
      <c r="AF32" s="27">
        <f>G32-N32-O32-P32-Q32-R32-S32-V32-X32-Y32-L32</f>
        <v/>
      </c>
      <c r="AG32" s="31">
        <f>AF32-AD32</f>
        <v/>
      </c>
      <c r="AH32" s="32">
        <f>AG32/G32</f>
        <v/>
      </c>
      <c r="AI32" s="33">
        <f>AG32/L32</f>
        <v/>
      </c>
      <c r="AJ32" s="22">
        <f>(O32+Q32+V32+X32+Y32+L32)/(1-(M32++(1-H32)*++Z32+AB32))</f>
        <v/>
      </c>
    </row>
    <row r="33">
      <c r="A33" s="39" t="inlineStr">
        <is>
          <t>ENOUGH - Collagen Moisture BB Cream SPF47 PA+++ [50ml] / Увлажняющий BB крем с коллагеном</t>
        </is>
      </c>
      <c r="B33" s="13" t="n"/>
      <c r="C33" s="14" t="n"/>
      <c r="D33" s="15" t="n"/>
      <c r="E33" s="15" t="n"/>
      <c r="F33" s="15" t="n"/>
      <c r="G33" s="15">
        <f>(1.25*L33+O33+Q33+V33+X33+Y33)/(1-M33---(1-H33)*-Z33-AB33)</f>
        <v/>
      </c>
      <c r="H33" s="16" t="n">
        <v>0.45</v>
      </c>
      <c r="I33" s="17">
        <f>G33*(1-H33)</f>
        <v/>
      </c>
      <c r="J33" s="37" t="n">
        <v>189.27</v>
      </c>
      <c r="K33" s="19" t="inlineStr">
        <is>
          <t>=</t>
        </is>
      </c>
      <c r="L33" s="20">
        <f>J33+K33</f>
        <v/>
      </c>
      <c r="M33" s="21" t="n">
        <v>0.41</v>
      </c>
      <c r="N33" s="22">
        <f>G33*M33</f>
        <v/>
      </c>
      <c r="O33" s="23" t="n">
        <v>63</v>
      </c>
      <c r="P33" s="22">
        <f>G33*</f>
        <v/>
      </c>
      <c r="Q33" s="23" t="n">
        <v>25</v>
      </c>
      <c r="R33" s="22">
        <f>G33*</f>
        <v/>
      </c>
      <c r="S33" s="22">
        <f>I33*</f>
        <v/>
      </c>
      <c r="T33" s="24" t="n">
        <v>0.9</v>
      </c>
      <c r="U33" s="23" t="n">
        <v>63</v>
      </c>
      <c r="V33" s="22">
        <f>U33*(1-T33)</f>
        <v/>
      </c>
      <c r="W33" s="25" t="n">
        <v>0.28</v>
      </c>
      <c r="X33" s="22">
        <f>**W33</f>
        <v/>
      </c>
      <c r="Y33" s="20">
        <f>W33*(+0)</f>
        <v/>
      </c>
      <c r="Z33" s="21" t="n">
        <v>0.07000000000000001</v>
      </c>
      <c r="AA33" s="22">
        <f>G33*Z33</f>
        <v/>
      </c>
      <c r="AB33" s="24" t="n">
        <v>0.08</v>
      </c>
      <c r="AC33" s="22">
        <f>G33*AB33</f>
        <v/>
      </c>
      <c r="AD33" s="22">
        <f>AA33+AC33</f>
        <v/>
      </c>
      <c r="AE33" s="26">
        <f>AD33/G33</f>
        <v/>
      </c>
      <c r="AF33" s="27">
        <f>G33-N33-O33-P33-Q33-R33-S33-V33-X33-Y33-L33</f>
        <v/>
      </c>
      <c r="AG33" s="31">
        <f>AF33-AD33</f>
        <v/>
      </c>
      <c r="AH33" s="32">
        <f>AG33/G33</f>
        <v/>
      </c>
      <c r="AI33" s="33">
        <f>AG33/L33</f>
        <v/>
      </c>
      <c r="AJ33" s="22">
        <f>(O33+Q33+V33+X33+Y33+L33)/(1-(M33++(1-H33)*++Z33+AB33))</f>
        <v/>
      </c>
    </row>
    <row r="34">
      <c r="A34" s="12" t="inlineStr">
        <is>
          <t>ETUDE - Baking Powder Crunch Pore Scrub [200ml] / Очищающий скраб для лица с содой</t>
        </is>
      </c>
      <c r="B34" s="13" t="n"/>
      <c r="C34" s="14" t="n"/>
      <c r="D34" s="15" t="n">
        <v>1730</v>
      </c>
      <c r="E34" s="15" t="n">
        <v>300</v>
      </c>
      <c r="F34" s="15" t="n">
        <v>5</v>
      </c>
      <c r="G34" s="15" t="n">
        <v>1650</v>
      </c>
      <c r="H34" s="16" t="n">
        <v>0.45</v>
      </c>
      <c r="I34" s="17">
        <f>G34*(1-H34)</f>
        <v/>
      </c>
      <c r="J34" s="18" t="n">
        <v>361.03</v>
      </c>
      <c r="K34" s="19" t="inlineStr">
        <is>
          <t>=</t>
        </is>
      </c>
      <c r="L34" s="20">
        <f>J34+K34</f>
        <v/>
      </c>
      <c r="M34" s="21" t="n">
        <v>0.41</v>
      </c>
      <c r="N34" s="22">
        <f>G34*M34</f>
        <v/>
      </c>
      <c r="O34" s="23" t="n">
        <v>67</v>
      </c>
      <c r="P34" s="22">
        <f>G34*</f>
        <v/>
      </c>
      <c r="Q34" s="23" t="n">
        <v>25</v>
      </c>
      <c r="R34" s="22">
        <f>G34*</f>
        <v/>
      </c>
      <c r="S34" s="22">
        <f>I34*</f>
        <v/>
      </c>
      <c r="T34" s="24" t="n">
        <v>0.9</v>
      </c>
      <c r="U34" s="23" t="n">
        <v>67</v>
      </c>
      <c r="V34" s="22">
        <f>U34*(1-T34)</f>
        <v/>
      </c>
      <c r="W34" s="25" t="n">
        <v>0.5600000000000001</v>
      </c>
      <c r="X34" s="22">
        <f>**W34</f>
        <v/>
      </c>
      <c r="Y34" s="20">
        <f>W34*(+0)</f>
        <v/>
      </c>
      <c r="Z34" s="21" t="n">
        <v>0.05</v>
      </c>
      <c r="AA34" s="22">
        <f>G34*Z34</f>
        <v/>
      </c>
      <c r="AB34" s="24" t="n">
        <v>0.05</v>
      </c>
      <c r="AC34" s="22">
        <f>G34*AB34</f>
        <v/>
      </c>
      <c r="AD34" s="22">
        <f>AA34+AC34</f>
        <v/>
      </c>
      <c r="AE34" s="26">
        <f>AD34/G34</f>
        <v/>
      </c>
      <c r="AF34" s="27">
        <f>G34-N34-O34-P34-Q34-R34-S34-V34-X34-Y34-L34</f>
        <v/>
      </c>
      <c r="AG34" s="28">
        <f>AF34-AD34</f>
        <v/>
      </c>
      <c r="AH34" s="29">
        <f>AG34/G34</f>
        <v/>
      </c>
      <c r="AI34" s="30">
        <f>AG34/L34</f>
        <v/>
      </c>
      <c r="AJ34" s="22">
        <f>(O34+Q34+V34+X34+Y34+L34)/(1-(M34++(1-H34)*++Z34+AB34))</f>
        <v/>
      </c>
    </row>
    <row r="35">
      <c r="A35" s="12" t="inlineStr">
        <is>
          <t>ETUDE - Baking Powder BB Deep Cleansing Foam [160ml] / Пенка с содой для глубокого очищения и снятия макияжа</t>
        </is>
      </c>
      <c r="B35" s="13" t="n"/>
      <c r="C35" s="14" t="n"/>
      <c r="D35" s="15" t="n">
        <v>1870</v>
      </c>
      <c r="E35" s="15" t="n">
        <v>230</v>
      </c>
      <c r="F35" s="15" t="n">
        <v>8</v>
      </c>
      <c r="G35" s="15" t="n">
        <v>1770</v>
      </c>
      <c r="H35" s="16" t="n">
        <v>0.45</v>
      </c>
      <c r="I35" s="17">
        <f>G35*(1-H35)</f>
        <v/>
      </c>
      <c r="J35" s="18" t="n">
        <v>292.89</v>
      </c>
      <c r="K35" s="19" t="inlineStr">
        <is>
          <t>=</t>
        </is>
      </c>
      <c r="L35" s="20">
        <f>J35+K35</f>
        <v/>
      </c>
      <c r="M35" s="21" t="n">
        <v>0.41</v>
      </c>
      <c r="N35" s="22">
        <f>G35*M35</f>
        <v/>
      </c>
      <c r="O35" s="23" t="n">
        <v>67</v>
      </c>
      <c r="P35" s="22">
        <f>G35*</f>
        <v/>
      </c>
      <c r="Q35" s="23" t="n">
        <v>25</v>
      </c>
      <c r="R35" s="22">
        <f>G35*</f>
        <v/>
      </c>
      <c r="S35" s="22">
        <f>I35*</f>
        <v/>
      </c>
      <c r="T35" s="24" t="n">
        <v>0.9</v>
      </c>
      <c r="U35" s="23" t="n">
        <v>67</v>
      </c>
      <c r="V35" s="22">
        <f>U35*(1-T35)</f>
        <v/>
      </c>
      <c r="W35" s="25" t="n">
        <v>0.5600000000000001</v>
      </c>
      <c r="X35" s="22">
        <f>**W35</f>
        <v/>
      </c>
      <c r="Y35" s="20">
        <f>W35*(+0)</f>
        <v/>
      </c>
      <c r="Z35" s="21" t="n">
        <v>0.07000000000000001</v>
      </c>
      <c r="AA35" s="22">
        <f>G35*Z35</f>
        <v/>
      </c>
      <c r="AB35" s="24" t="n">
        <v>0.05</v>
      </c>
      <c r="AC35" s="22">
        <f>G35*AB35</f>
        <v/>
      </c>
      <c r="AD35" s="22">
        <f>AA35+AC35</f>
        <v/>
      </c>
      <c r="AE35" s="26">
        <f>AD35/G35</f>
        <v/>
      </c>
      <c r="AF35" s="27">
        <f>G35-N35-O35-P35-Q35-R35-S35-V35-X35-Y35-L35</f>
        <v/>
      </c>
      <c r="AG35" s="28">
        <f>AF35-AD35</f>
        <v/>
      </c>
      <c r="AH35" s="29">
        <f>AG35/G35</f>
        <v/>
      </c>
      <c r="AI35" s="30">
        <f>AG35/L35</f>
        <v/>
      </c>
      <c r="AJ35" s="22">
        <f>(O35+Q35+V35+X35+Y35+L35)/(1-(M35++(1-H35)*++Z35+AB35))</f>
        <v/>
      </c>
    </row>
    <row r="36">
      <c r="A36" s="12" t="inlineStr">
        <is>
          <t>ETUDE - Baking Powder Crunch Pore Scrub [24*7ml] / Очищающий скраб для лица с содой</t>
        </is>
      </c>
      <c r="B36" s="13" t="n"/>
      <c r="C36" s="14" t="n"/>
      <c r="D36" s="15" t="n">
        <v>1900</v>
      </c>
      <c r="E36" s="15" t="n">
        <v>60</v>
      </c>
      <c r="F36" s="15" t="n">
        <v>10</v>
      </c>
      <c r="G36" s="15" t="n">
        <v>1835</v>
      </c>
      <c r="H36" s="16" t="n">
        <v>0.45</v>
      </c>
      <c r="I36" s="17">
        <f>G36*(1-H36)</f>
        <v/>
      </c>
      <c r="J36" s="18" t="n">
        <v>389.99</v>
      </c>
      <c r="K36" s="19" t="inlineStr">
        <is>
          <t>=</t>
        </is>
      </c>
      <c r="L36" s="20">
        <f>J36+K36</f>
        <v/>
      </c>
      <c r="M36" s="21" t="n">
        <v>0.41</v>
      </c>
      <c r="N36" s="22">
        <f>G36*M36</f>
        <v/>
      </c>
      <c r="O36" s="23" t="n">
        <v>72</v>
      </c>
      <c r="P36" s="22">
        <f>G36*</f>
        <v/>
      </c>
      <c r="Q36" s="23" t="n">
        <v>25</v>
      </c>
      <c r="R36" s="22">
        <f>G36*</f>
        <v/>
      </c>
      <c r="S36" s="22">
        <f>I36*</f>
        <v/>
      </c>
      <c r="T36" s="24" t="n">
        <v>0.9</v>
      </c>
      <c r="U36" s="23" t="n">
        <v>72</v>
      </c>
      <c r="V36" s="22">
        <f>U36*(1-T36)</f>
        <v/>
      </c>
      <c r="W36" s="25" t="n">
        <v>1.15</v>
      </c>
      <c r="X36" s="22">
        <f>**W36</f>
        <v/>
      </c>
      <c r="Y36" s="20">
        <f>W36*(+0)</f>
        <v/>
      </c>
      <c r="Z36" s="21" t="n">
        <v>0.07000000000000001</v>
      </c>
      <c r="AA36" s="22">
        <f>G36*Z36</f>
        <v/>
      </c>
      <c r="AB36" s="24" t="n">
        <v>0.08</v>
      </c>
      <c r="AC36" s="22">
        <f>G36*AB36</f>
        <v/>
      </c>
      <c r="AD36" s="22">
        <f>AA36+AC36</f>
        <v/>
      </c>
      <c r="AE36" s="26">
        <f>AD36/G36</f>
        <v/>
      </c>
      <c r="AF36" s="27">
        <f>G36-N36-O36-P36-Q36-R36-S36-V36-X36-Y36-L36</f>
        <v/>
      </c>
      <c r="AG36" s="28">
        <f>AF36-AD36</f>
        <v/>
      </c>
      <c r="AH36" s="29">
        <f>AG36/G36</f>
        <v/>
      </c>
      <c r="AI36" s="30">
        <f>AG36/L36</f>
        <v/>
      </c>
      <c r="AJ36" s="22">
        <f>(O36+Q36+V36+X36+Y36+L36)/(1-(M36++(1-H36)*++Z36+AB36))</f>
        <v/>
      </c>
    </row>
    <row r="37">
      <c r="A37" s="40" t="inlineStr">
        <is>
          <t>FARMSTAY COLLAGEN&amp;HYALURONIC ACID ALL-IN ONE</t>
        </is>
      </c>
      <c r="B37" s="13" t="n"/>
      <c r="C37" s="14" t="inlineStr">
        <is>
          <t>только Holika продает на Озон</t>
        </is>
      </c>
      <c r="D37" s="15" t="n">
        <v>3850</v>
      </c>
      <c r="E37" s="15" t="n">
        <v>127</v>
      </c>
      <c r="F37" s="15" t="n">
        <v>6</v>
      </c>
      <c r="G37" s="15" t="n">
        <v>3500</v>
      </c>
      <c r="H37" s="16" t="n">
        <v>0.45</v>
      </c>
      <c r="I37" s="17">
        <f>G37*(1-H37)</f>
        <v/>
      </c>
      <c r="J37" s="18" t="n">
        <v>347.76</v>
      </c>
      <c r="K37" s="19" t="inlineStr">
        <is>
          <t>=</t>
        </is>
      </c>
      <c r="L37" s="20">
        <f>J37+K37</f>
        <v/>
      </c>
      <c r="M37" s="21" t="n">
        <v>0.41</v>
      </c>
      <c r="N37" s="22">
        <f>G37*M37</f>
        <v/>
      </c>
      <c r="O37" s="23" t="n">
        <v>67</v>
      </c>
      <c r="P37" s="22">
        <f>G37*</f>
        <v/>
      </c>
      <c r="Q37" s="23" t="n">
        <v>25</v>
      </c>
      <c r="R37" s="22">
        <f>G37*</f>
        <v/>
      </c>
      <c r="S37" s="22">
        <f>I37*</f>
        <v/>
      </c>
      <c r="T37" s="24" t="n">
        <v>0.9</v>
      </c>
      <c r="U37" s="23" t="n">
        <v>67</v>
      </c>
      <c r="V37" s="22">
        <f>U37*(1-T37)</f>
        <v/>
      </c>
      <c r="W37" s="25" t="n">
        <v>0.832</v>
      </c>
      <c r="X37" s="22">
        <f>**W37</f>
        <v/>
      </c>
      <c r="Y37" s="20">
        <f>W37*(+0)</f>
        <v/>
      </c>
      <c r="Z37" s="21" t="n">
        <v>0.07000000000000001</v>
      </c>
      <c r="AA37" s="22">
        <f>G37*Z37</f>
        <v/>
      </c>
      <c r="AB37" s="24" t="n">
        <v>0.08</v>
      </c>
      <c r="AC37" s="22">
        <f>G37*AB37</f>
        <v/>
      </c>
      <c r="AD37" s="22">
        <f>AA37+AC37</f>
        <v/>
      </c>
      <c r="AE37" s="26">
        <f>AD37/G37</f>
        <v/>
      </c>
      <c r="AF37" s="27">
        <f>G37-N37-O37-P37-Q37-R37-S37-V37-X37-Y37-L37</f>
        <v/>
      </c>
      <c r="AG37" s="28">
        <f>AF37-AD37</f>
        <v/>
      </c>
      <c r="AH37" s="29">
        <f>AG37/G37</f>
        <v/>
      </c>
      <c r="AI37" s="30">
        <f>AG37/L37</f>
        <v/>
      </c>
      <c r="AJ37" s="22">
        <f>(O37+Q37+V37+X37+Y37+L37)/(1-(M37++(1-H37)*++Z37+AB37))</f>
        <v/>
      </c>
    </row>
    <row r="38">
      <c r="A38" s="40" t="inlineStr">
        <is>
          <t>FARMSTAY - Black Garlic Nourishing Shampoo [530ml] / Шампунь-кондиционер 2в1 с экстрактом черного чеснока</t>
        </is>
      </c>
      <c r="B38" s="13" t="n"/>
      <c r="C38" s="14" t="inlineStr">
        <is>
          <t>только Holika продает на Озон</t>
        </is>
      </c>
      <c r="D38" s="15" t="n">
        <v>2156</v>
      </c>
      <c r="E38" s="15" t="n">
        <v>46</v>
      </c>
      <c r="F38" s="15" t="n">
        <v>5</v>
      </c>
      <c r="G38" s="15" t="n">
        <v>1850</v>
      </c>
      <c r="H38" s="16" t="n">
        <v>0.45</v>
      </c>
      <c r="I38" s="17">
        <f>G38*(1-H38)</f>
        <v/>
      </c>
      <c r="J38" s="18" t="n">
        <v>396.72</v>
      </c>
      <c r="K38" s="19" t="inlineStr">
        <is>
          <t>=</t>
        </is>
      </c>
      <c r="L38" s="20">
        <f>J38+K38</f>
        <v/>
      </c>
      <c r="M38" s="21" t="n">
        <v>0.41</v>
      </c>
      <c r="N38" s="22">
        <f>G38*M38</f>
        <v/>
      </c>
      <c r="O38" s="23" t="n">
        <v>75</v>
      </c>
      <c r="P38" s="22">
        <f>G38*</f>
        <v/>
      </c>
      <c r="Q38" s="23" t="n">
        <v>25</v>
      </c>
      <c r="R38" s="22">
        <f>G38*</f>
        <v/>
      </c>
      <c r="S38" s="22">
        <f>I38*</f>
        <v/>
      </c>
      <c r="T38" s="24" t="n">
        <v>0.9</v>
      </c>
      <c r="U38" s="23" t="n">
        <v>75</v>
      </c>
      <c r="V38" s="22">
        <f>U38*(1-T38)</f>
        <v/>
      </c>
      <c r="W38" s="25" t="n">
        <v>1.89</v>
      </c>
      <c r="X38" s="22">
        <f>**W38</f>
        <v/>
      </c>
      <c r="Y38" s="20">
        <f>W38*(+0)</f>
        <v/>
      </c>
      <c r="Z38" s="21" t="n">
        <v>0.07000000000000001</v>
      </c>
      <c r="AA38" s="22">
        <f>G38*Z38</f>
        <v/>
      </c>
      <c r="AB38" s="24" t="n">
        <v>0.08</v>
      </c>
      <c r="AC38" s="22">
        <f>G38*AB38</f>
        <v/>
      </c>
      <c r="AD38" s="22">
        <f>AA38+AC38</f>
        <v/>
      </c>
      <c r="AE38" s="26">
        <f>AD38/G38</f>
        <v/>
      </c>
      <c r="AF38" s="27">
        <f>G38-N38-O38-P38-Q38-R38-S38-V38-X38-Y38-L38</f>
        <v/>
      </c>
      <c r="AG38" s="28">
        <f>AF38-AD38</f>
        <v/>
      </c>
      <c r="AH38" s="29">
        <f>AG38/G38</f>
        <v/>
      </c>
      <c r="AI38" s="30">
        <f>AG38/L38</f>
        <v/>
      </c>
      <c r="AJ38" s="22">
        <f>(O38+Q38+V38+X38+Y38+L38)/(1-(M38++(1-H38)*++Z38+AB38))</f>
        <v/>
      </c>
    </row>
    <row r="39">
      <c r="A39" s="40" t="inlineStr">
        <is>
          <t>FARMSTAY - Gold Snail Premium Cream [50ml] / Омолаживающий крем с муцином улитки и коллоидным золотом</t>
        </is>
      </c>
      <c r="B39" s="13" t="n"/>
      <c r="C39" s="14" t="inlineStr">
        <is>
          <t>не смогла найти с продажами</t>
        </is>
      </c>
      <c r="D39" s="15" t="n"/>
      <c r="E39" s="15" t="n"/>
      <c r="F39" s="15" t="n"/>
      <c r="G39" s="15">
        <f>(1.25*L39+O39+Q39+V39+X39+Y39)/(1-M39---(1-H39)*-Z39-AB39)</f>
        <v/>
      </c>
      <c r="H39" s="16" t="n">
        <v>0.45</v>
      </c>
      <c r="I39" s="17">
        <f>G39*(1-H39)</f>
        <v/>
      </c>
      <c r="J39" s="18" t="n">
        <v>431.05</v>
      </c>
      <c r="K39" s="19" t="inlineStr">
        <is>
          <t>=</t>
        </is>
      </c>
      <c r="L39" s="20">
        <f>J39+K39</f>
        <v/>
      </c>
      <c r="M39" s="21" t="n">
        <v>0.41</v>
      </c>
      <c r="N39" s="22">
        <f>G39*M39</f>
        <v/>
      </c>
      <c r="O39" s="23" t="n">
        <v>67</v>
      </c>
      <c r="P39" s="22">
        <f>G39*</f>
        <v/>
      </c>
      <c r="Q39" s="23" t="n">
        <v>25</v>
      </c>
      <c r="R39" s="22">
        <f>G39*</f>
        <v/>
      </c>
      <c r="S39" s="22">
        <f>I39*</f>
        <v/>
      </c>
      <c r="T39" s="24" t="n">
        <v>0.9</v>
      </c>
      <c r="U39" s="23" t="n">
        <v>67</v>
      </c>
      <c r="V39" s="22">
        <f>U39*(1-T39)</f>
        <v/>
      </c>
      <c r="W39" s="25" t="n">
        <v>0.73</v>
      </c>
      <c r="X39" s="22">
        <f>**W39</f>
        <v/>
      </c>
      <c r="Y39" s="20">
        <f>W39*(+0)</f>
        <v/>
      </c>
      <c r="Z39" s="21" t="n">
        <v>0.07000000000000001</v>
      </c>
      <c r="AA39" s="22">
        <f>G39*Z39</f>
        <v/>
      </c>
      <c r="AB39" s="24" t="n">
        <v>0.08</v>
      </c>
      <c r="AC39" s="22">
        <f>G39*AB39</f>
        <v/>
      </c>
      <c r="AD39" s="22">
        <f>AA39+AC39</f>
        <v/>
      </c>
      <c r="AE39" s="26">
        <f>AD39/G39</f>
        <v/>
      </c>
      <c r="AF39" s="27">
        <f>G39-N39-O39-P39-Q39-R39-S39-V39-X39-Y39-L39</f>
        <v/>
      </c>
      <c r="AG39" s="28">
        <f>AF39-AD39</f>
        <v/>
      </c>
      <c r="AH39" s="29">
        <f>AG39/G39</f>
        <v/>
      </c>
      <c r="AI39" s="30">
        <f>AG39/L39</f>
        <v/>
      </c>
      <c r="AJ39" s="22">
        <f>(O39+Q39+V39+X39+Y39+L39)/(1-(M39++(1-H39)*++Z39+AB39))</f>
        <v/>
      </c>
    </row>
    <row r="40">
      <c r="A40" s="40" t="inlineStr">
        <is>
          <t>FARMSTAY - Escargot Noblesse Intensive Cream [50g] / Крем с муцином королевской улитки</t>
        </is>
      </c>
      <c r="B40" s="13" t="n"/>
      <c r="C40" s="14" t="inlineStr">
        <is>
          <t>только Holika продает на Озон</t>
        </is>
      </c>
      <c r="D40" s="15" t="n">
        <v>3070</v>
      </c>
      <c r="E40" s="15" t="n">
        <v>48</v>
      </c>
      <c r="F40" s="15" t="n">
        <v>6.6</v>
      </c>
      <c r="G40" s="15" t="n">
        <v>2900</v>
      </c>
      <c r="H40" s="16" t="n">
        <v>0.45</v>
      </c>
      <c r="I40" s="17">
        <f>G40*(1-H40)</f>
        <v/>
      </c>
      <c r="J40" s="18" t="n">
        <v>313.84</v>
      </c>
      <c r="K40" s="19" t="inlineStr">
        <is>
          <t>=</t>
        </is>
      </c>
      <c r="L40" s="20">
        <f>J40+K40</f>
        <v/>
      </c>
      <c r="M40" s="21" t="n">
        <v>0.41</v>
      </c>
      <c r="N40" s="22">
        <f>G40*M40</f>
        <v/>
      </c>
      <c r="O40" s="23" t="n">
        <v>67</v>
      </c>
      <c r="P40" s="22">
        <f>G40*</f>
        <v/>
      </c>
      <c r="Q40" s="23" t="n">
        <v>25</v>
      </c>
      <c r="R40" s="22">
        <f>G40*</f>
        <v/>
      </c>
      <c r="S40" s="22">
        <f>I40*</f>
        <v/>
      </c>
      <c r="T40" s="24" t="n">
        <v>0.9</v>
      </c>
      <c r="U40" s="23" t="n">
        <v>67</v>
      </c>
      <c r="V40" s="22">
        <f>U40*(1-T40)</f>
        <v/>
      </c>
      <c r="W40" s="25" t="n">
        <v>0.86</v>
      </c>
      <c r="X40" s="22">
        <f>**W40</f>
        <v/>
      </c>
      <c r="Y40" s="20">
        <f>W40*(+0)</f>
        <v/>
      </c>
      <c r="Z40" s="21" t="n">
        <v>0.07000000000000001</v>
      </c>
      <c r="AA40" s="22">
        <f>G40*Z40</f>
        <v/>
      </c>
      <c r="AB40" s="24" t="n">
        <v>0.08</v>
      </c>
      <c r="AC40" s="22">
        <f>G40*AB40</f>
        <v/>
      </c>
      <c r="AD40" s="22">
        <f>AA40+AC40</f>
        <v/>
      </c>
      <c r="AE40" s="26">
        <f>AD40/G40</f>
        <v/>
      </c>
      <c r="AF40" s="27">
        <f>G40-N40-O40-P40-Q40-R40-S40-V40-X40-Y40-L40</f>
        <v/>
      </c>
      <c r="AG40" s="28">
        <f>AF40-AD40</f>
        <v/>
      </c>
      <c r="AH40" s="29">
        <f>AG40/G40</f>
        <v/>
      </c>
      <c r="AI40" s="30">
        <f>AG40/L40</f>
        <v/>
      </c>
      <c r="AJ40" s="22">
        <f>(O40+Q40+V40+X40+Y40+L40)/(1-(M40++(1-H40)*++Z40+AB40))</f>
        <v/>
      </c>
    </row>
    <row r="41">
      <c r="A41" s="12" t="inlineStr">
        <is>
          <t xml:space="preserve">FARMSTAY ESCARGOT NOBLESSE INTENSIVE AMPOULE/ сыворотка с улиткой </t>
        </is>
      </c>
      <c r="B41" s="13" t="n"/>
      <c r="C41" s="14" t="n"/>
      <c r="D41" s="15" t="n">
        <v>3820</v>
      </c>
      <c r="E41" s="15" t="n">
        <v>22</v>
      </c>
      <c r="F41" s="15" t="n">
        <v>7</v>
      </c>
      <c r="G41" s="15">
        <f>(1.25*L41+O41+Q41+V41+X41+Y41)/(1-M41---(1-H41)*-Z41-AB41)</f>
        <v/>
      </c>
      <c r="H41" s="16" t="n">
        <v>0.45</v>
      </c>
      <c r="I41" s="17">
        <f>G41*(1-H41)</f>
        <v/>
      </c>
      <c r="J41" s="18" t="n">
        <v>390.46</v>
      </c>
      <c r="K41" s="19" t="inlineStr">
        <is>
          <t>=</t>
        </is>
      </c>
      <c r="L41" s="20">
        <f>J41+K41</f>
        <v/>
      </c>
      <c r="M41" s="21" t="n">
        <v>0.41</v>
      </c>
      <c r="N41" s="22">
        <f>G41*M41</f>
        <v/>
      </c>
      <c r="O41" s="23" t="n">
        <v>67</v>
      </c>
      <c r="P41" s="22">
        <f>G41*</f>
        <v/>
      </c>
      <c r="Q41" s="23" t="n">
        <v>25</v>
      </c>
      <c r="R41" s="22">
        <f>G41*</f>
        <v/>
      </c>
      <c r="S41" s="22">
        <f>I41*</f>
        <v/>
      </c>
      <c r="T41" s="24" t="n">
        <v>0.9</v>
      </c>
      <c r="U41" s="23" t="n">
        <v>67</v>
      </c>
      <c r="V41" s="22">
        <f>U41*(1-T41)</f>
        <v/>
      </c>
      <c r="W41" s="25" t="n">
        <v>0.86</v>
      </c>
      <c r="X41" s="22">
        <f>**W41</f>
        <v/>
      </c>
      <c r="Y41" s="20">
        <f>W41*(+0)</f>
        <v/>
      </c>
      <c r="Z41" s="21" t="n">
        <v>0.07000000000000001</v>
      </c>
      <c r="AA41" s="22">
        <f>G41*Z41</f>
        <v/>
      </c>
      <c r="AB41" s="24" t="n">
        <v>0.08</v>
      </c>
      <c r="AC41" s="22">
        <f>G41*AB41</f>
        <v/>
      </c>
      <c r="AD41" s="22">
        <f>AA41+AC41</f>
        <v/>
      </c>
      <c r="AE41" s="26">
        <f>AD41/G41</f>
        <v/>
      </c>
      <c r="AF41" s="27">
        <f>G41-N41-O41-P41-Q41-R41-S41-V41-X41-Y41-L41</f>
        <v/>
      </c>
      <c r="AG41" s="28">
        <f>AF41-AD41</f>
        <v/>
      </c>
      <c r="AH41" s="29">
        <f>AG41/G41</f>
        <v/>
      </c>
      <c r="AI41" s="30">
        <f>AG41/L41</f>
        <v/>
      </c>
      <c r="AJ41" s="22">
        <f>(O41+Q41+V41+X41+Y41+L41)/(1-(M41++(1-H41)*++Z41+AB41))</f>
        <v/>
      </c>
    </row>
    <row r="42">
      <c r="A42" s="12" t="inlineStr">
        <is>
          <t>FARMSTAY - Argan Oil Complete Volume Up Shampoo &amp; Conditioner [530ml] / Шампунь-кондиционер с аргановым маслом</t>
        </is>
      </c>
      <c r="B42" s="13" t="n"/>
      <c r="C42" s="14" t="n"/>
      <c r="D42" s="15" t="n">
        <v>2000</v>
      </c>
      <c r="E42" s="15" t="n">
        <v>23</v>
      </c>
      <c r="F42" s="15" t="n">
        <v>1</v>
      </c>
      <c r="G42" s="15">
        <f>(1.25*L42+O42+Q42+V42+X42+Y42)/(1-M42---(1-H42)*-Z42-AB42)</f>
        <v/>
      </c>
      <c r="H42" s="16" t="n">
        <v>0.45</v>
      </c>
      <c r="I42" s="17">
        <f>G42*(1-H42)</f>
        <v/>
      </c>
      <c r="J42" s="18" t="n">
        <v>400.76</v>
      </c>
      <c r="K42" s="19" t="inlineStr">
        <is>
          <t>=</t>
        </is>
      </c>
      <c r="L42" s="20">
        <f>J42+K42</f>
        <v/>
      </c>
      <c r="M42" s="21" t="n">
        <v>0.41</v>
      </c>
      <c r="N42" s="22">
        <f>G42*M42</f>
        <v/>
      </c>
      <c r="O42" s="23" t="n">
        <v>75</v>
      </c>
      <c r="P42" s="22">
        <f>G42*</f>
        <v/>
      </c>
      <c r="Q42" s="23" t="n">
        <v>25</v>
      </c>
      <c r="R42" s="22">
        <f>G42*</f>
        <v/>
      </c>
      <c r="S42" s="22">
        <f>I42*</f>
        <v/>
      </c>
      <c r="T42" s="24" t="n">
        <v>0.9</v>
      </c>
      <c r="U42" s="23" t="n">
        <v>75</v>
      </c>
      <c r="V42" s="22">
        <f>U42*(1-T42)</f>
        <v/>
      </c>
      <c r="W42" s="25" t="n">
        <v>1.26</v>
      </c>
      <c r="X42" s="22">
        <f>**W42</f>
        <v/>
      </c>
      <c r="Y42" s="20">
        <f>W42*(+0)</f>
        <v/>
      </c>
      <c r="Z42" s="21" t="n">
        <v>0.07000000000000001</v>
      </c>
      <c r="AA42" s="22">
        <f>G42*Z42</f>
        <v/>
      </c>
      <c r="AB42" s="24" t="n">
        <v>0.08</v>
      </c>
      <c r="AC42" s="22">
        <f>G42*AB42</f>
        <v/>
      </c>
      <c r="AD42" s="22">
        <f>AA42+AC42</f>
        <v/>
      </c>
      <c r="AE42" s="26">
        <f>AD42/G42</f>
        <v/>
      </c>
      <c r="AF42" s="27">
        <f>G42-N42-O42-P42-Q42-R42-S42-V42-X42-Y42-L42</f>
        <v/>
      </c>
      <c r="AG42" s="28">
        <f>AF42-AD42</f>
        <v/>
      </c>
      <c r="AH42" s="29">
        <f>AG42/G42</f>
        <v/>
      </c>
      <c r="AI42" s="30">
        <f>AG42/L42</f>
        <v/>
      </c>
      <c r="AJ42" s="22">
        <f>(O42+Q42+V42+X42+Y42+L42)/(1-(M42++(1-H42)*++Z42+AB42))</f>
        <v/>
      </c>
    </row>
    <row r="43">
      <c r="A43" s="12" t="inlineStr">
        <is>
          <t>FARMSTAY - Collagen Water Full Shampoo &amp; Conditioner [530ml] / Шампунь-кондиционер 2в1 с коллагеном</t>
        </is>
      </c>
      <c r="B43" s="13" t="n"/>
      <c r="C43" s="14" t="n"/>
      <c r="D43" s="15" t="n">
        <v>2128</v>
      </c>
      <c r="E43" s="15" t="n">
        <v>22</v>
      </c>
      <c r="F43" s="15" t="n">
        <v>7.5</v>
      </c>
      <c r="G43" s="15">
        <f>(1.25*L43+O43+Q43+V43+X43+Y43)/(1-M43---(1-H43)*-Z43-AB43)</f>
        <v/>
      </c>
      <c r="H43" s="16" t="n">
        <v>0.45</v>
      </c>
      <c r="I43" s="17">
        <f>G43*(1-H43)</f>
        <v/>
      </c>
      <c r="J43" s="18" t="n">
        <v>396.72</v>
      </c>
      <c r="K43" s="19" t="inlineStr">
        <is>
          <t>=</t>
        </is>
      </c>
      <c r="L43" s="20">
        <f>J43+K43</f>
        <v/>
      </c>
      <c r="M43" s="21" t="n">
        <v>0.41</v>
      </c>
      <c r="N43" s="22">
        <f>G43*M43</f>
        <v/>
      </c>
      <c r="O43" s="23" t="n">
        <v>75</v>
      </c>
      <c r="P43" s="22">
        <f>G43*</f>
        <v/>
      </c>
      <c r="Q43" s="23" t="n">
        <v>25</v>
      </c>
      <c r="R43" s="22">
        <f>G43*</f>
        <v/>
      </c>
      <c r="S43" s="22">
        <f>I43*</f>
        <v/>
      </c>
      <c r="T43" s="24" t="n">
        <v>0.9</v>
      </c>
      <c r="U43" s="23" t="n">
        <v>75</v>
      </c>
      <c r="V43" s="22">
        <f>U43*(1-T43)</f>
        <v/>
      </c>
      <c r="W43" s="25" t="n">
        <v>1.26</v>
      </c>
      <c r="X43" s="22">
        <f>**W43</f>
        <v/>
      </c>
      <c r="Y43" s="20">
        <f>W43*(+0)</f>
        <v/>
      </c>
      <c r="Z43" s="21" t="n">
        <v>0.07000000000000001</v>
      </c>
      <c r="AA43" s="22">
        <f>G43*Z43</f>
        <v/>
      </c>
      <c r="AB43" s="24" t="n">
        <v>0.08</v>
      </c>
      <c r="AC43" s="22">
        <f>G43*AB43</f>
        <v/>
      </c>
      <c r="AD43" s="22">
        <f>AA43+AC43</f>
        <v/>
      </c>
      <c r="AE43" s="26">
        <f>AD43/G43</f>
        <v/>
      </c>
      <c r="AF43" s="27">
        <f>G43-N43-O43-P43-Q43-R43-S43-V43-X43-Y43-L43</f>
        <v/>
      </c>
      <c r="AG43" s="28">
        <f>AF43-AD43</f>
        <v/>
      </c>
      <c r="AH43" s="29">
        <f>AG43/G43</f>
        <v/>
      </c>
      <c r="AI43" s="30">
        <f>AG43/L43</f>
        <v/>
      </c>
      <c r="AJ43" s="22">
        <f>(O43+Q43+V43+X43+Y43+L43)/(1-(M43++(1-H43)*++Z43+AB43))</f>
        <v/>
      </c>
    </row>
    <row r="44">
      <c r="A44" s="12" t="inlineStr">
        <is>
          <t>FARMSTAY - Collagen Water Full Moist Rolling Eye Serum [25ml] / Сыворотка роллер для глаз</t>
        </is>
      </c>
      <c r="B44" s="13" t="n"/>
      <c r="C44" s="14" t="n"/>
      <c r="D44" s="15" t="n">
        <v>2145</v>
      </c>
      <c r="E44" s="15" t="n">
        <v>48</v>
      </c>
      <c r="F44" s="15" t="n">
        <v>5</v>
      </c>
      <c r="G44" s="15" t="n">
        <v>1800</v>
      </c>
      <c r="H44" s="16" t="n">
        <v>0.45</v>
      </c>
      <c r="I44" s="17">
        <f>G44*(1-H44)</f>
        <v/>
      </c>
      <c r="J44" s="18" t="n">
        <v>231.73</v>
      </c>
      <c r="K44" s="19" t="inlineStr">
        <is>
          <t>=</t>
        </is>
      </c>
      <c r="L44" s="20">
        <f>J44+K44</f>
        <v/>
      </c>
      <c r="M44" s="21" t="n">
        <v>0.41</v>
      </c>
      <c r="N44" s="22">
        <f>G44*M44</f>
        <v/>
      </c>
      <c r="O44" s="23" t="n">
        <v>63</v>
      </c>
      <c r="P44" s="22">
        <f>G44*</f>
        <v/>
      </c>
      <c r="Q44" s="23" t="n">
        <v>25</v>
      </c>
      <c r="R44" s="22">
        <f>G44*</f>
        <v/>
      </c>
      <c r="S44" s="22">
        <f>I44*</f>
        <v/>
      </c>
      <c r="T44" s="24" t="n">
        <v>0.9</v>
      </c>
      <c r="U44" s="23" t="n">
        <v>63</v>
      </c>
      <c r="V44" s="22">
        <f>U44*(1-T44)</f>
        <v/>
      </c>
      <c r="W44" s="25" t="n">
        <v>0.22</v>
      </c>
      <c r="X44" s="22">
        <f>**W44</f>
        <v/>
      </c>
      <c r="Y44" s="20">
        <f>W44*(+0)</f>
        <v/>
      </c>
      <c r="Z44" s="21" t="n">
        <v>0.07000000000000001</v>
      </c>
      <c r="AA44" s="22">
        <f>G44*Z44</f>
        <v/>
      </c>
      <c r="AB44" s="24" t="n">
        <v>0.08</v>
      </c>
      <c r="AC44" s="22">
        <f>G44*AB44</f>
        <v/>
      </c>
      <c r="AD44" s="22">
        <f>AA44+AC44</f>
        <v/>
      </c>
      <c r="AE44" s="26">
        <f>AD44/G44</f>
        <v/>
      </c>
      <c r="AF44" s="27">
        <f>G44-N44-O44-P44-Q44-R44-S44-V44-X44-Y44-L44</f>
        <v/>
      </c>
      <c r="AG44" s="28">
        <f>AF44-AD44</f>
        <v/>
      </c>
      <c r="AH44" s="29">
        <f>AG44/G44</f>
        <v/>
      </c>
      <c r="AI44" s="30">
        <f>AG44/L44</f>
        <v/>
      </c>
      <c r="AJ44" s="22">
        <f>(O44+Q44+V44+X44+Y44+L44)/(1-(M44++(1-H44)*++Z44+AB44))</f>
        <v/>
      </c>
    </row>
    <row r="45">
      <c r="A45" s="12" t="inlineStr">
        <is>
          <t>FARMSTAY - Collagen Water Full Moist Cream [100g] / Увлажняющий крем с коллагеном</t>
        </is>
      </c>
      <c r="B45" s="13" t="n"/>
      <c r="C45" s="14" t="n"/>
      <c r="D45" s="15" t="n">
        <v>4300</v>
      </c>
      <c r="E45" s="15" t="n">
        <v>29</v>
      </c>
      <c r="F45" s="15" t="n">
        <v>7</v>
      </c>
      <c r="G45" s="15">
        <f>(1.25*L45+O45+Q45+V45+X45+Y45)/(1-M45---(1-H45)*-Z45-AB45)</f>
        <v/>
      </c>
      <c r="H45" s="16" t="n">
        <v>0.45</v>
      </c>
      <c r="I45" s="17">
        <f>G45*(1-H45)</f>
        <v/>
      </c>
      <c r="J45" s="18" t="n">
        <v>484.42</v>
      </c>
      <c r="K45" s="19" t="inlineStr">
        <is>
          <t>=</t>
        </is>
      </c>
      <c r="L45" s="20">
        <f>J45+K45</f>
        <v/>
      </c>
      <c r="M45" s="21" t="n">
        <v>0.41</v>
      </c>
      <c r="N45" s="22">
        <f>G45*M45</f>
        <v/>
      </c>
      <c r="O45" s="23" t="n">
        <v>67</v>
      </c>
      <c r="P45" s="22">
        <f>G45*</f>
        <v/>
      </c>
      <c r="Q45" s="23" t="n">
        <v>25</v>
      </c>
      <c r="R45" s="22">
        <f>G45*</f>
        <v/>
      </c>
      <c r="S45" s="22">
        <f>I45*</f>
        <v/>
      </c>
      <c r="T45" s="24" t="n">
        <v>0.9</v>
      </c>
      <c r="U45" s="23" t="n">
        <v>67</v>
      </c>
      <c r="V45" s="22">
        <f>U45*(1-T45)</f>
        <v/>
      </c>
      <c r="W45" s="25" t="n">
        <v>0.57</v>
      </c>
      <c r="X45" s="22">
        <f>**W45</f>
        <v/>
      </c>
      <c r="Y45" s="20">
        <f>W45*(+0)</f>
        <v/>
      </c>
      <c r="Z45" s="21" t="n">
        <v>0.07000000000000001</v>
      </c>
      <c r="AA45" s="22">
        <f>G45*Z45</f>
        <v/>
      </c>
      <c r="AB45" s="24" t="n">
        <v>0.08</v>
      </c>
      <c r="AC45" s="22">
        <f>G45*AB45</f>
        <v/>
      </c>
      <c r="AD45" s="22">
        <f>AA45+AC45</f>
        <v/>
      </c>
      <c r="AE45" s="26">
        <f>AD45/G45</f>
        <v/>
      </c>
      <c r="AF45" s="27">
        <f>G45-N45-O45-P45-Q45-R45-S45-V45-X45-Y45-L45</f>
        <v/>
      </c>
      <c r="AG45" s="28">
        <f>AF45-AD45</f>
        <v/>
      </c>
      <c r="AH45" s="29">
        <f>AG45/G45</f>
        <v/>
      </c>
      <c r="AI45" s="30">
        <f>AG45/L45</f>
        <v/>
      </c>
      <c r="AJ45" s="22">
        <f>(O45+Q45+V45+X45+Y45+L45)/(1-(M45++(1-H45)*++Z45+AB45))</f>
        <v/>
      </c>
    </row>
    <row r="46">
      <c r="A46" s="12" t="inlineStr">
        <is>
          <t xml:space="preserve">FARMSTAY - Collagen Pure Cleansing Foam [180ml]/Пенка для умывания </t>
        </is>
      </c>
      <c r="B46" s="13" t="n"/>
      <c r="C46" s="14" t="n"/>
      <c r="D46" s="15" t="n">
        <v>1100</v>
      </c>
      <c r="E46" s="15" t="n">
        <v>163</v>
      </c>
      <c r="F46" s="15" t="n">
        <v>4.5</v>
      </c>
      <c r="G46" s="15">
        <f>(1.25*L46+O46+Q46+V46+X46+Y46)/(1-M46---(1-H46)*-Z46-AB46)</f>
        <v/>
      </c>
      <c r="H46" s="16" t="n">
        <v>0.45</v>
      </c>
      <c r="I46" s="17">
        <f>G46*(1-H46)</f>
        <v/>
      </c>
      <c r="J46" s="18" t="n">
        <v>161.47</v>
      </c>
      <c r="K46" s="19" t="inlineStr">
        <is>
          <t>=</t>
        </is>
      </c>
      <c r="L46" s="20">
        <f>J46+K46</f>
        <v/>
      </c>
      <c r="M46" s="21" t="n">
        <v>0.41</v>
      </c>
      <c r="N46" s="22">
        <f>G46*M46</f>
        <v/>
      </c>
      <c r="O46" s="23" t="n">
        <v>67</v>
      </c>
      <c r="P46" s="22">
        <f>G46*</f>
        <v/>
      </c>
      <c r="Q46" s="23" t="n">
        <v>25</v>
      </c>
      <c r="R46" s="22">
        <f>G46*</f>
        <v/>
      </c>
      <c r="S46" s="22">
        <f>I46*</f>
        <v/>
      </c>
      <c r="T46" s="24" t="n">
        <v>0.9</v>
      </c>
      <c r="U46" s="23" t="n">
        <v>67</v>
      </c>
      <c r="V46" s="22">
        <f>U46*(1-T46)</f>
        <v/>
      </c>
      <c r="W46" s="25" t="n">
        <v>0.57</v>
      </c>
      <c r="X46" s="22">
        <f>**W46</f>
        <v/>
      </c>
      <c r="Y46" s="20">
        <f>W46*(+0)</f>
        <v/>
      </c>
      <c r="Z46" s="21" t="n">
        <v>0.07000000000000001</v>
      </c>
      <c r="AA46" s="22">
        <f>G46*Z46</f>
        <v/>
      </c>
      <c r="AB46" s="24" t="n">
        <v>0.08</v>
      </c>
      <c r="AC46" s="22">
        <f>G46*AB46</f>
        <v/>
      </c>
      <c r="AD46" s="22">
        <f>AA46+AC46</f>
        <v/>
      </c>
      <c r="AE46" s="26">
        <f>AD46/G46</f>
        <v/>
      </c>
      <c r="AF46" s="27">
        <f>G46-N46-O46-P46-Q46-R46-S46-V46-X46-Y46-L46</f>
        <v/>
      </c>
      <c r="AG46" s="28">
        <f>AF46-AD46</f>
        <v/>
      </c>
      <c r="AH46" s="29">
        <f>AG46/G46</f>
        <v/>
      </c>
      <c r="AI46" s="30">
        <f>AG46/L46</f>
        <v/>
      </c>
      <c r="AJ46" s="22">
        <f>(O46+Q46+V46+X46+Y46+L46)/(1-(M46++(1-H46)*++Z46+AB46))</f>
        <v/>
      </c>
    </row>
    <row r="47">
      <c r="A47" s="12" t="inlineStr">
        <is>
          <t>HEIMISH - Artless Glow Base SPF50+ PA+++(Renew) [40ml] / База под макияж SPF50+ PA+++</t>
        </is>
      </c>
      <c r="B47" s="13" t="n"/>
      <c r="C47" s="14" t="n"/>
      <c r="D47" s="15" t="n">
        <v>2980</v>
      </c>
      <c r="E47" s="15" t="n">
        <v>100</v>
      </c>
      <c r="F47" s="15" t="n">
        <v>0</v>
      </c>
      <c r="G47" s="15" t="n">
        <v>2750</v>
      </c>
      <c r="H47" s="16" t="n">
        <v>0.45</v>
      </c>
      <c r="I47" s="17">
        <f>G47*(1-H47)</f>
        <v/>
      </c>
      <c r="J47" s="18" t="n">
        <v>770.48</v>
      </c>
      <c r="K47" s="19" t="inlineStr">
        <is>
          <t>=</t>
        </is>
      </c>
      <c r="L47" s="20">
        <f>J47+K47</f>
        <v/>
      </c>
      <c r="M47" s="21" t="n">
        <v>0.41</v>
      </c>
      <c r="N47" s="22">
        <f>G47*M47</f>
        <v/>
      </c>
      <c r="O47" s="23" t="n">
        <v>56</v>
      </c>
      <c r="P47" s="22">
        <f>G47*</f>
        <v/>
      </c>
      <c r="Q47" s="23" t="n">
        <v>25</v>
      </c>
      <c r="R47" s="22">
        <f>G47*</f>
        <v/>
      </c>
      <c r="S47" s="22">
        <f>I47*</f>
        <v/>
      </c>
      <c r="T47" s="24" t="n">
        <v>0.9</v>
      </c>
      <c r="U47" s="23" t="n">
        <v>56</v>
      </c>
      <c r="V47" s="22">
        <f>U47*(1-T47)</f>
        <v/>
      </c>
      <c r="W47" s="25" t="n">
        <v>0.14</v>
      </c>
      <c r="X47" s="22">
        <f>**W47</f>
        <v/>
      </c>
      <c r="Y47" s="20">
        <f>W47*(+0)</f>
        <v/>
      </c>
      <c r="Z47" s="21" t="n">
        <v>0.05</v>
      </c>
      <c r="AA47" s="22">
        <f>G47*Z47</f>
        <v/>
      </c>
      <c r="AB47" s="24" t="n">
        <v>0.05</v>
      </c>
      <c r="AC47" s="22">
        <f>G47*AB47</f>
        <v/>
      </c>
      <c r="AD47" s="22">
        <f>AA47+AC47</f>
        <v/>
      </c>
      <c r="AE47" s="26">
        <f>AD47/G47</f>
        <v/>
      </c>
      <c r="AF47" s="27">
        <f>G47-N47-O47-P47-Q47-R47-S47-V47-X47-Y47-L47</f>
        <v/>
      </c>
      <c r="AG47" s="28">
        <f>AF47-AD47</f>
        <v/>
      </c>
      <c r="AH47" s="29">
        <f>AG47/G47</f>
        <v/>
      </c>
      <c r="AI47" s="30">
        <f>AG47/L47</f>
        <v/>
      </c>
      <c r="AJ47" s="22">
        <f>(O47+Q47+V47+X47+Y47+L47)/(1-(M47++(1-H47)*++Z47+AB47))</f>
        <v/>
      </c>
    </row>
    <row r="48">
      <c r="A48" s="12" t="inlineStr">
        <is>
          <t>JIGOTT - Snail Lifting Cream [70ml] / Крем для лица увлажняющий антивозрастной</t>
        </is>
      </c>
      <c r="B48" s="13" t="n"/>
      <c r="C48" s="14" t="n"/>
      <c r="D48" s="15" t="n">
        <v>980</v>
      </c>
      <c r="E48" s="15" t="n">
        <v>160</v>
      </c>
      <c r="F48" s="15" t="n">
        <v>4.5</v>
      </c>
      <c r="G48" s="15" t="n">
        <v>880</v>
      </c>
      <c r="H48" s="16" t="n">
        <v>0.45</v>
      </c>
      <c r="I48" s="17">
        <f>G48*(1-H48)</f>
        <v/>
      </c>
      <c r="J48" s="18" t="n">
        <v>202.27</v>
      </c>
      <c r="K48" s="19" t="inlineStr">
        <is>
          <t>=</t>
        </is>
      </c>
      <c r="L48" s="20">
        <f>J48+K48</f>
        <v/>
      </c>
      <c r="M48" s="21" t="n">
        <v>0.41</v>
      </c>
      <c r="N48" s="22">
        <f>G48*M48</f>
        <v/>
      </c>
      <c r="O48" s="23" t="n">
        <v>67</v>
      </c>
      <c r="P48" s="22">
        <f>G48*</f>
        <v/>
      </c>
      <c r="Q48" s="23" t="n">
        <v>25</v>
      </c>
      <c r="R48" s="22">
        <f>G48*</f>
        <v/>
      </c>
      <c r="S48" s="22">
        <f>I48*</f>
        <v/>
      </c>
      <c r="T48" s="24" t="n">
        <v>0.9</v>
      </c>
      <c r="U48" s="23" t="n">
        <v>67</v>
      </c>
      <c r="V48" s="22">
        <f>U48*(1-T48)</f>
        <v/>
      </c>
      <c r="W48" s="25" t="n">
        <v>0.42</v>
      </c>
      <c r="X48" s="22">
        <f>**W48</f>
        <v/>
      </c>
      <c r="Y48" s="20">
        <f>W48*(+0)</f>
        <v/>
      </c>
      <c r="Z48" s="21" t="n">
        <v>0.07000000000000001</v>
      </c>
      <c r="AA48" s="22">
        <f>G48*Z48</f>
        <v/>
      </c>
      <c r="AB48" s="24" t="n">
        <v>0.08</v>
      </c>
      <c r="AC48" s="22">
        <f>G48*AB48</f>
        <v/>
      </c>
      <c r="AD48" s="22">
        <f>AA48+AC48</f>
        <v/>
      </c>
      <c r="AE48" s="26">
        <f>AD48/G48</f>
        <v/>
      </c>
      <c r="AF48" s="27">
        <f>G48-N48-O48-P48-Q48-R48-S48-V48-X48-Y48-L48</f>
        <v/>
      </c>
      <c r="AG48" s="31">
        <f>AF48-AD48</f>
        <v/>
      </c>
      <c r="AH48" s="32">
        <f>AG48/G48</f>
        <v/>
      </c>
      <c r="AI48" s="33">
        <f>AG48/L48</f>
        <v/>
      </c>
      <c r="AJ48" s="22">
        <f>(O48+Q48+V48+X48+Y48+L48)/(1-(M48++(1-H48)*++Z48+AB48))</f>
        <v/>
      </c>
    </row>
    <row r="49">
      <c r="A49" s="12" t="inlineStr">
        <is>
          <t>JIGOTT - Snail Reparing Cream [100ml] / Крем для лица увлажняющий антивозрастной с муцином улитки</t>
        </is>
      </c>
      <c r="B49" s="13" t="n"/>
      <c r="C49" s="14" t="n"/>
      <c r="D49" s="15" t="n">
        <v>1030</v>
      </c>
      <c r="E49" s="15" t="n">
        <v>153</v>
      </c>
      <c r="F49" s="15" t="n">
        <v>5</v>
      </c>
      <c r="G49" s="15" t="n">
        <v>930</v>
      </c>
      <c r="H49" s="16" t="n">
        <v>0.45</v>
      </c>
      <c r="I49" s="17">
        <f>G49*(1-H49)</f>
        <v/>
      </c>
      <c r="J49" s="18" t="n">
        <v>185.86</v>
      </c>
      <c r="K49" s="19" t="inlineStr">
        <is>
          <t>=</t>
        </is>
      </c>
      <c r="L49" s="20">
        <f>J49+K49</f>
        <v/>
      </c>
      <c r="M49" s="21" t="n">
        <v>0.41</v>
      </c>
      <c r="N49" s="22">
        <f>G49*M49</f>
        <v/>
      </c>
      <c r="O49" s="23" t="n">
        <v>67</v>
      </c>
      <c r="P49" s="22">
        <f>G49*</f>
        <v/>
      </c>
      <c r="Q49" s="23" t="n">
        <v>25</v>
      </c>
      <c r="R49" s="22">
        <f>G49*</f>
        <v/>
      </c>
      <c r="S49" s="22">
        <f>I49*</f>
        <v/>
      </c>
      <c r="T49" s="24" t="n">
        <v>0.9</v>
      </c>
      <c r="U49" s="23" t="n">
        <v>67</v>
      </c>
      <c r="V49" s="22">
        <f>U49*(1-T49)</f>
        <v/>
      </c>
      <c r="W49" s="25" t="n">
        <v>0.57</v>
      </c>
      <c r="X49" s="22">
        <f>**W49</f>
        <v/>
      </c>
      <c r="Y49" s="20">
        <f>W49*(+0)</f>
        <v/>
      </c>
      <c r="Z49" s="21" t="n">
        <v>0.07000000000000001</v>
      </c>
      <c r="AA49" s="22">
        <f>G49*Z49</f>
        <v/>
      </c>
      <c r="AB49" s="24" t="n">
        <v>0.08</v>
      </c>
      <c r="AC49" s="22">
        <f>G49*AB49</f>
        <v/>
      </c>
      <c r="AD49" s="22">
        <f>AA49+AC49</f>
        <v/>
      </c>
      <c r="AE49" s="26">
        <f>AD49/G49</f>
        <v/>
      </c>
      <c r="AF49" s="27">
        <f>G49-N49-O49-P49-Q49-R49-S49-V49-X49-Y49-L49</f>
        <v/>
      </c>
      <c r="AG49" s="31">
        <f>AF49-AD49</f>
        <v/>
      </c>
      <c r="AH49" s="32">
        <f>AG49/G49</f>
        <v/>
      </c>
      <c r="AI49" s="33">
        <f>AG49/L49</f>
        <v/>
      </c>
      <c r="AJ49" s="22">
        <f>(O49+Q49+V49+X49+Y49+L49)/(1-(M49++(1-H49)*++Z49+AB49))</f>
        <v/>
      </c>
    </row>
    <row r="50">
      <c r="A50" s="12" t="inlineStr">
        <is>
          <t>JIGOTT - Birds Nest Firming Cream [70ml] / Антивозрастной крем с экстрактом ласточкиного гнезда</t>
        </is>
      </c>
      <c r="B50" s="13" t="n"/>
      <c r="C50" s="14" t="n"/>
      <c r="D50" s="15" t="n">
        <v>1040</v>
      </c>
      <c r="E50" s="15" t="n">
        <v>49</v>
      </c>
      <c r="F50" s="15" t="n">
        <v>4</v>
      </c>
      <c r="G50" s="15" t="n">
        <v>960</v>
      </c>
      <c r="H50" s="16" t="n">
        <v>0.45</v>
      </c>
      <c r="I50" s="17">
        <f>G50*(1-H50)</f>
        <v/>
      </c>
      <c r="J50" s="18" t="n">
        <v>202.27</v>
      </c>
      <c r="K50" s="19" t="inlineStr">
        <is>
          <t>=</t>
        </is>
      </c>
      <c r="L50" s="20">
        <f>J50+K50</f>
        <v/>
      </c>
      <c r="M50" s="21" t="n">
        <v>0.41</v>
      </c>
      <c r="N50" s="22">
        <f>G50*M50</f>
        <v/>
      </c>
      <c r="O50" s="23" t="n">
        <v>67</v>
      </c>
      <c r="P50" s="22">
        <f>G50*</f>
        <v/>
      </c>
      <c r="Q50" s="23" t="n">
        <v>25</v>
      </c>
      <c r="R50" s="22">
        <f>G50*</f>
        <v/>
      </c>
      <c r="S50" s="22">
        <f>I50*</f>
        <v/>
      </c>
      <c r="T50" s="24" t="n">
        <v>0.9</v>
      </c>
      <c r="U50" s="23" t="n">
        <v>67</v>
      </c>
      <c r="V50" s="22">
        <f>U50*(1-T50)</f>
        <v/>
      </c>
      <c r="W50" s="25" t="n">
        <v>0.42</v>
      </c>
      <c r="X50" s="22">
        <f>**W50</f>
        <v/>
      </c>
      <c r="Y50" s="20">
        <f>W50*(+0)</f>
        <v/>
      </c>
      <c r="Z50" s="21" t="n">
        <v>0.07000000000000001</v>
      </c>
      <c r="AA50" s="22">
        <f>G50*Z50</f>
        <v/>
      </c>
      <c r="AB50" s="24" t="n">
        <v>0.08</v>
      </c>
      <c r="AC50" s="22">
        <f>G50*AB50</f>
        <v/>
      </c>
      <c r="AD50" s="22">
        <f>AA50+AC50</f>
        <v/>
      </c>
      <c r="AE50" s="26">
        <f>AD50/G50</f>
        <v/>
      </c>
      <c r="AF50" s="27">
        <f>G50-N50-O50-P50-Q50-R50-S50-V50-X50-Y50-L50</f>
        <v/>
      </c>
      <c r="AG50" s="31">
        <f>AF50-AD50</f>
        <v/>
      </c>
      <c r="AH50" s="32">
        <f>AG50/G50</f>
        <v/>
      </c>
      <c r="AI50" s="33">
        <f>AG50/L50</f>
        <v/>
      </c>
      <c r="AJ50" s="22">
        <f>(O50+Q50+V50+X50+Y50+L50)/(1-(M50++(1-H50)*++Z50+AB50))</f>
        <v/>
      </c>
    </row>
    <row r="51">
      <c r="A51" s="12" t="inlineStr">
        <is>
          <t>JIGOTT - Ultimate Real Collagen Toner [300ml] / тонер с коллагеном антивозрастной</t>
        </is>
      </c>
      <c r="B51" s="13" t="n"/>
      <c r="C51" s="14" t="n"/>
      <c r="D51" s="15" t="n">
        <v>1140</v>
      </c>
      <c r="E51" s="15" t="n">
        <v>131</v>
      </c>
      <c r="F51" s="15" t="n">
        <v>0</v>
      </c>
      <c r="G51" s="15" t="n">
        <v>960</v>
      </c>
      <c r="H51" s="16" t="n">
        <v>0.45</v>
      </c>
      <c r="I51" s="17">
        <f>G51*(1-H51)</f>
        <v/>
      </c>
      <c r="J51" s="18" t="n">
        <v>265.36</v>
      </c>
      <c r="K51" s="19" t="inlineStr">
        <is>
          <t>=</t>
        </is>
      </c>
      <c r="L51" s="20">
        <f>J51+K51</f>
        <v/>
      </c>
      <c r="M51" s="21" t="n">
        <v>0.41</v>
      </c>
      <c r="N51" s="22">
        <f>G51*M51</f>
        <v/>
      </c>
      <c r="O51" s="23" t="n">
        <v>67</v>
      </c>
      <c r="P51" s="22">
        <f>G51*</f>
        <v/>
      </c>
      <c r="Q51" s="23" t="n">
        <v>25</v>
      </c>
      <c r="R51" s="22">
        <f>G51*</f>
        <v/>
      </c>
      <c r="S51" s="22">
        <f>I51*</f>
        <v/>
      </c>
      <c r="T51" s="24" t="n">
        <v>0.9</v>
      </c>
      <c r="U51" s="23" t="n">
        <v>67</v>
      </c>
      <c r="V51" s="22">
        <f>U51*(1-T51)</f>
        <v/>
      </c>
      <c r="W51" s="25" t="n">
        <v>0.93</v>
      </c>
      <c r="X51" s="22">
        <f>**W51</f>
        <v/>
      </c>
      <c r="Y51" s="20">
        <f>W51*(+0)</f>
        <v/>
      </c>
      <c r="Z51" s="21" t="n">
        <v>0.07000000000000001</v>
      </c>
      <c r="AA51" s="22">
        <f>G51*Z51</f>
        <v/>
      </c>
      <c r="AB51" s="24" t="n">
        <v>0.08</v>
      </c>
      <c r="AC51" s="22">
        <f>G51*AB51</f>
        <v/>
      </c>
      <c r="AD51" s="22">
        <f>AA51+AC51</f>
        <v/>
      </c>
      <c r="AE51" s="26">
        <f>AD51/G51</f>
        <v/>
      </c>
      <c r="AF51" s="27">
        <f>G51-N51-O51-P51-Q51-R51-S51-V51-X51-Y51-L51</f>
        <v/>
      </c>
      <c r="AG51" s="31">
        <f>AF51-AD51</f>
        <v/>
      </c>
      <c r="AH51" s="32">
        <f>AG51/G51</f>
        <v/>
      </c>
      <c r="AI51" s="33">
        <f>AG51/L51</f>
        <v/>
      </c>
      <c r="AJ51" s="22">
        <f>(O51+Q51+V51+X51+Y51+L51)/(1-(M51++(1-H51)*++Z51+AB51))</f>
        <v/>
      </c>
    </row>
    <row r="52">
      <c r="A52" s="12" t="inlineStr">
        <is>
          <t>JIGOTT - Daily Real Cica Toner [300ml] / Тонер для лица с центеллой азиатской</t>
        </is>
      </c>
      <c r="B52" s="13" t="n"/>
      <c r="C52" s="14" t="n"/>
      <c r="D52" s="15" t="n">
        <v>1140</v>
      </c>
      <c r="E52" s="15" t="n">
        <v>191</v>
      </c>
      <c r="F52" s="15" t="n">
        <v>0</v>
      </c>
      <c r="G52" s="15" t="n">
        <v>960</v>
      </c>
      <c r="H52" s="16" t="n">
        <v>0.45</v>
      </c>
      <c r="I52" s="17">
        <f>G52*(1-H52)</f>
        <v/>
      </c>
      <c r="J52" s="18" t="n">
        <v>265.36</v>
      </c>
      <c r="K52" s="19" t="inlineStr">
        <is>
          <t>=</t>
        </is>
      </c>
      <c r="L52" s="20">
        <f>J52+K52</f>
        <v/>
      </c>
      <c r="M52" s="21" t="n">
        <v>0.41</v>
      </c>
      <c r="N52" s="22">
        <f>G52*M52</f>
        <v/>
      </c>
      <c r="O52" s="23" t="n">
        <v>67</v>
      </c>
      <c r="P52" s="22">
        <f>G52*</f>
        <v/>
      </c>
      <c r="Q52" s="23" t="n">
        <v>25</v>
      </c>
      <c r="R52" s="22">
        <f>G52*</f>
        <v/>
      </c>
      <c r="S52" s="22">
        <f>I52*</f>
        <v/>
      </c>
      <c r="T52" s="24" t="n">
        <v>0.9</v>
      </c>
      <c r="U52" s="23" t="n">
        <v>67</v>
      </c>
      <c r="V52" s="22">
        <f>U52*(1-T52)</f>
        <v/>
      </c>
      <c r="W52" s="25" t="n">
        <v>0.93</v>
      </c>
      <c r="X52" s="22">
        <f>**W52</f>
        <v/>
      </c>
      <c r="Y52" s="20">
        <f>W52*(+0)</f>
        <v/>
      </c>
      <c r="Z52" s="21" t="n">
        <v>0.07000000000000001</v>
      </c>
      <c r="AA52" s="22">
        <f>G52*Z52</f>
        <v/>
      </c>
      <c r="AB52" s="24" t="n">
        <v>0.08</v>
      </c>
      <c r="AC52" s="22">
        <f>G52*AB52</f>
        <v/>
      </c>
      <c r="AD52" s="22">
        <f>AA52+AC52</f>
        <v/>
      </c>
      <c r="AE52" s="26">
        <f>AD52/G52</f>
        <v/>
      </c>
      <c r="AF52" s="27">
        <f>G52-N52-O52-P52-Q52-R52-S52-V52-X52-Y52-L52</f>
        <v/>
      </c>
      <c r="AG52" s="31">
        <f>AF52-AD52</f>
        <v/>
      </c>
      <c r="AH52" s="32">
        <f>AG52/G52</f>
        <v/>
      </c>
      <c r="AI52" s="33">
        <f>AG52/L52</f>
        <v/>
      </c>
      <c r="AJ52" s="22">
        <f>(O52+Q52+V52+X52+Y52+L52)/(1-(M52++(1-H52)*++Z52+AB52))</f>
        <v/>
      </c>
    </row>
    <row r="53">
      <c r="A53" s="12" t="inlineStr">
        <is>
          <t>JIGOTT - Aura Secret Hyaluronec Acid Toner [300ml] / Тонер с гиалуроновой кислотой антивозрастной</t>
        </is>
      </c>
      <c r="B53" s="13" t="n"/>
      <c r="C53" s="14" t="n"/>
      <c r="D53" s="15" t="n">
        <v>975</v>
      </c>
      <c r="E53" s="15" t="n">
        <v>77</v>
      </c>
      <c r="F53" s="15" t="n">
        <v>0</v>
      </c>
      <c r="G53" s="15" t="n">
        <v>900</v>
      </c>
      <c r="H53" s="16" t="n">
        <v>0.45</v>
      </c>
      <c r="I53" s="17">
        <f>G53*(1-H53)</f>
        <v/>
      </c>
      <c r="J53" s="18" t="n">
        <v>265.36</v>
      </c>
      <c r="K53" s="19" t="inlineStr">
        <is>
          <t>=</t>
        </is>
      </c>
      <c r="L53" s="20">
        <f>J53+K53</f>
        <v/>
      </c>
      <c r="M53" s="21" t="n">
        <v>0.41</v>
      </c>
      <c r="N53" s="22">
        <f>G53*M53</f>
        <v/>
      </c>
      <c r="O53" s="23" t="n">
        <v>67</v>
      </c>
      <c r="P53" s="22">
        <f>G53*</f>
        <v/>
      </c>
      <c r="Q53" s="23" t="n">
        <v>25</v>
      </c>
      <c r="R53" s="22">
        <f>G53*</f>
        <v/>
      </c>
      <c r="S53" s="22">
        <f>I53*</f>
        <v/>
      </c>
      <c r="T53" s="24" t="n">
        <v>0.9</v>
      </c>
      <c r="U53" s="23" t="n">
        <v>67</v>
      </c>
      <c r="V53" s="22">
        <f>U53*(1-T53)</f>
        <v/>
      </c>
      <c r="W53" s="25" t="n">
        <v>0.93</v>
      </c>
      <c r="X53" s="22">
        <f>**W53</f>
        <v/>
      </c>
      <c r="Y53" s="20">
        <f>W53*(+0)</f>
        <v/>
      </c>
      <c r="Z53" s="21" t="n">
        <v>0.07000000000000001</v>
      </c>
      <c r="AA53" s="22">
        <f>G53*Z53</f>
        <v/>
      </c>
      <c r="AB53" s="24" t="n">
        <v>0.08</v>
      </c>
      <c r="AC53" s="22">
        <f>G53*AB53</f>
        <v/>
      </c>
      <c r="AD53" s="22">
        <f>AA53+AC53</f>
        <v/>
      </c>
      <c r="AE53" s="26">
        <f>AD53/G53</f>
        <v/>
      </c>
      <c r="AF53" s="27">
        <f>G53-N53-O53-P53-Q53-R53-S53-V53-X53-Y53-L53</f>
        <v/>
      </c>
      <c r="AG53" s="31">
        <f>AF53-AD53</f>
        <v/>
      </c>
      <c r="AH53" s="32">
        <f>AG53/G53</f>
        <v/>
      </c>
      <c r="AI53" s="33">
        <f>AG53/L53</f>
        <v/>
      </c>
      <c r="AJ53" s="22">
        <f>(O53+Q53+V53+X53+Y53+L53)/(1-(M53++(1-H53)*++Z53+AB53))</f>
        <v/>
      </c>
    </row>
    <row r="54">
      <c r="A54" s="12" t="inlineStr">
        <is>
          <t>JIGOTT - Moisture Real Aloe Vera Toner [300ml] / Тонер для лица увлажняющий с экстрактом алоэ</t>
        </is>
      </c>
      <c r="B54" s="13" t="n"/>
      <c r="C54" s="14" t="n"/>
      <c r="D54" s="15" t="n">
        <v>1100</v>
      </c>
      <c r="E54" s="15" t="n">
        <v>169</v>
      </c>
      <c r="F54" s="15" t="n">
        <v>8</v>
      </c>
      <c r="G54" s="15" t="n">
        <v>1000</v>
      </c>
      <c r="H54" s="16" t="n">
        <v>0.45</v>
      </c>
      <c r="I54" s="17">
        <f>G54*(1-H54)</f>
        <v/>
      </c>
      <c r="J54" s="18" t="n">
        <v>265.36</v>
      </c>
      <c r="K54" s="19" t="inlineStr">
        <is>
          <t>=</t>
        </is>
      </c>
      <c r="L54" s="20">
        <f>J54+K54</f>
        <v/>
      </c>
      <c r="M54" s="21" t="n">
        <v>0.41</v>
      </c>
      <c r="N54" s="22">
        <f>G54*M54</f>
        <v/>
      </c>
      <c r="O54" s="23" t="n">
        <v>67</v>
      </c>
      <c r="P54" s="22">
        <f>G54*</f>
        <v/>
      </c>
      <c r="Q54" s="23" t="n">
        <v>25</v>
      </c>
      <c r="R54" s="22">
        <f>G54*</f>
        <v/>
      </c>
      <c r="S54" s="22">
        <f>I54*</f>
        <v/>
      </c>
      <c r="T54" s="24" t="n">
        <v>0.9</v>
      </c>
      <c r="U54" s="23" t="n">
        <v>67</v>
      </c>
      <c r="V54" s="22">
        <f>U54*(1-T54)</f>
        <v/>
      </c>
      <c r="W54" s="25" t="n">
        <v>0.93</v>
      </c>
      <c r="X54" s="22">
        <f>**W54</f>
        <v/>
      </c>
      <c r="Y54" s="20">
        <f>W54*(+0)</f>
        <v/>
      </c>
      <c r="Z54" s="21" t="n">
        <v>0.07000000000000001</v>
      </c>
      <c r="AA54" s="22">
        <f>G54*Z54</f>
        <v/>
      </c>
      <c r="AB54" s="24" t="n">
        <v>0.08</v>
      </c>
      <c r="AC54" s="22">
        <f>G54*AB54</f>
        <v/>
      </c>
      <c r="AD54" s="22">
        <f>AA54+AC54</f>
        <v/>
      </c>
      <c r="AE54" s="26">
        <f>AD54/G54</f>
        <v/>
      </c>
      <c r="AF54" s="27">
        <f>G54-N54-O54-P54-Q54-R54-S54-V54-X54-Y54-L54</f>
        <v/>
      </c>
      <c r="AG54" s="31">
        <f>AF54-AD54</f>
        <v/>
      </c>
      <c r="AH54" s="32">
        <f>AG54/G54</f>
        <v/>
      </c>
      <c r="AI54" s="33">
        <f>AG54/L54</f>
        <v/>
      </c>
      <c r="AJ54" s="22">
        <f>(O54+Q54+V54+X54+Y54+L54)/(1-(M54++(1-H54)*++Z54+AB54))</f>
        <v/>
      </c>
    </row>
    <row r="55">
      <c r="A55" s="12" t="inlineStr">
        <is>
          <t>JMSOLUTION - MASK PACK BLACK [30ml*10ea] - ассорти набор 10шт в упаковке</t>
        </is>
      </c>
      <c r="B55" s="13" t="n"/>
      <c r="C55" s="14" t="n"/>
      <c r="D55" s="15" t="n">
        <v>2340</v>
      </c>
      <c r="E55" s="15" t="inlineStr">
        <is>
          <t>51 (закончились)</t>
        </is>
      </c>
      <c r="F55" s="15" t="n">
        <v>4</v>
      </c>
      <c r="G55" s="15" t="n">
        <v>2086</v>
      </c>
      <c r="H55" s="16" t="n">
        <v>0.45</v>
      </c>
      <c r="I55" s="17">
        <f>G55*(1-H55)</f>
        <v/>
      </c>
      <c r="J55" s="18" t="n">
        <v>463.2</v>
      </c>
      <c r="K55" s="19" t="inlineStr">
        <is>
          <t>=</t>
        </is>
      </c>
      <c r="L55" s="20">
        <f>J55+K55</f>
        <v/>
      </c>
      <c r="M55" s="21" t="n">
        <v>0.41</v>
      </c>
      <c r="N55" s="22">
        <f>G55*M55</f>
        <v/>
      </c>
      <c r="O55" s="23" t="n">
        <v>72</v>
      </c>
      <c r="P55" s="22">
        <f>G55*</f>
        <v/>
      </c>
      <c r="Q55" s="23" t="n">
        <v>25</v>
      </c>
      <c r="R55" s="22">
        <f>G55*</f>
        <v/>
      </c>
      <c r="S55" s="22">
        <f>I55*</f>
        <v/>
      </c>
      <c r="T55" s="24" t="n">
        <v>0.9</v>
      </c>
      <c r="U55" s="23" t="n">
        <v>72</v>
      </c>
      <c r="V55" s="22">
        <f>U55*(1-T55)</f>
        <v/>
      </c>
      <c r="W55" s="25" t="n">
        <v>1.25</v>
      </c>
      <c r="X55" s="22">
        <f>**W55</f>
        <v/>
      </c>
      <c r="Y55" s="20">
        <f>W55*(+0)</f>
        <v/>
      </c>
      <c r="Z55" s="21" t="n">
        <v>0.07000000000000001</v>
      </c>
      <c r="AA55" s="22">
        <f>G55*Z55</f>
        <v/>
      </c>
      <c r="AB55" s="24" t="n">
        <v>0.08</v>
      </c>
      <c r="AC55" s="22">
        <f>G55*AB55</f>
        <v/>
      </c>
      <c r="AD55" s="22">
        <f>AA55+AC55</f>
        <v/>
      </c>
      <c r="AE55" s="26">
        <f>AD55/G55</f>
        <v/>
      </c>
      <c r="AF55" s="27">
        <f>G55-N55-O55-P55-Q55-R55-S55-V55-X55-Y55-L55</f>
        <v/>
      </c>
      <c r="AG55" s="28">
        <f>AF55-AD55</f>
        <v/>
      </c>
      <c r="AH55" s="29">
        <f>AG55/G55</f>
        <v/>
      </c>
      <c r="AI55" s="30">
        <f>AG55/L55</f>
        <v/>
      </c>
      <c r="AJ55" s="22">
        <f>(O55+Q55+V55+X55+Y55+L55)/(1-(M55++(1-H55)*++Z55+AB55))</f>
        <v/>
      </c>
    </row>
    <row r="56">
      <c r="A56" s="12" t="inlineStr">
        <is>
          <t>JMSOLUTION - MASK PACK DISNEY [30ml*10ea] - ассорти набор из 10шт</t>
        </is>
      </c>
      <c r="B56" s="13" t="n"/>
      <c r="C56" s="14" t="inlineStr">
        <is>
          <t>нет таких наборов</t>
        </is>
      </c>
      <c r="D56" s="15" t="n"/>
      <c r="E56" s="15" t="n"/>
      <c r="F56" s="15" t="n"/>
      <c r="G56" s="15" t="n">
        <v>2086</v>
      </c>
      <c r="H56" s="16" t="n">
        <v>0.45</v>
      </c>
      <c r="I56" s="17">
        <f>G56*(1-H56)</f>
        <v/>
      </c>
      <c r="J56" s="18" t="n">
        <v>463.2</v>
      </c>
      <c r="K56" s="19" t="inlineStr">
        <is>
          <t>=</t>
        </is>
      </c>
      <c r="L56" s="20">
        <f>J56+K56</f>
        <v/>
      </c>
      <c r="M56" s="21" t="n">
        <v>0.41</v>
      </c>
      <c r="N56" s="22">
        <f>G56*M56</f>
        <v/>
      </c>
      <c r="O56" s="23" t="n">
        <v>72</v>
      </c>
      <c r="P56" s="22">
        <f>G56*</f>
        <v/>
      </c>
      <c r="Q56" s="23" t="n">
        <v>25</v>
      </c>
      <c r="R56" s="22">
        <f>G56*</f>
        <v/>
      </c>
      <c r="S56" s="22">
        <f>I56*</f>
        <v/>
      </c>
      <c r="T56" s="24" t="n">
        <v>0.9</v>
      </c>
      <c r="U56" s="23" t="n">
        <v>72</v>
      </c>
      <c r="V56" s="22">
        <f>U56*(1-T56)</f>
        <v/>
      </c>
      <c r="W56" s="25" t="n">
        <v>1.25</v>
      </c>
      <c r="X56" s="22">
        <f>**W56</f>
        <v/>
      </c>
      <c r="Y56" s="20">
        <f>W56*(+0)</f>
        <v/>
      </c>
      <c r="Z56" s="21" t="n">
        <v>0.07000000000000001</v>
      </c>
      <c r="AA56" s="22">
        <f>G56*Z56</f>
        <v/>
      </c>
      <c r="AB56" s="24" t="n">
        <v>0.08</v>
      </c>
      <c r="AC56" s="22">
        <f>G56*AB56</f>
        <v/>
      </c>
      <c r="AD56" s="22">
        <f>AA56+AC56</f>
        <v/>
      </c>
      <c r="AE56" s="26">
        <f>AD56/G56</f>
        <v/>
      </c>
      <c r="AF56" s="27">
        <f>G56-N56-O56-P56-Q56-R56-S56-V56-X56-Y56-L56</f>
        <v/>
      </c>
      <c r="AG56" s="28">
        <f>AF56-AD56</f>
        <v/>
      </c>
      <c r="AH56" s="29">
        <f>AG56/G56</f>
        <v/>
      </c>
      <c r="AI56" s="30">
        <f>AG56/L56</f>
        <v/>
      </c>
      <c r="AJ56" s="22">
        <f>(O56+Q56+V56+X56+Y56+L56)/(1-(M56++(1-H56)*++Z56+AB56))</f>
        <v/>
      </c>
    </row>
    <row r="57">
      <c r="A57" s="12" t="inlineStr">
        <is>
          <t>LEBELAGE - Dr. Peptide Derma Eye Cream [40ml] / Крем для глаз антивозрастной с пептидами</t>
        </is>
      </c>
      <c r="B57" s="13" t="n"/>
      <c r="C57" s="14" t="n"/>
      <c r="D57" s="15" t="n">
        <v>667</v>
      </c>
      <c r="E57" s="15" t="n">
        <v>1738</v>
      </c>
      <c r="F57" s="15" t="n">
        <v>22</v>
      </c>
      <c r="G57" s="15" t="n">
        <v>600</v>
      </c>
      <c r="H57" s="16" t="n">
        <v>0.45</v>
      </c>
      <c r="I57" s="17">
        <f>G57*(1-H57)</f>
        <v/>
      </c>
      <c r="J57" s="18" t="n">
        <v>108.15</v>
      </c>
      <c r="K57" s="19" t="inlineStr">
        <is>
          <t>=</t>
        </is>
      </c>
      <c r="L57" s="20">
        <f>J57+K57</f>
        <v/>
      </c>
      <c r="M57" s="21" t="n">
        <v>0.41</v>
      </c>
      <c r="N57" s="22">
        <f>G57*M57</f>
        <v/>
      </c>
      <c r="O57" s="23" t="n">
        <v>63</v>
      </c>
      <c r="P57" s="22">
        <f>G57*</f>
        <v/>
      </c>
      <c r="Q57" s="23" t="n">
        <v>25</v>
      </c>
      <c r="R57" s="22">
        <f>G57*</f>
        <v/>
      </c>
      <c r="S57" s="22">
        <f>I57*</f>
        <v/>
      </c>
      <c r="T57" s="24" t="n">
        <v>0.9</v>
      </c>
      <c r="U57" s="23" t="n">
        <v>63</v>
      </c>
      <c r="V57" s="22">
        <f>U57*(1-T57)</f>
        <v/>
      </c>
      <c r="W57" s="25" t="n">
        <v>0.27</v>
      </c>
      <c r="X57" s="22">
        <f>**W57</f>
        <v/>
      </c>
      <c r="Y57" s="20">
        <f>W57*(+0)</f>
        <v/>
      </c>
      <c r="Z57" s="21" t="n">
        <v>0.07000000000000001</v>
      </c>
      <c r="AA57" s="22">
        <f>G57*Z57</f>
        <v/>
      </c>
      <c r="AB57" s="24" t="n">
        <v>0.08</v>
      </c>
      <c r="AC57" s="22">
        <f>G57*AB57</f>
        <v/>
      </c>
      <c r="AD57" s="22">
        <f>AA57+AC57</f>
        <v/>
      </c>
      <c r="AE57" s="26">
        <f>AD57/G57</f>
        <v/>
      </c>
      <c r="AF57" s="27">
        <f>G57-N57-O57-P57-Q57-R57-S57-V57-X57-Y57-L57</f>
        <v/>
      </c>
      <c r="AG57" s="28">
        <f>AF57-AD57</f>
        <v/>
      </c>
      <c r="AH57" s="29">
        <f>AG57/G57</f>
        <v/>
      </c>
      <c r="AI57" s="30">
        <f>AG57/L57</f>
        <v/>
      </c>
      <c r="AJ57" s="22">
        <f>(O57+Q57+V57+X57+Y57+L57)/(1-(M57++(1-H57)*++Z57+AB57))</f>
        <v/>
      </c>
    </row>
    <row r="58">
      <c r="A58" s="12" t="inlineStr">
        <is>
          <t>MANYO - Bifida Biome Complex Ampoule [50ml] / Антивозрастная сыворотка для лица</t>
        </is>
      </c>
      <c r="B58" s="13" t="n"/>
      <c r="C58" s="14" t="n"/>
      <c r="D58" s="15" t="n">
        <v>5800</v>
      </c>
      <c r="E58" s="15" t="n">
        <v>152</v>
      </c>
      <c r="F58" s="15" t="n">
        <v>0</v>
      </c>
      <c r="G58" s="15" t="n">
        <v>5500</v>
      </c>
      <c r="H58" s="16" t="n">
        <v>0.45</v>
      </c>
      <c r="I58" s="17">
        <f>G58*(1-H58)</f>
        <v/>
      </c>
      <c r="J58" s="18" t="n">
        <v>899.78</v>
      </c>
      <c r="K58" s="19" t="inlineStr">
        <is>
          <t>=</t>
        </is>
      </c>
      <c r="L58" s="20">
        <f>J58+K58</f>
        <v/>
      </c>
      <c r="M58" s="21" t="n">
        <v>0.41</v>
      </c>
      <c r="N58" s="22">
        <f>G58*M58</f>
        <v/>
      </c>
      <c r="O58" s="23" t="n">
        <v>63</v>
      </c>
      <c r="P58" s="22">
        <f>G58*</f>
        <v/>
      </c>
      <c r="Q58" s="23" t="n">
        <v>25</v>
      </c>
      <c r="R58" s="22">
        <f>G58*</f>
        <v/>
      </c>
      <c r="S58" s="22">
        <f>I58*</f>
        <v/>
      </c>
      <c r="T58" s="24" t="n">
        <v>0.9</v>
      </c>
      <c r="U58" s="23" t="n">
        <v>63</v>
      </c>
      <c r="V58" s="22">
        <f>U58*(1-T58)</f>
        <v/>
      </c>
      <c r="W58" s="25" t="n">
        <v>0.3</v>
      </c>
      <c r="X58" s="22">
        <f>**W58</f>
        <v/>
      </c>
      <c r="Y58" s="20">
        <f>W58*(+0)</f>
        <v/>
      </c>
      <c r="Z58" s="21" t="n">
        <v>0.025</v>
      </c>
      <c r="AA58" s="22">
        <f>G58*Z58</f>
        <v/>
      </c>
      <c r="AB58" s="24" t="n">
        <v>0.025</v>
      </c>
      <c r="AC58" s="22">
        <f>G58*AB58</f>
        <v/>
      </c>
      <c r="AD58" s="22">
        <f>AA58+AC58</f>
        <v/>
      </c>
      <c r="AE58" s="26">
        <f>AD58/G58</f>
        <v/>
      </c>
      <c r="AF58" s="27">
        <f>G58-N58-O58-P58-Q58-R58-S58-V58-X58-Y58-L58</f>
        <v/>
      </c>
      <c r="AG58" s="28">
        <f>AF58-AD58</f>
        <v/>
      </c>
      <c r="AH58" s="29">
        <f>AG58/G58</f>
        <v/>
      </c>
      <c r="AI58" s="30">
        <f>AG58/L58</f>
        <v/>
      </c>
      <c r="AJ58" s="22">
        <f>(O58+Q58+V58+X58+Y58+L58)/(1-(M58++(1-H58)*++Z58+AB58))</f>
        <v/>
      </c>
    </row>
    <row r="59">
      <c r="A59" s="12" t="inlineStr">
        <is>
          <t>MANYO - Galac Whitening Vita Serum [50ml] / Осветляющая сыворотка с Витамином C</t>
        </is>
      </c>
      <c r="B59" s="13" t="n"/>
      <c r="C59" s="14" t="inlineStr">
        <is>
          <t>-</t>
        </is>
      </c>
      <c r="D59" s="15" t="n">
        <v>4000</v>
      </c>
      <c r="E59" s="15" t="n">
        <v>163</v>
      </c>
      <c r="F59" s="15" t="n">
        <v>0</v>
      </c>
      <c r="G59" s="15" t="n">
        <v>3700</v>
      </c>
      <c r="H59" s="16" t="n">
        <v>0.45</v>
      </c>
      <c r="I59" s="17">
        <f>G59*(1-H59)</f>
        <v/>
      </c>
      <c r="J59" s="18" t="n">
        <v>646.83</v>
      </c>
      <c r="K59" s="19" t="inlineStr">
        <is>
          <t>=</t>
        </is>
      </c>
      <c r="L59" s="20">
        <f>J59+K59</f>
        <v/>
      </c>
      <c r="M59" s="21" t="n">
        <v>0.41</v>
      </c>
      <c r="N59" s="22">
        <f>G59*M59</f>
        <v/>
      </c>
      <c r="O59" s="23" t="n">
        <v>56</v>
      </c>
      <c r="P59" s="22">
        <f>G59*</f>
        <v/>
      </c>
      <c r="Q59" s="23" t="n">
        <v>25</v>
      </c>
      <c r="R59" s="22">
        <f>G59*</f>
        <v/>
      </c>
      <c r="S59" s="22">
        <f>I59*</f>
        <v/>
      </c>
      <c r="T59" s="24" t="n">
        <v>0.9</v>
      </c>
      <c r="U59" s="23" t="n">
        <v>56</v>
      </c>
      <c r="V59" s="22">
        <f>U59*(1-T59)</f>
        <v/>
      </c>
      <c r="W59" s="25" t="n">
        <v>0.19</v>
      </c>
      <c r="X59" s="22">
        <f>**W59</f>
        <v/>
      </c>
      <c r="Y59" s="20">
        <f>W59*(+0)</f>
        <v/>
      </c>
      <c r="Z59" s="21" t="n">
        <v>0.025</v>
      </c>
      <c r="AA59" s="22">
        <f>G59*Z59</f>
        <v/>
      </c>
      <c r="AB59" s="24" t="n">
        <v>0.025</v>
      </c>
      <c r="AC59" s="22">
        <f>G59*AB59</f>
        <v/>
      </c>
      <c r="AD59" s="22">
        <f>AA59+AC59</f>
        <v/>
      </c>
      <c r="AE59" s="26">
        <f>AD59/G59</f>
        <v/>
      </c>
      <c r="AF59" s="27">
        <f>G59-N59-O59-P59-Q59-R59-S59-V59-X59-Y59-L59</f>
        <v/>
      </c>
      <c r="AG59" s="28">
        <f>AF59-AD59</f>
        <v/>
      </c>
      <c r="AH59" s="29">
        <f>AG59/G59</f>
        <v/>
      </c>
      <c r="AI59" s="30">
        <f>AG59/L59</f>
        <v/>
      </c>
      <c r="AJ59" s="22">
        <f>(O59+Q59+V59+X59+Y59+L59)/(1-(M59++(1-H59)*++Z59+AB59))</f>
        <v/>
      </c>
    </row>
    <row r="60">
      <c r="A60" s="12" t="inlineStr">
        <is>
          <t>MANYO - Bifida Biome Ampoule Lotion [300ml] / Укрепляющий лосьон с бифидобактериями</t>
        </is>
      </c>
      <c r="B60" s="13" t="n"/>
      <c r="C60" s="14" t="inlineStr">
        <is>
          <t>нет у официала</t>
        </is>
      </c>
      <c r="D60" s="15" t="n">
        <v>4000</v>
      </c>
      <c r="E60" s="15" t="n">
        <v>140</v>
      </c>
      <c r="F60" s="15" t="n">
        <v>0</v>
      </c>
      <c r="G60" s="15" t="n">
        <v>3700</v>
      </c>
      <c r="H60" s="16" t="n">
        <v>0.45</v>
      </c>
      <c r="I60" s="17">
        <f>G60*(1-H60)</f>
        <v/>
      </c>
      <c r="J60" s="18" t="n">
        <v>735.34</v>
      </c>
      <c r="K60" s="19" t="inlineStr">
        <is>
          <t>=</t>
        </is>
      </c>
      <c r="L60" s="20">
        <f>J60+K60</f>
        <v/>
      </c>
      <c r="M60" s="21" t="n">
        <v>0.41</v>
      </c>
      <c r="N60" s="22">
        <f>G60*M60</f>
        <v/>
      </c>
      <c r="O60" s="23" t="n">
        <v>67</v>
      </c>
      <c r="P60" s="22">
        <f>G60*</f>
        <v/>
      </c>
      <c r="Q60" s="23" t="n">
        <v>25</v>
      </c>
      <c r="R60" s="22">
        <f>G60*</f>
        <v/>
      </c>
      <c r="S60" s="22">
        <f>I60*</f>
        <v/>
      </c>
      <c r="T60" s="24" t="n">
        <v>0.9</v>
      </c>
      <c r="U60" s="23" t="n">
        <v>67</v>
      </c>
      <c r="V60" s="22">
        <f>U60*(1-T60)</f>
        <v/>
      </c>
      <c r="W60" s="25" t="n">
        <v>0.61</v>
      </c>
      <c r="X60" s="22">
        <f>**W60</f>
        <v/>
      </c>
      <c r="Y60" s="20">
        <f>W60*(+0)</f>
        <v/>
      </c>
      <c r="Z60" s="21" t="n">
        <v>0.025</v>
      </c>
      <c r="AA60" s="22">
        <f>G60*Z60</f>
        <v/>
      </c>
      <c r="AB60" s="24" t="n">
        <v>0.025</v>
      </c>
      <c r="AC60" s="22">
        <f>G60*AB60</f>
        <v/>
      </c>
      <c r="AD60" s="22">
        <f>AA60+AC60</f>
        <v/>
      </c>
      <c r="AE60" s="26">
        <f>AD60/G60</f>
        <v/>
      </c>
      <c r="AF60" s="27">
        <f>G60-N60-O60-P60-Q60-R60-S60-V60-X60-Y60-L60</f>
        <v/>
      </c>
      <c r="AG60" s="28">
        <f>AF60-AD60</f>
        <v/>
      </c>
      <c r="AH60" s="29">
        <f>AG60/G60</f>
        <v/>
      </c>
      <c r="AI60" s="30">
        <f>AG60/L60</f>
        <v/>
      </c>
      <c r="AJ60" s="22">
        <f>(O60+Q60+V60+X60+Y60+L60)/(1-(M60++(1-H60)*++Z60+AB60))</f>
        <v/>
      </c>
    </row>
    <row r="61">
      <c r="A61" s="12" t="inlineStr">
        <is>
          <t>MANYO - Pure Cleansing Oil [200ml] / Гидрофильное масло для глубокого очищения</t>
        </is>
      </c>
      <c r="B61" s="13" t="n"/>
      <c r="C61" s="14" t="inlineStr">
        <is>
          <t>-</t>
        </is>
      </c>
      <c r="D61" s="15" t="n">
        <v>4000</v>
      </c>
      <c r="E61" s="15" t="n">
        <v>60</v>
      </c>
      <c r="F61" s="15" t="n">
        <v>0</v>
      </c>
      <c r="G61" s="15" t="n">
        <v>3700</v>
      </c>
      <c r="H61" s="16" t="n">
        <v>0.45</v>
      </c>
      <c r="I61" s="17">
        <f>G61*(1-H61)</f>
        <v/>
      </c>
      <c r="J61" s="18" t="n">
        <v>853</v>
      </c>
      <c r="K61" s="19" t="inlineStr">
        <is>
          <t>=</t>
        </is>
      </c>
      <c r="L61" s="20">
        <f>J61+K61</f>
        <v/>
      </c>
      <c r="M61" s="21" t="n">
        <v>0.41</v>
      </c>
      <c r="N61" s="22">
        <f>G61*M61</f>
        <v/>
      </c>
      <c r="O61" s="23" t="n">
        <v>67</v>
      </c>
      <c r="P61" s="22">
        <f>G61*</f>
        <v/>
      </c>
      <c r="Q61" s="23" t="n">
        <v>25</v>
      </c>
      <c r="R61" s="22">
        <f>G61*</f>
        <v/>
      </c>
      <c r="S61" s="22">
        <f>I61*</f>
        <v/>
      </c>
      <c r="T61" s="24" t="n">
        <v>0.9</v>
      </c>
      <c r="U61" s="23" t="n">
        <v>67</v>
      </c>
      <c r="V61" s="22">
        <f>U61*(1-T61)</f>
        <v/>
      </c>
      <c r="W61" s="25" t="n">
        <v>0.5</v>
      </c>
      <c r="X61" s="22">
        <f>**W61</f>
        <v/>
      </c>
      <c r="Y61" s="20">
        <f>W61*(+0)</f>
        <v/>
      </c>
      <c r="Z61" s="21" t="n">
        <v>0.025</v>
      </c>
      <c r="AA61" s="22">
        <f>G61*Z61</f>
        <v/>
      </c>
      <c r="AB61" s="24" t="n">
        <v>0.025</v>
      </c>
      <c r="AC61" s="22">
        <f>G61*AB61</f>
        <v/>
      </c>
      <c r="AD61" s="22">
        <f>AA61+AC61</f>
        <v/>
      </c>
      <c r="AE61" s="26">
        <f>AD61/G61</f>
        <v/>
      </c>
      <c r="AF61" s="27">
        <f>G61-N61-O61-P61-Q61-R61-S61-V61-X61-Y61-L61</f>
        <v/>
      </c>
      <c r="AG61" s="28">
        <f>AF61-AD61</f>
        <v/>
      </c>
      <c r="AH61" s="29">
        <f>AG61/G61</f>
        <v/>
      </c>
      <c r="AI61" s="30">
        <f>AG61/L61</f>
        <v/>
      </c>
      <c r="AJ61" s="22">
        <f>(O61+Q61+V61+X61+Y61+L61)/(1-(M61++(1-H61)*++Z61+AB61))</f>
        <v/>
      </c>
    </row>
    <row r="62">
      <c r="A62" s="12" t="inlineStr">
        <is>
          <t>MANYO BIFIDA COMPLEX AMPOULE GEL CLEANSER [400ml] / Гель для умывания с бифидобактериями</t>
        </is>
      </c>
      <c r="B62" s="13" t="n"/>
      <c r="C62" s="14" t="inlineStr">
        <is>
          <t>-</t>
        </is>
      </c>
      <c r="D62" s="15" t="n">
        <v>4800</v>
      </c>
      <c r="E62" s="15" t="n">
        <v>20</v>
      </c>
      <c r="F62" s="15" t="n">
        <v>0</v>
      </c>
      <c r="G62" s="15" t="n">
        <v>4500</v>
      </c>
      <c r="H62" s="16" t="n">
        <v>0.45</v>
      </c>
      <c r="I62" s="17">
        <f>G62*(1-H62)</f>
        <v/>
      </c>
      <c r="J62" s="18" t="n">
        <v>650</v>
      </c>
      <c r="K62" s="19" t="inlineStr">
        <is>
          <t>=</t>
        </is>
      </c>
      <c r="L62" s="20">
        <f>J62+K62</f>
        <v/>
      </c>
      <c r="M62" s="21" t="n">
        <v>0.41</v>
      </c>
      <c r="N62" s="22">
        <f>G62*M62</f>
        <v/>
      </c>
      <c r="O62" s="23" t="n">
        <v>75</v>
      </c>
      <c r="P62" s="22">
        <f>G62*</f>
        <v/>
      </c>
      <c r="Q62" s="23" t="n">
        <v>25</v>
      </c>
      <c r="R62" s="22">
        <f>G62*</f>
        <v/>
      </c>
      <c r="S62" s="22">
        <f>I62*</f>
        <v/>
      </c>
      <c r="T62" s="24" t="n">
        <v>0.9</v>
      </c>
      <c r="U62" s="23" t="n">
        <v>75</v>
      </c>
      <c r="V62" s="22">
        <f>U62*(1-T62)</f>
        <v/>
      </c>
      <c r="W62" s="25" t="n">
        <v>0.931</v>
      </c>
      <c r="X62" s="22">
        <f>**W62</f>
        <v/>
      </c>
      <c r="Y62" s="20">
        <f>W62*(+0)</f>
        <v/>
      </c>
      <c r="Z62" s="21" t="n">
        <v>0.025</v>
      </c>
      <c r="AA62" s="22">
        <f>G62*Z62</f>
        <v/>
      </c>
      <c r="AB62" s="24" t="n">
        <v>0.025</v>
      </c>
      <c r="AC62" s="22">
        <f>G62*AB62</f>
        <v/>
      </c>
      <c r="AD62" s="22">
        <f>AA62+AC62</f>
        <v/>
      </c>
      <c r="AE62" s="26">
        <f>AD62/G62</f>
        <v/>
      </c>
      <c r="AF62" s="27">
        <f>G62-N62-O62-P62-Q62-R62-S62-V62-X62-Y62-L62</f>
        <v/>
      </c>
      <c r="AG62" s="28">
        <f>AF62-AD62</f>
        <v/>
      </c>
      <c r="AH62" s="29">
        <f>AG62/G62</f>
        <v/>
      </c>
      <c r="AI62" s="30">
        <f>AG62/L62</f>
        <v/>
      </c>
      <c r="AJ62" s="22">
        <f>(O62+Q62+V62+X62+Y62+L62)/(1-(M62++(1-H62)*++Z62+AB62))</f>
        <v/>
      </c>
    </row>
    <row r="63">
      <c r="A63" s="12" t="inlineStr">
        <is>
          <t>MANYO BIFIDA INFUSION SHOT AMPOULE 1DX [50ml] / Сыворотка с микроиглами и пробиотиками</t>
        </is>
      </c>
      <c r="B63" s="13" t="n"/>
      <c r="C63" s="14" t="n"/>
      <c r="D63" s="15" t="n">
        <v>3800</v>
      </c>
      <c r="E63" s="15" t="n">
        <v>370</v>
      </c>
      <c r="F63" s="15" t="n">
        <v>0</v>
      </c>
      <c r="G63" s="15" t="n">
        <v>3500</v>
      </c>
      <c r="H63" s="16" t="n">
        <v>0.45</v>
      </c>
      <c r="I63" s="17">
        <f>G63*(1-H63)</f>
        <v/>
      </c>
      <c r="J63" s="18" t="n">
        <v>899.78</v>
      </c>
      <c r="K63" s="19" t="inlineStr">
        <is>
          <t>=</t>
        </is>
      </c>
      <c r="L63" s="20">
        <f>J63+K63</f>
        <v/>
      </c>
      <c r="M63" s="21" t="n">
        <v>0.41</v>
      </c>
      <c r="N63" s="22">
        <f>G63*M63</f>
        <v/>
      </c>
      <c r="O63" s="23" t="n">
        <v>63</v>
      </c>
      <c r="P63" s="22">
        <f>G63*</f>
        <v/>
      </c>
      <c r="Q63" s="23" t="n">
        <v>25</v>
      </c>
      <c r="R63" s="22">
        <f>G63*</f>
        <v/>
      </c>
      <c r="S63" s="22">
        <f>I63*</f>
        <v/>
      </c>
      <c r="T63" s="24" t="n">
        <v>0.9</v>
      </c>
      <c r="U63" s="23" t="n">
        <v>63</v>
      </c>
      <c r="V63" s="22">
        <f>U63*(1-T63)</f>
        <v/>
      </c>
      <c r="W63" s="25" t="n">
        <v>0.3</v>
      </c>
      <c r="X63" s="22">
        <f>**W63</f>
        <v/>
      </c>
      <c r="Y63" s="20">
        <f>W63*(+0)</f>
        <v/>
      </c>
      <c r="Z63" s="21" t="n">
        <v>0.025</v>
      </c>
      <c r="AA63" s="22">
        <f>G63*Z63</f>
        <v/>
      </c>
      <c r="AB63" s="24" t="n">
        <v>0.025</v>
      </c>
      <c r="AC63" s="22">
        <f>G63*AB63</f>
        <v/>
      </c>
      <c r="AD63" s="22">
        <f>AA63+AC63</f>
        <v/>
      </c>
      <c r="AE63" s="26">
        <f>AD63/G63</f>
        <v/>
      </c>
      <c r="AF63" s="27">
        <f>G63-N63-O63-P63-Q63-R63-S63-V63-X63-Y63-L63</f>
        <v/>
      </c>
      <c r="AG63" s="28">
        <f>AF63-AD63</f>
        <v/>
      </c>
      <c r="AH63" s="29">
        <f>AG63/G63</f>
        <v/>
      </c>
      <c r="AI63" s="30">
        <f>AG63/L63</f>
        <v/>
      </c>
      <c r="AJ63" s="22">
        <f>(O63+Q63+V63+X63+Y63+L63)/(1-(M63++(1-H63)*++Z63+AB63))</f>
        <v/>
      </c>
    </row>
    <row r="64">
      <c r="A64" s="12" t="inlineStr">
        <is>
          <t>PETITFEE - Collagen &amp; CoQ10 Hydrogel Eye Patch [60ea] / Гидрогелевые патчи для глаз с коллагеном и коэнзимом Q10</t>
        </is>
      </c>
      <c r="B64" s="13" t="n"/>
      <c r="C64" s="14" t="n"/>
      <c r="D64" s="15" t="n">
        <v>1818</v>
      </c>
      <c r="E64" s="15" t="n">
        <v>734</v>
      </c>
      <c r="F64" s="15" t="n">
        <v>16</v>
      </c>
      <c r="G64" s="15" t="n">
        <v>1700</v>
      </c>
      <c r="H64" s="16" t="n">
        <v>0.45</v>
      </c>
      <c r="I64" s="17">
        <f>G64*(1-H64)</f>
        <v/>
      </c>
      <c r="J64" s="18" t="n">
        <v>385.05</v>
      </c>
      <c r="K64" s="19" t="inlineStr">
        <is>
          <t>=</t>
        </is>
      </c>
      <c r="L64" s="20">
        <f>J64+K64</f>
        <v/>
      </c>
      <c r="M64" s="21" t="n">
        <v>0.41</v>
      </c>
      <c r="N64" s="22">
        <f>G64*M64</f>
        <v/>
      </c>
      <c r="O64" s="23" t="n">
        <v>67</v>
      </c>
      <c r="P64" s="22">
        <f>G64*</f>
        <v/>
      </c>
      <c r="Q64" s="23" t="n">
        <v>25</v>
      </c>
      <c r="R64" s="22">
        <f>G64*</f>
        <v/>
      </c>
      <c r="S64" s="22">
        <f>I64*</f>
        <v/>
      </c>
      <c r="T64" s="24" t="n">
        <v>0.9</v>
      </c>
      <c r="U64" s="23" t="n">
        <v>67</v>
      </c>
      <c r="V64" s="22">
        <f>U64*(1-T64)</f>
        <v/>
      </c>
      <c r="W64" s="25" t="n">
        <v>0.6</v>
      </c>
      <c r="X64" s="22">
        <f>**W64</f>
        <v/>
      </c>
      <c r="Y64" s="20">
        <f>W64*(+0)</f>
        <v/>
      </c>
      <c r="Z64" s="21" t="n">
        <v>0.07000000000000001</v>
      </c>
      <c r="AA64" s="22">
        <f>G64*Z64</f>
        <v/>
      </c>
      <c r="AB64" s="24" t="n">
        <v>0.08</v>
      </c>
      <c r="AC64" s="22">
        <f>G64*AB64</f>
        <v/>
      </c>
      <c r="AD64" s="22">
        <f>AA64+AC64</f>
        <v/>
      </c>
      <c r="AE64" s="26">
        <f>AD64/G64</f>
        <v/>
      </c>
      <c r="AF64" s="27">
        <f>G64-N64-O64-P64-Q64-R64-S64-V64-X64-Y64-L64</f>
        <v/>
      </c>
      <c r="AG64" s="28">
        <f>AF64-AD64</f>
        <v/>
      </c>
      <c r="AH64" s="29">
        <f>AG64/G64</f>
        <v/>
      </c>
      <c r="AI64" s="30">
        <f>AG64/L64</f>
        <v/>
      </c>
      <c r="AJ64" s="22">
        <f>(O64+Q64+V64+X64+Y64+L64)/(1-(M64++(1-H64)*++Z64+AB64))</f>
        <v/>
      </c>
    </row>
    <row r="65">
      <c r="A65" s="12" t="inlineStr">
        <is>
          <t>PETITFEE - Black Pearl &amp; Gold Hydrogel Eye Patch [60ea] / Гидрогелевые патчи для глаз с черным жемчугом и золотом</t>
        </is>
      </c>
      <c r="B65" s="13" t="n"/>
      <c r="C65" s="14" t="n"/>
      <c r="D65" s="15" t="n">
        <v>1780</v>
      </c>
      <c r="E65" s="15" t="n">
        <v>489</v>
      </c>
      <c r="F65" s="15" t="n">
        <v>16</v>
      </c>
      <c r="G65" s="15" t="n">
        <v>1650</v>
      </c>
      <c r="H65" s="16" t="n">
        <v>0.45</v>
      </c>
      <c r="I65" s="17">
        <f>G65*(1-H65)</f>
        <v/>
      </c>
      <c r="J65" s="18" t="n">
        <v>387.67</v>
      </c>
      <c r="K65" s="19" t="inlineStr">
        <is>
          <t>=</t>
        </is>
      </c>
      <c r="L65" s="20">
        <f>J65+K65</f>
        <v/>
      </c>
      <c r="M65" s="21" t="n">
        <v>0.41</v>
      </c>
      <c r="N65" s="22">
        <f>G65*M65</f>
        <v/>
      </c>
      <c r="O65" s="23" t="n">
        <v>67</v>
      </c>
      <c r="P65" s="22">
        <f>G65*</f>
        <v/>
      </c>
      <c r="Q65" s="23" t="n">
        <v>25</v>
      </c>
      <c r="R65" s="22">
        <f>G65*</f>
        <v/>
      </c>
      <c r="S65" s="22">
        <f>I65*</f>
        <v/>
      </c>
      <c r="T65" s="24" t="n">
        <v>0.9</v>
      </c>
      <c r="U65" s="23" t="n">
        <v>67</v>
      </c>
      <c r="V65" s="22">
        <f>U65*(1-T65)</f>
        <v/>
      </c>
      <c r="W65" s="25" t="n">
        <v>0.6</v>
      </c>
      <c r="X65" s="22">
        <f>**W65</f>
        <v/>
      </c>
      <c r="Y65" s="20">
        <f>W65*(+0)</f>
        <v/>
      </c>
      <c r="Z65" s="21" t="n">
        <v>0.07000000000000001</v>
      </c>
      <c r="AA65" s="22">
        <f>G65*Z65</f>
        <v/>
      </c>
      <c r="AB65" s="24" t="n">
        <v>0.08</v>
      </c>
      <c r="AC65" s="22">
        <f>G65*AB65</f>
        <v/>
      </c>
      <c r="AD65" s="22">
        <f>AA65+AC65</f>
        <v/>
      </c>
      <c r="AE65" s="26">
        <f>AD65/G65</f>
        <v/>
      </c>
      <c r="AF65" s="27">
        <f>G65-N65-O65-P65-Q65-R65-S65-V65-X65-Y65-L65</f>
        <v/>
      </c>
      <c r="AG65" s="28">
        <f>AF65-AD65</f>
        <v/>
      </c>
      <c r="AH65" s="29">
        <f>AG65/G65</f>
        <v/>
      </c>
      <c r="AI65" s="30">
        <f>AG65/L65</f>
        <v/>
      </c>
      <c r="AJ65" s="22">
        <f>(O65+Q65+V65+X65+Y65+L65)/(1-(M65++(1-H65)*++Z65+AB65))</f>
        <v/>
      </c>
    </row>
    <row r="66">
      <c r="A66" s="12" t="inlineStr">
        <is>
          <t>PETITFEE - Agave Cooling Hydrogel Eye Patch [60ea] / Охлаждающие гидрогелевые патчи для глаз с экстрактом агавы</t>
        </is>
      </c>
      <c r="B66" s="13" t="n"/>
      <c r="C66" s="14" t="n"/>
      <c r="D66" s="15" t="n">
        <v>1730</v>
      </c>
      <c r="E66" s="15" t="n">
        <v>568</v>
      </c>
      <c r="F66" s="15" t="n">
        <v>17</v>
      </c>
      <c r="G66" s="15" t="n">
        <v>1630</v>
      </c>
      <c r="H66" s="16" t="n">
        <v>0.45</v>
      </c>
      <c r="I66" s="17">
        <f>G66*(1-H66)</f>
        <v/>
      </c>
      <c r="J66" s="18" t="n">
        <v>415.46</v>
      </c>
      <c r="K66" s="19" t="inlineStr">
        <is>
          <t>=</t>
        </is>
      </c>
      <c r="L66" s="20">
        <f>J66+K66</f>
        <v/>
      </c>
      <c r="M66" s="21" t="n">
        <v>0.41</v>
      </c>
      <c r="N66" s="22">
        <f>G66*M66</f>
        <v/>
      </c>
      <c r="O66" s="23" t="n">
        <v>67</v>
      </c>
      <c r="P66" s="22">
        <f>G66*</f>
        <v/>
      </c>
      <c r="Q66" s="23" t="n">
        <v>25</v>
      </c>
      <c r="R66" s="22">
        <f>G66*</f>
        <v/>
      </c>
      <c r="S66" s="22">
        <f>I66*</f>
        <v/>
      </c>
      <c r="T66" s="24" t="n">
        <v>0.9</v>
      </c>
      <c r="U66" s="23" t="n">
        <v>67</v>
      </c>
      <c r="V66" s="22">
        <f>U66*(1-T66)</f>
        <v/>
      </c>
      <c r="W66" s="25" t="n">
        <v>0.6</v>
      </c>
      <c r="X66" s="22">
        <f>**W66</f>
        <v/>
      </c>
      <c r="Y66" s="20">
        <f>W66*(+0)</f>
        <v/>
      </c>
      <c r="Z66" s="21" t="n">
        <v>0.07000000000000001</v>
      </c>
      <c r="AA66" s="22">
        <f>G66*Z66</f>
        <v/>
      </c>
      <c r="AB66" s="24" t="n">
        <v>0.08</v>
      </c>
      <c r="AC66" s="22">
        <f>G66*AB66</f>
        <v/>
      </c>
      <c r="AD66" s="22">
        <f>AA66+AC66</f>
        <v/>
      </c>
      <c r="AE66" s="26">
        <f>AD66/G66</f>
        <v/>
      </c>
      <c r="AF66" s="27">
        <f>G66-N66-O66-P66-Q66-R66-S66-V66-X66-Y66-L66</f>
        <v/>
      </c>
      <c r="AG66" s="28">
        <f>AF66-AD66</f>
        <v/>
      </c>
      <c r="AH66" s="29">
        <f>AG66/G66</f>
        <v/>
      </c>
      <c r="AI66" s="30">
        <f>AG66/L66</f>
        <v/>
      </c>
      <c r="AJ66" s="22">
        <f>(O66+Q66+V66+X66+Y66+L66)/(1-(M66++(1-H66)*++Z66+AB66))</f>
        <v/>
      </c>
    </row>
    <row r="67">
      <c r="A67" s="12" t="inlineStr">
        <is>
          <t>PETITFEE - Gold &amp; Snail Hydrogel Eye Patch [60ea] / Гидрогелевые патчи для глаз с золотом и улиткой</t>
        </is>
      </c>
      <c r="B67" s="13" t="n"/>
      <c r="C67" s="14" t="n"/>
      <c r="D67" s="15" t="n">
        <v>1740</v>
      </c>
      <c r="E67" s="15" t="n">
        <v>150</v>
      </c>
      <c r="F67" s="15" t="n">
        <v>7</v>
      </c>
      <c r="G67" s="15" t="n">
        <v>1630</v>
      </c>
      <c r="H67" s="16" t="n">
        <v>0.45</v>
      </c>
      <c r="I67" s="17">
        <f>G67*(1-H67)</f>
        <v/>
      </c>
      <c r="J67" s="18" t="n">
        <v>415.46</v>
      </c>
      <c r="K67" s="19" t="inlineStr">
        <is>
          <t>=</t>
        </is>
      </c>
      <c r="L67" s="20">
        <f>J67+K67</f>
        <v/>
      </c>
      <c r="M67" s="21" t="n">
        <v>0.41</v>
      </c>
      <c r="N67" s="22">
        <f>G67*M67</f>
        <v/>
      </c>
      <c r="O67" s="23" t="n">
        <v>67</v>
      </c>
      <c r="P67" s="22">
        <f>G67*</f>
        <v/>
      </c>
      <c r="Q67" s="23" t="n">
        <v>25</v>
      </c>
      <c r="R67" s="22">
        <f>G67*</f>
        <v/>
      </c>
      <c r="S67" s="22">
        <f>I67*</f>
        <v/>
      </c>
      <c r="T67" s="24" t="n">
        <v>0.9</v>
      </c>
      <c r="U67" s="23" t="n">
        <v>67</v>
      </c>
      <c r="V67" s="22">
        <f>U67*(1-T67)</f>
        <v/>
      </c>
      <c r="W67" s="25" t="n">
        <v>0.6</v>
      </c>
      <c r="X67" s="22">
        <f>**W67</f>
        <v/>
      </c>
      <c r="Y67" s="20">
        <f>W67*(+0)</f>
        <v/>
      </c>
      <c r="Z67" s="21" t="n">
        <v>0.07000000000000001</v>
      </c>
      <c r="AA67" s="22">
        <f>G67*Z67</f>
        <v/>
      </c>
      <c r="AB67" s="24" t="n">
        <v>0.08</v>
      </c>
      <c r="AC67" s="22">
        <f>G67*AB67</f>
        <v/>
      </c>
      <c r="AD67" s="22">
        <f>AA67+AC67</f>
        <v/>
      </c>
      <c r="AE67" s="26">
        <f>AD67/G67</f>
        <v/>
      </c>
      <c r="AF67" s="27">
        <f>G67-N67-O67-P67-Q67-R67-S67-V67-X67-Y67-L67</f>
        <v/>
      </c>
      <c r="AG67" s="28">
        <f>AF67-AD67</f>
        <v/>
      </c>
      <c r="AH67" s="29">
        <f>AG67/G67</f>
        <v/>
      </c>
      <c r="AI67" s="30">
        <f>AG67/L67</f>
        <v/>
      </c>
      <c r="AJ67" s="22">
        <f>(O67+Q67+V67+X67+Y67+L67)/(1-(M67++(1-H67)*++Z67+AB67))</f>
        <v/>
      </c>
    </row>
    <row r="68">
      <c r="A68" s="12" t="inlineStr">
        <is>
          <t>PETITFEE - Gold Hydrogel Eye Patch [60ea] / гидрогелевые патчи для глаз с золотом</t>
        </is>
      </c>
      <c r="B68" s="13" t="n"/>
      <c r="C68" s="14" t="n"/>
      <c r="D68" s="15" t="n">
        <v>1930</v>
      </c>
      <c r="E68" s="15" t="n">
        <v>128</v>
      </c>
      <c r="F68" s="15" t="n">
        <v>2.2</v>
      </c>
      <c r="G68" s="15" t="n">
        <v>1800</v>
      </c>
      <c r="H68" s="16" t="n">
        <v>0.45</v>
      </c>
      <c r="I68" s="17">
        <f>G68*(1-H68)</f>
        <v/>
      </c>
      <c r="J68" s="18" t="n">
        <v>415.46</v>
      </c>
      <c r="K68" s="19" t="inlineStr">
        <is>
          <t>=</t>
        </is>
      </c>
      <c r="L68" s="20">
        <f>J68+K68</f>
        <v/>
      </c>
      <c r="M68" s="21" t="n">
        <v>0.41</v>
      </c>
      <c r="N68" s="22">
        <f>G68*M68</f>
        <v/>
      </c>
      <c r="O68" s="23" t="n">
        <v>67</v>
      </c>
      <c r="P68" s="22">
        <f>G68*</f>
        <v/>
      </c>
      <c r="Q68" s="23" t="n">
        <v>25</v>
      </c>
      <c r="R68" s="22">
        <f>G68*</f>
        <v/>
      </c>
      <c r="S68" s="22">
        <f>I68*</f>
        <v/>
      </c>
      <c r="T68" s="24" t="n">
        <v>0.9</v>
      </c>
      <c r="U68" s="23" t="n">
        <v>67</v>
      </c>
      <c r="V68" s="22">
        <f>U68*(1-T68)</f>
        <v/>
      </c>
      <c r="W68" s="25" t="n">
        <v>0.6</v>
      </c>
      <c r="X68" s="22">
        <f>**W68</f>
        <v/>
      </c>
      <c r="Y68" s="20">
        <f>W68*(+0)</f>
        <v/>
      </c>
      <c r="Z68" s="21" t="n">
        <v>0.07000000000000001</v>
      </c>
      <c r="AA68" s="22">
        <f>G68*Z68</f>
        <v/>
      </c>
      <c r="AB68" s="24" t="n">
        <v>0.08</v>
      </c>
      <c r="AC68" s="22">
        <f>G68*AB68</f>
        <v/>
      </c>
      <c r="AD68" s="22">
        <f>AA68+AC68</f>
        <v/>
      </c>
      <c r="AE68" s="26">
        <f>AD68/G68</f>
        <v/>
      </c>
      <c r="AF68" s="27">
        <f>G68-N68-O68-P68-Q68-R68-S68-V68-X68-Y68-L68</f>
        <v/>
      </c>
      <c r="AG68" s="28">
        <f>AF68-AD68</f>
        <v/>
      </c>
      <c r="AH68" s="29">
        <f>AG68/G68</f>
        <v/>
      </c>
      <c r="AI68" s="30">
        <f>AG68/L68</f>
        <v/>
      </c>
      <c r="AJ68" s="22">
        <f>(O68+Q68+V68+X68+Y68+L68)/(1-(M68++(1-H68)*++Z68+AB68))</f>
        <v/>
      </c>
    </row>
    <row r="69">
      <c r="A69" s="12" t="inlineStr">
        <is>
          <t>PETITFEE - Agave Cooling Hydrogel Face Mask [5pcs] / Охлаждающая гидрогелевая маска для лица с экстрактом агавы</t>
        </is>
      </c>
      <c r="B69" s="13" t="n"/>
      <c r="C69" s="14" t="n"/>
      <c r="D69" s="15" t="n">
        <v>2480</v>
      </c>
      <c r="E69" s="15" t="n">
        <v>293</v>
      </c>
      <c r="F69" s="15" t="n">
        <v>21</v>
      </c>
      <c r="G69" s="15" t="n">
        <v>2200</v>
      </c>
      <c r="H69" s="16" t="n">
        <v>0.45</v>
      </c>
      <c r="I69" s="17">
        <f>G69*(1-H69)</f>
        <v/>
      </c>
      <c r="J69" s="18" t="n">
        <v>486.41</v>
      </c>
      <c r="K69" s="19" t="inlineStr">
        <is>
          <t>=</t>
        </is>
      </c>
      <c r="L69" s="20">
        <f>J69+K69</f>
        <v/>
      </c>
      <c r="M69" s="21" t="n">
        <v>0.41</v>
      </c>
      <c r="N69" s="22">
        <f>G69*M69</f>
        <v/>
      </c>
      <c r="O69" s="23" t="n">
        <v>72</v>
      </c>
      <c r="P69" s="22">
        <f>G69*</f>
        <v/>
      </c>
      <c r="Q69" s="23" t="n">
        <v>25</v>
      </c>
      <c r="R69" s="22">
        <f>G69*</f>
        <v/>
      </c>
      <c r="S69" s="22">
        <f>I69*</f>
        <v/>
      </c>
      <c r="T69" s="24" t="n">
        <v>0.9</v>
      </c>
      <c r="U69" s="23" t="n">
        <v>72</v>
      </c>
      <c r="V69" s="22">
        <f>U69*(1-T69)</f>
        <v/>
      </c>
      <c r="W69" s="25" t="n">
        <v>1.1</v>
      </c>
      <c r="X69" s="22">
        <f>**W69</f>
        <v/>
      </c>
      <c r="Y69" s="20">
        <f>W69*(+0)</f>
        <v/>
      </c>
      <c r="Z69" s="21" t="n">
        <v>0.07000000000000001</v>
      </c>
      <c r="AA69" s="22">
        <f>G69*Z69</f>
        <v/>
      </c>
      <c r="AB69" s="24" t="n">
        <v>0.08</v>
      </c>
      <c r="AC69" s="22">
        <f>G69*AB69</f>
        <v/>
      </c>
      <c r="AD69" s="22">
        <f>AA69+AC69</f>
        <v/>
      </c>
      <c r="AE69" s="26">
        <f>AD69/G69</f>
        <v/>
      </c>
      <c r="AF69" s="27">
        <f>G69-N69-O69-P69-Q69-R69-S69-V69-X69-Y69-L69</f>
        <v/>
      </c>
      <c r="AG69" s="28">
        <f>AF69-AD69</f>
        <v/>
      </c>
      <c r="AH69" s="29">
        <f>AG69/G69</f>
        <v/>
      </c>
      <c r="AI69" s="30">
        <f>AG69/L69</f>
        <v/>
      </c>
      <c r="AJ69" s="22">
        <f>(O69+Q69+V69+X69+Y69+L69)/(1-(M69++(1-H69)*++Z69+AB69))</f>
        <v/>
      </c>
    </row>
    <row r="70">
      <c r="A70" s="12" t="inlineStr">
        <is>
          <t>PETITFEE - Gold Hydrogel Mask Pack [5pcs] / Гидрогелевая маска для лица с золотом</t>
        </is>
      </c>
      <c r="B70" s="13" t="n"/>
      <c r="C70" s="14" t="n"/>
      <c r="D70" s="15" t="n">
        <v>2570</v>
      </c>
      <c r="E70" s="15" t="n">
        <v>121</v>
      </c>
      <c r="F70" s="15" t="n">
        <v>12</v>
      </c>
      <c r="G70" s="15" t="n">
        <v>2300</v>
      </c>
      <c r="H70" s="16" t="n">
        <v>0.45</v>
      </c>
      <c r="I70" s="17">
        <f>G70*(1-H70)</f>
        <v/>
      </c>
      <c r="J70" s="18" t="n">
        <v>507.16</v>
      </c>
      <c r="K70" s="19" t="inlineStr">
        <is>
          <t>=</t>
        </is>
      </c>
      <c r="L70" s="20">
        <f>J70+K70</f>
        <v/>
      </c>
      <c r="M70" s="21" t="n">
        <v>0.41</v>
      </c>
      <c r="N70" s="22">
        <f>G70*M70</f>
        <v/>
      </c>
      <c r="O70" s="23" t="n">
        <v>72</v>
      </c>
      <c r="P70" s="22">
        <f>G70*</f>
        <v/>
      </c>
      <c r="Q70" s="23" t="n">
        <v>25</v>
      </c>
      <c r="R70" s="22">
        <f>G70*</f>
        <v/>
      </c>
      <c r="S70" s="22">
        <f>I70*</f>
        <v/>
      </c>
      <c r="T70" s="24" t="n">
        <v>0.9</v>
      </c>
      <c r="U70" s="23" t="n">
        <v>72</v>
      </c>
      <c r="V70" s="22">
        <f>U70*(1-T70)</f>
        <v/>
      </c>
      <c r="W70" s="25" t="n">
        <v>1.1</v>
      </c>
      <c r="X70" s="22">
        <f>**W70</f>
        <v/>
      </c>
      <c r="Y70" s="20">
        <f>W70*(+0)</f>
        <v/>
      </c>
      <c r="Z70" s="21" t="n">
        <v>0.07000000000000001</v>
      </c>
      <c r="AA70" s="22">
        <f>G70*Z70</f>
        <v/>
      </c>
      <c r="AB70" s="24" t="n">
        <v>0.08</v>
      </c>
      <c r="AC70" s="22">
        <f>G70*AB70</f>
        <v/>
      </c>
      <c r="AD70" s="22">
        <f>AA70+AC70</f>
        <v/>
      </c>
      <c r="AE70" s="26">
        <f>AD70/G70</f>
        <v/>
      </c>
      <c r="AF70" s="27">
        <f>G70-N70-O70-P70-Q70-R70-S70-V70-X70-Y70-L70</f>
        <v/>
      </c>
      <c r="AG70" s="28">
        <f>AF70-AD70</f>
        <v/>
      </c>
      <c r="AH70" s="29">
        <f>AG70/G70</f>
        <v/>
      </c>
      <c r="AI70" s="30">
        <f>AG70/L70</f>
        <v/>
      </c>
      <c r="AJ70" s="22">
        <f>(O70+Q70+V70+X70+Y70+L70)/(1-(M70++(1-H70)*++Z70+AB70))</f>
        <v/>
      </c>
    </row>
    <row r="71">
      <c r="A71" s="12" t="inlineStr">
        <is>
          <t>PETITFEE - Cacao Energizing Hydrogel Mask Pack [5pcs] / Тонизирующая гидрогелевая маска для лица с экстрактом какао</t>
        </is>
      </c>
      <c r="B71" s="13" t="n"/>
      <c r="C71" s="14" t="n"/>
      <c r="D71" s="15" t="n">
        <v>2680</v>
      </c>
      <c r="E71" s="15" t="n">
        <v>38</v>
      </c>
      <c r="F71" s="15" t="n">
        <v>9.699999999999999</v>
      </c>
      <c r="G71" s="15" t="n">
        <v>2250</v>
      </c>
      <c r="H71" s="16" t="n">
        <v>0.45</v>
      </c>
      <c r="I71" s="17">
        <f>G71*(1-H71)</f>
        <v/>
      </c>
      <c r="J71" s="18" t="n">
        <v>496.86</v>
      </c>
      <c r="K71" s="19" t="inlineStr">
        <is>
          <t>=</t>
        </is>
      </c>
      <c r="L71" s="20">
        <f>J71+K71</f>
        <v/>
      </c>
      <c r="M71" s="21" t="n">
        <v>0.41</v>
      </c>
      <c r="N71" s="22">
        <f>G71*M71</f>
        <v/>
      </c>
      <c r="O71" s="23" t="n">
        <v>72</v>
      </c>
      <c r="P71" s="22">
        <f>G71*</f>
        <v/>
      </c>
      <c r="Q71" s="23" t="n">
        <v>25</v>
      </c>
      <c r="R71" s="22">
        <f>G71*</f>
        <v/>
      </c>
      <c r="S71" s="22">
        <f>I71*</f>
        <v/>
      </c>
      <c r="T71" s="24" t="n">
        <v>0.9</v>
      </c>
      <c r="U71" s="23" t="n">
        <v>72</v>
      </c>
      <c r="V71" s="22">
        <f>U71*(1-T71)</f>
        <v/>
      </c>
      <c r="W71" s="25" t="n">
        <v>1.1</v>
      </c>
      <c r="X71" s="22">
        <f>**W71</f>
        <v/>
      </c>
      <c r="Y71" s="20">
        <f>W71*(+0)</f>
        <v/>
      </c>
      <c r="Z71" s="21" t="n">
        <v>0.07000000000000001</v>
      </c>
      <c r="AA71" s="22">
        <f>G71*Z71</f>
        <v/>
      </c>
      <c r="AB71" s="24" t="n">
        <v>0.08</v>
      </c>
      <c r="AC71" s="22">
        <f>G71*AB71</f>
        <v/>
      </c>
      <c r="AD71" s="22">
        <f>AA71+AC71</f>
        <v/>
      </c>
      <c r="AE71" s="26">
        <f>AD71/G71</f>
        <v/>
      </c>
      <c r="AF71" s="27">
        <f>G71-N71-O71-P71-Q71-R71-S71-V71-X71-Y71-L71</f>
        <v/>
      </c>
      <c r="AG71" s="28">
        <f>AF71-AD71</f>
        <v/>
      </c>
      <c r="AH71" s="29">
        <f>AG71/G71</f>
        <v/>
      </c>
      <c r="AI71" s="30">
        <f>AG71/L71</f>
        <v/>
      </c>
      <c r="AJ71" s="22">
        <f>(O71+Q71+V71+X71+Y71+L71)/(1-(M71++(1-H71)*++Z71+AB71))</f>
        <v/>
      </c>
    </row>
    <row r="72">
      <c r="A72" s="12" t="inlineStr">
        <is>
          <t>PETITFEE - Artichoke Soothing Hydrogel Face Mask [5pcs] / Смягчающая гидрогелевая маска для лица с экстрактом артишока</t>
        </is>
      </c>
      <c r="B72" s="13" t="n"/>
      <c r="C72" s="14" t="n"/>
      <c r="D72" s="15" t="n">
        <v>2420</v>
      </c>
      <c r="E72" s="15" t="n">
        <v>409</v>
      </c>
      <c r="F72" s="15" t="n">
        <v>23</v>
      </c>
      <c r="G72" s="15" t="n">
        <v>2300</v>
      </c>
      <c r="H72" s="16" t="n">
        <v>0.45</v>
      </c>
      <c r="I72" s="17">
        <f>G72*(1-H72)</f>
        <v/>
      </c>
      <c r="J72" s="18" t="n">
        <v>498.54</v>
      </c>
      <c r="K72" s="19" t="inlineStr">
        <is>
          <t>=</t>
        </is>
      </c>
      <c r="L72" s="20">
        <f>J72+K72</f>
        <v/>
      </c>
      <c r="M72" s="21" t="n">
        <v>0.41</v>
      </c>
      <c r="N72" s="22">
        <f>G72*M72</f>
        <v/>
      </c>
      <c r="O72" s="23" t="n">
        <v>72</v>
      </c>
      <c r="P72" s="22">
        <f>G72*</f>
        <v/>
      </c>
      <c r="Q72" s="23" t="n">
        <v>25</v>
      </c>
      <c r="R72" s="22">
        <f>G72*</f>
        <v/>
      </c>
      <c r="S72" s="22">
        <f>I72*</f>
        <v/>
      </c>
      <c r="T72" s="24" t="n">
        <v>0.9</v>
      </c>
      <c r="U72" s="23" t="n">
        <v>72</v>
      </c>
      <c r="V72" s="22">
        <f>U72*(1-T72)</f>
        <v/>
      </c>
      <c r="W72" s="25" t="n">
        <v>1.1</v>
      </c>
      <c r="X72" s="22">
        <f>**W72</f>
        <v/>
      </c>
      <c r="Y72" s="20">
        <f>W72*(+0)</f>
        <v/>
      </c>
      <c r="Z72" s="21" t="n">
        <v>0.07000000000000001</v>
      </c>
      <c r="AA72" s="22">
        <f>G72*Z72</f>
        <v/>
      </c>
      <c r="AB72" s="24" t="n">
        <v>0.08</v>
      </c>
      <c r="AC72" s="22">
        <f>G72*AB72</f>
        <v/>
      </c>
      <c r="AD72" s="22">
        <f>AA72+AC72</f>
        <v/>
      </c>
      <c r="AE72" s="26">
        <f>AD72/G72</f>
        <v/>
      </c>
      <c r="AF72" s="27">
        <f>G72-N72-O72-P72-Q72-R72-S72-V72-X72-Y72-L72</f>
        <v/>
      </c>
      <c r="AG72" s="28">
        <f>AF72-AD72</f>
        <v/>
      </c>
      <c r="AH72" s="29">
        <f>AG72/G72</f>
        <v/>
      </c>
      <c r="AI72" s="30">
        <f>AG72/L72</f>
        <v/>
      </c>
      <c r="AJ72" s="22">
        <f>(O72+Q72+V72+X72+Y72+L72)/(1-(M72++(1-H72)*++Z72+AB72))</f>
        <v/>
      </c>
    </row>
    <row r="73">
      <c r="A73" s="12" t="inlineStr">
        <is>
          <t>PETITFEE - Gold &amp; Snail Hydrogel Mask Pack [5pcs] / Гидрогелевая маска для лица с золотом и экстрактом улитки</t>
        </is>
      </c>
      <c r="B73" s="13" t="n"/>
      <c r="C73" s="14" t="n"/>
      <c r="D73" s="15" t="n">
        <v>2280</v>
      </c>
      <c r="E73" s="15" t="n">
        <v>19</v>
      </c>
      <c r="F73" s="15" t="n">
        <v>8</v>
      </c>
      <c r="G73" s="15" t="n">
        <v>2135</v>
      </c>
      <c r="H73" s="16" t="n">
        <v>0.45</v>
      </c>
      <c r="I73" s="17">
        <f>G73*(1-H73)</f>
        <v/>
      </c>
      <c r="J73" s="18" t="n">
        <v>478.17</v>
      </c>
      <c r="K73" s="19" t="inlineStr">
        <is>
          <t>=</t>
        </is>
      </c>
      <c r="L73" s="20">
        <f>J73+K73</f>
        <v/>
      </c>
      <c r="M73" s="21" t="n">
        <v>0.41</v>
      </c>
      <c r="N73" s="22">
        <f>G73*M73</f>
        <v/>
      </c>
      <c r="O73" s="23" t="n">
        <v>72</v>
      </c>
      <c r="P73" s="22">
        <f>G73*</f>
        <v/>
      </c>
      <c r="Q73" s="23" t="n">
        <v>25</v>
      </c>
      <c r="R73" s="22">
        <f>G73*</f>
        <v/>
      </c>
      <c r="S73" s="22">
        <f>I73*</f>
        <v/>
      </c>
      <c r="T73" s="24" t="n">
        <v>0.9</v>
      </c>
      <c r="U73" s="23" t="n">
        <v>72</v>
      </c>
      <c r="V73" s="22">
        <f>U73*(1-T73)</f>
        <v/>
      </c>
      <c r="W73" s="25" t="n">
        <v>1.1</v>
      </c>
      <c r="X73" s="22">
        <f>**W73</f>
        <v/>
      </c>
      <c r="Y73" s="20">
        <f>W73*(+0)</f>
        <v/>
      </c>
      <c r="Z73" s="21" t="n">
        <v>0.07000000000000001</v>
      </c>
      <c r="AA73" s="22">
        <f>G73*Z73</f>
        <v/>
      </c>
      <c r="AB73" s="24" t="n">
        <v>0.08</v>
      </c>
      <c r="AC73" s="22">
        <f>G73*AB73</f>
        <v/>
      </c>
      <c r="AD73" s="22">
        <f>AA73+AC73</f>
        <v/>
      </c>
      <c r="AE73" s="26">
        <f>AD73/G73</f>
        <v/>
      </c>
      <c r="AF73" s="27">
        <f>G73-N73-O73-P73-Q73-R73-S73-V73-X73-Y73-L73</f>
        <v/>
      </c>
      <c r="AG73" s="28">
        <f>AF73-AD73</f>
        <v/>
      </c>
      <c r="AH73" s="29">
        <f>AG73/G73</f>
        <v/>
      </c>
      <c r="AI73" s="30">
        <f>AG73/L73</f>
        <v/>
      </c>
      <c r="AJ73" s="22">
        <f>(O73+Q73+V73+X73+Y73+L73)/(1-(M73++(1-H73)*++Z73+AB73))</f>
        <v/>
      </c>
    </row>
    <row r="74">
      <c r="A74" s="12" t="inlineStr">
        <is>
          <t>PETITFEE - Black Pearl &amp; Gold Hydrogel Mask Pack [5pcs] / Гидрогелевая маска для лица с черным жемчугом и золотом</t>
        </is>
      </c>
      <c r="B74" s="13" t="n"/>
      <c r="C74" s="14" t="n"/>
      <c r="D74" s="15" t="n">
        <v>2225</v>
      </c>
      <c r="E74" s="15" t="n">
        <v>156</v>
      </c>
      <c r="F74" s="15" t="n">
        <v>23</v>
      </c>
      <c r="G74" s="15" t="n">
        <v>2135</v>
      </c>
      <c r="H74" s="16" t="n">
        <v>0.45</v>
      </c>
      <c r="I74" s="17">
        <f>G74*(1-H74)</f>
        <v/>
      </c>
      <c r="J74" s="18" t="n">
        <v>478.05</v>
      </c>
      <c r="K74" s="19" t="inlineStr">
        <is>
          <t>=</t>
        </is>
      </c>
      <c r="L74" s="20">
        <f>J74+K74</f>
        <v/>
      </c>
      <c r="M74" s="21" t="n">
        <v>0.41</v>
      </c>
      <c r="N74" s="22">
        <f>G74*M74</f>
        <v/>
      </c>
      <c r="O74" s="23" t="n">
        <v>72</v>
      </c>
      <c r="P74" s="22">
        <f>G74*</f>
        <v/>
      </c>
      <c r="Q74" s="23" t="n">
        <v>25</v>
      </c>
      <c r="R74" s="22">
        <f>G74*</f>
        <v/>
      </c>
      <c r="S74" s="22">
        <f>I74*</f>
        <v/>
      </c>
      <c r="T74" s="24" t="n">
        <v>0.9</v>
      </c>
      <c r="U74" s="23" t="n">
        <v>72</v>
      </c>
      <c r="V74" s="22">
        <f>U74*(1-T74)</f>
        <v/>
      </c>
      <c r="W74" s="25" t="n">
        <v>1.1</v>
      </c>
      <c r="X74" s="22">
        <f>**W74</f>
        <v/>
      </c>
      <c r="Y74" s="20">
        <f>W74*(+0)</f>
        <v/>
      </c>
      <c r="Z74" s="21" t="n">
        <v>0.07000000000000001</v>
      </c>
      <c r="AA74" s="22">
        <f>G74*Z74</f>
        <v/>
      </c>
      <c r="AB74" s="24" t="n">
        <v>0.08</v>
      </c>
      <c r="AC74" s="22">
        <f>G74*AB74</f>
        <v/>
      </c>
      <c r="AD74" s="22">
        <f>AA74+AC74</f>
        <v/>
      </c>
      <c r="AE74" s="26">
        <f>AD74/G74</f>
        <v/>
      </c>
      <c r="AF74" s="27">
        <f>G74-N74-O74-P74-Q74-R74-S74-V74-X74-Y74-L74</f>
        <v/>
      </c>
      <c r="AG74" s="28">
        <f>AF74-AD74</f>
        <v/>
      </c>
      <c r="AH74" s="29">
        <f>AG74/G74</f>
        <v/>
      </c>
      <c r="AI74" s="30">
        <f>AG74/L74</f>
        <v/>
      </c>
      <c r="AJ74" s="22">
        <f>(O74+Q74+V74+X74+Y74+L74)/(1-(M74++(1-H74)*++Z74+AB74))</f>
        <v/>
      </c>
    </row>
    <row r="75">
      <c r="A75" s="12" t="inlineStr">
        <is>
          <t>ROUND LAB 1025 DOKDO CLEANSER_150ml</t>
        </is>
      </c>
      <c r="B75" s="13" t="n"/>
      <c r="C75" s="14" t="n"/>
      <c r="D75" s="15" t="n">
        <v>2335</v>
      </c>
      <c r="E75" s="15" t="n">
        <v>4000</v>
      </c>
      <c r="F75" s="15" t="n">
        <v>3</v>
      </c>
      <c r="G75" s="15" t="n">
        <v>2200</v>
      </c>
      <c r="H75" s="16" t="n">
        <v>0.45</v>
      </c>
      <c r="I75" s="17">
        <f>G75*(1-H75)</f>
        <v/>
      </c>
      <c r="J75" s="18" t="n">
        <v>463.19</v>
      </c>
      <c r="K75" s="19" t="inlineStr">
        <is>
          <t>=</t>
        </is>
      </c>
      <c r="L75" s="20">
        <f>J75+K75</f>
        <v/>
      </c>
      <c r="M75" s="21" t="n">
        <v>0.41</v>
      </c>
      <c r="N75" s="22">
        <f>G75*M75</f>
        <v/>
      </c>
      <c r="O75" s="23" t="n">
        <v>74</v>
      </c>
      <c r="P75" s="22">
        <f>G75*</f>
        <v/>
      </c>
      <c r="Q75" s="23" t="n">
        <v>25</v>
      </c>
      <c r="R75" s="22">
        <f>G75*</f>
        <v/>
      </c>
      <c r="S75" s="22">
        <f>I75*</f>
        <v/>
      </c>
      <c r="T75" s="24" t="n">
        <v>0.9</v>
      </c>
      <c r="U75" s="23" t="n">
        <v>74</v>
      </c>
      <c r="V75" s="22">
        <f>U75*(1-T75)</f>
        <v/>
      </c>
      <c r="W75" s="25" t="n">
        <v>1.28</v>
      </c>
      <c r="X75" s="22">
        <f>**W75</f>
        <v/>
      </c>
      <c r="Y75" s="20">
        <f>W75*(+0)</f>
        <v/>
      </c>
      <c r="Z75" s="21" t="n">
        <v>0.07000000000000001</v>
      </c>
      <c r="AA75" s="22">
        <f>G75*Z75</f>
        <v/>
      </c>
      <c r="AB75" s="24" t="n">
        <v>0.08</v>
      </c>
      <c r="AC75" s="22">
        <f>G75*AB75</f>
        <v/>
      </c>
      <c r="AD75" s="22">
        <f>AA75+AC75</f>
        <v/>
      </c>
      <c r="AE75" s="26">
        <f>AD75/G75</f>
        <v/>
      </c>
      <c r="AF75" s="27">
        <f>G75-N75-O75-P75-Q75-R75-S75-V75-X75-Y75-L75</f>
        <v/>
      </c>
      <c r="AG75" s="28">
        <f>AF75-AD75</f>
        <v/>
      </c>
      <c r="AH75" s="29">
        <f>AG75/G75</f>
        <v/>
      </c>
      <c r="AI75" s="30">
        <f>AG75/L75</f>
        <v/>
      </c>
      <c r="AJ75" s="22">
        <f>(O75+Q75+V75+X75+Y75+L75)/(1-(M75++(1-H75)*++Z75+AB75))</f>
        <v/>
      </c>
    </row>
    <row r="76">
      <c r="A76" s="12" t="inlineStr">
        <is>
          <t>ROUND LAB 1025 DOKDO TONER_200ml</t>
        </is>
      </c>
      <c r="B76" s="41" t="n"/>
      <c r="C76" s="42" t="n"/>
      <c r="D76" s="15" t="n">
        <v>3400</v>
      </c>
      <c r="E76" s="15" t="n">
        <v>260</v>
      </c>
      <c r="F76" s="15" t="n">
        <v>2</v>
      </c>
      <c r="G76" s="15" t="n">
        <v>3100</v>
      </c>
      <c r="H76" s="16" t="n">
        <v>0.45</v>
      </c>
      <c r="I76" s="17">
        <f>G76*(1-H76)</f>
        <v/>
      </c>
      <c r="J76" s="18" t="n">
        <v>463.19</v>
      </c>
      <c r="K76" s="19" t="inlineStr">
        <is>
          <t>=</t>
        </is>
      </c>
      <c r="L76" s="20">
        <f>J76+K76</f>
        <v/>
      </c>
      <c r="M76" s="21" t="n">
        <v>0.41</v>
      </c>
      <c r="N76" s="22">
        <f>G76*M76</f>
        <v/>
      </c>
      <c r="O76" s="23" t="n">
        <v>74</v>
      </c>
      <c r="P76" s="22">
        <f>G76*</f>
        <v/>
      </c>
      <c r="Q76" s="23" t="n">
        <v>25</v>
      </c>
      <c r="R76" s="22">
        <f>G76*</f>
        <v/>
      </c>
      <c r="S76" s="22">
        <f>I76*</f>
        <v/>
      </c>
      <c r="T76" s="24" t="n">
        <v>0.9</v>
      </c>
      <c r="U76" s="23" t="n">
        <v>74</v>
      </c>
      <c r="V76" s="22">
        <f>U76*(1-T76)</f>
        <v/>
      </c>
      <c r="W76" s="25" t="n">
        <v>1.28</v>
      </c>
      <c r="X76" s="22">
        <f>**W76</f>
        <v/>
      </c>
      <c r="Y76" s="20">
        <f>W76*(+0)</f>
        <v/>
      </c>
      <c r="Z76" s="21" t="n">
        <v>0.07000000000000001</v>
      </c>
      <c r="AA76" s="22">
        <f>G76*Z76</f>
        <v/>
      </c>
      <c r="AB76" s="24" t="n">
        <v>0.08</v>
      </c>
      <c r="AC76" s="22">
        <f>G76*AB76</f>
        <v/>
      </c>
      <c r="AD76" s="22">
        <f>AA76+AC76</f>
        <v/>
      </c>
      <c r="AE76" s="26">
        <f>AD76/G76</f>
        <v/>
      </c>
      <c r="AF76" s="27">
        <f>G76-N76-O76-P76-Q76-R76-S76-V76-X76-Y76-L76</f>
        <v/>
      </c>
      <c r="AG76" s="28">
        <f>AF76-AD76</f>
        <v/>
      </c>
      <c r="AH76" s="29">
        <f>AG76/G76</f>
        <v/>
      </c>
      <c r="AI76" s="30">
        <f>AG76/L76</f>
        <v/>
      </c>
      <c r="AJ76" s="22">
        <f>(O76+Q76+V76+X76+Y76+L76)/(1-(M76++(1-H76)*++Z76+AB76))</f>
        <v/>
      </c>
    </row>
    <row r="77">
      <c r="A77" s="43" t="inlineStr">
        <is>
          <t>PINE CALMING CICA CLEANSER_150ml</t>
        </is>
      </c>
      <c r="B77" s="44" t="n">
        <v>600</v>
      </c>
      <c r="C77" s="45" t="n"/>
      <c r="D77" s="15" t="n">
        <v>3050</v>
      </c>
      <c r="E77" s="15" t="n">
        <v>200</v>
      </c>
      <c r="F77" s="15" t="n">
        <v>3</v>
      </c>
      <c r="G77" s="15" t="n">
        <v>2750</v>
      </c>
      <c r="H77" s="16" t="n">
        <v>0.45</v>
      </c>
      <c r="I77" s="17">
        <f>G77*(1-H77)</f>
        <v/>
      </c>
      <c r="J77" s="18" t="n">
        <v>406</v>
      </c>
      <c r="K77" s="19" t="inlineStr">
        <is>
          <t>=</t>
        </is>
      </c>
      <c r="L77" s="20">
        <f>J77+K77</f>
        <v/>
      </c>
      <c r="M77" s="21" t="n">
        <v>0.41</v>
      </c>
      <c r="N77" s="22">
        <f>G77*M77</f>
        <v/>
      </c>
      <c r="O77" s="23" t="n">
        <v>74</v>
      </c>
      <c r="P77" s="22">
        <f>G77*</f>
        <v/>
      </c>
      <c r="Q77" s="23" t="n">
        <v>25</v>
      </c>
      <c r="R77" s="22">
        <f>G77*</f>
        <v/>
      </c>
      <c r="S77" s="22">
        <f>I77*</f>
        <v/>
      </c>
      <c r="T77" s="24" t="n">
        <v>0.9</v>
      </c>
      <c r="U77" s="23" t="n">
        <v>74</v>
      </c>
      <c r="V77" s="22">
        <f>U77*(1-T77)</f>
        <v/>
      </c>
      <c r="W77" s="25" t="n">
        <v>1.28</v>
      </c>
      <c r="X77" s="22">
        <f>**W77</f>
        <v/>
      </c>
      <c r="Y77" s="20">
        <f>W77*(+0)</f>
        <v/>
      </c>
      <c r="Z77" s="21" t="n">
        <v>0.07000000000000001</v>
      </c>
      <c r="AA77" s="22">
        <f>G77*Z77</f>
        <v/>
      </c>
      <c r="AB77" s="24" t="n">
        <v>0.08</v>
      </c>
      <c r="AC77" s="22">
        <f>G77*AB77</f>
        <v/>
      </c>
      <c r="AD77" s="22">
        <f>AA77+AC77</f>
        <v/>
      </c>
      <c r="AE77" s="26">
        <f>AD77/G77</f>
        <v/>
      </c>
      <c r="AF77" s="27">
        <f>G77-N77-O77-P77-Q77-R77-S77-V77-X77-Y77-L77</f>
        <v/>
      </c>
      <c r="AG77" s="28">
        <f>AF77-AD77</f>
        <v/>
      </c>
      <c r="AH77" s="29">
        <f>AG77/G77</f>
        <v/>
      </c>
      <c r="AI77" s="30">
        <f>AG77/L77</f>
        <v/>
      </c>
      <c r="AJ77" s="22">
        <f>(O77+Q77+V77+X77+Y77+L77)/(1-(M77++(1-H77)*++Z77+AB77))</f>
        <v/>
      </c>
    </row>
    <row r="78">
      <c r="A78" s="43" t="inlineStr">
        <is>
          <t>PINE CALMING CICA BODY WASH_400ml</t>
        </is>
      </c>
      <c r="B78" s="44" t="n">
        <v>400</v>
      </c>
      <c r="C78" s="45" t="n"/>
      <c r="D78" s="15" t="n">
        <v>2850</v>
      </c>
      <c r="E78" s="15" t="n">
        <v>300</v>
      </c>
      <c r="F78" s="15" t="n">
        <v>2</v>
      </c>
      <c r="G78" s="15" t="n">
        <v>2650</v>
      </c>
      <c r="H78" s="16" t="n">
        <v>0.45</v>
      </c>
      <c r="I78" s="17">
        <f>G78*(1-H78)</f>
        <v/>
      </c>
      <c r="J78" s="18" t="n">
        <v>483</v>
      </c>
      <c r="K78" s="19" t="inlineStr">
        <is>
          <t>=</t>
        </is>
      </c>
      <c r="L78" s="20">
        <f>J78+K78</f>
        <v/>
      </c>
      <c r="M78" s="21" t="n">
        <v>0.41</v>
      </c>
      <c r="N78" s="22">
        <f>G78*M78</f>
        <v/>
      </c>
      <c r="O78" s="23" t="n">
        <v>74</v>
      </c>
      <c r="P78" s="22">
        <f>G78*</f>
        <v/>
      </c>
      <c r="Q78" s="23" t="n">
        <v>25</v>
      </c>
      <c r="R78" s="22">
        <f>G78*</f>
        <v/>
      </c>
      <c r="S78" s="22">
        <f>I78*</f>
        <v/>
      </c>
      <c r="T78" s="24" t="n">
        <v>0.9</v>
      </c>
      <c r="U78" s="23" t="n">
        <v>74</v>
      </c>
      <c r="V78" s="22">
        <f>U78*(1-T78)</f>
        <v/>
      </c>
      <c r="W78" s="25" t="n">
        <v>1.28</v>
      </c>
      <c r="X78" s="22">
        <f>**W78</f>
        <v/>
      </c>
      <c r="Y78" s="20">
        <f>W78*(+0)</f>
        <v/>
      </c>
      <c r="Z78" s="21" t="n">
        <v>0.07000000000000001</v>
      </c>
      <c r="AA78" s="22">
        <f>G78*Z78</f>
        <v/>
      </c>
      <c r="AB78" s="24" t="n">
        <v>0.08</v>
      </c>
      <c r="AC78" s="22">
        <f>G78*AB78</f>
        <v/>
      </c>
      <c r="AD78" s="22">
        <f>AA78+AC78</f>
        <v/>
      </c>
      <c r="AE78" s="26">
        <f>AD78/G78</f>
        <v/>
      </c>
      <c r="AF78" s="27">
        <f>G78-N78-O78-P78-Q78-R78-S78-V78-X78-Y78-L78</f>
        <v/>
      </c>
      <c r="AG78" s="28">
        <f>AF78-AD78</f>
        <v/>
      </c>
      <c r="AH78" s="29">
        <f>AG78/G78</f>
        <v/>
      </c>
      <c r="AI78" s="30">
        <f>AG78/L78</f>
        <v/>
      </c>
      <c r="AJ78" s="22">
        <f>(O78+Q78+V78+X78+Y78+L78)/(1-(M78++(1-H78)*++Z78+AB78))</f>
        <v/>
      </c>
    </row>
    <row r="79">
      <c r="A79" s="43" t="inlineStr">
        <is>
          <t>PINE CALMING CICA CREAM PLUS_60ml</t>
        </is>
      </c>
      <c r="B79" s="44" t="n">
        <v>240</v>
      </c>
      <c r="C79" s="45" t="n"/>
      <c r="D79" s="15" t="n">
        <v>4670</v>
      </c>
      <c r="E79" s="15" t="n">
        <v>20</v>
      </c>
      <c r="F79" s="15" t="n">
        <v>0</v>
      </c>
      <c r="G79" s="15" t="n">
        <v>4300</v>
      </c>
      <c r="H79" s="16" t="n">
        <v>0.45</v>
      </c>
      <c r="I79" s="17">
        <f>G79*(1-H79)</f>
        <v/>
      </c>
      <c r="J79" s="18" t="n">
        <v>712</v>
      </c>
      <c r="K79" s="19" t="inlineStr">
        <is>
          <t>=</t>
        </is>
      </c>
      <c r="L79" s="20">
        <f>J79+K79</f>
        <v/>
      </c>
      <c r="M79" s="21" t="n">
        <v>0.41</v>
      </c>
      <c r="N79" s="22">
        <f>G79*M79</f>
        <v/>
      </c>
      <c r="O79" s="23" t="n">
        <v>74</v>
      </c>
      <c r="P79" s="22">
        <f>G79*</f>
        <v/>
      </c>
      <c r="Q79" s="23" t="n">
        <v>25</v>
      </c>
      <c r="R79" s="22">
        <f>G79*</f>
        <v/>
      </c>
      <c r="S79" s="22">
        <f>I79*</f>
        <v/>
      </c>
      <c r="T79" s="24" t="n">
        <v>0.9</v>
      </c>
      <c r="U79" s="23" t="n">
        <v>74</v>
      </c>
      <c r="V79" s="22">
        <f>U79*(1-T79)</f>
        <v/>
      </c>
      <c r="W79" s="25" t="n">
        <v>1.28</v>
      </c>
      <c r="X79" s="22">
        <f>**W79</f>
        <v/>
      </c>
      <c r="Y79" s="20">
        <f>W79*(+0)</f>
        <v/>
      </c>
      <c r="Z79" s="21" t="n">
        <v>0.07000000000000001</v>
      </c>
      <c r="AA79" s="22">
        <f>G79*Z79</f>
        <v/>
      </c>
      <c r="AB79" s="24" t="n">
        <v>0.08</v>
      </c>
      <c r="AC79" s="22">
        <f>G79*AB79</f>
        <v/>
      </c>
      <c r="AD79" s="22">
        <f>AA79+AC79</f>
        <v/>
      </c>
      <c r="AE79" s="26">
        <f>AD79/G79</f>
        <v/>
      </c>
      <c r="AF79" s="27">
        <f>G79-N79-O79-P79-Q79-R79-S79-V79-X79-Y79-L79</f>
        <v/>
      </c>
      <c r="AG79" s="28">
        <f>AF79-AD79</f>
        <v/>
      </c>
      <c r="AH79" s="29">
        <f>AG79/G79</f>
        <v/>
      </c>
      <c r="AI79" s="30">
        <f>AG79/L79</f>
        <v/>
      </c>
      <c r="AJ79" s="22">
        <f>(O79+Q79+V79+X79+Y79+L79)/(1-(M79++(1-H79)*++Z79+AB79))</f>
        <v/>
      </c>
    </row>
    <row r="80">
      <c r="A80" s="43" t="inlineStr">
        <is>
          <t>ROUND LAB CAMELLIA DEEP COLLAGEN FIRMING CREAM_50ml</t>
        </is>
      </c>
      <c r="B80" s="44" t="n">
        <v>400</v>
      </c>
      <c r="C80" s="45" t="n"/>
      <c r="D80" s="15" t="n">
        <v>4360</v>
      </c>
      <c r="E80" s="15" t="n">
        <v>60</v>
      </c>
      <c r="F80" s="15" t="n">
        <v>4</v>
      </c>
      <c r="G80" s="15" t="n">
        <v>4000</v>
      </c>
      <c r="H80" s="16" t="n">
        <v>0.45</v>
      </c>
      <c r="I80" s="17">
        <f>G80*(1-H80)</f>
        <v/>
      </c>
      <c r="J80" s="18" t="n">
        <v>761</v>
      </c>
      <c r="K80" s="19" t="inlineStr">
        <is>
          <t>=</t>
        </is>
      </c>
      <c r="L80" s="20">
        <f>J80+K80</f>
        <v/>
      </c>
      <c r="M80" s="21" t="n">
        <v>0.41</v>
      </c>
      <c r="N80" s="22">
        <f>G80*M80</f>
        <v/>
      </c>
      <c r="O80" s="23" t="n">
        <v>74</v>
      </c>
      <c r="P80" s="22">
        <f>G80*</f>
        <v/>
      </c>
      <c r="Q80" s="23" t="n">
        <v>25</v>
      </c>
      <c r="R80" s="22">
        <f>G80*</f>
        <v/>
      </c>
      <c r="S80" s="22">
        <f>I80*</f>
        <v/>
      </c>
      <c r="T80" s="24" t="n">
        <v>0.9</v>
      </c>
      <c r="U80" s="23" t="n">
        <v>74</v>
      </c>
      <c r="V80" s="22">
        <f>U80*(1-T80)</f>
        <v/>
      </c>
      <c r="W80" s="25" t="n">
        <v>1.28</v>
      </c>
      <c r="X80" s="22">
        <f>**W80</f>
        <v/>
      </c>
      <c r="Y80" s="20">
        <f>W80*(+0)</f>
        <v/>
      </c>
      <c r="Z80" s="21" t="n">
        <v>0.07000000000000001</v>
      </c>
      <c r="AA80" s="22">
        <f>G80*Z80</f>
        <v/>
      </c>
      <c r="AB80" s="24" t="n">
        <v>0.08</v>
      </c>
      <c r="AC80" s="22">
        <f>G80*AB80</f>
        <v/>
      </c>
      <c r="AD80" s="22">
        <f>AA80+AC80</f>
        <v/>
      </c>
      <c r="AE80" s="26">
        <f>AD80/G80</f>
        <v/>
      </c>
      <c r="AF80" s="27">
        <f>G80-N80-O80-P80-Q80-R80-S80-V80-X80-Y80-L80</f>
        <v/>
      </c>
      <c r="AG80" s="28">
        <f>AF80-AD80</f>
        <v/>
      </c>
      <c r="AH80" s="29">
        <f>AG80/G80</f>
        <v/>
      </c>
      <c r="AI80" s="30">
        <f>AG80/L80</f>
        <v/>
      </c>
      <c r="AJ80" s="22">
        <f>(O80+Q80+V80+X80+Y80+L80)/(1-(M80++(1-H80)*++Z80+AB80))</f>
        <v/>
      </c>
    </row>
    <row r="81">
      <c r="A81" s="43" t="inlineStr">
        <is>
          <t>PINE CALMING CICA PAD_50pcs</t>
        </is>
      </c>
      <c r="B81" s="44" t="n">
        <v>270</v>
      </c>
      <c r="C81" s="45" t="n"/>
      <c r="D81" s="15" t="n">
        <v>3120</v>
      </c>
      <c r="E81" s="15" t="n">
        <v>50</v>
      </c>
      <c r="F81" s="15" t="n">
        <v>4</v>
      </c>
      <c r="G81" s="15" t="n">
        <v>2920</v>
      </c>
      <c r="H81" s="16" t="n">
        <v>0.45</v>
      </c>
      <c r="I81" s="17">
        <f>G81*(1-H81)</f>
        <v/>
      </c>
      <c r="J81" s="18" t="n">
        <v>636</v>
      </c>
      <c r="K81" s="19" t="inlineStr">
        <is>
          <t>=</t>
        </is>
      </c>
      <c r="L81" s="20">
        <f>J81+K81</f>
        <v/>
      </c>
      <c r="M81" s="21" t="n">
        <v>0.41</v>
      </c>
      <c r="N81" s="22">
        <f>G81*M81</f>
        <v/>
      </c>
      <c r="O81" s="23" t="n">
        <v>74</v>
      </c>
      <c r="P81" s="22">
        <f>G81*</f>
        <v/>
      </c>
      <c r="Q81" s="23" t="n">
        <v>25</v>
      </c>
      <c r="R81" s="22">
        <f>G81*</f>
        <v/>
      </c>
      <c r="S81" s="22">
        <f>I81*</f>
        <v/>
      </c>
      <c r="T81" s="24" t="n">
        <v>0.9</v>
      </c>
      <c r="U81" s="23" t="n">
        <v>74</v>
      </c>
      <c r="V81" s="22">
        <f>U81*(1-T81)</f>
        <v/>
      </c>
      <c r="W81" s="25" t="n">
        <v>1.28</v>
      </c>
      <c r="X81" s="22">
        <f>**W81</f>
        <v/>
      </c>
      <c r="Y81" s="20">
        <f>W81*(+0)</f>
        <v/>
      </c>
      <c r="Z81" s="21" t="n">
        <v>0.07000000000000001</v>
      </c>
      <c r="AA81" s="22">
        <f>G81*Z81</f>
        <v/>
      </c>
      <c r="AB81" s="24" t="n">
        <v>0.08</v>
      </c>
      <c r="AC81" s="22">
        <f>G81*AB81</f>
        <v/>
      </c>
      <c r="AD81" s="22">
        <f>AA81+AC81</f>
        <v/>
      </c>
      <c r="AE81" s="26">
        <f>AD81/G81</f>
        <v/>
      </c>
      <c r="AF81" s="27">
        <f>G81-N81-O81-P81-Q81-R81-S81-V81-X81-Y81-L81</f>
        <v/>
      </c>
      <c r="AG81" s="28">
        <f>AF81-AD81</f>
        <v/>
      </c>
      <c r="AH81" s="29">
        <f>AG81/G81</f>
        <v/>
      </c>
      <c r="AI81" s="30">
        <f>AG81/L81</f>
        <v/>
      </c>
      <c r="AJ81" s="22">
        <f>(O81+Q81+V81+X81+Y81+L81)/(1-(M81++(1-H81)*++Z81+AB81))</f>
        <v/>
      </c>
    </row>
    <row r="82">
      <c r="A82" s="43" t="inlineStr">
        <is>
          <t>SOYBEAN SERUM_50ml</t>
        </is>
      </c>
      <c r="B82" s="44" t="n">
        <v>210</v>
      </c>
      <c r="C82" s="45" t="n"/>
      <c r="D82" s="15" t="n">
        <v>3630</v>
      </c>
      <c r="E82" s="15" t="n">
        <v>70</v>
      </c>
      <c r="F82" s="15" t="n">
        <v>12</v>
      </c>
      <c r="G82" s="15" t="n">
        <v>3330</v>
      </c>
      <c r="H82" s="16" t="n">
        <v>0.45</v>
      </c>
      <c r="I82" s="17">
        <f>G82*(1-H82)</f>
        <v/>
      </c>
      <c r="J82" s="18" t="n">
        <v>668</v>
      </c>
      <c r="K82" s="19" t="inlineStr">
        <is>
          <t>=</t>
        </is>
      </c>
      <c r="L82" s="20">
        <f>J82+K82</f>
        <v/>
      </c>
      <c r="M82" s="21" t="n">
        <v>0.41</v>
      </c>
      <c r="N82" s="22">
        <f>G82*M82</f>
        <v/>
      </c>
      <c r="O82" s="23" t="n">
        <v>74</v>
      </c>
      <c r="P82" s="22">
        <f>G82*</f>
        <v/>
      </c>
      <c r="Q82" s="23" t="n">
        <v>25</v>
      </c>
      <c r="R82" s="22">
        <f>G82*</f>
        <v/>
      </c>
      <c r="S82" s="22">
        <f>I82*</f>
        <v/>
      </c>
      <c r="T82" s="24" t="n">
        <v>0.9</v>
      </c>
      <c r="U82" s="23" t="n">
        <v>74</v>
      </c>
      <c r="V82" s="22">
        <f>U82*(1-T82)</f>
        <v/>
      </c>
      <c r="W82" s="25" t="n">
        <v>1.28</v>
      </c>
      <c r="X82" s="22">
        <f>**W82</f>
        <v/>
      </c>
      <c r="Y82" s="20">
        <f>W82*(+0)</f>
        <v/>
      </c>
      <c r="Z82" s="21" t="n">
        <v>0.07000000000000001</v>
      </c>
      <c r="AA82" s="22">
        <f>G82*Z82</f>
        <v/>
      </c>
      <c r="AB82" s="24" t="n">
        <v>0.08</v>
      </c>
      <c r="AC82" s="22">
        <f>G82*AB82</f>
        <v/>
      </c>
      <c r="AD82" s="22">
        <f>AA82+AC82</f>
        <v/>
      </c>
      <c r="AE82" s="26">
        <f>AD82/G82</f>
        <v/>
      </c>
      <c r="AF82" s="27">
        <f>G82-N82-O82-P82-Q82-R82-S82-V82-X82-Y82-L82</f>
        <v/>
      </c>
      <c r="AG82" s="28">
        <f>AF82-AD82</f>
        <v/>
      </c>
      <c r="AH82" s="29">
        <f>AG82/G82</f>
        <v/>
      </c>
      <c r="AI82" s="30">
        <f>AG82/L82</f>
        <v/>
      </c>
      <c r="AJ82" s="22">
        <f>(O82+Q82+V82+X82+Y82+L82)/(1-(M82++(1-H82)*++Z82+AB82))</f>
        <v/>
      </c>
    </row>
    <row r="83">
      <c r="A83" s="43" t="inlineStr">
        <is>
          <t>ROUND LAB STICK POUCH KIT</t>
        </is>
      </c>
      <c r="B83" s="44" t="n">
        <v>300</v>
      </c>
      <c r="C83" s="45" t="n"/>
      <c r="D83" s="15" t="n">
        <v>2300</v>
      </c>
      <c r="E83" s="15" t="n">
        <v>50</v>
      </c>
      <c r="F83" s="15" t="n">
        <v>10</v>
      </c>
      <c r="G83" s="15" t="n">
        <v>2100</v>
      </c>
      <c r="H83" s="16" t="n">
        <v>0.45</v>
      </c>
      <c r="I83" s="17">
        <f>G83*(1-H83)</f>
        <v/>
      </c>
      <c r="J83" s="18" t="n">
        <v>378</v>
      </c>
      <c r="K83" s="19" t="inlineStr">
        <is>
          <t>=</t>
        </is>
      </c>
      <c r="L83" s="20">
        <f>J83+K83</f>
        <v/>
      </c>
      <c r="M83" s="21" t="n">
        <v>0.41</v>
      </c>
      <c r="N83" s="22">
        <f>G83*M83</f>
        <v/>
      </c>
      <c r="O83" s="23" t="n">
        <v>74</v>
      </c>
      <c r="P83" s="22">
        <f>G83*</f>
        <v/>
      </c>
      <c r="Q83" s="23" t="n">
        <v>25</v>
      </c>
      <c r="R83" s="22">
        <f>G83*</f>
        <v/>
      </c>
      <c r="S83" s="22">
        <f>I83*</f>
        <v/>
      </c>
      <c r="T83" s="24" t="n">
        <v>0.9</v>
      </c>
      <c r="U83" s="23" t="n">
        <v>74</v>
      </c>
      <c r="V83" s="22">
        <f>U83*(1-T83)</f>
        <v/>
      </c>
      <c r="W83" s="25" t="n">
        <v>1.28</v>
      </c>
      <c r="X83" s="22">
        <f>**W83</f>
        <v/>
      </c>
      <c r="Y83" s="20">
        <f>W83*(+0)</f>
        <v/>
      </c>
      <c r="Z83" s="21" t="n">
        <v>0.07000000000000001</v>
      </c>
      <c r="AA83" s="22">
        <f>G83*Z83</f>
        <v/>
      </c>
      <c r="AB83" s="24" t="n">
        <v>0.08</v>
      </c>
      <c r="AC83" s="22">
        <f>G83*AB83</f>
        <v/>
      </c>
      <c r="AD83" s="22">
        <f>AA83+AC83</f>
        <v/>
      </c>
      <c r="AE83" s="26">
        <f>AD83/G83</f>
        <v/>
      </c>
      <c r="AF83" s="27">
        <f>G83-N83-O83-P83-Q83-R83-S83-V83-X83-Y83-L83</f>
        <v/>
      </c>
      <c r="AG83" s="28">
        <f>AF83-AD83</f>
        <v/>
      </c>
      <c r="AH83" s="29">
        <f>AG83/G83</f>
        <v/>
      </c>
      <c r="AI83" s="30">
        <f>AG83/L83</f>
        <v/>
      </c>
      <c r="AJ83" s="22">
        <f>(O83+Q83+V83+X83+Y83+L83)/(1-(M83++(1-H83)*++Z83+AB83))</f>
        <v/>
      </c>
    </row>
    <row r="84">
      <c r="A84" s="12" t="inlineStr">
        <is>
          <t>Celimax Dual Barrier Creamy Toner</t>
        </is>
      </c>
      <c r="B84" s="13" t="n"/>
      <c r="C84" s="14" t="n"/>
      <c r="D84" s="15" t="n">
        <v>2600</v>
      </c>
      <c r="E84" s="15" t="n">
        <v>5500</v>
      </c>
      <c r="F84" s="15" t="inlineStr">
        <is>
          <t>10-15</t>
        </is>
      </c>
      <c r="G84" s="15" t="n">
        <v>2450</v>
      </c>
      <c r="H84" s="16" t="n">
        <v>0.45</v>
      </c>
      <c r="I84" s="17">
        <f>G84*(1-H84)</f>
        <v/>
      </c>
      <c r="J84" s="18" t="n">
        <v>663.86</v>
      </c>
      <c r="K84" s="19" t="inlineStr">
        <is>
          <t>=</t>
        </is>
      </c>
      <c r="L84" s="20">
        <f>J84+K84</f>
        <v/>
      </c>
      <c r="M84" s="21" t="n">
        <v>0.41</v>
      </c>
      <c r="N84" s="22">
        <f>G84*M84</f>
        <v/>
      </c>
      <c r="O84" s="23" t="n">
        <v>67</v>
      </c>
      <c r="P84" s="22">
        <f>G84*</f>
        <v/>
      </c>
      <c r="Q84" s="23" t="n">
        <v>25</v>
      </c>
      <c r="R84" s="22">
        <f>G84*</f>
        <v/>
      </c>
      <c r="S84" s="22">
        <f>I84*</f>
        <v/>
      </c>
      <c r="T84" s="24" t="n">
        <v>0.9</v>
      </c>
      <c r="U84" s="23" t="n">
        <v>67</v>
      </c>
      <c r="V84" s="22">
        <f>U84*(1-T84)</f>
        <v/>
      </c>
      <c r="W84" s="25" t="n">
        <v>0.735</v>
      </c>
      <c r="X84" s="22">
        <f>**W84</f>
        <v/>
      </c>
      <c r="Y84" s="20">
        <f>W84*(+0)</f>
        <v/>
      </c>
      <c r="Z84" s="21" t="n">
        <v>0.07000000000000001</v>
      </c>
      <c r="AA84" s="22">
        <f>G84*Z84</f>
        <v/>
      </c>
      <c r="AB84" s="24" t="n">
        <v>0.08</v>
      </c>
      <c r="AC84" s="22">
        <f>G84*AB84</f>
        <v/>
      </c>
      <c r="AD84" s="22">
        <f>AA84+AC84</f>
        <v/>
      </c>
      <c r="AE84" s="26">
        <f>AD84/G84</f>
        <v/>
      </c>
      <c r="AF84" s="27">
        <f>G84-N84-O84-P84-Q84-R84-S84-V84-X84-Y84-L84</f>
        <v/>
      </c>
      <c r="AG84" s="28">
        <f>AF84-AD84</f>
        <v/>
      </c>
      <c r="AH84" s="29">
        <f>AG84/G84</f>
        <v/>
      </c>
      <c r="AI84" s="30">
        <f>AG84/L84</f>
        <v/>
      </c>
      <c r="AJ84" s="22">
        <f>(O84+Q84+V84+X84+Y84+L84)/(1-(M84++(1-H84)*++Z84+AB84))</f>
        <v/>
      </c>
    </row>
    <row r="85">
      <c r="A85" s="12" t="inlineStr">
        <is>
          <t>CELIMAX THE VITA-A RETINAL SHOT TIGHTENING BOOSTER [15ml]/Подтягивающий бустер-крем с ретинолом для лица</t>
        </is>
      </c>
      <c r="B85" s="42" t="n"/>
      <c r="C85" s="14" t="n"/>
      <c r="D85" s="15" t="n">
        <v>2250</v>
      </c>
      <c r="E85" s="15" t="n">
        <v>3000</v>
      </c>
      <c r="F85" s="15" t="n">
        <v>13</v>
      </c>
      <c r="G85" s="15" t="n">
        <v>2150</v>
      </c>
      <c r="H85" s="16" t="n">
        <v>0.45</v>
      </c>
      <c r="I85" s="17">
        <f>G85*(1-H85)</f>
        <v/>
      </c>
      <c r="J85" s="18" t="n">
        <v>512.1799999999999</v>
      </c>
      <c r="K85" s="19" t="inlineStr">
        <is>
          <t>=</t>
        </is>
      </c>
      <c r="L85" s="20">
        <f>J85+K85</f>
        <v/>
      </c>
      <c r="M85" s="21" t="n">
        <v>0.41</v>
      </c>
      <c r="N85" s="22">
        <f>G85*M85</f>
        <v/>
      </c>
      <c r="O85" s="23" t="n">
        <v>56</v>
      </c>
      <c r="P85" s="22">
        <f>G85*</f>
        <v/>
      </c>
      <c r="Q85" s="23" t="n">
        <v>25</v>
      </c>
      <c r="R85" s="22">
        <f>G85*</f>
        <v/>
      </c>
      <c r="S85" s="22">
        <f>I85*</f>
        <v/>
      </c>
      <c r="T85" s="24" t="n">
        <v>0.9</v>
      </c>
      <c r="U85" s="23" t="n">
        <v>56</v>
      </c>
      <c r="V85" s="22">
        <f>U85*(1-T85)</f>
        <v/>
      </c>
      <c r="W85" s="25" t="n">
        <v>0.18</v>
      </c>
      <c r="X85" s="22">
        <f>**W85</f>
        <v/>
      </c>
      <c r="Y85" s="20">
        <f>W85*(+0)</f>
        <v/>
      </c>
      <c r="Z85" s="21" t="n">
        <v>0.07000000000000001</v>
      </c>
      <c r="AA85" s="22">
        <f>G85*Z85</f>
        <v/>
      </c>
      <c r="AB85" s="24" t="n">
        <v>0.08</v>
      </c>
      <c r="AC85" s="22">
        <f>G85*AB85</f>
        <v/>
      </c>
      <c r="AD85" s="22">
        <f>AA85+AC85</f>
        <v/>
      </c>
      <c r="AE85" s="26">
        <f>AD85/G85</f>
        <v/>
      </c>
      <c r="AF85" s="27">
        <f>G85-N85-O85-P85-Q85-R85-S85-V85-X85-Y85-L85</f>
        <v/>
      </c>
      <c r="AG85" s="28">
        <f>AF85-AD85</f>
        <v/>
      </c>
      <c r="AH85" s="29">
        <f>AG85/G85</f>
        <v/>
      </c>
      <c r="AI85" s="30">
        <f>AG85/L85</f>
        <v/>
      </c>
      <c r="AJ85" s="22">
        <f>(O85+Q85+V85+X85+Y85+L85)/(1-(M85++(1-H85)*++Z85+AB85))</f>
        <v/>
      </c>
    </row>
    <row r="86">
      <c r="A86" s="12" t="inlineStr">
        <is>
          <t>CELIMAX THE VITA-A RETINOL SHOT TIGHTENING SERUM [30ml]/Сыворотка с ретинолом и микроиглами для лица</t>
        </is>
      </c>
      <c r="B86" s="42" t="n"/>
      <c r="C86" s="14" t="inlineStr">
        <is>
          <t>-</t>
        </is>
      </c>
      <c r="D86" s="15" t="n">
        <v>2450</v>
      </c>
      <c r="E86" s="15" t="n">
        <v>3500</v>
      </c>
      <c r="F86" s="15" t="n">
        <v>10</v>
      </c>
      <c r="G86" s="15" t="n">
        <v>2350</v>
      </c>
      <c r="H86" s="16" t="n">
        <v>0.45</v>
      </c>
      <c r="I86" s="17">
        <f>G86*(1-H86)</f>
        <v/>
      </c>
      <c r="J86" s="18" t="n">
        <v>532.1</v>
      </c>
      <c r="K86" s="19" t="inlineStr">
        <is>
          <t>=</t>
        </is>
      </c>
      <c r="L86" s="20">
        <f>J86+K86</f>
        <v/>
      </c>
      <c r="M86" s="21" t="n">
        <v>0.41</v>
      </c>
      <c r="N86" s="22">
        <f>G86*M86</f>
        <v/>
      </c>
      <c r="O86" s="23" t="n">
        <v>63</v>
      </c>
      <c r="P86" s="22">
        <f>G86*</f>
        <v/>
      </c>
      <c r="Q86" s="23" t="n">
        <v>25</v>
      </c>
      <c r="R86" s="22">
        <f>G86*</f>
        <v/>
      </c>
      <c r="S86" s="22">
        <f>I86*</f>
        <v/>
      </c>
      <c r="T86" s="24" t="n">
        <v>0.9</v>
      </c>
      <c r="U86" s="23" t="n">
        <v>63</v>
      </c>
      <c r="V86" s="22">
        <f>U86*(1-T86)</f>
        <v/>
      </c>
      <c r="W86" s="25" t="n">
        <v>0.38</v>
      </c>
      <c r="X86" s="22">
        <f>**W86</f>
        <v/>
      </c>
      <c r="Y86" s="20">
        <f>W86*(+0)</f>
        <v/>
      </c>
      <c r="Z86" s="21" t="n">
        <v>0.07000000000000001</v>
      </c>
      <c r="AA86" s="22">
        <f>G86*Z86</f>
        <v/>
      </c>
      <c r="AB86" s="24" t="n">
        <v>0.08</v>
      </c>
      <c r="AC86" s="22">
        <f>G86*AB86</f>
        <v/>
      </c>
      <c r="AD86" s="22">
        <f>AA86+AC86</f>
        <v/>
      </c>
      <c r="AE86" s="26">
        <f>AD86/G86</f>
        <v/>
      </c>
      <c r="AF86" s="27">
        <f>G86-N86-O86-P86-Q86-R86-S86-V86-X86-Y86-L86</f>
        <v/>
      </c>
      <c r="AG86" s="28">
        <f>AF86-AD86</f>
        <v/>
      </c>
      <c r="AH86" s="29">
        <f>AG86/G86</f>
        <v/>
      </c>
      <c r="AI86" s="30">
        <f>AG86/L86</f>
        <v/>
      </c>
      <c r="AJ86" s="22">
        <f>(O86+Q86+V86+X86+Y86+L86)/(1-(M86++(1-H86)*++Z86+AB86))</f>
        <v/>
      </c>
    </row>
    <row r="87">
      <c r="A87" s="43" t="inlineStr">
        <is>
          <t>CELIMAX DUAL BARRIER TRIAL KIT</t>
        </is>
      </c>
      <c r="B87" s="44" t="n">
        <v>448</v>
      </c>
      <c r="C87" s="14" t="n"/>
      <c r="D87" s="15" t="n">
        <v>2027</v>
      </c>
      <c r="E87" s="15" t="n">
        <v>1150</v>
      </c>
      <c r="F87" s="15" t="n">
        <v>12</v>
      </c>
      <c r="G87" s="15" t="n">
        <v>1850</v>
      </c>
      <c r="H87" s="16" t="n">
        <v>0.45</v>
      </c>
      <c r="I87" s="17">
        <f>G87*(1-H87)</f>
        <v/>
      </c>
      <c r="J87" s="18" t="n">
        <v>343</v>
      </c>
      <c r="K87" s="19" t="inlineStr">
        <is>
          <t>=</t>
        </is>
      </c>
      <c r="L87" s="20">
        <f>J87+K87</f>
        <v/>
      </c>
      <c r="M87" s="21" t="n">
        <v>0.41</v>
      </c>
      <c r="N87" s="22">
        <f>G87*M87</f>
        <v/>
      </c>
      <c r="O87" s="23" t="n">
        <v>67</v>
      </c>
      <c r="P87" s="22">
        <f>G87*</f>
        <v/>
      </c>
      <c r="Q87" s="23" t="n">
        <v>25</v>
      </c>
      <c r="R87" s="22">
        <f>G87*</f>
        <v/>
      </c>
      <c r="S87" s="22">
        <f>I87*</f>
        <v/>
      </c>
      <c r="T87" s="24" t="n">
        <v>0.9</v>
      </c>
      <c r="U87" s="23" t="n">
        <v>67</v>
      </c>
      <c r="V87" s="22">
        <f>U87*(1-T87)</f>
        <v/>
      </c>
      <c r="W87" s="25" t="n">
        <v>0.96</v>
      </c>
      <c r="X87" s="22">
        <f>**W87</f>
        <v/>
      </c>
      <c r="Y87" s="20">
        <f>W87*(+0)</f>
        <v/>
      </c>
      <c r="Z87" s="21" t="n">
        <v>0.07000000000000001</v>
      </c>
      <c r="AA87" s="22">
        <f>G87*Z87</f>
        <v/>
      </c>
      <c r="AB87" s="24" t="n">
        <v>0.08</v>
      </c>
      <c r="AC87" s="22">
        <f>G87*AB87</f>
        <v/>
      </c>
      <c r="AD87" s="22">
        <f>AA87+AC87</f>
        <v/>
      </c>
      <c r="AE87" s="26">
        <f>AD87/G87</f>
        <v/>
      </c>
      <c r="AF87" s="27">
        <f>G87-N87-O87-P87-Q87-R87-S87-V87-X87-Y87-L87</f>
        <v/>
      </c>
      <c r="AG87" s="28">
        <f>AF87-AD87</f>
        <v/>
      </c>
      <c r="AH87" s="29">
        <f>AG87/G87</f>
        <v/>
      </c>
      <c r="AI87" s="30">
        <f>AG87/L87</f>
        <v/>
      </c>
      <c r="AJ87" s="22">
        <f>(O87+Q87+V87+X87+Y87+L87)/(1-(M87++(1-H87)*++Z87+AB87))</f>
        <v/>
      </c>
    </row>
    <row r="88">
      <c r="A88" s="43" t="inlineStr">
        <is>
          <t>CELIMAX THE REAL NONI STARTER KIT</t>
        </is>
      </c>
      <c r="B88" s="44" t="n">
        <v>480</v>
      </c>
      <c r="C88" s="14" t="n"/>
      <c r="D88" s="15" t="n">
        <v>2340</v>
      </c>
      <c r="E88" s="15" t="n">
        <v>1000</v>
      </c>
      <c r="F88" s="15" t="n">
        <v>12</v>
      </c>
      <c r="G88" s="15" t="n">
        <v>2140</v>
      </c>
      <c r="H88" s="16" t="n">
        <v>0.45</v>
      </c>
      <c r="I88" s="17">
        <f>G88*(1-H88)</f>
        <v/>
      </c>
      <c r="J88" s="18" t="n">
        <v>483</v>
      </c>
      <c r="K88" s="19" t="inlineStr">
        <is>
          <t>=</t>
        </is>
      </c>
      <c r="L88" s="20">
        <f>J88+K88</f>
        <v/>
      </c>
      <c r="M88" s="21" t="n">
        <v>0.41</v>
      </c>
      <c r="N88" s="22">
        <f>G88*M88</f>
        <v/>
      </c>
      <c r="O88" s="23" t="n">
        <v>67</v>
      </c>
      <c r="P88" s="22">
        <f>G88*</f>
        <v/>
      </c>
      <c r="Q88" s="23" t="n">
        <v>25</v>
      </c>
      <c r="R88" s="22">
        <f>G88*</f>
        <v/>
      </c>
      <c r="S88" s="22">
        <f>I88*</f>
        <v/>
      </c>
      <c r="T88" s="24" t="n">
        <v>0.9</v>
      </c>
      <c r="U88" s="23" t="n">
        <v>67</v>
      </c>
      <c r="V88" s="22">
        <f>U88*(1-T88)</f>
        <v/>
      </c>
      <c r="W88" s="25" t="n">
        <v>0.96</v>
      </c>
      <c r="X88" s="22">
        <f>**W88</f>
        <v/>
      </c>
      <c r="Y88" s="20">
        <f>W88*(+0)</f>
        <v/>
      </c>
      <c r="Z88" s="21" t="n">
        <v>0.07000000000000001</v>
      </c>
      <c r="AA88" s="22">
        <f>G88*Z88</f>
        <v/>
      </c>
      <c r="AB88" s="24" t="n">
        <v>0.08</v>
      </c>
      <c r="AC88" s="22">
        <f>G88*AB88</f>
        <v/>
      </c>
      <c r="AD88" s="22">
        <f>AA88+AC88</f>
        <v/>
      </c>
      <c r="AE88" s="26">
        <f>AD88/G88</f>
        <v/>
      </c>
      <c r="AF88" s="27">
        <f>G88-N88-O88-P88-Q88-R88-S88-V88-X88-Y88-L88</f>
        <v/>
      </c>
      <c r="AG88" s="28">
        <f>AF88-AD88</f>
        <v/>
      </c>
      <c r="AH88" s="29">
        <f>AG88/G88</f>
        <v/>
      </c>
      <c r="AI88" s="30">
        <f>AG88/L88</f>
        <v/>
      </c>
      <c r="AJ88" s="22">
        <f>(O88+Q88+V88+X88+Y88+L88)/(1-(M88++(1-H88)*++Z88+AB88))</f>
        <v/>
      </c>
    </row>
    <row r="89">
      <c r="A89" s="12" t="inlineStr">
        <is>
          <t>CELIMAX JI WOO GAE CICA BHA BLEMISH TONER PAD_10EA [30ml]/успокаивающие тонер-пэды</t>
        </is>
      </c>
      <c r="B89" s="42" t="n"/>
      <c r="C89" s="14" t="n"/>
      <c r="D89" s="15" t="n">
        <v>775</v>
      </c>
      <c r="E89" s="15" t="inlineStr">
        <is>
          <t>2 740</t>
        </is>
      </c>
      <c r="F89" s="15" t="n">
        <v>11</v>
      </c>
      <c r="G89" s="15" t="n">
        <v>745</v>
      </c>
      <c r="H89" s="16" t="n">
        <v>0.45</v>
      </c>
      <c r="I89" s="17">
        <f>G89*(1-H89)</f>
        <v/>
      </c>
      <c r="J89" s="18" t="n">
        <v>96.94</v>
      </c>
      <c r="K89" s="19" t="inlineStr">
        <is>
          <t>=</t>
        </is>
      </c>
      <c r="L89" s="20">
        <f>J89+K89</f>
        <v/>
      </c>
      <c r="M89" s="21" t="n">
        <v>0.41</v>
      </c>
      <c r="N89" s="22">
        <f>G89*M89</f>
        <v/>
      </c>
      <c r="O89" s="23" t="n">
        <v>56</v>
      </c>
      <c r="P89" s="22">
        <f>G89*</f>
        <v/>
      </c>
      <c r="Q89" s="23" t="n">
        <v>25</v>
      </c>
      <c r="R89" s="22">
        <f>G89*</f>
        <v/>
      </c>
      <c r="S89" s="22">
        <f>I89*</f>
        <v/>
      </c>
      <c r="T89" s="24" t="n">
        <v>0.9</v>
      </c>
      <c r="U89" s="23" t="n">
        <v>56</v>
      </c>
      <c r="V89" s="22">
        <f>U89*(1-T89)</f>
        <v/>
      </c>
      <c r="W89" s="25" t="n">
        <v>0.14</v>
      </c>
      <c r="X89" s="22">
        <f>**W89</f>
        <v/>
      </c>
      <c r="Y89" s="20">
        <f>W89*(+0)</f>
        <v/>
      </c>
      <c r="Z89" s="21" t="n">
        <v>0.07000000000000001</v>
      </c>
      <c r="AA89" s="22">
        <f>G89*Z89</f>
        <v/>
      </c>
      <c r="AB89" s="24" t="n">
        <v>0.08</v>
      </c>
      <c r="AC89" s="22">
        <f>G89*AB89</f>
        <v/>
      </c>
      <c r="AD89" s="22">
        <f>AA89+AC89</f>
        <v/>
      </c>
      <c r="AE89" s="26">
        <f>AD89/G89</f>
        <v/>
      </c>
      <c r="AF89" s="27">
        <f>G89-N89-O89-P89-Q89-R89-S89-V89-X89-Y89-L89</f>
        <v/>
      </c>
      <c r="AG89" s="28">
        <f>AF89-AD89</f>
        <v/>
      </c>
      <c r="AH89" s="29">
        <f>AG89/G89</f>
        <v/>
      </c>
      <c r="AI89" s="30">
        <f>AG89/L89</f>
        <v/>
      </c>
      <c r="AJ89" s="22">
        <f>(O89+Q89+V89+X89+Y89+L89)/(1-(M89++(1-H89)*++Z89+AB89))</f>
        <v/>
      </c>
    </row>
    <row r="90">
      <c r="A90" s="12" t="inlineStr">
        <is>
          <t>CELIMAX JI WOO GAE CICA BHA BLEMISH TONER PAD [170ml / 60pads]/Тонер-пэды от воспалений</t>
        </is>
      </c>
      <c r="B90" s="42" t="n"/>
      <c r="C90" s="14" t="n"/>
      <c r="D90" s="15" t="n">
        <v>3450</v>
      </c>
      <c r="E90" s="15" t="inlineStr">
        <is>
          <t>1 820</t>
        </is>
      </c>
      <c r="F90" s="15" t="n">
        <v>11</v>
      </c>
      <c r="G90" s="15" t="n">
        <v>3150</v>
      </c>
      <c r="H90" s="16" t="n">
        <v>0.45</v>
      </c>
      <c r="I90" s="17">
        <f>G90*(1-H90)</f>
        <v/>
      </c>
      <c r="J90" s="18" t="n">
        <v>707.88</v>
      </c>
      <c r="K90" s="19" t="inlineStr">
        <is>
          <t>=</t>
        </is>
      </c>
      <c r="L90" s="20">
        <f>J90+K90</f>
        <v/>
      </c>
      <c r="M90" s="21" t="n">
        <v>0.41</v>
      </c>
      <c r="N90" s="22">
        <f>G90*M90</f>
        <v/>
      </c>
      <c r="O90" s="23" t="n">
        <v>67</v>
      </c>
      <c r="P90" s="22">
        <f>G90*</f>
        <v/>
      </c>
      <c r="Q90" s="23" t="n">
        <v>25</v>
      </c>
      <c r="R90" s="22">
        <f>G90*</f>
        <v/>
      </c>
      <c r="S90" s="22">
        <f>I90*</f>
        <v/>
      </c>
      <c r="T90" s="24" t="n">
        <v>0.9</v>
      </c>
      <c r="U90" s="23" t="n">
        <v>67</v>
      </c>
      <c r="V90" s="22">
        <f>U90*(1-T90)</f>
        <v/>
      </c>
      <c r="W90" s="25" t="n">
        <v>0.96</v>
      </c>
      <c r="X90" s="22">
        <f>**W90</f>
        <v/>
      </c>
      <c r="Y90" s="20">
        <f>W90*(+0)</f>
        <v/>
      </c>
      <c r="Z90" s="21" t="n">
        <v>0.07000000000000001</v>
      </c>
      <c r="AA90" s="22">
        <f>G90*Z90</f>
        <v/>
      </c>
      <c r="AB90" s="24" t="n">
        <v>0.08</v>
      </c>
      <c r="AC90" s="22">
        <f>G90*AB90</f>
        <v/>
      </c>
      <c r="AD90" s="22">
        <f>AA90+AC90</f>
        <v/>
      </c>
      <c r="AE90" s="26">
        <f>AD90/G90</f>
        <v/>
      </c>
      <c r="AF90" s="27">
        <f>G90-N90-O90-P90-Q90-R90-S90-V90-X90-Y90-L90</f>
        <v/>
      </c>
      <c r="AG90" s="28">
        <f>AF90-AD90</f>
        <v/>
      </c>
      <c r="AH90" s="29">
        <f>AG90/G90</f>
        <v/>
      </c>
      <c r="AI90" s="30">
        <f>AG90/L90</f>
        <v/>
      </c>
      <c r="AJ90" s="22">
        <f>(O90+Q90+V90+X90+Y90+L90)/(1-(M90++(1-H90)*++Z90+AB90))</f>
        <v/>
      </c>
    </row>
    <row r="91">
      <c r="A91" s="12" t="inlineStr">
        <is>
          <t>CELIMAX PORE+DARK SPOT BRIGHTENING PAD [100ml / 40pads]/Тонер-пэды для выравнивания тона и рельефа кожи</t>
        </is>
      </c>
      <c r="B91" s="42" t="n"/>
      <c r="C91" s="14" t="n"/>
      <c r="D91" s="15" t="n">
        <v>2880</v>
      </c>
      <c r="E91" s="15" t="inlineStr">
        <is>
          <t>1 640</t>
        </is>
      </c>
      <c r="F91" s="15" t="n">
        <v>21</v>
      </c>
      <c r="G91" s="15" t="n">
        <v>2580</v>
      </c>
      <c r="H91" s="16" t="n">
        <v>0.45</v>
      </c>
      <c r="I91" s="17">
        <f>G91*(1-H91)</f>
        <v/>
      </c>
      <c r="J91" s="18" t="n">
        <v>556.1799999999999</v>
      </c>
      <c r="K91" s="19" t="inlineStr">
        <is>
          <t>=</t>
        </is>
      </c>
      <c r="L91" s="20">
        <f>J91+K91</f>
        <v/>
      </c>
      <c r="M91" s="21" t="n">
        <v>0.41</v>
      </c>
      <c r="N91" s="22">
        <f>G91*M91</f>
        <v/>
      </c>
      <c r="O91" s="23" t="n">
        <v>67</v>
      </c>
      <c r="P91" s="22">
        <f>G91*</f>
        <v/>
      </c>
      <c r="Q91" s="23" t="n">
        <v>25</v>
      </c>
      <c r="R91" s="22">
        <f>G91*</f>
        <v/>
      </c>
      <c r="S91" s="22">
        <f>I91*</f>
        <v/>
      </c>
      <c r="T91" s="24" t="n">
        <v>0.9</v>
      </c>
      <c r="U91" s="23" t="n">
        <v>67</v>
      </c>
      <c r="V91" s="22">
        <f>U91*(1-T91)</f>
        <v/>
      </c>
      <c r="W91" s="25" t="n">
        <v>0.57</v>
      </c>
      <c r="X91" s="22">
        <f>**W91</f>
        <v/>
      </c>
      <c r="Y91" s="20">
        <f>W91*(+0)</f>
        <v/>
      </c>
      <c r="Z91" s="21" t="n">
        <v>0.07000000000000001</v>
      </c>
      <c r="AA91" s="22">
        <f>G91*Z91</f>
        <v/>
      </c>
      <c r="AB91" s="24" t="n">
        <v>0.08</v>
      </c>
      <c r="AC91" s="22">
        <f>G91*AB91</f>
        <v/>
      </c>
      <c r="AD91" s="22">
        <f>AA91+AC91</f>
        <v/>
      </c>
      <c r="AE91" s="26">
        <f>AD91/G91</f>
        <v/>
      </c>
      <c r="AF91" s="27">
        <f>G91-N91-O91-P91-Q91-R91-S91-V91-X91-Y91-L91</f>
        <v/>
      </c>
      <c r="AG91" s="28">
        <f>AF91-AD91</f>
        <v/>
      </c>
      <c r="AH91" s="29">
        <f>AG91/G91</f>
        <v/>
      </c>
      <c r="AI91" s="30">
        <f>AG91/L91</f>
        <v/>
      </c>
      <c r="AJ91" s="22">
        <f>(O91+Q91+V91+X91+Y91+L91)/(1-(M91++(1-H91)*++Z91+AB91))</f>
        <v/>
      </c>
    </row>
    <row r="92">
      <c r="A92" s="43" t="inlineStr">
        <is>
          <t>CELIMAX JI WOO GAE HEARTLEAF BHA PEELING PAD 60PADS</t>
        </is>
      </c>
      <c r="B92" s="44" t="n">
        <v>1200</v>
      </c>
      <c r="C92" s="14" t="n"/>
      <c r="D92" s="15" t="n">
        <v>2870</v>
      </c>
      <c r="E92" s="15" t="n">
        <v>1100</v>
      </c>
      <c r="F92" s="15" t="n">
        <v>10</v>
      </c>
      <c r="G92" s="15" t="n">
        <v>2670</v>
      </c>
      <c r="H92" s="16" t="n">
        <v>0.45</v>
      </c>
      <c r="I92" s="17">
        <f>G92*(1-H92)</f>
        <v/>
      </c>
      <c r="J92" s="18" t="n">
        <v>467</v>
      </c>
      <c r="K92" s="19" t="inlineStr">
        <is>
          <t>=</t>
        </is>
      </c>
      <c r="L92" s="20">
        <f>J92+K92</f>
        <v/>
      </c>
      <c r="M92" s="21" t="n">
        <v>0.41</v>
      </c>
      <c r="N92" s="22">
        <f>G92*M92</f>
        <v/>
      </c>
      <c r="O92" s="23" t="n">
        <v>67</v>
      </c>
      <c r="P92" s="22">
        <f>G92*</f>
        <v/>
      </c>
      <c r="Q92" s="23" t="n">
        <v>25</v>
      </c>
      <c r="R92" s="22">
        <f>G92*</f>
        <v/>
      </c>
      <c r="S92" s="22">
        <f>I92*</f>
        <v/>
      </c>
      <c r="T92" s="24" t="n">
        <v>0.9</v>
      </c>
      <c r="U92" s="23" t="n">
        <v>67</v>
      </c>
      <c r="V92" s="22">
        <f>U92*(1-T92)</f>
        <v/>
      </c>
      <c r="W92" s="25" t="n">
        <v>0.96</v>
      </c>
      <c r="X92" s="22">
        <f>**W92</f>
        <v/>
      </c>
      <c r="Y92" s="20">
        <f>W92*(+0)</f>
        <v/>
      </c>
      <c r="Z92" s="21" t="n">
        <v>0.07000000000000001</v>
      </c>
      <c r="AA92" s="22">
        <f>G92*Z92</f>
        <v/>
      </c>
      <c r="AB92" s="24" t="n">
        <v>0.08</v>
      </c>
      <c r="AC92" s="22">
        <f>G92*AB92</f>
        <v/>
      </c>
      <c r="AD92" s="22">
        <f>AA92+AC92</f>
        <v/>
      </c>
      <c r="AE92" s="26">
        <f>AD92/G92</f>
        <v/>
      </c>
      <c r="AF92" s="27">
        <f>G92-N92-O92-P92-Q92-R92-S92-V92-X92-Y92-L92</f>
        <v/>
      </c>
      <c r="AG92" s="28">
        <f>AF92-AD92</f>
        <v/>
      </c>
      <c r="AH92" s="29">
        <f>AG92/G92</f>
        <v/>
      </c>
      <c r="AI92" s="30">
        <f>AG92/L92</f>
        <v/>
      </c>
      <c r="AJ92" s="22">
        <f>(O92+Q92+V92+X92+Y92+L92)/(1-(M92++(1-H92)*++Z92+AB92))</f>
        <v/>
      </c>
    </row>
    <row r="93">
      <c r="A93" s="43" t="inlineStr">
        <is>
          <t>CELIMAX THE REAL NONI ACNE BUBBLE CLEANSER 155ML</t>
        </is>
      </c>
      <c r="B93" s="44" t="n">
        <v>312</v>
      </c>
      <c r="C93" s="14" t="n"/>
      <c r="D93" s="15" t="n">
        <v>3150</v>
      </c>
      <c r="E93" s="15" t="n">
        <v>500</v>
      </c>
      <c r="F93" s="15" t="n">
        <v>10</v>
      </c>
      <c r="G93" s="15" t="n">
        <v>2850</v>
      </c>
      <c r="H93" s="16" t="n">
        <v>0.45</v>
      </c>
      <c r="I93" s="17">
        <f>G93*(1-H93)</f>
        <v/>
      </c>
      <c r="J93" s="18" t="n">
        <v>417</v>
      </c>
      <c r="K93" s="19" t="inlineStr">
        <is>
          <t>=</t>
        </is>
      </c>
      <c r="L93" s="20">
        <f>J93+K93</f>
        <v/>
      </c>
      <c r="M93" s="21" t="n">
        <v>0.41</v>
      </c>
      <c r="N93" s="22">
        <f>G93*M93</f>
        <v/>
      </c>
      <c r="O93" s="23" t="n">
        <v>67</v>
      </c>
      <c r="P93" s="22">
        <f>G93*</f>
        <v/>
      </c>
      <c r="Q93" s="23" t="n">
        <v>25</v>
      </c>
      <c r="R93" s="22">
        <f>G93*</f>
        <v/>
      </c>
      <c r="S93" s="22">
        <f>I93*</f>
        <v/>
      </c>
      <c r="T93" s="24" t="n">
        <v>0.9</v>
      </c>
      <c r="U93" s="23" t="n">
        <v>67</v>
      </c>
      <c r="V93" s="22">
        <f>U93*(1-T93)</f>
        <v/>
      </c>
      <c r="W93" s="25" t="n">
        <v>0.96</v>
      </c>
      <c r="X93" s="22">
        <f>**W93</f>
        <v/>
      </c>
      <c r="Y93" s="20">
        <f>W93*(+0)</f>
        <v/>
      </c>
      <c r="Z93" s="21" t="n">
        <v>0.07000000000000001</v>
      </c>
      <c r="AA93" s="22">
        <f>G93*Z93</f>
        <v/>
      </c>
      <c r="AB93" s="24" t="n">
        <v>0.08</v>
      </c>
      <c r="AC93" s="22">
        <f>G93*AB93</f>
        <v/>
      </c>
      <c r="AD93" s="22">
        <f>AA93+AC93</f>
        <v/>
      </c>
      <c r="AE93" s="26">
        <f>AD93/G93</f>
        <v/>
      </c>
      <c r="AF93" s="27">
        <f>G93-N93-O93-P93-Q93-R93-S93-V93-X93-Y93-L93</f>
        <v/>
      </c>
      <c r="AG93" s="28">
        <f>AF93-AD93</f>
        <v/>
      </c>
      <c r="AH93" s="29">
        <f>AG93/G93</f>
        <v/>
      </c>
      <c r="AI93" s="30">
        <f>AG93/L93</f>
        <v/>
      </c>
      <c r="AJ93" s="22">
        <f>(O93+Q93+V93+X93+Y93+L93)/(1-(M93++(1-H93)*++Z93+AB93))</f>
        <v/>
      </c>
    </row>
    <row r="94">
      <c r="A94" s="43" t="inlineStr">
        <is>
          <t>CELIMAX DERMA NATURE FRESH BLACKHEAD JOJOBA CLEANSING OIL 150ML</t>
        </is>
      </c>
      <c r="B94" s="44" t="n">
        <v>315</v>
      </c>
      <c r="C94" s="14" t="n"/>
      <c r="D94" s="15" t="n">
        <v>2720</v>
      </c>
      <c r="E94" s="15" t="n">
        <v>500</v>
      </c>
      <c r="F94" s="15" t="n">
        <v>15</v>
      </c>
      <c r="G94" s="15" t="n">
        <v>2520</v>
      </c>
      <c r="H94" s="16" t="n">
        <v>0.45</v>
      </c>
      <c r="I94" s="17">
        <f>G94*(1-H94)</f>
        <v/>
      </c>
      <c r="J94" s="18" t="n">
        <v>452</v>
      </c>
      <c r="K94" s="19" t="inlineStr">
        <is>
          <t>=</t>
        </is>
      </c>
      <c r="L94" s="20">
        <f>J94+K94</f>
        <v/>
      </c>
      <c r="M94" s="21" t="n">
        <v>0.41</v>
      </c>
      <c r="N94" s="22">
        <f>G94*M94</f>
        <v/>
      </c>
      <c r="O94" s="23" t="n">
        <v>67</v>
      </c>
      <c r="P94" s="22">
        <f>G94*</f>
        <v/>
      </c>
      <c r="Q94" s="23" t="n">
        <v>25</v>
      </c>
      <c r="R94" s="22">
        <f>G94*</f>
        <v/>
      </c>
      <c r="S94" s="22">
        <f>I94*</f>
        <v/>
      </c>
      <c r="T94" s="24" t="n">
        <v>0.9</v>
      </c>
      <c r="U94" s="23" t="n">
        <v>67</v>
      </c>
      <c r="V94" s="22">
        <f>U94*(1-T94)</f>
        <v/>
      </c>
      <c r="W94" s="25" t="n">
        <v>0.96</v>
      </c>
      <c r="X94" s="22">
        <f>**W94</f>
        <v/>
      </c>
      <c r="Y94" s="20">
        <f>W94*(+0)</f>
        <v/>
      </c>
      <c r="Z94" s="21" t="n">
        <v>0.07000000000000001</v>
      </c>
      <c r="AA94" s="22">
        <f>G94*Z94</f>
        <v/>
      </c>
      <c r="AB94" s="24" t="n">
        <v>0.08</v>
      </c>
      <c r="AC94" s="22">
        <f>G94*AB94</f>
        <v/>
      </c>
      <c r="AD94" s="22">
        <f>AA94+AC94</f>
        <v/>
      </c>
      <c r="AE94" s="26">
        <f>AD94/G94</f>
        <v/>
      </c>
      <c r="AF94" s="27">
        <f>G94-N94-O94-P94-Q94-R94-S94-V94-X94-Y94-L94</f>
        <v/>
      </c>
      <c r="AG94" s="28">
        <f>AF94-AD94</f>
        <v/>
      </c>
      <c r="AH94" s="29">
        <f>AG94/G94</f>
        <v/>
      </c>
      <c r="AI94" s="30">
        <f>AG94/L94</f>
        <v/>
      </c>
      <c r="AJ94" s="22">
        <f>(O94+Q94+V94+X94+Y94+L94)/(1-(M94++(1-H94)*++Z94+AB94))</f>
        <v/>
      </c>
    </row>
    <row r="95">
      <c r="A95" s="43" t="inlineStr">
        <is>
          <t>CELIMAX THE REAL NONI CALMING GLOW PAD 50EA</t>
        </is>
      </c>
      <c r="B95" s="44" t="n">
        <v>984</v>
      </c>
      <c r="C95" s="14" t="n"/>
      <c r="D95" s="15" t="n">
        <v>3500</v>
      </c>
      <c r="E95" s="15" t="n">
        <v>200</v>
      </c>
      <c r="F95" s="15" t="n">
        <v>15</v>
      </c>
      <c r="G95" s="15" t="n">
        <v>3250</v>
      </c>
      <c r="H95" s="16" t="n">
        <v>0.45</v>
      </c>
      <c r="I95" s="17">
        <f>G95*(1-H95)</f>
        <v/>
      </c>
      <c r="J95" s="18" t="n">
        <v>544</v>
      </c>
      <c r="K95" s="19" t="inlineStr">
        <is>
          <t>=</t>
        </is>
      </c>
      <c r="L95" s="20">
        <f>J95+K95</f>
        <v/>
      </c>
      <c r="M95" s="21" t="n">
        <v>0.41</v>
      </c>
      <c r="N95" s="22">
        <f>G95*M95</f>
        <v/>
      </c>
      <c r="O95" s="23" t="n">
        <v>67</v>
      </c>
      <c r="P95" s="22">
        <f>G95*</f>
        <v/>
      </c>
      <c r="Q95" s="23" t="n">
        <v>25</v>
      </c>
      <c r="R95" s="22">
        <f>G95*</f>
        <v/>
      </c>
      <c r="S95" s="22">
        <f>I95*</f>
        <v/>
      </c>
      <c r="T95" s="24" t="n">
        <v>0.9</v>
      </c>
      <c r="U95" s="23" t="n">
        <v>67</v>
      </c>
      <c r="V95" s="22">
        <f>U95*(1-T95)</f>
        <v/>
      </c>
      <c r="W95" s="25" t="n">
        <v>0.96</v>
      </c>
      <c r="X95" s="22">
        <f>**W95</f>
        <v/>
      </c>
      <c r="Y95" s="20">
        <f>W95*(+0)</f>
        <v/>
      </c>
      <c r="Z95" s="21" t="n">
        <v>0.07000000000000001</v>
      </c>
      <c r="AA95" s="22">
        <f>G95*Z95</f>
        <v/>
      </c>
      <c r="AB95" s="24" t="n">
        <v>0.08</v>
      </c>
      <c r="AC95" s="22">
        <f>G95*AB95</f>
        <v/>
      </c>
      <c r="AD95" s="22">
        <f>AA95+AC95</f>
        <v/>
      </c>
      <c r="AE95" s="26">
        <f>AD95/G95</f>
        <v/>
      </c>
      <c r="AF95" s="27">
        <f>G95-N95-O95-P95-Q95-R95-S95-V95-X95-Y95-L95</f>
        <v/>
      </c>
      <c r="AG95" s="28">
        <f>AF95-AD95</f>
        <v/>
      </c>
      <c r="AH95" s="29">
        <f>AG95/G95</f>
        <v/>
      </c>
      <c r="AI95" s="30">
        <f>AG95/L95</f>
        <v/>
      </c>
      <c r="AJ95" s="22">
        <f>(O95+Q95+V95+X95+Y95+L95)/(1-(M95++(1-H95)*++Z95+AB95))</f>
        <v/>
      </c>
    </row>
    <row r="96">
      <c r="A96" s="43" t="inlineStr">
        <is>
          <t>CELIMAX THE REAL CICA SOOTHING CREAM 50ML</t>
        </is>
      </c>
      <c r="B96" s="44" t="n">
        <v>1200</v>
      </c>
      <c r="C96" s="14" t="n"/>
      <c r="D96" s="15" t="n">
        <v>2770</v>
      </c>
      <c r="E96" s="15" t="n">
        <v>600</v>
      </c>
      <c r="F96" s="15" t="n">
        <v>15</v>
      </c>
      <c r="G96" s="15" t="n">
        <v>2570</v>
      </c>
      <c r="H96" s="16" t="n">
        <v>0.45</v>
      </c>
      <c r="I96" s="17">
        <f>G96*(1-H96)</f>
        <v/>
      </c>
      <c r="J96" s="18" t="n">
        <v>514</v>
      </c>
      <c r="K96" s="19" t="inlineStr">
        <is>
          <t>=</t>
        </is>
      </c>
      <c r="L96" s="20">
        <f>J96+K96</f>
        <v/>
      </c>
      <c r="M96" s="21" t="n">
        <v>0.41</v>
      </c>
      <c r="N96" s="22">
        <f>G96*M96</f>
        <v/>
      </c>
      <c r="O96" s="23" t="n">
        <v>67</v>
      </c>
      <c r="P96" s="22">
        <f>G96*</f>
        <v/>
      </c>
      <c r="Q96" s="23" t="n">
        <v>25</v>
      </c>
      <c r="R96" s="22">
        <f>G96*</f>
        <v/>
      </c>
      <c r="S96" s="22">
        <f>I96*</f>
        <v/>
      </c>
      <c r="T96" s="24" t="n">
        <v>0.9</v>
      </c>
      <c r="U96" s="23" t="n">
        <v>67</v>
      </c>
      <c r="V96" s="22">
        <f>U96*(1-T96)</f>
        <v/>
      </c>
      <c r="W96" s="25" t="n">
        <v>0.96</v>
      </c>
      <c r="X96" s="22">
        <f>**W96</f>
        <v/>
      </c>
      <c r="Y96" s="20">
        <f>W96*(+0)</f>
        <v/>
      </c>
      <c r="Z96" s="21" t="n">
        <v>0.07000000000000001</v>
      </c>
      <c r="AA96" s="22">
        <f>G96*Z96</f>
        <v/>
      </c>
      <c r="AB96" s="24" t="n">
        <v>0.08</v>
      </c>
      <c r="AC96" s="22">
        <f>G96*AB96</f>
        <v/>
      </c>
      <c r="AD96" s="22">
        <f>AA96+AC96</f>
        <v/>
      </c>
      <c r="AE96" s="26">
        <f>AD96/G96</f>
        <v/>
      </c>
      <c r="AF96" s="27">
        <f>G96-N96-O96-P96-Q96-R96-S96-V96-X96-Y96-L96</f>
        <v/>
      </c>
      <c r="AG96" s="28">
        <f>AF96-AD96</f>
        <v/>
      </c>
      <c r="AH96" s="29">
        <f>AG96/G96</f>
        <v/>
      </c>
      <c r="AI96" s="30">
        <f>AG96/L96</f>
        <v/>
      </c>
      <c r="AJ96" s="22">
        <f>(O96+Q96+V96+X96+Y96+L96)/(1-(M96++(1-H96)*++Z96+AB96))</f>
        <v/>
      </c>
    </row>
    <row r="97">
      <c r="A97" s="43" t="inlineStr">
        <is>
          <t>CELIMAX THE REAL CICA NIACINAMIDE AC CALMING SERUM 40ML</t>
        </is>
      </c>
      <c r="B97" s="44" t="n">
        <v>864</v>
      </c>
      <c r="C97" s="14" t="n"/>
      <c r="D97" s="15" t="n">
        <v>3250</v>
      </c>
      <c r="E97" s="15" t="n">
        <v>300</v>
      </c>
      <c r="F97" s="15" t="n">
        <v>17</v>
      </c>
      <c r="G97" s="15" t="n">
        <v>3000</v>
      </c>
      <c r="H97" s="16" t="n">
        <v>0.45</v>
      </c>
      <c r="I97" s="17">
        <f>G97*(1-H97)</f>
        <v/>
      </c>
      <c r="J97" s="18" t="n">
        <v>632</v>
      </c>
      <c r="K97" s="19" t="inlineStr">
        <is>
          <t>=</t>
        </is>
      </c>
      <c r="L97" s="20">
        <f>J97+K97</f>
        <v/>
      </c>
      <c r="M97" s="21" t="n">
        <v>0.41</v>
      </c>
      <c r="N97" s="22">
        <f>G97*M97</f>
        <v/>
      </c>
      <c r="O97" s="23" t="n">
        <v>67</v>
      </c>
      <c r="P97" s="22">
        <f>G97*</f>
        <v/>
      </c>
      <c r="Q97" s="23" t="n">
        <v>25</v>
      </c>
      <c r="R97" s="22">
        <f>G97*</f>
        <v/>
      </c>
      <c r="S97" s="22">
        <f>I97*</f>
        <v/>
      </c>
      <c r="T97" s="24" t="n">
        <v>0.9</v>
      </c>
      <c r="U97" s="23" t="n">
        <v>67</v>
      </c>
      <c r="V97" s="22">
        <f>U97*(1-T97)</f>
        <v/>
      </c>
      <c r="W97" s="25" t="n">
        <v>0.96</v>
      </c>
      <c r="X97" s="22">
        <f>**W97</f>
        <v/>
      </c>
      <c r="Y97" s="20">
        <f>W97*(+0)</f>
        <v/>
      </c>
      <c r="Z97" s="21" t="n">
        <v>0.09</v>
      </c>
      <c r="AA97" s="22">
        <f>G97*Z97</f>
        <v/>
      </c>
      <c r="AB97" s="24" t="n">
        <v>0.08</v>
      </c>
      <c r="AC97" s="22">
        <f>G97*AB97</f>
        <v/>
      </c>
      <c r="AD97" s="22">
        <f>AA97+AC97</f>
        <v/>
      </c>
      <c r="AE97" s="26">
        <f>AD97/G97</f>
        <v/>
      </c>
      <c r="AF97" s="27">
        <f>G97-N97-O97-P97-Q97-R97-S97-V97-X97-Y97-L97</f>
        <v/>
      </c>
      <c r="AG97" s="28">
        <f>AF97-AD97</f>
        <v/>
      </c>
      <c r="AH97" s="29">
        <f>AG97/G97</f>
        <v/>
      </c>
      <c r="AI97" s="30">
        <f>AG97/L97</f>
        <v/>
      </c>
      <c r="AJ97" s="22">
        <f>(O97+Q97+V97+X97+Y97+L97)/(1-(M97++(1-H97)*++Z97+AB97))</f>
        <v/>
      </c>
    </row>
    <row r="98">
      <c r="A98" s="43" t="inlineStr">
        <is>
          <t>CELIMAX THE REAL NONI ENERGY REPAIR CREAM 50ML</t>
        </is>
      </c>
      <c r="B98" s="44" t="n">
        <v>720</v>
      </c>
      <c r="C98" s="14" t="n"/>
      <c r="D98" s="15" t="n">
        <v>3200</v>
      </c>
      <c r="E98" s="15" t="n">
        <v>450</v>
      </c>
      <c r="F98" s="15" t="n">
        <v>20</v>
      </c>
      <c r="G98" s="15" t="n">
        <v>3050</v>
      </c>
      <c r="H98" s="16" t="n">
        <v>0.45</v>
      </c>
      <c r="I98" s="17">
        <f>G98*(1-H98)</f>
        <v/>
      </c>
      <c r="J98" s="18" t="n">
        <v>734</v>
      </c>
      <c r="K98" s="19" t="inlineStr">
        <is>
          <t>=</t>
        </is>
      </c>
      <c r="L98" s="20">
        <f>J98+K98</f>
        <v/>
      </c>
      <c r="M98" s="21" t="n">
        <v>0.41</v>
      </c>
      <c r="N98" s="22">
        <f>G98*M98</f>
        <v/>
      </c>
      <c r="O98" s="23" t="n">
        <v>67</v>
      </c>
      <c r="P98" s="22">
        <f>G98*</f>
        <v/>
      </c>
      <c r="Q98" s="23" t="n">
        <v>25</v>
      </c>
      <c r="R98" s="22">
        <f>G98*</f>
        <v/>
      </c>
      <c r="S98" s="22">
        <f>I98*</f>
        <v/>
      </c>
      <c r="T98" s="24" t="n">
        <v>0.9</v>
      </c>
      <c r="U98" s="23" t="n">
        <v>67</v>
      </c>
      <c r="V98" s="22">
        <f>U98*(1-T98)</f>
        <v/>
      </c>
      <c r="W98" s="25" t="n">
        <v>0.96</v>
      </c>
      <c r="X98" s="22">
        <f>**W98</f>
        <v/>
      </c>
      <c r="Y98" s="20">
        <f>W98*(+0)</f>
        <v/>
      </c>
      <c r="Z98" s="21" t="n">
        <v>0.1</v>
      </c>
      <c r="AA98" s="22">
        <f>G98*Z98</f>
        <v/>
      </c>
      <c r="AB98" s="24" t="n">
        <v>0.1</v>
      </c>
      <c r="AC98" s="22">
        <f>G98*AB98</f>
        <v/>
      </c>
      <c r="AD98" s="22">
        <f>AA98+AC98</f>
        <v/>
      </c>
      <c r="AE98" s="26">
        <f>AD98/G98</f>
        <v/>
      </c>
      <c r="AF98" s="27">
        <f>G98-N98-O98-P98-Q98-R98-S98-V98-X98-Y98-L98</f>
        <v/>
      </c>
      <c r="AG98" s="28">
        <f>AF98-AD98</f>
        <v/>
      </c>
      <c r="AH98" s="29">
        <f>AG98/G98</f>
        <v/>
      </c>
      <c r="AI98" s="30">
        <f>AG98/L98</f>
        <v/>
      </c>
      <c r="AJ98" s="22">
        <f>(O98+Q98+V98+X98+Y98+L98)/(1-(M98++(1-H98)*++Z98+AB98))</f>
        <v/>
      </c>
    </row>
    <row r="99">
      <c r="A99" s="43" t="inlineStr">
        <is>
          <t>CELIMAX OIL CONTROL MOISTURIZING CREAM 80ML</t>
        </is>
      </c>
      <c r="B99" s="44" t="n">
        <v>600</v>
      </c>
      <c r="C99" s="14" t="n"/>
      <c r="D99" s="15" t="n">
        <v>3440</v>
      </c>
      <c r="E99" s="15" t="n">
        <v>400</v>
      </c>
      <c r="F99" s="15" t="n">
        <v>8</v>
      </c>
      <c r="G99" s="15" t="n">
        <v>3240</v>
      </c>
      <c r="H99" s="16" t="n">
        <v>0.45</v>
      </c>
      <c r="I99" s="17">
        <f>G99*(1-H99)</f>
        <v/>
      </c>
      <c r="J99" s="18" t="n">
        <v>602</v>
      </c>
      <c r="K99" s="19" t="inlineStr">
        <is>
          <t>=</t>
        </is>
      </c>
      <c r="L99" s="20">
        <f>J99+K99</f>
        <v/>
      </c>
      <c r="M99" s="21" t="n">
        <v>0.41</v>
      </c>
      <c r="N99" s="22">
        <f>G99*M99</f>
        <v/>
      </c>
      <c r="O99" s="23" t="n">
        <v>67</v>
      </c>
      <c r="P99" s="22">
        <f>G99*</f>
        <v/>
      </c>
      <c r="Q99" s="23" t="n">
        <v>25</v>
      </c>
      <c r="R99" s="22">
        <f>G99*</f>
        <v/>
      </c>
      <c r="S99" s="22">
        <f>I99*</f>
        <v/>
      </c>
      <c r="T99" s="24" t="n">
        <v>0.9</v>
      </c>
      <c r="U99" s="23" t="n">
        <v>67</v>
      </c>
      <c r="V99" s="22">
        <f>U99*(1-T99)</f>
        <v/>
      </c>
      <c r="W99" s="25" t="n">
        <v>0.96</v>
      </c>
      <c r="X99" s="22">
        <f>**W99</f>
        <v/>
      </c>
      <c r="Y99" s="20">
        <f>W99*(+0)</f>
        <v/>
      </c>
      <c r="Z99" s="21" t="n">
        <v>0.07000000000000001</v>
      </c>
      <c r="AA99" s="22">
        <f>G99*Z99</f>
        <v/>
      </c>
      <c r="AB99" s="24" t="n">
        <v>0.08</v>
      </c>
      <c r="AC99" s="22">
        <f>G99*AB99</f>
        <v/>
      </c>
      <c r="AD99" s="22">
        <f>AA99+AC99</f>
        <v/>
      </c>
      <c r="AE99" s="26">
        <f>AD99/G99</f>
        <v/>
      </c>
      <c r="AF99" s="27">
        <f>G99-N99-O99-P99-Q99-R99-S99-V99-X99-Y99-L99</f>
        <v/>
      </c>
      <c r="AG99" s="28">
        <f>AF99-AD99</f>
        <v/>
      </c>
      <c r="AH99" s="29">
        <f>AG99/G99</f>
        <v/>
      </c>
      <c r="AI99" s="30">
        <f>AG99/L99</f>
        <v/>
      </c>
      <c r="AJ99" s="22">
        <f>(O99+Q99+V99+X99+Y99+L99)/(1-(M99++(1-H99)*++Z99+AB99))</f>
        <v/>
      </c>
    </row>
    <row r="100">
      <c r="A100" s="43" t="inlineStr">
        <is>
          <t>CELIMAX PORE+DARK SPOT BRIGHTENING KIT</t>
        </is>
      </c>
      <c r="B100" s="44" t="n">
        <v>576</v>
      </c>
      <c r="C100" s="14" t="n"/>
      <c r="D100" s="15" t="n">
        <v>2630</v>
      </c>
      <c r="E100" s="15" t="n">
        <v>350</v>
      </c>
      <c r="F100" s="15" t="n">
        <v>15</v>
      </c>
      <c r="G100" s="15" t="n">
        <v>2430</v>
      </c>
      <c r="H100" s="16" t="n">
        <v>0.45</v>
      </c>
      <c r="I100" s="17">
        <f>G100*(1-H100)</f>
        <v/>
      </c>
      <c r="J100" s="18" t="n">
        <v>405</v>
      </c>
      <c r="K100" s="19" t="inlineStr">
        <is>
          <t>=</t>
        </is>
      </c>
      <c r="L100" s="20">
        <f>J100+K100</f>
        <v/>
      </c>
      <c r="M100" s="21" t="n">
        <v>0.41</v>
      </c>
      <c r="N100" s="22">
        <f>G100*M100</f>
        <v/>
      </c>
      <c r="O100" s="23" t="n">
        <v>67</v>
      </c>
      <c r="P100" s="22">
        <f>G100*</f>
        <v/>
      </c>
      <c r="Q100" s="23" t="n">
        <v>25</v>
      </c>
      <c r="R100" s="22">
        <f>G100*</f>
        <v/>
      </c>
      <c r="S100" s="22">
        <f>I100*</f>
        <v/>
      </c>
      <c r="T100" s="24" t="n">
        <v>0.9</v>
      </c>
      <c r="U100" s="23" t="n">
        <v>67</v>
      </c>
      <c r="V100" s="22">
        <f>U100*(1-T100)</f>
        <v/>
      </c>
      <c r="W100" s="25" t="n">
        <v>0.96</v>
      </c>
      <c r="X100" s="22">
        <f>**W100</f>
        <v/>
      </c>
      <c r="Y100" s="20">
        <f>W100*(+0)</f>
        <v/>
      </c>
      <c r="Z100" s="21" t="n">
        <v>0.07000000000000001</v>
      </c>
      <c r="AA100" s="22">
        <f>G100*Z100</f>
        <v/>
      </c>
      <c r="AB100" s="24" t="n">
        <v>0.08</v>
      </c>
      <c r="AC100" s="22">
        <f>G100*AB100</f>
        <v/>
      </c>
      <c r="AD100" s="22">
        <f>AA100+AC100</f>
        <v/>
      </c>
      <c r="AE100" s="26">
        <f>AD100/G100</f>
        <v/>
      </c>
      <c r="AF100" s="27">
        <f>G100-N100-O100-P100-Q100-R100-S100-V100-X100-Y100-L100</f>
        <v/>
      </c>
      <c r="AG100" s="28">
        <f>AF100-AD100</f>
        <v/>
      </c>
      <c r="AH100" s="29">
        <f>AG100/G100</f>
        <v/>
      </c>
      <c r="AI100" s="30">
        <f>AG100/L100</f>
        <v/>
      </c>
      <c r="AJ100" s="22">
        <f>(O100+Q100+V100+X100+Y100+L100)/(1-(M100++(1-H100)*++Z100+AB100))</f>
        <v/>
      </c>
    </row>
    <row r="101">
      <c r="A101" s="43" t="inlineStr">
        <is>
          <t>CELIMAX ONE STEP BODY BRIGHTENING PAD 60PADS</t>
        </is>
      </c>
      <c r="B101" s="44" t="n">
        <v>528</v>
      </c>
      <c r="C101" s="14" t="n"/>
      <c r="D101" s="15" t="n">
        <v>2360</v>
      </c>
      <c r="E101" s="15" t="n">
        <v>80</v>
      </c>
      <c r="F101" s="15" t="n">
        <v>15</v>
      </c>
      <c r="G101" s="15" t="n">
        <v>2160</v>
      </c>
      <c r="H101" s="16" t="n">
        <v>0.45</v>
      </c>
      <c r="I101" s="17">
        <f>G101*(1-H101)</f>
        <v/>
      </c>
      <c r="J101" s="18" t="n">
        <v>387</v>
      </c>
      <c r="K101" s="19" t="inlineStr">
        <is>
          <t>=</t>
        </is>
      </c>
      <c r="L101" s="20">
        <f>J101+K101</f>
        <v/>
      </c>
      <c r="M101" s="21" t="n">
        <v>0.41</v>
      </c>
      <c r="N101" s="22">
        <f>G101*M101</f>
        <v/>
      </c>
      <c r="O101" s="23" t="n">
        <v>67</v>
      </c>
      <c r="P101" s="22">
        <f>G101*</f>
        <v/>
      </c>
      <c r="Q101" s="23" t="n">
        <v>25</v>
      </c>
      <c r="R101" s="22">
        <f>G101*</f>
        <v/>
      </c>
      <c r="S101" s="22">
        <f>I101*</f>
        <v/>
      </c>
      <c r="T101" s="24" t="n">
        <v>0.9</v>
      </c>
      <c r="U101" s="23" t="n">
        <v>67</v>
      </c>
      <c r="V101" s="22">
        <f>U101*(1-T101)</f>
        <v/>
      </c>
      <c r="W101" s="25" t="n">
        <v>0.96</v>
      </c>
      <c r="X101" s="22">
        <f>**W101</f>
        <v/>
      </c>
      <c r="Y101" s="20">
        <f>W101*(+0)</f>
        <v/>
      </c>
      <c r="Z101" s="21" t="n">
        <v>0.07000000000000001</v>
      </c>
      <c r="AA101" s="22">
        <f>G101*Z101</f>
        <v/>
      </c>
      <c r="AB101" s="24" t="n">
        <v>0.08</v>
      </c>
      <c r="AC101" s="22">
        <f>G101*AB101</f>
        <v/>
      </c>
      <c r="AD101" s="22">
        <f>AA101+AC101</f>
        <v/>
      </c>
      <c r="AE101" s="26">
        <f>AD101/G101</f>
        <v/>
      </c>
      <c r="AF101" s="27">
        <f>G101-N101-O101-P101-Q101-R101-S101-V101-X101-Y101-L101</f>
        <v/>
      </c>
      <c r="AG101" s="28">
        <f>AF101-AD101</f>
        <v/>
      </c>
      <c r="AH101" s="29">
        <f>AG101/G101</f>
        <v/>
      </c>
      <c r="AI101" s="30">
        <f>AG101/L101</f>
        <v/>
      </c>
      <c r="AJ101" s="22">
        <f>(O101+Q101+V101+X101+Y101+L101)/(1-(M101++(1-H101)*++Z101+AB101))</f>
        <v/>
      </c>
    </row>
    <row r="102">
      <c r="A102" s="43" t="inlineStr">
        <is>
          <t>CELIMAX JI WOO GAE ONE STEP MILD CLEANSING PAD 60PADS</t>
        </is>
      </c>
      <c r="B102" s="44" t="n">
        <v>352</v>
      </c>
      <c r="C102" s="14" t="n"/>
      <c r="D102" s="15" t="n">
        <v>2900</v>
      </c>
      <c r="E102" s="15" t="n">
        <v>50</v>
      </c>
      <c r="F102" s="15" t="n">
        <v>14</v>
      </c>
      <c r="G102" s="15" t="n">
        <v>2700</v>
      </c>
      <c r="H102" s="16" t="n">
        <v>0.45</v>
      </c>
      <c r="I102" s="17">
        <f>G102*(1-H102)</f>
        <v/>
      </c>
      <c r="J102" s="18" t="n">
        <v>387</v>
      </c>
      <c r="K102" s="19" t="inlineStr">
        <is>
          <t>=</t>
        </is>
      </c>
      <c r="L102" s="20">
        <f>J102+K102</f>
        <v/>
      </c>
      <c r="M102" s="21" t="n">
        <v>0.41</v>
      </c>
      <c r="N102" s="22">
        <f>G102*M102</f>
        <v/>
      </c>
      <c r="O102" s="23" t="n">
        <v>67</v>
      </c>
      <c r="P102" s="22">
        <f>G102*</f>
        <v/>
      </c>
      <c r="Q102" s="23" t="n">
        <v>25</v>
      </c>
      <c r="R102" s="22">
        <f>G102*</f>
        <v/>
      </c>
      <c r="S102" s="22">
        <f>I102*</f>
        <v/>
      </c>
      <c r="T102" s="24" t="n">
        <v>0.9</v>
      </c>
      <c r="U102" s="23" t="n">
        <v>67</v>
      </c>
      <c r="V102" s="22">
        <f>U102*(1-T102)</f>
        <v/>
      </c>
      <c r="W102" s="25" t="n">
        <v>0.96</v>
      </c>
      <c r="X102" s="22">
        <f>**W102</f>
        <v/>
      </c>
      <c r="Y102" s="20">
        <f>W102*(+0)</f>
        <v/>
      </c>
      <c r="Z102" s="21" t="n">
        <v>0.07000000000000001</v>
      </c>
      <c r="AA102" s="22">
        <f>G102*Z102</f>
        <v/>
      </c>
      <c r="AB102" s="24" t="n">
        <v>0.08</v>
      </c>
      <c r="AC102" s="22">
        <f>G102*AB102</f>
        <v/>
      </c>
      <c r="AD102" s="22">
        <f>AA102+AC102</f>
        <v/>
      </c>
      <c r="AE102" s="26">
        <f>AD102/G102</f>
        <v/>
      </c>
      <c r="AF102" s="27">
        <f>G102-N102-O102-P102-Q102-R102-S102-V102-X102-Y102-L102</f>
        <v/>
      </c>
      <c r="AG102" s="28">
        <f>AF102-AD102</f>
        <v/>
      </c>
      <c r="AH102" s="29">
        <f>AG102/G102</f>
        <v/>
      </c>
      <c r="AI102" s="30">
        <f>AG102/L102</f>
        <v/>
      </c>
      <c r="AJ102" s="22">
        <f>(O102+Q102+V102+X102+Y102+L102)/(1-(M102++(1-H102)*++Z102+AB102))</f>
        <v/>
      </c>
    </row>
    <row r="103">
      <c r="A103" s="43" t="inlineStr">
        <is>
          <t>CELIMAX DUAL BARRIER MILD GEL CLEANSER 200ML</t>
        </is>
      </c>
      <c r="B103" s="44" t="n">
        <v>288</v>
      </c>
      <c r="C103" s="14" t="n"/>
      <c r="D103" s="15" t="n">
        <v>3630</v>
      </c>
      <c r="E103" s="15" t="n">
        <v>600</v>
      </c>
      <c r="F103" s="15" t="n">
        <v>15</v>
      </c>
      <c r="G103" s="15" t="n">
        <v>3430</v>
      </c>
      <c r="H103" s="16" t="n">
        <v>0.45</v>
      </c>
      <c r="I103" s="17">
        <f>G103*(1-H103)</f>
        <v/>
      </c>
      <c r="J103" s="18" t="n">
        <v>510</v>
      </c>
      <c r="K103" s="19" t="inlineStr">
        <is>
          <t>=</t>
        </is>
      </c>
      <c r="L103" s="20">
        <f>J103+K103</f>
        <v/>
      </c>
      <c r="M103" s="21" t="n">
        <v>0.41</v>
      </c>
      <c r="N103" s="22">
        <f>G103*M103</f>
        <v/>
      </c>
      <c r="O103" s="23" t="n">
        <v>67</v>
      </c>
      <c r="P103" s="22">
        <f>G103*</f>
        <v/>
      </c>
      <c r="Q103" s="23" t="n">
        <v>25</v>
      </c>
      <c r="R103" s="22">
        <f>G103*</f>
        <v/>
      </c>
      <c r="S103" s="22">
        <f>I103*</f>
        <v/>
      </c>
      <c r="T103" s="24" t="n">
        <v>0.9</v>
      </c>
      <c r="U103" s="23" t="n">
        <v>67</v>
      </c>
      <c r="V103" s="22">
        <f>U103*(1-T103)</f>
        <v/>
      </c>
      <c r="W103" s="25" t="n">
        <v>0.96</v>
      </c>
      <c r="X103" s="22">
        <f>**W103</f>
        <v/>
      </c>
      <c r="Y103" s="20">
        <f>W103*(+0)</f>
        <v/>
      </c>
      <c r="Z103" s="21" t="n">
        <v>0.07000000000000001</v>
      </c>
      <c r="AA103" s="22">
        <f>G103*Z103</f>
        <v/>
      </c>
      <c r="AB103" s="24" t="n">
        <v>0.08</v>
      </c>
      <c r="AC103" s="22">
        <f>G103*AB103</f>
        <v/>
      </c>
      <c r="AD103" s="22">
        <f>AA103+AC103</f>
        <v/>
      </c>
      <c r="AE103" s="26">
        <f>AD103/G103</f>
        <v/>
      </c>
      <c r="AF103" s="27">
        <f>G103-N103-O103-P103-Q103-R103-S103-V103-X103-Y103-L103</f>
        <v/>
      </c>
      <c r="AG103" s="28">
        <f>AF103-AD103</f>
        <v/>
      </c>
      <c r="AH103" s="29">
        <f>AG103/G103</f>
        <v/>
      </c>
      <c r="AI103" s="30">
        <f>AG103/L103</f>
        <v/>
      </c>
      <c r="AJ103" s="22">
        <f>(O103+Q103+V103+X103+Y103+L103)/(1-(M103++(1-H103)*++Z103+AB103))</f>
        <v/>
      </c>
    </row>
    <row r="104">
      <c r="A104" s="43" t="inlineStr">
        <is>
          <t>CELIMAX THE REAL NONI REFRESH CLAY MASK 120G</t>
        </is>
      </c>
      <c r="B104" s="44" t="n">
        <v>408</v>
      </c>
      <c r="C104" s="14" t="n"/>
      <c r="D104" s="15" t="n">
        <v>2500</v>
      </c>
      <c r="E104" s="15" t="n">
        <v>75</v>
      </c>
      <c r="F104" s="15" t="n">
        <v>10</v>
      </c>
      <c r="G104" s="15" t="n">
        <v>2300</v>
      </c>
      <c r="H104" s="16" t="n">
        <v>0.45</v>
      </c>
      <c r="I104" s="17">
        <f>G104*(1-H104)</f>
        <v/>
      </c>
      <c r="J104" s="18" t="n">
        <v>420</v>
      </c>
      <c r="K104" s="19" t="inlineStr">
        <is>
          <t>=</t>
        </is>
      </c>
      <c r="L104" s="20">
        <f>J104+K104</f>
        <v/>
      </c>
      <c r="M104" s="21" t="n">
        <v>0.41</v>
      </c>
      <c r="N104" s="22">
        <f>G104*M104</f>
        <v/>
      </c>
      <c r="O104" s="23" t="n">
        <v>67</v>
      </c>
      <c r="P104" s="22">
        <f>G104*</f>
        <v/>
      </c>
      <c r="Q104" s="23" t="n">
        <v>25</v>
      </c>
      <c r="R104" s="22">
        <f>G104*</f>
        <v/>
      </c>
      <c r="S104" s="22">
        <f>I104*</f>
        <v/>
      </c>
      <c r="T104" s="24" t="n">
        <v>0.9</v>
      </c>
      <c r="U104" s="23" t="n">
        <v>67</v>
      </c>
      <c r="V104" s="22">
        <f>U104*(1-T104)</f>
        <v/>
      </c>
      <c r="W104" s="25" t="n">
        <v>0.96</v>
      </c>
      <c r="X104" s="22">
        <f>**W104</f>
        <v/>
      </c>
      <c r="Y104" s="20">
        <f>W104*(+0)</f>
        <v/>
      </c>
      <c r="Z104" s="21" t="n">
        <v>0.07000000000000001</v>
      </c>
      <c r="AA104" s="22">
        <f>G104*Z104</f>
        <v/>
      </c>
      <c r="AB104" s="24" t="n">
        <v>0.08</v>
      </c>
      <c r="AC104" s="22">
        <f>G104*AB104</f>
        <v/>
      </c>
      <c r="AD104" s="22">
        <f>AA104+AC104</f>
        <v/>
      </c>
      <c r="AE104" s="26">
        <f>AD104/G104</f>
        <v/>
      </c>
      <c r="AF104" s="27">
        <f>G104-N104-O104-P104-Q104-R104-S104-V104-X104-Y104-L104</f>
        <v/>
      </c>
      <c r="AG104" s="28">
        <f>AF104-AD104</f>
        <v/>
      </c>
      <c r="AH104" s="29">
        <f>AG104/G104</f>
        <v/>
      </c>
      <c r="AI104" s="30">
        <f>AG104/L104</f>
        <v/>
      </c>
      <c r="AJ104" s="22">
        <f>(O104+Q104+V104+X104+Y104+L104)/(1-(M104++(1-H104)*++Z104+AB104))</f>
        <v/>
      </c>
    </row>
    <row r="105">
      <c r="A105" s="43" t="inlineStr">
        <is>
          <t>CELIMAX DERMA NATURE GLUTATHIONE LONGLASTING TONE-UP CREAM 35ML</t>
        </is>
      </c>
      <c r="B105" s="44" t="n">
        <v>468</v>
      </c>
      <c r="C105" s="14" t="n"/>
      <c r="D105" s="15" t="n">
        <v>2045</v>
      </c>
      <c r="E105" s="15" t="n">
        <v>130</v>
      </c>
      <c r="F105" s="15" t="n">
        <v>15</v>
      </c>
      <c r="G105" s="15" t="n">
        <v>1850</v>
      </c>
      <c r="H105" s="16" t="n">
        <v>0.45</v>
      </c>
      <c r="I105" s="17">
        <f>G105*(1-H105)</f>
        <v/>
      </c>
      <c r="J105" s="18" t="n">
        <v>406</v>
      </c>
      <c r="K105" s="19" t="inlineStr">
        <is>
          <t>=</t>
        </is>
      </c>
      <c r="L105" s="20">
        <f>J105+K105</f>
        <v/>
      </c>
      <c r="M105" s="21" t="n">
        <v>0.41</v>
      </c>
      <c r="N105" s="22">
        <f>G105*M105</f>
        <v/>
      </c>
      <c r="O105" s="23" t="n">
        <v>67</v>
      </c>
      <c r="P105" s="22">
        <f>G105*</f>
        <v/>
      </c>
      <c r="Q105" s="23" t="n">
        <v>25</v>
      </c>
      <c r="R105" s="22">
        <f>G105*</f>
        <v/>
      </c>
      <c r="S105" s="22">
        <f>I105*</f>
        <v/>
      </c>
      <c r="T105" s="24" t="n">
        <v>0.9</v>
      </c>
      <c r="U105" s="23" t="n">
        <v>67</v>
      </c>
      <c r="V105" s="22">
        <f>U105*(1-T105)</f>
        <v/>
      </c>
      <c r="W105" s="25" t="n">
        <v>0.96</v>
      </c>
      <c r="X105" s="22">
        <f>**W105</f>
        <v/>
      </c>
      <c r="Y105" s="20">
        <f>W105*(+0)</f>
        <v/>
      </c>
      <c r="Z105" s="21" t="n">
        <v>0.07000000000000001</v>
      </c>
      <c r="AA105" s="22">
        <f>G105*Z105</f>
        <v/>
      </c>
      <c r="AB105" s="24" t="n">
        <v>0.08</v>
      </c>
      <c r="AC105" s="22">
        <f>G105*AB105</f>
        <v/>
      </c>
      <c r="AD105" s="22">
        <f>AA105+AC105</f>
        <v/>
      </c>
      <c r="AE105" s="26">
        <f>AD105/G105</f>
        <v/>
      </c>
      <c r="AF105" s="27">
        <f>G105-N105-O105-P105-Q105-R105-S105-V105-X105-Y105-L105</f>
        <v/>
      </c>
      <c r="AG105" s="28">
        <f>AF105-AD105</f>
        <v/>
      </c>
      <c r="AH105" s="29">
        <f>AG105/G105</f>
        <v/>
      </c>
      <c r="AI105" s="30">
        <f>AG105/L105</f>
        <v/>
      </c>
      <c r="AJ105" s="22">
        <f>(O105+Q105+V105+X105+Y105+L105)/(1-(M105++(1-H105)*++Z105+AB105))</f>
        <v/>
      </c>
    </row>
    <row r="106">
      <c r="A106" s="43" t="inlineStr">
        <is>
          <t>CELIMAX DERMA NATURE RELIEF MADECICA PH BALANCING FOAM CLEANSING 150ML</t>
        </is>
      </c>
      <c r="B106" s="44" t="n">
        <v>320</v>
      </c>
      <c r="C106" s="14" t="n"/>
      <c r="D106" s="15" t="n">
        <v>2270</v>
      </c>
      <c r="E106" s="15" t="n">
        <v>340</v>
      </c>
      <c r="F106" s="15" t="n">
        <v>12</v>
      </c>
      <c r="G106" s="15" t="n">
        <v>2070</v>
      </c>
      <c r="H106" s="16" t="n">
        <v>0.45</v>
      </c>
      <c r="I106" s="17">
        <f>G106*(1-H106)</f>
        <v/>
      </c>
      <c r="J106" s="18" t="n">
        <v>327</v>
      </c>
      <c r="K106" s="19" t="inlineStr">
        <is>
          <t>=</t>
        </is>
      </c>
      <c r="L106" s="20">
        <f>J106+K106</f>
        <v/>
      </c>
      <c r="M106" s="21" t="n">
        <v>0.41</v>
      </c>
      <c r="N106" s="22">
        <f>G106*M106</f>
        <v/>
      </c>
      <c r="O106" s="23" t="n">
        <v>67</v>
      </c>
      <c r="P106" s="22">
        <f>G106*</f>
        <v/>
      </c>
      <c r="Q106" s="23" t="n">
        <v>25</v>
      </c>
      <c r="R106" s="22">
        <f>G106*</f>
        <v/>
      </c>
      <c r="S106" s="22">
        <f>I106*</f>
        <v/>
      </c>
      <c r="T106" s="24" t="n">
        <v>0.9</v>
      </c>
      <c r="U106" s="23" t="n">
        <v>67</v>
      </c>
      <c r="V106" s="22">
        <f>U106*(1-T106)</f>
        <v/>
      </c>
      <c r="W106" s="25" t="n">
        <v>0.96</v>
      </c>
      <c r="X106" s="22">
        <f>**W106</f>
        <v/>
      </c>
      <c r="Y106" s="20">
        <f>W106*(+0)</f>
        <v/>
      </c>
      <c r="Z106" s="21" t="n">
        <v>0.07000000000000001</v>
      </c>
      <c r="AA106" s="22">
        <f>G106*Z106</f>
        <v/>
      </c>
      <c r="AB106" s="24" t="n">
        <v>0.08</v>
      </c>
      <c r="AC106" s="22">
        <f>G106*AB106</f>
        <v/>
      </c>
      <c r="AD106" s="22">
        <f>AA106+AC106</f>
        <v/>
      </c>
      <c r="AE106" s="26">
        <f>AD106/G106</f>
        <v/>
      </c>
      <c r="AF106" s="27">
        <f>G106-N106-O106-P106-Q106-R106-S106-V106-X106-Y106-L106</f>
        <v/>
      </c>
      <c r="AG106" s="28">
        <f>AF106-AD106</f>
        <v/>
      </c>
      <c r="AH106" s="29">
        <f>AG106/G106</f>
        <v/>
      </c>
      <c r="AI106" s="30">
        <f>AG106/L106</f>
        <v/>
      </c>
      <c r="AJ106" s="22">
        <f>(O106+Q106+V106+X106+Y106+L106)/(1-(M106++(1-H106)*++Z106+AB106))</f>
        <v/>
      </c>
    </row>
    <row r="107">
      <c r="A107" s="12" t="inlineStr">
        <is>
          <t>VT PDRN ESSENCE 100 / Укрепляющая бустер-эссенция с ПДРН</t>
        </is>
      </c>
      <c r="B107" s="13" t="n"/>
      <c r="C107" s="14" t="n"/>
      <c r="D107" s="15" t="n">
        <v>6000</v>
      </c>
      <c r="E107" s="15" t="n">
        <v>500</v>
      </c>
      <c r="F107" s="15" t="n">
        <v>10</v>
      </c>
      <c r="G107" s="15" t="n">
        <v>5700</v>
      </c>
      <c r="H107" s="16" t="n">
        <v>0.45</v>
      </c>
      <c r="I107" s="17">
        <f>G107*(1-H107)</f>
        <v/>
      </c>
      <c r="J107" s="18" t="n">
        <v>1335.95</v>
      </c>
      <c r="K107" s="19" t="inlineStr">
        <is>
          <t>=</t>
        </is>
      </c>
      <c r="L107" s="20">
        <f>J107+K107</f>
        <v/>
      </c>
      <c r="M107" s="21" t="n">
        <v>0.41</v>
      </c>
      <c r="N107" s="22">
        <f>G107*M107</f>
        <v/>
      </c>
      <c r="O107" s="23" t="n">
        <v>63</v>
      </c>
      <c r="P107" s="22">
        <f>G107*</f>
        <v/>
      </c>
      <c r="Q107" s="23" t="n">
        <v>25</v>
      </c>
      <c r="R107" s="22">
        <f>G107*</f>
        <v/>
      </c>
      <c r="S107" s="22">
        <f>I107*</f>
        <v/>
      </c>
      <c r="T107" s="24" t="n">
        <v>0.9</v>
      </c>
      <c r="U107" s="23" t="n">
        <v>63</v>
      </c>
      <c r="V107" s="22">
        <f>U107*(1-T107)</f>
        <v/>
      </c>
      <c r="W107" s="25" t="n">
        <v>0.3</v>
      </c>
      <c r="X107" s="22">
        <f>**W107</f>
        <v/>
      </c>
      <c r="Y107" s="20">
        <f>W107*(+0)</f>
        <v/>
      </c>
      <c r="Z107" s="21" t="n">
        <v>0.07000000000000001</v>
      </c>
      <c r="AA107" s="22">
        <f>G107*Z107</f>
        <v/>
      </c>
      <c r="AB107" s="24" t="n">
        <v>0.08</v>
      </c>
      <c r="AC107" s="22">
        <f>G107*AB107</f>
        <v/>
      </c>
      <c r="AD107" s="22">
        <f>AA107+AC107</f>
        <v/>
      </c>
      <c r="AE107" s="26">
        <f>AD107/G107</f>
        <v/>
      </c>
      <c r="AF107" s="27">
        <f>G107-N107-O107-P107-Q107-R107-S107-V107-X107-Y107-L107</f>
        <v/>
      </c>
      <c r="AG107" s="28">
        <f>AF107-AD107</f>
        <v/>
      </c>
      <c r="AH107" s="29">
        <f>AG107/G107</f>
        <v/>
      </c>
      <c r="AI107" s="30">
        <f>AG107/L107</f>
        <v/>
      </c>
      <c r="AJ107" s="22">
        <f>(O107+Q107+V107+X107+Y107+L107)/(1-(M107++(1-H107)*++Z107+AB107))</f>
        <v/>
      </c>
    </row>
    <row r="108">
      <c r="A108" s="12" t="inlineStr">
        <is>
          <t>VT REEDLE SHOT 100 / Бустер-сыворотка с микроиглами</t>
        </is>
      </c>
      <c r="B108" s="13" t="n"/>
      <c r="C108" s="14" t="n"/>
      <c r="D108" s="15" t="n">
        <v>5900</v>
      </c>
      <c r="E108" s="15" t="n">
        <v>220</v>
      </c>
      <c r="F108" s="15" t="n">
        <v>11</v>
      </c>
      <c r="G108" s="15" t="n">
        <v>5600</v>
      </c>
      <c r="H108" s="16" t="n">
        <v>0.45</v>
      </c>
      <c r="I108" s="17">
        <f>G108*(1-H108)</f>
        <v/>
      </c>
      <c r="J108" s="18" t="n">
        <v>974.04</v>
      </c>
      <c r="K108" s="19" t="inlineStr">
        <is>
          <t>=</t>
        </is>
      </c>
      <c r="L108" s="20">
        <f>J108+K108</f>
        <v/>
      </c>
      <c r="M108" s="21" t="n">
        <v>0.41</v>
      </c>
      <c r="N108" s="22">
        <f>G108*M108</f>
        <v/>
      </c>
      <c r="O108" s="23" t="n">
        <v>63</v>
      </c>
      <c r="P108" s="22">
        <f>G108*</f>
        <v/>
      </c>
      <c r="Q108" s="23" t="n">
        <v>25</v>
      </c>
      <c r="R108" s="22">
        <f>G108*</f>
        <v/>
      </c>
      <c r="S108" s="22">
        <f>I108*</f>
        <v/>
      </c>
      <c r="T108" s="24" t="n">
        <v>0.9</v>
      </c>
      <c r="U108" s="23" t="n">
        <v>63</v>
      </c>
      <c r="V108" s="22">
        <f>U108*(1-T108)</f>
        <v/>
      </c>
      <c r="W108" s="25" t="n">
        <v>0.4</v>
      </c>
      <c r="X108" s="22">
        <f>**W108</f>
        <v/>
      </c>
      <c r="Y108" s="20">
        <f>W108*(+0)</f>
        <v/>
      </c>
      <c r="Z108" s="21" t="n">
        <v>0.07000000000000001</v>
      </c>
      <c r="AA108" s="22">
        <f>G108*Z108</f>
        <v/>
      </c>
      <c r="AB108" s="24" t="n">
        <v>0.08</v>
      </c>
      <c r="AC108" s="22">
        <f>G108*AB108</f>
        <v/>
      </c>
      <c r="AD108" s="22">
        <f>AA108+AC108</f>
        <v/>
      </c>
      <c r="AE108" s="26">
        <f>AD108/G108</f>
        <v/>
      </c>
      <c r="AF108" s="27">
        <f>G108-N108-O108-P108-Q108-R108-S108-V108-X108-Y108-L108</f>
        <v/>
      </c>
      <c r="AG108" s="28">
        <f>AF108-AD108</f>
        <v/>
      </c>
      <c r="AH108" s="29">
        <f>AG108/G108</f>
        <v/>
      </c>
      <c r="AI108" s="30">
        <f>AG108/L108</f>
        <v/>
      </c>
      <c r="AJ108" s="22">
        <f>(O108+Q108+V108+X108+Y108+L108)/(1-(M108++(1-H108)*++Z108+AB108))</f>
        <v/>
      </c>
    </row>
    <row r="109">
      <c r="A109" s="43" t="inlineStr">
        <is>
          <t>[Derma Factory] Tranexamic Acid 6% Cream</t>
        </is>
      </c>
      <c r="B109" s="44" t="n">
        <v>1344</v>
      </c>
      <c r="C109" s="42" t="n"/>
      <c r="D109" s="15" t="n">
        <v>2210</v>
      </c>
      <c r="E109" s="15" t="n">
        <v>1100</v>
      </c>
      <c r="F109" s="15" t="n">
        <v>13</v>
      </c>
      <c r="G109" s="15" t="n">
        <v>2000</v>
      </c>
      <c r="H109" s="16" t="n">
        <v>0.45</v>
      </c>
      <c r="I109" s="17">
        <f>G109*(1-H109)</f>
        <v/>
      </c>
      <c r="J109" s="18" t="n">
        <v>261</v>
      </c>
      <c r="K109" s="19" t="inlineStr">
        <is>
          <t>=</t>
        </is>
      </c>
      <c r="L109" s="20">
        <f>J109+K109</f>
        <v/>
      </c>
      <c r="M109" s="21" t="n">
        <v>0.41</v>
      </c>
      <c r="N109" s="22">
        <f>G109*M109</f>
        <v/>
      </c>
      <c r="O109" s="23" t="n">
        <v>63</v>
      </c>
      <c r="P109" s="22">
        <f>G109*</f>
        <v/>
      </c>
      <c r="Q109" s="23" t="n">
        <v>25</v>
      </c>
      <c r="R109" s="22">
        <f>G109*</f>
        <v/>
      </c>
      <c r="S109" s="22">
        <f>I109*</f>
        <v/>
      </c>
      <c r="T109" s="24" t="n">
        <v>0.9</v>
      </c>
      <c r="U109" s="23" t="n">
        <v>63</v>
      </c>
      <c r="V109" s="22">
        <f>U109*(1-T109)</f>
        <v/>
      </c>
      <c r="W109" s="25" t="n">
        <v>0.4</v>
      </c>
      <c r="X109" s="22">
        <f>**W109</f>
        <v/>
      </c>
      <c r="Y109" s="20">
        <f>W109*(+0)</f>
        <v/>
      </c>
      <c r="Z109" s="21" t="n">
        <v>0.07000000000000001</v>
      </c>
      <c r="AA109" s="22">
        <f>G109*Z109</f>
        <v/>
      </c>
      <c r="AB109" s="24" t="n">
        <v>0.08</v>
      </c>
      <c r="AC109" s="22">
        <f>G109*AB109</f>
        <v/>
      </c>
      <c r="AD109" s="22">
        <f>AA109+AC109</f>
        <v/>
      </c>
      <c r="AE109" s="26">
        <f>AD109/G109</f>
        <v/>
      </c>
      <c r="AF109" s="27">
        <f>G109-N109-O109-P109-Q109-R109-S109-V109-X109-Y109-L109</f>
        <v/>
      </c>
      <c r="AG109" s="28">
        <f>AF109-AD109</f>
        <v/>
      </c>
      <c r="AH109" s="29">
        <f>AG109/G109</f>
        <v/>
      </c>
      <c r="AI109" s="30">
        <f>AG109/L109</f>
        <v/>
      </c>
      <c r="AJ109" s="22">
        <f>(O109+Q109+V109+X109+Y109+L109)/(1-(M109++(1-H109)*++Z109+AB109))</f>
        <v/>
      </c>
    </row>
    <row r="110">
      <c r="A110" s="43" t="inlineStr">
        <is>
          <t>[Derma Factory] Retinal 300ppm Cream</t>
        </is>
      </c>
      <c r="B110" s="44" t="n">
        <v>1248</v>
      </c>
      <c r="C110" s="42" t="n"/>
      <c r="D110" s="15" t="n">
        <v>2490</v>
      </c>
      <c r="E110" s="15" t="n">
        <v>500</v>
      </c>
      <c r="F110" s="15" t="n">
        <v>13</v>
      </c>
      <c r="G110" s="15" t="n">
        <v>2190</v>
      </c>
      <c r="H110" s="16" t="n">
        <v>0.45</v>
      </c>
      <c r="I110" s="17">
        <f>G110*(1-H110)</f>
        <v/>
      </c>
      <c r="J110" s="18" t="n">
        <v>293</v>
      </c>
      <c r="K110" s="19" t="inlineStr">
        <is>
          <t>=</t>
        </is>
      </c>
      <c r="L110" s="20">
        <f>J110+K110</f>
        <v/>
      </c>
      <c r="M110" s="21" t="n">
        <v>0.41</v>
      </c>
      <c r="N110" s="22">
        <f>G110*M110</f>
        <v/>
      </c>
      <c r="O110" s="23" t="n">
        <v>63</v>
      </c>
      <c r="P110" s="22">
        <f>G110*</f>
        <v/>
      </c>
      <c r="Q110" s="23" t="n">
        <v>25</v>
      </c>
      <c r="R110" s="22">
        <f>G110*</f>
        <v/>
      </c>
      <c r="S110" s="22">
        <f>I110*</f>
        <v/>
      </c>
      <c r="T110" s="24" t="n">
        <v>0.9</v>
      </c>
      <c r="U110" s="23" t="n">
        <v>63</v>
      </c>
      <c r="V110" s="22">
        <f>U110*(1-T110)</f>
        <v/>
      </c>
      <c r="W110" s="25" t="n">
        <v>0.4</v>
      </c>
      <c r="X110" s="22">
        <f>**W110</f>
        <v/>
      </c>
      <c r="Y110" s="20">
        <f>W110*(+0)</f>
        <v/>
      </c>
      <c r="Z110" s="21" t="n">
        <v>0.07000000000000001</v>
      </c>
      <c r="AA110" s="22">
        <f>G110*Z110</f>
        <v/>
      </c>
      <c r="AB110" s="24" t="n">
        <v>0.08</v>
      </c>
      <c r="AC110" s="22">
        <f>G110*AB110</f>
        <v/>
      </c>
      <c r="AD110" s="22">
        <f>AA110+AC110</f>
        <v/>
      </c>
      <c r="AE110" s="26">
        <f>AD110/G110</f>
        <v/>
      </c>
      <c r="AF110" s="27">
        <f>G110-N110-O110-P110-Q110-R110-S110-V110-X110-Y110-L110</f>
        <v/>
      </c>
      <c r="AG110" s="28">
        <f>AF110-AD110</f>
        <v/>
      </c>
      <c r="AH110" s="29">
        <f>AG110/G110</f>
        <v/>
      </c>
      <c r="AI110" s="30">
        <f>AG110/L110</f>
        <v/>
      </c>
      <c r="AJ110" s="22">
        <f>(O110+Q110+V110+X110+Y110+L110)/(1-(M110++(1-H110)*++Z110+AB110))</f>
        <v/>
      </c>
    </row>
    <row r="111">
      <c r="A111" s="43" t="inlineStr">
        <is>
          <t>[Derma Factory] Niacinamide 20% Serum</t>
        </is>
      </c>
      <c r="B111" s="44" t="n">
        <v>1020</v>
      </c>
      <c r="C111" s="42" t="n"/>
      <c r="D111" s="15" t="n">
        <v>1800</v>
      </c>
      <c r="E111" s="15" t="n">
        <v>1400</v>
      </c>
      <c r="F111" s="15" t="n">
        <v>12</v>
      </c>
      <c r="G111" s="15" t="n">
        <v>1600</v>
      </c>
      <c r="H111" s="16" t="n">
        <v>0.45</v>
      </c>
      <c r="I111" s="17">
        <f>G111*(1-H111)</f>
        <v/>
      </c>
      <c r="J111" s="18" t="n">
        <v>175</v>
      </c>
      <c r="K111" s="19" t="inlineStr">
        <is>
          <t>=</t>
        </is>
      </c>
      <c r="L111" s="20">
        <f>J111+K111</f>
        <v/>
      </c>
      <c r="M111" s="21" t="n">
        <v>0.41</v>
      </c>
      <c r="N111" s="22">
        <f>G111*M111</f>
        <v/>
      </c>
      <c r="O111" s="23" t="n">
        <v>63</v>
      </c>
      <c r="P111" s="22">
        <f>G111*</f>
        <v/>
      </c>
      <c r="Q111" s="23" t="n">
        <v>25</v>
      </c>
      <c r="R111" s="22">
        <f>G111*</f>
        <v/>
      </c>
      <c r="S111" s="22">
        <f>I111*</f>
        <v/>
      </c>
      <c r="T111" s="24" t="n">
        <v>0.9</v>
      </c>
      <c r="U111" s="23" t="n">
        <v>63</v>
      </c>
      <c r="V111" s="22">
        <f>U111*(1-T111)</f>
        <v/>
      </c>
      <c r="W111" s="25" t="n">
        <v>0.4</v>
      </c>
      <c r="X111" s="22">
        <f>**W111</f>
        <v/>
      </c>
      <c r="Y111" s="20">
        <f>W111*(+0)</f>
        <v/>
      </c>
      <c r="Z111" s="21" t="n">
        <v>0.07000000000000001</v>
      </c>
      <c r="AA111" s="22">
        <f>G111*Z111</f>
        <v/>
      </c>
      <c r="AB111" s="24" t="n">
        <v>0.08</v>
      </c>
      <c r="AC111" s="22">
        <f>G111*AB111</f>
        <v/>
      </c>
      <c r="AD111" s="22">
        <f>AA111+AC111</f>
        <v/>
      </c>
      <c r="AE111" s="26">
        <f>AD111/G111</f>
        <v/>
      </c>
      <c r="AF111" s="27">
        <f>G111-N111-O111-P111-Q111-R111-S111-V111-X111-Y111-L111</f>
        <v/>
      </c>
      <c r="AG111" s="28">
        <f>AF111-AD111</f>
        <v/>
      </c>
      <c r="AH111" s="29">
        <f>AG111/G111</f>
        <v/>
      </c>
      <c r="AI111" s="30">
        <f>AG111/L111</f>
        <v/>
      </c>
      <c r="AJ111" s="22">
        <f>(O111+Q111+V111+X111+Y111+L111)/(1-(M111++(1-H111)*++Z111+AB111))</f>
        <v/>
      </c>
    </row>
    <row r="112">
      <c r="A112" s="43" t="inlineStr">
        <is>
          <t>[Derma Factory] Porphyrin 20% Ampoule stick</t>
        </is>
      </c>
      <c r="B112" s="44" t="n">
        <v>1053</v>
      </c>
      <c r="C112" s="42" t="n"/>
      <c r="D112" s="15" t="n">
        <v>2600</v>
      </c>
      <c r="E112" s="15" t="n">
        <v>250</v>
      </c>
      <c r="F112" s="15" t="n">
        <v>12</v>
      </c>
      <c r="G112" s="15" t="n">
        <v>2390</v>
      </c>
      <c r="H112" s="16" t="n">
        <v>0.45</v>
      </c>
      <c r="I112" s="17">
        <f>G112*(1-H112)</f>
        <v/>
      </c>
      <c r="J112" s="18" t="n">
        <v>363</v>
      </c>
      <c r="K112" s="19" t="inlineStr">
        <is>
          <t>=</t>
        </is>
      </c>
      <c r="L112" s="20">
        <f>J112+K112</f>
        <v/>
      </c>
      <c r="M112" s="21" t="n">
        <v>0.41</v>
      </c>
      <c r="N112" s="22">
        <f>G112*M112</f>
        <v/>
      </c>
      <c r="O112" s="23" t="n">
        <v>63</v>
      </c>
      <c r="P112" s="22">
        <f>G112*</f>
        <v/>
      </c>
      <c r="Q112" s="23" t="n">
        <v>25</v>
      </c>
      <c r="R112" s="22">
        <f>G112*</f>
        <v/>
      </c>
      <c r="S112" s="22">
        <f>I112*</f>
        <v/>
      </c>
      <c r="T112" s="24" t="n">
        <v>0.9</v>
      </c>
      <c r="U112" s="23" t="n">
        <v>63</v>
      </c>
      <c r="V112" s="22">
        <f>U112*(1-T112)</f>
        <v/>
      </c>
      <c r="W112" s="25" t="n">
        <v>0.4</v>
      </c>
      <c r="X112" s="22">
        <f>**W112</f>
        <v/>
      </c>
      <c r="Y112" s="20">
        <f>W112*(+0)</f>
        <v/>
      </c>
      <c r="Z112" s="21" t="n">
        <v>0.07000000000000001</v>
      </c>
      <c r="AA112" s="22">
        <f>G112*Z112</f>
        <v/>
      </c>
      <c r="AB112" s="24" t="n">
        <v>0.08</v>
      </c>
      <c r="AC112" s="22">
        <f>G112*AB112</f>
        <v/>
      </c>
      <c r="AD112" s="22">
        <f>AA112+AC112</f>
        <v/>
      </c>
      <c r="AE112" s="26">
        <f>AD112/G112</f>
        <v/>
      </c>
      <c r="AF112" s="27">
        <f>G112-N112-O112-P112-Q112-R112-S112-V112-X112-Y112-L112</f>
        <v/>
      </c>
      <c r="AG112" s="28">
        <f>AF112-AD112</f>
        <v/>
      </c>
      <c r="AH112" s="29">
        <f>AG112/G112</f>
        <v/>
      </c>
      <c r="AI112" s="30">
        <f>AG112/L112</f>
        <v/>
      </c>
      <c r="AJ112" s="22">
        <f>(O112+Q112+V112+X112+Y112+L112)/(1-(M112++(1-H112)*++Z112+AB112))</f>
        <v/>
      </c>
    </row>
    <row r="113">
      <c r="A113" s="43" t="inlineStr">
        <is>
          <t>[Derma Factory] Bakuchiol Spicule Cream</t>
        </is>
      </c>
      <c r="B113" s="44" t="n">
        <v>480</v>
      </c>
      <c r="C113" s="42" t="n"/>
      <c r="D113" s="15" t="n">
        <v>2700</v>
      </c>
      <c r="E113" s="15" t="n">
        <v>250</v>
      </c>
      <c r="F113" s="15" t="n">
        <v>10</v>
      </c>
      <c r="G113" s="15" t="n">
        <v>2400</v>
      </c>
      <c r="H113" s="16" t="n">
        <v>0.45</v>
      </c>
      <c r="I113" s="17">
        <f>G113*(1-H113)</f>
        <v/>
      </c>
      <c r="J113" s="18" t="n">
        <v>302</v>
      </c>
      <c r="K113" s="19" t="inlineStr">
        <is>
          <t>=</t>
        </is>
      </c>
      <c r="L113" s="20">
        <f>J113+K113</f>
        <v/>
      </c>
      <c r="M113" s="21" t="n">
        <v>0.41</v>
      </c>
      <c r="N113" s="22">
        <f>G113*M113</f>
        <v/>
      </c>
      <c r="O113" s="23" t="n">
        <v>63</v>
      </c>
      <c r="P113" s="22">
        <f>G113*</f>
        <v/>
      </c>
      <c r="Q113" s="23" t="n">
        <v>25</v>
      </c>
      <c r="R113" s="22">
        <f>G113*</f>
        <v/>
      </c>
      <c r="S113" s="22">
        <f>I113*</f>
        <v/>
      </c>
      <c r="T113" s="24" t="n">
        <v>0.9</v>
      </c>
      <c r="U113" s="23" t="n">
        <v>63</v>
      </c>
      <c r="V113" s="22">
        <f>U113*(1-T113)</f>
        <v/>
      </c>
      <c r="W113" s="25" t="n">
        <v>0.4</v>
      </c>
      <c r="X113" s="22">
        <f>**W113</f>
        <v/>
      </c>
      <c r="Y113" s="20">
        <f>W113*(+0)</f>
        <v/>
      </c>
      <c r="Z113" s="21" t="n">
        <v>0.07000000000000001</v>
      </c>
      <c r="AA113" s="22">
        <f>G113*Z113</f>
        <v/>
      </c>
      <c r="AB113" s="24" t="n">
        <v>0.08</v>
      </c>
      <c r="AC113" s="22">
        <f>G113*AB113</f>
        <v/>
      </c>
      <c r="AD113" s="22">
        <f>AA113+AC113</f>
        <v/>
      </c>
      <c r="AE113" s="26">
        <f>AD113/G113</f>
        <v/>
      </c>
      <c r="AF113" s="27">
        <f>G113-N113-O113-P113-Q113-R113-S113-V113-X113-Y113-L113</f>
        <v/>
      </c>
      <c r="AG113" s="28">
        <f>AF113-AD113</f>
        <v/>
      </c>
      <c r="AH113" s="29">
        <f>AG113/G113</f>
        <v/>
      </c>
      <c r="AI113" s="30">
        <f>AG113/L113</f>
        <v/>
      </c>
      <c r="AJ113" s="22">
        <f>(O113+Q113+V113+X113+Y113+L113)/(1-(M113++(1-H113)*++Z113+AB113))</f>
        <v/>
      </c>
    </row>
    <row r="114">
      <c r="A114" s="43" t="inlineStr">
        <is>
          <t>[Derma Factory] Matrixyl 15% + Argireline 2% Serum</t>
        </is>
      </c>
      <c r="B114" s="44" t="n">
        <v>420</v>
      </c>
      <c r="C114" s="42" t="n"/>
      <c r="D114" s="15" t="n">
        <v>3380</v>
      </c>
      <c r="E114" s="15" t="n">
        <v>80</v>
      </c>
      <c r="F114" s="15" t="n">
        <v>12</v>
      </c>
      <c r="G114" s="15" t="n">
        <v>3050</v>
      </c>
      <c r="H114" s="16" t="n">
        <v>0.45</v>
      </c>
      <c r="I114" s="17">
        <f>G114*(1-H114)</f>
        <v/>
      </c>
      <c r="J114" s="18" t="n">
        <v>477</v>
      </c>
      <c r="K114" s="19" t="inlineStr">
        <is>
          <t>=</t>
        </is>
      </c>
      <c r="L114" s="20">
        <f>J114+K114</f>
        <v/>
      </c>
      <c r="M114" s="21" t="n">
        <v>0.41</v>
      </c>
      <c r="N114" s="22">
        <f>G114*M114</f>
        <v/>
      </c>
      <c r="O114" s="23" t="n">
        <v>63</v>
      </c>
      <c r="P114" s="22">
        <f>G114*</f>
        <v/>
      </c>
      <c r="Q114" s="23" t="n">
        <v>25</v>
      </c>
      <c r="R114" s="22">
        <f>G114*</f>
        <v/>
      </c>
      <c r="S114" s="22">
        <f>I114*</f>
        <v/>
      </c>
      <c r="T114" s="24" t="n">
        <v>0.9</v>
      </c>
      <c r="U114" s="23" t="n">
        <v>63</v>
      </c>
      <c r="V114" s="22">
        <f>U114*(1-T114)</f>
        <v/>
      </c>
      <c r="W114" s="25" t="n">
        <v>0.4</v>
      </c>
      <c r="X114" s="22">
        <f>**W114</f>
        <v/>
      </c>
      <c r="Y114" s="20">
        <f>W114*(+0)</f>
        <v/>
      </c>
      <c r="Z114" s="21" t="n">
        <v>0.07000000000000001</v>
      </c>
      <c r="AA114" s="22">
        <f>G114*Z114</f>
        <v/>
      </c>
      <c r="AB114" s="24" t="n">
        <v>0.08</v>
      </c>
      <c r="AC114" s="22">
        <f>G114*AB114</f>
        <v/>
      </c>
      <c r="AD114" s="22">
        <f>AA114+AC114</f>
        <v/>
      </c>
      <c r="AE114" s="26">
        <f>AD114/G114</f>
        <v/>
      </c>
      <c r="AF114" s="27">
        <f>G114-N114-O114-P114-Q114-R114-S114-V114-X114-Y114-L114</f>
        <v/>
      </c>
      <c r="AG114" s="28">
        <f>AF114-AD114</f>
        <v/>
      </c>
      <c r="AH114" s="29">
        <f>AG114/G114</f>
        <v/>
      </c>
      <c r="AI114" s="30">
        <f>AG114/L114</f>
        <v/>
      </c>
      <c r="AJ114" s="22">
        <f>(O114+Q114+V114+X114+Y114+L114)/(1-(M114++(1-H114)*++Z114+AB114))</f>
        <v/>
      </c>
    </row>
    <row r="115">
      <c r="A115" s="43" t="inlineStr">
        <is>
          <t>1025 DOKDO BUBBLE FOAM_150ml</t>
        </is>
      </c>
      <c r="B115" s="44" t="n">
        <v>600</v>
      </c>
      <c r="C115" s="45" t="n"/>
      <c r="D115" s="15" t="n">
        <v>2650</v>
      </c>
      <c r="E115" s="15" t="n">
        <v>20</v>
      </c>
      <c r="F115" s="15" t="n">
        <v>2</v>
      </c>
      <c r="G115" s="15" t="n">
        <v>2500</v>
      </c>
      <c r="H115" s="16" t="n">
        <v>0.45</v>
      </c>
      <c r="I115" s="17">
        <f>G115*(1-H115)</f>
        <v/>
      </c>
      <c r="J115" s="18" t="n">
        <v>455</v>
      </c>
      <c r="K115" s="19" t="inlineStr">
        <is>
          <t>=</t>
        </is>
      </c>
      <c r="L115" s="20">
        <f>J115+K115</f>
        <v/>
      </c>
      <c r="M115" s="21" t="n">
        <v>0.41</v>
      </c>
      <c r="N115" s="22">
        <f>G115*M115</f>
        <v/>
      </c>
      <c r="O115" s="23" t="n">
        <v>74</v>
      </c>
      <c r="P115" s="22">
        <f>G115*</f>
        <v/>
      </c>
      <c r="Q115" s="23" t="n">
        <v>25</v>
      </c>
      <c r="R115" s="22">
        <f>G115*</f>
        <v/>
      </c>
      <c r="S115" s="22">
        <f>I115*</f>
        <v/>
      </c>
      <c r="T115" s="24" t="n">
        <v>0.9</v>
      </c>
      <c r="U115" s="23" t="n">
        <v>74</v>
      </c>
      <c r="V115" s="22">
        <f>U115*(1-T115)</f>
        <v/>
      </c>
      <c r="W115" s="25" t="n">
        <v>1.28</v>
      </c>
      <c r="X115" s="22">
        <f>**W115</f>
        <v/>
      </c>
      <c r="Y115" s="20">
        <f>W115*(+0)</f>
        <v/>
      </c>
      <c r="Z115" s="21" t="n">
        <v>0.07000000000000001</v>
      </c>
      <c r="AA115" s="22">
        <f>G115*Z115</f>
        <v/>
      </c>
      <c r="AB115" s="24" t="n">
        <v>0.08</v>
      </c>
      <c r="AC115" s="22">
        <f>G115*AB115</f>
        <v/>
      </c>
      <c r="AD115" s="22">
        <f>AA115+AC115</f>
        <v/>
      </c>
      <c r="AE115" s="26">
        <f>AD115/G115</f>
        <v/>
      </c>
      <c r="AF115" s="27">
        <f>G115-N115-O115-P115-Q115-R115-S115-V115-X115-Y115-L115</f>
        <v/>
      </c>
      <c r="AG115" s="28">
        <f>AF115-AD115</f>
        <v/>
      </c>
      <c r="AH115" s="29">
        <f>AG115/G115</f>
        <v/>
      </c>
      <c r="AI115" s="30">
        <f>AG115/L115</f>
        <v/>
      </c>
      <c r="AJ115" s="22">
        <f>(O115+Q115+V115+X115+Y115+L115)/(1-(M115++(1-H115)*++Z115+AB115))</f>
        <v/>
      </c>
    </row>
    <row r="116">
      <c r="A116" s="43" t="inlineStr">
        <is>
          <t>MEDICUBE PDRN PINK PEPTIDE SERUM 30ml</t>
        </is>
      </c>
      <c r="B116" s="44" t="n">
        <v>320</v>
      </c>
      <c r="C116" s="42" t="n"/>
      <c r="D116" s="15" t="n">
        <v>4880</v>
      </c>
      <c r="E116" s="15" t="n">
        <v>220</v>
      </c>
      <c r="F116" s="15" t="n">
        <v>10</v>
      </c>
      <c r="G116" s="15" t="n">
        <v>4580</v>
      </c>
      <c r="H116" s="16" t="n">
        <v>0.45</v>
      </c>
      <c r="I116" s="17">
        <f>G116*(1-H116)</f>
        <v/>
      </c>
      <c r="J116" s="18" t="n">
        <v>674</v>
      </c>
      <c r="K116" s="19" t="inlineStr">
        <is>
          <t>=</t>
        </is>
      </c>
      <c r="L116" s="20">
        <f>J116+K116</f>
        <v/>
      </c>
      <c r="M116" s="21" t="n">
        <v>0.41</v>
      </c>
      <c r="N116" s="22">
        <f>G116*M116</f>
        <v/>
      </c>
      <c r="O116" s="23" t="n">
        <v>63</v>
      </c>
      <c r="P116" s="22">
        <f>G116*</f>
        <v/>
      </c>
      <c r="Q116" s="23" t="n">
        <v>25</v>
      </c>
      <c r="R116" s="22">
        <f>G116*</f>
        <v/>
      </c>
      <c r="S116" s="22">
        <f>I116*</f>
        <v/>
      </c>
      <c r="T116" s="24" t="n">
        <v>0.9</v>
      </c>
      <c r="U116" s="23" t="n">
        <v>63</v>
      </c>
      <c r="V116" s="22">
        <f>U116*(1-T116)</f>
        <v/>
      </c>
      <c r="W116" s="25" t="n">
        <v>0.4</v>
      </c>
      <c r="X116" s="22">
        <f>**W116</f>
        <v/>
      </c>
      <c r="Y116" s="20">
        <f>W116*(+0)</f>
        <v/>
      </c>
      <c r="Z116" s="21" t="n">
        <v>0.07000000000000001</v>
      </c>
      <c r="AA116" s="22">
        <f>G116*Z116</f>
        <v/>
      </c>
      <c r="AB116" s="24" t="n">
        <v>0.08</v>
      </c>
      <c r="AC116" s="22">
        <f>G116*AB116</f>
        <v/>
      </c>
      <c r="AD116" s="22">
        <f>AA116+AC116</f>
        <v/>
      </c>
      <c r="AE116" s="26">
        <f>AD116/G116</f>
        <v/>
      </c>
      <c r="AF116" s="27">
        <f>G116-N116-O116-P116-Q116-R116-S116-V116-X116-Y116-L116</f>
        <v/>
      </c>
      <c r="AG116" s="28">
        <f>AF116-AD116</f>
        <v/>
      </c>
      <c r="AH116" s="29">
        <f>AG116/G116</f>
        <v/>
      </c>
      <c r="AI116" s="30">
        <f>AG116/L116</f>
        <v/>
      </c>
      <c r="AJ116" s="22">
        <f>(O116+Q116+V116+X116+Y116+L116)/(1-(M116++(1-H116)*++Z116+AB116))</f>
        <v/>
      </c>
    </row>
    <row r="117">
      <c r="A117" s="43" t="inlineStr">
        <is>
          <t>MEDICUBE PDRN PINK EXOSOME SHOT SERUM 7500 30ml</t>
        </is>
      </c>
      <c r="B117" s="44" t="n">
        <v>400</v>
      </c>
      <c r="C117" s="46" t="n"/>
      <c r="D117" s="15" t="n">
        <v>5000</v>
      </c>
      <c r="E117" s="15" t="n">
        <v>60</v>
      </c>
      <c r="F117" s="15" t="n">
        <v>10</v>
      </c>
      <c r="G117" s="15" t="n">
        <v>4700</v>
      </c>
      <c r="H117" s="16" t="n">
        <v>0.45</v>
      </c>
      <c r="I117" s="17">
        <f>G117*(1-H117)</f>
        <v/>
      </c>
      <c r="J117" s="18" t="n">
        <v>833</v>
      </c>
      <c r="K117" s="19" t="inlineStr">
        <is>
          <t>=</t>
        </is>
      </c>
      <c r="L117" s="20">
        <f>J117+K117</f>
        <v/>
      </c>
      <c r="M117" s="21" t="n">
        <v>0.41</v>
      </c>
      <c r="N117" s="22">
        <f>G117*M117</f>
        <v/>
      </c>
      <c r="O117" s="23" t="n">
        <v>63</v>
      </c>
      <c r="P117" s="22">
        <f>G117*</f>
        <v/>
      </c>
      <c r="Q117" s="23" t="n">
        <v>25</v>
      </c>
      <c r="R117" s="22">
        <f>G117*</f>
        <v/>
      </c>
      <c r="S117" s="22">
        <f>I117*</f>
        <v/>
      </c>
      <c r="T117" s="24" t="n">
        <v>0.9</v>
      </c>
      <c r="U117" s="23" t="n">
        <v>63</v>
      </c>
      <c r="V117" s="22">
        <f>U117*(1-T117)</f>
        <v/>
      </c>
      <c r="W117" s="25" t="n">
        <v>0.4</v>
      </c>
      <c r="X117" s="22">
        <f>**W117</f>
        <v/>
      </c>
      <c r="Y117" s="20">
        <f>W117*(+0)</f>
        <v/>
      </c>
      <c r="Z117" s="21" t="n">
        <v>0.07000000000000001</v>
      </c>
      <c r="AA117" s="22">
        <f>G117*Z117</f>
        <v/>
      </c>
      <c r="AB117" s="24" t="n">
        <v>0.08</v>
      </c>
      <c r="AC117" s="22">
        <f>G117*AB117</f>
        <v/>
      </c>
      <c r="AD117" s="22">
        <f>AA117+AC117</f>
        <v/>
      </c>
      <c r="AE117" s="26">
        <f>AD117/G117</f>
        <v/>
      </c>
      <c r="AF117" s="27">
        <f>G117-N117-O117-P117-Q117-R117-S117-V117-X117-Y117-L117</f>
        <v/>
      </c>
      <c r="AG117" s="28">
        <f>AF117-AD117</f>
        <v/>
      </c>
      <c r="AH117" s="29">
        <f>AG117/G117</f>
        <v/>
      </c>
      <c r="AI117" s="30">
        <f>AG117/L117</f>
        <v/>
      </c>
      <c r="AJ117" s="22">
        <f>(O117+Q117+V117+X117+Y117+L117)/(1-(M117++(1-H117)*++Z117+AB117))</f>
        <v/>
      </c>
    </row>
    <row r="118">
      <c r="A118" s="43" t="inlineStr">
        <is>
          <t>MEDICUBE PDRN PINK EXOSOME SHOT SERUM 2000 30ml</t>
        </is>
      </c>
      <c r="B118" s="44" t="n">
        <v>300</v>
      </c>
      <c r="C118" s="42" t="n"/>
      <c r="D118" s="15" t="n">
        <v>5150</v>
      </c>
      <c r="E118" s="15" t="n">
        <v>65</v>
      </c>
      <c r="F118" s="15" t="n">
        <v>5</v>
      </c>
      <c r="G118" s="15" t="n">
        <v>4850</v>
      </c>
      <c r="H118" s="16" t="n">
        <v>0.45</v>
      </c>
      <c r="I118" s="17">
        <f>G118*(1-H118)</f>
        <v/>
      </c>
      <c r="J118" s="18" t="n">
        <v>757</v>
      </c>
      <c r="K118" s="19" t="inlineStr">
        <is>
          <t>=</t>
        </is>
      </c>
      <c r="L118" s="20">
        <f>J118+K118</f>
        <v/>
      </c>
      <c r="M118" s="21" t="n">
        <v>0.41</v>
      </c>
      <c r="N118" s="22">
        <f>G118*M118</f>
        <v/>
      </c>
      <c r="O118" s="23" t="n">
        <v>63</v>
      </c>
      <c r="P118" s="22">
        <f>G118*</f>
        <v/>
      </c>
      <c r="Q118" s="23" t="n">
        <v>25</v>
      </c>
      <c r="R118" s="22">
        <f>G118*</f>
        <v/>
      </c>
      <c r="S118" s="22">
        <f>I118*</f>
        <v/>
      </c>
      <c r="T118" s="24" t="n">
        <v>0.9</v>
      </c>
      <c r="U118" s="23" t="n">
        <v>63</v>
      </c>
      <c r="V118" s="22">
        <f>U118*(1-T118)</f>
        <v/>
      </c>
      <c r="W118" s="25" t="n">
        <v>0.4</v>
      </c>
      <c r="X118" s="22">
        <f>**W118</f>
        <v/>
      </c>
      <c r="Y118" s="20">
        <f>W118*(+0)</f>
        <v/>
      </c>
      <c r="Z118" s="21" t="n">
        <v>0.07000000000000001</v>
      </c>
      <c r="AA118" s="22">
        <f>G118*Z118</f>
        <v/>
      </c>
      <c r="AB118" s="24" t="n">
        <v>0.08</v>
      </c>
      <c r="AC118" s="22">
        <f>G118*AB118</f>
        <v/>
      </c>
      <c r="AD118" s="22">
        <f>AA118+AC118</f>
        <v/>
      </c>
      <c r="AE118" s="26">
        <f>AD118/G118</f>
        <v/>
      </c>
      <c r="AF118" s="27">
        <f>G118-N118-O118-P118-Q118-R118-S118-V118-X118-Y118-L118</f>
        <v/>
      </c>
      <c r="AG118" s="28">
        <f>AF118-AD118</f>
        <v/>
      </c>
      <c r="AH118" s="29">
        <f>AG118/G118</f>
        <v/>
      </c>
      <c r="AI118" s="30">
        <f>AG118/L118</f>
        <v/>
      </c>
      <c r="AJ118" s="22">
        <f>(O118+Q118+V118+X118+Y118+L118)/(1-(M118++(1-H118)*++Z118+AB118))</f>
        <v/>
      </c>
    </row>
    <row r="119">
      <c r="A119" s="43" t="inlineStr">
        <is>
          <t>MEDICUBE TXA NIACINAMIDE CAPSULE CREAM 55g</t>
        </is>
      </c>
      <c r="B119" s="44" t="n">
        <v>240</v>
      </c>
      <c r="C119" s="42" t="n"/>
      <c r="D119" s="15" t="n">
        <v>6900</v>
      </c>
      <c r="E119" s="15" t="n">
        <v>25</v>
      </c>
      <c r="F119" s="15" t="n">
        <v>0</v>
      </c>
      <c r="G119" s="15" t="n">
        <v>6500</v>
      </c>
      <c r="H119" s="16" t="n">
        <v>0.45</v>
      </c>
      <c r="I119" s="17">
        <f>G119*(1-H119)</f>
        <v/>
      </c>
      <c r="J119" s="18" t="n">
        <v>922</v>
      </c>
      <c r="K119" s="19" t="inlineStr">
        <is>
          <t>=</t>
        </is>
      </c>
      <c r="L119" s="20">
        <f>J119+K119</f>
        <v/>
      </c>
      <c r="M119" s="21" t="n">
        <v>0.41</v>
      </c>
      <c r="N119" s="22">
        <f>G119*M119</f>
        <v/>
      </c>
      <c r="O119" s="23" t="n">
        <v>63</v>
      </c>
      <c r="P119" s="22">
        <f>G119*</f>
        <v/>
      </c>
      <c r="Q119" s="23" t="n">
        <v>25</v>
      </c>
      <c r="R119" s="22">
        <f>G119*</f>
        <v/>
      </c>
      <c r="S119" s="22">
        <f>I119*</f>
        <v/>
      </c>
      <c r="T119" s="24" t="n">
        <v>0.9</v>
      </c>
      <c r="U119" s="23" t="n">
        <v>63</v>
      </c>
      <c r="V119" s="22">
        <f>U119*(1-T119)</f>
        <v/>
      </c>
      <c r="W119" s="25" t="n">
        <v>0.4</v>
      </c>
      <c r="X119" s="22">
        <f>**W119</f>
        <v/>
      </c>
      <c r="Y119" s="20">
        <f>W119*(+0)</f>
        <v/>
      </c>
      <c r="Z119" s="21" t="n">
        <v>0.07000000000000001</v>
      </c>
      <c r="AA119" s="22">
        <f>G119*Z119</f>
        <v/>
      </c>
      <c r="AB119" s="24" t="n">
        <v>0.08</v>
      </c>
      <c r="AC119" s="22">
        <f>G119*AB119</f>
        <v/>
      </c>
      <c r="AD119" s="22">
        <f>AA119+AC119</f>
        <v/>
      </c>
      <c r="AE119" s="26">
        <f>AD119/G119</f>
        <v/>
      </c>
      <c r="AF119" s="27">
        <f>G119-N119-O119-P119-Q119-R119-S119-V119-X119-Y119-L119</f>
        <v/>
      </c>
      <c r="AG119" s="28">
        <f>AF119-AD119</f>
        <v/>
      </c>
      <c r="AH119" s="29">
        <f>AG119/G119</f>
        <v/>
      </c>
      <c r="AI119" s="30">
        <f>AG119/L119</f>
        <v/>
      </c>
      <c r="AJ119" s="22">
        <f>(O119+Q119+V119+X119+Y119+L119)/(1-(M119++(1-H119)*++Z119+AB119))</f>
        <v/>
      </c>
    </row>
    <row r="120">
      <c r="A120" s="43" t="inlineStr">
        <is>
          <t>MEDICUBE PDRN PINK COLLAGEN CAPSULE CREAM 55g</t>
        </is>
      </c>
      <c r="B120" s="44" t="n">
        <v>160</v>
      </c>
      <c r="C120" s="42" t="n"/>
      <c r="D120" s="15" t="n">
        <v>5270</v>
      </c>
      <c r="E120" s="15" t="n">
        <v>200</v>
      </c>
      <c r="F120" s="15" t="n">
        <v>17</v>
      </c>
      <c r="G120" s="15" t="n">
        <v>5000</v>
      </c>
      <c r="H120" s="16" t="n">
        <v>0.45</v>
      </c>
      <c r="I120" s="17">
        <f>G120*(1-H120)</f>
        <v/>
      </c>
      <c r="J120" s="18" t="n">
        <v>1019</v>
      </c>
      <c r="K120" s="19" t="inlineStr">
        <is>
          <t>=</t>
        </is>
      </c>
      <c r="L120" s="20">
        <f>J120+K120</f>
        <v/>
      </c>
      <c r="M120" s="21" t="n">
        <v>0.41</v>
      </c>
      <c r="N120" s="22">
        <f>G120*M120</f>
        <v/>
      </c>
      <c r="O120" s="23" t="n">
        <v>63</v>
      </c>
      <c r="P120" s="22">
        <f>G120*</f>
        <v/>
      </c>
      <c r="Q120" s="23" t="n">
        <v>25</v>
      </c>
      <c r="R120" s="22">
        <f>G120*</f>
        <v/>
      </c>
      <c r="S120" s="22">
        <f>I120*</f>
        <v/>
      </c>
      <c r="T120" s="24" t="n">
        <v>0.9</v>
      </c>
      <c r="U120" s="23" t="n">
        <v>63</v>
      </c>
      <c r="V120" s="22">
        <f>U120*(1-T120)</f>
        <v/>
      </c>
      <c r="W120" s="25" t="n">
        <v>0.4</v>
      </c>
      <c r="X120" s="22">
        <f>**W120</f>
        <v/>
      </c>
      <c r="Y120" s="20">
        <f>W120*(+0)</f>
        <v/>
      </c>
      <c r="Z120" s="21" t="n">
        <v>0.07000000000000001</v>
      </c>
      <c r="AA120" s="22">
        <f>G120*Z120</f>
        <v/>
      </c>
      <c r="AB120" s="24" t="n">
        <v>0.08</v>
      </c>
      <c r="AC120" s="22">
        <f>G120*AB120</f>
        <v/>
      </c>
      <c r="AD120" s="22">
        <f>AA120+AC120</f>
        <v/>
      </c>
      <c r="AE120" s="26">
        <f>AD120/G120</f>
        <v/>
      </c>
      <c r="AF120" s="27">
        <f>G120-N120-O120-P120-Q120-R120-S120-V120-X120-Y120-L120</f>
        <v/>
      </c>
      <c r="AG120" s="28">
        <f>AF120-AD120</f>
        <v/>
      </c>
      <c r="AH120" s="29">
        <f>AG120/G120</f>
        <v/>
      </c>
      <c r="AI120" s="30">
        <f>AG120/L120</f>
        <v/>
      </c>
      <c r="AJ120" s="22">
        <f>(O120+Q120+V120+X120+Y120+L120)/(1-(M120++(1-H120)*++Z120+AB120))</f>
        <v/>
      </c>
    </row>
    <row r="121">
      <c r="A121" s="43" t="inlineStr">
        <is>
          <t>MEDICUBE PDRN PINK HYALURONIC MOISTURIZING CREAM 50ml</t>
        </is>
      </c>
      <c r="B121" s="44" t="n">
        <v>200</v>
      </c>
      <c r="C121" s="42" t="n"/>
      <c r="D121" s="15" t="n">
        <v>3450</v>
      </c>
      <c r="E121" s="15" t="n">
        <v>100</v>
      </c>
      <c r="F121" s="15" t="n">
        <v>10</v>
      </c>
      <c r="G121" s="15" t="n">
        <v>3150</v>
      </c>
      <c r="H121" s="16" t="n">
        <v>0.45</v>
      </c>
      <c r="I121" s="17">
        <f>G121*(1-H121)</f>
        <v/>
      </c>
      <c r="J121" s="18" t="n">
        <v>670</v>
      </c>
      <c r="K121" s="19" t="inlineStr">
        <is>
          <t>=</t>
        </is>
      </c>
      <c r="L121" s="20">
        <f>J121+K121</f>
        <v/>
      </c>
      <c r="M121" s="21" t="n">
        <v>0.41</v>
      </c>
      <c r="N121" s="22">
        <f>G121*M121</f>
        <v/>
      </c>
      <c r="O121" s="23" t="n">
        <v>63</v>
      </c>
      <c r="P121" s="22">
        <f>G121*</f>
        <v/>
      </c>
      <c r="Q121" s="23" t="n">
        <v>25</v>
      </c>
      <c r="R121" s="22">
        <f>G121*</f>
        <v/>
      </c>
      <c r="S121" s="22">
        <f>I121*</f>
        <v/>
      </c>
      <c r="T121" s="24" t="n">
        <v>0.9</v>
      </c>
      <c r="U121" s="23" t="n">
        <v>63</v>
      </c>
      <c r="V121" s="22">
        <f>U121*(1-T121)</f>
        <v/>
      </c>
      <c r="W121" s="25" t="n">
        <v>0.4</v>
      </c>
      <c r="X121" s="22">
        <f>**W121</f>
        <v/>
      </c>
      <c r="Y121" s="20">
        <f>W121*(+0)</f>
        <v/>
      </c>
      <c r="Z121" s="21" t="n">
        <v>0.07000000000000001</v>
      </c>
      <c r="AA121" s="22">
        <f>G121*Z121</f>
        <v/>
      </c>
      <c r="AB121" s="24" t="n">
        <v>0.08</v>
      </c>
      <c r="AC121" s="22">
        <f>G121*AB121</f>
        <v/>
      </c>
      <c r="AD121" s="22">
        <f>AA121+AC121</f>
        <v/>
      </c>
      <c r="AE121" s="26">
        <f>AD121/G121</f>
        <v/>
      </c>
      <c r="AF121" s="27">
        <f>G121-N121-O121-P121-Q121-R121-S121-V121-X121-Y121-L121</f>
        <v/>
      </c>
      <c r="AG121" s="28">
        <f>AF121-AD121</f>
        <v/>
      </c>
      <c r="AH121" s="29">
        <f>AG121/G121</f>
        <v/>
      </c>
      <c r="AI121" s="30">
        <f>AG121/L121</f>
        <v/>
      </c>
      <c r="AJ121" s="22">
        <f>(O121+Q121+V121+X121+Y121+L121)/(1-(M121++(1-H121)*++Z121+AB121))</f>
        <v/>
      </c>
    </row>
    <row r="122">
      <c r="A122" s="43" t="inlineStr">
        <is>
          <t>[Derma Factory] PDRN 4% Ampoule</t>
        </is>
      </c>
      <c r="B122" s="44" t="n">
        <v>1530</v>
      </c>
      <c r="C122" s="42" t="n"/>
      <c r="D122" s="15" t="n">
        <v>3350</v>
      </c>
      <c r="E122" s="15" t="n">
        <v>400</v>
      </c>
      <c r="F122" s="15" t="n">
        <v>13</v>
      </c>
      <c r="G122" s="15" t="n">
        <v>3050</v>
      </c>
      <c r="H122" s="16" t="n">
        <v>0.45</v>
      </c>
      <c r="I122" s="17">
        <f>G122*(1-H122)</f>
        <v/>
      </c>
      <c r="J122" s="18" t="n">
        <v>407</v>
      </c>
      <c r="K122" s="19" t="inlineStr">
        <is>
          <t>=</t>
        </is>
      </c>
      <c r="L122" s="20">
        <f>J122+K122</f>
        <v/>
      </c>
      <c r="M122" s="21" t="n">
        <v>0.41</v>
      </c>
      <c r="N122" s="22">
        <f>G122*M122</f>
        <v/>
      </c>
      <c r="O122" s="23" t="n">
        <v>63</v>
      </c>
      <c r="P122" s="22">
        <f>G122*</f>
        <v/>
      </c>
      <c r="Q122" s="23" t="n">
        <v>25</v>
      </c>
      <c r="R122" s="22">
        <f>G122*</f>
        <v/>
      </c>
      <c r="S122" s="22">
        <f>I122*</f>
        <v/>
      </c>
      <c r="T122" s="24" t="n">
        <v>0.9</v>
      </c>
      <c r="U122" s="23" t="n">
        <v>63</v>
      </c>
      <c r="V122" s="22">
        <f>U122*(1-T122)</f>
        <v/>
      </c>
      <c r="W122" s="25" t="n">
        <v>0.4</v>
      </c>
      <c r="X122" s="22">
        <f>**W122</f>
        <v/>
      </c>
      <c r="Y122" s="20">
        <f>W122*(+0)</f>
        <v/>
      </c>
      <c r="Z122" s="21" t="n">
        <v>0.07000000000000001</v>
      </c>
      <c r="AA122" s="22">
        <f>G122*Z122</f>
        <v/>
      </c>
      <c r="AB122" s="24" t="n">
        <v>0.08</v>
      </c>
      <c r="AC122" s="22">
        <f>G122*AB122</f>
        <v/>
      </c>
      <c r="AD122" s="22">
        <f>AA122+AC122</f>
        <v/>
      </c>
      <c r="AE122" s="26">
        <f>AD122/G122</f>
        <v/>
      </c>
      <c r="AF122" s="27">
        <f>G122-N122-O122-P122-Q122-R122-S122-V122-X122-Y122-L122</f>
        <v/>
      </c>
      <c r="AG122" s="28">
        <f>AF122-AD122</f>
        <v/>
      </c>
      <c r="AH122" s="29">
        <f>AG122/G122</f>
        <v/>
      </c>
      <c r="AI122" s="30">
        <f>AG122/L122</f>
        <v/>
      </c>
      <c r="AJ122" s="22">
        <f>(O122+Q122+V122+X122+Y122+L122)/(1-(M122++(1-H122)*++Z122+AB122))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2026-08-05T11:31:26Z</dcterms:created>
  <dcterms:modified xsi:type="dcterms:W3CDTF">2026-08-05T11:31:27Z</dcterms:modified>
</cp:coreProperties>
</file>
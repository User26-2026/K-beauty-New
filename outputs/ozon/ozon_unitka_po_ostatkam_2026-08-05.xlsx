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b val="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00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2F2F2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4" borderId="7" pivotButton="0" quotePrefix="0" xfId="0"/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8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0" fontId="8" fillId="10" borderId="8" applyAlignment="1" pivotButton="0" quotePrefix="0" xfId="0">
      <alignment vertical="bottom"/>
    </xf>
    <xf numFmtId="4" fontId="9" fillId="11" borderId="9" applyAlignment="1" pivotButton="0" quotePrefix="0" xfId="0">
      <alignment horizontal="center"/>
    </xf>
    <xf numFmtId="0" fontId="8" fillId="2" borderId="8" applyAlignment="1" pivotButton="0" quotePrefix="0" xfId="0">
      <alignment vertical="bottom"/>
    </xf>
    <xf numFmtId="4" fontId="10" fillId="11" borderId="9" applyAlignment="1" pivotButton="0" quotePrefix="0" xfId="0">
      <alignment horizontal="center"/>
    </xf>
    <xf numFmtId="4" fontId="10" fillId="11" borderId="10" applyAlignment="1" pivotButton="0" quotePrefix="0" xfId="0">
      <alignment horizontal="center" vertical="bottom"/>
    </xf>
    <xf numFmtId="0" fontId="8" fillId="12" borderId="8" applyAlignment="1" pivotButton="0" quotePrefix="0" xfId="0">
      <alignment vertical="bottom"/>
    </xf>
    <xf numFmtId="0" fontId="6" fillId="13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1" fillId="0" borderId="1" pivotButton="0" quotePrefix="0" xfId="0"/>
    <xf numFmtId="0" fontId="6" fillId="14" borderId="2" applyAlignment="1" pivotButton="0" quotePrefix="0" xfId="0">
      <alignment wrapText="1"/>
    </xf>
    <xf numFmtId="0" fontId="7" fillId="14" borderId="2" applyAlignment="1" pivotButton="0" quotePrefix="0" xfId="0">
      <alignment horizontal="center"/>
    </xf>
    <xf numFmtId="0" fontId="7" fillId="5" borderId="1" pivotButton="0" quotePrefix="0" xfId="0"/>
    <xf numFmtId="0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2"/>
  <sheetViews>
    <sheetView workbookViewId="0">
      <pane xSplit="7" ySplit="12" topLeftCell="H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Косметика/COSRX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</row>
    <row r="14">
      <c r="A14" s="14" t="inlineStr">
        <is>
          <t>COSRX - Salicylic Acid Daily Gentle Cleanser [150ml] / Пенка с салициловой кислотой для проблемной кожи</t>
        </is>
      </c>
      <c r="B14" s="15" t="n"/>
      <c r="C14" s="16" t="n"/>
      <c r="D14" s="17" t="n">
        <v>1680</v>
      </c>
      <c r="E14" s="17" t="n">
        <v>286</v>
      </c>
      <c r="F14" s="17" t="n">
        <v>22.3</v>
      </c>
      <c r="G14" s="17">
        <f>(2.0*L14+O14+Q14+V14+X14+Y14)/(1-M14-$G$8-$G$4-(1-H14)*$G$3-Z14-AB14)</f>
        <v/>
      </c>
      <c r="H14" s="18" t="n">
        <v>0.45</v>
      </c>
      <c r="I14" s="19">
        <f>G14*(1-H14)</f>
        <v/>
      </c>
      <c r="J14" s="20" t="n">
        <v>343.82</v>
      </c>
      <c r="K14" s="21">
        <f>$G$5</f>
        <v/>
      </c>
      <c r="L14" s="22">
        <f>J14+K14</f>
        <v/>
      </c>
      <c r="M14" s="23" t="n">
        <v>0.41</v>
      </c>
      <c r="N14" s="24">
        <f>G14*M14</f>
        <v/>
      </c>
      <c r="O14" s="25" t="n">
        <v>67</v>
      </c>
      <c r="P14" s="24">
        <f>G14*$G$8</f>
        <v/>
      </c>
      <c r="Q14" s="25" t="n">
        <v>25</v>
      </c>
      <c r="R14" s="24">
        <f>G14*$G$4</f>
        <v/>
      </c>
      <c r="S14" s="24">
        <f>I14*$G$3</f>
        <v/>
      </c>
      <c r="T14" s="26" t="n">
        <v>0.9</v>
      </c>
      <c r="U14" s="25" t="n">
        <v>67</v>
      </c>
      <c r="V14" s="24">
        <f>U14*(1-T14)</f>
        <v/>
      </c>
      <c r="W14" s="27" t="n">
        <v>0.63</v>
      </c>
      <c r="X14" s="24">
        <f>$G$6*$G$7*W14</f>
        <v/>
      </c>
      <c r="Y14" s="22">
        <f>W14*($G$9+$G$10)</f>
        <v/>
      </c>
      <c r="Z14" s="23" t="n">
        <v>0.11</v>
      </c>
      <c r="AA14" s="24">
        <f>G14*Z14</f>
        <v/>
      </c>
      <c r="AB14" s="26" t="n">
        <v>0.11</v>
      </c>
      <c r="AC14" s="24">
        <f>G14*AB14</f>
        <v/>
      </c>
      <c r="AD14" s="24">
        <f>AA14+AC14</f>
        <v/>
      </c>
      <c r="AE14" s="28">
        <f>AD14/G14</f>
        <v/>
      </c>
      <c r="AF14" s="29">
        <f>G14-N14-O14-P14-Q14-R14-S14-V14-X14-Y14-L14</f>
        <v/>
      </c>
      <c r="AG14" s="30">
        <f>AF14-AD14</f>
        <v/>
      </c>
      <c r="AH14" s="31">
        <f>AG14/G14</f>
        <v/>
      </c>
      <c r="AI14" s="32">
        <f>AG14/L14</f>
        <v/>
      </c>
      <c r="AJ14" s="24">
        <f>(O14+Q14+V14+X14+Y14+L14)/(1-(M14+$G$4+(1-H14)*$G$3+$G$8+Z14+AB14))</f>
        <v/>
      </c>
    </row>
    <row r="15">
      <c r="A15" s="12" t="inlineStr">
        <is>
          <t>Косметика/DEOPROCE/DEOPROCE-SHAMPOO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</row>
    <row r="16">
      <c r="A16" s="33" t="inlineStr">
        <is>
          <t>DEOPROCE SHAMPOO - BLACK GARLIC INTENSME ENERGY [600ml] мягкая упаковка Шампунь с черным чесноком против выпадения волос</t>
        </is>
      </c>
      <c r="B16" s="34" t="n"/>
      <c r="C16" s="34" t="n"/>
      <c r="D16" s="35" t="n"/>
      <c r="E16" s="35" t="n"/>
      <c r="F16" s="35" t="n"/>
      <c r="G16" s="35" t="n"/>
      <c r="H16" s="36" t="n"/>
      <c r="I16" s="37" t="n"/>
      <c r="J16" s="38" t="n"/>
      <c r="K16" s="38" t="n"/>
      <c r="L16" s="39" t="n"/>
      <c r="M16" s="40" t="n"/>
      <c r="N16" s="35" t="n"/>
      <c r="O16" s="35" t="n"/>
      <c r="P16" s="35" t="n"/>
      <c r="Q16" s="35" t="n"/>
      <c r="R16" s="35" t="n"/>
      <c r="S16" s="35" t="n"/>
      <c r="T16" s="41" t="n"/>
      <c r="U16" s="35" t="n"/>
      <c r="V16" s="35" t="n"/>
      <c r="W16" s="42" t="n"/>
      <c r="X16" s="35" t="n"/>
      <c r="Y16" s="39" t="n"/>
      <c r="Z16" s="40" t="n"/>
      <c r="AA16" s="35" t="n"/>
      <c r="AB16" s="41" t="n"/>
      <c r="AC16" s="35" t="n"/>
      <c r="AD16" s="35" t="n"/>
      <c r="AE16" s="43" t="n"/>
      <c r="AF16" s="44" t="n"/>
      <c r="AG16" s="35" t="n"/>
      <c r="AH16" s="41" t="n"/>
      <c r="AI16" s="41" t="n"/>
      <c r="AJ16" s="35" t="n"/>
    </row>
    <row r="17">
      <c r="A17" s="3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4" t="n"/>
      <c r="C17" s="34" t="n"/>
      <c r="D17" s="35" t="n"/>
      <c r="E17" s="35" t="n"/>
      <c r="F17" s="35" t="n"/>
      <c r="G17" s="35" t="n"/>
      <c r="H17" s="36" t="n"/>
      <c r="I17" s="37" t="n"/>
      <c r="J17" s="38" t="n"/>
      <c r="K17" s="38" t="n"/>
      <c r="L17" s="39" t="n"/>
      <c r="M17" s="40" t="n"/>
      <c r="N17" s="35" t="n"/>
      <c r="O17" s="35" t="n"/>
      <c r="P17" s="35" t="n"/>
      <c r="Q17" s="35" t="n"/>
      <c r="R17" s="35" t="n"/>
      <c r="S17" s="35" t="n"/>
      <c r="T17" s="41" t="n"/>
      <c r="U17" s="35" t="n"/>
      <c r="V17" s="35" t="n"/>
      <c r="W17" s="42" t="n"/>
      <c r="X17" s="35" t="n"/>
      <c r="Y17" s="39" t="n"/>
      <c r="Z17" s="40" t="n"/>
      <c r="AA17" s="35" t="n"/>
      <c r="AB17" s="41" t="n"/>
      <c r="AC17" s="35" t="n"/>
      <c r="AD17" s="35" t="n"/>
      <c r="AE17" s="43" t="n"/>
      <c r="AF17" s="44" t="n"/>
      <c r="AG17" s="35" t="n"/>
      <c r="AH17" s="41" t="n"/>
      <c r="AI17" s="41" t="n"/>
      <c r="AJ17" s="35" t="n"/>
    </row>
    <row r="18">
      <c r="A18" s="14" t="inlineStr">
        <is>
          <t>DEOPROCE SHAMPOO - BLACK GARLIC INTENSME ENERGY [200ml]/ Шампунь с черным чесноком против выпадения волос</t>
        </is>
      </c>
      <c r="B18" s="15" t="n"/>
      <c r="C18" s="16" t="n"/>
      <c r="D18" s="17" t="n">
        <v>980</v>
      </c>
      <c r="E18" s="17" t="n">
        <v>8</v>
      </c>
      <c r="F18" s="17" t="n">
        <v>0</v>
      </c>
      <c r="G18" s="17">
        <f>(2.0*L18+O18+Q18+V18+X18+Y18)/(1-M18-$G$8-$G$4-(1-H18)*$G$3-Z18-AB18)</f>
        <v/>
      </c>
      <c r="H18" s="18" t="n">
        <v>0.45</v>
      </c>
      <c r="I18" s="19">
        <f>G18*(1-H18)</f>
        <v/>
      </c>
      <c r="J18" s="20" t="n">
        <v>151.13</v>
      </c>
      <c r="K18" s="21">
        <f>$G$5</f>
        <v/>
      </c>
      <c r="L18" s="22">
        <f>J18+K18</f>
        <v/>
      </c>
      <c r="M18" s="23" t="n">
        <v>0.41</v>
      </c>
      <c r="N18" s="24">
        <f>G18*M18</f>
        <v/>
      </c>
      <c r="O18" s="25" t="n">
        <v>67</v>
      </c>
      <c r="P18" s="24">
        <f>G18*$G$8</f>
        <v/>
      </c>
      <c r="Q18" s="25" t="n">
        <v>25</v>
      </c>
      <c r="R18" s="24">
        <f>G18*$G$4</f>
        <v/>
      </c>
      <c r="S18" s="24">
        <f>I18*$G$3</f>
        <v/>
      </c>
      <c r="T18" s="26" t="n">
        <v>0.9</v>
      </c>
      <c r="U18" s="25" t="n">
        <v>67</v>
      </c>
      <c r="V18" s="24">
        <f>U18*(1-T18)</f>
        <v/>
      </c>
      <c r="W18" s="27" t="n">
        <v>0.68</v>
      </c>
      <c r="X18" s="24">
        <f>$G$6*$G$7*W18</f>
        <v/>
      </c>
      <c r="Y18" s="22">
        <f>W18*($G$9+$G$10)</f>
        <v/>
      </c>
      <c r="Z18" s="23" t="n">
        <v>0.07000000000000001</v>
      </c>
      <c r="AA18" s="24">
        <f>G18*Z18</f>
        <v/>
      </c>
      <c r="AB18" s="26" t="n">
        <v>0.08</v>
      </c>
      <c r="AC18" s="24">
        <f>G18*AB18</f>
        <v/>
      </c>
      <c r="AD18" s="24">
        <f>AA18+AC18</f>
        <v/>
      </c>
      <c r="AE18" s="28">
        <f>AD18/G18</f>
        <v/>
      </c>
      <c r="AF18" s="29">
        <f>G18-N18-O18-P18-Q18-R18-S18-V18-X18-Y18-L18</f>
        <v/>
      </c>
      <c r="AG18" s="30">
        <f>AF18-AD18</f>
        <v/>
      </c>
      <c r="AH18" s="31">
        <f>AG18/G18</f>
        <v/>
      </c>
      <c r="AI18" s="32">
        <f>AG18/L18</f>
        <v/>
      </c>
      <c r="AJ18" s="24">
        <f>(O18+Q18+V18+X18+Y18+L18)/(1-(M18+$G$4+(1-H18)*$G$3+$G$8+Z18+AB18))</f>
        <v/>
      </c>
    </row>
    <row r="19">
      <c r="A19" s="12" t="inlineStr">
        <is>
          <t>Косметика/DEOPROCE/НАБОР ШАМПУНЬ+БАЛЬЗАМ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</row>
    <row r="20">
      <c r="A20" s="33" t="inlineStr">
        <is>
          <t>DEOPROCE SHAMPOO+BALSAM - BLACK GARLIC[2000ml]</t>
        </is>
      </c>
      <c r="B20" s="34" t="n"/>
      <c r="C20" s="34" t="n"/>
      <c r="D20" s="35" t="n"/>
      <c r="E20" s="35" t="n"/>
      <c r="F20" s="35" t="n"/>
      <c r="G20" s="35" t="n"/>
      <c r="H20" s="36" t="n"/>
      <c r="I20" s="37" t="n"/>
      <c r="J20" s="38" t="n"/>
      <c r="K20" s="38" t="n"/>
      <c r="L20" s="39" t="n"/>
      <c r="M20" s="40" t="n"/>
      <c r="N20" s="35" t="n"/>
      <c r="O20" s="35" t="n"/>
      <c r="P20" s="35" t="n"/>
      <c r="Q20" s="35" t="n"/>
      <c r="R20" s="35" t="n"/>
      <c r="S20" s="35" t="n"/>
      <c r="T20" s="41" t="n"/>
      <c r="U20" s="35" t="n"/>
      <c r="V20" s="35" t="n"/>
      <c r="W20" s="42" t="n"/>
      <c r="X20" s="35" t="n"/>
      <c r="Y20" s="39" t="n"/>
      <c r="Z20" s="40" t="n"/>
      <c r="AA20" s="35" t="n"/>
      <c r="AB20" s="41" t="n"/>
      <c r="AC20" s="35" t="n"/>
      <c r="AD20" s="35" t="n"/>
      <c r="AE20" s="43" t="n"/>
      <c r="AF20" s="44" t="n"/>
      <c r="AG20" s="35" t="n"/>
      <c r="AH20" s="41" t="n"/>
      <c r="AI20" s="41" t="n"/>
      <c r="AJ20" s="35" t="n"/>
    </row>
    <row r="21">
      <c r="A21" s="12" t="inlineStr">
        <is>
          <t>Косметика/DR.JART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</row>
    <row r="22">
      <c r="A22" s="14" t="inlineStr">
        <is>
          <t>DR. JART - Ctrl+A Teatreatment Toner [120ml] / Тонер тоник для лица увлажняющий с чайным деревом</t>
        </is>
      </c>
      <c r="B22" s="15" t="n"/>
      <c r="C22" s="16" t="n"/>
      <c r="D22" s="17" t="n"/>
      <c r="E22" s="17" t="inlineStr">
        <is>
          <t>89 (Закончились)</t>
        </is>
      </c>
      <c r="F22" s="17" t="n">
        <v>9.199999999999999</v>
      </c>
      <c r="G22" s="17">
        <f>(2.0*L22+O22+Q22+V22+X22+Y22)/(1-M22-$G$8-$G$4-(1-H22)*$G$3-Z22-AB22)</f>
        <v/>
      </c>
      <c r="H22" s="18" t="n">
        <v>0.45</v>
      </c>
      <c r="I22" s="19">
        <f>G22*(1-H22)</f>
        <v/>
      </c>
      <c r="J22" s="20" t="n">
        <v>637.89</v>
      </c>
      <c r="K22" s="21">
        <f>$G$5</f>
        <v/>
      </c>
      <c r="L22" s="22">
        <f>J22+K22</f>
        <v/>
      </c>
      <c r="M22" s="23" t="n">
        <v>0.41</v>
      </c>
      <c r="N22" s="24">
        <f>G22*M22</f>
        <v/>
      </c>
      <c r="O22" s="25" t="n">
        <v>63</v>
      </c>
      <c r="P22" s="24">
        <f>G22*$G$8</f>
        <v/>
      </c>
      <c r="Q22" s="25" t="n">
        <v>25</v>
      </c>
      <c r="R22" s="24">
        <f>G22*$G$4</f>
        <v/>
      </c>
      <c r="S22" s="24">
        <f>I22*$G$3</f>
        <v/>
      </c>
      <c r="T22" s="26" t="n">
        <v>0.9</v>
      </c>
      <c r="U22" s="25" t="n">
        <v>63</v>
      </c>
      <c r="V22" s="24">
        <f>U22*(1-T22)</f>
        <v/>
      </c>
      <c r="W22" s="27" t="n">
        <v>0.33</v>
      </c>
      <c r="X22" s="24">
        <f>$G$6*$G$7*W22</f>
        <v/>
      </c>
      <c r="Y22" s="22">
        <f>W22*($G$9+$G$10)</f>
        <v/>
      </c>
      <c r="Z22" s="23" t="n">
        <v>0.07000000000000001</v>
      </c>
      <c r="AA22" s="24">
        <f>G22*Z22</f>
        <v/>
      </c>
      <c r="AB22" s="26" t="n">
        <v>0.08</v>
      </c>
      <c r="AC22" s="24">
        <f>G22*AB22</f>
        <v/>
      </c>
      <c r="AD22" s="24">
        <f>AA22+AC22</f>
        <v/>
      </c>
      <c r="AE22" s="28">
        <f>AD22/G22</f>
        <v/>
      </c>
      <c r="AF22" s="29">
        <f>G22-N22-O22-P22-Q22-R22-S22-V22-X22-Y22-L22</f>
        <v/>
      </c>
      <c r="AG22" s="30">
        <f>AF22-AD22</f>
        <v/>
      </c>
      <c r="AH22" s="31">
        <f>AG22/G22</f>
        <v/>
      </c>
      <c r="AI22" s="32">
        <f>AG22/L22</f>
        <v/>
      </c>
      <c r="AJ22" s="24">
        <f>(O22+Q22+V22+X22+Y22+L22)/(1-(M22+$G$4+(1-H22)*$G$3+$G$8+Z22+AB22))</f>
        <v/>
      </c>
    </row>
    <row r="23">
      <c r="A23" s="12" t="inlineStr">
        <is>
          <t>Косметика/EKEL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</row>
    <row r="24">
      <c r="A24" s="14" t="inlineStr">
        <is>
          <t>EKEL - Ampule Сream Сollagen [70ml] / Крем для лица ампульный с коллагеном</t>
        </is>
      </c>
      <c r="B24" s="15" t="n"/>
      <c r="C24" s="16" t="n"/>
      <c r="D24" s="17" t="n">
        <v>1280</v>
      </c>
      <c r="E24" s="17" t="n">
        <v>4</v>
      </c>
      <c r="F24" s="17" t="n">
        <v>0</v>
      </c>
      <c r="G24" s="17">
        <f>(2.0*L24+O24+Q24+V24+X24+Y24)/(1-M24-$G$8-$G$4-(1-H24)*$G$3-Z24-AB24)</f>
        <v/>
      </c>
      <c r="H24" s="18" t="n">
        <v>0.45</v>
      </c>
      <c r="I24" s="19">
        <f>G24*(1-H24)</f>
        <v/>
      </c>
      <c r="J24" s="20" t="n">
        <v>142.13</v>
      </c>
      <c r="K24" s="21">
        <f>$G$5</f>
        <v/>
      </c>
      <c r="L24" s="22">
        <f>J24+K24</f>
        <v/>
      </c>
      <c r="M24" s="23" t="n">
        <v>0.41</v>
      </c>
      <c r="N24" s="24">
        <f>G24*M24</f>
        <v/>
      </c>
      <c r="O24" s="25" t="n">
        <v>67</v>
      </c>
      <c r="P24" s="24">
        <f>G24*$G$8</f>
        <v/>
      </c>
      <c r="Q24" s="25" t="n">
        <v>25</v>
      </c>
      <c r="R24" s="24">
        <f>G24*$G$4</f>
        <v/>
      </c>
      <c r="S24" s="24">
        <f>I24*$G$3</f>
        <v/>
      </c>
      <c r="T24" s="26" t="n">
        <v>0.9</v>
      </c>
      <c r="U24" s="25" t="n">
        <v>67</v>
      </c>
      <c r="V24" s="24">
        <f>U24*(1-T24)</f>
        <v/>
      </c>
      <c r="W24" s="27" t="n">
        <v>0.42</v>
      </c>
      <c r="X24" s="24">
        <f>$G$6*$G$7*W24</f>
        <v/>
      </c>
      <c r="Y24" s="22">
        <f>W24*($G$9+$G$10)</f>
        <v/>
      </c>
      <c r="Z24" s="23" t="n">
        <v>0.07000000000000001</v>
      </c>
      <c r="AA24" s="24">
        <f>G24*Z24</f>
        <v/>
      </c>
      <c r="AB24" s="26" t="n">
        <v>0.08</v>
      </c>
      <c r="AC24" s="24">
        <f>G24*AB24</f>
        <v/>
      </c>
      <c r="AD24" s="24">
        <f>AA24+AC24</f>
        <v/>
      </c>
      <c r="AE24" s="28">
        <f>AD24/G24</f>
        <v/>
      </c>
      <c r="AF24" s="29">
        <f>G24-N24-O24-P24-Q24-R24-S24-V24-X24-Y24-L24</f>
        <v/>
      </c>
      <c r="AG24" s="30">
        <f>AF24-AD24</f>
        <v/>
      </c>
      <c r="AH24" s="31">
        <f>AG24/G24</f>
        <v/>
      </c>
      <c r="AI24" s="32">
        <f>AG24/L24</f>
        <v/>
      </c>
      <c r="AJ24" s="24">
        <f>(O24+Q24+V24+X24+Y24+L24)/(1-(M24+$G$4+(1-H24)*$G$3+$G$8+Z24+AB24))</f>
        <v/>
      </c>
    </row>
    <row r="25">
      <c r="A25" s="12" t="inlineStr">
        <is>
          <t>Косметика/ELIZAVECCA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</row>
    <row r="26">
      <c r="A26" s="14" t="inlineStr">
        <is>
          <t>ELIZAVECCA - CER-100 Collagen Ceramide Coating Protein Treatment [100ml] / Коллагеновая маска для волос</t>
        </is>
      </c>
      <c r="B26" s="15" t="n"/>
      <c r="C26" s="16" t="n"/>
      <c r="D26" s="17" t="n">
        <v>1315</v>
      </c>
      <c r="E26" s="17" t="n">
        <v>150</v>
      </c>
      <c r="F26" s="17" t="n">
        <v>0</v>
      </c>
      <c r="G26" s="17">
        <f>(2.0*L26+O26+Q26+V26+X26+Y26)/(1-M26-$G$8-$G$4-(1-H26)*$G$3-Z26-AB26)</f>
        <v/>
      </c>
      <c r="H26" s="18" t="n">
        <v>0.45</v>
      </c>
      <c r="I26" s="19">
        <f>G26*(1-H26)</f>
        <v/>
      </c>
      <c r="J26" s="20" t="n">
        <v>242.23</v>
      </c>
      <c r="K26" s="21">
        <f>$G$5</f>
        <v/>
      </c>
      <c r="L26" s="22">
        <f>J26+K26</f>
        <v/>
      </c>
      <c r="M26" s="23" t="n">
        <v>0.41</v>
      </c>
      <c r="N26" s="24">
        <f>G26*M26</f>
        <v/>
      </c>
      <c r="O26" s="25" t="n">
        <v>67</v>
      </c>
      <c r="P26" s="24">
        <f>G26*$G$8</f>
        <v/>
      </c>
      <c r="Q26" s="25" t="n">
        <v>25</v>
      </c>
      <c r="R26" s="24">
        <f>G26*$G$4</f>
        <v/>
      </c>
      <c r="S26" s="24">
        <f>I26*$G$3</f>
        <v/>
      </c>
      <c r="T26" s="26" t="n">
        <v>0.9</v>
      </c>
      <c r="U26" s="25" t="n">
        <v>67</v>
      </c>
      <c r="V26" s="24">
        <f>U26*(1-T26)</f>
        <v/>
      </c>
      <c r="W26" s="27" t="n">
        <v>0.46</v>
      </c>
      <c r="X26" s="24">
        <f>$G$6*$G$7*W26</f>
        <v/>
      </c>
      <c r="Y26" s="22">
        <f>W26*($G$9+$G$10)</f>
        <v/>
      </c>
      <c r="Z26" s="23" t="n">
        <v>0.07000000000000001</v>
      </c>
      <c r="AA26" s="24">
        <f>G26*Z26</f>
        <v/>
      </c>
      <c r="AB26" s="26" t="n">
        <v>0.08</v>
      </c>
      <c r="AC26" s="24">
        <f>G26*AB26</f>
        <v/>
      </c>
      <c r="AD26" s="24">
        <f>AA26+AC26</f>
        <v/>
      </c>
      <c r="AE26" s="28">
        <f>AD26/G26</f>
        <v/>
      </c>
      <c r="AF26" s="29">
        <f>G26-N26-O26-P26-Q26-R26-S26-V26-X26-Y26-L26</f>
        <v/>
      </c>
      <c r="AG26" s="30">
        <f>AF26-AD26</f>
        <v/>
      </c>
      <c r="AH26" s="31">
        <f>AG26/G26</f>
        <v/>
      </c>
      <c r="AI26" s="32">
        <f>AG26/L26</f>
        <v/>
      </c>
      <c r="AJ26" s="24">
        <f>(O26+Q26+V26+X26+Y26+L26)/(1-(M26+$G$4+(1-H26)*$G$3+$G$8+Z26+AB26))</f>
        <v/>
      </c>
    </row>
    <row r="27">
      <c r="A27" s="14" t="inlineStr">
        <is>
          <t>ELIZAVECCA - Hell-Pore Galactomyces Pure Ample / Сыворотка для лица с экстрактом галактомисиса</t>
        </is>
      </c>
      <c r="B27" s="15" t="n"/>
      <c r="C27" s="16" t="inlineStr">
        <is>
          <t>не смогла найти с продажами</t>
        </is>
      </c>
      <c r="D27" s="17" t="n"/>
      <c r="E27" s="17" t="n"/>
      <c r="F27" s="17" t="n"/>
      <c r="G27" s="17">
        <f>(2.0*L27+O27+Q27+V27+X27+Y27)/(1-M27-$G$8-$G$4-(1-H27)*$G$3-Z27-AB27)</f>
        <v/>
      </c>
      <c r="H27" s="18" t="n">
        <v>0.45</v>
      </c>
      <c r="I27" s="19">
        <f>G27*(1-H27)</f>
        <v/>
      </c>
      <c r="J27" s="20" t="n">
        <v>447.64</v>
      </c>
      <c r="K27" s="21">
        <f>$G$5</f>
        <v/>
      </c>
      <c r="L27" s="22">
        <f>J27+K27</f>
        <v/>
      </c>
      <c r="M27" s="23" t="n">
        <v>0.41</v>
      </c>
      <c r="N27" s="24">
        <f>G27*M27</f>
        <v/>
      </c>
      <c r="O27" s="25" t="n">
        <v>63</v>
      </c>
      <c r="P27" s="24">
        <f>G27*$G$8</f>
        <v/>
      </c>
      <c r="Q27" s="25" t="n">
        <v>25</v>
      </c>
      <c r="R27" s="24">
        <f>G27*$G$4</f>
        <v/>
      </c>
      <c r="S27" s="24">
        <f>I27*$G$3</f>
        <v/>
      </c>
      <c r="T27" s="26" t="n">
        <v>0.9</v>
      </c>
      <c r="U27" s="25" t="n">
        <v>63</v>
      </c>
      <c r="V27" s="24">
        <f>U27*(1-T27)</f>
        <v/>
      </c>
      <c r="W27" s="27" t="n">
        <v>0.3</v>
      </c>
      <c r="X27" s="24">
        <f>$G$6*$G$7*W27</f>
        <v/>
      </c>
      <c r="Y27" s="22">
        <f>W27*($G$9+$G$10)</f>
        <v/>
      </c>
      <c r="Z27" s="23" t="n">
        <v>0.07000000000000001</v>
      </c>
      <c r="AA27" s="24">
        <f>G27*Z27</f>
        <v/>
      </c>
      <c r="AB27" s="26" t="n">
        <v>0.08</v>
      </c>
      <c r="AC27" s="24">
        <f>G27*AB27</f>
        <v/>
      </c>
      <c r="AD27" s="24">
        <f>AA27+AC27</f>
        <v/>
      </c>
      <c r="AE27" s="28">
        <f>AD27/G27</f>
        <v/>
      </c>
      <c r="AF27" s="29">
        <f>G27-N27-O27-P27-Q27-R27-S27-V27-X27-Y27-L27</f>
        <v/>
      </c>
      <c r="AG27" s="30">
        <f>AF27-AD27</f>
        <v/>
      </c>
      <c r="AH27" s="31">
        <f>AG27/G27</f>
        <v/>
      </c>
      <c r="AI27" s="32">
        <f>AG27/L27</f>
        <v/>
      </c>
      <c r="AJ27" s="24">
        <f>(O27+Q27+V27+X27+Y27+L27)/(1-(M27+$G$4+(1-H27)*$G$3+$G$8+Z27+AB27))</f>
        <v/>
      </c>
    </row>
    <row r="28">
      <c r="A28" s="14" t="inlineStr">
        <is>
          <t>ELIZAVECCA - Milky Piggy EGF elastic retinol [100ml] / Антивозрастной крем для лица с ретинолом и EGF</t>
        </is>
      </c>
      <c r="B28" s="15" t="n"/>
      <c r="C28" s="16" t="n"/>
      <c r="D28" s="17" t="n">
        <v>1841</v>
      </c>
      <c r="E28" s="17" t="n">
        <v>47</v>
      </c>
      <c r="F28" s="17" t="n">
        <v>0</v>
      </c>
      <c r="G28" s="17">
        <f>(2.0*L28+O28+Q28+V28+X28+Y28)/(1-M28-$G$8-$G$4-(1-H28)*$G$3-Z28-AB28)</f>
        <v/>
      </c>
      <c r="H28" s="18" t="n">
        <v>0.45</v>
      </c>
      <c r="I28" s="19">
        <f>G28*(1-H28)</f>
        <v/>
      </c>
      <c r="J28" s="20" t="n">
        <v>602.1799999999999</v>
      </c>
      <c r="K28" s="21">
        <f>$G$5</f>
        <v/>
      </c>
      <c r="L28" s="22">
        <f>J28+K28</f>
        <v/>
      </c>
      <c r="M28" s="23" t="n">
        <v>0.41</v>
      </c>
      <c r="N28" s="24">
        <f>G28*M28</f>
        <v/>
      </c>
      <c r="O28" s="25" t="n">
        <v>67</v>
      </c>
      <c r="P28" s="24">
        <f>G28*$G$8</f>
        <v/>
      </c>
      <c r="Q28" s="25" t="n">
        <v>25</v>
      </c>
      <c r="R28" s="24">
        <f>G28*$G$4</f>
        <v/>
      </c>
      <c r="S28" s="24">
        <f>I28*$G$3</f>
        <v/>
      </c>
      <c r="T28" s="26" t="n">
        <v>0.9</v>
      </c>
      <c r="U28" s="25" t="n">
        <v>67</v>
      </c>
      <c r="V28" s="24">
        <f>U28*(1-T28)</f>
        <v/>
      </c>
      <c r="W28" s="27" t="n">
        <v>0.58</v>
      </c>
      <c r="X28" s="24">
        <f>$G$6*$G$7*W28</f>
        <v/>
      </c>
      <c r="Y28" s="22">
        <f>W28*($G$9+$G$10)</f>
        <v/>
      </c>
      <c r="Z28" s="23" t="n">
        <v>0.07000000000000001</v>
      </c>
      <c r="AA28" s="24">
        <f>G28*Z28</f>
        <v/>
      </c>
      <c r="AB28" s="26" t="n">
        <v>0.08</v>
      </c>
      <c r="AC28" s="24">
        <f>G28*AB28</f>
        <v/>
      </c>
      <c r="AD28" s="24">
        <f>AA28+AC28</f>
        <v/>
      </c>
      <c r="AE28" s="28">
        <f>AD28/G28</f>
        <v/>
      </c>
      <c r="AF28" s="29">
        <f>G28-N28-O28-P28-Q28-R28-S28-V28-X28-Y28-L28</f>
        <v/>
      </c>
      <c r="AG28" s="30">
        <f>AF28-AD28</f>
        <v/>
      </c>
      <c r="AH28" s="31">
        <f>AG28/G28</f>
        <v/>
      </c>
      <c r="AI28" s="32">
        <f>AG28/L28</f>
        <v/>
      </c>
      <c r="AJ28" s="24">
        <f>(O28+Q28+V28+X28+Y28+L28)/(1-(M28+$G$4+(1-H28)*$G$3+$G$8+Z28+AB28))</f>
        <v/>
      </c>
    </row>
    <row r="29">
      <c r="A29" s="12" t="inlineStr">
        <is>
          <t>Косметика/ENOUGH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</row>
    <row r="30">
      <c r="A30" s="14" t="inlineStr">
        <is>
          <t>ENOUGH - Collagen Moisture Essential Cream [50ml] / Увлажняющий крем для лица с коллагеном</t>
        </is>
      </c>
      <c r="B30" s="15" t="n"/>
      <c r="C30" s="16" t="inlineStr">
        <is>
          <t>260-382 (много подделок)</t>
        </is>
      </c>
      <c r="D30" s="17" t="n">
        <v>424</v>
      </c>
      <c r="E30" s="17" t="n">
        <v>166</v>
      </c>
      <c r="F30" s="17" t="n">
        <v>17</v>
      </c>
      <c r="G30" s="17">
        <f>(2.0*L30+O30+Q30+V30+X30+Y30)/(1-M30-$G$8-$G$4-(1-H30)*$G$3-Z30-AB30)</f>
        <v/>
      </c>
      <c r="H30" s="18" t="n">
        <v>0.45</v>
      </c>
      <c r="I30" s="19">
        <f>G30*(1-H30)</f>
        <v/>
      </c>
      <c r="J30" s="20" t="n">
        <v>161.3</v>
      </c>
      <c r="K30" s="21">
        <f>$G$5</f>
        <v/>
      </c>
      <c r="L30" s="22">
        <f>J30+K30</f>
        <v/>
      </c>
      <c r="M30" s="23" t="n">
        <v>0.41</v>
      </c>
      <c r="N30" s="24">
        <f>G30*M30</f>
        <v/>
      </c>
      <c r="O30" s="25" t="n">
        <v>67</v>
      </c>
      <c r="P30" s="24">
        <f>G30*$G$8</f>
        <v/>
      </c>
      <c r="Q30" s="25" t="n">
        <v>25</v>
      </c>
      <c r="R30" s="24">
        <f>G30*$G$4</f>
        <v/>
      </c>
      <c r="S30" s="24">
        <f>I30*$G$3</f>
        <v/>
      </c>
      <c r="T30" s="26" t="n">
        <v>0.9</v>
      </c>
      <c r="U30" s="25" t="n">
        <v>67</v>
      </c>
      <c r="V30" s="24">
        <f>U30*(1-T30)</f>
        <v/>
      </c>
      <c r="W30" s="27" t="n">
        <v>0.72</v>
      </c>
      <c r="X30" s="24">
        <f>$G$6*$G$7*W30</f>
        <v/>
      </c>
      <c r="Y30" s="22">
        <f>W30*($G$9+$G$10)</f>
        <v/>
      </c>
      <c r="Z30" s="23" t="n">
        <v>0.07000000000000001</v>
      </c>
      <c r="AA30" s="24">
        <f>G30*Z30</f>
        <v/>
      </c>
      <c r="AB30" s="26" t="n">
        <v>0.08</v>
      </c>
      <c r="AC30" s="24">
        <f>G30*AB30</f>
        <v/>
      </c>
      <c r="AD30" s="24">
        <f>AA30+AC30</f>
        <v/>
      </c>
      <c r="AE30" s="28">
        <f>AD30/G30</f>
        <v/>
      </c>
      <c r="AF30" s="29">
        <f>G30-N30-O30-P30-Q30-R30-S30-V30-X30-Y30-L30</f>
        <v/>
      </c>
      <c r="AG30" s="45">
        <f>AF30-AD30</f>
        <v/>
      </c>
      <c r="AH30" s="46">
        <f>AG30/G30</f>
        <v/>
      </c>
      <c r="AI30" s="47">
        <f>AG30/L30</f>
        <v/>
      </c>
      <c r="AJ30" s="24">
        <f>(O30+Q30+V30+X30+Y30+L30)/(1-(M30+$G$4+(1-H30)*$G$3+$G$8+Z30+AB30))</f>
        <v/>
      </c>
    </row>
    <row r="31">
      <c r="A31" s="48" t="inlineStr">
        <is>
          <t>ENOUGH - Collagen Whitening Moisture Cream 3in1 [50g] / Антивозрастной отбеливающий крем с коллагеном</t>
        </is>
      </c>
      <c r="B31" s="15" t="n"/>
      <c r="C31" s="16" t="n"/>
      <c r="D31" s="17" t="n">
        <v>827</v>
      </c>
      <c r="E31" s="17" t="n">
        <v>96</v>
      </c>
      <c r="F31" s="17" t="n">
        <v>20</v>
      </c>
      <c r="G31" s="17">
        <f>(2.0*L31+O31+Q31+V31+X31+Y31)/(1-M31-$G$8-$G$4-(1-H31)*$G$3-Z31-AB31)</f>
        <v/>
      </c>
      <c r="H31" s="18" t="n">
        <v>0.45</v>
      </c>
      <c r="I31" s="19">
        <f>G31*(1-H31)</f>
        <v/>
      </c>
      <c r="J31" s="49" t="n">
        <v>183.88</v>
      </c>
      <c r="K31" s="21">
        <f>$G$5</f>
        <v/>
      </c>
      <c r="L31" s="22">
        <f>J31+K31</f>
        <v/>
      </c>
      <c r="M31" s="23" t="n">
        <v>0.41</v>
      </c>
      <c r="N31" s="24">
        <f>G31*M31</f>
        <v/>
      </c>
      <c r="O31" s="25" t="n">
        <v>67</v>
      </c>
      <c r="P31" s="24">
        <f>G31*$G$8</f>
        <v/>
      </c>
      <c r="Q31" s="25" t="n">
        <v>25</v>
      </c>
      <c r="R31" s="24">
        <f>G31*$G$4</f>
        <v/>
      </c>
      <c r="S31" s="24">
        <f>I31*$G$3</f>
        <v/>
      </c>
      <c r="T31" s="26" t="n">
        <v>0.9</v>
      </c>
      <c r="U31" s="25" t="n">
        <v>67</v>
      </c>
      <c r="V31" s="24">
        <f>U31*(1-T31)</f>
        <v/>
      </c>
      <c r="W31" s="27" t="n">
        <v>0.72</v>
      </c>
      <c r="X31" s="24">
        <f>$G$6*$G$7*W31</f>
        <v/>
      </c>
      <c r="Y31" s="22">
        <f>W31*($G$9+$G$10)</f>
        <v/>
      </c>
      <c r="Z31" s="23" t="n">
        <v>0.07000000000000001</v>
      </c>
      <c r="AA31" s="24">
        <f>G31*Z31</f>
        <v/>
      </c>
      <c r="AB31" s="26" t="n">
        <v>0.08</v>
      </c>
      <c r="AC31" s="24">
        <f>G31*AB31</f>
        <v/>
      </c>
      <c r="AD31" s="24">
        <f>AA31+AC31</f>
        <v/>
      </c>
      <c r="AE31" s="28">
        <f>AD31/G31</f>
        <v/>
      </c>
      <c r="AF31" s="29">
        <f>G31-N31-O31-P31-Q31-R31-S31-V31-X31-Y31-L31</f>
        <v/>
      </c>
      <c r="AG31" s="45">
        <f>AF31-AD31</f>
        <v/>
      </c>
      <c r="AH31" s="46">
        <f>AG31/G31</f>
        <v/>
      </c>
      <c r="AI31" s="47">
        <f>AG31/L31</f>
        <v/>
      </c>
      <c r="AJ31" s="24">
        <f>(O31+Q31+V31+X31+Y31+L31)/(1-(M31+$G$4+(1-H31)*$G$3+$G$8+Z31+AB31))</f>
        <v/>
      </c>
    </row>
    <row r="32">
      <c r="A32" s="48" t="inlineStr">
        <is>
          <t>ENOUGH - Collagen Moisture Foundation [Tone 13] / Тональный крем для лица с коллагеном 13 тон</t>
        </is>
      </c>
      <c r="B32" s="15" t="n"/>
      <c r="C32" s="16" t="n"/>
      <c r="D32" s="17" t="n">
        <v>1980</v>
      </c>
      <c r="E32" s="17" t="n">
        <v>195</v>
      </c>
      <c r="F32" s="17" t="n">
        <v>8</v>
      </c>
      <c r="G32" s="17">
        <f>(3.0*L32+O32+Q32+V32+X32+Y32)/(1-M32-$G$8-$G$4-(1-H32)*$G$3-Z32-AB32)</f>
        <v/>
      </c>
      <c r="H32" s="18" t="n">
        <v>0.45</v>
      </c>
      <c r="I32" s="19">
        <f>G32*(1-H32)</f>
        <v/>
      </c>
      <c r="J32" s="49" t="n">
        <v>216.45</v>
      </c>
      <c r="K32" s="21">
        <f>$G$5</f>
        <v/>
      </c>
      <c r="L32" s="22">
        <f>J32+K32</f>
        <v/>
      </c>
      <c r="M32" s="23" t="n">
        <v>0.41</v>
      </c>
      <c r="N32" s="24">
        <f>G32*M32</f>
        <v/>
      </c>
      <c r="O32" s="25" t="n">
        <v>67</v>
      </c>
      <c r="P32" s="24">
        <f>G32*$G$8</f>
        <v/>
      </c>
      <c r="Q32" s="25" t="n">
        <v>25</v>
      </c>
      <c r="R32" s="24">
        <f>G32*$G$4</f>
        <v/>
      </c>
      <c r="S32" s="24">
        <f>I32*$G$3</f>
        <v/>
      </c>
      <c r="T32" s="26" t="n">
        <v>0.9</v>
      </c>
      <c r="U32" s="25" t="n">
        <v>67</v>
      </c>
      <c r="V32" s="24">
        <f>U32*(1-T32)</f>
        <v/>
      </c>
      <c r="W32" s="27" t="n">
        <v>0.4</v>
      </c>
      <c r="X32" s="24">
        <f>$G$6*$G$7*W32</f>
        <v/>
      </c>
      <c r="Y32" s="22">
        <f>W32*($G$9+$G$10)</f>
        <v/>
      </c>
      <c r="Z32" s="23" t="n">
        <v>0.07000000000000001</v>
      </c>
      <c r="AA32" s="24">
        <f>G32*Z32</f>
        <v/>
      </c>
      <c r="AB32" s="26" t="n">
        <v>0.08</v>
      </c>
      <c r="AC32" s="24">
        <f>G32*AB32</f>
        <v/>
      </c>
      <c r="AD32" s="24">
        <f>AA32+AC32</f>
        <v/>
      </c>
      <c r="AE32" s="28">
        <f>AD32/G32</f>
        <v/>
      </c>
      <c r="AF32" s="29">
        <f>G32-N32-O32-P32-Q32-R32-S32-V32-X32-Y32-L32</f>
        <v/>
      </c>
      <c r="AG32" s="45">
        <f>AF32-AD32</f>
        <v/>
      </c>
      <c r="AH32" s="46">
        <f>AG32/G32</f>
        <v/>
      </c>
      <c r="AI32" s="47">
        <f>AG32/L32</f>
        <v/>
      </c>
      <c r="AJ32" s="24">
        <f>(O32+Q32+V32+X32+Y32+L32)/(1-(M32+$G$4+(1-H32)*$G$3+$G$8+Z32+AB32))</f>
        <v/>
      </c>
    </row>
    <row r="33">
      <c r="A33" s="50" t="inlineStr">
        <is>
          <t>ENOUGH - Collagen Moisture Foundation [Tone 21] / Тональный крем для лица с коллагеном 21 тон</t>
        </is>
      </c>
      <c r="B33" s="15" t="n"/>
      <c r="C33" s="16" t="n"/>
      <c r="D33" s="17" t="n">
        <v>1910</v>
      </c>
      <c r="E33" s="17" t="n">
        <v>121</v>
      </c>
      <c r="F33" s="17" t="n">
        <v>7.3</v>
      </c>
      <c r="G33" s="17">
        <f>(2.5*L33+O33+Q33+V33+X33+Y33)/(1-M33-$G$8-$G$4-(1-H33)*$G$3-Z33-AB33)</f>
        <v/>
      </c>
      <c r="H33" s="18" t="n">
        <v>0.45</v>
      </c>
      <c r="I33" s="19">
        <f>G33*(1-H33)</f>
        <v/>
      </c>
      <c r="J33" s="51" t="n">
        <v>242.88</v>
      </c>
      <c r="K33" s="21">
        <f>$G$5</f>
        <v/>
      </c>
      <c r="L33" s="22">
        <f>J33+K33</f>
        <v/>
      </c>
      <c r="M33" s="23" t="n">
        <v>0.41</v>
      </c>
      <c r="N33" s="24">
        <f>G33*M33</f>
        <v/>
      </c>
      <c r="O33" s="25" t="n">
        <v>67</v>
      </c>
      <c r="P33" s="24">
        <f>G33*$G$8</f>
        <v/>
      </c>
      <c r="Q33" s="25" t="n">
        <v>25</v>
      </c>
      <c r="R33" s="24">
        <f>G33*$G$4</f>
        <v/>
      </c>
      <c r="S33" s="24">
        <f>I33*$G$3</f>
        <v/>
      </c>
      <c r="T33" s="26" t="n">
        <v>0.9</v>
      </c>
      <c r="U33" s="25" t="n">
        <v>67</v>
      </c>
      <c r="V33" s="24">
        <f>U33*(1-T33)</f>
        <v/>
      </c>
      <c r="W33" s="27" t="n">
        <v>0.4</v>
      </c>
      <c r="X33" s="24">
        <f>$G$6*$G$7*W33</f>
        <v/>
      </c>
      <c r="Y33" s="22">
        <f>W33*($G$9+$G$10)</f>
        <v/>
      </c>
      <c r="Z33" s="23" t="n">
        <v>0.07000000000000001</v>
      </c>
      <c r="AA33" s="24">
        <f>G33*Z33</f>
        <v/>
      </c>
      <c r="AB33" s="26" t="n">
        <v>0.08</v>
      </c>
      <c r="AC33" s="24">
        <f>G33*AB33</f>
        <v/>
      </c>
      <c r="AD33" s="24">
        <f>AA33+AC33</f>
        <v/>
      </c>
      <c r="AE33" s="28">
        <f>AD33/G33</f>
        <v/>
      </c>
      <c r="AF33" s="29">
        <f>G33-N33-O33-P33-Q33-R33-S33-V33-X33-Y33-L33</f>
        <v/>
      </c>
      <c r="AG33" s="45">
        <f>AF33-AD33</f>
        <v/>
      </c>
      <c r="AH33" s="46">
        <f>AG33/G33</f>
        <v/>
      </c>
      <c r="AI33" s="47">
        <f>AG33/L33</f>
        <v/>
      </c>
      <c r="AJ33" s="24">
        <f>(O33+Q33+V33+X33+Y33+L33)/(1-(M33+$G$4+(1-H33)*$G$3+$G$8+Z33+AB33))</f>
        <v/>
      </c>
    </row>
    <row r="34">
      <c r="A34" s="50" t="inlineStr">
        <is>
          <t>ENOUGH - Gold Snail Moisture Foundation [Tone 13] / Тональный крем с муцином улитки 13 тон</t>
        </is>
      </c>
      <c r="B34" s="15" t="n"/>
      <c r="C34" s="16" t="n"/>
      <c r="D34" s="17" t="n">
        <v>1456</v>
      </c>
      <c r="E34" s="17" t="n">
        <v>109</v>
      </c>
      <c r="F34" s="17" t="n">
        <v>9</v>
      </c>
      <c r="G34" s="17">
        <f>(2.0*L34+O34+Q34+V34+X34+Y34)/(1-M34-$G$8-$G$4-(1-H34)*$G$3-Z34-AB34)</f>
        <v/>
      </c>
      <c r="H34" s="18" t="n">
        <v>0.45</v>
      </c>
      <c r="I34" s="19">
        <f>G34*(1-H34)</f>
        <v/>
      </c>
      <c r="J34" s="49" t="n">
        <v>245.65</v>
      </c>
      <c r="K34" s="21">
        <f>$G$5</f>
        <v/>
      </c>
      <c r="L34" s="22">
        <f>J34+K34</f>
        <v/>
      </c>
      <c r="M34" s="23" t="n">
        <v>0.41</v>
      </c>
      <c r="N34" s="24">
        <f>G34*M34</f>
        <v/>
      </c>
      <c r="O34" s="25" t="n">
        <v>67</v>
      </c>
      <c r="P34" s="24">
        <f>G34*$G$8</f>
        <v/>
      </c>
      <c r="Q34" s="25" t="n">
        <v>25</v>
      </c>
      <c r="R34" s="24">
        <f>G34*$G$4</f>
        <v/>
      </c>
      <c r="S34" s="24">
        <f>I34*$G$3</f>
        <v/>
      </c>
      <c r="T34" s="26" t="n">
        <v>0.9</v>
      </c>
      <c r="U34" s="25" t="n">
        <v>67</v>
      </c>
      <c r="V34" s="24">
        <f>U34*(1-T34)</f>
        <v/>
      </c>
      <c r="W34" s="27" t="n">
        <v>0.4</v>
      </c>
      <c r="X34" s="24">
        <f>$G$6*$G$7*W34</f>
        <v/>
      </c>
      <c r="Y34" s="22">
        <f>W34*($G$9+$G$10)</f>
        <v/>
      </c>
      <c r="Z34" s="23" t="n">
        <v>0.07000000000000001</v>
      </c>
      <c r="AA34" s="24">
        <f>G34*Z34</f>
        <v/>
      </c>
      <c r="AB34" s="26" t="n">
        <v>0.08</v>
      </c>
      <c r="AC34" s="24">
        <f>G34*AB34</f>
        <v/>
      </c>
      <c r="AD34" s="24">
        <f>AA34+AC34</f>
        <v/>
      </c>
      <c r="AE34" s="28">
        <f>AD34/G34</f>
        <v/>
      </c>
      <c r="AF34" s="29">
        <f>G34-N34-O34-P34-Q34-R34-S34-V34-X34-Y34-L34</f>
        <v/>
      </c>
      <c r="AG34" s="45">
        <f>AF34-AD34</f>
        <v/>
      </c>
      <c r="AH34" s="46">
        <f>AG34/G34</f>
        <v/>
      </c>
      <c r="AI34" s="47">
        <f>AG34/L34</f>
        <v/>
      </c>
      <c r="AJ34" s="24">
        <f>(O34+Q34+V34+X34+Y34+L34)/(1-(M34+$G$4+(1-H34)*$G$3+$G$8+Z34+AB34))</f>
        <v/>
      </c>
    </row>
    <row r="35">
      <c r="A35" s="50" t="inlineStr">
        <is>
          <t>ENOUGH - Gold Snail Moisture Foundation [Tone 21] / Тональный крем с муцином улитки 21 тон</t>
        </is>
      </c>
      <c r="B35" s="15" t="n"/>
      <c r="C35" s="16" t="n"/>
      <c r="D35" s="17" t="n">
        <v>1345</v>
      </c>
      <c r="E35" s="17" t="n">
        <v>114</v>
      </c>
      <c r="F35" s="17" t="n">
        <v>0</v>
      </c>
      <c r="G35" s="17">
        <f>(2.0*L35+O35+Q35+V35+X35+Y35)/(1-M35-$G$8-$G$4-(1-H35)*$G$3-Z35-AB35)</f>
        <v/>
      </c>
      <c r="H35" s="18" t="n">
        <v>0.45</v>
      </c>
      <c r="I35" s="19">
        <f>G35*(1-H35)</f>
        <v/>
      </c>
      <c r="J35" s="51" t="n">
        <v>270.81</v>
      </c>
      <c r="K35" s="21">
        <f>$G$5</f>
        <v/>
      </c>
      <c r="L35" s="22">
        <f>J35+K35</f>
        <v/>
      </c>
      <c r="M35" s="23" t="n">
        <v>0.41</v>
      </c>
      <c r="N35" s="24">
        <f>G35*M35</f>
        <v/>
      </c>
      <c r="O35" s="25" t="n">
        <v>67</v>
      </c>
      <c r="P35" s="24">
        <f>G35*$G$8</f>
        <v/>
      </c>
      <c r="Q35" s="25" t="n">
        <v>25</v>
      </c>
      <c r="R35" s="24">
        <f>G35*$G$4</f>
        <v/>
      </c>
      <c r="S35" s="24">
        <f>I35*$G$3</f>
        <v/>
      </c>
      <c r="T35" s="26" t="n">
        <v>0.9</v>
      </c>
      <c r="U35" s="25" t="n">
        <v>67</v>
      </c>
      <c r="V35" s="24">
        <f>U35*(1-T35)</f>
        <v/>
      </c>
      <c r="W35" s="27" t="n">
        <v>0.4</v>
      </c>
      <c r="X35" s="24">
        <f>$G$6*$G$7*W35</f>
        <v/>
      </c>
      <c r="Y35" s="22">
        <f>W35*($G$9+$G$10)</f>
        <v/>
      </c>
      <c r="Z35" s="23" t="n">
        <v>0.07000000000000001</v>
      </c>
      <c r="AA35" s="24">
        <f>G35*Z35</f>
        <v/>
      </c>
      <c r="AB35" s="26" t="n">
        <v>0.08</v>
      </c>
      <c r="AC35" s="24">
        <f>G35*AB35</f>
        <v/>
      </c>
      <c r="AD35" s="24">
        <f>AA35+AC35</f>
        <v/>
      </c>
      <c r="AE35" s="28">
        <f>AD35/G35</f>
        <v/>
      </c>
      <c r="AF35" s="29">
        <f>G35-N35-O35-P35-Q35-R35-S35-V35-X35-Y35-L35</f>
        <v/>
      </c>
      <c r="AG35" s="45">
        <f>AF35-AD35</f>
        <v/>
      </c>
      <c r="AH35" s="46">
        <f>AG35/G35</f>
        <v/>
      </c>
      <c r="AI35" s="47">
        <f>AG35/L35</f>
        <v/>
      </c>
      <c r="AJ35" s="24">
        <f>(O35+Q35+V35+X35+Y35+L35)/(1-(M35+$G$4+(1-H35)*$G$3+$G$8+Z35+AB35))</f>
        <v/>
      </c>
    </row>
    <row r="36">
      <c r="A36" s="50" t="inlineStr">
        <is>
          <t>ENOUGH - Collagen 3in1 Whitening Moisture Foundation [Tone 13] / Тональный крем для лица с коллагеном 3в1 [13 тон]</t>
        </is>
      </c>
      <c r="B36" s="15" t="n"/>
      <c r="C36" s="16" t="n"/>
      <c r="D36" s="17" t="n">
        <v>1732</v>
      </c>
      <c r="E36" s="17" t="n">
        <v>51</v>
      </c>
      <c r="F36" s="17" t="n">
        <v>9</v>
      </c>
      <c r="G36" s="17">
        <f>(2.5*L36+O36+Q36+V36+X36+Y36)/(1-M36-$G$8-$G$4-(1-H36)*$G$3-Z36-AB36)</f>
        <v/>
      </c>
      <c r="H36" s="18" t="n">
        <v>0.45</v>
      </c>
      <c r="I36" s="19">
        <f>G36*(1-H36)</f>
        <v/>
      </c>
      <c r="J36" s="51" t="n">
        <v>238.13</v>
      </c>
      <c r="K36" s="21">
        <f>$G$5</f>
        <v/>
      </c>
      <c r="L36" s="22">
        <f>J36+K36</f>
        <v/>
      </c>
      <c r="M36" s="23" t="n">
        <v>0.41</v>
      </c>
      <c r="N36" s="24">
        <f>G36*M36</f>
        <v/>
      </c>
      <c r="O36" s="25" t="n">
        <v>67</v>
      </c>
      <c r="P36" s="24">
        <f>G36*$G$8</f>
        <v/>
      </c>
      <c r="Q36" s="25" t="n">
        <v>25</v>
      </c>
      <c r="R36" s="24">
        <f>G36*$G$4</f>
        <v/>
      </c>
      <c r="S36" s="24">
        <f>I36*$G$3</f>
        <v/>
      </c>
      <c r="T36" s="26" t="n">
        <v>0.9</v>
      </c>
      <c r="U36" s="25" t="n">
        <v>67</v>
      </c>
      <c r="V36" s="24">
        <f>U36*(1-T36)</f>
        <v/>
      </c>
      <c r="W36" s="27" t="n">
        <v>0.4</v>
      </c>
      <c r="X36" s="24">
        <f>$G$6*$G$7*W36</f>
        <v/>
      </c>
      <c r="Y36" s="22">
        <f>W36*($G$9+$G$10)</f>
        <v/>
      </c>
      <c r="Z36" s="23" t="n">
        <v>0.07000000000000001</v>
      </c>
      <c r="AA36" s="24">
        <f>G36*Z36</f>
        <v/>
      </c>
      <c r="AB36" s="26" t="n">
        <v>0.08</v>
      </c>
      <c r="AC36" s="24">
        <f>G36*AB36</f>
        <v/>
      </c>
      <c r="AD36" s="24">
        <f>AA36+AC36</f>
        <v/>
      </c>
      <c r="AE36" s="28">
        <f>AD36/G36</f>
        <v/>
      </c>
      <c r="AF36" s="29">
        <f>G36-N36-O36-P36-Q36-R36-S36-V36-X36-Y36-L36</f>
        <v/>
      </c>
      <c r="AG36" s="45">
        <f>AF36-AD36</f>
        <v/>
      </c>
      <c r="AH36" s="46">
        <f>AG36/G36</f>
        <v/>
      </c>
      <c r="AI36" s="47">
        <f>AG36/L36</f>
        <v/>
      </c>
      <c r="AJ36" s="24">
        <f>(O36+Q36+V36+X36+Y36+L36)/(1-(M36+$G$4+(1-H36)*$G$3+$G$8+Z36+AB36))</f>
        <v/>
      </c>
    </row>
    <row r="37">
      <c r="A37" s="50" t="inlineStr">
        <is>
          <t>ENOUGH - Collagen 3in1 Whitening Moisture Foundation [Tone 21] / Тональный крем для лица с коллагеном 3в1 [21 тон]</t>
        </is>
      </c>
      <c r="B37" s="15" t="n"/>
      <c r="C37" s="16" t="n"/>
      <c r="D37" s="17" t="n">
        <v>1038</v>
      </c>
      <c r="E37" s="17" t="n">
        <v>65</v>
      </c>
      <c r="F37" s="17" t="n">
        <v>12</v>
      </c>
      <c r="G37" s="17">
        <f>(2.0*L37+O37+Q37+V37+X37+Y37)/(1-M37-$G$8-$G$4-(1-H37)*$G$3-Z37-AB37)</f>
        <v/>
      </c>
      <c r="H37" s="18" t="n">
        <v>0.45</v>
      </c>
      <c r="I37" s="19">
        <f>G37*(1-H37)</f>
        <v/>
      </c>
      <c r="J37" s="52" t="n">
        <v>223.35</v>
      </c>
      <c r="K37" s="21">
        <f>$G$5</f>
        <v/>
      </c>
      <c r="L37" s="22">
        <f>J37+K37</f>
        <v/>
      </c>
      <c r="M37" s="23" t="n">
        <v>0.41</v>
      </c>
      <c r="N37" s="24">
        <f>G37*M37</f>
        <v/>
      </c>
      <c r="O37" s="25" t="n">
        <v>67</v>
      </c>
      <c r="P37" s="24">
        <f>G37*$G$8</f>
        <v/>
      </c>
      <c r="Q37" s="25" t="n">
        <v>25</v>
      </c>
      <c r="R37" s="24">
        <f>G37*$G$4</f>
        <v/>
      </c>
      <c r="S37" s="24">
        <f>I37*$G$3</f>
        <v/>
      </c>
      <c r="T37" s="26" t="n">
        <v>0.9</v>
      </c>
      <c r="U37" s="25" t="n">
        <v>67</v>
      </c>
      <c r="V37" s="24">
        <f>U37*(1-T37)</f>
        <v/>
      </c>
      <c r="W37" s="27" t="n">
        <v>0.4</v>
      </c>
      <c r="X37" s="24">
        <f>$G$6*$G$7*W37</f>
        <v/>
      </c>
      <c r="Y37" s="22">
        <f>W37*($G$9+$G$10)</f>
        <v/>
      </c>
      <c r="Z37" s="23" t="n">
        <v>0.07000000000000001</v>
      </c>
      <c r="AA37" s="24">
        <f>G37*Z37</f>
        <v/>
      </c>
      <c r="AB37" s="26" t="n">
        <v>0.08</v>
      </c>
      <c r="AC37" s="24">
        <f>G37*AB37</f>
        <v/>
      </c>
      <c r="AD37" s="24">
        <f>AA37+AC37</f>
        <v/>
      </c>
      <c r="AE37" s="28">
        <f>AD37/G37</f>
        <v/>
      </c>
      <c r="AF37" s="29">
        <f>G37-N37-O37-P37-Q37-R37-S37-V37-X37-Y37-L37</f>
        <v/>
      </c>
      <c r="AG37" s="45">
        <f>AF37-AD37</f>
        <v/>
      </c>
      <c r="AH37" s="46">
        <f>AG37/G37</f>
        <v/>
      </c>
      <c r="AI37" s="47">
        <f>AG37/L37</f>
        <v/>
      </c>
      <c r="AJ37" s="24">
        <f>(O37+Q37+V37+X37+Y37+L37)/(1-(M37+$G$4+(1-H37)*$G$3+$G$8+Z37+AB37))</f>
        <v/>
      </c>
    </row>
    <row r="38">
      <c r="A38" s="50" t="inlineStr">
        <is>
          <t>ENOUGH - Premium 8 Peptide Full Cover Perfect Foundation [Tone 13] / Тональный крем с пептидами 13 тон</t>
        </is>
      </c>
      <c r="B38" s="15" t="n"/>
      <c r="C38" s="16" t="n"/>
      <c r="D38" s="17" t="n">
        <v>1330</v>
      </c>
      <c r="E38" s="17" t="n">
        <v>180</v>
      </c>
      <c r="F38" s="17" t="n">
        <v>0</v>
      </c>
      <c r="G38" s="17">
        <f>(2.0*L38+O38+Q38+V38+X38+Y38)/(1-M38-$G$8-$G$4-(1-H38)*$G$3-Z38-AB38)</f>
        <v/>
      </c>
      <c r="H38" s="18" t="n">
        <v>0.45</v>
      </c>
      <c r="I38" s="19">
        <f>G38*(1-H38)</f>
        <v/>
      </c>
      <c r="J38" s="51" t="n">
        <v>335.9</v>
      </c>
      <c r="K38" s="21">
        <f>$G$5</f>
        <v/>
      </c>
      <c r="L38" s="22">
        <f>J38+K38</f>
        <v/>
      </c>
      <c r="M38" s="23" t="n">
        <v>0.41</v>
      </c>
      <c r="N38" s="24">
        <f>G38*M38</f>
        <v/>
      </c>
      <c r="O38" s="25" t="n">
        <v>67</v>
      </c>
      <c r="P38" s="24">
        <f>G38*$G$8</f>
        <v/>
      </c>
      <c r="Q38" s="25" t="n">
        <v>25</v>
      </c>
      <c r="R38" s="24">
        <f>G38*$G$4</f>
        <v/>
      </c>
      <c r="S38" s="24">
        <f>I38*$G$3</f>
        <v/>
      </c>
      <c r="T38" s="26" t="n">
        <v>0.9</v>
      </c>
      <c r="U38" s="25" t="n">
        <v>67</v>
      </c>
      <c r="V38" s="24">
        <f>U38*(1-T38)</f>
        <v/>
      </c>
      <c r="W38" s="27" t="n">
        <v>0.4</v>
      </c>
      <c r="X38" s="24">
        <f>$G$6*$G$7*W38</f>
        <v/>
      </c>
      <c r="Y38" s="22">
        <f>W38*($G$9+$G$10)</f>
        <v/>
      </c>
      <c r="Z38" s="23" t="n">
        <v>0.07000000000000001</v>
      </c>
      <c r="AA38" s="24">
        <f>G38*Z38</f>
        <v/>
      </c>
      <c r="AB38" s="26" t="n">
        <v>0.08</v>
      </c>
      <c r="AC38" s="24">
        <f>G38*AB38</f>
        <v/>
      </c>
      <c r="AD38" s="24">
        <f>AA38+AC38</f>
        <v/>
      </c>
      <c r="AE38" s="28">
        <f>AD38/G38</f>
        <v/>
      </c>
      <c r="AF38" s="29">
        <f>G38-N38-O38-P38-Q38-R38-S38-V38-X38-Y38-L38</f>
        <v/>
      </c>
      <c r="AG38" s="45">
        <f>AF38-AD38</f>
        <v/>
      </c>
      <c r="AH38" s="46">
        <f>AG38/G38</f>
        <v/>
      </c>
      <c r="AI38" s="47">
        <f>AG38/L38</f>
        <v/>
      </c>
      <c r="AJ38" s="24">
        <f>(O38+Q38+V38+X38+Y38+L38)/(1-(M38+$G$4+(1-H38)*$G$3+$G$8+Z38+AB38))</f>
        <v/>
      </c>
    </row>
    <row r="39">
      <c r="A39" s="50" t="inlineStr">
        <is>
          <t>ENOUGH - Premium 8 Peptide Full Cover Perfect Foundation [Tone 21] / Тональный крем с пептидами 21 тон</t>
        </is>
      </c>
      <c r="B39" s="15" t="n"/>
      <c r="C39" s="16" t="n"/>
      <c r="D39" s="17" t="n">
        <v>1330</v>
      </c>
      <c r="E39" s="17" t="n">
        <v>265</v>
      </c>
      <c r="F39" s="17" t="n">
        <v>0</v>
      </c>
      <c r="G39" s="17">
        <f>(2.0*L39+O39+Q39+V39+X39+Y39)/(1-M39-$G$8-$G$4-(1-H39)*$G$3-Z39-AB39)</f>
        <v/>
      </c>
      <c r="H39" s="18" t="n">
        <v>0.45</v>
      </c>
      <c r="I39" s="19">
        <f>G39*(1-H39)</f>
        <v/>
      </c>
      <c r="J39" s="51" t="n">
        <v>304.77</v>
      </c>
      <c r="K39" s="21">
        <f>$G$5</f>
        <v/>
      </c>
      <c r="L39" s="22">
        <f>J39+K39</f>
        <v/>
      </c>
      <c r="M39" s="23" t="n">
        <v>0.41</v>
      </c>
      <c r="N39" s="24">
        <f>G39*M39</f>
        <v/>
      </c>
      <c r="O39" s="25" t="n">
        <v>67</v>
      </c>
      <c r="P39" s="24">
        <f>G39*$G$8</f>
        <v/>
      </c>
      <c r="Q39" s="25" t="n">
        <v>25</v>
      </c>
      <c r="R39" s="24">
        <f>G39*$G$4</f>
        <v/>
      </c>
      <c r="S39" s="24">
        <f>I39*$G$3</f>
        <v/>
      </c>
      <c r="T39" s="26" t="n">
        <v>0.9</v>
      </c>
      <c r="U39" s="25" t="n">
        <v>67</v>
      </c>
      <c r="V39" s="24">
        <f>U39*(1-T39)</f>
        <v/>
      </c>
      <c r="W39" s="27" t="n">
        <v>0.4</v>
      </c>
      <c r="X39" s="24">
        <f>$G$6*$G$7*W39</f>
        <v/>
      </c>
      <c r="Y39" s="22">
        <f>W39*($G$9+$G$10)</f>
        <v/>
      </c>
      <c r="Z39" s="23" t="n">
        <v>0.07000000000000001</v>
      </c>
      <c r="AA39" s="24">
        <f>G39*Z39</f>
        <v/>
      </c>
      <c r="AB39" s="26" t="n">
        <v>0.08</v>
      </c>
      <c r="AC39" s="24">
        <f>G39*AB39</f>
        <v/>
      </c>
      <c r="AD39" s="24">
        <f>AA39+AC39</f>
        <v/>
      </c>
      <c r="AE39" s="28">
        <f>AD39/G39</f>
        <v/>
      </c>
      <c r="AF39" s="29">
        <f>G39-N39-O39-P39-Q39-R39-S39-V39-X39-Y39-L39</f>
        <v/>
      </c>
      <c r="AG39" s="45">
        <f>AF39-AD39</f>
        <v/>
      </c>
      <c r="AH39" s="46">
        <f>AG39/G39</f>
        <v/>
      </c>
      <c r="AI39" s="47">
        <f>AG39/L39</f>
        <v/>
      </c>
      <c r="AJ39" s="24">
        <f>(O39+Q39+V39+X39+Y39+L39)/(1-(M39+$G$4+(1-H39)*$G$3+$G$8+Z39+AB39))</f>
        <v/>
      </c>
    </row>
    <row r="40">
      <c r="A40" s="33" t="inlineStr">
        <is>
          <t>ENOUGH Collagen whitening cover tip concealer #01 [9g]/Консилер для лица (основная карточка) 4.5 рейтинг</t>
        </is>
      </c>
      <c r="B40" s="34" t="n"/>
      <c r="C40" s="34" t="n"/>
      <c r="D40" s="35" t="n"/>
      <c r="E40" s="35" t="n"/>
      <c r="F40" s="35" t="n"/>
      <c r="G40" s="35" t="n"/>
      <c r="H40" s="36" t="n"/>
      <c r="I40" s="37" t="n"/>
      <c r="J40" s="38" t="n"/>
      <c r="K40" s="38" t="n"/>
      <c r="L40" s="39" t="n"/>
      <c r="M40" s="40" t="n"/>
      <c r="N40" s="35" t="n"/>
      <c r="O40" s="35" t="n"/>
      <c r="P40" s="35" t="n"/>
      <c r="Q40" s="35" t="n"/>
      <c r="R40" s="35" t="n"/>
      <c r="S40" s="35" t="n"/>
      <c r="T40" s="41" t="n"/>
      <c r="U40" s="35" t="n"/>
      <c r="V40" s="35" t="n"/>
      <c r="W40" s="42" t="n"/>
      <c r="X40" s="35" t="n"/>
      <c r="Y40" s="39" t="n"/>
      <c r="Z40" s="40" t="n"/>
      <c r="AA40" s="35" t="n"/>
      <c r="AB40" s="41" t="n"/>
      <c r="AC40" s="35" t="n"/>
      <c r="AD40" s="35" t="n"/>
      <c r="AE40" s="43" t="n"/>
      <c r="AF40" s="44" t="n"/>
      <c r="AG40" s="35" t="n"/>
      <c r="AH40" s="41" t="n"/>
      <c r="AI40" s="41" t="n"/>
      <c r="AJ40" s="35" t="n"/>
    </row>
    <row r="41">
      <c r="A41" s="33" t="inlineStr">
        <is>
          <t>ENOUGH Collagen whitening cover tip concealer #02 [9g]/Консилер для лица (основная карточка)</t>
        </is>
      </c>
      <c r="B41" s="34" t="n"/>
      <c r="C41" s="34" t="n"/>
      <c r="D41" s="35" t="n"/>
      <c r="E41" s="35" t="n"/>
      <c r="F41" s="35" t="n"/>
      <c r="G41" s="35" t="n"/>
      <c r="H41" s="36" t="n"/>
      <c r="I41" s="37" t="n"/>
      <c r="J41" s="38" t="n"/>
      <c r="K41" s="38" t="n"/>
      <c r="L41" s="39" t="n"/>
      <c r="M41" s="40" t="n"/>
      <c r="N41" s="35" t="n"/>
      <c r="O41" s="35" t="n"/>
      <c r="P41" s="35" t="n"/>
      <c r="Q41" s="35" t="n"/>
      <c r="R41" s="35" t="n"/>
      <c r="S41" s="35" t="n"/>
      <c r="T41" s="41" t="n"/>
      <c r="U41" s="35" t="n"/>
      <c r="V41" s="35" t="n"/>
      <c r="W41" s="42" t="n"/>
      <c r="X41" s="35" t="n"/>
      <c r="Y41" s="39" t="n"/>
      <c r="Z41" s="40" t="n"/>
      <c r="AA41" s="35" t="n"/>
      <c r="AB41" s="41" t="n"/>
      <c r="AC41" s="35" t="n"/>
      <c r="AD41" s="35" t="n"/>
      <c r="AE41" s="43" t="n"/>
      <c r="AF41" s="44" t="n"/>
      <c r="AG41" s="35" t="n"/>
      <c r="AH41" s="41" t="n"/>
      <c r="AI41" s="41" t="n"/>
      <c r="AJ41" s="35" t="n"/>
    </row>
    <row r="42">
      <c r="A42" s="33" t="inlineStr">
        <is>
          <t>ENOUGH Collagen whitening cover tip concealer #03 [9g]/ Консилер для лица (основаная карточка)</t>
        </is>
      </c>
      <c r="B42" s="34" t="n"/>
      <c r="C42" s="34" t="n"/>
      <c r="D42" s="35" t="n"/>
      <c r="E42" s="35" t="n"/>
      <c r="F42" s="35" t="n"/>
      <c r="G42" s="35" t="n"/>
      <c r="H42" s="36" t="n"/>
      <c r="I42" s="37" t="n"/>
      <c r="J42" s="38" t="n"/>
      <c r="K42" s="38" t="n"/>
      <c r="L42" s="39" t="n"/>
      <c r="M42" s="40" t="n"/>
      <c r="N42" s="35" t="n"/>
      <c r="O42" s="35" t="n"/>
      <c r="P42" s="35" t="n"/>
      <c r="Q42" s="35" t="n"/>
      <c r="R42" s="35" t="n"/>
      <c r="S42" s="35" t="n"/>
      <c r="T42" s="41" t="n"/>
      <c r="U42" s="35" t="n"/>
      <c r="V42" s="35" t="n"/>
      <c r="W42" s="42" t="n"/>
      <c r="X42" s="35" t="n"/>
      <c r="Y42" s="39" t="n"/>
      <c r="Z42" s="40" t="n"/>
      <c r="AA42" s="35" t="n"/>
      <c r="AB42" s="41" t="n"/>
      <c r="AC42" s="35" t="n"/>
      <c r="AD42" s="35" t="n"/>
      <c r="AE42" s="43" t="n"/>
      <c r="AF42" s="44" t="n"/>
      <c r="AG42" s="35" t="n"/>
      <c r="AH42" s="41" t="n"/>
      <c r="AI42" s="41" t="n"/>
      <c r="AJ42" s="35" t="n"/>
    </row>
    <row r="43">
      <c r="A43" s="53" t="inlineStr">
        <is>
          <t>ENOUGH - Collagen Moisture BB Cream SPF47 PA+++ [50ml] / Увлажняющий BB крем с коллагеном</t>
        </is>
      </c>
      <c r="B43" s="15" t="n"/>
      <c r="C43" s="16" t="n"/>
      <c r="D43" s="17" t="n"/>
      <c r="E43" s="17" t="n"/>
      <c r="F43" s="17" t="n"/>
      <c r="G43" s="17">
        <f>(2.0*L43+O43+Q43+V43+X43+Y43)/(1-M43-$G$8-$G$4-(1-H43)*$G$3-Z43-AB43)</f>
        <v/>
      </c>
      <c r="H43" s="18" t="n">
        <v>0.45</v>
      </c>
      <c r="I43" s="19">
        <f>G43*(1-H43)</f>
        <v/>
      </c>
      <c r="J43" s="51" t="n">
        <v>189.27</v>
      </c>
      <c r="K43" s="21">
        <f>$G$5</f>
        <v/>
      </c>
      <c r="L43" s="22">
        <f>J43+K43</f>
        <v/>
      </c>
      <c r="M43" s="23" t="n">
        <v>0.41</v>
      </c>
      <c r="N43" s="24">
        <f>G43*M43</f>
        <v/>
      </c>
      <c r="O43" s="25" t="n">
        <v>63</v>
      </c>
      <c r="P43" s="24">
        <f>G43*$G$8</f>
        <v/>
      </c>
      <c r="Q43" s="25" t="n">
        <v>25</v>
      </c>
      <c r="R43" s="24">
        <f>G43*$G$4</f>
        <v/>
      </c>
      <c r="S43" s="24">
        <f>I43*$G$3</f>
        <v/>
      </c>
      <c r="T43" s="26" t="n">
        <v>0.9</v>
      </c>
      <c r="U43" s="25" t="n">
        <v>63</v>
      </c>
      <c r="V43" s="24">
        <f>U43*(1-T43)</f>
        <v/>
      </c>
      <c r="W43" s="27" t="n">
        <v>0.28</v>
      </c>
      <c r="X43" s="24">
        <f>$G$6*$G$7*W43</f>
        <v/>
      </c>
      <c r="Y43" s="22">
        <f>W43*($G$9+$G$10)</f>
        <v/>
      </c>
      <c r="Z43" s="23" t="n">
        <v>0.07000000000000001</v>
      </c>
      <c r="AA43" s="24">
        <f>G43*Z43</f>
        <v/>
      </c>
      <c r="AB43" s="26" t="n">
        <v>0.08</v>
      </c>
      <c r="AC43" s="24">
        <f>G43*AB43</f>
        <v/>
      </c>
      <c r="AD43" s="24">
        <f>AA43+AC43</f>
        <v/>
      </c>
      <c r="AE43" s="28">
        <f>AD43/G43</f>
        <v/>
      </c>
      <c r="AF43" s="29">
        <f>G43-N43-O43-P43-Q43-R43-S43-V43-X43-Y43-L43</f>
        <v/>
      </c>
      <c r="AG43" s="45">
        <f>AF43-AD43</f>
        <v/>
      </c>
      <c r="AH43" s="46">
        <f>AG43/G43</f>
        <v/>
      </c>
      <c r="AI43" s="47">
        <f>AG43/L43</f>
        <v/>
      </c>
      <c r="AJ43" s="24">
        <f>(O43+Q43+V43+X43+Y43+L43)/(1-(M43+$G$4+(1-H43)*$G$3+$G$8+Z43+AB43))</f>
        <v/>
      </c>
    </row>
    <row r="44">
      <c r="A44" s="12" t="inlineStr">
        <is>
          <t>Косметика/ETUDEHOUSE</t>
        </is>
      </c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  <c r="AJ44" s="13" t="n"/>
    </row>
    <row r="45">
      <c r="A45" s="14" t="inlineStr">
        <is>
          <t>ETUDE - Baking Powder Crunch Pore Scrub [200ml] / Очищающий скраб для лица с содой</t>
        </is>
      </c>
      <c r="B45" s="15" t="n"/>
      <c r="C45" s="16" t="n"/>
      <c r="D45" s="17" t="n">
        <v>1730</v>
      </c>
      <c r="E45" s="17" t="n">
        <v>300</v>
      </c>
      <c r="F45" s="17" t="n">
        <v>5</v>
      </c>
      <c r="G45" s="17">
        <f>(2.0*L45+O45+Q45+V45+X45+Y45)/(1-M45-$G$8-$G$4-(1-H45)*$G$3-Z45-AB45)</f>
        <v/>
      </c>
      <c r="H45" s="18" t="n">
        <v>0.45</v>
      </c>
      <c r="I45" s="19">
        <f>G45*(1-H45)</f>
        <v/>
      </c>
      <c r="J45" s="20" t="n">
        <v>361.03</v>
      </c>
      <c r="K45" s="21">
        <f>$G$5</f>
        <v/>
      </c>
      <c r="L45" s="22">
        <f>J45+K45</f>
        <v/>
      </c>
      <c r="M45" s="23" t="n">
        <v>0.41</v>
      </c>
      <c r="N45" s="24">
        <f>G45*M45</f>
        <v/>
      </c>
      <c r="O45" s="25" t="n">
        <v>67</v>
      </c>
      <c r="P45" s="24">
        <f>G45*$G$8</f>
        <v/>
      </c>
      <c r="Q45" s="25" t="n">
        <v>25</v>
      </c>
      <c r="R45" s="24">
        <f>G45*$G$4</f>
        <v/>
      </c>
      <c r="S45" s="24">
        <f>I45*$G$3</f>
        <v/>
      </c>
      <c r="T45" s="26" t="n">
        <v>0.9</v>
      </c>
      <c r="U45" s="25" t="n">
        <v>67</v>
      </c>
      <c r="V45" s="24">
        <f>U45*(1-T45)</f>
        <v/>
      </c>
      <c r="W45" s="27" t="n">
        <v>0.5600000000000001</v>
      </c>
      <c r="X45" s="24">
        <f>$G$6*$G$7*W45</f>
        <v/>
      </c>
      <c r="Y45" s="22">
        <f>W45*($G$9+$G$10)</f>
        <v/>
      </c>
      <c r="Z45" s="23" t="n">
        <v>0.05</v>
      </c>
      <c r="AA45" s="24">
        <f>G45*Z45</f>
        <v/>
      </c>
      <c r="AB45" s="26" t="n">
        <v>0.05</v>
      </c>
      <c r="AC45" s="24">
        <f>G45*AB45</f>
        <v/>
      </c>
      <c r="AD45" s="24">
        <f>AA45+AC45</f>
        <v/>
      </c>
      <c r="AE45" s="28">
        <f>AD45/G45</f>
        <v/>
      </c>
      <c r="AF45" s="29">
        <f>G45-N45-O45-P45-Q45-R45-S45-V45-X45-Y45-L45</f>
        <v/>
      </c>
      <c r="AG45" s="30">
        <f>AF45-AD45</f>
        <v/>
      </c>
      <c r="AH45" s="31">
        <f>AG45/G45</f>
        <v/>
      </c>
      <c r="AI45" s="32">
        <f>AG45/L45</f>
        <v/>
      </c>
      <c r="AJ45" s="24">
        <f>(O45+Q45+V45+X45+Y45+L45)/(1-(M45+$G$4+(1-H45)*$G$3+$G$8+Z45+AB45))</f>
        <v/>
      </c>
    </row>
    <row r="46">
      <c r="A46" s="14" t="inlineStr">
        <is>
          <t>ETUDE - Baking Powder BB Deep Cleansing Foam [160ml] / Пенка с содой для глубокого очищения и снятия макияжа</t>
        </is>
      </c>
      <c r="B46" s="15" t="n"/>
      <c r="C46" s="16" t="n"/>
      <c r="D46" s="17" t="n">
        <v>1870</v>
      </c>
      <c r="E46" s="17" t="n">
        <v>230</v>
      </c>
      <c r="F46" s="17" t="n">
        <v>8</v>
      </c>
      <c r="G46" s="17">
        <f>(2.5*L46+O46+Q46+V46+X46+Y46)/(1-M46-$G$8-$G$4-(1-H46)*$G$3-Z46-AB46)</f>
        <v/>
      </c>
      <c r="H46" s="18" t="n">
        <v>0.45</v>
      </c>
      <c r="I46" s="19">
        <f>G46*(1-H46)</f>
        <v/>
      </c>
      <c r="J46" s="20" t="n">
        <v>292.89</v>
      </c>
      <c r="K46" s="21">
        <f>$G$5</f>
        <v/>
      </c>
      <c r="L46" s="22">
        <f>J46+K46</f>
        <v/>
      </c>
      <c r="M46" s="23" t="n">
        <v>0.41</v>
      </c>
      <c r="N46" s="24">
        <f>G46*M46</f>
        <v/>
      </c>
      <c r="O46" s="25" t="n">
        <v>67</v>
      </c>
      <c r="P46" s="24">
        <f>G46*$G$8</f>
        <v/>
      </c>
      <c r="Q46" s="25" t="n">
        <v>25</v>
      </c>
      <c r="R46" s="24">
        <f>G46*$G$4</f>
        <v/>
      </c>
      <c r="S46" s="24">
        <f>I46*$G$3</f>
        <v/>
      </c>
      <c r="T46" s="26" t="n">
        <v>0.9</v>
      </c>
      <c r="U46" s="25" t="n">
        <v>67</v>
      </c>
      <c r="V46" s="24">
        <f>U46*(1-T46)</f>
        <v/>
      </c>
      <c r="W46" s="27" t="n">
        <v>0.5600000000000001</v>
      </c>
      <c r="X46" s="24">
        <f>$G$6*$G$7*W46</f>
        <v/>
      </c>
      <c r="Y46" s="22">
        <f>W46*($G$9+$G$10)</f>
        <v/>
      </c>
      <c r="Z46" s="23" t="n">
        <v>0.07000000000000001</v>
      </c>
      <c r="AA46" s="24">
        <f>G46*Z46</f>
        <v/>
      </c>
      <c r="AB46" s="26" t="n">
        <v>0.05</v>
      </c>
      <c r="AC46" s="24">
        <f>G46*AB46</f>
        <v/>
      </c>
      <c r="AD46" s="24">
        <f>AA46+AC46</f>
        <v/>
      </c>
      <c r="AE46" s="28">
        <f>AD46/G46</f>
        <v/>
      </c>
      <c r="AF46" s="29">
        <f>G46-N46-O46-P46-Q46-R46-S46-V46-X46-Y46-L46</f>
        <v/>
      </c>
      <c r="AG46" s="30">
        <f>AF46-AD46</f>
        <v/>
      </c>
      <c r="AH46" s="31">
        <f>AG46/G46</f>
        <v/>
      </c>
      <c r="AI46" s="32">
        <f>AG46/L46</f>
        <v/>
      </c>
      <c r="AJ46" s="24">
        <f>(O46+Q46+V46+X46+Y46+L46)/(1-(M46+$G$4+(1-H46)*$G$3+$G$8+Z46+AB46))</f>
        <v/>
      </c>
    </row>
    <row r="47">
      <c r="A47" s="14" t="inlineStr">
        <is>
          <t>ETUDE - Baking Powder Crunch Pore Scrub [24*7ml] / Очищающий скраб для лица с содой</t>
        </is>
      </c>
      <c r="B47" s="15" t="n"/>
      <c r="C47" s="16" t="n"/>
      <c r="D47" s="17" t="n">
        <v>1900</v>
      </c>
      <c r="E47" s="17" t="n">
        <v>60</v>
      </c>
      <c r="F47" s="17" t="n">
        <v>10</v>
      </c>
      <c r="G47" s="17">
        <f>(2.0*L47+O47+Q47+V47+X47+Y47)/(1-M47-$G$8-$G$4-(1-H47)*$G$3-Z47-AB47)</f>
        <v/>
      </c>
      <c r="H47" s="18" t="n">
        <v>0.45</v>
      </c>
      <c r="I47" s="19">
        <f>G47*(1-H47)</f>
        <v/>
      </c>
      <c r="J47" s="20" t="n">
        <v>389.99</v>
      </c>
      <c r="K47" s="21">
        <f>$G$5</f>
        <v/>
      </c>
      <c r="L47" s="22">
        <f>J47+K47</f>
        <v/>
      </c>
      <c r="M47" s="23" t="n">
        <v>0.41</v>
      </c>
      <c r="N47" s="24">
        <f>G47*M47</f>
        <v/>
      </c>
      <c r="O47" s="25" t="n">
        <v>72</v>
      </c>
      <c r="P47" s="24">
        <f>G47*$G$8</f>
        <v/>
      </c>
      <c r="Q47" s="25" t="n">
        <v>25</v>
      </c>
      <c r="R47" s="24">
        <f>G47*$G$4</f>
        <v/>
      </c>
      <c r="S47" s="24">
        <f>I47*$G$3</f>
        <v/>
      </c>
      <c r="T47" s="26" t="n">
        <v>0.9</v>
      </c>
      <c r="U47" s="25" t="n">
        <v>72</v>
      </c>
      <c r="V47" s="24">
        <f>U47*(1-T47)</f>
        <v/>
      </c>
      <c r="W47" s="27" t="n">
        <v>1.15</v>
      </c>
      <c r="X47" s="24">
        <f>$G$6*$G$7*W47</f>
        <v/>
      </c>
      <c r="Y47" s="22">
        <f>W47*($G$9+$G$10)</f>
        <v/>
      </c>
      <c r="Z47" s="23" t="n">
        <v>0.07000000000000001</v>
      </c>
      <c r="AA47" s="24">
        <f>G47*Z47</f>
        <v/>
      </c>
      <c r="AB47" s="26" t="n">
        <v>0.08</v>
      </c>
      <c r="AC47" s="24">
        <f>G47*AB47</f>
        <v/>
      </c>
      <c r="AD47" s="24">
        <f>AA47+AC47</f>
        <v/>
      </c>
      <c r="AE47" s="28">
        <f>AD47/G47</f>
        <v/>
      </c>
      <c r="AF47" s="29">
        <f>G47-N47-O47-P47-Q47-R47-S47-V47-X47-Y47-L47</f>
        <v/>
      </c>
      <c r="AG47" s="30">
        <f>AF47-AD47</f>
        <v/>
      </c>
      <c r="AH47" s="31">
        <f>AG47/G47</f>
        <v/>
      </c>
      <c r="AI47" s="32">
        <f>AG47/L47</f>
        <v/>
      </c>
      <c r="AJ47" s="24">
        <f>(O47+Q47+V47+X47+Y47+L47)/(1-(M47+$G$4+(1-H47)*$G$3+$G$8+Z47+AB47))</f>
        <v/>
      </c>
    </row>
    <row r="48">
      <c r="A48" s="12" t="inlineStr">
        <is>
          <t>Косметика/FARMSTAY</t>
        </is>
      </c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  <c r="AJ48" s="13" t="n"/>
    </row>
    <row r="49">
      <c r="A49" s="54" t="inlineStr">
        <is>
          <t>FARMSTAY COLLAGEN&amp;HYALURONIC ACID ALL-IN ONE</t>
        </is>
      </c>
      <c r="B49" s="15" t="n"/>
      <c r="C49" s="16" t="inlineStr">
        <is>
          <t>только Holika продает на Озон</t>
        </is>
      </c>
      <c r="D49" s="17" t="n">
        <v>3850</v>
      </c>
      <c r="E49" s="17" t="n">
        <v>127</v>
      </c>
      <c r="F49" s="17" t="n">
        <v>6</v>
      </c>
      <c r="G49" s="17">
        <f>(3.0*L49+O49+Q49+V49+X49+Y49)/(1-M49-$G$8-$G$4-(1-H49)*$G$3-Z49-AB49)</f>
        <v/>
      </c>
      <c r="H49" s="18" t="n">
        <v>0.45</v>
      </c>
      <c r="I49" s="19">
        <f>G49*(1-H49)</f>
        <v/>
      </c>
      <c r="J49" s="20" t="n">
        <v>347.76</v>
      </c>
      <c r="K49" s="21">
        <f>$G$5</f>
        <v/>
      </c>
      <c r="L49" s="22">
        <f>J49+K49</f>
        <v/>
      </c>
      <c r="M49" s="23" t="n">
        <v>0.41</v>
      </c>
      <c r="N49" s="24">
        <f>G49*M49</f>
        <v/>
      </c>
      <c r="O49" s="25" t="n">
        <v>67</v>
      </c>
      <c r="P49" s="24">
        <f>G49*$G$8</f>
        <v/>
      </c>
      <c r="Q49" s="25" t="n">
        <v>25</v>
      </c>
      <c r="R49" s="24">
        <f>G49*$G$4</f>
        <v/>
      </c>
      <c r="S49" s="24">
        <f>I49*$G$3</f>
        <v/>
      </c>
      <c r="T49" s="26" t="n">
        <v>0.9</v>
      </c>
      <c r="U49" s="25" t="n">
        <v>67</v>
      </c>
      <c r="V49" s="24">
        <f>U49*(1-T49)</f>
        <v/>
      </c>
      <c r="W49" s="27" t="n">
        <v>0.832</v>
      </c>
      <c r="X49" s="24">
        <f>$G$6*$G$7*W49</f>
        <v/>
      </c>
      <c r="Y49" s="22">
        <f>W49*($G$9+$G$10)</f>
        <v/>
      </c>
      <c r="Z49" s="23" t="n">
        <v>0.07000000000000001</v>
      </c>
      <c r="AA49" s="24">
        <f>G49*Z49</f>
        <v/>
      </c>
      <c r="AB49" s="26" t="n">
        <v>0.08</v>
      </c>
      <c r="AC49" s="24">
        <f>G49*AB49</f>
        <v/>
      </c>
      <c r="AD49" s="24">
        <f>AA49+AC49</f>
        <v/>
      </c>
      <c r="AE49" s="28">
        <f>AD49/G49</f>
        <v/>
      </c>
      <c r="AF49" s="29">
        <f>G49-N49-O49-P49-Q49-R49-S49-V49-X49-Y49-L49</f>
        <v/>
      </c>
      <c r="AG49" s="30">
        <f>AF49-AD49</f>
        <v/>
      </c>
      <c r="AH49" s="31">
        <f>AG49/G49</f>
        <v/>
      </c>
      <c r="AI49" s="32">
        <f>AG49/L49</f>
        <v/>
      </c>
      <c r="AJ49" s="24">
        <f>(O49+Q49+V49+X49+Y49+L49)/(1-(M49+$G$4+(1-H49)*$G$3+$G$8+Z49+AB49))</f>
        <v/>
      </c>
    </row>
    <row r="50">
      <c r="A50" s="54" t="inlineStr">
        <is>
          <t>FARMSTAY - Black Garlic Nourishing Shampoo [530ml] / Шампунь-кондиционер 2в1 с экстрактом черного чеснока</t>
        </is>
      </c>
      <c r="B50" s="15" t="n"/>
      <c r="C50" s="16" t="inlineStr">
        <is>
          <t>только Holika продает на Озон</t>
        </is>
      </c>
      <c r="D50" s="17" t="n">
        <v>2156</v>
      </c>
      <c r="E50" s="17" t="n">
        <v>46</v>
      </c>
      <c r="F50" s="17" t="n">
        <v>5</v>
      </c>
      <c r="G50" s="17">
        <f>(2.0*L50+O50+Q50+V50+X50+Y50)/(1-M50-$G$8-$G$4-(1-H50)*$G$3-Z50-AB50)</f>
        <v/>
      </c>
      <c r="H50" s="18" t="n">
        <v>0.45</v>
      </c>
      <c r="I50" s="19">
        <f>G50*(1-H50)</f>
        <v/>
      </c>
      <c r="J50" s="20" t="n">
        <v>396.72</v>
      </c>
      <c r="K50" s="21">
        <f>$G$5</f>
        <v/>
      </c>
      <c r="L50" s="22">
        <f>J50+K50</f>
        <v/>
      </c>
      <c r="M50" s="23" t="n">
        <v>0.41</v>
      </c>
      <c r="N50" s="24">
        <f>G50*M50</f>
        <v/>
      </c>
      <c r="O50" s="25" t="n">
        <v>75</v>
      </c>
      <c r="P50" s="24">
        <f>G50*$G$8</f>
        <v/>
      </c>
      <c r="Q50" s="25" t="n">
        <v>25</v>
      </c>
      <c r="R50" s="24">
        <f>G50*$G$4</f>
        <v/>
      </c>
      <c r="S50" s="24">
        <f>I50*$G$3</f>
        <v/>
      </c>
      <c r="T50" s="26" t="n">
        <v>0.9</v>
      </c>
      <c r="U50" s="25" t="n">
        <v>75</v>
      </c>
      <c r="V50" s="24">
        <f>U50*(1-T50)</f>
        <v/>
      </c>
      <c r="W50" s="27" t="n">
        <v>1.89</v>
      </c>
      <c r="X50" s="24">
        <f>$G$6*$G$7*W50</f>
        <v/>
      </c>
      <c r="Y50" s="22">
        <f>W50*($G$9+$G$10)</f>
        <v/>
      </c>
      <c r="Z50" s="23" t="n">
        <v>0.07000000000000001</v>
      </c>
      <c r="AA50" s="24">
        <f>G50*Z50</f>
        <v/>
      </c>
      <c r="AB50" s="26" t="n">
        <v>0.08</v>
      </c>
      <c r="AC50" s="24">
        <f>G50*AB50</f>
        <v/>
      </c>
      <c r="AD50" s="24">
        <f>AA50+AC50</f>
        <v/>
      </c>
      <c r="AE50" s="28">
        <f>AD50/G50</f>
        <v/>
      </c>
      <c r="AF50" s="29">
        <f>G50-N50-O50-P50-Q50-R50-S50-V50-X50-Y50-L50</f>
        <v/>
      </c>
      <c r="AG50" s="30">
        <f>AF50-AD50</f>
        <v/>
      </c>
      <c r="AH50" s="31">
        <f>AG50/G50</f>
        <v/>
      </c>
      <c r="AI50" s="32">
        <f>AG50/L50</f>
        <v/>
      </c>
      <c r="AJ50" s="24">
        <f>(O50+Q50+V50+X50+Y50+L50)/(1-(M50+$G$4+(1-H50)*$G$3+$G$8+Z50+AB50))</f>
        <v/>
      </c>
    </row>
    <row r="51">
      <c r="A51" s="54" t="inlineStr">
        <is>
          <t>FARMSTAY - Gold Snail Premium Cream [50ml] / Омолаживающий крем с муцином улитки и коллоидным золотом</t>
        </is>
      </c>
      <c r="B51" s="15" t="n"/>
      <c r="C51" s="16" t="inlineStr">
        <is>
          <t>не смогла найти с продажами</t>
        </is>
      </c>
      <c r="D51" s="17" t="n"/>
      <c r="E51" s="17" t="n"/>
      <c r="F51" s="17" t="n"/>
      <c r="G51" s="17">
        <f>(2.0*L51+O51+Q51+V51+X51+Y51)/(1-M51-$G$8-$G$4-(1-H51)*$G$3-Z51-AB51)</f>
        <v/>
      </c>
      <c r="H51" s="18" t="n">
        <v>0.45</v>
      </c>
      <c r="I51" s="19">
        <f>G51*(1-H51)</f>
        <v/>
      </c>
      <c r="J51" s="20" t="n">
        <v>431.05</v>
      </c>
      <c r="K51" s="21">
        <f>$G$5</f>
        <v/>
      </c>
      <c r="L51" s="22">
        <f>J51+K51</f>
        <v/>
      </c>
      <c r="M51" s="23" t="n">
        <v>0.41</v>
      </c>
      <c r="N51" s="24">
        <f>G51*M51</f>
        <v/>
      </c>
      <c r="O51" s="25" t="n">
        <v>67</v>
      </c>
      <c r="P51" s="24">
        <f>G51*$G$8</f>
        <v/>
      </c>
      <c r="Q51" s="25" t="n">
        <v>25</v>
      </c>
      <c r="R51" s="24">
        <f>G51*$G$4</f>
        <v/>
      </c>
      <c r="S51" s="24">
        <f>I51*$G$3</f>
        <v/>
      </c>
      <c r="T51" s="26" t="n">
        <v>0.9</v>
      </c>
      <c r="U51" s="25" t="n">
        <v>67</v>
      </c>
      <c r="V51" s="24">
        <f>U51*(1-T51)</f>
        <v/>
      </c>
      <c r="W51" s="27" t="n">
        <v>0.73</v>
      </c>
      <c r="X51" s="24">
        <f>$G$6*$G$7*W51</f>
        <v/>
      </c>
      <c r="Y51" s="22">
        <f>W51*($G$9+$G$10)</f>
        <v/>
      </c>
      <c r="Z51" s="23" t="n">
        <v>0.07000000000000001</v>
      </c>
      <c r="AA51" s="24">
        <f>G51*Z51</f>
        <v/>
      </c>
      <c r="AB51" s="26" t="n">
        <v>0.08</v>
      </c>
      <c r="AC51" s="24">
        <f>G51*AB51</f>
        <v/>
      </c>
      <c r="AD51" s="24">
        <f>AA51+AC51</f>
        <v/>
      </c>
      <c r="AE51" s="28">
        <f>AD51/G51</f>
        <v/>
      </c>
      <c r="AF51" s="29">
        <f>G51-N51-O51-P51-Q51-R51-S51-V51-X51-Y51-L51</f>
        <v/>
      </c>
      <c r="AG51" s="30">
        <f>AF51-AD51</f>
        <v/>
      </c>
      <c r="AH51" s="31">
        <f>AG51/G51</f>
        <v/>
      </c>
      <c r="AI51" s="32">
        <f>AG51/L51</f>
        <v/>
      </c>
      <c r="AJ51" s="24">
        <f>(O51+Q51+V51+X51+Y51+L51)/(1-(M51+$G$4+(1-H51)*$G$3+$G$8+Z51+AB51))</f>
        <v/>
      </c>
    </row>
    <row r="52">
      <c r="A52" s="54" t="inlineStr">
        <is>
          <t>FARMSTAY - Escargot Noblesse Intensive Cream [50g] / Крем с муцином королевской улитки</t>
        </is>
      </c>
      <c r="B52" s="15" t="n"/>
      <c r="C52" s="16" t="inlineStr">
        <is>
          <t>только Holika продает на Озон</t>
        </is>
      </c>
      <c r="D52" s="17" t="n">
        <v>3070</v>
      </c>
      <c r="E52" s="17" t="n">
        <v>48</v>
      </c>
      <c r="F52" s="17" t="n">
        <v>6.6</v>
      </c>
      <c r="G52" s="17">
        <f>(3.0*L52+O52+Q52+V52+X52+Y52)/(1-M52-$G$8-$G$4-(1-H52)*$G$3-Z52-AB52)</f>
        <v/>
      </c>
      <c r="H52" s="18" t="n">
        <v>0.45</v>
      </c>
      <c r="I52" s="19">
        <f>G52*(1-H52)</f>
        <v/>
      </c>
      <c r="J52" s="20" t="n">
        <v>313.84</v>
      </c>
      <c r="K52" s="21">
        <f>$G$5</f>
        <v/>
      </c>
      <c r="L52" s="22">
        <f>J52+K52</f>
        <v/>
      </c>
      <c r="M52" s="23" t="n">
        <v>0.41</v>
      </c>
      <c r="N52" s="24">
        <f>G52*M52</f>
        <v/>
      </c>
      <c r="O52" s="25" t="n">
        <v>67</v>
      </c>
      <c r="P52" s="24">
        <f>G52*$G$8</f>
        <v/>
      </c>
      <c r="Q52" s="25" t="n">
        <v>25</v>
      </c>
      <c r="R52" s="24">
        <f>G52*$G$4</f>
        <v/>
      </c>
      <c r="S52" s="24">
        <f>I52*$G$3</f>
        <v/>
      </c>
      <c r="T52" s="26" t="n">
        <v>0.9</v>
      </c>
      <c r="U52" s="25" t="n">
        <v>67</v>
      </c>
      <c r="V52" s="24">
        <f>U52*(1-T52)</f>
        <v/>
      </c>
      <c r="W52" s="27" t="n">
        <v>0.86</v>
      </c>
      <c r="X52" s="24">
        <f>$G$6*$G$7*W52</f>
        <v/>
      </c>
      <c r="Y52" s="22">
        <f>W52*($G$9+$G$10)</f>
        <v/>
      </c>
      <c r="Z52" s="23" t="n">
        <v>0.07000000000000001</v>
      </c>
      <c r="AA52" s="24">
        <f>G52*Z52</f>
        <v/>
      </c>
      <c r="AB52" s="26" t="n">
        <v>0.08</v>
      </c>
      <c r="AC52" s="24">
        <f>G52*AB52</f>
        <v/>
      </c>
      <c r="AD52" s="24">
        <f>AA52+AC52</f>
        <v/>
      </c>
      <c r="AE52" s="28">
        <f>AD52/G52</f>
        <v/>
      </c>
      <c r="AF52" s="29">
        <f>G52-N52-O52-P52-Q52-R52-S52-V52-X52-Y52-L52</f>
        <v/>
      </c>
      <c r="AG52" s="30">
        <f>AF52-AD52</f>
        <v/>
      </c>
      <c r="AH52" s="31">
        <f>AG52/G52</f>
        <v/>
      </c>
      <c r="AI52" s="32">
        <f>AG52/L52</f>
        <v/>
      </c>
      <c r="AJ52" s="24">
        <f>(O52+Q52+V52+X52+Y52+L52)/(1-(M52+$G$4+(1-H52)*$G$3+$G$8+Z52+AB52))</f>
        <v/>
      </c>
    </row>
    <row r="53">
      <c r="A53" s="14" t="inlineStr">
        <is>
          <t xml:space="preserve">FARMSTAY ESCARGOT NOBLESSE INTENSIVE AMPOULE/ сыворотка с улиткой </t>
        </is>
      </c>
      <c r="B53" s="15" t="n"/>
      <c r="C53" s="16" t="n"/>
      <c r="D53" s="17" t="n">
        <v>3820</v>
      </c>
      <c r="E53" s="17" t="n">
        <v>22</v>
      </c>
      <c r="F53" s="17" t="n">
        <v>7</v>
      </c>
      <c r="G53" s="17">
        <f>(2.0*L53+O53+Q53+V53+X53+Y53)/(1-M53-$G$8-$G$4-(1-H53)*$G$3-Z53-AB53)</f>
        <v/>
      </c>
      <c r="H53" s="18" t="n">
        <v>0.45</v>
      </c>
      <c r="I53" s="19">
        <f>G53*(1-H53)</f>
        <v/>
      </c>
      <c r="J53" s="20" t="n">
        <v>390.46</v>
      </c>
      <c r="K53" s="21">
        <f>$G$5</f>
        <v/>
      </c>
      <c r="L53" s="22">
        <f>J53+K53</f>
        <v/>
      </c>
      <c r="M53" s="23" t="n">
        <v>0.41</v>
      </c>
      <c r="N53" s="24">
        <f>G53*M53</f>
        <v/>
      </c>
      <c r="O53" s="25" t="n">
        <v>67</v>
      </c>
      <c r="P53" s="24">
        <f>G53*$G$8</f>
        <v/>
      </c>
      <c r="Q53" s="25" t="n">
        <v>25</v>
      </c>
      <c r="R53" s="24">
        <f>G53*$G$4</f>
        <v/>
      </c>
      <c r="S53" s="24">
        <f>I53*$G$3</f>
        <v/>
      </c>
      <c r="T53" s="26" t="n">
        <v>0.9</v>
      </c>
      <c r="U53" s="25" t="n">
        <v>67</v>
      </c>
      <c r="V53" s="24">
        <f>U53*(1-T53)</f>
        <v/>
      </c>
      <c r="W53" s="27" t="n">
        <v>0.86</v>
      </c>
      <c r="X53" s="24">
        <f>$G$6*$G$7*W53</f>
        <v/>
      </c>
      <c r="Y53" s="22">
        <f>W53*($G$9+$G$10)</f>
        <v/>
      </c>
      <c r="Z53" s="23" t="n">
        <v>0.07000000000000001</v>
      </c>
      <c r="AA53" s="24">
        <f>G53*Z53</f>
        <v/>
      </c>
      <c r="AB53" s="26" t="n">
        <v>0.08</v>
      </c>
      <c r="AC53" s="24">
        <f>G53*AB53</f>
        <v/>
      </c>
      <c r="AD53" s="24">
        <f>AA53+AC53</f>
        <v/>
      </c>
      <c r="AE53" s="28">
        <f>AD53/G53</f>
        <v/>
      </c>
      <c r="AF53" s="29">
        <f>G53-N53-O53-P53-Q53-R53-S53-V53-X53-Y53-L53</f>
        <v/>
      </c>
      <c r="AG53" s="30">
        <f>AF53-AD53</f>
        <v/>
      </c>
      <c r="AH53" s="31">
        <f>AG53/G53</f>
        <v/>
      </c>
      <c r="AI53" s="32">
        <f>AG53/L53</f>
        <v/>
      </c>
      <c r="AJ53" s="24">
        <f>(O53+Q53+V53+X53+Y53+L53)/(1-(M53+$G$4+(1-H53)*$G$3+$G$8+Z53+AB53))</f>
        <v/>
      </c>
    </row>
    <row r="54">
      <c r="A54" s="14" t="inlineStr">
        <is>
          <t>FARMSTAY - Argan Oil Complete Volume Up Shampoo &amp; Conditioner [530ml] / Шампунь-кондиционер с аргановым маслом</t>
        </is>
      </c>
      <c r="B54" s="15" t="n"/>
      <c r="C54" s="16" t="n"/>
      <c r="D54" s="17" t="n">
        <v>2000</v>
      </c>
      <c r="E54" s="17" t="n">
        <v>23</v>
      </c>
      <c r="F54" s="17" t="n">
        <v>1</v>
      </c>
      <c r="G54" s="17">
        <f>(2.0*L54+O54+Q54+V54+X54+Y54)/(1-M54-$G$8-$G$4-(1-H54)*$G$3-Z54-AB54)</f>
        <v/>
      </c>
      <c r="H54" s="18" t="n">
        <v>0.45</v>
      </c>
      <c r="I54" s="19">
        <f>G54*(1-H54)</f>
        <v/>
      </c>
      <c r="J54" s="20" t="n">
        <v>400.76</v>
      </c>
      <c r="K54" s="21">
        <f>$G$5</f>
        <v/>
      </c>
      <c r="L54" s="22">
        <f>J54+K54</f>
        <v/>
      </c>
      <c r="M54" s="23" t="n">
        <v>0.41</v>
      </c>
      <c r="N54" s="24">
        <f>G54*M54</f>
        <v/>
      </c>
      <c r="O54" s="25" t="n">
        <v>75</v>
      </c>
      <c r="P54" s="24">
        <f>G54*$G$8</f>
        <v/>
      </c>
      <c r="Q54" s="25" t="n">
        <v>25</v>
      </c>
      <c r="R54" s="24">
        <f>G54*$G$4</f>
        <v/>
      </c>
      <c r="S54" s="24">
        <f>I54*$G$3</f>
        <v/>
      </c>
      <c r="T54" s="26" t="n">
        <v>0.9</v>
      </c>
      <c r="U54" s="25" t="n">
        <v>75</v>
      </c>
      <c r="V54" s="24">
        <f>U54*(1-T54)</f>
        <v/>
      </c>
      <c r="W54" s="27" t="n">
        <v>1.26</v>
      </c>
      <c r="X54" s="24">
        <f>$G$6*$G$7*W54</f>
        <v/>
      </c>
      <c r="Y54" s="22">
        <f>W54*($G$9+$G$10)</f>
        <v/>
      </c>
      <c r="Z54" s="23" t="n">
        <v>0.07000000000000001</v>
      </c>
      <c r="AA54" s="24">
        <f>G54*Z54</f>
        <v/>
      </c>
      <c r="AB54" s="26" t="n">
        <v>0.08</v>
      </c>
      <c r="AC54" s="24">
        <f>G54*AB54</f>
        <v/>
      </c>
      <c r="AD54" s="24">
        <f>AA54+AC54</f>
        <v/>
      </c>
      <c r="AE54" s="28">
        <f>AD54/G54</f>
        <v/>
      </c>
      <c r="AF54" s="29">
        <f>G54-N54-O54-P54-Q54-R54-S54-V54-X54-Y54-L54</f>
        <v/>
      </c>
      <c r="AG54" s="30">
        <f>AF54-AD54</f>
        <v/>
      </c>
      <c r="AH54" s="31">
        <f>AG54/G54</f>
        <v/>
      </c>
      <c r="AI54" s="32">
        <f>AG54/L54</f>
        <v/>
      </c>
      <c r="AJ54" s="24">
        <f>(O54+Q54+V54+X54+Y54+L54)/(1-(M54+$G$4+(1-H54)*$G$3+$G$8+Z54+AB54))</f>
        <v/>
      </c>
    </row>
    <row r="55">
      <c r="A55" s="14" t="inlineStr">
        <is>
          <t>FARMSTAY - Collagen Water Full Shampoo &amp; Conditioner [530ml] / Шампунь-кондиционер 2в1 с коллагеном</t>
        </is>
      </c>
      <c r="B55" s="15" t="n"/>
      <c r="C55" s="16" t="n"/>
      <c r="D55" s="17" t="n">
        <v>2128</v>
      </c>
      <c r="E55" s="17" t="n">
        <v>22</v>
      </c>
      <c r="F55" s="17" t="n">
        <v>7.5</v>
      </c>
      <c r="G55" s="17">
        <f>(2.0*L55+O55+Q55+V55+X55+Y55)/(1-M55-$G$8-$G$4-(1-H55)*$G$3-Z55-AB55)</f>
        <v/>
      </c>
      <c r="H55" s="18" t="n">
        <v>0.45</v>
      </c>
      <c r="I55" s="19">
        <f>G55*(1-H55)</f>
        <v/>
      </c>
      <c r="J55" s="20" t="n">
        <v>396.72</v>
      </c>
      <c r="K55" s="21">
        <f>$G$5</f>
        <v/>
      </c>
      <c r="L55" s="22">
        <f>J55+K55</f>
        <v/>
      </c>
      <c r="M55" s="23" t="n">
        <v>0.41</v>
      </c>
      <c r="N55" s="24">
        <f>G55*M55</f>
        <v/>
      </c>
      <c r="O55" s="25" t="n">
        <v>75</v>
      </c>
      <c r="P55" s="24">
        <f>G55*$G$8</f>
        <v/>
      </c>
      <c r="Q55" s="25" t="n">
        <v>25</v>
      </c>
      <c r="R55" s="24">
        <f>G55*$G$4</f>
        <v/>
      </c>
      <c r="S55" s="24">
        <f>I55*$G$3</f>
        <v/>
      </c>
      <c r="T55" s="26" t="n">
        <v>0.9</v>
      </c>
      <c r="U55" s="25" t="n">
        <v>75</v>
      </c>
      <c r="V55" s="24">
        <f>U55*(1-T55)</f>
        <v/>
      </c>
      <c r="W55" s="27" t="n">
        <v>1.26</v>
      </c>
      <c r="X55" s="24">
        <f>$G$6*$G$7*W55</f>
        <v/>
      </c>
      <c r="Y55" s="22">
        <f>W55*($G$9+$G$10)</f>
        <v/>
      </c>
      <c r="Z55" s="23" t="n">
        <v>0.07000000000000001</v>
      </c>
      <c r="AA55" s="24">
        <f>G55*Z55</f>
        <v/>
      </c>
      <c r="AB55" s="26" t="n">
        <v>0.08</v>
      </c>
      <c r="AC55" s="24">
        <f>G55*AB55</f>
        <v/>
      </c>
      <c r="AD55" s="24">
        <f>AA55+AC55</f>
        <v/>
      </c>
      <c r="AE55" s="28">
        <f>AD55/G55</f>
        <v/>
      </c>
      <c r="AF55" s="29">
        <f>G55-N55-O55-P55-Q55-R55-S55-V55-X55-Y55-L55</f>
        <v/>
      </c>
      <c r="AG55" s="30">
        <f>AF55-AD55</f>
        <v/>
      </c>
      <c r="AH55" s="31">
        <f>AG55/G55</f>
        <v/>
      </c>
      <c r="AI55" s="32">
        <f>AG55/L55</f>
        <v/>
      </c>
      <c r="AJ55" s="24">
        <f>(O55+Q55+V55+X55+Y55+L55)/(1-(M55+$G$4+(1-H55)*$G$3+$G$8+Z55+AB55))</f>
        <v/>
      </c>
    </row>
    <row r="56">
      <c r="A56" s="14" t="inlineStr">
        <is>
          <t>FARMSTAY - Collagen Water Full Moist Rolling Eye Serum [25ml] / Сыворотка роллер для глаз</t>
        </is>
      </c>
      <c r="B56" s="15" t="n"/>
      <c r="C56" s="16" t="n"/>
      <c r="D56" s="17" t="n">
        <v>2145</v>
      </c>
      <c r="E56" s="17" t="n">
        <v>48</v>
      </c>
      <c r="F56" s="17" t="n">
        <v>5</v>
      </c>
      <c r="G56" s="17">
        <f>(2.5*L56+O56+Q56+V56+X56+Y56)/(1-M56-$G$8-$G$4-(1-H56)*$G$3-Z56-AB56)</f>
        <v/>
      </c>
      <c r="H56" s="18" t="n">
        <v>0.45</v>
      </c>
      <c r="I56" s="19">
        <f>G56*(1-H56)</f>
        <v/>
      </c>
      <c r="J56" s="20" t="n">
        <v>231.73</v>
      </c>
      <c r="K56" s="21">
        <f>$G$5</f>
        <v/>
      </c>
      <c r="L56" s="22">
        <f>J56+K56</f>
        <v/>
      </c>
      <c r="M56" s="23" t="n">
        <v>0.41</v>
      </c>
      <c r="N56" s="24">
        <f>G56*M56</f>
        <v/>
      </c>
      <c r="O56" s="25" t="n">
        <v>63</v>
      </c>
      <c r="P56" s="24">
        <f>G56*$G$8</f>
        <v/>
      </c>
      <c r="Q56" s="25" t="n">
        <v>25</v>
      </c>
      <c r="R56" s="24">
        <f>G56*$G$4</f>
        <v/>
      </c>
      <c r="S56" s="24">
        <f>I56*$G$3</f>
        <v/>
      </c>
      <c r="T56" s="26" t="n">
        <v>0.9</v>
      </c>
      <c r="U56" s="25" t="n">
        <v>63</v>
      </c>
      <c r="V56" s="24">
        <f>U56*(1-T56)</f>
        <v/>
      </c>
      <c r="W56" s="27" t="n">
        <v>0.22</v>
      </c>
      <c r="X56" s="24">
        <f>$G$6*$G$7*W56</f>
        <v/>
      </c>
      <c r="Y56" s="22">
        <f>W56*($G$9+$G$10)</f>
        <v/>
      </c>
      <c r="Z56" s="23" t="n">
        <v>0.07000000000000001</v>
      </c>
      <c r="AA56" s="24">
        <f>G56*Z56</f>
        <v/>
      </c>
      <c r="AB56" s="26" t="n">
        <v>0.08</v>
      </c>
      <c r="AC56" s="24">
        <f>G56*AB56</f>
        <v/>
      </c>
      <c r="AD56" s="24">
        <f>AA56+AC56</f>
        <v/>
      </c>
      <c r="AE56" s="28">
        <f>AD56/G56</f>
        <v/>
      </c>
      <c r="AF56" s="29">
        <f>G56-N56-O56-P56-Q56-R56-S56-V56-X56-Y56-L56</f>
        <v/>
      </c>
      <c r="AG56" s="30">
        <f>AF56-AD56</f>
        <v/>
      </c>
      <c r="AH56" s="31">
        <f>AG56/G56</f>
        <v/>
      </c>
      <c r="AI56" s="32">
        <f>AG56/L56</f>
        <v/>
      </c>
      <c r="AJ56" s="24">
        <f>(O56+Q56+V56+X56+Y56+L56)/(1-(M56+$G$4+(1-H56)*$G$3+$G$8+Z56+AB56))</f>
        <v/>
      </c>
    </row>
    <row r="57">
      <c r="A57" s="14" t="inlineStr">
        <is>
          <t>FARMSTAY - Collagen Water Full Moist Cream [100g] / Увлажняющий крем с коллагеном</t>
        </is>
      </c>
      <c r="B57" s="15" t="n"/>
      <c r="C57" s="16" t="n"/>
      <c r="D57" s="17" t="n">
        <v>4300</v>
      </c>
      <c r="E57" s="17" t="n">
        <v>29</v>
      </c>
      <c r="F57" s="17" t="n">
        <v>7</v>
      </c>
      <c r="G57" s="17">
        <f>(2.0*L57+O57+Q57+V57+X57+Y57)/(1-M57-$G$8-$G$4-(1-H57)*$G$3-Z57-AB57)</f>
        <v/>
      </c>
      <c r="H57" s="18" t="n">
        <v>0.45</v>
      </c>
      <c r="I57" s="19">
        <f>G57*(1-H57)</f>
        <v/>
      </c>
      <c r="J57" s="20" t="n">
        <v>484.42</v>
      </c>
      <c r="K57" s="21">
        <f>$G$5</f>
        <v/>
      </c>
      <c r="L57" s="22">
        <f>J57+K57</f>
        <v/>
      </c>
      <c r="M57" s="23" t="n">
        <v>0.41</v>
      </c>
      <c r="N57" s="24">
        <f>G57*M57</f>
        <v/>
      </c>
      <c r="O57" s="25" t="n">
        <v>67</v>
      </c>
      <c r="P57" s="24">
        <f>G57*$G$8</f>
        <v/>
      </c>
      <c r="Q57" s="25" t="n">
        <v>25</v>
      </c>
      <c r="R57" s="24">
        <f>G57*$G$4</f>
        <v/>
      </c>
      <c r="S57" s="24">
        <f>I57*$G$3</f>
        <v/>
      </c>
      <c r="T57" s="26" t="n">
        <v>0.9</v>
      </c>
      <c r="U57" s="25" t="n">
        <v>67</v>
      </c>
      <c r="V57" s="24">
        <f>U57*(1-T57)</f>
        <v/>
      </c>
      <c r="W57" s="27" t="n">
        <v>0.57</v>
      </c>
      <c r="X57" s="24">
        <f>$G$6*$G$7*W57</f>
        <v/>
      </c>
      <c r="Y57" s="22">
        <f>W57*($G$9+$G$10)</f>
        <v/>
      </c>
      <c r="Z57" s="23" t="n">
        <v>0.07000000000000001</v>
      </c>
      <c r="AA57" s="24">
        <f>G57*Z57</f>
        <v/>
      </c>
      <c r="AB57" s="26" t="n">
        <v>0.08</v>
      </c>
      <c r="AC57" s="24">
        <f>G57*AB57</f>
        <v/>
      </c>
      <c r="AD57" s="24">
        <f>AA57+AC57</f>
        <v/>
      </c>
      <c r="AE57" s="28">
        <f>AD57/G57</f>
        <v/>
      </c>
      <c r="AF57" s="29">
        <f>G57-N57-O57-P57-Q57-R57-S57-V57-X57-Y57-L57</f>
        <v/>
      </c>
      <c r="AG57" s="30">
        <f>AF57-AD57</f>
        <v/>
      </c>
      <c r="AH57" s="31">
        <f>AG57/G57</f>
        <v/>
      </c>
      <c r="AI57" s="32">
        <f>AG57/L57</f>
        <v/>
      </c>
      <c r="AJ57" s="24">
        <f>(O57+Q57+V57+X57+Y57+L57)/(1-(M57+$G$4+(1-H57)*$G$3+$G$8+Z57+AB57))</f>
        <v/>
      </c>
    </row>
    <row r="58">
      <c r="A58" s="14" t="inlineStr">
        <is>
          <t xml:space="preserve">FARMSTAY - Collagen Pure Cleansing Foam [180ml]/Пенка для умывания </t>
        </is>
      </c>
      <c r="B58" s="15" t="n"/>
      <c r="C58" s="16" t="n"/>
      <c r="D58" s="17" t="n">
        <v>1100</v>
      </c>
      <c r="E58" s="17" t="n">
        <v>163</v>
      </c>
      <c r="F58" s="17" t="n">
        <v>4.5</v>
      </c>
      <c r="G58" s="17">
        <f>(2.0*L58+O58+Q58+V58+X58+Y58)/(1-M58-$G$8-$G$4-(1-H58)*$G$3-Z58-AB58)</f>
        <v/>
      </c>
      <c r="H58" s="18" t="n">
        <v>0.45</v>
      </c>
      <c r="I58" s="19">
        <f>G58*(1-H58)</f>
        <v/>
      </c>
      <c r="J58" s="20" t="n">
        <v>161.47</v>
      </c>
      <c r="K58" s="21">
        <f>$G$5</f>
        <v/>
      </c>
      <c r="L58" s="22">
        <f>J58+K58</f>
        <v/>
      </c>
      <c r="M58" s="23" t="n">
        <v>0.41</v>
      </c>
      <c r="N58" s="24">
        <f>G58*M58</f>
        <v/>
      </c>
      <c r="O58" s="25" t="n">
        <v>67</v>
      </c>
      <c r="P58" s="24">
        <f>G58*$G$8</f>
        <v/>
      </c>
      <c r="Q58" s="25" t="n">
        <v>25</v>
      </c>
      <c r="R58" s="24">
        <f>G58*$G$4</f>
        <v/>
      </c>
      <c r="S58" s="24">
        <f>I58*$G$3</f>
        <v/>
      </c>
      <c r="T58" s="26" t="n">
        <v>0.9</v>
      </c>
      <c r="U58" s="25" t="n">
        <v>67</v>
      </c>
      <c r="V58" s="24">
        <f>U58*(1-T58)</f>
        <v/>
      </c>
      <c r="W58" s="27" t="n">
        <v>0.57</v>
      </c>
      <c r="X58" s="24">
        <f>$G$6*$G$7*W58</f>
        <v/>
      </c>
      <c r="Y58" s="22">
        <f>W58*($G$9+$G$10)</f>
        <v/>
      </c>
      <c r="Z58" s="23" t="n">
        <v>0.07000000000000001</v>
      </c>
      <c r="AA58" s="24">
        <f>G58*Z58</f>
        <v/>
      </c>
      <c r="AB58" s="26" t="n">
        <v>0.08</v>
      </c>
      <c r="AC58" s="24">
        <f>G58*AB58</f>
        <v/>
      </c>
      <c r="AD58" s="24">
        <f>AA58+AC58</f>
        <v/>
      </c>
      <c r="AE58" s="28">
        <f>AD58/G58</f>
        <v/>
      </c>
      <c r="AF58" s="29">
        <f>G58-N58-O58-P58-Q58-R58-S58-V58-X58-Y58-L58</f>
        <v/>
      </c>
      <c r="AG58" s="30">
        <f>AF58-AD58</f>
        <v/>
      </c>
      <c r="AH58" s="31">
        <f>AG58/G58</f>
        <v/>
      </c>
      <c r="AI58" s="32">
        <f>AG58/L58</f>
        <v/>
      </c>
      <c r="AJ58" s="24">
        <f>(O58+Q58+V58+X58+Y58+L58)/(1-(M58+$G$4+(1-H58)*$G$3+$G$8+Z58+AB58))</f>
        <v/>
      </c>
    </row>
    <row r="59">
      <c r="A59" s="12" t="inlineStr">
        <is>
          <t>Косметика/HEIMISH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  <c r="AJ59" s="13" t="n"/>
    </row>
    <row r="60">
      <c r="A60" s="14" t="inlineStr">
        <is>
          <t>HEIMISH - Artless Glow Base SPF50+ PA+++(Renew) [40ml] / База под макияж SPF50+ PA+++</t>
        </is>
      </c>
      <c r="B60" s="15" t="n"/>
      <c r="C60" s="16" t="n"/>
      <c r="D60" s="17" t="n">
        <v>2980</v>
      </c>
      <c r="E60" s="17" t="n">
        <v>100</v>
      </c>
      <c r="F60" s="17" t="n">
        <v>0</v>
      </c>
      <c r="G60" s="17">
        <f>(2.0*L60+O60+Q60+V60+X60+Y60)/(1-M60-$G$8-$G$4-(1-H60)*$G$3-Z60-AB60)</f>
        <v/>
      </c>
      <c r="H60" s="18" t="n">
        <v>0.45</v>
      </c>
      <c r="I60" s="19">
        <f>G60*(1-H60)</f>
        <v/>
      </c>
      <c r="J60" s="20" t="n">
        <v>770.48</v>
      </c>
      <c r="K60" s="21">
        <f>$G$5</f>
        <v/>
      </c>
      <c r="L60" s="22">
        <f>J60+K60</f>
        <v/>
      </c>
      <c r="M60" s="23" t="n">
        <v>0.41</v>
      </c>
      <c r="N60" s="24">
        <f>G60*M60</f>
        <v/>
      </c>
      <c r="O60" s="25" t="n">
        <v>56</v>
      </c>
      <c r="P60" s="24">
        <f>G60*$G$8</f>
        <v/>
      </c>
      <c r="Q60" s="25" t="n">
        <v>25</v>
      </c>
      <c r="R60" s="24">
        <f>G60*$G$4</f>
        <v/>
      </c>
      <c r="S60" s="24">
        <f>I60*$G$3</f>
        <v/>
      </c>
      <c r="T60" s="26" t="n">
        <v>0.9</v>
      </c>
      <c r="U60" s="25" t="n">
        <v>56</v>
      </c>
      <c r="V60" s="24">
        <f>U60*(1-T60)</f>
        <v/>
      </c>
      <c r="W60" s="27" t="n">
        <v>0.14</v>
      </c>
      <c r="X60" s="24">
        <f>$G$6*$G$7*W60</f>
        <v/>
      </c>
      <c r="Y60" s="22">
        <f>W60*($G$9+$G$10)</f>
        <v/>
      </c>
      <c r="Z60" s="23" t="n">
        <v>0.05</v>
      </c>
      <c r="AA60" s="24">
        <f>G60*Z60</f>
        <v/>
      </c>
      <c r="AB60" s="26" t="n">
        <v>0.05</v>
      </c>
      <c r="AC60" s="24">
        <f>G60*AB60</f>
        <v/>
      </c>
      <c r="AD60" s="24">
        <f>AA60+AC60</f>
        <v/>
      </c>
      <c r="AE60" s="28">
        <f>AD60/G60</f>
        <v/>
      </c>
      <c r="AF60" s="29">
        <f>G60-N60-O60-P60-Q60-R60-S60-V60-X60-Y60-L60</f>
        <v/>
      </c>
      <c r="AG60" s="30">
        <f>AF60-AD60</f>
        <v/>
      </c>
      <c r="AH60" s="31">
        <f>AG60/G60</f>
        <v/>
      </c>
      <c r="AI60" s="32">
        <f>AG60/L60</f>
        <v/>
      </c>
      <c r="AJ60" s="24">
        <f>(O60+Q60+V60+X60+Y60+L60)/(1-(M60+$G$4+(1-H60)*$G$3+$G$8+Z60+AB60))</f>
        <v/>
      </c>
    </row>
    <row r="61">
      <c r="A61" s="33" t="inlineStr">
        <is>
          <t>HEIMISH - All Clean Balm / Очищающий гидрофильный бальзам щербет МИНИ ВЕРСИЯ</t>
        </is>
      </c>
      <c r="B61" s="34" t="n"/>
      <c r="C61" s="34" t="n"/>
      <c r="D61" s="35" t="n"/>
      <c r="E61" s="35" t="n"/>
      <c r="F61" s="35" t="n"/>
      <c r="G61" s="35" t="n"/>
      <c r="H61" s="36" t="n"/>
      <c r="I61" s="37" t="n"/>
      <c r="J61" s="38" t="n"/>
      <c r="K61" s="38" t="n"/>
      <c r="L61" s="39" t="n"/>
      <c r="M61" s="40" t="n"/>
      <c r="N61" s="35" t="n"/>
      <c r="O61" s="35" t="n"/>
      <c r="P61" s="35" t="n"/>
      <c r="Q61" s="35" t="n"/>
      <c r="R61" s="35" t="n"/>
      <c r="S61" s="35" t="n"/>
      <c r="T61" s="41" t="n"/>
      <c r="U61" s="35" t="n"/>
      <c r="V61" s="35" t="n"/>
      <c r="W61" s="42" t="n"/>
      <c r="X61" s="35" t="n"/>
      <c r="Y61" s="39" t="n"/>
      <c r="Z61" s="40" t="n"/>
      <c r="AA61" s="35" t="n"/>
      <c r="AB61" s="41" t="n"/>
      <c r="AC61" s="35" t="n"/>
      <c r="AD61" s="35" t="n"/>
      <c r="AE61" s="43" t="n"/>
      <c r="AF61" s="44" t="n"/>
      <c r="AG61" s="35" t="n"/>
      <c r="AH61" s="41" t="n"/>
      <c r="AI61" s="41" t="n"/>
      <c r="AJ61" s="35" t="n"/>
    </row>
    <row r="62">
      <c r="A62" s="12" t="inlineStr">
        <is>
          <t>Косметика/JIGOTT/JIGOTT-CREAM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  <c r="AJ62" s="13" t="n"/>
    </row>
    <row r="63">
      <c r="A63" s="14" t="inlineStr">
        <is>
          <t>JIGOTT - Snail Lifting Cream [70ml] / Крем для лица увлажняющий антивозрастной</t>
        </is>
      </c>
      <c r="B63" s="15" t="n"/>
      <c r="C63" s="16" t="n"/>
      <c r="D63" s="17" t="n">
        <v>980</v>
      </c>
      <c r="E63" s="17" t="n">
        <v>160</v>
      </c>
      <c r="F63" s="17" t="n">
        <v>4.5</v>
      </c>
      <c r="G63" s="17">
        <f>(2.0*L63+O63+Q63+V63+X63+Y63)/(1-M63-$G$8-$G$4-(1-H63)*$G$3-Z63-AB63)</f>
        <v/>
      </c>
      <c r="H63" s="18" t="n">
        <v>0.45</v>
      </c>
      <c r="I63" s="19">
        <f>G63*(1-H63)</f>
        <v/>
      </c>
      <c r="J63" s="20" t="n">
        <v>202.27</v>
      </c>
      <c r="K63" s="21">
        <f>$G$5</f>
        <v/>
      </c>
      <c r="L63" s="22">
        <f>J63+K63</f>
        <v/>
      </c>
      <c r="M63" s="23" t="n">
        <v>0.41</v>
      </c>
      <c r="N63" s="24">
        <f>G63*M63</f>
        <v/>
      </c>
      <c r="O63" s="25" t="n">
        <v>67</v>
      </c>
      <c r="P63" s="24">
        <f>G63*$G$8</f>
        <v/>
      </c>
      <c r="Q63" s="25" t="n">
        <v>25</v>
      </c>
      <c r="R63" s="24">
        <f>G63*$G$4</f>
        <v/>
      </c>
      <c r="S63" s="24">
        <f>I63*$G$3</f>
        <v/>
      </c>
      <c r="T63" s="26" t="n">
        <v>0.9</v>
      </c>
      <c r="U63" s="25" t="n">
        <v>67</v>
      </c>
      <c r="V63" s="24">
        <f>U63*(1-T63)</f>
        <v/>
      </c>
      <c r="W63" s="27" t="n">
        <v>0.42</v>
      </c>
      <c r="X63" s="24">
        <f>$G$6*$G$7*W63</f>
        <v/>
      </c>
      <c r="Y63" s="22">
        <f>W63*($G$9+$G$10)</f>
        <v/>
      </c>
      <c r="Z63" s="23" t="n">
        <v>0.07000000000000001</v>
      </c>
      <c r="AA63" s="24">
        <f>G63*Z63</f>
        <v/>
      </c>
      <c r="AB63" s="26" t="n">
        <v>0.08</v>
      </c>
      <c r="AC63" s="24">
        <f>G63*AB63</f>
        <v/>
      </c>
      <c r="AD63" s="24">
        <f>AA63+AC63</f>
        <v/>
      </c>
      <c r="AE63" s="28">
        <f>AD63/G63</f>
        <v/>
      </c>
      <c r="AF63" s="29">
        <f>G63-N63-O63-P63-Q63-R63-S63-V63-X63-Y63-L63</f>
        <v/>
      </c>
      <c r="AG63" s="45">
        <f>AF63-AD63</f>
        <v/>
      </c>
      <c r="AH63" s="46">
        <f>AG63/G63</f>
        <v/>
      </c>
      <c r="AI63" s="47">
        <f>AG63/L63</f>
        <v/>
      </c>
      <c r="AJ63" s="24">
        <f>(O63+Q63+V63+X63+Y63+L63)/(1-(M63+$G$4+(1-H63)*$G$3+$G$8+Z63+AB63))</f>
        <v/>
      </c>
    </row>
    <row r="64">
      <c r="A64" s="14" t="inlineStr">
        <is>
          <t>JIGOTT - Snail Reparing Cream [100ml] / Крем для лица увлажняющий антивозрастной с муцином улитки</t>
        </is>
      </c>
      <c r="B64" s="15" t="n"/>
      <c r="C64" s="16" t="n"/>
      <c r="D64" s="17" t="n">
        <v>1030</v>
      </c>
      <c r="E64" s="17" t="n">
        <v>153</v>
      </c>
      <c r="F64" s="17" t="n">
        <v>5</v>
      </c>
      <c r="G64" s="17">
        <f>(2.0*L64+O64+Q64+V64+X64+Y64)/(1-M64-$G$8-$G$4-(1-H64)*$G$3-Z64-AB64)</f>
        <v/>
      </c>
      <c r="H64" s="18" t="n">
        <v>0.45</v>
      </c>
      <c r="I64" s="19">
        <f>G64*(1-H64)</f>
        <v/>
      </c>
      <c r="J64" s="20" t="n">
        <v>185.86</v>
      </c>
      <c r="K64" s="21">
        <f>$G$5</f>
        <v/>
      </c>
      <c r="L64" s="22">
        <f>J64+K64</f>
        <v/>
      </c>
      <c r="M64" s="23" t="n">
        <v>0.41</v>
      </c>
      <c r="N64" s="24">
        <f>G64*M64</f>
        <v/>
      </c>
      <c r="O64" s="25" t="n">
        <v>67</v>
      </c>
      <c r="P64" s="24">
        <f>G64*$G$8</f>
        <v/>
      </c>
      <c r="Q64" s="25" t="n">
        <v>25</v>
      </c>
      <c r="R64" s="24">
        <f>G64*$G$4</f>
        <v/>
      </c>
      <c r="S64" s="24">
        <f>I64*$G$3</f>
        <v/>
      </c>
      <c r="T64" s="26" t="n">
        <v>0.9</v>
      </c>
      <c r="U64" s="25" t="n">
        <v>67</v>
      </c>
      <c r="V64" s="24">
        <f>U64*(1-T64)</f>
        <v/>
      </c>
      <c r="W64" s="27" t="n">
        <v>0.57</v>
      </c>
      <c r="X64" s="24">
        <f>$G$6*$G$7*W64</f>
        <v/>
      </c>
      <c r="Y64" s="22">
        <f>W64*($G$9+$G$10)</f>
        <v/>
      </c>
      <c r="Z64" s="23" t="n">
        <v>0.07000000000000001</v>
      </c>
      <c r="AA64" s="24">
        <f>G64*Z64</f>
        <v/>
      </c>
      <c r="AB64" s="26" t="n">
        <v>0.08</v>
      </c>
      <c r="AC64" s="24">
        <f>G64*AB64</f>
        <v/>
      </c>
      <c r="AD64" s="24">
        <f>AA64+AC64</f>
        <v/>
      </c>
      <c r="AE64" s="28">
        <f>AD64/G64</f>
        <v/>
      </c>
      <c r="AF64" s="29">
        <f>G64-N64-O64-P64-Q64-R64-S64-V64-X64-Y64-L64</f>
        <v/>
      </c>
      <c r="AG64" s="45">
        <f>AF64-AD64</f>
        <v/>
      </c>
      <c r="AH64" s="46">
        <f>AG64/G64</f>
        <v/>
      </c>
      <c r="AI64" s="47">
        <f>AG64/L64</f>
        <v/>
      </c>
      <c r="AJ64" s="24">
        <f>(O64+Q64+V64+X64+Y64+L64)/(1-(M64+$G$4+(1-H64)*$G$3+$G$8+Z64+AB64))</f>
        <v/>
      </c>
    </row>
    <row r="65">
      <c r="A65" s="14" t="inlineStr">
        <is>
          <t>JIGOTT - Birds Nest Firming Cream [70ml] / Антивозрастной крем с экстрактом ласточкиного гнезда</t>
        </is>
      </c>
      <c r="B65" s="15" t="n"/>
      <c r="C65" s="16" t="n"/>
      <c r="D65" s="17" t="n">
        <v>1040</v>
      </c>
      <c r="E65" s="17" t="n">
        <v>49</v>
      </c>
      <c r="F65" s="17" t="n">
        <v>4</v>
      </c>
      <c r="G65" s="17">
        <f>(2.0*L65+O65+Q65+V65+X65+Y65)/(1-M65-$G$8-$G$4-(1-H65)*$G$3-Z65-AB65)</f>
        <v/>
      </c>
      <c r="H65" s="18" t="n">
        <v>0.45</v>
      </c>
      <c r="I65" s="19">
        <f>G65*(1-H65)</f>
        <v/>
      </c>
      <c r="J65" s="20" t="n">
        <v>202.27</v>
      </c>
      <c r="K65" s="21">
        <f>$G$5</f>
        <v/>
      </c>
      <c r="L65" s="22">
        <f>J65+K65</f>
        <v/>
      </c>
      <c r="M65" s="23" t="n">
        <v>0.41</v>
      </c>
      <c r="N65" s="24">
        <f>G65*M65</f>
        <v/>
      </c>
      <c r="O65" s="25" t="n">
        <v>67</v>
      </c>
      <c r="P65" s="24">
        <f>G65*$G$8</f>
        <v/>
      </c>
      <c r="Q65" s="25" t="n">
        <v>25</v>
      </c>
      <c r="R65" s="24">
        <f>G65*$G$4</f>
        <v/>
      </c>
      <c r="S65" s="24">
        <f>I65*$G$3</f>
        <v/>
      </c>
      <c r="T65" s="26" t="n">
        <v>0.9</v>
      </c>
      <c r="U65" s="25" t="n">
        <v>67</v>
      </c>
      <c r="V65" s="24">
        <f>U65*(1-T65)</f>
        <v/>
      </c>
      <c r="W65" s="27" t="n">
        <v>0.42</v>
      </c>
      <c r="X65" s="24">
        <f>$G$6*$G$7*W65</f>
        <v/>
      </c>
      <c r="Y65" s="22">
        <f>W65*($G$9+$G$10)</f>
        <v/>
      </c>
      <c r="Z65" s="23" t="n">
        <v>0.07000000000000001</v>
      </c>
      <c r="AA65" s="24">
        <f>G65*Z65</f>
        <v/>
      </c>
      <c r="AB65" s="26" t="n">
        <v>0.08</v>
      </c>
      <c r="AC65" s="24">
        <f>G65*AB65</f>
        <v/>
      </c>
      <c r="AD65" s="24">
        <f>AA65+AC65</f>
        <v/>
      </c>
      <c r="AE65" s="28">
        <f>AD65/G65</f>
        <v/>
      </c>
      <c r="AF65" s="29">
        <f>G65-N65-O65-P65-Q65-R65-S65-V65-X65-Y65-L65</f>
        <v/>
      </c>
      <c r="AG65" s="45">
        <f>AF65-AD65</f>
        <v/>
      </c>
      <c r="AH65" s="46">
        <f>AG65/G65</f>
        <v/>
      </c>
      <c r="AI65" s="47">
        <f>AG65/L65</f>
        <v/>
      </c>
      <c r="AJ65" s="24">
        <f>(O65+Q65+V65+X65+Y65+L65)/(1-(M65+$G$4+(1-H65)*$G$3+$G$8+Z65+AB65))</f>
        <v/>
      </c>
    </row>
    <row r="66">
      <c r="A66" s="12" t="inlineStr">
        <is>
          <t>Косметика/JIGOTT/JIGOTT-MASK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  <c r="AJ66" s="13" t="n"/>
    </row>
    <row r="67">
      <c r="A67" s="33" t="inlineStr">
        <is>
          <t>JIGOTT - Ассорти набор масок [27ml х 15]</t>
        </is>
      </c>
      <c r="B67" s="34" t="n"/>
      <c r="C67" s="34" t="n"/>
      <c r="D67" s="35" t="n"/>
      <c r="E67" s="35" t="n"/>
      <c r="F67" s="35" t="n"/>
      <c r="G67" s="35" t="n"/>
      <c r="H67" s="36" t="n"/>
      <c r="I67" s="37" t="n"/>
      <c r="J67" s="38" t="n"/>
      <c r="K67" s="38" t="n"/>
      <c r="L67" s="39" t="n"/>
      <c r="M67" s="40" t="n"/>
      <c r="N67" s="35" t="n"/>
      <c r="O67" s="35" t="n"/>
      <c r="P67" s="35" t="n"/>
      <c r="Q67" s="35" t="n"/>
      <c r="R67" s="35" t="n"/>
      <c r="S67" s="35" t="n"/>
      <c r="T67" s="41" t="n"/>
      <c r="U67" s="35" t="n"/>
      <c r="V67" s="35" t="n"/>
      <c r="W67" s="42" t="n"/>
      <c r="X67" s="35" t="n"/>
      <c r="Y67" s="39" t="n"/>
      <c r="Z67" s="40" t="n"/>
      <c r="AA67" s="35" t="n"/>
      <c r="AB67" s="41" t="n"/>
      <c r="AC67" s="35" t="n"/>
      <c r="AD67" s="35" t="n"/>
      <c r="AE67" s="43" t="n"/>
      <c r="AF67" s="44" t="n"/>
      <c r="AG67" s="35" t="n"/>
      <c r="AH67" s="41" t="n"/>
      <c r="AI67" s="41" t="n"/>
      <c r="AJ67" s="35" t="n"/>
    </row>
    <row r="68">
      <c r="A68" s="12" t="inlineStr">
        <is>
          <t>Косметика/JIGOTT/JIGOTT-TONER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</row>
    <row r="69">
      <c r="A69" s="14" t="inlineStr">
        <is>
          <t>JIGOTT - Ultimate Real Collagen Toner [300ml] / тонер с коллагеном антивозрастной</t>
        </is>
      </c>
      <c r="B69" s="15" t="n"/>
      <c r="C69" s="16" t="n"/>
      <c r="D69" s="17" t="n">
        <v>1140</v>
      </c>
      <c r="E69" s="17" t="n">
        <v>131</v>
      </c>
      <c r="F69" s="17" t="n">
        <v>0</v>
      </c>
      <c r="G69" s="17">
        <f>(2.0*L69+O69+Q69+V69+X69+Y69)/(1-M69-$G$8-$G$4-(1-H69)*$G$3-Z69-AB69)</f>
        <v/>
      </c>
      <c r="H69" s="18" t="n">
        <v>0.45</v>
      </c>
      <c r="I69" s="19">
        <f>G69*(1-H69)</f>
        <v/>
      </c>
      <c r="J69" s="20" t="n">
        <v>265.36</v>
      </c>
      <c r="K69" s="21">
        <f>$G$5</f>
        <v/>
      </c>
      <c r="L69" s="22">
        <f>J69+K69</f>
        <v/>
      </c>
      <c r="M69" s="23" t="n">
        <v>0.41</v>
      </c>
      <c r="N69" s="24">
        <f>G69*M69</f>
        <v/>
      </c>
      <c r="O69" s="25" t="n">
        <v>67</v>
      </c>
      <c r="P69" s="24">
        <f>G69*$G$8</f>
        <v/>
      </c>
      <c r="Q69" s="25" t="n">
        <v>25</v>
      </c>
      <c r="R69" s="24">
        <f>G69*$G$4</f>
        <v/>
      </c>
      <c r="S69" s="24">
        <f>I69*$G$3</f>
        <v/>
      </c>
      <c r="T69" s="26" t="n">
        <v>0.9</v>
      </c>
      <c r="U69" s="25" t="n">
        <v>67</v>
      </c>
      <c r="V69" s="24">
        <f>U69*(1-T69)</f>
        <v/>
      </c>
      <c r="W69" s="27" t="n">
        <v>0.93</v>
      </c>
      <c r="X69" s="24">
        <f>$G$6*$G$7*W69</f>
        <v/>
      </c>
      <c r="Y69" s="22">
        <f>W69*($G$9+$G$10)</f>
        <v/>
      </c>
      <c r="Z69" s="23" t="n">
        <v>0.07000000000000001</v>
      </c>
      <c r="AA69" s="24">
        <f>G69*Z69</f>
        <v/>
      </c>
      <c r="AB69" s="26" t="n">
        <v>0.08</v>
      </c>
      <c r="AC69" s="24">
        <f>G69*AB69</f>
        <v/>
      </c>
      <c r="AD69" s="24">
        <f>AA69+AC69</f>
        <v/>
      </c>
      <c r="AE69" s="28">
        <f>AD69/G69</f>
        <v/>
      </c>
      <c r="AF69" s="29">
        <f>G69-N69-O69-P69-Q69-R69-S69-V69-X69-Y69-L69</f>
        <v/>
      </c>
      <c r="AG69" s="45">
        <f>AF69-AD69</f>
        <v/>
      </c>
      <c r="AH69" s="46">
        <f>AG69/G69</f>
        <v/>
      </c>
      <c r="AI69" s="47">
        <f>AG69/L69</f>
        <v/>
      </c>
      <c r="AJ69" s="24">
        <f>(O69+Q69+V69+X69+Y69+L69)/(1-(M69+$G$4+(1-H69)*$G$3+$G$8+Z69+AB69))</f>
        <v/>
      </c>
    </row>
    <row r="70">
      <c r="A70" s="14" t="inlineStr">
        <is>
          <t>JIGOTT - Daily Real Cica Toner [300ml] / Тонер для лица с центеллой азиатской</t>
        </is>
      </c>
      <c r="B70" s="15" t="n"/>
      <c r="C70" s="16" t="n"/>
      <c r="D70" s="17" t="n">
        <v>1140</v>
      </c>
      <c r="E70" s="17" t="n">
        <v>191</v>
      </c>
      <c r="F70" s="17" t="n">
        <v>0</v>
      </c>
      <c r="G70" s="17">
        <f>(2.0*L70+O70+Q70+V70+X70+Y70)/(1-M70-$G$8-$G$4-(1-H70)*$G$3-Z70-AB70)</f>
        <v/>
      </c>
      <c r="H70" s="18" t="n">
        <v>0.45</v>
      </c>
      <c r="I70" s="19">
        <f>G70*(1-H70)</f>
        <v/>
      </c>
      <c r="J70" s="20" t="n">
        <v>265.36</v>
      </c>
      <c r="K70" s="21">
        <f>$G$5</f>
        <v/>
      </c>
      <c r="L70" s="22">
        <f>J70+K70</f>
        <v/>
      </c>
      <c r="M70" s="23" t="n">
        <v>0.41</v>
      </c>
      <c r="N70" s="24">
        <f>G70*M70</f>
        <v/>
      </c>
      <c r="O70" s="25" t="n">
        <v>67</v>
      </c>
      <c r="P70" s="24">
        <f>G70*$G$8</f>
        <v/>
      </c>
      <c r="Q70" s="25" t="n">
        <v>25</v>
      </c>
      <c r="R70" s="24">
        <f>G70*$G$4</f>
        <v/>
      </c>
      <c r="S70" s="24">
        <f>I70*$G$3</f>
        <v/>
      </c>
      <c r="T70" s="26" t="n">
        <v>0.9</v>
      </c>
      <c r="U70" s="25" t="n">
        <v>67</v>
      </c>
      <c r="V70" s="24">
        <f>U70*(1-T70)</f>
        <v/>
      </c>
      <c r="W70" s="27" t="n">
        <v>0.93</v>
      </c>
      <c r="X70" s="24">
        <f>$G$6*$G$7*W70</f>
        <v/>
      </c>
      <c r="Y70" s="22">
        <f>W70*($G$9+$G$10)</f>
        <v/>
      </c>
      <c r="Z70" s="23" t="n">
        <v>0.07000000000000001</v>
      </c>
      <c r="AA70" s="24">
        <f>G70*Z70</f>
        <v/>
      </c>
      <c r="AB70" s="26" t="n">
        <v>0.08</v>
      </c>
      <c r="AC70" s="24">
        <f>G70*AB70</f>
        <v/>
      </c>
      <c r="AD70" s="24">
        <f>AA70+AC70</f>
        <v/>
      </c>
      <c r="AE70" s="28">
        <f>AD70/G70</f>
        <v/>
      </c>
      <c r="AF70" s="29">
        <f>G70-N70-O70-P70-Q70-R70-S70-V70-X70-Y70-L70</f>
        <v/>
      </c>
      <c r="AG70" s="45">
        <f>AF70-AD70</f>
        <v/>
      </c>
      <c r="AH70" s="46">
        <f>AG70/G70</f>
        <v/>
      </c>
      <c r="AI70" s="47">
        <f>AG70/L70</f>
        <v/>
      </c>
      <c r="AJ70" s="24">
        <f>(O70+Q70+V70+X70+Y70+L70)/(1-(M70+$G$4+(1-H70)*$G$3+$G$8+Z70+AB70))</f>
        <v/>
      </c>
    </row>
    <row r="71">
      <c r="A71" s="14" t="inlineStr">
        <is>
          <t>JIGOTT - Aura Secret Hyaluronec Acid Toner [300ml] / Тонер с гиалуроновой кислотой антивозрастной</t>
        </is>
      </c>
      <c r="B71" s="15" t="n"/>
      <c r="C71" s="16" t="n"/>
      <c r="D71" s="17" t="n">
        <v>975</v>
      </c>
      <c r="E71" s="17" t="n">
        <v>77</v>
      </c>
      <c r="F71" s="17" t="n">
        <v>0</v>
      </c>
      <c r="G71" s="17">
        <f>(2.0*L71+O71+Q71+V71+X71+Y71)/(1-M71-$G$8-$G$4-(1-H71)*$G$3-Z71-AB71)</f>
        <v/>
      </c>
      <c r="H71" s="18" t="n">
        <v>0.45</v>
      </c>
      <c r="I71" s="19">
        <f>G71*(1-H71)</f>
        <v/>
      </c>
      <c r="J71" s="20" t="n">
        <v>265.36</v>
      </c>
      <c r="K71" s="21">
        <f>$G$5</f>
        <v/>
      </c>
      <c r="L71" s="22">
        <f>J71+K71</f>
        <v/>
      </c>
      <c r="M71" s="23" t="n">
        <v>0.41</v>
      </c>
      <c r="N71" s="24">
        <f>G71*M71</f>
        <v/>
      </c>
      <c r="O71" s="25" t="n">
        <v>67</v>
      </c>
      <c r="P71" s="24">
        <f>G71*$G$8</f>
        <v/>
      </c>
      <c r="Q71" s="25" t="n">
        <v>25</v>
      </c>
      <c r="R71" s="24">
        <f>G71*$G$4</f>
        <v/>
      </c>
      <c r="S71" s="24">
        <f>I71*$G$3</f>
        <v/>
      </c>
      <c r="T71" s="26" t="n">
        <v>0.9</v>
      </c>
      <c r="U71" s="25" t="n">
        <v>67</v>
      </c>
      <c r="V71" s="24">
        <f>U71*(1-T71)</f>
        <v/>
      </c>
      <c r="W71" s="27" t="n">
        <v>0.93</v>
      </c>
      <c r="X71" s="24">
        <f>$G$6*$G$7*W71</f>
        <v/>
      </c>
      <c r="Y71" s="22">
        <f>W71*($G$9+$G$10)</f>
        <v/>
      </c>
      <c r="Z71" s="23" t="n">
        <v>0.07000000000000001</v>
      </c>
      <c r="AA71" s="24">
        <f>G71*Z71</f>
        <v/>
      </c>
      <c r="AB71" s="26" t="n">
        <v>0.08</v>
      </c>
      <c r="AC71" s="24">
        <f>G71*AB71</f>
        <v/>
      </c>
      <c r="AD71" s="24">
        <f>AA71+AC71</f>
        <v/>
      </c>
      <c r="AE71" s="28">
        <f>AD71/G71</f>
        <v/>
      </c>
      <c r="AF71" s="29">
        <f>G71-N71-O71-P71-Q71-R71-S71-V71-X71-Y71-L71</f>
        <v/>
      </c>
      <c r="AG71" s="45">
        <f>AF71-AD71</f>
        <v/>
      </c>
      <c r="AH71" s="46">
        <f>AG71/G71</f>
        <v/>
      </c>
      <c r="AI71" s="47">
        <f>AG71/L71</f>
        <v/>
      </c>
      <c r="AJ71" s="24">
        <f>(O71+Q71+V71+X71+Y71+L71)/(1-(M71+$G$4+(1-H71)*$G$3+$G$8+Z71+AB71))</f>
        <v/>
      </c>
    </row>
    <row r="72">
      <c r="A72" s="14" t="inlineStr">
        <is>
          <t>JIGOTT - Moisture Real Aloe Vera Toner [300ml] / Тонер для лица увлажняющий с экстрактом алоэ</t>
        </is>
      </c>
      <c r="B72" s="15" t="n"/>
      <c r="C72" s="16" t="n"/>
      <c r="D72" s="17" t="n">
        <v>1100</v>
      </c>
      <c r="E72" s="17" t="n">
        <v>169</v>
      </c>
      <c r="F72" s="17" t="n">
        <v>8</v>
      </c>
      <c r="G72" s="17">
        <f>(2.0*L72+O72+Q72+V72+X72+Y72)/(1-M72-$G$8-$G$4-(1-H72)*$G$3-Z72-AB72)</f>
        <v/>
      </c>
      <c r="H72" s="18" t="n">
        <v>0.45</v>
      </c>
      <c r="I72" s="19">
        <f>G72*(1-H72)</f>
        <v/>
      </c>
      <c r="J72" s="20" t="n">
        <v>265.36</v>
      </c>
      <c r="K72" s="21">
        <f>$G$5</f>
        <v/>
      </c>
      <c r="L72" s="22">
        <f>J72+K72</f>
        <v/>
      </c>
      <c r="M72" s="23" t="n">
        <v>0.41</v>
      </c>
      <c r="N72" s="24">
        <f>G72*M72</f>
        <v/>
      </c>
      <c r="O72" s="25" t="n">
        <v>67</v>
      </c>
      <c r="P72" s="24">
        <f>G72*$G$8</f>
        <v/>
      </c>
      <c r="Q72" s="25" t="n">
        <v>25</v>
      </c>
      <c r="R72" s="24">
        <f>G72*$G$4</f>
        <v/>
      </c>
      <c r="S72" s="24">
        <f>I72*$G$3</f>
        <v/>
      </c>
      <c r="T72" s="26" t="n">
        <v>0.9</v>
      </c>
      <c r="U72" s="25" t="n">
        <v>67</v>
      </c>
      <c r="V72" s="24">
        <f>U72*(1-T72)</f>
        <v/>
      </c>
      <c r="W72" s="27" t="n">
        <v>0.93</v>
      </c>
      <c r="X72" s="24">
        <f>$G$6*$G$7*W72</f>
        <v/>
      </c>
      <c r="Y72" s="22">
        <f>W72*($G$9+$G$10)</f>
        <v/>
      </c>
      <c r="Z72" s="23" t="n">
        <v>0.07000000000000001</v>
      </c>
      <c r="AA72" s="24">
        <f>G72*Z72</f>
        <v/>
      </c>
      <c r="AB72" s="26" t="n">
        <v>0.08</v>
      </c>
      <c r="AC72" s="24">
        <f>G72*AB72</f>
        <v/>
      </c>
      <c r="AD72" s="24">
        <f>AA72+AC72</f>
        <v/>
      </c>
      <c r="AE72" s="28">
        <f>AD72/G72</f>
        <v/>
      </c>
      <c r="AF72" s="29">
        <f>G72-N72-O72-P72-Q72-R72-S72-V72-X72-Y72-L72</f>
        <v/>
      </c>
      <c r="AG72" s="45">
        <f>AF72-AD72</f>
        <v/>
      </c>
      <c r="AH72" s="46">
        <f>AG72/G72</f>
        <v/>
      </c>
      <c r="AI72" s="47">
        <f>AG72/L72</f>
        <v/>
      </c>
      <c r="AJ72" s="24">
        <f>(O72+Q72+V72+X72+Y72+L72)/(1-(M72+$G$4+(1-H72)*$G$3+$G$8+Z72+AB72))</f>
        <v/>
      </c>
    </row>
    <row r="73">
      <c r="A73" s="12" t="inlineStr">
        <is>
          <t>Косметика/JMSOLUTION/JM-MASKPACKBLACK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  <c r="AJ73" s="13" t="n"/>
    </row>
    <row r="74">
      <c r="A74" s="14" t="inlineStr">
        <is>
          <t>JMSOLUTION - MASK PACK BLACK [30ml*10ea] - ассорти набор 10шт в упаковке</t>
        </is>
      </c>
      <c r="B74" s="15" t="n"/>
      <c r="C74" s="16" t="n"/>
      <c r="D74" s="17" t="n">
        <v>2340</v>
      </c>
      <c r="E74" s="17" t="inlineStr">
        <is>
          <t>51 (закончились)</t>
        </is>
      </c>
      <c r="F74" s="17" t="n">
        <v>4</v>
      </c>
      <c r="G74" s="17">
        <f>(2.0*L74+O74+Q74+V74+X74+Y74)/(1-M74-$G$8-$G$4-(1-H74)*$G$3-Z74-AB74)</f>
        <v/>
      </c>
      <c r="H74" s="18" t="n">
        <v>0.45</v>
      </c>
      <c r="I74" s="19">
        <f>G74*(1-H74)</f>
        <v/>
      </c>
      <c r="J74" s="20" t="n">
        <v>463.2</v>
      </c>
      <c r="K74" s="21">
        <f>$G$5</f>
        <v/>
      </c>
      <c r="L74" s="22">
        <f>J74+K74</f>
        <v/>
      </c>
      <c r="M74" s="23" t="n">
        <v>0.41</v>
      </c>
      <c r="N74" s="24">
        <f>G74*M74</f>
        <v/>
      </c>
      <c r="O74" s="25" t="n">
        <v>72</v>
      </c>
      <c r="P74" s="24">
        <f>G74*$G$8</f>
        <v/>
      </c>
      <c r="Q74" s="25" t="n">
        <v>25</v>
      </c>
      <c r="R74" s="24">
        <f>G74*$G$4</f>
        <v/>
      </c>
      <c r="S74" s="24">
        <f>I74*$G$3</f>
        <v/>
      </c>
      <c r="T74" s="26" t="n">
        <v>0.9</v>
      </c>
      <c r="U74" s="25" t="n">
        <v>72</v>
      </c>
      <c r="V74" s="24">
        <f>U74*(1-T74)</f>
        <v/>
      </c>
      <c r="W74" s="27" t="n">
        <v>1.25</v>
      </c>
      <c r="X74" s="24">
        <f>$G$6*$G$7*W74</f>
        <v/>
      </c>
      <c r="Y74" s="22">
        <f>W74*($G$9+$G$10)</f>
        <v/>
      </c>
      <c r="Z74" s="23" t="n">
        <v>0.07000000000000001</v>
      </c>
      <c r="AA74" s="24">
        <f>G74*Z74</f>
        <v/>
      </c>
      <c r="AB74" s="26" t="n">
        <v>0.08</v>
      </c>
      <c r="AC74" s="24">
        <f>G74*AB74</f>
        <v/>
      </c>
      <c r="AD74" s="24">
        <f>AA74+AC74</f>
        <v/>
      </c>
      <c r="AE74" s="28">
        <f>AD74/G74</f>
        <v/>
      </c>
      <c r="AF74" s="29">
        <f>G74-N74-O74-P74-Q74-R74-S74-V74-X74-Y74-L74</f>
        <v/>
      </c>
      <c r="AG74" s="30">
        <f>AF74-AD74</f>
        <v/>
      </c>
      <c r="AH74" s="31">
        <f>AG74/G74</f>
        <v/>
      </c>
      <c r="AI74" s="32">
        <f>AG74/L74</f>
        <v/>
      </c>
      <c r="AJ74" s="24">
        <f>(O74+Q74+V74+X74+Y74+L74)/(1-(M74+$G$4+(1-H74)*$G$3+$G$8+Z74+AB74))</f>
        <v/>
      </c>
    </row>
    <row r="75">
      <c r="A75" s="33" t="inlineStr">
        <is>
          <t>JMSOLUTION ACTIVE BLACK CAVIAR MASK [30ml*10ea] / Ультратонкая тканевая маска с черной икрой</t>
        </is>
      </c>
      <c r="B75" s="34" t="n"/>
      <c r="C75" s="34" t="n"/>
      <c r="D75" s="35" t="n"/>
      <c r="E75" s="35" t="n"/>
      <c r="F75" s="35" t="n"/>
      <c r="G75" s="35" t="n"/>
      <c r="H75" s="36" t="n"/>
      <c r="I75" s="37" t="n"/>
      <c r="J75" s="38" t="n"/>
      <c r="K75" s="38" t="n"/>
      <c r="L75" s="39" t="n"/>
      <c r="M75" s="40" t="n"/>
      <c r="N75" s="35" t="n"/>
      <c r="O75" s="35" t="n"/>
      <c r="P75" s="35" t="n"/>
      <c r="Q75" s="35" t="n"/>
      <c r="R75" s="35" t="n"/>
      <c r="S75" s="35" t="n"/>
      <c r="T75" s="41" t="n"/>
      <c r="U75" s="35" t="n"/>
      <c r="V75" s="35" t="n"/>
      <c r="W75" s="42" t="n"/>
      <c r="X75" s="35" t="n"/>
      <c r="Y75" s="39" t="n"/>
      <c r="Z75" s="40" t="n"/>
      <c r="AA75" s="35" t="n"/>
      <c r="AB75" s="41" t="n"/>
      <c r="AC75" s="35" t="n"/>
      <c r="AD75" s="35" t="n"/>
      <c r="AE75" s="43" t="n"/>
      <c r="AF75" s="44" t="n"/>
      <c r="AG75" s="35" t="n"/>
      <c r="AH75" s="41" t="n"/>
      <c r="AI75" s="41" t="n"/>
      <c r="AJ75" s="35" t="n"/>
    </row>
    <row r="76">
      <c r="A76" s="33" t="inlineStr">
        <is>
          <t>JMSOLUTION - Active Golden Caviar Nourishing Mask [30ml*10ea] / Ультратонкая тканевая маска с золотом и икрой</t>
        </is>
      </c>
      <c r="B76" s="34" t="n"/>
      <c r="C76" s="34" t="n"/>
      <c r="D76" s="35" t="n"/>
      <c r="E76" s="35" t="n"/>
      <c r="F76" s="35" t="n"/>
      <c r="G76" s="35" t="n"/>
      <c r="H76" s="36" t="n"/>
      <c r="I76" s="37" t="n"/>
      <c r="J76" s="38" t="n"/>
      <c r="K76" s="38" t="n"/>
      <c r="L76" s="39" t="n"/>
      <c r="M76" s="40" t="n"/>
      <c r="N76" s="35" t="n"/>
      <c r="O76" s="35" t="n"/>
      <c r="P76" s="35" t="n"/>
      <c r="Q76" s="35" t="n"/>
      <c r="R76" s="35" t="n"/>
      <c r="S76" s="35" t="n"/>
      <c r="T76" s="41" t="n"/>
      <c r="U76" s="35" t="n"/>
      <c r="V76" s="35" t="n"/>
      <c r="W76" s="42" t="n"/>
      <c r="X76" s="35" t="n"/>
      <c r="Y76" s="39" t="n"/>
      <c r="Z76" s="40" t="n"/>
      <c r="AA76" s="35" t="n"/>
      <c r="AB76" s="41" t="n"/>
      <c r="AC76" s="35" t="n"/>
      <c r="AD76" s="35" t="n"/>
      <c r="AE76" s="43" t="n"/>
      <c r="AF76" s="44" t="n"/>
      <c r="AG76" s="35" t="n"/>
      <c r="AH76" s="41" t="n"/>
      <c r="AI76" s="41" t="n"/>
      <c r="AJ76" s="35" t="n"/>
    </row>
    <row r="77">
      <c r="A77" s="33" t="inlineStr">
        <is>
          <t>JMSOLUTION - Active Jellyfish Vital Mask [30ml*10ea] / Ультратонкая тканевая маска с экстрактом медузы</t>
        </is>
      </c>
      <c r="B77" s="34" t="n"/>
      <c r="C77" s="34" t="n"/>
      <c r="D77" s="35" t="n"/>
      <c r="E77" s="35" t="n"/>
      <c r="F77" s="35" t="n"/>
      <c r="G77" s="35" t="n"/>
      <c r="H77" s="36" t="n"/>
      <c r="I77" s="37" t="n"/>
      <c r="J77" s="38" t="n"/>
      <c r="K77" s="38" t="n"/>
      <c r="L77" s="39" t="n"/>
      <c r="M77" s="40" t="n"/>
      <c r="N77" s="35" t="n"/>
      <c r="O77" s="35" t="n"/>
      <c r="P77" s="35" t="n"/>
      <c r="Q77" s="35" t="n"/>
      <c r="R77" s="35" t="n"/>
      <c r="S77" s="35" t="n"/>
      <c r="T77" s="41" t="n"/>
      <c r="U77" s="35" t="n"/>
      <c r="V77" s="35" t="n"/>
      <c r="W77" s="42" t="n"/>
      <c r="X77" s="35" t="n"/>
      <c r="Y77" s="39" t="n"/>
      <c r="Z77" s="40" t="n"/>
      <c r="AA77" s="35" t="n"/>
      <c r="AB77" s="41" t="n"/>
      <c r="AC77" s="35" t="n"/>
      <c r="AD77" s="35" t="n"/>
      <c r="AE77" s="43" t="n"/>
      <c r="AF77" s="44" t="n"/>
      <c r="AG77" s="35" t="n"/>
      <c r="AH77" s="41" t="n"/>
      <c r="AI77" s="41" t="n"/>
      <c r="AJ77" s="35" t="n"/>
    </row>
    <row r="78">
      <c r="A78" s="33" t="inlineStr">
        <is>
          <t>JMSOLUTION - Active Pink Snail Brightening Mask [30ml*10ea] / Маска тканевая увлажняющая с улиткой</t>
        </is>
      </c>
      <c r="B78" s="34" t="n"/>
      <c r="C78" s="34" t="n"/>
      <c r="D78" s="35" t="n"/>
      <c r="E78" s="35" t="n"/>
      <c r="F78" s="35" t="n"/>
      <c r="G78" s="35" t="n"/>
      <c r="H78" s="36" t="n"/>
      <c r="I78" s="37" t="n"/>
      <c r="J78" s="38" t="n"/>
      <c r="K78" s="38" t="n"/>
      <c r="L78" s="39" t="n"/>
      <c r="M78" s="40" t="n"/>
      <c r="N78" s="35" t="n"/>
      <c r="O78" s="35" t="n"/>
      <c r="P78" s="35" t="n"/>
      <c r="Q78" s="35" t="n"/>
      <c r="R78" s="35" t="n"/>
      <c r="S78" s="35" t="n"/>
      <c r="T78" s="41" t="n"/>
      <c r="U78" s="35" t="n"/>
      <c r="V78" s="35" t="n"/>
      <c r="W78" s="42" t="n"/>
      <c r="X78" s="35" t="n"/>
      <c r="Y78" s="39" t="n"/>
      <c r="Z78" s="40" t="n"/>
      <c r="AA78" s="35" t="n"/>
      <c r="AB78" s="41" t="n"/>
      <c r="AC78" s="35" t="n"/>
      <c r="AD78" s="35" t="n"/>
      <c r="AE78" s="43" t="n"/>
      <c r="AF78" s="44" t="n"/>
      <c r="AG78" s="35" t="n"/>
      <c r="AH78" s="41" t="n"/>
      <c r="AI78" s="41" t="n"/>
      <c r="AJ78" s="35" t="n"/>
    </row>
    <row r="79">
      <c r="A79" s="33" t="inlineStr">
        <is>
          <t>JMSOLUTION GLORY AQUA FULLERENE MASK DELUXE</t>
        </is>
      </c>
      <c r="B79" s="34" t="n"/>
      <c r="C79" s="34" t="n"/>
      <c r="D79" s="35" t="n"/>
      <c r="E79" s="35" t="n"/>
      <c r="F79" s="35" t="n"/>
      <c r="G79" s="35" t="n"/>
      <c r="H79" s="36" t="n"/>
      <c r="I79" s="37" t="n"/>
      <c r="J79" s="38" t="n"/>
      <c r="K79" s="38" t="n"/>
      <c r="L79" s="39" t="n"/>
      <c r="M79" s="40" t="n"/>
      <c r="N79" s="35" t="n"/>
      <c r="O79" s="35" t="n"/>
      <c r="P79" s="35" t="n"/>
      <c r="Q79" s="35" t="n"/>
      <c r="R79" s="35" t="n"/>
      <c r="S79" s="35" t="n"/>
      <c r="T79" s="41" t="n"/>
      <c r="U79" s="35" t="n"/>
      <c r="V79" s="35" t="n"/>
      <c r="W79" s="42" t="n"/>
      <c r="X79" s="35" t="n"/>
      <c r="Y79" s="39" t="n"/>
      <c r="Z79" s="40" t="n"/>
      <c r="AA79" s="35" t="n"/>
      <c r="AB79" s="41" t="n"/>
      <c r="AC79" s="35" t="n"/>
      <c r="AD79" s="35" t="n"/>
      <c r="AE79" s="43" t="n"/>
      <c r="AF79" s="44" t="n"/>
      <c r="AG79" s="35" t="n"/>
      <c r="AH79" s="41" t="n"/>
      <c r="AI79" s="41" t="n"/>
      <c r="AJ79" s="35" t="n"/>
    </row>
    <row r="80">
      <c r="A80" s="33" t="inlineStr">
        <is>
          <t>JMSOLUTION LACTO SACCHAROMYCES GOLDEN RICE MASK PLUS</t>
        </is>
      </c>
      <c r="B80" s="34" t="n"/>
      <c r="C80" s="34" t="n"/>
      <c r="D80" s="35" t="n"/>
      <c r="E80" s="35" t="n"/>
      <c r="F80" s="35" t="n"/>
      <c r="G80" s="35" t="n"/>
      <c r="H80" s="36" t="n"/>
      <c r="I80" s="37" t="n"/>
      <c r="J80" s="38" t="n"/>
      <c r="K80" s="38" t="n"/>
      <c r="L80" s="39" t="n"/>
      <c r="M80" s="40" t="n"/>
      <c r="N80" s="35" t="n"/>
      <c r="O80" s="35" t="n"/>
      <c r="P80" s="35" t="n"/>
      <c r="Q80" s="35" t="n"/>
      <c r="R80" s="35" t="n"/>
      <c r="S80" s="35" t="n"/>
      <c r="T80" s="41" t="n"/>
      <c r="U80" s="35" t="n"/>
      <c r="V80" s="35" t="n"/>
      <c r="W80" s="42" t="n"/>
      <c r="X80" s="35" t="n"/>
      <c r="Y80" s="39" t="n"/>
      <c r="Z80" s="40" t="n"/>
      <c r="AA80" s="35" t="n"/>
      <c r="AB80" s="41" t="n"/>
      <c r="AC80" s="35" t="n"/>
      <c r="AD80" s="35" t="n"/>
      <c r="AE80" s="43" t="n"/>
      <c r="AF80" s="44" t="n"/>
      <c r="AG80" s="35" t="n"/>
      <c r="AH80" s="41" t="n"/>
      <c r="AI80" s="41" t="n"/>
      <c r="AJ80" s="35" t="n"/>
    </row>
    <row r="81">
      <c r="A81" s="33" t="inlineStr">
        <is>
          <t>JMSOLUTION PANTHELENE INTENSIVE BARRIER MASK</t>
        </is>
      </c>
      <c r="B81" s="34" t="n"/>
      <c r="C81" s="34" t="n"/>
      <c r="D81" s="35" t="n"/>
      <c r="E81" s="35" t="n"/>
      <c r="F81" s="35" t="n"/>
      <c r="G81" s="35" t="n"/>
      <c r="H81" s="36" t="n"/>
      <c r="I81" s="37" t="n"/>
      <c r="J81" s="38" t="n"/>
      <c r="K81" s="38" t="n"/>
      <c r="L81" s="39" t="n"/>
      <c r="M81" s="40" t="n"/>
      <c r="N81" s="35" t="n"/>
      <c r="O81" s="35" t="n"/>
      <c r="P81" s="35" t="n"/>
      <c r="Q81" s="35" t="n"/>
      <c r="R81" s="35" t="n"/>
      <c r="S81" s="35" t="n"/>
      <c r="T81" s="41" t="n"/>
      <c r="U81" s="35" t="n"/>
      <c r="V81" s="35" t="n"/>
      <c r="W81" s="42" t="n"/>
      <c r="X81" s="35" t="n"/>
      <c r="Y81" s="39" t="n"/>
      <c r="Z81" s="40" t="n"/>
      <c r="AA81" s="35" t="n"/>
      <c r="AB81" s="41" t="n"/>
      <c r="AC81" s="35" t="n"/>
      <c r="AD81" s="35" t="n"/>
      <c r="AE81" s="43" t="n"/>
      <c r="AF81" s="44" t="n"/>
      <c r="AG81" s="35" t="n"/>
      <c r="AH81" s="41" t="n"/>
      <c r="AI81" s="41" t="n"/>
      <c r="AJ81" s="35" t="n"/>
    </row>
    <row r="82">
      <c r="A82" s="33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2" s="34" t="n"/>
      <c r="C82" s="34" t="n"/>
      <c r="D82" s="35" t="n"/>
      <c r="E82" s="35" t="n"/>
      <c r="F82" s="35" t="n"/>
      <c r="G82" s="35" t="n"/>
      <c r="H82" s="36" t="n"/>
      <c r="I82" s="37" t="n"/>
      <c r="J82" s="38" t="n"/>
      <c r="K82" s="38" t="n"/>
      <c r="L82" s="39" t="n"/>
      <c r="M82" s="40" t="n"/>
      <c r="N82" s="35" t="n"/>
      <c r="O82" s="35" t="n"/>
      <c r="P82" s="35" t="n"/>
      <c r="Q82" s="35" t="n"/>
      <c r="R82" s="35" t="n"/>
      <c r="S82" s="35" t="n"/>
      <c r="T82" s="41" t="n"/>
      <c r="U82" s="35" t="n"/>
      <c r="V82" s="35" t="n"/>
      <c r="W82" s="42" t="n"/>
      <c r="X82" s="35" t="n"/>
      <c r="Y82" s="39" t="n"/>
      <c r="Z82" s="40" t="n"/>
      <c r="AA82" s="35" t="n"/>
      <c r="AB82" s="41" t="n"/>
      <c r="AC82" s="35" t="n"/>
      <c r="AD82" s="35" t="n"/>
      <c r="AE82" s="43" t="n"/>
      <c r="AF82" s="44" t="n"/>
      <c r="AG82" s="35" t="n"/>
      <c r="AH82" s="41" t="n"/>
      <c r="AI82" s="41" t="n"/>
      <c r="AJ82" s="35" t="n"/>
    </row>
    <row r="83">
      <c r="A83" s="33" t="inlineStr">
        <is>
          <t>JMSOLUTION - Water Luminous S.O.S. Ringer Mask Black [35ml*10ea] / Ультраувлажняющая тканевая маска</t>
        </is>
      </c>
      <c r="B83" s="34" t="n"/>
      <c r="C83" s="34" t="n"/>
      <c r="D83" s="35" t="n"/>
      <c r="E83" s="35" t="n"/>
      <c r="F83" s="35" t="n"/>
      <c r="G83" s="35" t="n"/>
      <c r="H83" s="36" t="n"/>
      <c r="I83" s="37" t="n"/>
      <c r="J83" s="38" t="n"/>
      <c r="K83" s="38" t="n"/>
      <c r="L83" s="39" t="n"/>
      <c r="M83" s="40" t="n"/>
      <c r="N83" s="35" t="n"/>
      <c r="O83" s="35" t="n"/>
      <c r="P83" s="35" t="n"/>
      <c r="Q83" s="35" t="n"/>
      <c r="R83" s="35" t="n"/>
      <c r="S83" s="35" t="n"/>
      <c r="T83" s="41" t="n"/>
      <c r="U83" s="35" t="n"/>
      <c r="V83" s="35" t="n"/>
      <c r="W83" s="42" t="n"/>
      <c r="X83" s="35" t="n"/>
      <c r="Y83" s="39" t="n"/>
      <c r="Z83" s="40" t="n"/>
      <c r="AA83" s="35" t="n"/>
      <c r="AB83" s="41" t="n"/>
      <c r="AC83" s="35" t="n"/>
      <c r="AD83" s="35" t="n"/>
      <c r="AE83" s="43" t="n"/>
      <c r="AF83" s="44" t="n"/>
      <c r="AG83" s="35" t="n"/>
      <c r="AH83" s="41" t="n"/>
      <c r="AI83" s="41" t="n"/>
      <c r="AJ83" s="35" t="n"/>
    </row>
    <row r="84">
      <c r="A84" s="33" t="inlineStr">
        <is>
          <t>JMSOLUTION GREEN DEAR TIGER CICA MASK PURE 30ml*10ea / Регенерирующая маска для лица с центеллой</t>
        </is>
      </c>
      <c r="B84" s="34" t="n"/>
      <c r="C84" s="34" t="n"/>
      <c r="D84" s="35" t="n"/>
      <c r="E84" s="35" t="n"/>
      <c r="F84" s="35" t="n"/>
      <c r="G84" s="35" t="n"/>
      <c r="H84" s="36" t="n"/>
      <c r="I84" s="37" t="n"/>
      <c r="J84" s="38" t="n"/>
      <c r="K84" s="38" t="n"/>
      <c r="L84" s="39" t="n"/>
      <c r="M84" s="40" t="n"/>
      <c r="N84" s="35" t="n"/>
      <c r="O84" s="35" t="n"/>
      <c r="P84" s="35" t="n"/>
      <c r="Q84" s="35" t="n"/>
      <c r="R84" s="35" t="n"/>
      <c r="S84" s="35" t="n"/>
      <c r="T84" s="41" t="n"/>
      <c r="U84" s="35" t="n"/>
      <c r="V84" s="35" t="n"/>
      <c r="W84" s="42" t="n"/>
      <c r="X84" s="35" t="n"/>
      <c r="Y84" s="39" t="n"/>
      <c r="Z84" s="40" t="n"/>
      <c r="AA84" s="35" t="n"/>
      <c r="AB84" s="41" t="n"/>
      <c r="AC84" s="35" t="n"/>
      <c r="AD84" s="35" t="n"/>
      <c r="AE84" s="43" t="n"/>
      <c r="AF84" s="44" t="n"/>
      <c r="AG84" s="35" t="n"/>
      <c r="AH84" s="41" t="n"/>
      <c r="AI84" s="41" t="n"/>
      <c r="AJ84" s="35" t="n"/>
    </row>
    <row r="85">
      <c r="A85" s="12" t="inlineStr">
        <is>
          <t>Косметика/JMSOLUTION/JM-MASKPACKDISNEY</t>
        </is>
      </c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  <c r="AJ85" s="13" t="n"/>
    </row>
    <row r="86">
      <c r="A86" s="14" t="inlineStr">
        <is>
          <t>JMSOLUTION - MASK PACK DISNEY [30ml*10ea] - ассорти набор из 10шт</t>
        </is>
      </c>
      <c r="B86" s="15" t="n"/>
      <c r="C86" s="16" t="inlineStr">
        <is>
          <t>нет таких наборов</t>
        </is>
      </c>
      <c r="D86" s="17" t="n"/>
      <c r="E86" s="17" t="n"/>
      <c r="F86" s="17" t="n"/>
      <c r="G86" s="17">
        <f>(2.0*L86+O86+Q86+V86+X86+Y86)/(1-M86-$G$8-$G$4-(1-H86)*$G$3-Z86-AB86)</f>
        <v/>
      </c>
      <c r="H86" s="18" t="n">
        <v>0.45</v>
      </c>
      <c r="I86" s="19">
        <f>G86*(1-H86)</f>
        <v/>
      </c>
      <c r="J86" s="20" t="n">
        <v>463.2</v>
      </c>
      <c r="K86" s="21">
        <f>$G$5</f>
        <v/>
      </c>
      <c r="L86" s="22">
        <f>J86+K86</f>
        <v/>
      </c>
      <c r="M86" s="23" t="n">
        <v>0.41</v>
      </c>
      <c r="N86" s="24">
        <f>G86*M86</f>
        <v/>
      </c>
      <c r="O86" s="25" t="n">
        <v>72</v>
      </c>
      <c r="P86" s="24">
        <f>G86*$G$8</f>
        <v/>
      </c>
      <c r="Q86" s="25" t="n">
        <v>25</v>
      </c>
      <c r="R86" s="24">
        <f>G86*$G$4</f>
        <v/>
      </c>
      <c r="S86" s="24">
        <f>I86*$G$3</f>
        <v/>
      </c>
      <c r="T86" s="26" t="n">
        <v>0.9</v>
      </c>
      <c r="U86" s="25" t="n">
        <v>72</v>
      </c>
      <c r="V86" s="24">
        <f>U86*(1-T86)</f>
        <v/>
      </c>
      <c r="W86" s="27" t="n">
        <v>1.25</v>
      </c>
      <c r="X86" s="24">
        <f>$G$6*$G$7*W86</f>
        <v/>
      </c>
      <c r="Y86" s="22">
        <f>W86*($G$9+$G$10)</f>
        <v/>
      </c>
      <c r="Z86" s="23" t="n">
        <v>0.07000000000000001</v>
      </c>
      <c r="AA86" s="24">
        <f>G86*Z86</f>
        <v/>
      </c>
      <c r="AB86" s="26" t="n">
        <v>0.08</v>
      </c>
      <c r="AC86" s="24">
        <f>G86*AB86</f>
        <v/>
      </c>
      <c r="AD86" s="24">
        <f>AA86+AC86</f>
        <v/>
      </c>
      <c r="AE86" s="28">
        <f>AD86/G86</f>
        <v/>
      </c>
      <c r="AF86" s="29">
        <f>G86-N86-O86-P86-Q86-R86-S86-V86-X86-Y86-L86</f>
        <v/>
      </c>
      <c r="AG86" s="30">
        <f>AF86-AD86</f>
        <v/>
      </c>
      <c r="AH86" s="31">
        <f>AG86/G86</f>
        <v/>
      </c>
      <c r="AI86" s="32">
        <f>AG86/L86</f>
        <v/>
      </c>
      <c r="AJ86" s="24">
        <f>(O86+Q86+V86+X86+Y86+L86)/(1-(M86+$G$4+(1-H86)*$G$3+$G$8+Z86+AB86))</f>
        <v/>
      </c>
    </row>
    <row r="87">
      <c r="A87" s="12" t="inlineStr">
        <is>
          <t>Косметика/LEBELAGE</t>
        </is>
      </c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  <c r="AJ87" s="13" t="n"/>
    </row>
    <row r="88">
      <c r="A88" s="14" t="inlineStr">
        <is>
          <t>LEBELAGE - Dr. Peptide Derma Eye Cream [40ml] / Крем для глаз антивозрастной с пептидами</t>
        </is>
      </c>
      <c r="B88" s="15" t="n"/>
      <c r="C88" s="16" t="n"/>
      <c r="D88" s="17" t="n">
        <v>667</v>
      </c>
      <c r="E88" s="17" t="n">
        <v>1738</v>
      </c>
      <c r="F88" s="17" t="n">
        <v>22</v>
      </c>
      <c r="G88" s="17">
        <f>(2.0*L88+O88+Q88+V88+X88+Y88)/(1-M88-$G$8-$G$4-(1-H88)*$G$3-Z88-AB88)</f>
        <v/>
      </c>
      <c r="H88" s="18" t="n">
        <v>0.45</v>
      </c>
      <c r="I88" s="19">
        <f>G88*(1-H88)</f>
        <v/>
      </c>
      <c r="J88" s="20" t="n">
        <v>108.15</v>
      </c>
      <c r="K88" s="21">
        <f>$G$5</f>
        <v/>
      </c>
      <c r="L88" s="22">
        <f>J88+K88</f>
        <v/>
      </c>
      <c r="M88" s="23" t="n">
        <v>0.41</v>
      </c>
      <c r="N88" s="24">
        <f>G88*M88</f>
        <v/>
      </c>
      <c r="O88" s="25" t="n">
        <v>63</v>
      </c>
      <c r="P88" s="24">
        <f>G88*$G$8</f>
        <v/>
      </c>
      <c r="Q88" s="25" t="n">
        <v>25</v>
      </c>
      <c r="R88" s="24">
        <f>G88*$G$4</f>
        <v/>
      </c>
      <c r="S88" s="24">
        <f>I88*$G$3</f>
        <v/>
      </c>
      <c r="T88" s="26" t="n">
        <v>0.9</v>
      </c>
      <c r="U88" s="25" t="n">
        <v>63</v>
      </c>
      <c r="V88" s="24">
        <f>U88*(1-T88)</f>
        <v/>
      </c>
      <c r="W88" s="27" t="n">
        <v>0.27</v>
      </c>
      <c r="X88" s="24">
        <f>$G$6*$G$7*W88</f>
        <v/>
      </c>
      <c r="Y88" s="22">
        <f>W88*($G$9+$G$10)</f>
        <v/>
      </c>
      <c r="Z88" s="23" t="n">
        <v>0.07000000000000001</v>
      </c>
      <c r="AA88" s="24">
        <f>G88*Z88</f>
        <v/>
      </c>
      <c r="AB88" s="26" t="n">
        <v>0.08</v>
      </c>
      <c r="AC88" s="24">
        <f>G88*AB88</f>
        <v/>
      </c>
      <c r="AD88" s="24">
        <f>AA88+AC88</f>
        <v/>
      </c>
      <c r="AE88" s="28">
        <f>AD88/G88</f>
        <v/>
      </c>
      <c r="AF88" s="29">
        <f>G88-N88-O88-P88-Q88-R88-S88-V88-X88-Y88-L88</f>
        <v/>
      </c>
      <c r="AG88" s="30">
        <f>AF88-AD88</f>
        <v/>
      </c>
      <c r="AH88" s="31">
        <f>AG88/G88</f>
        <v/>
      </c>
      <c r="AI88" s="32">
        <f>AG88/L88</f>
        <v/>
      </c>
      <c r="AJ88" s="24">
        <f>(O88+Q88+V88+X88+Y88+L88)/(1-(M88+$G$4+(1-H88)*$G$3+$G$8+Z88+AB88))</f>
        <v/>
      </c>
    </row>
    <row r="89">
      <c r="A89" s="12" t="inlineStr">
        <is>
          <t>Косметика/LANEIGE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  <c r="AJ89" s="13" t="n"/>
    </row>
    <row r="90">
      <c r="A90" s="14" t="inlineStr">
        <is>
          <t>LANEIGE LIP SLEEPING MASK-BERRY [3g]</t>
        </is>
      </c>
      <c r="B90" s="15" t="n"/>
      <c r="C90" s="16" t="n"/>
      <c r="D90" s="17" t="n">
        <v>1470</v>
      </c>
      <c r="E90" s="17" t="n">
        <v>568</v>
      </c>
      <c r="F90" s="17" t="n">
        <v>10</v>
      </c>
      <c r="G90" s="17">
        <f>(2.0*L90+O90+Q90+V90+X90+Y90)/(1-M90-$G$8-$G$4-(1-H90)*$G$3-Z90-AB90)</f>
        <v/>
      </c>
      <c r="H90" s="18" t="n">
        <v>0.45</v>
      </c>
      <c r="I90" s="19">
        <f>G90*(1-H90)</f>
        <v/>
      </c>
      <c r="J90" s="20" t="n">
        <v>130.86</v>
      </c>
      <c r="K90" s="21">
        <f>$G$5</f>
        <v/>
      </c>
      <c r="L90" s="22">
        <f>J90+K90</f>
        <v/>
      </c>
      <c r="M90" s="23" t="n">
        <v>0.41</v>
      </c>
      <c r="N90" s="24">
        <f>G90*M90</f>
        <v/>
      </c>
      <c r="O90" s="25" t="n">
        <v>56</v>
      </c>
      <c r="P90" s="24">
        <f>G90*$G$8</f>
        <v/>
      </c>
      <c r="Q90" s="25" t="n">
        <v>25</v>
      </c>
      <c r="R90" s="24">
        <f>G90*$G$4</f>
        <v/>
      </c>
      <c r="S90" s="24">
        <f>I90*$G$3</f>
        <v/>
      </c>
      <c r="T90" s="26" t="n">
        <v>0.9</v>
      </c>
      <c r="U90" s="25" t="n">
        <v>56</v>
      </c>
      <c r="V90" s="24">
        <f>U90*(1-T90)</f>
        <v/>
      </c>
      <c r="W90" s="27" t="n">
        <v>0.2</v>
      </c>
      <c r="X90" s="24">
        <f>$G$6*$G$7*W90</f>
        <v/>
      </c>
      <c r="Y90" s="22">
        <f>W90*($G$9+$G$10)</f>
        <v/>
      </c>
      <c r="Z90" s="23" t="n">
        <v>0.07000000000000001</v>
      </c>
      <c r="AA90" s="24">
        <f>G90*Z90</f>
        <v/>
      </c>
      <c r="AB90" s="26" t="n">
        <v>0.08</v>
      </c>
      <c r="AC90" s="24">
        <f>G90*AB90</f>
        <v/>
      </c>
      <c r="AD90" s="24">
        <f>AA90+AC90</f>
        <v/>
      </c>
      <c r="AE90" s="28">
        <f>AD90/G90</f>
        <v/>
      </c>
      <c r="AF90" s="29">
        <f>G90-N90-O90-P90-Q90-R90-S90-V90-X90-Y90-L90</f>
        <v/>
      </c>
      <c r="AG90" s="30">
        <f>AF90-AD90</f>
        <v/>
      </c>
      <c r="AH90" s="31">
        <f>AG90/G90</f>
        <v/>
      </c>
      <c r="AI90" s="32">
        <f>AG90/L90</f>
        <v/>
      </c>
      <c r="AJ90" s="24">
        <f>(O90+Q90+V90+X90+Y90+L90)/(1-(M90+$G$4+(1-H90)*$G$3+$G$8+Z90+AB90))</f>
        <v/>
      </c>
    </row>
    <row r="91">
      <c r="A91" s="12" t="inlineStr">
        <is>
          <t>Косметика/MANYO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  <c r="AJ91" s="13" t="n"/>
    </row>
    <row r="92">
      <c r="A92" s="14" t="inlineStr">
        <is>
          <t>MANYO - Bifida Biome Complex Ampoule [50ml] / Антивозрастная сыворотка для лица</t>
        </is>
      </c>
      <c r="B92" s="15" t="n"/>
      <c r="C92" s="16" t="n"/>
      <c r="D92" s="17" t="n">
        <v>5800</v>
      </c>
      <c r="E92" s="17" t="n">
        <v>152</v>
      </c>
      <c r="F92" s="17" t="n">
        <v>0</v>
      </c>
      <c r="G92" s="17">
        <f>(3.0*L92+O92+Q92+V92+X92+Y92)/(1-M92-$G$8-$G$4-(1-H92)*$G$3-Z92-AB92)</f>
        <v/>
      </c>
      <c r="H92" s="18" t="n">
        <v>0.45</v>
      </c>
      <c r="I92" s="19">
        <f>G92*(1-H92)</f>
        <v/>
      </c>
      <c r="J92" s="20" t="n">
        <v>899.78</v>
      </c>
      <c r="K92" s="21">
        <f>$G$5</f>
        <v/>
      </c>
      <c r="L92" s="22">
        <f>J92+K92</f>
        <v/>
      </c>
      <c r="M92" s="23" t="n">
        <v>0.41</v>
      </c>
      <c r="N92" s="24">
        <f>G92*M92</f>
        <v/>
      </c>
      <c r="O92" s="25" t="n">
        <v>63</v>
      </c>
      <c r="P92" s="24">
        <f>G92*$G$8</f>
        <v/>
      </c>
      <c r="Q92" s="25" t="n">
        <v>25</v>
      </c>
      <c r="R92" s="24">
        <f>G92*$G$4</f>
        <v/>
      </c>
      <c r="S92" s="24">
        <f>I92*$G$3</f>
        <v/>
      </c>
      <c r="T92" s="26" t="n">
        <v>0.9</v>
      </c>
      <c r="U92" s="25" t="n">
        <v>63</v>
      </c>
      <c r="V92" s="24">
        <f>U92*(1-T92)</f>
        <v/>
      </c>
      <c r="W92" s="27" t="n">
        <v>0.3</v>
      </c>
      <c r="X92" s="24">
        <f>$G$6*$G$7*W92</f>
        <v/>
      </c>
      <c r="Y92" s="22">
        <f>W92*($G$9+$G$10)</f>
        <v/>
      </c>
      <c r="Z92" s="23" t="n">
        <v>0.025</v>
      </c>
      <c r="AA92" s="24">
        <f>G92*Z92</f>
        <v/>
      </c>
      <c r="AB92" s="26" t="n">
        <v>0.025</v>
      </c>
      <c r="AC92" s="24">
        <f>G92*AB92</f>
        <v/>
      </c>
      <c r="AD92" s="24">
        <f>AA92+AC92</f>
        <v/>
      </c>
      <c r="AE92" s="28">
        <f>AD92/G92</f>
        <v/>
      </c>
      <c r="AF92" s="29">
        <f>G92-N92-O92-P92-Q92-R92-S92-V92-X92-Y92-L92</f>
        <v/>
      </c>
      <c r="AG92" s="30">
        <f>AF92-AD92</f>
        <v/>
      </c>
      <c r="AH92" s="31">
        <f>AG92/G92</f>
        <v/>
      </c>
      <c r="AI92" s="32">
        <f>AG92/L92</f>
        <v/>
      </c>
      <c r="AJ92" s="24">
        <f>(O92+Q92+V92+X92+Y92+L92)/(1-(M92+$G$4+(1-H92)*$G$3+$G$8+Z92+AB92))</f>
        <v/>
      </c>
    </row>
    <row r="93">
      <c r="A93" s="14" t="inlineStr">
        <is>
          <t>MANYO - Galac Whitening Vita Serum [50ml] / Осветляющая сыворотка с Витамином C</t>
        </is>
      </c>
      <c r="B93" s="15" t="n"/>
      <c r="C93" s="16" t="inlineStr">
        <is>
          <t>-</t>
        </is>
      </c>
      <c r="D93" s="17" t="n">
        <v>4000</v>
      </c>
      <c r="E93" s="17" t="n">
        <v>163</v>
      </c>
      <c r="F93" s="17" t="n">
        <v>0</v>
      </c>
      <c r="G93" s="17">
        <f>(3.0*L93+O93+Q93+V93+X93+Y93)/(1-M93-$G$8-$G$4-(1-H93)*$G$3-Z93-AB93)</f>
        <v/>
      </c>
      <c r="H93" s="18" t="n">
        <v>0.45</v>
      </c>
      <c r="I93" s="19">
        <f>G93*(1-H93)</f>
        <v/>
      </c>
      <c r="J93" s="20" t="n">
        <v>646.83</v>
      </c>
      <c r="K93" s="21">
        <f>$G$5</f>
        <v/>
      </c>
      <c r="L93" s="22">
        <f>J93+K93</f>
        <v/>
      </c>
      <c r="M93" s="23" t="n">
        <v>0.41</v>
      </c>
      <c r="N93" s="24">
        <f>G93*M93</f>
        <v/>
      </c>
      <c r="O93" s="25" t="n">
        <v>56</v>
      </c>
      <c r="P93" s="24">
        <f>G93*$G$8</f>
        <v/>
      </c>
      <c r="Q93" s="25" t="n">
        <v>25</v>
      </c>
      <c r="R93" s="24">
        <f>G93*$G$4</f>
        <v/>
      </c>
      <c r="S93" s="24">
        <f>I93*$G$3</f>
        <v/>
      </c>
      <c r="T93" s="26" t="n">
        <v>0.9</v>
      </c>
      <c r="U93" s="25" t="n">
        <v>56</v>
      </c>
      <c r="V93" s="24">
        <f>U93*(1-T93)</f>
        <v/>
      </c>
      <c r="W93" s="27" t="n">
        <v>0.19</v>
      </c>
      <c r="X93" s="24">
        <f>$G$6*$G$7*W93</f>
        <v/>
      </c>
      <c r="Y93" s="22">
        <f>W93*($G$9+$G$10)</f>
        <v/>
      </c>
      <c r="Z93" s="23" t="n">
        <v>0.025</v>
      </c>
      <c r="AA93" s="24">
        <f>G93*Z93</f>
        <v/>
      </c>
      <c r="AB93" s="26" t="n">
        <v>0.025</v>
      </c>
      <c r="AC93" s="24">
        <f>G93*AB93</f>
        <v/>
      </c>
      <c r="AD93" s="24">
        <f>AA93+AC93</f>
        <v/>
      </c>
      <c r="AE93" s="28">
        <f>AD93/G93</f>
        <v/>
      </c>
      <c r="AF93" s="29">
        <f>G93-N93-O93-P93-Q93-R93-S93-V93-X93-Y93-L93</f>
        <v/>
      </c>
      <c r="AG93" s="30">
        <f>AF93-AD93</f>
        <v/>
      </c>
      <c r="AH93" s="31">
        <f>AG93/G93</f>
        <v/>
      </c>
      <c r="AI93" s="32">
        <f>AG93/L93</f>
        <v/>
      </c>
      <c r="AJ93" s="24">
        <f>(O93+Q93+V93+X93+Y93+L93)/(1-(M93+$G$4+(1-H93)*$G$3+$G$8+Z93+AB93))</f>
        <v/>
      </c>
    </row>
    <row r="94">
      <c r="A94" s="14" t="inlineStr">
        <is>
          <t>MANYO - Bifida Biome Ampoule Lotion [300ml] / Укрепляющий лосьон с бифидобактериями</t>
        </is>
      </c>
      <c r="B94" s="15" t="n"/>
      <c r="C94" s="16" t="inlineStr">
        <is>
          <t>нет у официала</t>
        </is>
      </c>
      <c r="D94" s="17" t="n">
        <v>4000</v>
      </c>
      <c r="E94" s="17" t="n">
        <v>140</v>
      </c>
      <c r="F94" s="17" t="n">
        <v>0</v>
      </c>
      <c r="G94" s="17">
        <f>(3.0*L94+O94+Q94+V94+X94+Y94)/(1-M94-$G$8-$G$4-(1-H94)*$G$3-Z94-AB94)</f>
        <v/>
      </c>
      <c r="H94" s="18" t="n">
        <v>0.45</v>
      </c>
      <c r="I94" s="19">
        <f>G94*(1-H94)</f>
        <v/>
      </c>
      <c r="J94" s="20" t="n">
        <v>735.34</v>
      </c>
      <c r="K94" s="21">
        <f>$G$5</f>
        <v/>
      </c>
      <c r="L94" s="22">
        <f>J94+K94</f>
        <v/>
      </c>
      <c r="M94" s="23" t="n">
        <v>0.41</v>
      </c>
      <c r="N94" s="24">
        <f>G94*M94</f>
        <v/>
      </c>
      <c r="O94" s="25" t="n">
        <v>67</v>
      </c>
      <c r="P94" s="24">
        <f>G94*$G$8</f>
        <v/>
      </c>
      <c r="Q94" s="25" t="n">
        <v>25</v>
      </c>
      <c r="R94" s="24">
        <f>G94*$G$4</f>
        <v/>
      </c>
      <c r="S94" s="24">
        <f>I94*$G$3</f>
        <v/>
      </c>
      <c r="T94" s="26" t="n">
        <v>0.9</v>
      </c>
      <c r="U94" s="25" t="n">
        <v>67</v>
      </c>
      <c r="V94" s="24">
        <f>U94*(1-T94)</f>
        <v/>
      </c>
      <c r="W94" s="27" t="n">
        <v>0.61</v>
      </c>
      <c r="X94" s="24">
        <f>$G$6*$G$7*W94</f>
        <v/>
      </c>
      <c r="Y94" s="22">
        <f>W94*($G$9+$G$10)</f>
        <v/>
      </c>
      <c r="Z94" s="23" t="n">
        <v>0.025</v>
      </c>
      <c r="AA94" s="24">
        <f>G94*Z94</f>
        <v/>
      </c>
      <c r="AB94" s="26" t="n">
        <v>0.025</v>
      </c>
      <c r="AC94" s="24">
        <f>G94*AB94</f>
        <v/>
      </c>
      <c r="AD94" s="24">
        <f>AA94+AC94</f>
        <v/>
      </c>
      <c r="AE94" s="28">
        <f>AD94/G94</f>
        <v/>
      </c>
      <c r="AF94" s="29">
        <f>G94-N94-O94-P94-Q94-R94-S94-V94-X94-Y94-L94</f>
        <v/>
      </c>
      <c r="AG94" s="30">
        <f>AF94-AD94</f>
        <v/>
      </c>
      <c r="AH94" s="31">
        <f>AG94/G94</f>
        <v/>
      </c>
      <c r="AI94" s="32">
        <f>AG94/L94</f>
        <v/>
      </c>
      <c r="AJ94" s="24">
        <f>(O94+Q94+V94+X94+Y94+L94)/(1-(M94+$G$4+(1-H94)*$G$3+$G$8+Z94+AB94))</f>
        <v/>
      </c>
    </row>
    <row r="95">
      <c r="A95" s="14" t="inlineStr">
        <is>
          <t>MANYO - Pure Cleansing Oil [200ml] / Гидрофильное масло для глубокого очищения</t>
        </is>
      </c>
      <c r="B95" s="15" t="n"/>
      <c r="C95" s="16" t="inlineStr">
        <is>
          <t>-</t>
        </is>
      </c>
      <c r="D95" s="17" t="n">
        <v>4000</v>
      </c>
      <c r="E95" s="17" t="n">
        <v>60</v>
      </c>
      <c r="F95" s="17" t="n">
        <v>0</v>
      </c>
      <c r="G95" s="17">
        <f>(2.5*L95+O95+Q95+V95+X95+Y95)/(1-M95-$G$8-$G$4-(1-H95)*$G$3-Z95-AB95)</f>
        <v/>
      </c>
      <c r="H95" s="18" t="n">
        <v>0.45</v>
      </c>
      <c r="I95" s="19">
        <f>G95*(1-H95)</f>
        <v/>
      </c>
      <c r="J95" s="20" t="n">
        <v>853</v>
      </c>
      <c r="K95" s="21">
        <f>$G$5</f>
        <v/>
      </c>
      <c r="L95" s="22">
        <f>J95+K95</f>
        <v/>
      </c>
      <c r="M95" s="23" t="n">
        <v>0.41</v>
      </c>
      <c r="N95" s="24">
        <f>G95*M95</f>
        <v/>
      </c>
      <c r="O95" s="25" t="n">
        <v>67</v>
      </c>
      <c r="P95" s="24">
        <f>G95*$G$8</f>
        <v/>
      </c>
      <c r="Q95" s="25" t="n">
        <v>25</v>
      </c>
      <c r="R95" s="24">
        <f>G95*$G$4</f>
        <v/>
      </c>
      <c r="S95" s="24">
        <f>I95*$G$3</f>
        <v/>
      </c>
      <c r="T95" s="26" t="n">
        <v>0.9</v>
      </c>
      <c r="U95" s="25" t="n">
        <v>67</v>
      </c>
      <c r="V95" s="24">
        <f>U95*(1-T95)</f>
        <v/>
      </c>
      <c r="W95" s="27" t="n">
        <v>0.5</v>
      </c>
      <c r="X95" s="24">
        <f>$G$6*$G$7*W95</f>
        <v/>
      </c>
      <c r="Y95" s="22">
        <f>W95*($G$9+$G$10)</f>
        <v/>
      </c>
      <c r="Z95" s="23" t="n">
        <v>0.025</v>
      </c>
      <c r="AA95" s="24">
        <f>G95*Z95</f>
        <v/>
      </c>
      <c r="AB95" s="26" t="n">
        <v>0.025</v>
      </c>
      <c r="AC95" s="24">
        <f>G95*AB95</f>
        <v/>
      </c>
      <c r="AD95" s="24">
        <f>AA95+AC95</f>
        <v/>
      </c>
      <c r="AE95" s="28">
        <f>AD95/G95</f>
        <v/>
      </c>
      <c r="AF95" s="29">
        <f>G95-N95-O95-P95-Q95-R95-S95-V95-X95-Y95-L95</f>
        <v/>
      </c>
      <c r="AG95" s="30">
        <f>AF95-AD95</f>
        <v/>
      </c>
      <c r="AH95" s="31">
        <f>AG95/G95</f>
        <v/>
      </c>
      <c r="AI95" s="32">
        <f>AG95/L95</f>
        <v/>
      </c>
      <c r="AJ95" s="24">
        <f>(O95+Q95+V95+X95+Y95+L95)/(1-(M95+$G$4+(1-H95)*$G$3+$G$8+Z95+AB95))</f>
        <v/>
      </c>
    </row>
    <row r="96">
      <c r="A96" s="14" t="inlineStr">
        <is>
          <t>MANYO BIFIDA COMPLEX AMPOULE GEL CLEANSER [400ml] / Гель для умывания с бифидобактериями</t>
        </is>
      </c>
      <c r="B96" s="15" t="n"/>
      <c r="C96" s="16" t="inlineStr">
        <is>
          <t>-</t>
        </is>
      </c>
      <c r="D96" s="17" t="n">
        <v>4800</v>
      </c>
      <c r="E96" s="17" t="n">
        <v>20</v>
      </c>
      <c r="F96" s="17" t="n">
        <v>0</v>
      </c>
      <c r="G96" s="17">
        <f>(3.0*L96+O96+Q96+V96+X96+Y96)/(1-M96-$G$8-$G$4-(1-H96)*$G$3-Z96-AB96)</f>
        <v/>
      </c>
      <c r="H96" s="18" t="n">
        <v>0.45</v>
      </c>
      <c r="I96" s="19">
        <f>G96*(1-H96)</f>
        <v/>
      </c>
      <c r="J96" s="20" t="n">
        <v>650</v>
      </c>
      <c r="K96" s="21">
        <f>$G$5</f>
        <v/>
      </c>
      <c r="L96" s="22">
        <f>J96+K96</f>
        <v/>
      </c>
      <c r="M96" s="23" t="n">
        <v>0.41</v>
      </c>
      <c r="N96" s="24">
        <f>G96*M96</f>
        <v/>
      </c>
      <c r="O96" s="25" t="n">
        <v>75</v>
      </c>
      <c r="P96" s="24">
        <f>G96*$G$8</f>
        <v/>
      </c>
      <c r="Q96" s="25" t="n">
        <v>25</v>
      </c>
      <c r="R96" s="24">
        <f>G96*$G$4</f>
        <v/>
      </c>
      <c r="S96" s="24">
        <f>I96*$G$3</f>
        <v/>
      </c>
      <c r="T96" s="26" t="n">
        <v>0.9</v>
      </c>
      <c r="U96" s="25" t="n">
        <v>75</v>
      </c>
      <c r="V96" s="24">
        <f>U96*(1-T96)</f>
        <v/>
      </c>
      <c r="W96" s="27" t="n">
        <v>0.931</v>
      </c>
      <c r="X96" s="24">
        <f>$G$6*$G$7*W96</f>
        <v/>
      </c>
      <c r="Y96" s="22">
        <f>W96*($G$9+$G$10)</f>
        <v/>
      </c>
      <c r="Z96" s="23" t="n">
        <v>0.025</v>
      </c>
      <c r="AA96" s="24">
        <f>G96*Z96</f>
        <v/>
      </c>
      <c r="AB96" s="26" t="n">
        <v>0.025</v>
      </c>
      <c r="AC96" s="24">
        <f>G96*AB96</f>
        <v/>
      </c>
      <c r="AD96" s="24">
        <f>AA96+AC96</f>
        <v/>
      </c>
      <c r="AE96" s="28">
        <f>AD96/G96</f>
        <v/>
      </c>
      <c r="AF96" s="29">
        <f>G96-N96-O96-P96-Q96-R96-S96-V96-X96-Y96-L96</f>
        <v/>
      </c>
      <c r="AG96" s="30">
        <f>AF96-AD96</f>
        <v/>
      </c>
      <c r="AH96" s="31">
        <f>AG96/G96</f>
        <v/>
      </c>
      <c r="AI96" s="32">
        <f>AG96/L96</f>
        <v/>
      </c>
      <c r="AJ96" s="24">
        <f>(O96+Q96+V96+X96+Y96+L96)/(1-(M96+$G$4+(1-H96)*$G$3+$G$8+Z96+AB96))</f>
        <v/>
      </c>
    </row>
    <row r="97">
      <c r="A97" s="14" t="inlineStr">
        <is>
          <t>MANYO BIFIDA INFUSION SHOT AMPOULE 1DX [50ml] / Сыворотка с микроиглами и пробиотиками</t>
        </is>
      </c>
      <c r="B97" s="15" t="n"/>
      <c r="C97" s="16" t="n"/>
      <c r="D97" s="17" t="n">
        <v>3800</v>
      </c>
      <c r="E97" s="17" t="n">
        <v>370</v>
      </c>
      <c r="F97" s="17" t="n">
        <v>0</v>
      </c>
      <c r="G97" s="17">
        <f>(2.5*L97+O97+Q97+V97+X97+Y97)/(1-M97-$G$8-$G$4-(1-H97)*$G$3-Z97-AB97)</f>
        <v/>
      </c>
      <c r="H97" s="18" t="n">
        <v>0.45</v>
      </c>
      <c r="I97" s="19">
        <f>G97*(1-H97)</f>
        <v/>
      </c>
      <c r="J97" s="20" t="n">
        <v>899.78</v>
      </c>
      <c r="K97" s="21">
        <f>$G$5</f>
        <v/>
      </c>
      <c r="L97" s="22">
        <f>J97+K97</f>
        <v/>
      </c>
      <c r="M97" s="23" t="n">
        <v>0.41</v>
      </c>
      <c r="N97" s="24">
        <f>G97*M97</f>
        <v/>
      </c>
      <c r="O97" s="25" t="n">
        <v>63</v>
      </c>
      <c r="P97" s="24">
        <f>G97*$G$8</f>
        <v/>
      </c>
      <c r="Q97" s="25" t="n">
        <v>25</v>
      </c>
      <c r="R97" s="24">
        <f>G97*$G$4</f>
        <v/>
      </c>
      <c r="S97" s="24">
        <f>I97*$G$3</f>
        <v/>
      </c>
      <c r="T97" s="26" t="n">
        <v>0.9</v>
      </c>
      <c r="U97" s="25" t="n">
        <v>63</v>
      </c>
      <c r="V97" s="24">
        <f>U97*(1-T97)</f>
        <v/>
      </c>
      <c r="W97" s="27" t="n">
        <v>0.3</v>
      </c>
      <c r="X97" s="24">
        <f>$G$6*$G$7*W97</f>
        <v/>
      </c>
      <c r="Y97" s="22">
        <f>W97*($G$9+$G$10)</f>
        <v/>
      </c>
      <c r="Z97" s="23" t="n">
        <v>0.025</v>
      </c>
      <c r="AA97" s="24">
        <f>G97*Z97</f>
        <v/>
      </c>
      <c r="AB97" s="26" t="n">
        <v>0.025</v>
      </c>
      <c r="AC97" s="24">
        <f>G97*AB97</f>
        <v/>
      </c>
      <c r="AD97" s="24">
        <f>AA97+AC97</f>
        <v/>
      </c>
      <c r="AE97" s="28">
        <f>AD97/G97</f>
        <v/>
      </c>
      <c r="AF97" s="29">
        <f>G97-N97-O97-P97-Q97-R97-S97-V97-X97-Y97-L97</f>
        <v/>
      </c>
      <c r="AG97" s="30">
        <f>AF97-AD97</f>
        <v/>
      </c>
      <c r="AH97" s="31">
        <f>AG97/G97</f>
        <v/>
      </c>
      <c r="AI97" s="32">
        <f>AG97/L97</f>
        <v/>
      </c>
      <c r="AJ97" s="24">
        <f>(O97+Q97+V97+X97+Y97+L97)/(1-(M97+$G$4+(1-H97)*$G$3+$G$8+Z97+AB97))</f>
        <v/>
      </c>
    </row>
    <row r="98">
      <c r="A98" s="12" t="inlineStr">
        <is>
          <t>Косметика/MASIL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  <c r="AJ98" s="13" t="n"/>
    </row>
    <row r="99">
      <c r="A99" s="33" t="inlineStr">
        <is>
          <t>MASIL - 8 Seconds Salon Hair Mask 350ml Set [350ml+8ml*2]</t>
        </is>
      </c>
      <c r="B99" s="34" t="n"/>
      <c r="C99" s="34" t="n"/>
      <c r="D99" s="35" t="n"/>
      <c r="E99" s="35" t="n"/>
      <c r="F99" s="35" t="n"/>
      <c r="G99" s="35" t="n"/>
      <c r="H99" s="36" t="n"/>
      <c r="I99" s="37" t="n"/>
      <c r="J99" s="38" t="n"/>
      <c r="K99" s="38" t="n"/>
      <c r="L99" s="39" t="n"/>
      <c r="M99" s="40" t="n"/>
      <c r="N99" s="35" t="n"/>
      <c r="O99" s="35" t="n"/>
      <c r="P99" s="35" t="n"/>
      <c r="Q99" s="35" t="n"/>
      <c r="R99" s="35" t="n"/>
      <c r="S99" s="35" t="n"/>
      <c r="T99" s="41" t="n"/>
      <c r="U99" s="35" t="n"/>
      <c r="V99" s="35" t="n"/>
      <c r="W99" s="42" t="n"/>
      <c r="X99" s="35" t="n"/>
      <c r="Y99" s="39" t="n"/>
      <c r="Z99" s="40" t="n"/>
      <c r="AA99" s="35" t="n"/>
      <c r="AB99" s="41" t="n"/>
      <c r="AC99" s="35" t="n"/>
      <c r="AD99" s="35" t="n"/>
      <c r="AE99" s="43" t="n"/>
      <c r="AF99" s="44" t="n"/>
      <c r="AG99" s="35" t="n"/>
      <c r="AH99" s="41" t="n"/>
      <c r="AI99" s="41" t="n"/>
      <c r="AJ99" s="35" t="n"/>
    </row>
    <row r="100">
      <c r="A100" s="12" t="inlineStr">
        <is>
          <t>Косметика/PETITFEE/PETITFEE-EYEPATCH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</row>
    <row r="101">
      <c r="A101" s="14" t="inlineStr">
        <is>
          <t>PETITFEE - Collagen &amp; CoQ10 Hydrogel Eye Patch [60ea] / Гидрогелевые патчи для глаз с коллагеном и коэнзимом Q10</t>
        </is>
      </c>
      <c r="B101" s="15" t="n"/>
      <c r="C101" s="16" t="n"/>
      <c r="D101" s="17" t="n">
        <v>1818</v>
      </c>
      <c r="E101" s="17" t="n">
        <v>734</v>
      </c>
      <c r="F101" s="17" t="n">
        <v>16</v>
      </c>
      <c r="G101" s="17">
        <f>(2.0*L101+O101+Q101+V101+X101+Y101)/(1-M101-$G$8-$G$4-(1-H101)*$G$3-Z101-AB101)</f>
        <v/>
      </c>
      <c r="H101" s="18" t="n">
        <v>0.45</v>
      </c>
      <c r="I101" s="19">
        <f>G101*(1-H101)</f>
        <v/>
      </c>
      <c r="J101" s="20" t="n">
        <v>385.05</v>
      </c>
      <c r="K101" s="21">
        <f>$G$5</f>
        <v/>
      </c>
      <c r="L101" s="22">
        <f>J101+K101</f>
        <v/>
      </c>
      <c r="M101" s="23" t="n">
        <v>0.41</v>
      </c>
      <c r="N101" s="24">
        <f>G101*M101</f>
        <v/>
      </c>
      <c r="O101" s="25" t="n">
        <v>67</v>
      </c>
      <c r="P101" s="24">
        <f>G101*$G$8</f>
        <v/>
      </c>
      <c r="Q101" s="25" t="n">
        <v>25</v>
      </c>
      <c r="R101" s="24">
        <f>G101*$G$4</f>
        <v/>
      </c>
      <c r="S101" s="24">
        <f>I101*$G$3</f>
        <v/>
      </c>
      <c r="T101" s="26" t="n">
        <v>0.9</v>
      </c>
      <c r="U101" s="25" t="n">
        <v>67</v>
      </c>
      <c r="V101" s="24">
        <f>U101*(1-T101)</f>
        <v/>
      </c>
      <c r="W101" s="27" t="n">
        <v>0.6</v>
      </c>
      <c r="X101" s="24">
        <f>$G$6*$G$7*W101</f>
        <v/>
      </c>
      <c r="Y101" s="22">
        <f>W101*($G$9+$G$10)</f>
        <v/>
      </c>
      <c r="Z101" s="23" t="n">
        <v>0.07000000000000001</v>
      </c>
      <c r="AA101" s="24">
        <f>G101*Z101</f>
        <v/>
      </c>
      <c r="AB101" s="26" t="n">
        <v>0.08</v>
      </c>
      <c r="AC101" s="24">
        <f>G101*AB101</f>
        <v/>
      </c>
      <c r="AD101" s="24">
        <f>AA101+AC101</f>
        <v/>
      </c>
      <c r="AE101" s="28">
        <f>AD101/G101</f>
        <v/>
      </c>
      <c r="AF101" s="29">
        <f>G101-N101-O101-P101-Q101-R101-S101-V101-X101-Y101-L101</f>
        <v/>
      </c>
      <c r="AG101" s="30">
        <f>AF101-AD101</f>
        <v/>
      </c>
      <c r="AH101" s="31">
        <f>AG101/G101</f>
        <v/>
      </c>
      <c r="AI101" s="32">
        <f>AG101/L101</f>
        <v/>
      </c>
      <c r="AJ101" s="24">
        <f>(O101+Q101+V101+X101+Y101+L101)/(1-(M101+$G$4+(1-H101)*$G$3+$G$8+Z101+AB101))</f>
        <v/>
      </c>
    </row>
    <row r="102">
      <c r="A102" s="14" t="inlineStr">
        <is>
          <t>PETITFEE - Bera Glucan Deep Firming Eye Patch [60ea] / Тканевые патчи для век увлажняющие</t>
        </is>
      </c>
      <c r="B102" s="15" t="n"/>
      <c r="C102" s="16" t="n"/>
      <c r="D102" s="17" t="n"/>
      <c r="E102" s="17" t="n"/>
      <c r="F102" s="17" t="n"/>
      <c r="G102" s="17">
        <f>(2.0*L102+O102+Q102+V102+X102+Y102)/(1-M102-$G$8-$G$4-(1-H102)*$G$3-Z102-AB102)</f>
        <v/>
      </c>
      <c r="H102" s="18" t="n">
        <v>0.45</v>
      </c>
      <c r="I102" s="19">
        <f>G102*(1-H102)</f>
        <v/>
      </c>
      <c r="J102" s="20" t="n">
        <v>486.69</v>
      </c>
      <c r="K102" s="21">
        <f>$G$5</f>
        <v/>
      </c>
      <c r="L102" s="22">
        <f>J102+K102</f>
        <v/>
      </c>
      <c r="M102" s="23" t="n">
        <v>0.41</v>
      </c>
      <c r="N102" s="24">
        <f>G102*M102</f>
        <v/>
      </c>
      <c r="O102" s="25" t="n">
        <v>67</v>
      </c>
      <c r="P102" s="24">
        <f>G102*$G$8</f>
        <v/>
      </c>
      <c r="Q102" s="25" t="n">
        <v>25</v>
      </c>
      <c r="R102" s="24">
        <f>G102*$G$4</f>
        <v/>
      </c>
      <c r="S102" s="24">
        <f>I102*$G$3</f>
        <v/>
      </c>
      <c r="T102" s="26" t="n">
        <v>0.9</v>
      </c>
      <c r="U102" s="25" t="n">
        <v>67</v>
      </c>
      <c r="V102" s="24">
        <f>U102*(1-T102)</f>
        <v/>
      </c>
      <c r="W102" s="27" t="n">
        <v>0.93</v>
      </c>
      <c r="X102" s="24">
        <f>$G$6*$G$7*W102</f>
        <v/>
      </c>
      <c r="Y102" s="22">
        <f>W102*($G$9+$G$10)</f>
        <v/>
      </c>
      <c r="Z102" s="23" t="n">
        <v>0.07000000000000001</v>
      </c>
      <c r="AA102" s="24">
        <f>G102*Z102</f>
        <v/>
      </c>
      <c r="AB102" s="26" t="n">
        <v>0.08</v>
      </c>
      <c r="AC102" s="24">
        <f>G102*AB102</f>
        <v/>
      </c>
      <c r="AD102" s="24">
        <f>AA102+AC102</f>
        <v/>
      </c>
      <c r="AE102" s="28">
        <f>AD102/G102</f>
        <v/>
      </c>
      <c r="AF102" s="29">
        <f>G102-N102-O102-P102-Q102-R102-S102-V102-X102-Y102-L102</f>
        <v/>
      </c>
      <c r="AG102" s="30">
        <f>AF102-AD102</f>
        <v/>
      </c>
      <c r="AH102" s="31">
        <f>AG102/G102</f>
        <v/>
      </c>
      <c r="AI102" s="32">
        <f>AG102/L102</f>
        <v/>
      </c>
      <c r="AJ102" s="24">
        <f>(O102+Q102+V102+X102+Y102+L102)/(1-(M102+$G$4+(1-H102)*$G$3+$G$8+Z102+AB102))</f>
        <v/>
      </c>
    </row>
    <row r="103">
      <c r="A103" s="14" t="inlineStr">
        <is>
          <t>PETITFEE - Artichoke Soothing Hydrogel Eye Patch [60ea] / Смягчающие гидрогелевые патчи для глаз с экстрактом артишока</t>
        </is>
      </c>
      <c r="B103" s="15" t="n"/>
      <c r="C103" s="16" t="n"/>
      <c r="D103" s="17" t="n"/>
      <c r="E103" s="17" t="n"/>
      <c r="F103" s="17" t="n"/>
      <c r="G103" s="17">
        <f>(2.0*L103+O103+Q103+V103+X103+Y103)/(1-M103-$G$8-$G$4-(1-H103)*$G$3-Z103-AB103)</f>
        <v/>
      </c>
      <c r="H103" s="18" t="n">
        <v>0.45</v>
      </c>
      <c r="I103" s="19">
        <f>G103*(1-H103)</f>
        <v/>
      </c>
      <c r="J103" s="20" t="n">
        <v>415.46</v>
      </c>
      <c r="K103" s="21">
        <f>$G$5</f>
        <v/>
      </c>
      <c r="L103" s="22">
        <f>J103+K103</f>
        <v/>
      </c>
      <c r="M103" s="23" t="n">
        <v>0.41</v>
      </c>
      <c r="N103" s="24">
        <f>G103*M103</f>
        <v/>
      </c>
      <c r="O103" s="25" t="n">
        <v>67</v>
      </c>
      <c r="P103" s="24">
        <f>G103*$G$8</f>
        <v/>
      </c>
      <c r="Q103" s="25" t="n">
        <v>25</v>
      </c>
      <c r="R103" s="24">
        <f>G103*$G$4</f>
        <v/>
      </c>
      <c r="S103" s="24">
        <f>I103*$G$3</f>
        <v/>
      </c>
      <c r="T103" s="26" t="n">
        <v>0.9</v>
      </c>
      <c r="U103" s="25" t="n">
        <v>67</v>
      </c>
      <c r="V103" s="24">
        <f>U103*(1-T103)</f>
        <v/>
      </c>
      <c r="W103" s="27" t="n">
        <v>0.6</v>
      </c>
      <c r="X103" s="24">
        <f>$G$6*$G$7*W103</f>
        <v/>
      </c>
      <c r="Y103" s="22">
        <f>W103*($G$9+$G$10)</f>
        <v/>
      </c>
      <c r="Z103" s="23" t="n">
        <v>0.07000000000000001</v>
      </c>
      <c r="AA103" s="24">
        <f>G103*Z103</f>
        <v/>
      </c>
      <c r="AB103" s="26" t="n">
        <v>0.08</v>
      </c>
      <c r="AC103" s="24">
        <f>G103*AB103</f>
        <v/>
      </c>
      <c r="AD103" s="24">
        <f>AA103+AC103</f>
        <v/>
      </c>
      <c r="AE103" s="28">
        <f>AD103/G103</f>
        <v/>
      </c>
      <c r="AF103" s="29">
        <f>G103-N103-O103-P103-Q103-R103-S103-V103-X103-Y103-L103</f>
        <v/>
      </c>
      <c r="AG103" s="30">
        <f>AF103-AD103</f>
        <v/>
      </c>
      <c r="AH103" s="31">
        <f>AG103/G103</f>
        <v/>
      </c>
      <c r="AI103" s="32">
        <f>AG103/L103</f>
        <v/>
      </c>
      <c r="AJ103" s="24">
        <f>(O103+Q103+V103+X103+Y103+L103)/(1-(M103+$G$4+(1-H103)*$G$3+$G$8+Z103+AB103))</f>
        <v/>
      </c>
    </row>
    <row r="104">
      <c r="A104" s="14" t="inlineStr">
        <is>
          <t>PETITFEE - Aura Quartz Hydrogel Eye Patch [60ea]</t>
        </is>
      </c>
      <c r="B104" s="15" t="n"/>
      <c r="C104" s="16" t="n"/>
      <c r="D104" s="17" t="n"/>
      <c r="E104" s="17" t="n"/>
      <c r="F104" s="17" t="n"/>
      <c r="G104" s="17">
        <f>(2.0*L104+O104+Q104+V104+X104+Y104)/(1-M104-$G$8-$G$4-(1-H104)*$G$3-Z104-AB104)</f>
        <v/>
      </c>
      <c r="H104" s="18" t="n">
        <v>0.45</v>
      </c>
      <c r="I104" s="19">
        <f>G104*(1-H104)</f>
        <v/>
      </c>
      <c r="J104" s="20" t="n">
        <v>591.29</v>
      </c>
      <c r="K104" s="21">
        <f>$G$5</f>
        <v/>
      </c>
      <c r="L104" s="22">
        <f>J104+K104</f>
        <v/>
      </c>
      <c r="M104" s="23" t="n">
        <v>0.41</v>
      </c>
      <c r="N104" s="24">
        <f>G104*M104</f>
        <v/>
      </c>
      <c r="O104" s="25" t="n">
        <v>67</v>
      </c>
      <c r="P104" s="24">
        <f>G104*$G$8</f>
        <v/>
      </c>
      <c r="Q104" s="25" t="n">
        <v>25</v>
      </c>
      <c r="R104" s="24">
        <f>G104*$G$4</f>
        <v/>
      </c>
      <c r="S104" s="24">
        <f>I104*$G$3</f>
        <v/>
      </c>
      <c r="T104" s="26" t="n">
        <v>0.9</v>
      </c>
      <c r="U104" s="25" t="n">
        <v>67</v>
      </c>
      <c r="V104" s="24">
        <f>U104*(1-T104)</f>
        <v/>
      </c>
      <c r="W104" s="27" t="n">
        <v>0.93</v>
      </c>
      <c r="X104" s="24">
        <f>$G$6*$G$7*W104</f>
        <v/>
      </c>
      <c r="Y104" s="22">
        <f>W104*($G$9+$G$10)</f>
        <v/>
      </c>
      <c r="Z104" s="23" t="n">
        <v>0.07000000000000001</v>
      </c>
      <c r="AA104" s="24">
        <f>G104*Z104</f>
        <v/>
      </c>
      <c r="AB104" s="26" t="n">
        <v>0.08</v>
      </c>
      <c r="AC104" s="24">
        <f>G104*AB104</f>
        <v/>
      </c>
      <c r="AD104" s="24">
        <f>AA104+AC104</f>
        <v/>
      </c>
      <c r="AE104" s="28">
        <f>AD104/G104</f>
        <v/>
      </c>
      <c r="AF104" s="29">
        <f>G104-N104-O104-P104-Q104-R104-S104-V104-X104-Y104-L104</f>
        <v/>
      </c>
      <c r="AG104" s="30">
        <f>AF104-AD104</f>
        <v/>
      </c>
      <c r="AH104" s="31">
        <f>AG104/G104</f>
        <v/>
      </c>
      <c r="AI104" s="32">
        <f>AG104/L104</f>
        <v/>
      </c>
      <c r="AJ104" s="24">
        <f>(O104+Q104+V104+X104+Y104+L104)/(1-(M104+$G$4+(1-H104)*$G$3+$G$8+Z104+AB104))</f>
        <v/>
      </c>
    </row>
    <row r="105">
      <c r="A105" s="14" t="inlineStr">
        <is>
          <t>PETITFEE - Cacao Energizing Hydrogel Eye Patch [60ea] / Тонизирующие гидрогелевые патчи для глаз с экстрактом какао</t>
        </is>
      </c>
      <c r="B105" s="15" t="n"/>
      <c r="C105" s="16" t="n"/>
      <c r="D105" s="17" t="n"/>
      <c r="E105" s="17" t="n"/>
      <c r="F105" s="17" t="n"/>
      <c r="G105" s="17">
        <f>(2.0*L105+O105+Q105+V105+X105+Y105)/(1-M105-$G$8-$G$4-(1-H105)*$G$3-Z105-AB105)</f>
        <v/>
      </c>
      <c r="H105" s="18" t="n">
        <v>0.45</v>
      </c>
      <c r="I105" s="19">
        <f>G105*(1-H105)</f>
        <v/>
      </c>
      <c r="J105" s="20" t="n">
        <v>415.46</v>
      </c>
      <c r="K105" s="21">
        <f>$G$5</f>
        <v/>
      </c>
      <c r="L105" s="22">
        <f>J105+K105</f>
        <v/>
      </c>
      <c r="M105" s="23" t="n">
        <v>0.41</v>
      </c>
      <c r="N105" s="24">
        <f>G105*M105</f>
        <v/>
      </c>
      <c r="O105" s="25" t="n">
        <v>67</v>
      </c>
      <c r="P105" s="24">
        <f>G105*$G$8</f>
        <v/>
      </c>
      <c r="Q105" s="25" t="n">
        <v>25</v>
      </c>
      <c r="R105" s="24">
        <f>G105*$G$4</f>
        <v/>
      </c>
      <c r="S105" s="24">
        <f>I105*$G$3</f>
        <v/>
      </c>
      <c r="T105" s="26" t="n">
        <v>0.9</v>
      </c>
      <c r="U105" s="25" t="n">
        <v>67</v>
      </c>
      <c r="V105" s="24">
        <f>U105*(1-T105)</f>
        <v/>
      </c>
      <c r="W105" s="27" t="n">
        <v>0.6</v>
      </c>
      <c r="X105" s="24">
        <f>$G$6*$G$7*W105</f>
        <v/>
      </c>
      <c r="Y105" s="22">
        <f>W105*($G$9+$G$10)</f>
        <v/>
      </c>
      <c r="Z105" s="23" t="n">
        <v>0.07000000000000001</v>
      </c>
      <c r="AA105" s="24">
        <f>G105*Z105</f>
        <v/>
      </c>
      <c r="AB105" s="26" t="n">
        <v>0.08</v>
      </c>
      <c r="AC105" s="24">
        <f>G105*AB105</f>
        <v/>
      </c>
      <c r="AD105" s="24">
        <f>AA105+AC105</f>
        <v/>
      </c>
      <c r="AE105" s="28">
        <f>AD105/G105</f>
        <v/>
      </c>
      <c r="AF105" s="29">
        <f>G105-N105-O105-P105-Q105-R105-S105-V105-X105-Y105-L105</f>
        <v/>
      </c>
      <c r="AG105" s="30">
        <f>AF105-AD105</f>
        <v/>
      </c>
      <c r="AH105" s="31">
        <f>AG105/G105</f>
        <v/>
      </c>
      <c r="AI105" s="32">
        <f>AG105/L105</f>
        <v/>
      </c>
      <c r="AJ105" s="24">
        <f>(O105+Q105+V105+X105+Y105+L105)/(1-(M105+$G$4+(1-H105)*$G$3+$G$8+Z105+AB105))</f>
        <v/>
      </c>
    </row>
    <row r="106">
      <c r="A106" s="14" t="inlineStr">
        <is>
          <t>PETITFEE - Chamomile Lightening Hydrogel Eye Patch [60ea] / Успокаивающие гидрогелевые патчи для глаз с экстрактом ромашки</t>
        </is>
      </c>
      <c r="B106" s="15" t="n"/>
      <c r="C106" s="16" t="n"/>
      <c r="D106" s="17" t="n"/>
      <c r="E106" s="17" t="n"/>
      <c r="F106" s="17" t="n"/>
      <c r="G106" s="17">
        <f>(2.0*L106+O106+Q106+V106+X106+Y106)/(1-M106-$G$8-$G$4-(1-H106)*$G$3-Z106-AB106)</f>
        <v/>
      </c>
      <c r="H106" s="18" t="n">
        <v>0.45</v>
      </c>
      <c r="I106" s="19">
        <f>G106*(1-H106)</f>
        <v/>
      </c>
      <c r="J106" s="20" t="n">
        <v>415.46</v>
      </c>
      <c r="K106" s="21">
        <f>$G$5</f>
        <v/>
      </c>
      <c r="L106" s="22">
        <f>J106+K106</f>
        <v/>
      </c>
      <c r="M106" s="23" t="n">
        <v>0.41</v>
      </c>
      <c r="N106" s="24">
        <f>G106*M106</f>
        <v/>
      </c>
      <c r="O106" s="25" t="n">
        <v>67</v>
      </c>
      <c r="P106" s="24">
        <f>G106*$G$8</f>
        <v/>
      </c>
      <c r="Q106" s="25" t="n">
        <v>25</v>
      </c>
      <c r="R106" s="24">
        <f>G106*$G$4</f>
        <v/>
      </c>
      <c r="S106" s="24">
        <f>I106*$G$3</f>
        <v/>
      </c>
      <c r="T106" s="26" t="n">
        <v>0.9</v>
      </c>
      <c r="U106" s="25" t="n">
        <v>67</v>
      </c>
      <c r="V106" s="24">
        <f>U106*(1-T106)</f>
        <v/>
      </c>
      <c r="W106" s="27" t="n">
        <v>0.6</v>
      </c>
      <c r="X106" s="24">
        <f>$G$6*$G$7*W106</f>
        <v/>
      </c>
      <c r="Y106" s="22">
        <f>W106*($G$9+$G$10)</f>
        <v/>
      </c>
      <c r="Z106" s="23" t="n">
        <v>0.07000000000000001</v>
      </c>
      <c r="AA106" s="24">
        <f>G106*Z106</f>
        <v/>
      </c>
      <c r="AB106" s="26" t="n">
        <v>0.08</v>
      </c>
      <c r="AC106" s="24">
        <f>G106*AB106</f>
        <v/>
      </c>
      <c r="AD106" s="24">
        <f>AA106+AC106</f>
        <v/>
      </c>
      <c r="AE106" s="28">
        <f>AD106/G106</f>
        <v/>
      </c>
      <c r="AF106" s="29">
        <f>G106-N106-O106-P106-Q106-R106-S106-V106-X106-Y106-L106</f>
        <v/>
      </c>
      <c r="AG106" s="30">
        <f>AF106-AD106</f>
        <v/>
      </c>
      <c r="AH106" s="31">
        <f>AG106/G106</f>
        <v/>
      </c>
      <c r="AI106" s="32">
        <f>AG106/L106</f>
        <v/>
      </c>
      <c r="AJ106" s="24">
        <f>(O106+Q106+V106+X106+Y106+L106)/(1-(M106+$G$4+(1-H106)*$G$3+$G$8+Z106+AB106))</f>
        <v/>
      </c>
    </row>
    <row r="107">
      <c r="A107" s="14" t="inlineStr">
        <is>
          <t>PETITFEE - Gold &amp; EGF Hydrogel Eye &amp; Spot Patch [60ea]/ гидрогелевые патчи с золотом и EGF</t>
        </is>
      </c>
      <c r="B107" s="15" t="n"/>
      <c r="C107" s="16" t="n"/>
      <c r="D107" s="17" t="n"/>
      <c r="E107" s="17" t="n"/>
      <c r="F107" s="17" t="n"/>
      <c r="G107" s="17">
        <f>(2.0*L107+O107+Q107+V107+X107+Y107)/(1-M107-$G$8-$G$4-(1-H107)*$G$3-Z107-AB107)</f>
        <v/>
      </c>
      <c r="H107" s="18" t="n">
        <v>0.45</v>
      </c>
      <c r="I107" s="19">
        <f>G107*(1-H107)</f>
        <v/>
      </c>
      <c r="J107" s="20" t="n">
        <v>385.05</v>
      </c>
      <c r="K107" s="21">
        <f>$G$5</f>
        <v/>
      </c>
      <c r="L107" s="22">
        <f>J107+K107</f>
        <v/>
      </c>
      <c r="M107" s="23" t="n">
        <v>0.41</v>
      </c>
      <c r="N107" s="24">
        <f>G107*M107</f>
        <v/>
      </c>
      <c r="O107" s="25" t="n">
        <v>67</v>
      </c>
      <c r="P107" s="24">
        <f>G107*$G$8</f>
        <v/>
      </c>
      <c r="Q107" s="25" t="n">
        <v>25</v>
      </c>
      <c r="R107" s="24">
        <f>G107*$G$4</f>
        <v/>
      </c>
      <c r="S107" s="24">
        <f>I107*$G$3</f>
        <v/>
      </c>
      <c r="T107" s="26" t="n">
        <v>0.9</v>
      </c>
      <c r="U107" s="25" t="n">
        <v>67</v>
      </c>
      <c r="V107" s="24">
        <f>U107*(1-T107)</f>
        <v/>
      </c>
      <c r="W107" s="27" t="n">
        <v>0.6</v>
      </c>
      <c r="X107" s="24">
        <f>$G$6*$G$7*W107</f>
        <v/>
      </c>
      <c r="Y107" s="22">
        <f>W107*($G$9+$G$10)</f>
        <v/>
      </c>
      <c r="Z107" s="23" t="n">
        <v>0.07000000000000001</v>
      </c>
      <c r="AA107" s="24">
        <f>G107*Z107</f>
        <v/>
      </c>
      <c r="AB107" s="26" t="n">
        <v>0.08</v>
      </c>
      <c r="AC107" s="24">
        <f>G107*AB107</f>
        <v/>
      </c>
      <c r="AD107" s="24">
        <f>AA107+AC107</f>
        <v/>
      </c>
      <c r="AE107" s="28">
        <f>AD107/G107</f>
        <v/>
      </c>
      <c r="AF107" s="29">
        <f>G107-N107-O107-P107-Q107-R107-S107-V107-X107-Y107-L107</f>
        <v/>
      </c>
      <c r="AG107" s="30">
        <f>AF107-AD107</f>
        <v/>
      </c>
      <c r="AH107" s="31">
        <f>AG107/G107</f>
        <v/>
      </c>
      <c r="AI107" s="32">
        <f>AG107/L107</f>
        <v/>
      </c>
      <c r="AJ107" s="24">
        <f>(O107+Q107+V107+X107+Y107+L107)/(1-(M107+$G$4+(1-H107)*$G$3+$G$8+Z107+AB107))</f>
        <v/>
      </c>
    </row>
    <row r="108">
      <c r="A108" s="14" t="inlineStr">
        <is>
          <t>PETITFEE - Pink Vita Brightening Eye Patch [60ea] / Тканевые патчи для век увлажняющие</t>
        </is>
      </c>
      <c r="B108" s="15" t="n"/>
      <c r="C108" s="16" t="n"/>
      <c r="D108" s="17" t="n"/>
      <c r="E108" s="17" t="n"/>
      <c r="F108" s="17" t="n"/>
      <c r="G108" s="17">
        <f>(2.0*L108+O108+Q108+V108+X108+Y108)/(1-M108-$G$8-$G$4-(1-H108)*$G$3-Z108-AB108)</f>
        <v/>
      </c>
      <c r="H108" s="18" t="n">
        <v>0.45</v>
      </c>
      <c r="I108" s="19">
        <f>G108*(1-H108)</f>
        <v/>
      </c>
      <c r="J108" s="20" t="n">
        <v>486.69</v>
      </c>
      <c r="K108" s="21">
        <f>$G$5</f>
        <v/>
      </c>
      <c r="L108" s="22">
        <f>J108+K108</f>
        <v/>
      </c>
      <c r="M108" s="23" t="n">
        <v>0.41</v>
      </c>
      <c r="N108" s="24">
        <f>G108*M108</f>
        <v/>
      </c>
      <c r="O108" s="25" t="n">
        <v>67</v>
      </c>
      <c r="P108" s="24">
        <f>G108*$G$8</f>
        <v/>
      </c>
      <c r="Q108" s="25" t="n">
        <v>25</v>
      </c>
      <c r="R108" s="24">
        <f>G108*$G$4</f>
        <v/>
      </c>
      <c r="S108" s="24">
        <f>I108*$G$3</f>
        <v/>
      </c>
      <c r="T108" s="26" t="n">
        <v>0.9</v>
      </c>
      <c r="U108" s="25" t="n">
        <v>67</v>
      </c>
      <c r="V108" s="24">
        <f>U108*(1-T108)</f>
        <v/>
      </c>
      <c r="W108" s="27" t="n">
        <v>0.93</v>
      </c>
      <c r="X108" s="24">
        <f>$G$6*$G$7*W108</f>
        <v/>
      </c>
      <c r="Y108" s="22">
        <f>W108*($G$9+$G$10)</f>
        <v/>
      </c>
      <c r="Z108" s="23" t="n">
        <v>0.07000000000000001</v>
      </c>
      <c r="AA108" s="24">
        <f>G108*Z108</f>
        <v/>
      </c>
      <c r="AB108" s="26" t="n">
        <v>0.08</v>
      </c>
      <c r="AC108" s="24">
        <f>G108*AB108</f>
        <v/>
      </c>
      <c r="AD108" s="24">
        <f>AA108+AC108</f>
        <v/>
      </c>
      <c r="AE108" s="28">
        <f>AD108/G108</f>
        <v/>
      </c>
      <c r="AF108" s="29">
        <f>G108-N108-O108-P108-Q108-R108-S108-V108-X108-Y108-L108</f>
        <v/>
      </c>
      <c r="AG108" s="30">
        <f>AF108-AD108</f>
        <v/>
      </c>
      <c r="AH108" s="31">
        <f>AG108/G108</f>
        <v/>
      </c>
      <c r="AI108" s="32">
        <f>AG108/L108</f>
        <v/>
      </c>
      <c r="AJ108" s="24">
        <f>(O108+Q108+V108+X108+Y108+L108)/(1-(M108+$G$4+(1-H108)*$G$3+$G$8+Z108+AB108))</f>
        <v/>
      </c>
    </row>
    <row r="109">
      <c r="A109" s="14" t="inlineStr">
        <is>
          <t>PETITFEE - Black Pearl &amp; Gold Hydrogel Eye Patch [60ea] / Гидрогелевые патчи для глаз с черным жемчугом и золотом</t>
        </is>
      </c>
      <c r="B109" s="15" t="n"/>
      <c r="C109" s="16" t="n"/>
      <c r="D109" s="17" t="n">
        <v>1780</v>
      </c>
      <c r="E109" s="17" t="n">
        <v>489</v>
      </c>
      <c r="F109" s="17" t="n">
        <v>16</v>
      </c>
      <c r="G109" s="17">
        <f>(2.0*L109+O109+Q109+V109+X109+Y109)/(1-M109-$G$8-$G$4-(1-H109)*$G$3-Z109-AB109)</f>
        <v/>
      </c>
      <c r="H109" s="18" t="n">
        <v>0.45</v>
      </c>
      <c r="I109" s="19">
        <f>G109*(1-H109)</f>
        <v/>
      </c>
      <c r="J109" s="20" t="n">
        <v>387.67</v>
      </c>
      <c r="K109" s="21">
        <f>$G$5</f>
        <v/>
      </c>
      <c r="L109" s="22">
        <f>J109+K109</f>
        <v/>
      </c>
      <c r="M109" s="23" t="n">
        <v>0.41</v>
      </c>
      <c r="N109" s="24">
        <f>G109*M109</f>
        <v/>
      </c>
      <c r="O109" s="25" t="n">
        <v>67</v>
      </c>
      <c r="P109" s="24">
        <f>G109*$G$8</f>
        <v/>
      </c>
      <c r="Q109" s="25" t="n">
        <v>25</v>
      </c>
      <c r="R109" s="24">
        <f>G109*$G$4</f>
        <v/>
      </c>
      <c r="S109" s="24">
        <f>I109*$G$3</f>
        <v/>
      </c>
      <c r="T109" s="26" t="n">
        <v>0.9</v>
      </c>
      <c r="U109" s="25" t="n">
        <v>67</v>
      </c>
      <c r="V109" s="24">
        <f>U109*(1-T109)</f>
        <v/>
      </c>
      <c r="W109" s="27" t="n">
        <v>0.6</v>
      </c>
      <c r="X109" s="24">
        <f>$G$6*$G$7*W109</f>
        <v/>
      </c>
      <c r="Y109" s="22">
        <f>W109*($G$9+$G$10)</f>
        <v/>
      </c>
      <c r="Z109" s="23" t="n">
        <v>0.07000000000000001</v>
      </c>
      <c r="AA109" s="24">
        <f>G109*Z109</f>
        <v/>
      </c>
      <c r="AB109" s="26" t="n">
        <v>0.08</v>
      </c>
      <c r="AC109" s="24">
        <f>G109*AB109</f>
        <v/>
      </c>
      <c r="AD109" s="24">
        <f>AA109+AC109</f>
        <v/>
      </c>
      <c r="AE109" s="28">
        <f>AD109/G109</f>
        <v/>
      </c>
      <c r="AF109" s="29">
        <f>G109-N109-O109-P109-Q109-R109-S109-V109-X109-Y109-L109</f>
        <v/>
      </c>
      <c r="AG109" s="30">
        <f>AF109-AD109</f>
        <v/>
      </c>
      <c r="AH109" s="31">
        <f>AG109/G109</f>
        <v/>
      </c>
      <c r="AI109" s="32">
        <f>AG109/L109</f>
        <v/>
      </c>
      <c r="AJ109" s="24">
        <f>(O109+Q109+V109+X109+Y109+L109)/(1-(M109+$G$4+(1-H109)*$G$3+$G$8+Z109+AB109))</f>
        <v/>
      </c>
    </row>
    <row r="110">
      <c r="A110" s="14" t="inlineStr">
        <is>
          <t>PETITFEE - Agave Cooling Hydrogel Eye Patch [60ea] / Охлаждающие гидрогелевые патчи для глаз с экстрактом агавы</t>
        </is>
      </c>
      <c r="B110" s="15" t="n"/>
      <c r="C110" s="16" t="n"/>
      <c r="D110" s="17" t="n">
        <v>1730</v>
      </c>
      <c r="E110" s="17" t="n">
        <v>568</v>
      </c>
      <c r="F110" s="17" t="n">
        <v>17</v>
      </c>
      <c r="G110" s="17">
        <f>(2.0*L110+O110+Q110+V110+X110+Y110)/(1-M110-$G$8-$G$4-(1-H110)*$G$3-Z110-AB110)</f>
        <v/>
      </c>
      <c r="H110" s="18" t="n">
        <v>0.45</v>
      </c>
      <c r="I110" s="19">
        <f>G110*(1-H110)</f>
        <v/>
      </c>
      <c r="J110" s="20" t="n">
        <v>415.46</v>
      </c>
      <c r="K110" s="21">
        <f>$G$5</f>
        <v/>
      </c>
      <c r="L110" s="22">
        <f>J110+K110</f>
        <v/>
      </c>
      <c r="M110" s="23" t="n">
        <v>0.41</v>
      </c>
      <c r="N110" s="24">
        <f>G110*M110</f>
        <v/>
      </c>
      <c r="O110" s="25" t="n">
        <v>67</v>
      </c>
      <c r="P110" s="24">
        <f>G110*$G$8</f>
        <v/>
      </c>
      <c r="Q110" s="25" t="n">
        <v>25</v>
      </c>
      <c r="R110" s="24">
        <f>G110*$G$4</f>
        <v/>
      </c>
      <c r="S110" s="24">
        <f>I110*$G$3</f>
        <v/>
      </c>
      <c r="T110" s="26" t="n">
        <v>0.9</v>
      </c>
      <c r="U110" s="25" t="n">
        <v>67</v>
      </c>
      <c r="V110" s="24">
        <f>U110*(1-T110)</f>
        <v/>
      </c>
      <c r="W110" s="27" t="n">
        <v>0.6</v>
      </c>
      <c r="X110" s="24">
        <f>$G$6*$G$7*W110</f>
        <v/>
      </c>
      <c r="Y110" s="22">
        <f>W110*($G$9+$G$10)</f>
        <v/>
      </c>
      <c r="Z110" s="23" t="n">
        <v>0.07000000000000001</v>
      </c>
      <c r="AA110" s="24">
        <f>G110*Z110</f>
        <v/>
      </c>
      <c r="AB110" s="26" t="n">
        <v>0.08</v>
      </c>
      <c r="AC110" s="24">
        <f>G110*AB110</f>
        <v/>
      </c>
      <c r="AD110" s="24">
        <f>AA110+AC110</f>
        <v/>
      </c>
      <c r="AE110" s="28">
        <f>AD110/G110</f>
        <v/>
      </c>
      <c r="AF110" s="29">
        <f>G110-N110-O110-P110-Q110-R110-S110-V110-X110-Y110-L110</f>
        <v/>
      </c>
      <c r="AG110" s="30">
        <f>AF110-AD110</f>
        <v/>
      </c>
      <c r="AH110" s="31">
        <f>AG110/G110</f>
        <v/>
      </c>
      <c r="AI110" s="32">
        <f>AG110/L110</f>
        <v/>
      </c>
      <c r="AJ110" s="24">
        <f>(O110+Q110+V110+X110+Y110+L110)/(1-(M110+$G$4+(1-H110)*$G$3+$G$8+Z110+AB110))</f>
        <v/>
      </c>
    </row>
    <row r="111">
      <c r="A111" s="14" t="inlineStr">
        <is>
          <t>PETITFEE - Gold &amp; Snail Hydrogel Eye Patch [60ea] / Гидрогелевые патчи для глаз с золотом и улиткой</t>
        </is>
      </c>
      <c r="B111" s="15" t="n"/>
      <c r="C111" s="16" t="n"/>
      <c r="D111" s="17" t="n">
        <v>1740</v>
      </c>
      <c r="E111" s="17" t="n">
        <v>150</v>
      </c>
      <c r="F111" s="17" t="n">
        <v>7</v>
      </c>
      <c r="G111" s="17">
        <f>(2.0*L111+O111+Q111+V111+X111+Y111)/(1-M111-$G$8-$G$4-(1-H111)*$G$3-Z111-AB111)</f>
        <v/>
      </c>
      <c r="H111" s="18" t="n">
        <v>0.45</v>
      </c>
      <c r="I111" s="19">
        <f>G111*(1-H111)</f>
        <v/>
      </c>
      <c r="J111" s="20" t="n">
        <v>415.46</v>
      </c>
      <c r="K111" s="21">
        <f>$G$5</f>
        <v/>
      </c>
      <c r="L111" s="22">
        <f>J111+K111</f>
        <v/>
      </c>
      <c r="M111" s="23" t="n">
        <v>0.41</v>
      </c>
      <c r="N111" s="24">
        <f>G111*M111</f>
        <v/>
      </c>
      <c r="O111" s="25" t="n">
        <v>67</v>
      </c>
      <c r="P111" s="24">
        <f>G111*$G$8</f>
        <v/>
      </c>
      <c r="Q111" s="25" t="n">
        <v>25</v>
      </c>
      <c r="R111" s="24">
        <f>G111*$G$4</f>
        <v/>
      </c>
      <c r="S111" s="24">
        <f>I111*$G$3</f>
        <v/>
      </c>
      <c r="T111" s="26" t="n">
        <v>0.9</v>
      </c>
      <c r="U111" s="25" t="n">
        <v>67</v>
      </c>
      <c r="V111" s="24">
        <f>U111*(1-T111)</f>
        <v/>
      </c>
      <c r="W111" s="27" t="n">
        <v>0.6</v>
      </c>
      <c r="X111" s="24">
        <f>$G$6*$G$7*W111</f>
        <v/>
      </c>
      <c r="Y111" s="22">
        <f>W111*($G$9+$G$10)</f>
        <v/>
      </c>
      <c r="Z111" s="23" t="n">
        <v>0.07000000000000001</v>
      </c>
      <c r="AA111" s="24">
        <f>G111*Z111</f>
        <v/>
      </c>
      <c r="AB111" s="26" t="n">
        <v>0.08</v>
      </c>
      <c r="AC111" s="24">
        <f>G111*AB111</f>
        <v/>
      </c>
      <c r="AD111" s="24">
        <f>AA111+AC111</f>
        <v/>
      </c>
      <c r="AE111" s="28">
        <f>AD111/G111</f>
        <v/>
      </c>
      <c r="AF111" s="29">
        <f>G111-N111-O111-P111-Q111-R111-S111-V111-X111-Y111-L111</f>
        <v/>
      </c>
      <c r="AG111" s="30">
        <f>AF111-AD111</f>
        <v/>
      </c>
      <c r="AH111" s="31">
        <f>AG111/G111</f>
        <v/>
      </c>
      <c r="AI111" s="32">
        <f>AG111/L111</f>
        <v/>
      </c>
      <c r="AJ111" s="24">
        <f>(O111+Q111+V111+X111+Y111+L111)/(1-(M111+$G$4+(1-H111)*$G$3+$G$8+Z111+AB111))</f>
        <v/>
      </c>
    </row>
    <row r="112">
      <c r="A112" s="14" t="inlineStr">
        <is>
          <t>PETITFEE - Gold Hydrogel Eye Patch [60ea] / гидрогелевые патчи для глаз с золотом</t>
        </is>
      </c>
      <c r="B112" s="15" t="n"/>
      <c r="C112" s="16" t="n"/>
      <c r="D112" s="17" t="n">
        <v>1930</v>
      </c>
      <c r="E112" s="17" t="n">
        <v>128</v>
      </c>
      <c r="F112" s="17" t="n">
        <v>2.2</v>
      </c>
      <c r="G112" s="17">
        <f>(2.0*L112+O112+Q112+V112+X112+Y112)/(1-M112-$G$8-$G$4-(1-H112)*$G$3-Z112-AB112)</f>
        <v/>
      </c>
      <c r="H112" s="18" t="n">
        <v>0.45</v>
      </c>
      <c r="I112" s="19">
        <f>G112*(1-H112)</f>
        <v/>
      </c>
      <c r="J112" s="20" t="n">
        <v>415.46</v>
      </c>
      <c r="K112" s="21">
        <f>$G$5</f>
        <v/>
      </c>
      <c r="L112" s="22">
        <f>J112+K112</f>
        <v/>
      </c>
      <c r="M112" s="23" t="n">
        <v>0.41</v>
      </c>
      <c r="N112" s="24">
        <f>G112*M112</f>
        <v/>
      </c>
      <c r="O112" s="25" t="n">
        <v>67</v>
      </c>
      <c r="P112" s="24">
        <f>G112*$G$8</f>
        <v/>
      </c>
      <c r="Q112" s="25" t="n">
        <v>25</v>
      </c>
      <c r="R112" s="24">
        <f>G112*$G$4</f>
        <v/>
      </c>
      <c r="S112" s="24">
        <f>I112*$G$3</f>
        <v/>
      </c>
      <c r="T112" s="26" t="n">
        <v>0.9</v>
      </c>
      <c r="U112" s="25" t="n">
        <v>67</v>
      </c>
      <c r="V112" s="24">
        <f>U112*(1-T112)</f>
        <v/>
      </c>
      <c r="W112" s="27" t="n">
        <v>0.6</v>
      </c>
      <c r="X112" s="24">
        <f>$G$6*$G$7*W112</f>
        <v/>
      </c>
      <c r="Y112" s="22">
        <f>W112*($G$9+$G$10)</f>
        <v/>
      </c>
      <c r="Z112" s="23" t="n">
        <v>0.07000000000000001</v>
      </c>
      <c r="AA112" s="24">
        <f>G112*Z112</f>
        <v/>
      </c>
      <c r="AB112" s="26" t="n">
        <v>0.08</v>
      </c>
      <c r="AC112" s="24">
        <f>G112*AB112</f>
        <v/>
      </c>
      <c r="AD112" s="24">
        <f>AA112+AC112</f>
        <v/>
      </c>
      <c r="AE112" s="28">
        <f>AD112/G112</f>
        <v/>
      </c>
      <c r="AF112" s="29">
        <f>G112-N112-O112-P112-Q112-R112-S112-V112-X112-Y112-L112</f>
        <v/>
      </c>
      <c r="AG112" s="30">
        <f>AF112-AD112</f>
        <v/>
      </c>
      <c r="AH112" s="31">
        <f>AG112/G112</f>
        <v/>
      </c>
      <c r="AI112" s="32">
        <f>AG112/L112</f>
        <v/>
      </c>
      <c r="AJ112" s="24">
        <f>(O112+Q112+V112+X112+Y112+L112)/(1-(M112+$G$4+(1-H112)*$G$3+$G$8+Z112+AB112))</f>
        <v/>
      </c>
    </row>
    <row r="113">
      <c r="A113" s="33" t="inlineStr">
        <is>
          <t>PETITFEE - Black Pearl &amp; Gold Hydrogel Eye Patch [1 pairs]/ Гидрогелевые патчи для глаз с черным жемчугом и золотом 1 пара</t>
        </is>
      </c>
      <c r="B113" s="34" t="n"/>
      <c r="C113" s="34" t="n"/>
      <c r="D113" s="35" t="n"/>
      <c r="E113" s="35" t="n"/>
      <c r="F113" s="35" t="n"/>
      <c r="G113" s="35" t="n"/>
      <c r="H113" s="36" t="n"/>
      <c r="I113" s="37" t="n"/>
      <c r="J113" s="38" t="n"/>
      <c r="K113" s="38" t="n"/>
      <c r="L113" s="39" t="n"/>
      <c r="M113" s="40" t="n"/>
      <c r="N113" s="35" t="n"/>
      <c r="O113" s="35" t="n"/>
      <c r="P113" s="35" t="n"/>
      <c r="Q113" s="35" t="n"/>
      <c r="R113" s="35" t="n"/>
      <c r="S113" s="35" t="n"/>
      <c r="T113" s="41" t="n"/>
      <c r="U113" s="35" t="n"/>
      <c r="V113" s="35" t="n"/>
      <c r="W113" s="42" t="n"/>
      <c r="X113" s="35" t="n"/>
      <c r="Y113" s="39" t="n"/>
      <c r="Z113" s="40" t="n"/>
      <c r="AA113" s="35" t="n"/>
      <c r="AB113" s="41" t="n"/>
      <c r="AC113" s="35" t="n"/>
      <c r="AD113" s="35" t="n"/>
      <c r="AE113" s="43" t="n"/>
      <c r="AF113" s="44" t="n"/>
      <c r="AG113" s="35" t="n"/>
      <c r="AH113" s="41" t="n"/>
      <c r="AI113" s="41" t="n"/>
      <c r="AJ113" s="35" t="n"/>
    </row>
    <row r="114">
      <c r="A114" s="33" t="inlineStr">
        <is>
          <t>PETITFEE - Gold Hydrogel Eye Patch [1 Pairs] / гидрогелевые патчи для глаз с золотом 1 пара</t>
        </is>
      </c>
      <c r="B114" s="34" t="n"/>
      <c r="C114" s="34" t="n"/>
      <c r="D114" s="35" t="n"/>
      <c r="E114" s="35" t="n"/>
      <c r="F114" s="35" t="n"/>
      <c r="G114" s="35" t="n"/>
      <c r="H114" s="36" t="n"/>
      <c r="I114" s="37" t="n"/>
      <c r="J114" s="38" t="n"/>
      <c r="K114" s="38" t="n"/>
      <c r="L114" s="39" t="n"/>
      <c r="M114" s="40" t="n"/>
      <c r="N114" s="35" t="n"/>
      <c r="O114" s="35" t="n"/>
      <c r="P114" s="35" t="n"/>
      <c r="Q114" s="35" t="n"/>
      <c r="R114" s="35" t="n"/>
      <c r="S114" s="35" t="n"/>
      <c r="T114" s="41" t="n"/>
      <c r="U114" s="35" t="n"/>
      <c r="V114" s="35" t="n"/>
      <c r="W114" s="42" t="n"/>
      <c r="X114" s="35" t="n"/>
      <c r="Y114" s="39" t="n"/>
      <c r="Z114" s="40" t="n"/>
      <c r="AA114" s="35" t="n"/>
      <c r="AB114" s="41" t="n"/>
      <c r="AC114" s="35" t="n"/>
      <c r="AD114" s="35" t="n"/>
      <c r="AE114" s="43" t="n"/>
      <c r="AF114" s="44" t="n"/>
      <c r="AG114" s="35" t="n"/>
      <c r="AH114" s="41" t="n"/>
      <c r="AI114" s="41" t="n"/>
      <c r="AJ114" s="35" t="n"/>
    </row>
    <row r="115">
      <c r="A115" s="12" t="inlineStr">
        <is>
          <t>Косметика/PETITFEE/PETITFEE-FACEMASK</t>
        </is>
      </c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  <c r="AJ115" s="13" t="n"/>
    </row>
    <row r="116">
      <c r="A116" s="14" t="inlineStr">
        <is>
          <t>PETITFEE - Agave Cooling Hydrogel Face Mask [5pcs] / Охлаждающая гидрогелевая маска для лица с экстрактом агавы</t>
        </is>
      </c>
      <c r="B116" s="15" t="n"/>
      <c r="C116" s="16" t="n"/>
      <c r="D116" s="17" t="n">
        <v>2480</v>
      </c>
      <c r="E116" s="17" t="n">
        <v>293</v>
      </c>
      <c r="F116" s="17" t="n">
        <v>21</v>
      </c>
      <c r="G116" s="17">
        <f>(2.0*L116+O116+Q116+V116+X116+Y116)/(1-M116-$G$8-$G$4-(1-H116)*$G$3-Z116-AB116)</f>
        <v/>
      </c>
      <c r="H116" s="18" t="n">
        <v>0.45</v>
      </c>
      <c r="I116" s="19">
        <f>G116*(1-H116)</f>
        <v/>
      </c>
      <c r="J116" s="20" t="n">
        <v>486.41</v>
      </c>
      <c r="K116" s="21">
        <f>$G$5</f>
        <v/>
      </c>
      <c r="L116" s="22">
        <f>J116+K116</f>
        <v/>
      </c>
      <c r="M116" s="23" t="n">
        <v>0.41</v>
      </c>
      <c r="N116" s="24">
        <f>G116*M116</f>
        <v/>
      </c>
      <c r="O116" s="25" t="n">
        <v>72</v>
      </c>
      <c r="P116" s="24">
        <f>G116*$G$8</f>
        <v/>
      </c>
      <c r="Q116" s="25" t="n">
        <v>25</v>
      </c>
      <c r="R116" s="24">
        <f>G116*$G$4</f>
        <v/>
      </c>
      <c r="S116" s="24">
        <f>I116*$G$3</f>
        <v/>
      </c>
      <c r="T116" s="26" t="n">
        <v>0.9</v>
      </c>
      <c r="U116" s="25" t="n">
        <v>72</v>
      </c>
      <c r="V116" s="24">
        <f>U116*(1-T116)</f>
        <v/>
      </c>
      <c r="W116" s="27" t="n">
        <v>1.1</v>
      </c>
      <c r="X116" s="24">
        <f>$G$6*$G$7*W116</f>
        <v/>
      </c>
      <c r="Y116" s="22">
        <f>W116*($G$9+$G$10)</f>
        <v/>
      </c>
      <c r="Z116" s="23" t="n">
        <v>0.07000000000000001</v>
      </c>
      <c r="AA116" s="24">
        <f>G116*Z116</f>
        <v/>
      </c>
      <c r="AB116" s="26" t="n">
        <v>0.08</v>
      </c>
      <c r="AC116" s="24">
        <f>G116*AB116</f>
        <v/>
      </c>
      <c r="AD116" s="24">
        <f>AA116+AC116</f>
        <v/>
      </c>
      <c r="AE116" s="28">
        <f>AD116/G116</f>
        <v/>
      </c>
      <c r="AF116" s="29">
        <f>G116-N116-O116-P116-Q116-R116-S116-V116-X116-Y116-L116</f>
        <v/>
      </c>
      <c r="AG116" s="30">
        <f>AF116-AD116</f>
        <v/>
      </c>
      <c r="AH116" s="31">
        <f>AG116/G116</f>
        <v/>
      </c>
      <c r="AI116" s="32">
        <f>AG116/L116</f>
        <v/>
      </c>
      <c r="AJ116" s="24">
        <f>(O116+Q116+V116+X116+Y116+L116)/(1-(M116+$G$4+(1-H116)*$G$3+$G$8+Z116+AB116))</f>
        <v/>
      </c>
    </row>
    <row r="117">
      <c r="A117" s="14" t="inlineStr">
        <is>
          <t>PETITFEE - Gold Hydrogel Mask Pack [5pcs] / Гидрогелевая маска для лица с золотом</t>
        </is>
      </c>
      <c r="B117" s="15" t="n"/>
      <c r="C117" s="16" t="n"/>
      <c r="D117" s="17" t="n">
        <v>2570</v>
      </c>
      <c r="E117" s="17" t="n">
        <v>121</v>
      </c>
      <c r="F117" s="17" t="n">
        <v>12</v>
      </c>
      <c r="G117" s="17">
        <f>(2.0*L117+O117+Q117+V117+X117+Y117)/(1-M117-$G$8-$G$4-(1-H117)*$G$3-Z117-AB117)</f>
        <v/>
      </c>
      <c r="H117" s="18" t="n">
        <v>0.45</v>
      </c>
      <c r="I117" s="19">
        <f>G117*(1-H117)</f>
        <v/>
      </c>
      <c r="J117" s="20" t="n">
        <v>507.16</v>
      </c>
      <c r="K117" s="21">
        <f>$G$5</f>
        <v/>
      </c>
      <c r="L117" s="22">
        <f>J117+K117</f>
        <v/>
      </c>
      <c r="M117" s="23" t="n">
        <v>0.41</v>
      </c>
      <c r="N117" s="24">
        <f>G117*M117</f>
        <v/>
      </c>
      <c r="O117" s="25" t="n">
        <v>72</v>
      </c>
      <c r="P117" s="24">
        <f>G117*$G$8</f>
        <v/>
      </c>
      <c r="Q117" s="25" t="n">
        <v>25</v>
      </c>
      <c r="R117" s="24">
        <f>G117*$G$4</f>
        <v/>
      </c>
      <c r="S117" s="24">
        <f>I117*$G$3</f>
        <v/>
      </c>
      <c r="T117" s="26" t="n">
        <v>0.9</v>
      </c>
      <c r="U117" s="25" t="n">
        <v>72</v>
      </c>
      <c r="V117" s="24">
        <f>U117*(1-T117)</f>
        <v/>
      </c>
      <c r="W117" s="27" t="n">
        <v>1.1</v>
      </c>
      <c r="X117" s="24">
        <f>$G$6*$G$7*W117</f>
        <v/>
      </c>
      <c r="Y117" s="22">
        <f>W117*($G$9+$G$10)</f>
        <v/>
      </c>
      <c r="Z117" s="23" t="n">
        <v>0.07000000000000001</v>
      </c>
      <c r="AA117" s="24">
        <f>G117*Z117</f>
        <v/>
      </c>
      <c r="AB117" s="26" t="n">
        <v>0.08</v>
      </c>
      <c r="AC117" s="24">
        <f>G117*AB117</f>
        <v/>
      </c>
      <c r="AD117" s="24">
        <f>AA117+AC117</f>
        <v/>
      </c>
      <c r="AE117" s="28">
        <f>AD117/G117</f>
        <v/>
      </c>
      <c r="AF117" s="29">
        <f>G117-N117-O117-P117-Q117-R117-S117-V117-X117-Y117-L117</f>
        <v/>
      </c>
      <c r="AG117" s="30">
        <f>AF117-AD117</f>
        <v/>
      </c>
      <c r="AH117" s="31">
        <f>AG117/G117</f>
        <v/>
      </c>
      <c r="AI117" s="32">
        <f>AG117/L117</f>
        <v/>
      </c>
      <c r="AJ117" s="24">
        <f>(O117+Q117+V117+X117+Y117+L117)/(1-(M117+$G$4+(1-H117)*$G$3+$G$8+Z117+AB117))</f>
        <v/>
      </c>
    </row>
    <row r="118">
      <c r="A118" s="14" t="inlineStr">
        <is>
          <t>PETITFEE - Cacao Energizing Hydrogel Mask Pack [5pcs] / Тонизирующая гидрогелевая маска для лица с экстрактом какао</t>
        </is>
      </c>
      <c r="B118" s="15" t="n"/>
      <c r="C118" s="16" t="n"/>
      <c r="D118" s="17" t="n">
        <v>2680</v>
      </c>
      <c r="E118" s="17" t="n">
        <v>38</v>
      </c>
      <c r="F118" s="17" t="n">
        <v>9.699999999999999</v>
      </c>
      <c r="G118" s="17">
        <f>(2.0*L118+O118+Q118+V118+X118+Y118)/(1-M118-$G$8-$G$4-(1-H118)*$G$3-Z118-AB118)</f>
        <v/>
      </c>
      <c r="H118" s="18" t="n">
        <v>0.45</v>
      </c>
      <c r="I118" s="19">
        <f>G118*(1-H118)</f>
        <v/>
      </c>
      <c r="J118" s="20" t="n">
        <v>496.86</v>
      </c>
      <c r="K118" s="21">
        <f>$G$5</f>
        <v/>
      </c>
      <c r="L118" s="22">
        <f>J118+K118</f>
        <v/>
      </c>
      <c r="M118" s="23" t="n">
        <v>0.41</v>
      </c>
      <c r="N118" s="24">
        <f>G118*M118</f>
        <v/>
      </c>
      <c r="O118" s="25" t="n">
        <v>72</v>
      </c>
      <c r="P118" s="24">
        <f>G118*$G$8</f>
        <v/>
      </c>
      <c r="Q118" s="25" t="n">
        <v>25</v>
      </c>
      <c r="R118" s="24">
        <f>G118*$G$4</f>
        <v/>
      </c>
      <c r="S118" s="24">
        <f>I118*$G$3</f>
        <v/>
      </c>
      <c r="T118" s="26" t="n">
        <v>0.9</v>
      </c>
      <c r="U118" s="25" t="n">
        <v>72</v>
      </c>
      <c r="V118" s="24">
        <f>U118*(1-T118)</f>
        <v/>
      </c>
      <c r="W118" s="27" t="n">
        <v>1.1</v>
      </c>
      <c r="X118" s="24">
        <f>$G$6*$G$7*W118</f>
        <v/>
      </c>
      <c r="Y118" s="22">
        <f>W118*($G$9+$G$10)</f>
        <v/>
      </c>
      <c r="Z118" s="23" t="n">
        <v>0.07000000000000001</v>
      </c>
      <c r="AA118" s="24">
        <f>G118*Z118</f>
        <v/>
      </c>
      <c r="AB118" s="26" t="n">
        <v>0.08</v>
      </c>
      <c r="AC118" s="24">
        <f>G118*AB118</f>
        <v/>
      </c>
      <c r="AD118" s="24">
        <f>AA118+AC118</f>
        <v/>
      </c>
      <c r="AE118" s="28">
        <f>AD118/G118</f>
        <v/>
      </c>
      <c r="AF118" s="29">
        <f>G118-N118-O118-P118-Q118-R118-S118-V118-X118-Y118-L118</f>
        <v/>
      </c>
      <c r="AG118" s="30">
        <f>AF118-AD118</f>
        <v/>
      </c>
      <c r="AH118" s="31">
        <f>AG118/G118</f>
        <v/>
      </c>
      <c r="AI118" s="32">
        <f>AG118/L118</f>
        <v/>
      </c>
      <c r="AJ118" s="24">
        <f>(O118+Q118+V118+X118+Y118+L118)/(1-(M118+$G$4+(1-H118)*$G$3+$G$8+Z118+AB118))</f>
        <v/>
      </c>
    </row>
    <row r="119">
      <c r="A119" s="14" t="inlineStr">
        <is>
          <t>PETITFEE - Artichoke Soothing Hydrogel Face Mask [5pcs] / Смягчающая гидрогелевая маска для лица с экстрактом артишока</t>
        </is>
      </c>
      <c r="B119" s="15" t="n"/>
      <c r="C119" s="16" t="n"/>
      <c r="D119" s="17" t="n">
        <v>2420</v>
      </c>
      <c r="E119" s="17" t="n">
        <v>409</v>
      </c>
      <c r="F119" s="17" t="n">
        <v>23</v>
      </c>
      <c r="G119" s="17">
        <f>(2.0*L119+O119+Q119+V119+X119+Y119)/(1-M119-$G$8-$G$4-(1-H119)*$G$3-Z119-AB119)</f>
        <v/>
      </c>
      <c r="H119" s="18" t="n">
        <v>0.45</v>
      </c>
      <c r="I119" s="19">
        <f>G119*(1-H119)</f>
        <v/>
      </c>
      <c r="J119" s="20" t="n">
        <v>498.54</v>
      </c>
      <c r="K119" s="21">
        <f>$G$5</f>
        <v/>
      </c>
      <c r="L119" s="22">
        <f>J119+K119</f>
        <v/>
      </c>
      <c r="M119" s="23" t="n">
        <v>0.41</v>
      </c>
      <c r="N119" s="24">
        <f>G119*M119</f>
        <v/>
      </c>
      <c r="O119" s="25" t="n">
        <v>72</v>
      </c>
      <c r="P119" s="24">
        <f>G119*$G$8</f>
        <v/>
      </c>
      <c r="Q119" s="25" t="n">
        <v>25</v>
      </c>
      <c r="R119" s="24">
        <f>G119*$G$4</f>
        <v/>
      </c>
      <c r="S119" s="24">
        <f>I119*$G$3</f>
        <v/>
      </c>
      <c r="T119" s="26" t="n">
        <v>0.9</v>
      </c>
      <c r="U119" s="25" t="n">
        <v>72</v>
      </c>
      <c r="V119" s="24">
        <f>U119*(1-T119)</f>
        <v/>
      </c>
      <c r="W119" s="27" t="n">
        <v>1.1</v>
      </c>
      <c r="X119" s="24">
        <f>$G$6*$G$7*W119</f>
        <v/>
      </c>
      <c r="Y119" s="22">
        <f>W119*($G$9+$G$10)</f>
        <v/>
      </c>
      <c r="Z119" s="23" t="n">
        <v>0.07000000000000001</v>
      </c>
      <c r="AA119" s="24">
        <f>G119*Z119</f>
        <v/>
      </c>
      <c r="AB119" s="26" t="n">
        <v>0.08</v>
      </c>
      <c r="AC119" s="24">
        <f>G119*AB119</f>
        <v/>
      </c>
      <c r="AD119" s="24">
        <f>AA119+AC119</f>
        <v/>
      </c>
      <c r="AE119" s="28">
        <f>AD119/G119</f>
        <v/>
      </c>
      <c r="AF119" s="29">
        <f>G119-N119-O119-P119-Q119-R119-S119-V119-X119-Y119-L119</f>
        <v/>
      </c>
      <c r="AG119" s="30">
        <f>AF119-AD119</f>
        <v/>
      </c>
      <c r="AH119" s="31">
        <f>AG119/G119</f>
        <v/>
      </c>
      <c r="AI119" s="32">
        <f>AG119/L119</f>
        <v/>
      </c>
      <c r="AJ119" s="24">
        <f>(O119+Q119+V119+X119+Y119+L119)/(1-(M119+$G$4+(1-H119)*$G$3+$G$8+Z119+AB119))</f>
        <v/>
      </c>
    </row>
    <row r="120">
      <c r="A120" s="14" t="inlineStr">
        <is>
          <t>PETITFEE - Gold &amp; Snail Hydrogel Mask Pack [5pcs] / Гидрогелевая маска для лица с золотом и экстрактом улитки</t>
        </is>
      </c>
      <c r="B120" s="15" t="n"/>
      <c r="C120" s="16" t="n"/>
      <c r="D120" s="17" t="n">
        <v>2280</v>
      </c>
      <c r="E120" s="17" t="n">
        <v>19</v>
      </c>
      <c r="F120" s="17" t="n">
        <v>8</v>
      </c>
      <c r="G120" s="17">
        <f>(2.0*L120+O120+Q120+V120+X120+Y120)/(1-M120-$G$8-$G$4-(1-H120)*$G$3-Z120-AB120)</f>
        <v/>
      </c>
      <c r="H120" s="18" t="n">
        <v>0.45</v>
      </c>
      <c r="I120" s="19">
        <f>G120*(1-H120)</f>
        <v/>
      </c>
      <c r="J120" s="20" t="n">
        <v>478.17</v>
      </c>
      <c r="K120" s="21">
        <f>$G$5</f>
        <v/>
      </c>
      <c r="L120" s="22">
        <f>J120+K120</f>
        <v/>
      </c>
      <c r="M120" s="23" t="n">
        <v>0.41</v>
      </c>
      <c r="N120" s="24">
        <f>G120*M120</f>
        <v/>
      </c>
      <c r="O120" s="25" t="n">
        <v>72</v>
      </c>
      <c r="P120" s="24">
        <f>G120*$G$8</f>
        <v/>
      </c>
      <c r="Q120" s="25" t="n">
        <v>25</v>
      </c>
      <c r="R120" s="24">
        <f>G120*$G$4</f>
        <v/>
      </c>
      <c r="S120" s="24">
        <f>I120*$G$3</f>
        <v/>
      </c>
      <c r="T120" s="26" t="n">
        <v>0.9</v>
      </c>
      <c r="U120" s="25" t="n">
        <v>72</v>
      </c>
      <c r="V120" s="24">
        <f>U120*(1-T120)</f>
        <v/>
      </c>
      <c r="W120" s="27" t="n">
        <v>1.1</v>
      </c>
      <c r="X120" s="24">
        <f>$G$6*$G$7*W120</f>
        <v/>
      </c>
      <c r="Y120" s="22">
        <f>W120*($G$9+$G$10)</f>
        <v/>
      </c>
      <c r="Z120" s="23" t="n">
        <v>0.07000000000000001</v>
      </c>
      <c r="AA120" s="24">
        <f>G120*Z120</f>
        <v/>
      </c>
      <c r="AB120" s="26" t="n">
        <v>0.08</v>
      </c>
      <c r="AC120" s="24">
        <f>G120*AB120</f>
        <v/>
      </c>
      <c r="AD120" s="24">
        <f>AA120+AC120</f>
        <v/>
      </c>
      <c r="AE120" s="28">
        <f>AD120/G120</f>
        <v/>
      </c>
      <c r="AF120" s="29">
        <f>G120-N120-O120-P120-Q120-R120-S120-V120-X120-Y120-L120</f>
        <v/>
      </c>
      <c r="AG120" s="30">
        <f>AF120-AD120</f>
        <v/>
      </c>
      <c r="AH120" s="31">
        <f>AG120/G120</f>
        <v/>
      </c>
      <c r="AI120" s="32">
        <f>AG120/L120</f>
        <v/>
      </c>
      <c r="AJ120" s="24">
        <f>(O120+Q120+V120+X120+Y120+L120)/(1-(M120+$G$4+(1-H120)*$G$3+$G$8+Z120+AB120))</f>
        <v/>
      </c>
    </row>
    <row r="121">
      <c r="A121" s="14" t="inlineStr">
        <is>
          <t>PETITFEE - Black Pearl &amp; Gold Hydrogel Mask Pack [5pcs] / Гидрогелевая маска для лица с черным жемчугом и золотом</t>
        </is>
      </c>
      <c r="B121" s="15" t="n"/>
      <c r="C121" s="16" t="n"/>
      <c r="D121" s="17" t="n">
        <v>2225</v>
      </c>
      <c r="E121" s="17" t="n">
        <v>156</v>
      </c>
      <c r="F121" s="17" t="n">
        <v>23</v>
      </c>
      <c r="G121" s="17">
        <f>(2.0*L121+O121+Q121+V121+X121+Y121)/(1-M121-$G$8-$G$4-(1-H121)*$G$3-Z121-AB121)</f>
        <v/>
      </c>
      <c r="H121" s="18" t="n">
        <v>0.45</v>
      </c>
      <c r="I121" s="19">
        <f>G121*(1-H121)</f>
        <v/>
      </c>
      <c r="J121" s="20" t="n">
        <v>478.05</v>
      </c>
      <c r="K121" s="21">
        <f>$G$5</f>
        <v/>
      </c>
      <c r="L121" s="22">
        <f>J121+K121</f>
        <v/>
      </c>
      <c r="M121" s="23" t="n">
        <v>0.41</v>
      </c>
      <c r="N121" s="24">
        <f>G121*M121</f>
        <v/>
      </c>
      <c r="O121" s="25" t="n">
        <v>72</v>
      </c>
      <c r="P121" s="24">
        <f>G121*$G$8</f>
        <v/>
      </c>
      <c r="Q121" s="25" t="n">
        <v>25</v>
      </c>
      <c r="R121" s="24">
        <f>G121*$G$4</f>
        <v/>
      </c>
      <c r="S121" s="24">
        <f>I121*$G$3</f>
        <v/>
      </c>
      <c r="T121" s="26" t="n">
        <v>0.9</v>
      </c>
      <c r="U121" s="25" t="n">
        <v>72</v>
      </c>
      <c r="V121" s="24">
        <f>U121*(1-T121)</f>
        <v/>
      </c>
      <c r="W121" s="27" t="n">
        <v>1.1</v>
      </c>
      <c r="X121" s="24">
        <f>$G$6*$G$7*W121</f>
        <v/>
      </c>
      <c r="Y121" s="22">
        <f>W121*($G$9+$G$10)</f>
        <v/>
      </c>
      <c r="Z121" s="23" t="n">
        <v>0.07000000000000001</v>
      </c>
      <c r="AA121" s="24">
        <f>G121*Z121</f>
        <v/>
      </c>
      <c r="AB121" s="26" t="n">
        <v>0.08</v>
      </c>
      <c r="AC121" s="24">
        <f>G121*AB121</f>
        <v/>
      </c>
      <c r="AD121" s="24">
        <f>AA121+AC121</f>
        <v/>
      </c>
      <c r="AE121" s="28">
        <f>AD121/G121</f>
        <v/>
      </c>
      <c r="AF121" s="29">
        <f>G121-N121-O121-P121-Q121-R121-S121-V121-X121-Y121-L121</f>
        <v/>
      </c>
      <c r="AG121" s="30">
        <f>AF121-AD121</f>
        <v/>
      </c>
      <c r="AH121" s="31">
        <f>AG121/G121</f>
        <v/>
      </c>
      <c r="AI121" s="32">
        <f>AG121/L121</f>
        <v/>
      </c>
      <c r="AJ121" s="24">
        <f>(O121+Q121+V121+X121+Y121+L121)/(1-(M121+$G$4+(1-H121)*$G$3+$G$8+Z121+AB121))</f>
        <v/>
      </c>
    </row>
    <row r="122">
      <c r="A122" s="12" t="inlineStr">
        <is>
          <t>Косметика/ROUND LAB</t>
        </is>
      </c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  <c r="AJ122" s="13" t="n"/>
    </row>
    <row r="123">
      <c r="A123" s="14" t="inlineStr">
        <is>
          <t>ROUND LAB 1025 DOKDO CLEANSER_150ml</t>
        </is>
      </c>
      <c r="B123" s="15" t="n"/>
      <c r="C123" s="16" t="n"/>
      <c r="D123" s="17" t="n">
        <v>2335</v>
      </c>
      <c r="E123" s="17" t="n">
        <v>4000</v>
      </c>
      <c r="F123" s="17" t="n">
        <v>3</v>
      </c>
      <c r="G123" s="17">
        <f>(2.0*L123+O123+Q123+V123+X123+Y123)/(1-M123-$G$8-$G$4-(1-H123)*$G$3-Z123-AB123)</f>
        <v/>
      </c>
      <c r="H123" s="18" t="n">
        <v>0.45</v>
      </c>
      <c r="I123" s="19">
        <f>G123*(1-H123)</f>
        <v/>
      </c>
      <c r="J123" s="20" t="n">
        <v>463.19</v>
      </c>
      <c r="K123" s="21">
        <f>$G$5</f>
        <v/>
      </c>
      <c r="L123" s="22">
        <f>J123+K123</f>
        <v/>
      </c>
      <c r="M123" s="23" t="n">
        <v>0.41</v>
      </c>
      <c r="N123" s="24">
        <f>G123*M123</f>
        <v/>
      </c>
      <c r="O123" s="25" t="n">
        <v>74</v>
      </c>
      <c r="P123" s="24">
        <f>G123*$G$8</f>
        <v/>
      </c>
      <c r="Q123" s="25" t="n">
        <v>25</v>
      </c>
      <c r="R123" s="24">
        <f>G123*$G$4</f>
        <v/>
      </c>
      <c r="S123" s="24">
        <f>I123*$G$3</f>
        <v/>
      </c>
      <c r="T123" s="26" t="n">
        <v>0.9</v>
      </c>
      <c r="U123" s="25" t="n">
        <v>74</v>
      </c>
      <c r="V123" s="24">
        <f>U123*(1-T123)</f>
        <v/>
      </c>
      <c r="W123" s="27" t="n">
        <v>1.28</v>
      </c>
      <c r="X123" s="24">
        <f>$G$6*$G$7*W123</f>
        <v/>
      </c>
      <c r="Y123" s="22">
        <f>W123*($G$9+$G$10)</f>
        <v/>
      </c>
      <c r="Z123" s="23" t="n">
        <v>0.07000000000000001</v>
      </c>
      <c r="AA123" s="24">
        <f>G123*Z123</f>
        <v/>
      </c>
      <c r="AB123" s="26" t="n">
        <v>0.08</v>
      </c>
      <c r="AC123" s="24">
        <f>G123*AB123</f>
        <v/>
      </c>
      <c r="AD123" s="24">
        <f>AA123+AC123</f>
        <v/>
      </c>
      <c r="AE123" s="28">
        <f>AD123/G123</f>
        <v/>
      </c>
      <c r="AF123" s="29">
        <f>G123-N123-O123-P123-Q123-R123-S123-V123-X123-Y123-L123</f>
        <v/>
      </c>
      <c r="AG123" s="30">
        <f>AF123-AD123</f>
        <v/>
      </c>
      <c r="AH123" s="31">
        <f>AG123/G123</f>
        <v/>
      </c>
      <c r="AI123" s="32">
        <f>AG123/L123</f>
        <v/>
      </c>
      <c r="AJ123" s="24">
        <f>(O123+Q123+V123+X123+Y123+L123)/(1-(M123+$G$4+(1-H123)*$G$3+$G$8+Z123+AB123))</f>
        <v/>
      </c>
    </row>
    <row r="124">
      <c r="A124" s="33" t="inlineStr">
        <is>
          <t>ROUND LAB BIRCH JUICE MOISTURIZING CREAM_80ml -Увлажняющий крем с березовым соком</t>
        </is>
      </c>
      <c r="B124" s="34" t="n"/>
      <c r="C124" s="34" t="n"/>
      <c r="D124" s="35" t="n"/>
      <c r="E124" s="35" t="n"/>
      <c r="F124" s="35" t="n"/>
      <c r="G124" s="35" t="n"/>
      <c r="H124" s="36" t="n"/>
      <c r="I124" s="37" t="n"/>
      <c r="J124" s="38" t="n"/>
      <c r="K124" s="38" t="n"/>
      <c r="L124" s="39" t="n"/>
      <c r="M124" s="40" t="n"/>
      <c r="N124" s="35" t="n"/>
      <c r="O124" s="35" t="n"/>
      <c r="P124" s="35" t="n"/>
      <c r="Q124" s="35" t="n"/>
      <c r="R124" s="35" t="n"/>
      <c r="S124" s="35" t="n"/>
      <c r="T124" s="41" t="n"/>
      <c r="U124" s="35" t="n"/>
      <c r="V124" s="35" t="n"/>
      <c r="W124" s="42" t="n"/>
      <c r="X124" s="35" t="n"/>
      <c r="Y124" s="39" t="n"/>
      <c r="Z124" s="40" t="n"/>
      <c r="AA124" s="35" t="n"/>
      <c r="AB124" s="41" t="n"/>
      <c r="AC124" s="35" t="n"/>
      <c r="AD124" s="35" t="n"/>
      <c r="AE124" s="43" t="n"/>
      <c r="AF124" s="44" t="n"/>
      <c r="AG124" s="35" t="n"/>
      <c r="AH124" s="41" t="n"/>
      <c r="AI124" s="41" t="n"/>
      <c r="AJ124" s="35" t="n"/>
    </row>
    <row r="125">
      <c r="A125" s="14" t="inlineStr">
        <is>
          <t>ROUND LAB MUGWORT CALMING CLEANSER_150ml - Очищающая пенка для умывания лица от прыщей и акне</t>
        </is>
      </c>
      <c r="B125" s="15" t="n"/>
      <c r="C125" s="16" t="n"/>
      <c r="D125" s="17" t="n"/>
      <c r="E125" s="17" t="n"/>
      <c r="F125" s="17" t="n"/>
      <c r="G125" s="17">
        <f>(2.0*L125+O125+Q125+V125+X125+Y125)/(1-M125-$G$8-$G$4-(1-H125)*$G$3-Z125-AB125)</f>
        <v/>
      </c>
      <c r="H125" s="18" t="n">
        <v>0.45</v>
      </c>
      <c r="I125" s="19">
        <f>G125*(1-H125)</f>
        <v/>
      </c>
      <c r="J125" s="20" t="n">
        <v>512.3200000000001</v>
      </c>
      <c r="K125" s="21">
        <f>$G$5</f>
        <v/>
      </c>
      <c r="L125" s="22">
        <f>J125+K125</f>
        <v/>
      </c>
      <c r="M125" s="23" t="n">
        <v>0.41</v>
      </c>
      <c r="N125" s="24">
        <f>G125*M125</f>
        <v/>
      </c>
      <c r="O125" s="25" t="n">
        <v>67</v>
      </c>
      <c r="P125" s="24">
        <f>G125*$G$8</f>
        <v/>
      </c>
      <c r="Q125" s="25" t="n">
        <v>25</v>
      </c>
      <c r="R125" s="24">
        <f>G125*$G$4</f>
        <v/>
      </c>
      <c r="S125" s="24">
        <f>I125*$G$3</f>
        <v/>
      </c>
      <c r="T125" s="26" t="n">
        <v>0.9</v>
      </c>
      <c r="U125" s="25" t="n">
        <v>67</v>
      </c>
      <c r="V125" s="24">
        <f>U125*(1-T125)</f>
        <v/>
      </c>
      <c r="W125" s="27" t="n">
        <v>0.8</v>
      </c>
      <c r="X125" s="24">
        <f>$G$6*$G$7*W125</f>
        <v/>
      </c>
      <c r="Y125" s="22">
        <f>W125*($G$9+$G$10)</f>
        <v/>
      </c>
      <c r="Z125" s="23" t="n">
        <v>0.07000000000000001</v>
      </c>
      <c r="AA125" s="24">
        <f>G125*Z125</f>
        <v/>
      </c>
      <c r="AB125" s="26" t="n">
        <v>0.08</v>
      </c>
      <c r="AC125" s="24">
        <f>G125*AB125</f>
        <v/>
      </c>
      <c r="AD125" s="24">
        <f>AA125+AC125</f>
        <v/>
      </c>
      <c r="AE125" s="28">
        <f>AD125/G125</f>
        <v/>
      </c>
      <c r="AF125" s="29">
        <f>G125-N125-O125-P125-Q125-R125-S125-V125-X125-Y125-L125</f>
        <v/>
      </c>
      <c r="AG125" s="30">
        <f>AF125-AD125</f>
        <v/>
      </c>
      <c r="AH125" s="31">
        <f>AG125/G125</f>
        <v/>
      </c>
      <c r="AI125" s="32">
        <f>AG125/L125</f>
        <v/>
      </c>
      <c r="AJ125" s="24">
        <f>(O125+Q125+V125+X125+Y125+L125)/(1-(M125+$G$4+(1-H125)*$G$3+$G$8+Z125+AB125))</f>
        <v/>
      </c>
    </row>
    <row r="126">
      <c r="A126" s="33" t="inlineStr">
        <is>
          <t>ROUND LAB SOYBEAN PANTHENOL CREAM_80ml - Крем для лица с чёрной соей и пантенолом успокаивающий</t>
        </is>
      </c>
      <c r="B126" s="34" t="n"/>
      <c r="C126" s="34" t="n"/>
      <c r="D126" s="35" t="n"/>
      <c r="E126" s="35" t="n"/>
      <c r="F126" s="35" t="n"/>
      <c r="G126" s="35" t="n"/>
      <c r="H126" s="36" t="n"/>
      <c r="I126" s="37" t="n"/>
      <c r="J126" s="38" t="n"/>
      <c r="K126" s="38" t="n"/>
      <c r="L126" s="39" t="n"/>
      <c r="M126" s="40" t="n"/>
      <c r="N126" s="35" t="n"/>
      <c r="O126" s="35" t="n"/>
      <c r="P126" s="35" t="n"/>
      <c r="Q126" s="35" t="n"/>
      <c r="R126" s="35" t="n"/>
      <c r="S126" s="35" t="n"/>
      <c r="T126" s="41" t="n"/>
      <c r="U126" s="35" t="n"/>
      <c r="V126" s="35" t="n"/>
      <c r="W126" s="42" t="n"/>
      <c r="X126" s="35" t="n"/>
      <c r="Y126" s="39" t="n"/>
      <c r="Z126" s="40" t="n"/>
      <c r="AA126" s="35" t="n"/>
      <c r="AB126" s="41" t="n"/>
      <c r="AC126" s="35" t="n"/>
      <c r="AD126" s="35" t="n"/>
      <c r="AE126" s="43" t="n"/>
      <c r="AF126" s="44" t="n"/>
      <c r="AG126" s="35" t="n"/>
      <c r="AH126" s="41" t="n"/>
      <c r="AI126" s="41" t="n"/>
      <c r="AJ126" s="35" t="n"/>
    </row>
    <row r="127">
      <c r="A127" s="33" t="inlineStr">
        <is>
          <t>ROUND LAB PINE CALMING CICA AMPOULE_30ml - Сыворотка для жирной кожи лица увлажняющая с центеллой</t>
        </is>
      </c>
      <c r="B127" s="34" t="n"/>
      <c r="C127" s="34" t="n"/>
      <c r="D127" s="35" t="n"/>
      <c r="E127" s="35" t="n"/>
      <c r="F127" s="35" t="n"/>
      <c r="G127" s="35" t="n"/>
      <c r="H127" s="36" t="n"/>
      <c r="I127" s="37" t="n"/>
      <c r="J127" s="38" t="n"/>
      <c r="K127" s="38" t="n"/>
      <c r="L127" s="39" t="n"/>
      <c r="M127" s="40" t="n"/>
      <c r="N127" s="35" t="n"/>
      <c r="O127" s="35" t="n"/>
      <c r="P127" s="35" t="n"/>
      <c r="Q127" s="35" t="n"/>
      <c r="R127" s="35" t="n"/>
      <c r="S127" s="35" t="n"/>
      <c r="T127" s="41" t="n"/>
      <c r="U127" s="35" t="n"/>
      <c r="V127" s="35" t="n"/>
      <c r="W127" s="42" t="n"/>
      <c r="X127" s="35" t="n"/>
      <c r="Y127" s="39" t="n"/>
      <c r="Z127" s="40" t="n"/>
      <c r="AA127" s="35" t="n"/>
      <c r="AB127" s="41" t="n"/>
      <c r="AC127" s="35" t="n"/>
      <c r="AD127" s="35" t="n"/>
      <c r="AE127" s="43" t="n"/>
      <c r="AF127" s="44" t="n"/>
      <c r="AG127" s="35" t="n"/>
      <c r="AH127" s="41" t="n"/>
      <c r="AI127" s="41" t="n"/>
      <c r="AJ127" s="35" t="n"/>
    </row>
    <row r="128">
      <c r="A128" s="14" t="inlineStr">
        <is>
          <t>ROUND LAB 1025 DOKDO TONER_200ml</t>
        </is>
      </c>
      <c r="B128" s="55" t="n"/>
      <c r="C128" s="56" t="n"/>
      <c r="D128" s="17" t="n">
        <v>3400</v>
      </c>
      <c r="E128" s="17" t="n">
        <v>260</v>
      </c>
      <c r="F128" s="17" t="n">
        <v>2</v>
      </c>
      <c r="G128" s="17">
        <f>(2.5*L128+O128+Q128+V128+X128+Y128)/(1-M128-$G$8-$G$4-(1-H128)*$G$3-Z128-AB128)</f>
        <v/>
      </c>
      <c r="H128" s="18" t="n">
        <v>0.45</v>
      </c>
      <c r="I128" s="19">
        <f>G128*(1-H128)</f>
        <v/>
      </c>
      <c r="J128" s="20" t="n">
        <v>463.19</v>
      </c>
      <c r="K128" s="21">
        <f>$G$5</f>
        <v/>
      </c>
      <c r="L128" s="22">
        <f>J128+K128</f>
        <v/>
      </c>
      <c r="M128" s="23" t="n">
        <v>0.41</v>
      </c>
      <c r="N128" s="24">
        <f>G128*M128</f>
        <v/>
      </c>
      <c r="O128" s="25" t="n">
        <v>74</v>
      </c>
      <c r="P128" s="24">
        <f>G128*$G$8</f>
        <v/>
      </c>
      <c r="Q128" s="25" t="n">
        <v>25</v>
      </c>
      <c r="R128" s="24">
        <f>G128*$G$4</f>
        <v/>
      </c>
      <c r="S128" s="24">
        <f>I128*$G$3</f>
        <v/>
      </c>
      <c r="T128" s="26" t="n">
        <v>0.9</v>
      </c>
      <c r="U128" s="25" t="n">
        <v>74</v>
      </c>
      <c r="V128" s="24">
        <f>U128*(1-T128)</f>
        <v/>
      </c>
      <c r="W128" s="27" t="n">
        <v>1.28</v>
      </c>
      <c r="X128" s="24">
        <f>$G$6*$G$7*W128</f>
        <v/>
      </c>
      <c r="Y128" s="22">
        <f>W128*($G$9+$G$10)</f>
        <v/>
      </c>
      <c r="Z128" s="23" t="n">
        <v>0.07000000000000001</v>
      </c>
      <c r="AA128" s="24">
        <f>G128*Z128</f>
        <v/>
      </c>
      <c r="AB128" s="26" t="n">
        <v>0.08</v>
      </c>
      <c r="AC128" s="24">
        <f>G128*AB128</f>
        <v/>
      </c>
      <c r="AD128" s="24">
        <f>AA128+AC128</f>
        <v/>
      </c>
      <c r="AE128" s="28">
        <f>AD128/G128</f>
        <v/>
      </c>
      <c r="AF128" s="29">
        <f>G128-N128-O128-P128-Q128-R128-S128-V128-X128-Y128-L128</f>
        <v/>
      </c>
      <c r="AG128" s="30">
        <f>AF128-AD128</f>
        <v/>
      </c>
      <c r="AH128" s="31">
        <f>AG128/G128</f>
        <v/>
      </c>
      <c r="AI128" s="32">
        <f>AG128/L128</f>
        <v/>
      </c>
      <c r="AJ128" s="24">
        <f>(O128+Q128+V128+X128+Y128+L128)/(1-(M128+$G$4+(1-H128)*$G$3+$G$8+Z128+AB128))</f>
        <v/>
      </c>
    </row>
    <row r="129">
      <c r="A129" s="12" t="inlineStr">
        <is>
          <t>Косметика/SKIN1004</t>
        </is>
      </c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  <c r="AJ129" s="13" t="n"/>
    </row>
    <row r="130">
      <c r="A130" s="33" t="inlineStr">
        <is>
          <t>SKIN1004 - Madagascar Centella Ampoule [30ml] / Сыворотка для лица успокаивающая из экстракта центеллы.</t>
        </is>
      </c>
      <c r="B130" s="34" t="n"/>
      <c r="C130" s="34" t="n"/>
      <c r="D130" s="35" t="n"/>
      <c r="E130" s="35" t="n"/>
      <c r="F130" s="35" t="n"/>
      <c r="G130" s="35" t="n"/>
      <c r="H130" s="36" t="n"/>
      <c r="I130" s="37" t="n"/>
      <c r="J130" s="38" t="n"/>
      <c r="K130" s="38" t="n"/>
      <c r="L130" s="39" t="n"/>
      <c r="M130" s="40" t="n"/>
      <c r="N130" s="35" t="n"/>
      <c r="O130" s="35" t="n"/>
      <c r="P130" s="35" t="n"/>
      <c r="Q130" s="35" t="n"/>
      <c r="R130" s="35" t="n"/>
      <c r="S130" s="35" t="n"/>
      <c r="T130" s="41" t="n"/>
      <c r="U130" s="35" t="n"/>
      <c r="V130" s="35" t="n"/>
      <c r="W130" s="42" t="n"/>
      <c r="X130" s="35" t="n"/>
      <c r="Y130" s="39" t="n"/>
      <c r="Z130" s="40" t="n"/>
      <c r="AA130" s="35" t="n"/>
      <c r="AB130" s="41" t="n"/>
      <c r="AC130" s="35" t="n"/>
      <c r="AD130" s="35" t="n"/>
      <c r="AE130" s="43" t="n"/>
      <c r="AF130" s="44" t="n"/>
      <c r="AG130" s="35" t="n"/>
      <c r="AH130" s="41" t="n"/>
      <c r="AI130" s="41" t="n"/>
      <c r="AJ130" s="35" t="n"/>
    </row>
    <row r="131">
      <c r="A131" s="33" t="inlineStr">
        <is>
          <t>SKIN1004 - Madagascar Centella Hyalu-Cica Sleeping Pack [30ml] / Увлажняющая гиалуроновая ночная маска для сухой кожи</t>
        </is>
      </c>
      <c r="B131" s="34" t="n"/>
      <c r="C131" s="34" t="n"/>
      <c r="D131" s="35" t="n"/>
      <c r="E131" s="35" t="n"/>
      <c r="F131" s="35" t="n"/>
      <c r="G131" s="35" t="n"/>
      <c r="H131" s="36" t="n"/>
      <c r="I131" s="37" t="n"/>
      <c r="J131" s="38" t="n"/>
      <c r="K131" s="38" t="n"/>
      <c r="L131" s="39" t="n"/>
      <c r="M131" s="40" t="n"/>
      <c r="N131" s="35" t="n"/>
      <c r="O131" s="35" t="n"/>
      <c r="P131" s="35" t="n"/>
      <c r="Q131" s="35" t="n"/>
      <c r="R131" s="35" t="n"/>
      <c r="S131" s="35" t="n"/>
      <c r="T131" s="41" t="n"/>
      <c r="U131" s="35" t="n"/>
      <c r="V131" s="35" t="n"/>
      <c r="W131" s="42" t="n"/>
      <c r="X131" s="35" t="n"/>
      <c r="Y131" s="39" t="n"/>
      <c r="Z131" s="40" t="n"/>
      <c r="AA131" s="35" t="n"/>
      <c r="AB131" s="41" t="n"/>
      <c r="AC131" s="35" t="n"/>
      <c r="AD131" s="35" t="n"/>
      <c r="AE131" s="43" t="n"/>
      <c r="AF131" s="44" t="n"/>
      <c r="AG131" s="35" t="n"/>
      <c r="AH131" s="41" t="n"/>
      <c r="AI131" s="41" t="n"/>
      <c r="AJ131" s="35" t="n"/>
    </row>
    <row r="132">
      <c r="A132" s="12" t="inlineStr">
        <is>
          <t>Косметика/SOMEBYMI</t>
        </is>
      </c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  <c r="AJ132" s="13" t="n"/>
    </row>
    <row r="133">
      <c r="A133" s="33" t="inlineStr">
        <is>
          <t>SOME BY MI - AHA-BHA-PHA 30 Days Miracle Cleansing Bar [106g] / Мыло для проблемной кожи с aha bha кислотами</t>
        </is>
      </c>
      <c r="B133" s="34" t="n"/>
      <c r="C133" s="34" t="n"/>
      <c r="D133" s="35" t="n"/>
      <c r="E133" s="35" t="n"/>
      <c r="F133" s="35" t="n"/>
      <c r="G133" s="35" t="n"/>
      <c r="H133" s="36" t="n"/>
      <c r="I133" s="37" t="n"/>
      <c r="J133" s="38" t="n"/>
      <c r="K133" s="38" t="n"/>
      <c r="L133" s="39" t="n"/>
      <c r="M133" s="40" t="n"/>
      <c r="N133" s="35" t="n"/>
      <c r="O133" s="35" t="n"/>
      <c r="P133" s="35" t="n"/>
      <c r="Q133" s="35" t="n"/>
      <c r="R133" s="35" t="n"/>
      <c r="S133" s="35" t="n"/>
      <c r="T133" s="41" t="n"/>
      <c r="U133" s="35" t="n"/>
      <c r="V133" s="35" t="n"/>
      <c r="W133" s="42" t="n"/>
      <c r="X133" s="35" t="n"/>
      <c r="Y133" s="39" t="n"/>
      <c r="Z133" s="40" t="n"/>
      <c r="AA133" s="35" t="n"/>
      <c r="AB133" s="41" t="n"/>
      <c r="AC133" s="35" t="n"/>
      <c r="AD133" s="35" t="n"/>
      <c r="AE133" s="43" t="n"/>
      <c r="AF133" s="44" t="n"/>
      <c r="AG133" s="35" t="n"/>
      <c r="AH133" s="41" t="n"/>
      <c r="AI133" s="41" t="n"/>
      <c r="AJ133" s="35" t="n"/>
    </row>
    <row r="134">
      <c r="A134" s="33" t="inlineStr">
        <is>
          <t>SOME BY MI - AHA-BHA-PHA 30 Days Miracle Cream [60g] / Крем для лица</t>
        </is>
      </c>
      <c r="B134" s="34" t="n"/>
      <c r="C134" s="34" t="n"/>
      <c r="D134" s="35" t="n"/>
      <c r="E134" s="35" t="n"/>
      <c r="F134" s="35" t="n"/>
      <c r="G134" s="35" t="n"/>
      <c r="H134" s="36" t="n"/>
      <c r="I134" s="37" t="n"/>
      <c r="J134" s="38" t="n"/>
      <c r="K134" s="38" t="n"/>
      <c r="L134" s="39" t="n"/>
      <c r="M134" s="40" t="n"/>
      <c r="N134" s="35" t="n"/>
      <c r="O134" s="35" t="n"/>
      <c r="P134" s="35" t="n"/>
      <c r="Q134" s="35" t="n"/>
      <c r="R134" s="35" t="n"/>
      <c r="S134" s="35" t="n"/>
      <c r="T134" s="41" t="n"/>
      <c r="U134" s="35" t="n"/>
      <c r="V134" s="35" t="n"/>
      <c r="W134" s="42" t="n"/>
      <c r="X134" s="35" t="n"/>
      <c r="Y134" s="39" t="n"/>
      <c r="Z134" s="40" t="n"/>
      <c r="AA134" s="35" t="n"/>
      <c r="AB134" s="41" t="n"/>
      <c r="AC134" s="35" t="n"/>
      <c r="AD134" s="35" t="n"/>
      <c r="AE134" s="43" t="n"/>
      <c r="AF134" s="44" t="n"/>
      <c r="AG134" s="35" t="n"/>
      <c r="AH134" s="41" t="n"/>
      <c r="AI134" s="41" t="n"/>
      <c r="AJ134" s="35" t="n"/>
    </row>
    <row r="135">
      <c r="A135" s="12" t="inlineStr">
        <is>
          <t>Косметика/TheOrdinary</t>
        </is>
      </c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  <c r="AA135" s="13" t="n"/>
      <c r="AB135" s="13" t="n"/>
      <c r="AC135" s="13" t="n"/>
      <c r="AD135" s="13" t="n"/>
      <c r="AE135" s="13" t="n"/>
      <c r="AF135" s="13" t="n"/>
      <c r="AG135" s="13" t="n"/>
      <c r="AH135" s="13" t="n"/>
      <c r="AI135" s="13" t="n"/>
      <c r="AJ135" s="13" t="n"/>
    </row>
    <row r="136">
      <c r="A136" s="33" t="inlineStr">
        <is>
          <t>THE ORDINARY - Argireline Solution 10% [30ml] / Сыворотка для лица от прыщей и акне с ниацинамидом 10 %</t>
        </is>
      </c>
      <c r="B136" s="34" t="n"/>
      <c r="C136" s="34" t="n"/>
      <c r="D136" s="35" t="n"/>
      <c r="E136" s="35" t="n"/>
      <c r="F136" s="35" t="n"/>
      <c r="G136" s="35" t="n"/>
      <c r="H136" s="36" t="n"/>
      <c r="I136" s="37" t="n"/>
      <c r="J136" s="38" t="n"/>
      <c r="K136" s="38" t="n"/>
      <c r="L136" s="39" t="n"/>
      <c r="M136" s="40" t="n"/>
      <c r="N136" s="35" t="n"/>
      <c r="O136" s="35" t="n"/>
      <c r="P136" s="35" t="n"/>
      <c r="Q136" s="35" t="n"/>
      <c r="R136" s="35" t="n"/>
      <c r="S136" s="35" t="n"/>
      <c r="T136" s="41" t="n"/>
      <c r="U136" s="35" t="n"/>
      <c r="V136" s="35" t="n"/>
      <c r="W136" s="42" t="n"/>
      <c r="X136" s="35" t="n"/>
      <c r="Y136" s="39" t="n"/>
      <c r="Z136" s="40" t="n"/>
      <c r="AA136" s="35" t="n"/>
      <c r="AB136" s="41" t="n"/>
      <c r="AC136" s="35" t="n"/>
      <c r="AD136" s="35" t="n"/>
      <c r="AE136" s="43" t="n"/>
      <c r="AF136" s="44" t="n"/>
      <c r="AG136" s="35" t="n"/>
      <c r="AH136" s="41" t="n"/>
      <c r="AI136" s="41" t="n"/>
      <c r="AJ136" s="35" t="n"/>
    </row>
    <row r="137">
      <c r="A137" s="33" t="inlineStr">
        <is>
          <t>THE ORDINARY - Glycolic Acid 7% Toning Solution [KOR] [240ml] / Тоник с гликолевой кислотой 7%</t>
        </is>
      </c>
      <c r="B137" s="34" t="n"/>
      <c r="C137" s="34" t="n"/>
      <c r="D137" s="35" t="n"/>
      <c r="E137" s="35" t="n"/>
      <c r="F137" s="35" t="n"/>
      <c r="G137" s="35" t="n"/>
      <c r="H137" s="36" t="n"/>
      <c r="I137" s="37" t="n"/>
      <c r="J137" s="38" t="n"/>
      <c r="K137" s="38" t="n"/>
      <c r="L137" s="39" t="n"/>
      <c r="M137" s="40" t="n"/>
      <c r="N137" s="35" t="n"/>
      <c r="O137" s="35" t="n"/>
      <c r="P137" s="35" t="n"/>
      <c r="Q137" s="35" t="n"/>
      <c r="R137" s="35" t="n"/>
      <c r="S137" s="35" t="n"/>
      <c r="T137" s="41" t="n"/>
      <c r="U137" s="35" t="n"/>
      <c r="V137" s="35" t="n"/>
      <c r="W137" s="42" t="n"/>
      <c r="X137" s="35" t="n"/>
      <c r="Y137" s="39" t="n"/>
      <c r="Z137" s="40" t="n"/>
      <c r="AA137" s="35" t="n"/>
      <c r="AB137" s="41" t="n"/>
      <c r="AC137" s="35" t="n"/>
      <c r="AD137" s="35" t="n"/>
      <c r="AE137" s="43" t="n"/>
      <c r="AF137" s="44" t="n"/>
      <c r="AG137" s="35" t="n"/>
      <c r="AH137" s="41" t="n"/>
      <c r="AI137" s="41" t="n"/>
      <c r="AJ137" s="35" t="n"/>
    </row>
    <row r="138">
      <c r="A138" s="12" t="inlineStr">
        <is>
          <t>Косметика/CELIMAX</t>
        </is>
      </c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  <c r="AJ138" s="13" t="n"/>
    </row>
    <row r="139">
      <c r="A139" s="14" t="inlineStr">
        <is>
          <t>Celimax Dual Barrier Creamy Toner</t>
        </is>
      </c>
      <c r="B139" s="15" t="n"/>
      <c r="C139" s="16" t="n"/>
      <c r="D139" s="17" t="n">
        <v>2600</v>
      </c>
      <c r="E139" s="17" t="n">
        <v>5500</v>
      </c>
      <c r="F139" s="17" t="inlineStr">
        <is>
          <t>10-15</t>
        </is>
      </c>
      <c r="G139" s="17">
        <f>(2.0*L139+O139+Q139+V139+X139+Y139)/(1-M139-$G$8-$G$4-(1-H139)*$G$3-Z139-AB139)</f>
        <v/>
      </c>
      <c r="H139" s="18" t="n">
        <v>0.45</v>
      </c>
      <c r="I139" s="19">
        <f>G139*(1-H139)</f>
        <v/>
      </c>
      <c r="J139" s="20" t="n">
        <v>663.86</v>
      </c>
      <c r="K139" s="21">
        <f>$G$5</f>
        <v/>
      </c>
      <c r="L139" s="22">
        <f>J139+K139</f>
        <v/>
      </c>
      <c r="M139" s="23" t="n">
        <v>0.41</v>
      </c>
      <c r="N139" s="24">
        <f>G139*M139</f>
        <v/>
      </c>
      <c r="O139" s="25" t="n">
        <v>67</v>
      </c>
      <c r="P139" s="24">
        <f>G139*$G$8</f>
        <v/>
      </c>
      <c r="Q139" s="25" t="n">
        <v>25</v>
      </c>
      <c r="R139" s="24">
        <f>G139*$G$4</f>
        <v/>
      </c>
      <c r="S139" s="24">
        <f>I139*$G$3</f>
        <v/>
      </c>
      <c r="T139" s="26" t="n">
        <v>0.9</v>
      </c>
      <c r="U139" s="25" t="n">
        <v>67</v>
      </c>
      <c r="V139" s="24">
        <f>U139*(1-T139)</f>
        <v/>
      </c>
      <c r="W139" s="27" t="n">
        <v>0.735</v>
      </c>
      <c r="X139" s="24">
        <f>$G$6*$G$7*W139</f>
        <v/>
      </c>
      <c r="Y139" s="22">
        <f>W139*($G$9+$G$10)</f>
        <v/>
      </c>
      <c r="Z139" s="23" t="n">
        <v>0.07000000000000001</v>
      </c>
      <c r="AA139" s="24">
        <f>G139*Z139</f>
        <v/>
      </c>
      <c r="AB139" s="26" t="n">
        <v>0.08</v>
      </c>
      <c r="AC139" s="24">
        <f>G139*AB139</f>
        <v/>
      </c>
      <c r="AD139" s="24">
        <f>AA139+AC139</f>
        <v/>
      </c>
      <c r="AE139" s="28">
        <f>AD139/G139</f>
        <v/>
      </c>
      <c r="AF139" s="29">
        <f>G139-N139-O139-P139-Q139-R139-S139-V139-X139-Y139-L139</f>
        <v/>
      </c>
      <c r="AG139" s="30">
        <f>AF139-AD139</f>
        <v/>
      </c>
      <c r="AH139" s="31">
        <f>AG139/G139</f>
        <v/>
      </c>
      <c r="AI139" s="32">
        <f>AG139/L139</f>
        <v/>
      </c>
      <c r="AJ139" s="24">
        <f>(O139+Q139+V139+X139+Y139+L139)/(1-(M139+$G$4+(1-H139)*$G$3+$G$8+Z139+AB139))</f>
        <v/>
      </c>
    </row>
    <row r="140">
      <c r="A140" s="14" t="inlineStr">
        <is>
          <t>CELIMAX THE VITA-A RETINAL SHOT TIGHTENING BOOSTER [15ml]/Подтягивающий бустер-крем с ретинолом для лица</t>
        </is>
      </c>
      <c r="B140" s="56" t="n"/>
      <c r="C140" s="16" t="n"/>
      <c r="D140" s="17" t="n">
        <v>2250</v>
      </c>
      <c r="E140" s="17" t="n">
        <v>3000</v>
      </c>
      <c r="F140" s="17" t="n">
        <v>13</v>
      </c>
      <c r="G140" s="17">
        <f>(2.0*L140+O140+Q140+V140+X140+Y140)/(1-M140-$G$8-$G$4-(1-H140)*$G$3-Z140-AB140)</f>
        <v/>
      </c>
      <c r="H140" s="18" t="n">
        <v>0.45</v>
      </c>
      <c r="I140" s="19">
        <f>G140*(1-H140)</f>
        <v/>
      </c>
      <c r="J140" s="20" t="n">
        <v>512.1799999999999</v>
      </c>
      <c r="K140" s="21">
        <f>$G$5</f>
        <v/>
      </c>
      <c r="L140" s="22">
        <f>J140+K140</f>
        <v/>
      </c>
      <c r="M140" s="23" t="n">
        <v>0.41</v>
      </c>
      <c r="N140" s="24">
        <f>G140*M140</f>
        <v/>
      </c>
      <c r="O140" s="25" t="n">
        <v>56</v>
      </c>
      <c r="P140" s="24">
        <f>G140*$G$8</f>
        <v/>
      </c>
      <c r="Q140" s="25" t="n">
        <v>25</v>
      </c>
      <c r="R140" s="24">
        <f>G140*$G$4</f>
        <v/>
      </c>
      <c r="S140" s="24">
        <f>I140*$G$3</f>
        <v/>
      </c>
      <c r="T140" s="26" t="n">
        <v>0.9</v>
      </c>
      <c r="U140" s="25" t="n">
        <v>56</v>
      </c>
      <c r="V140" s="24">
        <f>U140*(1-T140)</f>
        <v/>
      </c>
      <c r="W140" s="27" t="n">
        <v>0.18</v>
      </c>
      <c r="X140" s="24">
        <f>$G$6*$G$7*W140</f>
        <v/>
      </c>
      <c r="Y140" s="22">
        <f>W140*($G$9+$G$10)</f>
        <v/>
      </c>
      <c r="Z140" s="23" t="n">
        <v>0.07000000000000001</v>
      </c>
      <c r="AA140" s="24">
        <f>G140*Z140</f>
        <v/>
      </c>
      <c r="AB140" s="26" t="n">
        <v>0.08</v>
      </c>
      <c r="AC140" s="24">
        <f>G140*AB140</f>
        <v/>
      </c>
      <c r="AD140" s="24">
        <f>AA140+AC140</f>
        <v/>
      </c>
      <c r="AE140" s="28">
        <f>AD140/G140</f>
        <v/>
      </c>
      <c r="AF140" s="29">
        <f>G140-N140-O140-P140-Q140-R140-S140-V140-X140-Y140-L140</f>
        <v/>
      </c>
      <c r="AG140" s="30">
        <f>AF140-AD140</f>
        <v/>
      </c>
      <c r="AH140" s="31">
        <f>AG140/G140</f>
        <v/>
      </c>
      <c r="AI140" s="32">
        <f>AG140/L140</f>
        <v/>
      </c>
      <c r="AJ140" s="24">
        <f>(O140+Q140+V140+X140+Y140+L140)/(1-(M140+$G$4+(1-H140)*$G$3+$G$8+Z140+AB140))</f>
        <v/>
      </c>
    </row>
    <row r="141">
      <c r="A141" s="14" t="inlineStr">
        <is>
          <t>CELIMAX THE VITA-A RETINOL SHOT TIGHTENING SERUM [30ml]/Сыворотка с ретинолом и микроиглами для лица</t>
        </is>
      </c>
      <c r="B141" s="56" t="n"/>
      <c r="C141" s="16" t="inlineStr">
        <is>
          <t>-</t>
        </is>
      </c>
      <c r="D141" s="17" t="n">
        <v>2450</v>
      </c>
      <c r="E141" s="17" t="n">
        <v>3500</v>
      </c>
      <c r="F141" s="17" t="n">
        <v>10</v>
      </c>
      <c r="G141" s="17">
        <f>(2.0*L141+O141+Q141+V141+X141+Y141)/(1-M141-$G$8-$G$4-(1-H141)*$G$3-Z141-AB141)</f>
        <v/>
      </c>
      <c r="H141" s="18" t="n">
        <v>0.45</v>
      </c>
      <c r="I141" s="19">
        <f>G141*(1-H141)</f>
        <v/>
      </c>
      <c r="J141" s="20" t="n">
        <v>532.1</v>
      </c>
      <c r="K141" s="21">
        <f>$G$5</f>
        <v/>
      </c>
      <c r="L141" s="22">
        <f>J141+K141</f>
        <v/>
      </c>
      <c r="M141" s="23" t="n">
        <v>0.41</v>
      </c>
      <c r="N141" s="24">
        <f>G141*M141</f>
        <v/>
      </c>
      <c r="O141" s="25" t="n">
        <v>63</v>
      </c>
      <c r="P141" s="24">
        <f>G141*$G$8</f>
        <v/>
      </c>
      <c r="Q141" s="25" t="n">
        <v>25</v>
      </c>
      <c r="R141" s="24">
        <f>G141*$G$4</f>
        <v/>
      </c>
      <c r="S141" s="24">
        <f>I141*$G$3</f>
        <v/>
      </c>
      <c r="T141" s="26" t="n">
        <v>0.9</v>
      </c>
      <c r="U141" s="25" t="n">
        <v>63</v>
      </c>
      <c r="V141" s="24">
        <f>U141*(1-T141)</f>
        <v/>
      </c>
      <c r="W141" s="27" t="n">
        <v>0.38</v>
      </c>
      <c r="X141" s="24">
        <f>$G$6*$G$7*W141</f>
        <v/>
      </c>
      <c r="Y141" s="22">
        <f>W141*($G$9+$G$10)</f>
        <v/>
      </c>
      <c r="Z141" s="23" t="n">
        <v>0.07000000000000001</v>
      </c>
      <c r="AA141" s="24">
        <f>G141*Z141</f>
        <v/>
      </c>
      <c r="AB141" s="26" t="n">
        <v>0.08</v>
      </c>
      <c r="AC141" s="24">
        <f>G141*AB141</f>
        <v/>
      </c>
      <c r="AD141" s="24">
        <f>AA141+AC141</f>
        <v/>
      </c>
      <c r="AE141" s="28">
        <f>AD141/G141</f>
        <v/>
      </c>
      <c r="AF141" s="29">
        <f>G141-N141-O141-P141-Q141-R141-S141-V141-X141-Y141-L141</f>
        <v/>
      </c>
      <c r="AG141" s="30">
        <f>AF141-AD141</f>
        <v/>
      </c>
      <c r="AH141" s="31">
        <f>AG141/G141</f>
        <v/>
      </c>
      <c r="AI141" s="32">
        <f>AG141/L141</f>
        <v/>
      </c>
      <c r="AJ141" s="24">
        <f>(O141+Q141+V141+X141+Y141+L141)/(1-(M141+$G$4+(1-H141)*$G$3+$G$8+Z141+AB141))</f>
        <v/>
      </c>
    </row>
    <row r="142">
      <c r="A142" s="14" t="inlineStr">
        <is>
          <t>CELIMAX JI WOO GAE CICA BHA BLEMISH TONER PAD_10EA [30ml]/успокаивающие тонер-пэды</t>
        </is>
      </c>
      <c r="B142" s="56" t="n"/>
      <c r="C142" s="16" t="n"/>
      <c r="D142" s="17" t="n">
        <v>775</v>
      </c>
      <c r="E142" s="17" t="inlineStr">
        <is>
          <t>2 740</t>
        </is>
      </c>
      <c r="F142" s="17" t="n">
        <v>11</v>
      </c>
      <c r="G142" s="17">
        <f>(2.0*L142+O142+Q142+V142+X142+Y142)/(1-M142-$G$8-$G$4-(1-H142)*$G$3-Z142-AB142)</f>
        <v/>
      </c>
      <c r="H142" s="18" t="n">
        <v>0.45</v>
      </c>
      <c r="I142" s="19">
        <f>G142*(1-H142)</f>
        <v/>
      </c>
      <c r="J142" s="20" t="n">
        <v>96.94</v>
      </c>
      <c r="K142" s="21">
        <f>$G$5</f>
        <v/>
      </c>
      <c r="L142" s="22">
        <f>J142+K142</f>
        <v/>
      </c>
      <c r="M142" s="23" t="n">
        <v>0.41</v>
      </c>
      <c r="N142" s="24">
        <f>G142*M142</f>
        <v/>
      </c>
      <c r="O142" s="25" t="n">
        <v>56</v>
      </c>
      <c r="P142" s="24">
        <f>G142*$G$8</f>
        <v/>
      </c>
      <c r="Q142" s="25" t="n">
        <v>25</v>
      </c>
      <c r="R142" s="24">
        <f>G142*$G$4</f>
        <v/>
      </c>
      <c r="S142" s="24">
        <f>I142*$G$3</f>
        <v/>
      </c>
      <c r="T142" s="26" t="n">
        <v>0.9</v>
      </c>
      <c r="U142" s="25" t="n">
        <v>56</v>
      </c>
      <c r="V142" s="24">
        <f>U142*(1-T142)</f>
        <v/>
      </c>
      <c r="W142" s="27" t="n">
        <v>0.14</v>
      </c>
      <c r="X142" s="24">
        <f>$G$6*$G$7*W142</f>
        <v/>
      </c>
      <c r="Y142" s="22">
        <f>W142*($G$9+$G$10)</f>
        <v/>
      </c>
      <c r="Z142" s="23" t="n">
        <v>0.07000000000000001</v>
      </c>
      <c r="AA142" s="24">
        <f>G142*Z142</f>
        <v/>
      </c>
      <c r="AB142" s="26" t="n">
        <v>0.08</v>
      </c>
      <c r="AC142" s="24">
        <f>G142*AB142</f>
        <v/>
      </c>
      <c r="AD142" s="24">
        <f>AA142+AC142</f>
        <v/>
      </c>
      <c r="AE142" s="28">
        <f>AD142/G142</f>
        <v/>
      </c>
      <c r="AF142" s="29">
        <f>G142-N142-O142-P142-Q142-R142-S142-V142-X142-Y142-L142</f>
        <v/>
      </c>
      <c r="AG142" s="30">
        <f>AF142-AD142</f>
        <v/>
      </c>
      <c r="AH142" s="31">
        <f>AG142/G142</f>
        <v/>
      </c>
      <c r="AI142" s="32">
        <f>AG142/L142</f>
        <v/>
      </c>
      <c r="AJ142" s="24">
        <f>(O142+Q142+V142+X142+Y142+L142)/(1-(M142+$G$4+(1-H142)*$G$3+$G$8+Z142+AB142))</f>
        <v/>
      </c>
    </row>
    <row r="143">
      <c r="A143" s="33" t="inlineStr">
        <is>
          <t>CELIMAX PORE+DARK SPOT BRIGHTENING CREAM [35ml]/Крем для выравнивания тона и рельефа кожи лица</t>
        </is>
      </c>
      <c r="B143" s="34" t="n"/>
      <c r="C143" s="34" t="n"/>
      <c r="D143" s="35" t="n"/>
      <c r="E143" s="35" t="n"/>
      <c r="F143" s="35" t="n"/>
      <c r="G143" s="35" t="n"/>
      <c r="H143" s="36" t="n"/>
      <c r="I143" s="37" t="n"/>
      <c r="J143" s="38" t="n"/>
      <c r="K143" s="38" t="n"/>
      <c r="L143" s="39" t="n"/>
      <c r="M143" s="40" t="n"/>
      <c r="N143" s="35" t="n"/>
      <c r="O143" s="35" t="n"/>
      <c r="P143" s="35" t="n"/>
      <c r="Q143" s="35" t="n"/>
      <c r="R143" s="35" t="n"/>
      <c r="S143" s="35" t="n"/>
      <c r="T143" s="41" t="n"/>
      <c r="U143" s="35" t="n"/>
      <c r="V143" s="35" t="n"/>
      <c r="W143" s="42" t="n"/>
      <c r="X143" s="35" t="n"/>
      <c r="Y143" s="39" t="n"/>
      <c r="Z143" s="40" t="n"/>
      <c r="AA143" s="35" t="n"/>
      <c r="AB143" s="41" t="n"/>
      <c r="AC143" s="35" t="n"/>
      <c r="AD143" s="35" t="n"/>
      <c r="AE143" s="43" t="n"/>
      <c r="AF143" s="44" t="n"/>
      <c r="AG143" s="35" t="n"/>
      <c r="AH143" s="41" t="n"/>
      <c r="AI143" s="41" t="n"/>
      <c r="AJ143" s="35" t="n"/>
    </row>
    <row r="144">
      <c r="A144" s="33" t="inlineStr">
        <is>
          <t>CELIMAX DUAL BARRIER SKIN WEARABLE CREAM [50ml]/Крем для восстановления защитного барьера кожи лица</t>
        </is>
      </c>
      <c r="B144" s="34" t="n"/>
      <c r="C144" s="34" t="n"/>
      <c r="D144" s="35" t="n"/>
      <c r="E144" s="35" t="n"/>
      <c r="F144" s="35" t="n"/>
      <c r="G144" s="35" t="n"/>
      <c r="H144" s="36" t="n"/>
      <c r="I144" s="37" t="n"/>
      <c r="J144" s="38" t="n"/>
      <c r="K144" s="38" t="n"/>
      <c r="L144" s="39" t="n"/>
      <c r="M144" s="40" t="n"/>
      <c r="N144" s="35" t="n"/>
      <c r="O144" s="35" t="n"/>
      <c r="P144" s="35" t="n"/>
      <c r="Q144" s="35" t="n"/>
      <c r="R144" s="35" t="n"/>
      <c r="S144" s="35" t="n"/>
      <c r="T144" s="41" t="n"/>
      <c r="U144" s="35" t="n"/>
      <c r="V144" s="35" t="n"/>
      <c r="W144" s="42" t="n"/>
      <c r="X144" s="35" t="n"/>
      <c r="Y144" s="39" t="n"/>
      <c r="Z144" s="40" t="n"/>
      <c r="AA144" s="35" t="n"/>
      <c r="AB144" s="41" t="n"/>
      <c r="AC144" s="35" t="n"/>
      <c r="AD144" s="35" t="n"/>
      <c r="AE144" s="43" t="n"/>
      <c r="AF144" s="44" t="n"/>
      <c r="AG144" s="35" t="n"/>
      <c r="AH144" s="41" t="n"/>
      <c r="AI144" s="41" t="n"/>
      <c r="AJ144" s="35" t="n"/>
    </row>
    <row r="145">
      <c r="A145" s="14" t="inlineStr">
        <is>
          <t>CELIMAX JI WOO GAE CICA BHA BLEMISH TONER PAD [170ml / 60pads]/Тонер-пэды от воспалений</t>
        </is>
      </c>
      <c r="B145" s="56" t="n"/>
      <c r="C145" s="16" t="n"/>
      <c r="D145" s="17" t="n">
        <v>3450</v>
      </c>
      <c r="E145" s="17" t="inlineStr">
        <is>
          <t>1 820</t>
        </is>
      </c>
      <c r="F145" s="17" t="n">
        <v>11</v>
      </c>
      <c r="G145" s="17">
        <f>(2.0*L145+O145+Q145+V145+X145+Y145)/(1-M145-$G$8-$G$4-(1-H145)*$G$3-Z145-AB145)</f>
        <v/>
      </c>
      <c r="H145" s="18" t="n">
        <v>0.45</v>
      </c>
      <c r="I145" s="19">
        <f>G145*(1-H145)</f>
        <v/>
      </c>
      <c r="J145" s="20" t="n">
        <v>707.88</v>
      </c>
      <c r="K145" s="21">
        <f>$G$5</f>
        <v/>
      </c>
      <c r="L145" s="22">
        <f>J145+K145</f>
        <v/>
      </c>
      <c r="M145" s="23" t="n">
        <v>0.41</v>
      </c>
      <c r="N145" s="24">
        <f>G145*M145</f>
        <v/>
      </c>
      <c r="O145" s="25" t="n">
        <v>67</v>
      </c>
      <c r="P145" s="24">
        <f>G145*$G$8</f>
        <v/>
      </c>
      <c r="Q145" s="25" t="n">
        <v>25</v>
      </c>
      <c r="R145" s="24">
        <f>G145*$G$4</f>
        <v/>
      </c>
      <c r="S145" s="24">
        <f>I145*$G$3</f>
        <v/>
      </c>
      <c r="T145" s="26" t="n">
        <v>0.9</v>
      </c>
      <c r="U145" s="25" t="n">
        <v>67</v>
      </c>
      <c r="V145" s="24">
        <f>U145*(1-T145)</f>
        <v/>
      </c>
      <c r="W145" s="27" t="n">
        <v>0.96</v>
      </c>
      <c r="X145" s="24">
        <f>$G$6*$G$7*W145</f>
        <v/>
      </c>
      <c r="Y145" s="22">
        <f>W145*($G$9+$G$10)</f>
        <v/>
      </c>
      <c r="Z145" s="23" t="n">
        <v>0.07000000000000001</v>
      </c>
      <c r="AA145" s="24">
        <f>G145*Z145</f>
        <v/>
      </c>
      <c r="AB145" s="26" t="n">
        <v>0.08</v>
      </c>
      <c r="AC145" s="24">
        <f>G145*AB145</f>
        <v/>
      </c>
      <c r="AD145" s="24">
        <f>AA145+AC145</f>
        <v/>
      </c>
      <c r="AE145" s="28">
        <f>AD145/G145</f>
        <v/>
      </c>
      <c r="AF145" s="29">
        <f>G145-N145-O145-P145-Q145-R145-S145-V145-X145-Y145-L145</f>
        <v/>
      </c>
      <c r="AG145" s="30">
        <f>AF145-AD145</f>
        <v/>
      </c>
      <c r="AH145" s="31">
        <f>AG145/G145</f>
        <v/>
      </c>
      <c r="AI145" s="32">
        <f>AG145/L145</f>
        <v/>
      </c>
      <c r="AJ145" s="24">
        <f>(O145+Q145+V145+X145+Y145+L145)/(1-(M145+$G$4+(1-H145)*$G$3+$G$8+Z145+AB145))</f>
        <v/>
      </c>
    </row>
    <row r="146">
      <c r="A146" s="33" t="inlineStr">
        <is>
          <t>CELIMAX THE REAL NONI ENERGY AMPOULE_30ML (NEW) [30ml]/Восстанавливающая сыворотка с экстрактом нони для лица</t>
        </is>
      </c>
      <c r="B146" s="34" t="n"/>
      <c r="C146" s="34" t="n"/>
      <c r="D146" s="35" t="n"/>
      <c r="E146" s="35" t="n"/>
      <c r="F146" s="35" t="n"/>
      <c r="G146" s="35" t="n"/>
      <c r="H146" s="36" t="n"/>
      <c r="I146" s="37" t="n"/>
      <c r="J146" s="38" t="n"/>
      <c r="K146" s="38" t="n"/>
      <c r="L146" s="39" t="n"/>
      <c r="M146" s="40" t="n"/>
      <c r="N146" s="35" t="n"/>
      <c r="O146" s="35" t="n"/>
      <c r="P146" s="35" t="n"/>
      <c r="Q146" s="35" t="n"/>
      <c r="R146" s="35" t="n"/>
      <c r="S146" s="35" t="n"/>
      <c r="T146" s="41" t="n"/>
      <c r="U146" s="35" t="n"/>
      <c r="V146" s="35" t="n"/>
      <c r="W146" s="42" t="n"/>
      <c r="X146" s="35" t="n"/>
      <c r="Y146" s="39" t="n"/>
      <c r="Z146" s="40" t="n"/>
      <c r="AA146" s="35" t="n"/>
      <c r="AB146" s="41" t="n"/>
      <c r="AC146" s="35" t="n"/>
      <c r="AD146" s="35" t="n"/>
      <c r="AE146" s="43" t="n"/>
      <c r="AF146" s="44" t="n"/>
      <c r="AG146" s="35" t="n"/>
      <c r="AH146" s="41" t="n"/>
      <c r="AI146" s="41" t="n"/>
      <c r="AJ146" s="35" t="n"/>
    </row>
    <row r="147">
      <c r="A147" s="14" t="inlineStr">
        <is>
          <t>CELIMAX PORE+DARK SPOT BRIGHTENING PAD [100ml / 40pads]/Тонер-пэды для выравнивания тона и рельефа кожи</t>
        </is>
      </c>
      <c r="B147" s="56" t="n"/>
      <c r="C147" s="16" t="n"/>
      <c r="D147" s="17" t="n">
        <v>2880</v>
      </c>
      <c r="E147" s="17" t="inlineStr">
        <is>
          <t>1 640</t>
        </is>
      </c>
      <c r="F147" s="17" t="n">
        <v>21</v>
      </c>
      <c r="G147" s="17">
        <f>(2.0*L147+O147+Q147+V147+X147+Y147)/(1-M147-$G$8-$G$4-(1-H147)*$G$3-Z147-AB147)</f>
        <v/>
      </c>
      <c r="H147" s="18" t="n">
        <v>0.45</v>
      </c>
      <c r="I147" s="19">
        <f>G147*(1-H147)</f>
        <v/>
      </c>
      <c r="J147" s="20" t="n">
        <v>556.1799999999999</v>
      </c>
      <c r="K147" s="21">
        <f>$G$5</f>
        <v/>
      </c>
      <c r="L147" s="22">
        <f>J147+K147</f>
        <v/>
      </c>
      <c r="M147" s="23" t="n">
        <v>0.41</v>
      </c>
      <c r="N147" s="24">
        <f>G147*M147</f>
        <v/>
      </c>
      <c r="O147" s="25" t="n">
        <v>67</v>
      </c>
      <c r="P147" s="24">
        <f>G147*$G$8</f>
        <v/>
      </c>
      <c r="Q147" s="25" t="n">
        <v>25</v>
      </c>
      <c r="R147" s="24">
        <f>G147*$G$4</f>
        <v/>
      </c>
      <c r="S147" s="24">
        <f>I147*$G$3</f>
        <v/>
      </c>
      <c r="T147" s="26" t="n">
        <v>0.9</v>
      </c>
      <c r="U147" s="25" t="n">
        <v>67</v>
      </c>
      <c r="V147" s="24">
        <f>U147*(1-T147)</f>
        <v/>
      </c>
      <c r="W147" s="27" t="n">
        <v>0.57</v>
      </c>
      <c r="X147" s="24">
        <f>$G$6*$G$7*W147</f>
        <v/>
      </c>
      <c r="Y147" s="22">
        <f>W147*($G$9+$G$10)</f>
        <v/>
      </c>
      <c r="Z147" s="23" t="n">
        <v>0.07000000000000001</v>
      </c>
      <c r="AA147" s="24">
        <f>G147*Z147</f>
        <v/>
      </c>
      <c r="AB147" s="26" t="n">
        <v>0.08</v>
      </c>
      <c r="AC147" s="24">
        <f>G147*AB147</f>
        <v/>
      </c>
      <c r="AD147" s="24">
        <f>AA147+AC147</f>
        <v/>
      </c>
      <c r="AE147" s="28">
        <f>AD147/G147</f>
        <v/>
      </c>
      <c r="AF147" s="29">
        <f>G147-N147-O147-P147-Q147-R147-S147-V147-X147-Y147-L147</f>
        <v/>
      </c>
      <c r="AG147" s="30">
        <f>AF147-AD147</f>
        <v/>
      </c>
      <c r="AH147" s="31">
        <f>AG147/G147</f>
        <v/>
      </c>
      <c r="AI147" s="32">
        <f>AG147/L147</f>
        <v/>
      </c>
      <c r="AJ147" s="24">
        <f>(O147+Q147+V147+X147+Y147+L147)/(1-(M147+$G$4+(1-H147)*$G$3+$G$8+Z147+AB147))</f>
        <v/>
      </c>
    </row>
    <row r="148">
      <c r="A148" s="33" t="inlineStr">
        <is>
          <t>CELIMAX PORE+DARK SPOT BRIGHTENING SERUM_30ml [30ml]/Сыворотка для выравнивания тона и рельефа кожи лица</t>
        </is>
      </c>
      <c r="B148" s="34" t="n"/>
      <c r="C148" s="34" t="n"/>
      <c r="D148" s="35" t="n"/>
      <c r="E148" s="35" t="n"/>
      <c r="F148" s="35" t="n"/>
      <c r="G148" s="35" t="n"/>
      <c r="H148" s="36" t="n"/>
      <c r="I148" s="37" t="n"/>
      <c r="J148" s="38" t="n"/>
      <c r="K148" s="38" t="n"/>
      <c r="L148" s="39" t="n"/>
      <c r="M148" s="40" t="n"/>
      <c r="N148" s="35" t="n"/>
      <c r="O148" s="35" t="n"/>
      <c r="P148" s="35" t="n"/>
      <c r="Q148" s="35" t="n"/>
      <c r="R148" s="35" t="n"/>
      <c r="S148" s="35" t="n"/>
      <c r="T148" s="41" t="n"/>
      <c r="U148" s="35" t="n"/>
      <c r="V148" s="35" t="n"/>
      <c r="W148" s="42" t="n"/>
      <c r="X148" s="35" t="n"/>
      <c r="Y148" s="39" t="n"/>
      <c r="Z148" s="40" t="n"/>
      <c r="AA148" s="35" t="n"/>
      <c r="AB148" s="41" t="n"/>
      <c r="AC148" s="35" t="n"/>
      <c r="AD148" s="35" t="n"/>
      <c r="AE148" s="43" t="n"/>
      <c r="AF148" s="44" t="n"/>
      <c r="AG148" s="35" t="n"/>
      <c r="AH148" s="41" t="n"/>
      <c r="AI148" s="41" t="n"/>
      <c r="AJ148" s="35" t="n"/>
    </row>
    <row r="149">
      <c r="A149" s="33" t="inlineStr">
        <is>
          <t>CELIMAX THE REAL NONI MOISTURE BALANCING TONER (NEW) [150ml]/Восстанавливающий тонер с экстрактом нони</t>
        </is>
      </c>
      <c r="B149" s="34" t="n"/>
      <c r="C149" s="34" t="n"/>
      <c r="D149" s="35" t="n"/>
      <c r="E149" s="35" t="n"/>
      <c r="F149" s="35" t="n"/>
      <c r="G149" s="35" t="n"/>
      <c r="H149" s="36" t="n"/>
      <c r="I149" s="37" t="n"/>
      <c r="J149" s="38" t="n"/>
      <c r="K149" s="38" t="n"/>
      <c r="L149" s="39" t="n"/>
      <c r="M149" s="40" t="n"/>
      <c r="N149" s="35" t="n"/>
      <c r="O149" s="35" t="n"/>
      <c r="P149" s="35" t="n"/>
      <c r="Q149" s="35" t="n"/>
      <c r="R149" s="35" t="n"/>
      <c r="S149" s="35" t="n"/>
      <c r="T149" s="41" t="n"/>
      <c r="U149" s="35" t="n"/>
      <c r="V149" s="35" t="n"/>
      <c r="W149" s="42" t="n"/>
      <c r="X149" s="35" t="n"/>
      <c r="Y149" s="39" t="n"/>
      <c r="Z149" s="40" t="n"/>
      <c r="AA149" s="35" t="n"/>
      <c r="AB149" s="41" t="n"/>
      <c r="AC149" s="35" t="n"/>
      <c r="AD149" s="35" t="n"/>
      <c r="AE149" s="43" t="n"/>
      <c r="AF149" s="44" t="n"/>
      <c r="AG149" s="35" t="n"/>
      <c r="AH149" s="41" t="n"/>
      <c r="AI149" s="41" t="n"/>
      <c r="AJ149" s="35" t="n"/>
    </row>
    <row r="150">
      <c r="A150" s="12" t="inlineStr">
        <is>
          <t>Косметика/VT</t>
        </is>
      </c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  <c r="AJ150" s="13" t="n"/>
    </row>
    <row r="151">
      <c r="A151" s="14" t="inlineStr">
        <is>
          <t>VT PDRN ESSENCE 100 / Укрепляющая бустер-эссенция с ПДРН</t>
        </is>
      </c>
      <c r="B151" s="15" t="n"/>
      <c r="C151" s="16" t="n"/>
      <c r="D151" s="17" t="n">
        <v>6000</v>
      </c>
      <c r="E151" s="17" t="n">
        <v>500</v>
      </c>
      <c r="F151" s="17" t="n">
        <v>10</v>
      </c>
      <c r="G151" s="17">
        <f>(2.0*L151+O151+Q151+V151+X151+Y151)/(1-M151-$G$8-$G$4-(1-H151)*$G$3-Z151-AB151)</f>
        <v/>
      </c>
      <c r="H151" s="18" t="n">
        <v>0.45</v>
      </c>
      <c r="I151" s="19">
        <f>G151*(1-H151)</f>
        <v/>
      </c>
      <c r="J151" s="20" t="n">
        <v>1335.95</v>
      </c>
      <c r="K151" s="21">
        <f>$G$5</f>
        <v/>
      </c>
      <c r="L151" s="22">
        <f>J151+K151</f>
        <v/>
      </c>
      <c r="M151" s="23" t="n">
        <v>0.41</v>
      </c>
      <c r="N151" s="24">
        <f>G151*M151</f>
        <v/>
      </c>
      <c r="O151" s="25" t="n">
        <v>63</v>
      </c>
      <c r="P151" s="24">
        <f>G151*$G$8</f>
        <v/>
      </c>
      <c r="Q151" s="25" t="n">
        <v>25</v>
      </c>
      <c r="R151" s="24">
        <f>G151*$G$4</f>
        <v/>
      </c>
      <c r="S151" s="24">
        <f>I151*$G$3</f>
        <v/>
      </c>
      <c r="T151" s="26" t="n">
        <v>0.9</v>
      </c>
      <c r="U151" s="25" t="n">
        <v>63</v>
      </c>
      <c r="V151" s="24">
        <f>U151*(1-T151)</f>
        <v/>
      </c>
      <c r="W151" s="27" t="n">
        <v>0.3</v>
      </c>
      <c r="X151" s="24">
        <f>$G$6*$G$7*W151</f>
        <v/>
      </c>
      <c r="Y151" s="22">
        <f>W151*($G$9+$G$10)</f>
        <v/>
      </c>
      <c r="Z151" s="23" t="n">
        <v>0.07000000000000001</v>
      </c>
      <c r="AA151" s="24">
        <f>G151*Z151</f>
        <v/>
      </c>
      <c r="AB151" s="26" t="n">
        <v>0.08</v>
      </c>
      <c r="AC151" s="24">
        <f>G151*AB151</f>
        <v/>
      </c>
      <c r="AD151" s="24">
        <f>AA151+AC151</f>
        <v/>
      </c>
      <c r="AE151" s="28">
        <f>AD151/G151</f>
        <v/>
      </c>
      <c r="AF151" s="29">
        <f>G151-N151-O151-P151-Q151-R151-S151-V151-X151-Y151-L151</f>
        <v/>
      </c>
      <c r="AG151" s="30">
        <f>AF151-AD151</f>
        <v/>
      </c>
      <c r="AH151" s="31">
        <f>AG151/G151</f>
        <v/>
      </c>
      <c r="AI151" s="32">
        <f>AG151/L151</f>
        <v/>
      </c>
      <c r="AJ151" s="24">
        <f>(O151+Q151+V151+X151+Y151+L151)/(1-(M151+$G$4+(1-H151)*$G$3+$G$8+Z151+AB151))</f>
        <v/>
      </c>
    </row>
    <row r="152">
      <c r="A152" s="14" t="inlineStr">
        <is>
          <t>VT REEDLE SHOT 100 / Бустер-сыворотка с микроиглами</t>
        </is>
      </c>
      <c r="B152" s="15" t="n"/>
      <c r="C152" s="16" t="n"/>
      <c r="D152" s="17" t="n">
        <v>5900</v>
      </c>
      <c r="E152" s="17" t="n">
        <v>220</v>
      </c>
      <c r="F152" s="17" t="n">
        <v>11</v>
      </c>
      <c r="G152" s="17">
        <f>(2.5*L152+O152+Q152+V152+X152+Y152)/(1-M152-$G$8-$G$4-(1-H152)*$G$3-Z152-AB152)</f>
        <v/>
      </c>
      <c r="H152" s="18" t="n">
        <v>0.45</v>
      </c>
      <c r="I152" s="19">
        <f>G152*(1-H152)</f>
        <v/>
      </c>
      <c r="J152" s="20" t="n">
        <v>974.04</v>
      </c>
      <c r="K152" s="21">
        <f>$G$5</f>
        <v/>
      </c>
      <c r="L152" s="22">
        <f>J152+K152</f>
        <v/>
      </c>
      <c r="M152" s="23" t="n">
        <v>0.41</v>
      </c>
      <c r="N152" s="24">
        <f>G152*M152</f>
        <v/>
      </c>
      <c r="O152" s="25" t="n">
        <v>63</v>
      </c>
      <c r="P152" s="24">
        <f>G152*$G$8</f>
        <v/>
      </c>
      <c r="Q152" s="25" t="n">
        <v>25</v>
      </c>
      <c r="R152" s="24">
        <f>G152*$G$4</f>
        <v/>
      </c>
      <c r="S152" s="24">
        <f>I152*$G$3</f>
        <v/>
      </c>
      <c r="T152" s="26" t="n">
        <v>0.9</v>
      </c>
      <c r="U152" s="25" t="n">
        <v>63</v>
      </c>
      <c r="V152" s="24">
        <f>U152*(1-T152)</f>
        <v/>
      </c>
      <c r="W152" s="27" t="n">
        <v>0.4</v>
      </c>
      <c r="X152" s="24">
        <f>$G$6*$G$7*W152</f>
        <v/>
      </c>
      <c r="Y152" s="22">
        <f>W152*($G$9+$G$10)</f>
        <v/>
      </c>
      <c r="Z152" s="23" t="n">
        <v>0.07000000000000001</v>
      </c>
      <c r="AA152" s="24">
        <f>G152*Z152</f>
        <v/>
      </c>
      <c r="AB152" s="26" t="n">
        <v>0.08</v>
      </c>
      <c r="AC152" s="24">
        <f>G152*AB152</f>
        <v/>
      </c>
      <c r="AD152" s="24">
        <f>AA152+AC152</f>
        <v/>
      </c>
      <c r="AE152" s="28">
        <f>AD152/G152</f>
        <v/>
      </c>
      <c r="AF152" s="29">
        <f>G152-N152-O152-P152-Q152-R152-S152-V152-X152-Y152-L152</f>
        <v/>
      </c>
      <c r="AG152" s="30">
        <f>AF152-AD152</f>
        <v/>
      </c>
      <c r="AH152" s="31">
        <f>AG152/G152</f>
        <v/>
      </c>
      <c r="AI152" s="32">
        <f>AG152/L152</f>
        <v/>
      </c>
      <c r="AJ152" s="24">
        <f>(O152+Q152+V152+X152+Y152+L152)/(1-(M152+$G$4+(1-H152)*$G$3+$G$8+Z152+AB152))</f>
        <v/>
      </c>
    </row>
    <row r="153">
      <c r="A153" s="33" t="inlineStr">
        <is>
          <t>Итого:</t>
        </is>
      </c>
      <c r="B153" s="34" t="n"/>
      <c r="C153" s="34" t="n"/>
      <c r="D153" s="35" t="n"/>
      <c r="E153" s="35" t="n"/>
      <c r="F153" s="35" t="n"/>
      <c r="G153" s="35" t="n"/>
      <c r="H153" s="36" t="n"/>
      <c r="I153" s="37" t="n"/>
      <c r="J153" s="38" t="n"/>
      <c r="K153" s="38" t="n"/>
      <c r="L153" s="39" t="n"/>
      <c r="M153" s="40" t="n"/>
      <c r="N153" s="35" t="n"/>
      <c r="O153" s="35" t="n"/>
      <c r="P153" s="35" t="n"/>
      <c r="Q153" s="35" t="n"/>
      <c r="R153" s="35" t="n"/>
      <c r="S153" s="35" t="n"/>
      <c r="T153" s="41" t="n"/>
      <c r="U153" s="35" t="n"/>
      <c r="V153" s="35" t="n"/>
      <c r="W153" s="42" t="n"/>
      <c r="X153" s="35" t="n"/>
      <c r="Y153" s="39" t="n"/>
      <c r="Z153" s="40" t="n"/>
      <c r="AA153" s="35" t="n"/>
      <c r="AB153" s="41" t="n"/>
      <c r="AC153" s="35" t="n"/>
      <c r="AD153" s="35" t="n"/>
      <c r="AE153" s="43" t="n"/>
      <c r="AF153" s="44" t="n"/>
      <c r="AG153" s="35" t="n"/>
      <c r="AH153" s="41" t="n"/>
      <c r="AI153" s="41" t="n"/>
      <c r="AJ153" s="35" t="n"/>
    </row>
    <row r="154">
      <c r="A154" s="12" t="inlineStr">
        <is>
          <t>НЕ В ОСТАТКАХ (юнитка без строки в остатках)</t>
        </is>
      </c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  <c r="AJ154" s="13" t="n"/>
    </row>
    <row r="155">
      <c r="A155" s="57" t="inlineStr">
        <is>
          <t>1025 DOKDO BUBBLE FOAM_150ml</t>
        </is>
      </c>
      <c r="B155" s="58" t="n">
        <v>600</v>
      </c>
      <c r="C155" s="59" t="n"/>
      <c r="D155" s="17" t="n">
        <v>2650</v>
      </c>
      <c r="E155" s="17" t="n">
        <v>20</v>
      </c>
      <c r="F155" s="17" t="n">
        <v>2</v>
      </c>
      <c r="G155" s="17">
        <f>(2.5*L155+O155+Q155+V155+X155+Y155)/(1-M155-$G$8-$G$4-(1-H155)*$G$3-Z155-AB155)</f>
        <v/>
      </c>
      <c r="H155" s="18" t="n">
        <v>0.45</v>
      </c>
      <c r="I155" s="19">
        <f>G155*(1-H155)</f>
        <v/>
      </c>
      <c r="J155" s="20" t="n">
        <v>455</v>
      </c>
      <c r="K155" s="21">
        <f>$G$5</f>
        <v/>
      </c>
      <c r="L155" s="22">
        <f>J155+K155</f>
        <v/>
      </c>
      <c r="M155" s="23" t="n">
        <v>0.41</v>
      </c>
      <c r="N155" s="24">
        <f>G155*M155</f>
        <v/>
      </c>
      <c r="O155" s="25" t="n">
        <v>74</v>
      </c>
      <c r="P155" s="24">
        <f>G155*$G$8</f>
        <v/>
      </c>
      <c r="Q155" s="25" t="n">
        <v>25</v>
      </c>
      <c r="R155" s="24">
        <f>G155*$G$4</f>
        <v/>
      </c>
      <c r="S155" s="24">
        <f>I155*$G$3</f>
        <v/>
      </c>
      <c r="T155" s="26" t="n">
        <v>0.9</v>
      </c>
      <c r="U155" s="25" t="n">
        <v>74</v>
      </c>
      <c r="V155" s="24">
        <f>U155*(1-T155)</f>
        <v/>
      </c>
      <c r="W155" s="27" t="n">
        <v>1.28</v>
      </c>
      <c r="X155" s="24">
        <f>$G$6*$G$7*W155</f>
        <v/>
      </c>
      <c r="Y155" s="22">
        <f>W155*($G$9+$G$10)</f>
        <v/>
      </c>
      <c r="Z155" s="23" t="n">
        <v>0.07000000000000001</v>
      </c>
      <c r="AA155" s="24">
        <f>G155*Z155</f>
        <v/>
      </c>
      <c r="AB155" s="26" t="n">
        <v>0.08</v>
      </c>
      <c r="AC155" s="24">
        <f>G155*AB155</f>
        <v/>
      </c>
      <c r="AD155" s="24">
        <f>AA155+AC155</f>
        <v/>
      </c>
      <c r="AE155" s="28">
        <f>AD155/G155</f>
        <v/>
      </c>
      <c r="AF155" s="29">
        <f>G155-N155-O155-P155-Q155-R155-S155-V155-X155-Y155-L155</f>
        <v/>
      </c>
      <c r="AG155" s="30">
        <f>AF155-AD155</f>
        <v/>
      </c>
      <c r="AH155" s="31">
        <f>AG155/G155</f>
        <v/>
      </c>
      <c r="AI155" s="32">
        <f>AG155/L155</f>
        <v/>
      </c>
      <c r="AJ155" s="24">
        <f>(O155+Q155+V155+X155+Y155+L155)/(1-(M155+$G$4+(1-H155)*$G$3+$G$8+Z155+AB155))</f>
        <v/>
      </c>
    </row>
    <row r="156">
      <c r="A156" s="57" t="inlineStr">
        <is>
          <t>MEDICUBE PDRN PINK PEPTIDE SERUM 30ml</t>
        </is>
      </c>
      <c r="B156" s="58" t="n">
        <v>320</v>
      </c>
      <c r="C156" s="56" t="n"/>
      <c r="D156" s="17" t="n">
        <v>4880</v>
      </c>
      <c r="E156" s="17" t="n">
        <v>220</v>
      </c>
      <c r="F156" s="17" t="n">
        <v>10</v>
      </c>
      <c r="G156" s="17">
        <f>(3.0*L156+O156+Q156+V156+X156+Y156)/(1-M156-$G$8-$G$4-(1-H156)*$G$3-Z156-AB156)</f>
        <v/>
      </c>
      <c r="H156" s="18" t="n">
        <v>0.45</v>
      </c>
      <c r="I156" s="19">
        <f>G156*(1-H156)</f>
        <v/>
      </c>
      <c r="J156" s="20" t="n">
        <v>674</v>
      </c>
      <c r="K156" s="21">
        <f>$G$5</f>
        <v/>
      </c>
      <c r="L156" s="22">
        <f>J156+K156</f>
        <v/>
      </c>
      <c r="M156" s="23" t="n">
        <v>0.41</v>
      </c>
      <c r="N156" s="24">
        <f>G156*M156</f>
        <v/>
      </c>
      <c r="O156" s="25" t="n">
        <v>63</v>
      </c>
      <c r="P156" s="24">
        <f>G156*$G$8</f>
        <v/>
      </c>
      <c r="Q156" s="25" t="n">
        <v>25</v>
      </c>
      <c r="R156" s="24">
        <f>G156*$G$4</f>
        <v/>
      </c>
      <c r="S156" s="24">
        <f>I156*$G$3</f>
        <v/>
      </c>
      <c r="T156" s="26" t="n">
        <v>0.9</v>
      </c>
      <c r="U156" s="25" t="n">
        <v>63</v>
      </c>
      <c r="V156" s="24">
        <f>U156*(1-T156)</f>
        <v/>
      </c>
      <c r="W156" s="27" t="n">
        <v>0.4</v>
      </c>
      <c r="X156" s="24">
        <f>$G$6*$G$7*W156</f>
        <v/>
      </c>
      <c r="Y156" s="22">
        <f>W156*($G$9+$G$10)</f>
        <v/>
      </c>
      <c r="Z156" s="23" t="n">
        <v>0.07000000000000001</v>
      </c>
      <c r="AA156" s="24">
        <f>G156*Z156</f>
        <v/>
      </c>
      <c r="AB156" s="26" t="n">
        <v>0.08</v>
      </c>
      <c r="AC156" s="24">
        <f>G156*AB156</f>
        <v/>
      </c>
      <c r="AD156" s="24">
        <f>AA156+AC156</f>
        <v/>
      </c>
      <c r="AE156" s="28">
        <f>AD156/G156</f>
        <v/>
      </c>
      <c r="AF156" s="29">
        <f>G156-N156-O156-P156-Q156-R156-S156-V156-X156-Y156-L156</f>
        <v/>
      </c>
      <c r="AG156" s="30">
        <f>AF156-AD156</f>
        <v/>
      </c>
      <c r="AH156" s="31">
        <f>AG156/G156</f>
        <v/>
      </c>
      <c r="AI156" s="32">
        <f>AG156/L156</f>
        <v/>
      </c>
      <c r="AJ156" s="24">
        <f>(O156+Q156+V156+X156+Y156+L156)/(1-(M156+$G$4+(1-H156)*$G$3+$G$8+Z156+AB156))</f>
        <v/>
      </c>
    </row>
    <row r="157">
      <c r="A157" s="57" t="inlineStr">
        <is>
          <t>MEDICUBE PDRN PINK EXOSOME SHOT SERUM 7500 30ml</t>
        </is>
      </c>
      <c r="B157" s="58" t="n">
        <v>400</v>
      </c>
      <c r="C157" s="60" t="n"/>
      <c r="D157" s="17" t="n">
        <v>5000</v>
      </c>
      <c r="E157" s="17" t="n">
        <v>60</v>
      </c>
      <c r="F157" s="17" t="n">
        <v>10</v>
      </c>
      <c r="G157" s="17">
        <f>(2.5*L157+O157+Q157+V157+X157+Y157)/(1-M157-$G$8-$G$4-(1-H157)*$G$3-Z157-AB157)</f>
        <v/>
      </c>
      <c r="H157" s="18" t="n">
        <v>0.45</v>
      </c>
      <c r="I157" s="19">
        <f>G157*(1-H157)</f>
        <v/>
      </c>
      <c r="J157" s="20" t="n">
        <v>833</v>
      </c>
      <c r="K157" s="21">
        <f>$G$5</f>
        <v/>
      </c>
      <c r="L157" s="22">
        <f>J157+K157</f>
        <v/>
      </c>
      <c r="M157" s="23" t="n">
        <v>0.41</v>
      </c>
      <c r="N157" s="24">
        <f>G157*M157</f>
        <v/>
      </c>
      <c r="O157" s="25" t="n">
        <v>63</v>
      </c>
      <c r="P157" s="24">
        <f>G157*$G$8</f>
        <v/>
      </c>
      <c r="Q157" s="25" t="n">
        <v>25</v>
      </c>
      <c r="R157" s="24">
        <f>G157*$G$4</f>
        <v/>
      </c>
      <c r="S157" s="24">
        <f>I157*$G$3</f>
        <v/>
      </c>
      <c r="T157" s="26" t="n">
        <v>0.9</v>
      </c>
      <c r="U157" s="25" t="n">
        <v>63</v>
      </c>
      <c r="V157" s="24">
        <f>U157*(1-T157)</f>
        <v/>
      </c>
      <c r="W157" s="27" t="n">
        <v>0.4</v>
      </c>
      <c r="X157" s="24">
        <f>$G$6*$G$7*W157</f>
        <v/>
      </c>
      <c r="Y157" s="22">
        <f>W157*($G$9+$G$10)</f>
        <v/>
      </c>
      <c r="Z157" s="23" t="n">
        <v>0.07000000000000001</v>
      </c>
      <c r="AA157" s="24">
        <f>G157*Z157</f>
        <v/>
      </c>
      <c r="AB157" s="26" t="n">
        <v>0.08</v>
      </c>
      <c r="AC157" s="24">
        <f>G157*AB157</f>
        <v/>
      </c>
      <c r="AD157" s="24">
        <f>AA157+AC157</f>
        <v/>
      </c>
      <c r="AE157" s="28">
        <f>AD157/G157</f>
        <v/>
      </c>
      <c r="AF157" s="29">
        <f>G157-N157-O157-P157-Q157-R157-S157-V157-X157-Y157-L157</f>
        <v/>
      </c>
      <c r="AG157" s="30">
        <f>AF157-AD157</f>
        <v/>
      </c>
      <c r="AH157" s="31">
        <f>AG157/G157</f>
        <v/>
      </c>
      <c r="AI157" s="32">
        <f>AG157/L157</f>
        <v/>
      </c>
      <c r="AJ157" s="24">
        <f>(O157+Q157+V157+X157+Y157+L157)/(1-(M157+$G$4+(1-H157)*$G$3+$G$8+Z157+AB157))</f>
        <v/>
      </c>
    </row>
    <row r="158">
      <c r="A158" s="57" t="inlineStr">
        <is>
          <t>MEDICUBE PDRN PINK EXOSOME SHOT SERUM 2000 30ml</t>
        </is>
      </c>
      <c r="B158" s="58" t="n">
        <v>300</v>
      </c>
      <c r="C158" s="56" t="n"/>
      <c r="D158" s="17" t="n">
        <v>5150</v>
      </c>
      <c r="E158" s="17" t="n">
        <v>65</v>
      </c>
      <c r="F158" s="17" t="n">
        <v>5</v>
      </c>
      <c r="G158" s="17">
        <f>(3.0*L158+O158+Q158+V158+X158+Y158)/(1-M158-$G$8-$G$4-(1-H158)*$G$3-Z158-AB158)</f>
        <v/>
      </c>
      <c r="H158" s="18" t="n">
        <v>0.45</v>
      </c>
      <c r="I158" s="19">
        <f>G158*(1-H158)</f>
        <v/>
      </c>
      <c r="J158" s="20" t="n">
        <v>757</v>
      </c>
      <c r="K158" s="21">
        <f>$G$5</f>
        <v/>
      </c>
      <c r="L158" s="22">
        <f>J158+K158</f>
        <v/>
      </c>
      <c r="M158" s="23" t="n">
        <v>0.41</v>
      </c>
      <c r="N158" s="24">
        <f>G158*M158</f>
        <v/>
      </c>
      <c r="O158" s="25" t="n">
        <v>63</v>
      </c>
      <c r="P158" s="24">
        <f>G158*$G$8</f>
        <v/>
      </c>
      <c r="Q158" s="25" t="n">
        <v>25</v>
      </c>
      <c r="R158" s="24">
        <f>G158*$G$4</f>
        <v/>
      </c>
      <c r="S158" s="24">
        <f>I158*$G$3</f>
        <v/>
      </c>
      <c r="T158" s="26" t="n">
        <v>0.9</v>
      </c>
      <c r="U158" s="25" t="n">
        <v>63</v>
      </c>
      <c r="V158" s="24">
        <f>U158*(1-T158)</f>
        <v/>
      </c>
      <c r="W158" s="27" t="n">
        <v>0.4</v>
      </c>
      <c r="X158" s="24">
        <f>$G$6*$G$7*W158</f>
        <v/>
      </c>
      <c r="Y158" s="22">
        <f>W158*($G$9+$G$10)</f>
        <v/>
      </c>
      <c r="Z158" s="23" t="n">
        <v>0.07000000000000001</v>
      </c>
      <c r="AA158" s="24">
        <f>G158*Z158</f>
        <v/>
      </c>
      <c r="AB158" s="26" t="n">
        <v>0.08</v>
      </c>
      <c r="AC158" s="24">
        <f>G158*AB158</f>
        <v/>
      </c>
      <c r="AD158" s="24">
        <f>AA158+AC158</f>
        <v/>
      </c>
      <c r="AE158" s="28">
        <f>AD158/G158</f>
        <v/>
      </c>
      <c r="AF158" s="29">
        <f>G158-N158-O158-P158-Q158-R158-S158-V158-X158-Y158-L158</f>
        <v/>
      </c>
      <c r="AG158" s="30">
        <f>AF158-AD158</f>
        <v/>
      </c>
      <c r="AH158" s="31">
        <f>AG158/G158</f>
        <v/>
      </c>
      <c r="AI158" s="32">
        <f>AG158/L158</f>
        <v/>
      </c>
      <c r="AJ158" s="24">
        <f>(O158+Q158+V158+X158+Y158+L158)/(1-(M158+$G$4+(1-H158)*$G$3+$G$8+Z158+AB158))</f>
        <v/>
      </c>
    </row>
    <row r="159">
      <c r="A159" s="57" t="inlineStr">
        <is>
          <t>MEDICUBE TXA NIACINAMIDE CAPSULE CREAM 55g</t>
        </is>
      </c>
      <c r="B159" s="58" t="n">
        <v>240</v>
      </c>
      <c r="C159" s="56" t="n"/>
      <c r="D159" s="17" t="n">
        <v>6900</v>
      </c>
      <c r="E159" s="17" t="n">
        <v>25</v>
      </c>
      <c r="F159" s="17" t="n">
        <v>0</v>
      </c>
      <c r="G159" s="17">
        <f>(3.0*L159+O159+Q159+V159+X159+Y159)/(1-M159-$G$8-$G$4-(1-H159)*$G$3-Z159-AB159)</f>
        <v/>
      </c>
      <c r="H159" s="18" t="n">
        <v>0.45</v>
      </c>
      <c r="I159" s="19">
        <f>G159*(1-H159)</f>
        <v/>
      </c>
      <c r="J159" s="20" t="n">
        <v>922</v>
      </c>
      <c r="K159" s="21">
        <f>$G$5</f>
        <v/>
      </c>
      <c r="L159" s="22">
        <f>J159+K159</f>
        <v/>
      </c>
      <c r="M159" s="23" t="n">
        <v>0.41</v>
      </c>
      <c r="N159" s="24">
        <f>G159*M159</f>
        <v/>
      </c>
      <c r="O159" s="25" t="n">
        <v>63</v>
      </c>
      <c r="P159" s="24">
        <f>G159*$G$8</f>
        <v/>
      </c>
      <c r="Q159" s="25" t="n">
        <v>25</v>
      </c>
      <c r="R159" s="24">
        <f>G159*$G$4</f>
        <v/>
      </c>
      <c r="S159" s="24">
        <f>I159*$G$3</f>
        <v/>
      </c>
      <c r="T159" s="26" t="n">
        <v>0.9</v>
      </c>
      <c r="U159" s="25" t="n">
        <v>63</v>
      </c>
      <c r="V159" s="24">
        <f>U159*(1-T159)</f>
        <v/>
      </c>
      <c r="W159" s="27" t="n">
        <v>0.4</v>
      </c>
      <c r="X159" s="24">
        <f>$G$6*$G$7*W159</f>
        <v/>
      </c>
      <c r="Y159" s="22">
        <f>W159*($G$9+$G$10)</f>
        <v/>
      </c>
      <c r="Z159" s="23" t="n">
        <v>0.07000000000000001</v>
      </c>
      <c r="AA159" s="24">
        <f>G159*Z159</f>
        <v/>
      </c>
      <c r="AB159" s="26" t="n">
        <v>0.08</v>
      </c>
      <c r="AC159" s="24">
        <f>G159*AB159</f>
        <v/>
      </c>
      <c r="AD159" s="24">
        <f>AA159+AC159</f>
        <v/>
      </c>
      <c r="AE159" s="28">
        <f>AD159/G159</f>
        <v/>
      </c>
      <c r="AF159" s="29">
        <f>G159-N159-O159-P159-Q159-R159-S159-V159-X159-Y159-L159</f>
        <v/>
      </c>
      <c r="AG159" s="30">
        <f>AF159-AD159</f>
        <v/>
      </c>
      <c r="AH159" s="31">
        <f>AG159/G159</f>
        <v/>
      </c>
      <c r="AI159" s="32">
        <f>AG159/L159</f>
        <v/>
      </c>
      <c r="AJ159" s="24">
        <f>(O159+Q159+V159+X159+Y159+L159)/(1-(M159+$G$4+(1-H159)*$G$3+$G$8+Z159+AB159))</f>
        <v/>
      </c>
    </row>
    <row r="160">
      <c r="A160" s="57" t="inlineStr">
        <is>
          <t>MEDICUBE PDRN PINK COLLAGEN CAPSULE CREAM 55g</t>
        </is>
      </c>
      <c r="B160" s="58" t="n">
        <v>160</v>
      </c>
      <c r="C160" s="56" t="n"/>
      <c r="D160" s="17" t="n">
        <v>5270</v>
      </c>
      <c r="E160" s="17" t="n">
        <v>200</v>
      </c>
      <c r="F160" s="17" t="n">
        <v>17</v>
      </c>
      <c r="G160" s="17">
        <f>(2.5*L160+O160+Q160+V160+X160+Y160)/(1-M160-$G$8-$G$4-(1-H160)*$G$3-Z160-AB160)</f>
        <v/>
      </c>
      <c r="H160" s="18" t="n">
        <v>0.45</v>
      </c>
      <c r="I160" s="19">
        <f>G160*(1-H160)</f>
        <v/>
      </c>
      <c r="J160" s="20" t="n">
        <v>1019</v>
      </c>
      <c r="K160" s="21">
        <f>$G$5</f>
        <v/>
      </c>
      <c r="L160" s="22">
        <f>J160+K160</f>
        <v/>
      </c>
      <c r="M160" s="23" t="n">
        <v>0.41</v>
      </c>
      <c r="N160" s="24">
        <f>G160*M160</f>
        <v/>
      </c>
      <c r="O160" s="25" t="n">
        <v>63</v>
      </c>
      <c r="P160" s="24">
        <f>G160*$G$8</f>
        <v/>
      </c>
      <c r="Q160" s="25" t="n">
        <v>25</v>
      </c>
      <c r="R160" s="24">
        <f>G160*$G$4</f>
        <v/>
      </c>
      <c r="S160" s="24">
        <f>I160*$G$3</f>
        <v/>
      </c>
      <c r="T160" s="26" t="n">
        <v>0.9</v>
      </c>
      <c r="U160" s="25" t="n">
        <v>63</v>
      </c>
      <c r="V160" s="24">
        <f>U160*(1-T160)</f>
        <v/>
      </c>
      <c r="W160" s="27" t="n">
        <v>0.4</v>
      </c>
      <c r="X160" s="24">
        <f>$G$6*$G$7*W160</f>
        <v/>
      </c>
      <c r="Y160" s="22">
        <f>W160*($G$9+$G$10)</f>
        <v/>
      </c>
      <c r="Z160" s="23" t="n">
        <v>0.07000000000000001</v>
      </c>
      <c r="AA160" s="24">
        <f>G160*Z160</f>
        <v/>
      </c>
      <c r="AB160" s="26" t="n">
        <v>0.08</v>
      </c>
      <c r="AC160" s="24">
        <f>G160*AB160</f>
        <v/>
      </c>
      <c r="AD160" s="24">
        <f>AA160+AC160</f>
        <v/>
      </c>
      <c r="AE160" s="28">
        <f>AD160/G160</f>
        <v/>
      </c>
      <c r="AF160" s="29">
        <f>G160-N160-O160-P160-Q160-R160-S160-V160-X160-Y160-L160</f>
        <v/>
      </c>
      <c r="AG160" s="30">
        <f>AF160-AD160</f>
        <v/>
      </c>
      <c r="AH160" s="31">
        <f>AG160/G160</f>
        <v/>
      </c>
      <c r="AI160" s="32">
        <f>AG160/L160</f>
        <v/>
      </c>
      <c r="AJ160" s="24">
        <f>(O160+Q160+V160+X160+Y160+L160)/(1-(M160+$G$4+(1-H160)*$G$3+$G$8+Z160+AB160))</f>
        <v/>
      </c>
    </row>
    <row r="161">
      <c r="A161" s="57" t="inlineStr">
        <is>
          <t>MEDICUBE PDRN PINK HYALURONIC MOISTURIZING CREAM 50ml</t>
        </is>
      </c>
      <c r="B161" s="58" t="n">
        <v>200</v>
      </c>
      <c r="C161" s="56" t="n"/>
      <c r="D161" s="17" t="n">
        <v>3450</v>
      </c>
      <c r="E161" s="17" t="n">
        <v>100</v>
      </c>
      <c r="F161" s="17" t="n">
        <v>10</v>
      </c>
      <c r="G161" s="17">
        <f>(2.0*L161+O161+Q161+V161+X161+Y161)/(1-M161-$G$8-$G$4-(1-H161)*$G$3-Z161-AB161)</f>
        <v/>
      </c>
      <c r="H161" s="18" t="n">
        <v>0.45</v>
      </c>
      <c r="I161" s="19">
        <f>G161*(1-H161)</f>
        <v/>
      </c>
      <c r="J161" s="20" t="n">
        <v>670</v>
      </c>
      <c r="K161" s="21">
        <f>$G$5</f>
        <v/>
      </c>
      <c r="L161" s="22">
        <f>J161+K161</f>
        <v/>
      </c>
      <c r="M161" s="23" t="n">
        <v>0.41</v>
      </c>
      <c r="N161" s="24">
        <f>G161*M161</f>
        <v/>
      </c>
      <c r="O161" s="25" t="n">
        <v>63</v>
      </c>
      <c r="P161" s="24">
        <f>G161*$G$8</f>
        <v/>
      </c>
      <c r="Q161" s="25" t="n">
        <v>25</v>
      </c>
      <c r="R161" s="24">
        <f>G161*$G$4</f>
        <v/>
      </c>
      <c r="S161" s="24">
        <f>I161*$G$3</f>
        <v/>
      </c>
      <c r="T161" s="26" t="n">
        <v>0.9</v>
      </c>
      <c r="U161" s="25" t="n">
        <v>63</v>
      </c>
      <c r="V161" s="24">
        <f>U161*(1-T161)</f>
        <v/>
      </c>
      <c r="W161" s="27" t="n">
        <v>0.4</v>
      </c>
      <c r="X161" s="24">
        <f>$G$6*$G$7*W161</f>
        <v/>
      </c>
      <c r="Y161" s="22">
        <f>W161*($G$9+$G$10)</f>
        <v/>
      </c>
      <c r="Z161" s="23" t="n">
        <v>0.07000000000000001</v>
      </c>
      <c r="AA161" s="24">
        <f>G161*Z161</f>
        <v/>
      </c>
      <c r="AB161" s="26" t="n">
        <v>0.08</v>
      </c>
      <c r="AC161" s="24">
        <f>G161*AB161</f>
        <v/>
      </c>
      <c r="AD161" s="24">
        <f>AA161+AC161</f>
        <v/>
      </c>
      <c r="AE161" s="28">
        <f>AD161/G161</f>
        <v/>
      </c>
      <c r="AF161" s="29">
        <f>G161-N161-O161-P161-Q161-R161-S161-V161-X161-Y161-L161</f>
        <v/>
      </c>
      <c r="AG161" s="30">
        <f>AF161-AD161</f>
        <v/>
      </c>
      <c r="AH161" s="31">
        <f>AG161/G161</f>
        <v/>
      </c>
      <c r="AI161" s="32">
        <f>AG161/L161</f>
        <v/>
      </c>
      <c r="AJ161" s="24">
        <f>(O161+Q161+V161+X161+Y161+L161)/(1-(M161+$G$4+(1-H161)*$G$3+$G$8+Z161+AB161))</f>
        <v/>
      </c>
    </row>
    <row r="162">
      <c r="A162" s="57" t="inlineStr">
        <is>
          <t>[Derma Factory] PDRN 4% Ampoule</t>
        </is>
      </c>
      <c r="B162" s="58" t="n">
        <v>1530</v>
      </c>
      <c r="C162" s="56" t="n"/>
      <c r="D162" s="17" t="n">
        <v>3350</v>
      </c>
      <c r="E162" s="17" t="n">
        <v>400</v>
      </c>
      <c r="F162" s="17" t="n">
        <v>13</v>
      </c>
      <c r="G162" s="17">
        <f>(3.0*L162+O162+Q162+V162+X162+Y162)/(1-M162-$G$8-$G$4-(1-H162)*$G$3-Z162-AB162)</f>
        <v/>
      </c>
      <c r="H162" s="18" t="n">
        <v>0.45</v>
      </c>
      <c r="I162" s="19">
        <f>G162*(1-H162)</f>
        <v/>
      </c>
      <c r="J162" s="20" t="n">
        <v>407</v>
      </c>
      <c r="K162" s="21">
        <f>$G$5</f>
        <v/>
      </c>
      <c r="L162" s="22">
        <f>J162+K162</f>
        <v/>
      </c>
      <c r="M162" s="23" t="n">
        <v>0.41</v>
      </c>
      <c r="N162" s="24">
        <f>G162*M162</f>
        <v/>
      </c>
      <c r="O162" s="25" t="n">
        <v>63</v>
      </c>
      <c r="P162" s="24">
        <f>G162*$G$8</f>
        <v/>
      </c>
      <c r="Q162" s="25" t="n">
        <v>25</v>
      </c>
      <c r="R162" s="24">
        <f>G162*$G$4</f>
        <v/>
      </c>
      <c r="S162" s="24">
        <f>I162*$G$3</f>
        <v/>
      </c>
      <c r="T162" s="26" t="n">
        <v>0.9</v>
      </c>
      <c r="U162" s="25" t="n">
        <v>63</v>
      </c>
      <c r="V162" s="24">
        <f>U162*(1-T162)</f>
        <v/>
      </c>
      <c r="W162" s="27" t="n">
        <v>0.4</v>
      </c>
      <c r="X162" s="24">
        <f>$G$6*$G$7*W162</f>
        <v/>
      </c>
      <c r="Y162" s="22">
        <f>W162*($G$9+$G$10)</f>
        <v/>
      </c>
      <c r="Z162" s="23" t="n">
        <v>0.07000000000000001</v>
      </c>
      <c r="AA162" s="24">
        <f>G162*Z162</f>
        <v/>
      </c>
      <c r="AB162" s="26" t="n">
        <v>0.08</v>
      </c>
      <c r="AC162" s="24">
        <f>G162*AB162</f>
        <v/>
      </c>
      <c r="AD162" s="24">
        <f>AA162+AC162</f>
        <v/>
      </c>
      <c r="AE162" s="28">
        <f>AD162/G162</f>
        <v/>
      </c>
      <c r="AF162" s="29">
        <f>G162-N162-O162-P162-Q162-R162-S162-V162-X162-Y162-L162</f>
        <v/>
      </c>
      <c r="AG162" s="30">
        <f>AF162-AD162</f>
        <v/>
      </c>
      <c r="AH162" s="31">
        <f>AG162/G162</f>
        <v/>
      </c>
      <c r="AI162" s="32">
        <f>AG162/L162</f>
        <v/>
      </c>
      <c r="AJ162" s="24">
        <f>(O162+Q162+V162+X162+Y162+L162)/(1-(M162+$G$4+(1-H162)*$G$3+$G$8+Z162+AB162))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2026-08-05T12:15:45Z</dcterms:modified>
</cp:coreProperties>
</file>
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лькулятор (наши условия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808080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2" borderId="1" pivotButton="0" quotePrefix="0" xfId="0"/>
    <xf numFmtId="164" fontId="3" fillId="2" borderId="1" pivotButton="0" quotePrefix="0" xfId="0"/>
    <xf numFmtId="3" fontId="3" fillId="2" borderId="1" pivotButton="0" quotePrefix="0" xfId="0"/>
    <xf numFmtId="10" fontId="3" fillId="2" borderId="1" pivotButton="0" quotePrefix="0" xfId="0"/>
    <xf numFmtId="4" fontId="0" fillId="3" borderId="1" pivotButton="0" quotePrefix="0" xfId="0"/>
    <xf numFmtId="3" fontId="0" fillId="3" borderId="1" pivotButton="0" quotePrefix="0" xfId="0"/>
    <xf numFmtId="4" fontId="3" fillId="3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Юнитка Ozon — наши текущие условия (свой магазин)</t>
        </is>
      </c>
    </row>
    <row r="2">
      <c r="A2" s="2" t="inlineStr">
        <is>
          <t>Пример: Тоник для ухода (Эластичный). Все жёлтые ячейки редактируемые.</t>
        </is>
      </c>
    </row>
    <row r="3">
      <c r="A3" s="3" t="inlineStr">
        <is>
          <t>ПАРАМЕТРЫ</t>
        </is>
      </c>
    </row>
    <row r="4">
      <c r="A4" s="3" t="inlineStr">
        <is>
          <t>Себестоимость, ₽</t>
        </is>
      </c>
      <c r="B4" s="4" t="n">
        <v>723.87</v>
      </c>
    </row>
    <row r="5">
      <c r="A5" s="3" t="inlineStr">
        <is>
          <t>Комиссия, %</t>
        </is>
      </c>
      <c r="B5" s="5" t="n">
        <v>0.52</v>
      </c>
    </row>
    <row r="6">
      <c r="A6" s="3" t="inlineStr">
        <is>
          <t>Цена поставщика (база расчёта), ₽</t>
        </is>
      </c>
      <c r="B6" s="6" t="n">
        <v>4354</v>
      </c>
    </row>
    <row r="7">
      <c r="A7" s="3" t="inlineStr">
        <is>
          <t>Соинвест, %</t>
        </is>
      </c>
      <c r="B7" s="7" t="n">
        <v>0.672944</v>
      </c>
    </row>
    <row r="8">
      <c r="A8" s="3" t="inlineStr">
        <is>
          <t>% выкупа</t>
        </is>
      </c>
      <c r="B8" s="5" t="n">
        <v>0.8256</v>
      </c>
    </row>
    <row r="9">
      <c r="A9" s="3" t="inlineStr">
        <is>
          <t>Логистика туда, ₽</t>
        </is>
      </c>
      <c r="B9" s="4" t="n">
        <v>97.62</v>
      </c>
    </row>
    <row r="10">
      <c r="A10" s="3" t="inlineStr">
        <is>
          <t>Реклама СРС (за клик), ₽</t>
        </is>
      </c>
      <c r="B10" s="4" t="n">
        <v>181.44</v>
      </c>
    </row>
    <row r="11">
      <c r="A11" s="3" t="inlineStr">
        <is>
          <t>Реклама СРО (за заказ), ₽</t>
        </is>
      </c>
      <c r="B11" s="4" t="n">
        <v>7.13</v>
      </c>
    </row>
    <row r="12">
      <c r="A12" s="3" t="inlineStr">
        <is>
          <t>УСН, %</t>
        </is>
      </c>
      <c r="B12" s="5" t="n">
        <v>0.01</v>
      </c>
    </row>
    <row r="13">
      <c r="A13" s="3" t="inlineStr">
        <is>
          <t>НДС, %</t>
        </is>
      </c>
      <c r="B13" s="5" t="n">
        <v>0.05</v>
      </c>
    </row>
    <row r="14">
      <c r="A14" s="3" t="inlineStr">
        <is>
          <t>% Ozon банка (скидка по карте)</t>
        </is>
      </c>
      <c r="B14" s="7" t="n">
        <v>0.099719</v>
      </c>
    </row>
    <row r="15">
      <c r="A15" s="3" t="inlineStr">
        <is>
          <t>Брак, %</t>
        </is>
      </c>
      <c r="B15" s="5" t="n">
        <v>0</v>
      </c>
    </row>
    <row r="16">
      <c r="A16" s="3" t="inlineStr">
        <is>
          <t>Прочие затраты, ₽</t>
        </is>
      </c>
      <c r="B16" s="4" t="n">
        <v>0</v>
      </c>
    </row>
    <row r="17">
      <c r="A17" s="3" t="inlineStr">
        <is>
          <t>РАСЧЁТ</t>
        </is>
      </c>
    </row>
    <row r="18">
      <c r="A18" s="3" t="inlineStr">
        <is>
          <t>Комиссия, ₽</t>
        </is>
      </c>
      <c r="B18" s="8">
        <f>B5*B6</f>
        <v/>
      </c>
    </row>
    <row r="19">
      <c r="A19" s="3" t="inlineStr">
        <is>
          <t>Ц.витрины (видит покупатель), ₽</t>
        </is>
      </c>
      <c r="B19" s="9">
        <f>B6*(1-B7)</f>
        <v/>
      </c>
    </row>
    <row r="20">
      <c r="A20" s="3" t="inlineStr">
        <is>
          <t>Ц.с картой Ozon, ₽</t>
        </is>
      </c>
      <c r="B20" s="9">
        <f>B19*(1-B14)</f>
        <v/>
      </c>
    </row>
    <row r="21">
      <c r="A21" s="3" t="inlineStr">
        <is>
          <t>Логистика (с учётом выкупа), ₽</t>
        </is>
      </c>
      <c r="B21" s="8">
        <f>B9/B8</f>
        <v/>
      </c>
    </row>
    <row r="22">
      <c r="A22" s="3" t="inlineStr">
        <is>
          <t>Налог (УСН+НДС), ₽</t>
        </is>
      </c>
      <c r="B22" s="8">
        <f>B19*(B12+B13)/(1+B13)</f>
        <v/>
      </c>
    </row>
    <row r="23">
      <c r="A23" s="3" t="inlineStr">
        <is>
          <t>Реклама (СРС+СРО), ₽</t>
        </is>
      </c>
      <c r="B23" s="8">
        <f>B10+B11</f>
        <v/>
      </c>
    </row>
    <row r="24">
      <c r="A24" s="3" t="inlineStr">
        <is>
          <t>Брак, ₽</t>
        </is>
      </c>
      <c r="B24" s="8">
        <f>B6*B15</f>
        <v/>
      </c>
    </row>
    <row r="25">
      <c r="A25" s="3" t="inlineStr">
        <is>
          <t>Маржа, ₽</t>
        </is>
      </c>
      <c r="B25" s="10">
        <f>B6-B18-B21-B22-B4-B23-B24-B16</f>
        <v/>
      </c>
    </row>
    <row r="26">
      <c r="A26" s="3" t="inlineStr">
        <is>
          <t>ROI, %</t>
        </is>
      </c>
      <c r="B26" s="11">
        <f>B25/B4</f>
        <v/>
      </c>
    </row>
    <row r="27">
      <c r="A27" s="3" t="inlineStr">
        <is>
          <t>Маржинальность, %</t>
        </is>
      </c>
      <c r="B27" s="11">
        <f>B25/B6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2026-09-15T18:40:53Z</dcterms:created>
  <dcterms:modified xsi:type="dcterms:W3CDTF">2026-09-15T18:40:53Z</dcterms:modified>
</cp:coreProperties>
</file>
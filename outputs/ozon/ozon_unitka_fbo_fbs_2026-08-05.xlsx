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1" autoFilterDateGrouping="1"/>
  </bookViews>
  <sheets>
    <sheet name="Юнитка FBO" sheetId="1" state="visible" r:id="rId1"/>
    <sheet name="Юнитка FB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b val="1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i val="1"/>
      <color theme="1"/>
      <sz val="11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BDD7EE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305496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00000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00000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1"/>
  </cellStyleXfs>
  <cellXfs count="102">
    <xf numFmtId="0" fontId="0" fillId="0" borderId="0" pivotButton="0" quotePrefix="0" xfId="0"/>
    <xf numFmtId="9" fontId="3" fillId="2" borderId="2" pivotButton="0" quotePrefix="0" xfId="0"/>
    <xf numFmtId="164" fontId="3" fillId="2" borderId="2" pivotButton="0" quotePrefix="0" xfId="0"/>
    <xf numFmtId="3" fontId="3" fillId="2" borderId="2" pivotButton="0" quotePrefix="0" xfId="0"/>
    <xf numFmtId="2" fontId="3" fillId="2" borderId="2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0" fillId="4" borderId="7" pivotButton="0" quotePrefix="0" xfId="0"/>
    <xf numFmtId="0" fontId="6" fillId="0" borderId="2" applyAlignment="1" pivotButton="0" quotePrefix="0" xfId="0">
      <alignment wrapText="1"/>
    </xf>
    <xf numFmtId="0" fontId="7" fillId="5" borderId="2" applyAlignment="1" pivotButton="0" quotePrefix="0" xfId="0">
      <alignment horizontal="center"/>
    </xf>
    <xf numFmtId="0" fontId="7" fillId="5" borderId="2" pivotButton="0" quotePrefix="0" xfId="0"/>
    <xf numFmtId="3" fontId="3" fillId="6" borderId="2" applyAlignment="1" pivotButton="0" quotePrefix="0" xfId="0">
      <alignment horizontal="center"/>
    </xf>
    <xf numFmtId="164" fontId="6" fillId="2" borderId="3" pivotButton="0" quotePrefix="0" xfId="0"/>
    <xf numFmtId="3" fontId="6" fillId="0" borderId="4" pivotButton="0" quotePrefix="0" xfId="0"/>
    <xf numFmtId="4" fontId="6" fillId="2" borderId="2" pivotButton="0" quotePrefix="0" xfId="0"/>
    <xf numFmtId="4" fontId="6" fillId="0" borderId="2" pivotButton="0" quotePrefix="0" xfId="0"/>
    <xf numFmtId="4" fontId="6" fillId="0" borderId="5" pivotButton="0" quotePrefix="0" xfId="0"/>
    <xf numFmtId="164" fontId="6" fillId="2" borderId="4" pivotButton="0" quotePrefix="0" xfId="0"/>
    <xf numFmtId="3" fontId="6" fillId="0" borderId="2" pivotButton="0" quotePrefix="0" xfId="0"/>
    <xf numFmtId="3" fontId="6" fillId="2" borderId="2" pivotButton="0" quotePrefix="0" xfId="0"/>
    <xf numFmtId="164" fontId="6" fillId="2" borderId="2" pivotButton="0" quotePrefix="0" xfId="0"/>
    <xf numFmtId="2" fontId="6" fillId="2" borderId="2" pivotButton="0" quotePrefix="0" xfId="0"/>
    <xf numFmtId="164" fontId="6" fillId="0" borderId="5" pivotButton="0" quotePrefix="0" xfId="0"/>
    <xf numFmtId="3" fontId="6" fillId="0" borderId="6" pivotButton="0" quotePrefix="0" xfId="0"/>
    <xf numFmtId="3" fontId="3" fillId="7" borderId="2" pivotButton="0" quotePrefix="0" xfId="0"/>
    <xf numFmtId="164" fontId="6" fillId="0" borderId="2" pivotButton="0" quotePrefix="0" xfId="0"/>
    <xf numFmtId="164" fontId="3" fillId="7" borderId="2" pivotButton="0" quotePrefix="0" xfId="0"/>
    <xf numFmtId="0" fontId="0" fillId="0" borderId="2" pivotButton="0" quotePrefix="0" xfId="0"/>
    <xf numFmtId="3" fontId="0" fillId="0" borderId="2" pivotButton="0" quotePrefix="0" xfId="0"/>
    <xf numFmtId="164" fontId="0" fillId="0" borderId="3" pivotButton="0" quotePrefix="0" xfId="0"/>
    <xf numFmtId="3" fontId="0" fillId="0" borderId="4" pivotButton="0" quotePrefix="0" xfId="0"/>
    <xf numFmtId="4" fontId="0" fillId="0" borderId="2" pivotButton="0" quotePrefix="0" xfId="0"/>
    <xf numFmtId="4" fontId="0" fillId="0" borderId="5" pivotButton="0" quotePrefix="0" xfId="0"/>
    <xf numFmtId="164" fontId="0" fillId="0" borderId="4" pivotButton="0" quotePrefix="0" xfId="0"/>
    <xf numFmtId="164" fontId="0" fillId="0" borderId="2" pivotButton="0" quotePrefix="0" xfId="0"/>
    <xf numFmtId="2" fontId="0" fillId="0" borderId="2" pivotButton="0" quotePrefix="0" xfId="0"/>
    <xf numFmtId="164" fontId="0" fillId="0" borderId="5" pivotButton="0" quotePrefix="0" xfId="0"/>
    <xf numFmtId="3" fontId="0" fillId="0" borderId="6" pivotButton="0" quotePrefix="0" xfId="0"/>
    <xf numFmtId="3" fontId="3" fillId="9" borderId="2" pivotButton="0" quotePrefix="0" xfId="0"/>
    <xf numFmtId="164" fontId="6" fillId="9" borderId="2" pivotButton="0" quotePrefix="0" xfId="0"/>
    <xf numFmtId="164" fontId="3" fillId="9" borderId="2" pivotButton="0" quotePrefix="0" xfId="0"/>
    <xf numFmtId="0" fontId="2" fillId="0" borderId="1" applyAlignment="1" pivotButton="0" quotePrefix="0" xfId="0">
      <alignment horizontal="center"/>
    </xf>
    <xf numFmtId="0" fontId="8" fillId="0" borderId="1" pivotButton="0" quotePrefix="0" xfId="0"/>
    <xf numFmtId="0" fontId="6" fillId="10" borderId="2" applyAlignment="1" pivotButton="0" quotePrefix="0" xfId="0">
      <alignment wrapText="1"/>
    </xf>
    <xf numFmtId="0" fontId="7" fillId="10" borderId="2" applyAlignment="1" pivotButton="0" quotePrefix="0" xfId="0">
      <alignment horizontal="center"/>
    </xf>
    <xf numFmtId="0" fontId="7" fillId="5" borderId="1" pivotButton="0" quotePrefix="0" xfId="0"/>
    <xf numFmtId="0" fontId="9" fillId="0" borderId="1" pivotButton="0" quotePrefix="0" xfId="0"/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5" fillId="4" borderId="7" applyAlignment="1" pivotButton="0" quotePrefix="0" xfId="0">
      <alignment wrapText="1"/>
    </xf>
    <xf numFmtId="0" fontId="0" fillId="8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1" pivotButton="0" quotePrefix="0" xfId="0"/>
    <xf numFmtId="9" fontId="3" fillId="2" borderId="7" pivotButton="0" quotePrefix="0" xfId="0"/>
    <xf numFmtId="164" fontId="3" fillId="2" borderId="7" pivotButton="0" quotePrefix="0" xfId="0"/>
    <xf numFmtId="3" fontId="3" fillId="2" borderId="7" pivotButton="0" quotePrefix="0" xfId="0"/>
    <xf numFmtId="2" fontId="3" fillId="2" borderId="7" pivotButton="0" quotePrefix="0" xfId="0"/>
    <xf numFmtId="164" fontId="10" fillId="11" borderId="8" pivotButton="0" quotePrefix="0" xfId="0"/>
    <xf numFmtId="3" fontId="10" fillId="11" borderId="8" pivotButton="0" quotePrefix="0" xfId="0"/>
    <xf numFmtId="0" fontId="4" fillId="3" borderId="7" applyAlignment="1" pivotButton="0" quotePrefix="0" xfId="0">
      <alignment horizontal="center" vertical="center" wrapText="1"/>
    </xf>
    <xf numFmtId="0" fontId="11" fillId="12" borderId="8" applyAlignment="1" pivotButton="0" quotePrefix="0" xfId="0">
      <alignment horizontal="center" vertical="center" wrapText="1"/>
    </xf>
    <xf numFmtId="0" fontId="10" fillId="4" borderId="8" pivotButton="0" quotePrefix="0" xfId="0"/>
    <xf numFmtId="0" fontId="0" fillId="4" borderId="8" pivotButton="0" quotePrefix="0" xfId="0"/>
    <xf numFmtId="0" fontId="6" fillId="0" borderId="7" applyAlignment="1" pivotButton="0" quotePrefix="0" xfId="0">
      <alignment wrapText="1"/>
    </xf>
    <xf numFmtId="0" fontId="7" fillId="5" borderId="7" applyAlignment="1" pivotButton="0" quotePrefix="0" xfId="0">
      <alignment horizontal="center"/>
    </xf>
    <xf numFmtId="0" fontId="7" fillId="5" borderId="7" pivotButton="0" quotePrefix="0" xfId="0"/>
    <xf numFmtId="3" fontId="3" fillId="6" borderId="7" applyAlignment="1" pivotButton="0" quotePrefix="0" xfId="0">
      <alignment horizontal="center"/>
    </xf>
    <xf numFmtId="4" fontId="6" fillId="2" borderId="7" pivotButton="0" quotePrefix="0" xfId="0"/>
    <xf numFmtId="4" fontId="6" fillId="0" borderId="7" pivotButton="0" quotePrefix="0" xfId="0"/>
    <xf numFmtId="3" fontId="6" fillId="0" borderId="7" pivotButton="0" quotePrefix="0" xfId="0"/>
    <xf numFmtId="3" fontId="6" fillId="2" borderId="7" pivotButton="0" quotePrefix="0" xfId="0"/>
    <xf numFmtId="164" fontId="6" fillId="2" borderId="7" pivotButton="0" quotePrefix="0" xfId="0"/>
    <xf numFmtId="2" fontId="6" fillId="2" borderId="7" pivotButton="0" quotePrefix="0" xfId="0"/>
    <xf numFmtId="3" fontId="3" fillId="7" borderId="7" pivotButton="0" quotePrefix="0" xfId="0"/>
    <xf numFmtId="164" fontId="6" fillId="0" borderId="7" pivotButton="0" quotePrefix="0" xfId="0"/>
    <xf numFmtId="164" fontId="3" fillId="7" borderId="7" pivotButton="0" quotePrefix="0" xfId="0"/>
    <xf numFmtId="0" fontId="0" fillId="8" borderId="7" applyAlignment="1" pivotButton="0" quotePrefix="0" xfId="0">
      <alignment wrapText="1"/>
    </xf>
    <xf numFmtId="0" fontId="0" fillId="0" borderId="7" pivotButton="0" quotePrefix="0" xfId="0"/>
    <xf numFmtId="3" fontId="0" fillId="0" borderId="7" pivotButton="0" quotePrefix="0" xfId="0"/>
    <xf numFmtId="4" fontId="0" fillId="0" borderId="7" pivotButton="0" quotePrefix="0" xfId="0"/>
    <xf numFmtId="164" fontId="0" fillId="0" borderId="7" pivotButton="0" quotePrefix="0" xfId="0"/>
    <xf numFmtId="2" fontId="0" fillId="0" borderId="7" pivotButton="0" quotePrefix="0" xfId="0"/>
    <xf numFmtId="0" fontId="8" fillId="0" borderId="1" applyAlignment="1" pivotButton="0" quotePrefix="0" xfId="0">
      <alignment horizontal="center"/>
    </xf>
    <xf numFmtId="0" fontId="6" fillId="10" borderId="7" applyAlignment="1" pivotButton="0" quotePrefix="0" xfId="0">
      <alignment wrapText="1"/>
    </xf>
    <xf numFmtId="0" fontId="7" fillId="10" borderId="7" applyAlignment="1" pivotButton="0" quotePrefix="0" xfId="0">
      <alignment horizontal="center"/>
    </xf>
    <xf numFmtId="164" fontId="12" fillId="13" borderId="9" pivotButton="0" quotePrefix="0" xfId="0"/>
    <xf numFmtId="0" fontId="13" fillId="14" borderId="9" applyAlignment="1" pivotButton="0" quotePrefix="0" xfId="0">
      <alignment horizontal="center" vertical="center" wrapText="1"/>
    </xf>
    <xf numFmtId="3" fontId="0" fillId="0" borderId="9" pivotButton="0" quotePrefix="0" xfId="0"/>
    <xf numFmtId="0" fontId="13" fillId="3" borderId="9" applyAlignment="1" pivotButton="0" quotePrefix="0" xfId="0">
      <alignment horizontal="center" vertical="center" wrapText="1"/>
    </xf>
    <xf numFmtId="3" fontId="0" fillId="0" borderId="10" pivotButton="0" quotePrefix="0" xfId="0"/>
    <xf numFmtId="0" fontId="0" fillId="0" borderId="1" pivotButton="0" quotePrefix="0" xfId="0"/>
    <xf numFmtId="0" fontId="4" fillId="3" borderId="10" applyAlignment="1" pivotButton="0" quotePrefix="0" xfId="0">
      <alignment horizontal="center" vertical="center" wrapText="1"/>
    </xf>
    <xf numFmtId="0" fontId="10" fillId="4" borderId="10" pivotButton="0" quotePrefix="0" xfId="0"/>
    <xf numFmtId="0" fontId="6" fillId="0" borderId="10" applyAlignment="1" pivotButton="0" quotePrefix="0" xfId="0">
      <alignment wrapText="1"/>
    </xf>
    <xf numFmtId="0" fontId="0" fillId="8" borderId="10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6" fillId="10" borderId="10" applyAlignment="1" pivotButton="0" quotePrefix="0" xfId="0">
      <alignment wrapText="1"/>
    </xf>
    <xf numFmtId="3" fontId="0" fillId="0" borderId="11" pivotButton="0" quotePrefix="0" xfId="0"/>
    <xf numFmtId="3" fontId="0" fillId="0" borderId="1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2"/>
  <sheetViews>
    <sheetView zoomScale="70" zoomScaleNormal="70" workbookViewId="0">
      <pane xSplit="8" ySplit="12" topLeftCell="I71" activePane="bottomRight" state="frozen"/>
      <selection pane="topRight" activeCell="A1" sqref="A1"/>
      <selection pane="bottomLeft" activeCell="A1" sqref="A1"/>
      <selection pane="bottomRight" activeCell="F83" sqref="F83"/>
    </sheetView>
  </sheetViews>
  <sheetFormatPr baseColWidth="8" defaultRowHeight="14.5"/>
  <cols>
    <col width="62.7265625" customWidth="1" style="54" min="1" max="1"/>
    <col width="12.08984375" customWidth="1" min="2" max="2"/>
    <col width="18.81640625" customWidth="1" min="3" max="3"/>
    <col width="10" customWidth="1" min="4" max="4"/>
    <col width="11.08984375" customWidth="1" min="5" max="5"/>
    <col width="11.26953125" customWidth="1" min="6" max="6"/>
    <col width="10" customWidth="1" min="7" max="7"/>
    <col width="7.453125" customWidth="1" min="8" max="8"/>
    <col width="8.54296875" customWidth="1" min="9" max="9"/>
    <col width="7.7265625" customWidth="1" min="10" max="10"/>
    <col width="9.81640625" customWidth="1" min="11" max="11"/>
    <col width="7.08984375" customWidth="1" min="12" max="12"/>
    <col width="9.453125" customWidth="1" min="13" max="13"/>
    <col width="13.453125" customWidth="1" min="14" max="14"/>
    <col width="13.26953125" customWidth="1" min="15" max="15"/>
    <col width="9.26953125" customWidth="1" min="16" max="16"/>
    <col width="9.453125" customWidth="1" min="17" max="17"/>
    <col width="10" customWidth="1" min="18" max="18"/>
    <col width="6.453125" customWidth="1" min="19" max="19"/>
    <col width="9" customWidth="1" min="20" max="20"/>
    <col width="8.26953125" customWidth="1" min="21" max="21"/>
    <col width="13" customWidth="1" min="22" max="22"/>
    <col width="9.453125" customWidth="1" min="23" max="23"/>
    <col width="10" customWidth="1" min="24" max="24"/>
    <col width="13.453125" customWidth="1" min="25" max="25"/>
    <col width="10" customWidth="1" min="26" max="26"/>
    <col width="13" customWidth="1" min="27" max="27"/>
    <col width="8.7265625" customWidth="1" min="28" max="28"/>
    <col width="13" customWidth="1" min="29" max="29"/>
    <col width="9" customWidth="1" min="30" max="30"/>
    <col width="6.81640625" customWidth="1" min="31" max="31"/>
    <col width="10.453125" customWidth="1" min="32" max="32"/>
    <col width="8.54296875" customWidth="1" min="33" max="33"/>
    <col width="9.7265625" customWidth="1" min="34" max="34"/>
    <col width="11.08984375" customWidth="1" min="35" max="35"/>
    <col width="9.08984375" customWidth="1" min="36" max="36"/>
    <col width="12" customWidth="1" min="37" max="37"/>
  </cols>
  <sheetData>
    <row r="1" ht="15.5" customHeight="1">
      <c r="A1" s="50" t="inlineStr">
        <is>
          <t>ПАРАМЕТРЫ — меняй жёлтые ячейки, всё пересчитается</t>
        </is>
      </c>
    </row>
    <row r="3">
      <c r="A3" s="51" t="inlineStr">
        <is>
          <t>Налог с оборота</t>
        </is>
      </c>
      <c r="H3" s="1" t="n">
        <v>0.07000000000000001</v>
      </c>
    </row>
    <row r="4">
      <c r="A4" s="51" t="inlineStr">
        <is>
          <t>Эквайринг</t>
        </is>
      </c>
      <c r="H4" s="2" t="n">
        <v>0.015</v>
      </c>
    </row>
    <row r="5">
      <c r="A5" s="51" t="inlineStr">
        <is>
          <t>Фулфилмент, ₽/шт</t>
        </is>
      </c>
      <c r="H5" s="3" t="n">
        <v>60</v>
      </c>
    </row>
    <row r="6">
      <c r="A6" s="51" t="inlineStr">
        <is>
          <t>Хранение, ₽/л/день</t>
        </is>
      </c>
      <c r="H6" s="4" t="n">
        <v>0.16</v>
      </c>
    </row>
    <row r="7">
      <c r="A7" s="51" t="inlineStr">
        <is>
          <t>Дней хранения</t>
        </is>
      </c>
      <c r="H7" s="3" t="n">
        <v>0</v>
      </c>
    </row>
    <row r="8">
      <c r="A8" s="51" t="inlineStr">
        <is>
          <t>Наценка за нелокальные продажи %</t>
        </is>
      </c>
      <c r="H8" s="2" t="n">
        <v>0.02</v>
      </c>
    </row>
    <row r="9">
      <c r="A9" s="51" t="inlineStr">
        <is>
          <t>Кроссдок: обработка (склады/СЦ) ₽/л</t>
        </is>
      </c>
      <c r="H9" s="4" t="n">
        <v>0.75</v>
      </c>
    </row>
    <row r="10">
      <c r="A10" s="51" t="inlineStr">
        <is>
          <t>Кроссдок: перевозка ₽/л (средн. 26 скл.)</t>
        </is>
      </c>
      <c r="H10" s="4" t="n">
        <v>4.423</v>
      </c>
    </row>
    <row r="11">
      <c r="A11" t="inlineStr">
        <is>
          <t>Подписка, %</t>
        </is>
      </c>
      <c r="H11" s="88" t="n">
        <v>0.03</v>
      </c>
    </row>
    <row r="12" ht="43.5" customHeight="1">
      <c r="A12" s="5" t="inlineStr">
        <is>
          <t>Товар</t>
        </is>
      </c>
      <c r="B12" s="5" t="inlineStr">
        <is>
          <t>Заказ контейнер шт</t>
        </is>
      </c>
      <c r="C12" s="5" t="inlineStr">
        <is>
          <t>Комментарий</t>
        </is>
      </c>
      <c r="D12" s="91" t="inlineStr">
        <is>
          <t>Остаток</t>
        </is>
      </c>
      <c r="E12" s="5" t="inlineStr">
        <is>
          <t>Цена конкурента без СПП</t>
        </is>
      </c>
      <c r="F12" s="5" t="inlineStr">
        <is>
          <t>Кол-во продаж конкурент</t>
        </is>
      </c>
      <c r="G12" s="5" t="inlineStr">
        <is>
          <t>ДРР конкурент</t>
        </is>
      </c>
      <c r="H12" s="5" t="inlineStr">
        <is>
          <t>Цена наша без СПП</t>
        </is>
      </c>
      <c r="I12" s="6" t="inlineStr">
        <is>
          <t>СПП, %</t>
        </is>
      </c>
      <c r="J12" s="7" t="inlineStr">
        <is>
          <t>Цена с СПП</t>
        </is>
      </c>
      <c r="K12" s="5" t="inlineStr">
        <is>
          <t>Себест.</t>
        </is>
      </c>
      <c r="L12" s="5" t="inlineStr">
        <is>
          <t>Фулфилмент</t>
        </is>
      </c>
      <c r="M12" s="8" t="inlineStr">
        <is>
          <t>База затрат</t>
        </is>
      </c>
      <c r="N12" s="7" t="inlineStr">
        <is>
          <t>Комиссия %</t>
        </is>
      </c>
      <c r="O12" s="5" t="inlineStr">
        <is>
          <t>Комиссия ₽</t>
        </is>
      </c>
      <c r="P12" s="5" t="inlineStr">
        <is>
          <t>Логистика</t>
        </is>
      </c>
      <c r="Q12" s="5" t="inlineStr">
        <is>
          <t>Наценка нелок., ₽</t>
        </is>
      </c>
      <c r="R12" s="5" t="inlineStr">
        <is>
          <t>Доставка до ПВЗ</t>
        </is>
      </c>
      <c r="S12" s="5" t="inlineStr">
        <is>
          <t>Эквайринг</t>
        </is>
      </c>
      <c r="T12" s="5" t="inlineStr">
        <is>
          <t>Налог</t>
        </is>
      </c>
      <c r="U12" s="5" t="inlineStr">
        <is>
          <t>Выкуп %</t>
        </is>
      </c>
      <c r="V12" s="5" t="inlineStr">
        <is>
          <t>Обр.лог база</t>
        </is>
      </c>
      <c r="W12" s="5" t="inlineStr">
        <is>
          <t>Обр.лог</t>
        </is>
      </c>
      <c r="X12" s="5" t="inlineStr">
        <is>
          <t>Объём, л</t>
        </is>
      </c>
      <c r="Y12" s="5" t="inlineStr">
        <is>
          <t>Хранение</t>
        </is>
      </c>
      <c r="Z12" s="8" t="inlineStr">
        <is>
          <t>Кроссдок ср., ₽/ед</t>
        </is>
      </c>
      <c r="AA12" s="7" t="inlineStr">
        <is>
          <t>Оплата за клик, %</t>
        </is>
      </c>
      <c r="AB12" s="5" t="inlineStr">
        <is>
          <t>Оплата за клик ₽</t>
        </is>
      </c>
      <c r="AC12" s="5" t="inlineStr">
        <is>
          <t>Вывод в топ, %</t>
        </is>
      </c>
      <c r="AD12" s="5" t="inlineStr">
        <is>
          <t>Вывод в топ ₽</t>
        </is>
      </c>
      <c r="AE12" s="5" t="inlineStr">
        <is>
          <t>Реклама всего ₽</t>
        </is>
      </c>
      <c r="AF12" s="8" t="inlineStr">
        <is>
          <t>ДРР %</t>
        </is>
      </c>
      <c r="AG12" s="9" t="inlineStr">
        <is>
          <t>Маржа до рекл.</t>
        </is>
      </c>
      <c r="AH12" s="5" t="inlineStr">
        <is>
          <t>Маржа/шт</t>
        </is>
      </c>
      <c r="AI12" s="5" t="inlineStr">
        <is>
          <t>Маржа % цены</t>
        </is>
      </c>
      <c r="AJ12" s="5" t="inlineStr">
        <is>
          <t>ROI %</t>
        </is>
      </c>
      <c r="AK12" s="5" t="inlineStr">
        <is>
          <t>Цена безубыт.</t>
        </is>
      </c>
      <c r="AL12" s="89" t="inlineStr">
        <is>
          <t>Подписка, ₽</t>
        </is>
      </c>
    </row>
    <row r="13">
      <c r="A13" s="52" t="inlineStr">
        <is>
          <t>Косметика/COSRX</t>
        </is>
      </c>
      <c r="B13" s="10" t="n"/>
      <c r="C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</row>
    <row r="14" ht="29" customHeight="1">
      <c r="A14" s="11" t="inlineStr">
        <is>
          <t>COSRX - Salicylic Acid Daily Gentle Cleanser [150ml] / Пенка с салициловой кислотой для проблемной кожи</t>
        </is>
      </c>
      <c r="B14" s="12" t="n"/>
      <c r="C14" s="13" t="n"/>
      <c r="D14" s="92" t="n">
        <v>412</v>
      </c>
      <c r="E14" s="14" t="n">
        <v>1680</v>
      </c>
      <c r="F14" s="14" t="n">
        <v>286</v>
      </c>
      <c r="G14" s="14" t="n">
        <v>22.3</v>
      </c>
      <c r="H14" s="14" t="n">
        <v>1630</v>
      </c>
      <c r="I14" s="15" t="n">
        <v>0.45</v>
      </c>
      <c r="J14" s="16">
        <f>H14*(1-I14)</f>
        <v/>
      </c>
      <c r="K14" s="17" t="n">
        <v>343.82</v>
      </c>
      <c r="L14" s="18">
        <f>$H$5</f>
        <v/>
      </c>
      <c r="M14" s="19">
        <f>K14+L14</f>
        <v/>
      </c>
      <c r="N14" s="20" t="n">
        <v>0.41</v>
      </c>
      <c r="O14" s="21">
        <f>H14*N14</f>
        <v/>
      </c>
      <c r="P14" s="22" t="n">
        <v>67</v>
      </c>
      <c r="Q14" s="21">
        <f>H14*$H$8</f>
        <v/>
      </c>
      <c r="R14" s="22" t="n">
        <v>25</v>
      </c>
      <c r="S14" s="21">
        <f>H14*$H$4</f>
        <v/>
      </c>
      <c r="T14" s="21">
        <f>J14*$H$3</f>
        <v/>
      </c>
      <c r="U14" s="23" t="n">
        <v>0.9</v>
      </c>
      <c r="V14" s="22" t="n">
        <v>67</v>
      </c>
      <c r="W14" s="21">
        <f>V14*(1-U14)</f>
        <v/>
      </c>
      <c r="X14" s="24" t="n">
        <v>0.63</v>
      </c>
      <c r="Y14" s="21">
        <f>$H$6*$H$7*X14</f>
        <v/>
      </c>
      <c r="Z14" s="19">
        <f>X14*($H$9+$H$10)</f>
        <v/>
      </c>
      <c r="AA14" s="20" t="n">
        <v>0.11</v>
      </c>
      <c r="AB14" s="21">
        <f>H14*AA14</f>
        <v/>
      </c>
      <c r="AC14" s="23" t="n">
        <v>0.11</v>
      </c>
      <c r="AD14" s="21">
        <f>H14*AC14</f>
        <v/>
      </c>
      <c r="AE14" s="21">
        <f>AB14+AD14</f>
        <v/>
      </c>
      <c r="AF14" s="25">
        <f>AE14/H14</f>
        <v/>
      </c>
      <c r="AG14" s="26">
        <f>H14-O14-P14-Q14-R14-S14-T14-W14-Y14-Z14-M14-AL14</f>
        <v/>
      </c>
      <c r="AH14" s="27">
        <f>AG14-AE14</f>
        <v/>
      </c>
      <c r="AI14" s="28">
        <f>AH14/H14</f>
        <v/>
      </c>
      <c r="AJ14" s="29">
        <f>AH14/M14</f>
        <v/>
      </c>
      <c r="AK14" s="21">
        <f>(P14+R14+W14+Y14+Z14+M14)/(1-(N14+$H$4+(1-I14)*$H$3+$H$8+$H$11+AA14+AC14))</f>
        <v/>
      </c>
      <c r="AL14" s="90">
        <f>H14*$H$11</f>
        <v/>
      </c>
    </row>
    <row r="15">
      <c r="A15" s="52" t="inlineStr">
        <is>
          <t>Косметика/DEOPROCE/DEOPROCE-SHAMPOO</t>
        </is>
      </c>
      <c r="B15" s="10" t="n"/>
      <c r="C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</row>
    <row r="16" ht="43.5" customHeight="1">
      <c r="A16" s="53" t="inlineStr">
        <is>
          <t>DEOPROCE SHAMPOO - BLACK GARLIC INTENSME ENERGY [600ml] мягкая упаковка Шампунь с черным чесноком против выпадения волос</t>
        </is>
      </c>
      <c r="B16" s="30" t="n"/>
      <c r="C16" s="30" t="n"/>
      <c r="D16" s="92" t="n">
        <v>72</v>
      </c>
      <c r="E16" s="31" t="n"/>
      <c r="F16" s="31" t="n"/>
      <c r="G16" s="31" t="n"/>
      <c r="H16" s="31" t="n"/>
      <c r="I16" s="32" t="n"/>
      <c r="J16" s="33" t="n"/>
      <c r="K16" s="34" t="n"/>
      <c r="L16" s="34" t="n"/>
      <c r="M16" s="35" t="n"/>
      <c r="N16" s="36" t="n"/>
      <c r="O16" s="31" t="n"/>
      <c r="P16" s="31" t="n"/>
      <c r="Q16" s="31" t="n"/>
      <c r="R16" s="31" t="n"/>
      <c r="S16" s="31" t="n"/>
      <c r="T16" s="31" t="n"/>
      <c r="U16" s="37" t="n"/>
      <c r="V16" s="31" t="n"/>
      <c r="W16" s="31" t="n"/>
      <c r="X16" s="38" t="n"/>
      <c r="Y16" s="31" t="n"/>
      <c r="Z16" s="35" t="n"/>
      <c r="AA16" s="36" t="n"/>
      <c r="AB16" s="31" t="n"/>
      <c r="AC16" s="37" t="n"/>
      <c r="AD16" s="31" t="n"/>
      <c r="AE16" s="31" t="n"/>
      <c r="AF16" s="39" t="n"/>
      <c r="AG16" s="40" t="n"/>
      <c r="AH16" s="31" t="n"/>
      <c r="AI16" s="37" t="n"/>
      <c r="AJ16" s="37" t="n"/>
      <c r="AK16" s="31" t="n"/>
    </row>
    <row r="17" ht="43.5" customHeight="1">
      <c r="A17" s="53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7" s="30" t="n"/>
      <c r="C17" s="30" t="n"/>
      <c r="D17" s="92" t="n">
        <v>19</v>
      </c>
      <c r="E17" s="31" t="n"/>
      <c r="F17" s="31" t="n"/>
      <c r="G17" s="31" t="n"/>
      <c r="H17" s="31" t="n"/>
      <c r="I17" s="32" t="n"/>
      <c r="J17" s="33" t="n"/>
      <c r="K17" s="34" t="n"/>
      <c r="L17" s="34" t="n"/>
      <c r="M17" s="35" t="n"/>
      <c r="N17" s="36" t="n"/>
      <c r="O17" s="31" t="n"/>
      <c r="P17" s="31" t="n"/>
      <c r="Q17" s="31" t="n"/>
      <c r="R17" s="31" t="n"/>
      <c r="S17" s="31" t="n"/>
      <c r="T17" s="31" t="n"/>
      <c r="U17" s="37" t="n"/>
      <c r="V17" s="31" t="n"/>
      <c r="W17" s="31" t="n"/>
      <c r="X17" s="38" t="n"/>
      <c r="Y17" s="31" t="n"/>
      <c r="Z17" s="35" t="n"/>
      <c r="AA17" s="36" t="n"/>
      <c r="AB17" s="31" t="n"/>
      <c r="AC17" s="37" t="n"/>
      <c r="AD17" s="31" t="n"/>
      <c r="AE17" s="31" t="n"/>
      <c r="AF17" s="39" t="n"/>
      <c r="AG17" s="40" t="n"/>
      <c r="AH17" s="31" t="n"/>
      <c r="AI17" s="37" t="n"/>
      <c r="AJ17" s="37" t="n"/>
      <c r="AK17" s="31" t="n"/>
    </row>
    <row r="18" ht="29" customHeight="1">
      <c r="A18" s="11" t="inlineStr">
        <is>
          <t>DEOPROCE SHAMPOO - BLACK GARLIC INTENSME ENERGY [200ml]/ Шампунь с черным чесноком против выпадения волос</t>
        </is>
      </c>
      <c r="B18" s="12" t="n"/>
      <c r="C18" s="13" t="n"/>
      <c r="D18" s="92" t="n">
        <v>370</v>
      </c>
      <c r="E18" s="14" t="n">
        <v>980</v>
      </c>
      <c r="F18" s="14" t="n">
        <v>8</v>
      </c>
      <c r="G18" s="14" t="n">
        <v>0</v>
      </c>
      <c r="H18" s="14" t="n">
        <v>900</v>
      </c>
      <c r="I18" s="15" t="n">
        <v>0.45</v>
      </c>
      <c r="J18" s="16">
        <f>H18*(1-I18)</f>
        <v/>
      </c>
      <c r="K18" s="17" t="n">
        <v>151.13</v>
      </c>
      <c r="L18" s="18">
        <f>$H$5</f>
        <v/>
      </c>
      <c r="M18" s="19">
        <f>K18+L18</f>
        <v/>
      </c>
      <c r="N18" s="20" t="n">
        <v>0.41</v>
      </c>
      <c r="O18" s="21">
        <f>H18*N18</f>
        <v/>
      </c>
      <c r="P18" s="22" t="n">
        <v>67</v>
      </c>
      <c r="Q18" s="21">
        <f>H18*$H$8</f>
        <v/>
      </c>
      <c r="R18" s="22" t="n">
        <v>25</v>
      </c>
      <c r="S18" s="21">
        <f>H18*$H$4</f>
        <v/>
      </c>
      <c r="T18" s="21">
        <f>J18*$H$3</f>
        <v/>
      </c>
      <c r="U18" s="23" t="n">
        <v>0.9</v>
      </c>
      <c r="V18" s="22" t="n">
        <v>67</v>
      </c>
      <c r="W18" s="21">
        <f>V18*(1-U18)</f>
        <v/>
      </c>
      <c r="X18" s="24" t="n">
        <v>0.68</v>
      </c>
      <c r="Y18" s="21">
        <f>$H$6*$H$7*X18</f>
        <v/>
      </c>
      <c r="Z18" s="19">
        <f>X18*($H$9+$H$10)</f>
        <v/>
      </c>
      <c r="AA18" s="20" t="n">
        <v>0.07000000000000001</v>
      </c>
      <c r="AB18" s="21">
        <f>H18*AA18</f>
        <v/>
      </c>
      <c r="AC18" s="23" t="n">
        <v>0.08</v>
      </c>
      <c r="AD18" s="21">
        <f>H18*AC18</f>
        <v/>
      </c>
      <c r="AE18" s="21">
        <f>AB18+AD18</f>
        <v/>
      </c>
      <c r="AF18" s="25">
        <f>AE18/H18</f>
        <v/>
      </c>
      <c r="AG18" s="26">
        <f>H18-O18-P18-Q18-R18-S18-T18-W18-Y18-Z18-M18-AL18</f>
        <v/>
      </c>
      <c r="AH18" s="27">
        <f>AG18-AE18</f>
        <v/>
      </c>
      <c r="AI18" s="28">
        <f>AH18/H18</f>
        <v/>
      </c>
      <c r="AJ18" s="29">
        <f>AH18/M18</f>
        <v/>
      </c>
      <c r="AK18" s="21">
        <f>(P18+R18+W18+Y18+Z18+M18)/(1-(N18+$H$4+(1-I18)*$H$3+$H$8+$H$11+AA18+AC18))</f>
        <v/>
      </c>
      <c r="AL18" s="90">
        <f>H18*$H$11</f>
        <v/>
      </c>
    </row>
    <row r="19">
      <c r="A19" s="52" t="inlineStr">
        <is>
          <t>Косметика/DEOPROCE/НАБОР ШАМПУНЬ+БАЛЬЗАМ</t>
        </is>
      </c>
      <c r="B19" s="10" t="n"/>
      <c r="C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>
      <c r="A20" s="53" t="inlineStr">
        <is>
          <t>DEOPROCE SHAMPOO+BALSAM - BLACK GARLIC[2000ml]</t>
        </is>
      </c>
      <c r="B20" s="30" t="n"/>
      <c r="C20" s="30" t="n"/>
      <c r="D20" s="92" t="n">
        <v>447</v>
      </c>
      <c r="E20" s="31" t="n"/>
      <c r="F20" s="31" t="n"/>
      <c r="G20" s="31" t="n"/>
      <c r="H20" s="31" t="n"/>
      <c r="I20" s="32" t="n"/>
      <c r="J20" s="33" t="n"/>
      <c r="K20" s="34" t="n"/>
      <c r="L20" s="34" t="n"/>
      <c r="M20" s="35" t="n"/>
      <c r="N20" s="36" t="n"/>
      <c r="O20" s="31" t="n"/>
      <c r="P20" s="31" t="n"/>
      <c r="Q20" s="31" t="n"/>
      <c r="R20" s="31" t="n"/>
      <c r="S20" s="31" t="n"/>
      <c r="T20" s="31" t="n"/>
      <c r="U20" s="37" t="n"/>
      <c r="V20" s="31" t="n"/>
      <c r="W20" s="31" t="n"/>
      <c r="X20" s="38" t="n"/>
      <c r="Y20" s="31" t="n"/>
      <c r="Z20" s="35" t="n"/>
      <c r="AA20" s="36" t="n"/>
      <c r="AB20" s="31" t="n"/>
      <c r="AC20" s="37" t="n"/>
      <c r="AD20" s="31" t="n"/>
      <c r="AE20" s="31" t="n"/>
      <c r="AF20" s="39" t="n"/>
      <c r="AG20" s="40" t="n"/>
      <c r="AH20" s="31" t="n"/>
      <c r="AI20" s="37" t="n"/>
      <c r="AJ20" s="37" t="n"/>
      <c r="AK20" s="31" t="n"/>
    </row>
    <row r="21">
      <c r="A21" s="52" t="inlineStr">
        <is>
          <t>Косметика/DR.JART</t>
        </is>
      </c>
      <c r="B21" s="10" t="n"/>
      <c r="C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 ht="29" customHeight="1">
      <c r="A22" s="11" t="inlineStr">
        <is>
          <t>DR. JART - Ctrl+A Teatreatment Toner [120ml] / Тонер тоник для лица увлажняющий с чайным деревом</t>
        </is>
      </c>
      <c r="B22" s="12" t="n"/>
      <c r="C22" s="13" t="n"/>
      <c r="D22" s="92" t="n">
        <v>180</v>
      </c>
      <c r="E22" s="14" t="n"/>
      <c r="F22" s="14" t="inlineStr">
        <is>
          <t>89 (Закончились)</t>
        </is>
      </c>
      <c r="G22" s="14" t="n">
        <v>9.199999999999999</v>
      </c>
      <c r="H22" s="14">
        <f>(1.25*M22+P22+R22+W22+Y22+Z22)/(1-N22-$H$8-$H$4-(1-I22)*$H$3-$H$11-AA22-AC22)</f>
        <v/>
      </c>
      <c r="I22" s="15" t="n">
        <v>0.45</v>
      </c>
      <c r="J22" s="16">
        <f>H22*(1-I22)</f>
        <v/>
      </c>
      <c r="K22" s="17" t="n">
        <v>637.89</v>
      </c>
      <c r="L22" s="18">
        <f>$H$5</f>
        <v/>
      </c>
      <c r="M22" s="19">
        <f>K22+L22</f>
        <v/>
      </c>
      <c r="N22" s="20" t="n">
        <v>0.41</v>
      </c>
      <c r="O22" s="21">
        <f>H22*N22</f>
        <v/>
      </c>
      <c r="P22" s="22" t="n">
        <v>63</v>
      </c>
      <c r="Q22" s="21">
        <f>H22*$H$8</f>
        <v/>
      </c>
      <c r="R22" s="22" t="n">
        <v>25</v>
      </c>
      <c r="S22" s="21">
        <f>H22*$H$4</f>
        <v/>
      </c>
      <c r="T22" s="21">
        <f>J22*$H$3</f>
        <v/>
      </c>
      <c r="U22" s="23" t="n">
        <v>0.9</v>
      </c>
      <c r="V22" s="22" t="n">
        <v>63</v>
      </c>
      <c r="W22" s="21">
        <f>V22*(1-U22)</f>
        <v/>
      </c>
      <c r="X22" s="24" t="n">
        <v>0.33</v>
      </c>
      <c r="Y22" s="21">
        <f>$H$6*$H$7*X22</f>
        <v/>
      </c>
      <c r="Z22" s="19">
        <f>X22*($H$9+$H$10)</f>
        <v/>
      </c>
      <c r="AA22" s="20" t="n">
        <v>0.07000000000000001</v>
      </c>
      <c r="AB22" s="21">
        <f>H22*AA22</f>
        <v/>
      </c>
      <c r="AC22" s="23" t="n">
        <v>0.08</v>
      </c>
      <c r="AD22" s="21">
        <f>H22*AC22</f>
        <v/>
      </c>
      <c r="AE22" s="21">
        <f>AB22+AD22</f>
        <v/>
      </c>
      <c r="AF22" s="25">
        <f>AE22/H22</f>
        <v/>
      </c>
      <c r="AG22" s="26">
        <f>H22-O22-P22-Q22-R22-S22-T22-W22-Y22-Z22-M22-AL22</f>
        <v/>
      </c>
      <c r="AH22" s="27">
        <f>AG22-AE22</f>
        <v/>
      </c>
      <c r="AI22" s="28">
        <f>AH22/H22</f>
        <v/>
      </c>
      <c r="AJ22" s="29">
        <f>AH22/M22</f>
        <v/>
      </c>
      <c r="AK22" s="21">
        <f>(P22+R22+W22+Y22+Z22+M22)/(1-(N22+$H$4+(1-I22)*$H$3+$H$8+$H$11+AA22+AC22))</f>
        <v/>
      </c>
      <c r="AL22" s="90">
        <f>H22*$H$11</f>
        <v/>
      </c>
    </row>
    <row r="23">
      <c r="A23" s="52" t="inlineStr">
        <is>
          <t>Косметика/EKEL</t>
        </is>
      </c>
      <c r="B23" s="10" t="n"/>
      <c r="C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</row>
    <row r="24" ht="29" customHeight="1">
      <c r="A24" s="11" t="inlineStr">
        <is>
          <t>EKEL - Ampule Сream Сollagen [70ml] / Крем для лица ампульный с коллагеном</t>
        </is>
      </c>
      <c r="B24" s="12" t="n"/>
      <c r="C24" s="13" t="n"/>
      <c r="D24" s="92" t="n">
        <v>50</v>
      </c>
      <c r="E24" s="14" t="n">
        <v>1280</v>
      </c>
      <c r="F24" s="14" t="n">
        <v>4</v>
      </c>
      <c r="G24" s="14" t="n">
        <v>0</v>
      </c>
      <c r="H24" s="14">
        <f>(1.25*M24+P24+R24+W24+Y24+Z24)/(1-N24-$H$8-$H$4-(1-I24)*$H$3-$H$11-AA24-AC24)</f>
        <v/>
      </c>
      <c r="I24" s="15" t="n">
        <v>0.45</v>
      </c>
      <c r="J24" s="16">
        <f>H24*(1-I24)</f>
        <v/>
      </c>
      <c r="K24" s="17" t="n">
        <v>142.13</v>
      </c>
      <c r="L24" s="18">
        <f>$H$5</f>
        <v/>
      </c>
      <c r="M24" s="19">
        <f>K24+L24</f>
        <v/>
      </c>
      <c r="N24" s="20" t="n">
        <v>0.41</v>
      </c>
      <c r="O24" s="21">
        <f>H24*N24</f>
        <v/>
      </c>
      <c r="P24" s="22" t="n">
        <v>67</v>
      </c>
      <c r="Q24" s="21">
        <f>H24*$H$8</f>
        <v/>
      </c>
      <c r="R24" s="22" t="n">
        <v>25</v>
      </c>
      <c r="S24" s="21">
        <f>H24*$H$4</f>
        <v/>
      </c>
      <c r="T24" s="21">
        <f>J24*$H$3</f>
        <v/>
      </c>
      <c r="U24" s="23" t="n">
        <v>0.9</v>
      </c>
      <c r="V24" s="22" t="n">
        <v>67</v>
      </c>
      <c r="W24" s="21">
        <f>V24*(1-U24)</f>
        <v/>
      </c>
      <c r="X24" s="24" t="n">
        <v>0.42</v>
      </c>
      <c r="Y24" s="21">
        <f>$H$6*$H$7*X24</f>
        <v/>
      </c>
      <c r="Z24" s="19">
        <f>X24*($H$9+$H$10)</f>
        <v/>
      </c>
      <c r="AA24" s="20" t="n">
        <v>0.07000000000000001</v>
      </c>
      <c r="AB24" s="21">
        <f>H24*AA24</f>
        <v/>
      </c>
      <c r="AC24" s="23" t="n">
        <v>0.08</v>
      </c>
      <c r="AD24" s="21">
        <f>H24*AC24</f>
        <v/>
      </c>
      <c r="AE24" s="21">
        <f>AB24+AD24</f>
        <v/>
      </c>
      <c r="AF24" s="25">
        <f>AE24/H24</f>
        <v/>
      </c>
      <c r="AG24" s="26">
        <f>H24-O24-P24-Q24-R24-S24-T24-W24-Y24-Z24-M24-AL24</f>
        <v/>
      </c>
      <c r="AH24" s="27">
        <f>AG24-AE24</f>
        <v/>
      </c>
      <c r="AI24" s="28">
        <f>AH24/H24</f>
        <v/>
      </c>
      <c r="AJ24" s="29">
        <f>AH24/M24</f>
        <v/>
      </c>
      <c r="AK24" s="21">
        <f>(P24+R24+W24+Y24+Z24+M24)/(1-(N24+$H$4+(1-I24)*$H$3+$H$8+$H$11+AA24+AC24))</f>
        <v/>
      </c>
      <c r="AL24" s="90">
        <f>H24*$H$11</f>
        <v/>
      </c>
    </row>
    <row r="25">
      <c r="A25" s="52" t="inlineStr">
        <is>
          <t>Косметика/ELIZAVECCA</t>
        </is>
      </c>
      <c r="B25" s="10" t="n"/>
      <c r="C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</row>
    <row r="26" ht="29" customHeight="1">
      <c r="A26" s="11" t="inlineStr">
        <is>
          <t>ELIZAVECCA - CER-100 Collagen Ceramide Coating Protein Treatment [100ml] / Коллагеновая маска для волос</t>
        </is>
      </c>
      <c r="B26" s="12" t="n"/>
      <c r="C26" s="13" t="n"/>
      <c r="D26" s="92" t="n">
        <v>453</v>
      </c>
      <c r="E26" s="14" t="n">
        <v>1315</v>
      </c>
      <c r="F26" s="14" t="n">
        <v>150</v>
      </c>
      <c r="G26" s="14" t="n">
        <v>0</v>
      </c>
      <c r="H26" s="14">
        <f>(1.25*M26+P26+R26+W26+Y26+Z26)/(1-N26-$H$8-$H$4-(1-I26)*$H$3-$H$11-AA26-AC26)</f>
        <v/>
      </c>
      <c r="I26" s="15" t="n">
        <v>0.45</v>
      </c>
      <c r="J26" s="16">
        <f>H26*(1-I26)</f>
        <v/>
      </c>
      <c r="K26" s="17" t="n">
        <v>242.23</v>
      </c>
      <c r="L26" s="18">
        <f>$H$5</f>
        <v/>
      </c>
      <c r="M26" s="19">
        <f>K26+L26</f>
        <v/>
      </c>
      <c r="N26" s="20" t="n">
        <v>0.41</v>
      </c>
      <c r="O26" s="21">
        <f>H26*N26</f>
        <v/>
      </c>
      <c r="P26" s="22" t="n">
        <v>67</v>
      </c>
      <c r="Q26" s="21">
        <f>H26*$H$8</f>
        <v/>
      </c>
      <c r="R26" s="22" t="n">
        <v>25</v>
      </c>
      <c r="S26" s="21">
        <f>H26*$H$4</f>
        <v/>
      </c>
      <c r="T26" s="21">
        <f>J26*$H$3</f>
        <v/>
      </c>
      <c r="U26" s="23" t="n">
        <v>0.9</v>
      </c>
      <c r="V26" s="22" t="n">
        <v>67</v>
      </c>
      <c r="W26" s="21">
        <f>V26*(1-U26)</f>
        <v/>
      </c>
      <c r="X26" s="24" t="n">
        <v>0.46</v>
      </c>
      <c r="Y26" s="21">
        <f>$H$6*$H$7*X26</f>
        <v/>
      </c>
      <c r="Z26" s="19">
        <f>X26*($H$9+$H$10)</f>
        <v/>
      </c>
      <c r="AA26" s="20" t="n">
        <v>0.07000000000000001</v>
      </c>
      <c r="AB26" s="21">
        <f>H26*AA26</f>
        <v/>
      </c>
      <c r="AC26" s="23" t="n">
        <v>0.08</v>
      </c>
      <c r="AD26" s="21">
        <f>H26*AC26</f>
        <v/>
      </c>
      <c r="AE26" s="21">
        <f>AB26+AD26</f>
        <v/>
      </c>
      <c r="AF26" s="25">
        <f>AE26/H26</f>
        <v/>
      </c>
      <c r="AG26" s="26">
        <f>H26-O26-P26-Q26-R26-S26-T26-W26-Y26-Z26-M26-AL26</f>
        <v/>
      </c>
      <c r="AH26" s="27">
        <f>AG26-AE26</f>
        <v/>
      </c>
      <c r="AI26" s="28">
        <f>AH26/H26</f>
        <v/>
      </c>
      <c r="AJ26" s="29">
        <f>AH26/M26</f>
        <v/>
      </c>
      <c r="AK26" s="21">
        <f>(P26+R26+W26+Y26+Z26+M26)/(1-(N26+$H$4+(1-I26)*$H$3+$H$8+$H$11+AA26+AC26))</f>
        <v/>
      </c>
      <c r="AL26" s="90">
        <f>H26*$H$11</f>
        <v/>
      </c>
    </row>
    <row r="27" ht="29" customHeight="1">
      <c r="A27" s="11" t="inlineStr">
        <is>
          <t>ELIZAVECCA - Hell-Pore Galactomyces Pure Ample / Сыворотка для лица с экстрактом галактомисиса</t>
        </is>
      </c>
      <c r="B27" s="12" t="n"/>
      <c r="C27" s="13" t="inlineStr">
        <is>
          <t>не смогла найти с продажами</t>
        </is>
      </c>
      <c r="D27" s="92" t="n">
        <v>50</v>
      </c>
      <c r="E27" s="14" t="n"/>
      <c r="F27" s="14" t="n"/>
      <c r="G27" s="14" t="n"/>
      <c r="H27" s="14">
        <f>(1.25*M27+P27+R27+W27+Y27+Z27)/(1-N27-$H$8-$H$4-(1-I27)*$H$3-$H$11-AA27-AC27)</f>
        <v/>
      </c>
      <c r="I27" s="15" t="n">
        <v>0.45</v>
      </c>
      <c r="J27" s="16">
        <f>H27*(1-I27)</f>
        <v/>
      </c>
      <c r="K27" s="17" t="n">
        <v>447.64</v>
      </c>
      <c r="L27" s="18">
        <f>$H$5</f>
        <v/>
      </c>
      <c r="M27" s="19">
        <f>K27+L27</f>
        <v/>
      </c>
      <c r="N27" s="20" t="n">
        <v>0.41</v>
      </c>
      <c r="O27" s="21">
        <f>H27*N27</f>
        <v/>
      </c>
      <c r="P27" s="22" t="n">
        <v>63</v>
      </c>
      <c r="Q27" s="21">
        <f>H27*$H$8</f>
        <v/>
      </c>
      <c r="R27" s="22" t="n">
        <v>25</v>
      </c>
      <c r="S27" s="21">
        <f>H27*$H$4</f>
        <v/>
      </c>
      <c r="T27" s="21">
        <f>J27*$H$3</f>
        <v/>
      </c>
      <c r="U27" s="23" t="n">
        <v>0.9</v>
      </c>
      <c r="V27" s="22" t="n">
        <v>63</v>
      </c>
      <c r="W27" s="21">
        <f>V27*(1-U27)</f>
        <v/>
      </c>
      <c r="X27" s="24" t="n">
        <v>0.3</v>
      </c>
      <c r="Y27" s="21">
        <f>$H$6*$H$7*X27</f>
        <v/>
      </c>
      <c r="Z27" s="19">
        <f>X27*($H$9+$H$10)</f>
        <v/>
      </c>
      <c r="AA27" s="20" t="n">
        <v>0.07000000000000001</v>
      </c>
      <c r="AB27" s="21">
        <f>H27*AA27</f>
        <v/>
      </c>
      <c r="AC27" s="23" t="n">
        <v>0.08</v>
      </c>
      <c r="AD27" s="21">
        <f>H27*AC27</f>
        <v/>
      </c>
      <c r="AE27" s="21">
        <f>AB27+AD27</f>
        <v/>
      </c>
      <c r="AF27" s="25">
        <f>AE27/H27</f>
        <v/>
      </c>
      <c r="AG27" s="26">
        <f>H27-O27-P27-Q27-R27-S27-T27-W27-Y27-Z27-M27-AL27</f>
        <v/>
      </c>
      <c r="AH27" s="27">
        <f>AG27-AE27</f>
        <v/>
      </c>
      <c r="AI27" s="28">
        <f>AH27/H27</f>
        <v/>
      </c>
      <c r="AJ27" s="29">
        <f>AH27/M27</f>
        <v/>
      </c>
      <c r="AK27" s="21">
        <f>(P27+R27+W27+Y27+Z27+M27)/(1-(N27+$H$4+(1-I27)*$H$3+$H$8+$H$11+AA27+AC27))</f>
        <v/>
      </c>
      <c r="AL27" s="90">
        <f>H27*$H$11</f>
        <v/>
      </c>
    </row>
    <row r="28" ht="29" customHeight="1">
      <c r="A28" s="11" t="inlineStr">
        <is>
          <t>ELIZAVECCA - Milky Piggy EGF elastic retinol [100ml] / Антивозрастной крем для лица с ретинолом и EGF</t>
        </is>
      </c>
      <c r="B28" s="12" t="n"/>
      <c r="C28" s="13" t="n"/>
      <c r="D28" s="92" t="n">
        <v>235</v>
      </c>
      <c r="E28" s="14" t="n">
        <v>1841</v>
      </c>
      <c r="F28" s="14" t="n">
        <v>47</v>
      </c>
      <c r="G28" s="14" t="n">
        <v>0</v>
      </c>
      <c r="H28" s="14" t="n">
        <v>1790</v>
      </c>
      <c r="I28" s="15" t="n">
        <v>0.45</v>
      </c>
      <c r="J28" s="16">
        <f>H28*(1-I28)</f>
        <v/>
      </c>
      <c r="K28" s="17" t="n">
        <v>602.1799999999999</v>
      </c>
      <c r="L28" s="18">
        <f>$H$5</f>
        <v/>
      </c>
      <c r="M28" s="19">
        <f>K28+L28</f>
        <v/>
      </c>
      <c r="N28" s="20" t="n">
        <v>0.41</v>
      </c>
      <c r="O28" s="21">
        <f>H28*N28</f>
        <v/>
      </c>
      <c r="P28" s="22" t="n">
        <v>67</v>
      </c>
      <c r="Q28" s="21">
        <f>H28*$H$8</f>
        <v/>
      </c>
      <c r="R28" s="22" t="n">
        <v>25</v>
      </c>
      <c r="S28" s="21">
        <f>H28*$H$4</f>
        <v/>
      </c>
      <c r="T28" s="21">
        <f>J28*$H$3</f>
        <v/>
      </c>
      <c r="U28" s="23" t="n">
        <v>0.9</v>
      </c>
      <c r="V28" s="22" t="n">
        <v>67</v>
      </c>
      <c r="W28" s="21">
        <f>V28*(1-U28)</f>
        <v/>
      </c>
      <c r="X28" s="24" t="n">
        <v>0.58</v>
      </c>
      <c r="Y28" s="21">
        <f>$H$6*$H$7*X28</f>
        <v/>
      </c>
      <c r="Z28" s="19">
        <f>X28*($H$9+$H$10)</f>
        <v/>
      </c>
      <c r="AA28" s="20" t="n">
        <v>0.07000000000000001</v>
      </c>
      <c r="AB28" s="21">
        <f>H28*AA28</f>
        <v/>
      </c>
      <c r="AC28" s="23" t="n">
        <v>0.08</v>
      </c>
      <c r="AD28" s="21">
        <f>H28*AC28</f>
        <v/>
      </c>
      <c r="AE28" s="21">
        <f>AB28+AD28</f>
        <v/>
      </c>
      <c r="AF28" s="25">
        <f>AE28/H28</f>
        <v/>
      </c>
      <c r="AG28" s="26">
        <f>H28-O28-P28-Q28-R28-S28-T28-W28-Y28-Z28-M28-AL28</f>
        <v/>
      </c>
      <c r="AH28" s="27">
        <f>AG28-AE28</f>
        <v/>
      </c>
      <c r="AI28" s="28">
        <f>AH28/H28</f>
        <v/>
      </c>
      <c r="AJ28" s="29">
        <f>AH28/M28</f>
        <v/>
      </c>
      <c r="AK28" s="21">
        <f>(P28+R28+W28+Y28+Z28+M28)/(1-(N28+$H$4+(1-I28)*$H$3+$H$8+$H$11+AA28+AC28))</f>
        <v/>
      </c>
      <c r="AL28" s="90">
        <f>H28*$H$11</f>
        <v/>
      </c>
    </row>
    <row r="29">
      <c r="A29" s="52" t="inlineStr">
        <is>
          <t>Косметика/ENOUGH</t>
        </is>
      </c>
      <c r="B29" s="10" t="n"/>
      <c r="C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</row>
    <row r="30" ht="29" customHeight="1">
      <c r="A30" s="11" t="inlineStr">
        <is>
          <t>ENOUGH - Collagen Moisture Essential Cream [50ml] / Увлажняющий крем для лица с коллагеном</t>
        </is>
      </c>
      <c r="B30" s="12" t="n"/>
      <c r="C30" s="13" t="inlineStr">
        <is>
          <t>260-382 (много подделок)</t>
        </is>
      </c>
      <c r="D30" s="101" t="n">
        <v>8266</v>
      </c>
      <c r="E30" s="14" t="n">
        <v>424</v>
      </c>
      <c r="F30" s="14" t="n">
        <v>166</v>
      </c>
      <c r="G30" s="14" t="n">
        <v>17</v>
      </c>
      <c r="H30" s="14" t="n">
        <v>750</v>
      </c>
      <c r="I30" s="15" t="n">
        <v>0.45</v>
      </c>
      <c r="J30" s="16">
        <f>H30*(1-I30)</f>
        <v/>
      </c>
      <c r="K30" s="17" t="n">
        <v>161.3</v>
      </c>
      <c r="L30" s="18">
        <f>$H$5</f>
        <v/>
      </c>
      <c r="M30" s="19">
        <f>K30+L30</f>
        <v/>
      </c>
      <c r="N30" s="20" t="n">
        <v>0.41</v>
      </c>
      <c r="O30" s="21">
        <f>H30*N30</f>
        <v/>
      </c>
      <c r="P30" s="22" t="n">
        <v>67</v>
      </c>
      <c r="Q30" s="21">
        <f>H30*$H$8</f>
        <v/>
      </c>
      <c r="R30" s="22" t="n">
        <v>25</v>
      </c>
      <c r="S30" s="21">
        <f>H30*$H$4</f>
        <v/>
      </c>
      <c r="T30" s="21">
        <f>J30*$H$3</f>
        <v/>
      </c>
      <c r="U30" s="23" t="n">
        <v>0.9</v>
      </c>
      <c r="V30" s="22" t="n">
        <v>67</v>
      </c>
      <c r="W30" s="21">
        <f>V30*(1-U30)</f>
        <v/>
      </c>
      <c r="X30" s="24" t="n">
        <v>0.72</v>
      </c>
      <c r="Y30" s="21">
        <f>$H$6*$H$7*X30</f>
        <v/>
      </c>
      <c r="Z30" s="19">
        <f>X30*($H$9+$H$10)</f>
        <v/>
      </c>
      <c r="AA30" s="20" t="n">
        <v>0.07000000000000001</v>
      </c>
      <c r="AB30" s="21">
        <f>H30*AA30</f>
        <v/>
      </c>
      <c r="AC30" s="23" t="n">
        <v>0.08</v>
      </c>
      <c r="AD30" s="21">
        <f>H30*AC30</f>
        <v/>
      </c>
      <c r="AE30" s="21">
        <f>AB30+AD30</f>
        <v/>
      </c>
      <c r="AF30" s="25">
        <f>AE30/H30</f>
        <v/>
      </c>
      <c r="AG30" s="26">
        <f>H30-O30-P30-Q30-R30-S30-T30-W30-Y30-Z30-M30-AL30</f>
        <v/>
      </c>
      <c r="AH30" s="27">
        <f>AG30-AE30</f>
        <v/>
      </c>
      <c r="AI30" s="28">
        <f>AH30/H30</f>
        <v/>
      </c>
      <c r="AJ30" s="29">
        <f>AH30/M30</f>
        <v/>
      </c>
      <c r="AK30" s="21">
        <f>(P30+R30+W30+Y30+Z30+M30)/(1-(N30+$H$4+(1-I30)*$H$3+$H$8+$H$11+AA30+AC30))</f>
        <v/>
      </c>
      <c r="AL30" s="90">
        <f>H30*$H$11</f>
        <v/>
      </c>
    </row>
    <row r="31" ht="29" customHeight="1">
      <c r="A31" s="11" t="inlineStr">
        <is>
          <t>ENOUGH - Collagen Whitening Moisture Cream 3in1 [50g] / Антивозрастной отбеливающий крем с коллагеном</t>
        </is>
      </c>
      <c r="B31" s="12" t="n"/>
      <c r="C31" s="13" t="n"/>
      <c r="D31" s="92" t="n">
        <v>761</v>
      </c>
      <c r="E31" s="14" t="n">
        <v>827</v>
      </c>
      <c r="F31" s="14" t="n">
        <v>96</v>
      </c>
      <c r="G31" s="14" t="n">
        <v>20</v>
      </c>
      <c r="H31" s="14">
        <f>(1.25*M31+P31+R31+W31+Y31+Z31)/(1-N31-$H$8-$H$4-(1-I31)*$H$3-$H$11-AA31-AC31)</f>
        <v/>
      </c>
      <c r="I31" s="15" t="n">
        <v>0.45</v>
      </c>
      <c r="J31" s="16">
        <f>H31*(1-I31)</f>
        <v/>
      </c>
      <c r="K31" s="17" t="n">
        <v>183.88</v>
      </c>
      <c r="L31" s="18">
        <f>$H$5</f>
        <v/>
      </c>
      <c r="M31" s="19">
        <f>K31+L31</f>
        <v/>
      </c>
      <c r="N31" s="20" t="n">
        <v>0.41</v>
      </c>
      <c r="O31" s="21">
        <f>H31*N31</f>
        <v/>
      </c>
      <c r="P31" s="22" t="n">
        <v>67</v>
      </c>
      <c r="Q31" s="21">
        <f>H31*$H$8</f>
        <v/>
      </c>
      <c r="R31" s="22" t="n">
        <v>25</v>
      </c>
      <c r="S31" s="21">
        <f>H31*$H$4</f>
        <v/>
      </c>
      <c r="T31" s="21">
        <f>J31*$H$3</f>
        <v/>
      </c>
      <c r="U31" s="23" t="n">
        <v>0.9</v>
      </c>
      <c r="V31" s="22" t="n">
        <v>67</v>
      </c>
      <c r="W31" s="21">
        <f>V31*(1-U31)</f>
        <v/>
      </c>
      <c r="X31" s="24" t="n">
        <v>0.72</v>
      </c>
      <c r="Y31" s="21">
        <f>$H$6*$H$7*X31</f>
        <v/>
      </c>
      <c r="Z31" s="19">
        <f>X31*($H$9+$H$10)</f>
        <v/>
      </c>
      <c r="AA31" s="20" t="n">
        <v>0.07000000000000001</v>
      </c>
      <c r="AB31" s="21">
        <f>H31*AA31</f>
        <v/>
      </c>
      <c r="AC31" s="23" t="n">
        <v>0.08</v>
      </c>
      <c r="AD31" s="21">
        <f>H31*AC31</f>
        <v/>
      </c>
      <c r="AE31" s="21">
        <f>AB31+AD31</f>
        <v/>
      </c>
      <c r="AF31" s="25">
        <f>AE31/H31</f>
        <v/>
      </c>
      <c r="AG31" s="26">
        <f>H31-O31-P31-Q31-R31-S31-T31-W31-Y31-Z31-M31-AL31</f>
        <v/>
      </c>
      <c r="AH31" s="27">
        <f>AG31-AE31</f>
        <v/>
      </c>
      <c r="AI31" s="28">
        <f>AH31/H31</f>
        <v/>
      </c>
      <c r="AJ31" s="29">
        <f>AH31/M31</f>
        <v/>
      </c>
      <c r="AK31" s="21">
        <f>(P31+R31+W31+Y31+Z31+M31)/(1-(N31+$H$4+(1-I31)*$H$3+$H$8+$H$11+AA31+AC31))</f>
        <v/>
      </c>
      <c r="AL31" s="90">
        <f>H31*$H$11</f>
        <v/>
      </c>
    </row>
    <row r="32" ht="29" customHeight="1">
      <c r="A32" s="11" t="inlineStr">
        <is>
          <t>ENOUGH - Collagen Moisture Foundation [Tone 13] / Тональный крем для лица с коллагеном 13 тон</t>
        </is>
      </c>
      <c r="B32" s="12" t="n"/>
      <c r="C32" s="13" t="n"/>
      <c r="D32" s="92" t="n">
        <v>0</v>
      </c>
      <c r="E32" s="14" t="n">
        <v>1980</v>
      </c>
      <c r="F32" s="14" t="n">
        <v>195</v>
      </c>
      <c r="G32" s="14" t="n">
        <v>8</v>
      </c>
      <c r="H32" s="14" t="n">
        <v>1800</v>
      </c>
      <c r="I32" s="15" t="n">
        <v>0.45</v>
      </c>
      <c r="J32" s="16">
        <f>H32*(1-I32)</f>
        <v/>
      </c>
      <c r="K32" s="17" t="n">
        <v>216.45</v>
      </c>
      <c r="L32" s="18">
        <f>$H$5</f>
        <v/>
      </c>
      <c r="M32" s="19">
        <f>K32+L32</f>
        <v/>
      </c>
      <c r="N32" s="20" t="n">
        <v>0.41</v>
      </c>
      <c r="O32" s="21">
        <f>H32*N32</f>
        <v/>
      </c>
      <c r="P32" s="22" t="n">
        <v>67</v>
      </c>
      <c r="Q32" s="21">
        <f>H32*$H$8</f>
        <v/>
      </c>
      <c r="R32" s="22" t="n">
        <v>25</v>
      </c>
      <c r="S32" s="21">
        <f>H32*$H$4</f>
        <v/>
      </c>
      <c r="T32" s="21">
        <f>J32*$H$3</f>
        <v/>
      </c>
      <c r="U32" s="23" t="n">
        <v>0.9</v>
      </c>
      <c r="V32" s="22" t="n">
        <v>67</v>
      </c>
      <c r="W32" s="21">
        <f>V32*(1-U32)</f>
        <v/>
      </c>
      <c r="X32" s="24" t="n">
        <v>0.4</v>
      </c>
      <c r="Y32" s="21">
        <f>$H$6*$H$7*X32</f>
        <v/>
      </c>
      <c r="Z32" s="19">
        <f>X32*($H$9+$H$10)</f>
        <v/>
      </c>
      <c r="AA32" s="20" t="n">
        <v>0.07000000000000001</v>
      </c>
      <c r="AB32" s="21">
        <f>H32*AA32</f>
        <v/>
      </c>
      <c r="AC32" s="23" t="n">
        <v>0.08</v>
      </c>
      <c r="AD32" s="21">
        <f>H32*AC32</f>
        <v/>
      </c>
      <c r="AE32" s="21">
        <f>AB32+AD32</f>
        <v/>
      </c>
      <c r="AF32" s="25">
        <f>AE32/H32</f>
        <v/>
      </c>
      <c r="AG32" s="26">
        <f>H32-O32-P32-Q32-R32-S32-T32-W32-Y32-Z32-M32-AL32</f>
        <v/>
      </c>
      <c r="AH32" s="27">
        <f>AG32-AE32</f>
        <v/>
      </c>
      <c r="AI32" s="28">
        <f>AH32/H32</f>
        <v/>
      </c>
      <c r="AJ32" s="29">
        <f>AH32/M32</f>
        <v/>
      </c>
      <c r="AK32" s="21">
        <f>(P32+R32+W32+Y32+Z32+M32)/(1-(N32+$H$4+(1-I32)*$H$3+$H$8+$H$11+AA32+AC32))</f>
        <v/>
      </c>
      <c r="AL32" s="90">
        <f>H32*$H$11</f>
        <v/>
      </c>
    </row>
    <row r="33" ht="29" customHeight="1">
      <c r="A33" s="11" t="inlineStr">
        <is>
          <t>ENOUGH - Collagen Moisture Foundation [Tone 21] / Тональный крем для лица с коллагеном 21 тон</t>
        </is>
      </c>
      <c r="B33" s="12" t="n"/>
      <c r="C33" s="13" t="n"/>
      <c r="D33" s="92" t="n">
        <v>0</v>
      </c>
      <c r="E33" s="14" t="n">
        <v>1910</v>
      </c>
      <c r="F33" s="14" t="n">
        <v>121</v>
      </c>
      <c r="G33" s="14" t="n">
        <v>7.3</v>
      </c>
      <c r="H33" s="14" t="n">
        <v>1800</v>
      </c>
      <c r="I33" s="15" t="n">
        <v>0.45</v>
      </c>
      <c r="J33" s="16">
        <f>H33*(1-I33)</f>
        <v/>
      </c>
      <c r="K33" s="17" t="n">
        <v>242.88</v>
      </c>
      <c r="L33" s="18">
        <f>$H$5</f>
        <v/>
      </c>
      <c r="M33" s="19">
        <f>K33+L33</f>
        <v/>
      </c>
      <c r="N33" s="20" t="n">
        <v>0.41</v>
      </c>
      <c r="O33" s="21">
        <f>H33*N33</f>
        <v/>
      </c>
      <c r="P33" s="22" t="n">
        <v>67</v>
      </c>
      <c r="Q33" s="21">
        <f>H33*$H$8</f>
        <v/>
      </c>
      <c r="R33" s="22" t="n">
        <v>25</v>
      </c>
      <c r="S33" s="21">
        <f>H33*$H$4</f>
        <v/>
      </c>
      <c r="T33" s="21">
        <f>J33*$H$3</f>
        <v/>
      </c>
      <c r="U33" s="23" t="n">
        <v>0.9</v>
      </c>
      <c r="V33" s="22" t="n">
        <v>67</v>
      </c>
      <c r="W33" s="21">
        <f>V33*(1-U33)</f>
        <v/>
      </c>
      <c r="X33" s="24" t="n">
        <v>0.4</v>
      </c>
      <c r="Y33" s="21">
        <f>$H$6*$H$7*X33</f>
        <v/>
      </c>
      <c r="Z33" s="19">
        <f>X33*($H$9+$H$10)</f>
        <v/>
      </c>
      <c r="AA33" s="20" t="n">
        <v>0.07000000000000001</v>
      </c>
      <c r="AB33" s="21">
        <f>H33*AA33</f>
        <v/>
      </c>
      <c r="AC33" s="23" t="n">
        <v>0.08</v>
      </c>
      <c r="AD33" s="21">
        <f>H33*AC33</f>
        <v/>
      </c>
      <c r="AE33" s="21">
        <f>AB33+AD33</f>
        <v/>
      </c>
      <c r="AF33" s="25">
        <f>AE33/H33</f>
        <v/>
      </c>
      <c r="AG33" s="26">
        <f>H33-O33-P33-Q33-R33-S33-T33-W33-Y33-Z33-M33-AL33</f>
        <v/>
      </c>
      <c r="AH33" s="27">
        <f>AG33-AE33</f>
        <v/>
      </c>
      <c r="AI33" s="28">
        <f>AH33/H33</f>
        <v/>
      </c>
      <c r="AJ33" s="29">
        <f>AH33/M33</f>
        <v/>
      </c>
      <c r="AK33" s="21">
        <f>(P33+R33+W33+Y33+Z33+M33)/(1-(N33+$H$4+(1-I33)*$H$3+$H$8+$H$11+AA33+AC33))</f>
        <v/>
      </c>
      <c r="AL33" s="90">
        <f>H33*$H$11</f>
        <v/>
      </c>
    </row>
    <row r="34" ht="29" customHeight="1">
      <c r="A34" s="11" t="inlineStr">
        <is>
          <t>ENOUGH - Gold Snail Moisture Foundation [Tone 13] / Тональный крем с муцином улитки 13 тон</t>
        </is>
      </c>
      <c r="B34" s="12" t="n"/>
      <c r="C34" s="13" t="n"/>
      <c r="D34" s="92" t="n">
        <v>95</v>
      </c>
      <c r="E34" s="14" t="n">
        <v>1456</v>
      </c>
      <c r="F34" s="14" t="n">
        <v>109</v>
      </c>
      <c r="G34" s="14" t="n">
        <v>9</v>
      </c>
      <c r="H34" s="14" t="n">
        <v>1356</v>
      </c>
      <c r="I34" s="15" t="n">
        <v>0.45</v>
      </c>
      <c r="J34" s="16">
        <f>H34*(1-I34)</f>
        <v/>
      </c>
      <c r="K34" s="17" t="n">
        <v>245.65</v>
      </c>
      <c r="L34" s="18">
        <f>$H$5</f>
        <v/>
      </c>
      <c r="M34" s="19">
        <f>K34+L34</f>
        <v/>
      </c>
      <c r="N34" s="20" t="n">
        <v>0.41</v>
      </c>
      <c r="O34" s="21">
        <f>H34*N34</f>
        <v/>
      </c>
      <c r="P34" s="22" t="n">
        <v>67</v>
      </c>
      <c r="Q34" s="21">
        <f>H34*$H$8</f>
        <v/>
      </c>
      <c r="R34" s="22" t="n">
        <v>25</v>
      </c>
      <c r="S34" s="21">
        <f>H34*$H$4</f>
        <v/>
      </c>
      <c r="T34" s="21">
        <f>J34*$H$3</f>
        <v/>
      </c>
      <c r="U34" s="23" t="n">
        <v>0.9</v>
      </c>
      <c r="V34" s="22" t="n">
        <v>67</v>
      </c>
      <c r="W34" s="21">
        <f>V34*(1-U34)</f>
        <v/>
      </c>
      <c r="X34" s="24" t="n">
        <v>0.4</v>
      </c>
      <c r="Y34" s="21">
        <f>$H$6*$H$7*X34</f>
        <v/>
      </c>
      <c r="Z34" s="19">
        <f>X34*($H$9+$H$10)</f>
        <v/>
      </c>
      <c r="AA34" s="20" t="n">
        <v>0.07000000000000001</v>
      </c>
      <c r="AB34" s="21">
        <f>H34*AA34</f>
        <v/>
      </c>
      <c r="AC34" s="23" t="n">
        <v>0.08</v>
      </c>
      <c r="AD34" s="21">
        <f>H34*AC34</f>
        <v/>
      </c>
      <c r="AE34" s="21">
        <f>AB34+AD34</f>
        <v/>
      </c>
      <c r="AF34" s="25">
        <f>AE34/H34</f>
        <v/>
      </c>
      <c r="AG34" s="26">
        <f>H34-O34-P34-Q34-R34-S34-T34-W34-Y34-Z34-M34-AL34</f>
        <v/>
      </c>
      <c r="AH34" s="27">
        <f>AG34-AE34</f>
        <v/>
      </c>
      <c r="AI34" s="28">
        <f>AH34/H34</f>
        <v/>
      </c>
      <c r="AJ34" s="29">
        <f>AH34/M34</f>
        <v/>
      </c>
      <c r="AK34" s="21">
        <f>(P34+R34+W34+Y34+Z34+M34)/(1-(N34+$H$4+(1-I34)*$H$3+$H$8+$H$11+AA34+AC34))</f>
        <v/>
      </c>
      <c r="AL34" s="90">
        <f>H34*$H$11</f>
        <v/>
      </c>
    </row>
    <row r="35" ht="29" customHeight="1">
      <c r="A35" s="11" t="inlineStr">
        <is>
          <t>ENOUGH - Gold Snail Moisture Foundation [Tone 21] / Тональный крем с муцином улитки 21 тон</t>
        </is>
      </c>
      <c r="B35" s="12" t="n"/>
      <c r="C35" s="13" t="n"/>
      <c r="D35" s="92" t="n">
        <v>101</v>
      </c>
      <c r="E35" s="14" t="n">
        <v>1345</v>
      </c>
      <c r="F35" s="14" t="n">
        <v>114</v>
      </c>
      <c r="G35" s="14" t="n">
        <v>0</v>
      </c>
      <c r="H35" s="14" t="n">
        <v>1280</v>
      </c>
      <c r="I35" s="15" t="n">
        <v>0.45</v>
      </c>
      <c r="J35" s="16">
        <f>H35*(1-I35)</f>
        <v/>
      </c>
      <c r="K35" s="17" t="n">
        <v>270.81</v>
      </c>
      <c r="L35" s="18">
        <f>$H$5</f>
        <v/>
      </c>
      <c r="M35" s="19">
        <f>K35+L35</f>
        <v/>
      </c>
      <c r="N35" s="20" t="n">
        <v>0.41</v>
      </c>
      <c r="O35" s="21">
        <f>H35*N35</f>
        <v/>
      </c>
      <c r="P35" s="22" t="n">
        <v>67</v>
      </c>
      <c r="Q35" s="21">
        <f>H35*$H$8</f>
        <v/>
      </c>
      <c r="R35" s="22" t="n">
        <v>25</v>
      </c>
      <c r="S35" s="21">
        <f>H35*$H$4</f>
        <v/>
      </c>
      <c r="T35" s="21">
        <f>J35*$H$3</f>
        <v/>
      </c>
      <c r="U35" s="23" t="n">
        <v>0.9</v>
      </c>
      <c r="V35" s="22" t="n">
        <v>67</v>
      </c>
      <c r="W35" s="21">
        <f>V35*(1-U35)</f>
        <v/>
      </c>
      <c r="X35" s="24" t="n">
        <v>0.4</v>
      </c>
      <c r="Y35" s="21">
        <f>$H$6*$H$7*X35</f>
        <v/>
      </c>
      <c r="Z35" s="19">
        <f>X35*($H$9+$H$10)</f>
        <v/>
      </c>
      <c r="AA35" s="20" t="n">
        <v>0.07000000000000001</v>
      </c>
      <c r="AB35" s="21">
        <f>H35*AA35</f>
        <v/>
      </c>
      <c r="AC35" s="23" t="n">
        <v>0.08</v>
      </c>
      <c r="AD35" s="21">
        <f>H35*AC35</f>
        <v/>
      </c>
      <c r="AE35" s="21">
        <f>AB35+AD35</f>
        <v/>
      </c>
      <c r="AF35" s="25">
        <f>AE35/H35</f>
        <v/>
      </c>
      <c r="AG35" s="26">
        <f>H35-O35-P35-Q35-R35-S35-T35-W35-Y35-Z35-M35-AL35</f>
        <v/>
      </c>
      <c r="AH35" s="27">
        <f>AG35-AE35</f>
        <v/>
      </c>
      <c r="AI35" s="28">
        <f>AH35/H35</f>
        <v/>
      </c>
      <c r="AJ35" s="29">
        <f>AH35/M35</f>
        <v/>
      </c>
      <c r="AK35" s="21">
        <f>(P35+R35+W35+Y35+Z35+M35)/(1-(N35+$H$4+(1-I35)*$H$3+$H$8+$H$11+AA35+AC35))</f>
        <v/>
      </c>
      <c r="AL35" s="90">
        <f>H35*$H$11</f>
        <v/>
      </c>
    </row>
    <row r="36" ht="29" customHeight="1">
      <c r="A36" s="11" t="inlineStr">
        <is>
          <t>ENOUGH - Collagen 3in1 Whitening Moisture Foundation [Tone 13] / Тональный крем для лица с коллагеном 3в1 [13 тон]</t>
        </is>
      </c>
      <c r="B36" s="12" t="n"/>
      <c r="C36" s="13" t="n"/>
      <c r="D36" s="92" t="n">
        <v>247</v>
      </c>
      <c r="E36" s="14" t="n">
        <v>1732</v>
      </c>
      <c r="F36" s="14" t="n">
        <v>51</v>
      </c>
      <c r="G36" s="14" t="n">
        <v>9</v>
      </c>
      <c r="H36" s="14" t="n">
        <v>1600</v>
      </c>
      <c r="I36" s="15" t="n">
        <v>0.45</v>
      </c>
      <c r="J36" s="16">
        <f>H36*(1-I36)</f>
        <v/>
      </c>
      <c r="K36" s="17" t="n">
        <v>238.13</v>
      </c>
      <c r="L36" s="18">
        <f>$H$5</f>
        <v/>
      </c>
      <c r="M36" s="19">
        <f>K36+L36</f>
        <v/>
      </c>
      <c r="N36" s="20" t="n">
        <v>0.41</v>
      </c>
      <c r="O36" s="21">
        <f>H36*N36</f>
        <v/>
      </c>
      <c r="P36" s="22" t="n">
        <v>67</v>
      </c>
      <c r="Q36" s="21">
        <f>H36*$H$8</f>
        <v/>
      </c>
      <c r="R36" s="22" t="n">
        <v>25</v>
      </c>
      <c r="S36" s="21">
        <f>H36*$H$4</f>
        <v/>
      </c>
      <c r="T36" s="21">
        <f>J36*$H$3</f>
        <v/>
      </c>
      <c r="U36" s="23" t="n">
        <v>0.9</v>
      </c>
      <c r="V36" s="22" t="n">
        <v>67</v>
      </c>
      <c r="W36" s="21">
        <f>V36*(1-U36)</f>
        <v/>
      </c>
      <c r="X36" s="24" t="n">
        <v>0.4</v>
      </c>
      <c r="Y36" s="21">
        <f>$H$6*$H$7*X36</f>
        <v/>
      </c>
      <c r="Z36" s="19">
        <f>X36*($H$9+$H$10)</f>
        <v/>
      </c>
      <c r="AA36" s="20" t="n">
        <v>0.07000000000000001</v>
      </c>
      <c r="AB36" s="21">
        <f>H36*AA36</f>
        <v/>
      </c>
      <c r="AC36" s="23" t="n">
        <v>0.08</v>
      </c>
      <c r="AD36" s="21">
        <f>H36*AC36</f>
        <v/>
      </c>
      <c r="AE36" s="21">
        <f>AB36+AD36</f>
        <v/>
      </c>
      <c r="AF36" s="25">
        <f>AE36/H36</f>
        <v/>
      </c>
      <c r="AG36" s="26">
        <f>H36-O36-P36-Q36-R36-S36-T36-W36-Y36-Z36-M36-AL36</f>
        <v/>
      </c>
      <c r="AH36" s="27">
        <f>AG36-AE36</f>
        <v/>
      </c>
      <c r="AI36" s="28">
        <f>AH36/H36</f>
        <v/>
      </c>
      <c r="AJ36" s="29">
        <f>AH36/M36</f>
        <v/>
      </c>
      <c r="AK36" s="21">
        <f>(P36+R36+W36+Y36+Z36+M36)/(1-(N36+$H$4+(1-I36)*$H$3+$H$8+$H$11+AA36+AC36))</f>
        <v/>
      </c>
      <c r="AL36" s="90">
        <f>H36*$H$11</f>
        <v/>
      </c>
    </row>
    <row r="37" ht="29" customHeight="1">
      <c r="A37" s="11" t="inlineStr">
        <is>
          <t>ENOUGH - Collagen 3in1 Whitening Moisture Foundation [Tone 21] / Тональный крем для лица с коллагеном 3в1 [21 тон]</t>
        </is>
      </c>
      <c r="B37" s="12" t="n"/>
      <c r="C37" s="13" t="n"/>
      <c r="D37" s="92" t="n">
        <v>78</v>
      </c>
      <c r="E37" s="14" t="n">
        <v>1038</v>
      </c>
      <c r="F37" s="14" t="n">
        <v>65</v>
      </c>
      <c r="G37" s="14" t="n">
        <v>12</v>
      </c>
      <c r="H37" s="14" t="n">
        <v>1000</v>
      </c>
      <c r="I37" s="15" t="n">
        <v>0.45</v>
      </c>
      <c r="J37" s="16">
        <f>H37*(1-I37)</f>
        <v/>
      </c>
      <c r="K37" s="17" t="n">
        <v>223.35</v>
      </c>
      <c r="L37" s="18">
        <f>$H$5</f>
        <v/>
      </c>
      <c r="M37" s="19">
        <f>K37+L37</f>
        <v/>
      </c>
      <c r="N37" s="20" t="n">
        <v>0.41</v>
      </c>
      <c r="O37" s="21">
        <f>H37*N37</f>
        <v/>
      </c>
      <c r="P37" s="22" t="n">
        <v>67</v>
      </c>
      <c r="Q37" s="21">
        <f>H37*$H$8</f>
        <v/>
      </c>
      <c r="R37" s="22" t="n">
        <v>25</v>
      </c>
      <c r="S37" s="21">
        <f>H37*$H$4</f>
        <v/>
      </c>
      <c r="T37" s="21">
        <f>J37*$H$3</f>
        <v/>
      </c>
      <c r="U37" s="23" t="n">
        <v>0.9</v>
      </c>
      <c r="V37" s="22" t="n">
        <v>67</v>
      </c>
      <c r="W37" s="21">
        <f>V37*(1-U37)</f>
        <v/>
      </c>
      <c r="X37" s="24" t="n">
        <v>0.4</v>
      </c>
      <c r="Y37" s="21">
        <f>$H$6*$H$7*X37</f>
        <v/>
      </c>
      <c r="Z37" s="19">
        <f>X37*($H$9+$H$10)</f>
        <v/>
      </c>
      <c r="AA37" s="20" t="n">
        <v>0.07000000000000001</v>
      </c>
      <c r="AB37" s="21">
        <f>H37*AA37</f>
        <v/>
      </c>
      <c r="AC37" s="23" t="n">
        <v>0.08</v>
      </c>
      <c r="AD37" s="21">
        <f>H37*AC37</f>
        <v/>
      </c>
      <c r="AE37" s="21">
        <f>AB37+AD37</f>
        <v/>
      </c>
      <c r="AF37" s="25">
        <f>AE37/H37</f>
        <v/>
      </c>
      <c r="AG37" s="26">
        <f>H37-O37-P37-Q37-R37-S37-T37-W37-Y37-Z37-M37-AL37</f>
        <v/>
      </c>
      <c r="AH37" s="27">
        <f>AG37-AE37</f>
        <v/>
      </c>
      <c r="AI37" s="28">
        <f>AH37/H37</f>
        <v/>
      </c>
      <c r="AJ37" s="29">
        <f>AH37/M37</f>
        <v/>
      </c>
      <c r="AK37" s="21">
        <f>(P37+R37+W37+Y37+Z37+M37)/(1-(N37+$H$4+(1-I37)*$H$3+$H$8+$H$11+AA37+AC37))</f>
        <v/>
      </c>
      <c r="AL37" s="90">
        <f>H37*$H$11</f>
        <v/>
      </c>
    </row>
    <row r="38" ht="29" customHeight="1">
      <c r="A38" s="11" t="inlineStr">
        <is>
          <t>ENOUGH - Premium 8 Peptide Full Cover Perfect Foundation [Tone 13] / Тональный крем с пептидами 13 тон</t>
        </is>
      </c>
      <c r="B38" s="12" t="n"/>
      <c r="C38" s="13" t="n"/>
      <c r="D38" s="92" t="n">
        <v>463</v>
      </c>
      <c r="E38" s="14" t="n">
        <v>1330</v>
      </c>
      <c r="F38" s="14" t="n">
        <v>180</v>
      </c>
      <c r="G38" s="14" t="n">
        <v>0</v>
      </c>
      <c r="H38" s="14" t="n">
        <v>1290</v>
      </c>
      <c r="I38" s="15" t="n">
        <v>0.45</v>
      </c>
      <c r="J38" s="16">
        <f>H38*(1-I38)</f>
        <v/>
      </c>
      <c r="K38" s="17" t="n">
        <v>335.9</v>
      </c>
      <c r="L38" s="18">
        <f>$H$5</f>
        <v/>
      </c>
      <c r="M38" s="19">
        <f>K38+L38</f>
        <v/>
      </c>
      <c r="N38" s="20" t="n">
        <v>0.41</v>
      </c>
      <c r="O38" s="21">
        <f>H38*N38</f>
        <v/>
      </c>
      <c r="P38" s="22" t="n">
        <v>67</v>
      </c>
      <c r="Q38" s="21">
        <f>H38*$H$8</f>
        <v/>
      </c>
      <c r="R38" s="22" t="n">
        <v>25</v>
      </c>
      <c r="S38" s="21">
        <f>H38*$H$4</f>
        <v/>
      </c>
      <c r="T38" s="21">
        <f>J38*$H$3</f>
        <v/>
      </c>
      <c r="U38" s="23" t="n">
        <v>0.9</v>
      </c>
      <c r="V38" s="22" t="n">
        <v>67</v>
      </c>
      <c r="W38" s="21">
        <f>V38*(1-U38)</f>
        <v/>
      </c>
      <c r="X38" s="24" t="n">
        <v>0.4</v>
      </c>
      <c r="Y38" s="21">
        <f>$H$6*$H$7*X38</f>
        <v/>
      </c>
      <c r="Z38" s="19">
        <f>X38*($H$9+$H$10)</f>
        <v/>
      </c>
      <c r="AA38" s="20" t="n">
        <v>0.07000000000000001</v>
      </c>
      <c r="AB38" s="21">
        <f>H38*AA38</f>
        <v/>
      </c>
      <c r="AC38" s="23" t="n">
        <v>0.08</v>
      </c>
      <c r="AD38" s="21">
        <f>H38*AC38</f>
        <v/>
      </c>
      <c r="AE38" s="21">
        <f>AB38+AD38</f>
        <v/>
      </c>
      <c r="AF38" s="25">
        <f>AE38/H38</f>
        <v/>
      </c>
      <c r="AG38" s="26">
        <f>H38-O38-P38-Q38-R38-S38-T38-W38-Y38-Z38-M38-AL38</f>
        <v/>
      </c>
      <c r="AH38" s="27">
        <f>AG38-AE38</f>
        <v/>
      </c>
      <c r="AI38" s="28">
        <f>AH38/H38</f>
        <v/>
      </c>
      <c r="AJ38" s="29">
        <f>AH38/M38</f>
        <v/>
      </c>
      <c r="AK38" s="21">
        <f>(P38+R38+W38+Y38+Z38+M38)/(1-(N38+$H$4+(1-I38)*$H$3+$H$8+$H$11+AA38+AC38))</f>
        <v/>
      </c>
      <c r="AL38" s="90">
        <f>H38*$H$11</f>
        <v/>
      </c>
    </row>
    <row r="39" ht="29" customHeight="1">
      <c r="A39" s="11" t="inlineStr">
        <is>
          <t>ENOUGH - Premium 8 Peptide Full Cover Perfect Foundation [Tone 21] / Тональный крем с пептидами 21 тон</t>
        </is>
      </c>
      <c r="B39" s="12" t="n"/>
      <c r="C39" s="13" t="n"/>
      <c r="D39" s="92" t="n">
        <v>208</v>
      </c>
      <c r="E39" s="14" t="n">
        <v>1330</v>
      </c>
      <c r="F39" s="14" t="n">
        <v>265</v>
      </c>
      <c r="G39" s="14" t="n">
        <v>0</v>
      </c>
      <c r="H39" s="14">
        <f>(1.25*M39+P39+R39+W39+Y39+Z39)/(1-N39-$H$8-$H$4-(1-I39)*$H$3-$H$11-AA39-AC39)</f>
        <v/>
      </c>
      <c r="I39" s="15" t="n">
        <v>0.45</v>
      </c>
      <c r="J39" s="16">
        <f>H39*(1-I39)</f>
        <v/>
      </c>
      <c r="K39" s="17" t="n">
        <v>304.77</v>
      </c>
      <c r="L39" s="18">
        <f>$H$5</f>
        <v/>
      </c>
      <c r="M39" s="19">
        <f>K39+L39</f>
        <v/>
      </c>
      <c r="N39" s="20" t="n">
        <v>0.41</v>
      </c>
      <c r="O39" s="21">
        <f>H39*N39</f>
        <v/>
      </c>
      <c r="P39" s="22" t="n">
        <v>67</v>
      </c>
      <c r="Q39" s="21">
        <f>H39*$H$8</f>
        <v/>
      </c>
      <c r="R39" s="22" t="n">
        <v>25</v>
      </c>
      <c r="S39" s="21">
        <f>H39*$H$4</f>
        <v/>
      </c>
      <c r="T39" s="21">
        <f>J39*$H$3</f>
        <v/>
      </c>
      <c r="U39" s="23" t="n">
        <v>0.9</v>
      </c>
      <c r="V39" s="22" t="n">
        <v>67</v>
      </c>
      <c r="W39" s="21">
        <f>V39*(1-U39)</f>
        <v/>
      </c>
      <c r="X39" s="24" t="n">
        <v>0.4</v>
      </c>
      <c r="Y39" s="21">
        <f>$H$6*$H$7*X39</f>
        <v/>
      </c>
      <c r="Z39" s="19">
        <f>X39*($H$9+$H$10)</f>
        <v/>
      </c>
      <c r="AA39" s="20" t="n">
        <v>0.07000000000000001</v>
      </c>
      <c r="AB39" s="21">
        <f>H39*AA39</f>
        <v/>
      </c>
      <c r="AC39" s="23" t="n">
        <v>0.08</v>
      </c>
      <c r="AD39" s="21">
        <f>H39*AC39</f>
        <v/>
      </c>
      <c r="AE39" s="21">
        <f>AB39+AD39</f>
        <v/>
      </c>
      <c r="AF39" s="25">
        <f>AE39/H39</f>
        <v/>
      </c>
      <c r="AG39" s="26">
        <f>H39-O39-P39-Q39-R39-S39-T39-W39-Y39-Z39-M39-AL39</f>
        <v/>
      </c>
      <c r="AH39" s="27">
        <f>AG39-AE39</f>
        <v/>
      </c>
      <c r="AI39" s="28">
        <f>AH39/H39</f>
        <v/>
      </c>
      <c r="AJ39" s="29">
        <f>AH39/M39</f>
        <v/>
      </c>
      <c r="AK39" s="21">
        <f>(P39+R39+W39+Y39+Z39+M39)/(1-(N39+$H$4+(1-I39)*$H$3+$H$8+$H$11+AA39+AC39))</f>
        <v/>
      </c>
      <c r="AL39" s="90">
        <f>H39*$H$11</f>
        <v/>
      </c>
    </row>
    <row r="40" ht="29" customHeight="1">
      <c r="A40" s="11" t="inlineStr">
        <is>
          <t>ENOUGH Collagen whitening cover tip concealer #01 [9g]/Консилер для лица (основная карточка) 4.5 рейтинг</t>
        </is>
      </c>
      <c r="B40" s="12" t="n"/>
      <c r="C40" s="13" t="n"/>
      <c r="D40" s="92" t="n">
        <v>593</v>
      </c>
      <c r="E40" s="14" t="n"/>
      <c r="F40" s="14" t="n"/>
      <c r="G40" s="14" t="n"/>
      <c r="H40" s="14" t="n"/>
      <c r="I40" s="15" t="n"/>
      <c r="J40" s="16" t="n"/>
      <c r="K40" s="17" t="n"/>
      <c r="L40" s="18" t="n"/>
      <c r="M40" s="19" t="n"/>
      <c r="N40" s="20" t="n"/>
      <c r="O40" s="21" t="n"/>
      <c r="P40" s="22" t="n"/>
      <c r="Q40" s="21" t="n"/>
      <c r="R40" s="22" t="n"/>
      <c r="S40" s="21" t="n"/>
      <c r="T40" s="21" t="n"/>
      <c r="U40" s="23" t="n"/>
      <c r="V40" s="22" t="n"/>
      <c r="W40" s="21" t="n"/>
      <c r="X40" s="24" t="n"/>
      <c r="Y40" s="21" t="n"/>
      <c r="Z40" s="19" t="n"/>
      <c r="AA40" s="20" t="n"/>
      <c r="AB40" s="21" t="n"/>
      <c r="AC40" s="23" t="n"/>
      <c r="AD40" s="21" t="n"/>
      <c r="AE40" s="21" t="n"/>
      <c r="AF40" s="25" t="n"/>
      <c r="AG40" s="26" t="n"/>
      <c r="AH40" s="27" t="n"/>
      <c r="AI40" s="28" t="n"/>
      <c r="AJ40" s="29" t="n"/>
      <c r="AK40" s="21" t="n"/>
    </row>
    <row r="41" ht="29" customHeight="1">
      <c r="A41" s="11" t="inlineStr">
        <is>
          <t>ENOUGH Collagen whitening cover tip concealer #02 [9g]/Консилер для лица (основная карточка)</t>
        </is>
      </c>
      <c r="B41" s="12" t="n"/>
      <c r="C41" s="13" t="n"/>
      <c r="D41" s="92" t="n">
        <v>757</v>
      </c>
      <c r="E41" s="14" t="n"/>
      <c r="F41" s="14" t="n"/>
      <c r="G41" s="14" t="n"/>
      <c r="H41" s="14" t="n"/>
      <c r="I41" s="15" t="n"/>
      <c r="J41" s="16" t="n"/>
      <c r="K41" s="17" t="n"/>
      <c r="L41" s="18" t="n"/>
      <c r="M41" s="19" t="n"/>
      <c r="N41" s="20" t="n"/>
      <c r="O41" s="21" t="n"/>
      <c r="P41" s="22" t="n"/>
      <c r="Q41" s="21" t="n"/>
      <c r="R41" s="22" t="n"/>
      <c r="S41" s="21" t="n"/>
      <c r="T41" s="21" t="n"/>
      <c r="U41" s="23" t="n"/>
      <c r="V41" s="22" t="n"/>
      <c r="W41" s="21" t="n"/>
      <c r="X41" s="24" t="n"/>
      <c r="Y41" s="21" t="n"/>
      <c r="Z41" s="19" t="n"/>
      <c r="AA41" s="20" t="n"/>
      <c r="AB41" s="21" t="n"/>
      <c r="AC41" s="23" t="n"/>
      <c r="AD41" s="21" t="n"/>
      <c r="AE41" s="21" t="n"/>
      <c r="AF41" s="25" t="n"/>
      <c r="AG41" s="26" t="n"/>
      <c r="AH41" s="27" t="n"/>
      <c r="AI41" s="28" t="n"/>
      <c r="AJ41" s="29" t="n"/>
      <c r="AK41" s="21" t="n"/>
    </row>
    <row r="42" ht="29" customHeight="1">
      <c r="A42" s="11" t="inlineStr">
        <is>
          <t>ENOUGH Collagen whitening cover tip concealer #03 [9g]/ Консилер для лица (основаная карточка)</t>
        </is>
      </c>
      <c r="B42" s="12" t="n"/>
      <c r="C42" s="13" t="n"/>
      <c r="D42" s="92" t="n">
        <v>810</v>
      </c>
      <c r="E42" s="14" t="n"/>
      <c r="F42" s="14" t="n"/>
      <c r="G42" s="14" t="n"/>
      <c r="H42" s="14" t="n"/>
      <c r="I42" s="15" t="n"/>
      <c r="J42" s="16" t="n"/>
      <c r="K42" s="17" t="n"/>
      <c r="L42" s="18" t="n"/>
      <c r="M42" s="19" t="n"/>
      <c r="N42" s="20" t="n"/>
      <c r="O42" s="21" t="n"/>
      <c r="P42" s="22" t="n"/>
      <c r="Q42" s="21" t="n"/>
      <c r="R42" s="22" t="n"/>
      <c r="S42" s="21" t="n"/>
      <c r="T42" s="21" t="n"/>
      <c r="U42" s="23" t="n"/>
      <c r="V42" s="22" t="n"/>
      <c r="W42" s="21" t="n"/>
      <c r="X42" s="24" t="n"/>
      <c r="Y42" s="21" t="n"/>
      <c r="Z42" s="19" t="n"/>
      <c r="AA42" s="20" t="n"/>
      <c r="AB42" s="21" t="n"/>
      <c r="AC42" s="23" t="n"/>
      <c r="AD42" s="21" t="n"/>
      <c r="AE42" s="21" t="n"/>
      <c r="AF42" s="25" t="n"/>
      <c r="AG42" s="26" t="n"/>
      <c r="AH42" s="27" t="n"/>
      <c r="AI42" s="28" t="n"/>
      <c r="AJ42" s="29" t="n"/>
      <c r="AK42" s="21" t="n"/>
    </row>
    <row r="43" ht="29" customHeight="1">
      <c r="A43" s="11" t="inlineStr">
        <is>
          <t>ENOUGH - Collagen Moisture BB Cream SPF47 PA+++ [50ml] / Увлажняющий BB крем с коллагеном</t>
        </is>
      </c>
      <c r="B43" s="12" t="n"/>
      <c r="C43" s="13" t="n"/>
      <c r="D43" s="92" t="n">
        <v>722</v>
      </c>
      <c r="E43" s="14" t="n"/>
      <c r="F43" s="14" t="n"/>
      <c r="G43" s="14" t="n"/>
      <c r="H43" s="14">
        <f>(1.25*M43+P43+R43+W43+Y43+Z43)/(1-N43-$H$8-$H$4-(1-I43)*$H$3-$H$11-AA43-AC43)</f>
        <v/>
      </c>
      <c r="I43" s="15" t="n">
        <v>0.45</v>
      </c>
      <c r="J43" s="16">
        <f>H43*(1-I43)</f>
        <v/>
      </c>
      <c r="K43" s="17" t="n">
        <v>189.27</v>
      </c>
      <c r="L43" s="18">
        <f>$H$5</f>
        <v/>
      </c>
      <c r="M43" s="19">
        <f>K43+L43</f>
        <v/>
      </c>
      <c r="N43" s="20" t="n">
        <v>0.41</v>
      </c>
      <c r="O43" s="21">
        <f>H43*N43</f>
        <v/>
      </c>
      <c r="P43" s="22" t="n">
        <v>63</v>
      </c>
      <c r="Q43" s="21">
        <f>H43*$H$8</f>
        <v/>
      </c>
      <c r="R43" s="22" t="n">
        <v>25</v>
      </c>
      <c r="S43" s="21">
        <f>H43*$H$4</f>
        <v/>
      </c>
      <c r="T43" s="21">
        <f>J43*$H$3</f>
        <v/>
      </c>
      <c r="U43" s="23" t="n">
        <v>0.9</v>
      </c>
      <c r="V43" s="22" t="n">
        <v>63</v>
      </c>
      <c r="W43" s="21">
        <f>V43*(1-U43)</f>
        <v/>
      </c>
      <c r="X43" s="24" t="n">
        <v>0.28</v>
      </c>
      <c r="Y43" s="21">
        <f>$H$6*$H$7*X43</f>
        <v/>
      </c>
      <c r="Z43" s="19">
        <f>X43*($H$9+$H$10)</f>
        <v/>
      </c>
      <c r="AA43" s="20" t="n">
        <v>0.07000000000000001</v>
      </c>
      <c r="AB43" s="21">
        <f>H43*AA43</f>
        <v/>
      </c>
      <c r="AC43" s="23" t="n">
        <v>0.08</v>
      </c>
      <c r="AD43" s="21">
        <f>H43*AC43</f>
        <v/>
      </c>
      <c r="AE43" s="21">
        <f>AB43+AD43</f>
        <v/>
      </c>
      <c r="AF43" s="25">
        <f>AE43/H43</f>
        <v/>
      </c>
      <c r="AG43" s="26">
        <f>H43-O43-P43-Q43-R43-S43-T43-W43-Y43-Z43-M43-AL43</f>
        <v/>
      </c>
      <c r="AH43" s="27">
        <f>AG43-AE43</f>
        <v/>
      </c>
      <c r="AI43" s="28">
        <f>AH43/H43</f>
        <v/>
      </c>
      <c r="AJ43" s="29">
        <f>AH43/M43</f>
        <v/>
      </c>
      <c r="AK43" s="21">
        <f>(P43+R43+W43+Y43+Z43+M43)/(1-(N43+$H$4+(1-I43)*$H$3+$H$8+$H$11+AA43+AC43))</f>
        <v/>
      </c>
      <c r="AL43" s="90">
        <f>H43*$H$11</f>
        <v/>
      </c>
    </row>
    <row r="44">
      <c r="A44" s="52" t="inlineStr">
        <is>
          <t>Косметика/ETUDEHOUSE</t>
        </is>
      </c>
      <c r="B44" s="10" t="n"/>
      <c r="C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</row>
    <row r="45" ht="29" customHeight="1">
      <c r="A45" s="11" t="inlineStr">
        <is>
          <t>ETUDE - Baking Powder Crunch Pore Scrub [200ml] / Очищающий скраб для лица с содой</t>
        </is>
      </c>
      <c r="B45" s="12" t="n"/>
      <c r="C45" s="13" t="n"/>
      <c r="D45" s="92" t="n">
        <v>221</v>
      </c>
      <c r="E45" s="14" t="n">
        <v>1730</v>
      </c>
      <c r="F45" s="14" t="n">
        <v>300</v>
      </c>
      <c r="G45" s="14" t="n">
        <v>5</v>
      </c>
      <c r="H45" s="14" t="n">
        <v>1650</v>
      </c>
      <c r="I45" s="15" t="n">
        <v>0.45</v>
      </c>
      <c r="J45" s="16">
        <f>H45*(1-I45)</f>
        <v/>
      </c>
      <c r="K45" s="17" t="n">
        <v>361.03</v>
      </c>
      <c r="L45" s="18">
        <f>$H$5</f>
        <v/>
      </c>
      <c r="M45" s="19">
        <f>K45+L45</f>
        <v/>
      </c>
      <c r="N45" s="20" t="n">
        <v>0.41</v>
      </c>
      <c r="O45" s="21">
        <f>H45*N45</f>
        <v/>
      </c>
      <c r="P45" s="22" t="n">
        <v>67</v>
      </c>
      <c r="Q45" s="21">
        <f>H45*$H$8</f>
        <v/>
      </c>
      <c r="R45" s="22" t="n">
        <v>25</v>
      </c>
      <c r="S45" s="21">
        <f>H45*$H$4</f>
        <v/>
      </c>
      <c r="T45" s="21">
        <f>J45*$H$3</f>
        <v/>
      </c>
      <c r="U45" s="23" t="n">
        <v>0.9</v>
      </c>
      <c r="V45" s="22" t="n">
        <v>67</v>
      </c>
      <c r="W45" s="21">
        <f>V45*(1-U45)</f>
        <v/>
      </c>
      <c r="X45" s="24" t="n">
        <v>0.5600000000000001</v>
      </c>
      <c r="Y45" s="21">
        <f>$H$6*$H$7*X45</f>
        <v/>
      </c>
      <c r="Z45" s="19">
        <f>X45*($H$9+$H$10)</f>
        <v/>
      </c>
      <c r="AA45" s="20" t="n">
        <v>0.05</v>
      </c>
      <c r="AB45" s="21">
        <f>H45*AA45</f>
        <v/>
      </c>
      <c r="AC45" s="23" t="n">
        <v>0.05</v>
      </c>
      <c r="AD45" s="21">
        <f>H45*AC45</f>
        <v/>
      </c>
      <c r="AE45" s="21">
        <f>AB45+AD45</f>
        <v/>
      </c>
      <c r="AF45" s="25">
        <f>AE45/H45</f>
        <v/>
      </c>
      <c r="AG45" s="26">
        <f>H45-O45-P45-Q45-R45-S45-T45-W45-Y45-Z45-M45-AL45</f>
        <v/>
      </c>
      <c r="AH45" s="27">
        <f>AG45-AE45</f>
        <v/>
      </c>
      <c r="AI45" s="28">
        <f>AH45/H45</f>
        <v/>
      </c>
      <c r="AJ45" s="29">
        <f>AH45/M45</f>
        <v/>
      </c>
      <c r="AK45" s="21">
        <f>(P45+R45+W45+Y45+Z45+M45)/(1-(N45+$H$4+(1-I45)*$H$3+$H$8+$H$11+AA45+AC45))</f>
        <v/>
      </c>
      <c r="AL45" s="90">
        <f>H45*$H$11</f>
        <v/>
      </c>
    </row>
    <row r="46" ht="29" customHeight="1">
      <c r="A46" s="11" t="inlineStr">
        <is>
          <t>ETUDE - Baking Powder BB Deep Cleansing Foam [160ml] / Пенка с содой для глубокого очищения и снятия макияжа</t>
        </is>
      </c>
      <c r="B46" s="12" t="n"/>
      <c r="C46" s="13" t="n"/>
      <c r="D46" s="92" t="n">
        <v>228</v>
      </c>
      <c r="E46" s="14" t="n">
        <v>1870</v>
      </c>
      <c r="F46" s="14" t="n">
        <v>230</v>
      </c>
      <c r="G46" s="14" t="n">
        <v>8</v>
      </c>
      <c r="H46" s="14" t="n">
        <v>1770</v>
      </c>
      <c r="I46" s="15" t="n">
        <v>0.45</v>
      </c>
      <c r="J46" s="16">
        <f>H46*(1-I46)</f>
        <v/>
      </c>
      <c r="K46" s="17" t="n">
        <v>292.89</v>
      </c>
      <c r="L46" s="18">
        <f>$H$5</f>
        <v/>
      </c>
      <c r="M46" s="19">
        <f>K46+L46</f>
        <v/>
      </c>
      <c r="N46" s="20" t="n">
        <v>0.41</v>
      </c>
      <c r="O46" s="21">
        <f>H46*N46</f>
        <v/>
      </c>
      <c r="P46" s="22" t="n">
        <v>67</v>
      </c>
      <c r="Q46" s="21">
        <f>H46*$H$8</f>
        <v/>
      </c>
      <c r="R46" s="22" t="n">
        <v>25</v>
      </c>
      <c r="S46" s="21">
        <f>H46*$H$4</f>
        <v/>
      </c>
      <c r="T46" s="21">
        <f>J46*$H$3</f>
        <v/>
      </c>
      <c r="U46" s="23" t="n">
        <v>0.9</v>
      </c>
      <c r="V46" s="22" t="n">
        <v>67</v>
      </c>
      <c r="W46" s="21">
        <f>V46*(1-U46)</f>
        <v/>
      </c>
      <c r="X46" s="24" t="n">
        <v>0.5600000000000001</v>
      </c>
      <c r="Y46" s="21">
        <f>$H$6*$H$7*X46</f>
        <v/>
      </c>
      <c r="Z46" s="19">
        <f>X46*($H$9+$H$10)</f>
        <v/>
      </c>
      <c r="AA46" s="20" t="n">
        <v>0.07000000000000001</v>
      </c>
      <c r="AB46" s="21">
        <f>H46*AA46</f>
        <v/>
      </c>
      <c r="AC46" s="23" t="n">
        <v>0.05</v>
      </c>
      <c r="AD46" s="21">
        <f>H46*AC46</f>
        <v/>
      </c>
      <c r="AE46" s="21">
        <f>AB46+AD46</f>
        <v/>
      </c>
      <c r="AF46" s="25">
        <f>AE46/H46</f>
        <v/>
      </c>
      <c r="AG46" s="26">
        <f>H46-O46-P46-Q46-R46-S46-T46-W46-Y46-Z46-M46-AL46</f>
        <v/>
      </c>
      <c r="AH46" s="27">
        <f>AG46-AE46</f>
        <v/>
      </c>
      <c r="AI46" s="28">
        <f>AH46/H46</f>
        <v/>
      </c>
      <c r="AJ46" s="29">
        <f>AH46/M46</f>
        <v/>
      </c>
      <c r="AK46" s="21">
        <f>(P46+R46+W46+Y46+Z46+M46)/(1-(N46+$H$4+(1-I46)*$H$3+$H$8+$H$11+AA46+AC46))</f>
        <v/>
      </c>
      <c r="AL46" s="90">
        <f>H46*$H$11</f>
        <v/>
      </c>
    </row>
    <row r="47" ht="29" customHeight="1">
      <c r="A47" s="11" t="inlineStr">
        <is>
          <t>ETUDE - Baking Powder Crunch Pore Scrub [24*7ml] / Очищающий скраб для лица с содой</t>
        </is>
      </c>
      <c r="B47" s="12" t="n"/>
      <c r="C47" s="13" t="n"/>
      <c r="D47" s="92" t="n">
        <v>221</v>
      </c>
      <c r="E47" s="14" t="n">
        <v>1900</v>
      </c>
      <c r="F47" s="14" t="n">
        <v>60</v>
      </c>
      <c r="G47" s="14" t="n">
        <v>10</v>
      </c>
      <c r="H47" s="14" t="n">
        <v>1835</v>
      </c>
      <c r="I47" s="15" t="n">
        <v>0.45</v>
      </c>
      <c r="J47" s="16">
        <f>H47*(1-I47)</f>
        <v/>
      </c>
      <c r="K47" s="17" t="n">
        <v>389.99</v>
      </c>
      <c r="L47" s="18">
        <f>$H$5</f>
        <v/>
      </c>
      <c r="M47" s="19">
        <f>K47+L47</f>
        <v/>
      </c>
      <c r="N47" s="20" t="n">
        <v>0.41</v>
      </c>
      <c r="O47" s="21">
        <f>H47*N47</f>
        <v/>
      </c>
      <c r="P47" s="22" t="n">
        <v>72</v>
      </c>
      <c r="Q47" s="21">
        <f>H47*$H$8</f>
        <v/>
      </c>
      <c r="R47" s="22" t="n">
        <v>25</v>
      </c>
      <c r="S47" s="21">
        <f>H47*$H$4</f>
        <v/>
      </c>
      <c r="T47" s="21">
        <f>J47*$H$3</f>
        <v/>
      </c>
      <c r="U47" s="23" t="n">
        <v>0.9</v>
      </c>
      <c r="V47" s="22" t="n">
        <v>72</v>
      </c>
      <c r="W47" s="21">
        <f>V47*(1-U47)</f>
        <v/>
      </c>
      <c r="X47" s="24" t="n">
        <v>1.15</v>
      </c>
      <c r="Y47" s="21">
        <f>$H$6*$H$7*X47</f>
        <v/>
      </c>
      <c r="Z47" s="19">
        <f>X47*($H$9+$H$10)</f>
        <v/>
      </c>
      <c r="AA47" s="20" t="n">
        <v>0.07000000000000001</v>
      </c>
      <c r="AB47" s="21">
        <f>H47*AA47</f>
        <v/>
      </c>
      <c r="AC47" s="23" t="n">
        <v>0.08</v>
      </c>
      <c r="AD47" s="21">
        <f>H47*AC47</f>
        <v/>
      </c>
      <c r="AE47" s="21">
        <f>AB47+AD47</f>
        <v/>
      </c>
      <c r="AF47" s="25">
        <f>AE47/H47</f>
        <v/>
      </c>
      <c r="AG47" s="26">
        <f>H47-O47-P47-Q47-R47-S47-T47-W47-Y47-Z47-M47-AL47</f>
        <v/>
      </c>
      <c r="AH47" s="27">
        <f>AG47-AE47</f>
        <v/>
      </c>
      <c r="AI47" s="28">
        <f>AH47/H47</f>
        <v/>
      </c>
      <c r="AJ47" s="29">
        <f>AH47/M47</f>
        <v/>
      </c>
      <c r="AK47" s="21">
        <f>(P47+R47+W47+Y47+Z47+M47)/(1-(N47+$H$4+(1-I47)*$H$3+$H$8+$H$11+AA47+AC47))</f>
        <v/>
      </c>
      <c r="AL47" s="90">
        <f>H47*$H$11</f>
        <v/>
      </c>
    </row>
    <row r="48" ht="12" customHeight="1">
      <c r="A48" s="52" t="inlineStr">
        <is>
          <t>Косметика/FARMSTAY</t>
        </is>
      </c>
      <c r="B48" s="10" t="n"/>
      <c r="C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</row>
    <row r="49" ht="29" customHeight="1">
      <c r="A49" s="11" t="inlineStr">
        <is>
          <t>FARMSTAY COLLAGEN&amp;HYALURONIC ACID ALL-IN ONE</t>
        </is>
      </c>
      <c r="B49" s="12" t="n"/>
      <c r="C49" s="13" t="inlineStr">
        <is>
          <t>только Holika продает на Озон</t>
        </is>
      </c>
      <c r="D49" s="101" t="n">
        <v>6611</v>
      </c>
      <c r="E49" s="14" t="n">
        <v>3850</v>
      </c>
      <c r="F49" s="14" t="n">
        <v>127</v>
      </c>
      <c r="G49" s="14" t="n">
        <v>6</v>
      </c>
      <c r="H49" s="14" t="n">
        <v>3500</v>
      </c>
      <c r="I49" s="15" t="n">
        <v>0.45</v>
      </c>
      <c r="J49" s="16">
        <f>H49*(1-I49)</f>
        <v/>
      </c>
      <c r="K49" s="17" t="n">
        <v>347.76</v>
      </c>
      <c r="L49" s="18">
        <f>$H$5</f>
        <v/>
      </c>
      <c r="M49" s="19">
        <f>K49+L49</f>
        <v/>
      </c>
      <c r="N49" s="20" t="n">
        <v>0.41</v>
      </c>
      <c r="O49" s="21">
        <f>H49*N49</f>
        <v/>
      </c>
      <c r="P49" s="22" t="n">
        <v>67</v>
      </c>
      <c r="Q49" s="21">
        <f>H49*$H$8</f>
        <v/>
      </c>
      <c r="R49" s="22" t="n">
        <v>25</v>
      </c>
      <c r="S49" s="21">
        <f>H49*$H$4</f>
        <v/>
      </c>
      <c r="T49" s="21">
        <f>J49*$H$3</f>
        <v/>
      </c>
      <c r="U49" s="23" t="n">
        <v>0.9</v>
      </c>
      <c r="V49" s="22" t="n">
        <v>67</v>
      </c>
      <c r="W49" s="21">
        <f>V49*(1-U49)</f>
        <v/>
      </c>
      <c r="X49" s="24" t="n">
        <v>0.832</v>
      </c>
      <c r="Y49" s="21">
        <f>$H$6*$H$7*X49</f>
        <v/>
      </c>
      <c r="Z49" s="19">
        <f>X49*($H$9+$H$10)</f>
        <v/>
      </c>
      <c r="AA49" s="20" t="n">
        <v>0.07000000000000001</v>
      </c>
      <c r="AB49" s="21">
        <f>H49*AA49</f>
        <v/>
      </c>
      <c r="AC49" s="23" t="n">
        <v>0.08</v>
      </c>
      <c r="AD49" s="21">
        <f>H49*AC49</f>
        <v/>
      </c>
      <c r="AE49" s="21">
        <f>AB49+AD49</f>
        <v/>
      </c>
      <c r="AF49" s="25">
        <f>AE49/H49</f>
        <v/>
      </c>
      <c r="AG49" s="26">
        <f>H49-O49-P49-Q49-R49-S49-T49-W49-Y49-Z49-M49-AL49</f>
        <v/>
      </c>
      <c r="AH49" s="27">
        <f>AG49-AE49</f>
        <v/>
      </c>
      <c r="AI49" s="28">
        <f>AH49/H49</f>
        <v/>
      </c>
      <c r="AJ49" s="29">
        <f>AH49/M49</f>
        <v/>
      </c>
      <c r="AK49" s="21">
        <f>(P49+R49+W49+Y49+Z49+M49)/(1-(N49+$H$4+(1-I49)*$H$3+$H$8+$H$11+AA49+AC49))</f>
        <v/>
      </c>
      <c r="AL49" s="90">
        <f>H49*$H$11</f>
        <v/>
      </c>
    </row>
    <row r="50" ht="29" customHeight="1">
      <c r="A50" s="11" t="inlineStr">
        <is>
          <t>FARMSTAY - Black Garlic Nourishing Shampoo [530ml] / Шампунь-кондиционер 2в1 с экстрактом черного чеснока</t>
        </is>
      </c>
      <c r="B50" s="12" t="n"/>
      <c r="C50" s="13" t="inlineStr">
        <is>
          <t>только Holika продает на Озон</t>
        </is>
      </c>
      <c r="D50" s="101" t="n">
        <v>3360</v>
      </c>
      <c r="E50" s="14" t="n">
        <v>2156</v>
      </c>
      <c r="F50" s="14" t="n">
        <v>46</v>
      </c>
      <c r="G50" s="14" t="n">
        <v>5</v>
      </c>
      <c r="H50" s="14" t="n">
        <v>1850</v>
      </c>
      <c r="I50" s="15" t="n">
        <v>0.45</v>
      </c>
      <c r="J50" s="16">
        <f>H50*(1-I50)</f>
        <v/>
      </c>
      <c r="K50" s="17" t="n">
        <v>396.72</v>
      </c>
      <c r="L50" s="18">
        <f>$H$5</f>
        <v/>
      </c>
      <c r="M50" s="19">
        <f>K50+L50</f>
        <v/>
      </c>
      <c r="N50" s="20" t="n">
        <v>0.41</v>
      </c>
      <c r="O50" s="21">
        <f>H50*N50</f>
        <v/>
      </c>
      <c r="P50" s="22" t="n">
        <v>75</v>
      </c>
      <c r="Q50" s="21">
        <f>H50*$H$8</f>
        <v/>
      </c>
      <c r="R50" s="22" t="n">
        <v>25</v>
      </c>
      <c r="S50" s="21">
        <f>H50*$H$4</f>
        <v/>
      </c>
      <c r="T50" s="21">
        <f>J50*$H$3</f>
        <v/>
      </c>
      <c r="U50" s="23" t="n">
        <v>0.9</v>
      </c>
      <c r="V50" s="22" t="n">
        <v>75</v>
      </c>
      <c r="W50" s="21">
        <f>V50*(1-U50)</f>
        <v/>
      </c>
      <c r="X50" s="24" t="n">
        <v>1.89</v>
      </c>
      <c r="Y50" s="21">
        <f>$H$6*$H$7*X50</f>
        <v/>
      </c>
      <c r="Z50" s="19">
        <f>X50*($H$9+$H$10)</f>
        <v/>
      </c>
      <c r="AA50" s="20" t="n">
        <v>0.07000000000000001</v>
      </c>
      <c r="AB50" s="21">
        <f>H50*AA50</f>
        <v/>
      </c>
      <c r="AC50" s="23" t="n">
        <v>0.08</v>
      </c>
      <c r="AD50" s="21">
        <f>H50*AC50</f>
        <v/>
      </c>
      <c r="AE50" s="21">
        <f>AB50+AD50</f>
        <v/>
      </c>
      <c r="AF50" s="25">
        <f>AE50/H50</f>
        <v/>
      </c>
      <c r="AG50" s="26">
        <f>H50-O50-P50-Q50-R50-S50-T50-W50-Y50-Z50-M50-AL50</f>
        <v/>
      </c>
      <c r="AH50" s="27">
        <f>AG50-AE50</f>
        <v/>
      </c>
      <c r="AI50" s="28">
        <f>AH50/H50</f>
        <v/>
      </c>
      <c r="AJ50" s="29">
        <f>AH50/M50</f>
        <v/>
      </c>
      <c r="AK50" s="21">
        <f>(P50+R50+W50+Y50+Z50+M50)/(1-(N50+$H$4+(1-I50)*$H$3+$H$8+$H$11+AA50+AC50))</f>
        <v/>
      </c>
      <c r="AL50" s="90">
        <f>H50*$H$11</f>
        <v/>
      </c>
    </row>
    <row r="51" ht="29" customHeight="1">
      <c r="A51" s="11" t="inlineStr">
        <is>
          <t>FARMSTAY - Gold Snail Premium Cream [50ml] / Омолаживающий крем с муцином улитки и коллоидным золотом</t>
        </is>
      </c>
      <c r="B51" s="12" t="n"/>
      <c r="C51" s="13" t="inlineStr">
        <is>
          <t>не смогла найти с продажами</t>
        </is>
      </c>
      <c r="D51" s="101" t="n">
        <v>1104</v>
      </c>
      <c r="E51" s="14" t="n"/>
      <c r="F51" s="14" t="n"/>
      <c r="G51" s="14" t="n"/>
      <c r="H51" s="14">
        <f>(1.25*M51+P51+R51+W51+Y51+Z51)/(1-N51-$H$8-$H$4-(1-I51)*$H$3-$H$11-AA51-AC51)</f>
        <v/>
      </c>
      <c r="I51" s="15" t="n">
        <v>0.45</v>
      </c>
      <c r="J51" s="16">
        <f>H51*(1-I51)</f>
        <v/>
      </c>
      <c r="K51" s="17" t="n">
        <v>431.05</v>
      </c>
      <c r="L51" s="18">
        <f>$H$5</f>
        <v/>
      </c>
      <c r="M51" s="19">
        <f>K51+L51</f>
        <v/>
      </c>
      <c r="N51" s="20" t="n">
        <v>0.41</v>
      </c>
      <c r="O51" s="21">
        <f>H51*N51</f>
        <v/>
      </c>
      <c r="P51" s="22" t="n">
        <v>67</v>
      </c>
      <c r="Q51" s="21">
        <f>H51*$H$8</f>
        <v/>
      </c>
      <c r="R51" s="22" t="n">
        <v>25</v>
      </c>
      <c r="S51" s="21">
        <f>H51*$H$4</f>
        <v/>
      </c>
      <c r="T51" s="21">
        <f>J51*$H$3</f>
        <v/>
      </c>
      <c r="U51" s="23" t="n">
        <v>0.9</v>
      </c>
      <c r="V51" s="22" t="n">
        <v>67</v>
      </c>
      <c r="W51" s="21">
        <f>V51*(1-U51)</f>
        <v/>
      </c>
      <c r="X51" s="24" t="n">
        <v>0.73</v>
      </c>
      <c r="Y51" s="21">
        <f>$H$6*$H$7*X51</f>
        <v/>
      </c>
      <c r="Z51" s="19">
        <f>X51*($H$9+$H$10)</f>
        <v/>
      </c>
      <c r="AA51" s="20" t="n">
        <v>0.07000000000000001</v>
      </c>
      <c r="AB51" s="21">
        <f>H51*AA51</f>
        <v/>
      </c>
      <c r="AC51" s="23" t="n">
        <v>0.08</v>
      </c>
      <c r="AD51" s="21">
        <f>H51*AC51</f>
        <v/>
      </c>
      <c r="AE51" s="21">
        <f>AB51+AD51</f>
        <v/>
      </c>
      <c r="AF51" s="25">
        <f>AE51/H51</f>
        <v/>
      </c>
      <c r="AG51" s="26">
        <f>H51-O51-P51-Q51-R51-S51-T51-W51-Y51-Z51-M51-AL51</f>
        <v/>
      </c>
      <c r="AH51" s="27">
        <f>AG51-AE51</f>
        <v/>
      </c>
      <c r="AI51" s="28">
        <f>AH51/H51</f>
        <v/>
      </c>
      <c r="AJ51" s="29">
        <f>AH51/M51</f>
        <v/>
      </c>
      <c r="AK51" s="21">
        <f>(P51+R51+W51+Y51+Z51+M51)/(1-(N51+$H$4+(1-I51)*$H$3+$H$8+$H$11+AA51+AC51))</f>
        <v/>
      </c>
      <c r="AL51" s="90">
        <f>H51*$H$11</f>
        <v/>
      </c>
    </row>
    <row r="52" ht="29" customHeight="1">
      <c r="A52" s="11" t="inlineStr">
        <is>
          <t>FARMSTAY - Escargot Noblesse Intensive Cream [50g] / Крем с муцином королевской улитки</t>
        </is>
      </c>
      <c r="B52" s="12" t="n"/>
      <c r="C52" s="13" t="inlineStr">
        <is>
          <t>только Holika продает на Озон</t>
        </is>
      </c>
      <c r="D52" s="92" t="n">
        <v>964</v>
      </c>
      <c r="E52" s="14" t="n">
        <v>3070</v>
      </c>
      <c r="F52" s="14" t="n">
        <v>48</v>
      </c>
      <c r="G52" s="14" t="n">
        <v>6.6</v>
      </c>
      <c r="H52" s="14" t="n">
        <v>2900</v>
      </c>
      <c r="I52" s="15" t="n">
        <v>0.45</v>
      </c>
      <c r="J52" s="16">
        <f>H52*(1-I52)</f>
        <v/>
      </c>
      <c r="K52" s="17" t="n">
        <v>313.84</v>
      </c>
      <c r="L52" s="18">
        <f>$H$5</f>
        <v/>
      </c>
      <c r="M52" s="19">
        <f>K52+L52</f>
        <v/>
      </c>
      <c r="N52" s="20" t="n">
        <v>0.41</v>
      </c>
      <c r="O52" s="21">
        <f>H52*N52</f>
        <v/>
      </c>
      <c r="P52" s="22" t="n">
        <v>67</v>
      </c>
      <c r="Q52" s="21">
        <f>H52*$H$8</f>
        <v/>
      </c>
      <c r="R52" s="22" t="n">
        <v>25</v>
      </c>
      <c r="S52" s="21">
        <f>H52*$H$4</f>
        <v/>
      </c>
      <c r="T52" s="21">
        <f>J52*$H$3</f>
        <v/>
      </c>
      <c r="U52" s="23" t="n">
        <v>0.9</v>
      </c>
      <c r="V52" s="22" t="n">
        <v>67</v>
      </c>
      <c r="W52" s="21">
        <f>V52*(1-U52)</f>
        <v/>
      </c>
      <c r="X52" s="24" t="n">
        <v>0.86</v>
      </c>
      <c r="Y52" s="21">
        <f>$H$6*$H$7*X52</f>
        <v/>
      </c>
      <c r="Z52" s="19">
        <f>X52*($H$9+$H$10)</f>
        <v/>
      </c>
      <c r="AA52" s="20" t="n">
        <v>0.07000000000000001</v>
      </c>
      <c r="AB52" s="21">
        <f>H52*AA52</f>
        <v/>
      </c>
      <c r="AC52" s="23" t="n">
        <v>0.08</v>
      </c>
      <c r="AD52" s="21">
        <f>H52*AC52</f>
        <v/>
      </c>
      <c r="AE52" s="21">
        <f>AB52+AD52</f>
        <v/>
      </c>
      <c r="AF52" s="25">
        <f>AE52/H52</f>
        <v/>
      </c>
      <c r="AG52" s="26">
        <f>H52-O52-P52-Q52-R52-S52-T52-W52-Y52-Z52-M52-AL52</f>
        <v/>
      </c>
      <c r="AH52" s="27">
        <f>AG52-AE52</f>
        <v/>
      </c>
      <c r="AI52" s="28">
        <f>AH52/H52</f>
        <v/>
      </c>
      <c r="AJ52" s="29">
        <f>AH52/M52</f>
        <v/>
      </c>
      <c r="AK52" s="21">
        <f>(P52+R52+W52+Y52+Z52+M52)/(1-(N52+$H$4+(1-I52)*$H$3+$H$8+$H$11+AA52+AC52))</f>
        <v/>
      </c>
      <c r="AL52" s="90">
        <f>H52*$H$11</f>
        <v/>
      </c>
    </row>
    <row r="53" ht="29" customHeight="1">
      <c r="A53" s="11" t="inlineStr">
        <is>
          <t xml:space="preserve">FARMSTAY ESCARGOT NOBLESSE INTENSIVE AMPOULE/ сыворотка с улиткой </t>
        </is>
      </c>
      <c r="B53" s="12" t="n"/>
      <c r="C53" s="13" t="n"/>
      <c r="D53" s="92" t="n">
        <v>964</v>
      </c>
      <c r="E53" s="14" t="n">
        <v>3820</v>
      </c>
      <c r="F53" s="14" t="n">
        <v>22</v>
      </c>
      <c r="G53" s="14" t="n">
        <v>7</v>
      </c>
      <c r="H53" s="14">
        <f>(1.25*M53+P53+R53+W53+Y53+Z53)/(1-N53-$H$8-$H$4-(1-I53)*$H$3-$H$11-AA53-AC53)</f>
        <v/>
      </c>
      <c r="I53" s="15" t="n">
        <v>0.45</v>
      </c>
      <c r="J53" s="16">
        <f>H53*(1-I53)</f>
        <v/>
      </c>
      <c r="K53" s="17" t="n">
        <v>390.46</v>
      </c>
      <c r="L53" s="18">
        <f>$H$5</f>
        <v/>
      </c>
      <c r="M53" s="19">
        <f>K53+L53</f>
        <v/>
      </c>
      <c r="N53" s="20" t="n">
        <v>0.41</v>
      </c>
      <c r="O53" s="21">
        <f>H53*N53</f>
        <v/>
      </c>
      <c r="P53" s="22" t="n">
        <v>67</v>
      </c>
      <c r="Q53" s="21">
        <f>H53*$H$8</f>
        <v/>
      </c>
      <c r="R53" s="22" t="n">
        <v>25</v>
      </c>
      <c r="S53" s="21">
        <f>H53*$H$4</f>
        <v/>
      </c>
      <c r="T53" s="21">
        <f>J53*$H$3</f>
        <v/>
      </c>
      <c r="U53" s="23" t="n">
        <v>0.9</v>
      </c>
      <c r="V53" s="22" t="n">
        <v>67</v>
      </c>
      <c r="W53" s="21">
        <f>V53*(1-U53)</f>
        <v/>
      </c>
      <c r="X53" s="24" t="n">
        <v>0.86</v>
      </c>
      <c r="Y53" s="21">
        <f>$H$6*$H$7*X53</f>
        <v/>
      </c>
      <c r="Z53" s="19">
        <f>X53*($H$9+$H$10)</f>
        <v/>
      </c>
      <c r="AA53" s="20" t="n">
        <v>0.07000000000000001</v>
      </c>
      <c r="AB53" s="21">
        <f>H53*AA53</f>
        <v/>
      </c>
      <c r="AC53" s="23" t="n">
        <v>0.08</v>
      </c>
      <c r="AD53" s="21">
        <f>H53*AC53</f>
        <v/>
      </c>
      <c r="AE53" s="21">
        <f>AB53+AD53</f>
        <v/>
      </c>
      <c r="AF53" s="25">
        <f>AE53/H53</f>
        <v/>
      </c>
      <c r="AG53" s="26">
        <f>H53-O53-P53-Q53-R53-S53-T53-W53-Y53-Z53-M53-AL53</f>
        <v/>
      </c>
      <c r="AH53" s="27">
        <f>AG53-AE53</f>
        <v/>
      </c>
      <c r="AI53" s="28">
        <f>AH53/H53</f>
        <v/>
      </c>
      <c r="AJ53" s="29">
        <f>AH53/M53</f>
        <v/>
      </c>
      <c r="AK53" s="21">
        <f>(P53+R53+W53+Y53+Z53+M53)/(1-(N53+$H$4+(1-I53)*$H$3+$H$8+$H$11+AA53+AC53))</f>
        <v/>
      </c>
      <c r="AL53" s="90">
        <f>H53*$H$11</f>
        <v/>
      </c>
    </row>
    <row r="54" ht="29" customHeight="1">
      <c r="A54" s="11" t="inlineStr">
        <is>
          <t>FARMSTAY - Argan Oil Complete Volume Up Shampoo &amp; Conditioner [530ml] / Шампунь-кондиционер с аргановым маслом</t>
        </is>
      </c>
      <c r="B54" s="12" t="n"/>
      <c r="C54" s="13" t="n"/>
      <c r="D54" s="101" t="n">
        <v>2535</v>
      </c>
      <c r="E54" s="14" t="n">
        <v>2000</v>
      </c>
      <c r="F54" s="14" t="n">
        <v>23</v>
      </c>
      <c r="G54" s="14" t="n">
        <v>1</v>
      </c>
      <c r="H54" s="14">
        <f>(1.25*M54+P54+R54+W54+Y54+Z54)/(1-N54-$H$8-$H$4-(1-I54)*$H$3-$H$11-AA54-AC54)</f>
        <v/>
      </c>
      <c r="I54" s="15" t="n">
        <v>0.45</v>
      </c>
      <c r="J54" s="16">
        <f>H54*(1-I54)</f>
        <v/>
      </c>
      <c r="K54" s="17" t="n">
        <v>400.76</v>
      </c>
      <c r="L54" s="18">
        <f>$H$5</f>
        <v/>
      </c>
      <c r="M54" s="19">
        <f>K54+L54</f>
        <v/>
      </c>
      <c r="N54" s="20" t="n">
        <v>0.41</v>
      </c>
      <c r="O54" s="21">
        <f>H54*N54</f>
        <v/>
      </c>
      <c r="P54" s="22" t="n">
        <v>75</v>
      </c>
      <c r="Q54" s="21">
        <f>H54*$H$8</f>
        <v/>
      </c>
      <c r="R54" s="22" t="n">
        <v>25</v>
      </c>
      <c r="S54" s="21">
        <f>H54*$H$4</f>
        <v/>
      </c>
      <c r="T54" s="21">
        <f>J54*$H$3</f>
        <v/>
      </c>
      <c r="U54" s="23" t="n">
        <v>0.9</v>
      </c>
      <c r="V54" s="22" t="n">
        <v>75</v>
      </c>
      <c r="W54" s="21">
        <f>V54*(1-U54)</f>
        <v/>
      </c>
      <c r="X54" s="24" t="n">
        <v>1.26</v>
      </c>
      <c r="Y54" s="21">
        <f>$H$6*$H$7*X54</f>
        <v/>
      </c>
      <c r="Z54" s="19">
        <f>X54*($H$9+$H$10)</f>
        <v/>
      </c>
      <c r="AA54" s="20" t="n">
        <v>0.07000000000000001</v>
      </c>
      <c r="AB54" s="21">
        <f>H54*AA54</f>
        <v/>
      </c>
      <c r="AC54" s="23" t="n">
        <v>0.08</v>
      </c>
      <c r="AD54" s="21">
        <f>H54*AC54</f>
        <v/>
      </c>
      <c r="AE54" s="21">
        <f>AB54+AD54</f>
        <v/>
      </c>
      <c r="AF54" s="25">
        <f>AE54/H54</f>
        <v/>
      </c>
      <c r="AG54" s="26">
        <f>H54-O54-P54-Q54-R54-S54-T54-W54-Y54-Z54-M54-AL54</f>
        <v/>
      </c>
      <c r="AH54" s="27">
        <f>AG54-AE54</f>
        <v/>
      </c>
      <c r="AI54" s="28">
        <f>AH54/H54</f>
        <v/>
      </c>
      <c r="AJ54" s="29">
        <f>AH54/M54</f>
        <v/>
      </c>
      <c r="AK54" s="21">
        <f>(P54+R54+W54+Y54+Z54+M54)/(1-(N54+$H$4+(1-I54)*$H$3+$H$8+$H$11+AA54+AC54))</f>
        <v/>
      </c>
      <c r="AL54" s="90">
        <f>H54*$H$11</f>
        <v/>
      </c>
    </row>
    <row r="55" ht="29" customHeight="1">
      <c r="A55" s="11" t="inlineStr">
        <is>
          <t>FARMSTAY - Collagen Water Full Shampoo &amp; Conditioner [530ml] / Шампунь-кондиционер 2в1 с коллагеном</t>
        </is>
      </c>
      <c r="B55" s="12" t="n"/>
      <c r="C55" s="13" t="n"/>
      <c r="D55" s="92" t="n">
        <v>484</v>
      </c>
      <c r="E55" s="14" t="n">
        <v>2128</v>
      </c>
      <c r="F55" s="14" t="n">
        <v>22</v>
      </c>
      <c r="G55" s="14" t="n">
        <v>7.5</v>
      </c>
      <c r="H55" s="14">
        <f>(1.25*M55+P55+R55+W55+Y55+Z55)/(1-N55-$H$8-$H$4-(1-I55)*$H$3-$H$11-AA55-AC55)</f>
        <v/>
      </c>
      <c r="I55" s="15" t="n">
        <v>0.45</v>
      </c>
      <c r="J55" s="16">
        <f>H55*(1-I55)</f>
        <v/>
      </c>
      <c r="K55" s="17" t="n">
        <v>396.72</v>
      </c>
      <c r="L55" s="18">
        <f>$H$5</f>
        <v/>
      </c>
      <c r="M55" s="19">
        <f>K55+L55</f>
        <v/>
      </c>
      <c r="N55" s="20" t="n">
        <v>0.41</v>
      </c>
      <c r="O55" s="21">
        <f>H55*N55</f>
        <v/>
      </c>
      <c r="P55" s="22" t="n">
        <v>75</v>
      </c>
      <c r="Q55" s="21">
        <f>H55*$H$8</f>
        <v/>
      </c>
      <c r="R55" s="22" t="n">
        <v>25</v>
      </c>
      <c r="S55" s="21">
        <f>H55*$H$4</f>
        <v/>
      </c>
      <c r="T55" s="21">
        <f>J55*$H$3</f>
        <v/>
      </c>
      <c r="U55" s="23" t="n">
        <v>0.9</v>
      </c>
      <c r="V55" s="22" t="n">
        <v>75</v>
      </c>
      <c r="W55" s="21">
        <f>V55*(1-U55)</f>
        <v/>
      </c>
      <c r="X55" s="24" t="n">
        <v>1.26</v>
      </c>
      <c r="Y55" s="21">
        <f>$H$6*$H$7*X55</f>
        <v/>
      </c>
      <c r="Z55" s="19">
        <f>X55*($H$9+$H$10)</f>
        <v/>
      </c>
      <c r="AA55" s="20" t="n">
        <v>0.07000000000000001</v>
      </c>
      <c r="AB55" s="21">
        <f>H55*AA55</f>
        <v/>
      </c>
      <c r="AC55" s="23" t="n">
        <v>0.08</v>
      </c>
      <c r="AD55" s="21">
        <f>H55*AC55</f>
        <v/>
      </c>
      <c r="AE55" s="21">
        <f>AB55+AD55</f>
        <v/>
      </c>
      <c r="AF55" s="25">
        <f>AE55/H55</f>
        <v/>
      </c>
      <c r="AG55" s="26">
        <f>H55-O55-P55-Q55-R55-S55-T55-W55-Y55-Z55-M55-AL55</f>
        <v/>
      </c>
      <c r="AH55" s="27">
        <f>AG55-AE55</f>
        <v/>
      </c>
      <c r="AI55" s="28">
        <f>AH55/H55</f>
        <v/>
      </c>
      <c r="AJ55" s="29">
        <f>AH55/M55</f>
        <v/>
      </c>
      <c r="AK55" s="21">
        <f>(P55+R55+W55+Y55+Z55+M55)/(1-(N55+$H$4+(1-I55)*$H$3+$H$8+$H$11+AA55+AC55))</f>
        <v/>
      </c>
      <c r="AL55" s="90">
        <f>H55*$H$11</f>
        <v/>
      </c>
    </row>
    <row r="56" ht="29" customHeight="1">
      <c r="A56" s="11" t="inlineStr">
        <is>
          <t>FARMSTAY - Collagen Water Full Moist Rolling Eye Serum [25ml] / Сыворотка роллер для глаз</t>
        </is>
      </c>
      <c r="B56" s="12" t="n"/>
      <c r="C56" s="13" t="n"/>
      <c r="D56" s="92" t="n">
        <v>484</v>
      </c>
      <c r="E56" s="14" t="n">
        <v>2145</v>
      </c>
      <c r="F56" s="14" t="n">
        <v>48</v>
      </c>
      <c r="G56" s="14" t="n">
        <v>5</v>
      </c>
      <c r="H56" s="14" t="n">
        <v>1800</v>
      </c>
      <c r="I56" s="15" t="n">
        <v>0.45</v>
      </c>
      <c r="J56" s="16">
        <f>H56*(1-I56)</f>
        <v/>
      </c>
      <c r="K56" s="17" t="n">
        <v>231.73</v>
      </c>
      <c r="L56" s="18">
        <f>$H$5</f>
        <v/>
      </c>
      <c r="M56" s="19">
        <f>K56+L56</f>
        <v/>
      </c>
      <c r="N56" s="20" t="n">
        <v>0.41</v>
      </c>
      <c r="O56" s="21">
        <f>H56*N56</f>
        <v/>
      </c>
      <c r="P56" s="22" t="n">
        <v>63</v>
      </c>
      <c r="Q56" s="21">
        <f>H56*$H$8</f>
        <v/>
      </c>
      <c r="R56" s="22" t="n">
        <v>25</v>
      </c>
      <c r="S56" s="21">
        <f>H56*$H$4</f>
        <v/>
      </c>
      <c r="T56" s="21">
        <f>J56*$H$3</f>
        <v/>
      </c>
      <c r="U56" s="23" t="n">
        <v>0.9</v>
      </c>
      <c r="V56" s="22" t="n">
        <v>63</v>
      </c>
      <c r="W56" s="21">
        <f>V56*(1-U56)</f>
        <v/>
      </c>
      <c r="X56" s="24" t="n">
        <v>0.22</v>
      </c>
      <c r="Y56" s="21">
        <f>$H$6*$H$7*X56</f>
        <v/>
      </c>
      <c r="Z56" s="19">
        <f>X56*($H$9+$H$10)</f>
        <v/>
      </c>
      <c r="AA56" s="20" t="n">
        <v>0.07000000000000001</v>
      </c>
      <c r="AB56" s="21">
        <f>H56*AA56</f>
        <v/>
      </c>
      <c r="AC56" s="23" t="n">
        <v>0.08</v>
      </c>
      <c r="AD56" s="21">
        <f>H56*AC56</f>
        <v/>
      </c>
      <c r="AE56" s="21">
        <f>AB56+AD56</f>
        <v/>
      </c>
      <c r="AF56" s="25">
        <f>AE56/H56</f>
        <v/>
      </c>
      <c r="AG56" s="26">
        <f>H56-O56-P56-Q56-R56-S56-T56-W56-Y56-Z56-M56-AL56</f>
        <v/>
      </c>
      <c r="AH56" s="27">
        <f>AG56-AE56</f>
        <v/>
      </c>
      <c r="AI56" s="28">
        <f>AH56/H56</f>
        <v/>
      </c>
      <c r="AJ56" s="29">
        <f>AH56/M56</f>
        <v/>
      </c>
      <c r="AK56" s="21">
        <f>(P56+R56+W56+Y56+Z56+M56)/(1-(N56+$H$4+(1-I56)*$H$3+$H$8+$H$11+AA56+AC56))</f>
        <v/>
      </c>
      <c r="AL56" s="90">
        <f>H56*$H$11</f>
        <v/>
      </c>
    </row>
    <row r="57" ht="29" customHeight="1">
      <c r="A57" s="11" t="inlineStr">
        <is>
          <t>FARMSTAY - Collagen Water Full Moist Cream [100g] / Увлажняющий крем с коллагеном</t>
        </is>
      </c>
      <c r="B57" s="12" t="n"/>
      <c r="C57" s="13" t="n"/>
      <c r="D57" s="92" t="n">
        <v>287</v>
      </c>
      <c r="E57" s="14" t="n">
        <v>4300</v>
      </c>
      <c r="F57" s="14" t="n">
        <v>29</v>
      </c>
      <c r="G57" s="14" t="n">
        <v>7</v>
      </c>
      <c r="H57" s="14">
        <f>(1.25*M57+P57+R57+W57+Y57+Z57)/(1-N57-$H$8-$H$4-(1-I57)*$H$3-$H$11-AA57-AC57)</f>
        <v/>
      </c>
      <c r="I57" s="15" t="n">
        <v>0.45</v>
      </c>
      <c r="J57" s="16">
        <f>H57*(1-I57)</f>
        <v/>
      </c>
      <c r="K57" s="17" t="n">
        <v>484.42</v>
      </c>
      <c r="L57" s="18">
        <f>$H$5</f>
        <v/>
      </c>
      <c r="M57" s="19">
        <f>K57+L57</f>
        <v/>
      </c>
      <c r="N57" s="20" t="n">
        <v>0.41</v>
      </c>
      <c r="O57" s="21">
        <f>H57*N57</f>
        <v/>
      </c>
      <c r="P57" s="22" t="n">
        <v>67</v>
      </c>
      <c r="Q57" s="21">
        <f>H57*$H$8</f>
        <v/>
      </c>
      <c r="R57" s="22" t="n">
        <v>25</v>
      </c>
      <c r="S57" s="21">
        <f>H57*$H$4</f>
        <v/>
      </c>
      <c r="T57" s="21">
        <f>J57*$H$3</f>
        <v/>
      </c>
      <c r="U57" s="23" t="n">
        <v>0.9</v>
      </c>
      <c r="V57" s="22" t="n">
        <v>67</v>
      </c>
      <c r="W57" s="21">
        <f>V57*(1-U57)</f>
        <v/>
      </c>
      <c r="X57" s="24" t="n">
        <v>0.57</v>
      </c>
      <c r="Y57" s="21">
        <f>$H$6*$H$7*X57</f>
        <v/>
      </c>
      <c r="Z57" s="19">
        <f>X57*($H$9+$H$10)</f>
        <v/>
      </c>
      <c r="AA57" s="20" t="n">
        <v>0.07000000000000001</v>
      </c>
      <c r="AB57" s="21">
        <f>H57*AA57</f>
        <v/>
      </c>
      <c r="AC57" s="23" t="n">
        <v>0.08</v>
      </c>
      <c r="AD57" s="21">
        <f>H57*AC57</f>
        <v/>
      </c>
      <c r="AE57" s="21">
        <f>AB57+AD57</f>
        <v/>
      </c>
      <c r="AF57" s="25">
        <f>AE57/H57</f>
        <v/>
      </c>
      <c r="AG57" s="26">
        <f>H57-O57-P57-Q57-R57-S57-T57-W57-Y57-Z57-M57-AL57</f>
        <v/>
      </c>
      <c r="AH57" s="27">
        <f>AG57-AE57</f>
        <v/>
      </c>
      <c r="AI57" s="28">
        <f>AH57/H57</f>
        <v/>
      </c>
      <c r="AJ57" s="29">
        <f>AH57/M57</f>
        <v/>
      </c>
      <c r="AK57" s="21">
        <f>(P57+R57+W57+Y57+Z57+M57)/(1-(N57+$H$4+(1-I57)*$H$3+$H$8+$H$11+AA57+AC57))</f>
        <v/>
      </c>
      <c r="AL57" s="90">
        <f>H57*$H$11</f>
        <v/>
      </c>
    </row>
    <row r="58" ht="29" customHeight="1">
      <c r="A58" s="11" t="inlineStr">
        <is>
          <t xml:space="preserve">FARMSTAY - Collagen Pure Cleansing Foam [180ml]/Пенка для умывания </t>
        </is>
      </c>
      <c r="B58" s="12" t="n"/>
      <c r="C58" s="13" t="n"/>
      <c r="D58" s="92" t="n">
        <v>515</v>
      </c>
      <c r="E58" s="14" t="n">
        <v>1100</v>
      </c>
      <c r="F58" s="14" t="n">
        <v>163</v>
      </c>
      <c r="G58" s="14" t="n">
        <v>4.5</v>
      </c>
      <c r="H58" s="14">
        <f>(1.25*M58+P58+R58+W58+Y58+Z58)/(1-N58-$H$8-$H$4-(1-I58)*$H$3-$H$11-AA58-AC58)</f>
        <v/>
      </c>
      <c r="I58" s="15" t="n">
        <v>0.45</v>
      </c>
      <c r="J58" s="16">
        <f>H58*(1-I58)</f>
        <v/>
      </c>
      <c r="K58" s="17" t="n">
        <v>161.47</v>
      </c>
      <c r="L58" s="18">
        <f>$H$5</f>
        <v/>
      </c>
      <c r="M58" s="19">
        <f>K58+L58</f>
        <v/>
      </c>
      <c r="N58" s="20" t="n">
        <v>0.41</v>
      </c>
      <c r="O58" s="21">
        <f>H58*N58</f>
        <v/>
      </c>
      <c r="P58" s="22" t="n">
        <v>67</v>
      </c>
      <c r="Q58" s="21">
        <f>H58*$H$8</f>
        <v/>
      </c>
      <c r="R58" s="22" t="n">
        <v>25</v>
      </c>
      <c r="S58" s="21">
        <f>H58*$H$4</f>
        <v/>
      </c>
      <c r="T58" s="21">
        <f>J58*$H$3</f>
        <v/>
      </c>
      <c r="U58" s="23" t="n">
        <v>0.9</v>
      </c>
      <c r="V58" s="22" t="n">
        <v>67</v>
      </c>
      <c r="W58" s="21">
        <f>V58*(1-U58)</f>
        <v/>
      </c>
      <c r="X58" s="24" t="n">
        <v>0.57</v>
      </c>
      <c r="Y58" s="21">
        <f>$H$6*$H$7*X58</f>
        <v/>
      </c>
      <c r="Z58" s="19">
        <f>X58*($H$9+$H$10)</f>
        <v/>
      </c>
      <c r="AA58" s="20" t="n">
        <v>0.07000000000000001</v>
      </c>
      <c r="AB58" s="21">
        <f>H58*AA58</f>
        <v/>
      </c>
      <c r="AC58" s="23" t="n">
        <v>0.08</v>
      </c>
      <c r="AD58" s="21">
        <f>H58*AC58</f>
        <v/>
      </c>
      <c r="AE58" s="21">
        <f>AB58+AD58</f>
        <v/>
      </c>
      <c r="AF58" s="25">
        <f>AE58/H58</f>
        <v/>
      </c>
      <c r="AG58" s="26">
        <f>H58-O58-P58-Q58-R58-S58-T58-W58-Y58-Z58-M58-AL58</f>
        <v/>
      </c>
      <c r="AH58" s="27">
        <f>AG58-AE58</f>
        <v/>
      </c>
      <c r="AI58" s="28">
        <f>AH58/H58</f>
        <v/>
      </c>
      <c r="AJ58" s="29">
        <f>AH58/M58</f>
        <v/>
      </c>
      <c r="AK58" s="21">
        <f>(P58+R58+W58+Y58+Z58+M58)/(1-(N58+$H$4+(1-I58)*$H$3+$H$8+$H$11+AA58+AC58))</f>
        <v/>
      </c>
      <c r="AL58" s="90">
        <f>H58*$H$11</f>
        <v/>
      </c>
    </row>
    <row r="59">
      <c r="A59" s="52" t="inlineStr">
        <is>
          <t>Косметика/HEIMISH</t>
        </is>
      </c>
      <c r="B59" s="10" t="n"/>
      <c r="C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</row>
    <row r="60" ht="29" customHeight="1">
      <c r="A60" s="11" t="inlineStr">
        <is>
          <t>HEIMISH - Artless Glow Base SPF50+ PA+++(Renew) [40ml] / База под макияж SPF50+ PA+++</t>
        </is>
      </c>
      <c r="B60" s="12" t="n"/>
      <c r="C60" s="13" t="n"/>
      <c r="D60" s="101" t="n">
        <v>1025</v>
      </c>
      <c r="E60" s="14" t="n">
        <v>2980</v>
      </c>
      <c r="F60" s="14" t="n">
        <v>100</v>
      </c>
      <c r="G60" s="14" t="n">
        <v>0</v>
      </c>
      <c r="H60" s="14" t="n">
        <v>2750</v>
      </c>
      <c r="I60" s="15" t="n">
        <v>0.45</v>
      </c>
      <c r="J60" s="16">
        <f>H60*(1-I60)</f>
        <v/>
      </c>
      <c r="K60" s="17" t="n">
        <v>770.48</v>
      </c>
      <c r="L60" s="18">
        <f>$H$5</f>
        <v/>
      </c>
      <c r="M60" s="19">
        <f>K60+L60</f>
        <v/>
      </c>
      <c r="N60" s="20" t="n">
        <v>0.41</v>
      </c>
      <c r="O60" s="21">
        <f>H60*N60</f>
        <v/>
      </c>
      <c r="P60" s="22" t="n">
        <v>56</v>
      </c>
      <c r="Q60" s="21">
        <f>H60*$H$8</f>
        <v/>
      </c>
      <c r="R60" s="22" t="n">
        <v>25</v>
      </c>
      <c r="S60" s="21">
        <f>H60*$H$4</f>
        <v/>
      </c>
      <c r="T60" s="21">
        <f>J60*$H$3</f>
        <v/>
      </c>
      <c r="U60" s="23" t="n">
        <v>0.9</v>
      </c>
      <c r="V60" s="22" t="n">
        <v>56</v>
      </c>
      <c r="W60" s="21">
        <f>V60*(1-U60)</f>
        <v/>
      </c>
      <c r="X60" s="24" t="n">
        <v>0.14</v>
      </c>
      <c r="Y60" s="21">
        <f>$H$6*$H$7*X60</f>
        <v/>
      </c>
      <c r="Z60" s="19">
        <f>X60*($H$9+$H$10)</f>
        <v/>
      </c>
      <c r="AA60" s="20" t="n">
        <v>0.05</v>
      </c>
      <c r="AB60" s="21">
        <f>H60*AA60</f>
        <v/>
      </c>
      <c r="AC60" s="23" t="n">
        <v>0.05</v>
      </c>
      <c r="AD60" s="21">
        <f>H60*AC60</f>
        <v/>
      </c>
      <c r="AE60" s="21">
        <f>AB60+AD60</f>
        <v/>
      </c>
      <c r="AF60" s="25">
        <f>AE60/H60</f>
        <v/>
      </c>
      <c r="AG60" s="26">
        <f>H60-O60-P60-Q60-R60-S60-T60-W60-Y60-Z60-M60-AL60</f>
        <v/>
      </c>
      <c r="AH60" s="27">
        <f>AG60-AE60</f>
        <v/>
      </c>
      <c r="AI60" s="28">
        <f>AH60/H60</f>
        <v/>
      </c>
      <c r="AJ60" s="29">
        <f>AH60/M60</f>
        <v/>
      </c>
      <c r="AK60" s="21">
        <f>(P60+R60+W60+Y60+Z60+M60)/(1-(N60+$H$4+(1-I60)*$H$3+$H$8+$H$11+AA60+AC60))</f>
        <v/>
      </c>
      <c r="AL60" s="90">
        <f>H60*$H$11</f>
        <v/>
      </c>
    </row>
    <row r="61" ht="29" customHeight="1">
      <c r="A61" s="53" t="inlineStr">
        <is>
          <t>HEIMISH - All Clean Balm / Очищающий гидрофильный бальзам щербет МИНИ ВЕРСИЯ</t>
        </is>
      </c>
      <c r="B61" s="30" t="n"/>
      <c r="C61" s="30" t="n"/>
      <c r="D61" s="92" t="n">
        <v>400</v>
      </c>
      <c r="E61" s="31" t="n"/>
      <c r="F61" s="31" t="n"/>
      <c r="G61" s="31" t="n"/>
      <c r="H61" s="31" t="n"/>
      <c r="I61" s="32" t="n"/>
      <c r="J61" s="33" t="n"/>
      <c r="K61" s="34" t="n"/>
      <c r="L61" s="34" t="n"/>
      <c r="M61" s="35" t="n"/>
      <c r="N61" s="36" t="n"/>
      <c r="O61" s="31" t="n"/>
      <c r="P61" s="31" t="n"/>
      <c r="Q61" s="31" t="n"/>
      <c r="R61" s="31" t="n"/>
      <c r="S61" s="31" t="n"/>
      <c r="T61" s="31" t="n"/>
      <c r="U61" s="37" t="n"/>
      <c r="V61" s="31" t="n"/>
      <c r="W61" s="31" t="n"/>
      <c r="X61" s="38" t="n"/>
      <c r="Y61" s="31" t="n"/>
      <c r="Z61" s="35" t="n"/>
      <c r="AA61" s="36" t="n"/>
      <c r="AB61" s="31" t="n"/>
      <c r="AC61" s="37" t="n"/>
      <c r="AD61" s="31" t="n"/>
      <c r="AE61" s="31" t="n"/>
      <c r="AF61" s="39" t="n"/>
      <c r="AG61" s="40" t="n"/>
      <c r="AH61" s="31" t="n"/>
      <c r="AI61" s="37" t="n"/>
      <c r="AJ61" s="37" t="n"/>
      <c r="AK61" s="31" t="n"/>
    </row>
    <row r="62">
      <c r="A62" s="52" t="inlineStr">
        <is>
          <t>Косметика/JIGOTT/JIGOTT-CREAM</t>
        </is>
      </c>
      <c r="B62" s="10" t="n"/>
      <c r="C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</row>
    <row r="63" ht="29" customHeight="1">
      <c r="A63" s="11" t="inlineStr">
        <is>
          <t>JIGOTT - Snail Lifting Cream [70ml] / Крем для лица увлажняющий антивозрастной</t>
        </is>
      </c>
      <c r="B63" s="12" t="n"/>
      <c r="C63" s="13" t="n"/>
      <c r="D63" s="101" t="n">
        <v>7668</v>
      </c>
      <c r="E63" s="14" t="n">
        <v>980</v>
      </c>
      <c r="F63" s="14" t="n">
        <v>160</v>
      </c>
      <c r="G63" s="14" t="n">
        <v>4.5</v>
      </c>
      <c r="H63" s="14" t="n">
        <v>880</v>
      </c>
      <c r="I63" s="15" t="n">
        <v>0.45</v>
      </c>
      <c r="J63" s="16">
        <f>H63*(1-I63)</f>
        <v/>
      </c>
      <c r="K63" s="17" t="n">
        <v>202.27</v>
      </c>
      <c r="L63" s="18">
        <f>$H$5</f>
        <v/>
      </c>
      <c r="M63" s="19">
        <f>K63+L63</f>
        <v/>
      </c>
      <c r="N63" s="20" t="n">
        <v>0.41</v>
      </c>
      <c r="O63" s="21">
        <f>H63*N63</f>
        <v/>
      </c>
      <c r="P63" s="22" t="n">
        <v>67</v>
      </c>
      <c r="Q63" s="21">
        <f>H63*$H$8</f>
        <v/>
      </c>
      <c r="R63" s="22" t="n">
        <v>25</v>
      </c>
      <c r="S63" s="21">
        <f>H63*$H$4</f>
        <v/>
      </c>
      <c r="T63" s="21">
        <f>J63*$H$3</f>
        <v/>
      </c>
      <c r="U63" s="23" t="n">
        <v>0.9</v>
      </c>
      <c r="V63" s="22" t="n">
        <v>67</v>
      </c>
      <c r="W63" s="21">
        <f>V63*(1-U63)</f>
        <v/>
      </c>
      <c r="X63" s="24" t="n">
        <v>0.42</v>
      </c>
      <c r="Y63" s="21">
        <f>$H$6*$H$7*X63</f>
        <v/>
      </c>
      <c r="Z63" s="19">
        <f>X63*($H$9+$H$10)</f>
        <v/>
      </c>
      <c r="AA63" s="20" t="n">
        <v>0.07000000000000001</v>
      </c>
      <c r="AB63" s="21">
        <f>H63*AA63</f>
        <v/>
      </c>
      <c r="AC63" s="23" t="n">
        <v>0.08</v>
      </c>
      <c r="AD63" s="21">
        <f>H63*AC63</f>
        <v/>
      </c>
      <c r="AE63" s="21">
        <f>AB63+AD63</f>
        <v/>
      </c>
      <c r="AF63" s="25">
        <f>AE63/H63</f>
        <v/>
      </c>
      <c r="AG63" s="26">
        <f>H63-O63-P63-Q63-R63-S63-T63-W63-Y63-Z63-M63-AL63</f>
        <v/>
      </c>
      <c r="AH63" s="41">
        <f>AG63-AE63</f>
        <v/>
      </c>
      <c r="AI63" s="42">
        <f>AH63/H63</f>
        <v/>
      </c>
      <c r="AJ63" s="43">
        <f>AH63/M63</f>
        <v/>
      </c>
      <c r="AK63" s="21">
        <f>(P63+R63+W63+Y63+Z63+M63)/(1-(N63+$H$4+(1-I63)*$H$3+$H$8+$H$11+AA63+AC63))</f>
        <v/>
      </c>
      <c r="AL63" s="90">
        <f>H63*$H$11</f>
        <v/>
      </c>
    </row>
    <row r="64" ht="29" customHeight="1">
      <c r="A64" s="11" t="inlineStr">
        <is>
          <t>JIGOTT - Snail Reparing Cream [100ml] / Крем для лица увлажняющий антивозрастной с муцином улитки</t>
        </is>
      </c>
      <c r="B64" s="12" t="n"/>
      <c r="C64" s="13" t="n"/>
      <c r="D64" s="101" t="n">
        <v>1241</v>
      </c>
      <c r="E64" s="14" t="n">
        <v>1030</v>
      </c>
      <c r="F64" s="14" t="n">
        <v>153</v>
      </c>
      <c r="G64" s="14" t="n">
        <v>5</v>
      </c>
      <c r="H64" s="14" t="n">
        <v>930</v>
      </c>
      <c r="I64" s="15" t="n">
        <v>0.45</v>
      </c>
      <c r="J64" s="16">
        <f>H64*(1-I64)</f>
        <v/>
      </c>
      <c r="K64" s="17" t="n">
        <v>185.86</v>
      </c>
      <c r="L64" s="18">
        <f>$H$5</f>
        <v/>
      </c>
      <c r="M64" s="19">
        <f>K64+L64</f>
        <v/>
      </c>
      <c r="N64" s="20" t="n">
        <v>0.41</v>
      </c>
      <c r="O64" s="21">
        <f>H64*N64</f>
        <v/>
      </c>
      <c r="P64" s="22" t="n">
        <v>67</v>
      </c>
      <c r="Q64" s="21">
        <f>H64*$H$8</f>
        <v/>
      </c>
      <c r="R64" s="22" t="n">
        <v>25</v>
      </c>
      <c r="S64" s="21">
        <f>H64*$H$4</f>
        <v/>
      </c>
      <c r="T64" s="21">
        <f>J64*$H$3</f>
        <v/>
      </c>
      <c r="U64" s="23" t="n">
        <v>0.9</v>
      </c>
      <c r="V64" s="22" t="n">
        <v>67</v>
      </c>
      <c r="W64" s="21">
        <f>V64*(1-U64)</f>
        <v/>
      </c>
      <c r="X64" s="24" t="n">
        <v>0.57</v>
      </c>
      <c r="Y64" s="21">
        <f>$H$6*$H$7*X64</f>
        <v/>
      </c>
      <c r="Z64" s="19">
        <f>X64*($H$9+$H$10)</f>
        <v/>
      </c>
      <c r="AA64" s="20" t="n">
        <v>0.07000000000000001</v>
      </c>
      <c r="AB64" s="21">
        <f>H64*AA64</f>
        <v/>
      </c>
      <c r="AC64" s="23" t="n">
        <v>0.08</v>
      </c>
      <c r="AD64" s="21">
        <f>H64*AC64</f>
        <v/>
      </c>
      <c r="AE64" s="21">
        <f>AB64+AD64</f>
        <v/>
      </c>
      <c r="AF64" s="25">
        <f>AE64/H64</f>
        <v/>
      </c>
      <c r="AG64" s="26">
        <f>H64-O64-P64-Q64-R64-S64-T64-W64-Y64-Z64-M64-AL64</f>
        <v/>
      </c>
      <c r="AH64" s="41">
        <f>AG64-AE64</f>
        <v/>
      </c>
      <c r="AI64" s="42">
        <f>AH64/H64</f>
        <v/>
      </c>
      <c r="AJ64" s="43">
        <f>AH64/M64</f>
        <v/>
      </c>
      <c r="AK64" s="21">
        <f>(P64+R64+W64+Y64+Z64+M64)/(1-(N64+$H$4+(1-I64)*$H$3+$H$8+$H$11+AA64+AC64))</f>
        <v/>
      </c>
      <c r="AL64" s="90">
        <f>H64*$H$11</f>
        <v/>
      </c>
    </row>
    <row r="65" ht="29" customHeight="1">
      <c r="A65" s="11" t="inlineStr">
        <is>
          <t>JIGOTT - Birds Nest Firming Cream [70ml] / Антивозрастной крем с экстрактом ласточкиного гнезда</t>
        </is>
      </c>
      <c r="B65" s="12" t="n"/>
      <c r="C65" s="13" t="n"/>
      <c r="D65" s="101" t="n">
        <v>1814</v>
      </c>
      <c r="E65" s="14" t="n">
        <v>1040</v>
      </c>
      <c r="F65" s="14" t="n">
        <v>49</v>
      </c>
      <c r="G65" s="14" t="n">
        <v>4</v>
      </c>
      <c r="H65" s="14" t="n">
        <v>960</v>
      </c>
      <c r="I65" s="15" t="n">
        <v>0.45</v>
      </c>
      <c r="J65" s="16">
        <f>H65*(1-I65)</f>
        <v/>
      </c>
      <c r="K65" s="17" t="n">
        <v>202.27</v>
      </c>
      <c r="L65" s="18">
        <f>$H$5</f>
        <v/>
      </c>
      <c r="M65" s="19">
        <f>K65+L65</f>
        <v/>
      </c>
      <c r="N65" s="20" t="n">
        <v>0.41</v>
      </c>
      <c r="O65" s="21">
        <f>H65*N65</f>
        <v/>
      </c>
      <c r="P65" s="22" t="n">
        <v>67</v>
      </c>
      <c r="Q65" s="21">
        <f>H65*$H$8</f>
        <v/>
      </c>
      <c r="R65" s="22" t="n">
        <v>25</v>
      </c>
      <c r="S65" s="21">
        <f>H65*$H$4</f>
        <v/>
      </c>
      <c r="T65" s="21">
        <f>J65*$H$3</f>
        <v/>
      </c>
      <c r="U65" s="23" t="n">
        <v>0.9</v>
      </c>
      <c r="V65" s="22" t="n">
        <v>67</v>
      </c>
      <c r="W65" s="21">
        <f>V65*(1-U65)</f>
        <v/>
      </c>
      <c r="X65" s="24" t="n">
        <v>0.42</v>
      </c>
      <c r="Y65" s="21">
        <f>$H$6*$H$7*X65</f>
        <v/>
      </c>
      <c r="Z65" s="19">
        <f>X65*($H$9+$H$10)</f>
        <v/>
      </c>
      <c r="AA65" s="20" t="n">
        <v>0.07000000000000001</v>
      </c>
      <c r="AB65" s="21">
        <f>H65*AA65</f>
        <v/>
      </c>
      <c r="AC65" s="23" t="n">
        <v>0.08</v>
      </c>
      <c r="AD65" s="21">
        <f>H65*AC65</f>
        <v/>
      </c>
      <c r="AE65" s="21">
        <f>AB65+AD65</f>
        <v/>
      </c>
      <c r="AF65" s="25">
        <f>AE65/H65</f>
        <v/>
      </c>
      <c r="AG65" s="26">
        <f>H65-O65-P65-Q65-R65-S65-T65-W65-Y65-Z65-M65-AL65</f>
        <v/>
      </c>
      <c r="AH65" s="41">
        <f>AG65-AE65</f>
        <v/>
      </c>
      <c r="AI65" s="42">
        <f>AH65/H65</f>
        <v/>
      </c>
      <c r="AJ65" s="43">
        <f>AH65/M65</f>
        <v/>
      </c>
      <c r="AK65" s="21">
        <f>(P65+R65+W65+Y65+Z65+M65)/(1-(N65+$H$4+(1-I65)*$H$3+$H$8+$H$11+AA65+AC65))</f>
        <v/>
      </c>
      <c r="AL65" s="90">
        <f>H65*$H$11</f>
        <v/>
      </c>
    </row>
    <row r="66">
      <c r="A66" s="52" t="inlineStr">
        <is>
          <t>Косметика/JIGOTT/JIGOTT-MASK</t>
        </is>
      </c>
      <c r="B66" s="10" t="n"/>
      <c r="C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</row>
    <row r="67">
      <c r="A67" s="53" t="inlineStr">
        <is>
          <t>JIGOTT - Ассорти набор масок [27ml х 15]</t>
        </is>
      </c>
      <c r="B67" s="30" t="n"/>
      <c r="C67" s="30" t="n"/>
      <c r="D67" s="101" t="n">
        <v>1350</v>
      </c>
      <c r="E67" s="31" t="n"/>
      <c r="F67" s="31" t="n"/>
      <c r="G67" s="31" t="n"/>
      <c r="H67" s="31" t="n"/>
      <c r="I67" s="32" t="n"/>
      <c r="J67" s="33" t="n"/>
      <c r="K67" s="34" t="n"/>
      <c r="L67" s="34" t="n"/>
      <c r="M67" s="35" t="n"/>
      <c r="N67" s="36" t="n"/>
      <c r="O67" s="31" t="n"/>
      <c r="P67" s="31" t="n"/>
      <c r="Q67" s="31" t="n"/>
      <c r="R67" s="31" t="n"/>
      <c r="S67" s="31" t="n"/>
      <c r="T67" s="31" t="n"/>
      <c r="U67" s="37" t="n"/>
      <c r="V67" s="31" t="n"/>
      <c r="W67" s="31" t="n"/>
      <c r="X67" s="38" t="n"/>
      <c r="Y67" s="31" t="n"/>
      <c r="Z67" s="35" t="n"/>
      <c r="AA67" s="36" t="n"/>
      <c r="AB67" s="31" t="n"/>
      <c r="AC67" s="37" t="n"/>
      <c r="AD67" s="31" t="n"/>
      <c r="AE67" s="31" t="n"/>
      <c r="AF67" s="39" t="n"/>
      <c r="AG67" s="40" t="n"/>
      <c r="AH67" s="31" t="n"/>
      <c r="AI67" s="37" t="n"/>
      <c r="AJ67" s="37" t="n"/>
      <c r="AK67" s="31" t="n"/>
    </row>
    <row r="68">
      <c r="A68" s="52" t="inlineStr">
        <is>
          <t>Косметика/JIGOTT/JIGOTT-TONER</t>
        </is>
      </c>
      <c r="B68" s="10" t="n"/>
      <c r="C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</row>
    <row r="69" ht="29" customHeight="1">
      <c r="A69" s="11" t="inlineStr">
        <is>
          <t>JIGOTT - Ultimate Real Collagen Toner [300ml] / тонер с коллагеном антивозрастной</t>
        </is>
      </c>
      <c r="B69" s="12" t="n"/>
      <c r="C69" s="13" t="n"/>
      <c r="D69" s="101" t="n">
        <v>1296</v>
      </c>
      <c r="E69" s="14" t="n">
        <v>1140</v>
      </c>
      <c r="F69" s="14" t="n">
        <v>131</v>
      </c>
      <c r="G69" s="14" t="n">
        <v>0</v>
      </c>
      <c r="H69" s="14" t="n">
        <v>960</v>
      </c>
      <c r="I69" s="15" t="n">
        <v>0.45</v>
      </c>
      <c r="J69" s="16">
        <f>H69*(1-I69)</f>
        <v/>
      </c>
      <c r="K69" s="17" t="n">
        <v>265.36</v>
      </c>
      <c r="L69" s="18">
        <f>$H$5</f>
        <v/>
      </c>
      <c r="M69" s="19">
        <f>K69+L69</f>
        <v/>
      </c>
      <c r="N69" s="20" t="n">
        <v>0.41</v>
      </c>
      <c r="O69" s="21">
        <f>H69*N69</f>
        <v/>
      </c>
      <c r="P69" s="22" t="n">
        <v>67</v>
      </c>
      <c r="Q69" s="21">
        <f>H69*$H$8</f>
        <v/>
      </c>
      <c r="R69" s="22" t="n">
        <v>25</v>
      </c>
      <c r="S69" s="21">
        <f>H69*$H$4</f>
        <v/>
      </c>
      <c r="T69" s="21">
        <f>J69*$H$3</f>
        <v/>
      </c>
      <c r="U69" s="23" t="n">
        <v>0.9</v>
      </c>
      <c r="V69" s="22" t="n">
        <v>67</v>
      </c>
      <c r="W69" s="21">
        <f>V69*(1-U69)</f>
        <v/>
      </c>
      <c r="X69" s="24" t="n">
        <v>0.93</v>
      </c>
      <c r="Y69" s="21">
        <f>$H$6*$H$7*X69</f>
        <v/>
      </c>
      <c r="Z69" s="19">
        <f>X69*($H$9+$H$10)</f>
        <v/>
      </c>
      <c r="AA69" s="20" t="n">
        <v>0.07000000000000001</v>
      </c>
      <c r="AB69" s="21">
        <f>H69*AA69</f>
        <v/>
      </c>
      <c r="AC69" s="23" t="n">
        <v>0.08</v>
      </c>
      <c r="AD69" s="21">
        <f>H69*AC69</f>
        <v/>
      </c>
      <c r="AE69" s="21">
        <f>AB69+AD69</f>
        <v/>
      </c>
      <c r="AF69" s="25">
        <f>AE69/H69</f>
        <v/>
      </c>
      <c r="AG69" s="26">
        <f>H69-O69-P69-Q69-R69-S69-T69-W69-Y69-Z69-M69-AL69</f>
        <v/>
      </c>
      <c r="AH69" s="41">
        <f>AG69-AE69</f>
        <v/>
      </c>
      <c r="AI69" s="42">
        <f>AH69/H69</f>
        <v/>
      </c>
      <c r="AJ69" s="43">
        <f>AH69/M69</f>
        <v/>
      </c>
      <c r="AK69" s="21">
        <f>(P69+R69+W69+Y69+Z69+M69)/(1-(N69+$H$4+(1-I69)*$H$3+$H$8+$H$11+AA69+AC69))</f>
        <v/>
      </c>
      <c r="AL69" s="90">
        <f>H69*$H$11</f>
        <v/>
      </c>
    </row>
    <row r="70" ht="29" customHeight="1">
      <c r="A70" s="11" t="inlineStr">
        <is>
          <t>JIGOTT - Daily Real Cica Toner [300ml] / Тонер для лица с центеллой азиатской</t>
        </is>
      </c>
      <c r="B70" s="12" t="n"/>
      <c r="C70" s="13" t="n"/>
      <c r="D70" s="101" t="n">
        <v>1468</v>
      </c>
      <c r="E70" s="14" t="n">
        <v>1140</v>
      </c>
      <c r="F70" s="14" t="n">
        <v>191</v>
      </c>
      <c r="G70" s="14" t="n">
        <v>0</v>
      </c>
      <c r="H70" s="14" t="n">
        <v>960</v>
      </c>
      <c r="I70" s="15" t="n">
        <v>0.45</v>
      </c>
      <c r="J70" s="16">
        <f>H70*(1-I70)</f>
        <v/>
      </c>
      <c r="K70" s="17" t="n">
        <v>265.36</v>
      </c>
      <c r="L70" s="18">
        <f>$H$5</f>
        <v/>
      </c>
      <c r="M70" s="19">
        <f>K70+L70</f>
        <v/>
      </c>
      <c r="N70" s="20" t="n">
        <v>0.41</v>
      </c>
      <c r="O70" s="21">
        <f>H70*N70</f>
        <v/>
      </c>
      <c r="P70" s="22" t="n">
        <v>67</v>
      </c>
      <c r="Q70" s="21">
        <f>H70*$H$8</f>
        <v/>
      </c>
      <c r="R70" s="22" t="n">
        <v>25</v>
      </c>
      <c r="S70" s="21">
        <f>H70*$H$4</f>
        <v/>
      </c>
      <c r="T70" s="21">
        <f>J70*$H$3</f>
        <v/>
      </c>
      <c r="U70" s="23" t="n">
        <v>0.9</v>
      </c>
      <c r="V70" s="22" t="n">
        <v>67</v>
      </c>
      <c r="W70" s="21">
        <f>V70*(1-U70)</f>
        <v/>
      </c>
      <c r="X70" s="24" t="n">
        <v>0.93</v>
      </c>
      <c r="Y70" s="21">
        <f>$H$6*$H$7*X70</f>
        <v/>
      </c>
      <c r="Z70" s="19">
        <f>X70*($H$9+$H$10)</f>
        <v/>
      </c>
      <c r="AA70" s="20" t="n">
        <v>0.07000000000000001</v>
      </c>
      <c r="AB70" s="21">
        <f>H70*AA70</f>
        <v/>
      </c>
      <c r="AC70" s="23" t="n">
        <v>0.08</v>
      </c>
      <c r="AD70" s="21">
        <f>H70*AC70</f>
        <v/>
      </c>
      <c r="AE70" s="21">
        <f>AB70+AD70</f>
        <v/>
      </c>
      <c r="AF70" s="25">
        <f>AE70/H70</f>
        <v/>
      </c>
      <c r="AG70" s="26">
        <f>H70-O70-P70-Q70-R70-S70-T70-W70-Y70-Z70-M70-AL70</f>
        <v/>
      </c>
      <c r="AH70" s="41">
        <f>AG70-AE70</f>
        <v/>
      </c>
      <c r="AI70" s="42">
        <f>AH70/H70</f>
        <v/>
      </c>
      <c r="AJ70" s="43">
        <f>AH70/M70</f>
        <v/>
      </c>
      <c r="AK70" s="21">
        <f>(P70+R70+W70+Y70+Z70+M70)/(1-(N70+$H$4+(1-I70)*$H$3+$H$8+$H$11+AA70+AC70))</f>
        <v/>
      </c>
      <c r="AL70" s="90">
        <f>H70*$H$11</f>
        <v/>
      </c>
    </row>
    <row r="71" ht="29" customHeight="1">
      <c r="A71" s="11" t="inlineStr">
        <is>
          <t>JIGOTT - Aura Secret Hyaluronec Acid Toner [300ml] / Тонер с гиалуроновой кислотой антивозрастной</t>
        </is>
      </c>
      <c r="B71" s="12" t="n"/>
      <c r="C71" s="13" t="n"/>
      <c r="D71" s="92" t="n">
        <v>424</v>
      </c>
      <c r="E71" s="14" t="n">
        <v>975</v>
      </c>
      <c r="F71" s="14" t="n">
        <v>77</v>
      </c>
      <c r="G71" s="14" t="n">
        <v>0</v>
      </c>
      <c r="H71" s="14" t="n">
        <v>900</v>
      </c>
      <c r="I71" s="15" t="n">
        <v>0.45</v>
      </c>
      <c r="J71" s="16">
        <f>H71*(1-I71)</f>
        <v/>
      </c>
      <c r="K71" s="17" t="n">
        <v>265.36</v>
      </c>
      <c r="L71" s="18">
        <f>$H$5</f>
        <v/>
      </c>
      <c r="M71" s="19">
        <f>K71+L71</f>
        <v/>
      </c>
      <c r="N71" s="20" t="n">
        <v>0.41</v>
      </c>
      <c r="O71" s="21">
        <f>H71*N71</f>
        <v/>
      </c>
      <c r="P71" s="22" t="n">
        <v>67</v>
      </c>
      <c r="Q71" s="21">
        <f>H71*$H$8</f>
        <v/>
      </c>
      <c r="R71" s="22" t="n">
        <v>25</v>
      </c>
      <c r="S71" s="21">
        <f>H71*$H$4</f>
        <v/>
      </c>
      <c r="T71" s="21">
        <f>J71*$H$3</f>
        <v/>
      </c>
      <c r="U71" s="23" t="n">
        <v>0.9</v>
      </c>
      <c r="V71" s="22" t="n">
        <v>67</v>
      </c>
      <c r="W71" s="21">
        <f>V71*(1-U71)</f>
        <v/>
      </c>
      <c r="X71" s="24" t="n">
        <v>0.93</v>
      </c>
      <c r="Y71" s="21">
        <f>$H$6*$H$7*X71</f>
        <v/>
      </c>
      <c r="Z71" s="19">
        <f>X71*($H$9+$H$10)</f>
        <v/>
      </c>
      <c r="AA71" s="20" t="n">
        <v>0.07000000000000001</v>
      </c>
      <c r="AB71" s="21">
        <f>H71*AA71</f>
        <v/>
      </c>
      <c r="AC71" s="23" t="n">
        <v>0.08</v>
      </c>
      <c r="AD71" s="21">
        <f>H71*AC71</f>
        <v/>
      </c>
      <c r="AE71" s="21">
        <f>AB71+AD71</f>
        <v/>
      </c>
      <c r="AF71" s="25">
        <f>AE71/H71</f>
        <v/>
      </c>
      <c r="AG71" s="26">
        <f>H71-O71-P71-Q71-R71-S71-T71-W71-Y71-Z71-M71-AL71</f>
        <v/>
      </c>
      <c r="AH71" s="41">
        <f>AG71-AE71</f>
        <v/>
      </c>
      <c r="AI71" s="42">
        <f>AH71/H71</f>
        <v/>
      </c>
      <c r="AJ71" s="43">
        <f>AH71/M71</f>
        <v/>
      </c>
      <c r="AK71" s="21">
        <f>(P71+R71+W71+Y71+Z71+M71)/(1-(N71+$H$4+(1-I71)*$H$3+$H$8+$H$11+AA71+AC71))</f>
        <v/>
      </c>
      <c r="AL71" s="90">
        <f>H71*$H$11</f>
        <v/>
      </c>
    </row>
    <row r="72" ht="29" customHeight="1">
      <c r="A72" s="11" t="inlineStr">
        <is>
          <t>JIGOTT - Moisture Real Aloe Vera Toner [300ml] / Тонер для лица увлажняющий с экстрактом алоэ</t>
        </is>
      </c>
      <c r="B72" s="12" t="n"/>
      <c r="C72" s="13" t="n"/>
      <c r="D72" s="92" t="n">
        <v>356</v>
      </c>
      <c r="E72" s="14" t="n">
        <v>1100</v>
      </c>
      <c r="F72" s="14" t="n">
        <v>169</v>
      </c>
      <c r="G72" s="14" t="n">
        <v>8</v>
      </c>
      <c r="H72" s="14" t="n">
        <v>1000</v>
      </c>
      <c r="I72" s="15" t="n">
        <v>0.45</v>
      </c>
      <c r="J72" s="16">
        <f>H72*(1-I72)</f>
        <v/>
      </c>
      <c r="K72" s="17" t="n">
        <v>265.36</v>
      </c>
      <c r="L72" s="18">
        <f>$H$5</f>
        <v/>
      </c>
      <c r="M72" s="19">
        <f>K72+L72</f>
        <v/>
      </c>
      <c r="N72" s="20" t="n">
        <v>0.41</v>
      </c>
      <c r="O72" s="21">
        <f>H72*N72</f>
        <v/>
      </c>
      <c r="P72" s="22" t="n">
        <v>67</v>
      </c>
      <c r="Q72" s="21">
        <f>H72*$H$8</f>
        <v/>
      </c>
      <c r="R72" s="22" t="n">
        <v>25</v>
      </c>
      <c r="S72" s="21">
        <f>H72*$H$4</f>
        <v/>
      </c>
      <c r="T72" s="21">
        <f>J72*$H$3</f>
        <v/>
      </c>
      <c r="U72" s="23" t="n">
        <v>0.9</v>
      </c>
      <c r="V72" s="22" t="n">
        <v>67</v>
      </c>
      <c r="W72" s="21">
        <f>V72*(1-U72)</f>
        <v/>
      </c>
      <c r="X72" s="24" t="n">
        <v>0.93</v>
      </c>
      <c r="Y72" s="21">
        <f>$H$6*$H$7*X72</f>
        <v/>
      </c>
      <c r="Z72" s="19">
        <f>X72*($H$9+$H$10)</f>
        <v/>
      </c>
      <c r="AA72" s="20" t="n">
        <v>0.07000000000000001</v>
      </c>
      <c r="AB72" s="21">
        <f>H72*AA72</f>
        <v/>
      </c>
      <c r="AC72" s="23" t="n">
        <v>0.08</v>
      </c>
      <c r="AD72" s="21">
        <f>H72*AC72</f>
        <v/>
      </c>
      <c r="AE72" s="21">
        <f>AB72+AD72</f>
        <v/>
      </c>
      <c r="AF72" s="25">
        <f>AE72/H72</f>
        <v/>
      </c>
      <c r="AG72" s="26">
        <f>H72-O72-P72-Q72-R72-S72-T72-W72-Y72-Z72-M72-AL72</f>
        <v/>
      </c>
      <c r="AH72" s="41">
        <f>AG72-AE72</f>
        <v/>
      </c>
      <c r="AI72" s="42">
        <f>AH72/H72</f>
        <v/>
      </c>
      <c r="AJ72" s="43">
        <f>AH72/M72</f>
        <v/>
      </c>
      <c r="AK72" s="21">
        <f>(P72+R72+W72+Y72+Z72+M72)/(1-(N72+$H$4+(1-I72)*$H$3+$H$8+$H$11+AA72+AC72))</f>
        <v/>
      </c>
      <c r="AL72" s="90">
        <f>H72*$H$11</f>
        <v/>
      </c>
    </row>
    <row r="73">
      <c r="A73" s="52" t="inlineStr">
        <is>
          <t>Косметика/JMSOLUTION/JM-MASKPACKBLACK</t>
        </is>
      </c>
      <c r="B73" s="10" t="n"/>
      <c r="C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</row>
    <row r="74" ht="29" customHeight="1">
      <c r="A74" s="11" t="inlineStr">
        <is>
          <t>JMSOLUTION - MASK PACK BLACK [30ml*10ea] - ассорти набор 10шт в упаковке</t>
        </is>
      </c>
      <c r="B74" s="12" t="n"/>
      <c r="C74" s="13" t="n"/>
      <c r="D74" s="92" t="n">
        <v>1039</v>
      </c>
      <c r="E74" s="14" t="n">
        <v>2340</v>
      </c>
      <c r="F74" s="14" t="inlineStr">
        <is>
          <t>51 (закончились)</t>
        </is>
      </c>
      <c r="G74" s="14" t="n">
        <v>4</v>
      </c>
      <c r="H74" s="14" t="n">
        <v>2086</v>
      </c>
      <c r="I74" s="15" t="n">
        <v>0.45</v>
      </c>
      <c r="J74" s="16">
        <f>H74*(1-I74)</f>
        <v/>
      </c>
      <c r="K74" s="17" t="n">
        <v>463.2</v>
      </c>
      <c r="L74" s="18">
        <f>$H$5</f>
        <v/>
      </c>
      <c r="M74" s="19">
        <f>K74+L74</f>
        <v/>
      </c>
      <c r="N74" s="20" t="n">
        <v>0.41</v>
      </c>
      <c r="O74" s="21">
        <f>H74*N74</f>
        <v/>
      </c>
      <c r="P74" s="22" t="n">
        <v>72</v>
      </c>
      <c r="Q74" s="21">
        <f>H74*$H$8</f>
        <v/>
      </c>
      <c r="R74" s="22" t="n">
        <v>25</v>
      </c>
      <c r="S74" s="21">
        <f>H74*$H$4</f>
        <v/>
      </c>
      <c r="T74" s="21">
        <f>J74*$H$3</f>
        <v/>
      </c>
      <c r="U74" s="23" t="n">
        <v>0.9</v>
      </c>
      <c r="V74" s="22" t="n">
        <v>72</v>
      </c>
      <c r="W74" s="21">
        <f>V74*(1-U74)</f>
        <v/>
      </c>
      <c r="X74" s="24" t="n">
        <v>1.25</v>
      </c>
      <c r="Y74" s="21">
        <f>$H$6*$H$7*X74</f>
        <v/>
      </c>
      <c r="Z74" s="19">
        <f>X74*($H$9+$H$10)</f>
        <v/>
      </c>
      <c r="AA74" s="20" t="n">
        <v>0.07000000000000001</v>
      </c>
      <c r="AB74" s="21">
        <f>H74*AA74</f>
        <v/>
      </c>
      <c r="AC74" s="23" t="n">
        <v>0.08</v>
      </c>
      <c r="AD74" s="21">
        <f>H74*AC74</f>
        <v/>
      </c>
      <c r="AE74" s="21">
        <f>AB74+AD74</f>
        <v/>
      </c>
      <c r="AF74" s="25">
        <f>AE74/H74</f>
        <v/>
      </c>
      <c r="AG74" s="26">
        <f>H74-O74-P74-Q74-R74-S74-T74-W74-Y74-Z74-M74-AL74</f>
        <v/>
      </c>
      <c r="AH74" s="27">
        <f>AG74-AE74</f>
        <v/>
      </c>
      <c r="AI74" s="28">
        <f>AH74/H74</f>
        <v/>
      </c>
      <c r="AJ74" s="29">
        <f>AH74/M74</f>
        <v/>
      </c>
      <c r="AK74" s="21">
        <f>(P74+R74+W74+Y74+Z74+M74)/(1-(N74+$H$4+(1-I74)*$H$3+$H$8+$H$11+AA74+AC74))</f>
        <v/>
      </c>
      <c r="AL74" s="90">
        <f>H74*$H$11</f>
        <v/>
      </c>
    </row>
    <row r="75">
      <c r="A75" s="52" t="inlineStr">
        <is>
          <t>Косметика/JMSOLUTION/JM-MASKPACKDISNEY</t>
        </is>
      </c>
      <c r="B75" s="10" t="n"/>
      <c r="C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</row>
    <row r="76">
      <c r="A76" s="11" t="inlineStr">
        <is>
          <t>JMSOLUTION - MASK PACK DISNEY [30ml*10ea] - ассорти набор из 10шт</t>
        </is>
      </c>
      <c r="B76" s="12" t="n"/>
      <c r="C76" s="13" t="inlineStr">
        <is>
          <t>нет таких наборов</t>
        </is>
      </c>
      <c r="D76" s="92" t="n">
        <v>835</v>
      </c>
      <c r="E76" s="14" t="n"/>
      <c r="F76" s="14" t="n"/>
      <c r="G76" s="14" t="n"/>
      <c r="H76" s="14" t="n">
        <v>2086</v>
      </c>
      <c r="I76" s="15" t="n">
        <v>0.45</v>
      </c>
      <c r="J76" s="16">
        <f>H76*(1-I76)</f>
        <v/>
      </c>
      <c r="K76" s="17" t="n">
        <v>463.2</v>
      </c>
      <c r="L76" s="18">
        <f>$H$5</f>
        <v/>
      </c>
      <c r="M76" s="19">
        <f>K76+L76</f>
        <v/>
      </c>
      <c r="N76" s="20" t="n">
        <v>0.41</v>
      </c>
      <c r="O76" s="21">
        <f>H76*N76</f>
        <v/>
      </c>
      <c r="P76" s="22" t="n">
        <v>72</v>
      </c>
      <c r="Q76" s="21">
        <f>H76*$H$8</f>
        <v/>
      </c>
      <c r="R76" s="22" t="n">
        <v>25</v>
      </c>
      <c r="S76" s="21">
        <f>H76*$H$4</f>
        <v/>
      </c>
      <c r="T76" s="21">
        <f>J76*$H$3</f>
        <v/>
      </c>
      <c r="U76" s="23" t="n">
        <v>0.9</v>
      </c>
      <c r="V76" s="22" t="n">
        <v>72</v>
      </c>
      <c r="W76" s="21">
        <f>V76*(1-U76)</f>
        <v/>
      </c>
      <c r="X76" s="24" t="n">
        <v>1.25</v>
      </c>
      <c r="Y76" s="21">
        <f>$H$6*$H$7*X76</f>
        <v/>
      </c>
      <c r="Z76" s="19">
        <f>X76*($H$9+$H$10)</f>
        <v/>
      </c>
      <c r="AA76" s="20" t="n">
        <v>0.07000000000000001</v>
      </c>
      <c r="AB76" s="21">
        <f>H76*AA76</f>
        <v/>
      </c>
      <c r="AC76" s="23" t="n">
        <v>0.08</v>
      </c>
      <c r="AD76" s="21">
        <f>H76*AC76</f>
        <v/>
      </c>
      <c r="AE76" s="21">
        <f>AB76+AD76</f>
        <v/>
      </c>
      <c r="AF76" s="25">
        <f>AE76/H76</f>
        <v/>
      </c>
      <c r="AG76" s="26">
        <f>H76-O76-P76-Q76-R76-S76-T76-W76-Y76-Z76-M76-AL76</f>
        <v/>
      </c>
      <c r="AH76" s="27">
        <f>AG76-AE76</f>
        <v/>
      </c>
      <c r="AI76" s="28">
        <f>AH76/H76</f>
        <v/>
      </c>
      <c r="AJ76" s="29">
        <f>AH76/M76</f>
        <v/>
      </c>
      <c r="AK76" s="21">
        <f>(P76+R76+W76+Y76+Z76+M76)/(1-(N76+$H$4+(1-I76)*$H$3+$H$8+$H$11+AA76+AC76))</f>
        <v/>
      </c>
      <c r="AL76" s="90">
        <f>H76*$H$11</f>
        <v/>
      </c>
    </row>
    <row r="77">
      <c r="A77" s="52" t="inlineStr">
        <is>
          <t>Косметика/LEBELAGE</t>
        </is>
      </c>
      <c r="B77" s="10" t="n"/>
      <c r="C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</row>
    <row r="78" ht="29" customHeight="1">
      <c r="A78" s="11" t="inlineStr">
        <is>
          <t>LEBELAGE - Dr. Peptide Derma Eye Cream [40ml] / Крем для глаз антивозрастной с пептидами</t>
        </is>
      </c>
      <c r="B78" s="12" t="n"/>
      <c r="C78" s="13" t="n"/>
      <c r="D78" s="92" t="n">
        <v>410</v>
      </c>
      <c r="E78" s="14" t="n">
        <v>667</v>
      </c>
      <c r="F78" s="14" t="n">
        <v>1738</v>
      </c>
      <c r="G78" s="14" t="n">
        <v>22</v>
      </c>
      <c r="H78" s="14" t="n">
        <v>600</v>
      </c>
      <c r="I78" s="15" t="n">
        <v>0.45</v>
      </c>
      <c r="J78" s="16">
        <f>H78*(1-I78)</f>
        <v/>
      </c>
      <c r="K78" s="17" t="n">
        <v>108.15</v>
      </c>
      <c r="L78" s="18">
        <f>$H$5</f>
        <v/>
      </c>
      <c r="M78" s="19">
        <f>K78+L78</f>
        <v/>
      </c>
      <c r="N78" s="20" t="n">
        <v>0.41</v>
      </c>
      <c r="O78" s="21">
        <f>H78*N78</f>
        <v/>
      </c>
      <c r="P78" s="22" t="n">
        <v>63</v>
      </c>
      <c r="Q78" s="21">
        <f>H78*$H$8</f>
        <v/>
      </c>
      <c r="R78" s="22" t="n">
        <v>25</v>
      </c>
      <c r="S78" s="21">
        <f>H78*$H$4</f>
        <v/>
      </c>
      <c r="T78" s="21">
        <f>J78*$H$3</f>
        <v/>
      </c>
      <c r="U78" s="23" t="n">
        <v>0.9</v>
      </c>
      <c r="V78" s="22" t="n">
        <v>63</v>
      </c>
      <c r="W78" s="21">
        <f>V78*(1-U78)</f>
        <v/>
      </c>
      <c r="X78" s="24" t="n">
        <v>0.27</v>
      </c>
      <c r="Y78" s="21">
        <f>$H$6*$H$7*X78</f>
        <v/>
      </c>
      <c r="Z78" s="19">
        <f>X78*($H$9+$H$10)</f>
        <v/>
      </c>
      <c r="AA78" s="20" t="n">
        <v>0.07000000000000001</v>
      </c>
      <c r="AB78" s="21">
        <f>H78*AA78</f>
        <v/>
      </c>
      <c r="AC78" s="23" t="n">
        <v>0.08</v>
      </c>
      <c r="AD78" s="21">
        <f>H78*AC78</f>
        <v/>
      </c>
      <c r="AE78" s="21">
        <f>AB78+AD78</f>
        <v/>
      </c>
      <c r="AF78" s="25">
        <f>AE78/H78</f>
        <v/>
      </c>
      <c r="AG78" s="26">
        <f>H78-O78-P78-Q78-R78-S78-T78-W78-Y78-Z78-M78-AL78</f>
        <v/>
      </c>
      <c r="AH78" s="27">
        <f>AG78-AE78</f>
        <v/>
      </c>
      <c r="AI78" s="28">
        <f>AH78/H78</f>
        <v/>
      </c>
      <c r="AJ78" s="29">
        <f>AH78/M78</f>
        <v/>
      </c>
      <c r="AK78" s="21">
        <f>(P78+R78+W78+Y78+Z78+M78)/(1-(N78+$H$4+(1-I78)*$H$3+$H$8+$H$11+AA78+AC78))</f>
        <v/>
      </c>
      <c r="AL78" s="90">
        <f>H78*$H$11</f>
        <v/>
      </c>
    </row>
    <row r="79">
      <c r="A79" s="52" t="inlineStr">
        <is>
          <t>Косметика/LANEIGE</t>
        </is>
      </c>
      <c r="B79" s="10" t="n"/>
      <c r="C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</row>
    <row r="80">
      <c r="A80" s="11" t="inlineStr">
        <is>
          <t>LANEIGE LIP SLEEPING MASK-BERRY [3g]</t>
        </is>
      </c>
      <c r="B80" s="12" t="n"/>
      <c r="C80" s="13" t="n"/>
      <c r="D80" s="92" t="n">
        <v>341</v>
      </c>
      <c r="E80" s="14" t="n">
        <v>1470</v>
      </c>
      <c r="F80" s="14" t="n">
        <v>568</v>
      </c>
      <c r="G80" s="14" t="n">
        <v>10</v>
      </c>
      <c r="H80" s="14">
        <f>(1.25*M80+P80+R80+W80+Y80+Z80)/(1-N80-$H$8-$H$4-(1-I80)*$H$3-$H$11-AA80-AC80)</f>
        <v/>
      </c>
      <c r="I80" s="15" t="n">
        <v>0.45</v>
      </c>
      <c r="J80" s="16">
        <f>H80*(1-I80)</f>
        <v/>
      </c>
      <c r="K80" s="17" t="n">
        <v>130.86</v>
      </c>
      <c r="L80" s="18">
        <f>$H$5</f>
        <v/>
      </c>
      <c r="M80" s="19">
        <f>K80+L80</f>
        <v/>
      </c>
      <c r="N80" s="20" t="n">
        <v>0.41</v>
      </c>
      <c r="O80" s="21">
        <f>H80*N80</f>
        <v/>
      </c>
      <c r="P80" s="22" t="n">
        <v>56</v>
      </c>
      <c r="Q80" s="21">
        <f>H80*$H$8</f>
        <v/>
      </c>
      <c r="R80" s="22" t="n">
        <v>25</v>
      </c>
      <c r="S80" s="21">
        <f>H80*$H$4</f>
        <v/>
      </c>
      <c r="T80" s="21">
        <f>J80*$H$3</f>
        <v/>
      </c>
      <c r="U80" s="23" t="n">
        <v>0.9</v>
      </c>
      <c r="V80" s="22" t="n">
        <v>56</v>
      </c>
      <c r="W80" s="21">
        <f>V80*(1-U80)</f>
        <v/>
      </c>
      <c r="X80" s="24" t="n">
        <v>0.2</v>
      </c>
      <c r="Y80" s="21">
        <f>$H$6*$H$7*X80</f>
        <v/>
      </c>
      <c r="Z80" s="19">
        <f>X80*($H$9+$H$10)</f>
        <v/>
      </c>
      <c r="AA80" s="20" t="n">
        <v>0.07000000000000001</v>
      </c>
      <c r="AB80" s="21">
        <f>H80*AA80</f>
        <v/>
      </c>
      <c r="AC80" s="23" t="n">
        <v>0.08</v>
      </c>
      <c r="AD80" s="21">
        <f>H80*AC80</f>
        <v/>
      </c>
      <c r="AE80" s="21">
        <f>AB80+AD80</f>
        <v/>
      </c>
      <c r="AF80" s="25">
        <f>AE80/H80</f>
        <v/>
      </c>
      <c r="AG80" s="26">
        <f>H80-O80-P80-Q80-R80-S80-T80-W80-Y80-Z80-M80-AL80</f>
        <v/>
      </c>
      <c r="AH80" s="27">
        <f>AG80-AE80</f>
        <v/>
      </c>
      <c r="AI80" s="28">
        <f>AH80/H80</f>
        <v/>
      </c>
      <c r="AJ80" s="29">
        <f>AH80/M80</f>
        <v/>
      </c>
      <c r="AK80" s="21">
        <f>(P80+R80+W80+Y80+Z80+M80)/(1-(N80+$H$4+(1-I80)*$H$3+$H$8+$H$11+AA80+AC80))</f>
        <v/>
      </c>
      <c r="AL80" s="90">
        <f>H80*$H$11</f>
        <v/>
      </c>
    </row>
    <row r="81">
      <c r="A81" s="52" t="inlineStr">
        <is>
          <t>Косметика/MANYO</t>
        </is>
      </c>
      <c r="B81" s="10" t="n"/>
      <c r="C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</row>
    <row r="82" ht="29" customHeight="1">
      <c r="A82" s="11" t="inlineStr">
        <is>
          <t>MANYO - Bifida Biome Complex Ampoule [50ml] / Антивозрастная сыворотка для лица</t>
        </is>
      </c>
      <c r="B82" s="12" t="n"/>
      <c r="C82" s="13" t="n"/>
      <c r="D82" s="101" t="n">
        <v>1473</v>
      </c>
      <c r="E82" s="14" t="n">
        <v>5800</v>
      </c>
      <c r="F82" s="14" t="n">
        <v>152</v>
      </c>
      <c r="G82" s="14" t="n">
        <v>0</v>
      </c>
      <c r="H82" s="14" t="n">
        <v>5500</v>
      </c>
      <c r="I82" s="15" t="n">
        <v>0.45</v>
      </c>
      <c r="J82" s="16">
        <f>H82*(1-I82)</f>
        <v/>
      </c>
      <c r="K82" s="17" t="n">
        <v>899.78</v>
      </c>
      <c r="L82" s="18">
        <f>$H$5</f>
        <v/>
      </c>
      <c r="M82" s="19">
        <f>K82+L82</f>
        <v/>
      </c>
      <c r="N82" s="20" t="n">
        <v>0.41</v>
      </c>
      <c r="O82" s="21">
        <f>H82*N82</f>
        <v/>
      </c>
      <c r="P82" s="22" t="n">
        <v>63</v>
      </c>
      <c r="Q82" s="21">
        <f>H82*$H$8</f>
        <v/>
      </c>
      <c r="R82" s="22" t="n">
        <v>25</v>
      </c>
      <c r="S82" s="21">
        <f>H82*$H$4</f>
        <v/>
      </c>
      <c r="T82" s="21">
        <f>J82*$H$3</f>
        <v/>
      </c>
      <c r="U82" s="23" t="n">
        <v>0.9</v>
      </c>
      <c r="V82" s="22" t="n">
        <v>63</v>
      </c>
      <c r="W82" s="21">
        <f>V82*(1-U82)</f>
        <v/>
      </c>
      <c r="X82" s="24" t="n">
        <v>0.3</v>
      </c>
      <c r="Y82" s="21">
        <f>$H$6*$H$7*X82</f>
        <v/>
      </c>
      <c r="Z82" s="19">
        <f>X82*($H$9+$H$10)</f>
        <v/>
      </c>
      <c r="AA82" s="20" t="n">
        <v>0.025</v>
      </c>
      <c r="AB82" s="21">
        <f>H82*AA82</f>
        <v/>
      </c>
      <c r="AC82" s="23" t="n">
        <v>0.025</v>
      </c>
      <c r="AD82" s="21">
        <f>H82*AC82</f>
        <v/>
      </c>
      <c r="AE82" s="21">
        <f>AB82+AD82</f>
        <v/>
      </c>
      <c r="AF82" s="25">
        <f>AE82/H82</f>
        <v/>
      </c>
      <c r="AG82" s="26">
        <f>H82-O82-P82-Q82-R82-S82-T82-W82-Y82-Z82-M82-AL82</f>
        <v/>
      </c>
      <c r="AH82" s="27">
        <f>AG82-AE82</f>
        <v/>
      </c>
      <c r="AI82" s="28">
        <f>AH82/H82</f>
        <v/>
      </c>
      <c r="AJ82" s="29">
        <f>AH82/M82</f>
        <v/>
      </c>
      <c r="AK82" s="21">
        <f>(P82+R82+W82+Y82+Z82+M82)/(1-(N82+$H$4+(1-I82)*$H$3+$H$8+$H$11+AA82+AC82))</f>
        <v/>
      </c>
      <c r="AL82" s="90">
        <f>H82*$H$11</f>
        <v/>
      </c>
    </row>
    <row r="83" ht="29" customHeight="1">
      <c r="A83" s="11" t="inlineStr">
        <is>
          <t>MANYO - Galac Whitening Vita Serum [50ml] / Осветляющая сыворотка с Витамином C</t>
        </is>
      </c>
      <c r="B83" s="12" t="n"/>
      <c r="C83" s="13" t="inlineStr">
        <is>
          <t>-</t>
        </is>
      </c>
      <c r="D83" s="92" t="n">
        <v>854</v>
      </c>
      <c r="E83" s="14" t="n">
        <v>4000</v>
      </c>
      <c r="F83" s="14" t="n">
        <v>163</v>
      </c>
      <c r="G83" s="14" t="n">
        <v>0</v>
      </c>
      <c r="H83" s="14" t="n">
        <v>3700</v>
      </c>
      <c r="I83" s="15" t="n">
        <v>0.45</v>
      </c>
      <c r="J83" s="16">
        <f>H83*(1-I83)</f>
        <v/>
      </c>
      <c r="K83" s="17" t="n">
        <v>646.83</v>
      </c>
      <c r="L83" s="18">
        <f>$H$5</f>
        <v/>
      </c>
      <c r="M83" s="19">
        <f>K83+L83</f>
        <v/>
      </c>
      <c r="N83" s="20" t="n">
        <v>0.41</v>
      </c>
      <c r="O83" s="21">
        <f>H83*N83</f>
        <v/>
      </c>
      <c r="P83" s="22" t="n">
        <v>56</v>
      </c>
      <c r="Q83" s="21">
        <f>H83*$H$8</f>
        <v/>
      </c>
      <c r="R83" s="22" t="n">
        <v>25</v>
      </c>
      <c r="S83" s="21">
        <f>H83*$H$4</f>
        <v/>
      </c>
      <c r="T83" s="21">
        <f>J83*$H$3</f>
        <v/>
      </c>
      <c r="U83" s="23" t="n">
        <v>0.9</v>
      </c>
      <c r="V83" s="22" t="n">
        <v>56</v>
      </c>
      <c r="W83" s="21">
        <f>V83*(1-U83)</f>
        <v/>
      </c>
      <c r="X83" s="24" t="n">
        <v>0.19</v>
      </c>
      <c r="Y83" s="21">
        <f>$H$6*$H$7*X83</f>
        <v/>
      </c>
      <c r="Z83" s="19">
        <f>X83*($H$9+$H$10)</f>
        <v/>
      </c>
      <c r="AA83" s="20" t="n">
        <v>0.025</v>
      </c>
      <c r="AB83" s="21">
        <f>H83*AA83</f>
        <v/>
      </c>
      <c r="AC83" s="23" t="n">
        <v>0.025</v>
      </c>
      <c r="AD83" s="21">
        <f>H83*AC83</f>
        <v/>
      </c>
      <c r="AE83" s="21">
        <f>AB83+AD83</f>
        <v/>
      </c>
      <c r="AF83" s="25">
        <f>AE83/H83</f>
        <v/>
      </c>
      <c r="AG83" s="26">
        <f>H83-O83-P83-Q83-R83-S83-T83-W83-Y83-Z83-M83-AL83</f>
        <v/>
      </c>
      <c r="AH83" s="27">
        <f>AG83-AE83</f>
        <v/>
      </c>
      <c r="AI83" s="28">
        <f>AH83/H83</f>
        <v/>
      </c>
      <c r="AJ83" s="29">
        <f>AH83/M83</f>
        <v/>
      </c>
      <c r="AK83" s="21">
        <f>(P83+R83+W83+Y83+Z83+M83)/(1-(N83+$H$4+(1-I83)*$H$3+$H$8+$H$11+AA83+AC83))</f>
        <v/>
      </c>
      <c r="AL83" s="90">
        <f>H83*$H$11</f>
        <v/>
      </c>
    </row>
    <row r="84" ht="29" customHeight="1">
      <c r="A84" s="11" t="inlineStr">
        <is>
          <t>MANYO - Bifida Biome Ampoule Lotion [300ml] / Укрепляющий лосьон с бифидобактериями</t>
        </is>
      </c>
      <c r="B84" s="12" t="n"/>
      <c r="C84" s="13" t="inlineStr">
        <is>
          <t>нет у официала</t>
        </is>
      </c>
      <c r="D84" s="92" t="n">
        <v>756</v>
      </c>
      <c r="E84" s="14" t="n">
        <v>4000</v>
      </c>
      <c r="F84" s="14" t="n">
        <v>140</v>
      </c>
      <c r="G84" s="14" t="n">
        <v>0</v>
      </c>
      <c r="H84" s="14" t="n">
        <v>3700</v>
      </c>
      <c r="I84" s="15" t="n">
        <v>0.45</v>
      </c>
      <c r="J84" s="16">
        <f>H84*(1-I84)</f>
        <v/>
      </c>
      <c r="K84" s="17" t="n">
        <v>735.34</v>
      </c>
      <c r="L84" s="18">
        <f>$H$5</f>
        <v/>
      </c>
      <c r="M84" s="19">
        <f>K84+L84</f>
        <v/>
      </c>
      <c r="N84" s="20" t="n">
        <v>0.41</v>
      </c>
      <c r="O84" s="21">
        <f>H84*N84</f>
        <v/>
      </c>
      <c r="P84" s="22" t="n">
        <v>67</v>
      </c>
      <c r="Q84" s="21">
        <f>H84*$H$8</f>
        <v/>
      </c>
      <c r="R84" s="22" t="n">
        <v>25</v>
      </c>
      <c r="S84" s="21">
        <f>H84*$H$4</f>
        <v/>
      </c>
      <c r="T84" s="21">
        <f>J84*$H$3</f>
        <v/>
      </c>
      <c r="U84" s="23" t="n">
        <v>0.9</v>
      </c>
      <c r="V84" s="22" t="n">
        <v>67</v>
      </c>
      <c r="W84" s="21">
        <f>V84*(1-U84)</f>
        <v/>
      </c>
      <c r="X84" s="24" t="n">
        <v>0.61</v>
      </c>
      <c r="Y84" s="21">
        <f>$H$6*$H$7*X84</f>
        <v/>
      </c>
      <c r="Z84" s="19">
        <f>X84*($H$9+$H$10)</f>
        <v/>
      </c>
      <c r="AA84" s="20" t="n">
        <v>0.025</v>
      </c>
      <c r="AB84" s="21">
        <f>H84*AA84</f>
        <v/>
      </c>
      <c r="AC84" s="23" t="n">
        <v>0.025</v>
      </c>
      <c r="AD84" s="21">
        <f>H84*AC84</f>
        <v/>
      </c>
      <c r="AE84" s="21">
        <f>AB84+AD84</f>
        <v/>
      </c>
      <c r="AF84" s="25">
        <f>AE84/H84</f>
        <v/>
      </c>
      <c r="AG84" s="26">
        <f>H84-O84-P84-Q84-R84-S84-T84-W84-Y84-Z84-M84-AL84</f>
        <v/>
      </c>
      <c r="AH84" s="27">
        <f>AG84-AE84</f>
        <v/>
      </c>
      <c r="AI84" s="28">
        <f>AH84/H84</f>
        <v/>
      </c>
      <c r="AJ84" s="29">
        <f>AH84/M84</f>
        <v/>
      </c>
      <c r="AK84" s="21">
        <f>(P84+R84+W84+Y84+Z84+M84)/(1-(N84+$H$4+(1-I84)*$H$3+$H$8+$H$11+AA84+AC84))</f>
        <v/>
      </c>
      <c r="AL84" s="90">
        <f>H84*$H$11</f>
        <v/>
      </c>
    </row>
    <row r="85" ht="29" customHeight="1">
      <c r="A85" s="11" t="inlineStr">
        <is>
          <t>MANYO - Pure Cleansing Oil [200ml] / Гидрофильное масло для глубокого очищения</t>
        </is>
      </c>
      <c r="B85" s="12" t="n"/>
      <c r="C85" s="13" t="inlineStr">
        <is>
          <t>-</t>
        </is>
      </c>
      <c r="D85" s="92" t="n">
        <v>243</v>
      </c>
      <c r="E85" s="14" t="n">
        <v>4000</v>
      </c>
      <c r="F85" s="14" t="n">
        <v>60</v>
      </c>
      <c r="G85" s="14" t="n">
        <v>0</v>
      </c>
      <c r="H85" s="14" t="n">
        <v>3700</v>
      </c>
      <c r="I85" s="15" t="n">
        <v>0.45</v>
      </c>
      <c r="J85" s="16">
        <f>H85*(1-I85)</f>
        <v/>
      </c>
      <c r="K85" s="17" t="n">
        <v>853</v>
      </c>
      <c r="L85" s="18">
        <f>$H$5</f>
        <v/>
      </c>
      <c r="M85" s="19">
        <f>K85+L85</f>
        <v/>
      </c>
      <c r="N85" s="20" t="n">
        <v>0.41</v>
      </c>
      <c r="O85" s="21">
        <f>H85*N85</f>
        <v/>
      </c>
      <c r="P85" s="22" t="n">
        <v>67</v>
      </c>
      <c r="Q85" s="21">
        <f>H85*$H$8</f>
        <v/>
      </c>
      <c r="R85" s="22" t="n">
        <v>25</v>
      </c>
      <c r="S85" s="21">
        <f>H85*$H$4</f>
        <v/>
      </c>
      <c r="T85" s="21">
        <f>J85*$H$3</f>
        <v/>
      </c>
      <c r="U85" s="23" t="n">
        <v>0.9</v>
      </c>
      <c r="V85" s="22" t="n">
        <v>67</v>
      </c>
      <c r="W85" s="21">
        <f>V85*(1-U85)</f>
        <v/>
      </c>
      <c r="X85" s="24" t="n">
        <v>0.5</v>
      </c>
      <c r="Y85" s="21">
        <f>$H$6*$H$7*X85</f>
        <v/>
      </c>
      <c r="Z85" s="19">
        <f>X85*($H$9+$H$10)</f>
        <v/>
      </c>
      <c r="AA85" s="20" t="n">
        <v>0.025</v>
      </c>
      <c r="AB85" s="21">
        <f>H85*AA85</f>
        <v/>
      </c>
      <c r="AC85" s="23" t="n">
        <v>0.025</v>
      </c>
      <c r="AD85" s="21">
        <f>H85*AC85</f>
        <v/>
      </c>
      <c r="AE85" s="21">
        <f>AB85+AD85</f>
        <v/>
      </c>
      <c r="AF85" s="25">
        <f>AE85/H85</f>
        <v/>
      </c>
      <c r="AG85" s="26">
        <f>H85-O85-P85-Q85-R85-S85-T85-W85-Y85-Z85-M85-AL85</f>
        <v/>
      </c>
      <c r="AH85" s="27">
        <f>AG85-AE85</f>
        <v/>
      </c>
      <c r="AI85" s="28">
        <f>AH85/H85</f>
        <v/>
      </c>
      <c r="AJ85" s="29">
        <f>AH85/M85</f>
        <v/>
      </c>
      <c r="AK85" s="21">
        <f>(P85+R85+W85+Y85+Z85+M85)/(1-(N85+$H$4+(1-I85)*$H$3+$H$8+$H$11+AA85+AC85))</f>
        <v/>
      </c>
      <c r="AL85" s="90">
        <f>H85*$H$11</f>
        <v/>
      </c>
    </row>
    <row r="86" ht="29" customHeight="1">
      <c r="A86" s="11" t="inlineStr">
        <is>
          <t>MANYO BIFIDA COMPLEX AMPOULE GEL CLEANSER [400ml] / Гель для умывания с бифидобактериями</t>
        </is>
      </c>
      <c r="B86" s="12" t="n"/>
      <c r="C86" s="13" t="inlineStr">
        <is>
          <t>-</t>
        </is>
      </c>
      <c r="D86" s="92" t="n">
        <v>814</v>
      </c>
      <c r="E86" s="14" t="n">
        <v>4800</v>
      </c>
      <c r="F86" s="14" t="n">
        <v>20</v>
      </c>
      <c r="G86" s="14" t="n">
        <v>0</v>
      </c>
      <c r="H86" s="14" t="n">
        <v>4500</v>
      </c>
      <c r="I86" s="15" t="n">
        <v>0.45</v>
      </c>
      <c r="J86" s="16">
        <f>H86*(1-I86)</f>
        <v/>
      </c>
      <c r="K86" s="17" t="n">
        <v>650</v>
      </c>
      <c r="L86" s="18">
        <f>$H$5</f>
        <v/>
      </c>
      <c r="M86" s="19">
        <f>K86+L86</f>
        <v/>
      </c>
      <c r="N86" s="20" t="n">
        <v>0.41</v>
      </c>
      <c r="O86" s="21">
        <f>H86*N86</f>
        <v/>
      </c>
      <c r="P86" s="22" t="n">
        <v>75</v>
      </c>
      <c r="Q86" s="21">
        <f>H86*$H$8</f>
        <v/>
      </c>
      <c r="R86" s="22" t="n">
        <v>25</v>
      </c>
      <c r="S86" s="21">
        <f>H86*$H$4</f>
        <v/>
      </c>
      <c r="T86" s="21">
        <f>J86*$H$3</f>
        <v/>
      </c>
      <c r="U86" s="23" t="n">
        <v>0.9</v>
      </c>
      <c r="V86" s="22" t="n">
        <v>75</v>
      </c>
      <c r="W86" s="21">
        <f>V86*(1-U86)</f>
        <v/>
      </c>
      <c r="X86" s="24" t="n">
        <v>0.931</v>
      </c>
      <c r="Y86" s="21">
        <f>$H$6*$H$7*X86</f>
        <v/>
      </c>
      <c r="Z86" s="19">
        <f>X86*($H$9+$H$10)</f>
        <v/>
      </c>
      <c r="AA86" s="20" t="n">
        <v>0.025</v>
      </c>
      <c r="AB86" s="21">
        <f>H86*AA86</f>
        <v/>
      </c>
      <c r="AC86" s="23" t="n">
        <v>0.025</v>
      </c>
      <c r="AD86" s="21">
        <f>H86*AC86</f>
        <v/>
      </c>
      <c r="AE86" s="21">
        <f>AB86+AD86</f>
        <v/>
      </c>
      <c r="AF86" s="25">
        <f>AE86/H86</f>
        <v/>
      </c>
      <c r="AG86" s="26">
        <f>H86-O86-P86-Q86-R86-S86-T86-W86-Y86-Z86-M86-AL86</f>
        <v/>
      </c>
      <c r="AH86" s="27">
        <f>AG86-AE86</f>
        <v/>
      </c>
      <c r="AI86" s="28">
        <f>AH86/H86</f>
        <v/>
      </c>
      <c r="AJ86" s="29">
        <f>AH86/M86</f>
        <v/>
      </c>
      <c r="AK86" s="21">
        <f>(P86+R86+W86+Y86+Z86+M86)/(1-(N86+$H$4+(1-I86)*$H$3+$H$8+$H$11+AA86+AC86))</f>
        <v/>
      </c>
      <c r="AL86" s="90">
        <f>H86*$H$11</f>
        <v/>
      </c>
    </row>
    <row r="87" ht="29" customHeight="1">
      <c r="A87" s="11" t="inlineStr">
        <is>
          <t>MANYO BIFIDA INFUSION SHOT AMPOULE 1DX [50ml] / Сыворотка с микроиглами и пробиотиками</t>
        </is>
      </c>
      <c r="B87" s="12" t="n"/>
      <c r="C87" s="13" t="n"/>
      <c r="D87" s="92" t="n">
        <v>786</v>
      </c>
      <c r="E87" s="14" t="n">
        <v>3800</v>
      </c>
      <c r="F87" s="14" t="n">
        <v>370</v>
      </c>
      <c r="G87" s="14" t="n">
        <v>0</v>
      </c>
      <c r="H87" s="14" t="n">
        <v>3500</v>
      </c>
      <c r="I87" s="15" t="n">
        <v>0.45</v>
      </c>
      <c r="J87" s="16">
        <f>H87*(1-I87)</f>
        <v/>
      </c>
      <c r="K87" s="17" t="n">
        <v>899.78</v>
      </c>
      <c r="L87" s="18">
        <f>$H$5</f>
        <v/>
      </c>
      <c r="M87" s="19">
        <f>K87+L87</f>
        <v/>
      </c>
      <c r="N87" s="20" t="n">
        <v>0.41</v>
      </c>
      <c r="O87" s="21">
        <f>H87*N87</f>
        <v/>
      </c>
      <c r="P87" s="22" t="n">
        <v>63</v>
      </c>
      <c r="Q87" s="21">
        <f>H87*$H$8</f>
        <v/>
      </c>
      <c r="R87" s="22" t="n">
        <v>25</v>
      </c>
      <c r="S87" s="21">
        <f>H87*$H$4</f>
        <v/>
      </c>
      <c r="T87" s="21">
        <f>J87*$H$3</f>
        <v/>
      </c>
      <c r="U87" s="23" t="n">
        <v>0.9</v>
      </c>
      <c r="V87" s="22" t="n">
        <v>63</v>
      </c>
      <c r="W87" s="21">
        <f>V87*(1-U87)</f>
        <v/>
      </c>
      <c r="X87" s="24" t="n">
        <v>0.3</v>
      </c>
      <c r="Y87" s="21">
        <f>$H$6*$H$7*X87</f>
        <v/>
      </c>
      <c r="Z87" s="19">
        <f>X87*($H$9+$H$10)</f>
        <v/>
      </c>
      <c r="AA87" s="20" t="n">
        <v>0.025</v>
      </c>
      <c r="AB87" s="21">
        <f>H87*AA87</f>
        <v/>
      </c>
      <c r="AC87" s="23" t="n">
        <v>0.025</v>
      </c>
      <c r="AD87" s="21">
        <f>H87*AC87</f>
        <v/>
      </c>
      <c r="AE87" s="21">
        <f>AB87+AD87</f>
        <v/>
      </c>
      <c r="AF87" s="25">
        <f>AE87/H87</f>
        <v/>
      </c>
      <c r="AG87" s="26">
        <f>H87-O87-P87-Q87-R87-S87-T87-W87-Y87-Z87-M87-AL87</f>
        <v/>
      </c>
      <c r="AH87" s="27">
        <f>AG87-AE87</f>
        <v/>
      </c>
      <c r="AI87" s="28">
        <f>AH87/H87</f>
        <v/>
      </c>
      <c r="AJ87" s="29">
        <f>AH87/M87</f>
        <v/>
      </c>
      <c r="AK87" s="21">
        <f>(P87+R87+W87+Y87+Z87+M87)/(1-(N87+$H$4+(1-I87)*$H$3+$H$8+$H$11+AA87+AC87))</f>
        <v/>
      </c>
      <c r="AL87" s="90">
        <f>H87*$H$11</f>
        <v/>
      </c>
    </row>
    <row r="88">
      <c r="A88" s="52" t="inlineStr">
        <is>
          <t>Косметика/MASIL</t>
        </is>
      </c>
      <c r="B88" s="10" t="n"/>
      <c r="C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</row>
    <row r="89">
      <c r="A89" s="53" t="inlineStr">
        <is>
          <t>MASIL - 8 Seconds Salon Hair Mask 350ml Set [350ml+8ml*2]</t>
        </is>
      </c>
      <c r="B89" s="30" t="n"/>
      <c r="C89" s="30" t="n"/>
      <c r="D89" s="92" t="n">
        <v>119</v>
      </c>
      <c r="E89" s="31" t="n"/>
      <c r="F89" s="31" t="n"/>
      <c r="G89" s="31" t="n"/>
      <c r="H89" s="31" t="n"/>
      <c r="I89" s="32" t="n"/>
      <c r="J89" s="33" t="n"/>
      <c r="K89" s="34" t="n"/>
      <c r="L89" s="34" t="n"/>
      <c r="M89" s="35" t="n"/>
      <c r="N89" s="36" t="n"/>
      <c r="O89" s="31" t="n"/>
      <c r="P89" s="31" t="n"/>
      <c r="Q89" s="31" t="n"/>
      <c r="R89" s="31" t="n"/>
      <c r="S89" s="31" t="n"/>
      <c r="T89" s="31" t="n"/>
      <c r="U89" s="37" t="n"/>
      <c r="V89" s="31" t="n"/>
      <c r="W89" s="31" t="n"/>
      <c r="X89" s="38" t="n"/>
      <c r="Y89" s="31" t="n"/>
      <c r="Z89" s="35" t="n"/>
      <c r="AA89" s="36" t="n"/>
      <c r="AB89" s="31" t="n"/>
      <c r="AC89" s="37" t="n"/>
      <c r="AD89" s="31" t="n"/>
      <c r="AE89" s="31" t="n"/>
      <c r="AF89" s="39" t="n"/>
      <c r="AG89" s="40" t="n"/>
      <c r="AH89" s="31" t="n"/>
      <c r="AI89" s="37" t="n"/>
      <c r="AJ89" s="37" t="n"/>
      <c r="AK89" s="31" t="n"/>
    </row>
    <row r="90">
      <c r="A90" s="52" t="inlineStr">
        <is>
          <t>Косметика/PETITFEE/PETITFEE-EYEPATCH</t>
        </is>
      </c>
      <c r="B90" s="10" t="n"/>
      <c r="C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</row>
    <row r="91" ht="29" customHeight="1">
      <c r="A91" s="11" t="inlineStr">
        <is>
          <t>PETITFEE - Collagen &amp; CoQ10 Hydrogel Eye Patch [60ea] / Гидрогелевые патчи для глаз с коллагеном и коэнзимом Q10</t>
        </is>
      </c>
      <c r="B91" s="12" t="n"/>
      <c r="C91" s="13" t="n"/>
      <c r="D91" s="100" t="n">
        <v>1008</v>
      </c>
      <c r="E91" s="14" t="n">
        <v>1818</v>
      </c>
      <c r="F91" s="14" t="n">
        <v>734</v>
      </c>
      <c r="G91" s="14" t="n">
        <v>16</v>
      </c>
      <c r="H91" s="14" t="n">
        <v>1700</v>
      </c>
      <c r="I91" s="15" t="n">
        <v>0.45</v>
      </c>
      <c r="J91" s="16">
        <f>H91*(1-I91)</f>
        <v/>
      </c>
      <c r="K91" s="17" t="n">
        <v>385.05</v>
      </c>
      <c r="L91" s="18">
        <f>$H$5</f>
        <v/>
      </c>
      <c r="M91" s="19">
        <f>K91+L91</f>
        <v/>
      </c>
      <c r="N91" s="20" t="n">
        <v>0.41</v>
      </c>
      <c r="O91" s="21">
        <f>H91*N91</f>
        <v/>
      </c>
      <c r="P91" s="22" t="n">
        <v>67</v>
      </c>
      <c r="Q91" s="21">
        <f>H91*$H$8</f>
        <v/>
      </c>
      <c r="R91" s="22" t="n">
        <v>25</v>
      </c>
      <c r="S91" s="21">
        <f>H91*$H$4</f>
        <v/>
      </c>
      <c r="T91" s="21">
        <f>J91*$H$3</f>
        <v/>
      </c>
      <c r="U91" s="23" t="n">
        <v>0.9</v>
      </c>
      <c r="V91" s="22" t="n">
        <v>67</v>
      </c>
      <c r="W91" s="21">
        <f>V91*(1-U91)</f>
        <v/>
      </c>
      <c r="X91" s="24" t="n">
        <v>0.6</v>
      </c>
      <c r="Y91" s="21">
        <f>$H$6*$H$7*X91</f>
        <v/>
      </c>
      <c r="Z91" s="19">
        <f>X91*($H$9+$H$10)</f>
        <v/>
      </c>
      <c r="AA91" s="20" t="n">
        <v>0.07000000000000001</v>
      </c>
      <c r="AB91" s="21">
        <f>H91*AA91</f>
        <v/>
      </c>
      <c r="AC91" s="23" t="n">
        <v>0.08</v>
      </c>
      <c r="AD91" s="21">
        <f>H91*AC91</f>
        <v/>
      </c>
      <c r="AE91" s="21">
        <f>AB91+AD91</f>
        <v/>
      </c>
      <c r="AF91" s="25">
        <f>AE91/H91</f>
        <v/>
      </c>
      <c r="AG91" s="26">
        <f>H91-O91-P91-Q91-R91-S91-T91-W91-Y91-Z91-M91-AL91</f>
        <v/>
      </c>
      <c r="AH91" s="27">
        <f>AG91-AE91</f>
        <v/>
      </c>
      <c r="AI91" s="28">
        <f>AH91/H91</f>
        <v/>
      </c>
      <c r="AJ91" s="29">
        <f>AH91/M91</f>
        <v/>
      </c>
      <c r="AK91" s="21">
        <f>(P91+R91+W91+Y91+Z91+M91)/(1-(N91+$H$4+(1-I91)*$H$3+$H$8+$H$11+AA91+AC91))</f>
        <v/>
      </c>
      <c r="AL91" s="90">
        <f>H91*$H$11</f>
        <v/>
      </c>
    </row>
    <row r="92" ht="29" customHeight="1">
      <c r="A92" s="11" t="inlineStr">
        <is>
          <t>PETITFEE - Bera Glucan Deep Firming Eye Patch [60ea] / Тканевые патчи для век увлажняющие</t>
        </is>
      </c>
      <c r="B92" s="12" t="n"/>
      <c r="C92" s="13" t="n"/>
      <c r="D92" s="92" t="n">
        <v>587</v>
      </c>
      <c r="E92" s="14" t="n"/>
      <c r="F92" s="14" t="n"/>
      <c r="G92" s="14" t="n"/>
      <c r="H92" s="14">
        <f>(1.25*M92+P92+R92+W92+Y92+Z92)/(1-N92-$H$8-$H$4-(1-I92)*$H$3-$H$11-AA92-AC92)</f>
        <v/>
      </c>
      <c r="I92" s="15" t="n">
        <v>0.45</v>
      </c>
      <c r="J92" s="16">
        <f>H92*(1-I92)</f>
        <v/>
      </c>
      <c r="K92" s="17" t="n">
        <v>486.69</v>
      </c>
      <c r="L92" s="18">
        <f>$H$5</f>
        <v/>
      </c>
      <c r="M92" s="19">
        <f>K92+L92</f>
        <v/>
      </c>
      <c r="N92" s="20" t="n">
        <v>0.41</v>
      </c>
      <c r="O92" s="21">
        <f>H92*N92</f>
        <v/>
      </c>
      <c r="P92" s="22" t="n">
        <v>67</v>
      </c>
      <c r="Q92" s="21">
        <f>H92*$H$8</f>
        <v/>
      </c>
      <c r="R92" s="22" t="n">
        <v>25</v>
      </c>
      <c r="S92" s="21">
        <f>H92*$H$4</f>
        <v/>
      </c>
      <c r="T92" s="21">
        <f>J92*$H$3</f>
        <v/>
      </c>
      <c r="U92" s="23" t="n">
        <v>0.9</v>
      </c>
      <c r="V92" s="22" t="n">
        <v>67</v>
      </c>
      <c r="W92" s="21">
        <f>V92*(1-U92)</f>
        <v/>
      </c>
      <c r="X92" s="24" t="n">
        <v>0.93</v>
      </c>
      <c r="Y92" s="21">
        <f>$H$6*$H$7*X92</f>
        <v/>
      </c>
      <c r="Z92" s="19">
        <f>X92*($H$9+$H$10)</f>
        <v/>
      </c>
      <c r="AA92" s="20" t="n">
        <v>0.07000000000000001</v>
      </c>
      <c r="AB92" s="21">
        <f>H92*AA92</f>
        <v/>
      </c>
      <c r="AC92" s="23" t="n">
        <v>0.08</v>
      </c>
      <c r="AD92" s="21">
        <f>H92*AC92</f>
        <v/>
      </c>
      <c r="AE92" s="21">
        <f>AB92+AD92</f>
        <v/>
      </c>
      <c r="AF92" s="25">
        <f>AE92/H92</f>
        <v/>
      </c>
      <c r="AG92" s="26">
        <f>H92-O92-P92-Q92-R92-S92-T92-W92-Y92-Z92-M92-AL92</f>
        <v/>
      </c>
      <c r="AH92" s="27">
        <f>AG92-AE92</f>
        <v/>
      </c>
      <c r="AI92" s="28">
        <f>AH92/H92</f>
        <v/>
      </c>
      <c r="AJ92" s="29">
        <f>AH92/M92</f>
        <v/>
      </c>
      <c r="AK92" s="21">
        <f>(P92+R92+W92+Y92+Z92+M92)/(1-(N92+$H$4+(1-I92)*$H$3+$H$8+$H$11+AA92+AC92))</f>
        <v/>
      </c>
      <c r="AL92" s="90">
        <f>H92*$H$11</f>
        <v/>
      </c>
    </row>
    <row r="93" ht="29" customHeight="1">
      <c r="A93" s="11" t="inlineStr">
        <is>
          <t>PETITFEE - Artichoke Soothing Hydrogel Eye Patch [60ea] / Смягчающие гидрогелевые патчи для глаз с экстрактом артишока</t>
        </is>
      </c>
      <c r="B93" s="12" t="n"/>
      <c r="C93" s="13" t="n"/>
      <c r="D93" s="92" t="n">
        <v>300</v>
      </c>
      <c r="E93" s="14" t="n"/>
      <c r="F93" s="14" t="n"/>
      <c r="G93" s="14" t="n"/>
      <c r="H93" s="14">
        <f>(1.25*M93+P93+R93+W93+Y93+Z93)/(1-N93-$H$8-$H$4-(1-I93)*$H$3-$H$11-AA93-AC93)</f>
        <v/>
      </c>
      <c r="I93" s="15" t="n">
        <v>0.45</v>
      </c>
      <c r="J93" s="16">
        <f>H93*(1-I93)</f>
        <v/>
      </c>
      <c r="K93" s="17" t="n">
        <v>415.46</v>
      </c>
      <c r="L93" s="18">
        <f>$H$5</f>
        <v/>
      </c>
      <c r="M93" s="19">
        <f>K93+L93</f>
        <v/>
      </c>
      <c r="N93" s="20" t="n">
        <v>0.41</v>
      </c>
      <c r="O93" s="21">
        <f>H93*N93</f>
        <v/>
      </c>
      <c r="P93" s="22" t="n">
        <v>67</v>
      </c>
      <c r="Q93" s="21">
        <f>H93*$H$8</f>
        <v/>
      </c>
      <c r="R93" s="22" t="n">
        <v>25</v>
      </c>
      <c r="S93" s="21">
        <f>H93*$H$4</f>
        <v/>
      </c>
      <c r="T93" s="21">
        <f>J93*$H$3</f>
        <v/>
      </c>
      <c r="U93" s="23" t="n">
        <v>0.9</v>
      </c>
      <c r="V93" s="22" t="n">
        <v>67</v>
      </c>
      <c r="W93" s="21">
        <f>V93*(1-U93)</f>
        <v/>
      </c>
      <c r="X93" s="24" t="n">
        <v>0.6</v>
      </c>
      <c r="Y93" s="21">
        <f>$H$6*$H$7*X93</f>
        <v/>
      </c>
      <c r="Z93" s="19">
        <f>X93*($H$9+$H$10)</f>
        <v/>
      </c>
      <c r="AA93" s="20" t="n">
        <v>0.07000000000000001</v>
      </c>
      <c r="AB93" s="21">
        <f>H93*AA93</f>
        <v/>
      </c>
      <c r="AC93" s="23" t="n">
        <v>0.08</v>
      </c>
      <c r="AD93" s="21">
        <f>H93*AC93</f>
        <v/>
      </c>
      <c r="AE93" s="21">
        <f>AB93+AD93</f>
        <v/>
      </c>
      <c r="AF93" s="25">
        <f>AE93/H93</f>
        <v/>
      </c>
      <c r="AG93" s="26">
        <f>H93-O93-P93-Q93-R93-S93-T93-W93-Y93-Z93-M93-AL93</f>
        <v/>
      </c>
      <c r="AH93" s="27">
        <f>AG93-AE93</f>
        <v/>
      </c>
      <c r="AI93" s="28">
        <f>AH93/H93</f>
        <v/>
      </c>
      <c r="AJ93" s="29">
        <f>AH93/M93</f>
        <v/>
      </c>
      <c r="AK93" s="21">
        <f>(P93+R93+W93+Y93+Z93+M93)/(1-(N93+$H$4+(1-I93)*$H$3+$H$8+$H$11+AA93+AC93))</f>
        <v/>
      </c>
      <c r="AL93" s="90">
        <f>H93*$H$11</f>
        <v/>
      </c>
    </row>
    <row r="94">
      <c r="A94" s="11" t="inlineStr">
        <is>
          <t>PETITFEE - Aura Quartz Hydrogel Eye Patch [60ea]</t>
        </is>
      </c>
      <c r="B94" s="12" t="n"/>
      <c r="C94" s="13" t="n"/>
      <c r="D94" s="92" t="n">
        <v>95</v>
      </c>
      <c r="E94" s="14" t="n"/>
      <c r="F94" s="14" t="n"/>
      <c r="G94" s="14" t="n"/>
      <c r="H94" s="14">
        <f>(1.25*M94+P94+R94+W94+Y94+Z94)/(1-N94-$H$8-$H$4-(1-I94)*$H$3-$H$11-AA94-AC94)</f>
        <v/>
      </c>
      <c r="I94" s="15" t="n">
        <v>0.45</v>
      </c>
      <c r="J94" s="16">
        <f>H94*(1-I94)</f>
        <v/>
      </c>
      <c r="K94" s="17" t="n">
        <v>591.29</v>
      </c>
      <c r="L94" s="18">
        <f>$H$5</f>
        <v/>
      </c>
      <c r="M94" s="19">
        <f>K94+L94</f>
        <v/>
      </c>
      <c r="N94" s="20" t="n">
        <v>0.41</v>
      </c>
      <c r="O94" s="21">
        <f>H94*N94</f>
        <v/>
      </c>
      <c r="P94" s="22" t="n">
        <v>67</v>
      </c>
      <c r="Q94" s="21">
        <f>H94*$H$8</f>
        <v/>
      </c>
      <c r="R94" s="22" t="n">
        <v>25</v>
      </c>
      <c r="S94" s="21">
        <f>H94*$H$4</f>
        <v/>
      </c>
      <c r="T94" s="21">
        <f>J94*$H$3</f>
        <v/>
      </c>
      <c r="U94" s="23" t="n">
        <v>0.9</v>
      </c>
      <c r="V94" s="22" t="n">
        <v>67</v>
      </c>
      <c r="W94" s="21">
        <f>V94*(1-U94)</f>
        <v/>
      </c>
      <c r="X94" s="24" t="n">
        <v>0.93</v>
      </c>
      <c r="Y94" s="21">
        <f>$H$6*$H$7*X94</f>
        <v/>
      </c>
      <c r="Z94" s="19">
        <f>X94*($H$9+$H$10)</f>
        <v/>
      </c>
      <c r="AA94" s="20" t="n">
        <v>0.07000000000000001</v>
      </c>
      <c r="AB94" s="21">
        <f>H94*AA94</f>
        <v/>
      </c>
      <c r="AC94" s="23" t="n">
        <v>0.08</v>
      </c>
      <c r="AD94" s="21">
        <f>H94*AC94</f>
        <v/>
      </c>
      <c r="AE94" s="21">
        <f>AB94+AD94</f>
        <v/>
      </c>
      <c r="AF94" s="25">
        <f>AE94/H94</f>
        <v/>
      </c>
      <c r="AG94" s="26">
        <f>H94-O94-P94-Q94-R94-S94-T94-W94-Y94-Z94-M94-AL94</f>
        <v/>
      </c>
      <c r="AH94" s="27">
        <f>AG94-AE94</f>
        <v/>
      </c>
      <c r="AI94" s="28">
        <f>AH94/H94</f>
        <v/>
      </c>
      <c r="AJ94" s="29">
        <f>AH94/M94</f>
        <v/>
      </c>
      <c r="AK94" s="21">
        <f>(P94+R94+W94+Y94+Z94+M94)/(1-(N94+$H$4+(1-I94)*$H$3+$H$8+$H$11+AA94+AC94))</f>
        <v/>
      </c>
      <c r="AL94" s="90">
        <f>H94*$H$11</f>
        <v/>
      </c>
    </row>
    <row r="95" ht="29" customHeight="1">
      <c r="A95" s="11" t="inlineStr">
        <is>
          <t>PETITFEE - Cacao Energizing Hydrogel Eye Patch [60ea] / Тонизирующие гидрогелевые патчи для глаз с экстрактом какао</t>
        </is>
      </c>
      <c r="B95" s="12" t="n"/>
      <c r="C95" s="13" t="n"/>
      <c r="D95" s="92" t="n">
        <v>713</v>
      </c>
      <c r="E95" s="14" t="n"/>
      <c r="F95" s="14" t="n"/>
      <c r="G95" s="14" t="n"/>
      <c r="H95" s="14">
        <f>(1.25*M95+P95+R95+W95+Y95+Z95)/(1-N95-$H$8-$H$4-(1-I95)*$H$3-$H$11-AA95-AC95)</f>
        <v/>
      </c>
      <c r="I95" s="15" t="n">
        <v>0.45</v>
      </c>
      <c r="J95" s="16">
        <f>H95*(1-I95)</f>
        <v/>
      </c>
      <c r="K95" s="17" t="n">
        <v>415.46</v>
      </c>
      <c r="L95" s="18">
        <f>$H$5</f>
        <v/>
      </c>
      <c r="M95" s="19">
        <f>K95+L95</f>
        <v/>
      </c>
      <c r="N95" s="20" t="n">
        <v>0.41</v>
      </c>
      <c r="O95" s="21">
        <f>H95*N95</f>
        <v/>
      </c>
      <c r="P95" s="22" t="n">
        <v>67</v>
      </c>
      <c r="Q95" s="21">
        <f>H95*$H$8</f>
        <v/>
      </c>
      <c r="R95" s="22" t="n">
        <v>25</v>
      </c>
      <c r="S95" s="21">
        <f>H95*$H$4</f>
        <v/>
      </c>
      <c r="T95" s="21">
        <f>J95*$H$3</f>
        <v/>
      </c>
      <c r="U95" s="23" t="n">
        <v>0.9</v>
      </c>
      <c r="V95" s="22" t="n">
        <v>67</v>
      </c>
      <c r="W95" s="21">
        <f>V95*(1-U95)</f>
        <v/>
      </c>
      <c r="X95" s="24" t="n">
        <v>0.6</v>
      </c>
      <c r="Y95" s="21">
        <f>$H$6*$H$7*X95</f>
        <v/>
      </c>
      <c r="Z95" s="19">
        <f>X95*($H$9+$H$10)</f>
        <v/>
      </c>
      <c r="AA95" s="20" t="n">
        <v>0.07000000000000001</v>
      </c>
      <c r="AB95" s="21">
        <f>H95*AA95</f>
        <v/>
      </c>
      <c r="AC95" s="23" t="n">
        <v>0.08</v>
      </c>
      <c r="AD95" s="21">
        <f>H95*AC95</f>
        <v/>
      </c>
      <c r="AE95" s="21">
        <f>AB95+AD95</f>
        <v/>
      </c>
      <c r="AF95" s="25">
        <f>AE95/H95</f>
        <v/>
      </c>
      <c r="AG95" s="26">
        <f>H95-O95-P95-Q95-R95-S95-T95-W95-Y95-Z95-M95-AL95</f>
        <v/>
      </c>
      <c r="AH95" s="27">
        <f>AG95-AE95</f>
        <v/>
      </c>
      <c r="AI95" s="28">
        <f>AH95/H95</f>
        <v/>
      </c>
      <c r="AJ95" s="29">
        <f>AH95/M95</f>
        <v/>
      </c>
      <c r="AK95" s="21">
        <f>(P95+R95+W95+Y95+Z95+M95)/(1-(N95+$H$4+(1-I95)*$H$3+$H$8+$H$11+AA95+AC95))</f>
        <v/>
      </c>
      <c r="AL95" s="90">
        <f>H95*$H$11</f>
        <v/>
      </c>
    </row>
    <row r="96" ht="29" customHeight="1">
      <c r="A96" s="11" t="inlineStr">
        <is>
          <t>PETITFEE - Chamomile Lightening Hydrogel Eye Patch [60ea] / Успокаивающие гидрогелевые патчи для глаз с экстрактом ромашки</t>
        </is>
      </c>
      <c r="B96" s="12" t="n"/>
      <c r="C96" s="13" t="n"/>
      <c r="D96" s="92" t="n">
        <v>288</v>
      </c>
      <c r="E96" s="14" t="n"/>
      <c r="F96" s="14" t="n"/>
      <c r="G96" s="14" t="n"/>
      <c r="H96" s="14">
        <f>(1.25*M96+P96+R96+W96+Y96+Z96)/(1-N96-$H$8-$H$4-(1-I96)*$H$3-$H$11-AA96-AC96)</f>
        <v/>
      </c>
      <c r="I96" s="15" t="n">
        <v>0.45</v>
      </c>
      <c r="J96" s="16">
        <f>H96*(1-I96)</f>
        <v/>
      </c>
      <c r="K96" s="17" t="n">
        <v>415.46</v>
      </c>
      <c r="L96" s="18">
        <f>$H$5</f>
        <v/>
      </c>
      <c r="M96" s="19">
        <f>K96+L96</f>
        <v/>
      </c>
      <c r="N96" s="20" t="n">
        <v>0.41</v>
      </c>
      <c r="O96" s="21">
        <f>H96*N96</f>
        <v/>
      </c>
      <c r="P96" s="22" t="n">
        <v>67</v>
      </c>
      <c r="Q96" s="21">
        <f>H96*$H$8</f>
        <v/>
      </c>
      <c r="R96" s="22" t="n">
        <v>25</v>
      </c>
      <c r="S96" s="21">
        <f>H96*$H$4</f>
        <v/>
      </c>
      <c r="T96" s="21">
        <f>J96*$H$3</f>
        <v/>
      </c>
      <c r="U96" s="23" t="n">
        <v>0.9</v>
      </c>
      <c r="V96" s="22" t="n">
        <v>67</v>
      </c>
      <c r="W96" s="21">
        <f>V96*(1-U96)</f>
        <v/>
      </c>
      <c r="X96" s="24" t="n">
        <v>0.6</v>
      </c>
      <c r="Y96" s="21">
        <f>$H$6*$H$7*X96</f>
        <v/>
      </c>
      <c r="Z96" s="19">
        <f>X96*($H$9+$H$10)</f>
        <v/>
      </c>
      <c r="AA96" s="20" t="n">
        <v>0.07000000000000001</v>
      </c>
      <c r="AB96" s="21">
        <f>H96*AA96</f>
        <v/>
      </c>
      <c r="AC96" s="23" t="n">
        <v>0.08</v>
      </c>
      <c r="AD96" s="21">
        <f>H96*AC96</f>
        <v/>
      </c>
      <c r="AE96" s="21">
        <f>AB96+AD96</f>
        <v/>
      </c>
      <c r="AF96" s="25">
        <f>AE96/H96</f>
        <v/>
      </c>
      <c r="AG96" s="26">
        <f>H96-O96-P96-Q96-R96-S96-T96-W96-Y96-Z96-M96-AL96</f>
        <v/>
      </c>
      <c r="AH96" s="27">
        <f>AG96-AE96</f>
        <v/>
      </c>
      <c r="AI96" s="28">
        <f>AH96/H96</f>
        <v/>
      </c>
      <c r="AJ96" s="29">
        <f>AH96/M96</f>
        <v/>
      </c>
      <c r="AK96" s="21">
        <f>(P96+R96+W96+Y96+Z96+M96)/(1-(N96+$H$4+(1-I96)*$H$3+$H$8+$H$11+AA96+AC96))</f>
        <v/>
      </c>
      <c r="AL96" s="90">
        <f>H96*$H$11</f>
        <v/>
      </c>
    </row>
    <row r="97" ht="29" customHeight="1">
      <c r="A97" s="11" t="inlineStr">
        <is>
          <t>PETITFEE - Gold &amp; EGF Hydrogel Eye &amp; Spot Patch [60ea]/ гидрогелевые патчи с золотом и EGF</t>
        </is>
      </c>
      <c r="B97" s="12" t="n"/>
      <c r="C97" s="13" t="n"/>
      <c r="D97" s="92" t="n">
        <v>72</v>
      </c>
      <c r="E97" s="14" t="n"/>
      <c r="F97" s="14" t="n"/>
      <c r="G97" s="14" t="n"/>
      <c r="H97" s="14">
        <f>(1.25*M97+P97+R97+W97+Y97+Z97)/(1-N97-$H$8-$H$4-(1-I97)*$H$3-$H$11-AA97-AC97)</f>
        <v/>
      </c>
      <c r="I97" s="15" t="n">
        <v>0.45</v>
      </c>
      <c r="J97" s="16">
        <f>H97*(1-I97)</f>
        <v/>
      </c>
      <c r="K97" s="17" t="n">
        <v>385.05</v>
      </c>
      <c r="L97" s="18">
        <f>$H$5</f>
        <v/>
      </c>
      <c r="M97" s="19">
        <f>K97+L97</f>
        <v/>
      </c>
      <c r="N97" s="20" t="n">
        <v>0.41</v>
      </c>
      <c r="O97" s="21">
        <f>H97*N97</f>
        <v/>
      </c>
      <c r="P97" s="22" t="n">
        <v>67</v>
      </c>
      <c r="Q97" s="21">
        <f>H97*$H$8</f>
        <v/>
      </c>
      <c r="R97" s="22" t="n">
        <v>25</v>
      </c>
      <c r="S97" s="21">
        <f>H97*$H$4</f>
        <v/>
      </c>
      <c r="T97" s="21">
        <f>J97*$H$3</f>
        <v/>
      </c>
      <c r="U97" s="23" t="n">
        <v>0.9</v>
      </c>
      <c r="V97" s="22" t="n">
        <v>67</v>
      </c>
      <c r="W97" s="21">
        <f>V97*(1-U97)</f>
        <v/>
      </c>
      <c r="X97" s="24" t="n">
        <v>0.6</v>
      </c>
      <c r="Y97" s="21">
        <f>$H$6*$H$7*X97</f>
        <v/>
      </c>
      <c r="Z97" s="19">
        <f>X97*($H$9+$H$10)</f>
        <v/>
      </c>
      <c r="AA97" s="20" t="n">
        <v>0.07000000000000001</v>
      </c>
      <c r="AB97" s="21">
        <f>H97*AA97</f>
        <v/>
      </c>
      <c r="AC97" s="23" t="n">
        <v>0.08</v>
      </c>
      <c r="AD97" s="21">
        <f>H97*AC97</f>
        <v/>
      </c>
      <c r="AE97" s="21">
        <f>AB97+AD97</f>
        <v/>
      </c>
      <c r="AF97" s="25">
        <f>AE97/H97</f>
        <v/>
      </c>
      <c r="AG97" s="26">
        <f>H97-O97-P97-Q97-R97-S97-T97-W97-Y97-Z97-M97-AL97</f>
        <v/>
      </c>
      <c r="AH97" s="27">
        <f>AG97-AE97</f>
        <v/>
      </c>
      <c r="AI97" s="28">
        <f>AH97/H97</f>
        <v/>
      </c>
      <c r="AJ97" s="29">
        <f>AH97/M97</f>
        <v/>
      </c>
      <c r="AK97" s="21">
        <f>(P97+R97+W97+Y97+Z97+M97)/(1-(N97+$H$4+(1-I97)*$H$3+$H$8+$H$11+AA97+AC97))</f>
        <v/>
      </c>
      <c r="AL97" s="90">
        <f>H97*$H$11</f>
        <v/>
      </c>
    </row>
    <row r="98" ht="29" customHeight="1">
      <c r="A98" s="11" t="inlineStr">
        <is>
          <t>PETITFEE - Pink Vita Brightening Eye Patch [60ea] / Тканевые патчи для век увлажняющие</t>
        </is>
      </c>
      <c r="B98" s="12" t="n"/>
      <c r="C98" s="13" t="n"/>
      <c r="D98" s="92" t="n">
        <v>267</v>
      </c>
      <c r="E98" s="14" t="n"/>
      <c r="F98" s="14" t="n"/>
      <c r="G98" s="14" t="n"/>
      <c r="H98" s="14">
        <f>(1.25*M98+P98+R98+W98+Y98+Z98)/(1-N98-$H$8-$H$4-(1-I98)*$H$3-$H$11-AA98-AC98)</f>
        <v/>
      </c>
      <c r="I98" s="15" t="n">
        <v>0.45</v>
      </c>
      <c r="J98" s="16">
        <f>H98*(1-I98)</f>
        <v/>
      </c>
      <c r="K98" s="17" t="n">
        <v>486.69</v>
      </c>
      <c r="L98" s="18">
        <f>$H$5</f>
        <v/>
      </c>
      <c r="M98" s="19">
        <f>K98+L98</f>
        <v/>
      </c>
      <c r="N98" s="20" t="n">
        <v>0.41</v>
      </c>
      <c r="O98" s="21">
        <f>H98*N98</f>
        <v/>
      </c>
      <c r="P98" s="22" t="n">
        <v>67</v>
      </c>
      <c r="Q98" s="21">
        <f>H98*$H$8</f>
        <v/>
      </c>
      <c r="R98" s="22" t="n">
        <v>25</v>
      </c>
      <c r="S98" s="21">
        <f>H98*$H$4</f>
        <v/>
      </c>
      <c r="T98" s="21">
        <f>J98*$H$3</f>
        <v/>
      </c>
      <c r="U98" s="23" t="n">
        <v>0.9</v>
      </c>
      <c r="V98" s="22" t="n">
        <v>67</v>
      </c>
      <c r="W98" s="21">
        <f>V98*(1-U98)</f>
        <v/>
      </c>
      <c r="X98" s="24" t="n">
        <v>0.93</v>
      </c>
      <c r="Y98" s="21">
        <f>$H$6*$H$7*X98</f>
        <v/>
      </c>
      <c r="Z98" s="19">
        <f>X98*($H$9+$H$10)</f>
        <v/>
      </c>
      <c r="AA98" s="20" t="n">
        <v>0.07000000000000001</v>
      </c>
      <c r="AB98" s="21">
        <f>H98*AA98</f>
        <v/>
      </c>
      <c r="AC98" s="23" t="n">
        <v>0.08</v>
      </c>
      <c r="AD98" s="21">
        <f>H98*AC98</f>
        <v/>
      </c>
      <c r="AE98" s="21">
        <f>AB98+AD98</f>
        <v/>
      </c>
      <c r="AF98" s="25">
        <f>AE98/H98</f>
        <v/>
      </c>
      <c r="AG98" s="26">
        <f>H98-O98-P98-Q98-R98-S98-T98-W98-Y98-Z98-M98-AL98</f>
        <v/>
      </c>
      <c r="AH98" s="27">
        <f>AG98-AE98</f>
        <v/>
      </c>
      <c r="AI98" s="28">
        <f>AH98/H98</f>
        <v/>
      </c>
      <c r="AJ98" s="29">
        <f>AH98/M98</f>
        <v/>
      </c>
      <c r="AK98" s="21">
        <f>(P98+R98+W98+Y98+Z98+M98)/(1-(N98+$H$4+(1-I98)*$H$3+$H$8+$H$11+AA98+AC98))</f>
        <v/>
      </c>
      <c r="AL98" s="90">
        <f>H98*$H$11</f>
        <v/>
      </c>
    </row>
    <row r="99" ht="29" customHeight="1">
      <c r="A99" s="11" t="inlineStr">
        <is>
          <t>PETITFEE - Black Pearl &amp; Gold Hydrogel Eye Patch [60ea] / Гидрогелевые патчи для глаз с черным жемчугом и золотом</t>
        </is>
      </c>
      <c r="B99" s="12" t="n"/>
      <c r="C99" s="13" t="n"/>
      <c r="D99" s="92" t="n">
        <v>909</v>
      </c>
      <c r="E99" s="14" t="n">
        <v>1780</v>
      </c>
      <c r="F99" s="14" t="n">
        <v>489</v>
      </c>
      <c r="G99" s="14" t="n">
        <v>16</v>
      </c>
      <c r="H99" s="14" t="n">
        <v>1650</v>
      </c>
      <c r="I99" s="15" t="n">
        <v>0.45</v>
      </c>
      <c r="J99" s="16">
        <f>H99*(1-I99)</f>
        <v/>
      </c>
      <c r="K99" s="17" t="n">
        <v>387.67</v>
      </c>
      <c r="L99" s="18">
        <f>$H$5</f>
        <v/>
      </c>
      <c r="M99" s="19">
        <f>K99+L99</f>
        <v/>
      </c>
      <c r="N99" s="20" t="n">
        <v>0.41</v>
      </c>
      <c r="O99" s="21">
        <f>H99*N99</f>
        <v/>
      </c>
      <c r="P99" s="22" t="n">
        <v>67</v>
      </c>
      <c r="Q99" s="21">
        <f>H99*$H$8</f>
        <v/>
      </c>
      <c r="R99" s="22" t="n">
        <v>25</v>
      </c>
      <c r="S99" s="21">
        <f>H99*$H$4</f>
        <v/>
      </c>
      <c r="T99" s="21">
        <f>J99*$H$3</f>
        <v/>
      </c>
      <c r="U99" s="23" t="n">
        <v>0.9</v>
      </c>
      <c r="V99" s="22" t="n">
        <v>67</v>
      </c>
      <c r="W99" s="21">
        <f>V99*(1-U99)</f>
        <v/>
      </c>
      <c r="X99" s="24" t="n">
        <v>0.6</v>
      </c>
      <c r="Y99" s="21">
        <f>$H$6*$H$7*X99</f>
        <v/>
      </c>
      <c r="Z99" s="19">
        <f>X99*($H$9+$H$10)</f>
        <v/>
      </c>
      <c r="AA99" s="20" t="n">
        <v>0.07000000000000001</v>
      </c>
      <c r="AB99" s="21">
        <f>H99*AA99</f>
        <v/>
      </c>
      <c r="AC99" s="23" t="n">
        <v>0.08</v>
      </c>
      <c r="AD99" s="21">
        <f>H99*AC99</f>
        <v/>
      </c>
      <c r="AE99" s="21">
        <f>AB99+AD99</f>
        <v/>
      </c>
      <c r="AF99" s="25">
        <f>AE99/H99</f>
        <v/>
      </c>
      <c r="AG99" s="26">
        <f>H99-O99-P99-Q99-R99-S99-T99-W99-Y99-Z99-M99-AL99</f>
        <v/>
      </c>
      <c r="AH99" s="27">
        <f>AG99-AE99</f>
        <v/>
      </c>
      <c r="AI99" s="28">
        <f>AH99/H99</f>
        <v/>
      </c>
      <c r="AJ99" s="29">
        <f>AH99/M99</f>
        <v/>
      </c>
      <c r="AK99" s="21">
        <f>(P99+R99+W99+Y99+Z99+M99)/(1-(N99+$H$4+(1-I99)*$H$3+$H$8+$H$11+AA99+AC99))</f>
        <v/>
      </c>
      <c r="AL99" s="90">
        <f>H99*$H$11</f>
        <v/>
      </c>
    </row>
    <row r="100" ht="29" customHeight="1">
      <c r="A100" s="11" t="inlineStr">
        <is>
          <t>PETITFEE - Agave Cooling Hydrogel Eye Patch [60ea] / Охлаждающие гидрогелевые патчи для глаз с экстрактом агавы</t>
        </is>
      </c>
      <c r="B100" s="12" t="n"/>
      <c r="C100" s="13" t="n"/>
      <c r="D100" s="92" t="n">
        <v>933</v>
      </c>
      <c r="E100" s="14" t="n">
        <v>1730</v>
      </c>
      <c r="F100" s="14" t="n">
        <v>568</v>
      </c>
      <c r="G100" s="14" t="n">
        <v>17</v>
      </c>
      <c r="H100" s="14" t="n">
        <v>1630</v>
      </c>
      <c r="I100" s="15" t="n">
        <v>0.45</v>
      </c>
      <c r="J100" s="16">
        <f>H100*(1-I100)</f>
        <v/>
      </c>
      <c r="K100" s="17" t="n">
        <v>415.46</v>
      </c>
      <c r="L100" s="18">
        <f>$H$5</f>
        <v/>
      </c>
      <c r="M100" s="19">
        <f>K100+L100</f>
        <v/>
      </c>
      <c r="N100" s="20" t="n">
        <v>0.41</v>
      </c>
      <c r="O100" s="21">
        <f>H100*N100</f>
        <v/>
      </c>
      <c r="P100" s="22" t="n">
        <v>67</v>
      </c>
      <c r="Q100" s="21">
        <f>H100*$H$8</f>
        <v/>
      </c>
      <c r="R100" s="22" t="n">
        <v>25</v>
      </c>
      <c r="S100" s="21">
        <f>H100*$H$4</f>
        <v/>
      </c>
      <c r="T100" s="21">
        <f>J100*$H$3</f>
        <v/>
      </c>
      <c r="U100" s="23" t="n">
        <v>0.9</v>
      </c>
      <c r="V100" s="22" t="n">
        <v>67</v>
      </c>
      <c r="W100" s="21">
        <f>V100*(1-U100)</f>
        <v/>
      </c>
      <c r="X100" s="24" t="n">
        <v>0.6</v>
      </c>
      <c r="Y100" s="21">
        <f>$H$6*$H$7*X100</f>
        <v/>
      </c>
      <c r="Z100" s="19">
        <f>X100*($H$9+$H$10)</f>
        <v/>
      </c>
      <c r="AA100" s="20" t="n">
        <v>0.07000000000000001</v>
      </c>
      <c r="AB100" s="21">
        <f>H100*AA100</f>
        <v/>
      </c>
      <c r="AC100" s="23" t="n">
        <v>0.08</v>
      </c>
      <c r="AD100" s="21">
        <f>H100*AC100</f>
        <v/>
      </c>
      <c r="AE100" s="21">
        <f>AB100+AD100</f>
        <v/>
      </c>
      <c r="AF100" s="25">
        <f>AE100/H100</f>
        <v/>
      </c>
      <c r="AG100" s="26">
        <f>H100-O100-P100-Q100-R100-S100-T100-W100-Y100-Z100-M100-AL100</f>
        <v/>
      </c>
      <c r="AH100" s="27">
        <f>AG100-AE100</f>
        <v/>
      </c>
      <c r="AI100" s="28">
        <f>AH100/H100</f>
        <v/>
      </c>
      <c r="AJ100" s="29">
        <f>AH100/M100</f>
        <v/>
      </c>
      <c r="AK100" s="21">
        <f>(P100+R100+W100+Y100+Z100+M100)/(1-(N100+$H$4+(1-I100)*$H$3+$H$8+$H$11+AA100+AC100))</f>
        <v/>
      </c>
      <c r="AL100" s="90">
        <f>H100*$H$11</f>
        <v/>
      </c>
    </row>
    <row r="101" ht="29" customHeight="1">
      <c r="A101" s="11" t="inlineStr">
        <is>
          <t>PETITFEE - Gold &amp; Snail Hydrogel Eye Patch [60ea] / Гидрогелевые патчи для глаз с золотом и улиткой</t>
        </is>
      </c>
      <c r="B101" s="12" t="n"/>
      <c r="C101" s="13" t="n"/>
      <c r="D101" s="92" t="n">
        <v>909</v>
      </c>
      <c r="E101" s="14" t="n">
        <v>1740</v>
      </c>
      <c r="F101" s="14" t="n">
        <v>150</v>
      </c>
      <c r="G101" s="14" t="n">
        <v>7</v>
      </c>
      <c r="H101" s="14" t="n">
        <v>1630</v>
      </c>
      <c r="I101" s="15" t="n">
        <v>0.45</v>
      </c>
      <c r="J101" s="16">
        <f>H101*(1-I101)</f>
        <v/>
      </c>
      <c r="K101" s="17" t="n">
        <v>415.46</v>
      </c>
      <c r="L101" s="18">
        <f>$H$5</f>
        <v/>
      </c>
      <c r="M101" s="19">
        <f>K101+L101</f>
        <v/>
      </c>
      <c r="N101" s="20" t="n">
        <v>0.41</v>
      </c>
      <c r="O101" s="21">
        <f>H101*N101</f>
        <v/>
      </c>
      <c r="P101" s="22" t="n">
        <v>67</v>
      </c>
      <c r="Q101" s="21">
        <f>H101*$H$8</f>
        <v/>
      </c>
      <c r="R101" s="22" t="n">
        <v>25</v>
      </c>
      <c r="S101" s="21">
        <f>H101*$H$4</f>
        <v/>
      </c>
      <c r="T101" s="21">
        <f>J101*$H$3</f>
        <v/>
      </c>
      <c r="U101" s="23" t="n">
        <v>0.9</v>
      </c>
      <c r="V101" s="22" t="n">
        <v>67</v>
      </c>
      <c r="W101" s="21">
        <f>V101*(1-U101)</f>
        <v/>
      </c>
      <c r="X101" s="24" t="n">
        <v>0.6</v>
      </c>
      <c r="Y101" s="21">
        <f>$H$6*$H$7*X101</f>
        <v/>
      </c>
      <c r="Z101" s="19">
        <f>X101*($H$9+$H$10)</f>
        <v/>
      </c>
      <c r="AA101" s="20" t="n">
        <v>0.07000000000000001</v>
      </c>
      <c r="AB101" s="21">
        <f>H101*AA101</f>
        <v/>
      </c>
      <c r="AC101" s="23" t="n">
        <v>0.08</v>
      </c>
      <c r="AD101" s="21">
        <f>H101*AC101</f>
        <v/>
      </c>
      <c r="AE101" s="21">
        <f>AB101+AD101</f>
        <v/>
      </c>
      <c r="AF101" s="25">
        <f>AE101/H101</f>
        <v/>
      </c>
      <c r="AG101" s="26">
        <f>H101-O101-P101-Q101-R101-S101-T101-W101-Y101-Z101-M101-AL101</f>
        <v/>
      </c>
      <c r="AH101" s="27">
        <f>AG101-AE101</f>
        <v/>
      </c>
      <c r="AI101" s="28">
        <f>AH101/H101</f>
        <v/>
      </c>
      <c r="AJ101" s="29">
        <f>AH101/M101</f>
        <v/>
      </c>
      <c r="AK101" s="21">
        <f>(P101+R101+W101+Y101+Z101+M101)/(1-(N101+$H$4+(1-I101)*$H$3+$H$8+$H$11+AA101+AC101))</f>
        <v/>
      </c>
      <c r="AL101" s="90">
        <f>H101*$H$11</f>
        <v/>
      </c>
    </row>
    <row r="102" ht="29" customHeight="1">
      <c r="A102" s="11" t="inlineStr">
        <is>
          <t>PETITFEE - Gold Hydrogel Eye Patch [60ea] / гидрогелевые патчи для глаз с золотом</t>
        </is>
      </c>
      <c r="B102" s="12" t="n"/>
      <c r="C102" s="13" t="n"/>
      <c r="D102" s="92" t="n">
        <v>700</v>
      </c>
      <c r="E102" s="14" t="n">
        <v>1930</v>
      </c>
      <c r="F102" s="14" t="n">
        <v>128</v>
      </c>
      <c r="G102" s="14" t="n">
        <v>2.2</v>
      </c>
      <c r="H102" s="14" t="n">
        <v>1800</v>
      </c>
      <c r="I102" s="15" t="n">
        <v>0.45</v>
      </c>
      <c r="J102" s="16">
        <f>H102*(1-I102)</f>
        <v/>
      </c>
      <c r="K102" s="17" t="n">
        <v>415.46</v>
      </c>
      <c r="L102" s="18">
        <f>$H$5</f>
        <v/>
      </c>
      <c r="M102" s="19">
        <f>K102+L102</f>
        <v/>
      </c>
      <c r="N102" s="20" t="n">
        <v>0.41</v>
      </c>
      <c r="O102" s="21">
        <f>H102*N102</f>
        <v/>
      </c>
      <c r="P102" s="22" t="n">
        <v>67</v>
      </c>
      <c r="Q102" s="21">
        <f>H102*$H$8</f>
        <v/>
      </c>
      <c r="R102" s="22" t="n">
        <v>25</v>
      </c>
      <c r="S102" s="21">
        <f>H102*$H$4</f>
        <v/>
      </c>
      <c r="T102" s="21">
        <f>J102*$H$3</f>
        <v/>
      </c>
      <c r="U102" s="23" t="n">
        <v>0.9</v>
      </c>
      <c r="V102" s="22" t="n">
        <v>67</v>
      </c>
      <c r="W102" s="21">
        <f>V102*(1-U102)</f>
        <v/>
      </c>
      <c r="X102" s="24" t="n">
        <v>0.6</v>
      </c>
      <c r="Y102" s="21">
        <f>$H$6*$H$7*X102</f>
        <v/>
      </c>
      <c r="Z102" s="19">
        <f>X102*($H$9+$H$10)</f>
        <v/>
      </c>
      <c r="AA102" s="20" t="n">
        <v>0.07000000000000001</v>
      </c>
      <c r="AB102" s="21">
        <f>H102*AA102</f>
        <v/>
      </c>
      <c r="AC102" s="23" t="n">
        <v>0.08</v>
      </c>
      <c r="AD102" s="21">
        <f>H102*AC102</f>
        <v/>
      </c>
      <c r="AE102" s="21">
        <f>AB102+AD102</f>
        <v/>
      </c>
      <c r="AF102" s="25">
        <f>AE102/H102</f>
        <v/>
      </c>
      <c r="AG102" s="26">
        <f>H102-O102-P102-Q102-R102-S102-T102-W102-Y102-Z102-M102-AL102</f>
        <v/>
      </c>
      <c r="AH102" s="27">
        <f>AG102-AE102</f>
        <v/>
      </c>
      <c r="AI102" s="28">
        <f>AH102/H102</f>
        <v/>
      </c>
      <c r="AJ102" s="29">
        <f>AH102/M102</f>
        <v/>
      </c>
      <c r="AK102" s="21">
        <f>(P102+R102+W102+Y102+Z102+M102)/(1-(N102+$H$4+(1-I102)*$H$3+$H$8+$H$11+AA102+AC102))</f>
        <v/>
      </c>
      <c r="AL102" s="90">
        <f>H102*$H$11</f>
        <v/>
      </c>
    </row>
    <row r="103" ht="29" customHeight="1">
      <c r="A103" s="53" t="inlineStr">
        <is>
          <t>PETITFEE - Black Pearl &amp; Gold Hydrogel Eye Patch [1 pairs]/ Гидрогелевые патчи для глаз с черным жемчугом и золотом 1 пара</t>
        </is>
      </c>
      <c r="B103" s="30" t="n"/>
      <c r="C103" s="30" t="n"/>
      <c r="D103" s="92" t="n">
        <v>320</v>
      </c>
      <c r="E103" s="31" t="n"/>
      <c r="F103" s="31" t="n"/>
      <c r="G103" s="31" t="n"/>
      <c r="H103" s="31" t="n"/>
      <c r="I103" s="32" t="n"/>
      <c r="J103" s="33" t="n"/>
      <c r="K103" s="34" t="n"/>
      <c r="L103" s="34" t="n"/>
      <c r="M103" s="35" t="n"/>
      <c r="N103" s="36" t="n"/>
      <c r="O103" s="31" t="n"/>
      <c r="P103" s="31" t="n"/>
      <c r="Q103" s="31" t="n"/>
      <c r="R103" s="31" t="n"/>
      <c r="S103" s="31" t="n"/>
      <c r="T103" s="31" t="n"/>
      <c r="U103" s="37" t="n"/>
      <c r="V103" s="31" t="n"/>
      <c r="W103" s="31" t="n"/>
      <c r="X103" s="38" t="n"/>
      <c r="Y103" s="31" t="n"/>
      <c r="Z103" s="35" t="n"/>
      <c r="AA103" s="36" t="n"/>
      <c r="AB103" s="31" t="n"/>
      <c r="AC103" s="37" t="n"/>
      <c r="AD103" s="31" t="n"/>
      <c r="AE103" s="31" t="n"/>
      <c r="AF103" s="39" t="n"/>
      <c r="AG103" s="40" t="n"/>
      <c r="AH103" s="31" t="n"/>
      <c r="AI103" s="37" t="n"/>
      <c r="AJ103" s="37" t="n"/>
      <c r="AK103" s="31" t="n"/>
    </row>
    <row r="104" ht="29" customHeight="1">
      <c r="A104" s="53" t="inlineStr">
        <is>
          <t>PETITFEE - Gold Hydrogel Eye Patch [1 Pairs] / гидрогелевые патчи для глаз с золотом 1 пара</t>
        </is>
      </c>
      <c r="B104" s="30" t="n"/>
      <c r="C104" s="30" t="n"/>
      <c r="D104" s="92" t="n">
        <v>428</v>
      </c>
      <c r="E104" s="31" t="n"/>
      <c r="F104" s="31" t="n"/>
      <c r="G104" s="31" t="n"/>
      <c r="H104" s="31" t="n"/>
      <c r="I104" s="32" t="n"/>
      <c r="J104" s="33" t="n"/>
      <c r="K104" s="34" t="n"/>
      <c r="L104" s="34" t="n"/>
      <c r="M104" s="35" t="n"/>
      <c r="N104" s="36" t="n"/>
      <c r="O104" s="31" t="n"/>
      <c r="P104" s="31" t="n"/>
      <c r="Q104" s="31" t="n"/>
      <c r="R104" s="31" t="n"/>
      <c r="S104" s="31" t="n"/>
      <c r="T104" s="31" t="n"/>
      <c r="U104" s="37" t="n"/>
      <c r="V104" s="31" t="n"/>
      <c r="W104" s="31" t="n"/>
      <c r="X104" s="38" t="n"/>
      <c r="Y104" s="31" t="n"/>
      <c r="Z104" s="35" t="n"/>
      <c r="AA104" s="36" t="n"/>
      <c r="AB104" s="31" t="n"/>
      <c r="AC104" s="37" t="n"/>
      <c r="AD104" s="31" t="n"/>
      <c r="AE104" s="31" t="n"/>
      <c r="AF104" s="39" t="n"/>
      <c r="AG104" s="40" t="n"/>
      <c r="AH104" s="31" t="n"/>
      <c r="AI104" s="37" t="n"/>
      <c r="AJ104" s="37" t="n"/>
      <c r="AK104" s="31" t="n"/>
    </row>
    <row r="105">
      <c r="A105" s="52" t="inlineStr">
        <is>
          <t>Косметика/PETITFEE/PETITFEE-FACEMASK</t>
        </is>
      </c>
      <c r="B105" s="10" t="n"/>
      <c r="C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</row>
    <row r="106" ht="29" customHeight="1">
      <c r="A106" s="11" t="inlineStr">
        <is>
          <t>PETITFEE - Agave Cooling Hydrogel Face Mask [5pcs] / Охлаждающая гидрогелевая маска для лица с экстрактом агавы</t>
        </is>
      </c>
      <c r="B106" s="12" t="n"/>
      <c r="C106" s="13" t="n"/>
      <c r="D106" s="92" t="n">
        <v>951</v>
      </c>
      <c r="E106" s="14" t="n">
        <v>2480</v>
      </c>
      <c r="F106" s="14" t="n">
        <v>293</v>
      </c>
      <c r="G106" s="14" t="n">
        <v>21</v>
      </c>
      <c r="H106" s="14" t="n">
        <v>2200</v>
      </c>
      <c r="I106" s="15" t="n">
        <v>0.45</v>
      </c>
      <c r="J106" s="16">
        <f>H106*(1-I106)</f>
        <v/>
      </c>
      <c r="K106" s="17" t="n">
        <v>486.41</v>
      </c>
      <c r="L106" s="18">
        <f>$H$5</f>
        <v/>
      </c>
      <c r="M106" s="19">
        <f>K106+L106</f>
        <v/>
      </c>
      <c r="N106" s="20" t="n">
        <v>0.41</v>
      </c>
      <c r="O106" s="21">
        <f>H106*N106</f>
        <v/>
      </c>
      <c r="P106" s="22" t="n">
        <v>72</v>
      </c>
      <c r="Q106" s="21">
        <f>H106*$H$8</f>
        <v/>
      </c>
      <c r="R106" s="22" t="n">
        <v>25</v>
      </c>
      <c r="S106" s="21">
        <f>H106*$H$4</f>
        <v/>
      </c>
      <c r="T106" s="21">
        <f>J106*$H$3</f>
        <v/>
      </c>
      <c r="U106" s="23" t="n">
        <v>0.9</v>
      </c>
      <c r="V106" s="22" t="n">
        <v>72</v>
      </c>
      <c r="W106" s="21">
        <f>V106*(1-U106)</f>
        <v/>
      </c>
      <c r="X106" s="24" t="n">
        <v>1.1</v>
      </c>
      <c r="Y106" s="21">
        <f>$H$6*$H$7*X106</f>
        <v/>
      </c>
      <c r="Z106" s="19">
        <f>X106*($H$9+$H$10)</f>
        <v/>
      </c>
      <c r="AA106" s="20" t="n">
        <v>0.07000000000000001</v>
      </c>
      <c r="AB106" s="21">
        <f>H106*AA106</f>
        <v/>
      </c>
      <c r="AC106" s="23" t="n">
        <v>0.08</v>
      </c>
      <c r="AD106" s="21">
        <f>H106*AC106</f>
        <v/>
      </c>
      <c r="AE106" s="21">
        <f>AB106+AD106</f>
        <v/>
      </c>
      <c r="AF106" s="25">
        <f>AE106/H106</f>
        <v/>
      </c>
      <c r="AG106" s="26">
        <f>H106-O106-P106-Q106-R106-S106-T106-W106-Y106-Z106-M106-AL106</f>
        <v/>
      </c>
      <c r="AH106" s="27">
        <f>AG106-AE106</f>
        <v/>
      </c>
      <c r="AI106" s="28">
        <f>AH106/H106</f>
        <v/>
      </c>
      <c r="AJ106" s="29">
        <f>AH106/M106</f>
        <v/>
      </c>
      <c r="AK106" s="21">
        <f>(P106+R106+W106+Y106+Z106+M106)/(1-(N106+$H$4+(1-I106)*$H$3+$H$8+$H$11+AA106+AC106))</f>
        <v/>
      </c>
      <c r="AL106" s="90">
        <f>H106*$H$11</f>
        <v/>
      </c>
    </row>
    <row r="107" ht="29" customHeight="1">
      <c r="A107" s="11" t="inlineStr">
        <is>
          <t>PETITFEE - Gold Hydrogel Mask Pack [5pcs] / Гидрогелевая маска для лица с золотом</t>
        </is>
      </c>
      <c r="B107" s="12" t="n"/>
      <c r="C107" s="13" t="n"/>
      <c r="D107" s="92" t="n">
        <v>734</v>
      </c>
      <c r="E107" s="14" t="n">
        <v>2570</v>
      </c>
      <c r="F107" s="14" t="n">
        <v>121</v>
      </c>
      <c r="G107" s="14" t="n">
        <v>12</v>
      </c>
      <c r="H107" s="14" t="n">
        <v>2300</v>
      </c>
      <c r="I107" s="15" t="n">
        <v>0.45</v>
      </c>
      <c r="J107" s="16">
        <f>H107*(1-I107)</f>
        <v/>
      </c>
      <c r="K107" s="17" t="n">
        <v>507.16</v>
      </c>
      <c r="L107" s="18">
        <f>$H$5</f>
        <v/>
      </c>
      <c r="M107" s="19">
        <f>K107+L107</f>
        <v/>
      </c>
      <c r="N107" s="20" t="n">
        <v>0.41</v>
      </c>
      <c r="O107" s="21">
        <f>H107*N107</f>
        <v/>
      </c>
      <c r="P107" s="22" t="n">
        <v>72</v>
      </c>
      <c r="Q107" s="21">
        <f>H107*$H$8</f>
        <v/>
      </c>
      <c r="R107" s="22" t="n">
        <v>25</v>
      </c>
      <c r="S107" s="21">
        <f>H107*$H$4</f>
        <v/>
      </c>
      <c r="T107" s="21">
        <f>J107*$H$3</f>
        <v/>
      </c>
      <c r="U107" s="23" t="n">
        <v>0.9</v>
      </c>
      <c r="V107" s="22" t="n">
        <v>72</v>
      </c>
      <c r="W107" s="21">
        <f>V107*(1-U107)</f>
        <v/>
      </c>
      <c r="X107" s="24" t="n">
        <v>1.1</v>
      </c>
      <c r="Y107" s="21">
        <f>$H$6*$H$7*X107</f>
        <v/>
      </c>
      <c r="Z107" s="19">
        <f>X107*($H$9+$H$10)</f>
        <v/>
      </c>
      <c r="AA107" s="20" t="n">
        <v>0.07000000000000001</v>
      </c>
      <c r="AB107" s="21">
        <f>H107*AA107</f>
        <v/>
      </c>
      <c r="AC107" s="23" t="n">
        <v>0.08</v>
      </c>
      <c r="AD107" s="21">
        <f>H107*AC107</f>
        <v/>
      </c>
      <c r="AE107" s="21">
        <f>AB107+AD107</f>
        <v/>
      </c>
      <c r="AF107" s="25">
        <f>AE107/H107</f>
        <v/>
      </c>
      <c r="AG107" s="26">
        <f>H107-O107-P107-Q107-R107-S107-T107-W107-Y107-Z107-M107-AL107</f>
        <v/>
      </c>
      <c r="AH107" s="27">
        <f>AG107-AE107</f>
        <v/>
      </c>
      <c r="AI107" s="28">
        <f>AH107/H107</f>
        <v/>
      </c>
      <c r="AJ107" s="29">
        <f>AH107/M107</f>
        <v/>
      </c>
      <c r="AK107" s="21">
        <f>(P107+R107+W107+Y107+Z107+M107)/(1-(N107+$H$4+(1-I107)*$H$3+$H$8+$H$11+AA107+AC107))</f>
        <v/>
      </c>
      <c r="AL107" s="90">
        <f>H107*$H$11</f>
        <v/>
      </c>
    </row>
    <row r="108" ht="29" customHeight="1">
      <c r="A108" s="11" t="inlineStr">
        <is>
          <t>PETITFEE - Cacao Energizing Hydrogel Mask Pack [5pcs] / Тонизирующая гидрогелевая маска для лица с экстрактом какао</t>
        </is>
      </c>
      <c r="B108" s="12" t="n"/>
      <c r="C108" s="13" t="n"/>
      <c r="D108" s="92" t="n">
        <v>619</v>
      </c>
      <c r="E108" s="14" t="n">
        <v>2680</v>
      </c>
      <c r="F108" s="14" t="n">
        <v>38</v>
      </c>
      <c r="G108" s="14" t="n">
        <v>9.699999999999999</v>
      </c>
      <c r="H108" s="14" t="n">
        <v>2250</v>
      </c>
      <c r="I108" s="15" t="n">
        <v>0.45</v>
      </c>
      <c r="J108" s="16">
        <f>H108*(1-I108)</f>
        <v/>
      </c>
      <c r="K108" s="17" t="n">
        <v>496.86</v>
      </c>
      <c r="L108" s="18">
        <f>$H$5</f>
        <v/>
      </c>
      <c r="M108" s="19">
        <f>K108+L108</f>
        <v/>
      </c>
      <c r="N108" s="20" t="n">
        <v>0.41</v>
      </c>
      <c r="O108" s="21">
        <f>H108*N108</f>
        <v/>
      </c>
      <c r="P108" s="22" t="n">
        <v>72</v>
      </c>
      <c r="Q108" s="21">
        <f>H108*$H$8</f>
        <v/>
      </c>
      <c r="R108" s="22" t="n">
        <v>25</v>
      </c>
      <c r="S108" s="21">
        <f>H108*$H$4</f>
        <v/>
      </c>
      <c r="T108" s="21">
        <f>J108*$H$3</f>
        <v/>
      </c>
      <c r="U108" s="23" t="n">
        <v>0.9</v>
      </c>
      <c r="V108" s="22" t="n">
        <v>72</v>
      </c>
      <c r="W108" s="21">
        <f>V108*(1-U108)</f>
        <v/>
      </c>
      <c r="X108" s="24" t="n">
        <v>1.1</v>
      </c>
      <c r="Y108" s="21">
        <f>$H$6*$H$7*X108</f>
        <v/>
      </c>
      <c r="Z108" s="19">
        <f>X108*($H$9+$H$10)</f>
        <v/>
      </c>
      <c r="AA108" s="20" t="n">
        <v>0.07000000000000001</v>
      </c>
      <c r="AB108" s="21">
        <f>H108*AA108</f>
        <v/>
      </c>
      <c r="AC108" s="23" t="n">
        <v>0.08</v>
      </c>
      <c r="AD108" s="21">
        <f>H108*AC108</f>
        <v/>
      </c>
      <c r="AE108" s="21">
        <f>AB108+AD108</f>
        <v/>
      </c>
      <c r="AF108" s="25">
        <f>AE108/H108</f>
        <v/>
      </c>
      <c r="AG108" s="26">
        <f>H108-O108-P108-Q108-R108-S108-T108-W108-Y108-Z108-M108-AL108</f>
        <v/>
      </c>
      <c r="AH108" s="27">
        <f>AG108-AE108</f>
        <v/>
      </c>
      <c r="AI108" s="28">
        <f>AH108/H108</f>
        <v/>
      </c>
      <c r="AJ108" s="29">
        <f>AH108/M108</f>
        <v/>
      </c>
      <c r="AK108" s="21">
        <f>(P108+R108+W108+Y108+Z108+M108)/(1-(N108+$H$4+(1-I108)*$H$3+$H$8+$H$11+AA108+AC108))</f>
        <v/>
      </c>
      <c r="AL108" s="90">
        <f>H108*$H$11</f>
        <v/>
      </c>
    </row>
    <row r="109" ht="29" customHeight="1">
      <c r="A109" s="11" t="inlineStr">
        <is>
          <t>PETITFEE - Artichoke Soothing Hydrogel Face Mask [5pcs] / Смягчающая гидрогелевая маска для лица с экстрактом артишока</t>
        </is>
      </c>
      <c r="B109" s="12" t="n"/>
      <c r="C109" s="13" t="n"/>
      <c r="D109" s="92" t="n">
        <v>542</v>
      </c>
      <c r="E109" s="14" t="n">
        <v>2420</v>
      </c>
      <c r="F109" s="14" t="n">
        <v>409</v>
      </c>
      <c r="G109" s="14" t="n">
        <v>23</v>
      </c>
      <c r="H109" s="14" t="n">
        <v>2300</v>
      </c>
      <c r="I109" s="15" t="n">
        <v>0.45</v>
      </c>
      <c r="J109" s="16">
        <f>H109*(1-I109)</f>
        <v/>
      </c>
      <c r="K109" s="17" t="n">
        <v>498.54</v>
      </c>
      <c r="L109" s="18">
        <f>$H$5</f>
        <v/>
      </c>
      <c r="M109" s="19">
        <f>K109+L109</f>
        <v/>
      </c>
      <c r="N109" s="20" t="n">
        <v>0.41</v>
      </c>
      <c r="O109" s="21">
        <f>H109*N109</f>
        <v/>
      </c>
      <c r="P109" s="22" t="n">
        <v>72</v>
      </c>
      <c r="Q109" s="21">
        <f>H109*$H$8</f>
        <v/>
      </c>
      <c r="R109" s="22" t="n">
        <v>25</v>
      </c>
      <c r="S109" s="21">
        <f>H109*$H$4</f>
        <v/>
      </c>
      <c r="T109" s="21">
        <f>J109*$H$3</f>
        <v/>
      </c>
      <c r="U109" s="23" t="n">
        <v>0.9</v>
      </c>
      <c r="V109" s="22" t="n">
        <v>72</v>
      </c>
      <c r="W109" s="21">
        <f>V109*(1-U109)</f>
        <v/>
      </c>
      <c r="X109" s="24" t="n">
        <v>1.1</v>
      </c>
      <c r="Y109" s="21">
        <f>$H$6*$H$7*X109</f>
        <v/>
      </c>
      <c r="Z109" s="19">
        <f>X109*($H$9+$H$10)</f>
        <v/>
      </c>
      <c r="AA109" s="20" t="n">
        <v>0.07000000000000001</v>
      </c>
      <c r="AB109" s="21">
        <f>H109*AA109</f>
        <v/>
      </c>
      <c r="AC109" s="23" t="n">
        <v>0.08</v>
      </c>
      <c r="AD109" s="21">
        <f>H109*AC109</f>
        <v/>
      </c>
      <c r="AE109" s="21">
        <f>AB109+AD109</f>
        <v/>
      </c>
      <c r="AF109" s="25">
        <f>AE109/H109</f>
        <v/>
      </c>
      <c r="AG109" s="26">
        <f>H109-O109-P109-Q109-R109-S109-T109-W109-Y109-Z109-M109-AL109</f>
        <v/>
      </c>
      <c r="AH109" s="27">
        <f>AG109-AE109</f>
        <v/>
      </c>
      <c r="AI109" s="28">
        <f>AH109/H109</f>
        <v/>
      </c>
      <c r="AJ109" s="29">
        <f>AH109/M109</f>
        <v/>
      </c>
      <c r="AK109" s="21">
        <f>(P109+R109+W109+Y109+Z109+M109)/(1-(N109+$H$4+(1-I109)*$H$3+$H$8+$H$11+AA109+AC109))</f>
        <v/>
      </c>
      <c r="AL109" s="90">
        <f>H109*$H$11</f>
        <v/>
      </c>
    </row>
    <row r="110" ht="29" customHeight="1">
      <c r="A110" s="11" t="inlineStr">
        <is>
          <t>PETITFEE - Gold &amp; Snail Hydrogel Mask Pack [5pcs] / Гидрогелевая маска для лица с золотом и экстрактом улитки</t>
        </is>
      </c>
      <c r="B110" s="12" t="n"/>
      <c r="C110" s="13" t="n"/>
      <c r="D110" s="92" t="n">
        <v>453</v>
      </c>
      <c r="E110" s="14" t="n">
        <v>2280</v>
      </c>
      <c r="F110" s="14" t="n">
        <v>19</v>
      </c>
      <c r="G110" s="14" t="n">
        <v>8</v>
      </c>
      <c r="H110" s="14" t="n">
        <v>2135</v>
      </c>
      <c r="I110" s="15" t="n">
        <v>0.45</v>
      </c>
      <c r="J110" s="16">
        <f>H110*(1-I110)</f>
        <v/>
      </c>
      <c r="K110" s="17" t="n">
        <v>478.17</v>
      </c>
      <c r="L110" s="18">
        <f>$H$5</f>
        <v/>
      </c>
      <c r="M110" s="19">
        <f>K110+L110</f>
        <v/>
      </c>
      <c r="N110" s="20" t="n">
        <v>0.41</v>
      </c>
      <c r="O110" s="21">
        <f>H110*N110</f>
        <v/>
      </c>
      <c r="P110" s="22" t="n">
        <v>72</v>
      </c>
      <c r="Q110" s="21">
        <f>H110*$H$8</f>
        <v/>
      </c>
      <c r="R110" s="22" t="n">
        <v>25</v>
      </c>
      <c r="S110" s="21">
        <f>H110*$H$4</f>
        <v/>
      </c>
      <c r="T110" s="21">
        <f>J110*$H$3</f>
        <v/>
      </c>
      <c r="U110" s="23" t="n">
        <v>0.9</v>
      </c>
      <c r="V110" s="22" t="n">
        <v>72</v>
      </c>
      <c r="W110" s="21">
        <f>V110*(1-U110)</f>
        <v/>
      </c>
      <c r="X110" s="24" t="n">
        <v>1.1</v>
      </c>
      <c r="Y110" s="21">
        <f>$H$6*$H$7*X110</f>
        <v/>
      </c>
      <c r="Z110" s="19">
        <f>X110*($H$9+$H$10)</f>
        <v/>
      </c>
      <c r="AA110" s="20" t="n">
        <v>0.07000000000000001</v>
      </c>
      <c r="AB110" s="21">
        <f>H110*AA110</f>
        <v/>
      </c>
      <c r="AC110" s="23" t="n">
        <v>0.08</v>
      </c>
      <c r="AD110" s="21">
        <f>H110*AC110</f>
        <v/>
      </c>
      <c r="AE110" s="21">
        <f>AB110+AD110</f>
        <v/>
      </c>
      <c r="AF110" s="25">
        <f>AE110/H110</f>
        <v/>
      </c>
      <c r="AG110" s="26">
        <f>H110-O110-P110-Q110-R110-S110-T110-W110-Y110-Z110-M110-AL110</f>
        <v/>
      </c>
      <c r="AH110" s="27">
        <f>AG110-AE110</f>
        <v/>
      </c>
      <c r="AI110" s="28">
        <f>AH110/H110</f>
        <v/>
      </c>
      <c r="AJ110" s="29">
        <f>AH110/M110</f>
        <v/>
      </c>
      <c r="AK110" s="21">
        <f>(P110+R110+W110+Y110+Z110+M110)/(1-(N110+$H$4+(1-I110)*$H$3+$H$8+$H$11+AA110+AC110))</f>
        <v/>
      </c>
      <c r="AL110" s="90">
        <f>H110*$H$11</f>
        <v/>
      </c>
    </row>
    <row r="111" ht="29" customHeight="1">
      <c r="A111" s="11" t="inlineStr">
        <is>
          <t>PETITFEE - Black Pearl &amp; Gold Hydrogel Mask Pack [5pcs] / Гидрогелевая маска для лица с черным жемчугом и золотом</t>
        </is>
      </c>
      <c r="B111" s="12" t="n"/>
      <c r="C111" s="13" t="n"/>
      <c r="D111" s="92" t="n">
        <v>543</v>
      </c>
      <c r="E111" s="14" t="n">
        <v>2225</v>
      </c>
      <c r="F111" s="14" t="n">
        <v>156</v>
      </c>
      <c r="G111" s="14" t="n">
        <v>23</v>
      </c>
      <c r="H111" s="14" t="n">
        <v>2135</v>
      </c>
      <c r="I111" s="15" t="n">
        <v>0.45</v>
      </c>
      <c r="J111" s="16">
        <f>H111*(1-I111)</f>
        <v/>
      </c>
      <c r="K111" s="17" t="n">
        <v>478.05</v>
      </c>
      <c r="L111" s="18">
        <f>$H$5</f>
        <v/>
      </c>
      <c r="M111" s="19">
        <f>K111+L111</f>
        <v/>
      </c>
      <c r="N111" s="20" t="n">
        <v>0.41</v>
      </c>
      <c r="O111" s="21">
        <f>H111*N111</f>
        <v/>
      </c>
      <c r="P111" s="22" t="n">
        <v>72</v>
      </c>
      <c r="Q111" s="21">
        <f>H111*$H$8</f>
        <v/>
      </c>
      <c r="R111" s="22" t="n">
        <v>25</v>
      </c>
      <c r="S111" s="21">
        <f>H111*$H$4</f>
        <v/>
      </c>
      <c r="T111" s="21">
        <f>J111*$H$3</f>
        <v/>
      </c>
      <c r="U111" s="23" t="n">
        <v>0.9</v>
      </c>
      <c r="V111" s="22" t="n">
        <v>72</v>
      </c>
      <c r="W111" s="21">
        <f>V111*(1-U111)</f>
        <v/>
      </c>
      <c r="X111" s="24" t="n">
        <v>1.1</v>
      </c>
      <c r="Y111" s="21">
        <f>$H$6*$H$7*X111</f>
        <v/>
      </c>
      <c r="Z111" s="19">
        <f>X111*($H$9+$H$10)</f>
        <v/>
      </c>
      <c r="AA111" s="20" t="n">
        <v>0.07000000000000001</v>
      </c>
      <c r="AB111" s="21">
        <f>H111*AA111</f>
        <v/>
      </c>
      <c r="AC111" s="23" t="n">
        <v>0.08</v>
      </c>
      <c r="AD111" s="21">
        <f>H111*AC111</f>
        <v/>
      </c>
      <c r="AE111" s="21">
        <f>AB111+AD111</f>
        <v/>
      </c>
      <c r="AF111" s="25">
        <f>AE111/H111</f>
        <v/>
      </c>
      <c r="AG111" s="26">
        <f>H111-O111-P111-Q111-R111-S111-T111-W111-Y111-Z111-M111-AL111</f>
        <v/>
      </c>
      <c r="AH111" s="27">
        <f>AG111-AE111</f>
        <v/>
      </c>
      <c r="AI111" s="28">
        <f>AH111/H111</f>
        <v/>
      </c>
      <c r="AJ111" s="29">
        <f>AH111/M111</f>
        <v/>
      </c>
      <c r="AK111" s="21">
        <f>(P111+R111+W111+Y111+Z111+M111)/(1-(N111+$H$4+(1-I111)*$H$3+$H$8+$H$11+AA111+AC111))</f>
        <v/>
      </c>
      <c r="AL111" s="90">
        <f>H111*$H$11</f>
        <v/>
      </c>
    </row>
    <row r="112">
      <c r="A112" s="52" t="inlineStr">
        <is>
          <t>Косметика/ROUND LAB</t>
        </is>
      </c>
      <c r="B112" s="10" t="n"/>
      <c r="C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</row>
    <row r="113">
      <c r="A113" s="11" t="inlineStr">
        <is>
          <t>ROUND LAB 1025 DOKDO CLEANSER_150ml</t>
        </is>
      </c>
      <c r="B113" s="12" t="n"/>
      <c r="C113" s="13" t="n"/>
      <c r="D113" s="101" t="n">
        <v>7158</v>
      </c>
      <c r="E113" s="14" t="n">
        <v>2335</v>
      </c>
      <c r="F113" s="14" t="n">
        <v>4000</v>
      </c>
      <c r="G113" s="14" t="n">
        <v>3</v>
      </c>
      <c r="H113" s="14" t="n">
        <v>2200</v>
      </c>
      <c r="I113" s="15" t="n">
        <v>0.45</v>
      </c>
      <c r="J113" s="16">
        <f>H113*(1-I113)</f>
        <v/>
      </c>
      <c r="K113" s="17" t="n">
        <v>463.19</v>
      </c>
      <c r="L113" s="18">
        <f>$H$5</f>
        <v/>
      </c>
      <c r="M113" s="19">
        <f>K113+L113</f>
        <v/>
      </c>
      <c r="N113" s="20" t="n">
        <v>0.41</v>
      </c>
      <c r="O113" s="21">
        <f>H113*N113</f>
        <v/>
      </c>
      <c r="P113" s="22" t="n">
        <v>74</v>
      </c>
      <c r="Q113" s="21">
        <f>H113*$H$8</f>
        <v/>
      </c>
      <c r="R113" s="22" t="n">
        <v>25</v>
      </c>
      <c r="S113" s="21">
        <f>H113*$H$4</f>
        <v/>
      </c>
      <c r="T113" s="21">
        <f>J113*$H$3</f>
        <v/>
      </c>
      <c r="U113" s="23" t="n">
        <v>0.9</v>
      </c>
      <c r="V113" s="22" t="n">
        <v>74</v>
      </c>
      <c r="W113" s="21">
        <f>V113*(1-U113)</f>
        <v/>
      </c>
      <c r="X113" s="24" t="n">
        <v>1.28</v>
      </c>
      <c r="Y113" s="21">
        <f>$H$6*$H$7*X113</f>
        <v/>
      </c>
      <c r="Z113" s="19">
        <f>X113*($H$9+$H$10)</f>
        <v/>
      </c>
      <c r="AA113" s="20" t="n">
        <v>0.07000000000000001</v>
      </c>
      <c r="AB113" s="21">
        <f>H113*AA113</f>
        <v/>
      </c>
      <c r="AC113" s="23" t="n">
        <v>0.08</v>
      </c>
      <c r="AD113" s="21">
        <f>H113*AC113</f>
        <v/>
      </c>
      <c r="AE113" s="21">
        <f>AB113+AD113</f>
        <v/>
      </c>
      <c r="AF113" s="25">
        <f>AE113/H113</f>
        <v/>
      </c>
      <c r="AG113" s="26">
        <f>H113-O113-P113-Q113-R113-S113-T113-W113-Y113-Z113-M113-AL113</f>
        <v/>
      </c>
      <c r="AH113" s="27">
        <f>AG113-AE113</f>
        <v/>
      </c>
      <c r="AI113" s="28">
        <f>AH113/H113</f>
        <v/>
      </c>
      <c r="AJ113" s="29">
        <f>AH113/M113</f>
        <v/>
      </c>
      <c r="AK113" s="21">
        <f>(P113+R113+W113+Y113+Z113+M113)/(1-(N113+$H$4+(1-I113)*$H$3+$H$8+$H$11+AA113+AC113))</f>
        <v/>
      </c>
      <c r="AL113" s="90">
        <f>H113*$H$11</f>
        <v/>
      </c>
    </row>
    <row r="114" ht="29" customHeight="1">
      <c r="A114" s="53" t="inlineStr">
        <is>
          <t>ROUND LAB BIRCH JUICE MOISTURIZING CREAM_80ml -Увлажняющий крем с березовым соком</t>
        </is>
      </c>
      <c r="B114" s="30" t="n"/>
      <c r="C114" s="30" t="n"/>
      <c r="D114" s="92" t="n">
        <v>260</v>
      </c>
      <c r="E114" s="31" t="n"/>
      <c r="F114" s="31" t="n"/>
      <c r="G114" s="31" t="n"/>
      <c r="H114" s="31" t="n"/>
      <c r="I114" s="32" t="n"/>
      <c r="J114" s="33" t="n"/>
      <c r="K114" s="34" t="n"/>
      <c r="L114" s="34" t="n"/>
      <c r="M114" s="35" t="n"/>
      <c r="N114" s="36" t="n"/>
      <c r="O114" s="31" t="n"/>
      <c r="P114" s="31" t="n"/>
      <c r="Q114" s="31" t="n"/>
      <c r="R114" s="31" t="n"/>
      <c r="S114" s="31" t="n"/>
      <c r="T114" s="31" t="n"/>
      <c r="U114" s="37" t="n"/>
      <c r="V114" s="31" t="n"/>
      <c r="W114" s="31" t="n"/>
      <c r="X114" s="38" t="n"/>
      <c r="Y114" s="31" t="n"/>
      <c r="Z114" s="35" t="n"/>
      <c r="AA114" s="36" t="n"/>
      <c r="AB114" s="31" t="n"/>
      <c r="AC114" s="37" t="n"/>
      <c r="AD114" s="31" t="n"/>
      <c r="AE114" s="31" t="n"/>
      <c r="AF114" s="39" t="n"/>
      <c r="AG114" s="40" t="n"/>
      <c r="AH114" s="31" t="n"/>
      <c r="AI114" s="37" t="n"/>
      <c r="AJ114" s="37" t="n"/>
      <c r="AK114" s="31" t="n"/>
    </row>
    <row r="115" ht="29" customHeight="1">
      <c r="A115" s="11" t="inlineStr">
        <is>
          <t>ROUND LAB MUGWORT CALMING CLEANSER_150ml - Очищающая пенка для умывания лица от прыщей и акне</t>
        </is>
      </c>
      <c r="B115" s="12" t="n"/>
      <c r="C115" s="13" t="n"/>
      <c r="D115" s="101" t="n">
        <v>1422</v>
      </c>
      <c r="E115" s="14" t="n"/>
      <c r="F115" s="14" t="n"/>
      <c r="G115" s="14" t="n"/>
      <c r="H115" s="14">
        <f>(1.25*M115+P115+R115+W115+Y115+Z115)/(1-N115-$H$8-$H$4-(1-I115)*$H$3-$H$11-AA115-AC115)</f>
        <v/>
      </c>
      <c r="I115" s="15" t="n">
        <v>0.45</v>
      </c>
      <c r="J115" s="16">
        <f>H115*(1-I115)</f>
        <v/>
      </c>
      <c r="K115" s="17" t="n">
        <v>512.3200000000001</v>
      </c>
      <c r="L115" s="18">
        <f>$H$5</f>
        <v/>
      </c>
      <c r="M115" s="19">
        <f>K115+L115</f>
        <v/>
      </c>
      <c r="N115" s="20" t="n">
        <v>0.41</v>
      </c>
      <c r="O115" s="21">
        <f>H115*N115</f>
        <v/>
      </c>
      <c r="P115" s="22" t="n">
        <v>67</v>
      </c>
      <c r="Q115" s="21">
        <f>H115*$H$8</f>
        <v/>
      </c>
      <c r="R115" s="22" t="n">
        <v>25</v>
      </c>
      <c r="S115" s="21">
        <f>H115*$H$4</f>
        <v/>
      </c>
      <c r="T115" s="21">
        <f>J115*$H$3</f>
        <v/>
      </c>
      <c r="U115" s="23" t="n">
        <v>0.9</v>
      </c>
      <c r="V115" s="22" t="n">
        <v>67</v>
      </c>
      <c r="W115" s="21">
        <f>V115*(1-U115)</f>
        <v/>
      </c>
      <c r="X115" s="24" t="n">
        <v>0.8</v>
      </c>
      <c r="Y115" s="21">
        <f>$H$6*$H$7*X115</f>
        <v/>
      </c>
      <c r="Z115" s="19">
        <f>X115*($H$9+$H$10)</f>
        <v/>
      </c>
      <c r="AA115" s="20" t="n">
        <v>0.07000000000000001</v>
      </c>
      <c r="AB115" s="21">
        <f>H115*AA115</f>
        <v/>
      </c>
      <c r="AC115" s="23" t="n">
        <v>0.08</v>
      </c>
      <c r="AD115" s="21">
        <f>H115*AC115</f>
        <v/>
      </c>
      <c r="AE115" s="21">
        <f>AB115+AD115</f>
        <v/>
      </c>
      <c r="AF115" s="25">
        <f>AE115/H115</f>
        <v/>
      </c>
      <c r="AG115" s="26">
        <f>H115-O115-P115-Q115-R115-S115-T115-W115-Y115-Z115-M115-AL115</f>
        <v/>
      </c>
      <c r="AH115" s="27">
        <f>AG115-AE115</f>
        <v/>
      </c>
      <c r="AI115" s="28">
        <f>AH115/H115</f>
        <v/>
      </c>
      <c r="AJ115" s="29">
        <f>AH115/M115</f>
        <v/>
      </c>
      <c r="AK115" s="21">
        <f>(P115+R115+W115+Y115+Z115+M115)/(1-(N115+$H$4+(1-I115)*$H$3+$H$8+$H$11+AA115+AC115))</f>
        <v/>
      </c>
      <c r="AL115" s="90">
        <f>H115*$H$11</f>
        <v/>
      </c>
    </row>
    <row r="116" ht="29" customHeight="1">
      <c r="A116" s="53" t="inlineStr">
        <is>
          <t>ROUND LAB SOYBEAN PANTHENOL CREAM_80ml - Крем для лица с чёрной соей и пантенолом успокаивающий</t>
        </is>
      </c>
      <c r="B116" s="30" t="n"/>
      <c r="C116" s="30" t="n"/>
      <c r="D116" s="92" t="n">
        <v>150</v>
      </c>
      <c r="E116" s="31" t="n"/>
      <c r="F116" s="31" t="n"/>
      <c r="G116" s="31" t="n"/>
      <c r="H116" s="31" t="n"/>
      <c r="I116" s="32" t="n"/>
      <c r="J116" s="33" t="n"/>
      <c r="K116" s="34" t="n"/>
      <c r="L116" s="34" t="n"/>
      <c r="M116" s="35" t="n"/>
      <c r="N116" s="36" t="n"/>
      <c r="O116" s="31" t="n"/>
      <c r="P116" s="31" t="n"/>
      <c r="Q116" s="31" t="n"/>
      <c r="R116" s="31" t="n"/>
      <c r="S116" s="31" t="n"/>
      <c r="T116" s="31" t="n"/>
      <c r="U116" s="37" t="n"/>
      <c r="V116" s="31" t="n"/>
      <c r="W116" s="31" t="n"/>
      <c r="X116" s="38" t="n"/>
      <c r="Y116" s="31" t="n"/>
      <c r="Z116" s="35" t="n"/>
      <c r="AA116" s="36" t="n"/>
      <c r="AB116" s="31" t="n"/>
      <c r="AC116" s="37" t="n"/>
      <c r="AD116" s="31" t="n"/>
      <c r="AE116" s="31" t="n"/>
      <c r="AF116" s="39" t="n"/>
      <c r="AG116" s="40" t="n"/>
      <c r="AH116" s="31" t="n"/>
      <c r="AI116" s="37" t="n"/>
      <c r="AJ116" s="37" t="n"/>
      <c r="AK116" s="31" t="n"/>
    </row>
    <row r="117" ht="29" customHeight="1">
      <c r="A117" s="53" t="inlineStr">
        <is>
          <t>ROUND LAB PINE CALMING CICA AMPOULE_30ml - Сыворотка для жирной кожи лица увлажняющая с центеллой</t>
        </is>
      </c>
      <c r="B117" s="30" t="n"/>
      <c r="C117" s="30" t="n"/>
      <c r="D117" s="92" t="n">
        <v>37</v>
      </c>
      <c r="E117" s="31" t="n"/>
      <c r="F117" s="31" t="n"/>
      <c r="G117" s="31" t="n"/>
      <c r="H117" s="31" t="n"/>
      <c r="I117" s="32" t="n"/>
      <c r="J117" s="33" t="n"/>
      <c r="K117" s="34" t="n"/>
      <c r="L117" s="34" t="n"/>
      <c r="M117" s="35" t="n"/>
      <c r="N117" s="36" t="n"/>
      <c r="O117" s="31" t="n"/>
      <c r="P117" s="31" t="n"/>
      <c r="Q117" s="31" t="n"/>
      <c r="R117" s="31" t="n"/>
      <c r="S117" s="31" t="n"/>
      <c r="T117" s="31" t="n"/>
      <c r="U117" s="37" t="n"/>
      <c r="V117" s="31" t="n"/>
      <c r="W117" s="31" t="n"/>
      <c r="X117" s="38" t="n"/>
      <c r="Y117" s="31" t="n"/>
      <c r="Z117" s="35" t="n"/>
      <c r="AA117" s="36" t="n"/>
      <c r="AB117" s="31" t="n"/>
      <c r="AC117" s="37" t="n"/>
      <c r="AD117" s="31" t="n"/>
      <c r="AE117" s="31" t="n"/>
      <c r="AF117" s="39" t="n"/>
      <c r="AG117" s="40" t="n"/>
      <c r="AH117" s="31" t="n"/>
      <c r="AI117" s="37" t="n"/>
      <c r="AJ117" s="37" t="n"/>
      <c r="AK117" s="31" t="n"/>
    </row>
    <row r="118">
      <c r="A118" s="11" t="inlineStr">
        <is>
          <t>ROUND LAB 1025 DOKDO TONER_200ml</t>
        </is>
      </c>
      <c r="B118" s="44" t="n"/>
      <c r="C118" s="45" t="n"/>
      <c r="D118" s="92" t="n">
        <v>998</v>
      </c>
      <c r="E118" s="14" t="n">
        <v>3400</v>
      </c>
      <c r="F118" s="14" t="n">
        <v>260</v>
      </c>
      <c r="G118" s="14" t="n">
        <v>2</v>
      </c>
      <c r="H118" s="14" t="n">
        <v>3100</v>
      </c>
      <c r="I118" s="15" t="n">
        <v>0.45</v>
      </c>
      <c r="J118" s="16">
        <f>H118*(1-I118)</f>
        <v/>
      </c>
      <c r="K118" s="17" t="n">
        <v>463.19</v>
      </c>
      <c r="L118" s="18">
        <f>$H$5</f>
        <v/>
      </c>
      <c r="M118" s="19">
        <f>K118+L118</f>
        <v/>
      </c>
      <c r="N118" s="20" t="n">
        <v>0.41</v>
      </c>
      <c r="O118" s="21">
        <f>H118*N118</f>
        <v/>
      </c>
      <c r="P118" s="22" t="n">
        <v>74</v>
      </c>
      <c r="Q118" s="21">
        <f>H118*$H$8</f>
        <v/>
      </c>
      <c r="R118" s="22" t="n">
        <v>25</v>
      </c>
      <c r="S118" s="21">
        <f>H118*$H$4</f>
        <v/>
      </c>
      <c r="T118" s="21">
        <f>J118*$H$3</f>
        <v/>
      </c>
      <c r="U118" s="23" t="n">
        <v>0.9</v>
      </c>
      <c r="V118" s="22" t="n">
        <v>74</v>
      </c>
      <c r="W118" s="21">
        <f>V118*(1-U118)</f>
        <v/>
      </c>
      <c r="X118" s="24" t="n">
        <v>1.28</v>
      </c>
      <c r="Y118" s="21">
        <f>$H$6*$H$7*X118</f>
        <v/>
      </c>
      <c r="Z118" s="19">
        <f>X118*($H$9+$H$10)</f>
        <v/>
      </c>
      <c r="AA118" s="20" t="n">
        <v>0.07000000000000001</v>
      </c>
      <c r="AB118" s="21">
        <f>H118*AA118</f>
        <v/>
      </c>
      <c r="AC118" s="23" t="n">
        <v>0.08</v>
      </c>
      <c r="AD118" s="21">
        <f>H118*AC118</f>
        <v/>
      </c>
      <c r="AE118" s="21">
        <f>AB118+AD118</f>
        <v/>
      </c>
      <c r="AF118" s="25">
        <f>AE118/H118</f>
        <v/>
      </c>
      <c r="AG118" s="26">
        <f>H118-O118-P118-Q118-R118-S118-T118-W118-Y118-Z118-M118-AL118</f>
        <v/>
      </c>
      <c r="AH118" s="27">
        <f>AG118-AE118</f>
        <v/>
      </c>
      <c r="AI118" s="28">
        <f>AH118/H118</f>
        <v/>
      </c>
      <c r="AJ118" s="29">
        <f>AH118/M118</f>
        <v/>
      </c>
      <c r="AK118" s="21">
        <f>(P118+R118+W118+Y118+Z118+M118)/(1-(N118+$H$4+(1-I118)*$H$3+$H$8+$H$11+AA118+AC118))</f>
        <v/>
      </c>
      <c r="AL118" s="90">
        <f>H118*$H$11</f>
        <v/>
      </c>
    </row>
    <row r="119">
      <c r="A119" s="52" t="inlineStr">
        <is>
          <t>Косметика/SKIN1004</t>
        </is>
      </c>
      <c r="B119" s="10" t="n"/>
      <c r="C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</row>
    <row r="120" ht="29" customHeight="1">
      <c r="A120" s="53" t="inlineStr">
        <is>
          <t>SKIN1004 - Madagascar Centella Ampoule [30ml] / Сыворотка для лица успокаивающая из экстракта центеллы.</t>
        </is>
      </c>
      <c r="B120" s="30" t="n"/>
      <c r="C120" s="30" t="n"/>
      <c r="D120" s="92" t="n">
        <v>30</v>
      </c>
      <c r="E120" s="31" t="n"/>
      <c r="F120" s="31" t="n"/>
      <c r="G120" s="31" t="n"/>
      <c r="H120" s="31" t="n"/>
      <c r="I120" s="32" t="n"/>
      <c r="J120" s="33" t="n"/>
      <c r="K120" s="34" t="n"/>
      <c r="L120" s="34" t="n"/>
      <c r="M120" s="35" t="n"/>
      <c r="N120" s="36" t="n"/>
      <c r="O120" s="31" t="n"/>
      <c r="P120" s="31" t="n"/>
      <c r="Q120" s="31" t="n"/>
      <c r="R120" s="31" t="n"/>
      <c r="S120" s="31" t="n"/>
      <c r="T120" s="31" t="n"/>
      <c r="U120" s="37" t="n"/>
      <c r="V120" s="31" t="n"/>
      <c r="W120" s="31" t="n"/>
      <c r="X120" s="38" t="n"/>
      <c r="Y120" s="31" t="n"/>
      <c r="Z120" s="35" t="n"/>
      <c r="AA120" s="36" t="n"/>
      <c r="AB120" s="31" t="n"/>
      <c r="AC120" s="37" t="n"/>
      <c r="AD120" s="31" t="n"/>
      <c r="AE120" s="31" t="n"/>
      <c r="AF120" s="39" t="n"/>
      <c r="AG120" s="40" t="n"/>
      <c r="AH120" s="31" t="n"/>
      <c r="AI120" s="37" t="n"/>
      <c r="AJ120" s="37" t="n"/>
      <c r="AK120" s="31" t="n"/>
    </row>
    <row r="121" ht="29" customHeight="1">
      <c r="A121" s="53" t="inlineStr">
        <is>
          <t>SKIN1004 - Madagascar Centella Hyalu-Cica Sleeping Pack [30ml] / Увлажняющая гиалуроновая ночная маска для сухой кожи</t>
        </is>
      </c>
      <c r="B121" s="30" t="n"/>
      <c r="C121" s="30" t="n"/>
      <c r="D121" s="92" t="n">
        <v>22</v>
      </c>
      <c r="E121" s="31" t="n"/>
      <c r="F121" s="31" t="n"/>
      <c r="G121" s="31" t="n"/>
      <c r="H121" s="31" t="n"/>
      <c r="I121" s="32" t="n"/>
      <c r="J121" s="33" t="n"/>
      <c r="K121" s="34" t="n"/>
      <c r="L121" s="34" t="n"/>
      <c r="M121" s="35" t="n"/>
      <c r="N121" s="36" t="n"/>
      <c r="O121" s="31" t="n"/>
      <c r="P121" s="31" t="n"/>
      <c r="Q121" s="31" t="n"/>
      <c r="R121" s="31" t="n"/>
      <c r="S121" s="31" t="n"/>
      <c r="T121" s="31" t="n"/>
      <c r="U121" s="37" t="n"/>
      <c r="V121" s="31" t="n"/>
      <c r="W121" s="31" t="n"/>
      <c r="X121" s="38" t="n"/>
      <c r="Y121" s="31" t="n"/>
      <c r="Z121" s="35" t="n"/>
      <c r="AA121" s="36" t="n"/>
      <c r="AB121" s="31" t="n"/>
      <c r="AC121" s="37" t="n"/>
      <c r="AD121" s="31" t="n"/>
      <c r="AE121" s="31" t="n"/>
      <c r="AF121" s="39" t="n"/>
      <c r="AG121" s="40" t="n"/>
      <c r="AH121" s="31" t="n"/>
      <c r="AI121" s="37" t="n"/>
      <c r="AJ121" s="37" t="n"/>
      <c r="AK121" s="31" t="n"/>
    </row>
    <row r="122">
      <c r="A122" s="52" t="inlineStr">
        <is>
          <t>Косметика/SOMEBYMI</t>
        </is>
      </c>
      <c r="B122" s="10" t="n"/>
      <c r="C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</row>
    <row r="123" ht="29" customHeight="1">
      <c r="A123" s="53" t="inlineStr">
        <is>
          <t>SOME BY MI - AHA-BHA-PHA 30 Days Miracle Cleansing Bar [106g] / Мыло для проблемной кожи с aha bha кислотами</t>
        </is>
      </c>
      <c r="B123" s="30" t="n"/>
      <c r="C123" s="30" t="n"/>
      <c r="D123" s="92" t="n">
        <v>527</v>
      </c>
      <c r="E123" s="31" t="n"/>
      <c r="F123" s="31" t="n"/>
      <c r="G123" s="31" t="n"/>
      <c r="H123" s="31" t="n"/>
      <c r="I123" s="32" t="n"/>
      <c r="J123" s="33" t="n"/>
      <c r="K123" s="34" t="n"/>
      <c r="L123" s="34" t="n"/>
      <c r="M123" s="35" t="n"/>
      <c r="N123" s="36" t="n"/>
      <c r="O123" s="31" t="n"/>
      <c r="P123" s="31" t="n"/>
      <c r="Q123" s="31" t="n"/>
      <c r="R123" s="31" t="n"/>
      <c r="S123" s="31" t="n"/>
      <c r="T123" s="31" t="n"/>
      <c r="U123" s="37" t="n"/>
      <c r="V123" s="31" t="n"/>
      <c r="W123" s="31" t="n"/>
      <c r="X123" s="38" t="n"/>
      <c r="Y123" s="31" t="n"/>
      <c r="Z123" s="35" t="n"/>
      <c r="AA123" s="36" t="n"/>
      <c r="AB123" s="31" t="n"/>
      <c r="AC123" s="37" t="n"/>
      <c r="AD123" s="31" t="n"/>
      <c r="AE123" s="31" t="n"/>
      <c r="AF123" s="39" t="n"/>
      <c r="AG123" s="40" t="n"/>
      <c r="AH123" s="31" t="n"/>
      <c r="AI123" s="37" t="n"/>
      <c r="AJ123" s="37" t="n"/>
      <c r="AK123" s="31" t="n"/>
    </row>
    <row r="124" ht="29" customHeight="1">
      <c r="A124" s="53" t="inlineStr">
        <is>
          <t>SOME BY MI - AHA-BHA-PHA 30 Days Miracle Cream [60g] / Крем для лица</t>
        </is>
      </c>
      <c r="B124" s="30" t="n"/>
      <c r="C124" s="30" t="n"/>
      <c r="D124" s="92" t="n">
        <v>55</v>
      </c>
      <c r="E124" s="31" t="n"/>
      <c r="F124" s="31" t="n"/>
      <c r="G124" s="31" t="n"/>
      <c r="H124" s="31" t="n"/>
      <c r="I124" s="32" t="n"/>
      <c r="J124" s="33" t="n"/>
      <c r="K124" s="34" t="n"/>
      <c r="L124" s="34" t="n"/>
      <c r="M124" s="35" t="n"/>
      <c r="N124" s="36" t="n"/>
      <c r="O124" s="31" t="n"/>
      <c r="P124" s="31" t="n"/>
      <c r="Q124" s="31" t="n"/>
      <c r="R124" s="31" t="n"/>
      <c r="S124" s="31" t="n"/>
      <c r="T124" s="31" t="n"/>
      <c r="U124" s="37" t="n"/>
      <c r="V124" s="31" t="n"/>
      <c r="W124" s="31" t="n"/>
      <c r="X124" s="38" t="n"/>
      <c r="Y124" s="31" t="n"/>
      <c r="Z124" s="35" t="n"/>
      <c r="AA124" s="36" t="n"/>
      <c r="AB124" s="31" t="n"/>
      <c r="AC124" s="37" t="n"/>
      <c r="AD124" s="31" t="n"/>
      <c r="AE124" s="31" t="n"/>
      <c r="AF124" s="39" t="n"/>
      <c r="AG124" s="40" t="n"/>
      <c r="AH124" s="31" t="n"/>
      <c r="AI124" s="37" t="n"/>
      <c r="AJ124" s="37" t="n"/>
      <c r="AK124" s="31" t="n"/>
    </row>
    <row r="125">
      <c r="A125" s="52" t="inlineStr">
        <is>
          <t>Косметика/TheOrdinary</t>
        </is>
      </c>
      <c r="B125" s="10" t="n"/>
      <c r="C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</row>
    <row r="126" ht="29" customHeight="1">
      <c r="A126" s="53" t="inlineStr">
        <is>
          <t>THE ORDINARY - Argireline Solution 10% [30ml] / Сыворотка для лица от прыщей и акне с ниацинамидом 10 %</t>
        </is>
      </c>
      <c r="B126" s="30" t="n"/>
      <c r="C126" s="30" t="n"/>
      <c r="D126" s="92" t="n">
        <v>117</v>
      </c>
      <c r="E126" s="31" t="n"/>
      <c r="F126" s="31" t="n"/>
      <c r="G126" s="31" t="n"/>
      <c r="H126" s="31" t="n"/>
      <c r="I126" s="32" t="n"/>
      <c r="J126" s="33" t="n"/>
      <c r="K126" s="34" t="n"/>
      <c r="L126" s="34" t="n"/>
      <c r="M126" s="35" t="n"/>
      <c r="N126" s="36" t="n"/>
      <c r="O126" s="31" t="n"/>
      <c r="P126" s="31" t="n"/>
      <c r="Q126" s="31" t="n"/>
      <c r="R126" s="31" t="n"/>
      <c r="S126" s="31" t="n"/>
      <c r="T126" s="31" t="n"/>
      <c r="U126" s="37" t="n"/>
      <c r="V126" s="31" t="n"/>
      <c r="W126" s="31" t="n"/>
      <c r="X126" s="38" t="n"/>
      <c r="Y126" s="31" t="n"/>
      <c r="Z126" s="35" t="n"/>
      <c r="AA126" s="36" t="n"/>
      <c r="AB126" s="31" t="n"/>
      <c r="AC126" s="37" t="n"/>
      <c r="AD126" s="31" t="n"/>
      <c r="AE126" s="31" t="n"/>
      <c r="AF126" s="39" t="n"/>
      <c r="AG126" s="40" t="n"/>
      <c r="AH126" s="31" t="n"/>
      <c r="AI126" s="37" t="n"/>
      <c r="AJ126" s="37" t="n"/>
      <c r="AK126" s="31" t="n"/>
    </row>
    <row r="127" ht="29" customHeight="1">
      <c r="A127" s="53" t="inlineStr">
        <is>
          <t>THE ORDINARY - Glycolic Acid 7% Toning Solution [KOR] [240ml] / Тоник с гликолевой кислотой 7%</t>
        </is>
      </c>
      <c r="B127" s="30" t="n"/>
      <c r="C127" s="30" t="n"/>
      <c r="D127" s="92" t="n">
        <v>32</v>
      </c>
      <c r="E127" s="31" t="n"/>
      <c r="F127" s="31" t="n"/>
      <c r="G127" s="31" t="n"/>
      <c r="H127" s="31" t="n"/>
      <c r="I127" s="32" t="n"/>
      <c r="J127" s="33" t="n"/>
      <c r="K127" s="34" t="n"/>
      <c r="L127" s="34" t="n"/>
      <c r="M127" s="35" t="n"/>
      <c r="N127" s="36" t="n"/>
      <c r="O127" s="31" t="n"/>
      <c r="P127" s="31" t="n"/>
      <c r="Q127" s="31" t="n"/>
      <c r="R127" s="31" t="n"/>
      <c r="S127" s="31" t="n"/>
      <c r="T127" s="31" t="n"/>
      <c r="U127" s="37" t="n"/>
      <c r="V127" s="31" t="n"/>
      <c r="W127" s="31" t="n"/>
      <c r="X127" s="38" t="n"/>
      <c r="Y127" s="31" t="n"/>
      <c r="Z127" s="35" t="n"/>
      <c r="AA127" s="36" t="n"/>
      <c r="AB127" s="31" t="n"/>
      <c r="AC127" s="37" t="n"/>
      <c r="AD127" s="31" t="n"/>
      <c r="AE127" s="31" t="n"/>
      <c r="AF127" s="39" t="n"/>
      <c r="AG127" s="40" t="n"/>
      <c r="AH127" s="31" t="n"/>
      <c r="AI127" s="37" t="n"/>
      <c r="AJ127" s="37" t="n"/>
      <c r="AK127" s="31" t="n"/>
    </row>
    <row r="128">
      <c r="A128" s="52" t="inlineStr">
        <is>
          <t>Косметика/CELIMAX</t>
        </is>
      </c>
      <c r="B128" s="10" t="n"/>
      <c r="C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</row>
    <row r="129">
      <c r="A129" s="11" t="inlineStr">
        <is>
          <t>Celimax Dual Barrier Creamy Toner</t>
        </is>
      </c>
      <c r="B129" s="12" t="n"/>
      <c r="C129" s="13" t="n"/>
      <c r="D129" s="101" t="n">
        <v>4929</v>
      </c>
      <c r="E129" s="14" t="n">
        <v>2600</v>
      </c>
      <c r="F129" s="14" t="n">
        <v>5500</v>
      </c>
      <c r="G129" s="14" t="inlineStr">
        <is>
          <t>10-15</t>
        </is>
      </c>
      <c r="H129" s="14" t="n">
        <v>2450</v>
      </c>
      <c r="I129" s="15" t="n">
        <v>0.45</v>
      </c>
      <c r="J129" s="16">
        <f>H129*(1-I129)</f>
        <v/>
      </c>
      <c r="K129" s="17" t="n">
        <v>663.86</v>
      </c>
      <c r="L129" s="18">
        <f>$H$5</f>
        <v/>
      </c>
      <c r="M129" s="19">
        <f>K129+L129</f>
        <v/>
      </c>
      <c r="N129" s="20" t="n">
        <v>0.41</v>
      </c>
      <c r="O129" s="21">
        <f>H129*N129</f>
        <v/>
      </c>
      <c r="P129" s="22" t="n">
        <v>67</v>
      </c>
      <c r="Q129" s="21">
        <f>H129*$H$8</f>
        <v/>
      </c>
      <c r="R129" s="22" t="n">
        <v>25</v>
      </c>
      <c r="S129" s="21">
        <f>H129*$H$4</f>
        <v/>
      </c>
      <c r="T129" s="21">
        <f>J129*$H$3</f>
        <v/>
      </c>
      <c r="U129" s="23" t="n">
        <v>0.9</v>
      </c>
      <c r="V129" s="22" t="n">
        <v>67</v>
      </c>
      <c r="W129" s="21">
        <f>V129*(1-U129)</f>
        <v/>
      </c>
      <c r="X129" s="24" t="n">
        <v>0.735</v>
      </c>
      <c r="Y129" s="21">
        <f>$H$6*$H$7*X129</f>
        <v/>
      </c>
      <c r="Z129" s="19">
        <f>X129*($H$9+$H$10)</f>
        <v/>
      </c>
      <c r="AA129" s="20" t="n">
        <v>0.07000000000000001</v>
      </c>
      <c r="AB129" s="21">
        <f>H129*AA129</f>
        <v/>
      </c>
      <c r="AC129" s="23" t="n">
        <v>0.08</v>
      </c>
      <c r="AD129" s="21">
        <f>H129*AC129</f>
        <v/>
      </c>
      <c r="AE129" s="21">
        <f>AB129+AD129</f>
        <v/>
      </c>
      <c r="AF129" s="25">
        <f>AE129/H129</f>
        <v/>
      </c>
      <c r="AG129" s="26">
        <f>H129-O129-P129-Q129-R129-S129-T129-W129-Y129-Z129-M129-AL129</f>
        <v/>
      </c>
      <c r="AH129" s="27">
        <f>AG129-AE129</f>
        <v/>
      </c>
      <c r="AI129" s="28">
        <f>AH129/H129</f>
        <v/>
      </c>
      <c r="AJ129" s="29">
        <f>AH129/M129</f>
        <v/>
      </c>
      <c r="AK129" s="21">
        <f>(P129+R129+W129+Y129+Z129+M129)/(1-(N129+$H$4+(1-I129)*$H$3+$H$8+$H$11+AA129+AC129))</f>
        <v/>
      </c>
      <c r="AL129" s="90">
        <f>H129*$H$11</f>
        <v/>
      </c>
    </row>
    <row r="130" ht="29" customHeight="1">
      <c r="A130" s="11" t="inlineStr">
        <is>
          <t>CELIMAX THE VITA-A RETINAL SHOT TIGHTENING BOOSTER [15ml]/Подтягивающий бустер-крем с ретинолом для лица</t>
        </is>
      </c>
      <c r="B130" s="45" t="n"/>
      <c r="C130" s="13" t="n"/>
      <c r="D130" s="101" t="n">
        <v>9768</v>
      </c>
      <c r="E130" s="14" t="n">
        <v>2250</v>
      </c>
      <c r="F130" s="14" t="n">
        <v>3000</v>
      </c>
      <c r="G130" s="14" t="n">
        <v>13</v>
      </c>
      <c r="H130" s="14" t="n">
        <v>2150</v>
      </c>
      <c r="I130" s="15" t="n">
        <v>0.45</v>
      </c>
      <c r="J130" s="16">
        <f>H130*(1-I130)</f>
        <v/>
      </c>
      <c r="K130" s="17" t="n">
        <v>512.1799999999999</v>
      </c>
      <c r="L130" s="18">
        <f>$H$5</f>
        <v/>
      </c>
      <c r="M130" s="19">
        <f>K130+L130</f>
        <v/>
      </c>
      <c r="N130" s="20" t="n">
        <v>0.41</v>
      </c>
      <c r="O130" s="21">
        <f>H130*N130</f>
        <v/>
      </c>
      <c r="P130" s="22" t="n">
        <v>56</v>
      </c>
      <c r="Q130" s="21">
        <f>H130*$H$8</f>
        <v/>
      </c>
      <c r="R130" s="22" t="n">
        <v>25</v>
      </c>
      <c r="S130" s="21">
        <f>H130*$H$4</f>
        <v/>
      </c>
      <c r="T130" s="21">
        <f>J130*$H$3</f>
        <v/>
      </c>
      <c r="U130" s="23" t="n">
        <v>0.9</v>
      </c>
      <c r="V130" s="22" t="n">
        <v>56</v>
      </c>
      <c r="W130" s="21">
        <f>V130*(1-U130)</f>
        <v/>
      </c>
      <c r="X130" s="24" t="n">
        <v>0.18</v>
      </c>
      <c r="Y130" s="21">
        <f>$H$6*$H$7*X130</f>
        <v/>
      </c>
      <c r="Z130" s="19">
        <f>X130*($H$9+$H$10)</f>
        <v/>
      </c>
      <c r="AA130" s="20" t="n">
        <v>0.07000000000000001</v>
      </c>
      <c r="AB130" s="21">
        <f>H130*AA130</f>
        <v/>
      </c>
      <c r="AC130" s="23" t="n">
        <v>0.08</v>
      </c>
      <c r="AD130" s="21">
        <f>H130*AC130</f>
        <v/>
      </c>
      <c r="AE130" s="21">
        <f>AB130+AD130</f>
        <v/>
      </c>
      <c r="AF130" s="25">
        <f>AE130/H130</f>
        <v/>
      </c>
      <c r="AG130" s="26">
        <f>H130-O130-P130-Q130-R130-S130-T130-W130-Y130-Z130-M130-AL130</f>
        <v/>
      </c>
      <c r="AH130" s="27">
        <f>AG130-AE130</f>
        <v/>
      </c>
      <c r="AI130" s="28">
        <f>AH130/H130</f>
        <v/>
      </c>
      <c r="AJ130" s="29">
        <f>AH130/M130</f>
        <v/>
      </c>
      <c r="AK130" s="21">
        <f>(P130+R130+W130+Y130+Z130+M130)/(1-(N130+$H$4+(1-I130)*$H$3+$H$8+$H$11+AA130+AC130))</f>
        <v/>
      </c>
      <c r="AL130" s="90">
        <f>H130*$H$11</f>
        <v/>
      </c>
    </row>
    <row r="131" ht="29" customHeight="1">
      <c r="A131" s="11" t="inlineStr">
        <is>
          <t>CELIMAX THE VITA-A RETINOL SHOT TIGHTENING SERUM [30ml]/Сыворотка с ретинолом и микроиглами для лица</t>
        </is>
      </c>
      <c r="B131" s="45" t="n"/>
      <c r="C131" s="13" t="inlineStr">
        <is>
          <t>-</t>
        </is>
      </c>
      <c r="D131" s="101" t="n">
        <v>3564</v>
      </c>
      <c r="E131" s="14" t="n">
        <v>2450</v>
      </c>
      <c r="F131" s="14" t="n">
        <v>3500</v>
      </c>
      <c r="G131" s="14" t="n">
        <v>10</v>
      </c>
      <c r="H131" s="14" t="n">
        <v>2350</v>
      </c>
      <c r="I131" s="15" t="n">
        <v>0.45</v>
      </c>
      <c r="J131" s="16">
        <f>H131*(1-I131)</f>
        <v/>
      </c>
      <c r="K131" s="17" t="n">
        <v>532.1</v>
      </c>
      <c r="L131" s="18">
        <f>$H$5</f>
        <v/>
      </c>
      <c r="M131" s="19">
        <f>K131+L131</f>
        <v/>
      </c>
      <c r="N131" s="20" t="n">
        <v>0.41</v>
      </c>
      <c r="O131" s="21">
        <f>H131*N131</f>
        <v/>
      </c>
      <c r="P131" s="22" t="n">
        <v>63</v>
      </c>
      <c r="Q131" s="21">
        <f>H131*$H$8</f>
        <v/>
      </c>
      <c r="R131" s="22" t="n">
        <v>25</v>
      </c>
      <c r="S131" s="21">
        <f>H131*$H$4</f>
        <v/>
      </c>
      <c r="T131" s="21">
        <f>J131*$H$3</f>
        <v/>
      </c>
      <c r="U131" s="23" t="n">
        <v>0.9</v>
      </c>
      <c r="V131" s="22" t="n">
        <v>63</v>
      </c>
      <c r="W131" s="21">
        <f>V131*(1-U131)</f>
        <v/>
      </c>
      <c r="X131" s="24" t="n">
        <v>0.38</v>
      </c>
      <c r="Y131" s="21">
        <f>$H$6*$H$7*X131</f>
        <v/>
      </c>
      <c r="Z131" s="19">
        <f>X131*($H$9+$H$10)</f>
        <v/>
      </c>
      <c r="AA131" s="20" t="n">
        <v>0.07000000000000001</v>
      </c>
      <c r="AB131" s="21">
        <f>H131*AA131</f>
        <v/>
      </c>
      <c r="AC131" s="23" t="n">
        <v>0.08</v>
      </c>
      <c r="AD131" s="21">
        <f>H131*AC131</f>
        <v/>
      </c>
      <c r="AE131" s="21">
        <f>AB131+AD131</f>
        <v/>
      </c>
      <c r="AF131" s="25">
        <f>AE131/H131</f>
        <v/>
      </c>
      <c r="AG131" s="26">
        <f>H131-O131-P131-Q131-R131-S131-T131-W131-Y131-Z131-M131-AL131</f>
        <v/>
      </c>
      <c r="AH131" s="27">
        <f>AG131-AE131</f>
        <v/>
      </c>
      <c r="AI131" s="28">
        <f>AH131/H131</f>
        <v/>
      </c>
      <c r="AJ131" s="29">
        <f>AH131/M131</f>
        <v/>
      </c>
      <c r="AK131" s="21">
        <f>(P131+R131+W131+Y131+Z131+M131)/(1-(N131+$H$4+(1-I131)*$H$3+$H$8+$H$11+AA131+AC131))</f>
        <v/>
      </c>
      <c r="AL131" s="90">
        <f>H131*$H$11</f>
        <v/>
      </c>
    </row>
    <row r="132" ht="29" customHeight="1">
      <c r="A132" s="11" t="inlineStr">
        <is>
          <t>CELIMAX JI WOO GAE CICA BHA BLEMISH TONER PAD_10EA [30ml]/успокаивающие тонер-пэды</t>
        </is>
      </c>
      <c r="B132" s="45" t="n"/>
      <c r="C132" s="13" t="n"/>
      <c r="D132" s="101" t="n">
        <v>1696</v>
      </c>
      <c r="E132" s="14" t="n">
        <v>775</v>
      </c>
      <c r="F132" s="14" t="inlineStr">
        <is>
          <t>2 740</t>
        </is>
      </c>
      <c r="G132" s="14" t="n">
        <v>11</v>
      </c>
      <c r="H132" s="14" t="n">
        <v>745</v>
      </c>
      <c r="I132" s="15" t="n">
        <v>0.45</v>
      </c>
      <c r="J132" s="16">
        <f>H132*(1-I132)</f>
        <v/>
      </c>
      <c r="K132" s="17" t="n">
        <v>96.94</v>
      </c>
      <c r="L132" s="18">
        <f>$H$5</f>
        <v/>
      </c>
      <c r="M132" s="19">
        <f>K132+L132</f>
        <v/>
      </c>
      <c r="N132" s="20" t="n">
        <v>0.41</v>
      </c>
      <c r="O132" s="21">
        <f>H132*N132</f>
        <v/>
      </c>
      <c r="P132" s="22" t="n">
        <v>56</v>
      </c>
      <c r="Q132" s="21">
        <f>H132*$H$8</f>
        <v/>
      </c>
      <c r="R132" s="22" t="n">
        <v>25</v>
      </c>
      <c r="S132" s="21">
        <f>H132*$H$4</f>
        <v/>
      </c>
      <c r="T132" s="21">
        <f>J132*$H$3</f>
        <v/>
      </c>
      <c r="U132" s="23" t="n">
        <v>0.9</v>
      </c>
      <c r="V132" s="22" t="n">
        <v>56</v>
      </c>
      <c r="W132" s="21">
        <f>V132*(1-U132)</f>
        <v/>
      </c>
      <c r="X132" s="24" t="n">
        <v>0.14</v>
      </c>
      <c r="Y132" s="21">
        <f>$H$6*$H$7*X132</f>
        <v/>
      </c>
      <c r="Z132" s="19">
        <f>X132*($H$9+$H$10)</f>
        <v/>
      </c>
      <c r="AA132" s="20" t="n">
        <v>0.07000000000000001</v>
      </c>
      <c r="AB132" s="21">
        <f>H132*AA132</f>
        <v/>
      </c>
      <c r="AC132" s="23" t="n">
        <v>0.08</v>
      </c>
      <c r="AD132" s="21">
        <f>H132*AC132</f>
        <v/>
      </c>
      <c r="AE132" s="21">
        <f>AB132+AD132</f>
        <v/>
      </c>
      <c r="AF132" s="25">
        <f>AE132/H132</f>
        <v/>
      </c>
      <c r="AG132" s="26">
        <f>H132-O132-P132-Q132-R132-S132-T132-W132-Y132-Z132-M132-AL132</f>
        <v/>
      </c>
      <c r="AH132" s="27">
        <f>AG132-AE132</f>
        <v/>
      </c>
      <c r="AI132" s="28">
        <f>AH132/H132</f>
        <v/>
      </c>
      <c r="AJ132" s="29">
        <f>AH132/M132</f>
        <v/>
      </c>
      <c r="AK132" s="21">
        <f>(P132+R132+W132+Y132+Z132+M132)/(1-(N132+$H$4+(1-I132)*$H$3+$H$8+$H$11+AA132+AC132))</f>
        <v/>
      </c>
      <c r="AL132" s="90">
        <f>H132*$H$11</f>
        <v/>
      </c>
    </row>
    <row r="133" ht="29" customHeight="1">
      <c r="A133" s="53" t="inlineStr">
        <is>
          <t>CELIMAX PORE+DARK SPOT BRIGHTENING CREAM [35ml]/Крем для выравнивания тона и рельефа кожи лица</t>
        </is>
      </c>
      <c r="B133" s="30" t="n"/>
      <c r="C133" s="30" t="n"/>
      <c r="D133" s="92" t="n">
        <v>99</v>
      </c>
      <c r="E133" s="31" t="n"/>
      <c r="F133" s="31" t="n"/>
      <c r="G133" s="31" t="n"/>
      <c r="H133" s="31" t="n"/>
      <c r="I133" s="32" t="n"/>
      <c r="J133" s="33" t="n"/>
      <c r="K133" s="34" t="n"/>
      <c r="L133" s="34" t="n"/>
      <c r="M133" s="35" t="n"/>
      <c r="N133" s="36" t="n"/>
      <c r="O133" s="31" t="n"/>
      <c r="P133" s="31" t="n"/>
      <c r="Q133" s="31" t="n"/>
      <c r="R133" s="31" t="n"/>
      <c r="S133" s="31" t="n"/>
      <c r="T133" s="31" t="n"/>
      <c r="U133" s="37" t="n"/>
      <c r="V133" s="31" t="n"/>
      <c r="W133" s="31" t="n"/>
      <c r="X133" s="38" t="n"/>
      <c r="Y133" s="31" t="n"/>
      <c r="Z133" s="35" t="n"/>
      <c r="AA133" s="36" t="n"/>
      <c r="AB133" s="31" t="n"/>
      <c r="AC133" s="37" t="n"/>
      <c r="AD133" s="31" t="n"/>
      <c r="AE133" s="31" t="n"/>
      <c r="AF133" s="39" t="n"/>
      <c r="AG133" s="40" t="n"/>
      <c r="AH133" s="31" t="n"/>
      <c r="AI133" s="37" t="n"/>
      <c r="AJ133" s="37" t="n"/>
      <c r="AK133" s="31" t="n"/>
    </row>
    <row r="134" ht="29" customHeight="1">
      <c r="A134" s="53" t="inlineStr">
        <is>
          <t>CELIMAX DUAL BARRIER SKIN WEARABLE CREAM [50ml]/Крем для восстановления защитного барьера кожи лица</t>
        </is>
      </c>
      <c r="B134" s="30" t="n"/>
      <c r="C134" s="30" t="n"/>
      <c r="D134" s="92" t="n">
        <v>446</v>
      </c>
      <c r="E134" s="31" t="n"/>
      <c r="F134" s="31" t="n"/>
      <c r="G134" s="31" t="n"/>
      <c r="H134" s="31" t="n"/>
      <c r="I134" s="32" t="n"/>
      <c r="J134" s="33" t="n"/>
      <c r="K134" s="34" t="n"/>
      <c r="L134" s="34" t="n"/>
      <c r="M134" s="35" t="n"/>
      <c r="N134" s="36" t="n"/>
      <c r="O134" s="31" t="n"/>
      <c r="P134" s="31" t="n"/>
      <c r="Q134" s="31" t="n"/>
      <c r="R134" s="31" t="n"/>
      <c r="S134" s="31" t="n"/>
      <c r="T134" s="31" t="n"/>
      <c r="U134" s="37" t="n"/>
      <c r="V134" s="31" t="n"/>
      <c r="W134" s="31" t="n"/>
      <c r="X134" s="38" t="n"/>
      <c r="Y134" s="31" t="n"/>
      <c r="Z134" s="35" t="n"/>
      <c r="AA134" s="36" t="n"/>
      <c r="AB134" s="31" t="n"/>
      <c r="AC134" s="37" t="n"/>
      <c r="AD134" s="31" t="n"/>
      <c r="AE134" s="31" t="n"/>
      <c r="AF134" s="39" t="n"/>
      <c r="AG134" s="40" t="n"/>
      <c r="AH134" s="31" t="n"/>
      <c r="AI134" s="37" t="n"/>
      <c r="AJ134" s="37" t="n"/>
      <c r="AK134" s="31" t="n"/>
    </row>
    <row r="135" ht="29" customHeight="1">
      <c r="A135" s="11" t="inlineStr">
        <is>
          <t>CELIMAX JI WOO GAE CICA BHA BLEMISH TONER PAD [170ml / 60pads]/Тонер-пэды от воспалений</t>
        </is>
      </c>
      <c r="B135" s="45" t="n"/>
      <c r="C135" s="13" t="n"/>
      <c r="D135" s="101" t="n">
        <v>1620</v>
      </c>
      <c r="E135" s="14" t="n">
        <v>3450</v>
      </c>
      <c r="F135" s="14" t="inlineStr">
        <is>
          <t>1 820</t>
        </is>
      </c>
      <c r="G135" s="14" t="n">
        <v>11</v>
      </c>
      <c r="H135" s="14" t="n">
        <v>3150</v>
      </c>
      <c r="I135" s="15" t="n">
        <v>0.45</v>
      </c>
      <c r="J135" s="16">
        <f>H135*(1-I135)</f>
        <v/>
      </c>
      <c r="K135" s="17" t="n">
        <v>707.88</v>
      </c>
      <c r="L135" s="18">
        <f>$H$5</f>
        <v/>
      </c>
      <c r="M135" s="19">
        <f>K135+L135</f>
        <v/>
      </c>
      <c r="N135" s="20" t="n">
        <v>0.41</v>
      </c>
      <c r="O135" s="21">
        <f>H135*N135</f>
        <v/>
      </c>
      <c r="P135" s="22" t="n">
        <v>67</v>
      </c>
      <c r="Q135" s="21">
        <f>H135*$H$8</f>
        <v/>
      </c>
      <c r="R135" s="22" t="n">
        <v>25</v>
      </c>
      <c r="S135" s="21">
        <f>H135*$H$4</f>
        <v/>
      </c>
      <c r="T135" s="21">
        <f>J135*$H$3</f>
        <v/>
      </c>
      <c r="U135" s="23" t="n">
        <v>0.9</v>
      </c>
      <c r="V135" s="22" t="n">
        <v>67</v>
      </c>
      <c r="W135" s="21">
        <f>V135*(1-U135)</f>
        <v/>
      </c>
      <c r="X135" s="24" t="n">
        <v>0.96</v>
      </c>
      <c r="Y135" s="21">
        <f>$H$6*$H$7*X135</f>
        <v/>
      </c>
      <c r="Z135" s="19">
        <f>X135*($H$9+$H$10)</f>
        <v/>
      </c>
      <c r="AA135" s="20" t="n">
        <v>0.07000000000000001</v>
      </c>
      <c r="AB135" s="21">
        <f>H135*AA135</f>
        <v/>
      </c>
      <c r="AC135" s="23" t="n">
        <v>0.08</v>
      </c>
      <c r="AD135" s="21">
        <f>H135*AC135</f>
        <v/>
      </c>
      <c r="AE135" s="21">
        <f>AB135+AD135</f>
        <v/>
      </c>
      <c r="AF135" s="25">
        <f>AE135/H135</f>
        <v/>
      </c>
      <c r="AG135" s="26">
        <f>H135-O135-P135-Q135-R135-S135-T135-W135-Y135-Z135-M135-AL135</f>
        <v/>
      </c>
      <c r="AH135" s="27">
        <f>AG135-AE135</f>
        <v/>
      </c>
      <c r="AI135" s="28">
        <f>AH135/H135</f>
        <v/>
      </c>
      <c r="AJ135" s="29">
        <f>AH135/M135</f>
        <v/>
      </c>
      <c r="AK135" s="21">
        <f>(P135+R135+W135+Y135+Z135+M135)/(1-(N135+$H$4+(1-I135)*$H$3+$H$8+$H$11+AA135+AC135))</f>
        <v/>
      </c>
      <c r="AL135" s="90">
        <f>H135*$H$11</f>
        <v/>
      </c>
    </row>
    <row r="136" ht="29" customHeight="1">
      <c r="A136" s="53" t="inlineStr">
        <is>
          <t>CELIMAX THE REAL NONI ENERGY AMPOULE_30ML (NEW) [30ml]/Восстанавливающая сыворотка с экстрактом нони для лица</t>
        </is>
      </c>
      <c r="B136" s="30" t="n"/>
      <c r="C136" s="30" t="n"/>
      <c r="D136" s="92" t="n">
        <v>62</v>
      </c>
      <c r="E136" s="31" t="n"/>
      <c r="F136" s="31" t="n"/>
      <c r="G136" s="31" t="n"/>
      <c r="H136" s="31" t="n"/>
      <c r="I136" s="32" t="n"/>
      <c r="J136" s="33" t="n"/>
      <c r="K136" s="34" t="n"/>
      <c r="L136" s="34" t="n"/>
      <c r="M136" s="35" t="n"/>
      <c r="N136" s="36" t="n"/>
      <c r="O136" s="31" t="n"/>
      <c r="P136" s="31" t="n"/>
      <c r="Q136" s="31" t="n"/>
      <c r="R136" s="31" t="n"/>
      <c r="S136" s="31" t="n"/>
      <c r="T136" s="31" t="n"/>
      <c r="U136" s="37" t="n"/>
      <c r="V136" s="31" t="n"/>
      <c r="W136" s="31" t="n"/>
      <c r="X136" s="38" t="n"/>
      <c r="Y136" s="31" t="n"/>
      <c r="Z136" s="35" t="n"/>
      <c r="AA136" s="36" t="n"/>
      <c r="AB136" s="31" t="n"/>
      <c r="AC136" s="37" t="n"/>
      <c r="AD136" s="31" t="n"/>
      <c r="AE136" s="31" t="n"/>
      <c r="AF136" s="39" t="n"/>
      <c r="AG136" s="40" t="n"/>
      <c r="AH136" s="31" t="n"/>
      <c r="AI136" s="37" t="n"/>
      <c r="AJ136" s="37" t="n"/>
      <c r="AK136" s="31" t="n"/>
    </row>
    <row r="137" ht="29" customHeight="1">
      <c r="A137" s="11" t="inlineStr">
        <is>
          <t>CELIMAX PORE+DARK SPOT BRIGHTENING PAD [100ml / 40pads]/Тонер-пэды для выравнивания тона и рельефа кожи</t>
        </is>
      </c>
      <c r="B137" s="45" t="n"/>
      <c r="C137" s="13" t="n"/>
      <c r="D137" s="92" t="n">
        <v>1795</v>
      </c>
      <c r="E137" s="14" t="n">
        <v>2880</v>
      </c>
      <c r="F137" s="14" t="inlineStr">
        <is>
          <t>1 640</t>
        </is>
      </c>
      <c r="G137" s="14" t="n">
        <v>21</v>
      </c>
      <c r="H137" s="14" t="n">
        <v>2580</v>
      </c>
      <c r="I137" s="15" t="n">
        <v>0.45</v>
      </c>
      <c r="J137" s="16">
        <f>H137*(1-I137)</f>
        <v/>
      </c>
      <c r="K137" s="17" t="n">
        <v>556.1799999999999</v>
      </c>
      <c r="L137" s="18">
        <f>$H$5</f>
        <v/>
      </c>
      <c r="M137" s="19">
        <f>K137+L137</f>
        <v/>
      </c>
      <c r="N137" s="20" t="n">
        <v>0.41</v>
      </c>
      <c r="O137" s="21">
        <f>H137*N137</f>
        <v/>
      </c>
      <c r="P137" s="22" t="n">
        <v>67</v>
      </c>
      <c r="Q137" s="21">
        <f>H137*$H$8</f>
        <v/>
      </c>
      <c r="R137" s="22" t="n">
        <v>25</v>
      </c>
      <c r="S137" s="21">
        <f>H137*$H$4</f>
        <v/>
      </c>
      <c r="T137" s="21">
        <f>J137*$H$3</f>
        <v/>
      </c>
      <c r="U137" s="23" t="n">
        <v>0.9</v>
      </c>
      <c r="V137" s="22" t="n">
        <v>67</v>
      </c>
      <c r="W137" s="21">
        <f>V137*(1-U137)</f>
        <v/>
      </c>
      <c r="X137" s="24" t="n">
        <v>0.57</v>
      </c>
      <c r="Y137" s="21">
        <f>$H$6*$H$7*X137</f>
        <v/>
      </c>
      <c r="Z137" s="19">
        <f>X137*($H$9+$H$10)</f>
        <v/>
      </c>
      <c r="AA137" s="20" t="n">
        <v>0.07000000000000001</v>
      </c>
      <c r="AB137" s="21">
        <f>H137*AA137</f>
        <v/>
      </c>
      <c r="AC137" s="23" t="n">
        <v>0.08</v>
      </c>
      <c r="AD137" s="21">
        <f>H137*AC137</f>
        <v/>
      </c>
      <c r="AE137" s="21">
        <f>AB137+AD137</f>
        <v/>
      </c>
      <c r="AF137" s="25">
        <f>AE137/H137</f>
        <v/>
      </c>
      <c r="AG137" s="26">
        <f>H137-O137-P137-Q137-R137-S137-T137-W137-Y137-Z137-M137-AL137</f>
        <v/>
      </c>
      <c r="AH137" s="27">
        <f>AG137-AE137</f>
        <v/>
      </c>
      <c r="AI137" s="28">
        <f>AH137/H137</f>
        <v/>
      </c>
      <c r="AJ137" s="29">
        <f>AH137/M137</f>
        <v/>
      </c>
      <c r="AK137" s="21">
        <f>(P137+R137+W137+Y137+Z137+M137)/(1-(N137+$H$4+(1-I137)*$H$3+$H$8+$H$11+AA137+AC137))</f>
        <v/>
      </c>
      <c r="AL137" s="90">
        <f>H137*$H$11</f>
        <v/>
      </c>
    </row>
    <row r="138" ht="29" customHeight="1">
      <c r="A138" s="53" t="inlineStr">
        <is>
          <t>CELIMAX PORE+DARK SPOT BRIGHTENING SERUM_30ml [30ml]/Сыворотка для выравнивания тона и рельефа кожи лица</t>
        </is>
      </c>
      <c r="B138" s="30" t="n"/>
      <c r="C138" s="30" t="n"/>
      <c r="D138" s="92" t="n">
        <v>124</v>
      </c>
      <c r="E138" s="31" t="n"/>
      <c r="F138" s="31" t="n"/>
      <c r="G138" s="31" t="n"/>
      <c r="H138" s="31" t="n"/>
      <c r="I138" s="32" t="n"/>
      <c r="J138" s="33" t="n"/>
      <c r="K138" s="34" t="n"/>
      <c r="L138" s="34" t="n"/>
      <c r="M138" s="35" t="n"/>
      <c r="N138" s="36" t="n"/>
      <c r="O138" s="31" t="n"/>
      <c r="P138" s="31" t="n"/>
      <c r="Q138" s="31" t="n"/>
      <c r="R138" s="31" t="n"/>
      <c r="S138" s="31" t="n"/>
      <c r="T138" s="31" t="n"/>
      <c r="U138" s="37" t="n"/>
      <c r="V138" s="31" t="n"/>
      <c r="W138" s="31" t="n"/>
      <c r="X138" s="38" t="n"/>
      <c r="Y138" s="31" t="n"/>
      <c r="Z138" s="35" t="n"/>
      <c r="AA138" s="36" t="n"/>
      <c r="AB138" s="31" t="n"/>
      <c r="AC138" s="37" t="n"/>
      <c r="AD138" s="31" t="n"/>
      <c r="AE138" s="31" t="n"/>
      <c r="AF138" s="39" t="n"/>
      <c r="AG138" s="40" t="n"/>
      <c r="AH138" s="31" t="n"/>
      <c r="AI138" s="37" t="n"/>
      <c r="AJ138" s="37" t="n"/>
      <c r="AK138" s="31" t="n"/>
    </row>
    <row r="139" ht="29" customHeight="1">
      <c r="A139" s="53" t="inlineStr">
        <is>
          <t>CELIMAX THE REAL NONI MOISTURE BALANCING TONER (NEW) [150ml]/Восстанавливающий тонер с экстрактом нони</t>
        </is>
      </c>
      <c r="B139" s="30" t="n"/>
      <c r="C139" s="30" t="n"/>
      <c r="D139" s="92" t="n">
        <v>194</v>
      </c>
      <c r="E139" s="31" t="n"/>
      <c r="F139" s="31" t="n"/>
      <c r="G139" s="31" t="n"/>
      <c r="H139" s="31" t="n"/>
      <c r="I139" s="32" t="n"/>
      <c r="J139" s="33" t="n"/>
      <c r="K139" s="34" t="n"/>
      <c r="L139" s="34" t="n"/>
      <c r="M139" s="35" t="n"/>
      <c r="N139" s="36" t="n"/>
      <c r="O139" s="31" t="n"/>
      <c r="P139" s="31" t="n"/>
      <c r="Q139" s="31" t="n"/>
      <c r="R139" s="31" t="n"/>
      <c r="S139" s="31" t="n"/>
      <c r="T139" s="31" t="n"/>
      <c r="U139" s="37" t="n"/>
      <c r="V139" s="31" t="n"/>
      <c r="W139" s="31" t="n"/>
      <c r="X139" s="38" t="n"/>
      <c r="Y139" s="31" t="n"/>
      <c r="Z139" s="35" t="n"/>
      <c r="AA139" s="36" t="n"/>
      <c r="AB139" s="31" t="n"/>
      <c r="AC139" s="37" t="n"/>
      <c r="AD139" s="31" t="n"/>
      <c r="AE139" s="31" t="n"/>
      <c r="AF139" s="39" t="n"/>
      <c r="AG139" s="40" t="n"/>
      <c r="AH139" s="31" t="n"/>
      <c r="AI139" s="37" t="n"/>
      <c r="AJ139" s="37" t="n"/>
      <c r="AK139" s="31" t="n"/>
    </row>
    <row r="140">
      <c r="A140" s="52" t="inlineStr">
        <is>
          <t>Косметика/VT</t>
        </is>
      </c>
      <c r="B140" s="10" t="n"/>
      <c r="C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</row>
    <row r="141">
      <c r="A141" s="11" t="inlineStr">
        <is>
          <t>VT PDRN ESSENCE 100 / Укрепляющая бустер-эссенция с ПДРН</t>
        </is>
      </c>
      <c r="B141" s="12" t="n"/>
      <c r="C141" s="13" t="n"/>
      <c r="D141" s="101" t="n">
        <v>1071</v>
      </c>
      <c r="E141" s="14" t="n">
        <v>6000</v>
      </c>
      <c r="F141" s="14" t="n">
        <v>500</v>
      </c>
      <c r="G141" s="14" t="n">
        <v>10</v>
      </c>
      <c r="H141" s="14" t="n">
        <v>5700</v>
      </c>
      <c r="I141" s="15" t="n">
        <v>0.45</v>
      </c>
      <c r="J141" s="16">
        <f>H141*(1-I141)</f>
        <v/>
      </c>
      <c r="K141" s="17" t="n">
        <v>1335.95</v>
      </c>
      <c r="L141" s="18">
        <f>$H$5</f>
        <v/>
      </c>
      <c r="M141" s="19">
        <f>K141+L141</f>
        <v/>
      </c>
      <c r="N141" s="20" t="n">
        <v>0.41</v>
      </c>
      <c r="O141" s="21">
        <f>H141*N141</f>
        <v/>
      </c>
      <c r="P141" s="22" t="n">
        <v>63</v>
      </c>
      <c r="Q141" s="21">
        <f>H141*$H$8</f>
        <v/>
      </c>
      <c r="R141" s="22" t="n">
        <v>25</v>
      </c>
      <c r="S141" s="21">
        <f>H141*$H$4</f>
        <v/>
      </c>
      <c r="T141" s="21">
        <f>J141*$H$3</f>
        <v/>
      </c>
      <c r="U141" s="23" t="n">
        <v>0.9</v>
      </c>
      <c r="V141" s="22" t="n">
        <v>63</v>
      </c>
      <c r="W141" s="21">
        <f>V141*(1-U141)</f>
        <v/>
      </c>
      <c r="X141" s="24" t="n">
        <v>0.3</v>
      </c>
      <c r="Y141" s="21">
        <f>$H$6*$H$7*X141</f>
        <v/>
      </c>
      <c r="Z141" s="19">
        <f>X141*($H$9+$H$10)</f>
        <v/>
      </c>
      <c r="AA141" s="20" t="n">
        <v>0.07000000000000001</v>
      </c>
      <c r="AB141" s="21">
        <f>H141*AA141</f>
        <v/>
      </c>
      <c r="AC141" s="23" t="n">
        <v>0.08</v>
      </c>
      <c r="AD141" s="21">
        <f>H141*AC141</f>
        <v/>
      </c>
      <c r="AE141" s="21">
        <f>AB141+AD141</f>
        <v/>
      </c>
      <c r="AF141" s="25">
        <f>AE141/H141</f>
        <v/>
      </c>
      <c r="AG141" s="26">
        <f>H141-O141-P141-Q141-R141-S141-T141-W141-Y141-Z141-M141-AL141</f>
        <v/>
      </c>
      <c r="AH141" s="27">
        <f>AG141-AE141</f>
        <v/>
      </c>
      <c r="AI141" s="28">
        <f>AH141/H141</f>
        <v/>
      </c>
      <c r="AJ141" s="29">
        <f>AH141/M141</f>
        <v/>
      </c>
      <c r="AK141" s="21">
        <f>(P141+R141+W141+Y141+Z141+M141)/(1-(N141+$H$4+(1-I141)*$H$3+$H$8+$H$11+AA141+AC141))</f>
        <v/>
      </c>
      <c r="AL141" s="90">
        <f>H141*$H$11</f>
        <v/>
      </c>
    </row>
    <row r="142">
      <c r="A142" s="11" t="inlineStr">
        <is>
          <t>VT REEDLE SHOT 100 / Бустер-сыворотка с микроиглами</t>
        </is>
      </c>
      <c r="B142" s="12" t="n"/>
      <c r="C142" s="13" t="n"/>
      <c r="D142" s="92" t="n">
        <v>543</v>
      </c>
      <c r="E142" s="14" t="n">
        <v>5900</v>
      </c>
      <c r="F142" s="14" t="n">
        <v>220</v>
      </c>
      <c r="G142" s="14" t="n">
        <v>11</v>
      </c>
      <c r="H142" s="14" t="n">
        <v>5600</v>
      </c>
      <c r="I142" s="15" t="n">
        <v>0.45</v>
      </c>
      <c r="J142" s="16">
        <f>H142*(1-I142)</f>
        <v/>
      </c>
      <c r="K142" s="17" t="n">
        <v>974.04</v>
      </c>
      <c r="L142" s="18">
        <f>$H$5</f>
        <v/>
      </c>
      <c r="M142" s="19">
        <f>K142+L142</f>
        <v/>
      </c>
      <c r="N142" s="20" t="n">
        <v>0.41</v>
      </c>
      <c r="O142" s="21">
        <f>H142*N142</f>
        <v/>
      </c>
      <c r="P142" s="22" t="n">
        <v>63</v>
      </c>
      <c r="Q142" s="21">
        <f>H142*$H$8</f>
        <v/>
      </c>
      <c r="R142" s="22" t="n">
        <v>25</v>
      </c>
      <c r="S142" s="21">
        <f>H142*$H$4</f>
        <v/>
      </c>
      <c r="T142" s="21">
        <f>J142*$H$3</f>
        <v/>
      </c>
      <c r="U142" s="23" t="n">
        <v>0.9</v>
      </c>
      <c r="V142" s="22" t="n">
        <v>63</v>
      </c>
      <c r="W142" s="21">
        <f>V142*(1-U142)</f>
        <v/>
      </c>
      <c r="X142" s="24" t="n">
        <v>0.4</v>
      </c>
      <c r="Y142" s="21">
        <f>$H$6*$H$7*X142</f>
        <v/>
      </c>
      <c r="Z142" s="19">
        <f>X142*($H$9+$H$10)</f>
        <v/>
      </c>
      <c r="AA142" s="20" t="n">
        <v>0.07000000000000001</v>
      </c>
      <c r="AB142" s="21">
        <f>H142*AA142</f>
        <v/>
      </c>
      <c r="AC142" s="23" t="n">
        <v>0.08</v>
      </c>
      <c r="AD142" s="21">
        <f>H142*AC142</f>
        <v/>
      </c>
      <c r="AE142" s="21">
        <f>AB142+AD142</f>
        <v/>
      </c>
      <c r="AF142" s="25">
        <f>AE142/H142</f>
        <v/>
      </c>
      <c r="AG142" s="26">
        <f>H142-O142-P142-Q142-R142-S142-T142-W142-Y142-Z142-M142-AL142</f>
        <v/>
      </c>
      <c r="AH142" s="27">
        <f>AG142-AE142</f>
        <v/>
      </c>
      <c r="AI142" s="28">
        <f>AH142/H142</f>
        <v/>
      </c>
      <c r="AJ142" s="29">
        <f>AH142/M142</f>
        <v/>
      </c>
      <c r="AK142" s="21">
        <f>(P142+R142+W142+Y142+Z142+M142)/(1-(N142+$H$4+(1-I142)*$H$3+$H$8+$H$11+AA142+AC142))</f>
        <v/>
      </c>
      <c r="AL142" s="90">
        <f>H142*$H$11</f>
        <v/>
      </c>
    </row>
    <row r="143">
      <c r="A143" s="53" t="inlineStr">
        <is>
          <t>Итого:</t>
        </is>
      </c>
      <c r="B143" s="30" t="n"/>
      <c r="C143" s="30" t="n"/>
      <c r="E143" s="31" t="n"/>
      <c r="F143" s="31" t="n"/>
      <c r="G143" s="31" t="n"/>
      <c r="H143" s="31" t="n"/>
      <c r="I143" s="32" t="n"/>
      <c r="J143" s="33" t="n"/>
      <c r="K143" s="34" t="n"/>
      <c r="L143" s="34" t="n"/>
      <c r="M143" s="35" t="n"/>
      <c r="N143" s="36" t="n"/>
      <c r="O143" s="31" t="n"/>
      <c r="P143" s="31" t="n"/>
      <c r="Q143" s="31" t="n"/>
      <c r="R143" s="31" t="n"/>
      <c r="S143" s="31" t="n"/>
      <c r="T143" s="31" t="n"/>
      <c r="U143" s="37" t="n"/>
      <c r="V143" s="31" t="n"/>
      <c r="W143" s="31" t="n"/>
      <c r="X143" s="38" t="n"/>
      <c r="Y143" s="31" t="n"/>
      <c r="Z143" s="35" t="n"/>
      <c r="AA143" s="36" t="n"/>
      <c r="AB143" s="31" t="n"/>
      <c r="AC143" s="37" t="n"/>
      <c r="AD143" s="31" t="n"/>
      <c r="AE143" s="31" t="n"/>
      <c r="AF143" s="39" t="n"/>
      <c r="AG143" s="40" t="n"/>
      <c r="AH143" s="31" t="n"/>
      <c r="AI143" s="37" t="n"/>
      <c r="AJ143" s="37" t="n"/>
      <c r="AK143" s="31" t="n"/>
    </row>
    <row r="144">
      <c r="A144" s="52" t="inlineStr">
        <is>
          <t>НЕ В ОСТАТКАХ (юнитка без строки в остатках)</t>
        </is>
      </c>
      <c r="B144" s="10" t="n"/>
      <c r="C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</row>
    <row r="145">
      <c r="A145" s="46" t="inlineStr">
        <is>
          <t>1025 DOKDO BUBBLE FOAM_150ml</t>
        </is>
      </c>
      <c r="B145" s="47" t="n">
        <v>600</v>
      </c>
      <c r="C145" s="48" t="n"/>
      <c r="D145" s="92" t="n">
        <v>0</v>
      </c>
      <c r="E145" s="14" t="n">
        <v>2650</v>
      </c>
      <c r="F145" s="14" t="n">
        <v>20</v>
      </c>
      <c r="G145" s="14" t="n">
        <v>2</v>
      </c>
      <c r="H145" s="14" t="n">
        <v>2500</v>
      </c>
      <c r="I145" s="15" t="n">
        <v>0.45</v>
      </c>
      <c r="J145" s="16">
        <f>H145*(1-I145)</f>
        <v/>
      </c>
      <c r="K145" s="17" t="n">
        <v>455</v>
      </c>
      <c r="L145" s="18">
        <f>$H$5</f>
        <v/>
      </c>
      <c r="M145" s="19">
        <f>K145+L145</f>
        <v/>
      </c>
      <c r="N145" s="20" t="n">
        <v>0.41</v>
      </c>
      <c r="O145" s="21">
        <f>H145*N145</f>
        <v/>
      </c>
      <c r="P145" s="22" t="n">
        <v>74</v>
      </c>
      <c r="Q145" s="21">
        <f>H145*$H$8</f>
        <v/>
      </c>
      <c r="R145" s="22" t="n">
        <v>25</v>
      </c>
      <c r="S145" s="21">
        <f>H145*$H$4</f>
        <v/>
      </c>
      <c r="T145" s="21">
        <f>J145*$H$3</f>
        <v/>
      </c>
      <c r="U145" s="23" t="n">
        <v>0.9</v>
      </c>
      <c r="V145" s="22" t="n">
        <v>74</v>
      </c>
      <c r="W145" s="21">
        <f>V145*(1-U145)</f>
        <v/>
      </c>
      <c r="X145" s="24" t="n">
        <v>1.28</v>
      </c>
      <c r="Y145" s="21">
        <f>$H$6*$H$7*X145</f>
        <v/>
      </c>
      <c r="Z145" s="19">
        <f>X145*($H$9+$H$10)</f>
        <v/>
      </c>
      <c r="AA145" s="20" t="n">
        <v>0.07000000000000001</v>
      </c>
      <c r="AB145" s="21">
        <f>H145*AA145</f>
        <v/>
      </c>
      <c r="AC145" s="23" t="n">
        <v>0.08</v>
      </c>
      <c r="AD145" s="21">
        <f>H145*AC145</f>
        <v/>
      </c>
      <c r="AE145" s="21">
        <f>AB145+AD145</f>
        <v/>
      </c>
      <c r="AF145" s="25">
        <f>AE145/H145</f>
        <v/>
      </c>
      <c r="AG145" s="26">
        <f>H145-O145-P145-Q145-R145-S145-T145-W145-Y145-Z145-M145-AL145</f>
        <v/>
      </c>
      <c r="AH145" s="27">
        <f>AG145-AE145</f>
        <v/>
      </c>
      <c r="AI145" s="28">
        <f>AH145/H145</f>
        <v/>
      </c>
      <c r="AJ145" s="29">
        <f>AH145/M145</f>
        <v/>
      </c>
      <c r="AK145" s="21">
        <f>(P145+R145+W145+Y145+Z145+M145)/(1-(N145+$H$4+(1-I145)*$H$3+$H$8+$H$11+AA145+AC145))</f>
        <v/>
      </c>
      <c r="AL145" s="90">
        <f>H145*$H$11</f>
        <v/>
      </c>
    </row>
    <row r="146">
      <c r="A146" s="46" t="inlineStr">
        <is>
          <t>MEDICUBE PDRN PINK PEPTIDE SERUM 30ml</t>
        </is>
      </c>
      <c r="B146" s="47" t="n">
        <v>320</v>
      </c>
      <c r="C146" s="45" t="n"/>
      <c r="D146" s="101" t="n">
        <v>0</v>
      </c>
      <c r="E146" s="14" t="n">
        <v>4880</v>
      </c>
      <c r="F146" s="14" t="n">
        <v>220</v>
      </c>
      <c r="G146" s="14" t="n">
        <v>10</v>
      </c>
      <c r="H146" s="14" t="n">
        <v>4580</v>
      </c>
      <c r="I146" s="15" t="n">
        <v>0.45</v>
      </c>
      <c r="J146" s="16">
        <f>H146*(1-I146)</f>
        <v/>
      </c>
      <c r="K146" s="17" t="n">
        <v>674</v>
      </c>
      <c r="L146" s="18">
        <f>$H$5</f>
        <v/>
      </c>
      <c r="M146" s="19">
        <f>K146+L146</f>
        <v/>
      </c>
      <c r="N146" s="20" t="n">
        <v>0.41</v>
      </c>
      <c r="O146" s="21">
        <f>H146*N146</f>
        <v/>
      </c>
      <c r="P146" s="22" t="n">
        <v>63</v>
      </c>
      <c r="Q146" s="21">
        <f>H146*$H$8</f>
        <v/>
      </c>
      <c r="R146" s="22" t="n">
        <v>25</v>
      </c>
      <c r="S146" s="21">
        <f>H146*$H$4</f>
        <v/>
      </c>
      <c r="T146" s="21">
        <f>J146*$H$3</f>
        <v/>
      </c>
      <c r="U146" s="23" t="n">
        <v>0.9</v>
      </c>
      <c r="V146" s="22" t="n">
        <v>63</v>
      </c>
      <c r="W146" s="21">
        <f>V146*(1-U146)</f>
        <v/>
      </c>
      <c r="X146" s="24" t="n">
        <v>0.4</v>
      </c>
      <c r="Y146" s="21">
        <f>$H$6*$H$7*X146</f>
        <v/>
      </c>
      <c r="Z146" s="19">
        <f>X146*($H$9+$H$10)</f>
        <v/>
      </c>
      <c r="AA146" s="20" t="n">
        <v>0.07000000000000001</v>
      </c>
      <c r="AB146" s="21">
        <f>H146*AA146</f>
        <v/>
      </c>
      <c r="AC146" s="23" t="n">
        <v>0.08</v>
      </c>
      <c r="AD146" s="21">
        <f>H146*AC146</f>
        <v/>
      </c>
      <c r="AE146" s="21">
        <f>AB146+AD146</f>
        <v/>
      </c>
      <c r="AF146" s="25">
        <f>AE146/H146</f>
        <v/>
      </c>
      <c r="AG146" s="26">
        <f>H146-O146-P146-Q146-R146-S146-T146-W146-Y146-Z146-M146-AL146</f>
        <v/>
      </c>
      <c r="AH146" s="27">
        <f>AG146-AE146</f>
        <v/>
      </c>
      <c r="AI146" s="28">
        <f>AH146/H146</f>
        <v/>
      </c>
      <c r="AJ146" s="29">
        <f>AH146/M146</f>
        <v/>
      </c>
      <c r="AK146" s="21">
        <f>(P146+R146+W146+Y146+Z146+M146)/(1-(N146+$H$4+(1-I146)*$H$3+$H$8+$H$11+AA146+AC146))</f>
        <v/>
      </c>
      <c r="AL146" s="90">
        <f>H146*$H$11</f>
        <v/>
      </c>
    </row>
    <row r="147">
      <c r="A147" s="46" t="inlineStr">
        <is>
          <t>MEDICUBE PDRN PINK EXOSOME SHOT SERUM 7500 30ml</t>
        </is>
      </c>
      <c r="B147" s="47" t="n">
        <v>400</v>
      </c>
      <c r="C147" s="49" t="n"/>
      <c r="D147" s="101" t="n">
        <v>0</v>
      </c>
      <c r="E147" s="14" t="n">
        <v>5000</v>
      </c>
      <c r="F147" s="14" t="n">
        <v>60</v>
      </c>
      <c r="G147" s="14" t="n">
        <v>10</v>
      </c>
      <c r="H147" s="14" t="n">
        <v>4700</v>
      </c>
      <c r="I147" s="15" t="n">
        <v>0.45</v>
      </c>
      <c r="J147" s="16">
        <f>H147*(1-I147)</f>
        <v/>
      </c>
      <c r="K147" s="17" t="n">
        <v>833</v>
      </c>
      <c r="L147" s="18">
        <f>$H$5</f>
        <v/>
      </c>
      <c r="M147" s="19">
        <f>K147+L147</f>
        <v/>
      </c>
      <c r="N147" s="20" t="n">
        <v>0.41</v>
      </c>
      <c r="O147" s="21">
        <f>H147*N147</f>
        <v/>
      </c>
      <c r="P147" s="22" t="n">
        <v>63</v>
      </c>
      <c r="Q147" s="21">
        <f>H147*$H$8</f>
        <v/>
      </c>
      <c r="R147" s="22" t="n">
        <v>25</v>
      </c>
      <c r="S147" s="21">
        <f>H147*$H$4</f>
        <v/>
      </c>
      <c r="T147" s="21">
        <f>J147*$H$3</f>
        <v/>
      </c>
      <c r="U147" s="23" t="n">
        <v>0.9</v>
      </c>
      <c r="V147" s="22" t="n">
        <v>63</v>
      </c>
      <c r="W147" s="21">
        <f>V147*(1-U147)</f>
        <v/>
      </c>
      <c r="X147" s="24" t="n">
        <v>0.4</v>
      </c>
      <c r="Y147" s="21">
        <f>$H$6*$H$7*X147</f>
        <v/>
      </c>
      <c r="Z147" s="19">
        <f>X147*($H$9+$H$10)</f>
        <v/>
      </c>
      <c r="AA147" s="20" t="n">
        <v>0.07000000000000001</v>
      </c>
      <c r="AB147" s="21">
        <f>H147*AA147</f>
        <v/>
      </c>
      <c r="AC147" s="23" t="n">
        <v>0.08</v>
      </c>
      <c r="AD147" s="21">
        <f>H147*AC147</f>
        <v/>
      </c>
      <c r="AE147" s="21">
        <f>AB147+AD147</f>
        <v/>
      </c>
      <c r="AF147" s="25">
        <f>AE147/H147</f>
        <v/>
      </c>
      <c r="AG147" s="26">
        <f>H147-O147-P147-Q147-R147-S147-T147-W147-Y147-Z147-M147-AL147</f>
        <v/>
      </c>
      <c r="AH147" s="27">
        <f>AG147-AE147</f>
        <v/>
      </c>
      <c r="AI147" s="28">
        <f>AH147/H147</f>
        <v/>
      </c>
      <c r="AJ147" s="29">
        <f>AH147/M147</f>
        <v/>
      </c>
      <c r="AK147" s="21">
        <f>(P147+R147+W147+Y147+Z147+M147)/(1-(N147+$H$4+(1-I147)*$H$3+$H$8+$H$11+AA147+AC147))</f>
        <v/>
      </c>
      <c r="AL147" s="90">
        <f>H147*$H$11</f>
        <v/>
      </c>
    </row>
    <row r="148">
      <c r="A148" s="46" t="inlineStr">
        <is>
          <t>MEDICUBE PDRN PINK EXOSOME SHOT SERUM 2000 30ml</t>
        </is>
      </c>
      <c r="B148" s="47" t="n">
        <v>300</v>
      </c>
      <c r="C148" s="45" t="n"/>
      <c r="D148" s="101" t="n">
        <v>0</v>
      </c>
      <c r="E148" s="14" t="n">
        <v>5150</v>
      </c>
      <c r="F148" s="14" t="n">
        <v>65</v>
      </c>
      <c r="G148" s="14" t="n">
        <v>5</v>
      </c>
      <c r="H148" s="14" t="n">
        <v>4850</v>
      </c>
      <c r="I148" s="15" t="n">
        <v>0.45</v>
      </c>
      <c r="J148" s="16">
        <f>H148*(1-I148)</f>
        <v/>
      </c>
      <c r="K148" s="17" t="n">
        <v>757</v>
      </c>
      <c r="L148" s="18">
        <f>$H$5</f>
        <v/>
      </c>
      <c r="M148" s="19">
        <f>K148+L148</f>
        <v/>
      </c>
      <c r="N148" s="20" t="n">
        <v>0.41</v>
      </c>
      <c r="O148" s="21">
        <f>H148*N148</f>
        <v/>
      </c>
      <c r="P148" s="22" t="n">
        <v>63</v>
      </c>
      <c r="Q148" s="21">
        <f>H148*$H$8</f>
        <v/>
      </c>
      <c r="R148" s="22" t="n">
        <v>25</v>
      </c>
      <c r="S148" s="21">
        <f>H148*$H$4</f>
        <v/>
      </c>
      <c r="T148" s="21">
        <f>J148*$H$3</f>
        <v/>
      </c>
      <c r="U148" s="23" t="n">
        <v>0.9</v>
      </c>
      <c r="V148" s="22" t="n">
        <v>63</v>
      </c>
      <c r="W148" s="21">
        <f>V148*(1-U148)</f>
        <v/>
      </c>
      <c r="X148" s="24" t="n">
        <v>0.4</v>
      </c>
      <c r="Y148" s="21">
        <f>$H$6*$H$7*X148</f>
        <v/>
      </c>
      <c r="Z148" s="19">
        <f>X148*($H$9+$H$10)</f>
        <v/>
      </c>
      <c r="AA148" s="20" t="n">
        <v>0.07000000000000001</v>
      </c>
      <c r="AB148" s="21">
        <f>H148*AA148</f>
        <v/>
      </c>
      <c r="AC148" s="23" t="n">
        <v>0.08</v>
      </c>
      <c r="AD148" s="21">
        <f>H148*AC148</f>
        <v/>
      </c>
      <c r="AE148" s="21">
        <f>AB148+AD148</f>
        <v/>
      </c>
      <c r="AF148" s="25">
        <f>AE148/H148</f>
        <v/>
      </c>
      <c r="AG148" s="26">
        <f>H148-O148-P148-Q148-R148-S148-T148-W148-Y148-Z148-M148-AL148</f>
        <v/>
      </c>
      <c r="AH148" s="27">
        <f>AG148-AE148</f>
        <v/>
      </c>
      <c r="AI148" s="28">
        <f>AH148/H148</f>
        <v/>
      </c>
      <c r="AJ148" s="29">
        <f>AH148/M148</f>
        <v/>
      </c>
      <c r="AK148" s="21">
        <f>(P148+R148+W148+Y148+Z148+M148)/(1-(N148+$H$4+(1-I148)*$H$3+$H$8+$H$11+AA148+AC148))</f>
        <v/>
      </c>
      <c r="AL148" s="90">
        <f>H148*$H$11</f>
        <v/>
      </c>
    </row>
    <row r="149">
      <c r="A149" s="46" t="inlineStr">
        <is>
          <t>MEDICUBE TXA NIACINAMIDE CAPSULE CREAM 55g</t>
        </is>
      </c>
      <c r="B149" s="47" t="n">
        <v>240</v>
      </c>
      <c r="C149" s="45" t="n"/>
      <c r="D149" s="101" t="n">
        <v>0</v>
      </c>
      <c r="E149" s="14" t="n">
        <v>6900</v>
      </c>
      <c r="F149" s="14" t="n">
        <v>25</v>
      </c>
      <c r="G149" s="14" t="n">
        <v>0</v>
      </c>
      <c r="H149" s="14" t="n">
        <v>6500</v>
      </c>
      <c r="I149" s="15" t="n">
        <v>0.45</v>
      </c>
      <c r="J149" s="16">
        <f>H149*(1-I149)</f>
        <v/>
      </c>
      <c r="K149" s="17" t="n">
        <v>922</v>
      </c>
      <c r="L149" s="18">
        <f>$H$5</f>
        <v/>
      </c>
      <c r="M149" s="19">
        <f>K149+L149</f>
        <v/>
      </c>
      <c r="N149" s="20" t="n">
        <v>0.41</v>
      </c>
      <c r="O149" s="21">
        <f>H149*N149</f>
        <v/>
      </c>
      <c r="P149" s="22" t="n">
        <v>63</v>
      </c>
      <c r="Q149" s="21">
        <f>H149*$H$8</f>
        <v/>
      </c>
      <c r="R149" s="22" t="n">
        <v>25</v>
      </c>
      <c r="S149" s="21">
        <f>H149*$H$4</f>
        <v/>
      </c>
      <c r="T149" s="21">
        <f>J149*$H$3</f>
        <v/>
      </c>
      <c r="U149" s="23" t="n">
        <v>0.9</v>
      </c>
      <c r="V149" s="22" t="n">
        <v>63</v>
      </c>
      <c r="W149" s="21">
        <f>V149*(1-U149)</f>
        <v/>
      </c>
      <c r="X149" s="24" t="n">
        <v>0.4</v>
      </c>
      <c r="Y149" s="21">
        <f>$H$6*$H$7*X149</f>
        <v/>
      </c>
      <c r="Z149" s="19">
        <f>X149*($H$9+$H$10)</f>
        <v/>
      </c>
      <c r="AA149" s="20" t="n">
        <v>0.07000000000000001</v>
      </c>
      <c r="AB149" s="21">
        <f>H149*AA149</f>
        <v/>
      </c>
      <c r="AC149" s="23" t="n">
        <v>0.08</v>
      </c>
      <c r="AD149" s="21">
        <f>H149*AC149</f>
        <v/>
      </c>
      <c r="AE149" s="21">
        <f>AB149+AD149</f>
        <v/>
      </c>
      <c r="AF149" s="25">
        <f>AE149/H149</f>
        <v/>
      </c>
      <c r="AG149" s="26">
        <f>H149-O149-P149-Q149-R149-S149-T149-W149-Y149-Z149-M149-AL149</f>
        <v/>
      </c>
      <c r="AH149" s="27">
        <f>AG149-AE149</f>
        <v/>
      </c>
      <c r="AI149" s="28">
        <f>AH149/H149</f>
        <v/>
      </c>
      <c r="AJ149" s="29">
        <f>AH149/M149</f>
        <v/>
      </c>
      <c r="AK149" s="21">
        <f>(P149+R149+W149+Y149+Z149+M149)/(1-(N149+$H$4+(1-I149)*$H$3+$H$8+$H$11+AA149+AC149))</f>
        <v/>
      </c>
      <c r="AL149" s="90">
        <f>H149*$H$11</f>
        <v/>
      </c>
    </row>
    <row r="150">
      <c r="A150" s="46" t="inlineStr">
        <is>
          <t>MEDICUBE PDRN PINK COLLAGEN CAPSULE CREAM 55g</t>
        </is>
      </c>
      <c r="B150" s="47" t="n">
        <v>160</v>
      </c>
      <c r="C150" s="45" t="n"/>
      <c r="D150" s="101" t="n">
        <v>0</v>
      </c>
      <c r="E150" s="14" t="n">
        <v>5270</v>
      </c>
      <c r="F150" s="14" t="n">
        <v>200</v>
      </c>
      <c r="G150" s="14" t="n">
        <v>17</v>
      </c>
      <c r="H150" s="14" t="n">
        <v>5000</v>
      </c>
      <c r="I150" s="15" t="n">
        <v>0.45</v>
      </c>
      <c r="J150" s="16">
        <f>H150*(1-I150)</f>
        <v/>
      </c>
      <c r="K150" s="17" t="n">
        <v>1019</v>
      </c>
      <c r="L150" s="18">
        <f>$H$5</f>
        <v/>
      </c>
      <c r="M150" s="19">
        <f>K150+L150</f>
        <v/>
      </c>
      <c r="N150" s="20" t="n">
        <v>0.41</v>
      </c>
      <c r="O150" s="21">
        <f>H150*N150</f>
        <v/>
      </c>
      <c r="P150" s="22" t="n">
        <v>63</v>
      </c>
      <c r="Q150" s="21">
        <f>H150*$H$8</f>
        <v/>
      </c>
      <c r="R150" s="22" t="n">
        <v>25</v>
      </c>
      <c r="S150" s="21">
        <f>H150*$H$4</f>
        <v/>
      </c>
      <c r="T150" s="21">
        <f>J150*$H$3</f>
        <v/>
      </c>
      <c r="U150" s="23" t="n">
        <v>0.9</v>
      </c>
      <c r="V150" s="22" t="n">
        <v>63</v>
      </c>
      <c r="W150" s="21">
        <f>V150*(1-U150)</f>
        <v/>
      </c>
      <c r="X150" s="24" t="n">
        <v>0.4</v>
      </c>
      <c r="Y150" s="21">
        <f>$H$6*$H$7*X150</f>
        <v/>
      </c>
      <c r="Z150" s="19">
        <f>X150*($H$9+$H$10)</f>
        <v/>
      </c>
      <c r="AA150" s="20" t="n">
        <v>0.07000000000000001</v>
      </c>
      <c r="AB150" s="21">
        <f>H150*AA150</f>
        <v/>
      </c>
      <c r="AC150" s="23" t="n">
        <v>0.08</v>
      </c>
      <c r="AD150" s="21">
        <f>H150*AC150</f>
        <v/>
      </c>
      <c r="AE150" s="21">
        <f>AB150+AD150</f>
        <v/>
      </c>
      <c r="AF150" s="25">
        <f>AE150/H150</f>
        <v/>
      </c>
      <c r="AG150" s="26">
        <f>H150-O150-P150-Q150-R150-S150-T150-W150-Y150-Z150-M150-AL150</f>
        <v/>
      </c>
      <c r="AH150" s="27">
        <f>AG150-AE150</f>
        <v/>
      </c>
      <c r="AI150" s="28">
        <f>AH150/H150</f>
        <v/>
      </c>
      <c r="AJ150" s="29">
        <f>AH150/M150</f>
        <v/>
      </c>
      <c r="AK150" s="21">
        <f>(P150+R150+W150+Y150+Z150+M150)/(1-(N150+$H$4+(1-I150)*$H$3+$H$8+$H$11+AA150+AC150))</f>
        <v/>
      </c>
      <c r="AL150" s="90">
        <f>H150*$H$11</f>
        <v/>
      </c>
    </row>
    <row r="151">
      <c r="A151" s="46" t="inlineStr">
        <is>
          <t>MEDICUBE PDRN PINK HYALURONIC MOISTURIZING CREAM 50ml</t>
        </is>
      </c>
      <c r="B151" s="47" t="n">
        <v>200</v>
      </c>
      <c r="C151" s="45" t="n"/>
      <c r="D151" s="101" t="n">
        <v>0</v>
      </c>
      <c r="E151" s="14" t="n">
        <v>3450</v>
      </c>
      <c r="F151" s="14" t="n">
        <v>100</v>
      </c>
      <c r="G151" s="14" t="n">
        <v>10</v>
      </c>
      <c r="H151" s="14" t="n">
        <v>3150</v>
      </c>
      <c r="I151" s="15" t="n">
        <v>0.45</v>
      </c>
      <c r="J151" s="16">
        <f>H151*(1-I151)</f>
        <v/>
      </c>
      <c r="K151" s="17" t="n">
        <v>670</v>
      </c>
      <c r="L151" s="18">
        <f>$H$5</f>
        <v/>
      </c>
      <c r="M151" s="19">
        <f>K151+L151</f>
        <v/>
      </c>
      <c r="N151" s="20" t="n">
        <v>0.41</v>
      </c>
      <c r="O151" s="21">
        <f>H151*N151</f>
        <v/>
      </c>
      <c r="P151" s="22" t="n">
        <v>63</v>
      </c>
      <c r="Q151" s="21">
        <f>H151*$H$8</f>
        <v/>
      </c>
      <c r="R151" s="22" t="n">
        <v>25</v>
      </c>
      <c r="S151" s="21">
        <f>H151*$H$4</f>
        <v/>
      </c>
      <c r="T151" s="21">
        <f>J151*$H$3</f>
        <v/>
      </c>
      <c r="U151" s="23" t="n">
        <v>0.9</v>
      </c>
      <c r="V151" s="22" t="n">
        <v>63</v>
      </c>
      <c r="W151" s="21">
        <f>V151*(1-U151)</f>
        <v/>
      </c>
      <c r="X151" s="24" t="n">
        <v>0.4</v>
      </c>
      <c r="Y151" s="21">
        <f>$H$6*$H$7*X151</f>
        <v/>
      </c>
      <c r="Z151" s="19">
        <f>X151*($H$9+$H$10)</f>
        <v/>
      </c>
      <c r="AA151" s="20" t="n">
        <v>0.07000000000000001</v>
      </c>
      <c r="AB151" s="21">
        <f>H151*AA151</f>
        <v/>
      </c>
      <c r="AC151" s="23" t="n">
        <v>0.08</v>
      </c>
      <c r="AD151" s="21">
        <f>H151*AC151</f>
        <v/>
      </c>
      <c r="AE151" s="21">
        <f>AB151+AD151</f>
        <v/>
      </c>
      <c r="AF151" s="25">
        <f>AE151/H151</f>
        <v/>
      </c>
      <c r="AG151" s="26">
        <f>H151-O151-P151-Q151-R151-S151-T151-W151-Y151-Z151-M151-AL151</f>
        <v/>
      </c>
      <c r="AH151" s="27">
        <f>AG151-AE151</f>
        <v/>
      </c>
      <c r="AI151" s="28">
        <f>AH151/H151</f>
        <v/>
      </c>
      <c r="AJ151" s="29">
        <f>AH151/M151</f>
        <v/>
      </c>
      <c r="AK151" s="21">
        <f>(P151+R151+W151+Y151+Z151+M151)/(1-(N151+$H$4+(1-I151)*$H$3+$H$8+$H$11+AA151+AC151))</f>
        <v/>
      </c>
      <c r="AL151" s="90">
        <f>H151*$H$11</f>
        <v/>
      </c>
    </row>
    <row r="152">
      <c r="A152" s="46" t="inlineStr">
        <is>
          <t>[Derma Factory] PDRN 4% Ampoule</t>
        </is>
      </c>
      <c r="B152" s="47" t="n">
        <v>1530</v>
      </c>
      <c r="C152" s="45" t="n"/>
      <c r="D152" s="92" t="n">
        <v>0</v>
      </c>
      <c r="E152" s="14" t="n">
        <v>3350</v>
      </c>
      <c r="F152" s="14" t="n">
        <v>400</v>
      </c>
      <c r="G152" s="14" t="n">
        <v>13</v>
      </c>
      <c r="H152" s="14" t="n">
        <v>3050</v>
      </c>
      <c r="I152" s="15" t="n">
        <v>0.45</v>
      </c>
      <c r="J152" s="16">
        <f>H152*(1-I152)</f>
        <v/>
      </c>
      <c r="K152" s="17" t="n">
        <v>407</v>
      </c>
      <c r="L152" s="18">
        <f>$H$5</f>
        <v/>
      </c>
      <c r="M152" s="19">
        <f>K152+L152</f>
        <v/>
      </c>
      <c r="N152" s="20" t="n">
        <v>0.41</v>
      </c>
      <c r="O152" s="21">
        <f>H152*N152</f>
        <v/>
      </c>
      <c r="P152" s="22" t="n">
        <v>63</v>
      </c>
      <c r="Q152" s="21">
        <f>H152*$H$8</f>
        <v/>
      </c>
      <c r="R152" s="22" t="n">
        <v>25</v>
      </c>
      <c r="S152" s="21">
        <f>H152*$H$4</f>
        <v/>
      </c>
      <c r="T152" s="21">
        <f>J152*$H$3</f>
        <v/>
      </c>
      <c r="U152" s="23" t="n">
        <v>0.9</v>
      </c>
      <c r="V152" s="22" t="n">
        <v>63</v>
      </c>
      <c r="W152" s="21">
        <f>V152*(1-U152)</f>
        <v/>
      </c>
      <c r="X152" s="24" t="n">
        <v>0.4</v>
      </c>
      <c r="Y152" s="21">
        <f>$H$6*$H$7*X152</f>
        <v/>
      </c>
      <c r="Z152" s="19">
        <f>X152*($H$9+$H$10)</f>
        <v/>
      </c>
      <c r="AA152" s="20" t="n">
        <v>0.07000000000000001</v>
      </c>
      <c r="AB152" s="21">
        <f>H152*AA152</f>
        <v/>
      </c>
      <c r="AC152" s="23" t="n">
        <v>0.08</v>
      </c>
      <c r="AD152" s="21">
        <f>H152*AC152</f>
        <v/>
      </c>
      <c r="AE152" s="21">
        <f>AB152+AD152</f>
        <v/>
      </c>
      <c r="AF152" s="25">
        <f>AE152/H152</f>
        <v/>
      </c>
      <c r="AG152" s="26">
        <f>H152-O152-P152-Q152-R152-S152-T152-W152-Y152-Z152-M152-AL152</f>
        <v/>
      </c>
      <c r="AH152" s="27">
        <f>AG152-AE152</f>
        <v/>
      </c>
      <c r="AI152" s="28">
        <f>AH152/H152</f>
        <v/>
      </c>
      <c r="AJ152" s="29">
        <f>AH152/M152</f>
        <v/>
      </c>
      <c r="AK152" s="21">
        <f>(P152+R152+W152+Y152+Z152+M152)/(1-(N152+$H$4+(1-I152)*$H$3+$H$8+$H$11+AA152+AC152))</f>
        <v/>
      </c>
      <c r="AL152" s="90">
        <f>H152*$H$11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52"/>
  <sheetViews>
    <sheetView tabSelected="1" zoomScale="70" zoomScaleNormal="70" workbookViewId="0">
      <pane xSplit="9" ySplit="13" topLeftCell="J104" activePane="bottomRight" state="frozen"/>
      <selection pane="topRight" activeCell="A1" sqref="A1"/>
      <selection pane="bottomLeft" activeCell="A1" sqref="A1"/>
      <selection pane="bottomRight" activeCell="C98" sqref="C98"/>
    </sheetView>
  </sheetViews>
  <sheetFormatPr baseColWidth="8" defaultRowHeight="14.5"/>
  <cols>
    <col width="62.7265625" customWidth="1" min="1" max="1"/>
    <col width="20.54296875" customWidth="1" style="93" min="2" max="2"/>
    <col width="12.08984375" customWidth="1" min="3" max="3"/>
    <col width="18.81640625" customWidth="1" min="4" max="4"/>
    <col width="10" customWidth="1" min="5" max="5"/>
    <col width="11.08984375" customWidth="1" min="6" max="6"/>
    <col width="11.26953125" customWidth="1" min="7" max="7"/>
    <col width="10" customWidth="1" min="8" max="8"/>
    <col width="7.453125" customWidth="1" min="9" max="9"/>
    <col width="8.54296875" customWidth="1" min="10" max="10"/>
    <col width="7.7265625" customWidth="1" min="11" max="11"/>
    <col width="9.81640625" customWidth="1" min="12" max="12"/>
    <col width="7.08984375" customWidth="1" min="13" max="13"/>
    <col width="9.453125" customWidth="1" min="14" max="14"/>
    <col width="13.453125" customWidth="1" min="15" max="15"/>
    <col width="13.26953125" customWidth="1" min="16" max="16"/>
    <col width="9.26953125" customWidth="1" min="17" max="17"/>
    <col width="9.453125" customWidth="1" min="18" max="18"/>
    <col width="10" customWidth="1" min="19" max="19"/>
    <col width="6.453125" customWidth="1" min="20" max="20"/>
    <col width="9" customWidth="1" min="21" max="21"/>
    <col width="8.26953125" customWidth="1" min="22" max="22"/>
    <col width="13" customWidth="1" min="23" max="23"/>
    <col width="9.453125" customWidth="1" min="24" max="24"/>
    <col width="10" customWidth="1" min="25" max="25"/>
    <col width="13.453125" customWidth="1" min="26" max="26"/>
    <col width="10" customWidth="1" min="27" max="27"/>
    <col width="13" customWidth="1" min="28" max="28"/>
    <col width="8.7265625" customWidth="1" min="29" max="29"/>
    <col width="13" customWidth="1" min="30" max="30"/>
    <col width="9" customWidth="1" min="31" max="31"/>
    <col width="6.81640625" customWidth="1" min="32" max="32"/>
    <col width="10.453125" customWidth="1" min="33" max="33"/>
    <col width="8.54296875" customWidth="1" min="34" max="34"/>
    <col width="9.7265625" customWidth="1" min="35" max="35"/>
    <col width="6.453125" customWidth="1" min="36" max="36"/>
    <col width="9.08984375" customWidth="1" min="37" max="37"/>
    <col width="13" customWidth="1" min="38" max="39"/>
  </cols>
  <sheetData>
    <row r="1" ht="15.5" customHeight="1">
      <c r="A1" s="55" t="inlineStr">
        <is>
          <t>ПАРАМЕТРЫ — меняй жёлтые ячейки, всё пересчитается</t>
        </is>
      </c>
      <c r="B1" s="55" t="n"/>
    </row>
    <row r="3">
      <c r="A3" s="45" t="inlineStr">
        <is>
          <t>Налог с оборота</t>
        </is>
      </c>
      <c r="B3" s="45" t="n"/>
      <c r="I3" s="56" t="n">
        <v>0.07000000000000001</v>
      </c>
    </row>
    <row r="4">
      <c r="A4" s="45" t="inlineStr">
        <is>
          <t>Эквайринг</t>
        </is>
      </c>
      <c r="B4" s="45" t="n"/>
      <c r="I4" s="57" t="n">
        <v>0.015</v>
      </c>
    </row>
    <row r="5">
      <c r="A5" s="45" t="inlineStr">
        <is>
          <t>Фулфилмент, ₽/шт</t>
        </is>
      </c>
      <c r="B5" s="45" t="n"/>
      <c r="I5" s="58" t="n">
        <v>60</v>
      </c>
    </row>
    <row r="6">
      <c r="A6" s="45" t="inlineStr">
        <is>
          <t>Хранение, ₽/л/день</t>
        </is>
      </c>
      <c r="B6" s="45" t="n"/>
      <c r="I6" s="59" t="n">
        <v>0.16</v>
      </c>
    </row>
    <row r="7">
      <c r="A7" s="45" t="inlineStr">
        <is>
          <t>Дней хранения</t>
        </is>
      </c>
      <c r="B7" s="45" t="n"/>
      <c r="I7" s="58" t="n">
        <v>0</v>
      </c>
    </row>
    <row r="8">
      <c r="A8" s="45" t="inlineStr">
        <is>
          <t>Наценка за нелокальные продажи %</t>
        </is>
      </c>
      <c r="B8" s="45" t="n"/>
      <c r="I8" s="57" t="n">
        <v>0.02</v>
      </c>
    </row>
    <row r="9">
      <c r="A9" s="45" t="inlineStr">
        <is>
          <t>Кроссдок: обработка (склады/СЦ) ₽/л</t>
        </is>
      </c>
      <c r="B9" s="45" t="n"/>
      <c r="I9" s="59" t="n">
        <v>0.75</v>
      </c>
    </row>
    <row r="10">
      <c r="A10" s="45" t="inlineStr">
        <is>
          <t>Кроссдок: перевозка ₽/л (средн. 26 скл.)</t>
        </is>
      </c>
      <c r="B10" s="45" t="n"/>
      <c r="I10" s="59" t="n">
        <v>4.423</v>
      </c>
    </row>
    <row r="11">
      <c r="A11" t="inlineStr">
        <is>
          <t>Подписка, %</t>
        </is>
      </c>
      <c r="I11" s="60" t="n">
        <v>0.03</v>
      </c>
    </row>
    <row r="12">
      <c r="A12" t="inlineStr">
        <is>
          <t>Отгрузка на ПВЗ, ₽</t>
        </is>
      </c>
      <c r="I12" s="61" t="n">
        <v>10</v>
      </c>
    </row>
    <row r="13" ht="32" customHeight="1">
      <c r="A13" s="62" t="inlineStr">
        <is>
          <t>Товар</t>
        </is>
      </c>
      <c r="B13" s="94" t="n"/>
      <c r="C13" s="62" t="inlineStr">
        <is>
          <t>Заказ контейнер шт</t>
        </is>
      </c>
      <c r="D13" s="62" t="inlineStr">
        <is>
          <t>Комментарий</t>
        </is>
      </c>
      <c r="E13" s="91" t="inlineStr">
        <is>
          <t>Остаток</t>
        </is>
      </c>
      <c r="F13" s="62" t="inlineStr">
        <is>
          <t>Цена конкурента без СПП</t>
        </is>
      </c>
      <c r="G13" s="62" t="inlineStr">
        <is>
          <t>Кол-во продаж конкурент</t>
        </is>
      </c>
      <c r="H13" s="62" t="inlineStr">
        <is>
          <t>ДРР конкурент</t>
        </is>
      </c>
      <c r="I13" s="62" t="inlineStr">
        <is>
          <t>Цена наша без СПП</t>
        </is>
      </c>
      <c r="J13" s="6" t="inlineStr">
        <is>
          <t>СПП, %</t>
        </is>
      </c>
      <c r="K13" s="7" t="inlineStr">
        <is>
          <t>Цена с СПП</t>
        </is>
      </c>
      <c r="L13" s="62" t="inlineStr">
        <is>
          <t>Себест.</t>
        </is>
      </c>
      <c r="M13" s="62" t="inlineStr">
        <is>
          <t>Фулфилмент</t>
        </is>
      </c>
      <c r="N13" s="8" t="inlineStr">
        <is>
          <t>База затрат</t>
        </is>
      </c>
      <c r="O13" s="7" t="inlineStr">
        <is>
          <t>Комиссия %</t>
        </is>
      </c>
      <c r="P13" s="62" t="inlineStr">
        <is>
          <t>Комиссия ₽</t>
        </is>
      </c>
      <c r="Q13" s="62" t="inlineStr">
        <is>
          <t>Логистика</t>
        </is>
      </c>
      <c r="R13" s="62" t="inlineStr">
        <is>
          <t>Наценка нелок., ₽</t>
        </is>
      </c>
      <c r="S13" s="62" t="inlineStr">
        <is>
          <t>Доставка до ПВЗ</t>
        </is>
      </c>
      <c r="T13" s="62" t="inlineStr">
        <is>
          <t>Эквайринг</t>
        </is>
      </c>
      <c r="U13" s="62" t="inlineStr">
        <is>
          <t>Налог</t>
        </is>
      </c>
      <c r="V13" s="62" t="inlineStr">
        <is>
          <t>Выкуп %</t>
        </is>
      </c>
      <c r="W13" s="62" t="inlineStr">
        <is>
          <t>Обр.лог база</t>
        </is>
      </c>
      <c r="X13" s="62" t="inlineStr">
        <is>
          <t>Обр.лог</t>
        </is>
      </c>
      <c r="Y13" s="62" t="inlineStr">
        <is>
          <t>Объём, л</t>
        </is>
      </c>
      <c r="Z13" s="62" t="inlineStr">
        <is>
          <t>Хранение</t>
        </is>
      </c>
      <c r="AA13" s="8" t="inlineStr">
        <is>
          <t>Кроссдок ср., ₽/ед</t>
        </is>
      </c>
      <c r="AB13" s="7" t="inlineStr">
        <is>
          <t>Оплата за клик, %</t>
        </is>
      </c>
      <c r="AC13" s="62" t="inlineStr">
        <is>
          <t>Оплата за клик ₽</t>
        </is>
      </c>
      <c r="AD13" s="62" t="inlineStr">
        <is>
          <t>Вывод в топ, %</t>
        </is>
      </c>
      <c r="AE13" s="62" t="inlineStr">
        <is>
          <t>Вывод в топ ₽</t>
        </is>
      </c>
      <c r="AF13" s="62" t="inlineStr">
        <is>
          <t>Реклама всего ₽</t>
        </is>
      </c>
      <c r="AG13" s="8" t="inlineStr">
        <is>
          <t>ДРР %</t>
        </is>
      </c>
      <c r="AH13" s="9" t="inlineStr">
        <is>
          <t>Маржа до рекл.</t>
        </is>
      </c>
      <c r="AI13" s="62" t="inlineStr">
        <is>
          <t>Маржа/шт</t>
        </is>
      </c>
      <c r="AJ13" s="62" t="inlineStr">
        <is>
          <t>Маржа % цены</t>
        </is>
      </c>
      <c r="AK13" s="62" t="inlineStr">
        <is>
          <t>ROI %</t>
        </is>
      </c>
      <c r="AL13" s="62" t="inlineStr">
        <is>
          <t>Цена безубыт.</t>
        </is>
      </c>
      <c r="AM13" s="63" t="inlineStr">
        <is>
          <t>Отгрузка на ПВЗ, ₽</t>
        </is>
      </c>
      <c r="AN13" s="63" t="inlineStr">
        <is>
          <t>Подписка, ₽</t>
        </is>
      </c>
    </row>
    <row r="14">
      <c r="A14" s="64" t="inlineStr">
        <is>
          <t>Косметика/COSRX</t>
        </is>
      </c>
      <c r="B14" s="95" t="n"/>
      <c r="C14" s="65" t="n"/>
      <c r="D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  <c r="AA14" s="65" t="n"/>
      <c r="AB14" s="65" t="n"/>
      <c r="AC14" s="65" t="n"/>
      <c r="AD14" s="65" t="n"/>
      <c r="AE14" s="65" t="n"/>
      <c r="AF14" s="65" t="n"/>
      <c r="AG14" s="65" t="n"/>
      <c r="AH14" s="65" t="n"/>
      <c r="AI14" s="65" t="n"/>
      <c r="AJ14" s="65" t="n"/>
      <c r="AK14" s="65" t="n"/>
      <c r="AL14" s="65" t="n"/>
      <c r="AM14" s="65" t="n"/>
      <c r="AN14" s="65" t="n"/>
    </row>
    <row r="15" ht="29" customHeight="1">
      <c r="A15" s="66" t="inlineStr">
        <is>
          <t>COSRX - Salicylic Acid Daily Gentle Cleanser [150ml] / Пенка с салициловой кислотой для проблемной кожи</t>
        </is>
      </c>
      <c r="B15" s="96" t="inlineStr">
        <is>
          <t>ФБС</t>
        </is>
      </c>
      <c r="C15" s="67" t="n"/>
      <c r="D15" s="68" t="n"/>
      <c r="E15" s="92" t="n">
        <v>412</v>
      </c>
      <c r="F15" s="69" t="n">
        <v>1680</v>
      </c>
      <c r="G15" s="69" t="n">
        <v>286</v>
      </c>
      <c r="H15" s="69" t="n">
        <v>22.3</v>
      </c>
      <c r="I15" s="69">
        <f>(1.20*N15+Q15+S15+X15+Z15+AA15+AM15)/(1-O15-$I$8-$I$4-(1-J15)*$I$3-$I$11-AB15-AD15)</f>
        <v/>
      </c>
      <c r="J15" s="15" t="n">
        <v>0.45</v>
      </c>
      <c r="K15" s="16">
        <f>I15*(1-J15)</f>
        <v/>
      </c>
      <c r="L15" s="70" t="n">
        <v>343.82</v>
      </c>
      <c r="M15" s="71">
        <f>$I$5</f>
        <v/>
      </c>
      <c r="N15" s="19">
        <f>L15+M15</f>
        <v/>
      </c>
      <c r="O15" s="20" t="n">
        <v>0.47</v>
      </c>
      <c r="P15" s="72">
        <f>I15*O15</f>
        <v/>
      </c>
      <c r="Q15" s="73" t="n">
        <v>67</v>
      </c>
      <c r="R15" s="72">
        <f>I15*$I$8</f>
        <v/>
      </c>
      <c r="S15" s="73" t="n">
        <v>25</v>
      </c>
      <c r="T15" s="72">
        <f>I15*$I$4</f>
        <v/>
      </c>
      <c r="U15" s="72">
        <f>K15*$I$3</f>
        <v/>
      </c>
      <c r="V15" s="74" t="n">
        <v>0.9</v>
      </c>
      <c r="W15" s="73" t="n">
        <v>67</v>
      </c>
      <c r="X15" s="72">
        <f>W15*(1-V15)</f>
        <v/>
      </c>
      <c r="Y15" s="75" t="n">
        <v>0.63</v>
      </c>
      <c r="Z15" s="72">
        <f>$I$6*$I$7*Y15</f>
        <v/>
      </c>
      <c r="AA15" s="19">
        <f>Y15*($I$9+$I$10)</f>
        <v/>
      </c>
      <c r="AB15" s="20" t="n">
        <v>0.11</v>
      </c>
      <c r="AC15" s="72">
        <f>I15*AB15</f>
        <v/>
      </c>
      <c r="AD15" s="74" t="n">
        <v>0.11</v>
      </c>
      <c r="AE15" s="72">
        <f>I15*AD15</f>
        <v/>
      </c>
      <c r="AF15" s="72">
        <f>AC15+AE15</f>
        <v/>
      </c>
      <c r="AG15" s="25">
        <f>AF15/I15</f>
        <v/>
      </c>
      <c r="AH15" s="26">
        <f>I15-P15-Q15-R15-S15-T15-U15-X15-Z15-AA15-N15-AM15-AN15</f>
        <v/>
      </c>
      <c r="AI15" s="76">
        <f>AH15-AF15</f>
        <v/>
      </c>
      <c r="AJ15" s="77">
        <f>AI15/I15</f>
        <v/>
      </c>
      <c r="AK15" s="78">
        <f>AI15/N15</f>
        <v/>
      </c>
      <c r="AL15" s="72">
        <f>(Q15+S15+X15+Z15+AA15+N15+AM15)/(1-(O15+$I$4+(1-J15)*$I$3+$I$8+$I$11+AB15+AD15))</f>
        <v/>
      </c>
      <c r="AM15" s="72">
        <f>$I$12</f>
        <v/>
      </c>
      <c r="AN15" s="72">
        <f>I15*$I$11</f>
        <v/>
      </c>
    </row>
    <row r="16">
      <c r="A16" s="64" t="inlineStr">
        <is>
          <t>Косметика/DEOPROCE/DEOPROCE-SHAMPOO</t>
        </is>
      </c>
      <c r="B16" s="95" t="n"/>
      <c r="C16" s="65" t="n"/>
      <c r="D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  <c r="AA16" s="65" t="n"/>
      <c r="AB16" s="65" t="n"/>
      <c r="AC16" s="65" t="n"/>
      <c r="AD16" s="65" t="n"/>
      <c r="AE16" s="65" t="n"/>
      <c r="AF16" s="65" t="n"/>
      <c r="AG16" s="65" t="n"/>
      <c r="AH16" s="65" t="n"/>
      <c r="AI16" s="65" t="n"/>
      <c r="AJ16" s="65" t="n"/>
      <c r="AK16" s="65" t="n"/>
      <c r="AL16" s="65" t="n"/>
      <c r="AM16" s="65" t="n"/>
      <c r="AN16" s="65" t="n"/>
    </row>
    <row r="17" ht="43.5" customHeight="1">
      <c r="A17" s="79" t="inlineStr">
        <is>
          <t>DEOPROCE SHAMPOO - BLACK GARLIC INTENSME ENERGY [600ml] мягкая упаковка Шампунь с черным чесноком против выпадения волос</t>
        </is>
      </c>
      <c r="B17" s="97" t="n"/>
      <c r="C17" s="80" t="n"/>
      <c r="D17" s="80" t="n"/>
      <c r="E17" s="92" t="n">
        <v>72</v>
      </c>
      <c r="F17" s="81" t="n"/>
      <c r="G17" s="81" t="n"/>
      <c r="H17" s="81" t="n"/>
      <c r="I17" s="81" t="n"/>
      <c r="J17" s="32" t="n"/>
      <c r="K17" s="33" t="n"/>
      <c r="L17" s="82" t="n"/>
      <c r="M17" s="82" t="n"/>
      <c r="N17" s="35" t="n"/>
      <c r="O17" s="36" t="n"/>
      <c r="P17" s="81" t="n"/>
      <c r="Q17" s="81" t="n"/>
      <c r="R17" s="81" t="n"/>
      <c r="S17" s="81" t="n"/>
      <c r="T17" s="81" t="n"/>
      <c r="U17" s="81" t="n"/>
      <c r="V17" s="83" t="n"/>
      <c r="W17" s="81" t="n"/>
      <c r="X17" s="81" t="n"/>
      <c r="Y17" s="84" t="n"/>
      <c r="Z17" s="81" t="n"/>
      <c r="AA17" s="35" t="n"/>
      <c r="AB17" s="36" t="n"/>
      <c r="AC17" s="81" t="n"/>
      <c r="AD17" s="83" t="n"/>
      <c r="AE17" s="81" t="n"/>
      <c r="AF17" s="81" t="n"/>
      <c r="AG17" s="39" t="n"/>
      <c r="AH17" s="40" t="n"/>
      <c r="AI17" s="81" t="n"/>
      <c r="AJ17" s="83" t="n"/>
      <c r="AK17" s="83" t="n"/>
      <c r="AL17" s="81" t="n"/>
      <c r="AM17" s="81" t="n"/>
      <c r="AN17" s="81" t="n"/>
    </row>
    <row r="18" ht="43.5" customHeight="1">
      <c r="A18" s="79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8" s="97" t="n"/>
      <c r="C18" s="80" t="n"/>
      <c r="D18" s="80" t="n"/>
      <c r="E18" s="92" t="n">
        <v>19</v>
      </c>
      <c r="F18" s="81" t="n"/>
      <c r="G18" s="81" t="n"/>
      <c r="H18" s="81" t="n"/>
      <c r="I18" s="81" t="n"/>
      <c r="J18" s="32" t="n"/>
      <c r="K18" s="33" t="n"/>
      <c r="L18" s="82" t="n"/>
      <c r="M18" s="82" t="n"/>
      <c r="N18" s="35" t="n"/>
      <c r="O18" s="36" t="n"/>
      <c r="P18" s="81" t="n"/>
      <c r="Q18" s="81" t="n"/>
      <c r="R18" s="81" t="n"/>
      <c r="S18" s="81" t="n"/>
      <c r="T18" s="81" t="n"/>
      <c r="U18" s="81" t="n"/>
      <c r="V18" s="83" t="n"/>
      <c r="W18" s="81" t="n"/>
      <c r="X18" s="81" t="n"/>
      <c r="Y18" s="84" t="n"/>
      <c r="Z18" s="81" t="n"/>
      <c r="AA18" s="35" t="n"/>
      <c r="AB18" s="36" t="n"/>
      <c r="AC18" s="81" t="n"/>
      <c r="AD18" s="83" t="n"/>
      <c r="AE18" s="81" t="n"/>
      <c r="AF18" s="81" t="n"/>
      <c r="AG18" s="39" t="n"/>
      <c r="AH18" s="40" t="n"/>
      <c r="AI18" s="81" t="n"/>
      <c r="AJ18" s="83" t="n"/>
      <c r="AK18" s="83" t="n"/>
      <c r="AL18" s="81" t="n"/>
      <c r="AM18" s="81" t="n"/>
      <c r="AN18" s="81" t="n"/>
    </row>
    <row r="19" ht="29" customHeight="1">
      <c r="A19" s="66" t="inlineStr">
        <is>
          <t>DEOPROCE SHAMPOO - BLACK GARLIC INTENSME ENERGY [200ml]/ Шампунь с черным чесноком против выпадения волос</t>
        </is>
      </c>
      <c r="B19" s="96" t="inlineStr">
        <is>
          <t>ФБС</t>
        </is>
      </c>
      <c r="C19" s="67" t="n"/>
      <c r="D19" s="68" t="n"/>
      <c r="E19" s="92" t="n">
        <v>370</v>
      </c>
      <c r="F19" s="69" t="n">
        <v>980</v>
      </c>
      <c r="G19" s="69" t="n">
        <v>8</v>
      </c>
      <c r="H19" s="69" t="n">
        <v>0</v>
      </c>
      <c r="I19" s="69">
        <f>(1.20*N19+Q19+S19+X19+Z19+AA19+AM19)/(1-O19-$I$8-$I$4-(1-J19)*$I$3-$I$11-AB19-AD19)</f>
        <v/>
      </c>
      <c r="J19" s="15" t="n">
        <v>0.45</v>
      </c>
      <c r="K19" s="16">
        <f>I19*(1-J19)</f>
        <v/>
      </c>
      <c r="L19" s="70" t="n">
        <v>151.13</v>
      </c>
      <c r="M19" s="71">
        <f>$I$5</f>
        <v/>
      </c>
      <c r="N19" s="19">
        <f>L19+M19</f>
        <v/>
      </c>
      <c r="O19" s="20" t="n">
        <v>0.47</v>
      </c>
      <c r="P19" s="72">
        <f>I19*O19</f>
        <v/>
      </c>
      <c r="Q19" s="73" t="n">
        <v>67</v>
      </c>
      <c r="R19" s="72">
        <f>I19*$I$8</f>
        <v/>
      </c>
      <c r="S19" s="73" t="n">
        <v>25</v>
      </c>
      <c r="T19" s="72">
        <f>I19*$I$4</f>
        <v/>
      </c>
      <c r="U19" s="72">
        <f>K19*$I$3</f>
        <v/>
      </c>
      <c r="V19" s="74" t="n">
        <v>0.9</v>
      </c>
      <c r="W19" s="73" t="n">
        <v>67</v>
      </c>
      <c r="X19" s="72">
        <f>W19*(1-V19)</f>
        <v/>
      </c>
      <c r="Y19" s="75" t="n">
        <v>0.68</v>
      </c>
      <c r="Z19" s="72">
        <f>$I$6*$I$7*Y19</f>
        <v/>
      </c>
      <c r="AA19" s="19">
        <f>Y19*($I$9+$I$10)</f>
        <v/>
      </c>
      <c r="AB19" s="20" t="n">
        <v>0.07000000000000001</v>
      </c>
      <c r="AC19" s="72">
        <f>I19*AB19</f>
        <v/>
      </c>
      <c r="AD19" s="74" t="n">
        <v>0.08</v>
      </c>
      <c r="AE19" s="72">
        <f>I19*AD19</f>
        <v/>
      </c>
      <c r="AF19" s="72">
        <f>AC19+AE19</f>
        <v/>
      </c>
      <c r="AG19" s="25">
        <f>AF19/I19</f>
        <v/>
      </c>
      <c r="AH19" s="26">
        <f>I19-P19-Q19-R19-S19-T19-U19-X19-Z19-AA19-N19-AM19-AN19</f>
        <v/>
      </c>
      <c r="AI19" s="76">
        <f>AH19-AF19</f>
        <v/>
      </c>
      <c r="AJ19" s="77">
        <f>AI19/I19</f>
        <v/>
      </c>
      <c r="AK19" s="78">
        <f>AI19/N19</f>
        <v/>
      </c>
      <c r="AL19" s="72">
        <f>(Q19+S19+X19+Z19+AA19+N19+AM19)/(1-(O19+$I$4+(1-J19)*$I$3+$I$8+$I$11+AB19+AD19))</f>
        <v/>
      </c>
      <c r="AM19" s="72">
        <f>$I$12</f>
        <v/>
      </c>
      <c r="AN19" s="72">
        <f>I19*$I$11</f>
        <v/>
      </c>
    </row>
    <row r="20">
      <c r="A20" s="64" t="inlineStr">
        <is>
          <t>Косметика/DEOPROCE/НАБОР ШАМПУНЬ+БАЛЬЗАМ</t>
        </is>
      </c>
      <c r="B20" s="95" t="n"/>
      <c r="C20" s="65" t="n"/>
      <c r="D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  <c r="AA20" s="65" t="n"/>
      <c r="AB20" s="65" t="n"/>
      <c r="AC20" s="65" t="n"/>
      <c r="AD20" s="65" t="n"/>
      <c r="AE20" s="65" t="n"/>
      <c r="AF20" s="65" t="n"/>
      <c r="AG20" s="65" t="n"/>
      <c r="AH20" s="65" t="n"/>
      <c r="AI20" s="65" t="n"/>
      <c r="AJ20" s="65" t="n"/>
      <c r="AK20" s="65" t="n"/>
      <c r="AL20" s="65" t="n"/>
      <c r="AM20" s="65" t="n"/>
      <c r="AN20" s="65" t="n"/>
    </row>
    <row r="21">
      <c r="A21" s="79" t="inlineStr">
        <is>
          <t>DEOPROCE SHAMPOO+BALSAM - BLACK GARLIC[2000ml]</t>
        </is>
      </c>
      <c r="B21" s="97" t="n"/>
      <c r="C21" s="80" t="n"/>
      <c r="D21" s="80" t="n"/>
      <c r="E21" s="92" t="n">
        <v>447</v>
      </c>
      <c r="F21" s="81" t="n"/>
      <c r="G21" s="81" t="n"/>
      <c r="H21" s="81" t="n"/>
      <c r="I21" s="81" t="n"/>
      <c r="J21" s="32" t="n"/>
      <c r="K21" s="33" t="n"/>
      <c r="L21" s="82" t="n"/>
      <c r="M21" s="82" t="n"/>
      <c r="N21" s="35" t="n"/>
      <c r="O21" s="36" t="n"/>
      <c r="P21" s="81" t="n"/>
      <c r="Q21" s="81" t="n"/>
      <c r="R21" s="81" t="n"/>
      <c r="S21" s="81" t="n"/>
      <c r="T21" s="81" t="n"/>
      <c r="U21" s="81" t="n"/>
      <c r="V21" s="83" t="n"/>
      <c r="W21" s="81" t="n"/>
      <c r="X21" s="81" t="n"/>
      <c r="Y21" s="84" t="n"/>
      <c r="Z21" s="81" t="n"/>
      <c r="AA21" s="35" t="n"/>
      <c r="AB21" s="36" t="n"/>
      <c r="AC21" s="81" t="n"/>
      <c r="AD21" s="83" t="n"/>
      <c r="AE21" s="81" t="n"/>
      <c r="AF21" s="81" t="n"/>
      <c r="AG21" s="39" t="n"/>
      <c r="AH21" s="40" t="n"/>
      <c r="AI21" s="81" t="n"/>
      <c r="AJ21" s="83" t="n"/>
      <c r="AK21" s="83" t="n"/>
      <c r="AL21" s="81" t="n"/>
      <c r="AM21" s="81" t="n"/>
      <c r="AN21" s="81" t="n"/>
    </row>
    <row r="22">
      <c r="A22" s="64" t="inlineStr">
        <is>
          <t>Косметика/DR.JART</t>
        </is>
      </c>
      <c r="B22" s="95" t="n"/>
      <c r="C22" s="65" t="n"/>
      <c r="D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  <c r="AA22" s="65" t="n"/>
      <c r="AB22" s="65" t="n"/>
      <c r="AC22" s="65" t="n"/>
      <c r="AD22" s="65" t="n"/>
      <c r="AE22" s="65" t="n"/>
      <c r="AF22" s="65" t="n"/>
      <c r="AG22" s="65" t="n"/>
      <c r="AH22" s="65" t="n"/>
      <c r="AI22" s="65" t="n"/>
      <c r="AJ22" s="65" t="n"/>
      <c r="AK22" s="65" t="n"/>
      <c r="AL22" s="65" t="n"/>
      <c r="AM22" s="65" t="n"/>
      <c r="AN22" s="65" t="n"/>
    </row>
    <row r="23" ht="29" customHeight="1">
      <c r="A23" s="66" t="inlineStr">
        <is>
          <t>DR. JART - Ctrl+A Teatreatment Toner [120ml] / Тонер тоник для лица увлажняющий с чайным деревом</t>
        </is>
      </c>
      <c r="B23" s="96" t="inlineStr">
        <is>
          <t>ФБС</t>
        </is>
      </c>
      <c r="C23" s="67" t="n"/>
      <c r="D23" s="68" t="n"/>
      <c r="E23" s="92" t="n">
        <v>180</v>
      </c>
      <c r="F23" s="69" t="n"/>
      <c r="G23" s="69" t="inlineStr">
        <is>
          <t>89 (Закончились)</t>
        </is>
      </c>
      <c r="H23" s="69" t="n">
        <v>9.199999999999999</v>
      </c>
      <c r="I23" s="69">
        <f>(1.20*N23+Q23+S23+X23+Z23+AA23+AM23)/(1-O23-$I$8-$I$4-(1-J23)*$I$3-$I$11-AB23-AD23)</f>
        <v/>
      </c>
      <c r="J23" s="15" t="n">
        <v>0.45</v>
      </c>
      <c r="K23" s="16">
        <f>I23*(1-J23)</f>
        <v/>
      </c>
      <c r="L23" s="70" t="n">
        <v>637.89</v>
      </c>
      <c r="M23" s="71">
        <f>$I$5</f>
        <v/>
      </c>
      <c r="N23" s="19">
        <f>L23+M23</f>
        <v/>
      </c>
      <c r="O23" s="20" t="n">
        <v>0.47</v>
      </c>
      <c r="P23" s="72">
        <f>I23*O23</f>
        <v/>
      </c>
      <c r="Q23" s="73" t="n">
        <v>63</v>
      </c>
      <c r="R23" s="72">
        <f>I23*$I$8</f>
        <v/>
      </c>
      <c r="S23" s="73" t="n">
        <v>25</v>
      </c>
      <c r="T23" s="72">
        <f>I23*$I$4</f>
        <v/>
      </c>
      <c r="U23" s="72">
        <f>K23*$I$3</f>
        <v/>
      </c>
      <c r="V23" s="74" t="n">
        <v>0.9</v>
      </c>
      <c r="W23" s="73" t="n">
        <v>63</v>
      </c>
      <c r="X23" s="72">
        <f>W23*(1-V23)</f>
        <v/>
      </c>
      <c r="Y23" s="75" t="n">
        <v>0.33</v>
      </c>
      <c r="Z23" s="72">
        <f>$I$6*$I$7*Y23</f>
        <v/>
      </c>
      <c r="AA23" s="19">
        <f>Y23*($I$9+$I$10)</f>
        <v/>
      </c>
      <c r="AB23" s="20" t="n">
        <v>0.07000000000000001</v>
      </c>
      <c r="AC23" s="72">
        <f>I23*AB23</f>
        <v/>
      </c>
      <c r="AD23" s="74" t="n">
        <v>0.08</v>
      </c>
      <c r="AE23" s="72">
        <f>I23*AD23</f>
        <v/>
      </c>
      <c r="AF23" s="72">
        <f>AC23+AE23</f>
        <v/>
      </c>
      <c r="AG23" s="25">
        <f>AF23/I23</f>
        <v/>
      </c>
      <c r="AH23" s="26">
        <f>I23-P23-Q23-R23-S23-T23-U23-X23-Z23-AA23-N23-AM23-AN23</f>
        <v/>
      </c>
      <c r="AI23" s="76">
        <f>AH23-AF23</f>
        <v/>
      </c>
      <c r="AJ23" s="77">
        <f>AI23/I23</f>
        <v/>
      </c>
      <c r="AK23" s="78">
        <f>AI23/N23</f>
        <v/>
      </c>
      <c r="AL23" s="72">
        <f>(Q23+S23+X23+Z23+AA23+N23+AM23)/(1-(O23+$I$4+(1-J23)*$I$3+$I$8+$I$11+AB23+AD23))</f>
        <v/>
      </c>
      <c r="AM23" s="72">
        <f>$I$12</f>
        <v/>
      </c>
      <c r="AN23" s="72">
        <f>I23*$I$11</f>
        <v/>
      </c>
    </row>
    <row r="24">
      <c r="A24" s="64" t="inlineStr">
        <is>
          <t>Косметика/EKEL</t>
        </is>
      </c>
      <c r="B24" s="95" t="n"/>
      <c r="C24" s="65" t="n"/>
      <c r="D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/>
      <c r="AC24" s="65" t="n"/>
      <c r="AD24" s="65" t="n"/>
      <c r="AE24" s="65" t="n"/>
      <c r="AF24" s="65" t="n"/>
      <c r="AG24" s="65" t="n"/>
      <c r="AH24" s="65" t="n"/>
      <c r="AI24" s="65" t="n"/>
      <c r="AJ24" s="65" t="n"/>
      <c r="AK24" s="65" t="n"/>
      <c r="AL24" s="65" t="n"/>
      <c r="AM24" s="65" t="n"/>
      <c r="AN24" s="65" t="n"/>
    </row>
    <row r="25" ht="29" customHeight="1">
      <c r="A25" s="66" t="inlineStr">
        <is>
          <t>EKEL - Ampule Сream Сollagen [70ml] / Крем для лица ампульный с коллагеном</t>
        </is>
      </c>
      <c r="B25" s="96" t="inlineStr">
        <is>
          <t>ФБС</t>
        </is>
      </c>
      <c r="C25" s="67" t="n"/>
      <c r="D25" s="68" t="n"/>
      <c r="E25" s="92" t="n">
        <v>50</v>
      </c>
      <c r="F25" s="69" t="n">
        <v>1280</v>
      </c>
      <c r="G25" s="69" t="n">
        <v>4</v>
      </c>
      <c r="H25" s="69" t="n">
        <v>0</v>
      </c>
      <c r="I25" s="69">
        <f>(1.20*N25+Q25+S25+X25+Z25+AA25+AM25)/(1-O25-$I$8-$I$4-(1-J25)*$I$3-$I$11-AB25-AD25)</f>
        <v/>
      </c>
      <c r="J25" s="15" t="n">
        <v>0.45</v>
      </c>
      <c r="K25" s="16">
        <f>I25*(1-J25)</f>
        <v/>
      </c>
      <c r="L25" s="70" t="n">
        <v>142.13</v>
      </c>
      <c r="M25" s="71">
        <f>$I$5</f>
        <v/>
      </c>
      <c r="N25" s="19">
        <f>L25+M25</f>
        <v/>
      </c>
      <c r="O25" s="20" t="n">
        <v>0.47</v>
      </c>
      <c r="P25" s="72">
        <f>I25*O25</f>
        <v/>
      </c>
      <c r="Q25" s="73" t="n">
        <v>67</v>
      </c>
      <c r="R25" s="72">
        <f>I25*$I$8</f>
        <v/>
      </c>
      <c r="S25" s="73" t="n">
        <v>25</v>
      </c>
      <c r="T25" s="72">
        <f>I25*$I$4</f>
        <v/>
      </c>
      <c r="U25" s="72">
        <f>K25*$I$3</f>
        <v/>
      </c>
      <c r="V25" s="74" t="n">
        <v>0.9</v>
      </c>
      <c r="W25" s="73" t="n">
        <v>67</v>
      </c>
      <c r="X25" s="72">
        <f>W25*(1-V25)</f>
        <v/>
      </c>
      <c r="Y25" s="75" t="n">
        <v>0.42</v>
      </c>
      <c r="Z25" s="72">
        <f>$I$6*$I$7*Y25</f>
        <v/>
      </c>
      <c r="AA25" s="19">
        <f>Y25*($I$9+$I$10)</f>
        <v/>
      </c>
      <c r="AB25" s="20" t="n">
        <v>0.07000000000000001</v>
      </c>
      <c r="AC25" s="72">
        <f>I25*AB25</f>
        <v/>
      </c>
      <c r="AD25" s="74" t="n">
        <v>0.08</v>
      </c>
      <c r="AE25" s="72">
        <f>I25*AD25</f>
        <v/>
      </c>
      <c r="AF25" s="72">
        <f>AC25+AE25</f>
        <v/>
      </c>
      <c r="AG25" s="25">
        <f>AF25/I25</f>
        <v/>
      </c>
      <c r="AH25" s="26">
        <f>I25-P25-Q25-R25-S25-T25-U25-X25-Z25-AA25-N25-AM25-AN25</f>
        <v/>
      </c>
      <c r="AI25" s="76">
        <f>AH25-AF25</f>
        <v/>
      </c>
      <c r="AJ25" s="77">
        <f>AI25/I25</f>
        <v/>
      </c>
      <c r="AK25" s="78">
        <f>AI25/N25</f>
        <v/>
      </c>
      <c r="AL25" s="72">
        <f>(Q25+S25+X25+Z25+AA25+N25+AM25)/(1-(O25+$I$4+(1-J25)*$I$3+$I$8+$I$11+AB25+AD25))</f>
        <v/>
      </c>
      <c r="AM25" s="72">
        <f>$I$12</f>
        <v/>
      </c>
      <c r="AN25" s="72">
        <f>I25*$I$11</f>
        <v/>
      </c>
    </row>
    <row r="26">
      <c r="A26" s="64" t="inlineStr">
        <is>
          <t>Косметика/ELIZAVECCA</t>
        </is>
      </c>
      <c r="B26" s="95" t="n"/>
      <c r="C26" s="65" t="n"/>
      <c r="D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/>
      <c r="AC26" s="65" t="n"/>
      <c r="AD26" s="65" t="n"/>
      <c r="AE26" s="65" t="n"/>
      <c r="AF26" s="65" t="n"/>
      <c r="AG26" s="65" t="n"/>
      <c r="AH26" s="65" t="n"/>
      <c r="AI26" s="65" t="n"/>
      <c r="AJ26" s="65" t="n"/>
      <c r="AK26" s="65" t="n"/>
      <c r="AL26" s="65" t="n"/>
      <c r="AM26" s="65" t="n"/>
      <c r="AN26" s="65" t="n"/>
    </row>
    <row r="27" ht="29" customHeight="1">
      <c r="A27" s="66" t="inlineStr">
        <is>
          <t>ELIZAVECCA - CER-100 Collagen Ceramide Coating Protein Treatment [100ml] / Коллагеновая маска для волос</t>
        </is>
      </c>
      <c r="B27" s="96" t="inlineStr">
        <is>
          <t>ФБС</t>
        </is>
      </c>
      <c r="C27" s="67" t="n"/>
      <c r="D27" s="68" t="n"/>
      <c r="E27" s="92" t="n">
        <v>453</v>
      </c>
      <c r="F27" s="69" t="n">
        <v>1315</v>
      </c>
      <c r="G27" s="69" t="n">
        <v>150</v>
      </c>
      <c r="H27" s="69" t="n">
        <v>0</v>
      </c>
      <c r="I27" s="69">
        <f>(1.20*N27+Q27+S27+X27+Z27+AA27+AM27)/(1-O27-$I$8-$I$4-(1-J27)*$I$3-$I$11-AB27-AD27)</f>
        <v/>
      </c>
      <c r="J27" s="15" t="n">
        <v>0.45</v>
      </c>
      <c r="K27" s="16">
        <f>I27*(1-J27)</f>
        <v/>
      </c>
      <c r="L27" s="70" t="n">
        <v>242.23</v>
      </c>
      <c r="M27" s="71">
        <f>$I$5</f>
        <v/>
      </c>
      <c r="N27" s="19">
        <f>L27+M27</f>
        <v/>
      </c>
      <c r="O27" s="20" t="n">
        <v>0.47</v>
      </c>
      <c r="P27" s="72">
        <f>I27*O27</f>
        <v/>
      </c>
      <c r="Q27" s="73" t="n">
        <v>67</v>
      </c>
      <c r="R27" s="72">
        <f>I27*$I$8</f>
        <v/>
      </c>
      <c r="S27" s="73" t="n">
        <v>25</v>
      </c>
      <c r="T27" s="72">
        <f>I27*$I$4</f>
        <v/>
      </c>
      <c r="U27" s="72">
        <f>K27*$I$3</f>
        <v/>
      </c>
      <c r="V27" s="74" t="n">
        <v>0.9</v>
      </c>
      <c r="W27" s="73" t="n">
        <v>67</v>
      </c>
      <c r="X27" s="72">
        <f>W27*(1-V27)</f>
        <v/>
      </c>
      <c r="Y27" s="75" t="n">
        <v>0.46</v>
      </c>
      <c r="Z27" s="72">
        <f>$I$6*$I$7*Y27</f>
        <v/>
      </c>
      <c r="AA27" s="19">
        <f>Y27*($I$9+$I$10)</f>
        <v/>
      </c>
      <c r="AB27" s="20" t="n">
        <v>0.07000000000000001</v>
      </c>
      <c r="AC27" s="72">
        <f>I27*AB27</f>
        <v/>
      </c>
      <c r="AD27" s="74" t="n">
        <v>0.08</v>
      </c>
      <c r="AE27" s="72">
        <f>I27*AD27</f>
        <v/>
      </c>
      <c r="AF27" s="72">
        <f>AC27+AE27</f>
        <v/>
      </c>
      <c r="AG27" s="25">
        <f>AF27/I27</f>
        <v/>
      </c>
      <c r="AH27" s="26">
        <f>I27-P27-Q27-R27-S27-T27-U27-X27-Z27-AA27-N27-AM27-AN27</f>
        <v/>
      </c>
      <c r="AI27" s="76">
        <f>AH27-AF27</f>
        <v/>
      </c>
      <c r="AJ27" s="77">
        <f>AI27/I27</f>
        <v/>
      </c>
      <c r="AK27" s="78">
        <f>AI27/N27</f>
        <v/>
      </c>
      <c r="AL27" s="72">
        <f>(Q27+S27+X27+Z27+AA27+N27+AM27)/(1-(O27+$I$4+(1-J27)*$I$3+$I$8+$I$11+AB27+AD27))</f>
        <v/>
      </c>
      <c r="AM27" s="72">
        <f>$I$12</f>
        <v/>
      </c>
      <c r="AN27" s="72">
        <f>I27*$I$11</f>
        <v/>
      </c>
    </row>
    <row r="28" ht="29" customHeight="1">
      <c r="A28" s="66" t="inlineStr">
        <is>
          <t>ELIZAVECCA - Hell-Pore Galactomyces Pure Ample / Сыворотка для лица с экстрактом галактомисиса</t>
        </is>
      </c>
      <c r="B28" s="96" t="inlineStr">
        <is>
          <t>ФБС</t>
        </is>
      </c>
      <c r="C28" s="67" t="n"/>
      <c r="D28" s="68" t="inlineStr">
        <is>
          <t>не смогла найти с продажами</t>
        </is>
      </c>
      <c r="E28" s="92" t="n">
        <v>50</v>
      </c>
      <c r="F28" s="69" t="n"/>
      <c r="G28" s="69" t="n"/>
      <c r="H28" s="69" t="n"/>
      <c r="I28" s="69">
        <f>(1.20*N28+Q28+S28+X28+Z28+AA28+AM28)/(1-O28-$I$8-$I$4-(1-J28)*$I$3-$I$11-AB28-AD28)</f>
        <v/>
      </c>
      <c r="J28" s="15" t="n">
        <v>0.45</v>
      </c>
      <c r="K28" s="16">
        <f>I28*(1-J28)</f>
        <v/>
      </c>
      <c r="L28" s="70" t="n">
        <v>447.64</v>
      </c>
      <c r="M28" s="71">
        <f>$I$5</f>
        <v/>
      </c>
      <c r="N28" s="19">
        <f>L28+M28</f>
        <v/>
      </c>
      <c r="O28" s="20" t="n">
        <v>0.47</v>
      </c>
      <c r="P28" s="72">
        <f>I28*O28</f>
        <v/>
      </c>
      <c r="Q28" s="73" t="n">
        <v>63</v>
      </c>
      <c r="R28" s="72">
        <f>I28*$I$8</f>
        <v/>
      </c>
      <c r="S28" s="73" t="n">
        <v>25</v>
      </c>
      <c r="T28" s="72">
        <f>I28*$I$4</f>
        <v/>
      </c>
      <c r="U28" s="72">
        <f>K28*$I$3</f>
        <v/>
      </c>
      <c r="V28" s="74" t="n">
        <v>0.9</v>
      </c>
      <c r="W28" s="73" t="n">
        <v>63</v>
      </c>
      <c r="X28" s="72">
        <f>W28*(1-V28)</f>
        <v/>
      </c>
      <c r="Y28" s="75" t="n">
        <v>0.3</v>
      </c>
      <c r="Z28" s="72">
        <f>$I$6*$I$7*Y28</f>
        <v/>
      </c>
      <c r="AA28" s="19">
        <f>Y28*($I$9+$I$10)</f>
        <v/>
      </c>
      <c r="AB28" s="20" t="n">
        <v>0.07000000000000001</v>
      </c>
      <c r="AC28" s="72">
        <f>I28*AB28</f>
        <v/>
      </c>
      <c r="AD28" s="74" t="n">
        <v>0.08</v>
      </c>
      <c r="AE28" s="72">
        <f>I28*AD28</f>
        <v/>
      </c>
      <c r="AF28" s="72">
        <f>AC28+AE28</f>
        <v/>
      </c>
      <c r="AG28" s="25">
        <f>AF28/I28</f>
        <v/>
      </c>
      <c r="AH28" s="26">
        <f>I28-P28-Q28-R28-S28-T28-U28-X28-Z28-AA28-N28-AM28-AN28</f>
        <v/>
      </c>
      <c r="AI28" s="76">
        <f>AH28-AF28</f>
        <v/>
      </c>
      <c r="AJ28" s="77">
        <f>AI28/I28</f>
        <v/>
      </c>
      <c r="AK28" s="78">
        <f>AI28/N28</f>
        <v/>
      </c>
      <c r="AL28" s="72">
        <f>(Q28+S28+X28+Z28+AA28+N28+AM28)/(1-(O28+$I$4+(1-J28)*$I$3+$I$8+$I$11+AB28+AD28))</f>
        <v/>
      </c>
      <c r="AM28" s="72">
        <f>$I$12</f>
        <v/>
      </c>
      <c r="AN28" s="72">
        <f>I28*$I$11</f>
        <v/>
      </c>
    </row>
    <row r="29" ht="29" customHeight="1">
      <c r="A29" s="66" t="inlineStr">
        <is>
          <t>ELIZAVECCA - Milky Piggy EGF elastic retinol [100ml] / Антивозрастной крем для лица с ретинолом и EGF</t>
        </is>
      </c>
      <c r="B29" s="96" t="inlineStr">
        <is>
          <t>ФБС</t>
        </is>
      </c>
      <c r="C29" s="67" t="n"/>
      <c r="D29" s="68" t="n"/>
      <c r="E29" s="92" t="n">
        <v>235</v>
      </c>
      <c r="F29" s="69" t="n">
        <v>1841</v>
      </c>
      <c r="G29" s="69" t="n">
        <v>47</v>
      </c>
      <c r="H29" s="69" t="n">
        <v>0</v>
      </c>
      <c r="I29" s="69">
        <f>(1.20*N29+Q29+S29+X29+Z29+AA29+AM29)/(1-O29-$I$8-$I$4-(1-J29)*$I$3-$I$11-AB29-AD29)</f>
        <v/>
      </c>
      <c r="J29" s="15" t="n">
        <v>0.45</v>
      </c>
      <c r="K29" s="16">
        <f>I29*(1-J29)</f>
        <v/>
      </c>
      <c r="L29" s="70" t="n">
        <v>602.1799999999999</v>
      </c>
      <c r="M29" s="71">
        <f>$I$5</f>
        <v/>
      </c>
      <c r="N29" s="19">
        <f>L29+M29</f>
        <v/>
      </c>
      <c r="O29" s="20" t="n">
        <v>0.47</v>
      </c>
      <c r="P29" s="72">
        <f>I29*O29</f>
        <v/>
      </c>
      <c r="Q29" s="73" t="n">
        <v>67</v>
      </c>
      <c r="R29" s="72">
        <f>I29*$I$8</f>
        <v/>
      </c>
      <c r="S29" s="73" t="n">
        <v>25</v>
      </c>
      <c r="T29" s="72">
        <f>I29*$I$4</f>
        <v/>
      </c>
      <c r="U29" s="72">
        <f>K29*$I$3</f>
        <v/>
      </c>
      <c r="V29" s="74" t="n">
        <v>0.9</v>
      </c>
      <c r="W29" s="73" t="n">
        <v>67</v>
      </c>
      <c r="X29" s="72">
        <f>W29*(1-V29)</f>
        <v/>
      </c>
      <c r="Y29" s="75" t="n">
        <v>0.58</v>
      </c>
      <c r="Z29" s="72">
        <f>$I$6*$I$7*Y29</f>
        <v/>
      </c>
      <c r="AA29" s="19">
        <f>Y29*($I$9+$I$10)</f>
        <v/>
      </c>
      <c r="AB29" s="20" t="n">
        <v>0.07000000000000001</v>
      </c>
      <c r="AC29" s="72">
        <f>I29*AB29</f>
        <v/>
      </c>
      <c r="AD29" s="74" t="n">
        <v>0.08</v>
      </c>
      <c r="AE29" s="72">
        <f>I29*AD29</f>
        <v/>
      </c>
      <c r="AF29" s="72">
        <f>AC29+AE29</f>
        <v/>
      </c>
      <c r="AG29" s="25">
        <f>AF29/I29</f>
        <v/>
      </c>
      <c r="AH29" s="26">
        <f>I29-P29-Q29-R29-S29-T29-U29-X29-Z29-AA29-N29-AM29-AN29</f>
        <v/>
      </c>
      <c r="AI29" s="76">
        <f>AH29-AF29</f>
        <v/>
      </c>
      <c r="AJ29" s="77">
        <f>AI29/I29</f>
        <v/>
      </c>
      <c r="AK29" s="78">
        <f>AI29/N29</f>
        <v/>
      </c>
      <c r="AL29" s="72">
        <f>(Q29+S29+X29+Z29+AA29+N29+AM29)/(1-(O29+$I$4+(1-J29)*$I$3+$I$8+$I$11+AB29+AD29))</f>
        <v/>
      </c>
      <c r="AM29" s="72">
        <f>$I$12</f>
        <v/>
      </c>
      <c r="AN29" s="72">
        <f>I29*$I$11</f>
        <v/>
      </c>
    </row>
    <row r="30">
      <c r="A30" s="64" t="inlineStr">
        <is>
          <t>Косметика/ENOUGH</t>
        </is>
      </c>
      <c r="B30" s="95" t="n"/>
      <c r="C30" s="65" t="n"/>
      <c r="D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  <c r="AA30" s="65" t="n"/>
      <c r="AB30" s="65" t="n"/>
      <c r="AC30" s="65" t="n"/>
      <c r="AD30" s="65" t="n"/>
      <c r="AE30" s="65" t="n"/>
      <c r="AF30" s="65" t="n"/>
      <c r="AG30" s="65" t="n"/>
      <c r="AH30" s="65" t="n"/>
      <c r="AI30" s="65" t="n"/>
      <c r="AJ30" s="65" t="n"/>
      <c r="AK30" s="65" t="n"/>
      <c r="AL30" s="65" t="n"/>
      <c r="AM30" s="65" t="n"/>
      <c r="AN30" s="65" t="n"/>
    </row>
    <row r="31" ht="29" customHeight="1">
      <c r="A31" s="66" t="inlineStr">
        <is>
          <t>ENOUGH - Collagen Moisture Essential Cream [50ml] / Увлажняющий крем для лица с коллагеном</t>
        </is>
      </c>
      <c r="B31" s="96" t="n"/>
      <c r="C31" s="67" t="n"/>
      <c r="D31" s="68" t="inlineStr">
        <is>
          <t>260-382 (много подделок)</t>
        </is>
      </c>
      <c r="E31" s="101" t="n">
        <v>8266</v>
      </c>
      <c r="F31" s="69" t="n">
        <v>424</v>
      </c>
      <c r="G31" s="69" t="n">
        <v>166</v>
      </c>
      <c r="H31" s="69" t="n">
        <v>17</v>
      </c>
      <c r="I31" s="69">
        <f>(1.20*N31+Q31+S31+X31+Z31+AA31+AM31)/(1-O31-$I$8-$I$4-(1-J31)*$I$3-$I$11-AB31-AD31)</f>
        <v/>
      </c>
      <c r="J31" s="15" t="n">
        <v>0.45</v>
      </c>
      <c r="K31" s="16">
        <f>I31*(1-J31)</f>
        <v/>
      </c>
      <c r="L31" s="70" t="n">
        <v>161.3</v>
      </c>
      <c r="M31" s="71">
        <f>$I$5</f>
        <v/>
      </c>
      <c r="N31" s="19">
        <f>L31+M31</f>
        <v/>
      </c>
      <c r="O31" s="20" t="n">
        <v>0.47</v>
      </c>
      <c r="P31" s="72">
        <f>I31*O31</f>
        <v/>
      </c>
      <c r="Q31" s="73" t="n">
        <v>67</v>
      </c>
      <c r="R31" s="72">
        <f>I31*$I$8</f>
        <v/>
      </c>
      <c r="S31" s="73" t="n">
        <v>25</v>
      </c>
      <c r="T31" s="72">
        <f>I31*$I$4</f>
        <v/>
      </c>
      <c r="U31" s="72">
        <f>K31*$I$3</f>
        <v/>
      </c>
      <c r="V31" s="74" t="n">
        <v>0.9</v>
      </c>
      <c r="W31" s="73" t="n">
        <v>67</v>
      </c>
      <c r="X31" s="72">
        <f>W31*(1-V31)</f>
        <v/>
      </c>
      <c r="Y31" s="75" t="n">
        <v>0.72</v>
      </c>
      <c r="Z31" s="72">
        <f>$I$6*$I$7*Y31</f>
        <v/>
      </c>
      <c r="AA31" s="19">
        <f>Y31*($I$9+$I$10)</f>
        <v/>
      </c>
      <c r="AB31" s="20" t="n">
        <v>0.07000000000000001</v>
      </c>
      <c r="AC31" s="72">
        <f>I31*AB31</f>
        <v/>
      </c>
      <c r="AD31" s="74" t="n">
        <v>0.08</v>
      </c>
      <c r="AE31" s="72">
        <f>I31*AD31</f>
        <v/>
      </c>
      <c r="AF31" s="72">
        <f>AC31+AE31</f>
        <v/>
      </c>
      <c r="AG31" s="25">
        <f>AF31/I31</f>
        <v/>
      </c>
      <c r="AH31" s="26">
        <f>I31-P31-Q31-R31-S31-T31-U31-X31-Z31-AA31-N31-AM31-AN31</f>
        <v/>
      </c>
      <c r="AI31" s="76">
        <f>AH31-AF31</f>
        <v/>
      </c>
      <c r="AJ31" s="77">
        <f>AI31/I31</f>
        <v/>
      </c>
      <c r="AK31" s="78">
        <f>AI31/N31</f>
        <v/>
      </c>
      <c r="AL31" s="72">
        <f>(Q31+S31+X31+Z31+AA31+N31+AM31)/(1-(O31+$I$4+(1-J31)*$I$3+$I$8+$I$11+AB31+AD31))</f>
        <v/>
      </c>
      <c r="AM31" s="72">
        <f>$I$12</f>
        <v/>
      </c>
      <c r="AN31" s="72">
        <f>I31*$I$11</f>
        <v/>
      </c>
    </row>
    <row r="32" ht="29" customHeight="1">
      <c r="A32" s="66" t="inlineStr">
        <is>
          <t>ENOUGH - Collagen Whitening Moisture Cream 3in1 [50g] / Антивозрастной отбеливающий крем с коллагеном</t>
        </is>
      </c>
      <c r="B32" s="96" t="n"/>
      <c r="C32" s="67" t="n"/>
      <c r="D32" s="68" t="n"/>
      <c r="E32" s="92" t="n">
        <v>761</v>
      </c>
      <c r="F32" s="69" t="n">
        <v>827</v>
      </c>
      <c r="G32" s="69" t="n">
        <v>96</v>
      </c>
      <c r="H32" s="69" t="n">
        <v>20</v>
      </c>
      <c r="I32" s="69">
        <f>(1.20*N32+Q32+S32+X32+Z32+AA32+AM32)/(1-O32-$I$8-$I$4-(1-J32)*$I$3-$I$11-AB32-AD32)</f>
        <v/>
      </c>
      <c r="J32" s="15" t="n">
        <v>0.45</v>
      </c>
      <c r="K32" s="16">
        <f>I32*(1-J32)</f>
        <v/>
      </c>
      <c r="L32" s="70" t="n">
        <v>183.88</v>
      </c>
      <c r="M32" s="71">
        <f>$I$5</f>
        <v/>
      </c>
      <c r="N32" s="19">
        <f>L32+M32</f>
        <v/>
      </c>
      <c r="O32" s="20" t="n">
        <v>0.47</v>
      </c>
      <c r="P32" s="72">
        <f>I32*O32</f>
        <v/>
      </c>
      <c r="Q32" s="73" t="n">
        <v>67</v>
      </c>
      <c r="R32" s="72">
        <f>I32*$I$8</f>
        <v/>
      </c>
      <c r="S32" s="73" t="n">
        <v>25</v>
      </c>
      <c r="T32" s="72">
        <f>I32*$I$4</f>
        <v/>
      </c>
      <c r="U32" s="72">
        <f>K32*$I$3</f>
        <v/>
      </c>
      <c r="V32" s="74" t="n">
        <v>0.9</v>
      </c>
      <c r="W32" s="73" t="n">
        <v>67</v>
      </c>
      <c r="X32" s="72">
        <f>W32*(1-V32)</f>
        <v/>
      </c>
      <c r="Y32" s="75" t="n">
        <v>0.72</v>
      </c>
      <c r="Z32" s="72">
        <f>$I$6*$I$7*Y32</f>
        <v/>
      </c>
      <c r="AA32" s="19">
        <f>Y32*($I$9+$I$10)</f>
        <v/>
      </c>
      <c r="AB32" s="20" t="n">
        <v>0.07000000000000001</v>
      </c>
      <c r="AC32" s="72">
        <f>I32*AB32</f>
        <v/>
      </c>
      <c r="AD32" s="74" t="n">
        <v>0.08</v>
      </c>
      <c r="AE32" s="72">
        <f>I32*AD32</f>
        <v/>
      </c>
      <c r="AF32" s="72">
        <f>AC32+AE32</f>
        <v/>
      </c>
      <c r="AG32" s="25">
        <f>AF32/I32</f>
        <v/>
      </c>
      <c r="AH32" s="26">
        <f>I32-P32-Q32-R32-S32-T32-U32-X32-Z32-AA32-N32-AM32-AN32</f>
        <v/>
      </c>
      <c r="AI32" s="76">
        <f>AH32-AF32</f>
        <v/>
      </c>
      <c r="AJ32" s="77">
        <f>AI32/I32</f>
        <v/>
      </c>
      <c r="AK32" s="78">
        <f>AI32/N32</f>
        <v/>
      </c>
      <c r="AL32" s="72">
        <f>(Q32+S32+X32+Z32+AA32+N32+AM32)/(1-(O32+$I$4+(1-J32)*$I$3+$I$8+$I$11+AB32+AD32))</f>
        <v/>
      </c>
      <c r="AM32" s="72">
        <f>$I$12</f>
        <v/>
      </c>
      <c r="AN32" s="72">
        <f>I32*$I$11</f>
        <v/>
      </c>
    </row>
    <row r="33" ht="29" customHeight="1">
      <c r="A33" s="66" t="inlineStr">
        <is>
          <t>ENOUGH - Collagen Moisture Foundation [Tone 13] / Тональный крем для лица с коллагеном 13 тон</t>
        </is>
      </c>
      <c r="B33" s="96" t="n"/>
      <c r="C33" s="67" t="n"/>
      <c r="D33" s="68" t="n"/>
      <c r="E33" s="92" t="n">
        <v>0</v>
      </c>
      <c r="F33" s="69" t="n">
        <v>1980</v>
      </c>
      <c r="G33" s="69" t="n">
        <v>195</v>
      </c>
      <c r="H33" s="69" t="n">
        <v>8</v>
      </c>
      <c r="I33" s="69">
        <f>(1.20*N33+Q33+S33+X33+Z33+AA33+AM33)/(1-O33-$I$8-$I$4-(1-J33)*$I$3-$I$11-AB33-AD33)</f>
        <v/>
      </c>
      <c r="J33" s="15" t="n">
        <v>0.45</v>
      </c>
      <c r="K33" s="16">
        <f>I33*(1-J33)</f>
        <v/>
      </c>
      <c r="L33" s="70" t="n">
        <v>216.45</v>
      </c>
      <c r="M33" s="71">
        <f>$I$5</f>
        <v/>
      </c>
      <c r="N33" s="19">
        <f>L33+M33</f>
        <v/>
      </c>
      <c r="O33" s="20" t="n">
        <v>0.47</v>
      </c>
      <c r="P33" s="72">
        <f>I33*O33</f>
        <v/>
      </c>
      <c r="Q33" s="73" t="n">
        <v>67</v>
      </c>
      <c r="R33" s="72">
        <f>I33*$I$8</f>
        <v/>
      </c>
      <c r="S33" s="73" t="n">
        <v>25</v>
      </c>
      <c r="T33" s="72">
        <f>I33*$I$4</f>
        <v/>
      </c>
      <c r="U33" s="72">
        <f>K33*$I$3</f>
        <v/>
      </c>
      <c r="V33" s="74" t="n">
        <v>0.9</v>
      </c>
      <c r="W33" s="73" t="n">
        <v>67</v>
      </c>
      <c r="X33" s="72">
        <f>W33*(1-V33)</f>
        <v/>
      </c>
      <c r="Y33" s="75" t="n">
        <v>0.4</v>
      </c>
      <c r="Z33" s="72">
        <f>$I$6*$I$7*Y33</f>
        <v/>
      </c>
      <c r="AA33" s="19">
        <f>Y33*($I$9+$I$10)</f>
        <v/>
      </c>
      <c r="AB33" s="20" t="n">
        <v>0.07000000000000001</v>
      </c>
      <c r="AC33" s="72">
        <f>I33*AB33</f>
        <v/>
      </c>
      <c r="AD33" s="74" t="n">
        <v>0.08</v>
      </c>
      <c r="AE33" s="72">
        <f>I33*AD33</f>
        <v/>
      </c>
      <c r="AF33" s="72">
        <f>AC33+AE33</f>
        <v/>
      </c>
      <c r="AG33" s="25">
        <f>AF33/I33</f>
        <v/>
      </c>
      <c r="AH33" s="26">
        <f>I33-P33-Q33-R33-S33-T33-U33-X33-Z33-AA33-N33-AM33-AN33</f>
        <v/>
      </c>
      <c r="AI33" s="76">
        <f>AH33-AF33</f>
        <v/>
      </c>
      <c r="AJ33" s="77">
        <f>AI33/I33</f>
        <v/>
      </c>
      <c r="AK33" s="78">
        <f>AI33/N33</f>
        <v/>
      </c>
      <c r="AL33" s="72">
        <f>(Q33+S33+X33+Z33+AA33+N33+AM33)/(1-(O33+$I$4+(1-J33)*$I$3+$I$8+$I$11+AB33+AD33))</f>
        <v/>
      </c>
      <c r="AM33" s="72">
        <f>$I$12</f>
        <v/>
      </c>
      <c r="AN33" s="72">
        <f>I33*$I$11</f>
        <v/>
      </c>
    </row>
    <row r="34" ht="29" customHeight="1">
      <c r="A34" s="66" t="inlineStr">
        <is>
          <t>ENOUGH - Collagen Moisture Foundation [Tone 21] / Тональный крем для лица с коллагеном 21 тон</t>
        </is>
      </c>
      <c r="B34" s="96" t="n"/>
      <c r="C34" s="67" t="n"/>
      <c r="D34" s="68" t="n"/>
      <c r="E34" s="92" t="n">
        <v>0</v>
      </c>
      <c r="F34" s="69" t="n">
        <v>1910</v>
      </c>
      <c r="G34" s="69" t="n">
        <v>121</v>
      </c>
      <c r="H34" s="69" t="n">
        <v>7.3</v>
      </c>
      <c r="I34" s="69">
        <f>(1.20*N34+Q34+S34+X34+Z34+AA34+AM34)/(1-O34-$I$8-$I$4-(1-J34)*$I$3-$I$11-AB34-AD34)</f>
        <v/>
      </c>
      <c r="J34" s="15" t="n">
        <v>0.45</v>
      </c>
      <c r="K34" s="16">
        <f>I34*(1-J34)</f>
        <v/>
      </c>
      <c r="L34" s="70" t="n">
        <v>242.88</v>
      </c>
      <c r="M34" s="71">
        <f>$I$5</f>
        <v/>
      </c>
      <c r="N34" s="19">
        <f>L34+M34</f>
        <v/>
      </c>
      <c r="O34" s="20" t="n">
        <v>0.47</v>
      </c>
      <c r="P34" s="72">
        <f>I34*O34</f>
        <v/>
      </c>
      <c r="Q34" s="73" t="n">
        <v>67</v>
      </c>
      <c r="R34" s="72">
        <f>I34*$I$8</f>
        <v/>
      </c>
      <c r="S34" s="73" t="n">
        <v>25</v>
      </c>
      <c r="T34" s="72">
        <f>I34*$I$4</f>
        <v/>
      </c>
      <c r="U34" s="72">
        <f>K34*$I$3</f>
        <v/>
      </c>
      <c r="V34" s="74" t="n">
        <v>0.9</v>
      </c>
      <c r="W34" s="73" t="n">
        <v>67</v>
      </c>
      <c r="X34" s="72">
        <f>W34*(1-V34)</f>
        <v/>
      </c>
      <c r="Y34" s="75" t="n">
        <v>0.4</v>
      </c>
      <c r="Z34" s="72">
        <f>$I$6*$I$7*Y34</f>
        <v/>
      </c>
      <c r="AA34" s="19">
        <f>Y34*($I$9+$I$10)</f>
        <v/>
      </c>
      <c r="AB34" s="20" t="n">
        <v>0.07000000000000001</v>
      </c>
      <c r="AC34" s="72">
        <f>I34*AB34</f>
        <v/>
      </c>
      <c r="AD34" s="74" t="n">
        <v>0.08</v>
      </c>
      <c r="AE34" s="72">
        <f>I34*AD34</f>
        <v/>
      </c>
      <c r="AF34" s="72">
        <f>AC34+AE34</f>
        <v/>
      </c>
      <c r="AG34" s="25">
        <f>AF34/I34</f>
        <v/>
      </c>
      <c r="AH34" s="26">
        <f>I34-P34-Q34-R34-S34-T34-U34-X34-Z34-AA34-N34-AM34-AN34</f>
        <v/>
      </c>
      <c r="AI34" s="76">
        <f>AH34-AF34</f>
        <v/>
      </c>
      <c r="AJ34" s="77">
        <f>AI34/I34</f>
        <v/>
      </c>
      <c r="AK34" s="78">
        <f>AI34/N34</f>
        <v/>
      </c>
      <c r="AL34" s="72">
        <f>(Q34+S34+X34+Z34+AA34+N34+AM34)/(1-(O34+$I$4+(1-J34)*$I$3+$I$8+$I$11+AB34+AD34))</f>
        <v/>
      </c>
      <c r="AM34" s="72">
        <f>$I$12</f>
        <v/>
      </c>
      <c r="AN34" s="72">
        <f>I34*$I$11</f>
        <v/>
      </c>
    </row>
    <row r="35" ht="29" customHeight="1">
      <c r="A35" s="66" t="inlineStr">
        <is>
          <t>ENOUGH - Gold Snail Moisture Foundation [Tone 13] / Тональный крем с муцином улитки 13 тон</t>
        </is>
      </c>
      <c r="B35" s="96" t="n"/>
      <c r="C35" s="67" t="n"/>
      <c r="D35" s="68" t="n"/>
      <c r="E35" s="92" t="n">
        <v>95</v>
      </c>
      <c r="F35" s="69" t="n">
        <v>1456</v>
      </c>
      <c r="G35" s="69" t="n">
        <v>109</v>
      </c>
      <c r="H35" s="69" t="n">
        <v>9</v>
      </c>
      <c r="I35" s="69">
        <f>(1.20*N35+Q35+S35+X35+Z35+AA35+AM35)/(1-O35-$I$8-$I$4-(1-J35)*$I$3-$I$11-AB35-AD35)</f>
        <v/>
      </c>
      <c r="J35" s="15" t="n">
        <v>0.45</v>
      </c>
      <c r="K35" s="16">
        <f>I35*(1-J35)</f>
        <v/>
      </c>
      <c r="L35" s="70" t="n">
        <v>245.65</v>
      </c>
      <c r="M35" s="71">
        <f>$I$5</f>
        <v/>
      </c>
      <c r="N35" s="19">
        <f>L35+M35</f>
        <v/>
      </c>
      <c r="O35" s="20" t="n">
        <v>0.47</v>
      </c>
      <c r="P35" s="72">
        <f>I35*O35</f>
        <v/>
      </c>
      <c r="Q35" s="73" t="n">
        <v>67</v>
      </c>
      <c r="R35" s="72">
        <f>I35*$I$8</f>
        <v/>
      </c>
      <c r="S35" s="73" t="n">
        <v>25</v>
      </c>
      <c r="T35" s="72">
        <f>I35*$I$4</f>
        <v/>
      </c>
      <c r="U35" s="72">
        <f>K35*$I$3</f>
        <v/>
      </c>
      <c r="V35" s="74" t="n">
        <v>0.9</v>
      </c>
      <c r="W35" s="73" t="n">
        <v>67</v>
      </c>
      <c r="X35" s="72">
        <f>W35*(1-V35)</f>
        <v/>
      </c>
      <c r="Y35" s="75" t="n">
        <v>0.4</v>
      </c>
      <c r="Z35" s="72">
        <f>$I$6*$I$7*Y35</f>
        <v/>
      </c>
      <c r="AA35" s="19">
        <f>Y35*($I$9+$I$10)</f>
        <v/>
      </c>
      <c r="AB35" s="20" t="n">
        <v>0.07000000000000001</v>
      </c>
      <c r="AC35" s="72">
        <f>I35*AB35</f>
        <v/>
      </c>
      <c r="AD35" s="74" t="n">
        <v>0.08</v>
      </c>
      <c r="AE35" s="72">
        <f>I35*AD35</f>
        <v/>
      </c>
      <c r="AF35" s="72">
        <f>AC35+AE35</f>
        <v/>
      </c>
      <c r="AG35" s="25">
        <f>AF35/I35</f>
        <v/>
      </c>
      <c r="AH35" s="26">
        <f>I35-P35-Q35-R35-S35-T35-U35-X35-Z35-AA35-N35-AM35-AN35</f>
        <v/>
      </c>
      <c r="AI35" s="76">
        <f>AH35-AF35</f>
        <v/>
      </c>
      <c r="AJ35" s="77">
        <f>AI35/I35</f>
        <v/>
      </c>
      <c r="AK35" s="78">
        <f>AI35/N35</f>
        <v/>
      </c>
      <c r="AL35" s="72">
        <f>(Q35+S35+X35+Z35+AA35+N35+AM35)/(1-(O35+$I$4+(1-J35)*$I$3+$I$8+$I$11+AB35+AD35))</f>
        <v/>
      </c>
      <c r="AM35" s="72">
        <f>$I$12</f>
        <v/>
      </c>
      <c r="AN35" s="72">
        <f>I35*$I$11</f>
        <v/>
      </c>
    </row>
    <row r="36" ht="29" customHeight="1">
      <c r="A36" s="66" t="inlineStr">
        <is>
          <t>ENOUGH - Gold Snail Moisture Foundation [Tone 21] / Тональный крем с муцином улитки 21 тон</t>
        </is>
      </c>
      <c r="B36" s="96" t="n"/>
      <c r="C36" s="67" t="n"/>
      <c r="D36" s="68" t="n"/>
      <c r="E36" s="92" t="n">
        <v>101</v>
      </c>
      <c r="F36" s="69" t="n">
        <v>1345</v>
      </c>
      <c r="G36" s="69" t="n">
        <v>114</v>
      </c>
      <c r="H36" s="69" t="n">
        <v>0</v>
      </c>
      <c r="I36" s="69">
        <f>(1.20*N36+Q36+S36+X36+Z36+AA36+AM36)/(1-O36-$I$8-$I$4-(1-J36)*$I$3-$I$11-AB36-AD36)</f>
        <v/>
      </c>
      <c r="J36" s="15" t="n">
        <v>0.45</v>
      </c>
      <c r="K36" s="16">
        <f>I36*(1-J36)</f>
        <v/>
      </c>
      <c r="L36" s="70" t="n">
        <v>270.81</v>
      </c>
      <c r="M36" s="71">
        <f>$I$5</f>
        <v/>
      </c>
      <c r="N36" s="19">
        <f>L36+M36</f>
        <v/>
      </c>
      <c r="O36" s="20" t="n">
        <v>0.47</v>
      </c>
      <c r="P36" s="72">
        <f>I36*O36</f>
        <v/>
      </c>
      <c r="Q36" s="73" t="n">
        <v>67</v>
      </c>
      <c r="R36" s="72">
        <f>I36*$I$8</f>
        <v/>
      </c>
      <c r="S36" s="73" t="n">
        <v>25</v>
      </c>
      <c r="T36" s="72">
        <f>I36*$I$4</f>
        <v/>
      </c>
      <c r="U36" s="72">
        <f>K36*$I$3</f>
        <v/>
      </c>
      <c r="V36" s="74" t="n">
        <v>0.9</v>
      </c>
      <c r="W36" s="73" t="n">
        <v>67</v>
      </c>
      <c r="X36" s="72">
        <f>W36*(1-V36)</f>
        <v/>
      </c>
      <c r="Y36" s="75" t="n">
        <v>0.4</v>
      </c>
      <c r="Z36" s="72">
        <f>$I$6*$I$7*Y36</f>
        <v/>
      </c>
      <c r="AA36" s="19">
        <f>Y36*($I$9+$I$10)</f>
        <v/>
      </c>
      <c r="AB36" s="20" t="n">
        <v>0.07000000000000001</v>
      </c>
      <c r="AC36" s="72">
        <f>I36*AB36</f>
        <v/>
      </c>
      <c r="AD36" s="74" t="n">
        <v>0.08</v>
      </c>
      <c r="AE36" s="72">
        <f>I36*AD36</f>
        <v/>
      </c>
      <c r="AF36" s="72">
        <f>AC36+AE36</f>
        <v/>
      </c>
      <c r="AG36" s="25">
        <f>AF36/I36</f>
        <v/>
      </c>
      <c r="AH36" s="26">
        <f>I36-P36-Q36-R36-S36-T36-U36-X36-Z36-AA36-N36-AM36-AN36</f>
        <v/>
      </c>
      <c r="AI36" s="76">
        <f>AH36-AF36</f>
        <v/>
      </c>
      <c r="AJ36" s="77">
        <f>AI36/I36</f>
        <v/>
      </c>
      <c r="AK36" s="78">
        <f>AI36/N36</f>
        <v/>
      </c>
      <c r="AL36" s="72">
        <f>(Q36+S36+X36+Z36+AA36+N36+AM36)/(1-(O36+$I$4+(1-J36)*$I$3+$I$8+$I$11+AB36+AD36))</f>
        <v/>
      </c>
      <c r="AM36" s="72">
        <f>$I$12</f>
        <v/>
      </c>
      <c r="AN36" s="72">
        <f>I36*$I$11</f>
        <v/>
      </c>
    </row>
    <row r="37" ht="29" customHeight="1">
      <c r="A37" s="66" t="inlineStr">
        <is>
          <t>ENOUGH - Collagen 3in1 Whitening Moisture Foundation [Tone 13] / Тональный крем для лица с коллагеном 3в1 [13 тон]</t>
        </is>
      </c>
      <c r="B37" s="96" t="n"/>
      <c r="C37" s="67" t="n"/>
      <c r="D37" s="68" t="n"/>
      <c r="E37" s="92" t="n">
        <v>247</v>
      </c>
      <c r="F37" s="69" t="n">
        <v>1732</v>
      </c>
      <c r="G37" s="69" t="n">
        <v>51</v>
      </c>
      <c r="H37" s="69" t="n">
        <v>9</v>
      </c>
      <c r="I37" s="69">
        <f>(1.20*N37+Q37+S37+X37+Z37+AA37+AM37)/(1-O37-$I$8-$I$4-(1-J37)*$I$3-$I$11-AB37-AD37)</f>
        <v/>
      </c>
      <c r="J37" s="15" t="n">
        <v>0.45</v>
      </c>
      <c r="K37" s="16">
        <f>I37*(1-J37)</f>
        <v/>
      </c>
      <c r="L37" s="70" t="n">
        <v>238.13</v>
      </c>
      <c r="M37" s="71">
        <f>$I$5</f>
        <v/>
      </c>
      <c r="N37" s="19">
        <f>L37+M37</f>
        <v/>
      </c>
      <c r="O37" s="20" t="n">
        <v>0.47</v>
      </c>
      <c r="P37" s="72">
        <f>I37*O37</f>
        <v/>
      </c>
      <c r="Q37" s="73" t="n">
        <v>67</v>
      </c>
      <c r="R37" s="72">
        <f>I37*$I$8</f>
        <v/>
      </c>
      <c r="S37" s="73" t="n">
        <v>25</v>
      </c>
      <c r="T37" s="72">
        <f>I37*$I$4</f>
        <v/>
      </c>
      <c r="U37" s="72">
        <f>K37*$I$3</f>
        <v/>
      </c>
      <c r="V37" s="74" t="n">
        <v>0.9</v>
      </c>
      <c r="W37" s="73" t="n">
        <v>67</v>
      </c>
      <c r="X37" s="72">
        <f>W37*(1-V37)</f>
        <v/>
      </c>
      <c r="Y37" s="75" t="n">
        <v>0.4</v>
      </c>
      <c r="Z37" s="72">
        <f>$I$6*$I$7*Y37</f>
        <v/>
      </c>
      <c r="AA37" s="19">
        <f>Y37*($I$9+$I$10)</f>
        <v/>
      </c>
      <c r="AB37" s="20" t="n">
        <v>0.07000000000000001</v>
      </c>
      <c r="AC37" s="72">
        <f>I37*AB37</f>
        <v/>
      </c>
      <c r="AD37" s="74" t="n">
        <v>0.08</v>
      </c>
      <c r="AE37" s="72">
        <f>I37*AD37</f>
        <v/>
      </c>
      <c r="AF37" s="72">
        <f>AC37+AE37</f>
        <v/>
      </c>
      <c r="AG37" s="25">
        <f>AF37/I37</f>
        <v/>
      </c>
      <c r="AH37" s="26">
        <f>I37-P37-Q37-R37-S37-T37-U37-X37-Z37-AA37-N37-AM37-AN37</f>
        <v/>
      </c>
      <c r="AI37" s="76">
        <f>AH37-AF37</f>
        <v/>
      </c>
      <c r="AJ37" s="77">
        <f>AI37/I37</f>
        <v/>
      </c>
      <c r="AK37" s="78">
        <f>AI37/N37</f>
        <v/>
      </c>
      <c r="AL37" s="72">
        <f>(Q37+S37+X37+Z37+AA37+N37+AM37)/(1-(O37+$I$4+(1-J37)*$I$3+$I$8+$I$11+AB37+AD37))</f>
        <v/>
      </c>
      <c r="AM37" s="72">
        <f>$I$12</f>
        <v/>
      </c>
      <c r="AN37" s="72">
        <f>I37*$I$11</f>
        <v/>
      </c>
    </row>
    <row r="38" ht="29" customHeight="1">
      <c r="A38" s="66" t="inlineStr">
        <is>
          <t>ENOUGH - Collagen 3in1 Whitening Moisture Foundation [Tone 21] / Тональный крем для лица с коллагеном 3в1 [21 тон]</t>
        </is>
      </c>
      <c r="B38" s="96" t="n"/>
      <c r="C38" s="67" t="n"/>
      <c r="D38" s="68" t="n"/>
      <c r="E38" s="92" t="n">
        <v>78</v>
      </c>
      <c r="F38" s="69" t="n">
        <v>1038</v>
      </c>
      <c r="G38" s="69" t="n">
        <v>65</v>
      </c>
      <c r="H38" s="69" t="n">
        <v>12</v>
      </c>
      <c r="I38" s="69">
        <f>(1.20*N38+Q38+S38+X38+Z38+AA38+AM38)/(1-O38-$I$8-$I$4-(1-J38)*$I$3-$I$11-AB38-AD38)</f>
        <v/>
      </c>
      <c r="J38" s="15" t="n">
        <v>0.45</v>
      </c>
      <c r="K38" s="16">
        <f>I38*(1-J38)</f>
        <v/>
      </c>
      <c r="L38" s="70" t="n">
        <v>223.35</v>
      </c>
      <c r="M38" s="71">
        <f>$I$5</f>
        <v/>
      </c>
      <c r="N38" s="19">
        <f>L38+M38</f>
        <v/>
      </c>
      <c r="O38" s="20" t="n">
        <v>0.47</v>
      </c>
      <c r="P38" s="72">
        <f>I38*O38</f>
        <v/>
      </c>
      <c r="Q38" s="73" t="n">
        <v>67</v>
      </c>
      <c r="R38" s="72">
        <f>I38*$I$8</f>
        <v/>
      </c>
      <c r="S38" s="73" t="n">
        <v>25</v>
      </c>
      <c r="T38" s="72">
        <f>I38*$I$4</f>
        <v/>
      </c>
      <c r="U38" s="72">
        <f>K38*$I$3</f>
        <v/>
      </c>
      <c r="V38" s="74" t="n">
        <v>0.9</v>
      </c>
      <c r="W38" s="73" t="n">
        <v>67</v>
      </c>
      <c r="X38" s="72">
        <f>W38*(1-V38)</f>
        <v/>
      </c>
      <c r="Y38" s="75" t="n">
        <v>0.4</v>
      </c>
      <c r="Z38" s="72">
        <f>$I$6*$I$7*Y38</f>
        <v/>
      </c>
      <c r="AA38" s="19">
        <f>Y38*($I$9+$I$10)</f>
        <v/>
      </c>
      <c r="AB38" s="20" t="n">
        <v>0.07000000000000001</v>
      </c>
      <c r="AC38" s="72">
        <f>I38*AB38</f>
        <v/>
      </c>
      <c r="AD38" s="74" t="n">
        <v>0.08</v>
      </c>
      <c r="AE38" s="72">
        <f>I38*AD38</f>
        <v/>
      </c>
      <c r="AF38" s="72">
        <f>AC38+AE38</f>
        <v/>
      </c>
      <c r="AG38" s="25">
        <f>AF38/I38</f>
        <v/>
      </c>
      <c r="AH38" s="26">
        <f>I38-P38-Q38-R38-S38-T38-U38-X38-Z38-AA38-N38-AM38-AN38</f>
        <v/>
      </c>
      <c r="AI38" s="76">
        <f>AH38-AF38</f>
        <v/>
      </c>
      <c r="AJ38" s="77">
        <f>AI38/I38</f>
        <v/>
      </c>
      <c r="AK38" s="78">
        <f>AI38/N38</f>
        <v/>
      </c>
      <c r="AL38" s="72">
        <f>(Q38+S38+X38+Z38+AA38+N38+AM38)/(1-(O38+$I$4+(1-J38)*$I$3+$I$8+$I$11+AB38+AD38))</f>
        <v/>
      </c>
      <c r="AM38" s="72">
        <f>$I$12</f>
        <v/>
      </c>
      <c r="AN38" s="72">
        <f>I38*$I$11</f>
        <v/>
      </c>
    </row>
    <row r="39" ht="29" customHeight="1">
      <c r="A39" s="66" t="inlineStr">
        <is>
          <t>ENOUGH - Premium 8 Peptide Full Cover Perfect Foundation [Tone 13] / Тональный крем с пептидами 13 тон</t>
        </is>
      </c>
      <c r="B39" s="96" t="n"/>
      <c r="C39" s="67" t="n"/>
      <c r="D39" s="68" t="n"/>
      <c r="E39" s="92" t="n">
        <v>463</v>
      </c>
      <c r="F39" s="69" t="n">
        <v>1330</v>
      </c>
      <c r="G39" s="69" t="n">
        <v>180</v>
      </c>
      <c r="H39" s="69" t="n">
        <v>0</v>
      </c>
      <c r="I39" s="69">
        <f>(1.20*N39+Q39+S39+X39+Z39+AA39+AM39)/(1-O39-$I$8-$I$4-(1-J39)*$I$3-$I$11-AB39-AD39)</f>
        <v/>
      </c>
      <c r="J39" s="15" t="n">
        <v>0.45</v>
      </c>
      <c r="K39" s="16">
        <f>I39*(1-J39)</f>
        <v/>
      </c>
      <c r="L39" s="70" t="n">
        <v>335.9</v>
      </c>
      <c r="M39" s="71">
        <f>$I$5</f>
        <v/>
      </c>
      <c r="N39" s="19">
        <f>L39+M39</f>
        <v/>
      </c>
      <c r="O39" s="20" t="n">
        <v>0.47</v>
      </c>
      <c r="P39" s="72">
        <f>I39*O39</f>
        <v/>
      </c>
      <c r="Q39" s="73" t="n">
        <v>67</v>
      </c>
      <c r="R39" s="72">
        <f>I39*$I$8</f>
        <v/>
      </c>
      <c r="S39" s="73" t="n">
        <v>25</v>
      </c>
      <c r="T39" s="72">
        <f>I39*$I$4</f>
        <v/>
      </c>
      <c r="U39" s="72">
        <f>K39*$I$3</f>
        <v/>
      </c>
      <c r="V39" s="74" t="n">
        <v>0.9</v>
      </c>
      <c r="W39" s="73" t="n">
        <v>67</v>
      </c>
      <c r="X39" s="72">
        <f>W39*(1-V39)</f>
        <v/>
      </c>
      <c r="Y39" s="75" t="n">
        <v>0.4</v>
      </c>
      <c r="Z39" s="72">
        <f>$I$6*$I$7*Y39</f>
        <v/>
      </c>
      <c r="AA39" s="19">
        <f>Y39*($I$9+$I$10)</f>
        <v/>
      </c>
      <c r="AB39" s="20" t="n">
        <v>0.07000000000000001</v>
      </c>
      <c r="AC39" s="72">
        <f>I39*AB39</f>
        <v/>
      </c>
      <c r="AD39" s="74" t="n">
        <v>0.08</v>
      </c>
      <c r="AE39" s="72">
        <f>I39*AD39</f>
        <v/>
      </c>
      <c r="AF39" s="72">
        <f>AC39+AE39</f>
        <v/>
      </c>
      <c r="AG39" s="25">
        <f>AF39/I39</f>
        <v/>
      </c>
      <c r="AH39" s="26">
        <f>I39-P39-Q39-R39-S39-T39-U39-X39-Z39-AA39-N39-AM39-AN39</f>
        <v/>
      </c>
      <c r="AI39" s="76">
        <f>AH39-AF39</f>
        <v/>
      </c>
      <c r="AJ39" s="77">
        <f>AI39/I39</f>
        <v/>
      </c>
      <c r="AK39" s="78">
        <f>AI39/N39</f>
        <v/>
      </c>
      <c r="AL39" s="72">
        <f>(Q39+S39+X39+Z39+AA39+N39+AM39)/(1-(O39+$I$4+(1-J39)*$I$3+$I$8+$I$11+AB39+AD39))</f>
        <v/>
      </c>
      <c r="AM39" s="72">
        <f>$I$12</f>
        <v/>
      </c>
      <c r="AN39" s="72">
        <f>I39*$I$11</f>
        <v/>
      </c>
    </row>
    <row r="40" ht="29" customHeight="1">
      <c r="A40" s="66" t="inlineStr">
        <is>
          <t>ENOUGH - Premium 8 Peptide Full Cover Perfect Foundation [Tone 21] / Тональный крем с пептидами 21 тон</t>
        </is>
      </c>
      <c r="B40" s="96" t="n"/>
      <c r="C40" s="67" t="n"/>
      <c r="D40" s="68" t="n"/>
      <c r="E40" s="92" t="n">
        <v>208</v>
      </c>
      <c r="F40" s="69" t="n">
        <v>1330</v>
      </c>
      <c r="G40" s="69" t="n">
        <v>265</v>
      </c>
      <c r="H40" s="69" t="n">
        <v>0</v>
      </c>
      <c r="I40" s="69">
        <f>(1.20*N40+Q40+S40+X40+Z40+AA40+AM40)/(1-O40-$I$8-$I$4-(1-J40)*$I$3-$I$11-AB40-AD40)</f>
        <v/>
      </c>
      <c r="J40" s="15" t="n">
        <v>0.45</v>
      </c>
      <c r="K40" s="16">
        <f>I40*(1-J40)</f>
        <v/>
      </c>
      <c r="L40" s="70" t="n">
        <v>304.77</v>
      </c>
      <c r="M40" s="71">
        <f>$I$5</f>
        <v/>
      </c>
      <c r="N40" s="19">
        <f>L40+M40</f>
        <v/>
      </c>
      <c r="O40" s="20" t="n">
        <v>0.47</v>
      </c>
      <c r="P40" s="72">
        <f>I40*O40</f>
        <v/>
      </c>
      <c r="Q40" s="73" t="n">
        <v>67</v>
      </c>
      <c r="R40" s="72">
        <f>I40*$I$8</f>
        <v/>
      </c>
      <c r="S40" s="73" t="n">
        <v>25</v>
      </c>
      <c r="T40" s="72">
        <f>I40*$I$4</f>
        <v/>
      </c>
      <c r="U40" s="72">
        <f>K40*$I$3</f>
        <v/>
      </c>
      <c r="V40" s="74" t="n">
        <v>0.9</v>
      </c>
      <c r="W40" s="73" t="n">
        <v>67</v>
      </c>
      <c r="X40" s="72">
        <f>W40*(1-V40)</f>
        <v/>
      </c>
      <c r="Y40" s="75" t="n">
        <v>0.4</v>
      </c>
      <c r="Z40" s="72">
        <f>$I$6*$I$7*Y40</f>
        <v/>
      </c>
      <c r="AA40" s="19">
        <f>Y40*($I$9+$I$10)</f>
        <v/>
      </c>
      <c r="AB40" s="20" t="n">
        <v>0.07000000000000001</v>
      </c>
      <c r="AC40" s="72">
        <f>I40*AB40</f>
        <v/>
      </c>
      <c r="AD40" s="74" t="n">
        <v>0.08</v>
      </c>
      <c r="AE40" s="72">
        <f>I40*AD40</f>
        <v/>
      </c>
      <c r="AF40" s="72">
        <f>AC40+AE40</f>
        <v/>
      </c>
      <c r="AG40" s="25">
        <f>AF40/I40</f>
        <v/>
      </c>
      <c r="AH40" s="26">
        <f>I40-P40-Q40-R40-S40-T40-U40-X40-Z40-AA40-N40-AM40-AN40</f>
        <v/>
      </c>
      <c r="AI40" s="76">
        <f>AH40-AF40</f>
        <v/>
      </c>
      <c r="AJ40" s="77">
        <f>AI40/I40</f>
        <v/>
      </c>
      <c r="AK40" s="78">
        <f>AI40/N40</f>
        <v/>
      </c>
      <c r="AL40" s="72">
        <f>(Q40+S40+X40+Z40+AA40+N40+AM40)/(1-(O40+$I$4+(1-J40)*$I$3+$I$8+$I$11+AB40+AD40))</f>
        <v/>
      </c>
      <c r="AM40" s="72">
        <f>$I$12</f>
        <v/>
      </c>
      <c r="AN40" s="72">
        <f>I40*$I$11</f>
        <v/>
      </c>
    </row>
    <row r="41" ht="29" customHeight="1">
      <c r="A41" s="66" t="inlineStr">
        <is>
          <t>ENOUGH Collagen whitening cover tip concealer #01 [9g]/Консилер для лица (основная карточка) 4.5 рейтинг</t>
        </is>
      </c>
      <c r="B41" s="96" t="n"/>
      <c r="C41" s="80" t="n"/>
      <c r="D41" s="80" t="n"/>
      <c r="E41" s="92" t="n">
        <v>593</v>
      </c>
      <c r="F41" s="81" t="n"/>
      <c r="G41" s="81" t="n"/>
      <c r="H41" s="81" t="n"/>
      <c r="I41" s="81" t="n"/>
      <c r="J41" s="32" t="n"/>
      <c r="K41" s="33" t="n"/>
      <c r="L41" s="70" t="n"/>
      <c r="M41" s="82" t="n"/>
      <c r="N41" s="35" t="n"/>
      <c r="O41" s="36" t="n"/>
      <c r="P41" s="81" t="n"/>
      <c r="Q41" s="81" t="n"/>
      <c r="R41" s="81" t="n"/>
      <c r="S41" s="81" t="n"/>
      <c r="T41" s="81" t="n"/>
      <c r="U41" s="81" t="n"/>
      <c r="V41" s="83" t="n"/>
      <c r="W41" s="81" t="n"/>
      <c r="X41" s="81" t="n"/>
      <c r="Y41" s="84" t="n"/>
      <c r="Z41" s="81" t="n"/>
      <c r="AA41" s="35" t="n"/>
      <c r="AB41" s="36" t="n"/>
      <c r="AC41" s="81" t="n"/>
      <c r="AD41" s="83" t="n"/>
      <c r="AE41" s="81" t="n"/>
      <c r="AF41" s="81" t="n"/>
      <c r="AG41" s="39" t="n"/>
      <c r="AH41" s="40" t="n"/>
      <c r="AI41" s="76" t="n"/>
      <c r="AJ41" s="77" t="n"/>
      <c r="AK41" s="78" t="n"/>
      <c r="AL41" s="81" t="n"/>
      <c r="AM41" s="81" t="n"/>
      <c r="AN41" s="81" t="n"/>
    </row>
    <row r="42" ht="29" customHeight="1">
      <c r="A42" s="66" t="inlineStr">
        <is>
          <t>ENOUGH Collagen whitening cover tip concealer #02 [9g]/Консилер для лица (основная карточка)</t>
        </is>
      </c>
      <c r="B42" s="96" t="n"/>
      <c r="C42" s="80" t="n"/>
      <c r="D42" s="80" t="n"/>
      <c r="E42" s="92" t="n">
        <v>757</v>
      </c>
      <c r="F42" s="81" t="n"/>
      <c r="G42" s="81" t="n"/>
      <c r="H42" s="81" t="n"/>
      <c r="I42" s="81" t="n"/>
      <c r="J42" s="32" t="n"/>
      <c r="K42" s="33" t="n"/>
      <c r="L42" s="70" t="n"/>
      <c r="M42" s="82" t="n"/>
      <c r="N42" s="35" t="n"/>
      <c r="O42" s="36" t="n"/>
      <c r="P42" s="81" t="n"/>
      <c r="Q42" s="81" t="n"/>
      <c r="R42" s="81" t="n"/>
      <c r="S42" s="81" t="n"/>
      <c r="T42" s="81" t="n"/>
      <c r="U42" s="81" t="n"/>
      <c r="V42" s="83" t="n"/>
      <c r="W42" s="81" t="n"/>
      <c r="X42" s="81" t="n"/>
      <c r="Y42" s="84" t="n"/>
      <c r="Z42" s="81" t="n"/>
      <c r="AA42" s="35" t="n"/>
      <c r="AB42" s="36" t="n"/>
      <c r="AC42" s="81" t="n"/>
      <c r="AD42" s="83" t="n"/>
      <c r="AE42" s="81" t="n"/>
      <c r="AF42" s="81" t="n"/>
      <c r="AG42" s="39" t="n"/>
      <c r="AH42" s="40" t="n"/>
      <c r="AI42" s="76" t="n"/>
      <c r="AJ42" s="77" t="n"/>
      <c r="AK42" s="78" t="n"/>
      <c r="AL42" s="81" t="n"/>
      <c r="AM42" s="81" t="n"/>
      <c r="AN42" s="81" t="n"/>
    </row>
    <row r="43" ht="29" customHeight="1">
      <c r="A43" s="66" t="inlineStr">
        <is>
          <t>ENOUGH Collagen whitening cover tip concealer #03 [9g]/ Консилер для лица (основаная карточка)</t>
        </is>
      </c>
      <c r="B43" s="96" t="n"/>
      <c r="C43" s="80" t="n"/>
      <c r="D43" s="80" t="n"/>
      <c r="E43" s="92" t="n">
        <v>810</v>
      </c>
      <c r="F43" s="81" t="n"/>
      <c r="G43" s="81" t="n"/>
      <c r="H43" s="81" t="n"/>
      <c r="I43" s="81" t="n"/>
      <c r="J43" s="32" t="n"/>
      <c r="K43" s="33" t="n"/>
      <c r="L43" s="70" t="n"/>
      <c r="M43" s="82" t="n"/>
      <c r="N43" s="35" t="n"/>
      <c r="O43" s="36" t="n"/>
      <c r="P43" s="81" t="n"/>
      <c r="Q43" s="81" t="n"/>
      <c r="R43" s="81" t="n"/>
      <c r="S43" s="81" t="n"/>
      <c r="T43" s="81" t="n"/>
      <c r="U43" s="81" t="n"/>
      <c r="V43" s="83" t="n"/>
      <c r="W43" s="81" t="n"/>
      <c r="X43" s="81" t="n"/>
      <c r="Y43" s="84" t="n"/>
      <c r="Z43" s="81" t="n"/>
      <c r="AA43" s="35" t="n"/>
      <c r="AB43" s="36" t="n"/>
      <c r="AC43" s="81" t="n"/>
      <c r="AD43" s="83" t="n"/>
      <c r="AE43" s="81" t="n"/>
      <c r="AF43" s="81" t="n"/>
      <c r="AG43" s="39" t="n"/>
      <c r="AH43" s="40" t="n"/>
      <c r="AI43" s="76" t="n"/>
      <c r="AJ43" s="77" t="n"/>
      <c r="AK43" s="78" t="n"/>
      <c r="AL43" s="81" t="n"/>
      <c r="AM43" s="81" t="n"/>
      <c r="AN43" s="81" t="n"/>
    </row>
    <row r="44" ht="29" customHeight="1">
      <c r="A44" s="66" t="inlineStr">
        <is>
          <t>ENOUGH - Collagen Moisture BB Cream SPF47 PA+++ [50ml] / Увлажняющий BB крем с коллагеном</t>
        </is>
      </c>
      <c r="B44" s="96" t="inlineStr">
        <is>
          <t>ФБС</t>
        </is>
      </c>
      <c r="C44" s="67" t="n"/>
      <c r="D44" s="68" t="n"/>
      <c r="E44" s="92" t="n">
        <v>722</v>
      </c>
      <c r="F44" s="69" t="n"/>
      <c r="G44" s="69" t="n"/>
      <c r="H44" s="69" t="n"/>
      <c r="I44" s="69">
        <f>(1.20*N44+Q44+S44+X44+Z44+AA44+AM44)/(1-O44-$I$8-$I$4-(1-J44)*$I$3-$I$11-AB44-AD44)</f>
        <v/>
      </c>
      <c r="J44" s="15" t="n">
        <v>0.45</v>
      </c>
      <c r="K44" s="16">
        <f>I44*(1-J44)</f>
        <v/>
      </c>
      <c r="L44" s="70" t="n">
        <v>189.27</v>
      </c>
      <c r="M44" s="71">
        <f>$I$5</f>
        <v/>
      </c>
      <c r="N44" s="19">
        <f>L44+M44</f>
        <v/>
      </c>
      <c r="O44" s="20" t="n">
        <v>0.47</v>
      </c>
      <c r="P44" s="72">
        <f>I44*O44</f>
        <v/>
      </c>
      <c r="Q44" s="73" t="n">
        <v>63</v>
      </c>
      <c r="R44" s="72">
        <f>I44*$I$8</f>
        <v/>
      </c>
      <c r="S44" s="73" t="n">
        <v>25</v>
      </c>
      <c r="T44" s="72">
        <f>I44*$I$4</f>
        <v/>
      </c>
      <c r="U44" s="72">
        <f>K44*$I$3</f>
        <v/>
      </c>
      <c r="V44" s="74" t="n">
        <v>0.9</v>
      </c>
      <c r="W44" s="73" t="n">
        <v>63</v>
      </c>
      <c r="X44" s="72">
        <f>W44*(1-V44)</f>
        <v/>
      </c>
      <c r="Y44" s="75" t="n">
        <v>0.28</v>
      </c>
      <c r="Z44" s="72">
        <f>$I$6*$I$7*Y44</f>
        <v/>
      </c>
      <c r="AA44" s="19">
        <f>Y44*($I$9+$I$10)</f>
        <v/>
      </c>
      <c r="AB44" s="20" t="n">
        <v>0.07000000000000001</v>
      </c>
      <c r="AC44" s="72">
        <f>I44*AB44</f>
        <v/>
      </c>
      <c r="AD44" s="74" t="n">
        <v>0.08</v>
      </c>
      <c r="AE44" s="72">
        <f>I44*AD44</f>
        <v/>
      </c>
      <c r="AF44" s="72">
        <f>AC44+AE44</f>
        <v/>
      </c>
      <c r="AG44" s="25">
        <f>AF44/I44</f>
        <v/>
      </c>
      <c r="AH44" s="26">
        <f>I44-P44-Q44-R44-S44-T44-U44-X44-Z44-AA44-N44-AM44-AN44</f>
        <v/>
      </c>
      <c r="AI44" s="76">
        <f>AH44-AF44</f>
        <v/>
      </c>
      <c r="AJ44" s="77">
        <f>AI44/I44</f>
        <v/>
      </c>
      <c r="AK44" s="78">
        <f>AI44/N44</f>
        <v/>
      </c>
      <c r="AL44" s="72">
        <f>(Q44+S44+X44+Z44+AA44+N44+AM44)/(1-(O44+$I$4+(1-J44)*$I$3+$I$8+$I$11+AB44+AD44))</f>
        <v/>
      </c>
      <c r="AM44" s="72">
        <f>$I$12</f>
        <v/>
      </c>
      <c r="AN44" s="72">
        <f>I44*$I$11</f>
        <v/>
      </c>
    </row>
    <row r="45">
      <c r="A45" s="64" t="inlineStr">
        <is>
          <t>Косметика/ETUDEHOUSE</t>
        </is>
      </c>
      <c r="B45" s="95" t="n"/>
      <c r="C45" s="65" t="n"/>
      <c r="D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  <c r="Z45" s="65" t="n"/>
      <c r="AA45" s="65" t="n"/>
      <c r="AB45" s="65" t="n"/>
      <c r="AC45" s="65" t="n"/>
      <c r="AD45" s="65" t="n"/>
      <c r="AE45" s="65" t="n"/>
      <c r="AF45" s="65" t="n"/>
      <c r="AG45" s="65" t="n"/>
      <c r="AH45" s="65" t="n"/>
      <c r="AI45" s="65" t="n"/>
      <c r="AJ45" s="65" t="n"/>
      <c r="AK45" s="65" t="n"/>
      <c r="AL45" s="65" t="n"/>
      <c r="AM45" s="65" t="n"/>
      <c r="AN45" s="65" t="n"/>
    </row>
    <row r="46" ht="29" customHeight="1">
      <c r="A46" s="66" t="inlineStr">
        <is>
          <t>ETUDE - Baking Powder Crunch Pore Scrub [200ml] / Очищающий скраб для лица с содой</t>
        </is>
      </c>
      <c r="B46" s="96" t="n"/>
      <c r="C46" s="67" t="n"/>
      <c r="D46" s="68" t="n"/>
      <c r="E46" s="92" t="n">
        <v>221</v>
      </c>
      <c r="F46" s="69" t="n">
        <v>1730</v>
      </c>
      <c r="G46" s="69" t="n">
        <v>300</v>
      </c>
      <c r="H46" s="69" t="n">
        <v>5</v>
      </c>
      <c r="I46" s="69">
        <f>(1.20*N46+Q46+S46+X46+Z46+AA46+AM46)/(1-O46-$I$8-$I$4-(1-J46)*$I$3-$I$11-AB46-AD46)</f>
        <v/>
      </c>
      <c r="J46" s="15" t="n">
        <v>0.45</v>
      </c>
      <c r="K46" s="16">
        <f>I46*(1-J46)</f>
        <v/>
      </c>
      <c r="L46" s="70" t="n">
        <v>361.03</v>
      </c>
      <c r="M46" s="71">
        <f>$I$5</f>
        <v/>
      </c>
      <c r="N46" s="19">
        <f>L46+M46</f>
        <v/>
      </c>
      <c r="O46" s="20" t="n">
        <v>0.47</v>
      </c>
      <c r="P46" s="72">
        <f>I46*O46</f>
        <v/>
      </c>
      <c r="Q46" s="73" t="n">
        <v>67</v>
      </c>
      <c r="R46" s="72">
        <f>I46*$I$8</f>
        <v/>
      </c>
      <c r="S46" s="73" t="n">
        <v>25</v>
      </c>
      <c r="T46" s="72">
        <f>I46*$I$4</f>
        <v/>
      </c>
      <c r="U46" s="72">
        <f>K46*$I$3</f>
        <v/>
      </c>
      <c r="V46" s="74" t="n">
        <v>0.9</v>
      </c>
      <c r="W46" s="73" t="n">
        <v>67</v>
      </c>
      <c r="X46" s="72">
        <f>W46*(1-V46)</f>
        <v/>
      </c>
      <c r="Y46" s="75" t="n">
        <v>0.5600000000000001</v>
      </c>
      <c r="Z46" s="72">
        <f>$I$6*$I$7*Y46</f>
        <v/>
      </c>
      <c r="AA46" s="19">
        <f>Y46*($I$9+$I$10)</f>
        <v/>
      </c>
      <c r="AB46" s="20" t="n">
        <v>0.05</v>
      </c>
      <c r="AC46" s="72">
        <f>I46*AB46</f>
        <v/>
      </c>
      <c r="AD46" s="74" t="n">
        <v>0.05</v>
      </c>
      <c r="AE46" s="72">
        <f>I46*AD46</f>
        <v/>
      </c>
      <c r="AF46" s="72">
        <f>AC46+AE46</f>
        <v/>
      </c>
      <c r="AG46" s="25">
        <f>AF46/I46</f>
        <v/>
      </c>
      <c r="AH46" s="26">
        <f>I46-P46-Q46-R46-S46-T46-U46-X46-Z46-AA46-N46-AM46-AN46</f>
        <v/>
      </c>
      <c r="AI46" s="76">
        <f>AH46-AF46</f>
        <v/>
      </c>
      <c r="AJ46" s="77">
        <f>AI46/I46</f>
        <v/>
      </c>
      <c r="AK46" s="78">
        <f>AI46/N46</f>
        <v/>
      </c>
      <c r="AL46" s="72">
        <f>(Q46+S46+X46+Z46+AA46+N46+AM46)/(1-(O46+$I$4+(1-J46)*$I$3+$I$8+$I$11+AB46+AD46))</f>
        <v/>
      </c>
      <c r="AM46" s="72">
        <f>$I$12</f>
        <v/>
      </c>
      <c r="AN46" s="72">
        <f>I46*$I$11</f>
        <v/>
      </c>
    </row>
    <row r="47" ht="29" customHeight="1">
      <c r="A47" s="66" t="inlineStr">
        <is>
          <t>ETUDE - Baking Powder BB Deep Cleansing Foam [160ml] / Пенка с содой для глубокого очищения и снятия макияжа</t>
        </is>
      </c>
      <c r="B47" s="96" t="n"/>
      <c r="C47" s="67" t="n"/>
      <c r="D47" s="68" t="n"/>
      <c r="E47" s="92" t="n">
        <v>228</v>
      </c>
      <c r="F47" s="69" t="n">
        <v>1870</v>
      </c>
      <c r="G47" s="69" t="n">
        <v>230</v>
      </c>
      <c r="H47" s="69" t="n">
        <v>8</v>
      </c>
      <c r="I47" s="69">
        <f>(1.20*N47+Q47+S47+X47+Z47+AA47+AM47)/(1-O47-$I$8-$I$4-(1-J47)*$I$3-$I$11-AB47-AD47)</f>
        <v/>
      </c>
      <c r="J47" s="15" t="n">
        <v>0.45</v>
      </c>
      <c r="K47" s="16">
        <f>I47*(1-J47)</f>
        <v/>
      </c>
      <c r="L47" s="70" t="n">
        <v>292.89</v>
      </c>
      <c r="M47" s="71">
        <f>$I$5</f>
        <v/>
      </c>
      <c r="N47" s="19">
        <f>L47+M47</f>
        <v/>
      </c>
      <c r="O47" s="20" t="n">
        <v>0.47</v>
      </c>
      <c r="P47" s="72">
        <f>I47*O47</f>
        <v/>
      </c>
      <c r="Q47" s="73" t="n">
        <v>67</v>
      </c>
      <c r="R47" s="72">
        <f>I47*$I$8</f>
        <v/>
      </c>
      <c r="S47" s="73" t="n">
        <v>25</v>
      </c>
      <c r="T47" s="72">
        <f>I47*$I$4</f>
        <v/>
      </c>
      <c r="U47" s="72">
        <f>K47*$I$3</f>
        <v/>
      </c>
      <c r="V47" s="74" t="n">
        <v>0.9</v>
      </c>
      <c r="W47" s="73" t="n">
        <v>67</v>
      </c>
      <c r="X47" s="72">
        <f>W47*(1-V47)</f>
        <v/>
      </c>
      <c r="Y47" s="75" t="n">
        <v>0.5600000000000001</v>
      </c>
      <c r="Z47" s="72">
        <f>$I$6*$I$7*Y47</f>
        <v/>
      </c>
      <c r="AA47" s="19">
        <f>Y47*($I$9+$I$10)</f>
        <v/>
      </c>
      <c r="AB47" s="20" t="n">
        <v>0.07000000000000001</v>
      </c>
      <c r="AC47" s="72">
        <f>I47*AB47</f>
        <v/>
      </c>
      <c r="AD47" s="74" t="n">
        <v>0.05</v>
      </c>
      <c r="AE47" s="72">
        <f>I47*AD47</f>
        <v/>
      </c>
      <c r="AF47" s="72">
        <f>AC47+AE47</f>
        <v/>
      </c>
      <c r="AG47" s="25">
        <f>AF47/I47</f>
        <v/>
      </c>
      <c r="AH47" s="26">
        <f>I47-P47-Q47-R47-S47-T47-U47-X47-Z47-AA47-N47-AM47-AN47</f>
        <v/>
      </c>
      <c r="AI47" s="76">
        <f>AH47-AF47</f>
        <v/>
      </c>
      <c r="AJ47" s="77">
        <f>AI47/I47</f>
        <v/>
      </c>
      <c r="AK47" s="78">
        <f>AI47/N47</f>
        <v/>
      </c>
      <c r="AL47" s="72">
        <f>(Q47+S47+X47+Z47+AA47+N47+AM47)/(1-(O47+$I$4+(1-J47)*$I$3+$I$8+$I$11+AB47+AD47))</f>
        <v/>
      </c>
      <c r="AM47" s="72">
        <f>$I$12</f>
        <v/>
      </c>
      <c r="AN47" s="72">
        <f>I47*$I$11</f>
        <v/>
      </c>
    </row>
    <row r="48" ht="29" customHeight="1">
      <c r="A48" s="66" t="inlineStr">
        <is>
          <t>ETUDE - Baking Powder Crunch Pore Scrub [24*7ml] / Очищающий скраб для лица с содой</t>
        </is>
      </c>
      <c r="B48" s="96" t="inlineStr">
        <is>
          <t>ФБС</t>
        </is>
      </c>
      <c r="C48" s="67" t="n"/>
      <c r="D48" s="68" t="n"/>
      <c r="E48" s="92" t="n">
        <v>221</v>
      </c>
      <c r="F48" s="69" t="n">
        <v>1900</v>
      </c>
      <c r="G48" s="69" t="n">
        <v>60</v>
      </c>
      <c r="H48" s="69" t="n">
        <v>10</v>
      </c>
      <c r="I48" s="69">
        <f>(1.20*N48+Q48+S48+X48+Z48+AA48+AM48)/(1-O48-$I$8-$I$4-(1-J48)*$I$3-$I$11-AB48-AD48)</f>
        <v/>
      </c>
      <c r="J48" s="15" t="n">
        <v>0.45</v>
      </c>
      <c r="K48" s="16">
        <f>I48*(1-J48)</f>
        <v/>
      </c>
      <c r="L48" s="70" t="n">
        <v>389.99</v>
      </c>
      <c r="M48" s="71">
        <f>$I$5</f>
        <v/>
      </c>
      <c r="N48" s="19">
        <f>L48+M48</f>
        <v/>
      </c>
      <c r="O48" s="20" t="n">
        <v>0.47</v>
      </c>
      <c r="P48" s="72">
        <f>I48*O48</f>
        <v/>
      </c>
      <c r="Q48" s="73" t="n">
        <v>72</v>
      </c>
      <c r="R48" s="72">
        <f>I48*$I$8</f>
        <v/>
      </c>
      <c r="S48" s="73" t="n">
        <v>25</v>
      </c>
      <c r="T48" s="72">
        <f>I48*$I$4</f>
        <v/>
      </c>
      <c r="U48" s="72">
        <f>K48*$I$3</f>
        <v/>
      </c>
      <c r="V48" s="74" t="n">
        <v>0.9</v>
      </c>
      <c r="W48" s="73" t="n">
        <v>72</v>
      </c>
      <c r="X48" s="72">
        <f>W48*(1-V48)</f>
        <v/>
      </c>
      <c r="Y48" s="75" t="n">
        <v>1.15</v>
      </c>
      <c r="Z48" s="72">
        <f>$I$6*$I$7*Y48</f>
        <v/>
      </c>
      <c r="AA48" s="19">
        <f>Y48*($I$9+$I$10)</f>
        <v/>
      </c>
      <c r="AB48" s="20" t="n">
        <v>0.07000000000000001</v>
      </c>
      <c r="AC48" s="72">
        <f>I48*AB48</f>
        <v/>
      </c>
      <c r="AD48" s="74" t="n">
        <v>0.08</v>
      </c>
      <c r="AE48" s="72">
        <f>I48*AD48</f>
        <v/>
      </c>
      <c r="AF48" s="72">
        <f>AC48+AE48</f>
        <v/>
      </c>
      <c r="AG48" s="25">
        <f>AF48/I48</f>
        <v/>
      </c>
      <c r="AH48" s="26">
        <f>I48-P48-Q48-R48-S48-T48-U48-X48-Z48-AA48-N48-AM48-AN48</f>
        <v/>
      </c>
      <c r="AI48" s="76">
        <f>AH48-AF48</f>
        <v/>
      </c>
      <c r="AJ48" s="77">
        <f>AI48/I48</f>
        <v/>
      </c>
      <c r="AK48" s="78">
        <f>AI48/N48</f>
        <v/>
      </c>
      <c r="AL48" s="72">
        <f>(Q48+S48+X48+Z48+AA48+N48+AM48)/(1-(O48+$I$4+(1-J48)*$I$3+$I$8+$I$11+AB48+AD48))</f>
        <v/>
      </c>
      <c r="AM48" s="72">
        <f>$I$12</f>
        <v/>
      </c>
      <c r="AN48" s="72">
        <f>I48*$I$11</f>
        <v/>
      </c>
    </row>
    <row r="49">
      <c r="A49" s="64" t="inlineStr">
        <is>
          <t>Косметика/FARMSTAY</t>
        </is>
      </c>
      <c r="B49" s="95" t="n"/>
      <c r="C49" s="65" t="n"/>
      <c r="D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  <c r="Z49" s="65" t="n"/>
      <c r="AA49" s="65" t="n"/>
      <c r="AB49" s="65" t="n"/>
      <c r="AC49" s="65" t="n"/>
      <c r="AD49" s="65" t="n"/>
      <c r="AE49" s="65" t="n"/>
      <c r="AF49" s="65" t="n"/>
      <c r="AG49" s="65" t="n"/>
      <c r="AH49" s="65" t="n"/>
      <c r="AI49" s="65" t="n"/>
      <c r="AJ49" s="65" t="n"/>
      <c r="AK49" s="65" t="n"/>
      <c r="AL49" s="65" t="n"/>
      <c r="AM49" s="65" t="n"/>
      <c r="AN49" s="65" t="n"/>
    </row>
    <row r="50">
      <c r="A50" s="66" t="inlineStr">
        <is>
          <t>FARMSTAY COLLAGEN&amp;HYALURONIC ACID ALL-IN ONE</t>
        </is>
      </c>
      <c r="B50" s="96" t="n"/>
      <c r="C50" s="67" t="n"/>
      <c r="D50" s="68" t="inlineStr">
        <is>
          <t>только Holika продает на Озон</t>
        </is>
      </c>
      <c r="E50" s="101" t="n">
        <v>6611</v>
      </c>
      <c r="F50" s="69" t="n">
        <v>3850</v>
      </c>
      <c r="G50" s="69" t="n">
        <v>127</v>
      </c>
      <c r="H50" s="69" t="n">
        <v>6</v>
      </c>
      <c r="I50" s="69">
        <f>(1.20*N50+Q50+S50+X50+Z50+AA50+AM50)/(1-O50-$I$8-$I$4-(1-J50)*$I$3-$I$11-AB50-AD50)</f>
        <v/>
      </c>
      <c r="J50" s="15" t="n">
        <v>0.45</v>
      </c>
      <c r="K50" s="16">
        <f>I50*(1-J50)</f>
        <v/>
      </c>
      <c r="L50" s="70" t="n">
        <v>347.76</v>
      </c>
      <c r="M50" s="71">
        <f>$I$5</f>
        <v/>
      </c>
      <c r="N50" s="19">
        <f>L50+M50</f>
        <v/>
      </c>
      <c r="O50" s="20" t="n">
        <v>0.47</v>
      </c>
      <c r="P50" s="72">
        <f>I50*O50</f>
        <v/>
      </c>
      <c r="Q50" s="73" t="n">
        <v>67</v>
      </c>
      <c r="R50" s="72">
        <f>I50*$I$8</f>
        <v/>
      </c>
      <c r="S50" s="73" t="n">
        <v>25</v>
      </c>
      <c r="T50" s="72">
        <f>I50*$I$4</f>
        <v/>
      </c>
      <c r="U50" s="72">
        <f>K50*$I$3</f>
        <v/>
      </c>
      <c r="V50" s="74" t="n">
        <v>0.9</v>
      </c>
      <c r="W50" s="73" t="n">
        <v>67</v>
      </c>
      <c r="X50" s="72">
        <f>W50*(1-V50)</f>
        <v/>
      </c>
      <c r="Y50" s="75" t="n">
        <v>0.832</v>
      </c>
      <c r="Z50" s="72">
        <f>$I$6*$I$7*Y50</f>
        <v/>
      </c>
      <c r="AA50" s="19">
        <f>Y50*($I$9+$I$10)</f>
        <v/>
      </c>
      <c r="AB50" s="20" t="n">
        <v>0.07000000000000001</v>
      </c>
      <c r="AC50" s="72">
        <f>I50*AB50</f>
        <v/>
      </c>
      <c r="AD50" s="74" t="n">
        <v>0.08</v>
      </c>
      <c r="AE50" s="72">
        <f>I50*AD50</f>
        <v/>
      </c>
      <c r="AF50" s="72">
        <f>AC50+AE50</f>
        <v/>
      </c>
      <c r="AG50" s="25">
        <f>AF50/I50</f>
        <v/>
      </c>
      <c r="AH50" s="26">
        <f>I50-P50-Q50-R50-S50-T50-U50-X50-Z50-AA50-N50-AM50-AN50</f>
        <v/>
      </c>
      <c r="AI50" s="76">
        <f>AH50-AF50</f>
        <v/>
      </c>
      <c r="AJ50" s="77">
        <f>AI50/I50</f>
        <v/>
      </c>
      <c r="AK50" s="78">
        <f>AI50/N50</f>
        <v/>
      </c>
      <c r="AL50" s="72">
        <f>(Q50+S50+X50+Z50+AA50+N50+AM50)/(1-(O50+$I$4+(1-J50)*$I$3+$I$8+$I$11+AB50+AD50))</f>
        <v/>
      </c>
      <c r="AM50" s="72">
        <f>$I$12</f>
        <v/>
      </c>
      <c r="AN50" s="72">
        <f>I50*$I$11</f>
        <v/>
      </c>
    </row>
    <row r="51" ht="29" customHeight="1">
      <c r="A51" s="66" t="inlineStr">
        <is>
          <t>FARMSTAY - Black Garlic Nourishing Shampoo [530ml] / Шампунь-кондиционер 2в1 с экстрактом черного чеснока</t>
        </is>
      </c>
      <c r="B51" s="96" t="n"/>
      <c r="C51" s="67" t="n"/>
      <c r="D51" s="68" t="inlineStr">
        <is>
          <t>только Holika продает на Озон</t>
        </is>
      </c>
      <c r="E51" s="101" t="n">
        <v>3360</v>
      </c>
      <c r="F51" s="69" t="n">
        <v>2156</v>
      </c>
      <c r="G51" s="69" t="n">
        <v>46</v>
      </c>
      <c r="H51" s="69" t="n">
        <v>5</v>
      </c>
      <c r="I51" s="69">
        <f>(1.20*N51+Q51+S51+X51+Z51+AA51+AM51)/(1-O51-$I$8-$I$4-(1-J51)*$I$3-$I$11-AB51-AD51)</f>
        <v/>
      </c>
      <c r="J51" s="15" t="n">
        <v>0.45</v>
      </c>
      <c r="K51" s="16">
        <f>I51*(1-J51)</f>
        <v/>
      </c>
      <c r="L51" s="70" t="n">
        <v>396.72</v>
      </c>
      <c r="M51" s="71">
        <f>$I$5</f>
        <v/>
      </c>
      <c r="N51" s="19">
        <f>L51+M51</f>
        <v/>
      </c>
      <c r="O51" s="20" t="n">
        <v>0.47</v>
      </c>
      <c r="P51" s="72">
        <f>I51*O51</f>
        <v/>
      </c>
      <c r="Q51" s="73" t="n">
        <v>75</v>
      </c>
      <c r="R51" s="72">
        <f>I51*$I$8</f>
        <v/>
      </c>
      <c r="S51" s="73" t="n">
        <v>25</v>
      </c>
      <c r="T51" s="72">
        <f>I51*$I$4</f>
        <v/>
      </c>
      <c r="U51" s="72">
        <f>K51*$I$3</f>
        <v/>
      </c>
      <c r="V51" s="74" t="n">
        <v>0.9</v>
      </c>
      <c r="W51" s="73" t="n">
        <v>75</v>
      </c>
      <c r="X51" s="72">
        <f>W51*(1-V51)</f>
        <v/>
      </c>
      <c r="Y51" s="75" t="n">
        <v>1.89</v>
      </c>
      <c r="Z51" s="72">
        <f>$I$6*$I$7*Y51</f>
        <v/>
      </c>
      <c r="AA51" s="19">
        <f>Y51*($I$9+$I$10)</f>
        <v/>
      </c>
      <c r="AB51" s="20" t="n">
        <v>0.07000000000000001</v>
      </c>
      <c r="AC51" s="72">
        <f>I51*AB51</f>
        <v/>
      </c>
      <c r="AD51" s="74" t="n">
        <v>0.08</v>
      </c>
      <c r="AE51" s="72">
        <f>I51*AD51</f>
        <v/>
      </c>
      <c r="AF51" s="72">
        <f>AC51+AE51</f>
        <v/>
      </c>
      <c r="AG51" s="25">
        <f>AF51/I51</f>
        <v/>
      </c>
      <c r="AH51" s="26">
        <f>I51-P51-Q51-R51-S51-T51-U51-X51-Z51-AA51-N51-AM51-AN51</f>
        <v/>
      </c>
      <c r="AI51" s="76">
        <f>AH51-AF51</f>
        <v/>
      </c>
      <c r="AJ51" s="77">
        <f>AI51/I51</f>
        <v/>
      </c>
      <c r="AK51" s="78">
        <f>AI51/N51</f>
        <v/>
      </c>
      <c r="AL51" s="72">
        <f>(Q51+S51+X51+Z51+AA51+N51+AM51)/(1-(O51+$I$4+(1-J51)*$I$3+$I$8+$I$11+AB51+AD51))</f>
        <v/>
      </c>
      <c r="AM51" s="72">
        <f>$I$12</f>
        <v/>
      </c>
      <c r="AN51" s="72">
        <f>I51*$I$11</f>
        <v/>
      </c>
    </row>
    <row r="52" ht="29" customHeight="1">
      <c r="A52" s="66" t="inlineStr">
        <is>
          <t>FARMSTAY - Gold Snail Premium Cream [50ml] / Омолаживающий крем с муцином улитки и коллоидным золотом</t>
        </is>
      </c>
      <c r="B52" s="96" t="n"/>
      <c r="C52" s="67" t="n"/>
      <c r="D52" s="68" t="inlineStr">
        <is>
          <t>не смогла найти с продажами</t>
        </is>
      </c>
      <c r="E52" s="101" t="n">
        <v>1104</v>
      </c>
      <c r="F52" s="69" t="n"/>
      <c r="G52" s="69" t="n"/>
      <c r="H52" s="69" t="n"/>
      <c r="I52" s="69">
        <f>(1.20*N52+Q52+S52+X52+Z52+AA52+AM52)/(1-O52-$I$8-$I$4-(1-J52)*$I$3-$I$11-AB52-AD52)</f>
        <v/>
      </c>
      <c r="J52" s="15" t="n">
        <v>0.45</v>
      </c>
      <c r="K52" s="16">
        <f>I52*(1-J52)</f>
        <v/>
      </c>
      <c r="L52" s="70" t="n">
        <v>431.05</v>
      </c>
      <c r="M52" s="71">
        <f>$I$5</f>
        <v/>
      </c>
      <c r="N52" s="19">
        <f>L52+M52</f>
        <v/>
      </c>
      <c r="O52" s="20" t="n">
        <v>0.47</v>
      </c>
      <c r="P52" s="72">
        <f>I52*O52</f>
        <v/>
      </c>
      <c r="Q52" s="73" t="n">
        <v>67</v>
      </c>
      <c r="R52" s="72">
        <f>I52*$I$8</f>
        <v/>
      </c>
      <c r="S52" s="73" t="n">
        <v>25</v>
      </c>
      <c r="T52" s="72">
        <f>I52*$I$4</f>
        <v/>
      </c>
      <c r="U52" s="72">
        <f>K52*$I$3</f>
        <v/>
      </c>
      <c r="V52" s="74" t="n">
        <v>0.9</v>
      </c>
      <c r="W52" s="73" t="n">
        <v>67</v>
      </c>
      <c r="X52" s="72">
        <f>W52*(1-V52)</f>
        <v/>
      </c>
      <c r="Y52" s="75" t="n">
        <v>0.73</v>
      </c>
      <c r="Z52" s="72">
        <f>$I$6*$I$7*Y52</f>
        <v/>
      </c>
      <c r="AA52" s="19">
        <f>Y52*($I$9+$I$10)</f>
        <v/>
      </c>
      <c r="AB52" s="20" t="n">
        <v>0.07000000000000001</v>
      </c>
      <c r="AC52" s="72">
        <f>I52*AB52</f>
        <v/>
      </c>
      <c r="AD52" s="74" t="n">
        <v>0.08</v>
      </c>
      <c r="AE52" s="72">
        <f>I52*AD52</f>
        <v/>
      </c>
      <c r="AF52" s="72">
        <f>AC52+AE52</f>
        <v/>
      </c>
      <c r="AG52" s="25">
        <f>AF52/I52</f>
        <v/>
      </c>
      <c r="AH52" s="26">
        <f>I52-P52-Q52-R52-S52-T52-U52-X52-Z52-AA52-N52-AM52-AN52</f>
        <v/>
      </c>
      <c r="AI52" s="76">
        <f>AH52-AF52</f>
        <v/>
      </c>
      <c r="AJ52" s="77">
        <f>AI52/I52</f>
        <v/>
      </c>
      <c r="AK52" s="78">
        <f>AI52/N52</f>
        <v/>
      </c>
      <c r="AL52" s="72">
        <f>(Q52+S52+X52+Z52+AA52+N52+AM52)/(1-(O52+$I$4+(1-J52)*$I$3+$I$8+$I$11+AB52+AD52))</f>
        <v/>
      </c>
      <c r="AM52" s="72">
        <f>$I$12</f>
        <v/>
      </c>
      <c r="AN52" s="72">
        <f>I52*$I$11</f>
        <v/>
      </c>
    </row>
    <row r="53" ht="29" customHeight="1">
      <c r="A53" s="66" t="inlineStr">
        <is>
          <t>FARMSTAY - Escargot Noblesse Intensive Cream [50g] / Крем с муцином королевской улитки</t>
        </is>
      </c>
      <c r="B53" s="96" t="n"/>
      <c r="C53" s="67" t="n"/>
      <c r="D53" s="68" t="inlineStr">
        <is>
          <t>только Holika продает на Озон</t>
        </is>
      </c>
      <c r="E53" s="92" t="n">
        <v>964</v>
      </c>
      <c r="F53" s="69" t="n">
        <v>3070</v>
      </c>
      <c r="G53" s="69" t="n">
        <v>48</v>
      </c>
      <c r="H53" s="69" t="n">
        <v>6.6</v>
      </c>
      <c r="I53" s="69">
        <f>(1.20*N53+Q53+S53+X53+Z53+AA53+AM53)/(1-O53-$I$8-$I$4-(1-J53)*$I$3-$I$11-AB53-AD53)</f>
        <v/>
      </c>
      <c r="J53" s="15" t="n">
        <v>0.45</v>
      </c>
      <c r="K53" s="16">
        <f>I53*(1-J53)</f>
        <v/>
      </c>
      <c r="L53" s="70" t="n">
        <v>313.84</v>
      </c>
      <c r="M53" s="71">
        <f>$I$5</f>
        <v/>
      </c>
      <c r="N53" s="19">
        <f>L53+M53</f>
        <v/>
      </c>
      <c r="O53" s="20" t="n">
        <v>0.47</v>
      </c>
      <c r="P53" s="72">
        <f>I53*O53</f>
        <v/>
      </c>
      <c r="Q53" s="73" t="n">
        <v>67</v>
      </c>
      <c r="R53" s="72">
        <f>I53*$I$8</f>
        <v/>
      </c>
      <c r="S53" s="73" t="n">
        <v>25</v>
      </c>
      <c r="T53" s="72">
        <f>I53*$I$4</f>
        <v/>
      </c>
      <c r="U53" s="72">
        <f>K53*$I$3</f>
        <v/>
      </c>
      <c r="V53" s="74" t="n">
        <v>0.9</v>
      </c>
      <c r="W53" s="73" t="n">
        <v>67</v>
      </c>
      <c r="X53" s="72">
        <f>W53*(1-V53)</f>
        <v/>
      </c>
      <c r="Y53" s="75" t="n">
        <v>0.86</v>
      </c>
      <c r="Z53" s="72">
        <f>$I$6*$I$7*Y53</f>
        <v/>
      </c>
      <c r="AA53" s="19">
        <f>Y53*($I$9+$I$10)</f>
        <v/>
      </c>
      <c r="AB53" s="20" t="n">
        <v>0.07000000000000001</v>
      </c>
      <c r="AC53" s="72">
        <f>I53*AB53</f>
        <v/>
      </c>
      <c r="AD53" s="74" t="n">
        <v>0.08</v>
      </c>
      <c r="AE53" s="72">
        <f>I53*AD53</f>
        <v/>
      </c>
      <c r="AF53" s="72">
        <f>AC53+AE53</f>
        <v/>
      </c>
      <c r="AG53" s="25">
        <f>AF53/I53</f>
        <v/>
      </c>
      <c r="AH53" s="26">
        <f>I53-P53-Q53-R53-S53-T53-U53-X53-Z53-AA53-N53-AM53-AN53</f>
        <v/>
      </c>
      <c r="AI53" s="76">
        <f>AH53-AF53</f>
        <v/>
      </c>
      <c r="AJ53" s="77">
        <f>AI53/I53</f>
        <v/>
      </c>
      <c r="AK53" s="78">
        <f>AI53/N53</f>
        <v/>
      </c>
      <c r="AL53" s="72">
        <f>(Q53+S53+X53+Z53+AA53+N53+AM53)/(1-(O53+$I$4+(1-J53)*$I$3+$I$8+$I$11+AB53+AD53))</f>
        <v/>
      </c>
      <c r="AM53" s="72">
        <f>$I$12</f>
        <v/>
      </c>
      <c r="AN53" s="72">
        <f>I53*$I$11</f>
        <v/>
      </c>
    </row>
    <row r="54" ht="29" customHeight="1">
      <c r="A54" s="66" t="inlineStr">
        <is>
          <t xml:space="preserve">FARMSTAY ESCARGOT NOBLESSE INTENSIVE AMPOULE/ сыворотка с улиткой </t>
        </is>
      </c>
      <c r="B54" s="96" t="n"/>
      <c r="C54" s="67" t="n"/>
      <c r="D54" s="68" t="n"/>
      <c r="E54" s="92" t="n">
        <v>964</v>
      </c>
      <c r="F54" s="69" t="n">
        <v>3820</v>
      </c>
      <c r="G54" s="69" t="n">
        <v>22</v>
      </c>
      <c r="H54" s="69" t="n">
        <v>7</v>
      </c>
      <c r="I54" s="69">
        <f>(1.20*N54+Q54+S54+X54+Z54+AA54+AM54)/(1-O54-$I$8-$I$4-(1-J54)*$I$3-$I$11-AB54-AD54)</f>
        <v/>
      </c>
      <c r="J54" s="15" t="n">
        <v>0.45</v>
      </c>
      <c r="K54" s="16">
        <f>I54*(1-J54)</f>
        <v/>
      </c>
      <c r="L54" s="70" t="n">
        <v>390.46</v>
      </c>
      <c r="M54" s="71">
        <f>$I$5</f>
        <v/>
      </c>
      <c r="N54" s="19">
        <f>L54+M54</f>
        <v/>
      </c>
      <c r="O54" s="20" t="n">
        <v>0.47</v>
      </c>
      <c r="P54" s="72">
        <f>I54*O54</f>
        <v/>
      </c>
      <c r="Q54" s="73" t="n">
        <v>67</v>
      </c>
      <c r="R54" s="72">
        <f>I54*$I$8</f>
        <v/>
      </c>
      <c r="S54" s="73" t="n">
        <v>25</v>
      </c>
      <c r="T54" s="72">
        <f>I54*$I$4</f>
        <v/>
      </c>
      <c r="U54" s="72">
        <f>K54*$I$3</f>
        <v/>
      </c>
      <c r="V54" s="74" t="n">
        <v>0.9</v>
      </c>
      <c r="W54" s="73" t="n">
        <v>67</v>
      </c>
      <c r="X54" s="72">
        <f>W54*(1-V54)</f>
        <v/>
      </c>
      <c r="Y54" s="75" t="n">
        <v>0.86</v>
      </c>
      <c r="Z54" s="72">
        <f>$I$6*$I$7*Y54</f>
        <v/>
      </c>
      <c r="AA54" s="19">
        <f>Y54*($I$9+$I$10)</f>
        <v/>
      </c>
      <c r="AB54" s="20" t="n">
        <v>0.07000000000000001</v>
      </c>
      <c r="AC54" s="72">
        <f>I54*AB54</f>
        <v/>
      </c>
      <c r="AD54" s="74" t="n">
        <v>0.08</v>
      </c>
      <c r="AE54" s="72">
        <f>I54*AD54</f>
        <v/>
      </c>
      <c r="AF54" s="72">
        <f>AC54+AE54</f>
        <v/>
      </c>
      <c r="AG54" s="25">
        <f>AF54/I54</f>
        <v/>
      </c>
      <c r="AH54" s="26">
        <f>I54-P54-Q54-R54-S54-T54-U54-X54-Z54-AA54-N54-AM54-AN54</f>
        <v/>
      </c>
      <c r="AI54" s="76">
        <f>AH54-AF54</f>
        <v/>
      </c>
      <c r="AJ54" s="77">
        <f>AI54/I54</f>
        <v/>
      </c>
      <c r="AK54" s="78">
        <f>AI54/N54</f>
        <v/>
      </c>
      <c r="AL54" s="72">
        <f>(Q54+S54+X54+Z54+AA54+N54+AM54)/(1-(O54+$I$4+(1-J54)*$I$3+$I$8+$I$11+AB54+AD54))</f>
        <v/>
      </c>
      <c r="AM54" s="72">
        <f>$I$12</f>
        <v/>
      </c>
      <c r="AN54" s="72">
        <f>I54*$I$11</f>
        <v/>
      </c>
    </row>
    <row r="55" ht="29" customHeight="1">
      <c r="A55" s="66" t="inlineStr">
        <is>
          <t>FARMSTAY - Argan Oil Complete Volume Up Shampoo &amp; Conditioner [530ml] / Шампунь-кондиционер с аргановым маслом</t>
        </is>
      </c>
      <c r="B55" s="96" t="n"/>
      <c r="C55" s="67" t="n"/>
      <c r="D55" s="68" t="n"/>
      <c r="E55" s="101" t="n">
        <v>2535</v>
      </c>
      <c r="F55" s="69" t="n">
        <v>2000</v>
      </c>
      <c r="G55" s="69" t="n">
        <v>23</v>
      </c>
      <c r="H55" s="69" t="n">
        <v>1</v>
      </c>
      <c r="I55" s="69">
        <f>(1.20*N55+Q55+S55+X55+Z55+AA55+AM55)/(1-O55-$I$8-$I$4-(1-J55)*$I$3-$I$11-AB55-AD55)</f>
        <v/>
      </c>
      <c r="J55" s="15" t="n">
        <v>0.45</v>
      </c>
      <c r="K55" s="16">
        <f>I55*(1-J55)</f>
        <v/>
      </c>
      <c r="L55" s="70" t="n">
        <v>400.76</v>
      </c>
      <c r="M55" s="71">
        <f>$I$5</f>
        <v/>
      </c>
      <c r="N55" s="19">
        <f>L55+M55</f>
        <v/>
      </c>
      <c r="O55" s="20" t="n">
        <v>0.47</v>
      </c>
      <c r="P55" s="72">
        <f>I55*O55</f>
        <v/>
      </c>
      <c r="Q55" s="73" t="n">
        <v>75</v>
      </c>
      <c r="R55" s="72">
        <f>I55*$I$8</f>
        <v/>
      </c>
      <c r="S55" s="73" t="n">
        <v>25</v>
      </c>
      <c r="T55" s="72">
        <f>I55*$I$4</f>
        <v/>
      </c>
      <c r="U55" s="72">
        <f>K55*$I$3</f>
        <v/>
      </c>
      <c r="V55" s="74" t="n">
        <v>0.9</v>
      </c>
      <c r="W55" s="73" t="n">
        <v>75</v>
      </c>
      <c r="X55" s="72">
        <f>W55*(1-V55)</f>
        <v/>
      </c>
      <c r="Y55" s="75" t="n">
        <v>1.26</v>
      </c>
      <c r="Z55" s="72">
        <f>$I$6*$I$7*Y55</f>
        <v/>
      </c>
      <c r="AA55" s="19">
        <f>Y55*($I$9+$I$10)</f>
        <v/>
      </c>
      <c r="AB55" s="20" t="n">
        <v>0.07000000000000001</v>
      </c>
      <c r="AC55" s="72">
        <f>I55*AB55</f>
        <v/>
      </c>
      <c r="AD55" s="74" t="n">
        <v>0.08</v>
      </c>
      <c r="AE55" s="72">
        <f>I55*AD55</f>
        <v/>
      </c>
      <c r="AF55" s="72">
        <f>AC55+AE55</f>
        <v/>
      </c>
      <c r="AG55" s="25">
        <f>AF55/I55</f>
        <v/>
      </c>
      <c r="AH55" s="26">
        <f>I55-P55-Q55-R55-S55-T55-U55-X55-Z55-AA55-N55-AM55-AN55</f>
        <v/>
      </c>
      <c r="AI55" s="76">
        <f>AH55-AF55</f>
        <v/>
      </c>
      <c r="AJ55" s="77">
        <f>AI55/I55</f>
        <v/>
      </c>
      <c r="AK55" s="78">
        <f>AI55/N55</f>
        <v/>
      </c>
      <c r="AL55" s="72">
        <f>(Q55+S55+X55+Z55+AA55+N55+AM55)/(1-(O55+$I$4+(1-J55)*$I$3+$I$8+$I$11+AB55+AD55))</f>
        <v/>
      </c>
      <c r="AM55" s="72">
        <f>$I$12</f>
        <v/>
      </c>
      <c r="AN55" s="72">
        <f>I55*$I$11</f>
        <v/>
      </c>
    </row>
    <row r="56" ht="29" customHeight="1">
      <c r="A56" s="66" t="inlineStr">
        <is>
          <t>FARMSTAY - Collagen Water Full Shampoo &amp; Conditioner [530ml] / Шампунь-кондиционер 2в1 с коллагеном</t>
        </is>
      </c>
      <c r="B56" s="96" t="n"/>
      <c r="C56" s="67" t="n"/>
      <c r="D56" s="68" t="n"/>
      <c r="E56" s="92" t="n">
        <v>484</v>
      </c>
      <c r="F56" s="69" t="n">
        <v>2128</v>
      </c>
      <c r="G56" s="69" t="n">
        <v>22</v>
      </c>
      <c r="H56" s="69" t="n">
        <v>7.5</v>
      </c>
      <c r="I56" s="69">
        <f>(1.20*N56+Q56+S56+X56+Z56+AA56+AM56)/(1-O56-$I$8-$I$4-(1-J56)*$I$3-$I$11-AB56-AD56)</f>
        <v/>
      </c>
      <c r="J56" s="15" t="n">
        <v>0.45</v>
      </c>
      <c r="K56" s="16">
        <f>I56*(1-J56)</f>
        <v/>
      </c>
      <c r="L56" s="70" t="n">
        <v>396.72</v>
      </c>
      <c r="M56" s="71">
        <f>$I$5</f>
        <v/>
      </c>
      <c r="N56" s="19">
        <f>L56+M56</f>
        <v/>
      </c>
      <c r="O56" s="20" t="n">
        <v>0.47</v>
      </c>
      <c r="P56" s="72">
        <f>I56*O56</f>
        <v/>
      </c>
      <c r="Q56" s="73" t="n">
        <v>75</v>
      </c>
      <c r="R56" s="72">
        <f>I56*$I$8</f>
        <v/>
      </c>
      <c r="S56" s="73" t="n">
        <v>25</v>
      </c>
      <c r="T56" s="72">
        <f>I56*$I$4</f>
        <v/>
      </c>
      <c r="U56" s="72">
        <f>K56*$I$3</f>
        <v/>
      </c>
      <c r="V56" s="74" t="n">
        <v>0.9</v>
      </c>
      <c r="W56" s="73" t="n">
        <v>75</v>
      </c>
      <c r="X56" s="72">
        <f>W56*(1-V56)</f>
        <v/>
      </c>
      <c r="Y56" s="75" t="n">
        <v>1.26</v>
      </c>
      <c r="Z56" s="72">
        <f>$I$6*$I$7*Y56</f>
        <v/>
      </c>
      <c r="AA56" s="19">
        <f>Y56*($I$9+$I$10)</f>
        <v/>
      </c>
      <c r="AB56" s="20" t="n">
        <v>0.07000000000000001</v>
      </c>
      <c r="AC56" s="72">
        <f>I56*AB56</f>
        <v/>
      </c>
      <c r="AD56" s="74" t="n">
        <v>0.08</v>
      </c>
      <c r="AE56" s="72">
        <f>I56*AD56</f>
        <v/>
      </c>
      <c r="AF56" s="72">
        <f>AC56+AE56</f>
        <v/>
      </c>
      <c r="AG56" s="25">
        <f>AF56/I56</f>
        <v/>
      </c>
      <c r="AH56" s="26">
        <f>I56-P56-Q56-R56-S56-T56-U56-X56-Z56-AA56-N56-AM56-AN56</f>
        <v/>
      </c>
      <c r="AI56" s="76">
        <f>AH56-AF56</f>
        <v/>
      </c>
      <c r="AJ56" s="77">
        <f>AI56/I56</f>
        <v/>
      </c>
      <c r="AK56" s="78">
        <f>AI56/N56</f>
        <v/>
      </c>
      <c r="AL56" s="72">
        <f>(Q56+S56+X56+Z56+AA56+N56+AM56)/(1-(O56+$I$4+(1-J56)*$I$3+$I$8+$I$11+AB56+AD56))</f>
        <v/>
      </c>
      <c r="AM56" s="72">
        <f>$I$12</f>
        <v/>
      </c>
      <c r="AN56" s="72">
        <f>I56*$I$11</f>
        <v/>
      </c>
    </row>
    <row r="57" ht="29" customHeight="1">
      <c r="A57" s="66" t="inlineStr">
        <is>
          <t>FARMSTAY - Collagen Water Full Moist Rolling Eye Serum [25ml] / Сыворотка роллер для глаз</t>
        </is>
      </c>
      <c r="B57" s="96" t="n"/>
      <c r="C57" s="67" t="n"/>
      <c r="D57" s="68" t="n"/>
      <c r="E57" s="92" t="n">
        <v>484</v>
      </c>
      <c r="F57" s="69" t="n">
        <v>2145</v>
      </c>
      <c r="G57" s="69" t="n">
        <v>48</v>
      </c>
      <c r="H57" s="69" t="n">
        <v>5</v>
      </c>
      <c r="I57" s="69">
        <f>(1.20*N57+Q57+S57+X57+Z57+AA57+AM57)/(1-O57-$I$8-$I$4-(1-J57)*$I$3-$I$11-AB57-AD57)</f>
        <v/>
      </c>
      <c r="J57" s="15" t="n">
        <v>0.45</v>
      </c>
      <c r="K57" s="16">
        <f>I57*(1-J57)</f>
        <v/>
      </c>
      <c r="L57" s="70" t="n">
        <v>231.73</v>
      </c>
      <c r="M57" s="71">
        <f>$I$5</f>
        <v/>
      </c>
      <c r="N57" s="19">
        <f>L57+M57</f>
        <v/>
      </c>
      <c r="O57" s="20" t="n">
        <v>0.47</v>
      </c>
      <c r="P57" s="72">
        <f>I57*O57</f>
        <v/>
      </c>
      <c r="Q57" s="73" t="n">
        <v>63</v>
      </c>
      <c r="R57" s="72">
        <f>I57*$I$8</f>
        <v/>
      </c>
      <c r="S57" s="73" t="n">
        <v>25</v>
      </c>
      <c r="T57" s="72">
        <f>I57*$I$4</f>
        <v/>
      </c>
      <c r="U57" s="72">
        <f>K57*$I$3</f>
        <v/>
      </c>
      <c r="V57" s="74" t="n">
        <v>0.9</v>
      </c>
      <c r="W57" s="73" t="n">
        <v>63</v>
      </c>
      <c r="X57" s="72">
        <f>W57*(1-V57)</f>
        <v/>
      </c>
      <c r="Y57" s="75" t="n">
        <v>0.22</v>
      </c>
      <c r="Z57" s="72">
        <f>$I$6*$I$7*Y57</f>
        <v/>
      </c>
      <c r="AA57" s="19">
        <f>Y57*($I$9+$I$10)</f>
        <v/>
      </c>
      <c r="AB57" s="20" t="n">
        <v>0.07000000000000001</v>
      </c>
      <c r="AC57" s="72">
        <f>I57*AB57</f>
        <v/>
      </c>
      <c r="AD57" s="74" t="n">
        <v>0.08</v>
      </c>
      <c r="AE57" s="72">
        <f>I57*AD57</f>
        <v/>
      </c>
      <c r="AF57" s="72">
        <f>AC57+AE57</f>
        <v/>
      </c>
      <c r="AG57" s="25">
        <f>AF57/I57</f>
        <v/>
      </c>
      <c r="AH57" s="26">
        <f>I57-P57-Q57-R57-S57-T57-U57-X57-Z57-AA57-N57-AM57-AN57</f>
        <v/>
      </c>
      <c r="AI57" s="76">
        <f>AH57-AF57</f>
        <v/>
      </c>
      <c r="AJ57" s="77">
        <f>AI57/I57</f>
        <v/>
      </c>
      <c r="AK57" s="78">
        <f>AI57/N57</f>
        <v/>
      </c>
      <c r="AL57" s="72">
        <f>(Q57+S57+X57+Z57+AA57+N57+AM57)/(1-(O57+$I$4+(1-J57)*$I$3+$I$8+$I$11+AB57+AD57))</f>
        <v/>
      </c>
      <c r="AM57" s="72">
        <f>$I$12</f>
        <v/>
      </c>
      <c r="AN57" s="72">
        <f>I57*$I$11</f>
        <v/>
      </c>
    </row>
    <row r="58" ht="29" customHeight="1">
      <c r="A58" s="66" t="inlineStr">
        <is>
          <t>FARMSTAY - Collagen Water Full Moist Cream [100g] / Увлажняющий крем с коллагеном</t>
        </is>
      </c>
      <c r="B58" s="96" t="n"/>
      <c r="C58" s="67" t="n"/>
      <c r="D58" s="68" t="n"/>
      <c r="E58" s="92" t="n">
        <v>287</v>
      </c>
      <c r="F58" s="69" t="n">
        <v>4300</v>
      </c>
      <c r="G58" s="69" t="n">
        <v>29</v>
      </c>
      <c r="H58" s="69" t="n">
        <v>7</v>
      </c>
      <c r="I58" s="69">
        <f>(1.20*N58+Q58+S58+X58+Z58+AA58+AM58)/(1-O58-$I$8-$I$4-(1-J58)*$I$3-$I$11-AB58-AD58)</f>
        <v/>
      </c>
      <c r="J58" s="15" t="n">
        <v>0.45</v>
      </c>
      <c r="K58" s="16">
        <f>I58*(1-J58)</f>
        <v/>
      </c>
      <c r="L58" s="70" t="n">
        <v>484.42</v>
      </c>
      <c r="M58" s="71">
        <f>$I$5</f>
        <v/>
      </c>
      <c r="N58" s="19">
        <f>L58+M58</f>
        <v/>
      </c>
      <c r="O58" s="20" t="n">
        <v>0.47</v>
      </c>
      <c r="P58" s="72">
        <f>I58*O58</f>
        <v/>
      </c>
      <c r="Q58" s="73" t="n">
        <v>67</v>
      </c>
      <c r="R58" s="72">
        <f>I58*$I$8</f>
        <v/>
      </c>
      <c r="S58" s="73" t="n">
        <v>25</v>
      </c>
      <c r="T58" s="72">
        <f>I58*$I$4</f>
        <v/>
      </c>
      <c r="U58" s="72">
        <f>K58*$I$3</f>
        <v/>
      </c>
      <c r="V58" s="74" t="n">
        <v>0.9</v>
      </c>
      <c r="W58" s="73" t="n">
        <v>67</v>
      </c>
      <c r="X58" s="72">
        <f>W58*(1-V58)</f>
        <v/>
      </c>
      <c r="Y58" s="75" t="n">
        <v>0.57</v>
      </c>
      <c r="Z58" s="72">
        <f>$I$6*$I$7*Y58</f>
        <v/>
      </c>
      <c r="AA58" s="19">
        <f>Y58*($I$9+$I$10)</f>
        <v/>
      </c>
      <c r="AB58" s="20" t="n">
        <v>0.07000000000000001</v>
      </c>
      <c r="AC58" s="72">
        <f>I58*AB58</f>
        <v/>
      </c>
      <c r="AD58" s="74" t="n">
        <v>0.08</v>
      </c>
      <c r="AE58" s="72">
        <f>I58*AD58</f>
        <v/>
      </c>
      <c r="AF58" s="72">
        <f>AC58+AE58</f>
        <v/>
      </c>
      <c r="AG58" s="25">
        <f>AF58/I58</f>
        <v/>
      </c>
      <c r="AH58" s="26">
        <f>I58-P58-Q58-R58-S58-T58-U58-X58-Z58-AA58-N58-AM58-AN58</f>
        <v/>
      </c>
      <c r="AI58" s="76">
        <f>AH58-AF58</f>
        <v/>
      </c>
      <c r="AJ58" s="77">
        <f>AI58/I58</f>
        <v/>
      </c>
      <c r="AK58" s="78">
        <f>AI58/N58</f>
        <v/>
      </c>
      <c r="AL58" s="72">
        <f>(Q58+S58+X58+Z58+AA58+N58+AM58)/(1-(O58+$I$4+(1-J58)*$I$3+$I$8+$I$11+AB58+AD58))</f>
        <v/>
      </c>
      <c r="AM58" s="72">
        <f>$I$12</f>
        <v/>
      </c>
      <c r="AN58" s="72">
        <f>I58*$I$11</f>
        <v/>
      </c>
    </row>
    <row r="59" ht="29" customHeight="1">
      <c r="A59" s="66" t="inlineStr">
        <is>
          <t xml:space="preserve">FARMSTAY - Collagen Pure Cleansing Foam [180ml]/Пенка для умывания </t>
        </is>
      </c>
      <c r="B59" s="96" t="n"/>
      <c r="C59" s="67" t="n"/>
      <c r="D59" s="68" t="n"/>
      <c r="E59" s="92" t="n">
        <v>515</v>
      </c>
      <c r="F59" s="69" t="n">
        <v>1100</v>
      </c>
      <c r="G59" s="69" t="n">
        <v>163</v>
      </c>
      <c r="H59" s="69" t="n">
        <v>4.5</v>
      </c>
      <c r="I59" s="69">
        <f>(1.20*N59+Q59+S59+X59+Z59+AA59+AM59)/(1-O59-$I$8-$I$4-(1-J59)*$I$3-$I$11-AB59-AD59)</f>
        <v/>
      </c>
      <c r="J59" s="15" t="n">
        <v>0.45</v>
      </c>
      <c r="K59" s="16">
        <f>I59*(1-J59)</f>
        <v/>
      </c>
      <c r="L59" s="70" t="n">
        <v>161.47</v>
      </c>
      <c r="M59" s="71">
        <f>$I$5</f>
        <v/>
      </c>
      <c r="N59" s="19">
        <f>L59+M59</f>
        <v/>
      </c>
      <c r="O59" s="20" t="n">
        <v>0.47</v>
      </c>
      <c r="P59" s="72">
        <f>I59*O59</f>
        <v/>
      </c>
      <c r="Q59" s="73" t="n">
        <v>67</v>
      </c>
      <c r="R59" s="72">
        <f>I59*$I$8</f>
        <v/>
      </c>
      <c r="S59" s="73" t="n">
        <v>25</v>
      </c>
      <c r="T59" s="72">
        <f>I59*$I$4</f>
        <v/>
      </c>
      <c r="U59" s="72">
        <f>K59*$I$3</f>
        <v/>
      </c>
      <c r="V59" s="74" t="n">
        <v>0.9</v>
      </c>
      <c r="W59" s="73" t="n">
        <v>67</v>
      </c>
      <c r="X59" s="72">
        <f>W59*(1-V59)</f>
        <v/>
      </c>
      <c r="Y59" s="75" t="n">
        <v>0.57</v>
      </c>
      <c r="Z59" s="72">
        <f>$I$6*$I$7*Y59</f>
        <v/>
      </c>
      <c r="AA59" s="19">
        <f>Y59*($I$9+$I$10)</f>
        <v/>
      </c>
      <c r="AB59" s="20" t="n">
        <v>0.07000000000000001</v>
      </c>
      <c r="AC59" s="72">
        <f>I59*AB59</f>
        <v/>
      </c>
      <c r="AD59" s="74" t="n">
        <v>0.08</v>
      </c>
      <c r="AE59" s="72">
        <f>I59*AD59</f>
        <v/>
      </c>
      <c r="AF59" s="72">
        <f>AC59+AE59</f>
        <v/>
      </c>
      <c r="AG59" s="25">
        <f>AF59/I59</f>
        <v/>
      </c>
      <c r="AH59" s="26">
        <f>I59-P59-Q59-R59-S59-T59-U59-X59-Z59-AA59-N59-AM59-AN59</f>
        <v/>
      </c>
      <c r="AI59" s="76">
        <f>AH59-AF59</f>
        <v/>
      </c>
      <c r="AJ59" s="77">
        <f>AI59/I59</f>
        <v/>
      </c>
      <c r="AK59" s="78">
        <f>AI59/N59</f>
        <v/>
      </c>
      <c r="AL59" s="72">
        <f>(Q59+S59+X59+Z59+AA59+N59+AM59)/(1-(O59+$I$4+(1-J59)*$I$3+$I$8+$I$11+AB59+AD59))</f>
        <v/>
      </c>
      <c r="AM59" s="72">
        <f>$I$12</f>
        <v/>
      </c>
      <c r="AN59" s="72">
        <f>I59*$I$11</f>
        <v/>
      </c>
    </row>
    <row r="60">
      <c r="A60" s="64" t="inlineStr">
        <is>
          <t>Косметика/HEIMISH</t>
        </is>
      </c>
      <c r="B60" s="95" t="n"/>
      <c r="C60" s="65" t="n"/>
      <c r="D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65" t="n"/>
      <c r="Z60" s="65" t="n"/>
      <c r="AA60" s="65" t="n"/>
      <c r="AB60" s="65" t="n"/>
      <c r="AC60" s="65" t="n"/>
      <c r="AD60" s="65" t="n"/>
      <c r="AE60" s="65" t="n"/>
      <c r="AF60" s="65" t="n"/>
      <c r="AG60" s="65" t="n"/>
      <c r="AH60" s="65" t="n"/>
      <c r="AI60" s="65" t="n"/>
      <c r="AJ60" s="65" t="n"/>
      <c r="AK60" s="65" t="n"/>
      <c r="AL60" s="65" t="n"/>
      <c r="AM60" s="65" t="n"/>
      <c r="AN60" s="65" t="n"/>
    </row>
    <row r="61" ht="29" customHeight="1">
      <c r="A61" s="66" t="inlineStr">
        <is>
          <t>HEIMISH - Artless Glow Base SPF50+ PA+++(Renew) [40ml] / База под макияж SPF50+ PA+++</t>
        </is>
      </c>
      <c r="B61" s="96" t="n"/>
      <c r="C61" s="67" t="n"/>
      <c r="D61" s="68" t="n"/>
      <c r="E61" s="101" t="n">
        <v>1025</v>
      </c>
      <c r="F61" s="69" t="n">
        <v>2980</v>
      </c>
      <c r="G61" s="69" t="n">
        <v>100</v>
      </c>
      <c r="H61" s="69" t="n">
        <v>0</v>
      </c>
      <c r="I61" s="69">
        <f>(1.20*N61+Q61+S61+X61+Z61+AA61+AM61)/(1-O61-$I$8-$I$4-(1-J61)*$I$3-$I$11-AB61-AD61)</f>
        <v/>
      </c>
      <c r="J61" s="15" t="n">
        <v>0.45</v>
      </c>
      <c r="K61" s="16">
        <f>I61*(1-J61)</f>
        <v/>
      </c>
      <c r="L61" s="70" t="n">
        <v>770.48</v>
      </c>
      <c r="M61" s="71">
        <f>$I$5</f>
        <v/>
      </c>
      <c r="N61" s="19">
        <f>L61+M61</f>
        <v/>
      </c>
      <c r="O61" s="20" t="n">
        <v>0.47</v>
      </c>
      <c r="P61" s="72">
        <f>I61*O61</f>
        <v/>
      </c>
      <c r="Q61" s="73" t="n">
        <v>56</v>
      </c>
      <c r="R61" s="72">
        <f>I61*$I$8</f>
        <v/>
      </c>
      <c r="S61" s="73" t="n">
        <v>25</v>
      </c>
      <c r="T61" s="72">
        <f>I61*$I$4</f>
        <v/>
      </c>
      <c r="U61" s="72">
        <f>K61*$I$3</f>
        <v/>
      </c>
      <c r="V61" s="74" t="n">
        <v>0.9</v>
      </c>
      <c r="W61" s="73" t="n">
        <v>56</v>
      </c>
      <c r="X61" s="72">
        <f>W61*(1-V61)</f>
        <v/>
      </c>
      <c r="Y61" s="75" t="n">
        <v>0.14</v>
      </c>
      <c r="Z61" s="72">
        <f>$I$6*$I$7*Y61</f>
        <v/>
      </c>
      <c r="AA61" s="19">
        <f>Y61*($I$9+$I$10)</f>
        <v/>
      </c>
      <c r="AB61" s="20" t="n">
        <v>0.05</v>
      </c>
      <c r="AC61" s="72">
        <f>I61*AB61</f>
        <v/>
      </c>
      <c r="AD61" s="74" t="n">
        <v>0.05</v>
      </c>
      <c r="AE61" s="72">
        <f>I61*AD61</f>
        <v/>
      </c>
      <c r="AF61" s="72">
        <f>AC61+AE61</f>
        <v/>
      </c>
      <c r="AG61" s="25">
        <f>AF61/I61</f>
        <v/>
      </c>
      <c r="AH61" s="26">
        <f>I61-P61-Q61-R61-S61-T61-U61-X61-Z61-AA61-N61-AM61-AN61</f>
        <v/>
      </c>
      <c r="AI61" s="76">
        <f>AH61-AF61</f>
        <v/>
      </c>
      <c r="AJ61" s="77">
        <f>AI61/I61</f>
        <v/>
      </c>
      <c r="AK61" s="78">
        <f>AI61/N61</f>
        <v/>
      </c>
      <c r="AL61" s="72">
        <f>(Q61+S61+X61+Z61+AA61+N61+AM61)/(1-(O61+$I$4+(1-J61)*$I$3+$I$8+$I$11+AB61+AD61))</f>
        <v/>
      </c>
      <c r="AM61" s="72">
        <f>$I$12</f>
        <v/>
      </c>
      <c r="AN61" s="72">
        <f>I61*$I$11</f>
        <v/>
      </c>
    </row>
    <row r="62">
      <c r="A62" s="64" t="inlineStr">
        <is>
          <t>Косметика/JIGOTT/JIGOTT-CREAM</t>
        </is>
      </c>
      <c r="B62" s="95" t="n"/>
      <c r="C62" s="65" t="n"/>
      <c r="D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5" t="n"/>
      <c r="X62" s="65" t="n"/>
      <c r="Y62" s="65" t="n"/>
      <c r="Z62" s="65" t="n"/>
      <c r="AA62" s="65" t="n"/>
      <c r="AB62" s="65" t="n"/>
      <c r="AC62" s="65" t="n"/>
      <c r="AD62" s="65" t="n"/>
      <c r="AE62" s="65" t="n"/>
      <c r="AF62" s="65" t="n"/>
      <c r="AG62" s="65" t="n"/>
      <c r="AH62" s="65" t="n"/>
      <c r="AI62" s="65" t="n"/>
      <c r="AJ62" s="65" t="n"/>
      <c r="AK62" s="65" t="n"/>
      <c r="AL62" s="65" t="n"/>
      <c r="AM62" s="65" t="n"/>
      <c r="AN62" s="65" t="n"/>
    </row>
    <row r="63" ht="29" customHeight="1">
      <c r="A63" s="66" t="inlineStr">
        <is>
          <t>JIGOTT - Snail Lifting Cream [70ml] / Крем для лица увлажняющий антивозрастной</t>
        </is>
      </c>
      <c r="B63" s="96" t="n"/>
      <c r="C63" s="67" t="n"/>
      <c r="D63" s="68" t="n"/>
      <c r="E63" s="101" t="n">
        <v>7668</v>
      </c>
      <c r="F63" s="69" t="n">
        <v>980</v>
      </c>
      <c r="G63" s="69" t="n">
        <v>160</v>
      </c>
      <c r="H63" s="69" t="n">
        <v>4.5</v>
      </c>
      <c r="I63" s="69">
        <f>(1.20*N63+Q63+S63+X63+Z63+AA63+AM63)/(1-O63-$I$8-$I$4-(1-J63)*$I$3-$I$11-AB63-AD63)</f>
        <v/>
      </c>
      <c r="J63" s="15" t="n">
        <v>0.45</v>
      </c>
      <c r="K63" s="16">
        <f>I63*(1-J63)</f>
        <v/>
      </c>
      <c r="L63" s="70" t="n">
        <v>202.27</v>
      </c>
      <c r="M63" s="71">
        <f>$I$5</f>
        <v/>
      </c>
      <c r="N63" s="19">
        <f>L63+M63</f>
        <v/>
      </c>
      <c r="O63" s="20" t="n">
        <v>0.47</v>
      </c>
      <c r="P63" s="72">
        <f>I63*O63</f>
        <v/>
      </c>
      <c r="Q63" s="73" t="n">
        <v>67</v>
      </c>
      <c r="R63" s="72">
        <f>I63*$I$8</f>
        <v/>
      </c>
      <c r="S63" s="73" t="n">
        <v>25</v>
      </c>
      <c r="T63" s="72">
        <f>I63*$I$4</f>
        <v/>
      </c>
      <c r="U63" s="72">
        <f>K63*$I$3</f>
        <v/>
      </c>
      <c r="V63" s="74" t="n">
        <v>0.9</v>
      </c>
      <c r="W63" s="73" t="n">
        <v>67</v>
      </c>
      <c r="X63" s="72">
        <f>W63*(1-V63)</f>
        <v/>
      </c>
      <c r="Y63" s="75" t="n">
        <v>0.42</v>
      </c>
      <c r="Z63" s="72">
        <f>$I$6*$I$7*Y63</f>
        <v/>
      </c>
      <c r="AA63" s="19">
        <f>Y63*($I$9+$I$10)</f>
        <v/>
      </c>
      <c r="AB63" s="20" t="n">
        <v>0.07000000000000001</v>
      </c>
      <c r="AC63" s="72">
        <f>I63*AB63</f>
        <v/>
      </c>
      <c r="AD63" s="74" t="n">
        <v>0.08</v>
      </c>
      <c r="AE63" s="72">
        <f>I63*AD63</f>
        <v/>
      </c>
      <c r="AF63" s="72">
        <f>AC63+AE63</f>
        <v/>
      </c>
      <c r="AG63" s="25">
        <f>AF63/I63</f>
        <v/>
      </c>
      <c r="AH63" s="26">
        <f>I63-P63-Q63-R63-S63-T63-U63-X63-Z63-AA63-N63-AM63-AN63</f>
        <v/>
      </c>
      <c r="AI63" s="76">
        <f>AH63-AF63</f>
        <v/>
      </c>
      <c r="AJ63" s="77">
        <f>AI63/I63</f>
        <v/>
      </c>
      <c r="AK63" s="78">
        <f>AI63/N63</f>
        <v/>
      </c>
      <c r="AL63" s="72">
        <f>(Q63+S63+X63+Z63+AA63+N63+AM63)/(1-(O63+$I$4+(1-J63)*$I$3+$I$8+$I$11+AB63+AD63))</f>
        <v/>
      </c>
      <c r="AM63" s="72">
        <f>$I$12</f>
        <v/>
      </c>
      <c r="AN63" s="72">
        <f>I63*$I$11</f>
        <v/>
      </c>
    </row>
    <row r="64" ht="29" customHeight="1">
      <c r="A64" s="66" t="inlineStr">
        <is>
          <t>JIGOTT - Snail Reparing Cream [100ml] / Крем для лица увлажняющий антивозрастной с муцином улитки</t>
        </is>
      </c>
      <c r="B64" s="96" t="n"/>
      <c r="C64" s="67" t="n"/>
      <c r="D64" s="68" t="n"/>
      <c r="E64" s="101" t="n">
        <v>1241</v>
      </c>
      <c r="F64" s="69" t="n">
        <v>1030</v>
      </c>
      <c r="G64" s="69" t="n">
        <v>153</v>
      </c>
      <c r="H64" s="69" t="n">
        <v>5</v>
      </c>
      <c r="I64" s="69">
        <f>(1.20*N64+Q64+S64+X64+Z64+AA64+AM64)/(1-O64-$I$8-$I$4-(1-J64)*$I$3-$I$11-AB64-AD64)</f>
        <v/>
      </c>
      <c r="J64" s="15" t="n">
        <v>0.45</v>
      </c>
      <c r="K64" s="16">
        <f>I64*(1-J64)</f>
        <v/>
      </c>
      <c r="L64" s="70" t="n">
        <v>185.86</v>
      </c>
      <c r="M64" s="71">
        <f>$I$5</f>
        <v/>
      </c>
      <c r="N64" s="19">
        <f>L64+M64</f>
        <v/>
      </c>
      <c r="O64" s="20" t="n">
        <v>0.47</v>
      </c>
      <c r="P64" s="72">
        <f>I64*O64</f>
        <v/>
      </c>
      <c r="Q64" s="73" t="n">
        <v>67</v>
      </c>
      <c r="R64" s="72">
        <f>I64*$I$8</f>
        <v/>
      </c>
      <c r="S64" s="73" t="n">
        <v>25</v>
      </c>
      <c r="T64" s="72">
        <f>I64*$I$4</f>
        <v/>
      </c>
      <c r="U64" s="72">
        <f>K64*$I$3</f>
        <v/>
      </c>
      <c r="V64" s="74" t="n">
        <v>0.9</v>
      </c>
      <c r="W64" s="73" t="n">
        <v>67</v>
      </c>
      <c r="X64" s="72">
        <f>W64*(1-V64)</f>
        <v/>
      </c>
      <c r="Y64" s="75" t="n">
        <v>0.57</v>
      </c>
      <c r="Z64" s="72">
        <f>$I$6*$I$7*Y64</f>
        <v/>
      </c>
      <c r="AA64" s="19">
        <f>Y64*($I$9+$I$10)</f>
        <v/>
      </c>
      <c r="AB64" s="20" t="n">
        <v>0.07000000000000001</v>
      </c>
      <c r="AC64" s="72">
        <f>I64*AB64</f>
        <v/>
      </c>
      <c r="AD64" s="74" t="n">
        <v>0.08</v>
      </c>
      <c r="AE64" s="72">
        <f>I64*AD64</f>
        <v/>
      </c>
      <c r="AF64" s="72">
        <f>AC64+AE64</f>
        <v/>
      </c>
      <c r="AG64" s="25">
        <f>AF64/I64</f>
        <v/>
      </c>
      <c r="AH64" s="26">
        <f>I64-P64-Q64-R64-S64-T64-U64-X64-Z64-AA64-N64-AM64-AN64</f>
        <v/>
      </c>
      <c r="AI64" s="76">
        <f>AH64-AF64</f>
        <v/>
      </c>
      <c r="AJ64" s="77">
        <f>AI64/I64</f>
        <v/>
      </c>
      <c r="AK64" s="78">
        <f>AI64/N64</f>
        <v/>
      </c>
      <c r="AL64" s="72">
        <f>(Q64+S64+X64+Z64+AA64+N64+AM64)/(1-(O64+$I$4+(1-J64)*$I$3+$I$8+$I$11+AB64+AD64))</f>
        <v/>
      </c>
      <c r="AM64" s="72">
        <f>$I$12</f>
        <v/>
      </c>
      <c r="AN64" s="72">
        <f>I64*$I$11</f>
        <v/>
      </c>
    </row>
    <row r="65" ht="29" customHeight="1">
      <c r="A65" s="66" t="inlineStr">
        <is>
          <t>JIGOTT - Birds Nest Firming Cream [70ml] / Антивозрастной крем с экстрактом ласточкиного гнезда</t>
        </is>
      </c>
      <c r="B65" s="96" t="n"/>
      <c r="C65" s="67" t="n"/>
      <c r="D65" s="68" t="n"/>
      <c r="E65" s="101" t="n">
        <v>1814</v>
      </c>
      <c r="F65" s="69" t="n">
        <v>1040</v>
      </c>
      <c r="G65" s="69" t="n">
        <v>49</v>
      </c>
      <c r="H65" s="69" t="n">
        <v>4</v>
      </c>
      <c r="I65" s="69">
        <f>(1.20*N65+Q65+S65+X65+Z65+AA65+AM65)/(1-O65-$I$8-$I$4-(1-J65)*$I$3-$I$11-AB65-AD65)</f>
        <v/>
      </c>
      <c r="J65" s="15" t="n">
        <v>0.45</v>
      </c>
      <c r="K65" s="16">
        <f>I65*(1-J65)</f>
        <v/>
      </c>
      <c r="L65" s="70" t="n">
        <v>202.27</v>
      </c>
      <c r="M65" s="71">
        <f>$I$5</f>
        <v/>
      </c>
      <c r="N65" s="19">
        <f>L65+M65</f>
        <v/>
      </c>
      <c r="O65" s="20" t="n">
        <v>0.47</v>
      </c>
      <c r="P65" s="72">
        <f>I65*O65</f>
        <v/>
      </c>
      <c r="Q65" s="73" t="n">
        <v>67</v>
      </c>
      <c r="R65" s="72">
        <f>I65*$I$8</f>
        <v/>
      </c>
      <c r="S65" s="73" t="n">
        <v>25</v>
      </c>
      <c r="T65" s="72">
        <f>I65*$I$4</f>
        <v/>
      </c>
      <c r="U65" s="72">
        <f>K65*$I$3</f>
        <v/>
      </c>
      <c r="V65" s="74" t="n">
        <v>0.9</v>
      </c>
      <c r="W65" s="73" t="n">
        <v>67</v>
      </c>
      <c r="X65" s="72">
        <f>W65*(1-V65)</f>
        <v/>
      </c>
      <c r="Y65" s="75" t="n">
        <v>0.42</v>
      </c>
      <c r="Z65" s="72">
        <f>$I$6*$I$7*Y65</f>
        <v/>
      </c>
      <c r="AA65" s="19">
        <f>Y65*($I$9+$I$10)</f>
        <v/>
      </c>
      <c r="AB65" s="20" t="n">
        <v>0.07000000000000001</v>
      </c>
      <c r="AC65" s="72">
        <f>I65*AB65</f>
        <v/>
      </c>
      <c r="AD65" s="74" t="n">
        <v>0.08</v>
      </c>
      <c r="AE65" s="72">
        <f>I65*AD65</f>
        <v/>
      </c>
      <c r="AF65" s="72">
        <f>AC65+AE65</f>
        <v/>
      </c>
      <c r="AG65" s="25">
        <f>AF65/I65</f>
        <v/>
      </c>
      <c r="AH65" s="26">
        <f>I65-P65-Q65-R65-S65-T65-U65-X65-Z65-AA65-N65-AM65-AN65</f>
        <v/>
      </c>
      <c r="AI65" s="76">
        <f>AH65-AF65</f>
        <v/>
      </c>
      <c r="AJ65" s="77">
        <f>AI65/I65</f>
        <v/>
      </c>
      <c r="AK65" s="78">
        <f>AI65/N65</f>
        <v/>
      </c>
      <c r="AL65" s="72">
        <f>(Q65+S65+X65+Z65+AA65+N65+AM65)/(1-(O65+$I$4+(1-J65)*$I$3+$I$8+$I$11+AB65+AD65))</f>
        <v/>
      </c>
      <c r="AM65" s="72">
        <f>$I$12</f>
        <v/>
      </c>
      <c r="AN65" s="72">
        <f>I65*$I$11</f>
        <v/>
      </c>
    </row>
    <row r="66">
      <c r="A66" s="64" t="inlineStr">
        <is>
          <t>Косметика/JIGOTT/JIGOTT-MASK</t>
        </is>
      </c>
      <c r="B66" s="95" t="n"/>
      <c r="C66" s="65" t="n"/>
      <c r="D66" s="65" t="n"/>
      <c r="F66" s="65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5" t="n"/>
      <c r="X66" s="65" t="n"/>
      <c r="Y66" s="65" t="n"/>
      <c r="Z66" s="65" t="n"/>
      <c r="AA66" s="65" t="n"/>
      <c r="AB66" s="65" t="n"/>
      <c r="AC66" s="65" t="n"/>
      <c r="AD66" s="65" t="n"/>
      <c r="AE66" s="65" t="n"/>
      <c r="AF66" s="65" t="n"/>
      <c r="AG66" s="65" t="n"/>
      <c r="AH66" s="65" t="n"/>
      <c r="AI66" s="65" t="n"/>
      <c r="AJ66" s="65" t="n"/>
      <c r="AK66" s="65" t="n"/>
      <c r="AL66" s="65" t="n"/>
      <c r="AM66" s="65" t="n"/>
      <c r="AN66" s="65" t="n"/>
    </row>
    <row r="67">
      <c r="A67" s="79" t="inlineStr">
        <is>
          <t>JIGOTT - Ассорти набор масок [27ml х 15]</t>
        </is>
      </c>
      <c r="B67" s="97" t="n"/>
      <c r="C67" s="80" t="n"/>
      <c r="D67" s="80" t="n"/>
      <c r="E67" s="101" t="n">
        <v>1350</v>
      </c>
      <c r="F67" s="81" t="n"/>
      <c r="G67" s="81" t="n"/>
      <c r="H67" s="81" t="n"/>
      <c r="I67" s="81" t="n"/>
      <c r="J67" s="32" t="n"/>
      <c r="K67" s="33" t="n"/>
      <c r="L67" s="82" t="n"/>
      <c r="M67" s="82" t="n"/>
      <c r="N67" s="35" t="n"/>
      <c r="O67" s="36" t="n"/>
      <c r="P67" s="81" t="n"/>
      <c r="Q67" s="81" t="n"/>
      <c r="R67" s="81" t="n"/>
      <c r="S67" s="81" t="n"/>
      <c r="T67" s="81" t="n"/>
      <c r="U67" s="81" t="n"/>
      <c r="V67" s="83" t="n"/>
      <c r="W67" s="81" t="n"/>
      <c r="X67" s="81" t="n"/>
      <c r="Y67" s="84" t="n"/>
      <c r="Z67" s="81" t="n"/>
      <c r="AA67" s="35" t="n"/>
      <c r="AB67" s="36" t="n"/>
      <c r="AC67" s="81" t="n"/>
      <c r="AD67" s="83" t="n"/>
      <c r="AE67" s="81" t="n"/>
      <c r="AF67" s="81" t="n"/>
      <c r="AG67" s="39" t="n"/>
      <c r="AH67" s="40" t="n"/>
      <c r="AI67" s="81" t="n"/>
      <c r="AJ67" s="83" t="n"/>
      <c r="AK67" s="83" t="n"/>
      <c r="AL67" s="81" t="n"/>
      <c r="AM67" s="81" t="n"/>
      <c r="AN67" s="81" t="n"/>
    </row>
    <row r="68">
      <c r="A68" s="64" t="inlineStr">
        <is>
          <t>Косметика/JIGOTT/JIGOTT-TONER</t>
        </is>
      </c>
      <c r="B68" s="95" t="n"/>
      <c r="C68" s="65" t="n"/>
      <c r="D68" s="65" t="n"/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65" t="n"/>
      <c r="Z68" s="65" t="n"/>
      <c r="AA68" s="65" t="n"/>
      <c r="AB68" s="65" t="n"/>
      <c r="AC68" s="65" t="n"/>
      <c r="AD68" s="65" t="n"/>
      <c r="AE68" s="65" t="n"/>
      <c r="AF68" s="65" t="n"/>
      <c r="AG68" s="65" t="n"/>
      <c r="AH68" s="65" t="n"/>
      <c r="AI68" s="65" t="n"/>
      <c r="AJ68" s="65" t="n"/>
      <c r="AK68" s="65" t="n"/>
      <c r="AL68" s="65" t="n"/>
      <c r="AM68" s="65" t="n"/>
      <c r="AN68" s="65" t="n"/>
    </row>
    <row r="69" ht="29" customHeight="1">
      <c r="A69" s="66" t="inlineStr">
        <is>
          <t>JIGOTT - Ultimate Real Collagen Toner [300ml] / тонер с коллагеном антивозрастной</t>
        </is>
      </c>
      <c r="B69" s="96" t="n"/>
      <c r="C69" s="67" t="n"/>
      <c r="D69" s="68" t="n"/>
      <c r="E69" s="101" t="n">
        <v>1296</v>
      </c>
      <c r="F69" s="69" t="n">
        <v>1140</v>
      </c>
      <c r="G69" s="69" t="n">
        <v>131</v>
      </c>
      <c r="H69" s="69" t="n">
        <v>0</v>
      </c>
      <c r="I69" s="69">
        <f>(1.20*N69+Q69+S69+X69+Z69+AA69+AM69)/(1-O69-$I$8-$I$4-(1-J69)*$I$3-$I$11-AB69-AD69)</f>
        <v/>
      </c>
      <c r="J69" s="15" t="n">
        <v>0.45</v>
      </c>
      <c r="K69" s="16">
        <f>I69*(1-J69)</f>
        <v/>
      </c>
      <c r="L69" s="70" t="n">
        <v>265.36</v>
      </c>
      <c r="M69" s="71">
        <f>$I$5</f>
        <v/>
      </c>
      <c r="N69" s="19">
        <f>L69+M69</f>
        <v/>
      </c>
      <c r="O69" s="20" t="n">
        <v>0.47</v>
      </c>
      <c r="P69" s="72">
        <f>I69*O69</f>
        <v/>
      </c>
      <c r="Q69" s="73" t="n">
        <v>67</v>
      </c>
      <c r="R69" s="72">
        <f>I69*$I$8</f>
        <v/>
      </c>
      <c r="S69" s="73" t="n">
        <v>25</v>
      </c>
      <c r="T69" s="72">
        <f>I69*$I$4</f>
        <v/>
      </c>
      <c r="U69" s="72">
        <f>K69*$I$3</f>
        <v/>
      </c>
      <c r="V69" s="74" t="n">
        <v>0.9</v>
      </c>
      <c r="W69" s="73" t="n">
        <v>67</v>
      </c>
      <c r="X69" s="72">
        <f>W69*(1-V69)</f>
        <v/>
      </c>
      <c r="Y69" s="75" t="n">
        <v>0.93</v>
      </c>
      <c r="Z69" s="72">
        <f>$I$6*$I$7*Y69</f>
        <v/>
      </c>
      <c r="AA69" s="19">
        <f>Y69*($I$9+$I$10)</f>
        <v/>
      </c>
      <c r="AB69" s="20" t="n">
        <v>0.07000000000000001</v>
      </c>
      <c r="AC69" s="72">
        <f>I69*AB69</f>
        <v/>
      </c>
      <c r="AD69" s="74" t="n">
        <v>0.08</v>
      </c>
      <c r="AE69" s="72">
        <f>I69*AD69</f>
        <v/>
      </c>
      <c r="AF69" s="72">
        <f>AC69+AE69</f>
        <v/>
      </c>
      <c r="AG69" s="25">
        <f>AF69/I69</f>
        <v/>
      </c>
      <c r="AH69" s="26">
        <f>I69-P69-Q69-R69-S69-T69-U69-X69-Z69-AA69-N69-AM69-AN69</f>
        <v/>
      </c>
      <c r="AI69" s="76">
        <f>AH69-AF69</f>
        <v/>
      </c>
      <c r="AJ69" s="77">
        <f>AI69/I69</f>
        <v/>
      </c>
      <c r="AK69" s="78">
        <f>AI69/N69</f>
        <v/>
      </c>
      <c r="AL69" s="72">
        <f>(Q69+S69+X69+Z69+AA69+N69+AM69)/(1-(O69+$I$4+(1-J69)*$I$3+$I$8+$I$11+AB69+AD69))</f>
        <v/>
      </c>
      <c r="AM69" s="72">
        <f>$I$12</f>
        <v/>
      </c>
      <c r="AN69" s="72">
        <f>I69*$I$11</f>
        <v/>
      </c>
    </row>
    <row r="70" ht="29" customHeight="1">
      <c r="A70" s="66" t="inlineStr">
        <is>
          <t>JIGOTT - Daily Real Cica Toner [300ml] / Тонер для лица с центеллой азиатской</t>
        </is>
      </c>
      <c r="B70" s="96" t="n"/>
      <c r="C70" s="67" t="n"/>
      <c r="D70" s="68" t="n"/>
      <c r="E70" s="101" t="n">
        <v>1468</v>
      </c>
      <c r="F70" s="69" t="n">
        <v>1140</v>
      </c>
      <c r="G70" s="69" t="n">
        <v>191</v>
      </c>
      <c r="H70" s="69" t="n">
        <v>0</v>
      </c>
      <c r="I70" s="69">
        <f>(1.20*N70+Q70+S70+X70+Z70+AA70+AM70)/(1-O70-$I$8-$I$4-(1-J70)*$I$3-$I$11-AB70-AD70)</f>
        <v/>
      </c>
      <c r="J70" s="15" t="n">
        <v>0.45</v>
      </c>
      <c r="K70" s="16">
        <f>I70*(1-J70)</f>
        <v/>
      </c>
      <c r="L70" s="70" t="n">
        <v>265.36</v>
      </c>
      <c r="M70" s="71">
        <f>$I$5</f>
        <v/>
      </c>
      <c r="N70" s="19">
        <f>L70+M70</f>
        <v/>
      </c>
      <c r="O70" s="20" t="n">
        <v>0.47</v>
      </c>
      <c r="P70" s="72">
        <f>I70*O70</f>
        <v/>
      </c>
      <c r="Q70" s="73" t="n">
        <v>67</v>
      </c>
      <c r="R70" s="72">
        <f>I70*$I$8</f>
        <v/>
      </c>
      <c r="S70" s="73" t="n">
        <v>25</v>
      </c>
      <c r="T70" s="72">
        <f>I70*$I$4</f>
        <v/>
      </c>
      <c r="U70" s="72">
        <f>K70*$I$3</f>
        <v/>
      </c>
      <c r="V70" s="74" t="n">
        <v>0.9</v>
      </c>
      <c r="W70" s="73" t="n">
        <v>67</v>
      </c>
      <c r="X70" s="72">
        <f>W70*(1-V70)</f>
        <v/>
      </c>
      <c r="Y70" s="75" t="n">
        <v>0.93</v>
      </c>
      <c r="Z70" s="72">
        <f>$I$6*$I$7*Y70</f>
        <v/>
      </c>
      <c r="AA70" s="19">
        <f>Y70*($I$9+$I$10)</f>
        <v/>
      </c>
      <c r="AB70" s="20" t="n">
        <v>0.07000000000000001</v>
      </c>
      <c r="AC70" s="72">
        <f>I70*AB70</f>
        <v/>
      </c>
      <c r="AD70" s="74" t="n">
        <v>0.08</v>
      </c>
      <c r="AE70" s="72">
        <f>I70*AD70</f>
        <v/>
      </c>
      <c r="AF70" s="72">
        <f>AC70+AE70</f>
        <v/>
      </c>
      <c r="AG70" s="25">
        <f>AF70/I70</f>
        <v/>
      </c>
      <c r="AH70" s="26">
        <f>I70-P70-Q70-R70-S70-T70-U70-X70-Z70-AA70-N70-AM70-AN70</f>
        <v/>
      </c>
      <c r="AI70" s="76">
        <f>AH70-AF70</f>
        <v/>
      </c>
      <c r="AJ70" s="77">
        <f>AI70/I70</f>
        <v/>
      </c>
      <c r="AK70" s="78">
        <f>AI70/N70</f>
        <v/>
      </c>
      <c r="AL70" s="72">
        <f>(Q70+S70+X70+Z70+AA70+N70+AM70)/(1-(O70+$I$4+(1-J70)*$I$3+$I$8+$I$11+AB70+AD70))</f>
        <v/>
      </c>
      <c r="AM70" s="72">
        <f>$I$12</f>
        <v/>
      </c>
      <c r="AN70" s="72">
        <f>I70*$I$11</f>
        <v/>
      </c>
    </row>
    <row r="71" ht="29" customHeight="1">
      <c r="A71" s="66" t="inlineStr">
        <is>
          <t>JIGOTT - Aura Secret Hyaluronec Acid Toner [300ml] / Тонер с гиалуроновой кислотой антивозрастной</t>
        </is>
      </c>
      <c r="B71" s="96" t="n"/>
      <c r="C71" s="67" t="n"/>
      <c r="D71" s="68" t="n"/>
      <c r="E71" s="92" t="n">
        <v>424</v>
      </c>
      <c r="F71" s="69" t="n">
        <v>975</v>
      </c>
      <c r="G71" s="69" t="n">
        <v>77</v>
      </c>
      <c r="H71" s="69" t="n">
        <v>0</v>
      </c>
      <c r="I71" s="69">
        <f>(1.20*N71+Q71+S71+X71+Z71+AA71+AM71)/(1-O71-$I$8-$I$4-(1-J71)*$I$3-$I$11-AB71-AD71)</f>
        <v/>
      </c>
      <c r="J71" s="15" t="n">
        <v>0.45</v>
      </c>
      <c r="K71" s="16">
        <f>I71*(1-J71)</f>
        <v/>
      </c>
      <c r="L71" s="70" t="n">
        <v>265.36</v>
      </c>
      <c r="M71" s="71">
        <f>$I$5</f>
        <v/>
      </c>
      <c r="N71" s="19">
        <f>L71+M71</f>
        <v/>
      </c>
      <c r="O71" s="20" t="n">
        <v>0.47</v>
      </c>
      <c r="P71" s="72">
        <f>I71*O71</f>
        <v/>
      </c>
      <c r="Q71" s="73" t="n">
        <v>67</v>
      </c>
      <c r="R71" s="72">
        <f>I71*$I$8</f>
        <v/>
      </c>
      <c r="S71" s="73" t="n">
        <v>25</v>
      </c>
      <c r="T71" s="72">
        <f>I71*$I$4</f>
        <v/>
      </c>
      <c r="U71" s="72">
        <f>K71*$I$3</f>
        <v/>
      </c>
      <c r="V71" s="74" t="n">
        <v>0.9</v>
      </c>
      <c r="W71" s="73" t="n">
        <v>67</v>
      </c>
      <c r="X71" s="72">
        <f>W71*(1-V71)</f>
        <v/>
      </c>
      <c r="Y71" s="75" t="n">
        <v>0.93</v>
      </c>
      <c r="Z71" s="72">
        <f>$I$6*$I$7*Y71</f>
        <v/>
      </c>
      <c r="AA71" s="19">
        <f>Y71*($I$9+$I$10)</f>
        <v/>
      </c>
      <c r="AB71" s="20" t="n">
        <v>0.07000000000000001</v>
      </c>
      <c r="AC71" s="72">
        <f>I71*AB71</f>
        <v/>
      </c>
      <c r="AD71" s="74" t="n">
        <v>0.08</v>
      </c>
      <c r="AE71" s="72">
        <f>I71*AD71</f>
        <v/>
      </c>
      <c r="AF71" s="72">
        <f>AC71+AE71</f>
        <v/>
      </c>
      <c r="AG71" s="25">
        <f>AF71/I71</f>
        <v/>
      </c>
      <c r="AH71" s="26">
        <f>I71-P71-Q71-R71-S71-T71-U71-X71-Z71-AA71-N71-AM71-AN71</f>
        <v/>
      </c>
      <c r="AI71" s="76">
        <f>AH71-AF71</f>
        <v/>
      </c>
      <c r="AJ71" s="77">
        <f>AI71/I71</f>
        <v/>
      </c>
      <c r="AK71" s="78">
        <f>AI71/N71</f>
        <v/>
      </c>
      <c r="AL71" s="72">
        <f>(Q71+S71+X71+Z71+AA71+N71+AM71)/(1-(O71+$I$4+(1-J71)*$I$3+$I$8+$I$11+AB71+AD71))</f>
        <v/>
      </c>
      <c r="AM71" s="72">
        <f>$I$12</f>
        <v/>
      </c>
      <c r="AN71" s="72">
        <f>I71*$I$11</f>
        <v/>
      </c>
    </row>
    <row r="72" ht="29" customHeight="1">
      <c r="A72" s="66" t="inlineStr">
        <is>
          <t>JIGOTT - Moisture Real Aloe Vera Toner [300ml] / Тонер для лица увлажняющий с экстрактом алоэ</t>
        </is>
      </c>
      <c r="B72" s="96" t="n"/>
      <c r="C72" s="67" t="n"/>
      <c r="D72" s="68" t="n"/>
      <c r="E72" s="92" t="n">
        <v>356</v>
      </c>
      <c r="F72" s="69" t="n">
        <v>1100</v>
      </c>
      <c r="G72" s="69" t="n">
        <v>169</v>
      </c>
      <c r="H72" s="69" t="n">
        <v>8</v>
      </c>
      <c r="I72" s="69">
        <f>(1.20*N72+Q72+S72+X72+Z72+AA72+AM72)/(1-O72-$I$8-$I$4-(1-J72)*$I$3-$I$11-AB72-AD72)</f>
        <v/>
      </c>
      <c r="J72" s="15" t="n">
        <v>0.45</v>
      </c>
      <c r="K72" s="16">
        <f>I72*(1-J72)</f>
        <v/>
      </c>
      <c r="L72" s="70" t="n">
        <v>265.36</v>
      </c>
      <c r="M72" s="71">
        <f>$I$5</f>
        <v/>
      </c>
      <c r="N72" s="19">
        <f>L72+M72</f>
        <v/>
      </c>
      <c r="O72" s="20" t="n">
        <v>0.47</v>
      </c>
      <c r="P72" s="72">
        <f>I72*O72</f>
        <v/>
      </c>
      <c r="Q72" s="73" t="n">
        <v>67</v>
      </c>
      <c r="R72" s="72">
        <f>I72*$I$8</f>
        <v/>
      </c>
      <c r="S72" s="73" t="n">
        <v>25</v>
      </c>
      <c r="T72" s="72">
        <f>I72*$I$4</f>
        <v/>
      </c>
      <c r="U72" s="72">
        <f>K72*$I$3</f>
        <v/>
      </c>
      <c r="V72" s="74" t="n">
        <v>0.9</v>
      </c>
      <c r="W72" s="73" t="n">
        <v>67</v>
      </c>
      <c r="X72" s="72">
        <f>W72*(1-V72)</f>
        <v/>
      </c>
      <c r="Y72" s="75" t="n">
        <v>0.93</v>
      </c>
      <c r="Z72" s="72">
        <f>$I$6*$I$7*Y72</f>
        <v/>
      </c>
      <c r="AA72" s="19">
        <f>Y72*($I$9+$I$10)</f>
        <v/>
      </c>
      <c r="AB72" s="20" t="n">
        <v>0.07000000000000001</v>
      </c>
      <c r="AC72" s="72">
        <f>I72*AB72</f>
        <v/>
      </c>
      <c r="AD72" s="74" t="n">
        <v>0.08</v>
      </c>
      <c r="AE72" s="72">
        <f>I72*AD72</f>
        <v/>
      </c>
      <c r="AF72" s="72">
        <f>AC72+AE72</f>
        <v/>
      </c>
      <c r="AG72" s="25">
        <f>AF72/I72</f>
        <v/>
      </c>
      <c r="AH72" s="26">
        <f>I72-P72-Q72-R72-S72-T72-U72-X72-Z72-AA72-N72-AM72-AN72</f>
        <v/>
      </c>
      <c r="AI72" s="76">
        <f>AH72-AF72</f>
        <v/>
      </c>
      <c r="AJ72" s="77">
        <f>AI72/I72</f>
        <v/>
      </c>
      <c r="AK72" s="78">
        <f>AI72/N72</f>
        <v/>
      </c>
      <c r="AL72" s="72">
        <f>(Q72+S72+X72+Z72+AA72+N72+AM72)/(1-(O72+$I$4+(1-J72)*$I$3+$I$8+$I$11+AB72+AD72))</f>
        <v/>
      </c>
      <c r="AM72" s="72">
        <f>$I$12</f>
        <v/>
      </c>
      <c r="AN72" s="72">
        <f>I72*$I$11</f>
        <v/>
      </c>
    </row>
    <row r="73">
      <c r="A73" s="64" t="inlineStr">
        <is>
          <t>Косметика/JMSOLUTION/JM-MASKPACKBLACK</t>
        </is>
      </c>
      <c r="B73" s="95" t="n"/>
      <c r="C73" s="65" t="n"/>
      <c r="D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</row>
    <row r="74" ht="29" customHeight="1">
      <c r="A74" s="66" t="inlineStr">
        <is>
          <t>JMSOLUTION - MASK PACK BLACK [30ml*10ea] - ассорти набор 10шт в упаковке</t>
        </is>
      </c>
      <c r="B74" s="96" t="n"/>
      <c r="C74" s="67" t="n"/>
      <c r="D74" s="68" t="n"/>
      <c r="E74" s="92" t="n">
        <v>0</v>
      </c>
      <c r="F74" s="69" t="n">
        <v>2340</v>
      </c>
      <c r="G74" s="69" t="inlineStr">
        <is>
          <t>51 (закончились)</t>
        </is>
      </c>
      <c r="H74" s="69" t="n">
        <v>4</v>
      </c>
      <c r="I74" s="69">
        <f>(1.20*N74+Q74+S74+X74+Z74+AA74+AM74)/(1-O74-$I$8-$I$4-(1-J74)*$I$3-$I$11-AB74-AD74)</f>
        <v/>
      </c>
      <c r="J74" s="15" t="n">
        <v>0.45</v>
      </c>
      <c r="K74" s="16">
        <f>I74*(1-J74)</f>
        <v/>
      </c>
      <c r="L74" s="70" t="n">
        <v>463.2</v>
      </c>
      <c r="M74" s="71">
        <f>$I$5</f>
        <v/>
      </c>
      <c r="N74" s="19">
        <f>L74+M74</f>
        <v/>
      </c>
      <c r="O74" s="20" t="n">
        <v>0.47</v>
      </c>
      <c r="P74" s="72">
        <f>I74*O74</f>
        <v/>
      </c>
      <c r="Q74" s="73" t="n">
        <v>72</v>
      </c>
      <c r="R74" s="72">
        <f>I74*$I$8</f>
        <v/>
      </c>
      <c r="S74" s="73" t="n">
        <v>25</v>
      </c>
      <c r="T74" s="72">
        <f>I74*$I$4</f>
        <v/>
      </c>
      <c r="U74" s="72">
        <f>K74*$I$3</f>
        <v/>
      </c>
      <c r="V74" s="74" t="n">
        <v>0.9</v>
      </c>
      <c r="W74" s="73" t="n">
        <v>72</v>
      </c>
      <c r="X74" s="72">
        <f>W74*(1-V74)</f>
        <v/>
      </c>
      <c r="Y74" s="75" t="n">
        <v>1.25</v>
      </c>
      <c r="Z74" s="72">
        <f>$I$6*$I$7*Y74</f>
        <v/>
      </c>
      <c r="AA74" s="19">
        <f>Y74*($I$9+$I$10)</f>
        <v/>
      </c>
      <c r="AB74" s="20" t="n">
        <v>0.07000000000000001</v>
      </c>
      <c r="AC74" s="72">
        <f>I74*AB74</f>
        <v/>
      </c>
      <c r="AD74" s="74" t="n">
        <v>0.08</v>
      </c>
      <c r="AE74" s="72">
        <f>I74*AD74</f>
        <v/>
      </c>
      <c r="AF74" s="72">
        <f>AC74+AE74</f>
        <v/>
      </c>
      <c r="AG74" s="25">
        <f>AF74/I74</f>
        <v/>
      </c>
      <c r="AH74" s="26">
        <f>I74-P74-Q74-R74-S74-T74-U74-X74-Z74-AA74-N74-AM74-AN74</f>
        <v/>
      </c>
      <c r="AI74" s="76">
        <f>AH74-AF74</f>
        <v/>
      </c>
      <c r="AJ74" s="77">
        <f>AI74/I74</f>
        <v/>
      </c>
      <c r="AK74" s="78">
        <f>AI74/N74</f>
        <v/>
      </c>
      <c r="AL74" s="72">
        <f>(Q74+S74+X74+Z74+AA74+N74+AM74)/(1-(O74+$I$4+(1-J74)*$I$3+$I$8+$I$11+AB74+AD74))</f>
        <v/>
      </c>
      <c r="AM74" s="72">
        <f>$I$12</f>
        <v/>
      </c>
      <c r="AN74" s="72">
        <f>I74*$I$11</f>
        <v/>
      </c>
    </row>
    <row r="75">
      <c r="A75" s="64" t="inlineStr">
        <is>
          <t>Косметика/JMSOLUTION/JM-MASKPACKDISNEY</t>
        </is>
      </c>
      <c r="B75" s="95" t="n"/>
      <c r="C75" s="65" t="n"/>
      <c r="D75" s="65" t="n"/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65" t="n"/>
      <c r="Z75" s="65" t="n"/>
      <c r="AA75" s="65" t="n"/>
      <c r="AB75" s="65" t="n"/>
      <c r="AC75" s="65" t="n"/>
      <c r="AD75" s="65" t="n"/>
      <c r="AE75" s="65" t="n"/>
      <c r="AF75" s="65" t="n"/>
      <c r="AG75" s="65" t="n"/>
      <c r="AH75" s="65" t="n"/>
      <c r="AI75" s="65" t="n"/>
      <c r="AJ75" s="65" t="n"/>
      <c r="AK75" s="65" t="n"/>
      <c r="AL75" s="65" t="n"/>
      <c r="AM75" s="65" t="n"/>
      <c r="AN75" s="65" t="n"/>
    </row>
    <row r="76">
      <c r="A76" s="66" t="inlineStr">
        <is>
          <t>JMSOLUTION - MASK PACK DISNEY [30ml*10ea] - ассорти набор из 10шт</t>
        </is>
      </c>
      <c r="B76" s="96" t="n"/>
      <c r="C76" s="67" t="n"/>
      <c r="D76" s="68" t="inlineStr">
        <is>
          <t>нет таких наборов</t>
        </is>
      </c>
      <c r="E76" s="92" t="n">
        <v>835</v>
      </c>
      <c r="F76" s="69" t="n"/>
      <c r="G76" s="69" t="n"/>
      <c r="H76" s="69" t="n"/>
      <c r="I76" s="69">
        <f>(1.20*N76+Q76+S76+X76+Z76+AA76+AM76)/(1-O76-$I$8-$I$4-(1-J76)*$I$3-$I$11-AB76-AD76)</f>
        <v/>
      </c>
      <c r="J76" s="15" t="n">
        <v>0.45</v>
      </c>
      <c r="K76" s="16">
        <f>I76*(1-J76)</f>
        <v/>
      </c>
      <c r="L76" s="70" t="n">
        <v>463.2</v>
      </c>
      <c r="M76" s="71">
        <f>$I$5</f>
        <v/>
      </c>
      <c r="N76" s="19">
        <f>L76+M76</f>
        <v/>
      </c>
      <c r="O76" s="20" t="n">
        <v>0.47</v>
      </c>
      <c r="P76" s="72">
        <f>I76*O76</f>
        <v/>
      </c>
      <c r="Q76" s="73" t="n">
        <v>72</v>
      </c>
      <c r="R76" s="72">
        <f>I76*$I$8</f>
        <v/>
      </c>
      <c r="S76" s="73" t="n">
        <v>25</v>
      </c>
      <c r="T76" s="72">
        <f>I76*$I$4</f>
        <v/>
      </c>
      <c r="U76" s="72">
        <f>K76*$I$3</f>
        <v/>
      </c>
      <c r="V76" s="74" t="n">
        <v>0.9</v>
      </c>
      <c r="W76" s="73" t="n">
        <v>72</v>
      </c>
      <c r="X76" s="72">
        <f>W76*(1-V76)</f>
        <v/>
      </c>
      <c r="Y76" s="75" t="n">
        <v>1.25</v>
      </c>
      <c r="Z76" s="72">
        <f>$I$6*$I$7*Y76</f>
        <v/>
      </c>
      <c r="AA76" s="19">
        <f>Y76*($I$9+$I$10)</f>
        <v/>
      </c>
      <c r="AB76" s="20" t="n">
        <v>0.07000000000000001</v>
      </c>
      <c r="AC76" s="72">
        <f>I76*AB76</f>
        <v/>
      </c>
      <c r="AD76" s="74" t="n">
        <v>0.08</v>
      </c>
      <c r="AE76" s="72">
        <f>I76*AD76</f>
        <v/>
      </c>
      <c r="AF76" s="72">
        <f>AC76+AE76</f>
        <v/>
      </c>
      <c r="AG76" s="25">
        <f>AF76/I76</f>
        <v/>
      </c>
      <c r="AH76" s="26">
        <f>I76-P76-Q76-R76-S76-T76-U76-X76-Z76-AA76-N76-AM76-AN76</f>
        <v/>
      </c>
      <c r="AI76" s="76">
        <f>AH76-AF76</f>
        <v/>
      </c>
      <c r="AJ76" s="77">
        <f>AI76/I76</f>
        <v/>
      </c>
      <c r="AK76" s="78">
        <f>AI76/N76</f>
        <v/>
      </c>
      <c r="AL76" s="72">
        <f>(Q76+S76+X76+Z76+AA76+N76+AM76)/(1-(O76+$I$4+(1-J76)*$I$3+$I$8+$I$11+AB76+AD76))</f>
        <v/>
      </c>
      <c r="AM76" s="72">
        <f>$I$12</f>
        <v/>
      </c>
      <c r="AN76" s="72">
        <f>I76*$I$11</f>
        <v/>
      </c>
    </row>
    <row r="77">
      <c r="A77" s="64" t="inlineStr">
        <is>
          <t>Косметика/LEBELAGE</t>
        </is>
      </c>
      <c r="B77" s="95" t="n"/>
      <c r="C77" s="65" t="n"/>
      <c r="D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  <c r="W77" s="65" t="n"/>
      <c r="X77" s="65" t="n"/>
      <c r="Y77" s="65" t="n"/>
      <c r="Z77" s="65" t="n"/>
      <c r="AA77" s="65" t="n"/>
      <c r="AB77" s="65" t="n"/>
      <c r="AC77" s="65" t="n"/>
      <c r="AD77" s="65" t="n"/>
      <c r="AE77" s="65" t="n"/>
      <c r="AF77" s="65" t="n"/>
      <c r="AG77" s="65" t="n"/>
      <c r="AH77" s="65" t="n"/>
      <c r="AI77" s="65" t="n"/>
      <c r="AJ77" s="65" t="n"/>
      <c r="AK77" s="65" t="n"/>
      <c r="AL77" s="65" t="n"/>
      <c r="AM77" s="65" t="n"/>
      <c r="AN77" s="65" t="n"/>
    </row>
    <row r="78" ht="29" customHeight="1">
      <c r="A78" s="66" t="inlineStr">
        <is>
          <t>LEBELAGE - Dr. Peptide Derma Eye Cream [40ml] / Крем для глаз антивозрастной с пептидами</t>
        </is>
      </c>
      <c r="B78" s="96" t="inlineStr">
        <is>
          <t>ФБС</t>
        </is>
      </c>
      <c r="C78" s="67" t="n"/>
      <c r="D78" s="68" t="n"/>
      <c r="E78" s="92" t="n">
        <v>410</v>
      </c>
      <c r="F78" s="69" t="n">
        <v>667</v>
      </c>
      <c r="G78" s="69" t="n">
        <v>1738</v>
      </c>
      <c r="H78" s="69" t="n">
        <v>22</v>
      </c>
      <c r="I78" s="69">
        <f>(1.20*N78+Q78+S78+X78+Z78+AA78+AM78)/(1-O78-$I$8-$I$4-(1-J78)*$I$3-$I$11-AB78-AD78)</f>
        <v/>
      </c>
      <c r="J78" s="15" t="n">
        <v>0.45</v>
      </c>
      <c r="K78" s="16">
        <f>I78*(1-J78)</f>
        <v/>
      </c>
      <c r="L78" s="70" t="n">
        <v>108.15</v>
      </c>
      <c r="M78" s="71">
        <f>$I$5</f>
        <v/>
      </c>
      <c r="N78" s="19">
        <f>L78+M78</f>
        <v/>
      </c>
      <c r="O78" s="20" t="n">
        <v>0.47</v>
      </c>
      <c r="P78" s="72">
        <f>I78*O78</f>
        <v/>
      </c>
      <c r="Q78" s="73" t="n">
        <v>63</v>
      </c>
      <c r="R78" s="72">
        <f>I78*$I$8</f>
        <v/>
      </c>
      <c r="S78" s="73" t="n">
        <v>25</v>
      </c>
      <c r="T78" s="72">
        <f>I78*$I$4</f>
        <v/>
      </c>
      <c r="U78" s="72">
        <f>K78*$I$3</f>
        <v/>
      </c>
      <c r="V78" s="74" t="n">
        <v>0.9</v>
      </c>
      <c r="W78" s="73" t="n">
        <v>63</v>
      </c>
      <c r="X78" s="72">
        <f>W78*(1-V78)</f>
        <v/>
      </c>
      <c r="Y78" s="75" t="n">
        <v>0.27</v>
      </c>
      <c r="Z78" s="72">
        <f>$I$6*$I$7*Y78</f>
        <v/>
      </c>
      <c r="AA78" s="19">
        <f>Y78*($I$9+$I$10)</f>
        <v/>
      </c>
      <c r="AB78" s="20" t="n">
        <v>0.07000000000000001</v>
      </c>
      <c r="AC78" s="72">
        <f>I78*AB78</f>
        <v/>
      </c>
      <c r="AD78" s="74" t="n">
        <v>0.08</v>
      </c>
      <c r="AE78" s="72">
        <f>I78*AD78</f>
        <v/>
      </c>
      <c r="AF78" s="72">
        <f>AC78+AE78</f>
        <v/>
      </c>
      <c r="AG78" s="25">
        <f>AF78/I78</f>
        <v/>
      </c>
      <c r="AH78" s="26">
        <f>I78-P78-Q78-R78-S78-T78-U78-X78-Z78-AA78-N78-AM78-AN78</f>
        <v/>
      </c>
      <c r="AI78" s="76">
        <f>AH78-AF78</f>
        <v/>
      </c>
      <c r="AJ78" s="77">
        <f>AI78/I78</f>
        <v/>
      </c>
      <c r="AK78" s="78">
        <f>AI78/N78</f>
        <v/>
      </c>
      <c r="AL78" s="72">
        <f>(Q78+S78+X78+Z78+AA78+N78+AM78)/(1-(O78+$I$4+(1-J78)*$I$3+$I$8+$I$11+AB78+AD78))</f>
        <v/>
      </c>
      <c r="AM78" s="72">
        <f>$I$12</f>
        <v/>
      </c>
      <c r="AN78" s="72">
        <f>I78*$I$11</f>
        <v/>
      </c>
    </row>
    <row r="79">
      <c r="A79" s="64" t="inlineStr">
        <is>
          <t>Косметика/LANEIGE</t>
        </is>
      </c>
      <c r="B79" s="95" t="n"/>
      <c r="C79" s="65" t="n"/>
      <c r="D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65" t="n"/>
      <c r="Z79" s="65" t="n"/>
      <c r="AA79" s="65" t="n"/>
      <c r="AB79" s="65" t="n"/>
      <c r="AC79" s="65" t="n"/>
      <c r="AD79" s="65" t="n"/>
      <c r="AE79" s="65" t="n"/>
      <c r="AF79" s="65" t="n"/>
      <c r="AG79" s="65" t="n"/>
      <c r="AH79" s="65" t="n"/>
      <c r="AI79" s="65" t="n"/>
      <c r="AJ79" s="65" t="n"/>
      <c r="AK79" s="65" t="n"/>
      <c r="AL79" s="65" t="n"/>
      <c r="AM79" s="65" t="n"/>
      <c r="AN79" s="65" t="n"/>
    </row>
    <row r="80">
      <c r="A80" s="66" t="inlineStr">
        <is>
          <t>LANEIGE LIP SLEEPING MASK-BERRY [3g]</t>
        </is>
      </c>
      <c r="B80" s="96" t="inlineStr">
        <is>
          <t>ФБС</t>
        </is>
      </c>
      <c r="C80" s="67" t="n"/>
      <c r="D80" s="68" t="n"/>
      <c r="E80" s="92" t="n">
        <v>341</v>
      </c>
      <c r="F80" s="69" t="n">
        <v>1470</v>
      </c>
      <c r="G80" s="69" t="n">
        <v>568</v>
      </c>
      <c r="H80" s="69" t="n">
        <v>10</v>
      </c>
      <c r="I80" s="69">
        <f>(1.20*N80+Q80+S80+X80+Z80+AA80+AM80)/(1-O80-$I$8-$I$4-(1-J80)*$I$3-$I$11-AB80-AD80)</f>
        <v/>
      </c>
      <c r="J80" s="15" t="n">
        <v>0.45</v>
      </c>
      <c r="K80" s="16">
        <f>I80*(1-J80)</f>
        <v/>
      </c>
      <c r="L80" s="70" t="n">
        <v>130.86</v>
      </c>
      <c r="M80" s="71">
        <f>$I$5</f>
        <v/>
      </c>
      <c r="N80" s="19">
        <f>L80+M80</f>
        <v/>
      </c>
      <c r="O80" s="20" t="n">
        <v>0.47</v>
      </c>
      <c r="P80" s="72">
        <f>I80*O80</f>
        <v/>
      </c>
      <c r="Q80" s="73" t="n">
        <v>56</v>
      </c>
      <c r="R80" s="72">
        <f>I80*$I$8</f>
        <v/>
      </c>
      <c r="S80" s="73" t="n">
        <v>25</v>
      </c>
      <c r="T80" s="72">
        <f>I80*$I$4</f>
        <v/>
      </c>
      <c r="U80" s="72">
        <f>K80*$I$3</f>
        <v/>
      </c>
      <c r="V80" s="74" t="n">
        <v>0.9</v>
      </c>
      <c r="W80" s="73" t="n">
        <v>56</v>
      </c>
      <c r="X80" s="72">
        <f>W80*(1-V80)</f>
        <v/>
      </c>
      <c r="Y80" s="75" t="n">
        <v>0.2</v>
      </c>
      <c r="Z80" s="72">
        <f>$I$6*$I$7*Y80</f>
        <v/>
      </c>
      <c r="AA80" s="19">
        <f>Y80*($I$9+$I$10)</f>
        <v/>
      </c>
      <c r="AB80" s="20" t="n">
        <v>0.07000000000000001</v>
      </c>
      <c r="AC80" s="72">
        <f>I80*AB80</f>
        <v/>
      </c>
      <c r="AD80" s="74" t="n">
        <v>0.08</v>
      </c>
      <c r="AE80" s="72">
        <f>I80*AD80</f>
        <v/>
      </c>
      <c r="AF80" s="72">
        <f>AC80+AE80</f>
        <v/>
      </c>
      <c r="AG80" s="25">
        <f>AF80/I80</f>
        <v/>
      </c>
      <c r="AH80" s="26">
        <f>I80-P80-Q80-R80-S80-T80-U80-X80-Z80-AA80-N80-AM80-AN80</f>
        <v/>
      </c>
      <c r="AI80" s="76">
        <f>AH80-AF80</f>
        <v/>
      </c>
      <c r="AJ80" s="77">
        <f>AI80/I80</f>
        <v/>
      </c>
      <c r="AK80" s="78">
        <f>AI80/N80</f>
        <v/>
      </c>
      <c r="AL80" s="72">
        <f>(Q80+S80+X80+Z80+AA80+N80+AM80)/(1-(O80+$I$4+(1-J80)*$I$3+$I$8+$I$11+AB80+AD80))</f>
        <v/>
      </c>
      <c r="AM80" s="72">
        <f>$I$12</f>
        <v/>
      </c>
      <c r="AN80" s="72">
        <f>I80*$I$11</f>
        <v/>
      </c>
    </row>
    <row r="81">
      <c r="A81" s="64" t="inlineStr">
        <is>
          <t>Косметика/MANYO</t>
        </is>
      </c>
      <c r="B81" s="95" t="n"/>
      <c r="C81" s="65" t="n"/>
      <c r="D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  <c r="Y81" s="65" t="n"/>
      <c r="Z81" s="65" t="n"/>
      <c r="AA81" s="65" t="n"/>
      <c r="AB81" s="65" t="n"/>
      <c r="AC81" s="65" t="n"/>
      <c r="AD81" s="65" t="n"/>
      <c r="AE81" s="65" t="n"/>
      <c r="AF81" s="65" t="n"/>
      <c r="AG81" s="65" t="n"/>
      <c r="AH81" s="65" t="n"/>
      <c r="AI81" s="65" t="n"/>
      <c r="AJ81" s="65" t="n"/>
      <c r="AK81" s="65" t="n"/>
      <c r="AL81" s="65" t="n"/>
      <c r="AM81" s="65" t="n"/>
      <c r="AN81" s="65" t="n"/>
    </row>
    <row r="82" ht="29" customHeight="1">
      <c r="A82" s="66" t="inlineStr">
        <is>
          <t>MANYO - Bifida Biome Complex Ampoule [50ml] / Антивозрастная сыворотка для лица</t>
        </is>
      </c>
      <c r="B82" s="96" t="n"/>
      <c r="C82" s="67" t="n"/>
      <c r="D82" s="68" t="n"/>
      <c r="E82" s="101" t="n">
        <v>1473</v>
      </c>
      <c r="F82" s="69" t="n">
        <v>5800</v>
      </c>
      <c r="G82" s="69" t="n">
        <v>152</v>
      </c>
      <c r="H82" s="69" t="n">
        <v>0</v>
      </c>
      <c r="I82" s="69">
        <f>(1.20*N82+Q82+S82+X82+Z82+AA82+AM82)/(1-O82-$I$8-$I$4-(1-J82)*$I$3-$I$11-AB82-AD82)</f>
        <v/>
      </c>
      <c r="J82" s="15" t="n">
        <v>0.45</v>
      </c>
      <c r="K82" s="16">
        <f>I82*(1-J82)</f>
        <v/>
      </c>
      <c r="L82" s="70" t="n">
        <v>899.78</v>
      </c>
      <c r="M82" s="71">
        <f>$I$5</f>
        <v/>
      </c>
      <c r="N82" s="19">
        <f>L82+M82</f>
        <v/>
      </c>
      <c r="O82" s="20" t="n">
        <v>0.47</v>
      </c>
      <c r="P82" s="72">
        <f>I82*O82</f>
        <v/>
      </c>
      <c r="Q82" s="73" t="n">
        <v>63</v>
      </c>
      <c r="R82" s="72">
        <f>I82*$I$8</f>
        <v/>
      </c>
      <c r="S82" s="73" t="n">
        <v>25</v>
      </c>
      <c r="T82" s="72">
        <f>I82*$I$4</f>
        <v/>
      </c>
      <c r="U82" s="72">
        <f>K82*$I$3</f>
        <v/>
      </c>
      <c r="V82" s="74" t="n">
        <v>0.9</v>
      </c>
      <c r="W82" s="73" t="n">
        <v>63</v>
      </c>
      <c r="X82" s="72">
        <f>W82*(1-V82)</f>
        <v/>
      </c>
      <c r="Y82" s="75" t="n">
        <v>0.3</v>
      </c>
      <c r="Z82" s="72">
        <f>$I$6*$I$7*Y82</f>
        <v/>
      </c>
      <c r="AA82" s="19">
        <f>Y82*($I$9+$I$10)</f>
        <v/>
      </c>
      <c r="AB82" s="20" t="n">
        <v>0.025</v>
      </c>
      <c r="AC82" s="72">
        <f>I82*AB82</f>
        <v/>
      </c>
      <c r="AD82" s="74" t="n">
        <v>0.025</v>
      </c>
      <c r="AE82" s="72">
        <f>I82*AD82</f>
        <v/>
      </c>
      <c r="AF82" s="72">
        <f>AC82+AE82</f>
        <v/>
      </c>
      <c r="AG82" s="25">
        <f>AF82/I82</f>
        <v/>
      </c>
      <c r="AH82" s="26">
        <f>I82-P82-Q82-R82-S82-T82-U82-X82-Z82-AA82-N82-AM82-AN82</f>
        <v/>
      </c>
      <c r="AI82" s="76">
        <f>AH82-AF82</f>
        <v/>
      </c>
      <c r="AJ82" s="77">
        <f>AI82/I82</f>
        <v/>
      </c>
      <c r="AK82" s="78">
        <f>AI82/N82</f>
        <v/>
      </c>
      <c r="AL82" s="72">
        <f>(Q82+S82+X82+Z82+AA82+N82+AM82)/(1-(O82+$I$4+(1-J82)*$I$3+$I$8+$I$11+AB82+AD82))</f>
        <v/>
      </c>
      <c r="AM82" s="72">
        <f>$I$12</f>
        <v/>
      </c>
      <c r="AN82" s="72">
        <f>I82*$I$11</f>
        <v/>
      </c>
    </row>
    <row r="83" ht="29" customHeight="1">
      <c r="A83" s="66" t="inlineStr">
        <is>
          <t>MANYO - Galac Whitening Vita Serum [50ml] / Осветляющая сыворотка с Витамином C</t>
        </is>
      </c>
      <c r="B83" s="96" t="n"/>
      <c r="C83" s="67" t="n"/>
      <c r="D83" s="68" t="inlineStr">
        <is>
          <t>-</t>
        </is>
      </c>
      <c r="E83" s="92" t="n">
        <v>854</v>
      </c>
      <c r="F83" s="69" t="n">
        <v>4000</v>
      </c>
      <c r="G83" s="69" t="n">
        <v>163</v>
      </c>
      <c r="H83" s="69" t="n">
        <v>0</v>
      </c>
      <c r="I83" s="69">
        <f>(1.20*N83+Q83+S83+X83+Z83+AA83+AM83)/(1-O83-$I$8-$I$4-(1-J83)*$I$3-$I$11-AB83-AD83)</f>
        <v/>
      </c>
      <c r="J83" s="15" t="n">
        <v>0.45</v>
      </c>
      <c r="K83" s="16">
        <f>I83*(1-J83)</f>
        <v/>
      </c>
      <c r="L83" s="70" t="n">
        <v>646.83</v>
      </c>
      <c r="M83" s="71">
        <f>$I$5</f>
        <v/>
      </c>
      <c r="N83" s="19">
        <f>L83+M83</f>
        <v/>
      </c>
      <c r="O83" s="20" t="n">
        <v>0.47</v>
      </c>
      <c r="P83" s="72">
        <f>I83*O83</f>
        <v/>
      </c>
      <c r="Q83" s="73" t="n">
        <v>56</v>
      </c>
      <c r="R83" s="72">
        <f>I83*$I$8</f>
        <v/>
      </c>
      <c r="S83" s="73" t="n">
        <v>25</v>
      </c>
      <c r="T83" s="72">
        <f>I83*$I$4</f>
        <v/>
      </c>
      <c r="U83" s="72">
        <f>K83*$I$3</f>
        <v/>
      </c>
      <c r="V83" s="74" t="n">
        <v>0.9</v>
      </c>
      <c r="W83" s="73" t="n">
        <v>56</v>
      </c>
      <c r="X83" s="72">
        <f>W83*(1-V83)</f>
        <v/>
      </c>
      <c r="Y83" s="75" t="n">
        <v>0.19</v>
      </c>
      <c r="Z83" s="72">
        <f>$I$6*$I$7*Y83</f>
        <v/>
      </c>
      <c r="AA83" s="19">
        <f>Y83*($I$9+$I$10)</f>
        <v/>
      </c>
      <c r="AB83" s="20" t="n">
        <v>0.025</v>
      </c>
      <c r="AC83" s="72">
        <f>I83*AB83</f>
        <v/>
      </c>
      <c r="AD83" s="74" t="n">
        <v>0.025</v>
      </c>
      <c r="AE83" s="72">
        <f>I83*AD83</f>
        <v/>
      </c>
      <c r="AF83" s="72">
        <f>AC83+AE83</f>
        <v/>
      </c>
      <c r="AG83" s="25">
        <f>AF83/I83</f>
        <v/>
      </c>
      <c r="AH83" s="26">
        <f>I83-P83-Q83-R83-S83-T83-U83-X83-Z83-AA83-N83-AM83-AN83</f>
        <v/>
      </c>
      <c r="AI83" s="76">
        <f>AH83-AF83</f>
        <v/>
      </c>
      <c r="AJ83" s="77">
        <f>AI83/I83</f>
        <v/>
      </c>
      <c r="AK83" s="78">
        <f>AI83/N83</f>
        <v/>
      </c>
      <c r="AL83" s="72">
        <f>(Q83+S83+X83+Z83+AA83+N83+AM83)/(1-(O83+$I$4+(1-J83)*$I$3+$I$8+$I$11+AB83+AD83))</f>
        <v/>
      </c>
      <c r="AM83" s="72">
        <f>$I$12</f>
        <v/>
      </c>
      <c r="AN83" s="72">
        <f>I83*$I$11</f>
        <v/>
      </c>
    </row>
    <row r="84" ht="29" customHeight="1">
      <c r="A84" s="66" t="inlineStr">
        <is>
          <t>MANYO - Bifida Biome Ampoule Lotion [300ml] / Укрепляющий лосьон с бифидобактериями</t>
        </is>
      </c>
      <c r="B84" s="96" t="n"/>
      <c r="C84" s="67" t="n"/>
      <c r="D84" s="68" t="inlineStr">
        <is>
          <t>нет у официала</t>
        </is>
      </c>
      <c r="E84" s="92" t="n">
        <v>756</v>
      </c>
      <c r="F84" s="69" t="n">
        <v>4000</v>
      </c>
      <c r="G84" s="69" t="n">
        <v>140</v>
      </c>
      <c r="H84" s="69" t="n">
        <v>0</v>
      </c>
      <c r="I84" s="69">
        <f>(1.20*N84+Q84+S84+X84+Z84+AA84+AM84)/(1-O84-$I$8-$I$4-(1-J84)*$I$3-$I$11-AB84-AD84)</f>
        <v/>
      </c>
      <c r="J84" s="15" t="n">
        <v>0.45</v>
      </c>
      <c r="K84" s="16">
        <f>I84*(1-J84)</f>
        <v/>
      </c>
      <c r="L84" s="70" t="n">
        <v>735.34</v>
      </c>
      <c r="M84" s="71">
        <f>$I$5</f>
        <v/>
      </c>
      <c r="N84" s="19">
        <f>L84+M84</f>
        <v/>
      </c>
      <c r="O84" s="20" t="n">
        <v>0.47</v>
      </c>
      <c r="P84" s="72">
        <f>I84*O84</f>
        <v/>
      </c>
      <c r="Q84" s="73" t="n">
        <v>67</v>
      </c>
      <c r="R84" s="72">
        <f>I84*$I$8</f>
        <v/>
      </c>
      <c r="S84" s="73" t="n">
        <v>25</v>
      </c>
      <c r="T84" s="72">
        <f>I84*$I$4</f>
        <v/>
      </c>
      <c r="U84" s="72">
        <f>K84*$I$3</f>
        <v/>
      </c>
      <c r="V84" s="74" t="n">
        <v>0.9</v>
      </c>
      <c r="W84" s="73" t="n">
        <v>67</v>
      </c>
      <c r="X84" s="72">
        <f>W84*(1-V84)</f>
        <v/>
      </c>
      <c r="Y84" s="75" t="n">
        <v>0.61</v>
      </c>
      <c r="Z84" s="72">
        <f>$I$6*$I$7*Y84</f>
        <v/>
      </c>
      <c r="AA84" s="19">
        <f>Y84*($I$9+$I$10)</f>
        <v/>
      </c>
      <c r="AB84" s="20" t="n">
        <v>0.025</v>
      </c>
      <c r="AC84" s="72">
        <f>I84*AB84</f>
        <v/>
      </c>
      <c r="AD84" s="74" t="n">
        <v>0.025</v>
      </c>
      <c r="AE84" s="72">
        <f>I84*AD84</f>
        <v/>
      </c>
      <c r="AF84" s="72">
        <f>AC84+AE84</f>
        <v/>
      </c>
      <c r="AG84" s="25">
        <f>AF84/I84</f>
        <v/>
      </c>
      <c r="AH84" s="26">
        <f>I84-P84-Q84-R84-S84-T84-U84-X84-Z84-AA84-N84-AM84-AN84</f>
        <v/>
      </c>
      <c r="AI84" s="76">
        <f>AH84-AF84</f>
        <v/>
      </c>
      <c r="AJ84" s="77">
        <f>AI84/I84</f>
        <v/>
      </c>
      <c r="AK84" s="78">
        <f>AI84/N84</f>
        <v/>
      </c>
      <c r="AL84" s="72">
        <f>(Q84+S84+X84+Z84+AA84+N84+AM84)/(1-(O84+$I$4+(1-J84)*$I$3+$I$8+$I$11+AB84+AD84))</f>
        <v/>
      </c>
      <c r="AM84" s="72">
        <f>$I$12</f>
        <v/>
      </c>
      <c r="AN84" s="72">
        <f>I84*$I$11</f>
        <v/>
      </c>
    </row>
    <row r="85" ht="29" customHeight="1">
      <c r="A85" s="66" t="inlineStr">
        <is>
          <t>MANYO - Pure Cleansing Oil [200ml] / Гидрофильное масло для глубокого очищения</t>
        </is>
      </c>
      <c r="B85" s="96" t="n"/>
      <c r="C85" s="67" t="n"/>
      <c r="D85" s="68" t="inlineStr">
        <is>
          <t>-</t>
        </is>
      </c>
      <c r="E85" s="92" t="n">
        <v>243</v>
      </c>
      <c r="F85" s="69" t="n">
        <v>4000</v>
      </c>
      <c r="G85" s="69" t="n">
        <v>60</v>
      </c>
      <c r="H85" s="69" t="n">
        <v>0</v>
      </c>
      <c r="I85" s="69">
        <f>(1.20*N85+Q85+S85+X85+Z85+AA85+AM85)/(1-O85-$I$8-$I$4-(1-J85)*$I$3-$I$11-AB85-AD85)</f>
        <v/>
      </c>
      <c r="J85" s="15" t="n">
        <v>0.45</v>
      </c>
      <c r="K85" s="16">
        <f>I85*(1-J85)</f>
        <v/>
      </c>
      <c r="L85" s="70" t="n">
        <v>853</v>
      </c>
      <c r="M85" s="71">
        <f>$I$5</f>
        <v/>
      </c>
      <c r="N85" s="19">
        <f>L85+M85</f>
        <v/>
      </c>
      <c r="O85" s="20" t="n">
        <v>0.47</v>
      </c>
      <c r="P85" s="72">
        <f>I85*O85</f>
        <v/>
      </c>
      <c r="Q85" s="73" t="n">
        <v>67</v>
      </c>
      <c r="R85" s="72">
        <f>I85*$I$8</f>
        <v/>
      </c>
      <c r="S85" s="73" t="n">
        <v>25</v>
      </c>
      <c r="T85" s="72">
        <f>I85*$I$4</f>
        <v/>
      </c>
      <c r="U85" s="72">
        <f>K85*$I$3</f>
        <v/>
      </c>
      <c r="V85" s="74" t="n">
        <v>0.9</v>
      </c>
      <c r="W85" s="73" t="n">
        <v>67</v>
      </c>
      <c r="X85" s="72">
        <f>W85*(1-V85)</f>
        <v/>
      </c>
      <c r="Y85" s="75" t="n">
        <v>0.5</v>
      </c>
      <c r="Z85" s="72">
        <f>$I$6*$I$7*Y85</f>
        <v/>
      </c>
      <c r="AA85" s="19">
        <f>Y85*($I$9+$I$10)</f>
        <v/>
      </c>
      <c r="AB85" s="20" t="n">
        <v>0.025</v>
      </c>
      <c r="AC85" s="72">
        <f>I85*AB85</f>
        <v/>
      </c>
      <c r="AD85" s="74" t="n">
        <v>0.025</v>
      </c>
      <c r="AE85" s="72">
        <f>I85*AD85</f>
        <v/>
      </c>
      <c r="AF85" s="72">
        <f>AC85+AE85</f>
        <v/>
      </c>
      <c r="AG85" s="25">
        <f>AF85/I85</f>
        <v/>
      </c>
      <c r="AH85" s="26">
        <f>I85-P85-Q85-R85-S85-T85-U85-X85-Z85-AA85-N85-AM85-AN85</f>
        <v/>
      </c>
      <c r="AI85" s="76">
        <f>AH85-AF85</f>
        <v/>
      </c>
      <c r="AJ85" s="77">
        <f>AI85/I85</f>
        <v/>
      </c>
      <c r="AK85" s="78">
        <f>AI85/N85</f>
        <v/>
      </c>
      <c r="AL85" s="72">
        <f>(Q85+S85+X85+Z85+AA85+N85+AM85)/(1-(O85+$I$4+(1-J85)*$I$3+$I$8+$I$11+AB85+AD85))</f>
        <v/>
      </c>
      <c r="AM85" s="72">
        <f>$I$12</f>
        <v/>
      </c>
      <c r="AN85" s="72">
        <f>I85*$I$11</f>
        <v/>
      </c>
    </row>
    <row r="86" ht="29" customHeight="1">
      <c r="A86" s="66" t="inlineStr">
        <is>
          <t>MANYO BIFIDA COMPLEX AMPOULE GEL CLEANSER [400ml] / Гель для умывания с бифидобактериями</t>
        </is>
      </c>
      <c r="B86" s="96" t="n"/>
      <c r="C86" s="67" t="n"/>
      <c r="D86" s="68" t="inlineStr">
        <is>
          <t>-</t>
        </is>
      </c>
      <c r="E86" s="92" t="n">
        <v>814</v>
      </c>
      <c r="F86" s="69" t="n">
        <v>4800</v>
      </c>
      <c r="G86" s="69" t="n">
        <v>20</v>
      </c>
      <c r="H86" s="69" t="n">
        <v>0</v>
      </c>
      <c r="I86" s="69">
        <f>(1.20*N86+Q86+S86+X86+Z86+AA86+AM86)/(1-O86-$I$8-$I$4-(1-J86)*$I$3-$I$11-AB86-AD86)</f>
        <v/>
      </c>
      <c r="J86" s="15" t="n">
        <v>0.45</v>
      </c>
      <c r="K86" s="16">
        <f>I86*(1-J86)</f>
        <v/>
      </c>
      <c r="L86" s="70" t="n">
        <v>650</v>
      </c>
      <c r="M86" s="71">
        <f>$I$5</f>
        <v/>
      </c>
      <c r="N86" s="19">
        <f>L86+M86</f>
        <v/>
      </c>
      <c r="O86" s="20" t="n">
        <v>0.47</v>
      </c>
      <c r="P86" s="72">
        <f>I86*O86</f>
        <v/>
      </c>
      <c r="Q86" s="73" t="n">
        <v>75</v>
      </c>
      <c r="R86" s="72">
        <f>I86*$I$8</f>
        <v/>
      </c>
      <c r="S86" s="73" t="n">
        <v>25</v>
      </c>
      <c r="T86" s="72">
        <f>I86*$I$4</f>
        <v/>
      </c>
      <c r="U86" s="72">
        <f>K86*$I$3</f>
        <v/>
      </c>
      <c r="V86" s="74" t="n">
        <v>0.9</v>
      </c>
      <c r="W86" s="73" t="n">
        <v>75</v>
      </c>
      <c r="X86" s="72">
        <f>W86*(1-V86)</f>
        <v/>
      </c>
      <c r="Y86" s="75" t="n">
        <v>0.931</v>
      </c>
      <c r="Z86" s="72">
        <f>$I$6*$I$7*Y86</f>
        <v/>
      </c>
      <c r="AA86" s="19">
        <f>Y86*($I$9+$I$10)</f>
        <v/>
      </c>
      <c r="AB86" s="20" t="n">
        <v>0.025</v>
      </c>
      <c r="AC86" s="72">
        <f>I86*AB86</f>
        <v/>
      </c>
      <c r="AD86" s="74" t="n">
        <v>0.025</v>
      </c>
      <c r="AE86" s="72">
        <f>I86*AD86</f>
        <v/>
      </c>
      <c r="AF86" s="72">
        <f>AC86+AE86</f>
        <v/>
      </c>
      <c r="AG86" s="25">
        <f>AF86/I86</f>
        <v/>
      </c>
      <c r="AH86" s="26">
        <f>I86-P86-Q86-R86-S86-T86-U86-X86-Z86-AA86-N86-AM86-AN86</f>
        <v/>
      </c>
      <c r="AI86" s="76">
        <f>AH86-AF86</f>
        <v/>
      </c>
      <c r="AJ86" s="77">
        <f>AI86/I86</f>
        <v/>
      </c>
      <c r="AK86" s="78">
        <f>AI86/N86</f>
        <v/>
      </c>
      <c r="AL86" s="72">
        <f>(Q86+S86+X86+Z86+AA86+N86+AM86)/(1-(O86+$I$4+(1-J86)*$I$3+$I$8+$I$11+AB86+AD86))</f>
        <v/>
      </c>
      <c r="AM86" s="72">
        <f>$I$12</f>
        <v/>
      </c>
      <c r="AN86" s="72">
        <f>I86*$I$11</f>
        <v/>
      </c>
    </row>
    <row r="87" ht="29" customHeight="1">
      <c r="A87" s="66" t="inlineStr">
        <is>
          <t>MANYO BIFIDA INFUSION SHOT AMPOULE 1DX [50ml] / Сыворотка с микроиглами и пробиотиками</t>
        </is>
      </c>
      <c r="B87" s="96" t="n"/>
      <c r="C87" s="67" t="n"/>
      <c r="D87" s="68" t="n"/>
      <c r="E87" s="92" t="n">
        <v>786</v>
      </c>
      <c r="F87" s="69" t="n">
        <v>3800</v>
      </c>
      <c r="G87" s="69" t="n">
        <v>370</v>
      </c>
      <c r="H87" s="69" t="n">
        <v>0</v>
      </c>
      <c r="I87" s="69">
        <f>(1.20*N87+Q87+S87+X87+Z87+AA87+AM87)/(1-O87-$I$8-$I$4-(1-J87)*$I$3-$I$11-AB87-AD87)</f>
        <v/>
      </c>
      <c r="J87" s="15" t="n">
        <v>0.45</v>
      </c>
      <c r="K87" s="16">
        <f>I87*(1-J87)</f>
        <v/>
      </c>
      <c r="L87" s="70" t="n">
        <v>899.78</v>
      </c>
      <c r="M87" s="71">
        <f>$I$5</f>
        <v/>
      </c>
      <c r="N87" s="19">
        <f>L87+M87</f>
        <v/>
      </c>
      <c r="O87" s="20" t="n">
        <v>0.47</v>
      </c>
      <c r="P87" s="72">
        <f>I87*O87</f>
        <v/>
      </c>
      <c r="Q87" s="73" t="n">
        <v>63</v>
      </c>
      <c r="R87" s="72">
        <f>I87*$I$8</f>
        <v/>
      </c>
      <c r="S87" s="73" t="n">
        <v>25</v>
      </c>
      <c r="T87" s="72">
        <f>I87*$I$4</f>
        <v/>
      </c>
      <c r="U87" s="72">
        <f>K87*$I$3</f>
        <v/>
      </c>
      <c r="V87" s="74" t="n">
        <v>0.9</v>
      </c>
      <c r="W87" s="73" t="n">
        <v>63</v>
      </c>
      <c r="X87" s="72">
        <f>W87*(1-V87)</f>
        <v/>
      </c>
      <c r="Y87" s="75" t="n">
        <v>0.3</v>
      </c>
      <c r="Z87" s="72">
        <f>$I$6*$I$7*Y87</f>
        <v/>
      </c>
      <c r="AA87" s="19">
        <f>Y87*($I$9+$I$10)</f>
        <v/>
      </c>
      <c r="AB87" s="20" t="n">
        <v>0.025</v>
      </c>
      <c r="AC87" s="72">
        <f>I87*AB87</f>
        <v/>
      </c>
      <c r="AD87" s="74" t="n">
        <v>0.025</v>
      </c>
      <c r="AE87" s="72">
        <f>I87*AD87</f>
        <v/>
      </c>
      <c r="AF87" s="72">
        <f>AC87+AE87</f>
        <v/>
      </c>
      <c r="AG87" s="25">
        <f>AF87/I87</f>
        <v/>
      </c>
      <c r="AH87" s="26">
        <f>I87-P87-Q87-R87-S87-T87-U87-X87-Z87-AA87-N87-AM87-AN87</f>
        <v/>
      </c>
      <c r="AI87" s="76">
        <f>AH87-AF87</f>
        <v/>
      </c>
      <c r="AJ87" s="77">
        <f>AI87/I87</f>
        <v/>
      </c>
      <c r="AK87" s="78">
        <f>AI87/N87</f>
        <v/>
      </c>
      <c r="AL87" s="72">
        <f>(Q87+S87+X87+Z87+AA87+N87+AM87)/(1-(O87+$I$4+(1-J87)*$I$3+$I$8+$I$11+AB87+AD87))</f>
        <v/>
      </c>
      <c r="AM87" s="72">
        <f>$I$12</f>
        <v/>
      </c>
      <c r="AN87" s="72">
        <f>I87*$I$11</f>
        <v/>
      </c>
    </row>
    <row r="88">
      <c r="A88" s="64" t="inlineStr">
        <is>
          <t>Косметика/MASIL</t>
        </is>
      </c>
      <c r="B88" s="95" t="n"/>
      <c r="C88" s="65" t="n"/>
      <c r="D88" s="65" t="n"/>
      <c r="F88" s="65" t="n"/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5" t="n"/>
      <c r="X88" s="65" t="n"/>
      <c r="Y88" s="65" t="n"/>
      <c r="Z88" s="65" t="n"/>
      <c r="AA88" s="65" t="n"/>
      <c r="AB88" s="65" t="n"/>
      <c r="AC88" s="65" t="n"/>
      <c r="AD88" s="65" t="n"/>
      <c r="AE88" s="65" t="n"/>
      <c r="AF88" s="65" t="n"/>
      <c r="AG88" s="65" t="n"/>
      <c r="AH88" s="65" t="n"/>
      <c r="AI88" s="65" t="n"/>
      <c r="AJ88" s="65" t="n"/>
      <c r="AK88" s="65" t="n"/>
      <c r="AL88" s="65" t="n"/>
      <c r="AM88" s="65" t="n"/>
      <c r="AN88" s="65" t="n"/>
    </row>
    <row r="89">
      <c r="A89" s="79" t="inlineStr">
        <is>
          <t>MASIL - 8 Seconds Salon Hair Mask 350ml Set [350ml+8ml*2]</t>
        </is>
      </c>
      <c r="B89" s="97" t="inlineStr">
        <is>
          <t>ФБС</t>
        </is>
      </c>
      <c r="C89" s="80" t="n"/>
      <c r="D89" s="80" t="n"/>
      <c r="E89" s="92" t="n">
        <v>119</v>
      </c>
      <c r="F89" s="81" t="n"/>
      <c r="G89" s="81" t="n"/>
      <c r="H89" s="81" t="n"/>
      <c r="I89" s="81" t="n"/>
      <c r="J89" s="32" t="n"/>
      <c r="K89" s="33" t="n"/>
      <c r="L89" s="82" t="n"/>
      <c r="M89" s="82" t="n"/>
      <c r="N89" s="35" t="n"/>
      <c r="O89" s="36" t="n"/>
      <c r="P89" s="81" t="n"/>
      <c r="Q89" s="81" t="n"/>
      <c r="R89" s="81" t="n"/>
      <c r="S89" s="81" t="n"/>
      <c r="T89" s="81" t="n"/>
      <c r="U89" s="81" t="n"/>
      <c r="V89" s="83" t="n"/>
      <c r="W89" s="81" t="n"/>
      <c r="X89" s="81" t="n"/>
      <c r="Y89" s="84" t="n"/>
      <c r="Z89" s="81" t="n"/>
      <c r="AA89" s="35" t="n"/>
      <c r="AB89" s="36" t="n"/>
      <c r="AC89" s="81" t="n"/>
      <c r="AD89" s="83" t="n"/>
      <c r="AE89" s="81" t="n"/>
      <c r="AF89" s="81" t="n"/>
      <c r="AG89" s="39" t="n"/>
      <c r="AH89" s="40" t="n"/>
      <c r="AI89" s="81" t="n"/>
      <c r="AJ89" s="83" t="n"/>
      <c r="AK89" s="83" t="n"/>
      <c r="AL89" s="81" t="n"/>
      <c r="AM89" s="81" t="n"/>
      <c r="AN89" s="81" t="n"/>
    </row>
    <row r="90">
      <c r="A90" s="64" t="inlineStr">
        <is>
          <t>Косметика/PETITFEE/PETITFEE-EYEPATCH</t>
        </is>
      </c>
      <c r="B90" s="95" t="n"/>
      <c r="C90" s="65" t="n"/>
      <c r="D90" s="65" t="n"/>
      <c r="F90" s="65" t="n"/>
      <c r="G90" s="65" t="n"/>
      <c r="H90" s="65" t="n"/>
      <c r="I90" s="65" t="n"/>
      <c r="J90" s="65" t="n"/>
      <c r="K90" s="65" t="n"/>
      <c r="L90" s="6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5" t="n"/>
      <c r="X90" s="65" t="n"/>
      <c r="Y90" s="65" t="n"/>
      <c r="Z90" s="65" t="n"/>
      <c r="AA90" s="65" t="n"/>
      <c r="AB90" s="65" t="n"/>
      <c r="AC90" s="65" t="n"/>
      <c r="AD90" s="65" t="n"/>
      <c r="AE90" s="65" t="n"/>
      <c r="AF90" s="65" t="n"/>
      <c r="AG90" s="65" t="n"/>
      <c r="AH90" s="65" t="n"/>
      <c r="AI90" s="65" t="n"/>
      <c r="AJ90" s="65" t="n"/>
      <c r="AK90" s="65" t="n"/>
      <c r="AL90" s="65" t="n"/>
      <c r="AM90" s="65" t="n"/>
      <c r="AN90" s="65" t="n"/>
    </row>
    <row r="91" ht="29" customHeight="1">
      <c r="A91" s="66" t="inlineStr">
        <is>
          <t>PETITFEE - Collagen &amp; CoQ10 Hydrogel Eye Patch [60ea] / Гидрогелевые патчи для глаз с коллагеном и коэнзимом Q10</t>
        </is>
      </c>
      <c r="B91" s="96" t="n"/>
      <c r="C91" s="67" t="n"/>
      <c r="D91" s="68" t="n"/>
      <c r="E91" s="100" t="n">
        <v>1008</v>
      </c>
      <c r="F91" s="69" t="n">
        <v>1818</v>
      </c>
      <c r="G91" s="69" t="n">
        <v>734</v>
      </c>
      <c r="H91" s="69" t="n">
        <v>16</v>
      </c>
      <c r="I91" s="69">
        <f>(1.20*N91+Q91+S91+X91+Z91+AA91+AM91)/(1-O91-$I$8-$I$4-(1-J91)*$I$3-$I$11-AB91-AD91)</f>
        <v/>
      </c>
      <c r="J91" s="15" t="n">
        <v>0.45</v>
      </c>
      <c r="K91" s="16">
        <f>I91*(1-J91)</f>
        <v/>
      </c>
      <c r="L91" s="70" t="n">
        <v>385.05</v>
      </c>
      <c r="M91" s="71">
        <f>$I$5</f>
        <v/>
      </c>
      <c r="N91" s="19">
        <f>L91+M91</f>
        <v/>
      </c>
      <c r="O91" s="20" t="n">
        <v>0.47</v>
      </c>
      <c r="P91" s="72">
        <f>I91*O91</f>
        <v/>
      </c>
      <c r="Q91" s="73" t="n">
        <v>67</v>
      </c>
      <c r="R91" s="72">
        <f>I91*$I$8</f>
        <v/>
      </c>
      <c r="S91" s="73" t="n">
        <v>25</v>
      </c>
      <c r="T91" s="72">
        <f>I91*$I$4</f>
        <v/>
      </c>
      <c r="U91" s="72">
        <f>K91*$I$3</f>
        <v/>
      </c>
      <c r="V91" s="74" t="n">
        <v>0.9</v>
      </c>
      <c r="W91" s="73" t="n">
        <v>67</v>
      </c>
      <c r="X91" s="72">
        <f>W91*(1-V91)</f>
        <v/>
      </c>
      <c r="Y91" s="75" t="n">
        <v>0.6</v>
      </c>
      <c r="Z91" s="72">
        <f>$I$6*$I$7*Y91</f>
        <v/>
      </c>
      <c r="AA91" s="19">
        <f>Y91*($I$9+$I$10)</f>
        <v/>
      </c>
      <c r="AB91" s="20" t="n">
        <v>0.07000000000000001</v>
      </c>
      <c r="AC91" s="72">
        <f>I91*AB91</f>
        <v/>
      </c>
      <c r="AD91" s="74" t="n">
        <v>0.08</v>
      </c>
      <c r="AE91" s="72">
        <f>I91*AD91</f>
        <v/>
      </c>
      <c r="AF91" s="72">
        <f>AC91+AE91</f>
        <v/>
      </c>
      <c r="AG91" s="25">
        <f>AF91/I91</f>
        <v/>
      </c>
      <c r="AH91" s="26">
        <f>I91-P91-Q91-R91-S91-T91-U91-X91-Z91-AA91-N91-AM91-AN91</f>
        <v/>
      </c>
      <c r="AI91" s="76">
        <f>AH91-AF91</f>
        <v/>
      </c>
      <c r="AJ91" s="77">
        <f>AI91/I91</f>
        <v/>
      </c>
      <c r="AK91" s="78">
        <f>AI91/N91</f>
        <v/>
      </c>
      <c r="AL91" s="72">
        <f>(Q91+S91+X91+Z91+AA91+N91+AM91)/(1-(O91+$I$4+(1-J91)*$I$3+$I$8+$I$11+AB91+AD91))</f>
        <v/>
      </c>
      <c r="AM91" s="72">
        <f>$I$12</f>
        <v/>
      </c>
      <c r="AN91" s="72">
        <f>I91*$I$11</f>
        <v/>
      </c>
    </row>
    <row r="92" ht="29" customHeight="1">
      <c r="A92" s="66" t="inlineStr">
        <is>
          <t>PETITFEE - Bera Glucan Deep Firming Eye Patch [60ea] / Тканевые патчи для век увлажняющие</t>
        </is>
      </c>
      <c r="B92" s="96" t="n"/>
      <c r="C92" s="67" t="n"/>
      <c r="D92" s="68" t="n"/>
      <c r="E92" s="92" t="n">
        <v>587</v>
      </c>
      <c r="F92" s="69" t="n"/>
      <c r="G92" s="69" t="n"/>
      <c r="H92" s="69" t="n"/>
      <c r="I92" s="69">
        <f>(1.20*N92+Q92+S92+X92+Z92+AA92+AM92)/(1-O92-$I$8-$I$4-(1-J92)*$I$3-$I$11-AB92-AD92)</f>
        <v/>
      </c>
      <c r="J92" s="15" t="n">
        <v>0.45</v>
      </c>
      <c r="K92" s="16">
        <f>I92*(1-J92)</f>
        <v/>
      </c>
      <c r="L92" s="70" t="n">
        <v>486.69</v>
      </c>
      <c r="M92" s="71">
        <f>$I$5</f>
        <v/>
      </c>
      <c r="N92" s="19">
        <f>L92+M92</f>
        <v/>
      </c>
      <c r="O92" s="20" t="n">
        <v>0.47</v>
      </c>
      <c r="P92" s="72">
        <f>I92*O92</f>
        <v/>
      </c>
      <c r="Q92" s="73" t="n">
        <v>67</v>
      </c>
      <c r="R92" s="72">
        <f>I92*$I$8</f>
        <v/>
      </c>
      <c r="S92" s="73" t="n">
        <v>25</v>
      </c>
      <c r="T92" s="72">
        <f>I92*$I$4</f>
        <v/>
      </c>
      <c r="U92" s="72">
        <f>K92*$I$3</f>
        <v/>
      </c>
      <c r="V92" s="74" t="n">
        <v>0.9</v>
      </c>
      <c r="W92" s="73" t="n">
        <v>67</v>
      </c>
      <c r="X92" s="72">
        <f>W92*(1-V92)</f>
        <v/>
      </c>
      <c r="Y92" s="75" t="n">
        <v>0.93</v>
      </c>
      <c r="Z92" s="72">
        <f>$I$6*$I$7*Y92</f>
        <v/>
      </c>
      <c r="AA92" s="19">
        <f>Y92*($I$9+$I$10)</f>
        <v/>
      </c>
      <c r="AB92" s="20" t="n">
        <v>0.07000000000000001</v>
      </c>
      <c r="AC92" s="72">
        <f>I92*AB92</f>
        <v/>
      </c>
      <c r="AD92" s="74" t="n">
        <v>0.08</v>
      </c>
      <c r="AE92" s="72">
        <f>I92*AD92</f>
        <v/>
      </c>
      <c r="AF92" s="72">
        <f>AC92+AE92</f>
        <v/>
      </c>
      <c r="AG92" s="25">
        <f>AF92/I92</f>
        <v/>
      </c>
      <c r="AH92" s="26">
        <f>I92-P92-Q92-R92-S92-T92-U92-X92-Z92-AA92-N92-AM92-AN92</f>
        <v/>
      </c>
      <c r="AI92" s="76">
        <f>AH92-AF92</f>
        <v/>
      </c>
      <c r="AJ92" s="77">
        <f>AI92/I92</f>
        <v/>
      </c>
      <c r="AK92" s="78">
        <f>AI92/N92</f>
        <v/>
      </c>
      <c r="AL92" s="72">
        <f>(Q92+S92+X92+Z92+AA92+N92+AM92)/(1-(O92+$I$4+(1-J92)*$I$3+$I$8+$I$11+AB92+AD92))</f>
        <v/>
      </c>
      <c r="AM92" s="72">
        <f>$I$12</f>
        <v/>
      </c>
      <c r="AN92" s="72">
        <f>I92*$I$11</f>
        <v/>
      </c>
    </row>
    <row r="93" ht="29" customHeight="1">
      <c r="A93" s="66" t="inlineStr">
        <is>
          <t>PETITFEE - Artichoke Soothing Hydrogel Eye Patch [60ea] / Смягчающие гидрогелевые патчи для глаз с экстрактом артишока</t>
        </is>
      </c>
      <c r="B93" s="96" t="n"/>
      <c r="C93" s="67" t="n"/>
      <c r="D93" s="68" t="n"/>
      <c r="E93" s="92" t="n">
        <v>300</v>
      </c>
      <c r="F93" s="69" t="n"/>
      <c r="G93" s="69" t="n"/>
      <c r="H93" s="69" t="n"/>
      <c r="I93" s="69">
        <f>(1.20*N93+Q93+S93+X93+Z93+AA93+AM93)/(1-O93-$I$8-$I$4-(1-J93)*$I$3-$I$11-AB93-AD93)</f>
        <v/>
      </c>
      <c r="J93" s="15" t="n">
        <v>0.45</v>
      </c>
      <c r="K93" s="16">
        <f>I93*(1-J93)</f>
        <v/>
      </c>
      <c r="L93" s="70" t="n">
        <v>415.46</v>
      </c>
      <c r="M93" s="71">
        <f>$I$5</f>
        <v/>
      </c>
      <c r="N93" s="19">
        <f>L93+M93</f>
        <v/>
      </c>
      <c r="O93" s="20" t="n">
        <v>0.47</v>
      </c>
      <c r="P93" s="72">
        <f>I93*O93</f>
        <v/>
      </c>
      <c r="Q93" s="73" t="n">
        <v>67</v>
      </c>
      <c r="R93" s="72">
        <f>I93*$I$8</f>
        <v/>
      </c>
      <c r="S93" s="73" t="n">
        <v>25</v>
      </c>
      <c r="T93" s="72">
        <f>I93*$I$4</f>
        <v/>
      </c>
      <c r="U93" s="72">
        <f>K93*$I$3</f>
        <v/>
      </c>
      <c r="V93" s="74" t="n">
        <v>0.9</v>
      </c>
      <c r="W93" s="73" t="n">
        <v>67</v>
      </c>
      <c r="X93" s="72">
        <f>W93*(1-V93)</f>
        <v/>
      </c>
      <c r="Y93" s="75" t="n">
        <v>0.6</v>
      </c>
      <c r="Z93" s="72">
        <f>$I$6*$I$7*Y93</f>
        <v/>
      </c>
      <c r="AA93" s="19">
        <f>Y93*($I$9+$I$10)</f>
        <v/>
      </c>
      <c r="AB93" s="20" t="n">
        <v>0.07000000000000001</v>
      </c>
      <c r="AC93" s="72">
        <f>I93*AB93</f>
        <v/>
      </c>
      <c r="AD93" s="74" t="n">
        <v>0.08</v>
      </c>
      <c r="AE93" s="72">
        <f>I93*AD93</f>
        <v/>
      </c>
      <c r="AF93" s="72">
        <f>AC93+AE93</f>
        <v/>
      </c>
      <c r="AG93" s="25">
        <f>AF93/I93</f>
        <v/>
      </c>
      <c r="AH93" s="26">
        <f>I93-P93-Q93-R93-S93-T93-U93-X93-Z93-AA93-N93-AM93-AN93</f>
        <v/>
      </c>
      <c r="AI93" s="76">
        <f>AH93-AF93</f>
        <v/>
      </c>
      <c r="AJ93" s="77">
        <f>AI93/I93</f>
        <v/>
      </c>
      <c r="AK93" s="78">
        <f>AI93/N93</f>
        <v/>
      </c>
      <c r="AL93" s="72">
        <f>(Q93+S93+X93+Z93+AA93+N93+AM93)/(1-(O93+$I$4+(1-J93)*$I$3+$I$8+$I$11+AB93+AD93))</f>
        <v/>
      </c>
      <c r="AM93" s="72">
        <f>$I$12</f>
        <v/>
      </c>
      <c r="AN93" s="72">
        <f>I93*$I$11</f>
        <v/>
      </c>
    </row>
    <row r="94">
      <c r="A94" s="66" t="inlineStr">
        <is>
          <t>PETITFEE - Aura Quartz Hydrogel Eye Patch [60ea]</t>
        </is>
      </c>
      <c r="B94" s="96" t="n"/>
      <c r="C94" s="67" t="n"/>
      <c r="D94" s="68" t="n"/>
      <c r="E94" s="92" t="n">
        <v>95</v>
      </c>
      <c r="F94" s="69" t="n"/>
      <c r="G94" s="69" t="n"/>
      <c r="H94" s="69" t="n"/>
      <c r="I94" s="69">
        <f>(1.20*N94+Q94+S94+X94+Z94+AA94+AM94)/(1-O94-$I$8-$I$4-(1-J94)*$I$3-$I$11-AB94-AD94)</f>
        <v/>
      </c>
      <c r="J94" s="15" t="n">
        <v>0.45</v>
      </c>
      <c r="K94" s="16">
        <f>I94*(1-J94)</f>
        <v/>
      </c>
      <c r="L94" s="70" t="n">
        <v>591.29</v>
      </c>
      <c r="M94" s="71">
        <f>$I$5</f>
        <v/>
      </c>
      <c r="N94" s="19">
        <f>L94+M94</f>
        <v/>
      </c>
      <c r="O94" s="20" t="n">
        <v>0.47</v>
      </c>
      <c r="P94" s="72">
        <f>I94*O94</f>
        <v/>
      </c>
      <c r="Q94" s="73" t="n">
        <v>67</v>
      </c>
      <c r="R94" s="72">
        <f>I94*$I$8</f>
        <v/>
      </c>
      <c r="S94" s="73" t="n">
        <v>25</v>
      </c>
      <c r="T94" s="72">
        <f>I94*$I$4</f>
        <v/>
      </c>
      <c r="U94" s="72">
        <f>K94*$I$3</f>
        <v/>
      </c>
      <c r="V94" s="74" t="n">
        <v>0.9</v>
      </c>
      <c r="W94" s="73" t="n">
        <v>67</v>
      </c>
      <c r="X94" s="72">
        <f>W94*(1-V94)</f>
        <v/>
      </c>
      <c r="Y94" s="75" t="n">
        <v>0.93</v>
      </c>
      <c r="Z94" s="72">
        <f>$I$6*$I$7*Y94</f>
        <v/>
      </c>
      <c r="AA94" s="19">
        <f>Y94*($I$9+$I$10)</f>
        <v/>
      </c>
      <c r="AB94" s="20" t="n">
        <v>0.07000000000000001</v>
      </c>
      <c r="AC94" s="72">
        <f>I94*AB94</f>
        <v/>
      </c>
      <c r="AD94" s="74" t="n">
        <v>0.08</v>
      </c>
      <c r="AE94" s="72">
        <f>I94*AD94</f>
        <v/>
      </c>
      <c r="AF94" s="72">
        <f>AC94+AE94</f>
        <v/>
      </c>
      <c r="AG94" s="25">
        <f>AF94/I94</f>
        <v/>
      </c>
      <c r="AH94" s="26">
        <f>I94-P94-Q94-R94-S94-T94-U94-X94-Z94-AA94-N94-AM94-AN94</f>
        <v/>
      </c>
      <c r="AI94" s="76">
        <f>AH94-AF94</f>
        <v/>
      </c>
      <c r="AJ94" s="77">
        <f>AI94/I94</f>
        <v/>
      </c>
      <c r="AK94" s="78">
        <f>AI94/N94</f>
        <v/>
      </c>
      <c r="AL94" s="72">
        <f>(Q94+S94+X94+Z94+AA94+N94+AM94)/(1-(O94+$I$4+(1-J94)*$I$3+$I$8+$I$11+AB94+AD94))</f>
        <v/>
      </c>
      <c r="AM94" s="72">
        <f>$I$12</f>
        <v/>
      </c>
      <c r="AN94" s="72">
        <f>I94*$I$11</f>
        <v/>
      </c>
    </row>
    <row r="95" ht="29" customHeight="1">
      <c r="A95" s="66" t="inlineStr">
        <is>
          <t>PETITFEE - Cacao Energizing Hydrogel Eye Patch [60ea] / Тонизирующие гидрогелевые патчи для глаз с экстрактом какао</t>
        </is>
      </c>
      <c r="B95" s="96" t="n"/>
      <c r="C95" s="67" t="n"/>
      <c r="D95" s="68" t="n"/>
      <c r="E95" s="92" t="n">
        <v>713</v>
      </c>
      <c r="F95" s="69" t="n"/>
      <c r="G95" s="69" t="n"/>
      <c r="H95" s="69" t="n"/>
      <c r="I95" s="69">
        <f>(1.20*N95+Q95+S95+X95+Z95+AA95+AM95)/(1-O95-$I$8-$I$4-(1-J95)*$I$3-$I$11-AB95-AD95)</f>
        <v/>
      </c>
      <c r="J95" s="15" t="n">
        <v>0.45</v>
      </c>
      <c r="K95" s="16">
        <f>I95*(1-J95)</f>
        <v/>
      </c>
      <c r="L95" s="70" t="n">
        <v>415.46</v>
      </c>
      <c r="M95" s="71">
        <f>$I$5</f>
        <v/>
      </c>
      <c r="N95" s="19">
        <f>L95+M95</f>
        <v/>
      </c>
      <c r="O95" s="20" t="n">
        <v>0.47</v>
      </c>
      <c r="P95" s="72">
        <f>I95*O95</f>
        <v/>
      </c>
      <c r="Q95" s="73" t="n">
        <v>67</v>
      </c>
      <c r="R95" s="72">
        <f>I95*$I$8</f>
        <v/>
      </c>
      <c r="S95" s="73" t="n">
        <v>25</v>
      </c>
      <c r="T95" s="72">
        <f>I95*$I$4</f>
        <v/>
      </c>
      <c r="U95" s="72">
        <f>K95*$I$3</f>
        <v/>
      </c>
      <c r="V95" s="74" t="n">
        <v>0.9</v>
      </c>
      <c r="W95" s="73" t="n">
        <v>67</v>
      </c>
      <c r="X95" s="72">
        <f>W95*(1-V95)</f>
        <v/>
      </c>
      <c r="Y95" s="75" t="n">
        <v>0.6</v>
      </c>
      <c r="Z95" s="72">
        <f>$I$6*$I$7*Y95</f>
        <v/>
      </c>
      <c r="AA95" s="19">
        <f>Y95*($I$9+$I$10)</f>
        <v/>
      </c>
      <c r="AB95" s="20" t="n">
        <v>0.07000000000000001</v>
      </c>
      <c r="AC95" s="72">
        <f>I95*AB95</f>
        <v/>
      </c>
      <c r="AD95" s="74" t="n">
        <v>0.08</v>
      </c>
      <c r="AE95" s="72">
        <f>I95*AD95</f>
        <v/>
      </c>
      <c r="AF95" s="72">
        <f>AC95+AE95</f>
        <v/>
      </c>
      <c r="AG95" s="25">
        <f>AF95/I95</f>
        <v/>
      </c>
      <c r="AH95" s="26">
        <f>I95-P95-Q95-R95-S95-T95-U95-X95-Z95-AA95-N95-AM95-AN95</f>
        <v/>
      </c>
      <c r="AI95" s="76">
        <f>AH95-AF95</f>
        <v/>
      </c>
      <c r="AJ95" s="77">
        <f>AI95/I95</f>
        <v/>
      </c>
      <c r="AK95" s="78">
        <f>AI95/N95</f>
        <v/>
      </c>
      <c r="AL95" s="72">
        <f>(Q95+S95+X95+Z95+AA95+N95+AM95)/(1-(O95+$I$4+(1-J95)*$I$3+$I$8+$I$11+AB95+AD95))</f>
        <v/>
      </c>
      <c r="AM95" s="72">
        <f>$I$12</f>
        <v/>
      </c>
      <c r="AN95" s="72">
        <f>I95*$I$11</f>
        <v/>
      </c>
    </row>
    <row r="96" ht="29" customHeight="1">
      <c r="A96" s="66" t="inlineStr">
        <is>
          <t>PETITFEE - Chamomile Lightening Hydrogel Eye Patch [60ea] / Успокаивающие гидрогелевые патчи для глаз с экстрактом ромашки</t>
        </is>
      </c>
      <c r="B96" s="96" t="n"/>
      <c r="C96" s="67" t="n"/>
      <c r="D96" s="68" t="n"/>
      <c r="E96" s="92" t="n">
        <v>288</v>
      </c>
      <c r="F96" s="69" t="n"/>
      <c r="G96" s="69" t="n"/>
      <c r="H96" s="69" t="n"/>
      <c r="I96" s="69">
        <f>(1.20*N96+Q96+S96+X96+Z96+AA96+AM96)/(1-O96-$I$8-$I$4-(1-J96)*$I$3-$I$11-AB96-AD96)</f>
        <v/>
      </c>
      <c r="J96" s="15" t="n">
        <v>0.45</v>
      </c>
      <c r="K96" s="16">
        <f>I96*(1-J96)</f>
        <v/>
      </c>
      <c r="L96" s="70" t="n">
        <v>415.46</v>
      </c>
      <c r="M96" s="71">
        <f>$I$5</f>
        <v/>
      </c>
      <c r="N96" s="19">
        <f>L96+M96</f>
        <v/>
      </c>
      <c r="O96" s="20" t="n">
        <v>0.47</v>
      </c>
      <c r="P96" s="72">
        <f>I96*O96</f>
        <v/>
      </c>
      <c r="Q96" s="73" t="n">
        <v>67</v>
      </c>
      <c r="R96" s="72">
        <f>I96*$I$8</f>
        <v/>
      </c>
      <c r="S96" s="73" t="n">
        <v>25</v>
      </c>
      <c r="T96" s="72">
        <f>I96*$I$4</f>
        <v/>
      </c>
      <c r="U96" s="72">
        <f>K96*$I$3</f>
        <v/>
      </c>
      <c r="V96" s="74" t="n">
        <v>0.9</v>
      </c>
      <c r="W96" s="73" t="n">
        <v>67</v>
      </c>
      <c r="X96" s="72">
        <f>W96*(1-V96)</f>
        <v/>
      </c>
      <c r="Y96" s="75" t="n">
        <v>0.6</v>
      </c>
      <c r="Z96" s="72">
        <f>$I$6*$I$7*Y96</f>
        <v/>
      </c>
      <c r="AA96" s="19">
        <f>Y96*($I$9+$I$10)</f>
        <v/>
      </c>
      <c r="AB96" s="20" t="n">
        <v>0.07000000000000001</v>
      </c>
      <c r="AC96" s="72">
        <f>I96*AB96</f>
        <v/>
      </c>
      <c r="AD96" s="74" t="n">
        <v>0.08</v>
      </c>
      <c r="AE96" s="72">
        <f>I96*AD96</f>
        <v/>
      </c>
      <c r="AF96" s="72">
        <f>AC96+AE96</f>
        <v/>
      </c>
      <c r="AG96" s="25">
        <f>AF96/I96</f>
        <v/>
      </c>
      <c r="AH96" s="26">
        <f>I96-P96-Q96-R96-S96-T96-U96-X96-Z96-AA96-N96-AM96-AN96</f>
        <v/>
      </c>
      <c r="AI96" s="76">
        <f>AH96-AF96</f>
        <v/>
      </c>
      <c r="AJ96" s="77">
        <f>AI96/I96</f>
        <v/>
      </c>
      <c r="AK96" s="78">
        <f>AI96/N96</f>
        <v/>
      </c>
      <c r="AL96" s="72">
        <f>(Q96+S96+X96+Z96+AA96+N96+AM96)/(1-(O96+$I$4+(1-J96)*$I$3+$I$8+$I$11+AB96+AD96))</f>
        <v/>
      </c>
      <c r="AM96" s="72">
        <f>$I$12</f>
        <v/>
      </c>
      <c r="AN96" s="72">
        <f>I96*$I$11</f>
        <v/>
      </c>
    </row>
    <row r="97" ht="29" customHeight="1">
      <c r="A97" s="66" t="inlineStr">
        <is>
          <t>PETITFEE - Gold &amp; EGF Hydrogel Eye &amp; Spot Patch [60ea]/ гидрогелевые патчи с золотом и EGF</t>
        </is>
      </c>
      <c r="B97" s="96" t="n"/>
      <c r="C97" s="67" t="n"/>
      <c r="D97" s="68" t="n"/>
      <c r="E97" s="92" t="n">
        <v>72</v>
      </c>
      <c r="F97" s="69" t="n"/>
      <c r="G97" s="69" t="n"/>
      <c r="H97" s="69" t="n"/>
      <c r="I97" s="69">
        <f>(1.20*N97+Q97+S97+X97+Z97+AA97+AM97)/(1-O97-$I$8-$I$4-(1-J97)*$I$3-$I$11-AB97-AD97)</f>
        <v/>
      </c>
      <c r="J97" s="15" t="n">
        <v>0.45</v>
      </c>
      <c r="K97" s="16">
        <f>I97*(1-J97)</f>
        <v/>
      </c>
      <c r="L97" s="70" t="n">
        <v>385.05</v>
      </c>
      <c r="M97" s="71">
        <f>$I$5</f>
        <v/>
      </c>
      <c r="N97" s="19">
        <f>L97+M97</f>
        <v/>
      </c>
      <c r="O97" s="20" t="n">
        <v>0.47</v>
      </c>
      <c r="P97" s="72">
        <f>I97*O97</f>
        <v/>
      </c>
      <c r="Q97" s="73" t="n">
        <v>67</v>
      </c>
      <c r="R97" s="72">
        <f>I97*$I$8</f>
        <v/>
      </c>
      <c r="S97" s="73" t="n">
        <v>25</v>
      </c>
      <c r="T97" s="72">
        <f>I97*$I$4</f>
        <v/>
      </c>
      <c r="U97" s="72">
        <f>K97*$I$3</f>
        <v/>
      </c>
      <c r="V97" s="74" t="n">
        <v>0.9</v>
      </c>
      <c r="W97" s="73" t="n">
        <v>67</v>
      </c>
      <c r="X97" s="72">
        <f>W97*(1-V97)</f>
        <v/>
      </c>
      <c r="Y97" s="75" t="n">
        <v>0.6</v>
      </c>
      <c r="Z97" s="72">
        <f>$I$6*$I$7*Y97</f>
        <v/>
      </c>
      <c r="AA97" s="19">
        <f>Y97*($I$9+$I$10)</f>
        <v/>
      </c>
      <c r="AB97" s="20" t="n">
        <v>0.07000000000000001</v>
      </c>
      <c r="AC97" s="72">
        <f>I97*AB97</f>
        <v/>
      </c>
      <c r="AD97" s="74" t="n">
        <v>0.08</v>
      </c>
      <c r="AE97" s="72">
        <f>I97*AD97</f>
        <v/>
      </c>
      <c r="AF97" s="72">
        <f>AC97+AE97</f>
        <v/>
      </c>
      <c r="AG97" s="25">
        <f>AF97/I97</f>
        <v/>
      </c>
      <c r="AH97" s="26">
        <f>I97-P97-Q97-R97-S97-T97-U97-X97-Z97-AA97-N97-AM97-AN97</f>
        <v/>
      </c>
      <c r="AI97" s="76">
        <f>AH97-AF97</f>
        <v/>
      </c>
      <c r="AJ97" s="77">
        <f>AI97/I97</f>
        <v/>
      </c>
      <c r="AK97" s="78">
        <f>AI97/N97</f>
        <v/>
      </c>
      <c r="AL97" s="72">
        <f>(Q97+S97+X97+Z97+AA97+N97+AM97)/(1-(O97+$I$4+(1-J97)*$I$3+$I$8+$I$11+AB97+AD97))</f>
        <v/>
      </c>
      <c r="AM97" s="72">
        <f>$I$12</f>
        <v/>
      </c>
      <c r="AN97" s="72">
        <f>I97*$I$11</f>
        <v/>
      </c>
    </row>
    <row r="98" ht="29" customHeight="1">
      <c r="A98" s="66" t="inlineStr">
        <is>
          <t>PETITFEE - Pink Vita Brightening Eye Patch [60ea] / Тканевые патчи для век увлажняющие</t>
        </is>
      </c>
      <c r="B98" s="96" t="n"/>
      <c r="C98" s="67" t="n"/>
      <c r="D98" s="68" t="n"/>
      <c r="E98" s="92" t="n">
        <v>267</v>
      </c>
      <c r="F98" s="69" t="n"/>
      <c r="G98" s="69" t="n"/>
      <c r="H98" s="69" t="n"/>
      <c r="I98" s="69">
        <f>(1.20*N98+Q98+S98+X98+Z98+AA98+AM98)/(1-O98-$I$8-$I$4-(1-J98)*$I$3-$I$11-AB98-AD98)</f>
        <v/>
      </c>
      <c r="J98" s="15" t="n">
        <v>0.45</v>
      </c>
      <c r="K98" s="16">
        <f>I98*(1-J98)</f>
        <v/>
      </c>
      <c r="L98" s="70" t="n">
        <v>486.69</v>
      </c>
      <c r="M98" s="71">
        <f>$I$5</f>
        <v/>
      </c>
      <c r="N98" s="19">
        <f>L98+M98</f>
        <v/>
      </c>
      <c r="O98" s="20" t="n">
        <v>0.47</v>
      </c>
      <c r="P98" s="72">
        <f>I98*O98</f>
        <v/>
      </c>
      <c r="Q98" s="73" t="n">
        <v>67</v>
      </c>
      <c r="R98" s="72">
        <f>I98*$I$8</f>
        <v/>
      </c>
      <c r="S98" s="73" t="n">
        <v>25</v>
      </c>
      <c r="T98" s="72">
        <f>I98*$I$4</f>
        <v/>
      </c>
      <c r="U98" s="72">
        <f>K98*$I$3</f>
        <v/>
      </c>
      <c r="V98" s="74" t="n">
        <v>0.9</v>
      </c>
      <c r="W98" s="73" t="n">
        <v>67</v>
      </c>
      <c r="X98" s="72">
        <f>W98*(1-V98)</f>
        <v/>
      </c>
      <c r="Y98" s="75" t="n">
        <v>0.93</v>
      </c>
      <c r="Z98" s="72">
        <f>$I$6*$I$7*Y98</f>
        <v/>
      </c>
      <c r="AA98" s="19">
        <f>Y98*($I$9+$I$10)</f>
        <v/>
      </c>
      <c r="AB98" s="20" t="n">
        <v>0.07000000000000001</v>
      </c>
      <c r="AC98" s="72">
        <f>I98*AB98</f>
        <v/>
      </c>
      <c r="AD98" s="74" t="n">
        <v>0.08</v>
      </c>
      <c r="AE98" s="72">
        <f>I98*AD98</f>
        <v/>
      </c>
      <c r="AF98" s="72">
        <f>AC98+AE98</f>
        <v/>
      </c>
      <c r="AG98" s="25">
        <f>AF98/I98</f>
        <v/>
      </c>
      <c r="AH98" s="26">
        <f>I98-P98-Q98-R98-S98-T98-U98-X98-Z98-AA98-N98-AM98-AN98</f>
        <v/>
      </c>
      <c r="AI98" s="76">
        <f>AH98-AF98</f>
        <v/>
      </c>
      <c r="AJ98" s="77">
        <f>AI98/I98</f>
        <v/>
      </c>
      <c r="AK98" s="78">
        <f>AI98/N98</f>
        <v/>
      </c>
      <c r="AL98" s="72">
        <f>(Q98+S98+X98+Z98+AA98+N98+AM98)/(1-(O98+$I$4+(1-J98)*$I$3+$I$8+$I$11+AB98+AD98))</f>
        <v/>
      </c>
      <c r="AM98" s="72">
        <f>$I$12</f>
        <v/>
      </c>
      <c r="AN98" s="72">
        <f>I98*$I$11</f>
        <v/>
      </c>
    </row>
    <row r="99" ht="29" customHeight="1">
      <c r="A99" s="66" t="inlineStr">
        <is>
          <t>PETITFEE - Black Pearl &amp; Gold Hydrogel Eye Patch [60ea] / Гидрогелевые патчи для глаз с черным жемчугом и золотом</t>
        </is>
      </c>
      <c r="B99" s="96" t="n"/>
      <c r="C99" s="67" t="n"/>
      <c r="D99" s="68" t="n"/>
      <c r="E99" s="92" t="n">
        <v>909</v>
      </c>
      <c r="F99" s="69" t="n">
        <v>1780</v>
      </c>
      <c r="G99" s="69" t="n">
        <v>489</v>
      </c>
      <c r="H99" s="69" t="n">
        <v>16</v>
      </c>
      <c r="I99" s="69">
        <f>(1.20*N99+Q99+S99+X99+Z99+AA99+AM99)/(1-O99-$I$8-$I$4-(1-J99)*$I$3-$I$11-AB99-AD99)</f>
        <v/>
      </c>
      <c r="J99" s="15" t="n">
        <v>0.45</v>
      </c>
      <c r="K99" s="16">
        <f>I99*(1-J99)</f>
        <v/>
      </c>
      <c r="L99" s="70" t="n">
        <v>387.67</v>
      </c>
      <c r="M99" s="71">
        <f>$I$5</f>
        <v/>
      </c>
      <c r="N99" s="19">
        <f>L99+M99</f>
        <v/>
      </c>
      <c r="O99" s="20" t="n">
        <v>0.47</v>
      </c>
      <c r="P99" s="72">
        <f>I99*O99</f>
        <v/>
      </c>
      <c r="Q99" s="73" t="n">
        <v>67</v>
      </c>
      <c r="R99" s="72">
        <f>I99*$I$8</f>
        <v/>
      </c>
      <c r="S99" s="73" t="n">
        <v>25</v>
      </c>
      <c r="T99" s="72">
        <f>I99*$I$4</f>
        <v/>
      </c>
      <c r="U99" s="72">
        <f>K99*$I$3</f>
        <v/>
      </c>
      <c r="V99" s="74" t="n">
        <v>0.9</v>
      </c>
      <c r="W99" s="73" t="n">
        <v>67</v>
      </c>
      <c r="X99" s="72">
        <f>W99*(1-V99)</f>
        <v/>
      </c>
      <c r="Y99" s="75" t="n">
        <v>0.6</v>
      </c>
      <c r="Z99" s="72">
        <f>$I$6*$I$7*Y99</f>
        <v/>
      </c>
      <c r="AA99" s="19">
        <f>Y99*($I$9+$I$10)</f>
        <v/>
      </c>
      <c r="AB99" s="20" t="n">
        <v>0.07000000000000001</v>
      </c>
      <c r="AC99" s="72">
        <f>I99*AB99</f>
        <v/>
      </c>
      <c r="AD99" s="74" t="n">
        <v>0.08</v>
      </c>
      <c r="AE99" s="72">
        <f>I99*AD99</f>
        <v/>
      </c>
      <c r="AF99" s="72">
        <f>AC99+AE99</f>
        <v/>
      </c>
      <c r="AG99" s="25">
        <f>AF99/I99</f>
        <v/>
      </c>
      <c r="AH99" s="26">
        <f>I99-P99-Q99-R99-S99-T99-U99-X99-Z99-AA99-N99-AM99-AN99</f>
        <v/>
      </c>
      <c r="AI99" s="76">
        <f>AH99-AF99</f>
        <v/>
      </c>
      <c r="AJ99" s="77">
        <f>AI99/I99</f>
        <v/>
      </c>
      <c r="AK99" s="78">
        <f>AI99/N99</f>
        <v/>
      </c>
      <c r="AL99" s="72">
        <f>(Q99+S99+X99+Z99+AA99+N99+AM99)/(1-(O99+$I$4+(1-J99)*$I$3+$I$8+$I$11+AB99+AD99))</f>
        <v/>
      </c>
      <c r="AM99" s="72">
        <f>$I$12</f>
        <v/>
      </c>
      <c r="AN99" s="72">
        <f>I99*$I$11</f>
        <v/>
      </c>
    </row>
    <row r="100" ht="29" customHeight="1">
      <c r="A100" s="66" t="inlineStr">
        <is>
          <t>PETITFEE - Agave Cooling Hydrogel Eye Patch [60ea] / Охлаждающие гидрогелевые патчи для глаз с экстрактом агавы</t>
        </is>
      </c>
      <c r="B100" s="96" t="n"/>
      <c r="C100" s="67" t="n"/>
      <c r="D100" s="68" t="n"/>
      <c r="E100" s="92" t="n">
        <v>933</v>
      </c>
      <c r="F100" s="69" t="n">
        <v>1730</v>
      </c>
      <c r="G100" s="69" t="n">
        <v>568</v>
      </c>
      <c r="H100" s="69" t="n">
        <v>17</v>
      </c>
      <c r="I100" s="69">
        <f>(1.20*N100+Q100+S100+X100+Z100+AA100+AM100)/(1-O100-$I$8-$I$4-(1-J100)*$I$3-$I$11-AB100-AD100)</f>
        <v/>
      </c>
      <c r="J100" s="15" t="n">
        <v>0.45</v>
      </c>
      <c r="K100" s="16">
        <f>I100*(1-J100)</f>
        <v/>
      </c>
      <c r="L100" s="70" t="n">
        <v>415.46</v>
      </c>
      <c r="M100" s="71">
        <f>$I$5</f>
        <v/>
      </c>
      <c r="N100" s="19">
        <f>L100+M100</f>
        <v/>
      </c>
      <c r="O100" s="20" t="n">
        <v>0.47</v>
      </c>
      <c r="P100" s="72">
        <f>I100*O100</f>
        <v/>
      </c>
      <c r="Q100" s="73" t="n">
        <v>67</v>
      </c>
      <c r="R100" s="72">
        <f>I100*$I$8</f>
        <v/>
      </c>
      <c r="S100" s="73" t="n">
        <v>25</v>
      </c>
      <c r="T100" s="72">
        <f>I100*$I$4</f>
        <v/>
      </c>
      <c r="U100" s="72">
        <f>K100*$I$3</f>
        <v/>
      </c>
      <c r="V100" s="74" t="n">
        <v>0.9</v>
      </c>
      <c r="W100" s="73" t="n">
        <v>67</v>
      </c>
      <c r="X100" s="72">
        <f>W100*(1-V100)</f>
        <v/>
      </c>
      <c r="Y100" s="75" t="n">
        <v>0.6</v>
      </c>
      <c r="Z100" s="72">
        <f>$I$6*$I$7*Y100</f>
        <v/>
      </c>
      <c r="AA100" s="19">
        <f>Y100*($I$9+$I$10)</f>
        <v/>
      </c>
      <c r="AB100" s="20" t="n">
        <v>0.07000000000000001</v>
      </c>
      <c r="AC100" s="72">
        <f>I100*AB100</f>
        <v/>
      </c>
      <c r="AD100" s="74" t="n">
        <v>0.08</v>
      </c>
      <c r="AE100" s="72">
        <f>I100*AD100</f>
        <v/>
      </c>
      <c r="AF100" s="72">
        <f>AC100+AE100</f>
        <v/>
      </c>
      <c r="AG100" s="25">
        <f>AF100/I100</f>
        <v/>
      </c>
      <c r="AH100" s="26">
        <f>I100-P100-Q100-R100-S100-T100-U100-X100-Z100-AA100-N100-AM100-AN100</f>
        <v/>
      </c>
      <c r="AI100" s="76">
        <f>AH100-AF100</f>
        <v/>
      </c>
      <c r="AJ100" s="77">
        <f>AI100/I100</f>
        <v/>
      </c>
      <c r="AK100" s="78">
        <f>AI100/N100</f>
        <v/>
      </c>
      <c r="AL100" s="72">
        <f>(Q100+S100+X100+Z100+AA100+N100+AM100)/(1-(O100+$I$4+(1-J100)*$I$3+$I$8+$I$11+AB100+AD100))</f>
        <v/>
      </c>
      <c r="AM100" s="72">
        <f>$I$12</f>
        <v/>
      </c>
      <c r="AN100" s="72">
        <f>I100*$I$11</f>
        <v/>
      </c>
    </row>
    <row r="101" ht="29" customHeight="1">
      <c r="A101" s="66" t="inlineStr">
        <is>
          <t>PETITFEE - Gold &amp; Snail Hydrogel Eye Patch [60ea] / Гидрогелевые патчи для глаз с золотом и улиткой</t>
        </is>
      </c>
      <c r="B101" s="96" t="n"/>
      <c r="C101" s="67" t="n"/>
      <c r="D101" s="68" t="n"/>
      <c r="E101" s="92" t="n">
        <v>909</v>
      </c>
      <c r="F101" s="69" t="n">
        <v>1740</v>
      </c>
      <c r="G101" s="69" t="n">
        <v>150</v>
      </c>
      <c r="H101" s="69" t="n">
        <v>7</v>
      </c>
      <c r="I101" s="69">
        <f>(1.20*N101+Q101+S101+X101+Z101+AA101+AM101)/(1-O101-$I$8-$I$4-(1-J101)*$I$3-$I$11-AB101-AD101)</f>
        <v/>
      </c>
      <c r="J101" s="15" t="n">
        <v>0.45</v>
      </c>
      <c r="K101" s="16">
        <f>I101*(1-J101)</f>
        <v/>
      </c>
      <c r="L101" s="70" t="n">
        <v>415.46</v>
      </c>
      <c r="M101" s="71">
        <f>$I$5</f>
        <v/>
      </c>
      <c r="N101" s="19">
        <f>L101+M101</f>
        <v/>
      </c>
      <c r="O101" s="20" t="n">
        <v>0.47</v>
      </c>
      <c r="P101" s="72">
        <f>I101*O101</f>
        <v/>
      </c>
      <c r="Q101" s="73" t="n">
        <v>67</v>
      </c>
      <c r="R101" s="72">
        <f>I101*$I$8</f>
        <v/>
      </c>
      <c r="S101" s="73" t="n">
        <v>25</v>
      </c>
      <c r="T101" s="72">
        <f>I101*$I$4</f>
        <v/>
      </c>
      <c r="U101" s="72">
        <f>K101*$I$3</f>
        <v/>
      </c>
      <c r="V101" s="74" t="n">
        <v>0.9</v>
      </c>
      <c r="W101" s="73" t="n">
        <v>67</v>
      </c>
      <c r="X101" s="72">
        <f>W101*(1-V101)</f>
        <v/>
      </c>
      <c r="Y101" s="75" t="n">
        <v>0.6</v>
      </c>
      <c r="Z101" s="72">
        <f>$I$6*$I$7*Y101</f>
        <v/>
      </c>
      <c r="AA101" s="19">
        <f>Y101*($I$9+$I$10)</f>
        <v/>
      </c>
      <c r="AB101" s="20" t="n">
        <v>0.07000000000000001</v>
      </c>
      <c r="AC101" s="72">
        <f>I101*AB101</f>
        <v/>
      </c>
      <c r="AD101" s="74" t="n">
        <v>0.08</v>
      </c>
      <c r="AE101" s="72">
        <f>I101*AD101</f>
        <v/>
      </c>
      <c r="AF101" s="72">
        <f>AC101+AE101</f>
        <v/>
      </c>
      <c r="AG101" s="25">
        <f>AF101/I101</f>
        <v/>
      </c>
      <c r="AH101" s="26">
        <f>I101-P101-Q101-R101-S101-T101-U101-X101-Z101-AA101-N101-AM101-AN101</f>
        <v/>
      </c>
      <c r="AI101" s="76">
        <f>AH101-AF101</f>
        <v/>
      </c>
      <c r="AJ101" s="77">
        <f>AI101/I101</f>
        <v/>
      </c>
      <c r="AK101" s="78">
        <f>AI101/N101</f>
        <v/>
      </c>
      <c r="AL101" s="72">
        <f>(Q101+S101+X101+Z101+AA101+N101+AM101)/(1-(O101+$I$4+(1-J101)*$I$3+$I$8+$I$11+AB101+AD101))</f>
        <v/>
      </c>
      <c r="AM101" s="72">
        <f>$I$12</f>
        <v/>
      </c>
      <c r="AN101" s="72">
        <f>I101*$I$11</f>
        <v/>
      </c>
    </row>
    <row r="102" ht="29" customHeight="1">
      <c r="A102" s="66" t="inlineStr">
        <is>
          <t>PETITFEE - Gold Hydrogel Eye Patch [60ea] / гидрогелевые патчи для глаз с золотом</t>
        </is>
      </c>
      <c r="B102" s="96" t="n"/>
      <c r="C102" s="67" t="n"/>
      <c r="D102" s="68" t="n"/>
      <c r="E102" s="92" t="n">
        <v>700</v>
      </c>
      <c r="F102" s="69" t="n">
        <v>1930</v>
      </c>
      <c r="G102" s="69" t="n">
        <v>128</v>
      </c>
      <c r="H102" s="69" t="n">
        <v>2.2</v>
      </c>
      <c r="I102" s="69">
        <f>(1.20*N102+Q102+S102+X102+Z102+AA102+AM102)/(1-O102-$I$8-$I$4-(1-J102)*$I$3-$I$11-AB102-AD102)</f>
        <v/>
      </c>
      <c r="J102" s="15" t="n">
        <v>0.45</v>
      </c>
      <c r="K102" s="16">
        <f>I102*(1-J102)</f>
        <v/>
      </c>
      <c r="L102" s="70" t="n">
        <v>415.46</v>
      </c>
      <c r="M102" s="71">
        <f>$I$5</f>
        <v/>
      </c>
      <c r="N102" s="19">
        <f>L102+M102</f>
        <v/>
      </c>
      <c r="O102" s="20" t="n">
        <v>0.47</v>
      </c>
      <c r="P102" s="72">
        <f>I102*O102</f>
        <v/>
      </c>
      <c r="Q102" s="73" t="n">
        <v>67</v>
      </c>
      <c r="R102" s="72">
        <f>I102*$I$8</f>
        <v/>
      </c>
      <c r="S102" s="73" t="n">
        <v>25</v>
      </c>
      <c r="T102" s="72">
        <f>I102*$I$4</f>
        <v/>
      </c>
      <c r="U102" s="72">
        <f>K102*$I$3</f>
        <v/>
      </c>
      <c r="V102" s="74" t="n">
        <v>0.9</v>
      </c>
      <c r="W102" s="73" t="n">
        <v>67</v>
      </c>
      <c r="X102" s="72">
        <f>W102*(1-V102)</f>
        <v/>
      </c>
      <c r="Y102" s="75" t="n">
        <v>0.6</v>
      </c>
      <c r="Z102" s="72">
        <f>$I$6*$I$7*Y102</f>
        <v/>
      </c>
      <c r="AA102" s="19">
        <f>Y102*($I$9+$I$10)</f>
        <v/>
      </c>
      <c r="AB102" s="20" t="n">
        <v>0.07000000000000001</v>
      </c>
      <c r="AC102" s="72">
        <f>I102*AB102</f>
        <v/>
      </c>
      <c r="AD102" s="74" t="n">
        <v>0.08</v>
      </c>
      <c r="AE102" s="72">
        <f>I102*AD102</f>
        <v/>
      </c>
      <c r="AF102" s="72">
        <f>AC102+AE102</f>
        <v/>
      </c>
      <c r="AG102" s="25">
        <f>AF102/I102</f>
        <v/>
      </c>
      <c r="AH102" s="26">
        <f>I102-P102-Q102-R102-S102-T102-U102-X102-Z102-AA102-N102-AM102-AN102</f>
        <v/>
      </c>
      <c r="AI102" s="76">
        <f>AH102-AF102</f>
        <v/>
      </c>
      <c r="AJ102" s="77">
        <f>AI102/I102</f>
        <v/>
      </c>
      <c r="AK102" s="78">
        <f>AI102/N102</f>
        <v/>
      </c>
      <c r="AL102" s="72">
        <f>(Q102+S102+X102+Z102+AA102+N102+AM102)/(1-(O102+$I$4+(1-J102)*$I$3+$I$8+$I$11+AB102+AD102))</f>
        <v/>
      </c>
      <c r="AM102" s="72">
        <f>$I$12</f>
        <v/>
      </c>
      <c r="AN102" s="72">
        <f>I102*$I$11</f>
        <v/>
      </c>
    </row>
    <row r="103" ht="29" customHeight="1">
      <c r="A103" s="79" t="inlineStr">
        <is>
          <t>PETITFEE - Black Pearl &amp; Gold Hydrogel Eye Patch [1 pairs]/ Гидрогелевые патчи для глаз с черным жемчугом и золотом 1 пара</t>
        </is>
      </c>
      <c r="B103" s="97" t="n"/>
      <c r="C103" s="80" t="n"/>
      <c r="D103" s="80" t="n"/>
      <c r="E103" s="92" t="n">
        <v>320</v>
      </c>
      <c r="F103" s="81" t="n"/>
      <c r="G103" s="81" t="n"/>
      <c r="H103" s="81" t="n"/>
      <c r="I103" s="81" t="n"/>
      <c r="J103" s="32" t="n"/>
      <c r="K103" s="33" t="n"/>
      <c r="L103" s="82" t="n"/>
      <c r="M103" s="82" t="n"/>
      <c r="N103" s="35" t="n"/>
      <c r="O103" s="36" t="n"/>
      <c r="P103" s="81" t="n"/>
      <c r="Q103" s="81" t="n"/>
      <c r="R103" s="81" t="n"/>
      <c r="S103" s="81" t="n"/>
      <c r="T103" s="81" t="n"/>
      <c r="U103" s="81" t="n"/>
      <c r="V103" s="83" t="n"/>
      <c r="W103" s="81" t="n"/>
      <c r="X103" s="81" t="n"/>
      <c r="Y103" s="84" t="n"/>
      <c r="Z103" s="81" t="n"/>
      <c r="AA103" s="35" t="n"/>
      <c r="AB103" s="36" t="n"/>
      <c r="AC103" s="81" t="n"/>
      <c r="AD103" s="83" t="n"/>
      <c r="AE103" s="81" t="n"/>
      <c r="AF103" s="81" t="n"/>
      <c r="AG103" s="39" t="n"/>
      <c r="AH103" s="40" t="n"/>
      <c r="AI103" s="81" t="n"/>
      <c r="AJ103" s="83" t="n"/>
      <c r="AK103" s="83" t="n"/>
      <c r="AL103" s="81" t="n"/>
      <c r="AM103" s="81" t="n"/>
      <c r="AN103" s="81" t="n"/>
    </row>
    <row r="104" ht="29" customHeight="1">
      <c r="A104" s="79" t="inlineStr">
        <is>
          <t>PETITFEE - Gold Hydrogel Eye Patch [1 Pairs] / гидрогелевые патчи для глаз с золотом 1 пара</t>
        </is>
      </c>
      <c r="B104" s="97" t="n"/>
      <c r="C104" s="80" t="n"/>
      <c r="D104" s="80" t="n"/>
      <c r="E104" s="92" t="n">
        <v>428</v>
      </c>
      <c r="F104" s="81" t="n"/>
      <c r="G104" s="81" t="n"/>
      <c r="H104" s="81" t="n"/>
      <c r="I104" s="81" t="n"/>
      <c r="J104" s="32" t="n"/>
      <c r="K104" s="33" t="n"/>
      <c r="L104" s="82" t="n"/>
      <c r="M104" s="82" t="n"/>
      <c r="N104" s="35" t="n"/>
      <c r="O104" s="36" t="n"/>
      <c r="P104" s="81" t="n"/>
      <c r="Q104" s="81" t="n"/>
      <c r="R104" s="81" t="n"/>
      <c r="S104" s="81" t="n"/>
      <c r="T104" s="81" t="n"/>
      <c r="U104" s="81" t="n"/>
      <c r="V104" s="83" t="n"/>
      <c r="W104" s="81" t="n"/>
      <c r="X104" s="81" t="n"/>
      <c r="Y104" s="84" t="n"/>
      <c r="Z104" s="81" t="n"/>
      <c r="AA104" s="35" t="n"/>
      <c r="AB104" s="36" t="n"/>
      <c r="AC104" s="81" t="n"/>
      <c r="AD104" s="83" t="n"/>
      <c r="AE104" s="81" t="n"/>
      <c r="AF104" s="81" t="n"/>
      <c r="AG104" s="39" t="n"/>
      <c r="AH104" s="40" t="n"/>
      <c r="AI104" s="81" t="n"/>
      <c r="AJ104" s="83" t="n"/>
      <c r="AK104" s="83" t="n"/>
      <c r="AL104" s="81" t="n"/>
      <c r="AM104" s="81" t="n"/>
      <c r="AN104" s="81" t="n"/>
    </row>
    <row r="105">
      <c r="A105" s="64" t="inlineStr">
        <is>
          <t>Косметика/PETITFEE/PETITFEE-FACEMASK</t>
        </is>
      </c>
      <c r="B105" s="95" t="n"/>
      <c r="C105" s="65" t="n"/>
      <c r="D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65" t="n"/>
      <c r="Z105" s="65" t="n"/>
      <c r="AA105" s="65" t="n"/>
      <c r="AB105" s="65" t="n"/>
      <c r="AC105" s="65" t="n"/>
      <c r="AD105" s="65" t="n"/>
      <c r="AE105" s="65" t="n"/>
      <c r="AF105" s="65" t="n"/>
      <c r="AG105" s="65" t="n"/>
      <c r="AH105" s="65" t="n"/>
      <c r="AI105" s="65" t="n"/>
      <c r="AJ105" s="65" t="n"/>
      <c r="AK105" s="65" t="n"/>
      <c r="AL105" s="65" t="n"/>
      <c r="AM105" s="65" t="n"/>
      <c r="AN105" s="65" t="n"/>
    </row>
    <row r="106" ht="29" customHeight="1">
      <c r="A106" s="66" t="inlineStr">
        <is>
          <t>PETITFEE - Agave Cooling Hydrogel Face Mask [5pcs] / Охлаждающая гидрогелевая маска для лица с экстрактом агавы</t>
        </is>
      </c>
      <c r="B106" s="96" t="n"/>
      <c r="C106" s="67" t="n"/>
      <c r="D106" s="68" t="n"/>
      <c r="E106" s="92" t="n">
        <v>951</v>
      </c>
      <c r="F106" s="69" t="n">
        <v>2480</v>
      </c>
      <c r="G106" s="69" t="n">
        <v>293</v>
      </c>
      <c r="H106" s="69" t="n">
        <v>21</v>
      </c>
      <c r="I106" s="69">
        <f>(1.20*N106+Q106+S106+X106+Z106+AA106+AM106)/(1-O106-$I$8-$I$4-(1-J106)*$I$3-$I$11-AB106-AD106)</f>
        <v/>
      </c>
      <c r="J106" s="15" t="n">
        <v>0.45</v>
      </c>
      <c r="K106" s="16">
        <f>I106*(1-J106)</f>
        <v/>
      </c>
      <c r="L106" s="70" t="n">
        <v>486.41</v>
      </c>
      <c r="M106" s="71">
        <f>$I$5</f>
        <v/>
      </c>
      <c r="N106" s="19">
        <f>L106+M106</f>
        <v/>
      </c>
      <c r="O106" s="20" t="n">
        <v>0.47</v>
      </c>
      <c r="P106" s="72">
        <f>I106*O106</f>
        <v/>
      </c>
      <c r="Q106" s="73" t="n">
        <v>72</v>
      </c>
      <c r="R106" s="72">
        <f>I106*$I$8</f>
        <v/>
      </c>
      <c r="S106" s="73" t="n">
        <v>25</v>
      </c>
      <c r="T106" s="72">
        <f>I106*$I$4</f>
        <v/>
      </c>
      <c r="U106" s="72">
        <f>K106*$I$3</f>
        <v/>
      </c>
      <c r="V106" s="74" t="n">
        <v>0.9</v>
      </c>
      <c r="W106" s="73" t="n">
        <v>72</v>
      </c>
      <c r="X106" s="72">
        <f>W106*(1-V106)</f>
        <v/>
      </c>
      <c r="Y106" s="75" t="n">
        <v>1.1</v>
      </c>
      <c r="Z106" s="72">
        <f>$I$6*$I$7*Y106</f>
        <v/>
      </c>
      <c r="AA106" s="19">
        <f>Y106*($I$9+$I$10)</f>
        <v/>
      </c>
      <c r="AB106" s="20" t="n">
        <v>0.07000000000000001</v>
      </c>
      <c r="AC106" s="72">
        <f>I106*AB106</f>
        <v/>
      </c>
      <c r="AD106" s="74" t="n">
        <v>0.08</v>
      </c>
      <c r="AE106" s="72">
        <f>I106*AD106</f>
        <v/>
      </c>
      <c r="AF106" s="72">
        <f>AC106+AE106</f>
        <v/>
      </c>
      <c r="AG106" s="25">
        <f>AF106/I106</f>
        <v/>
      </c>
      <c r="AH106" s="26">
        <f>I106-P106-Q106-R106-S106-T106-U106-X106-Z106-AA106-N106-AM106-AN106</f>
        <v/>
      </c>
      <c r="AI106" s="76">
        <f>AH106-AF106</f>
        <v/>
      </c>
      <c r="AJ106" s="77">
        <f>AI106/I106</f>
        <v/>
      </c>
      <c r="AK106" s="78">
        <f>AI106/N106</f>
        <v/>
      </c>
      <c r="AL106" s="72">
        <f>(Q106+S106+X106+Z106+AA106+N106+AM106)/(1-(O106+$I$4+(1-J106)*$I$3+$I$8+$I$11+AB106+AD106))</f>
        <v/>
      </c>
      <c r="AM106" s="72">
        <f>$I$12</f>
        <v/>
      </c>
      <c r="AN106" s="72">
        <f>I106*$I$11</f>
        <v/>
      </c>
    </row>
    <row r="107" ht="29" customHeight="1">
      <c r="A107" s="66" t="inlineStr">
        <is>
          <t>PETITFEE - Gold Hydrogel Mask Pack [5pcs] / Гидрогелевая маска для лица с золотом</t>
        </is>
      </c>
      <c r="B107" s="96" t="n"/>
      <c r="C107" s="67" t="n"/>
      <c r="D107" s="68" t="n"/>
      <c r="E107" s="92" t="n">
        <v>734</v>
      </c>
      <c r="F107" s="69" t="n">
        <v>2570</v>
      </c>
      <c r="G107" s="69" t="n">
        <v>121</v>
      </c>
      <c r="H107" s="69" t="n">
        <v>12</v>
      </c>
      <c r="I107" s="69">
        <f>(1.20*N107+Q107+S107+X107+Z107+AA107+AM107)/(1-O107-$I$8-$I$4-(1-J107)*$I$3-$I$11-AB107-AD107)</f>
        <v/>
      </c>
      <c r="J107" s="15" t="n">
        <v>0.45</v>
      </c>
      <c r="K107" s="16">
        <f>I107*(1-J107)</f>
        <v/>
      </c>
      <c r="L107" s="70" t="n">
        <v>507.16</v>
      </c>
      <c r="M107" s="71">
        <f>$I$5</f>
        <v/>
      </c>
      <c r="N107" s="19">
        <f>L107+M107</f>
        <v/>
      </c>
      <c r="O107" s="20" t="n">
        <v>0.47</v>
      </c>
      <c r="P107" s="72">
        <f>I107*O107</f>
        <v/>
      </c>
      <c r="Q107" s="73" t="n">
        <v>72</v>
      </c>
      <c r="R107" s="72">
        <f>I107*$I$8</f>
        <v/>
      </c>
      <c r="S107" s="73" t="n">
        <v>25</v>
      </c>
      <c r="T107" s="72">
        <f>I107*$I$4</f>
        <v/>
      </c>
      <c r="U107" s="72">
        <f>K107*$I$3</f>
        <v/>
      </c>
      <c r="V107" s="74" t="n">
        <v>0.9</v>
      </c>
      <c r="W107" s="73" t="n">
        <v>72</v>
      </c>
      <c r="X107" s="72">
        <f>W107*(1-V107)</f>
        <v/>
      </c>
      <c r="Y107" s="75" t="n">
        <v>1.1</v>
      </c>
      <c r="Z107" s="72">
        <f>$I$6*$I$7*Y107</f>
        <v/>
      </c>
      <c r="AA107" s="19">
        <f>Y107*($I$9+$I$10)</f>
        <v/>
      </c>
      <c r="AB107" s="20" t="n">
        <v>0.07000000000000001</v>
      </c>
      <c r="AC107" s="72">
        <f>I107*AB107</f>
        <v/>
      </c>
      <c r="AD107" s="74" t="n">
        <v>0.08</v>
      </c>
      <c r="AE107" s="72">
        <f>I107*AD107</f>
        <v/>
      </c>
      <c r="AF107" s="72">
        <f>AC107+AE107</f>
        <v/>
      </c>
      <c r="AG107" s="25">
        <f>AF107/I107</f>
        <v/>
      </c>
      <c r="AH107" s="26">
        <f>I107-P107-Q107-R107-S107-T107-U107-X107-Z107-AA107-N107-AM107-AN107</f>
        <v/>
      </c>
      <c r="AI107" s="76">
        <f>AH107-AF107</f>
        <v/>
      </c>
      <c r="AJ107" s="77">
        <f>AI107/I107</f>
        <v/>
      </c>
      <c r="AK107" s="78">
        <f>AI107/N107</f>
        <v/>
      </c>
      <c r="AL107" s="72">
        <f>(Q107+S107+X107+Z107+AA107+N107+AM107)/(1-(O107+$I$4+(1-J107)*$I$3+$I$8+$I$11+AB107+AD107))</f>
        <v/>
      </c>
      <c r="AM107" s="72">
        <f>$I$12</f>
        <v/>
      </c>
      <c r="AN107" s="72">
        <f>I107*$I$11</f>
        <v/>
      </c>
    </row>
    <row r="108" ht="29" customHeight="1">
      <c r="A108" s="66" t="inlineStr">
        <is>
          <t>PETITFEE - Cacao Energizing Hydrogel Mask Pack [5pcs] / Тонизирующая гидрогелевая маска для лица с экстрактом какао</t>
        </is>
      </c>
      <c r="B108" s="96" t="n"/>
      <c r="C108" s="67" t="n"/>
      <c r="D108" s="68" t="n"/>
      <c r="E108" s="92" t="n">
        <v>619</v>
      </c>
      <c r="F108" s="69" t="n">
        <v>2680</v>
      </c>
      <c r="G108" s="69" t="n">
        <v>38</v>
      </c>
      <c r="H108" s="69" t="n">
        <v>9.699999999999999</v>
      </c>
      <c r="I108" s="69">
        <f>(1.20*N108+Q108+S108+X108+Z108+AA108+AM108)/(1-O108-$I$8-$I$4-(1-J108)*$I$3-$I$11-AB108-AD108)</f>
        <v/>
      </c>
      <c r="J108" s="15" t="n">
        <v>0.45</v>
      </c>
      <c r="K108" s="16">
        <f>I108*(1-J108)</f>
        <v/>
      </c>
      <c r="L108" s="70" t="n">
        <v>496.86</v>
      </c>
      <c r="M108" s="71">
        <f>$I$5</f>
        <v/>
      </c>
      <c r="N108" s="19">
        <f>L108+M108</f>
        <v/>
      </c>
      <c r="O108" s="20" t="n">
        <v>0.47</v>
      </c>
      <c r="P108" s="72">
        <f>I108*O108</f>
        <v/>
      </c>
      <c r="Q108" s="73" t="n">
        <v>72</v>
      </c>
      <c r="R108" s="72">
        <f>I108*$I$8</f>
        <v/>
      </c>
      <c r="S108" s="73" t="n">
        <v>25</v>
      </c>
      <c r="T108" s="72">
        <f>I108*$I$4</f>
        <v/>
      </c>
      <c r="U108" s="72">
        <f>K108*$I$3</f>
        <v/>
      </c>
      <c r="V108" s="74" t="n">
        <v>0.9</v>
      </c>
      <c r="W108" s="73" t="n">
        <v>72</v>
      </c>
      <c r="X108" s="72">
        <f>W108*(1-V108)</f>
        <v/>
      </c>
      <c r="Y108" s="75" t="n">
        <v>1.1</v>
      </c>
      <c r="Z108" s="72">
        <f>$I$6*$I$7*Y108</f>
        <v/>
      </c>
      <c r="AA108" s="19">
        <f>Y108*($I$9+$I$10)</f>
        <v/>
      </c>
      <c r="AB108" s="20" t="n">
        <v>0.07000000000000001</v>
      </c>
      <c r="AC108" s="72">
        <f>I108*AB108</f>
        <v/>
      </c>
      <c r="AD108" s="74" t="n">
        <v>0.08</v>
      </c>
      <c r="AE108" s="72">
        <f>I108*AD108</f>
        <v/>
      </c>
      <c r="AF108" s="72">
        <f>AC108+AE108</f>
        <v/>
      </c>
      <c r="AG108" s="25">
        <f>AF108/I108</f>
        <v/>
      </c>
      <c r="AH108" s="26">
        <f>I108-P108-Q108-R108-S108-T108-U108-X108-Z108-AA108-N108-AM108-AN108</f>
        <v/>
      </c>
      <c r="AI108" s="76">
        <f>AH108-AF108</f>
        <v/>
      </c>
      <c r="AJ108" s="77">
        <f>AI108/I108</f>
        <v/>
      </c>
      <c r="AK108" s="78">
        <f>AI108/N108</f>
        <v/>
      </c>
      <c r="AL108" s="72">
        <f>(Q108+S108+X108+Z108+AA108+N108+AM108)/(1-(O108+$I$4+(1-J108)*$I$3+$I$8+$I$11+AB108+AD108))</f>
        <v/>
      </c>
      <c r="AM108" s="72">
        <f>$I$12</f>
        <v/>
      </c>
      <c r="AN108" s="72">
        <f>I108*$I$11</f>
        <v/>
      </c>
    </row>
    <row r="109" ht="29" customHeight="1">
      <c r="A109" s="66" t="inlineStr">
        <is>
          <t>PETITFEE - Artichoke Soothing Hydrogel Face Mask [5pcs] / Смягчающая гидрогелевая маска для лица с экстрактом артишока</t>
        </is>
      </c>
      <c r="B109" s="96" t="n"/>
      <c r="C109" s="67" t="n"/>
      <c r="D109" s="68" t="n"/>
      <c r="E109" s="92" t="n">
        <v>542</v>
      </c>
      <c r="F109" s="69" t="n">
        <v>2420</v>
      </c>
      <c r="G109" s="69" t="n">
        <v>409</v>
      </c>
      <c r="H109" s="69" t="n">
        <v>23</v>
      </c>
      <c r="I109" s="69">
        <f>(1.20*N109+Q109+S109+X109+Z109+AA109+AM109)/(1-O109-$I$8-$I$4-(1-J109)*$I$3-$I$11-AB109-AD109)</f>
        <v/>
      </c>
      <c r="J109" s="15" t="n">
        <v>0.45</v>
      </c>
      <c r="K109" s="16">
        <f>I109*(1-J109)</f>
        <v/>
      </c>
      <c r="L109" s="70" t="n">
        <v>498.54</v>
      </c>
      <c r="M109" s="71">
        <f>$I$5</f>
        <v/>
      </c>
      <c r="N109" s="19">
        <f>L109+M109</f>
        <v/>
      </c>
      <c r="O109" s="20" t="n">
        <v>0.47</v>
      </c>
      <c r="P109" s="72">
        <f>I109*O109</f>
        <v/>
      </c>
      <c r="Q109" s="73" t="n">
        <v>72</v>
      </c>
      <c r="R109" s="72">
        <f>I109*$I$8</f>
        <v/>
      </c>
      <c r="S109" s="73" t="n">
        <v>25</v>
      </c>
      <c r="T109" s="72">
        <f>I109*$I$4</f>
        <v/>
      </c>
      <c r="U109" s="72">
        <f>K109*$I$3</f>
        <v/>
      </c>
      <c r="V109" s="74" t="n">
        <v>0.9</v>
      </c>
      <c r="W109" s="73" t="n">
        <v>72</v>
      </c>
      <c r="X109" s="72">
        <f>W109*(1-V109)</f>
        <v/>
      </c>
      <c r="Y109" s="75" t="n">
        <v>1.1</v>
      </c>
      <c r="Z109" s="72">
        <f>$I$6*$I$7*Y109</f>
        <v/>
      </c>
      <c r="AA109" s="19">
        <f>Y109*($I$9+$I$10)</f>
        <v/>
      </c>
      <c r="AB109" s="20" t="n">
        <v>0.07000000000000001</v>
      </c>
      <c r="AC109" s="72">
        <f>I109*AB109</f>
        <v/>
      </c>
      <c r="AD109" s="74" t="n">
        <v>0.08</v>
      </c>
      <c r="AE109" s="72">
        <f>I109*AD109</f>
        <v/>
      </c>
      <c r="AF109" s="72">
        <f>AC109+AE109</f>
        <v/>
      </c>
      <c r="AG109" s="25">
        <f>AF109/I109</f>
        <v/>
      </c>
      <c r="AH109" s="26">
        <f>I109-P109-Q109-R109-S109-T109-U109-X109-Z109-AA109-N109-AM109-AN109</f>
        <v/>
      </c>
      <c r="AI109" s="76">
        <f>AH109-AF109</f>
        <v/>
      </c>
      <c r="AJ109" s="77">
        <f>AI109/I109</f>
        <v/>
      </c>
      <c r="AK109" s="78">
        <f>AI109/N109</f>
        <v/>
      </c>
      <c r="AL109" s="72">
        <f>(Q109+S109+X109+Z109+AA109+N109+AM109)/(1-(O109+$I$4+(1-J109)*$I$3+$I$8+$I$11+AB109+AD109))</f>
        <v/>
      </c>
      <c r="AM109" s="72">
        <f>$I$12</f>
        <v/>
      </c>
      <c r="AN109" s="72">
        <f>I109*$I$11</f>
        <v/>
      </c>
    </row>
    <row r="110" ht="29" customHeight="1">
      <c r="A110" s="66" t="inlineStr">
        <is>
          <t>PETITFEE - Gold &amp; Snail Hydrogel Mask Pack [5pcs] / Гидрогелевая маска для лица с золотом и экстрактом улитки</t>
        </is>
      </c>
      <c r="B110" s="96" t="n"/>
      <c r="C110" s="67" t="n"/>
      <c r="D110" s="68" t="n"/>
      <c r="E110" s="92" t="n">
        <v>453</v>
      </c>
      <c r="F110" s="69" t="n">
        <v>2280</v>
      </c>
      <c r="G110" s="69" t="n">
        <v>19</v>
      </c>
      <c r="H110" s="69" t="n">
        <v>8</v>
      </c>
      <c r="I110" s="69">
        <f>(1.20*N110+Q110+S110+X110+Z110+AA110+AM110)/(1-O110-$I$8-$I$4-(1-J110)*$I$3-$I$11-AB110-AD110)</f>
        <v/>
      </c>
      <c r="J110" s="15" t="n">
        <v>0.45</v>
      </c>
      <c r="K110" s="16">
        <f>I110*(1-J110)</f>
        <v/>
      </c>
      <c r="L110" s="70" t="n">
        <v>478.17</v>
      </c>
      <c r="M110" s="71">
        <f>$I$5</f>
        <v/>
      </c>
      <c r="N110" s="19">
        <f>L110+M110</f>
        <v/>
      </c>
      <c r="O110" s="20" t="n">
        <v>0.47</v>
      </c>
      <c r="P110" s="72">
        <f>I110*O110</f>
        <v/>
      </c>
      <c r="Q110" s="73" t="n">
        <v>72</v>
      </c>
      <c r="R110" s="72">
        <f>I110*$I$8</f>
        <v/>
      </c>
      <c r="S110" s="73" t="n">
        <v>25</v>
      </c>
      <c r="T110" s="72">
        <f>I110*$I$4</f>
        <v/>
      </c>
      <c r="U110" s="72">
        <f>K110*$I$3</f>
        <v/>
      </c>
      <c r="V110" s="74" t="n">
        <v>0.9</v>
      </c>
      <c r="W110" s="73" t="n">
        <v>72</v>
      </c>
      <c r="X110" s="72">
        <f>W110*(1-V110)</f>
        <v/>
      </c>
      <c r="Y110" s="75" t="n">
        <v>1.1</v>
      </c>
      <c r="Z110" s="72">
        <f>$I$6*$I$7*Y110</f>
        <v/>
      </c>
      <c r="AA110" s="19">
        <f>Y110*($I$9+$I$10)</f>
        <v/>
      </c>
      <c r="AB110" s="20" t="n">
        <v>0.07000000000000001</v>
      </c>
      <c r="AC110" s="72">
        <f>I110*AB110</f>
        <v/>
      </c>
      <c r="AD110" s="74" t="n">
        <v>0.08</v>
      </c>
      <c r="AE110" s="72">
        <f>I110*AD110</f>
        <v/>
      </c>
      <c r="AF110" s="72">
        <f>AC110+AE110</f>
        <v/>
      </c>
      <c r="AG110" s="25">
        <f>AF110/I110</f>
        <v/>
      </c>
      <c r="AH110" s="26">
        <f>I110-P110-Q110-R110-S110-T110-U110-X110-Z110-AA110-N110-AM110-AN110</f>
        <v/>
      </c>
      <c r="AI110" s="76">
        <f>AH110-AF110</f>
        <v/>
      </c>
      <c r="AJ110" s="77">
        <f>AI110/I110</f>
        <v/>
      </c>
      <c r="AK110" s="78">
        <f>AI110/N110</f>
        <v/>
      </c>
      <c r="AL110" s="72">
        <f>(Q110+S110+X110+Z110+AA110+N110+AM110)/(1-(O110+$I$4+(1-J110)*$I$3+$I$8+$I$11+AB110+AD110))</f>
        <v/>
      </c>
      <c r="AM110" s="72">
        <f>$I$12</f>
        <v/>
      </c>
      <c r="AN110" s="72">
        <f>I110*$I$11</f>
        <v/>
      </c>
    </row>
    <row r="111" ht="29" customHeight="1">
      <c r="A111" s="66" t="inlineStr">
        <is>
          <t>PETITFEE - Black Pearl &amp; Gold Hydrogel Mask Pack [5pcs] / Гидрогелевая маска для лица с черным жемчугом и золотом</t>
        </is>
      </c>
      <c r="B111" s="96" t="n"/>
      <c r="C111" s="67" t="n"/>
      <c r="D111" s="68" t="n"/>
      <c r="E111" s="92" t="n">
        <v>543</v>
      </c>
      <c r="F111" s="69" t="n">
        <v>2225</v>
      </c>
      <c r="G111" s="69" t="n">
        <v>156</v>
      </c>
      <c r="H111" s="69" t="n">
        <v>23</v>
      </c>
      <c r="I111" s="69">
        <f>(1.20*N111+Q111+S111+X111+Z111+AA111+AM111)/(1-O111-$I$8-$I$4-(1-J111)*$I$3-$I$11-AB111-AD111)</f>
        <v/>
      </c>
      <c r="J111" s="15" t="n">
        <v>0.45</v>
      </c>
      <c r="K111" s="16">
        <f>I111*(1-J111)</f>
        <v/>
      </c>
      <c r="L111" s="70" t="n">
        <v>478.05</v>
      </c>
      <c r="M111" s="71">
        <f>$I$5</f>
        <v/>
      </c>
      <c r="N111" s="19">
        <f>L111+M111</f>
        <v/>
      </c>
      <c r="O111" s="20" t="n">
        <v>0.47</v>
      </c>
      <c r="P111" s="72">
        <f>I111*O111</f>
        <v/>
      </c>
      <c r="Q111" s="73" t="n">
        <v>72</v>
      </c>
      <c r="R111" s="72">
        <f>I111*$I$8</f>
        <v/>
      </c>
      <c r="S111" s="73" t="n">
        <v>25</v>
      </c>
      <c r="T111" s="72">
        <f>I111*$I$4</f>
        <v/>
      </c>
      <c r="U111" s="72">
        <f>K111*$I$3</f>
        <v/>
      </c>
      <c r="V111" s="74" t="n">
        <v>0.9</v>
      </c>
      <c r="W111" s="73" t="n">
        <v>72</v>
      </c>
      <c r="X111" s="72">
        <f>W111*(1-V111)</f>
        <v/>
      </c>
      <c r="Y111" s="75" t="n">
        <v>1.1</v>
      </c>
      <c r="Z111" s="72">
        <f>$I$6*$I$7*Y111</f>
        <v/>
      </c>
      <c r="AA111" s="19">
        <f>Y111*($I$9+$I$10)</f>
        <v/>
      </c>
      <c r="AB111" s="20" t="n">
        <v>0.07000000000000001</v>
      </c>
      <c r="AC111" s="72">
        <f>I111*AB111</f>
        <v/>
      </c>
      <c r="AD111" s="74" t="n">
        <v>0.08</v>
      </c>
      <c r="AE111" s="72">
        <f>I111*AD111</f>
        <v/>
      </c>
      <c r="AF111" s="72">
        <f>AC111+AE111</f>
        <v/>
      </c>
      <c r="AG111" s="25">
        <f>AF111/I111</f>
        <v/>
      </c>
      <c r="AH111" s="26">
        <f>I111-P111-Q111-R111-S111-T111-U111-X111-Z111-AA111-N111-AM111-AN111</f>
        <v/>
      </c>
      <c r="AI111" s="76">
        <f>AH111-AF111</f>
        <v/>
      </c>
      <c r="AJ111" s="77">
        <f>AI111/I111</f>
        <v/>
      </c>
      <c r="AK111" s="78">
        <f>AI111/N111</f>
        <v/>
      </c>
      <c r="AL111" s="72">
        <f>(Q111+S111+X111+Z111+AA111+N111+AM111)/(1-(O111+$I$4+(1-J111)*$I$3+$I$8+$I$11+AB111+AD111))</f>
        <v/>
      </c>
      <c r="AM111" s="72">
        <f>$I$12</f>
        <v/>
      </c>
      <c r="AN111" s="72">
        <f>I111*$I$11</f>
        <v/>
      </c>
    </row>
    <row r="112">
      <c r="A112" s="64" t="inlineStr">
        <is>
          <t>Косметика/ROUND LAB</t>
        </is>
      </c>
      <c r="B112" s="95" t="n"/>
      <c r="C112" s="65" t="n"/>
      <c r="D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  <c r="Z112" s="65" t="n"/>
      <c r="AA112" s="65" t="n"/>
      <c r="AB112" s="65" t="n"/>
      <c r="AC112" s="65" t="n"/>
      <c r="AD112" s="65" t="n"/>
      <c r="AE112" s="65" t="n"/>
      <c r="AF112" s="65" t="n"/>
      <c r="AG112" s="65" t="n"/>
      <c r="AH112" s="65" t="n"/>
      <c r="AI112" s="65" t="n"/>
      <c r="AJ112" s="65" t="n"/>
      <c r="AK112" s="65" t="n"/>
      <c r="AL112" s="65" t="n"/>
      <c r="AM112" s="65" t="n"/>
      <c r="AN112" s="65" t="n"/>
    </row>
    <row r="113">
      <c r="A113" s="66" t="inlineStr">
        <is>
          <t>ROUND LAB 1025 DOKDO CLEANSER_150ml</t>
        </is>
      </c>
      <c r="B113" s="96" t="n"/>
      <c r="C113" s="67" t="n"/>
      <c r="D113" s="68" t="n"/>
      <c r="E113" s="101" t="n">
        <v>7158</v>
      </c>
      <c r="F113" s="69" t="n">
        <v>2335</v>
      </c>
      <c r="G113" s="69" t="n">
        <v>4000</v>
      </c>
      <c r="H113" s="69" t="n">
        <v>3</v>
      </c>
      <c r="I113" s="69">
        <f>(1.20*N113+Q113+S113+X113+Z113+AA113+AM113)/(1-O113-$I$8-$I$4-(1-J113)*$I$3-$I$11-AB113-AD113)</f>
        <v/>
      </c>
      <c r="J113" s="15" t="n">
        <v>0.45</v>
      </c>
      <c r="K113" s="16">
        <f>I113*(1-J113)</f>
        <v/>
      </c>
      <c r="L113" s="70" t="n">
        <v>463.19</v>
      </c>
      <c r="M113" s="71">
        <f>$I$5</f>
        <v/>
      </c>
      <c r="N113" s="19">
        <f>L113+M113</f>
        <v/>
      </c>
      <c r="O113" s="20" t="n">
        <v>0.47</v>
      </c>
      <c r="P113" s="72">
        <f>I113*O113</f>
        <v/>
      </c>
      <c r="Q113" s="73" t="n">
        <v>74</v>
      </c>
      <c r="R113" s="72">
        <f>I113*$I$8</f>
        <v/>
      </c>
      <c r="S113" s="73" t="n">
        <v>25</v>
      </c>
      <c r="T113" s="72">
        <f>I113*$I$4</f>
        <v/>
      </c>
      <c r="U113" s="72">
        <f>K113*$I$3</f>
        <v/>
      </c>
      <c r="V113" s="74" t="n">
        <v>0.9</v>
      </c>
      <c r="W113" s="73" t="n">
        <v>74</v>
      </c>
      <c r="X113" s="72">
        <f>W113*(1-V113)</f>
        <v/>
      </c>
      <c r="Y113" s="75" t="n">
        <v>1.28</v>
      </c>
      <c r="Z113" s="72">
        <f>$I$6*$I$7*Y113</f>
        <v/>
      </c>
      <c r="AA113" s="19">
        <f>Y113*($I$9+$I$10)</f>
        <v/>
      </c>
      <c r="AB113" s="20" t="n">
        <v>0.07000000000000001</v>
      </c>
      <c r="AC113" s="72">
        <f>I113*AB113</f>
        <v/>
      </c>
      <c r="AD113" s="74" t="n">
        <v>0.08</v>
      </c>
      <c r="AE113" s="72">
        <f>I113*AD113</f>
        <v/>
      </c>
      <c r="AF113" s="72">
        <f>AC113+AE113</f>
        <v/>
      </c>
      <c r="AG113" s="25">
        <f>AF113/I113</f>
        <v/>
      </c>
      <c r="AH113" s="26">
        <f>I113-P113-Q113-R113-S113-T113-U113-X113-Z113-AA113-N113-AM113-AN113</f>
        <v/>
      </c>
      <c r="AI113" s="76">
        <f>AH113-AF113</f>
        <v/>
      </c>
      <c r="AJ113" s="77">
        <f>AI113/I113</f>
        <v/>
      </c>
      <c r="AK113" s="78">
        <f>AI113/N113</f>
        <v/>
      </c>
      <c r="AL113" s="72">
        <f>(Q113+S113+X113+Z113+AA113+N113+AM113)/(1-(O113+$I$4+(1-J113)*$I$3+$I$8+$I$11+AB113+AD113))</f>
        <v/>
      </c>
      <c r="AM113" s="72">
        <f>$I$12</f>
        <v/>
      </c>
      <c r="AN113" s="72">
        <f>I113*$I$11</f>
        <v/>
      </c>
    </row>
    <row r="114" ht="29" customHeight="1">
      <c r="A114" s="79" t="inlineStr">
        <is>
          <t>ROUND LAB BIRCH JUICE MOISTURIZING CREAM_80ml -Увлажняющий крем с березовым соком</t>
        </is>
      </c>
      <c r="B114" s="97" t="inlineStr">
        <is>
          <t>ФБС</t>
        </is>
      </c>
      <c r="C114" s="80" t="n"/>
      <c r="D114" s="80" t="n"/>
      <c r="E114" s="92" t="n">
        <v>260</v>
      </c>
      <c r="F114" s="81" t="n"/>
      <c r="G114" s="81" t="n"/>
      <c r="H114" s="81" t="n"/>
      <c r="I114" s="81" t="n"/>
      <c r="J114" s="32" t="n"/>
      <c r="K114" s="33" t="n"/>
      <c r="L114" s="82" t="n"/>
      <c r="M114" s="82" t="n"/>
      <c r="N114" s="35" t="n"/>
      <c r="O114" s="36" t="n"/>
      <c r="P114" s="81" t="n"/>
      <c r="Q114" s="81" t="n"/>
      <c r="R114" s="81" t="n"/>
      <c r="S114" s="81" t="n"/>
      <c r="T114" s="81" t="n"/>
      <c r="U114" s="81" t="n"/>
      <c r="V114" s="83" t="n"/>
      <c r="W114" s="81" t="n"/>
      <c r="X114" s="81" t="n"/>
      <c r="Y114" s="84" t="n"/>
      <c r="Z114" s="81" t="n"/>
      <c r="AA114" s="35" t="n"/>
      <c r="AB114" s="36" t="n"/>
      <c r="AC114" s="81" t="n"/>
      <c r="AD114" s="83" t="n"/>
      <c r="AE114" s="81" t="n"/>
      <c r="AF114" s="81" t="n"/>
      <c r="AG114" s="39" t="n"/>
      <c r="AH114" s="40" t="n"/>
      <c r="AI114" s="81" t="n"/>
      <c r="AJ114" s="83" t="n"/>
      <c r="AK114" s="83" t="n"/>
      <c r="AL114" s="81" t="n"/>
      <c r="AM114" s="81" t="n"/>
      <c r="AN114" s="81" t="n"/>
    </row>
    <row r="115" ht="29" customHeight="1">
      <c r="A115" s="66" t="inlineStr">
        <is>
          <t>ROUND LAB MUGWORT CALMING CLEANSER_150ml - Очищающая пенка для умывания лица от прыщей и акне</t>
        </is>
      </c>
      <c r="B115" s="96" t="inlineStr">
        <is>
          <t>ФБС</t>
        </is>
      </c>
      <c r="C115" s="67" t="n"/>
      <c r="D115" s="68" t="n"/>
      <c r="E115" s="101" t="n">
        <v>1422</v>
      </c>
      <c r="F115" s="69" t="n"/>
      <c r="G115" s="69" t="n"/>
      <c r="H115" s="69" t="n"/>
      <c r="I115" s="69">
        <f>(1.20*N115+Q115+S115+X115+Z115+AA115+AM115)/(1-O115-$I$8-$I$4-(1-J115)*$I$3-$I$11-AB115-AD115)</f>
        <v/>
      </c>
      <c r="J115" s="15" t="n">
        <v>0.45</v>
      </c>
      <c r="K115" s="16">
        <f>I115*(1-J115)</f>
        <v/>
      </c>
      <c r="L115" s="70" t="n">
        <v>512.3200000000001</v>
      </c>
      <c r="M115" s="71">
        <f>$I$5</f>
        <v/>
      </c>
      <c r="N115" s="19">
        <f>L115+M115</f>
        <v/>
      </c>
      <c r="O115" s="20" t="n">
        <v>0.47</v>
      </c>
      <c r="P115" s="72">
        <f>I115*O115</f>
        <v/>
      </c>
      <c r="Q115" s="73" t="n">
        <v>67</v>
      </c>
      <c r="R115" s="72">
        <f>I115*$I$8</f>
        <v/>
      </c>
      <c r="S115" s="73" t="n">
        <v>25</v>
      </c>
      <c r="T115" s="72">
        <f>I115*$I$4</f>
        <v/>
      </c>
      <c r="U115" s="72">
        <f>K115*$I$3</f>
        <v/>
      </c>
      <c r="V115" s="74" t="n">
        <v>0.9</v>
      </c>
      <c r="W115" s="73" t="n">
        <v>67</v>
      </c>
      <c r="X115" s="72">
        <f>W115*(1-V115)</f>
        <v/>
      </c>
      <c r="Y115" s="75" t="n">
        <v>0.8</v>
      </c>
      <c r="Z115" s="72">
        <f>$I$6*$I$7*Y115</f>
        <v/>
      </c>
      <c r="AA115" s="19">
        <f>Y115*($I$9+$I$10)</f>
        <v/>
      </c>
      <c r="AB115" s="20" t="n">
        <v>0.07000000000000001</v>
      </c>
      <c r="AC115" s="72">
        <f>I115*AB115</f>
        <v/>
      </c>
      <c r="AD115" s="74" t="n">
        <v>0.08</v>
      </c>
      <c r="AE115" s="72">
        <f>I115*AD115</f>
        <v/>
      </c>
      <c r="AF115" s="72">
        <f>AC115+AE115</f>
        <v/>
      </c>
      <c r="AG115" s="25">
        <f>AF115/I115</f>
        <v/>
      </c>
      <c r="AH115" s="26">
        <f>I115-P115-Q115-R115-S115-T115-U115-X115-Z115-AA115-N115-AM115-AN115</f>
        <v/>
      </c>
      <c r="AI115" s="76">
        <f>AH115-AF115</f>
        <v/>
      </c>
      <c r="AJ115" s="77">
        <f>AI115/I115</f>
        <v/>
      </c>
      <c r="AK115" s="78">
        <f>AI115/N115</f>
        <v/>
      </c>
      <c r="AL115" s="72">
        <f>(Q115+S115+X115+Z115+AA115+N115+AM115)/(1-(O115+$I$4+(1-J115)*$I$3+$I$8+$I$11+AB115+AD115))</f>
        <v/>
      </c>
      <c r="AM115" s="72">
        <f>$I$12</f>
        <v/>
      </c>
      <c r="AN115" s="72">
        <f>I115*$I$11</f>
        <v/>
      </c>
    </row>
    <row r="116" ht="29" customHeight="1">
      <c r="A116" s="79" t="inlineStr">
        <is>
          <t>ROUND LAB SOYBEAN PANTHENOL CREAM_80ml - Крем для лица с чёрной соей и пантенолом успокаивающий</t>
        </is>
      </c>
      <c r="B116" s="97" t="inlineStr">
        <is>
          <t>ФБС</t>
        </is>
      </c>
      <c r="C116" s="80" t="n"/>
      <c r="D116" s="80" t="n"/>
      <c r="E116" s="92" t="n">
        <v>150</v>
      </c>
      <c r="F116" s="81" t="n"/>
      <c r="G116" s="81" t="n"/>
      <c r="H116" s="81" t="n"/>
      <c r="I116" s="81" t="n"/>
      <c r="J116" s="32" t="n"/>
      <c r="K116" s="33" t="n"/>
      <c r="L116" s="82" t="n"/>
      <c r="M116" s="82" t="n"/>
      <c r="N116" s="35" t="n"/>
      <c r="O116" s="36" t="n"/>
      <c r="P116" s="81" t="n"/>
      <c r="Q116" s="81" t="n"/>
      <c r="R116" s="81" t="n"/>
      <c r="S116" s="81" t="n"/>
      <c r="T116" s="81" t="n"/>
      <c r="U116" s="81" t="n"/>
      <c r="V116" s="83" t="n"/>
      <c r="W116" s="81" t="n"/>
      <c r="X116" s="81" t="n"/>
      <c r="Y116" s="84" t="n"/>
      <c r="Z116" s="81" t="n"/>
      <c r="AA116" s="35" t="n"/>
      <c r="AB116" s="36" t="n"/>
      <c r="AC116" s="81" t="n"/>
      <c r="AD116" s="83" t="n"/>
      <c r="AE116" s="81" t="n"/>
      <c r="AF116" s="81" t="n"/>
      <c r="AG116" s="39" t="n"/>
      <c r="AH116" s="40" t="n"/>
      <c r="AI116" s="81" t="n"/>
      <c r="AJ116" s="83" t="n"/>
      <c r="AK116" s="83" t="n"/>
      <c r="AL116" s="81" t="n"/>
      <c r="AM116" s="81" t="n"/>
      <c r="AN116" s="81" t="n"/>
    </row>
    <row r="117" ht="29" customHeight="1">
      <c r="A117" s="79" t="inlineStr">
        <is>
          <t>ROUND LAB PINE CALMING CICA AMPOULE_30ml - Сыворотка для жирной кожи лица увлажняющая с центеллой</t>
        </is>
      </c>
      <c r="B117" s="97" t="inlineStr">
        <is>
          <t>ФБС</t>
        </is>
      </c>
      <c r="C117" s="80" t="n"/>
      <c r="D117" s="80" t="n"/>
      <c r="E117" s="92" t="n">
        <v>37</v>
      </c>
      <c r="F117" s="81" t="n"/>
      <c r="G117" s="81" t="n"/>
      <c r="H117" s="81" t="n"/>
      <c r="I117" s="81" t="n"/>
      <c r="J117" s="32" t="n"/>
      <c r="K117" s="33" t="n"/>
      <c r="L117" s="82" t="n"/>
      <c r="M117" s="82" t="n"/>
      <c r="N117" s="35" t="n"/>
      <c r="O117" s="36" t="n"/>
      <c r="P117" s="81" t="n"/>
      <c r="Q117" s="81" t="n"/>
      <c r="R117" s="81" t="n"/>
      <c r="S117" s="81" t="n"/>
      <c r="T117" s="81" t="n"/>
      <c r="U117" s="81" t="n"/>
      <c r="V117" s="83" t="n"/>
      <c r="W117" s="81" t="n"/>
      <c r="X117" s="81" t="n"/>
      <c r="Y117" s="84" t="n"/>
      <c r="Z117" s="81" t="n"/>
      <c r="AA117" s="35" t="n"/>
      <c r="AB117" s="36" t="n"/>
      <c r="AC117" s="81" t="n"/>
      <c r="AD117" s="83" t="n"/>
      <c r="AE117" s="81" t="n"/>
      <c r="AF117" s="81" t="n"/>
      <c r="AG117" s="39" t="n"/>
      <c r="AH117" s="40" t="n"/>
      <c r="AI117" s="81" t="n"/>
      <c r="AJ117" s="83" t="n"/>
      <c r="AK117" s="83" t="n"/>
      <c r="AL117" s="81" t="n"/>
      <c r="AM117" s="81" t="n"/>
      <c r="AN117" s="81" t="n"/>
    </row>
    <row r="118">
      <c r="A118" s="66" t="inlineStr">
        <is>
          <t>ROUND LAB 1025 DOKDO TONER_200ml</t>
        </is>
      </c>
      <c r="B118" s="98" t="n"/>
      <c r="C118" s="85" t="n"/>
      <c r="D118" s="45" t="n"/>
      <c r="E118" s="92" t="n">
        <v>998</v>
      </c>
      <c r="F118" s="69" t="n">
        <v>3400</v>
      </c>
      <c r="G118" s="69" t="n">
        <v>260</v>
      </c>
      <c r="H118" s="69" t="n">
        <v>2</v>
      </c>
      <c r="I118" s="69">
        <f>(1.20*N118+Q118+S118+X118+Z118+AA118+AM118)/(1-O118-$I$8-$I$4-(1-J118)*$I$3-$I$11-AB118-AD118)</f>
        <v/>
      </c>
      <c r="J118" s="15" t="n">
        <v>0.45</v>
      </c>
      <c r="K118" s="16">
        <f>I118*(1-J118)</f>
        <v/>
      </c>
      <c r="L118" s="70" t="n">
        <v>463.19</v>
      </c>
      <c r="M118" s="71">
        <f>$I$5</f>
        <v/>
      </c>
      <c r="N118" s="19">
        <f>L118+M118</f>
        <v/>
      </c>
      <c r="O118" s="20" t="n">
        <v>0.47</v>
      </c>
      <c r="P118" s="72">
        <f>I118*O118</f>
        <v/>
      </c>
      <c r="Q118" s="73" t="n">
        <v>74</v>
      </c>
      <c r="R118" s="72">
        <f>I118*$I$8</f>
        <v/>
      </c>
      <c r="S118" s="73" t="n">
        <v>25</v>
      </c>
      <c r="T118" s="72">
        <f>I118*$I$4</f>
        <v/>
      </c>
      <c r="U118" s="72">
        <f>K118*$I$3</f>
        <v/>
      </c>
      <c r="V118" s="74" t="n">
        <v>0.9</v>
      </c>
      <c r="W118" s="73" t="n">
        <v>74</v>
      </c>
      <c r="X118" s="72">
        <f>W118*(1-V118)</f>
        <v/>
      </c>
      <c r="Y118" s="75" t="n">
        <v>1.28</v>
      </c>
      <c r="Z118" s="72">
        <f>$I$6*$I$7*Y118</f>
        <v/>
      </c>
      <c r="AA118" s="19">
        <f>Y118*($I$9+$I$10)</f>
        <v/>
      </c>
      <c r="AB118" s="20" t="n">
        <v>0.07000000000000001</v>
      </c>
      <c r="AC118" s="72">
        <f>I118*AB118</f>
        <v/>
      </c>
      <c r="AD118" s="74" t="n">
        <v>0.08</v>
      </c>
      <c r="AE118" s="72">
        <f>I118*AD118</f>
        <v/>
      </c>
      <c r="AF118" s="72">
        <f>AC118+AE118</f>
        <v/>
      </c>
      <c r="AG118" s="25">
        <f>AF118/I118</f>
        <v/>
      </c>
      <c r="AH118" s="26">
        <f>I118-P118-Q118-R118-S118-T118-U118-X118-Z118-AA118-N118-AM118-AN118</f>
        <v/>
      </c>
      <c r="AI118" s="76">
        <f>AH118-AF118</f>
        <v/>
      </c>
      <c r="AJ118" s="77">
        <f>AI118/I118</f>
        <v/>
      </c>
      <c r="AK118" s="78">
        <f>AI118/N118</f>
        <v/>
      </c>
      <c r="AL118" s="72">
        <f>(Q118+S118+X118+Z118+AA118+N118+AM118)/(1-(O118+$I$4+(1-J118)*$I$3+$I$8+$I$11+AB118+AD118))</f>
        <v/>
      </c>
      <c r="AM118" s="72">
        <f>$I$12</f>
        <v/>
      </c>
      <c r="AN118" s="72">
        <f>I118*$I$11</f>
        <v/>
      </c>
    </row>
    <row r="119">
      <c r="A119" s="64" t="inlineStr">
        <is>
          <t>Косметика/SKIN1004</t>
        </is>
      </c>
      <c r="B119" s="95" t="n"/>
      <c r="C119" s="65" t="n"/>
      <c r="D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  <c r="Y119" s="65" t="n"/>
      <c r="Z119" s="65" t="n"/>
      <c r="AA119" s="65" t="n"/>
      <c r="AB119" s="65" t="n"/>
      <c r="AC119" s="65" t="n"/>
      <c r="AD119" s="65" t="n"/>
      <c r="AE119" s="65" t="n"/>
      <c r="AF119" s="65" t="n"/>
      <c r="AG119" s="65" t="n"/>
      <c r="AH119" s="65" t="n"/>
      <c r="AI119" s="65" t="n"/>
      <c r="AJ119" s="65" t="n"/>
      <c r="AK119" s="65" t="n"/>
      <c r="AL119" s="65" t="n"/>
      <c r="AM119" s="65" t="n"/>
      <c r="AN119" s="65" t="n"/>
    </row>
    <row r="120" ht="29" customHeight="1">
      <c r="A120" s="79" t="inlineStr">
        <is>
          <t>SKIN1004 - Madagascar Centella Ampoule [30ml] / Сыворотка для лица успокаивающая из экстракта центеллы.</t>
        </is>
      </c>
      <c r="B120" s="97" t="inlineStr">
        <is>
          <t>ФБС</t>
        </is>
      </c>
      <c r="C120" s="80" t="n"/>
      <c r="D120" s="80" t="n"/>
      <c r="E120" s="92" t="n">
        <v>30</v>
      </c>
      <c r="F120" s="81" t="n"/>
      <c r="G120" s="81" t="n"/>
      <c r="H120" s="81" t="n"/>
      <c r="I120" s="81" t="n"/>
      <c r="J120" s="32" t="n"/>
      <c r="K120" s="33" t="n"/>
      <c r="L120" s="82" t="n"/>
      <c r="M120" s="82" t="n"/>
      <c r="N120" s="35" t="n"/>
      <c r="O120" s="36" t="n"/>
      <c r="P120" s="81" t="n"/>
      <c r="Q120" s="81" t="n"/>
      <c r="R120" s="81" t="n"/>
      <c r="S120" s="81" t="n"/>
      <c r="T120" s="81" t="n"/>
      <c r="U120" s="81" t="n"/>
      <c r="V120" s="83" t="n"/>
      <c r="W120" s="81" t="n"/>
      <c r="X120" s="81" t="n"/>
      <c r="Y120" s="84" t="n"/>
      <c r="Z120" s="81" t="n"/>
      <c r="AA120" s="35" t="n"/>
      <c r="AB120" s="36" t="n"/>
      <c r="AC120" s="81" t="n"/>
      <c r="AD120" s="83" t="n"/>
      <c r="AE120" s="81" t="n"/>
      <c r="AF120" s="81" t="n"/>
      <c r="AG120" s="39" t="n"/>
      <c r="AH120" s="40" t="n"/>
      <c r="AI120" s="81" t="n"/>
      <c r="AJ120" s="83" t="n"/>
      <c r="AK120" s="83" t="n"/>
      <c r="AL120" s="81" t="n"/>
      <c r="AM120" s="81" t="n"/>
      <c r="AN120" s="81" t="n"/>
    </row>
    <row r="121" ht="29" customHeight="1">
      <c r="A121" s="79" t="inlineStr">
        <is>
          <t>SKIN1004 - Madagascar Centella Hyalu-Cica Sleeping Pack [30ml] / Увлажняющая гиалуроновая ночная маска для сухой кожи</t>
        </is>
      </c>
      <c r="B121" s="97" t="inlineStr">
        <is>
          <t>ФБС</t>
        </is>
      </c>
      <c r="C121" s="80" t="n"/>
      <c r="D121" s="80" t="n"/>
      <c r="E121" s="92" t="n">
        <v>22</v>
      </c>
      <c r="F121" s="81" t="n"/>
      <c r="G121" s="81" t="n"/>
      <c r="H121" s="81" t="n"/>
      <c r="I121" s="81" t="n"/>
      <c r="J121" s="32" t="n"/>
      <c r="K121" s="33" t="n"/>
      <c r="L121" s="82" t="n"/>
      <c r="M121" s="82" t="n"/>
      <c r="N121" s="35" t="n"/>
      <c r="O121" s="36" t="n"/>
      <c r="P121" s="81" t="n"/>
      <c r="Q121" s="81" t="n"/>
      <c r="R121" s="81" t="n"/>
      <c r="S121" s="81" t="n"/>
      <c r="T121" s="81" t="n"/>
      <c r="U121" s="81" t="n"/>
      <c r="V121" s="83" t="n"/>
      <c r="W121" s="81" t="n"/>
      <c r="X121" s="81" t="n"/>
      <c r="Y121" s="84" t="n"/>
      <c r="Z121" s="81" t="n"/>
      <c r="AA121" s="35" t="n"/>
      <c r="AB121" s="36" t="n"/>
      <c r="AC121" s="81" t="n"/>
      <c r="AD121" s="83" t="n"/>
      <c r="AE121" s="81" t="n"/>
      <c r="AF121" s="81" t="n"/>
      <c r="AG121" s="39" t="n"/>
      <c r="AH121" s="40" t="n"/>
      <c r="AI121" s="81" t="n"/>
      <c r="AJ121" s="83" t="n"/>
      <c r="AK121" s="83" t="n"/>
      <c r="AL121" s="81" t="n"/>
      <c r="AM121" s="81" t="n"/>
      <c r="AN121" s="81" t="n"/>
    </row>
    <row r="122">
      <c r="A122" s="64" t="inlineStr">
        <is>
          <t>Косметика/SOMEBYMI</t>
        </is>
      </c>
      <c r="B122" s="95" t="n"/>
      <c r="C122" s="65" t="n"/>
      <c r="D122" s="65" t="n"/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  <c r="Z122" s="65" t="n"/>
      <c r="AA122" s="65" t="n"/>
      <c r="AB122" s="65" t="n"/>
      <c r="AC122" s="65" t="n"/>
      <c r="AD122" s="65" t="n"/>
      <c r="AE122" s="65" t="n"/>
      <c r="AF122" s="65" t="n"/>
      <c r="AG122" s="65" t="n"/>
      <c r="AH122" s="65" t="n"/>
      <c r="AI122" s="65" t="n"/>
      <c r="AJ122" s="65" t="n"/>
      <c r="AK122" s="65" t="n"/>
      <c r="AL122" s="65" t="n"/>
      <c r="AM122" s="65" t="n"/>
      <c r="AN122" s="65" t="n"/>
    </row>
    <row r="123" ht="29" customHeight="1">
      <c r="A123" s="79" t="inlineStr">
        <is>
          <t>SOME BY MI - AHA-BHA-PHA 30 Days Miracle Cleansing Bar [106g] / Мыло для проблемной кожи с aha bha кислотами</t>
        </is>
      </c>
      <c r="B123" s="97" t="n"/>
      <c r="C123" s="80" t="n"/>
      <c r="D123" s="80" t="n"/>
      <c r="E123" s="92" t="n">
        <v>527</v>
      </c>
      <c r="F123" s="81" t="n"/>
      <c r="G123" s="81" t="n"/>
      <c r="H123" s="81" t="n"/>
      <c r="I123" s="81" t="n"/>
      <c r="J123" s="32" t="n"/>
      <c r="K123" s="33" t="n"/>
      <c r="L123" s="82" t="n"/>
      <c r="M123" s="82" t="n"/>
      <c r="N123" s="35" t="n"/>
      <c r="O123" s="36" t="n"/>
      <c r="P123" s="81" t="n"/>
      <c r="Q123" s="81" t="n"/>
      <c r="R123" s="81" t="n"/>
      <c r="S123" s="81" t="n"/>
      <c r="T123" s="81" t="n"/>
      <c r="U123" s="81" t="n"/>
      <c r="V123" s="83" t="n"/>
      <c r="W123" s="81" t="n"/>
      <c r="X123" s="81" t="n"/>
      <c r="Y123" s="84" t="n"/>
      <c r="Z123" s="81" t="n"/>
      <c r="AA123" s="35" t="n"/>
      <c r="AB123" s="36" t="n"/>
      <c r="AC123" s="81" t="n"/>
      <c r="AD123" s="83" t="n"/>
      <c r="AE123" s="81" t="n"/>
      <c r="AF123" s="81" t="n"/>
      <c r="AG123" s="39" t="n"/>
      <c r="AH123" s="40" t="n"/>
      <c r="AI123" s="81" t="n"/>
      <c r="AJ123" s="83" t="n"/>
      <c r="AK123" s="83" t="n"/>
      <c r="AL123" s="81" t="n"/>
      <c r="AM123" s="81" t="n"/>
      <c r="AN123" s="81" t="n"/>
    </row>
    <row r="124" ht="29" customHeight="1">
      <c r="A124" s="79" t="inlineStr">
        <is>
          <t>SOME BY MI - AHA-BHA-PHA 30 Days Miracle Cream [60g] / Крем для лица</t>
        </is>
      </c>
      <c r="B124" s="97" t="n"/>
      <c r="C124" s="80" t="n"/>
      <c r="D124" s="80" t="n"/>
      <c r="E124" s="92" t="n">
        <v>55</v>
      </c>
      <c r="F124" s="81" t="n"/>
      <c r="G124" s="81" t="n"/>
      <c r="H124" s="81" t="n"/>
      <c r="I124" s="81" t="n"/>
      <c r="J124" s="32" t="n"/>
      <c r="K124" s="33" t="n"/>
      <c r="L124" s="82" t="n"/>
      <c r="M124" s="82" t="n"/>
      <c r="N124" s="35" t="n"/>
      <c r="O124" s="36" t="n"/>
      <c r="P124" s="81" t="n"/>
      <c r="Q124" s="81" t="n"/>
      <c r="R124" s="81" t="n"/>
      <c r="S124" s="81" t="n"/>
      <c r="T124" s="81" t="n"/>
      <c r="U124" s="81" t="n"/>
      <c r="V124" s="83" t="n"/>
      <c r="W124" s="81" t="n"/>
      <c r="X124" s="81" t="n"/>
      <c r="Y124" s="84" t="n"/>
      <c r="Z124" s="81" t="n"/>
      <c r="AA124" s="35" t="n"/>
      <c r="AB124" s="36" t="n"/>
      <c r="AC124" s="81" t="n"/>
      <c r="AD124" s="83" t="n"/>
      <c r="AE124" s="81" t="n"/>
      <c r="AF124" s="81" t="n"/>
      <c r="AG124" s="39" t="n"/>
      <c r="AH124" s="40" t="n"/>
      <c r="AI124" s="81" t="n"/>
      <c r="AJ124" s="83" t="n"/>
      <c r="AK124" s="83" t="n"/>
      <c r="AL124" s="81" t="n"/>
      <c r="AM124" s="81" t="n"/>
      <c r="AN124" s="81" t="n"/>
    </row>
    <row r="125">
      <c r="A125" s="64" t="inlineStr">
        <is>
          <t>Косметика/TheOrdinary</t>
        </is>
      </c>
      <c r="B125" s="95" t="n"/>
      <c r="C125" s="65" t="n"/>
      <c r="D125" s="65" t="n"/>
      <c r="F125" s="65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65" t="n"/>
      <c r="X125" s="65" t="n"/>
      <c r="Y125" s="65" t="n"/>
      <c r="Z125" s="65" t="n"/>
      <c r="AA125" s="65" t="n"/>
      <c r="AB125" s="65" t="n"/>
      <c r="AC125" s="65" t="n"/>
      <c r="AD125" s="65" t="n"/>
      <c r="AE125" s="65" t="n"/>
      <c r="AF125" s="65" t="n"/>
      <c r="AG125" s="65" t="n"/>
      <c r="AH125" s="65" t="n"/>
      <c r="AI125" s="65" t="n"/>
      <c r="AJ125" s="65" t="n"/>
      <c r="AK125" s="65" t="n"/>
      <c r="AL125" s="65" t="n"/>
      <c r="AM125" s="65" t="n"/>
      <c r="AN125" s="65" t="n"/>
    </row>
    <row r="126" ht="29" customHeight="1">
      <c r="A126" s="79" t="inlineStr">
        <is>
          <t>THE ORDINARY - Argireline Solution 10% [30ml] / Сыворотка для лица от прыщей и акне с ниацинамидом 10 %</t>
        </is>
      </c>
      <c r="B126" s="97" t="n"/>
      <c r="C126" s="80" t="n"/>
      <c r="D126" s="80" t="n"/>
      <c r="E126" s="92" t="n">
        <v>117</v>
      </c>
      <c r="F126" s="81" t="n"/>
      <c r="G126" s="81" t="n"/>
      <c r="H126" s="81" t="n"/>
      <c r="I126" s="81" t="n"/>
      <c r="J126" s="32" t="n"/>
      <c r="K126" s="33" t="n"/>
      <c r="L126" s="82" t="n"/>
      <c r="M126" s="82" t="n"/>
      <c r="N126" s="35" t="n"/>
      <c r="O126" s="36" t="n"/>
      <c r="P126" s="81" t="n"/>
      <c r="Q126" s="81" t="n"/>
      <c r="R126" s="81" t="n"/>
      <c r="S126" s="81" t="n"/>
      <c r="T126" s="81" t="n"/>
      <c r="U126" s="81" t="n"/>
      <c r="V126" s="83" t="n"/>
      <c r="W126" s="81" t="n"/>
      <c r="X126" s="81" t="n"/>
      <c r="Y126" s="84" t="n"/>
      <c r="Z126" s="81" t="n"/>
      <c r="AA126" s="35" t="n"/>
      <c r="AB126" s="36" t="n"/>
      <c r="AC126" s="81" t="n"/>
      <c r="AD126" s="83" t="n"/>
      <c r="AE126" s="81" t="n"/>
      <c r="AF126" s="81" t="n"/>
      <c r="AG126" s="39" t="n"/>
      <c r="AH126" s="40" t="n"/>
      <c r="AI126" s="81" t="n"/>
      <c r="AJ126" s="83" t="n"/>
      <c r="AK126" s="83" t="n"/>
      <c r="AL126" s="81" t="n"/>
      <c r="AM126" s="81" t="n"/>
      <c r="AN126" s="81" t="n"/>
    </row>
    <row r="127" ht="29" customHeight="1">
      <c r="A127" s="79" t="inlineStr">
        <is>
          <t>THE ORDINARY - Glycolic Acid 7% Toning Solution [KOR] [240ml] / Тоник с гликолевой кислотой 7%</t>
        </is>
      </c>
      <c r="B127" s="97" t="n"/>
      <c r="C127" s="80" t="n"/>
      <c r="D127" s="80" t="n"/>
      <c r="E127" s="92" t="n">
        <v>32</v>
      </c>
      <c r="F127" s="81" t="n"/>
      <c r="G127" s="81" t="n"/>
      <c r="H127" s="81" t="n"/>
      <c r="I127" s="81" t="n"/>
      <c r="J127" s="32" t="n"/>
      <c r="K127" s="33" t="n"/>
      <c r="L127" s="82" t="n"/>
      <c r="M127" s="82" t="n"/>
      <c r="N127" s="35" t="n"/>
      <c r="O127" s="36" t="n"/>
      <c r="P127" s="81" t="n"/>
      <c r="Q127" s="81" t="n"/>
      <c r="R127" s="81" t="n"/>
      <c r="S127" s="81" t="n"/>
      <c r="T127" s="81" t="n"/>
      <c r="U127" s="81" t="n"/>
      <c r="V127" s="83" t="n"/>
      <c r="W127" s="81" t="n"/>
      <c r="X127" s="81" t="n"/>
      <c r="Y127" s="84" t="n"/>
      <c r="Z127" s="81" t="n"/>
      <c r="AA127" s="35" t="n"/>
      <c r="AB127" s="36" t="n"/>
      <c r="AC127" s="81" t="n"/>
      <c r="AD127" s="83" t="n"/>
      <c r="AE127" s="81" t="n"/>
      <c r="AF127" s="81" t="n"/>
      <c r="AG127" s="39" t="n"/>
      <c r="AH127" s="40" t="n"/>
      <c r="AI127" s="81" t="n"/>
      <c r="AJ127" s="83" t="n"/>
      <c r="AK127" s="83" t="n"/>
      <c r="AL127" s="81" t="n"/>
      <c r="AM127" s="81" t="n"/>
      <c r="AN127" s="81" t="n"/>
    </row>
    <row r="128">
      <c r="A128" s="64" t="inlineStr">
        <is>
          <t>Косметика/CELIMAX</t>
        </is>
      </c>
      <c r="B128" s="95" t="n"/>
      <c r="C128" s="65" t="n"/>
      <c r="D128" s="65" t="n"/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5" t="n"/>
      <c r="X128" s="65" t="n"/>
      <c r="Y128" s="65" t="n"/>
      <c r="Z128" s="65" t="n"/>
      <c r="AA128" s="65" t="n"/>
      <c r="AB128" s="65" t="n"/>
      <c r="AC128" s="65" t="n"/>
      <c r="AD128" s="65" t="n"/>
      <c r="AE128" s="65" t="n"/>
      <c r="AF128" s="65" t="n"/>
      <c r="AG128" s="65" t="n"/>
      <c r="AH128" s="65" t="n"/>
      <c r="AI128" s="65" t="n"/>
      <c r="AJ128" s="65" t="n"/>
      <c r="AK128" s="65" t="n"/>
      <c r="AL128" s="65" t="n"/>
      <c r="AM128" s="65" t="n"/>
      <c r="AN128" s="65" t="n"/>
    </row>
    <row r="129">
      <c r="A129" s="66" t="inlineStr">
        <is>
          <t>Celimax Dual Barrier Creamy Toner</t>
        </is>
      </c>
      <c r="B129" s="96" t="n"/>
      <c r="C129" s="67" t="n"/>
      <c r="D129" s="68" t="n"/>
      <c r="E129" s="101" t="n">
        <v>4929</v>
      </c>
      <c r="F129" s="69" t="n">
        <v>2600</v>
      </c>
      <c r="G129" s="69" t="n">
        <v>5500</v>
      </c>
      <c r="H129" s="69" t="inlineStr">
        <is>
          <t>10-15</t>
        </is>
      </c>
      <c r="I129" s="69">
        <f>(1.20*N129+Q129+S129+X129+Z129+AA129+AM129)/(1-O129-$I$8-$I$4-(1-J129)*$I$3-$I$11-AB129-AD129)</f>
        <v/>
      </c>
      <c r="J129" s="15" t="n">
        <v>0.45</v>
      </c>
      <c r="K129" s="16">
        <f>I129*(1-J129)</f>
        <v/>
      </c>
      <c r="L129" s="70" t="n">
        <v>663.86</v>
      </c>
      <c r="M129" s="71">
        <f>$I$5</f>
        <v/>
      </c>
      <c r="N129" s="19">
        <f>L129+M129</f>
        <v/>
      </c>
      <c r="O129" s="20" t="n">
        <v>0.47</v>
      </c>
      <c r="P129" s="72">
        <f>I129*O129</f>
        <v/>
      </c>
      <c r="Q129" s="73" t="n">
        <v>67</v>
      </c>
      <c r="R129" s="72">
        <f>I129*$I$8</f>
        <v/>
      </c>
      <c r="S129" s="73" t="n">
        <v>25</v>
      </c>
      <c r="T129" s="72">
        <f>I129*$I$4</f>
        <v/>
      </c>
      <c r="U129" s="72">
        <f>K129*$I$3</f>
        <v/>
      </c>
      <c r="V129" s="74" t="n">
        <v>0.9</v>
      </c>
      <c r="W129" s="73" t="n">
        <v>67</v>
      </c>
      <c r="X129" s="72">
        <f>W129*(1-V129)</f>
        <v/>
      </c>
      <c r="Y129" s="75" t="n">
        <v>0.735</v>
      </c>
      <c r="Z129" s="72">
        <f>$I$6*$I$7*Y129</f>
        <v/>
      </c>
      <c r="AA129" s="19">
        <f>Y129*($I$9+$I$10)</f>
        <v/>
      </c>
      <c r="AB129" s="20" t="n">
        <v>0.07000000000000001</v>
      </c>
      <c r="AC129" s="72">
        <f>I129*AB129</f>
        <v/>
      </c>
      <c r="AD129" s="74" t="n">
        <v>0.08</v>
      </c>
      <c r="AE129" s="72">
        <f>I129*AD129</f>
        <v/>
      </c>
      <c r="AF129" s="72">
        <f>AC129+AE129</f>
        <v/>
      </c>
      <c r="AG129" s="25">
        <f>AF129/I129</f>
        <v/>
      </c>
      <c r="AH129" s="26">
        <f>I129-P129-Q129-R129-S129-T129-U129-X129-Z129-AA129-N129-AM129-AN129</f>
        <v/>
      </c>
      <c r="AI129" s="76">
        <f>AH129-AF129</f>
        <v/>
      </c>
      <c r="AJ129" s="77">
        <f>AI129/I129</f>
        <v/>
      </c>
      <c r="AK129" s="78">
        <f>AI129/N129</f>
        <v/>
      </c>
      <c r="AL129" s="72">
        <f>(Q129+S129+X129+Z129+AA129+N129+AM129)/(1-(O129+$I$4+(1-J129)*$I$3+$I$8+$I$11+AB129+AD129))</f>
        <v/>
      </c>
      <c r="AM129" s="72">
        <f>$I$12</f>
        <v/>
      </c>
      <c r="AN129" s="72">
        <f>I129*$I$11</f>
        <v/>
      </c>
    </row>
    <row r="130" ht="29" customHeight="1">
      <c r="A130" s="66" t="inlineStr">
        <is>
          <t>CELIMAX THE VITA-A RETINAL SHOT TIGHTENING BOOSTER [15ml]/Подтягивающий бустер-крем с ретинолом для лица</t>
        </is>
      </c>
      <c r="B130" s="98" t="n"/>
      <c r="C130" s="45" t="n"/>
      <c r="D130" s="68" t="n"/>
      <c r="E130" s="101" t="n">
        <v>9768</v>
      </c>
      <c r="F130" s="69" t="n">
        <v>2250</v>
      </c>
      <c r="G130" s="69" t="n">
        <v>3000</v>
      </c>
      <c r="H130" s="69" t="n">
        <v>13</v>
      </c>
      <c r="I130" s="69">
        <f>(1.20*N130+Q130+S130+X130+Z130+AA130+AM130)/(1-O130-$I$8-$I$4-(1-J130)*$I$3-$I$11-AB130-AD130)</f>
        <v/>
      </c>
      <c r="J130" s="15" t="n">
        <v>0.45</v>
      </c>
      <c r="K130" s="16">
        <f>I130*(1-J130)</f>
        <v/>
      </c>
      <c r="L130" s="70" t="n">
        <v>512.1799999999999</v>
      </c>
      <c r="M130" s="71">
        <f>$I$5</f>
        <v/>
      </c>
      <c r="N130" s="19">
        <f>L130+M130</f>
        <v/>
      </c>
      <c r="O130" s="20" t="n">
        <v>0.47</v>
      </c>
      <c r="P130" s="72">
        <f>I130*O130</f>
        <v/>
      </c>
      <c r="Q130" s="73" t="n">
        <v>56</v>
      </c>
      <c r="R130" s="72">
        <f>I130*$I$8</f>
        <v/>
      </c>
      <c r="S130" s="73" t="n">
        <v>25</v>
      </c>
      <c r="T130" s="72">
        <f>I130*$I$4</f>
        <v/>
      </c>
      <c r="U130" s="72">
        <f>K130*$I$3</f>
        <v/>
      </c>
      <c r="V130" s="74" t="n">
        <v>0.9</v>
      </c>
      <c r="W130" s="73" t="n">
        <v>56</v>
      </c>
      <c r="X130" s="72">
        <f>W130*(1-V130)</f>
        <v/>
      </c>
      <c r="Y130" s="75" t="n">
        <v>0.18</v>
      </c>
      <c r="Z130" s="72">
        <f>$I$6*$I$7*Y130</f>
        <v/>
      </c>
      <c r="AA130" s="19">
        <f>Y130*($I$9+$I$10)</f>
        <v/>
      </c>
      <c r="AB130" s="20" t="n">
        <v>0.07000000000000001</v>
      </c>
      <c r="AC130" s="72">
        <f>I130*AB130</f>
        <v/>
      </c>
      <c r="AD130" s="74" t="n">
        <v>0.08</v>
      </c>
      <c r="AE130" s="72">
        <f>I130*AD130</f>
        <v/>
      </c>
      <c r="AF130" s="72">
        <f>AC130+AE130</f>
        <v/>
      </c>
      <c r="AG130" s="25">
        <f>AF130/I130</f>
        <v/>
      </c>
      <c r="AH130" s="26">
        <f>I130-P130-Q130-R130-S130-T130-U130-X130-Z130-AA130-N130-AM130-AN130</f>
        <v/>
      </c>
      <c r="AI130" s="76">
        <f>AH130-AF130</f>
        <v/>
      </c>
      <c r="AJ130" s="77">
        <f>AI130/I130</f>
        <v/>
      </c>
      <c r="AK130" s="78">
        <f>AI130/N130</f>
        <v/>
      </c>
      <c r="AL130" s="72">
        <f>(Q130+S130+X130+Z130+AA130+N130+AM130)/(1-(O130+$I$4+(1-J130)*$I$3+$I$8+$I$11+AB130+AD130))</f>
        <v/>
      </c>
      <c r="AM130" s="72">
        <f>$I$12</f>
        <v/>
      </c>
      <c r="AN130" s="72">
        <f>I130*$I$11</f>
        <v/>
      </c>
    </row>
    <row r="131" ht="29" customHeight="1">
      <c r="A131" s="66" t="inlineStr">
        <is>
          <t>CELIMAX THE VITA-A RETINOL SHOT TIGHTENING SERUM [30ml]/Сыворотка с ретинолом и микроиглами для лица</t>
        </is>
      </c>
      <c r="B131" s="98" t="n"/>
      <c r="C131" s="45" t="n"/>
      <c r="D131" s="68" t="inlineStr">
        <is>
          <t>-</t>
        </is>
      </c>
      <c r="E131" s="101" t="n">
        <v>3564</v>
      </c>
      <c r="F131" s="69" t="n">
        <v>2450</v>
      </c>
      <c r="G131" s="69" t="n">
        <v>3500</v>
      </c>
      <c r="H131" s="69" t="n">
        <v>10</v>
      </c>
      <c r="I131" s="69">
        <f>(1.20*N131+Q131+S131+X131+Z131+AA131+AM131)/(1-O131-$I$8-$I$4-(1-J131)*$I$3-$I$11-AB131-AD131)</f>
        <v/>
      </c>
      <c r="J131" s="15" t="n">
        <v>0.45</v>
      </c>
      <c r="K131" s="16">
        <f>I131*(1-J131)</f>
        <v/>
      </c>
      <c r="L131" s="70" t="n">
        <v>532.1</v>
      </c>
      <c r="M131" s="71">
        <f>$I$5</f>
        <v/>
      </c>
      <c r="N131" s="19">
        <f>L131+M131</f>
        <v/>
      </c>
      <c r="O131" s="20" t="n">
        <v>0.47</v>
      </c>
      <c r="P131" s="72">
        <f>I131*O131</f>
        <v/>
      </c>
      <c r="Q131" s="73" t="n">
        <v>63</v>
      </c>
      <c r="R131" s="72">
        <f>I131*$I$8</f>
        <v/>
      </c>
      <c r="S131" s="73" t="n">
        <v>25</v>
      </c>
      <c r="T131" s="72">
        <f>I131*$I$4</f>
        <v/>
      </c>
      <c r="U131" s="72">
        <f>K131*$I$3</f>
        <v/>
      </c>
      <c r="V131" s="74" t="n">
        <v>0.9</v>
      </c>
      <c r="W131" s="73" t="n">
        <v>63</v>
      </c>
      <c r="X131" s="72">
        <f>W131*(1-V131)</f>
        <v/>
      </c>
      <c r="Y131" s="75" t="n">
        <v>0.38</v>
      </c>
      <c r="Z131" s="72">
        <f>$I$6*$I$7*Y131</f>
        <v/>
      </c>
      <c r="AA131" s="19">
        <f>Y131*($I$9+$I$10)</f>
        <v/>
      </c>
      <c r="AB131" s="20" t="n">
        <v>0.07000000000000001</v>
      </c>
      <c r="AC131" s="72">
        <f>I131*AB131</f>
        <v/>
      </c>
      <c r="AD131" s="74" t="n">
        <v>0.08</v>
      </c>
      <c r="AE131" s="72">
        <f>I131*AD131</f>
        <v/>
      </c>
      <c r="AF131" s="72">
        <f>AC131+AE131</f>
        <v/>
      </c>
      <c r="AG131" s="25">
        <f>AF131/I131</f>
        <v/>
      </c>
      <c r="AH131" s="26">
        <f>I131-P131-Q131-R131-S131-T131-U131-X131-Z131-AA131-N131-AM131-AN131</f>
        <v/>
      </c>
      <c r="AI131" s="76">
        <f>AH131-AF131</f>
        <v/>
      </c>
      <c r="AJ131" s="77">
        <f>AI131/I131</f>
        <v/>
      </c>
      <c r="AK131" s="78">
        <f>AI131/N131</f>
        <v/>
      </c>
      <c r="AL131" s="72">
        <f>(Q131+S131+X131+Z131+AA131+N131+AM131)/(1-(O131+$I$4+(1-J131)*$I$3+$I$8+$I$11+AB131+AD131))</f>
        <v/>
      </c>
      <c r="AM131" s="72">
        <f>$I$12</f>
        <v/>
      </c>
      <c r="AN131" s="72">
        <f>I131*$I$11</f>
        <v/>
      </c>
    </row>
    <row r="132" ht="29" customHeight="1">
      <c r="A132" s="66" t="inlineStr">
        <is>
          <t>CELIMAX JI WOO GAE CICA BHA BLEMISH TONER PAD_10EA [30ml]/успокаивающие тонер-пэды</t>
        </is>
      </c>
      <c r="B132" s="98" t="n"/>
      <c r="C132" s="45" t="n"/>
      <c r="D132" s="68" t="n"/>
      <c r="E132" s="101" t="n">
        <v>1696</v>
      </c>
      <c r="F132" s="69" t="n">
        <v>775</v>
      </c>
      <c r="G132" s="69" t="inlineStr">
        <is>
          <t>2 740</t>
        </is>
      </c>
      <c r="H132" s="69" t="n">
        <v>11</v>
      </c>
      <c r="I132" s="69">
        <f>(1.20*N132+Q132+S132+X132+Z132+AA132+AM132)/(1-O132-$I$8-$I$4-(1-J132)*$I$3-$I$11-AB132-AD132)</f>
        <v/>
      </c>
      <c r="J132" s="15" t="n">
        <v>0.45</v>
      </c>
      <c r="K132" s="16">
        <f>I132*(1-J132)</f>
        <v/>
      </c>
      <c r="L132" s="70" t="n">
        <v>96.94</v>
      </c>
      <c r="M132" s="71">
        <f>$I$5</f>
        <v/>
      </c>
      <c r="N132" s="19">
        <f>L132+M132</f>
        <v/>
      </c>
      <c r="O132" s="20" t="n">
        <v>0.47</v>
      </c>
      <c r="P132" s="72">
        <f>I132*O132</f>
        <v/>
      </c>
      <c r="Q132" s="73" t="n">
        <v>56</v>
      </c>
      <c r="R132" s="72">
        <f>I132*$I$8</f>
        <v/>
      </c>
      <c r="S132" s="73" t="n">
        <v>25</v>
      </c>
      <c r="T132" s="72">
        <f>I132*$I$4</f>
        <v/>
      </c>
      <c r="U132" s="72">
        <f>K132*$I$3</f>
        <v/>
      </c>
      <c r="V132" s="74" t="n">
        <v>0.9</v>
      </c>
      <c r="W132" s="73" t="n">
        <v>56</v>
      </c>
      <c r="X132" s="72">
        <f>W132*(1-V132)</f>
        <v/>
      </c>
      <c r="Y132" s="75" t="n">
        <v>0.14</v>
      </c>
      <c r="Z132" s="72">
        <f>$I$6*$I$7*Y132</f>
        <v/>
      </c>
      <c r="AA132" s="19">
        <f>Y132*($I$9+$I$10)</f>
        <v/>
      </c>
      <c r="AB132" s="20" t="n">
        <v>0.07000000000000001</v>
      </c>
      <c r="AC132" s="72">
        <f>I132*AB132</f>
        <v/>
      </c>
      <c r="AD132" s="74" t="n">
        <v>0.08</v>
      </c>
      <c r="AE132" s="72">
        <f>I132*AD132</f>
        <v/>
      </c>
      <c r="AF132" s="72">
        <f>AC132+AE132</f>
        <v/>
      </c>
      <c r="AG132" s="25">
        <f>AF132/I132</f>
        <v/>
      </c>
      <c r="AH132" s="26">
        <f>I132-P132-Q132-R132-S132-T132-U132-X132-Z132-AA132-N132-AM132-AN132</f>
        <v/>
      </c>
      <c r="AI132" s="76">
        <f>AH132-AF132</f>
        <v/>
      </c>
      <c r="AJ132" s="77">
        <f>AI132/I132</f>
        <v/>
      </c>
      <c r="AK132" s="78">
        <f>AI132/N132</f>
        <v/>
      </c>
      <c r="AL132" s="72">
        <f>(Q132+S132+X132+Z132+AA132+N132+AM132)/(1-(O132+$I$4+(1-J132)*$I$3+$I$8+$I$11+AB132+AD132))</f>
        <v/>
      </c>
      <c r="AM132" s="72">
        <f>$I$12</f>
        <v/>
      </c>
      <c r="AN132" s="72">
        <f>I132*$I$11</f>
        <v/>
      </c>
    </row>
    <row r="133" ht="29" customHeight="1">
      <c r="A133" s="79" t="inlineStr">
        <is>
          <t>CELIMAX PORE+DARK SPOT BRIGHTENING CREAM [35ml]/Крем для выравнивания тона и рельефа кожи лица</t>
        </is>
      </c>
      <c r="B133" s="97" t="inlineStr">
        <is>
          <t>ФБС</t>
        </is>
      </c>
      <c r="C133" s="80" t="n"/>
      <c r="D133" s="80" t="n"/>
      <c r="E133" s="92" t="n">
        <v>99</v>
      </c>
      <c r="F133" s="81" t="n"/>
      <c r="G133" s="81" t="n"/>
      <c r="H133" s="81" t="n"/>
      <c r="I133" s="81" t="n"/>
      <c r="J133" s="32" t="n"/>
      <c r="K133" s="33" t="n"/>
      <c r="L133" s="82" t="n"/>
      <c r="M133" s="82" t="n"/>
      <c r="N133" s="35" t="n"/>
      <c r="O133" s="36" t="n"/>
      <c r="P133" s="81" t="n"/>
      <c r="Q133" s="81" t="n"/>
      <c r="R133" s="81" t="n"/>
      <c r="S133" s="81" t="n"/>
      <c r="T133" s="81" t="n"/>
      <c r="U133" s="81" t="n"/>
      <c r="V133" s="83" t="n"/>
      <c r="W133" s="81" t="n"/>
      <c r="X133" s="81" t="n"/>
      <c r="Y133" s="84" t="n"/>
      <c r="Z133" s="81" t="n"/>
      <c r="AA133" s="35" t="n"/>
      <c r="AB133" s="36" t="n"/>
      <c r="AC133" s="81" t="n"/>
      <c r="AD133" s="83" t="n"/>
      <c r="AE133" s="81" t="n"/>
      <c r="AF133" s="81" t="n"/>
      <c r="AG133" s="39" t="n"/>
      <c r="AH133" s="40" t="n"/>
      <c r="AI133" s="81" t="n"/>
      <c r="AJ133" s="83" t="n"/>
      <c r="AK133" s="83" t="n"/>
      <c r="AL133" s="81" t="n"/>
      <c r="AM133" s="81" t="n"/>
      <c r="AN133" s="81" t="n"/>
    </row>
    <row r="134" ht="29" customHeight="1">
      <c r="A134" s="79" t="inlineStr">
        <is>
          <t>CELIMAX DUAL BARRIER SKIN WEARABLE CREAM [50ml]/Крем для восстановления защитного барьера кожи лица</t>
        </is>
      </c>
      <c r="B134" s="97" t="inlineStr">
        <is>
          <t>ФБС</t>
        </is>
      </c>
      <c r="C134" s="80" t="n"/>
      <c r="D134" s="80" t="n"/>
      <c r="E134" s="92" t="n">
        <v>446</v>
      </c>
      <c r="F134" s="81" t="n"/>
      <c r="G134" s="81" t="n"/>
      <c r="H134" s="81" t="n"/>
      <c r="I134" s="81" t="n"/>
      <c r="J134" s="32" t="n"/>
      <c r="K134" s="33" t="n"/>
      <c r="L134" s="82" t="n"/>
      <c r="M134" s="82" t="n"/>
      <c r="N134" s="35" t="n"/>
      <c r="O134" s="36" t="n"/>
      <c r="P134" s="81" t="n"/>
      <c r="Q134" s="81" t="n"/>
      <c r="R134" s="81" t="n"/>
      <c r="S134" s="81" t="n"/>
      <c r="T134" s="81" t="n"/>
      <c r="U134" s="81" t="n"/>
      <c r="V134" s="83" t="n"/>
      <c r="W134" s="81" t="n"/>
      <c r="X134" s="81" t="n"/>
      <c r="Y134" s="84" t="n"/>
      <c r="Z134" s="81" t="n"/>
      <c r="AA134" s="35" t="n"/>
      <c r="AB134" s="36" t="n"/>
      <c r="AC134" s="81" t="n"/>
      <c r="AD134" s="83" t="n"/>
      <c r="AE134" s="81" t="n"/>
      <c r="AF134" s="81" t="n"/>
      <c r="AG134" s="39" t="n"/>
      <c r="AH134" s="40" t="n"/>
      <c r="AI134" s="81" t="n"/>
      <c r="AJ134" s="83" t="n"/>
      <c r="AK134" s="83" t="n"/>
      <c r="AL134" s="81" t="n"/>
      <c r="AM134" s="81" t="n"/>
      <c r="AN134" s="81" t="n"/>
    </row>
    <row r="135" ht="29" customHeight="1">
      <c r="A135" s="66" t="inlineStr">
        <is>
          <t>CELIMAX JI WOO GAE CICA BHA BLEMISH TONER PAD [170ml / 60pads]/Тонер-пэды от воспалений</t>
        </is>
      </c>
      <c r="B135" s="98" t="n"/>
      <c r="C135" s="45" t="n"/>
      <c r="D135" s="68" t="n"/>
      <c r="E135" s="101" t="n">
        <v>1620</v>
      </c>
      <c r="F135" s="69" t="n">
        <v>3450</v>
      </c>
      <c r="G135" s="69" t="inlineStr">
        <is>
          <t>1 820</t>
        </is>
      </c>
      <c r="H135" s="69" t="n">
        <v>11</v>
      </c>
      <c r="I135" s="69">
        <f>(1.20*N135+Q135+S135+X135+Z135+AA135+AM135)/(1-O135-$I$8-$I$4-(1-J135)*$I$3-$I$11-AB135-AD135)</f>
        <v/>
      </c>
      <c r="J135" s="15" t="n">
        <v>0.45</v>
      </c>
      <c r="K135" s="16">
        <f>I135*(1-J135)</f>
        <v/>
      </c>
      <c r="L135" s="70" t="n">
        <v>707.88</v>
      </c>
      <c r="M135" s="71">
        <f>$I$5</f>
        <v/>
      </c>
      <c r="N135" s="19">
        <f>L135+M135</f>
        <v/>
      </c>
      <c r="O135" s="20" t="n">
        <v>0.47</v>
      </c>
      <c r="P135" s="72">
        <f>I135*O135</f>
        <v/>
      </c>
      <c r="Q135" s="73" t="n">
        <v>67</v>
      </c>
      <c r="R135" s="72">
        <f>I135*$I$8</f>
        <v/>
      </c>
      <c r="S135" s="73" t="n">
        <v>25</v>
      </c>
      <c r="T135" s="72">
        <f>I135*$I$4</f>
        <v/>
      </c>
      <c r="U135" s="72">
        <f>K135*$I$3</f>
        <v/>
      </c>
      <c r="V135" s="74" t="n">
        <v>0.9</v>
      </c>
      <c r="W135" s="73" t="n">
        <v>67</v>
      </c>
      <c r="X135" s="72">
        <f>W135*(1-V135)</f>
        <v/>
      </c>
      <c r="Y135" s="75" t="n">
        <v>0.96</v>
      </c>
      <c r="Z135" s="72">
        <f>$I$6*$I$7*Y135</f>
        <v/>
      </c>
      <c r="AA135" s="19">
        <f>Y135*($I$9+$I$10)</f>
        <v/>
      </c>
      <c r="AB135" s="20" t="n">
        <v>0.07000000000000001</v>
      </c>
      <c r="AC135" s="72">
        <f>I135*AB135</f>
        <v/>
      </c>
      <c r="AD135" s="74" t="n">
        <v>0.08</v>
      </c>
      <c r="AE135" s="72">
        <f>I135*AD135</f>
        <v/>
      </c>
      <c r="AF135" s="72">
        <f>AC135+AE135</f>
        <v/>
      </c>
      <c r="AG135" s="25">
        <f>AF135/I135</f>
        <v/>
      </c>
      <c r="AH135" s="26">
        <f>I135-P135-Q135-R135-S135-T135-U135-X135-Z135-AA135-N135-AM135-AN135</f>
        <v/>
      </c>
      <c r="AI135" s="76">
        <f>AH135-AF135</f>
        <v/>
      </c>
      <c r="AJ135" s="77">
        <f>AI135/I135</f>
        <v/>
      </c>
      <c r="AK135" s="78">
        <f>AI135/N135</f>
        <v/>
      </c>
      <c r="AL135" s="72">
        <f>(Q135+S135+X135+Z135+AA135+N135+AM135)/(1-(O135+$I$4+(1-J135)*$I$3+$I$8+$I$11+AB135+AD135))</f>
        <v/>
      </c>
      <c r="AM135" s="72">
        <f>$I$12</f>
        <v/>
      </c>
      <c r="AN135" s="72">
        <f>I135*$I$11</f>
        <v/>
      </c>
    </row>
    <row r="136" ht="29" customHeight="1">
      <c r="A136" s="79" t="inlineStr">
        <is>
          <t>CELIMAX THE REAL NONI ENERGY AMPOULE_30ML (NEW) [30ml]/Восстанавливающая сыворотка с экстрактом нони для лица</t>
        </is>
      </c>
      <c r="B136" s="97" t="inlineStr">
        <is>
          <t>ФБС</t>
        </is>
      </c>
      <c r="C136" s="80" t="n"/>
      <c r="D136" s="80" t="n"/>
      <c r="E136" s="92" t="n">
        <v>62</v>
      </c>
      <c r="F136" s="81" t="n"/>
      <c r="G136" s="81" t="n"/>
      <c r="H136" s="81" t="n"/>
      <c r="I136" s="81" t="n"/>
      <c r="J136" s="32" t="n"/>
      <c r="K136" s="33" t="n"/>
      <c r="L136" s="82" t="n"/>
      <c r="M136" s="82" t="n"/>
      <c r="N136" s="35" t="n"/>
      <c r="O136" s="36" t="n"/>
      <c r="P136" s="81" t="n"/>
      <c r="Q136" s="81" t="n"/>
      <c r="R136" s="81" t="n"/>
      <c r="S136" s="81" t="n"/>
      <c r="T136" s="81" t="n"/>
      <c r="U136" s="81" t="n"/>
      <c r="V136" s="83" t="n"/>
      <c r="W136" s="81" t="n"/>
      <c r="X136" s="81" t="n"/>
      <c r="Y136" s="84" t="n"/>
      <c r="Z136" s="81" t="n"/>
      <c r="AA136" s="35" t="n"/>
      <c r="AB136" s="36" t="n"/>
      <c r="AC136" s="81" t="n"/>
      <c r="AD136" s="83" t="n"/>
      <c r="AE136" s="81" t="n"/>
      <c r="AF136" s="81" t="n"/>
      <c r="AG136" s="39" t="n"/>
      <c r="AH136" s="40" t="n"/>
      <c r="AI136" s="81" t="n"/>
      <c r="AJ136" s="83" t="n"/>
      <c r="AK136" s="83" t="n"/>
      <c r="AL136" s="81" t="n"/>
      <c r="AM136" s="81" t="n"/>
      <c r="AN136" s="81" t="n"/>
    </row>
    <row r="137" ht="29" customHeight="1">
      <c r="A137" s="66" t="inlineStr">
        <is>
          <t>CELIMAX PORE+DARK SPOT BRIGHTENING PAD [100ml / 40pads]/Тонер-пэды для выравнивания тона и рельефа кожи</t>
        </is>
      </c>
      <c r="B137" s="98" t="n"/>
      <c r="C137" s="45" t="n"/>
      <c r="D137" s="68" t="n"/>
      <c r="E137" s="92" t="n">
        <v>1795</v>
      </c>
      <c r="F137" s="69" t="n">
        <v>2880</v>
      </c>
      <c r="G137" s="69" t="inlineStr">
        <is>
          <t>1 640</t>
        </is>
      </c>
      <c r="H137" s="69" t="n">
        <v>21</v>
      </c>
      <c r="I137" s="69">
        <f>(1.20*N137+Q137+S137+X137+Z137+AA137+AM137)/(1-O137-$I$8-$I$4-(1-J137)*$I$3-$I$11-AB137-AD137)</f>
        <v/>
      </c>
      <c r="J137" s="15" t="n">
        <v>0.45</v>
      </c>
      <c r="K137" s="16">
        <f>I137*(1-J137)</f>
        <v/>
      </c>
      <c r="L137" s="70" t="n">
        <v>556.1799999999999</v>
      </c>
      <c r="M137" s="71">
        <f>$I$5</f>
        <v/>
      </c>
      <c r="N137" s="19">
        <f>L137+M137</f>
        <v/>
      </c>
      <c r="O137" s="20" t="n">
        <v>0.47</v>
      </c>
      <c r="P137" s="72">
        <f>I137*O137</f>
        <v/>
      </c>
      <c r="Q137" s="73" t="n">
        <v>67</v>
      </c>
      <c r="R137" s="72">
        <f>I137*$I$8</f>
        <v/>
      </c>
      <c r="S137" s="73" t="n">
        <v>25</v>
      </c>
      <c r="T137" s="72">
        <f>I137*$I$4</f>
        <v/>
      </c>
      <c r="U137" s="72">
        <f>K137*$I$3</f>
        <v/>
      </c>
      <c r="V137" s="74" t="n">
        <v>0.9</v>
      </c>
      <c r="W137" s="73" t="n">
        <v>67</v>
      </c>
      <c r="X137" s="72">
        <f>W137*(1-V137)</f>
        <v/>
      </c>
      <c r="Y137" s="75" t="n">
        <v>0.57</v>
      </c>
      <c r="Z137" s="72">
        <f>$I$6*$I$7*Y137</f>
        <v/>
      </c>
      <c r="AA137" s="19">
        <f>Y137*($I$9+$I$10)</f>
        <v/>
      </c>
      <c r="AB137" s="20" t="n">
        <v>0.07000000000000001</v>
      </c>
      <c r="AC137" s="72">
        <f>I137*AB137</f>
        <v/>
      </c>
      <c r="AD137" s="74" t="n">
        <v>0.08</v>
      </c>
      <c r="AE137" s="72">
        <f>I137*AD137</f>
        <v/>
      </c>
      <c r="AF137" s="72">
        <f>AC137+AE137</f>
        <v/>
      </c>
      <c r="AG137" s="25">
        <f>AF137/I137</f>
        <v/>
      </c>
      <c r="AH137" s="26">
        <f>I137-P137-Q137-R137-S137-T137-U137-X137-Z137-AA137-N137-AM137-AN137</f>
        <v/>
      </c>
      <c r="AI137" s="76">
        <f>AH137-AF137</f>
        <v/>
      </c>
      <c r="AJ137" s="77">
        <f>AI137/I137</f>
        <v/>
      </c>
      <c r="AK137" s="78">
        <f>AI137/N137</f>
        <v/>
      </c>
      <c r="AL137" s="72">
        <f>(Q137+S137+X137+Z137+AA137+N137+AM137)/(1-(O137+$I$4+(1-J137)*$I$3+$I$8+$I$11+AB137+AD137))</f>
        <v/>
      </c>
      <c r="AM137" s="72">
        <f>$I$12</f>
        <v/>
      </c>
      <c r="AN137" s="72">
        <f>I137*$I$11</f>
        <v/>
      </c>
    </row>
    <row r="138" ht="29" customHeight="1">
      <c r="A138" s="79" t="inlineStr">
        <is>
          <t>CELIMAX PORE+DARK SPOT BRIGHTENING SERUM_30ml [30ml]/Сыворотка для выравнивания тона и рельефа кожи лица</t>
        </is>
      </c>
      <c r="B138" s="97" t="inlineStr">
        <is>
          <t>ФБС</t>
        </is>
      </c>
      <c r="C138" s="80" t="n"/>
      <c r="D138" s="80" t="n"/>
      <c r="E138" s="92" t="n">
        <v>124</v>
      </c>
      <c r="F138" s="81" t="n"/>
      <c r="G138" s="81" t="n"/>
      <c r="H138" s="81" t="n"/>
      <c r="I138" s="81" t="n"/>
      <c r="J138" s="32" t="n"/>
      <c r="K138" s="33" t="n"/>
      <c r="L138" s="82" t="n"/>
      <c r="M138" s="82" t="n"/>
      <c r="N138" s="35" t="n"/>
      <c r="O138" s="36" t="n"/>
      <c r="P138" s="81" t="n"/>
      <c r="Q138" s="81" t="n"/>
      <c r="R138" s="81" t="n"/>
      <c r="S138" s="81" t="n"/>
      <c r="T138" s="81" t="n"/>
      <c r="U138" s="81" t="n"/>
      <c r="V138" s="83" t="n"/>
      <c r="W138" s="81" t="n"/>
      <c r="X138" s="81" t="n"/>
      <c r="Y138" s="84" t="n"/>
      <c r="Z138" s="81" t="n"/>
      <c r="AA138" s="35" t="n"/>
      <c r="AB138" s="36" t="n"/>
      <c r="AC138" s="81" t="n"/>
      <c r="AD138" s="83" t="n"/>
      <c r="AE138" s="81" t="n"/>
      <c r="AF138" s="81" t="n"/>
      <c r="AG138" s="39" t="n"/>
      <c r="AH138" s="40" t="n"/>
      <c r="AI138" s="81" t="n"/>
      <c r="AJ138" s="83" t="n"/>
      <c r="AK138" s="83" t="n"/>
      <c r="AL138" s="81" t="n"/>
      <c r="AM138" s="81" t="n"/>
      <c r="AN138" s="81" t="n"/>
    </row>
    <row r="139" ht="29" customHeight="1">
      <c r="A139" s="79" t="inlineStr">
        <is>
          <t>CELIMAX THE REAL NONI MOISTURE BALANCING TONER (NEW) [150ml]/Восстанавливающий тонер с экстрактом нони</t>
        </is>
      </c>
      <c r="B139" s="97" t="inlineStr">
        <is>
          <t>ФБС</t>
        </is>
      </c>
      <c r="C139" s="80" t="n"/>
      <c r="D139" s="80" t="n"/>
      <c r="E139" s="92" t="n">
        <v>194</v>
      </c>
      <c r="F139" s="81" t="n"/>
      <c r="G139" s="81" t="n"/>
      <c r="H139" s="81" t="n"/>
      <c r="I139" s="81" t="n"/>
      <c r="J139" s="32" t="n"/>
      <c r="K139" s="33" t="n"/>
      <c r="L139" s="82" t="n"/>
      <c r="M139" s="82" t="n"/>
      <c r="N139" s="35" t="n"/>
      <c r="O139" s="36" t="n"/>
      <c r="P139" s="81" t="n"/>
      <c r="Q139" s="81" t="n"/>
      <c r="R139" s="81" t="n"/>
      <c r="S139" s="81" t="n"/>
      <c r="T139" s="81" t="n"/>
      <c r="U139" s="81" t="n"/>
      <c r="V139" s="83" t="n"/>
      <c r="W139" s="81" t="n"/>
      <c r="X139" s="81" t="n"/>
      <c r="Y139" s="84" t="n"/>
      <c r="Z139" s="81" t="n"/>
      <c r="AA139" s="35" t="n"/>
      <c r="AB139" s="36" t="n"/>
      <c r="AC139" s="81" t="n"/>
      <c r="AD139" s="83" t="n"/>
      <c r="AE139" s="81" t="n"/>
      <c r="AF139" s="81" t="n"/>
      <c r="AG139" s="39" t="n"/>
      <c r="AH139" s="40" t="n"/>
      <c r="AI139" s="81" t="n"/>
      <c r="AJ139" s="83" t="n"/>
      <c r="AK139" s="83" t="n"/>
      <c r="AL139" s="81" t="n"/>
      <c r="AM139" s="81" t="n"/>
      <c r="AN139" s="81" t="n"/>
    </row>
    <row r="140">
      <c r="A140" s="64" t="inlineStr">
        <is>
          <t>Косметика/VT</t>
        </is>
      </c>
      <c r="B140" s="95" t="n"/>
      <c r="C140" s="65" t="n"/>
      <c r="D140" s="65" t="n"/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5" t="n"/>
      <c r="X140" s="65" t="n"/>
      <c r="Y140" s="65" t="n"/>
      <c r="Z140" s="65" t="n"/>
      <c r="AA140" s="65" t="n"/>
      <c r="AB140" s="65" t="n"/>
      <c r="AC140" s="65" t="n"/>
      <c r="AD140" s="65" t="n"/>
      <c r="AE140" s="65" t="n"/>
      <c r="AF140" s="65" t="n"/>
      <c r="AG140" s="65" t="n"/>
      <c r="AH140" s="65" t="n"/>
      <c r="AI140" s="65" t="n"/>
      <c r="AJ140" s="65" t="n"/>
      <c r="AK140" s="65" t="n"/>
      <c r="AL140" s="65" t="n"/>
      <c r="AM140" s="65" t="n"/>
      <c r="AN140" s="65" t="n"/>
    </row>
    <row r="141">
      <c r="A141" s="66" t="inlineStr">
        <is>
          <t>VT PDRN ESSENCE 100 / Укрепляющая бустер-эссенция с ПДРН</t>
        </is>
      </c>
      <c r="B141" s="96" t="n"/>
      <c r="C141" s="67" t="n"/>
      <c r="D141" s="68" t="n"/>
      <c r="E141" s="101" t="n">
        <v>1071</v>
      </c>
      <c r="F141" s="69" t="n">
        <v>6000</v>
      </c>
      <c r="G141" s="69" t="n">
        <v>500</v>
      </c>
      <c r="H141" s="69" t="n">
        <v>10</v>
      </c>
      <c r="I141" s="69">
        <f>(1.20*N141+Q141+S141+X141+Z141+AA141+AM141)/(1-O141-$I$8-$I$4-(1-J141)*$I$3-$I$11-AB141-AD141)</f>
        <v/>
      </c>
      <c r="J141" s="15" t="n">
        <v>0.45</v>
      </c>
      <c r="K141" s="16">
        <f>I141*(1-J141)</f>
        <v/>
      </c>
      <c r="L141" s="70" t="n">
        <v>1335.95</v>
      </c>
      <c r="M141" s="71">
        <f>$I$5</f>
        <v/>
      </c>
      <c r="N141" s="19">
        <f>L141+M141</f>
        <v/>
      </c>
      <c r="O141" s="20" t="n">
        <v>0.47</v>
      </c>
      <c r="P141" s="72">
        <f>I141*O141</f>
        <v/>
      </c>
      <c r="Q141" s="73" t="n">
        <v>63</v>
      </c>
      <c r="R141" s="72">
        <f>I141*$I$8</f>
        <v/>
      </c>
      <c r="S141" s="73" t="n">
        <v>25</v>
      </c>
      <c r="T141" s="72">
        <f>I141*$I$4</f>
        <v/>
      </c>
      <c r="U141" s="72">
        <f>K141*$I$3</f>
        <v/>
      </c>
      <c r="V141" s="74" t="n">
        <v>0.9</v>
      </c>
      <c r="W141" s="73" t="n">
        <v>63</v>
      </c>
      <c r="X141" s="72">
        <f>W141*(1-V141)</f>
        <v/>
      </c>
      <c r="Y141" s="75" t="n">
        <v>0.3</v>
      </c>
      <c r="Z141" s="72">
        <f>$I$6*$I$7*Y141</f>
        <v/>
      </c>
      <c r="AA141" s="19">
        <f>Y141*($I$9+$I$10)</f>
        <v/>
      </c>
      <c r="AB141" s="20" t="n">
        <v>0.07000000000000001</v>
      </c>
      <c r="AC141" s="72">
        <f>I141*AB141</f>
        <v/>
      </c>
      <c r="AD141" s="74" t="n">
        <v>0.08</v>
      </c>
      <c r="AE141" s="72">
        <f>I141*AD141</f>
        <v/>
      </c>
      <c r="AF141" s="72">
        <f>AC141+AE141</f>
        <v/>
      </c>
      <c r="AG141" s="25">
        <f>AF141/I141</f>
        <v/>
      </c>
      <c r="AH141" s="26">
        <f>I141-P141-Q141-R141-S141-T141-U141-X141-Z141-AA141-N141-AM141-AN141</f>
        <v/>
      </c>
      <c r="AI141" s="76">
        <f>AH141-AF141</f>
        <v/>
      </c>
      <c r="AJ141" s="77">
        <f>AI141/I141</f>
        <v/>
      </c>
      <c r="AK141" s="78">
        <f>AI141/N141</f>
        <v/>
      </c>
      <c r="AL141" s="72">
        <f>(Q141+S141+X141+Z141+AA141+N141+AM141)/(1-(O141+$I$4+(1-J141)*$I$3+$I$8+$I$11+AB141+AD141))</f>
        <v/>
      </c>
      <c r="AM141" s="72">
        <f>$I$12</f>
        <v/>
      </c>
      <c r="AN141" s="72">
        <f>I141*$I$11</f>
        <v/>
      </c>
    </row>
    <row r="142">
      <c r="A142" s="66" t="inlineStr">
        <is>
          <t>VT REEDLE SHOT 100 / Бустер-сыворотка с микроиглами</t>
        </is>
      </c>
      <c r="B142" s="96" t="n"/>
      <c r="C142" s="67" t="n"/>
      <c r="D142" s="68" t="n"/>
      <c r="E142" s="92" t="n">
        <v>543</v>
      </c>
      <c r="F142" s="69" t="n">
        <v>5900</v>
      </c>
      <c r="G142" s="69" t="n">
        <v>220</v>
      </c>
      <c r="H142" s="69" t="n">
        <v>11</v>
      </c>
      <c r="I142" s="69">
        <f>(1.20*N142+Q142+S142+X142+Z142+AA142+AM142)/(1-O142-$I$8-$I$4-(1-J142)*$I$3-$I$11-AB142-AD142)</f>
        <v/>
      </c>
      <c r="J142" s="15" t="n">
        <v>0.45</v>
      </c>
      <c r="K142" s="16">
        <f>I142*(1-J142)</f>
        <v/>
      </c>
      <c r="L142" s="70" t="n">
        <v>974.04</v>
      </c>
      <c r="M142" s="71">
        <f>$I$5</f>
        <v/>
      </c>
      <c r="N142" s="19">
        <f>L142+M142</f>
        <v/>
      </c>
      <c r="O142" s="20" t="n">
        <v>0.47</v>
      </c>
      <c r="P142" s="72">
        <f>I142*O142</f>
        <v/>
      </c>
      <c r="Q142" s="73" t="n">
        <v>63</v>
      </c>
      <c r="R142" s="72">
        <f>I142*$I$8</f>
        <v/>
      </c>
      <c r="S142" s="73" t="n">
        <v>25</v>
      </c>
      <c r="T142" s="72">
        <f>I142*$I$4</f>
        <v/>
      </c>
      <c r="U142" s="72">
        <f>K142*$I$3</f>
        <v/>
      </c>
      <c r="V142" s="74" t="n">
        <v>0.9</v>
      </c>
      <c r="W142" s="73" t="n">
        <v>63</v>
      </c>
      <c r="X142" s="72">
        <f>W142*(1-V142)</f>
        <v/>
      </c>
      <c r="Y142" s="75" t="n">
        <v>0.4</v>
      </c>
      <c r="Z142" s="72">
        <f>$I$6*$I$7*Y142</f>
        <v/>
      </c>
      <c r="AA142" s="19">
        <f>Y142*($I$9+$I$10)</f>
        <v/>
      </c>
      <c r="AB142" s="20" t="n">
        <v>0.07000000000000001</v>
      </c>
      <c r="AC142" s="72">
        <f>I142*AB142</f>
        <v/>
      </c>
      <c r="AD142" s="74" t="n">
        <v>0.08</v>
      </c>
      <c r="AE142" s="72">
        <f>I142*AD142</f>
        <v/>
      </c>
      <c r="AF142" s="72">
        <f>AC142+AE142</f>
        <v/>
      </c>
      <c r="AG142" s="25">
        <f>AF142/I142</f>
        <v/>
      </c>
      <c r="AH142" s="26">
        <f>I142-P142-Q142-R142-S142-T142-U142-X142-Z142-AA142-N142-AM142-AN142</f>
        <v/>
      </c>
      <c r="AI142" s="76">
        <f>AH142-AF142</f>
        <v/>
      </c>
      <c r="AJ142" s="77">
        <f>AI142/I142</f>
        <v/>
      </c>
      <c r="AK142" s="78">
        <f>AI142/N142</f>
        <v/>
      </c>
      <c r="AL142" s="72">
        <f>(Q142+S142+X142+Z142+AA142+N142+AM142)/(1-(O142+$I$4+(1-J142)*$I$3+$I$8+$I$11+AB142+AD142))</f>
        <v/>
      </c>
      <c r="AM142" s="72">
        <f>$I$12</f>
        <v/>
      </c>
      <c r="AN142" s="72">
        <f>I142*$I$11</f>
        <v/>
      </c>
    </row>
    <row r="143">
      <c r="A143" s="79" t="inlineStr">
        <is>
          <t>Итого:</t>
        </is>
      </c>
      <c r="B143" s="97" t="n"/>
      <c r="C143" s="80" t="n"/>
      <c r="D143" s="80" t="n"/>
      <c r="F143" s="81" t="n"/>
      <c r="G143" s="81" t="n"/>
      <c r="H143" s="81" t="n"/>
      <c r="I143" s="81" t="n"/>
      <c r="J143" s="32" t="n"/>
      <c r="K143" s="33" t="n"/>
      <c r="L143" s="82" t="n"/>
      <c r="M143" s="82" t="n"/>
      <c r="N143" s="35" t="n"/>
      <c r="O143" s="36" t="n"/>
      <c r="P143" s="81" t="n"/>
      <c r="Q143" s="81" t="n"/>
      <c r="R143" s="81" t="n"/>
      <c r="S143" s="81" t="n"/>
      <c r="T143" s="81" t="n"/>
      <c r="U143" s="81" t="n"/>
      <c r="V143" s="83" t="n"/>
      <c r="W143" s="81" t="n"/>
      <c r="X143" s="81" t="n"/>
      <c r="Y143" s="84" t="n"/>
      <c r="Z143" s="81" t="n"/>
      <c r="AA143" s="35" t="n"/>
      <c r="AB143" s="36" t="n"/>
      <c r="AC143" s="81" t="n"/>
      <c r="AD143" s="83" t="n"/>
      <c r="AE143" s="81" t="n"/>
      <c r="AF143" s="81" t="n"/>
      <c r="AG143" s="39" t="n"/>
      <c r="AH143" s="40" t="n"/>
      <c r="AI143" s="81" t="n"/>
      <c r="AJ143" s="83" t="n"/>
      <c r="AK143" s="83" t="n"/>
      <c r="AL143" s="81" t="n"/>
      <c r="AM143" s="81" t="n"/>
      <c r="AN143" s="81" t="n"/>
    </row>
    <row r="144">
      <c r="A144" s="64" t="inlineStr">
        <is>
          <t>НЕ В ОСТАТКАХ (юнитка без строки в остатках)</t>
        </is>
      </c>
      <c r="B144" s="95" t="n"/>
      <c r="C144" s="65" t="n"/>
      <c r="D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65" t="n"/>
      <c r="Z144" s="65" t="n"/>
      <c r="AA144" s="65" t="n"/>
      <c r="AB144" s="65" t="n"/>
      <c r="AC144" s="65" t="n"/>
      <c r="AD144" s="65" t="n"/>
      <c r="AE144" s="65" t="n"/>
      <c r="AF144" s="65" t="n"/>
      <c r="AG144" s="65" t="n"/>
      <c r="AH144" s="65" t="n"/>
      <c r="AI144" s="65" t="n"/>
      <c r="AJ144" s="65" t="n"/>
      <c r="AK144" s="65" t="n"/>
      <c r="AL144" s="65" t="n"/>
      <c r="AM144" s="65" t="n"/>
      <c r="AN144" s="65" t="n"/>
    </row>
    <row r="145">
      <c r="A145" s="86" t="inlineStr">
        <is>
          <t>1025 DOKDO BUBBLE FOAM_150ml</t>
        </is>
      </c>
      <c r="B145" s="99" t="n"/>
      <c r="C145" s="87" t="n">
        <v>600</v>
      </c>
      <c r="D145" s="48" t="n"/>
      <c r="E145" s="92" t="n">
        <v>0</v>
      </c>
      <c r="F145" s="69" t="n">
        <v>2650</v>
      </c>
      <c r="G145" s="69" t="n">
        <v>20</v>
      </c>
      <c r="H145" s="69" t="n">
        <v>2</v>
      </c>
      <c r="I145" s="69">
        <f>(1.20*N145+Q145+S145+X145+Z145+AA145+AM145)/(1-O145-$I$8-$I$4-(1-J145)*$I$3-$I$11-AB145-AD145)</f>
        <v/>
      </c>
      <c r="J145" s="15" t="n">
        <v>0.45</v>
      </c>
      <c r="K145" s="16">
        <f>I145*(1-J145)</f>
        <v/>
      </c>
      <c r="L145" s="70" t="n">
        <v>455</v>
      </c>
      <c r="M145" s="71">
        <f>$I$5</f>
        <v/>
      </c>
      <c r="N145" s="19">
        <f>L145+M145</f>
        <v/>
      </c>
      <c r="O145" s="20" t="n">
        <v>0.47</v>
      </c>
      <c r="P145" s="72">
        <f>I145*O145</f>
        <v/>
      </c>
      <c r="Q145" s="73" t="n">
        <v>74</v>
      </c>
      <c r="R145" s="72">
        <f>I145*$I$8</f>
        <v/>
      </c>
      <c r="S145" s="73" t="n">
        <v>25</v>
      </c>
      <c r="T145" s="72">
        <f>I145*$I$4</f>
        <v/>
      </c>
      <c r="U145" s="72">
        <f>K145*$I$3</f>
        <v/>
      </c>
      <c r="V145" s="74" t="n">
        <v>0.9</v>
      </c>
      <c r="W145" s="73" t="n">
        <v>74</v>
      </c>
      <c r="X145" s="72">
        <f>W145*(1-V145)</f>
        <v/>
      </c>
      <c r="Y145" s="75" t="n">
        <v>1.28</v>
      </c>
      <c r="Z145" s="72">
        <f>$I$6*$I$7*Y145</f>
        <v/>
      </c>
      <c r="AA145" s="19">
        <f>Y145*($I$9+$I$10)</f>
        <v/>
      </c>
      <c r="AB145" s="20" t="n">
        <v>0.07000000000000001</v>
      </c>
      <c r="AC145" s="72">
        <f>I145*AB145</f>
        <v/>
      </c>
      <c r="AD145" s="74" t="n">
        <v>0.08</v>
      </c>
      <c r="AE145" s="72">
        <f>I145*AD145</f>
        <v/>
      </c>
      <c r="AF145" s="72">
        <f>AC145+AE145</f>
        <v/>
      </c>
      <c r="AG145" s="25">
        <f>AF145/I145</f>
        <v/>
      </c>
      <c r="AH145" s="26">
        <f>I145-P145-Q145-R145-S145-T145-U145-X145-Z145-AA145-N145-AM145-AN145</f>
        <v/>
      </c>
      <c r="AI145" s="76">
        <f>AH145-AF145</f>
        <v/>
      </c>
      <c r="AJ145" s="77">
        <f>AI145/I145</f>
        <v/>
      </c>
      <c r="AK145" s="78">
        <f>AI145/N145</f>
        <v/>
      </c>
      <c r="AL145" s="72">
        <f>(Q145+S145+X145+Z145+AA145+N145+AM145)/(1-(O145+$I$4+(1-J145)*$I$3+$I$8+$I$11+AB145+AD145))</f>
        <v/>
      </c>
      <c r="AM145" s="72">
        <f>$I$12</f>
        <v/>
      </c>
      <c r="AN145" s="72">
        <f>I145*$I$11</f>
        <v/>
      </c>
    </row>
    <row r="146">
      <c r="A146" s="86" t="inlineStr">
        <is>
          <t>MEDICUBE PDRN PINK PEPTIDE SERUM 30ml</t>
        </is>
      </c>
      <c r="B146" s="99" t="n"/>
      <c r="C146" s="87" t="n">
        <v>320</v>
      </c>
      <c r="D146" s="45" t="n"/>
      <c r="E146" s="101" t="n">
        <v>0</v>
      </c>
      <c r="F146" s="69" t="n">
        <v>4880</v>
      </c>
      <c r="G146" s="69" t="n">
        <v>220</v>
      </c>
      <c r="H146" s="69" t="n">
        <v>10</v>
      </c>
      <c r="I146" s="69">
        <f>(1.20*N146+Q146+S146+X146+Z146+AA146+AM146)/(1-O146-$I$8-$I$4-(1-J146)*$I$3-$I$11-AB146-AD146)</f>
        <v/>
      </c>
      <c r="J146" s="15" t="n">
        <v>0.45</v>
      </c>
      <c r="K146" s="16">
        <f>I146*(1-J146)</f>
        <v/>
      </c>
      <c r="L146" s="70" t="n">
        <v>674</v>
      </c>
      <c r="M146" s="71">
        <f>$I$5</f>
        <v/>
      </c>
      <c r="N146" s="19">
        <f>L146+M146</f>
        <v/>
      </c>
      <c r="O146" s="20" t="n">
        <v>0.47</v>
      </c>
      <c r="P146" s="72">
        <f>I146*O146</f>
        <v/>
      </c>
      <c r="Q146" s="73" t="n">
        <v>63</v>
      </c>
      <c r="R146" s="72">
        <f>I146*$I$8</f>
        <v/>
      </c>
      <c r="S146" s="73" t="n">
        <v>25</v>
      </c>
      <c r="T146" s="72">
        <f>I146*$I$4</f>
        <v/>
      </c>
      <c r="U146" s="72">
        <f>K146*$I$3</f>
        <v/>
      </c>
      <c r="V146" s="74" t="n">
        <v>0.9</v>
      </c>
      <c r="W146" s="73" t="n">
        <v>63</v>
      </c>
      <c r="X146" s="72">
        <f>W146*(1-V146)</f>
        <v/>
      </c>
      <c r="Y146" s="75" t="n">
        <v>0.4</v>
      </c>
      <c r="Z146" s="72">
        <f>$I$6*$I$7*Y146</f>
        <v/>
      </c>
      <c r="AA146" s="19">
        <f>Y146*($I$9+$I$10)</f>
        <v/>
      </c>
      <c r="AB146" s="20" t="n">
        <v>0.07000000000000001</v>
      </c>
      <c r="AC146" s="72">
        <f>I146*AB146</f>
        <v/>
      </c>
      <c r="AD146" s="74" t="n">
        <v>0.08</v>
      </c>
      <c r="AE146" s="72">
        <f>I146*AD146</f>
        <v/>
      </c>
      <c r="AF146" s="72">
        <f>AC146+AE146</f>
        <v/>
      </c>
      <c r="AG146" s="25">
        <f>AF146/I146</f>
        <v/>
      </c>
      <c r="AH146" s="26">
        <f>I146-P146-Q146-R146-S146-T146-U146-X146-Z146-AA146-N146-AM146-AN146</f>
        <v/>
      </c>
      <c r="AI146" s="76">
        <f>AH146-AF146</f>
        <v/>
      </c>
      <c r="AJ146" s="77">
        <f>AI146/I146</f>
        <v/>
      </c>
      <c r="AK146" s="78">
        <f>AI146/N146</f>
        <v/>
      </c>
      <c r="AL146" s="72">
        <f>(Q146+S146+X146+Z146+AA146+N146+AM146)/(1-(O146+$I$4+(1-J146)*$I$3+$I$8+$I$11+AB146+AD146))</f>
        <v/>
      </c>
      <c r="AM146" s="72">
        <f>$I$12</f>
        <v/>
      </c>
      <c r="AN146" s="72">
        <f>I146*$I$11</f>
        <v/>
      </c>
    </row>
    <row r="147">
      <c r="A147" s="86" t="inlineStr">
        <is>
          <t>MEDICUBE PDRN PINK EXOSOME SHOT SERUM 7500 30ml</t>
        </is>
      </c>
      <c r="B147" s="99" t="n"/>
      <c r="C147" s="87" t="n">
        <v>400</v>
      </c>
      <c r="D147" s="49" t="n"/>
      <c r="E147" s="101" t="n">
        <v>0</v>
      </c>
      <c r="F147" s="69" t="n">
        <v>5000</v>
      </c>
      <c r="G147" s="69" t="n">
        <v>60</v>
      </c>
      <c r="H147" s="69" t="n">
        <v>10</v>
      </c>
      <c r="I147" s="69">
        <f>(1.20*N147+Q147+S147+X147+Z147+AA147+AM147)/(1-O147-$I$8-$I$4-(1-J147)*$I$3-$I$11-AB147-AD147)</f>
        <v/>
      </c>
      <c r="J147" s="15" t="n">
        <v>0.45</v>
      </c>
      <c r="K147" s="16">
        <f>I147*(1-J147)</f>
        <v/>
      </c>
      <c r="L147" s="70" t="n">
        <v>833</v>
      </c>
      <c r="M147" s="71">
        <f>$I$5</f>
        <v/>
      </c>
      <c r="N147" s="19">
        <f>L147+M147</f>
        <v/>
      </c>
      <c r="O147" s="20" t="n">
        <v>0.47</v>
      </c>
      <c r="P147" s="72">
        <f>I147*O147</f>
        <v/>
      </c>
      <c r="Q147" s="73" t="n">
        <v>63</v>
      </c>
      <c r="R147" s="72">
        <f>I147*$I$8</f>
        <v/>
      </c>
      <c r="S147" s="73" t="n">
        <v>25</v>
      </c>
      <c r="T147" s="72">
        <f>I147*$I$4</f>
        <v/>
      </c>
      <c r="U147" s="72">
        <f>K147*$I$3</f>
        <v/>
      </c>
      <c r="V147" s="74" t="n">
        <v>0.9</v>
      </c>
      <c r="W147" s="73" t="n">
        <v>63</v>
      </c>
      <c r="X147" s="72">
        <f>W147*(1-V147)</f>
        <v/>
      </c>
      <c r="Y147" s="75" t="n">
        <v>0.4</v>
      </c>
      <c r="Z147" s="72">
        <f>$I$6*$I$7*Y147</f>
        <v/>
      </c>
      <c r="AA147" s="19">
        <f>Y147*($I$9+$I$10)</f>
        <v/>
      </c>
      <c r="AB147" s="20" t="n">
        <v>0.07000000000000001</v>
      </c>
      <c r="AC147" s="72">
        <f>I147*AB147</f>
        <v/>
      </c>
      <c r="AD147" s="74" t="n">
        <v>0.08</v>
      </c>
      <c r="AE147" s="72">
        <f>I147*AD147</f>
        <v/>
      </c>
      <c r="AF147" s="72">
        <f>AC147+AE147</f>
        <v/>
      </c>
      <c r="AG147" s="25">
        <f>AF147/I147</f>
        <v/>
      </c>
      <c r="AH147" s="26">
        <f>I147-P147-Q147-R147-S147-T147-U147-X147-Z147-AA147-N147-AM147-AN147</f>
        <v/>
      </c>
      <c r="AI147" s="76">
        <f>AH147-AF147</f>
        <v/>
      </c>
      <c r="AJ147" s="77">
        <f>AI147/I147</f>
        <v/>
      </c>
      <c r="AK147" s="78">
        <f>AI147/N147</f>
        <v/>
      </c>
      <c r="AL147" s="72">
        <f>(Q147+S147+X147+Z147+AA147+N147+AM147)/(1-(O147+$I$4+(1-J147)*$I$3+$I$8+$I$11+AB147+AD147))</f>
        <v/>
      </c>
      <c r="AM147" s="72">
        <f>$I$12</f>
        <v/>
      </c>
      <c r="AN147" s="72">
        <f>I147*$I$11</f>
        <v/>
      </c>
    </row>
    <row r="148">
      <c r="A148" s="86" t="inlineStr">
        <is>
          <t>MEDICUBE PDRN PINK EXOSOME SHOT SERUM 2000 30ml</t>
        </is>
      </c>
      <c r="B148" s="99" t="n"/>
      <c r="C148" s="87" t="n">
        <v>300</v>
      </c>
      <c r="D148" s="45" t="n"/>
      <c r="E148" s="101" t="n">
        <v>0</v>
      </c>
      <c r="F148" s="69" t="n">
        <v>5150</v>
      </c>
      <c r="G148" s="69" t="n">
        <v>65</v>
      </c>
      <c r="H148" s="69" t="n">
        <v>5</v>
      </c>
      <c r="I148" s="69">
        <f>(1.20*N148+Q148+S148+X148+Z148+AA148+AM148)/(1-O148-$I$8-$I$4-(1-J148)*$I$3-$I$11-AB148-AD148)</f>
        <v/>
      </c>
      <c r="J148" s="15" t="n">
        <v>0.45</v>
      </c>
      <c r="K148" s="16">
        <f>I148*(1-J148)</f>
        <v/>
      </c>
      <c r="L148" s="70" t="n">
        <v>757</v>
      </c>
      <c r="M148" s="71">
        <f>$I$5</f>
        <v/>
      </c>
      <c r="N148" s="19">
        <f>L148+M148</f>
        <v/>
      </c>
      <c r="O148" s="20" t="n">
        <v>0.47</v>
      </c>
      <c r="P148" s="72">
        <f>I148*O148</f>
        <v/>
      </c>
      <c r="Q148" s="73" t="n">
        <v>63</v>
      </c>
      <c r="R148" s="72">
        <f>I148*$I$8</f>
        <v/>
      </c>
      <c r="S148" s="73" t="n">
        <v>25</v>
      </c>
      <c r="T148" s="72">
        <f>I148*$I$4</f>
        <v/>
      </c>
      <c r="U148" s="72">
        <f>K148*$I$3</f>
        <v/>
      </c>
      <c r="V148" s="74" t="n">
        <v>0.9</v>
      </c>
      <c r="W148" s="73" t="n">
        <v>63</v>
      </c>
      <c r="X148" s="72">
        <f>W148*(1-V148)</f>
        <v/>
      </c>
      <c r="Y148" s="75" t="n">
        <v>0.4</v>
      </c>
      <c r="Z148" s="72">
        <f>$I$6*$I$7*Y148</f>
        <v/>
      </c>
      <c r="AA148" s="19">
        <f>Y148*($I$9+$I$10)</f>
        <v/>
      </c>
      <c r="AB148" s="20" t="n">
        <v>0.07000000000000001</v>
      </c>
      <c r="AC148" s="72">
        <f>I148*AB148</f>
        <v/>
      </c>
      <c r="AD148" s="74" t="n">
        <v>0.08</v>
      </c>
      <c r="AE148" s="72">
        <f>I148*AD148</f>
        <v/>
      </c>
      <c r="AF148" s="72">
        <f>AC148+AE148</f>
        <v/>
      </c>
      <c r="AG148" s="25">
        <f>AF148/I148</f>
        <v/>
      </c>
      <c r="AH148" s="26">
        <f>I148-P148-Q148-R148-S148-T148-U148-X148-Z148-AA148-N148-AM148-AN148</f>
        <v/>
      </c>
      <c r="AI148" s="76">
        <f>AH148-AF148</f>
        <v/>
      </c>
      <c r="AJ148" s="77">
        <f>AI148/I148</f>
        <v/>
      </c>
      <c r="AK148" s="78">
        <f>AI148/N148</f>
        <v/>
      </c>
      <c r="AL148" s="72">
        <f>(Q148+S148+X148+Z148+AA148+N148+AM148)/(1-(O148+$I$4+(1-J148)*$I$3+$I$8+$I$11+AB148+AD148))</f>
        <v/>
      </c>
      <c r="AM148" s="72">
        <f>$I$12</f>
        <v/>
      </c>
      <c r="AN148" s="72">
        <f>I148*$I$11</f>
        <v/>
      </c>
    </row>
    <row r="149">
      <c r="A149" s="86" t="inlineStr">
        <is>
          <t>MEDICUBE TXA NIACINAMIDE CAPSULE CREAM 55g</t>
        </is>
      </c>
      <c r="B149" s="99" t="n"/>
      <c r="C149" s="87" t="n">
        <v>240</v>
      </c>
      <c r="D149" s="45" t="n"/>
      <c r="E149" s="101" t="n">
        <v>0</v>
      </c>
      <c r="F149" s="69" t="n">
        <v>6900</v>
      </c>
      <c r="G149" s="69" t="n">
        <v>25</v>
      </c>
      <c r="H149" s="69" t="n">
        <v>0</v>
      </c>
      <c r="I149" s="69">
        <f>(1.20*N149+Q149+S149+X149+Z149+AA149+AM149)/(1-O149-$I$8-$I$4-(1-J149)*$I$3-$I$11-AB149-AD149)</f>
        <v/>
      </c>
      <c r="J149" s="15" t="n">
        <v>0.45</v>
      </c>
      <c r="K149" s="16">
        <f>I149*(1-J149)</f>
        <v/>
      </c>
      <c r="L149" s="70" t="n">
        <v>922</v>
      </c>
      <c r="M149" s="71">
        <f>$I$5</f>
        <v/>
      </c>
      <c r="N149" s="19">
        <f>L149+M149</f>
        <v/>
      </c>
      <c r="O149" s="20" t="n">
        <v>0.47</v>
      </c>
      <c r="P149" s="72">
        <f>I149*O149</f>
        <v/>
      </c>
      <c r="Q149" s="73" t="n">
        <v>63</v>
      </c>
      <c r="R149" s="72">
        <f>I149*$I$8</f>
        <v/>
      </c>
      <c r="S149" s="73" t="n">
        <v>25</v>
      </c>
      <c r="T149" s="72">
        <f>I149*$I$4</f>
        <v/>
      </c>
      <c r="U149" s="72">
        <f>K149*$I$3</f>
        <v/>
      </c>
      <c r="V149" s="74" t="n">
        <v>0.9</v>
      </c>
      <c r="W149" s="73" t="n">
        <v>63</v>
      </c>
      <c r="X149" s="72">
        <f>W149*(1-V149)</f>
        <v/>
      </c>
      <c r="Y149" s="75" t="n">
        <v>0.4</v>
      </c>
      <c r="Z149" s="72">
        <f>$I$6*$I$7*Y149</f>
        <v/>
      </c>
      <c r="AA149" s="19">
        <f>Y149*($I$9+$I$10)</f>
        <v/>
      </c>
      <c r="AB149" s="20" t="n">
        <v>0.07000000000000001</v>
      </c>
      <c r="AC149" s="72">
        <f>I149*AB149</f>
        <v/>
      </c>
      <c r="AD149" s="74" t="n">
        <v>0.08</v>
      </c>
      <c r="AE149" s="72">
        <f>I149*AD149</f>
        <v/>
      </c>
      <c r="AF149" s="72">
        <f>AC149+AE149</f>
        <v/>
      </c>
      <c r="AG149" s="25">
        <f>AF149/I149</f>
        <v/>
      </c>
      <c r="AH149" s="26">
        <f>I149-P149-Q149-R149-S149-T149-U149-X149-Z149-AA149-N149-AM149-AN149</f>
        <v/>
      </c>
      <c r="AI149" s="76">
        <f>AH149-AF149</f>
        <v/>
      </c>
      <c r="AJ149" s="77">
        <f>AI149/I149</f>
        <v/>
      </c>
      <c r="AK149" s="78">
        <f>AI149/N149</f>
        <v/>
      </c>
      <c r="AL149" s="72">
        <f>(Q149+S149+X149+Z149+AA149+N149+AM149)/(1-(O149+$I$4+(1-J149)*$I$3+$I$8+$I$11+AB149+AD149))</f>
        <v/>
      </c>
      <c r="AM149" s="72">
        <f>$I$12</f>
        <v/>
      </c>
      <c r="AN149" s="72">
        <f>I149*$I$11</f>
        <v/>
      </c>
    </row>
    <row r="150">
      <c r="A150" s="86" t="inlineStr">
        <is>
          <t>MEDICUBE PDRN PINK COLLAGEN CAPSULE CREAM 55g</t>
        </is>
      </c>
      <c r="B150" s="99" t="n"/>
      <c r="C150" s="87" t="n">
        <v>160</v>
      </c>
      <c r="D150" s="45" t="n"/>
      <c r="E150" s="101" t="n">
        <v>0</v>
      </c>
      <c r="F150" s="69" t="n">
        <v>5270</v>
      </c>
      <c r="G150" s="69" t="n">
        <v>200</v>
      </c>
      <c r="H150" s="69" t="n">
        <v>17</v>
      </c>
      <c r="I150" s="69">
        <f>(1.20*N150+Q150+S150+X150+Z150+AA150+AM150)/(1-O150-$I$8-$I$4-(1-J150)*$I$3-$I$11-AB150-AD150)</f>
        <v/>
      </c>
      <c r="J150" s="15" t="n">
        <v>0.45</v>
      </c>
      <c r="K150" s="16">
        <f>I150*(1-J150)</f>
        <v/>
      </c>
      <c r="L150" s="70" t="n">
        <v>1019</v>
      </c>
      <c r="M150" s="71">
        <f>$I$5</f>
        <v/>
      </c>
      <c r="N150" s="19">
        <f>L150+M150</f>
        <v/>
      </c>
      <c r="O150" s="20" t="n">
        <v>0.47</v>
      </c>
      <c r="P150" s="72">
        <f>I150*O150</f>
        <v/>
      </c>
      <c r="Q150" s="73" t="n">
        <v>63</v>
      </c>
      <c r="R150" s="72">
        <f>I150*$I$8</f>
        <v/>
      </c>
      <c r="S150" s="73" t="n">
        <v>25</v>
      </c>
      <c r="T150" s="72">
        <f>I150*$I$4</f>
        <v/>
      </c>
      <c r="U150" s="72">
        <f>K150*$I$3</f>
        <v/>
      </c>
      <c r="V150" s="74" t="n">
        <v>0.9</v>
      </c>
      <c r="W150" s="73" t="n">
        <v>63</v>
      </c>
      <c r="X150" s="72">
        <f>W150*(1-V150)</f>
        <v/>
      </c>
      <c r="Y150" s="75" t="n">
        <v>0.4</v>
      </c>
      <c r="Z150" s="72">
        <f>$I$6*$I$7*Y150</f>
        <v/>
      </c>
      <c r="AA150" s="19">
        <f>Y150*($I$9+$I$10)</f>
        <v/>
      </c>
      <c r="AB150" s="20" t="n">
        <v>0.07000000000000001</v>
      </c>
      <c r="AC150" s="72">
        <f>I150*AB150</f>
        <v/>
      </c>
      <c r="AD150" s="74" t="n">
        <v>0.08</v>
      </c>
      <c r="AE150" s="72">
        <f>I150*AD150</f>
        <v/>
      </c>
      <c r="AF150" s="72">
        <f>AC150+AE150</f>
        <v/>
      </c>
      <c r="AG150" s="25">
        <f>AF150/I150</f>
        <v/>
      </c>
      <c r="AH150" s="26">
        <f>I150-P150-Q150-R150-S150-T150-U150-X150-Z150-AA150-N150-AM150-AN150</f>
        <v/>
      </c>
      <c r="AI150" s="76">
        <f>AH150-AF150</f>
        <v/>
      </c>
      <c r="AJ150" s="77">
        <f>AI150/I150</f>
        <v/>
      </c>
      <c r="AK150" s="78">
        <f>AI150/N150</f>
        <v/>
      </c>
      <c r="AL150" s="72">
        <f>(Q150+S150+X150+Z150+AA150+N150+AM150)/(1-(O150+$I$4+(1-J150)*$I$3+$I$8+$I$11+AB150+AD150))</f>
        <v/>
      </c>
      <c r="AM150" s="72">
        <f>$I$12</f>
        <v/>
      </c>
      <c r="AN150" s="72">
        <f>I150*$I$11</f>
        <v/>
      </c>
    </row>
    <row r="151">
      <c r="A151" s="86" t="inlineStr">
        <is>
          <t>MEDICUBE PDRN PINK HYALURONIC MOISTURIZING CREAM 50ml</t>
        </is>
      </c>
      <c r="B151" s="99" t="n"/>
      <c r="C151" s="87" t="n">
        <v>200</v>
      </c>
      <c r="D151" s="45" t="n"/>
      <c r="E151" s="101" t="n">
        <v>0</v>
      </c>
      <c r="F151" s="69" t="n">
        <v>3450</v>
      </c>
      <c r="G151" s="69" t="n">
        <v>100</v>
      </c>
      <c r="H151" s="69" t="n">
        <v>10</v>
      </c>
      <c r="I151" s="69">
        <f>(1.20*N151+Q151+S151+X151+Z151+AA151+AM151)/(1-O151-$I$8-$I$4-(1-J151)*$I$3-$I$11-AB151-AD151)</f>
        <v/>
      </c>
      <c r="J151" s="15" t="n">
        <v>0.45</v>
      </c>
      <c r="K151" s="16">
        <f>I151*(1-J151)</f>
        <v/>
      </c>
      <c r="L151" s="70" t="n">
        <v>670</v>
      </c>
      <c r="M151" s="71">
        <f>$I$5</f>
        <v/>
      </c>
      <c r="N151" s="19">
        <f>L151+M151</f>
        <v/>
      </c>
      <c r="O151" s="20" t="n">
        <v>0.47</v>
      </c>
      <c r="P151" s="72">
        <f>I151*O151</f>
        <v/>
      </c>
      <c r="Q151" s="73" t="n">
        <v>63</v>
      </c>
      <c r="R151" s="72">
        <f>I151*$I$8</f>
        <v/>
      </c>
      <c r="S151" s="73" t="n">
        <v>25</v>
      </c>
      <c r="T151" s="72">
        <f>I151*$I$4</f>
        <v/>
      </c>
      <c r="U151" s="72">
        <f>K151*$I$3</f>
        <v/>
      </c>
      <c r="V151" s="74" t="n">
        <v>0.9</v>
      </c>
      <c r="W151" s="73" t="n">
        <v>63</v>
      </c>
      <c r="X151" s="72">
        <f>W151*(1-V151)</f>
        <v/>
      </c>
      <c r="Y151" s="75" t="n">
        <v>0.4</v>
      </c>
      <c r="Z151" s="72">
        <f>$I$6*$I$7*Y151</f>
        <v/>
      </c>
      <c r="AA151" s="19">
        <f>Y151*($I$9+$I$10)</f>
        <v/>
      </c>
      <c r="AB151" s="20" t="n">
        <v>0.07000000000000001</v>
      </c>
      <c r="AC151" s="72">
        <f>I151*AB151</f>
        <v/>
      </c>
      <c r="AD151" s="74" t="n">
        <v>0.08</v>
      </c>
      <c r="AE151" s="72">
        <f>I151*AD151</f>
        <v/>
      </c>
      <c r="AF151" s="72">
        <f>AC151+AE151</f>
        <v/>
      </c>
      <c r="AG151" s="25">
        <f>AF151/I151</f>
        <v/>
      </c>
      <c r="AH151" s="26">
        <f>I151-P151-Q151-R151-S151-T151-U151-X151-Z151-AA151-N151-AM151-AN151</f>
        <v/>
      </c>
      <c r="AI151" s="76">
        <f>AH151-AF151</f>
        <v/>
      </c>
      <c r="AJ151" s="77">
        <f>AI151/I151</f>
        <v/>
      </c>
      <c r="AK151" s="78">
        <f>AI151/N151</f>
        <v/>
      </c>
      <c r="AL151" s="72">
        <f>(Q151+S151+X151+Z151+AA151+N151+AM151)/(1-(O151+$I$4+(1-J151)*$I$3+$I$8+$I$11+AB151+AD151))</f>
        <v/>
      </c>
      <c r="AM151" s="72">
        <f>$I$12</f>
        <v/>
      </c>
      <c r="AN151" s="72">
        <f>I151*$I$11</f>
        <v/>
      </c>
    </row>
    <row r="152">
      <c r="A152" s="86" t="inlineStr">
        <is>
          <t>[Derma Factory] PDRN 4% Ampoule</t>
        </is>
      </c>
      <c r="B152" s="99" t="n"/>
      <c r="C152" s="87" t="n">
        <v>1530</v>
      </c>
      <c r="D152" s="45" t="n"/>
      <c r="E152" s="92" t="n">
        <v>0</v>
      </c>
      <c r="F152" s="69" t="n">
        <v>3350</v>
      </c>
      <c r="G152" s="69" t="n">
        <v>400</v>
      </c>
      <c r="H152" s="69" t="n">
        <v>13</v>
      </c>
      <c r="I152" s="69">
        <f>(1.20*N152+Q152+S152+X152+Z152+AA152+AM152)/(1-O152-$I$8-$I$4-(1-J152)*$I$3-$I$11-AB152-AD152)</f>
        <v/>
      </c>
      <c r="J152" s="15" t="n">
        <v>0.45</v>
      </c>
      <c r="K152" s="16">
        <f>I152*(1-J152)</f>
        <v/>
      </c>
      <c r="L152" s="70" t="n">
        <v>407</v>
      </c>
      <c r="M152" s="71">
        <f>$I$5</f>
        <v/>
      </c>
      <c r="N152" s="19">
        <f>L152+M152</f>
        <v/>
      </c>
      <c r="O152" s="20" t="n">
        <v>0.47</v>
      </c>
      <c r="P152" s="72">
        <f>I152*O152</f>
        <v/>
      </c>
      <c r="Q152" s="73" t="n">
        <v>63</v>
      </c>
      <c r="R152" s="72">
        <f>I152*$I$8</f>
        <v/>
      </c>
      <c r="S152" s="73" t="n">
        <v>25</v>
      </c>
      <c r="T152" s="72">
        <f>I152*$I$4</f>
        <v/>
      </c>
      <c r="U152" s="72">
        <f>K152*$I$3</f>
        <v/>
      </c>
      <c r="V152" s="74" t="n">
        <v>0.9</v>
      </c>
      <c r="W152" s="73" t="n">
        <v>63</v>
      </c>
      <c r="X152" s="72">
        <f>W152*(1-V152)</f>
        <v/>
      </c>
      <c r="Y152" s="75" t="n">
        <v>0.4</v>
      </c>
      <c r="Z152" s="72">
        <f>$I$6*$I$7*Y152</f>
        <v/>
      </c>
      <c r="AA152" s="19">
        <f>Y152*($I$9+$I$10)</f>
        <v/>
      </c>
      <c r="AB152" s="20" t="n">
        <v>0.07000000000000001</v>
      </c>
      <c r="AC152" s="72">
        <f>I152*AB152</f>
        <v/>
      </c>
      <c r="AD152" s="74" t="n">
        <v>0.08</v>
      </c>
      <c r="AE152" s="72">
        <f>I152*AD152</f>
        <v/>
      </c>
      <c r="AF152" s="72">
        <f>AC152+AE152</f>
        <v/>
      </c>
      <c r="AG152" s="25">
        <f>AF152/I152</f>
        <v/>
      </c>
      <c r="AH152" s="26">
        <f>I152-P152-Q152-R152-S152-T152-U152-X152-Z152-AA152-N152-AM152-AN152</f>
        <v/>
      </c>
      <c r="AI152" s="76">
        <f>AH152-AF152</f>
        <v/>
      </c>
      <c r="AJ152" s="77">
        <f>AI152/I152</f>
        <v/>
      </c>
      <c r="AK152" s="78">
        <f>AI152/N152</f>
        <v/>
      </c>
      <c r="AL152" s="72">
        <f>(Q152+S152+X152+Z152+AA152+N152+AM152)/(1-(O152+$I$4+(1-J152)*$I$3+$I$8+$I$11+AB152+AD152))</f>
        <v/>
      </c>
      <c r="AM152" s="72">
        <f>$I$12</f>
        <v/>
      </c>
      <c r="AN152" s="72">
        <f>I152*$I$11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2026-08-05T12:06:27Z</dcterms:created>
  <dcterms:modified xsi:type="dcterms:W3CDTF">2026-08-11T10:20:02Z</dcterms:modified>
  <cp:lastModifiedBy>PC</cp:lastModifiedBy>
</cp:coreProperties>
</file>
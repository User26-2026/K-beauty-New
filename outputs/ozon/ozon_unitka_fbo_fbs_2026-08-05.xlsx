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220" tabRatio="600" firstSheet="0" activeTab="0" autoFilterDateGrouping="1"/>
  </bookViews>
  <sheets>
    <sheet name="Юнитка FBO" sheetId="1" state="visible" r:id="rId1"/>
    <sheet name="Юнитка FBS" sheetId="2" state="visible" r:id="rId2"/>
  </sheets>
  <definedNames/>
  <calcPr calcId="18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4">
    <font>
      <name val="Calibri"/>
      <family val="2"/>
      <color theme="1"/>
      <sz val="11"/>
      <scheme val="minor"/>
    </font>
    <font>
      <name val="Calibri"/>
      <charset val="204"/>
      <family val="2"/>
      <b val="1"/>
      <color theme="1"/>
      <sz val="12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</font>
    <font>
      <name val="Calibri"/>
      <charset val="204"/>
      <family val="2"/>
      <b val="1"/>
      <color rgb="FFFFFFFF"/>
      <sz val="11"/>
    </font>
    <font>
      <name val="Calibri"/>
      <charset val="204"/>
      <family val="2"/>
      <b val="1"/>
      <sz val="11"/>
    </font>
    <font>
      <name val="Calibri"/>
      <charset val="204"/>
      <family val="2"/>
      <color theme="1"/>
      <sz val="11"/>
    </font>
    <font>
      <name val="Calibri"/>
      <charset val="204"/>
      <family val="2"/>
      <i val="1"/>
      <color theme="1"/>
      <sz val="11"/>
    </font>
    <font>
      <name val="Arial"/>
      <charset val="204"/>
      <family val="2"/>
      <color rgb="FFFF0000"/>
      <sz val="9"/>
    </font>
    <font>
      <name val="Arial"/>
      <charset val="204"/>
      <family val="2"/>
      <color theme="1"/>
      <sz val="9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color rgb="FFFF0000"/>
      <sz val="11"/>
      <scheme val="minor"/>
    </font>
    <font>
      <b val="1"/>
    </font>
    <font>
      <b val="1"/>
      <color rgb="00FFFFFF"/>
    </font>
  </fonts>
  <fills count="15">
    <fill>
      <patternFill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305496"/>
        <bgColor rgb="FF305496"/>
      </patternFill>
    </fill>
    <fill>
      <patternFill patternType="solid">
        <fgColor rgb="FFBDD7EE"/>
      </patternFill>
    </fill>
    <fill>
      <patternFill patternType="solid">
        <fgColor theme="0"/>
        <bgColor theme="0"/>
      </patternFill>
    </fill>
    <fill>
      <patternFill patternType="solid">
        <fgColor rgb="FFFCE4D6"/>
        <bgColor rgb="FFFCE4D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</patternFill>
    </fill>
    <fill>
      <patternFill patternType="solid">
        <fgColor rgb="FFE06666"/>
        <bgColor rgb="FFE06666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FFFF00"/>
        <bgColor rgb="FFFFFF00"/>
      </patternFill>
    </fill>
    <fill>
      <patternFill patternType="solid">
        <fgColor rgb="00FFF2CC"/>
      </patternFill>
    </fill>
    <fill>
      <patternFill patternType="solid">
        <fgColor rgb="00305496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 style="thin">
        <color rgb="FFD0D0D0"/>
      </top>
      <bottom style="thin">
        <color rgb="FFD0D0D0"/>
      </bottom>
      <diagonal/>
    </border>
    <border>
      <left style="medium">
        <color rgb="FF00000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medium">
        <color rgb="FF00000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1"/>
  </cellStyleXfs>
  <cellXfs count="96">
    <xf numFmtId="0" fontId="0" fillId="0" borderId="0" pivotButton="0" quotePrefix="0" xfId="0"/>
    <xf numFmtId="9" fontId="3" fillId="2" borderId="2" pivotButton="0" quotePrefix="0" xfId="0"/>
    <xf numFmtId="164" fontId="3" fillId="2" borderId="2" pivotButton="0" quotePrefix="0" xfId="0"/>
    <xf numFmtId="3" fontId="3" fillId="2" borderId="2" pivotButton="0" quotePrefix="0" xfId="0"/>
    <xf numFmtId="2" fontId="3" fillId="2" borderId="2" pivotButton="0" quotePrefix="0" xfId="0"/>
    <xf numFmtId="0" fontId="4" fillId="3" borderId="2" applyAlignment="1" pivotButton="0" quotePrefix="0" xfId="0">
      <alignment horizontal="center" vertical="center" wrapText="1"/>
    </xf>
    <xf numFmtId="0" fontId="4" fillId="3" borderId="3" applyAlignment="1" pivotButton="0" quotePrefix="0" xfId="0">
      <alignment horizontal="center" vertical="center" wrapText="1"/>
    </xf>
    <xf numFmtId="0" fontId="4" fillId="3" borderId="4" applyAlignment="1" pivotButton="0" quotePrefix="0" xfId="0">
      <alignment horizontal="center" vertical="center" wrapText="1"/>
    </xf>
    <xf numFmtId="0" fontId="4" fillId="3" borderId="5" applyAlignment="1" pivotButton="0" quotePrefix="0" xfId="0">
      <alignment horizontal="center" vertical="center" wrapText="1"/>
    </xf>
    <xf numFmtId="0" fontId="4" fillId="3" borderId="6" applyAlignment="1" pivotButton="0" quotePrefix="0" xfId="0">
      <alignment horizontal="center" vertical="center" wrapText="1"/>
    </xf>
    <xf numFmtId="0" fontId="0" fillId="4" borderId="7" pivotButton="0" quotePrefix="0" xfId="0"/>
    <xf numFmtId="0" fontId="6" fillId="0" borderId="2" applyAlignment="1" pivotButton="0" quotePrefix="0" xfId="0">
      <alignment wrapText="1"/>
    </xf>
    <xf numFmtId="0" fontId="7" fillId="5" borderId="2" applyAlignment="1" pivotButton="0" quotePrefix="0" xfId="0">
      <alignment horizontal="center"/>
    </xf>
    <xf numFmtId="0" fontId="7" fillId="5" borderId="2" pivotButton="0" quotePrefix="0" xfId="0"/>
    <xf numFmtId="3" fontId="3" fillId="6" borderId="2" applyAlignment="1" pivotButton="0" quotePrefix="0" xfId="0">
      <alignment horizontal="center"/>
    </xf>
    <xf numFmtId="164" fontId="6" fillId="2" borderId="3" pivotButton="0" quotePrefix="0" xfId="0"/>
    <xf numFmtId="3" fontId="6" fillId="0" borderId="4" pivotButton="0" quotePrefix="0" xfId="0"/>
    <xf numFmtId="4" fontId="6" fillId="2" borderId="2" pivotButton="0" quotePrefix="0" xfId="0"/>
    <xf numFmtId="4" fontId="6" fillId="0" borderId="2" pivotButton="0" quotePrefix="0" xfId="0"/>
    <xf numFmtId="4" fontId="6" fillId="0" borderId="5" pivotButton="0" quotePrefix="0" xfId="0"/>
    <xf numFmtId="164" fontId="6" fillId="2" borderId="4" pivotButton="0" quotePrefix="0" xfId="0"/>
    <xf numFmtId="3" fontId="6" fillId="0" borderId="2" pivotButton="0" quotePrefix="0" xfId="0"/>
    <xf numFmtId="3" fontId="6" fillId="2" borderId="2" pivotButton="0" quotePrefix="0" xfId="0"/>
    <xf numFmtId="164" fontId="6" fillId="2" borderId="2" pivotButton="0" quotePrefix="0" xfId="0"/>
    <xf numFmtId="2" fontId="6" fillId="2" borderId="2" pivotButton="0" quotePrefix="0" xfId="0"/>
    <xf numFmtId="164" fontId="6" fillId="0" borderId="5" pivotButton="0" quotePrefix="0" xfId="0"/>
    <xf numFmtId="3" fontId="6" fillId="0" borderId="6" pivotButton="0" quotePrefix="0" xfId="0"/>
    <xf numFmtId="3" fontId="3" fillId="7" borderId="2" pivotButton="0" quotePrefix="0" xfId="0"/>
    <xf numFmtId="164" fontId="6" fillId="0" borderId="2" pivotButton="0" quotePrefix="0" xfId="0"/>
    <xf numFmtId="164" fontId="3" fillId="7" borderId="2" pivotButton="0" quotePrefix="0" xfId="0"/>
    <xf numFmtId="0" fontId="0" fillId="0" borderId="2" pivotButton="0" quotePrefix="0" xfId="0"/>
    <xf numFmtId="3" fontId="0" fillId="0" borderId="2" pivotButton="0" quotePrefix="0" xfId="0"/>
    <xf numFmtId="164" fontId="0" fillId="0" borderId="3" pivotButton="0" quotePrefix="0" xfId="0"/>
    <xf numFmtId="3" fontId="0" fillId="0" borderId="4" pivotButton="0" quotePrefix="0" xfId="0"/>
    <xf numFmtId="4" fontId="0" fillId="0" borderId="2" pivotButton="0" quotePrefix="0" xfId="0"/>
    <xf numFmtId="4" fontId="0" fillId="0" borderId="5" pivotButton="0" quotePrefix="0" xfId="0"/>
    <xf numFmtId="164" fontId="0" fillId="0" borderId="4" pivotButton="0" quotePrefix="0" xfId="0"/>
    <xf numFmtId="164" fontId="0" fillId="0" borderId="2" pivotButton="0" quotePrefix="0" xfId="0"/>
    <xf numFmtId="2" fontId="0" fillId="0" borderId="2" pivotButton="0" quotePrefix="0" xfId="0"/>
    <xf numFmtId="164" fontId="0" fillId="0" borderId="5" pivotButton="0" quotePrefix="0" xfId="0"/>
    <xf numFmtId="3" fontId="0" fillId="0" borderId="6" pivotButton="0" quotePrefix="0" xfId="0"/>
    <xf numFmtId="3" fontId="3" fillId="9" borderId="2" pivotButton="0" quotePrefix="0" xfId="0"/>
    <xf numFmtId="164" fontId="6" fillId="9" borderId="2" pivotButton="0" quotePrefix="0" xfId="0"/>
    <xf numFmtId="164" fontId="3" fillId="9" borderId="2" pivotButton="0" quotePrefix="0" xfId="0"/>
    <xf numFmtId="4" fontId="8" fillId="10" borderId="8" applyAlignment="1" pivotButton="0" quotePrefix="0" xfId="0">
      <alignment horizontal="center"/>
    </xf>
    <xf numFmtId="4" fontId="9" fillId="10" borderId="8" applyAlignment="1" pivotButton="0" quotePrefix="0" xfId="0">
      <alignment horizontal="center"/>
    </xf>
    <xf numFmtId="4" fontId="9" fillId="10" borderId="9" applyAlignment="1" pivotButton="0" quotePrefix="0" xfId="0">
      <alignment horizontal="center"/>
    </xf>
    <xf numFmtId="0" fontId="6" fillId="11" borderId="2" applyAlignment="1" pivotButton="0" quotePrefix="0" xfId="0">
      <alignment wrapText="1"/>
    </xf>
    <xf numFmtId="0" fontId="2" fillId="0" borderId="1" applyAlignment="1" pivotButton="0" quotePrefix="0" xfId="0">
      <alignment horizontal="center"/>
    </xf>
    <xf numFmtId="0" fontId="10" fillId="0" borderId="1" pivotButton="0" quotePrefix="0" xfId="0"/>
    <xf numFmtId="0" fontId="6" fillId="12" borderId="2" applyAlignment="1" pivotButton="0" quotePrefix="0" xfId="0">
      <alignment wrapText="1"/>
    </xf>
    <xf numFmtId="0" fontId="7" fillId="12" borderId="2" applyAlignment="1" pivotButton="0" quotePrefix="0" xfId="0">
      <alignment horizontal="center"/>
    </xf>
    <xf numFmtId="0" fontId="7" fillId="5" borderId="1" pivotButton="0" quotePrefix="0" xfId="0"/>
    <xf numFmtId="0" fontId="11" fillId="0" borderId="1" pivotButton="0" quotePrefix="0" xfId="0"/>
    <xf numFmtId="0" fontId="1" fillId="0" borderId="1" applyAlignment="1" pivotButton="0" quotePrefix="0" xfId="0">
      <alignment wrapText="1"/>
    </xf>
    <xf numFmtId="0" fontId="2" fillId="0" borderId="1" applyAlignment="1" pivotButton="0" quotePrefix="0" xfId="0">
      <alignment wrapText="1"/>
    </xf>
    <xf numFmtId="0" fontId="5" fillId="4" borderId="7" applyAlignment="1" pivotButton="0" quotePrefix="0" xfId="0">
      <alignment wrapText="1"/>
    </xf>
    <xf numFmtId="0" fontId="0" fillId="8" borderId="2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0" borderId="1" pivotButton="0" quotePrefix="0" xfId="0"/>
    <xf numFmtId="9" fontId="3" fillId="2" borderId="7" pivotButton="0" quotePrefix="0" xfId="0"/>
    <xf numFmtId="164" fontId="3" fillId="2" borderId="7" pivotButton="0" quotePrefix="0" xfId="0"/>
    <xf numFmtId="3" fontId="3" fillId="2" borderId="7" pivotButton="0" quotePrefix="0" xfId="0"/>
    <xf numFmtId="2" fontId="3" fillId="2" borderId="7" pivotButton="0" quotePrefix="0" xfId="0"/>
    <xf numFmtId="164" fontId="12" fillId="13" borderId="10" pivotButton="0" quotePrefix="0" xfId="0"/>
    <xf numFmtId="3" fontId="12" fillId="13" borderId="10" pivotButton="0" quotePrefix="0" xfId="0"/>
    <xf numFmtId="0" fontId="4" fillId="3" borderId="7" applyAlignment="1" pivotButton="0" quotePrefix="0" xfId="0">
      <alignment horizontal="center" vertical="center" wrapText="1"/>
    </xf>
    <xf numFmtId="0" fontId="13" fillId="14" borderId="10" applyAlignment="1" pivotButton="0" quotePrefix="0" xfId="0">
      <alignment horizontal="center" vertical="center" wrapText="1"/>
    </xf>
    <xf numFmtId="0" fontId="12" fillId="4" borderId="10" pivotButton="0" quotePrefix="0" xfId="0"/>
    <xf numFmtId="0" fontId="0" fillId="4" borderId="10" pivotButton="0" quotePrefix="0" xfId="0"/>
    <xf numFmtId="0" fontId="6" fillId="0" borderId="7" applyAlignment="1" pivotButton="0" quotePrefix="0" xfId="0">
      <alignment wrapText="1"/>
    </xf>
    <xf numFmtId="0" fontId="7" fillId="5" borderId="7" applyAlignment="1" pivotButton="0" quotePrefix="0" xfId="0">
      <alignment horizontal="center"/>
    </xf>
    <xf numFmtId="0" fontId="7" fillId="5" borderId="7" pivotButton="0" quotePrefix="0" xfId="0"/>
    <xf numFmtId="3" fontId="3" fillId="6" borderId="7" applyAlignment="1" pivotButton="0" quotePrefix="0" xfId="0">
      <alignment horizontal="center"/>
    </xf>
    <xf numFmtId="4" fontId="6" fillId="2" borderId="7" pivotButton="0" quotePrefix="0" xfId="0"/>
    <xf numFmtId="4" fontId="6" fillId="0" borderId="7" pivotButton="0" quotePrefix="0" xfId="0"/>
    <xf numFmtId="3" fontId="6" fillId="0" borderId="7" pivotButton="0" quotePrefix="0" xfId="0"/>
    <xf numFmtId="3" fontId="6" fillId="2" borderId="7" pivotButton="0" quotePrefix="0" xfId="0"/>
    <xf numFmtId="164" fontId="6" fillId="2" borderId="7" pivotButton="0" quotePrefix="0" xfId="0"/>
    <xf numFmtId="2" fontId="6" fillId="2" borderId="7" pivotButton="0" quotePrefix="0" xfId="0"/>
    <xf numFmtId="3" fontId="3" fillId="7" borderId="7" pivotButton="0" quotePrefix="0" xfId="0"/>
    <xf numFmtId="164" fontId="6" fillId="0" borderId="7" pivotButton="0" quotePrefix="0" xfId="0"/>
    <xf numFmtId="164" fontId="3" fillId="7" borderId="7" pivotButton="0" quotePrefix="0" xfId="0"/>
    <xf numFmtId="0" fontId="0" fillId="8" borderId="7" applyAlignment="1" pivotButton="0" quotePrefix="0" xfId="0">
      <alignment wrapText="1"/>
    </xf>
    <xf numFmtId="0" fontId="0" fillId="0" borderId="7" pivotButton="0" quotePrefix="0" xfId="0"/>
    <xf numFmtId="3" fontId="0" fillId="0" borderId="7" pivotButton="0" quotePrefix="0" xfId="0"/>
    <xf numFmtId="4" fontId="0" fillId="0" borderId="7" pivotButton="0" quotePrefix="0" xfId="0"/>
    <xf numFmtId="164" fontId="0" fillId="0" borderId="7" pivotButton="0" quotePrefix="0" xfId="0"/>
    <xf numFmtId="2" fontId="0" fillId="0" borderId="7" pivotButton="0" quotePrefix="0" xfId="0"/>
    <xf numFmtId="3" fontId="3" fillId="9" borderId="7" pivotButton="0" quotePrefix="0" xfId="0"/>
    <xf numFmtId="164" fontId="6" fillId="9" borderId="7" pivotButton="0" quotePrefix="0" xfId="0"/>
    <xf numFmtId="164" fontId="3" fillId="9" borderId="7" pivotButton="0" quotePrefix="0" xfId="0"/>
    <xf numFmtId="0" fontId="6" fillId="11" borderId="7" applyAlignment="1" pivotButton="0" quotePrefix="0" xfId="0">
      <alignment wrapText="1"/>
    </xf>
    <xf numFmtId="0" fontId="10" fillId="0" borderId="1" applyAlignment="1" pivotButton="0" quotePrefix="0" xfId="0">
      <alignment horizontal="center"/>
    </xf>
    <xf numFmtId="0" fontId="6" fillId="12" borderId="7" applyAlignment="1" pivotButton="0" quotePrefix="0" xfId="0">
      <alignment wrapText="1"/>
    </xf>
    <xf numFmtId="0" fontId="7" fillId="12" borderId="7" applyAlignment="1" pivotButton="0" quotePrefix="0" xfId="0">
      <alignment horizontal="center"/>
    </xf>
  </cellXfs>
  <cellStyles count="1">
    <cellStyle name="Обычный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162"/>
  <sheetViews>
    <sheetView tabSelected="1" zoomScale="85" zoomScaleNormal="85" workbookViewId="0">
      <pane xSplit="7" ySplit="12" topLeftCell="H13" activePane="bottomRight" state="frozen"/>
      <selection pane="topRight" activeCell="A1" sqref="A1"/>
      <selection pane="bottomLeft" activeCell="A1" sqref="A1"/>
      <selection pane="bottomRight" activeCell="G14" sqref="G14"/>
    </sheetView>
  </sheetViews>
  <sheetFormatPr baseColWidth="8" defaultRowHeight="14.5"/>
  <cols>
    <col width="62.7265625" customWidth="1" style="58" min="1" max="1"/>
    <col width="12.08984375" customWidth="1" min="2" max="2"/>
    <col width="18.81640625" customWidth="1" min="3" max="3"/>
    <col width="10" customWidth="1" min="4" max="4"/>
    <col width="11.08984375" customWidth="1" min="5" max="5"/>
    <col width="11.26953125" customWidth="1" min="6" max="6"/>
    <col width="10" customWidth="1" min="7" max="7"/>
    <col width="7.453125" customWidth="1" min="8" max="8"/>
    <col width="8.54296875" customWidth="1" min="9" max="9"/>
    <col width="7.7265625" customWidth="1" min="10" max="10"/>
    <col width="9.81640625" customWidth="1" min="11" max="11"/>
    <col width="7.08984375" customWidth="1" min="12" max="12"/>
    <col width="9.453125" customWidth="1" min="13" max="13"/>
    <col width="13.453125" customWidth="1" min="14" max="14"/>
    <col width="13.26953125" customWidth="1" min="15" max="15"/>
    <col width="9.26953125" customWidth="1" min="16" max="16"/>
    <col width="9.453125" customWidth="1" min="17" max="17"/>
    <col width="10" customWidth="1" min="18" max="18"/>
    <col width="6.453125" customWidth="1" min="19" max="19"/>
    <col width="9" customWidth="1" min="20" max="20"/>
    <col width="8.26953125" customWidth="1" min="21" max="21"/>
    <col width="13" customWidth="1" min="22" max="22"/>
    <col width="9.453125" customWidth="1" min="23" max="23"/>
    <col width="10" customWidth="1" min="24" max="24"/>
    <col width="13.453125" customWidth="1" min="25" max="25"/>
    <col width="10" customWidth="1" min="26" max="26"/>
    <col width="13" customWidth="1" min="27" max="27"/>
    <col width="8.7265625" customWidth="1" min="28" max="28"/>
    <col width="13" customWidth="1" min="29" max="29"/>
    <col width="9" customWidth="1" min="30" max="30"/>
    <col width="6.81640625" customWidth="1" min="31" max="31"/>
    <col width="10.453125" customWidth="1" min="32" max="32"/>
    <col width="8.54296875" customWidth="1" min="33" max="33"/>
    <col width="9.7265625" customWidth="1" min="34" max="34"/>
    <col width="6.453125" customWidth="1" min="35" max="35"/>
    <col width="9.08984375" customWidth="1" min="36" max="36"/>
  </cols>
  <sheetData>
    <row r="1" ht="15.5" customHeight="1">
      <c r="A1" s="54" t="inlineStr">
        <is>
          <t>ПАРАМЕТРЫ — меняй жёлтые ячейки, всё пересчитается</t>
        </is>
      </c>
    </row>
    <row r="3">
      <c r="A3" s="55" t="inlineStr">
        <is>
          <t>Налог с оборота</t>
        </is>
      </c>
      <c r="G3" s="1" t="n">
        <v>0.07000000000000001</v>
      </c>
    </row>
    <row r="4">
      <c r="A4" s="55" t="inlineStr">
        <is>
          <t>Эквайринг</t>
        </is>
      </c>
      <c r="G4" s="2" t="n">
        <v>0.015</v>
      </c>
    </row>
    <row r="5">
      <c r="A5" s="55" t="inlineStr">
        <is>
          <t>Фулфилмент, ₽/шт</t>
        </is>
      </c>
      <c r="G5" s="3" t="n">
        <v>60</v>
      </c>
    </row>
    <row r="6">
      <c r="A6" s="55" t="inlineStr">
        <is>
          <t>Хранение, ₽/л/день</t>
        </is>
      </c>
      <c r="G6" s="4" t="n">
        <v>0.16</v>
      </c>
    </row>
    <row r="7">
      <c r="A7" s="55" t="inlineStr">
        <is>
          <t>Дней хранения</t>
        </is>
      </c>
      <c r="G7" s="3" t="n">
        <v>0</v>
      </c>
    </row>
    <row r="8">
      <c r="A8" s="55" t="inlineStr">
        <is>
          <t>Наценка за нелокальные продажи %</t>
        </is>
      </c>
      <c r="G8" s="2" t="n">
        <v>0.02</v>
      </c>
    </row>
    <row r="9">
      <c r="A9" s="55" t="inlineStr">
        <is>
          <t>Кроссдок: обработка (склады/СЦ) ₽/л</t>
        </is>
      </c>
      <c r="G9" s="4" t="n">
        <v>0.75</v>
      </c>
    </row>
    <row r="10">
      <c r="A10" s="55" t="inlineStr">
        <is>
          <t>Кроссдок: перевозка ₽/л (средн. 26 скл.)</t>
        </is>
      </c>
      <c r="G10" s="4" t="n">
        <v>4.423</v>
      </c>
    </row>
    <row r="12" ht="43.5" customHeight="1">
      <c r="A12" s="5" t="inlineStr">
        <is>
          <t>Товар</t>
        </is>
      </c>
      <c r="B12" s="5" t="inlineStr">
        <is>
          <t>Заказ контейнер шт</t>
        </is>
      </c>
      <c r="C12" s="5" t="inlineStr">
        <is>
          <t>Комментарий</t>
        </is>
      </c>
      <c r="D12" s="5" t="inlineStr">
        <is>
          <t>Цена конкурента без СПП</t>
        </is>
      </c>
      <c r="E12" s="5" t="inlineStr">
        <is>
          <t>Кол-во продаж конкурент</t>
        </is>
      </c>
      <c r="F12" s="5" t="inlineStr">
        <is>
          <t>ДРР конкурент</t>
        </is>
      </c>
      <c r="G12" s="5" t="inlineStr">
        <is>
          <t>Цена наша без СПП</t>
        </is>
      </c>
      <c r="H12" s="6" t="inlineStr">
        <is>
          <t>СПП, %</t>
        </is>
      </c>
      <c r="I12" s="7" t="inlineStr">
        <is>
          <t>Цена с СПП</t>
        </is>
      </c>
      <c r="J12" s="5" t="inlineStr">
        <is>
          <t>Себест.</t>
        </is>
      </c>
      <c r="K12" s="5" t="inlineStr">
        <is>
          <t>Фулфилмент</t>
        </is>
      </c>
      <c r="L12" s="8" t="inlineStr">
        <is>
          <t>База затрат</t>
        </is>
      </c>
      <c r="M12" s="7" t="inlineStr">
        <is>
          <t>Комиссия %</t>
        </is>
      </c>
      <c r="N12" s="5" t="inlineStr">
        <is>
          <t>Комиссия ₽</t>
        </is>
      </c>
      <c r="O12" s="5" t="inlineStr">
        <is>
          <t>Логистика</t>
        </is>
      </c>
      <c r="P12" s="5" t="inlineStr">
        <is>
          <t>Наценка нелок., ₽</t>
        </is>
      </c>
      <c r="Q12" s="5" t="inlineStr">
        <is>
          <t>Доставка до ПВЗ</t>
        </is>
      </c>
      <c r="R12" s="5" t="inlineStr">
        <is>
          <t>Эквайринг</t>
        </is>
      </c>
      <c r="S12" s="5" t="inlineStr">
        <is>
          <t>Налог</t>
        </is>
      </c>
      <c r="T12" s="5" t="inlineStr">
        <is>
          <t>Выкуп %</t>
        </is>
      </c>
      <c r="U12" s="5" t="inlineStr">
        <is>
          <t>Обр.лог база</t>
        </is>
      </c>
      <c r="V12" s="5" t="inlineStr">
        <is>
          <t>Обр.лог</t>
        </is>
      </c>
      <c r="W12" s="5" t="inlineStr">
        <is>
          <t>Объём, л</t>
        </is>
      </c>
      <c r="X12" s="5" t="inlineStr">
        <is>
          <t>Хранение</t>
        </is>
      </c>
      <c r="Y12" s="8" t="inlineStr">
        <is>
          <t>Кроссдок ср., ₽/ед</t>
        </is>
      </c>
      <c r="Z12" s="7" t="inlineStr">
        <is>
          <t>Оплата за клик, %</t>
        </is>
      </c>
      <c r="AA12" s="5" t="inlineStr">
        <is>
          <t>Оплата за клик ₽</t>
        </is>
      </c>
      <c r="AB12" s="5" t="inlineStr">
        <is>
          <t>Вывод в топ, %</t>
        </is>
      </c>
      <c r="AC12" s="5" t="inlineStr">
        <is>
          <t>Вывод в топ ₽</t>
        </is>
      </c>
      <c r="AD12" s="5" t="inlineStr">
        <is>
          <t>Реклама всего ₽</t>
        </is>
      </c>
      <c r="AE12" s="8" t="inlineStr">
        <is>
          <t>ДРР %</t>
        </is>
      </c>
      <c r="AF12" s="9" t="inlineStr">
        <is>
          <t>Маржа до рекл.</t>
        </is>
      </c>
      <c r="AG12" s="5" t="inlineStr">
        <is>
          <t>Маржа/шт</t>
        </is>
      </c>
      <c r="AH12" s="5" t="inlineStr">
        <is>
          <t>Маржа % цены</t>
        </is>
      </c>
      <c r="AI12" s="5" t="inlineStr">
        <is>
          <t>ROI %</t>
        </is>
      </c>
      <c r="AJ12" s="5" t="inlineStr">
        <is>
          <t>Цена безубыт.</t>
        </is>
      </c>
    </row>
    <row r="13">
      <c r="A13" s="56" t="inlineStr">
        <is>
          <t>Косметика/COSRX</t>
        </is>
      </c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  <c r="AD13" s="10" t="n"/>
      <c r="AE13" s="10" t="n"/>
      <c r="AF13" s="10" t="n"/>
      <c r="AG13" s="10" t="n"/>
      <c r="AH13" s="10" t="n"/>
      <c r="AI13" s="10" t="n"/>
      <c r="AJ13" s="10" t="n"/>
    </row>
    <row r="14" ht="29" customHeight="1">
      <c r="A14" s="11" t="inlineStr">
        <is>
          <t>COSRX - Salicylic Acid Daily Gentle Cleanser [150ml] / Пенка с салициловой кислотой для проблемной кожи</t>
        </is>
      </c>
      <c r="B14" s="12" t="n"/>
      <c r="C14" s="13" t="n"/>
      <c r="D14" s="14" t="n">
        <v>1680</v>
      </c>
      <c r="E14" s="14" t="n">
        <v>286</v>
      </c>
      <c r="F14" s="14" t="n">
        <v>22.3</v>
      </c>
      <c r="G14" s="14" t="n">
        <v>1630</v>
      </c>
      <c r="H14" s="15" t="n">
        <v>0.45</v>
      </c>
      <c r="I14" s="16">
        <f>G14*(1-H14)</f>
        <v/>
      </c>
      <c r="J14" s="17" t="n">
        <v>343.82</v>
      </c>
      <c r="K14" s="18">
        <f>$G$5</f>
        <v/>
      </c>
      <c r="L14" s="19">
        <f>J14+K14</f>
        <v/>
      </c>
      <c r="M14" s="20" t="n">
        <v>0.41</v>
      </c>
      <c r="N14" s="21">
        <f>G14*M14</f>
        <v/>
      </c>
      <c r="O14" s="22" t="n">
        <v>67</v>
      </c>
      <c r="P14" s="21">
        <f>G14*$G$8</f>
        <v/>
      </c>
      <c r="Q14" s="22" t="n">
        <v>25</v>
      </c>
      <c r="R14" s="21">
        <f>G14*$G$4</f>
        <v/>
      </c>
      <c r="S14" s="21">
        <f>I14*$G$3</f>
        <v/>
      </c>
      <c r="T14" s="23" t="n">
        <v>0.9</v>
      </c>
      <c r="U14" s="22" t="n">
        <v>67</v>
      </c>
      <c r="V14" s="21">
        <f>U14*(1-T14)</f>
        <v/>
      </c>
      <c r="W14" s="24" t="n">
        <v>0.63</v>
      </c>
      <c r="X14" s="21">
        <f>$G$6*$G$7*W14</f>
        <v/>
      </c>
      <c r="Y14" s="19">
        <f>W14*($G$9+$G$10)</f>
        <v/>
      </c>
      <c r="Z14" s="20" t="n">
        <v>0.11</v>
      </c>
      <c r="AA14" s="21">
        <f>G14*Z14</f>
        <v/>
      </c>
      <c r="AB14" s="23" t="n">
        <v>0.11</v>
      </c>
      <c r="AC14" s="21">
        <f>G14*AB14</f>
        <v/>
      </c>
      <c r="AD14" s="21">
        <f>AA14+AC14</f>
        <v/>
      </c>
      <c r="AE14" s="25">
        <f>AD14/G14</f>
        <v/>
      </c>
      <c r="AF14" s="26">
        <f>G14-N14-O14-P14-Q14-R14-S14-V14-X14-Y14-L14</f>
        <v/>
      </c>
      <c r="AG14" s="27">
        <f>AF14-AD14</f>
        <v/>
      </c>
      <c r="AH14" s="28">
        <f>AG14/G14</f>
        <v/>
      </c>
      <c r="AI14" s="29">
        <f>AG14/L14</f>
        <v/>
      </c>
      <c r="AJ14" s="21">
        <f>(O14+Q14+V14+X14+Y14+L14)/(1-(M14+$G$4+(1-H14)*$G$3+$G$8+Z14+AB14))</f>
        <v/>
      </c>
    </row>
    <row r="15">
      <c r="A15" s="56" t="inlineStr">
        <is>
          <t>Косметика/DEOPROCE/DEOPROCE-SHAMPOO</t>
        </is>
      </c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  <c r="AH15" s="10" t="n"/>
      <c r="AI15" s="10" t="n"/>
      <c r="AJ15" s="10" t="n"/>
    </row>
    <row r="16" ht="43.5" customHeight="1">
      <c r="A16" s="57" t="inlineStr">
        <is>
          <t>DEOPROCE SHAMPOO - BLACK GARLIC INTENSME ENERGY [600ml] мягкая упаковка Шампунь с черным чесноком против выпадения волос</t>
        </is>
      </c>
      <c r="B16" s="30" t="n"/>
      <c r="C16" s="30" t="n"/>
      <c r="D16" s="31" t="n"/>
      <c r="E16" s="31" t="n"/>
      <c r="F16" s="31" t="n"/>
      <c r="G16" s="31" t="n"/>
      <c r="H16" s="32" t="n"/>
      <c r="I16" s="33" t="n"/>
      <c r="J16" s="34" t="n"/>
      <c r="K16" s="34" t="n"/>
      <c r="L16" s="35" t="n"/>
      <c r="M16" s="36" t="n"/>
      <c r="N16" s="31" t="n"/>
      <c r="O16" s="31" t="n"/>
      <c r="P16" s="31" t="n"/>
      <c r="Q16" s="31" t="n"/>
      <c r="R16" s="31" t="n"/>
      <c r="S16" s="31" t="n"/>
      <c r="T16" s="37" t="n"/>
      <c r="U16" s="31" t="n"/>
      <c r="V16" s="31" t="n"/>
      <c r="W16" s="38" t="n"/>
      <c r="X16" s="31" t="n"/>
      <c r="Y16" s="35" t="n"/>
      <c r="Z16" s="36" t="n"/>
      <c r="AA16" s="31" t="n"/>
      <c r="AB16" s="37" t="n"/>
      <c r="AC16" s="31" t="n"/>
      <c r="AD16" s="31" t="n"/>
      <c r="AE16" s="39" t="n"/>
      <c r="AF16" s="40" t="n"/>
      <c r="AG16" s="31" t="n"/>
      <c r="AH16" s="37" t="n"/>
      <c r="AI16" s="37" t="n"/>
      <c r="AJ16" s="31" t="n"/>
    </row>
    <row r="17" ht="43.5" customHeight="1">
      <c r="A17" s="57" t="inlineStr">
        <is>
          <t>DEOPROCE SHAMPOO - BLACK GARLIC INTENSME ENERGY [600ml] мягкая упаковка с колпачком,Шампунь с черным чесноком против выпадения волос</t>
        </is>
      </c>
      <c r="B17" s="30" t="n"/>
      <c r="C17" s="30" t="n"/>
      <c r="D17" s="31" t="n"/>
      <c r="E17" s="31" t="n"/>
      <c r="F17" s="31" t="n"/>
      <c r="G17" s="31" t="n"/>
      <c r="H17" s="32" t="n"/>
      <c r="I17" s="33" t="n"/>
      <c r="J17" s="34" t="n"/>
      <c r="K17" s="34" t="n"/>
      <c r="L17" s="35" t="n"/>
      <c r="M17" s="36" t="n"/>
      <c r="N17" s="31" t="n"/>
      <c r="O17" s="31" t="n"/>
      <c r="P17" s="31" t="n"/>
      <c r="Q17" s="31" t="n"/>
      <c r="R17" s="31" t="n"/>
      <c r="S17" s="31" t="n"/>
      <c r="T17" s="37" t="n"/>
      <c r="U17" s="31" t="n"/>
      <c r="V17" s="31" t="n"/>
      <c r="W17" s="38" t="n"/>
      <c r="X17" s="31" t="n"/>
      <c r="Y17" s="35" t="n"/>
      <c r="Z17" s="36" t="n"/>
      <c r="AA17" s="31" t="n"/>
      <c r="AB17" s="37" t="n"/>
      <c r="AC17" s="31" t="n"/>
      <c r="AD17" s="31" t="n"/>
      <c r="AE17" s="39" t="n"/>
      <c r="AF17" s="40" t="n"/>
      <c r="AG17" s="31" t="n"/>
      <c r="AH17" s="37" t="n"/>
      <c r="AI17" s="37" t="n"/>
      <c r="AJ17" s="31" t="n"/>
    </row>
    <row r="18" ht="29" customHeight="1">
      <c r="A18" s="11" t="inlineStr">
        <is>
          <t>DEOPROCE SHAMPOO - BLACK GARLIC INTENSME ENERGY [200ml]/ Шампунь с черным чесноком против выпадения волос</t>
        </is>
      </c>
      <c r="B18" s="12" t="n"/>
      <c r="C18" s="13" t="n"/>
      <c r="D18" s="14" t="n">
        <v>980</v>
      </c>
      <c r="E18" s="14" t="n">
        <v>8</v>
      </c>
      <c r="F18" s="14" t="n">
        <v>0</v>
      </c>
      <c r="G18" s="14" t="n">
        <v>900</v>
      </c>
      <c r="H18" s="15" t="n">
        <v>0.45</v>
      </c>
      <c r="I18" s="16">
        <f>G18*(1-H18)</f>
        <v/>
      </c>
      <c r="J18" s="17" t="n">
        <v>151.13</v>
      </c>
      <c r="K18" s="18">
        <f>$G$5</f>
        <v/>
      </c>
      <c r="L18" s="19">
        <f>J18+K18</f>
        <v/>
      </c>
      <c r="M18" s="20" t="n">
        <v>0.41</v>
      </c>
      <c r="N18" s="21">
        <f>G18*M18</f>
        <v/>
      </c>
      <c r="O18" s="22" t="n">
        <v>67</v>
      </c>
      <c r="P18" s="21">
        <f>G18*$G$8</f>
        <v/>
      </c>
      <c r="Q18" s="22" t="n">
        <v>25</v>
      </c>
      <c r="R18" s="21">
        <f>G18*$G$4</f>
        <v/>
      </c>
      <c r="S18" s="21">
        <f>I18*$G$3</f>
        <v/>
      </c>
      <c r="T18" s="23" t="n">
        <v>0.9</v>
      </c>
      <c r="U18" s="22" t="n">
        <v>67</v>
      </c>
      <c r="V18" s="21">
        <f>U18*(1-T18)</f>
        <v/>
      </c>
      <c r="W18" s="24" t="n">
        <v>0.68</v>
      </c>
      <c r="X18" s="21">
        <f>$G$6*$G$7*W18</f>
        <v/>
      </c>
      <c r="Y18" s="19">
        <f>W18*($G$9+$G$10)</f>
        <v/>
      </c>
      <c r="Z18" s="20" t="n">
        <v>0.07000000000000001</v>
      </c>
      <c r="AA18" s="21">
        <f>G18*Z18</f>
        <v/>
      </c>
      <c r="AB18" s="23" t="n">
        <v>0.08</v>
      </c>
      <c r="AC18" s="21">
        <f>G18*AB18</f>
        <v/>
      </c>
      <c r="AD18" s="21">
        <f>AA18+AC18</f>
        <v/>
      </c>
      <c r="AE18" s="25">
        <f>AD18/G18</f>
        <v/>
      </c>
      <c r="AF18" s="26">
        <f>G18-N18-O18-P18-Q18-R18-S18-V18-X18-Y18-L18</f>
        <v/>
      </c>
      <c r="AG18" s="27">
        <f>AF18-AD18</f>
        <v/>
      </c>
      <c r="AH18" s="28">
        <f>AG18/G18</f>
        <v/>
      </c>
      <c r="AI18" s="29">
        <f>AG18/L18</f>
        <v/>
      </c>
      <c r="AJ18" s="21">
        <f>(O18+Q18+V18+X18+Y18+L18)/(1-(M18+$G$4+(1-H18)*$G$3+$G$8+Z18+AB18))</f>
        <v/>
      </c>
    </row>
    <row r="19">
      <c r="A19" s="56" t="inlineStr">
        <is>
          <t>Косметика/DEOPROCE/НАБОР ШАМПУНЬ+БАЛЬЗАМ</t>
        </is>
      </c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  <c r="AH19" s="10" t="n"/>
      <c r="AI19" s="10" t="n"/>
      <c r="AJ19" s="10" t="n"/>
    </row>
    <row r="20">
      <c r="A20" s="57" t="inlineStr">
        <is>
          <t>DEOPROCE SHAMPOO+BALSAM - BLACK GARLIC[2000ml]</t>
        </is>
      </c>
      <c r="B20" s="30" t="n"/>
      <c r="C20" s="30" t="n"/>
      <c r="D20" s="31" t="n"/>
      <c r="E20" s="31" t="n"/>
      <c r="F20" s="31" t="n"/>
      <c r="G20" s="31" t="n"/>
      <c r="H20" s="32" t="n"/>
      <c r="I20" s="33" t="n"/>
      <c r="J20" s="34" t="n"/>
      <c r="K20" s="34" t="n"/>
      <c r="L20" s="35" t="n"/>
      <c r="M20" s="36" t="n"/>
      <c r="N20" s="31" t="n"/>
      <c r="O20" s="31" t="n"/>
      <c r="P20" s="31" t="n"/>
      <c r="Q20" s="31" t="n"/>
      <c r="R20" s="31" t="n"/>
      <c r="S20" s="31" t="n"/>
      <c r="T20" s="37" t="n"/>
      <c r="U20" s="31" t="n"/>
      <c r="V20" s="31" t="n"/>
      <c r="W20" s="38" t="n"/>
      <c r="X20" s="31" t="n"/>
      <c r="Y20" s="35" t="n"/>
      <c r="Z20" s="36" t="n"/>
      <c r="AA20" s="31" t="n"/>
      <c r="AB20" s="37" t="n"/>
      <c r="AC20" s="31" t="n"/>
      <c r="AD20" s="31" t="n"/>
      <c r="AE20" s="39" t="n"/>
      <c r="AF20" s="40" t="n"/>
      <c r="AG20" s="31" t="n"/>
      <c r="AH20" s="37" t="n"/>
      <c r="AI20" s="37" t="n"/>
      <c r="AJ20" s="31" t="n"/>
    </row>
    <row r="21">
      <c r="A21" s="56" t="inlineStr">
        <is>
          <t>Косметика/DR.JART</t>
        </is>
      </c>
      <c r="B21" s="10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10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</row>
    <row r="22" ht="29" customHeight="1">
      <c r="A22" s="11" t="inlineStr">
        <is>
          <t>DR. JART - Ctrl+A Teatreatment Toner [120ml] / Тонер тоник для лица увлажняющий с чайным деревом</t>
        </is>
      </c>
      <c r="B22" s="12" t="n"/>
      <c r="C22" s="13" t="n"/>
      <c r="D22" s="14" t="n"/>
      <c r="E22" s="14" t="inlineStr">
        <is>
          <t>89 (Закончились)</t>
        </is>
      </c>
      <c r="F22" s="14" t="n">
        <v>9.199999999999999</v>
      </c>
      <c r="G22" s="14">
        <f>(1.25*L22+O22+Q22+V22+X22+Y22)/(1-M22-$G$8-$G$4-(1-H22)*$G$3-Z22-AB22)</f>
        <v/>
      </c>
      <c r="H22" s="15" t="n">
        <v>0.45</v>
      </c>
      <c r="I22" s="16">
        <f>G22*(1-H22)</f>
        <v/>
      </c>
      <c r="J22" s="17" t="n">
        <v>637.89</v>
      </c>
      <c r="K22" s="18">
        <f>$G$5</f>
        <v/>
      </c>
      <c r="L22" s="19">
        <f>J22+K22</f>
        <v/>
      </c>
      <c r="M22" s="20" t="n">
        <v>0.41</v>
      </c>
      <c r="N22" s="21">
        <f>G22*M22</f>
        <v/>
      </c>
      <c r="O22" s="22" t="n">
        <v>63</v>
      </c>
      <c r="P22" s="21">
        <f>G22*$G$8</f>
        <v/>
      </c>
      <c r="Q22" s="22" t="n">
        <v>25</v>
      </c>
      <c r="R22" s="21">
        <f>G22*$G$4</f>
        <v/>
      </c>
      <c r="S22" s="21">
        <f>I22*$G$3</f>
        <v/>
      </c>
      <c r="T22" s="23" t="n">
        <v>0.9</v>
      </c>
      <c r="U22" s="22" t="n">
        <v>63</v>
      </c>
      <c r="V22" s="21">
        <f>U22*(1-T22)</f>
        <v/>
      </c>
      <c r="W22" s="24" t="n">
        <v>0.33</v>
      </c>
      <c r="X22" s="21">
        <f>$G$6*$G$7*W22</f>
        <v/>
      </c>
      <c r="Y22" s="19">
        <f>W22*($G$9+$G$10)</f>
        <v/>
      </c>
      <c r="Z22" s="20" t="n">
        <v>0.07000000000000001</v>
      </c>
      <c r="AA22" s="21">
        <f>G22*Z22</f>
        <v/>
      </c>
      <c r="AB22" s="23" t="n">
        <v>0.08</v>
      </c>
      <c r="AC22" s="21">
        <f>G22*AB22</f>
        <v/>
      </c>
      <c r="AD22" s="21">
        <f>AA22+AC22</f>
        <v/>
      </c>
      <c r="AE22" s="25">
        <f>AD22/G22</f>
        <v/>
      </c>
      <c r="AF22" s="26">
        <f>G22-N22-O22-P22-Q22-R22-S22-V22-X22-Y22-L22</f>
        <v/>
      </c>
      <c r="AG22" s="27">
        <f>AF22-AD22</f>
        <v/>
      </c>
      <c r="AH22" s="28">
        <f>AG22/G22</f>
        <v/>
      </c>
      <c r="AI22" s="29">
        <f>AG22/L22</f>
        <v/>
      </c>
      <c r="AJ22" s="21">
        <f>(O22+Q22+V22+X22+Y22+L22)/(1-(M22+$G$4+(1-H22)*$G$3+$G$8+Z22+AB22))</f>
        <v/>
      </c>
    </row>
    <row r="23">
      <c r="A23" s="56" t="inlineStr">
        <is>
          <t>Косметика/EKEL</t>
        </is>
      </c>
      <c r="B23" s="10" t="n"/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10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</row>
    <row r="24" ht="29" customHeight="1">
      <c r="A24" s="11" t="inlineStr">
        <is>
          <t>EKEL - Ampule Сream Сollagen [70ml] / Крем для лица ампульный с коллагеном</t>
        </is>
      </c>
      <c r="B24" s="12" t="n"/>
      <c r="C24" s="13" t="n"/>
      <c r="D24" s="14" t="n">
        <v>1280</v>
      </c>
      <c r="E24" s="14" t="n">
        <v>4</v>
      </c>
      <c r="F24" s="14" t="n">
        <v>0</v>
      </c>
      <c r="G24" s="14">
        <f>(1.25*L24+O24+Q24+V24+X24+Y24)/(1-M24-$G$8-$G$4-(1-H24)*$G$3-Z24-AB24)</f>
        <v/>
      </c>
      <c r="H24" s="15" t="n">
        <v>0.45</v>
      </c>
      <c r="I24" s="16">
        <f>G24*(1-H24)</f>
        <v/>
      </c>
      <c r="J24" s="17" t="n">
        <v>142.13</v>
      </c>
      <c r="K24" s="18">
        <f>$G$5</f>
        <v/>
      </c>
      <c r="L24" s="19">
        <f>J24+K24</f>
        <v/>
      </c>
      <c r="M24" s="20" t="n">
        <v>0.41</v>
      </c>
      <c r="N24" s="21">
        <f>G24*M24</f>
        <v/>
      </c>
      <c r="O24" s="22" t="n">
        <v>67</v>
      </c>
      <c r="P24" s="21">
        <f>G24*$G$8</f>
        <v/>
      </c>
      <c r="Q24" s="22" t="n">
        <v>25</v>
      </c>
      <c r="R24" s="21">
        <f>G24*$G$4</f>
        <v/>
      </c>
      <c r="S24" s="21">
        <f>I24*$G$3</f>
        <v/>
      </c>
      <c r="T24" s="23" t="n">
        <v>0.9</v>
      </c>
      <c r="U24" s="22" t="n">
        <v>67</v>
      </c>
      <c r="V24" s="21">
        <f>U24*(1-T24)</f>
        <v/>
      </c>
      <c r="W24" s="24" t="n">
        <v>0.42</v>
      </c>
      <c r="X24" s="21">
        <f>$G$6*$G$7*W24</f>
        <v/>
      </c>
      <c r="Y24" s="19">
        <f>W24*($G$9+$G$10)</f>
        <v/>
      </c>
      <c r="Z24" s="20" t="n">
        <v>0.07000000000000001</v>
      </c>
      <c r="AA24" s="21">
        <f>G24*Z24</f>
        <v/>
      </c>
      <c r="AB24" s="23" t="n">
        <v>0.08</v>
      </c>
      <c r="AC24" s="21">
        <f>G24*AB24</f>
        <v/>
      </c>
      <c r="AD24" s="21">
        <f>AA24+AC24</f>
        <v/>
      </c>
      <c r="AE24" s="25">
        <f>AD24/G24</f>
        <v/>
      </c>
      <c r="AF24" s="26">
        <f>G24-N24-O24-P24-Q24-R24-S24-V24-X24-Y24-L24</f>
        <v/>
      </c>
      <c r="AG24" s="27">
        <f>AF24-AD24</f>
        <v/>
      </c>
      <c r="AH24" s="28">
        <f>AG24/G24</f>
        <v/>
      </c>
      <c r="AI24" s="29">
        <f>AG24/L24</f>
        <v/>
      </c>
      <c r="AJ24" s="21">
        <f>(O24+Q24+V24+X24+Y24+L24)/(1-(M24+$G$4+(1-H24)*$G$3+$G$8+Z24+AB24))</f>
        <v/>
      </c>
    </row>
    <row r="25">
      <c r="A25" s="56" t="inlineStr">
        <is>
          <t>Косметика/ELIZAVECCA</t>
        </is>
      </c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10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</row>
    <row r="26" ht="29" customHeight="1">
      <c r="A26" s="11" t="inlineStr">
        <is>
          <t>ELIZAVECCA - CER-100 Collagen Ceramide Coating Protein Treatment [100ml] / Коллагеновая маска для волос</t>
        </is>
      </c>
      <c r="B26" s="12" t="n"/>
      <c r="C26" s="13" t="n"/>
      <c r="D26" s="14" t="n">
        <v>1315</v>
      </c>
      <c r="E26" s="14" t="n">
        <v>150</v>
      </c>
      <c r="F26" s="14" t="n">
        <v>0</v>
      </c>
      <c r="G26" s="14">
        <f>(1.25*L26+O26+Q26+V26+X26+Y26)/(1-M26-$G$8-$G$4-(1-H26)*$G$3-Z26-AB26)</f>
        <v/>
      </c>
      <c r="H26" s="15" t="n">
        <v>0.45</v>
      </c>
      <c r="I26" s="16">
        <f>G26*(1-H26)</f>
        <v/>
      </c>
      <c r="J26" s="17" t="n">
        <v>242.23</v>
      </c>
      <c r="K26" s="18">
        <f>$G$5</f>
        <v/>
      </c>
      <c r="L26" s="19">
        <f>J26+K26</f>
        <v/>
      </c>
      <c r="M26" s="20" t="n">
        <v>0.41</v>
      </c>
      <c r="N26" s="21">
        <f>G26*M26</f>
        <v/>
      </c>
      <c r="O26" s="22" t="n">
        <v>67</v>
      </c>
      <c r="P26" s="21">
        <f>G26*$G$8</f>
        <v/>
      </c>
      <c r="Q26" s="22" t="n">
        <v>25</v>
      </c>
      <c r="R26" s="21">
        <f>G26*$G$4</f>
        <v/>
      </c>
      <c r="S26" s="21">
        <f>I26*$G$3</f>
        <v/>
      </c>
      <c r="T26" s="23" t="n">
        <v>0.9</v>
      </c>
      <c r="U26" s="22" t="n">
        <v>67</v>
      </c>
      <c r="V26" s="21">
        <f>U26*(1-T26)</f>
        <v/>
      </c>
      <c r="W26" s="24" t="n">
        <v>0.46</v>
      </c>
      <c r="X26" s="21">
        <f>$G$6*$G$7*W26</f>
        <v/>
      </c>
      <c r="Y26" s="19">
        <f>W26*($G$9+$G$10)</f>
        <v/>
      </c>
      <c r="Z26" s="20" t="n">
        <v>0.07000000000000001</v>
      </c>
      <c r="AA26" s="21">
        <f>G26*Z26</f>
        <v/>
      </c>
      <c r="AB26" s="23" t="n">
        <v>0.08</v>
      </c>
      <c r="AC26" s="21">
        <f>G26*AB26</f>
        <v/>
      </c>
      <c r="AD26" s="21">
        <f>AA26+AC26</f>
        <v/>
      </c>
      <c r="AE26" s="25">
        <f>AD26/G26</f>
        <v/>
      </c>
      <c r="AF26" s="26">
        <f>G26-N26-O26-P26-Q26-R26-S26-V26-X26-Y26-L26</f>
        <v/>
      </c>
      <c r="AG26" s="27">
        <f>AF26-AD26</f>
        <v/>
      </c>
      <c r="AH26" s="28">
        <f>AG26/G26</f>
        <v/>
      </c>
      <c r="AI26" s="29">
        <f>AG26/L26</f>
        <v/>
      </c>
      <c r="AJ26" s="21">
        <f>(O26+Q26+V26+X26+Y26+L26)/(1-(M26+$G$4+(1-H26)*$G$3+$G$8+Z26+AB26))</f>
        <v/>
      </c>
    </row>
    <row r="27" ht="29" customHeight="1">
      <c r="A27" s="11" t="inlineStr">
        <is>
          <t>ELIZAVECCA - Hell-Pore Galactomyces Pure Ample / Сыворотка для лица с экстрактом галактомисиса</t>
        </is>
      </c>
      <c r="B27" s="12" t="n"/>
      <c r="C27" s="13" t="inlineStr">
        <is>
          <t>не смогла найти с продажами</t>
        </is>
      </c>
      <c r="D27" s="14" t="n"/>
      <c r="E27" s="14" t="n"/>
      <c r="F27" s="14" t="n"/>
      <c r="G27" s="14">
        <f>(1.25*L27+O27+Q27+V27+X27+Y27)/(1-M27-$G$8-$G$4-(1-H27)*$G$3-Z27-AB27)</f>
        <v/>
      </c>
      <c r="H27" s="15" t="n">
        <v>0.45</v>
      </c>
      <c r="I27" s="16">
        <f>G27*(1-H27)</f>
        <v/>
      </c>
      <c r="J27" s="17" t="n">
        <v>447.64</v>
      </c>
      <c r="K27" s="18">
        <f>$G$5</f>
        <v/>
      </c>
      <c r="L27" s="19">
        <f>J27+K27</f>
        <v/>
      </c>
      <c r="M27" s="20" t="n">
        <v>0.41</v>
      </c>
      <c r="N27" s="21">
        <f>G27*M27</f>
        <v/>
      </c>
      <c r="O27" s="22" t="n">
        <v>63</v>
      </c>
      <c r="P27" s="21">
        <f>G27*$G$8</f>
        <v/>
      </c>
      <c r="Q27" s="22" t="n">
        <v>25</v>
      </c>
      <c r="R27" s="21">
        <f>G27*$G$4</f>
        <v/>
      </c>
      <c r="S27" s="21">
        <f>I27*$G$3</f>
        <v/>
      </c>
      <c r="T27" s="23" t="n">
        <v>0.9</v>
      </c>
      <c r="U27" s="22" t="n">
        <v>63</v>
      </c>
      <c r="V27" s="21">
        <f>U27*(1-T27)</f>
        <v/>
      </c>
      <c r="W27" s="24" t="n">
        <v>0.3</v>
      </c>
      <c r="X27" s="21">
        <f>$G$6*$G$7*W27</f>
        <v/>
      </c>
      <c r="Y27" s="19">
        <f>W27*($G$9+$G$10)</f>
        <v/>
      </c>
      <c r="Z27" s="20" t="n">
        <v>0.07000000000000001</v>
      </c>
      <c r="AA27" s="21">
        <f>G27*Z27</f>
        <v/>
      </c>
      <c r="AB27" s="23" t="n">
        <v>0.08</v>
      </c>
      <c r="AC27" s="21">
        <f>G27*AB27</f>
        <v/>
      </c>
      <c r="AD27" s="21">
        <f>AA27+AC27</f>
        <v/>
      </c>
      <c r="AE27" s="25">
        <f>AD27/G27</f>
        <v/>
      </c>
      <c r="AF27" s="26">
        <f>G27-N27-O27-P27-Q27-R27-S27-V27-X27-Y27-L27</f>
        <v/>
      </c>
      <c r="AG27" s="27">
        <f>AF27-AD27</f>
        <v/>
      </c>
      <c r="AH27" s="28">
        <f>AG27/G27</f>
        <v/>
      </c>
      <c r="AI27" s="29">
        <f>AG27/L27</f>
        <v/>
      </c>
      <c r="AJ27" s="21">
        <f>(O27+Q27+V27+X27+Y27+L27)/(1-(M27+$G$4+(1-H27)*$G$3+$G$8+Z27+AB27))</f>
        <v/>
      </c>
    </row>
    <row r="28" ht="29" customHeight="1">
      <c r="A28" s="11" t="inlineStr">
        <is>
          <t>ELIZAVECCA - Milky Piggy EGF elastic retinol [100ml] / Антивозрастной крем для лица с ретинолом и EGF</t>
        </is>
      </c>
      <c r="B28" s="12" t="n"/>
      <c r="C28" s="13" t="n"/>
      <c r="D28" s="14" t="n">
        <v>1841</v>
      </c>
      <c r="E28" s="14" t="n">
        <v>47</v>
      </c>
      <c r="F28" s="14" t="n">
        <v>0</v>
      </c>
      <c r="G28" s="14" t="n">
        <v>1790</v>
      </c>
      <c r="H28" s="15" t="n">
        <v>0.45</v>
      </c>
      <c r="I28" s="16">
        <f>G28*(1-H28)</f>
        <v/>
      </c>
      <c r="J28" s="17" t="n">
        <v>602.1799999999999</v>
      </c>
      <c r="K28" s="18">
        <f>$G$5</f>
        <v/>
      </c>
      <c r="L28" s="19">
        <f>J28+K28</f>
        <v/>
      </c>
      <c r="M28" s="20" t="n">
        <v>0.41</v>
      </c>
      <c r="N28" s="21">
        <f>G28*M28</f>
        <v/>
      </c>
      <c r="O28" s="22" t="n">
        <v>67</v>
      </c>
      <c r="P28" s="21">
        <f>G28*$G$8</f>
        <v/>
      </c>
      <c r="Q28" s="22" t="n">
        <v>25</v>
      </c>
      <c r="R28" s="21">
        <f>G28*$G$4</f>
        <v/>
      </c>
      <c r="S28" s="21">
        <f>I28*$G$3</f>
        <v/>
      </c>
      <c r="T28" s="23" t="n">
        <v>0.9</v>
      </c>
      <c r="U28" s="22" t="n">
        <v>67</v>
      </c>
      <c r="V28" s="21">
        <f>U28*(1-T28)</f>
        <v/>
      </c>
      <c r="W28" s="24" t="n">
        <v>0.58</v>
      </c>
      <c r="X28" s="21">
        <f>$G$6*$G$7*W28</f>
        <v/>
      </c>
      <c r="Y28" s="19">
        <f>W28*($G$9+$G$10)</f>
        <v/>
      </c>
      <c r="Z28" s="20" t="n">
        <v>0.07000000000000001</v>
      </c>
      <c r="AA28" s="21">
        <f>G28*Z28</f>
        <v/>
      </c>
      <c r="AB28" s="23" t="n">
        <v>0.08</v>
      </c>
      <c r="AC28" s="21">
        <f>G28*AB28</f>
        <v/>
      </c>
      <c r="AD28" s="21">
        <f>AA28+AC28</f>
        <v/>
      </c>
      <c r="AE28" s="25">
        <f>AD28/G28</f>
        <v/>
      </c>
      <c r="AF28" s="26">
        <f>G28-N28-O28-P28-Q28-R28-S28-V28-X28-Y28-L28</f>
        <v/>
      </c>
      <c r="AG28" s="27">
        <f>AF28-AD28</f>
        <v/>
      </c>
      <c r="AH28" s="28">
        <f>AG28/G28</f>
        <v/>
      </c>
      <c r="AI28" s="29">
        <f>AG28/L28</f>
        <v/>
      </c>
      <c r="AJ28" s="21">
        <f>(O28+Q28+V28+X28+Y28+L28)/(1-(M28+$G$4+(1-H28)*$G$3+$G$8+Z28+AB28))</f>
        <v/>
      </c>
    </row>
    <row r="29">
      <c r="A29" s="56" t="inlineStr">
        <is>
          <t>Косметика/ENOUGH</t>
        </is>
      </c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10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</row>
    <row r="30" ht="29" customHeight="1">
      <c r="A30" s="11" t="inlineStr">
        <is>
          <t>ENOUGH - Collagen Moisture Essential Cream [50ml] / Увлажняющий крем для лица с коллагеном</t>
        </is>
      </c>
      <c r="B30" s="12" t="n"/>
      <c r="C30" s="13" t="inlineStr">
        <is>
          <t>260-382 (много подделок)</t>
        </is>
      </c>
      <c r="D30" s="14" t="n">
        <v>424</v>
      </c>
      <c r="E30" s="14" t="n">
        <v>166</v>
      </c>
      <c r="F30" s="14" t="n">
        <v>17</v>
      </c>
      <c r="G30" s="14" t="n">
        <v>750</v>
      </c>
      <c r="H30" s="15" t="n">
        <v>0.45</v>
      </c>
      <c r="I30" s="16">
        <f>G30*(1-H30)</f>
        <v/>
      </c>
      <c r="J30" s="17" t="n">
        <v>161.3</v>
      </c>
      <c r="K30" s="18">
        <f>$G$5</f>
        <v/>
      </c>
      <c r="L30" s="19">
        <f>J30+K30</f>
        <v/>
      </c>
      <c r="M30" s="20" t="n">
        <v>0.41</v>
      </c>
      <c r="N30" s="21">
        <f>G30*M30</f>
        <v/>
      </c>
      <c r="O30" s="22" t="n">
        <v>67</v>
      </c>
      <c r="P30" s="21">
        <f>G30*$G$8</f>
        <v/>
      </c>
      <c r="Q30" s="22" t="n">
        <v>25</v>
      </c>
      <c r="R30" s="21">
        <f>G30*$G$4</f>
        <v/>
      </c>
      <c r="S30" s="21">
        <f>I30*$G$3</f>
        <v/>
      </c>
      <c r="T30" s="23" t="n">
        <v>0.9</v>
      </c>
      <c r="U30" s="22" t="n">
        <v>67</v>
      </c>
      <c r="V30" s="21">
        <f>U30*(1-T30)</f>
        <v/>
      </c>
      <c r="W30" s="24" t="n">
        <v>0.72</v>
      </c>
      <c r="X30" s="21">
        <f>$G$6*$G$7*W30</f>
        <v/>
      </c>
      <c r="Y30" s="19">
        <f>W30*($G$9+$G$10)</f>
        <v/>
      </c>
      <c r="Z30" s="20" t="n">
        <v>0.07000000000000001</v>
      </c>
      <c r="AA30" s="21">
        <f>G30*Z30</f>
        <v/>
      </c>
      <c r="AB30" s="23" t="n">
        <v>0.08</v>
      </c>
      <c r="AC30" s="21">
        <f>G30*AB30</f>
        <v/>
      </c>
      <c r="AD30" s="21">
        <f>AA30+AC30</f>
        <v/>
      </c>
      <c r="AE30" s="25">
        <f>AD30/G30</f>
        <v/>
      </c>
      <c r="AF30" s="26">
        <f>G30-N30-O30-P30-Q30-R30-S30-V30-X30-Y30-L30</f>
        <v/>
      </c>
      <c r="AG30" s="41">
        <f>AF30-AD30</f>
        <v/>
      </c>
      <c r="AH30" s="42">
        <f>AG30/G30</f>
        <v/>
      </c>
      <c r="AI30" s="43">
        <f>AG30/L30</f>
        <v/>
      </c>
      <c r="AJ30" s="21">
        <f>(O30+Q30+V30+X30+Y30+L30)/(1-(M30+$G$4+(1-H30)*$G$3+$G$8+Z30+AB30))</f>
        <v/>
      </c>
    </row>
    <row r="31" ht="29" customHeight="1">
      <c r="A31" s="11" t="inlineStr">
        <is>
          <t>ENOUGH - Collagen Whitening Moisture Cream 3in1 [50g] / Антивозрастной отбеливающий крем с коллагеном</t>
        </is>
      </c>
      <c r="B31" s="12" t="n"/>
      <c r="C31" s="13" t="n"/>
      <c r="D31" s="14" t="n">
        <v>827</v>
      </c>
      <c r="E31" s="14" t="n">
        <v>96</v>
      </c>
      <c r="F31" s="14" t="n">
        <v>20</v>
      </c>
      <c r="G31" s="14">
        <f>(1.25*L31+O31+Q31+V31+X31+Y31)/(1-M31-$G$8-$G$4-(1-H31)*$G$3-Z31-AB31)</f>
        <v/>
      </c>
      <c r="H31" s="15" t="n">
        <v>0.45</v>
      </c>
      <c r="I31" s="16">
        <f>G31*(1-H31)</f>
        <v/>
      </c>
      <c r="J31" s="44" t="n">
        <v>183.88</v>
      </c>
      <c r="K31" s="18">
        <f>$G$5</f>
        <v/>
      </c>
      <c r="L31" s="19">
        <f>J31+K31</f>
        <v/>
      </c>
      <c r="M31" s="20" t="n">
        <v>0.41</v>
      </c>
      <c r="N31" s="21">
        <f>G31*M31</f>
        <v/>
      </c>
      <c r="O31" s="22" t="n">
        <v>67</v>
      </c>
      <c r="P31" s="21">
        <f>G31*$G$8</f>
        <v/>
      </c>
      <c r="Q31" s="22" t="n">
        <v>25</v>
      </c>
      <c r="R31" s="21">
        <f>G31*$G$4</f>
        <v/>
      </c>
      <c r="S31" s="21">
        <f>I31*$G$3</f>
        <v/>
      </c>
      <c r="T31" s="23" t="n">
        <v>0.9</v>
      </c>
      <c r="U31" s="22" t="n">
        <v>67</v>
      </c>
      <c r="V31" s="21">
        <f>U31*(1-T31)</f>
        <v/>
      </c>
      <c r="W31" s="24" t="n">
        <v>0.72</v>
      </c>
      <c r="X31" s="21">
        <f>$G$6*$G$7*W31</f>
        <v/>
      </c>
      <c r="Y31" s="19">
        <f>W31*($G$9+$G$10)</f>
        <v/>
      </c>
      <c r="Z31" s="20" t="n">
        <v>0.07000000000000001</v>
      </c>
      <c r="AA31" s="21">
        <f>G31*Z31</f>
        <v/>
      </c>
      <c r="AB31" s="23" t="n">
        <v>0.08</v>
      </c>
      <c r="AC31" s="21">
        <f>G31*AB31</f>
        <v/>
      </c>
      <c r="AD31" s="21">
        <f>AA31+AC31</f>
        <v/>
      </c>
      <c r="AE31" s="25">
        <f>AD31/G31</f>
        <v/>
      </c>
      <c r="AF31" s="26">
        <f>G31-N31-O31-P31-Q31-R31-S31-V31-X31-Y31-L31</f>
        <v/>
      </c>
      <c r="AG31" s="41">
        <f>AF31-AD31</f>
        <v/>
      </c>
      <c r="AH31" s="42">
        <f>AG31/G31</f>
        <v/>
      </c>
      <c r="AI31" s="43">
        <f>AG31/L31</f>
        <v/>
      </c>
      <c r="AJ31" s="21">
        <f>(O31+Q31+V31+X31+Y31+L31)/(1-(M31+$G$4+(1-H31)*$G$3+$G$8+Z31+AB31))</f>
        <v/>
      </c>
    </row>
    <row r="32" ht="29" customHeight="1">
      <c r="A32" s="11" t="inlineStr">
        <is>
          <t>ENOUGH - Collagen Moisture Foundation [Tone 13] / Тональный крем для лица с коллагеном 13 тон</t>
        </is>
      </c>
      <c r="B32" s="12" t="n"/>
      <c r="C32" s="13" t="n"/>
      <c r="D32" s="14" t="n">
        <v>1980</v>
      </c>
      <c r="E32" s="14" t="n">
        <v>195</v>
      </c>
      <c r="F32" s="14" t="n">
        <v>8</v>
      </c>
      <c r="G32" s="14" t="n">
        <v>1800</v>
      </c>
      <c r="H32" s="15" t="n">
        <v>0.45</v>
      </c>
      <c r="I32" s="16">
        <f>G32*(1-H32)</f>
        <v/>
      </c>
      <c r="J32" s="44" t="n">
        <v>216.45</v>
      </c>
      <c r="K32" s="18">
        <f>$G$5</f>
        <v/>
      </c>
      <c r="L32" s="19">
        <f>J32+K32</f>
        <v/>
      </c>
      <c r="M32" s="20" t="n">
        <v>0.41</v>
      </c>
      <c r="N32" s="21">
        <f>G32*M32</f>
        <v/>
      </c>
      <c r="O32" s="22" t="n">
        <v>67</v>
      </c>
      <c r="P32" s="21">
        <f>G32*$G$8</f>
        <v/>
      </c>
      <c r="Q32" s="22" t="n">
        <v>25</v>
      </c>
      <c r="R32" s="21">
        <f>G32*$G$4</f>
        <v/>
      </c>
      <c r="S32" s="21">
        <f>I32*$G$3</f>
        <v/>
      </c>
      <c r="T32" s="23" t="n">
        <v>0.9</v>
      </c>
      <c r="U32" s="22" t="n">
        <v>67</v>
      </c>
      <c r="V32" s="21">
        <f>U32*(1-T32)</f>
        <v/>
      </c>
      <c r="W32" s="24" t="n">
        <v>0.4</v>
      </c>
      <c r="X32" s="21">
        <f>$G$6*$G$7*W32</f>
        <v/>
      </c>
      <c r="Y32" s="19">
        <f>W32*($G$9+$G$10)</f>
        <v/>
      </c>
      <c r="Z32" s="20" t="n">
        <v>0.07000000000000001</v>
      </c>
      <c r="AA32" s="21">
        <f>G32*Z32</f>
        <v/>
      </c>
      <c r="AB32" s="23" t="n">
        <v>0.08</v>
      </c>
      <c r="AC32" s="21">
        <f>G32*AB32</f>
        <v/>
      </c>
      <c r="AD32" s="21">
        <f>AA32+AC32</f>
        <v/>
      </c>
      <c r="AE32" s="25">
        <f>AD32/G32</f>
        <v/>
      </c>
      <c r="AF32" s="26">
        <f>G32-N32-O32-P32-Q32-R32-S32-V32-X32-Y32-L32</f>
        <v/>
      </c>
      <c r="AG32" s="41">
        <f>AF32-AD32</f>
        <v/>
      </c>
      <c r="AH32" s="42">
        <f>AG32/G32</f>
        <v/>
      </c>
      <c r="AI32" s="43">
        <f>AG32/L32</f>
        <v/>
      </c>
      <c r="AJ32" s="21">
        <f>(O32+Q32+V32+X32+Y32+L32)/(1-(M32+$G$4+(1-H32)*$G$3+$G$8+Z32+AB32))</f>
        <v/>
      </c>
    </row>
    <row r="33" ht="29" customHeight="1">
      <c r="A33" s="11" t="inlineStr">
        <is>
          <t>ENOUGH - Collagen Moisture Foundation [Tone 21] / Тональный крем для лица с коллагеном 21 тон</t>
        </is>
      </c>
      <c r="B33" s="12" t="n"/>
      <c r="C33" s="13" t="n"/>
      <c r="D33" s="14" t="n">
        <v>1910</v>
      </c>
      <c r="E33" s="14" t="n">
        <v>121</v>
      </c>
      <c r="F33" s="14" t="n">
        <v>7.3</v>
      </c>
      <c r="G33" s="14" t="n">
        <v>1800</v>
      </c>
      <c r="H33" s="15" t="n">
        <v>0.45</v>
      </c>
      <c r="I33" s="16">
        <f>G33*(1-H33)</f>
        <v/>
      </c>
      <c r="J33" s="45" t="n">
        <v>242.88</v>
      </c>
      <c r="K33" s="18">
        <f>$G$5</f>
        <v/>
      </c>
      <c r="L33" s="19">
        <f>J33+K33</f>
        <v/>
      </c>
      <c r="M33" s="20" t="n">
        <v>0.41</v>
      </c>
      <c r="N33" s="21">
        <f>G33*M33</f>
        <v/>
      </c>
      <c r="O33" s="22" t="n">
        <v>67</v>
      </c>
      <c r="P33" s="21">
        <f>G33*$G$8</f>
        <v/>
      </c>
      <c r="Q33" s="22" t="n">
        <v>25</v>
      </c>
      <c r="R33" s="21">
        <f>G33*$G$4</f>
        <v/>
      </c>
      <c r="S33" s="21">
        <f>I33*$G$3</f>
        <v/>
      </c>
      <c r="T33" s="23" t="n">
        <v>0.9</v>
      </c>
      <c r="U33" s="22" t="n">
        <v>67</v>
      </c>
      <c r="V33" s="21">
        <f>U33*(1-T33)</f>
        <v/>
      </c>
      <c r="W33" s="24" t="n">
        <v>0.4</v>
      </c>
      <c r="X33" s="21">
        <f>$G$6*$G$7*W33</f>
        <v/>
      </c>
      <c r="Y33" s="19">
        <f>W33*($G$9+$G$10)</f>
        <v/>
      </c>
      <c r="Z33" s="20" t="n">
        <v>0.07000000000000001</v>
      </c>
      <c r="AA33" s="21">
        <f>G33*Z33</f>
        <v/>
      </c>
      <c r="AB33" s="23" t="n">
        <v>0.08</v>
      </c>
      <c r="AC33" s="21">
        <f>G33*AB33</f>
        <v/>
      </c>
      <c r="AD33" s="21">
        <f>AA33+AC33</f>
        <v/>
      </c>
      <c r="AE33" s="25">
        <f>AD33/G33</f>
        <v/>
      </c>
      <c r="AF33" s="26">
        <f>G33-N33-O33-P33-Q33-R33-S33-V33-X33-Y33-L33</f>
        <v/>
      </c>
      <c r="AG33" s="41">
        <f>AF33-AD33</f>
        <v/>
      </c>
      <c r="AH33" s="42">
        <f>AG33/G33</f>
        <v/>
      </c>
      <c r="AI33" s="43">
        <f>AG33/L33</f>
        <v/>
      </c>
      <c r="AJ33" s="21">
        <f>(O33+Q33+V33+X33+Y33+L33)/(1-(M33+$G$4+(1-H33)*$G$3+$G$8+Z33+AB33))</f>
        <v/>
      </c>
    </row>
    <row r="34" ht="29" customHeight="1">
      <c r="A34" s="11" t="inlineStr">
        <is>
          <t>ENOUGH - Gold Snail Moisture Foundation [Tone 13] / Тональный крем с муцином улитки 13 тон</t>
        </is>
      </c>
      <c r="B34" s="12" t="n"/>
      <c r="C34" s="13" t="n"/>
      <c r="D34" s="14" t="n">
        <v>1456</v>
      </c>
      <c r="E34" s="14" t="n">
        <v>109</v>
      </c>
      <c r="F34" s="14" t="n">
        <v>9</v>
      </c>
      <c r="G34" s="14" t="n">
        <v>1356</v>
      </c>
      <c r="H34" s="15" t="n">
        <v>0.45</v>
      </c>
      <c r="I34" s="16">
        <f>G34*(1-H34)</f>
        <v/>
      </c>
      <c r="J34" s="44" t="n">
        <v>245.65</v>
      </c>
      <c r="K34" s="18">
        <f>$G$5</f>
        <v/>
      </c>
      <c r="L34" s="19">
        <f>J34+K34</f>
        <v/>
      </c>
      <c r="M34" s="20" t="n">
        <v>0.41</v>
      </c>
      <c r="N34" s="21">
        <f>G34*M34</f>
        <v/>
      </c>
      <c r="O34" s="22" t="n">
        <v>67</v>
      </c>
      <c r="P34" s="21">
        <f>G34*$G$8</f>
        <v/>
      </c>
      <c r="Q34" s="22" t="n">
        <v>25</v>
      </c>
      <c r="R34" s="21">
        <f>G34*$G$4</f>
        <v/>
      </c>
      <c r="S34" s="21">
        <f>I34*$G$3</f>
        <v/>
      </c>
      <c r="T34" s="23" t="n">
        <v>0.9</v>
      </c>
      <c r="U34" s="22" t="n">
        <v>67</v>
      </c>
      <c r="V34" s="21">
        <f>U34*(1-T34)</f>
        <v/>
      </c>
      <c r="W34" s="24" t="n">
        <v>0.4</v>
      </c>
      <c r="X34" s="21">
        <f>$G$6*$G$7*W34</f>
        <v/>
      </c>
      <c r="Y34" s="19">
        <f>W34*($G$9+$G$10)</f>
        <v/>
      </c>
      <c r="Z34" s="20" t="n">
        <v>0.07000000000000001</v>
      </c>
      <c r="AA34" s="21">
        <f>G34*Z34</f>
        <v/>
      </c>
      <c r="AB34" s="23" t="n">
        <v>0.08</v>
      </c>
      <c r="AC34" s="21">
        <f>G34*AB34</f>
        <v/>
      </c>
      <c r="AD34" s="21">
        <f>AA34+AC34</f>
        <v/>
      </c>
      <c r="AE34" s="25">
        <f>AD34/G34</f>
        <v/>
      </c>
      <c r="AF34" s="26">
        <f>G34-N34-O34-P34-Q34-R34-S34-V34-X34-Y34-L34</f>
        <v/>
      </c>
      <c r="AG34" s="41">
        <f>AF34-AD34</f>
        <v/>
      </c>
      <c r="AH34" s="42">
        <f>AG34/G34</f>
        <v/>
      </c>
      <c r="AI34" s="43">
        <f>AG34/L34</f>
        <v/>
      </c>
      <c r="AJ34" s="21">
        <f>(O34+Q34+V34+X34+Y34+L34)/(1-(M34+$G$4+(1-H34)*$G$3+$G$8+Z34+AB34))</f>
        <v/>
      </c>
    </row>
    <row r="35" ht="29" customHeight="1">
      <c r="A35" s="11" t="inlineStr">
        <is>
          <t>ENOUGH - Gold Snail Moisture Foundation [Tone 21] / Тональный крем с муцином улитки 21 тон</t>
        </is>
      </c>
      <c r="B35" s="12" t="n"/>
      <c r="C35" s="13" t="n"/>
      <c r="D35" s="14" t="n">
        <v>1345</v>
      </c>
      <c r="E35" s="14" t="n">
        <v>114</v>
      </c>
      <c r="F35" s="14" t="n">
        <v>0</v>
      </c>
      <c r="G35" s="14" t="n">
        <v>1280</v>
      </c>
      <c r="H35" s="15" t="n">
        <v>0.45</v>
      </c>
      <c r="I35" s="16">
        <f>G35*(1-H35)</f>
        <v/>
      </c>
      <c r="J35" s="45" t="n">
        <v>270.81</v>
      </c>
      <c r="K35" s="18">
        <f>$G$5</f>
        <v/>
      </c>
      <c r="L35" s="19">
        <f>J35+K35</f>
        <v/>
      </c>
      <c r="M35" s="20" t="n">
        <v>0.41</v>
      </c>
      <c r="N35" s="21">
        <f>G35*M35</f>
        <v/>
      </c>
      <c r="O35" s="22" t="n">
        <v>67</v>
      </c>
      <c r="P35" s="21">
        <f>G35*$G$8</f>
        <v/>
      </c>
      <c r="Q35" s="22" t="n">
        <v>25</v>
      </c>
      <c r="R35" s="21">
        <f>G35*$G$4</f>
        <v/>
      </c>
      <c r="S35" s="21">
        <f>I35*$G$3</f>
        <v/>
      </c>
      <c r="T35" s="23" t="n">
        <v>0.9</v>
      </c>
      <c r="U35" s="22" t="n">
        <v>67</v>
      </c>
      <c r="V35" s="21">
        <f>U35*(1-T35)</f>
        <v/>
      </c>
      <c r="W35" s="24" t="n">
        <v>0.4</v>
      </c>
      <c r="X35" s="21">
        <f>$G$6*$G$7*W35</f>
        <v/>
      </c>
      <c r="Y35" s="19">
        <f>W35*($G$9+$G$10)</f>
        <v/>
      </c>
      <c r="Z35" s="20" t="n">
        <v>0.07000000000000001</v>
      </c>
      <c r="AA35" s="21">
        <f>G35*Z35</f>
        <v/>
      </c>
      <c r="AB35" s="23" t="n">
        <v>0.08</v>
      </c>
      <c r="AC35" s="21">
        <f>G35*AB35</f>
        <v/>
      </c>
      <c r="AD35" s="21">
        <f>AA35+AC35</f>
        <v/>
      </c>
      <c r="AE35" s="25">
        <f>AD35/G35</f>
        <v/>
      </c>
      <c r="AF35" s="26">
        <f>G35-N35-O35-P35-Q35-R35-S35-V35-X35-Y35-L35</f>
        <v/>
      </c>
      <c r="AG35" s="41">
        <f>AF35-AD35</f>
        <v/>
      </c>
      <c r="AH35" s="42">
        <f>AG35/G35</f>
        <v/>
      </c>
      <c r="AI35" s="43">
        <f>AG35/L35</f>
        <v/>
      </c>
      <c r="AJ35" s="21">
        <f>(O35+Q35+V35+X35+Y35+L35)/(1-(M35+$G$4+(1-H35)*$G$3+$G$8+Z35+AB35))</f>
        <v/>
      </c>
    </row>
    <row r="36" ht="29" customHeight="1">
      <c r="A36" s="11" t="inlineStr">
        <is>
          <t>ENOUGH - Collagen 3in1 Whitening Moisture Foundation [Tone 13] / Тональный крем для лица с коллагеном 3в1 [13 тон]</t>
        </is>
      </c>
      <c r="B36" s="12" t="n"/>
      <c r="C36" s="13" t="n"/>
      <c r="D36" s="14" t="n">
        <v>1732</v>
      </c>
      <c r="E36" s="14" t="n">
        <v>51</v>
      </c>
      <c r="F36" s="14" t="n">
        <v>9</v>
      </c>
      <c r="G36" s="14" t="n">
        <v>1600</v>
      </c>
      <c r="H36" s="15" t="n">
        <v>0.45</v>
      </c>
      <c r="I36" s="16">
        <f>G36*(1-H36)</f>
        <v/>
      </c>
      <c r="J36" s="45" t="n">
        <v>238.13</v>
      </c>
      <c r="K36" s="18">
        <f>$G$5</f>
        <v/>
      </c>
      <c r="L36" s="19">
        <f>J36+K36</f>
        <v/>
      </c>
      <c r="M36" s="20" t="n">
        <v>0.41</v>
      </c>
      <c r="N36" s="21">
        <f>G36*M36</f>
        <v/>
      </c>
      <c r="O36" s="22" t="n">
        <v>67</v>
      </c>
      <c r="P36" s="21">
        <f>G36*$G$8</f>
        <v/>
      </c>
      <c r="Q36" s="22" t="n">
        <v>25</v>
      </c>
      <c r="R36" s="21">
        <f>G36*$G$4</f>
        <v/>
      </c>
      <c r="S36" s="21">
        <f>I36*$G$3</f>
        <v/>
      </c>
      <c r="T36" s="23" t="n">
        <v>0.9</v>
      </c>
      <c r="U36" s="22" t="n">
        <v>67</v>
      </c>
      <c r="V36" s="21">
        <f>U36*(1-T36)</f>
        <v/>
      </c>
      <c r="W36" s="24" t="n">
        <v>0.4</v>
      </c>
      <c r="X36" s="21">
        <f>$G$6*$G$7*W36</f>
        <v/>
      </c>
      <c r="Y36" s="19">
        <f>W36*($G$9+$G$10)</f>
        <v/>
      </c>
      <c r="Z36" s="20" t="n">
        <v>0.07000000000000001</v>
      </c>
      <c r="AA36" s="21">
        <f>G36*Z36</f>
        <v/>
      </c>
      <c r="AB36" s="23" t="n">
        <v>0.08</v>
      </c>
      <c r="AC36" s="21">
        <f>G36*AB36</f>
        <v/>
      </c>
      <c r="AD36" s="21">
        <f>AA36+AC36</f>
        <v/>
      </c>
      <c r="AE36" s="25">
        <f>AD36/G36</f>
        <v/>
      </c>
      <c r="AF36" s="26">
        <f>G36-N36-O36-P36-Q36-R36-S36-V36-X36-Y36-L36</f>
        <v/>
      </c>
      <c r="AG36" s="41">
        <f>AF36-AD36</f>
        <v/>
      </c>
      <c r="AH36" s="42">
        <f>AG36/G36</f>
        <v/>
      </c>
      <c r="AI36" s="43">
        <f>AG36/L36</f>
        <v/>
      </c>
      <c r="AJ36" s="21">
        <f>(O36+Q36+V36+X36+Y36+L36)/(1-(M36+$G$4+(1-H36)*$G$3+$G$8+Z36+AB36))</f>
        <v/>
      </c>
    </row>
    <row r="37" ht="29" customHeight="1">
      <c r="A37" s="11" t="inlineStr">
        <is>
          <t>ENOUGH - Collagen 3in1 Whitening Moisture Foundation [Tone 21] / Тональный крем для лица с коллагеном 3в1 [21 тон]</t>
        </is>
      </c>
      <c r="B37" s="12" t="n"/>
      <c r="C37" s="13" t="n"/>
      <c r="D37" s="14" t="n">
        <v>1038</v>
      </c>
      <c r="E37" s="14" t="n">
        <v>65</v>
      </c>
      <c r="F37" s="14" t="n">
        <v>12</v>
      </c>
      <c r="G37" s="14" t="n">
        <v>1000</v>
      </c>
      <c r="H37" s="15" t="n">
        <v>0.45</v>
      </c>
      <c r="I37" s="16">
        <f>G37*(1-H37)</f>
        <v/>
      </c>
      <c r="J37" s="46" t="n">
        <v>223.35</v>
      </c>
      <c r="K37" s="18">
        <f>$G$5</f>
        <v/>
      </c>
      <c r="L37" s="19">
        <f>J37+K37</f>
        <v/>
      </c>
      <c r="M37" s="20" t="n">
        <v>0.41</v>
      </c>
      <c r="N37" s="21">
        <f>G37*M37</f>
        <v/>
      </c>
      <c r="O37" s="22" t="n">
        <v>67</v>
      </c>
      <c r="P37" s="21">
        <f>G37*$G$8</f>
        <v/>
      </c>
      <c r="Q37" s="22" t="n">
        <v>25</v>
      </c>
      <c r="R37" s="21">
        <f>G37*$G$4</f>
        <v/>
      </c>
      <c r="S37" s="21">
        <f>I37*$G$3</f>
        <v/>
      </c>
      <c r="T37" s="23" t="n">
        <v>0.9</v>
      </c>
      <c r="U37" s="22" t="n">
        <v>67</v>
      </c>
      <c r="V37" s="21">
        <f>U37*(1-T37)</f>
        <v/>
      </c>
      <c r="W37" s="24" t="n">
        <v>0.4</v>
      </c>
      <c r="X37" s="21">
        <f>$G$6*$G$7*W37</f>
        <v/>
      </c>
      <c r="Y37" s="19">
        <f>W37*($G$9+$G$10)</f>
        <v/>
      </c>
      <c r="Z37" s="20" t="n">
        <v>0.07000000000000001</v>
      </c>
      <c r="AA37" s="21">
        <f>G37*Z37</f>
        <v/>
      </c>
      <c r="AB37" s="23" t="n">
        <v>0.08</v>
      </c>
      <c r="AC37" s="21">
        <f>G37*AB37</f>
        <v/>
      </c>
      <c r="AD37" s="21">
        <f>AA37+AC37</f>
        <v/>
      </c>
      <c r="AE37" s="25">
        <f>AD37/G37</f>
        <v/>
      </c>
      <c r="AF37" s="26">
        <f>G37-N37-O37-P37-Q37-R37-S37-V37-X37-Y37-L37</f>
        <v/>
      </c>
      <c r="AG37" s="41">
        <f>AF37-AD37</f>
        <v/>
      </c>
      <c r="AH37" s="42">
        <f>AG37/G37</f>
        <v/>
      </c>
      <c r="AI37" s="43">
        <f>AG37/L37</f>
        <v/>
      </c>
      <c r="AJ37" s="21">
        <f>(O37+Q37+V37+X37+Y37+L37)/(1-(M37+$G$4+(1-H37)*$G$3+$G$8+Z37+AB37))</f>
        <v/>
      </c>
    </row>
    <row r="38" ht="29" customHeight="1">
      <c r="A38" s="11" t="inlineStr">
        <is>
          <t>ENOUGH - Premium 8 Peptide Full Cover Perfect Foundation [Tone 13] / Тональный крем с пептидами 13 тон</t>
        </is>
      </c>
      <c r="B38" s="12" t="n"/>
      <c r="C38" s="13" t="n"/>
      <c r="D38" s="14" t="n">
        <v>1330</v>
      </c>
      <c r="E38" s="14" t="n">
        <v>180</v>
      </c>
      <c r="F38" s="14" t="n">
        <v>0</v>
      </c>
      <c r="G38" s="14" t="n">
        <v>1290</v>
      </c>
      <c r="H38" s="15" t="n">
        <v>0.45</v>
      </c>
      <c r="I38" s="16">
        <f>G38*(1-H38)</f>
        <v/>
      </c>
      <c r="J38" s="45" t="n">
        <v>335.9</v>
      </c>
      <c r="K38" s="18">
        <f>$G$5</f>
        <v/>
      </c>
      <c r="L38" s="19">
        <f>J38+K38</f>
        <v/>
      </c>
      <c r="M38" s="20" t="n">
        <v>0.41</v>
      </c>
      <c r="N38" s="21">
        <f>G38*M38</f>
        <v/>
      </c>
      <c r="O38" s="22" t="n">
        <v>67</v>
      </c>
      <c r="P38" s="21">
        <f>G38*$G$8</f>
        <v/>
      </c>
      <c r="Q38" s="22" t="n">
        <v>25</v>
      </c>
      <c r="R38" s="21">
        <f>G38*$G$4</f>
        <v/>
      </c>
      <c r="S38" s="21">
        <f>I38*$G$3</f>
        <v/>
      </c>
      <c r="T38" s="23" t="n">
        <v>0.9</v>
      </c>
      <c r="U38" s="22" t="n">
        <v>67</v>
      </c>
      <c r="V38" s="21">
        <f>U38*(1-T38)</f>
        <v/>
      </c>
      <c r="W38" s="24" t="n">
        <v>0.4</v>
      </c>
      <c r="X38" s="21">
        <f>$G$6*$G$7*W38</f>
        <v/>
      </c>
      <c r="Y38" s="19">
        <f>W38*($G$9+$G$10)</f>
        <v/>
      </c>
      <c r="Z38" s="20" t="n">
        <v>0.07000000000000001</v>
      </c>
      <c r="AA38" s="21">
        <f>G38*Z38</f>
        <v/>
      </c>
      <c r="AB38" s="23" t="n">
        <v>0.08</v>
      </c>
      <c r="AC38" s="21">
        <f>G38*AB38</f>
        <v/>
      </c>
      <c r="AD38" s="21">
        <f>AA38+AC38</f>
        <v/>
      </c>
      <c r="AE38" s="25">
        <f>AD38/G38</f>
        <v/>
      </c>
      <c r="AF38" s="26">
        <f>G38-N38-O38-P38-Q38-R38-S38-V38-X38-Y38-L38</f>
        <v/>
      </c>
      <c r="AG38" s="41">
        <f>AF38-AD38</f>
        <v/>
      </c>
      <c r="AH38" s="42">
        <f>AG38/G38</f>
        <v/>
      </c>
      <c r="AI38" s="43">
        <f>AG38/L38</f>
        <v/>
      </c>
      <c r="AJ38" s="21">
        <f>(O38+Q38+V38+X38+Y38+L38)/(1-(M38+$G$4+(1-H38)*$G$3+$G$8+Z38+AB38))</f>
        <v/>
      </c>
    </row>
    <row r="39" ht="29" customHeight="1">
      <c r="A39" s="11" t="inlineStr">
        <is>
          <t>ENOUGH - Premium 8 Peptide Full Cover Perfect Foundation [Tone 21] / Тональный крем с пептидами 21 тон</t>
        </is>
      </c>
      <c r="B39" s="12" t="n"/>
      <c r="C39" s="13" t="n"/>
      <c r="D39" s="14" t="n">
        <v>1330</v>
      </c>
      <c r="E39" s="14" t="n">
        <v>265</v>
      </c>
      <c r="F39" s="14" t="n">
        <v>0</v>
      </c>
      <c r="G39" s="14">
        <f>(1.25*L39+O39+Q39+V39+X39+Y39)/(1-M39-$G$8-$G$4-(1-H39)*$G$3-Z39-AB39)</f>
        <v/>
      </c>
      <c r="H39" s="15" t="n">
        <v>0.45</v>
      </c>
      <c r="I39" s="16">
        <f>G39*(1-H39)</f>
        <v/>
      </c>
      <c r="J39" s="45" t="n">
        <v>304.77</v>
      </c>
      <c r="K39" s="18">
        <f>$G$5</f>
        <v/>
      </c>
      <c r="L39" s="19">
        <f>J39+K39</f>
        <v/>
      </c>
      <c r="M39" s="20" t="n">
        <v>0.41</v>
      </c>
      <c r="N39" s="21">
        <f>G39*M39</f>
        <v/>
      </c>
      <c r="O39" s="22" t="n">
        <v>67</v>
      </c>
      <c r="P39" s="21">
        <f>G39*$G$8</f>
        <v/>
      </c>
      <c r="Q39" s="22" t="n">
        <v>25</v>
      </c>
      <c r="R39" s="21">
        <f>G39*$G$4</f>
        <v/>
      </c>
      <c r="S39" s="21">
        <f>I39*$G$3</f>
        <v/>
      </c>
      <c r="T39" s="23" t="n">
        <v>0.9</v>
      </c>
      <c r="U39" s="22" t="n">
        <v>67</v>
      </c>
      <c r="V39" s="21">
        <f>U39*(1-T39)</f>
        <v/>
      </c>
      <c r="W39" s="24" t="n">
        <v>0.4</v>
      </c>
      <c r="X39" s="21">
        <f>$G$6*$G$7*W39</f>
        <v/>
      </c>
      <c r="Y39" s="19">
        <f>W39*($G$9+$G$10)</f>
        <v/>
      </c>
      <c r="Z39" s="20" t="n">
        <v>0.07000000000000001</v>
      </c>
      <c r="AA39" s="21">
        <f>G39*Z39</f>
        <v/>
      </c>
      <c r="AB39" s="23" t="n">
        <v>0.08</v>
      </c>
      <c r="AC39" s="21">
        <f>G39*AB39</f>
        <v/>
      </c>
      <c r="AD39" s="21">
        <f>AA39+AC39</f>
        <v/>
      </c>
      <c r="AE39" s="25">
        <f>AD39/G39</f>
        <v/>
      </c>
      <c r="AF39" s="26">
        <f>G39-N39-O39-P39-Q39-R39-S39-V39-X39-Y39-L39</f>
        <v/>
      </c>
      <c r="AG39" s="41">
        <f>AF39-AD39</f>
        <v/>
      </c>
      <c r="AH39" s="42">
        <f>AG39/G39</f>
        <v/>
      </c>
      <c r="AI39" s="43">
        <f>AG39/L39</f>
        <v/>
      </c>
      <c r="AJ39" s="21">
        <f>(O39+Q39+V39+X39+Y39+L39)/(1-(M39+$G$4+(1-H39)*$G$3+$G$8+Z39+AB39))</f>
        <v/>
      </c>
    </row>
    <row r="40" ht="29" customHeight="1">
      <c r="A40" s="11" t="inlineStr">
        <is>
          <t>ENOUGH Collagen whitening cover tip concealer #01 [9g]/Консилер для лица (основная карточка) 4.5 рейтинг</t>
        </is>
      </c>
      <c r="B40" s="30" t="n"/>
      <c r="C40" s="30" t="n"/>
      <c r="D40" s="31" t="n"/>
      <c r="E40" s="31" t="n"/>
      <c r="F40" s="31" t="n"/>
      <c r="G40" s="31" t="n"/>
      <c r="H40" s="32" t="n"/>
      <c r="I40" s="33" t="n"/>
      <c r="J40" s="34" t="n"/>
      <c r="K40" s="34" t="n"/>
      <c r="L40" s="35" t="n"/>
      <c r="M40" s="36" t="n"/>
      <c r="N40" s="31" t="n"/>
      <c r="O40" s="31" t="n"/>
      <c r="P40" s="31" t="n"/>
      <c r="Q40" s="31" t="n"/>
      <c r="R40" s="31" t="n"/>
      <c r="S40" s="31" t="n"/>
      <c r="T40" s="37" t="n"/>
      <c r="U40" s="31" t="n"/>
      <c r="V40" s="31" t="n"/>
      <c r="W40" s="38" t="n"/>
      <c r="X40" s="31" t="n"/>
      <c r="Y40" s="35" t="n"/>
      <c r="Z40" s="36" t="n"/>
      <c r="AA40" s="31" t="n"/>
      <c r="AB40" s="37" t="n"/>
      <c r="AC40" s="31" t="n"/>
      <c r="AD40" s="31" t="n"/>
      <c r="AE40" s="39" t="n"/>
      <c r="AF40" s="40" t="n"/>
      <c r="AG40" s="31" t="n"/>
      <c r="AH40" s="37" t="n"/>
      <c r="AI40" s="37" t="n"/>
      <c r="AJ40" s="31" t="n"/>
    </row>
    <row r="41" ht="29" customHeight="1">
      <c r="A41" s="11" t="inlineStr">
        <is>
          <t>ENOUGH Collagen whitening cover tip concealer #02 [9g]/Консилер для лица (основная карточка)</t>
        </is>
      </c>
      <c r="B41" s="30" t="n"/>
      <c r="C41" s="30" t="n"/>
      <c r="D41" s="31" t="n"/>
      <c r="E41" s="31" t="n"/>
      <c r="F41" s="31" t="n"/>
      <c r="G41" s="31" t="n"/>
      <c r="H41" s="32" t="n"/>
      <c r="I41" s="33" t="n"/>
      <c r="J41" s="34" t="n"/>
      <c r="K41" s="34" t="n"/>
      <c r="L41" s="35" t="n"/>
      <c r="M41" s="36" t="n"/>
      <c r="N41" s="31" t="n"/>
      <c r="O41" s="31" t="n"/>
      <c r="P41" s="31" t="n"/>
      <c r="Q41" s="31" t="n"/>
      <c r="R41" s="31" t="n"/>
      <c r="S41" s="31" t="n"/>
      <c r="T41" s="37" t="n"/>
      <c r="U41" s="31" t="n"/>
      <c r="V41" s="31" t="n"/>
      <c r="W41" s="38" t="n"/>
      <c r="X41" s="31" t="n"/>
      <c r="Y41" s="35" t="n"/>
      <c r="Z41" s="36" t="n"/>
      <c r="AA41" s="31" t="n"/>
      <c r="AB41" s="37" t="n"/>
      <c r="AC41" s="31" t="n"/>
      <c r="AD41" s="31" t="n"/>
      <c r="AE41" s="39" t="n"/>
      <c r="AF41" s="40" t="n"/>
      <c r="AG41" s="31" t="n"/>
      <c r="AH41" s="37" t="n"/>
      <c r="AI41" s="37" t="n"/>
      <c r="AJ41" s="31" t="n"/>
    </row>
    <row r="42" ht="29" customHeight="1">
      <c r="A42" s="11" t="inlineStr">
        <is>
          <t>ENOUGH Collagen whitening cover tip concealer #03 [9g]/ Консилер для лица (основаная карточка)</t>
        </is>
      </c>
      <c r="B42" s="30" t="n"/>
      <c r="C42" s="30" t="n"/>
      <c r="D42" s="31" t="n"/>
      <c r="E42" s="31" t="n"/>
      <c r="F42" s="31" t="n"/>
      <c r="G42" s="31" t="n"/>
      <c r="H42" s="32" t="n"/>
      <c r="I42" s="33" t="n"/>
      <c r="J42" s="34" t="n"/>
      <c r="K42" s="34" t="n"/>
      <c r="L42" s="35" t="n"/>
      <c r="M42" s="36" t="n"/>
      <c r="N42" s="31" t="n"/>
      <c r="O42" s="31" t="n"/>
      <c r="P42" s="31" t="n"/>
      <c r="Q42" s="31" t="n"/>
      <c r="R42" s="31" t="n"/>
      <c r="S42" s="31" t="n"/>
      <c r="T42" s="37" t="n"/>
      <c r="U42" s="31" t="n"/>
      <c r="V42" s="31" t="n"/>
      <c r="W42" s="38" t="n"/>
      <c r="X42" s="31" t="n"/>
      <c r="Y42" s="35" t="n"/>
      <c r="Z42" s="36" t="n"/>
      <c r="AA42" s="31" t="n"/>
      <c r="AB42" s="37" t="n"/>
      <c r="AC42" s="31" t="n"/>
      <c r="AD42" s="31" t="n"/>
      <c r="AE42" s="39" t="n"/>
      <c r="AF42" s="40" t="n"/>
      <c r="AG42" s="31" t="n"/>
      <c r="AH42" s="37" t="n"/>
      <c r="AI42" s="37" t="n"/>
      <c r="AJ42" s="31" t="n"/>
    </row>
    <row r="43" ht="29" customHeight="1">
      <c r="A43" s="11" t="inlineStr">
        <is>
          <t>ENOUGH - Collagen Moisture BB Cream SPF47 PA+++ [50ml] / Увлажняющий BB крем с коллагеном</t>
        </is>
      </c>
      <c r="B43" s="12" t="n"/>
      <c r="C43" s="13" t="n"/>
      <c r="D43" s="14" t="n"/>
      <c r="E43" s="14" t="n"/>
      <c r="F43" s="14" t="n"/>
      <c r="G43" s="14">
        <f>(1.25*L43+O43+Q43+V43+X43+Y43)/(1-M43-$G$8-$G$4-(1-H43)*$G$3-Z43-AB43)</f>
        <v/>
      </c>
      <c r="H43" s="15" t="n">
        <v>0.45</v>
      </c>
      <c r="I43" s="16">
        <f>G43*(1-H43)</f>
        <v/>
      </c>
      <c r="J43" s="45" t="n">
        <v>189.27</v>
      </c>
      <c r="K43" s="18">
        <f>$G$5</f>
        <v/>
      </c>
      <c r="L43" s="19">
        <f>J43+K43</f>
        <v/>
      </c>
      <c r="M43" s="20" t="n">
        <v>0.41</v>
      </c>
      <c r="N43" s="21">
        <f>G43*M43</f>
        <v/>
      </c>
      <c r="O43" s="22" t="n">
        <v>63</v>
      </c>
      <c r="P43" s="21">
        <f>G43*$G$8</f>
        <v/>
      </c>
      <c r="Q43" s="22" t="n">
        <v>25</v>
      </c>
      <c r="R43" s="21">
        <f>G43*$G$4</f>
        <v/>
      </c>
      <c r="S43" s="21">
        <f>I43*$G$3</f>
        <v/>
      </c>
      <c r="T43" s="23" t="n">
        <v>0.9</v>
      </c>
      <c r="U43" s="22" t="n">
        <v>63</v>
      </c>
      <c r="V43" s="21">
        <f>U43*(1-T43)</f>
        <v/>
      </c>
      <c r="W43" s="24" t="n">
        <v>0.28</v>
      </c>
      <c r="X43" s="21">
        <f>$G$6*$G$7*W43</f>
        <v/>
      </c>
      <c r="Y43" s="19">
        <f>W43*($G$9+$G$10)</f>
        <v/>
      </c>
      <c r="Z43" s="20" t="n">
        <v>0.07000000000000001</v>
      </c>
      <c r="AA43" s="21">
        <f>G43*Z43</f>
        <v/>
      </c>
      <c r="AB43" s="23" t="n">
        <v>0.08</v>
      </c>
      <c r="AC43" s="21">
        <f>G43*AB43</f>
        <v/>
      </c>
      <c r="AD43" s="21">
        <f>AA43+AC43</f>
        <v/>
      </c>
      <c r="AE43" s="25">
        <f>AD43/G43</f>
        <v/>
      </c>
      <c r="AF43" s="26">
        <f>G43-N43-O43-P43-Q43-R43-S43-V43-X43-Y43-L43</f>
        <v/>
      </c>
      <c r="AG43" s="41">
        <f>AF43-AD43</f>
        <v/>
      </c>
      <c r="AH43" s="42">
        <f>AG43/G43</f>
        <v/>
      </c>
      <c r="AI43" s="43">
        <f>AG43/L43</f>
        <v/>
      </c>
      <c r="AJ43" s="21">
        <f>(O43+Q43+V43+X43+Y43+L43)/(1-(M43+$G$4+(1-H43)*$G$3+$G$8+Z43+AB43))</f>
        <v/>
      </c>
    </row>
    <row r="44">
      <c r="A44" s="56" t="inlineStr">
        <is>
          <t>Косметика/ETUDEHOUSE</t>
        </is>
      </c>
      <c r="B44" s="10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10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</row>
    <row r="45" ht="29" customHeight="1">
      <c r="A45" s="11" t="inlineStr">
        <is>
          <t>ETUDE - Baking Powder Crunch Pore Scrub [200ml] / Очищающий скраб для лица с содой</t>
        </is>
      </c>
      <c r="B45" s="12" t="n"/>
      <c r="C45" s="13" t="n"/>
      <c r="D45" s="14" t="n">
        <v>1730</v>
      </c>
      <c r="E45" s="14" t="n">
        <v>300</v>
      </c>
      <c r="F45" s="14" t="n">
        <v>5</v>
      </c>
      <c r="G45" s="14" t="n">
        <v>1650</v>
      </c>
      <c r="H45" s="15" t="n">
        <v>0.45</v>
      </c>
      <c r="I45" s="16">
        <f>G45*(1-H45)</f>
        <v/>
      </c>
      <c r="J45" s="17" t="n">
        <v>361.03</v>
      </c>
      <c r="K45" s="18">
        <f>$G$5</f>
        <v/>
      </c>
      <c r="L45" s="19">
        <f>J45+K45</f>
        <v/>
      </c>
      <c r="M45" s="20" t="n">
        <v>0.41</v>
      </c>
      <c r="N45" s="21">
        <f>G45*M45</f>
        <v/>
      </c>
      <c r="O45" s="22" t="n">
        <v>67</v>
      </c>
      <c r="P45" s="21">
        <f>G45*$G$8</f>
        <v/>
      </c>
      <c r="Q45" s="22" t="n">
        <v>25</v>
      </c>
      <c r="R45" s="21">
        <f>G45*$G$4</f>
        <v/>
      </c>
      <c r="S45" s="21">
        <f>I45*$G$3</f>
        <v/>
      </c>
      <c r="T45" s="23" t="n">
        <v>0.9</v>
      </c>
      <c r="U45" s="22" t="n">
        <v>67</v>
      </c>
      <c r="V45" s="21">
        <f>U45*(1-T45)</f>
        <v/>
      </c>
      <c r="W45" s="24" t="n">
        <v>0.5600000000000001</v>
      </c>
      <c r="X45" s="21">
        <f>$G$6*$G$7*W45</f>
        <v/>
      </c>
      <c r="Y45" s="19">
        <f>W45*($G$9+$G$10)</f>
        <v/>
      </c>
      <c r="Z45" s="20" t="n">
        <v>0.05</v>
      </c>
      <c r="AA45" s="21">
        <f>G45*Z45</f>
        <v/>
      </c>
      <c r="AB45" s="23" t="n">
        <v>0.05</v>
      </c>
      <c r="AC45" s="21">
        <f>G45*AB45</f>
        <v/>
      </c>
      <c r="AD45" s="21">
        <f>AA45+AC45</f>
        <v/>
      </c>
      <c r="AE45" s="25">
        <f>AD45/G45</f>
        <v/>
      </c>
      <c r="AF45" s="26">
        <f>G45-N45-O45-P45-Q45-R45-S45-V45-X45-Y45-L45</f>
        <v/>
      </c>
      <c r="AG45" s="27">
        <f>AF45-AD45</f>
        <v/>
      </c>
      <c r="AH45" s="28">
        <f>AG45/G45</f>
        <v/>
      </c>
      <c r="AI45" s="29">
        <f>AG45/L45</f>
        <v/>
      </c>
      <c r="AJ45" s="21">
        <f>(O45+Q45+V45+X45+Y45+L45)/(1-(M45+$G$4+(1-H45)*$G$3+$G$8+Z45+AB45))</f>
        <v/>
      </c>
    </row>
    <row r="46" ht="29" customHeight="1">
      <c r="A46" s="11" t="inlineStr">
        <is>
          <t>ETUDE - Baking Powder BB Deep Cleansing Foam [160ml] / Пенка с содой для глубокого очищения и снятия макияжа</t>
        </is>
      </c>
      <c r="B46" s="12" t="n"/>
      <c r="C46" s="13" t="n"/>
      <c r="D46" s="14" t="n">
        <v>1870</v>
      </c>
      <c r="E46" s="14" t="n">
        <v>230</v>
      </c>
      <c r="F46" s="14" t="n">
        <v>8</v>
      </c>
      <c r="G46" s="14" t="n">
        <v>1770</v>
      </c>
      <c r="H46" s="15" t="n">
        <v>0.45</v>
      </c>
      <c r="I46" s="16">
        <f>G46*(1-H46)</f>
        <v/>
      </c>
      <c r="J46" s="17" t="n">
        <v>292.89</v>
      </c>
      <c r="K46" s="18">
        <f>$G$5</f>
        <v/>
      </c>
      <c r="L46" s="19">
        <f>J46+K46</f>
        <v/>
      </c>
      <c r="M46" s="20" t="n">
        <v>0.41</v>
      </c>
      <c r="N46" s="21">
        <f>G46*M46</f>
        <v/>
      </c>
      <c r="O46" s="22" t="n">
        <v>67</v>
      </c>
      <c r="P46" s="21">
        <f>G46*$G$8</f>
        <v/>
      </c>
      <c r="Q46" s="22" t="n">
        <v>25</v>
      </c>
      <c r="R46" s="21">
        <f>G46*$G$4</f>
        <v/>
      </c>
      <c r="S46" s="21">
        <f>I46*$G$3</f>
        <v/>
      </c>
      <c r="T46" s="23" t="n">
        <v>0.9</v>
      </c>
      <c r="U46" s="22" t="n">
        <v>67</v>
      </c>
      <c r="V46" s="21">
        <f>U46*(1-T46)</f>
        <v/>
      </c>
      <c r="W46" s="24" t="n">
        <v>0.5600000000000001</v>
      </c>
      <c r="X46" s="21">
        <f>$G$6*$G$7*W46</f>
        <v/>
      </c>
      <c r="Y46" s="19">
        <f>W46*($G$9+$G$10)</f>
        <v/>
      </c>
      <c r="Z46" s="20" t="n">
        <v>0.07000000000000001</v>
      </c>
      <c r="AA46" s="21">
        <f>G46*Z46</f>
        <v/>
      </c>
      <c r="AB46" s="23" t="n">
        <v>0.05</v>
      </c>
      <c r="AC46" s="21">
        <f>G46*AB46</f>
        <v/>
      </c>
      <c r="AD46" s="21">
        <f>AA46+AC46</f>
        <v/>
      </c>
      <c r="AE46" s="25">
        <f>AD46/G46</f>
        <v/>
      </c>
      <c r="AF46" s="26">
        <f>G46-N46-O46-P46-Q46-R46-S46-V46-X46-Y46-L46</f>
        <v/>
      </c>
      <c r="AG46" s="27">
        <f>AF46-AD46</f>
        <v/>
      </c>
      <c r="AH46" s="28">
        <f>AG46/G46</f>
        <v/>
      </c>
      <c r="AI46" s="29">
        <f>AG46/L46</f>
        <v/>
      </c>
      <c r="AJ46" s="21">
        <f>(O46+Q46+V46+X46+Y46+L46)/(1-(M46+$G$4+(1-H46)*$G$3+$G$8+Z46+AB46))</f>
        <v/>
      </c>
    </row>
    <row r="47" ht="29" customHeight="1">
      <c r="A47" s="11" t="inlineStr">
        <is>
          <t>ETUDE - Baking Powder Crunch Pore Scrub [24*7ml] / Очищающий скраб для лица с содой</t>
        </is>
      </c>
      <c r="B47" s="12" t="n"/>
      <c r="C47" s="13" t="n"/>
      <c r="D47" s="14" t="n">
        <v>1900</v>
      </c>
      <c r="E47" s="14" t="n">
        <v>60</v>
      </c>
      <c r="F47" s="14" t="n">
        <v>10</v>
      </c>
      <c r="G47" s="14" t="n">
        <v>1835</v>
      </c>
      <c r="H47" s="15" t="n">
        <v>0.45</v>
      </c>
      <c r="I47" s="16">
        <f>G47*(1-H47)</f>
        <v/>
      </c>
      <c r="J47" s="17" t="n">
        <v>389.99</v>
      </c>
      <c r="K47" s="18">
        <f>$G$5</f>
        <v/>
      </c>
      <c r="L47" s="19">
        <f>J47+K47</f>
        <v/>
      </c>
      <c r="M47" s="20" t="n">
        <v>0.41</v>
      </c>
      <c r="N47" s="21">
        <f>G47*M47</f>
        <v/>
      </c>
      <c r="O47" s="22" t="n">
        <v>72</v>
      </c>
      <c r="P47" s="21">
        <f>G47*$G$8</f>
        <v/>
      </c>
      <c r="Q47" s="22" t="n">
        <v>25</v>
      </c>
      <c r="R47" s="21">
        <f>G47*$G$4</f>
        <v/>
      </c>
      <c r="S47" s="21">
        <f>I47*$G$3</f>
        <v/>
      </c>
      <c r="T47" s="23" t="n">
        <v>0.9</v>
      </c>
      <c r="U47" s="22" t="n">
        <v>72</v>
      </c>
      <c r="V47" s="21">
        <f>U47*(1-T47)</f>
        <v/>
      </c>
      <c r="W47" s="24" t="n">
        <v>1.15</v>
      </c>
      <c r="X47" s="21">
        <f>$G$6*$G$7*W47</f>
        <v/>
      </c>
      <c r="Y47" s="19">
        <f>W47*($G$9+$G$10)</f>
        <v/>
      </c>
      <c r="Z47" s="20" t="n">
        <v>0.07000000000000001</v>
      </c>
      <c r="AA47" s="21">
        <f>G47*Z47</f>
        <v/>
      </c>
      <c r="AB47" s="23" t="n">
        <v>0.08</v>
      </c>
      <c r="AC47" s="21">
        <f>G47*AB47</f>
        <v/>
      </c>
      <c r="AD47" s="21">
        <f>AA47+AC47</f>
        <v/>
      </c>
      <c r="AE47" s="25">
        <f>AD47/G47</f>
        <v/>
      </c>
      <c r="AF47" s="26">
        <f>G47-N47-O47-P47-Q47-R47-S47-V47-X47-Y47-L47</f>
        <v/>
      </c>
      <c r="AG47" s="27">
        <f>AF47-AD47</f>
        <v/>
      </c>
      <c r="AH47" s="28">
        <f>AG47/G47</f>
        <v/>
      </c>
      <c r="AI47" s="29">
        <f>AG47/L47</f>
        <v/>
      </c>
      <c r="AJ47" s="21">
        <f>(O47+Q47+V47+X47+Y47+L47)/(1-(M47+$G$4+(1-H47)*$G$3+$G$8+Z47+AB47))</f>
        <v/>
      </c>
    </row>
    <row r="48">
      <c r="A48" s="56" t="inlineStr">
        <is>
          <t>Косметика/FARMSTAY</t>
        </is>
      </c>
      <c r="B48" s="10" t="n"/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10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</row>
    <row r="49">
      <c r="A49" s="47" t="inlineStr">
        <is>
          <t>FARMSTAY COLLAGEN&amp;HYALURONIC ACID ALL-IN ONE</t>
        </is>
      </c>
      <c r="B49" s="12" t="n"/>
      <c r="C49" s="13" t="inlineStr">
        <is>
          <t>только Holika продает на Озон</t>
        </is>
      </c>
      <c r="D49" s="14" t="n">
        <v>3850</v>
      </c>
      <c r="E49" s="14" t="n">
        <v>127</v>
      </c>
      <c r="F49" s="14" t="n">
        <v>6</v>
      </c>
      <c r="G49" s="14" t="n">
        <v>3500</v>
      </c>
      <c r="H49" s="15" t="n">
        <v>0.45</v>
      </c>
      <c r="I49" s="16">
        <f>G49*(1-H49)</f>
        <v/>
      </c>
      <c r="J49" s="17" t="n">
        <v>347.76</v>
      </c>
      <c r="K49" s="18">
        <f>$G$5</f>
        <v/>
      </c>
      <c r="L49" s="19">
        <f>J49+K49</f>
        <v/>
      </c>
      <c r="M49" s="20" t="n">
        <v>0.41</v>
      </c>
      <c r="N49" s="21">
        <f>G49*M49</f>
        <v/>
      </c>
      <c r="O49" s="22" t="n">
        <v>67</v>
      </c>
      <c r="P49" s="21">
        <f>G49*$G$8</f>
        <v/>
      </c>
      <c r="Q49" s="22" t="n">
        <v>25</v>
      </c>
      <c r="R49" s="21">
        <f>G49*$G$4</f>
        <v/>
      </c>
      <c r="S49" s="21">
        <f>I49*$G$3</f>
        <v/>
      </c>
      <c r="T49" s="23" t="n">
        <v>0.9</v>
      </c>
      <c r="U49" s="22" t="n">
        <v>67</v>
      </c>
      <c r="V49" s="21">
        <f>U49*(1-T49)</f>
        <v/>
      </c>
      <c r="W49" s="24" t="n">
        <v>0.832</v>
      </c>
      <c r="X49" s="21">
        <f>$G$6*$G$7*W49</f>
        <v/>
      </c>
      <c r="Y49" s="19">
        <f>W49*($G$9+$G$10)</f>
        <v/>
      </c>
      <c r="Z49" s="20" t="n">
        <v>0.07000000000000001</v>
      </c>
      <c r="AA49" s="21">
        <f>G49*Z49</f>
        <v/>
      </c>
      <c r="AB49" s="23" t="n">
        <v>0.08</v>
      </c>
      <c r="AC49" s="21">
        <f>G49*AB49</f>
        <v/>
      </c>
      <c r="AD49" s="21">
        <f>AA49+AC49</f>
        <v/>
      </c>
      <c r="AE49" s="25">
        <f>AD49/G49</f>
        <v/>
      </c>
      <c r="AF49" s="26">
        <f>G49-N49-O49-P49-Q49-R49-S49-V49-X49-Y49-L49</f>
        <v/>
      </c>
      <c r="AG49" s="27">
        <f>AF49-AD49</f>
        <v/>
      </c>
      <c r="AH49" s="28">
        <f>AG49/G49</f>
        <v/>
      </c>
      <c r="AI49" s="29">
        <f>AG49/L49</f>
        <v/>
      </c>
      <c r="AJ49" s="21">
        <f>(O49+Q49+V49+X49+Y49+L49)/(1-(M49+$G$4+(1-H49)*$G$3+$G$8+Z49+AB49))</f>
        <v/>
      </c>
    </row>
    <row r="50" ht="29" customHeight="1">
      <c r="A50" s="47" t="inlineStr">
        <is>
          <t>FARMSTAY - Black Garlic Nourishing Shampoo [530ml] / Шампунь-кондиционер 2в1 с экстрактом черного чеснока</t>
        </is>
      </c>
      <c r="B50" s="12" t="n"/>
      <c r="C50" s="13" t="inlineStr">
        <is>
          <t>только Holika продает на Озон</t>
        </is>
      </c>
      <c r="D50" s="14" t="n">
        <v>2156</v>
      </c>
      <c r="E50" s="14" t="n">
        <v>46</v>
      </c>
      <c r="F50" s="14" t="n">
        <v>5</v>
      </c>
      <c r="G50" s="14" t="n">
        <v>1850</v>
      </c>
      <c r="H50" s="15" t="n">
        <v>0.45</v>
      </c>
      <c r="I50" s="16">
        <f>G50*(1-H50)</f>
        <v/>
      </c>
      <c r="J50" s="17" t="n">
        <v>396.72</v>
      </c>
      <c r="K50" s="18">
        <f>$G$5</f>
        <v/>
      </c>
      <c r="L50" s="19">
        <f>J50+K50</f>
        <v/>
      </c>
      <c r="M50" s="20" t="n">
        <v>0.41</v>
      </c>
      <c r="N50" s="21">
        <f>G50*M50</f>
        <v/>
      </c>
      <c r="O50" s="22" t="n">
        <v>75</v>
      </c>
      <c r="P50" s="21">
        <f>G50*$G$8</f>
        <v/>
      </c>
      <c r="Q50" s="22" t="n">
        <v>25</v>
      </c>
      <c r="R50" s="21">
        <f>G50*$G$4</f>
        <v/>
      </c>
      <c r="S50" s="21">
        <f>I50*$G$3</f>
        <v/>
      </c>
      <c r="T50" s="23" t="n">
        <v>0.9</v>
      </c>
      <c r="U50" s="22" t="n">
        <v>75</v>
      </c>
      <c r="V50" s="21">
        <f>U50*(1-T50)</f>
        <v/>
      </c>
      <c r="W50" s="24" t="n">
        <v>1.89</v>
      </c>
      <c r="X50" s="21">
        <f>$G$6*$G$7*W50</f>
        <v/>
      </c>
      <c r="Y50" s="19">
        <f>W50*($G$9+$G$10)</f>
        <v/>
      </c>
      <c r="Z50" s="20" t="n">
        <v>0.07000000000000001</v>
      </c>
      <c r="AA50" s="21">
        <f>G50*Z50</f>
        <v/>
      </c>
      <c r="AB50" s="23" t="n">
        <v>0.08</v>
      </c>
      <c r="AC50" s="21">
        <f>G50*AB50</f>
        <v/>
      </c>
      <c r="AD50" s="21">
        <f>AA50+AC50</f>
        <v/>
      </c>
      <c r="AE50" s="25">
        <f>AD50/G50</f>
        <v/>
      </c>
      <c r="AF50" s="26">
        <f>G50-N50-O50-P50-Q50-R50-S50-V50-X50-Y50-L50</f>
        <v/>
      </c>
      <c r="AG50" s="27">
        <f>AF50-AD50</f>
        <v/>
      </c>
      <c r="AH50" s="28">
        <f>AG50/G50</f>
        <v/>
      </c>
      <c r="AI50" s="29">
        <f>AG50/L50</f>
        <v/>
      </c>
      <c r="AJ50" s="21">
        <f>(O50+Q50+V50+X50+Y50+L50)/(1-(M50+$G$4+(1-H50)*$G$3+$G$8+Z50+AB50))</f>
        <v/>
      </c>
    </row>
    <row r="51" ht="29" customHeight="1">
      <c r="A51" s="47" t="inlineStr">
        <is>
          <t>FARMSTAY - Gold Snail Premium Cream [50ml] / Омолаживающий крем с муцином улитки и коллоидным золотом</t>
        </is>
      </c>
      <c r="B51" s="12" t="n"/>
      <c r="C51" s="13" t="inlineStr">
        <is>
          <t>не смогла найти с продажами</t>
        </is>
      </c>
      <c r="D51" s="14" t="n"/>
      <c r="E51" s="14" t="n"/>
      <c r="F51" s="14" t="n"/>
      <c r="G51" s="14">
        <f>(1.25*L51+O51+Q51+V51+X51+Y51)/(1-M51-$G$8-$G$4-(1-H51)*$G$3-Z51-AB51)</f>
        <v/>
      </c>
      <c r="H51" s="15" t="n">
        <v>0.45</v>
      </c>
      <c r="I51" s="16">
        <f>G51*(1-H51)</f>
        <v/>
      </c>
      <c r="J51" s="17" t="n">
        <v>431.05</v>
      </c>
      <c r="K51" s="18">
        <f>$G$5</f>
        <v/>
      </c>
      <c r="L51" s="19">
        <f>J51+K51</f>
        <v/>
      </c>
      <c r="M51" s="20" t="n">
        <v>0.41</v>
      </c>
      <c r="N51" s="21">
        <f>G51*M51</f>
        <v/>
      </c>
      <c r="O51" s="22" t="n">
        <v>67</v>
      </c>
      <c r="P51" s="21">
        <f>G51*$G$8</f>
        <v/>
      </c>
      <c r="Q51" s="22" t="n">
        <v>25</v>
      </c>
      <c r="R51" s="21">
        <f>G51*$G$4</f>
        <v/>
      </c>
      <c r="S51" s="21">
        <f>I51*$G$3</f>
        <v/>
      </c>
      <c r="T51" s="23" t="n">
        <v>0.9</v>
      </c>
      <c r="U51" s="22" t="n">
        <v>67</v>
      </c>
      <c r="V51" s="21">
        <f>U51*(1-T51)</f>
        <v/>
      </c>
      <c r="W51" s="24" t="n">
        <v>0.73</v>
      </c>
      <c r="X51" s="21">
        <f>$G$6*$G$7*W51</f>
        <v/>
      </c>
      <c r="Y51" s="19">
        <f>W51*($G$9+$G$10)</f>
        <v/>
      </c>
      <c r="Z51" s="20" t="n">
        <v>0.07000000000000001</v>
      </c>
      <c r="AA51" s="21">
        <f>G51*Z51</f>
        <v/>
      </c>
      <c r="AB51" s="23" t="n">
        <v>0.08</v>
      </c>
      <c r="AC51" s="21">
        <f>G51*AB51</f>
        <v/>
      </c>
      <c r="AD51" s="21">
        <f>AA51+AC51</f>
        <v/>
      </c>
      <c r="AE51" s="25">
        <f>AD51/G51</f>
        <v/>
      </c>
      <c r="AF51" s="26">
        <f>G51-N51-O51-P51-Q51-R51-S51-V51-X51-Y51-L51</f>
        <v/>
      </c>
      <c r="AG51" s="27">
        <f>AF51-AD51</f>
        <v/>
      </c>
      <c r="AH51" s="28">
        <f>AG51/G51</f>
        <v/>
      </c>
      <c r="AI51" s="29">
        <f>AG51/L51</f>
        <v/>
      </c>
      <c r="AJ51" s="21">
        <f>(O51+Q51+V51+X51+Y51+L51)/(1-(M51+$G$4+(1-H51)*$G$3+$G$8+Z51+AB51))</f>
        <v/>
      </c>
    </row>
    <row r="52" ht="29" customHeight="1">
      <c r="A52" s="47" t="inlineStr">
        <is>
          <t>FARMSTAY - Escargot Noblesse Intensive Cream [50g] / Крем с муцином королевской улитки</t>
        </is>
      </c>
      <c r="B52" s="12" t="n"/>
      <c r="C52" s="13" t="inlineStr">
        <is>
          <t>только Holika продает на Озон</t>
        </is>
      </c>
      <c r="D52" s="14" t="n">
        <v>3070</v>
      </c>
      <c r="E52" s="14" t="n">
        <v>48</v>
      </c>
      <c r="F52" s="14" t="n">
        <v>6.6</v>
      </c>
      <c r="G52" s="14" t="n">
        <v>2900</v>
      </c>
      <c r="H52" s="15" t="n">
        <v>0.45</v>
      </c>
      <c r="I52" s="16">
        <f>G52*(1-H52)</f>
        <v/>
      </c>
      <c r="J52" s="17" t="n">
        <v>313.84</v>
      </c>
      <c r="K52" s="18">
        <f>$G$5</f>
        <v/>
      </c>
      <c r="L52" s="19">
        <f>J52+K52</f>
        <v/>
      </c>
      <c r="M52" s="20" t="n">
        <v>0.41</v>
      </c>
      <c r="N52" s="21">
        <f>G52*M52</f>
        <v/>
      </c>
      <c r="O52" s="22" t="n">
        <v>67</v>
      </c>
      <c r="P52" s="21">
        <f>G52*$G$8</f>
        <v/>
      </c>
      <c r="Q52" s="22" t="n">
        <v>25</v>
      </c>
      <c r="R52" s="21">
        <f>G52*$G$4</f>
        <v/>
      </c>
      <c r="S52" s="21">
        <f>I52*$G$3</f>
        <v/>
      </c>
      <c r="T52" s="23" t="n">
        <v>0.9</v>
      </c>
      <c r="U52" s="22" t="n">
        <v>67</v>
      </c>
      <c r="V52" s="21">
        <f>U52*(1-T52)</f>
        <v/>
      </c>
      <c r="W52" s="24" t="n">
        <v>0.86</v>
      </c>
      <c r="X52" s="21">
        <f>$G$6*$G$7*W52</f>
        <v/>
      </c>
      <c r="Y52" s="19">
        <f>W52*($G$9+$G$10)</f>
        <v/>
      </c>
      <c r="Z52" s="20" t="n">
        <v>0.07000000000000001</v>
      </c>
      <c r="AA52" s="21">
        <f>G52*Z52</f>
        <v/>
      </c>
      <c r="AB52" s="23" t="n">
        <v>0.08</v>
      </c>
      <c r="AC52" s="21">
        <f>G52*AB52</f>
        <v/>
      </c>
      <c r="AD52" s="21">
        <f>AA52+AC52</f>
        <v/>
      </c>
      <c r="AE52" s="25">
        <f>AD52/G52</f>
        <v/>
      </c>
      <c r="AF52" s="26">
        <f>G52-N52-O52-P52-Q52-R52-S52-V52-X52-Y52-L52</f>
        <v/>
      </c>
      <c r="AG52" s="27">
        <f>AF52-AD52</f>
        <v/>
      </c>
      <c r="AH52" s="28">
        <f>AG52/G52</f>
        <v/>
      </c>
      <c r="AI52" s="29">
        <f>AG52/L52</f>
        <v/>
      </c>
      <c r="AJ52" s="21">
        <f>(O52+Q52+V52+X52+Y52+L52)/(1-(M52+$G$4+(1-H52)*$G$3+$G$8+Z52+AB52))</f>
        <v/>
      </c>
    </row>
    <row r="53" ht="29" customHeight="1">
      <c r="A53" s="11" t="inlineStr">
        <is>
          <t xml:space="preserve">FARMSTAY ESCARGOT NOBLESSE INTENSIVE AMPOULE/ сыворотка с улиткой </t>
        </is>
      </c>
      <c r="B53" s="12" t="n"/>
      <c r="C53" s="13" t="n"/>
      <c r="D53" s="14" t="n">
        <v>3820</v>
      </c>
      <c r="E53" s="14" t="n">
        <v>22</v>
      </c>
      <c r="F53" s="14" t="n">
        <v>7</v>
      </c>
      <c r="G53" s="14">
        <f>(1.25*L53+O53+Q53+V53+X53+Y53)/(1-M53-$G$8-$G$4-(1-H53)*$G$3-Z53-AB53)</f>
        <v/>
      </c>
      <c r="H53" s="15" t="n">
        <v>0.45</v>
      </c>
      <c r="I53" s="16">
        <f>G53*(1-H53)</f>
        <v/>
      </c>
      <c r="J53" s="17" t="n">
        <v>390.46</v>
      </c>
      <c r="K53" s="18">
        <f>$G$5</f>
        <v/>
      </c>
      <c r="L53" s="19">
        <f>J53+K53</f>
        <v/>
      </c>
      <c r="M53" s="20" t="n">
        <v>0.41</v>
      </c>
      <c r="N53" s="21">
        <f>G53*M53</f>
        <v/>
      </c>
      <c r="O53" s="22" t="n">
        <v>67</v>
      </c>
      <c r="P53" s="21">
        <f>G53*$G$8</f>
        <v/>
      </c>
      <c r="Q53" s="22" t="n">
        <v>25</v>
      </c>
      <c r="R53" s="21">
        <f>G53*$G$4</f>
        <v/>
      </c>
      <c r="S53" s="21">
        <f>I53*$G$3</f>
        <v/>
      </c>
      <c r="T53" s="23" t="n">
        <v>0.9</v>
      </c>
      <c r="U53" s="22" t="n">
        <v>67</v>
      </c>
      <c r="V53" s="21">
        <f>U53*(1-T53)</f>
        <v/>
      </c>
      <c r="W53" s="24" t="n">
        <v>0.86</v>
      </c>
      <c r="X53" s="21">
        <f>$G$6*$G$7*W53</f>
        <v/>
      </c>
      <c r="Y53" s="19">
        <f>W53*($G$9+$G$10)</f>
        <v/>
      </c>
      <c r="Z53" s="20" t="n">
        <v>0.07000000000000001</v>
      </c>
      <c r="AA53" s="21">
        <f>G53*Z53</f>
        <v/>
      </c>
      <c r="AB53" s="23" t="n">
        <v>0.08</v>
      </c>
      <c r="AC53" s="21">
        <f>G53*AB53</f>
        <v/>
      </c>
      <c r="AD53" s="21">
        <f>AA53+AC53</f>
        <v/>
      </c>
      <c r="AE53" s="25">
        <f>AD53/G53</f>
        <v/>
      </c>
      <c r="AF53" s="26">
        <f>G53-N53-O53-P53-Q53-R53-S53-V53-X53-Y53-L53</f>
        <v/>
      </c>
      <c r="AG53" s="27">
        <f>AF53-AD53</f>
        <v/>
      </c>
      <c r="AH53" s="28">
        <f>AG53/G53</f>
        <v/>
      </c>
      <c r="AI53" s="29">
        <f>AG53/L53</f>
        <v/>
      </c>
      <c r="AJ53" s="21">
        <f>(O53+Q53+V53+X53+Y53+L53)/(1-(M53+$G$4+(1-H53)*$G$3+$G$8+Z53+AB53))</f>
        <v/>
      </c>
    </row>
    <row r="54" ht="29" customHeight="1">
      <c r="A54" s="11" t="inlineStr">
        <is>
          <t>FARMSTAY - Argan Oil Complete Volume Up Shampoo &amp; Conditioner [530ml] / Шампунь-кондиционер с аргановым маслом</t>
        </is>
      </c>
      <c r="B54" s="12" t="n"/>
      <c r="C54" s="13" t="n"/>
      <c r="D54" s="14" t="n">
        <v>2000</v>
      </c>
      <c r="E54" s="14" t="n">
        <v>23</v>
      </c>
      <c r="F54" s="14" t="n">
        <v>1</v>
      </c>
      <c r="G54" s="14">
        <f>(1.25*L54+O54+Q54+V54+X54+Y54)/(1-M54-$G$8-$G$4-(1-H54)*$G$3-Z54-AB54)</f>
        <v/>
      </c>
      <c r="H54" s="15" t="n">
        <v>0.45</v>
      </c>
      <c r="I54" s="16">
        <f>G54*(1-H54)</f>
        <v/>
      </c>
      <c r="J54" s="17" t="n">
        <v>400.76</v>
      </c>
      <c r="K54" s="18">
        <f>$G$5</f>
        <v/>
      </c>
      <c r="L54" s="19">
        <f>J54+K54</f>
        <v/>
      </c>
      <c r="M54" s="20" t="n">
        <v>0.41</v>
      </c>
      <c r="N54" s="21">
        <f>G54*M54</f>
        <v/>
      </c>
      <c r="O54" s="22" t="n">
        <v>75</v>
      </c>
      <c r="P54" s="21">
        <f>G54*$G$8</f>
        <v/>
      </c>
      <c r="Q54" s="22" t="n">
        <v>25</v>
      </c>
      <c r="R54" s="21">
        <f>G54*$G$4</f>
        <v/>
      </c>
      <c r="S54" s="21">
        <f>I54*$G$3</f>
        <v/>
      </c>
      <c r="T54" s="23" t="n">
        <v>0.9</v>
      </c>
      <c r="U54" s="22" t="n">
        <v>75</v>
      </c>
      <c r="V54" s="21">
        <f>U54*(1-T54)</f>
        <v/>
      </c>
      <c r="W54" s="24" t="n">
        <v>1.26</v>
      </c>
      <c r="X54" s="21">
        <f>$G$6*$G$7*W54</f>
        <v/>
      </c>
      <c r="Y54" s="19">
        <f>W54*($G$9+$G$10)</f>
        <v/>
      </c>
      <c r="Z54" s="20" t="n">
        <v>0.07000000000000001</v>
      </c>
      <c r="AA54" s="21">
        <f>G54*Z54</f>
        <v/>
      </c>
      <c r="AB54" s="23" t="n">
        <v>0.08</v>
      </c>
      <c r="AC54" s="21">
        <f>G54*AB54</f>
        <v/>
      </c>
      <c r="AD54" s="21">
        <f>AA54+AC54</f>
        <v/>
      </c>
      <c r="AE54" s="25">
        <f>AD54/G54</f>
        <v/>
      </c>
      <c r="AF54" s="26">
        <f>G54-N54-O54-P54-Q54-R54-S54-V54-X54-Y54-L54</f>
        <v/>
      </c>
      <c r="AG54" s="27">
        <f>AF54-AD54</f>
        <v/>
      </c>
      <c r="AH54" s="28">
        <f>AG54/G54</f>
        <v/>
      </c>
      <c r="AI54" s="29">
        <f>AG54/L54</f>
        <v/>
      </c>
      <c r="AJ54" s="21">
        <f>(O54+Q54+V54+X54+Y54+L54)/(1-(M54+$G$4+(1-H54)*$G$3+$G$8+Z54+AB54))</f>
        <v/>
      </c>
    </row>
    <row r="55" ht="29" customHeight="1">
      <c r="A55" s="11" t="inlineStr">
        <is>
          <t>FARMSTAY - Collagen Water Full Shampoo &amp; Conditioner [530ml] / Шампунь-кондиционер 2в1 с коллагеном</t>
        </is>
      </c>
      <c r="B55" s="12" t="n"/>
      <c r="C55" s="13" t="n"/>
      <c r="D55" s="14" t="n">
        <v>2128</v>
      </c>
      <c r="E55" s="14" t="n">
        <v>22</v>
      </c>
      <c r="F55" s="14" t="n">
        <v>7.5</v>
      </c>
      <c r="G55" s="14">
        <f>(1.25*L55+O55+Q55+V55+X55+Y55)/(1-M55-$G$8-$G$4-(1-H55)*$G$3-Z55-AB55)</f>
        <v/>
      </c>
      <c r="H55" s="15" t="n">
        <v>0.45</v>
      </c>
      <c r="I55" s="16">
        <f>G55*(1-H55)</f>
        <v/>
      </c>
      <c r="J55" s="17" t="n">
        <v>396.72</v>
      </c>
      <c r="K55" s="18">
        <f>$G$5</f>
        <v/>
      </c>
      <c r="L55" s="19">
        <f>J55+K55</f>
        <v/>
      </c>
      <c r="M55" s="20" t="n">
        <v>0.41</v>
      </c>
      <c r="N55" s="21">
        <f>G55*M55</f>
        <v/>
      </c>
      <c r="O55" s="22" t="n">
        <v>75</v>
      </c>
      <c r="P55" s="21">
        <f>G55*$G$8</f>
        <v/>
      </c>
      <c r="Q55" s="22" t="n">
        <v>25</v>
      </c>
      <c r="R55" s="21">
        <f>G55*$G$4</f>
        <v/>
      </c>
      <c r="S55" s="21">
        <f>I55*$G$3</f>
        <v/>
      </c>
      <c r="T55" s="23" t="n">
        <v>0.9</v>
      </c>
      <c r="U55" s="22" t="n">
        <v>75</v>
      </c>
      <c r="V55" s="21">
        <f>U55*(1-T55)</f>
        <v/>
      </c>
      <c r="W55" s="24" t="n">
        <v>1.26</v>
      </c>
      <c r="X55" s="21">
        <f>$G$6*$G$7*W55</f>
        <v/>
      </c>
      <c r="Y55" s="19">
        <f>W55*($G$9+$G$10)</f>
        <v/>
      </c>
      <c r="Z55" s="20" t="n">
        <v>0.07000000000000001</v>
      </c>
      <c r="AA55" s="21">
        <f>G55*Z55</f>
        <v/>
      </c>
      <c r="AB55" s="23" t="n">
        <v>0.08</v>
      </c>
      <c r="AC55" s="21">
        <f>G55*AB55</f>
        <v/>
      </c>
      <c r="AD55" s="21">
        <f>AA55+AC55</f>
        <v/>
      </c>
      <c r="AE55" s="25">
        <f>AD55/G55</f>
        <v/>
      </c>
      <c r="AF55" s="26">
        <f>G55-N55-O55-P55-Q55-R55-S55-V55-X55-Y55-L55</f>
        <v/>
      </c>
      <c r="AG55" s="27">
        <f>AF55-AD55</f>
        <v/>
      </c>
      <c r="AH55" s="28">
        <f>AG55/G55</f>
        <v/>
      </c>
      <c r="AI55" s="29">
        <f>AG55/L55</f>
        <v/>
      </c>
      <c r="AJ55" s="21">
        <f>(O55+Q55+V55+X55+Y55+L55)/(1-(M55+$G$4+(1-H55)*$G$3+$G$8+Z55+AB55))</f>
        <v/>
      </c>
    </row>
    <row r="56" ht="29" customHeight="1">
      <c r="A56" s="11" t="inlineStr">
        <is>
          <t>FARMSTAY - Collagen Water Full Moist Rolling Eye Serum [25ml] / Сыворотка роллер для глаз</t>
        </is>
      </c>
      <c r="B56" s="12" t="n"/>
      <c r="C56" s="13" t="n"/>
      <c r="D56" s="14" t="n">
        <v>2145</v>
      </c>
      <c r="E56" s="14" t="n">
        <v>48</v>
      </c>
      <c r="F56" s="14" t="n">
        <v>5</v>
      </c>
      <c r="G56" s="14" t="n">
        <v>1800</v>
      </c>
      <c r="H56" s="15" t="n">
        <v>0.45</v>
      </c>
      <c r="I56" s="16">
        <f>G56*(1-H56)</f>
        <v/>
      </c>
      <c r="J56" s="17" t="n">
        <v>231.73</v>
      </c>
      <c r="K56" s="18">
        <f>$G$5</f>
        <v/>
      </c>
      <c r="L56" s="19">
        <f>J56+K56</f>
        <v/>
      </c>
      <c r="M56" s="20" t="n">
        <v>0.41</v>
      </c>
      <c r="N56" s="21">
        <f>G56*M56</f>
        <v/>
      </c>
      <c r="O56" s="22" t="n">
        <v>63</v>
      </c>
      <c r="P56" s="21">
        <f>G56*$G$8</f>
        <v/>
      </c>
      <c r="Q56" s="22" t="n">
        <v>25</v>
      </c>
      <c r="R56" s="21">
        <f>G56*$G$4</f>
        <v/>
      </c>
      <c r="S56" s="21">
        <f>I56*$G$3</f>
        <v/>
      </c>
      <c r="T56" s="23" t="n">
        <v>0.9</v>
      </c>
      <c r="U56" s="22" t="n">
        <v>63</v>
      </c>
      <c r="V56" s="21">
        <f>U56*(1-T56)</f>
        <v/>
      </c>
      <c r="W56" s="24" t="n">
        <v>0.22</v>
      </c>
      <c r="X56" s="21">
        <f>$G$6*$G$7*W56</f>
        <v/>
      </c>
      <c r="Y56" s="19">
        <f>W56*($G$9+$G$10)</f>
        <v/>
      </c>
      <c r="Z56" s="20" t="n">
        <v>0.07000000000000001</v>
      </c>
      <c r="AA56" s="21">
        <f>G56*Z56</f>
        <v/>
      </c>
      <c r="AB56" s="23" t="n">
        <v>0.08</v>
      </c>
      <c r="AC56" s="21">
        <f>G56*AB56</f>
        <v/>
      </c>
      <c r="AD56" s="21">
        <f>AA56+AC56</f>
        <v/>
      </c>
      <c r="AE56" s="25">
        <f>AD56/G56</f>
        <v/>
      </c>
      <c r="AF56" s="26">
        <f>G56-N56-O56-P56-Q56-R56-S56-V56-X56-Y56-L56</f>
        <v/>
      </c>
      <c r="AG56" s="27">
        <f>AF56-AD56</f>
        <v/>
      </c>
      <c r="AH56" s="28">
        <f>AG56/G56</f>
        <v/>
      </c>
      <c r="AI56" s="29">
        <f>AG56/L56</f>
        <v/>
      </c>
      <c r="AJ56" s="21">
        <f>(O56+Q56+V56+X56+Y56+L56)/(1-(M56+$G$4+(1-H56)*$G$3+$G$8+Z56+AB56))</f>
        <v/>
      </c>
    </row>
    <row r="57" ht="29" customHeight="1">
      <c r="A57" s="11" t="inlineStr">
        <is>
          <t>FARMSTAY - Collagen Water Full Moist Cream [100g] / Увлажняющий крем с коллагеном</t>
        </is>
      </c>
      <c r="B57" s="12" t="n"/>
      <c r="C57" s="13" t="n"/>
      <c r="D57" s="14" t="n">
        <v>4300</v>
      </c>
      <c r="E57" s="14" t="n">
        <v>29</v>
      </c>
      <c r="F57" s="14" t="n">
        <v>7</v>
      </c>
      <c r="G57" s="14">
        <f>(1.25*L57+O57+Q57+V57+X57+Y57)/(1-M57-$G$8-$G$4-(1-H57)*$G$3-Z57-AB57)</f>
        <v/>
      </c>
      <c r="H57" s="15" t="n">
        <v>0.45</v>
      </c>
      <c r="I57" s="16">
        <f>G57*(1-H57)</f>
        <v/>
      </c>
      <c r="J57" s="17" t="n">
        <v>484.42</v>
      </c>
      <c r="K57" s="18">
        <f>$G$5</f>
        <v/>
      </c>
      <c r="L57" s="19">
        <f>J57+K57</f>
        <v/>
      </c>
      <c r="M57" s="20" t="n">
        <v>0.41</v>
      </c>
      <c r="N57" s="21">
        <f>G57*M57</f>
        <v/>
      </c>
      <c r="O57" s="22" t="n">
        <v>67</v>
      </c>
      <c r="P57" s="21">
        <f>G57*$G$8</f>
        <v/>
      </c>
      <c r="Q57" s="22" t="n">
        <v>25</v>
      </c>
      <c r="R57" s="21">
        <f>G57*$G$4</f>
        <v/>
      </c>
      <c r="S57" s="21">
        <f>I57*$G$3</f>
        <v/>
      </c>
      <c r="T57" s="23" t="n">
        <v>0.9</v>
      </c>
      <c r="U57" s="22" t="n">
        <v>67</v>
      </c>
      <c r="V57" s="21">
        <f>U57*(1-T57)</f>
        <v/>
      </c>
      <c r="W57" s="24" t="n">
        <v>0.57</v>
      </c>
      <c r="X57" s="21">
        <f>$G$6*$G$7*W57</f>
        <v/>
      </c>
      <c r="Y57" s="19">
        <f>W57*($G$9+$G$10)</f>
        <v/>
      </c>
      <c r="Z57" s="20" t="n">
        <v>0.07000000000000001</v>
      </c>
      <c r="AA57" s="21">
        <f>G57*Z57</f>
        <v/>
      </c>
      <c r="AB57" s="23" t="n">
        <v>0.08</v>
      </c>
      <c r="AC57" s="21">
        <f>G57*AB57</f>
        <v/>
      </c>
      <c r="AD57" s="21">
        <f>AA57+AC57</f>
        <v/>
      </c>
      <c r="AE57" s="25">
        <f>AD57/G57</f>
        <v/>
      </c>
      <c r="AF57" s="26">
        <f>G57-N57-O57-P57-Q57-R57-S57-V57-X57-Y57-L57</f>
        <v/>
      </c>
      <c r="AG57" s="27">
        <f>AF57-AD57</f>
        <v/>
      </c>
      <c r="AH57" s="28">
        <f>AG57/G57</f>
        <v/>
      </c>
      <c r="AI57" s="29">
        <f>AG57/L57</f>
        <v/>
      </c>
      <c r="AJ57" s="21">
        <f>(O57+Q57+V57+X57+Y57+L57)/(1-(M57+$G$4+(1-H57)*$G$3+$G$8+Z57+AB57))</f>
        <v/>
      </c>
    </row>
    <row r="58" ht="29" customHeight="1">
      <c r="A58" s="11" t="inlineStr">
        <is>
          <t xml:space="preserve">FARMSTAY - Collagen Pure Cleansing Foam [180ml]/Пенка для умывания </t>
        </is>
      </c>
      <c r="B58" s="12" t="n"/>
      <c r="C58" s="13" t="n"/>
      <c r="D58" s="14" t="n">
        <v>1100</v>
      </c>
      <c r="E58" s="14" t="n">
        <v>163</v>
      </c>
      <c r="F58" s="14" t="n">
        <v>4.5</v>
      </c>
      <c r="G58" s="14">
        <f>(1.25*L58+O58+Q58+V58+X58+Y58)/(1-M58-$G$8-$G$4-(1-H58)*$G$3-Z58-AB58)</f>
        <v/>
      </c>
      <c r="H58" s="15" t="n">
        <v>0.45</v>
      </c>
      <c r="I58" s="16">
        <f>G58*(1-H58)</f>
        <v/>
      </c>
      <c r="J58" s="17" t="n">
        <v>161.47</v>
      </c>
      <c r="K58" s="18">
        <f>$G$5</f>
        <v/>
      </c>
      <c r="L58" s="19">
        <f>J58+K58</f>
        <v/>
      </c>
      <c r="M58" s="20" t="n">
        <v>0.41</v>
      </c>
      <c r="N58" s="21">
        <f>G58*M58</f>
        <v/>
      </c>
      <c r="O58" s="22" t="n">
        <v>67</v>
      </c>
      <c r="P58" s="21">
        <f>G58*$G$8</f>
        <v/>
      </c>
      <c r="Q58" s="22" t="n">
        <v>25</v>
      </c>
      <c r="R58" s="21">
        <f>G58*$G$4</f>
        <v/>
      </c>
      <c r="S58" s="21">
        <f>I58*$G$3</f>
        <v/>
      </c>
      <c r="T58" s="23" t="n">
        <v>0.9</v>
      </c>
      <c r="U58" s="22" t="n">
        <v>67</v>
      </c>
      <c r="V58" s="21">
        <f>U58*(1-T58)</f>
        <v/>
      </c>
      <c r="W58" s="24" t="n">
        <v>0.57</v>
      </c>
      <c r="X58" s="21">
        <f>$G$6*$G$7*W58</f>
        <v/>
      </c>
      <c r="Y58" s="19">
        <f>W58*($G$9+$G$10)</f>
        <v/>
      </c>
      <c r="Z58" s="20" t="n">
        <v>0.07000000000000001</v>
      </c>
      <c r="AA58" s="21">
        <f>G58*Z58</f>
        <v/>
      </c>
      <c r="AB58" s="23" t="n">
        <v>0.08</v>
      </c>
      <c r="AC58" s="21">
        <f>G58*AB58</f>
        <v/>
      </c>
      <c r="AD58" s="21">
        <f>AA58+AC58</f>
        <v/>
      </c>
      <c r="AE58" s="25">
        <f>AD58/G58</f>
        <v/>
      </c>
      <c r="AF58" s="26">
        <f>G58-N58-O58-P58-Q58-R58-S58-V58-X58-Y58-L58</f>
        <v/>
      </c>
      <c r="AG58" s="27">
        <f>AF58-AD58</f>
        <v/>
      </c>
      <c r="AH58" s="28">
        <f>AG58/G58</f>
        <v/>
      </c>
      <c r="AI58" s="29">
        <f>AG58/L58</f>
        <v/>
      </c>
      <c r="AJ58" s="21">
        <f>(O58+Q58+V58+X58+Y58+L58)/(1-(M58+$G$4+(1-H58)*$G$3+$G$8+Z58+AB58))</f>
        <v/>
      </c>
    </row>
    <row r="59">
      <c r="A59" s="56" t="inlineStr">
        <is>
          <t>Косметика/HEIMISH</t>
        </is>
      </c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10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</row>
    <row r="60" ht="29" customHeight="1">
      <c r="A60" s="11" t="inlineStr">
        <is>
          <t>HEIMISH - Artless Glow Base SPF50+ PA+++(Renew) [40ml] / База под макияж SPF50+ PA+++</t>
        </is>
      </c>
      <c r="B60" s="12" t="n"/>
      <c r="C60" s="13" t="n"/>
      <c r="D60" s="14" t="n">
        <v>2980</v>
      </c>
      <c r="E60" s="14" t="n">
        <v>100</v>
      </c>
      <c r="F60" s="14" t="n">
        <v>0</v>
      </c>
      <c r="G60" s="14" t="n">
        <v>2750</v>
      </c>
      <c r="H60" s="15" t="n">
        <v>0.45</v>
      </c>
      <c r="I60" s="16">
        <f>G60*(1-H60)</f>
        <v/>
      </c>
      <c r="J60" s="17" t="n">
        <v>770.48</v>
      </c>
      <c r="K60" s="18">
        <f>$G$5</f>
        <v/>
      </c>
      <c r="L60" s="19">
        <f>J60+K60</f>
        <v/>
      </c>
      <c r="M60" s="20" t="n">
        <v>0.41</v>
      </c>
      <c r="N60" s="21">
        <f>G60*M60</f>
        <v/>
      </c>
      <c r="O60" s="22" t="n">
        <v>56</v>
      </c>
      <c r="P60" s="21">
        <f>G60*$G$8</f>
        <v/>
      </c>
      <c r="Q60" s="22" t="n">
        <v>25</v>
      </c>
      <c r="R60" s="21">
        <f>G60*$G$4</f>
        <v/>
      </c>
      <c r="S60" s="21">
        <f>I60*$G$3</f>
        <v/>
      </c>
      <c r="T60" s="23" t="n">
        <v>0.9</v>
      </c>
      <c r="U60" s="22" t="n">
        <v>56</v>
      </c>
      <c r="V60" s="21">
        <f>U60*(1-T60)</f>
        <v/>
      </c>
      <c r="W60" s="24" t="n">
        <v>0.14</v>
      </c>
      <c r="X60" s="21">
        <f>$G$6*$G$7*W60</f>
        <v/>
      </c>
      <c r="Y60" s="19">
        <f>W60*($G$9+$G$10)</f>
        <v/>
      </c>
      <c r="Z60" s="20" t="n">
        <v>0.05</v>
      </c>
      <c r="AA60" s="21">
        <f>G60*Z60</f>
        <v/>
      </c>
      <c r="AB60" s="23" t="n">
        <v>0.05</v>
      </c>
      <c r="AC60" s="21">
        <f>G60*AB60</f>
        <v/>
      </c>
      <c r="AD60" s="21">
        <f>AA60+AC60</f>
        <v/>
      </c>
      <c r="AE60" s="25">
        <f>AD60/G60</f>
        <v/>
      </c>
      <c r="AF60" s="26">
        <f>G60-N60-O60-P60-Q60-R60-S60-V60-X60-Y60-L60</f>
        <v/>
      </c>
      <c r="AG60" s="27">
        <f>AF60-AD60</f>
        <v/>
      </c>
      <c r="AH60" s="28">
        <f>AG60/G60</f>
        <v/>
      </c>
      <c r="AI60" s="29">
        <f>AG60/L60</f>
        <v/>
      </c>
      <c r="AJ60" s="21">
        <f>(O60+Q60+V60+X60+Y60+L60)/(1-(M60+$G$4+(1-H60)*$G$3+$G$8+Z60+AB60))</f>
        <v/>
      </c>
    </row>
    <row r="61" ht="29" customHeight="1">
      <c r="A61" s="57" t="inlineStr">
        <is>
          <t>HEIMISH - All Clean Balm / Очищающий гидрофильный бальзам щербет МИНИ ВЕРСИЯ</t>
        </is>
      </c>
      <c r="B61" s="30" t="n"/>
      <c r="C61" s="30" t="n"/>
      <c r="D61" s="31" t="n"/>
      <c r="E61" s="31" t="n"/>
      <c r="F61" s="31" t="n"/>
      <c r="G61" s="31" t="n"/>
      <c r="H61" s="32" t="n"/>
      <c r="I61" s="33" t="n"/>
      <c r="J61" s="34" t="n"/>
      <c r="K61" s="34" t="n"/>
      <c r="L61" s="35" t="n"/>
      <c r="M61" s="36" t="n"/>
      <c r="N61" s="31" t="n"/>
      <c r="O61" s="31" t="n"/>
      <c r="P61" s="31" t="n"/>
      <c r="Q61" s="31" t="n"/>
      <c r="R61" s="31" t="n"/>
      <c r="S61" s="31" t="n"/>
      <c r="T61" s="37" t="n"/>
      <c r="U61" s="31" t="n"/>
      <c r="V61" s="31" t="n"/>
      <c r="W61" s="38" t="n"/>
      <c r="X61" s="31" t="n"/>
      <c r="Y61" s="35" t="n"/>
      <c r="Z61" s="36" t="n"/>
      <c r="AA61" s="31" t="n"/>
      <c r="AB61" s="37" t="n"/>
      <c r="AC61" s="31" t="n"/>
      <c r="AD61" s="31" t="n"/>
      <c r="AE61" s="39" t="n"/>
      <c r="AF61" s="40" t="n"/>
      <c r="AG61" s="31" t="n"/>
      <c r="AH61" s="37" t="n"/>
      <c r="AI61" s="37" t="n"/>
      <c r="AJ61" s="31" t="n"/>
    </row>
    <row r="62">
      <c r="A62" s="56" t="inlineStr">
        <is>
          <t>Косметика/JIGOTT/JIGOTT-CREAM</t>
        </is>
      </c>
      <c r="B62" s="10" t="n"/>
      <c r="C62" s="10" t="n"/>
      <c r="D62" s="10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10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</row>
    <row r="63" ht="29" customHeight="1">
      <c r="A63" s="11" t="inlineStr">
        <is>
          <t>JIGOTT - Snail Lifting Cream [70ml] / Крем для лица увлажняющий антивозрастной</t>
        </is>
      </c>
      <c r="B63" s="12" t="n"/>
      <c r="C63" s="13" t="n"/>
      <c r="D63" s="14" t="n">
        <v>980</v>
      </c>
      <c r="E63" s="14" t="n">
        <v>160</v>
      </c>
      <c r="F63" s="14" t="n">
        <v>4.5</v>
      </c>
      <c r="G63" s="14" t="n">
        <v>880</v>
      </c>
      <c r="H63" s="15" t="n">
        <v>0.45</v>
      </c>
      <c r="I63" s="16">
        <f>G63*(1-H63)</f>
        <v/>
      </c>
      <c r="J63" s="17" t="n">
        <v>202.27</v>
      </c>
      <c r="K63" s="18">
        <f>$G$5</f>
        <v/>
      </c>
      <c r="L63" s="19">
        <f>J63+K63</f>
        <v/>
      </c>
      <c r="M63" s="20" t="n">
        <v>0.41</v>
      </c>
      <c r="N63" s="21">
        <f>G63*M63</f>
        <v/>
      </c>
      <c r="O63" s="22" t="n">
        <v>67</v>
      </c>
      <c r="P63" s="21">
        <f>G63*$G$8</f>
        <v/>
      </c>
      <c r="Q63" s="22" t="n">
        <v>25</v>
      </c>
      <c r="R63" s="21">
        <f>G63*$G$4</f>
        <v/>
      </c>
      <c r="S63" s="21">
        <f>I63*$G$3</f>
        <v/>
      </c>
      <c r="T63" s="23" t="n">
        <v>0.9</v>
      </c>
      <c r="U63" s="22" t="n">
        <v>67</v>
      </c>
      <c r="V63" s="21">
        <f>U63*(1-T63)</f>
        <v/>
      </c>
      <c r="W63" s="24" t="n">
        <v>0.42</v>
      </c>
      <c r="X63" s="21">
        <f>$G$6*$G$7*W63</f>
        <v/>
      </c>
      <c r="Y63" s="19">
        <f>W63*($G$9+$G$10)</f>
        <v/>
      </c>
      <c r="Z63" s="20" t="n">
        <v>0.07000000000000001</v>
      </c>
      <c r="AA63" s="21">
        <f>G63*Z63</f>
        <v/>
      </c>
      <c r="AB63" s="23" t="n">
        <v>0.08</v>
      </c>
      <c r="AC63" s="21">
        <f>G63*AB63</f>
        <v/>
      </c>
      <c r="AD63" s="21">
        <f>AA63+AC63</f>
        <v/>
      </c>
      <c r="AE63" s="25">
        <f>AD63/G63</f>
        <v/>
      </c>
      <c r="AF63" s="26">
        <f>G63-N63-O63-P63-Q63-R63-S63-V63-X63-Y63-L63</f>
        <v/>
      </c>
      <c r="AG63" s="41">
        <f>AF63-AD63</f>
        <v/>
      </c>
      <c r="AH63" s="42">
        <f>AG63/G63</f>
        <v/>
      </c>
      <c r="AI63" s="43">
        <f>AG63/L63</f>
        <v/>
      </c>
      <c r="AJ63" s="21">
        <f>(O63+Q63+V63+X63+Y63+L63)/(1-(M63+$G$4+(1-H63)*$G$3+$G$8+Z63+AB63))</f>
        <v/>
      </c>
    </row>
    <row r="64" ht="29" customHeight="1">
      <c r="A64" s="11" t="inlineStr">
        <is>
          <t>JIGOTT - Snail Reparing Cream [100ml] / Крем для лица увлажняющий антивозрастной с муцином улитки</t>
        </is>
      </c>
      <c r="B64" s="12" t="n"/>
      <c r="C64" s="13" t="n"/>
      <c r="D64" s="14" t="n">
        <v>1030</v>
      </c>
      <c r="E64" s="14" t="n">
        <v>153</v>
      </c>
      <c r="F64" s="14" t="n">
        <v>5</v>
      </c>
      <c r="G64" s="14" t="n">
        <v>930</v>
      </c>
      <c r="H64" s="15" t="n">
        <v>0.45</v>
      </c>
      <c r="I64" s="16">
        <f>G64*(1-H64)</f>
        <v/>
      </c>
      <c r="J64" s="17" t="n">
        <v>185.86</v>
      </c>
      <c r="K64" s="18">
        <f>$G$5</f>
        <v/>
      </c>
      <c r="L64" s="19">
        <f>J64+K64</f>
        <v/>
      </c>
      <c r="M64" s="20" t="n">
        <v>0.41</v>
      </c>
      <c r="N64" s="21">
        <f>G64*M64</f>
        <v/>
      </c>
      <c r="O64" s="22" t="n">
        <v>67</v>
      </c>
      <c r="P64" s="21">
        <f>G64*$G$8</f>
        <v/>
      </c>
      <c r="Q64" s="22" t="n">
        <v>25</v>
      </c>
      <c r="R64" s="21">
        <f>G64*$G$4</f>
        <v/>
      </c>
      <c r="S64" s="21">
        <f>I64*$G$3</f>
        <v/>
      </c>
      <c r="T64" s="23" t="n">
        <v>0.9</v>
      </c>
      <c r="U64" s="22" t="n">
        <v>67</v>
      </c>
      <c r="V64" s="21">
        <f>U64*(1-T64)</f>
        <v/>
      </c>
      <c r="W64" s="24" t="n">
        <v>0.57</v>
      </c>
      <c r="X64" s="21">
        <f>$G$6*$G$7*W64</f>
        <v/>
      </c>
      <c r="Y64" s="19">
        <f>W64*($G$9+$G$10)</f>
        <v/>
      </c>
      <c r="Z64" s="20" t="n">
        <v>0.07000000000000001</v>
      </c>
      <c r="AA64" s="21">
        <f>G64*Z64</f>
        <v/>
      </c>
      <c r="AB64" s="23" t="n">
        <v>0.08</v>
      </c>
      <c r="AC64" s="21">
        <f>G64*AB64</f>
        <v/>
      </c>
      <c r="AD64" s="21">
        <f>AA64+AC64</f>
        <v/>
      </c>
      <c r="AE64" s="25">
        <f>AD64/G64</f>
        <v/>
      </c>
      <c r="AF64" s="26">
        <f>G64-N64-O64-P64-Q64-R64-S64-V64-X64-Y64-L64</f>
        <v/>
      </c>
      <c r="AG64" s="41">
        <f>AF64-AD64</f>
        <v/>
      </c>
      <c r="AH64" s="42">
        <f>AG64/G64</f>
        <v/>
      </c>
      <c r="AI64" s="43">
        <f>AG64/L64</f>
        <v/>
      </c>
      <c r="AJ64" s="21">
        <f>(O64+Q64+V64+X64+Y64+L64)/(1-(M64+$G$4+(1-H64)*$G$3+$G$8+Z64+AB64))</f>
        <v/>
      </c>
    </row>
    <row r="65" ht="29" customHeight="1">
      <c r="A65" s="11" t="inlineStr">
        <is>
          <t>JIGOTT - Birds Nest Firming Cream [70ml] / Антивозрастной крем с экстрактом ласточкиного гнезда</t>
        </is>
      </c>
      <c r="B65" s="12" t="n"/>
      <c r="C65" s="13" t="n"/>
      <c r="D65" s="14" t="n">
        <v>1040</v>
      </c>
      <c r="E65" s="14" t="n">
        <v>49</v>
      </c>
      <c r="F65" s="14" t="n">
        <v>4</v>
      </c>
      <c r="G65" s="14" t="n">
        <v>960</v>
      </c>
      <c r="H65" s="15" t="n">
        <v>0.45</v>
      </c>
      <c r="I65" s="16">
        <f>G65*(1-H65)</f>
        <v/>
      </c>
      <c r="J65" s="17" t="n">
        <v>202.27</v>
      </c>
      <c r="K65" s="18">
        <f>$G$5</f>
        <v/>
      </c>
      <c r="L65" s="19">
        <f>J65+K65</f>
        <v/>
      </c>
      <c r="M65" s="20" t="n">
        <v>0.41</v>
      </c>
      <c r="N65" s="21">
        <f>G65*M65</f>
        <v/>
      </c>
      <c r="O65" s="22" t="n">
        <v>67</v>
      </c>
      <c r="P65" s="21">
        <f>G65*$G$8</f>
        <v/>
      </c>
      <c r="Q65" s="22" t="n">
        <v>25</v>
      </c>
      <c r="R65" s="21">
        <f>G65*$G$4</f>
        <v/>
      </c>
      <c r="S65" s="21">
        <f>I65*$G$3</f>
        <v/>
      </c>
      <c r="T65" s="23" t="n">
        <v>0.9</v>
      </c>
      <c r="U65" s="22" t="n">
        <v>67</v>
      </c>
      <c r="V65" s="21">
        <f>U65*(1-T65)</f>
        <v/>
      </c>
      <c r="W65" s="24" t="n">
        <v>0.42</v>
      </c>
      <c r="X65" s="21">
        <f>$G$6*$G$7*W65</f>
        <v/>
      </c>
      <c r="Y65" s="19">
        <f>W65*($G$9+$G$10)</f>
        <v/>
      </c>
      <c r="Z65" s="20" t="n">
        <v>0.07000000000000001</v>
      </c>
      <c r="AA65" s="21">
        <f>G65*Z65</f>
        <v/>
      </c>
      <c r="AB65" s="23" t="n">
        <v>0.08</v>
      </c>
      <c r="AC65" s="21">
        <f>G65*AB65</f>
        <v/>
      </c>
      <c r="AD65" s="21">
        <f>AA65+AC65</f>
        <v/>
      </c>
      <c r="AE65" s="25">
        <f>AD65/G65</f>
        <v/>
      </c>
      <c r="AF65" s="26">
        <f>G65-N65-O65-P65-Q65-R65-S65-V65-X65-Y65-L65</f>
        <v/>
      </c>
      <c r="AG65" s="41">
        <f>AF65-AD65</f>
        <v/>
      </c>
      <c r="AH65" s="42">
        <f>AG65/G65</f>
        <v/>
      </c>
      <c r="AI65" s="43">
        <f>AG65/L65</f>
        <v/>
      </c>
      <c r="AJ65" s="21">
        <f>(O65+Q65+V65+X65+Y65+L65)/(1-(M65+$G$4+(1-H65)*$G$3+$G$8+Z65+AB65))</f>
        <v/>
      </c>
    </row>
    <row r="66">
      <c r="A66" s="56" t="inlineStr">
        <is>
          <t>Косметика/JIGOTT/JIGOTT-MASK</t>
        </is>
      </c>
      <c r="B66" s="10" t="n"/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10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</row>
    <row r="67">
      <c r="A67" s="57" t="inlineStr">
        <is>
          <t>JIGOTT - Ассорти набор масок [27ml х 15]</t>
        </is>
      </c>
      <c r="B67" s="30" t="n"/>
      <c r="C67" s="30" t="n"/>
      <c r="D67" s="31" t="n"/>
      <c r="E67" s="31" t="n"/>
      <c r="F67" s="31" t="n"/>
      <c r="G67" s="31" t="n"/>
      <c r="H67" s="32" t="n"/>
      <c r="I67" s="33" t="n"/>
      <c r="J67" s="34" t="n"/>
      <c r="K67" s="34" t="n"/>
      <c r="L67" s="35" t="n"/>
      <c r="M67" s="36" t="n"/>
      <c r="N67" s="31" t="n"/>
      <c r="O67" s="31" t="n"/>
      <c r="P67" s="31" t="n"/>
      <c r="Q67" s="31" t="n"/>
      <c r="R67" s="31" t="n"/>
      <c r="S67" s="31" t="n"/>
      <c r="T67" s="37" t="n"/>
      <c r="U67" s="31" t="n"/>
      <c r="V67" s="31" t="n"/>
      <c r="W67" s="38" t="n"/>
      <c r="X67" s="31" t="n"/>
      <c r="Y67" s="35" t="n"/>
      <c r="Z67" s="36" t="n"/>
      <c r="AA67" s="31" t="n"/>
      <c r="AB67" s="37" t="n"/>
      <c r="AC67" s="31" t="n"/>
      <c r="AD67" s="31" t="n"/>
      <c r="AE67" s="39" t="n"/>
      <c r="AF67" s="40" t="n"/>
      <c r="AG67" s="31" t="n"/>
      <c r="AH67" s="37" t="n"/>
      <c r="AI67" s="37" t="n"/>
      <c r="AJ67" s="31" t="n"/>
    </row>
    <row r="68">
      <c r="A68" s="56" t="inlineStr">
        <is>
          <t>Косметика/JIGOTT/JIGOTT-TONER</t>
        </is>
      </c>
      <c r="B68" s="10" t="n"/>
      <c r="C68" s="10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10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</row>
    <row r="69" ht="29" customHeight="1">
      <c r="A69" s="11" t="inlineStr">
        <is>
          <t>JIGOTT - Ultimate Real Collagen Toner [300ml] / тонер с коллагеном антивозрастной</t>
        </is>
      </c>
      <c r="B69" s="12" t="n"/>
      <c r="C69" s="13" t="n"/>
      <c r="D69" s="14" t="n">
        <v>1140</v>
      </c>
      <c r="E69" s="14" t="n">
        <v>131</v>
      </c>
      <c r="F69" s="14" t="n">
        <v>0</v>
      </c>
      <c r="G69" s="14" t="n">
        <v>960</v>
      </c>
      <c r="H69" s="15" t="n">
        <v>0.45</v>
      </c>
      <c r="I69" s="16">
        <f>G69*(1-H69)</f>
        <v/>
      </c>
      <c r="J69" s="17" t="n">
        <v>265.36</v>
      </c>
      <c r="K69" s="18">
        <f>$G$5</f>
        <v/>
      </c>
      <c r="L69" s="19">
        <f>J69+K69</f>
        <v/>
      </c>
      <c r="M69" s="20" t="n">
        <v>0.41</v>
      </c>
      <c r="N69" s="21">
        <f>G69*M69</f>
        <v/>
      </c>
      <c r="O69" s="22" t="n">
        <v>67</v>
      </c>
      <c r="P69" s="21">
        <f>G69*$G$8</f>
        <v/>
      </c>
      <c r="Q69" s="22" t="n">
        <v>25</v>
      </c>
      <c r="R69" s="21">
        <f>G69*$G$4</f>
        <v/>
      </c>
      <c r="S69" s="21">
        <f>I69*$G$3</f>
        <v/>
      </c>
      <c r="T69" s="23" t="n">
        <v>0.9</v>
      </c>
      <c r="U69" s="22" t="n">
        <v>67</v>
      </c>
      <c r="V69" s="21">
        <f>U69*(1-T69)</f>
        <v/>
      </c>
      <c r="W69" s="24" t="n">
        <v>0.93</v>
      </c>
      <c r="X69" s="21">
        <f>$G$6*$G$7*W69</f>
        <v/>
      </c>
      <c r="Y69" s="19">
        <f>W69*($G$9+$G$10)</f>
        <v/>
      </c>
      <c r="Z69" s="20" t="n">
        <v>0.07000000000000001</v>
      </c>
      <c r="AA69" s="21">
        <f>G69*Z69</f>
        <v/>
      </c>
      <c r="AB69" s="23" t="n">
        <v>0.08</v>
      </c>
      <c r="AC69" s="21">
        <f>G69*AB69</f>
        <v/>
      </c>
      <c r="AD69" s="21">
        <f>AA69+AC69</f>
        <v/>
      </c>
      <c r="AE69" s="25">
        <f>AD69/G69</f>
        <v/>
      </c>
      <c r="AF69" s="26">
        <f>G69-N69-O69-P69-Q69-R69-S69-V69-X69-Y69-L69</f>
        <v/>
      </c>
      <c r="AG69" s="41">
        <f>AF69-AD69</f>
        <v/>
      </c>
      <c r="AH69" s="42">
        <f>AG69/G69</f>
        <v/>
      </c>
      <c r="AI69" s="43">
        <f>AG69/L69</f>
        <v/>
      </c>
      <c r="AJ69" s="21">
        <f>(O69+Q69+V69+X69+Y69+L69)/(1-(M69+$G$4+(1-H69)*$G$3+$G$8+Z69+AB69))</f>
        <v/>
      </c>
    </row>
    <row r="70" ht="29" customHeight="1">
      <c r="A70" s="11" t="inlineStr">
        <is>
          <t>JIGOTT - Daily Real Cica Toner [300ml] / Тонер для лица с центеллой азиатской</t>
        </is>
      </c>
      <c r="B70" s="12" t="n"/>
      <c r="C70" s="13" t="n"/>
      <c r="D70" s="14" t="n">
        <v>1140</v>
      </c>
      <c r="E70" s="14" t="n">
        <v>191</v>
      </c>
      <c r="F70" s="14" t="n">
        <v>0</v>
      </c>
      <c r="G70" s="14" t="n">
        <v>960</v>
      </c>
      <c r="H70" s="15" t="n">
        <v>0.45</v>
      </c>
      <c r="I70" s="16">
        <f>G70*(1-H70)</f>
        <v/>
      </c>
      <c r="J70" s="17" t="n">
        <v>265.36</v>
      </c>
      <c r="K70" s="18">
        <f>$G$5</f>
        <v/>
      </c>
      <c r="L70" s="19">
        <f>J70+K70</f>
        <v/>
      </c>
      <c r="M70" s="20" t="n">
        <v>0.41</v>
      </c>
      <c r="N70" s="21">
        <f>G70*M70</f>
        <v/>
      </c>
      <c r="O70" s="22" t="n">
        <v>67</v>
      </c>
      <c r="P70" s="21">
        <f>G70*$G$8</f>
        <v/>
      </c>
      <c r="Q70" s="22" t="n">
        <v>25</v>
      </c>
      <c r="R70" s="21">
        <f>G70*$G$4</f>
        <v/>
      </c>
      <c r="S70" s="21">
        <f>I70*$G$3</f>
        <v/>
      </c>
      <c r="T70" s="23" t="n">
        <v>0.9</v>
      </c>
      <c r="U70" s="22" t="n">
        <v>67</v>
      </c>
      <c r="V70" s="21">
        <f>U70*(1-T70)</f>
        <v/>
      </c>
      <c r="W70" s="24" t="n">
        <v>0.93</v>
      </c>
      <c r="X70" s="21">
        <f>$G$6*$G$7*W70</f>
        <v/>
      </c>
      <c r="Y70" s="19">
        <f>W70*($G$9+$G$10)</f>
        <v/>
      </c>
      <c r="Z70" s="20" t="n">
        <v>0.07000000000000001</v>
      </c>
      <c r="AA70" s="21">
        <f>G70*Z70</f>
        <v/>
      </c>
      <c r="AB70" s="23" t="n">
        <v>0.08</v>
      </c>
      <c r="AC70" s="21">
        <f>G70*AB70</f>
        <v/>
      </c>
      <c r="AD70" s="21">
        <f>AA70+AC70</f>
        <v/>
      </c>
      <c r="AE70" s="25">
        <f>AD70/G70</f>
        <v/>
      </c>
      <c r="AF70" s="26">
        <f>G70-N70-O70-P70-Q70-R70-S70-V70-X70-Y70-L70</f>
        <v/>
      </c>
      <c r="AG70" s="41">
        <f>AF70-AD70</f>
        <v/>
      </c>
      <c r="AH70" s="42">
        <f>AG70/G70</f>
        <v/>
      </c>
      <c r="AI70" s="43">
        <f>AG70/L70</f>
        <v/>
      </c>
      <c r="AJ70" s="21">
        <f>(O70+Q70+V70+X70+Y70+L70)/(1-(M70+$G$4+(1-H70)*$G$3+$G$8+Z70+AB70))</f>
        <v/>
      </c>
    </row>
    <row r="71" ht="29" customHeight="1">
      <c r="A71" s="11" t="inlineStr">
        <is>
          <t>JIGOTT - Aura Secret Hyaluronec Acid Toner [300ml] / Тонер с гиалуроновой кислотой антивозрастной</t>
        </is>
      </c>
      <c r="B71" s="12" t="n"/>
      <c r="C71" s="13" t="n"/>
      <c r="D71" s="14" t="n">
        <v>975</v>
      </c>
      <c r="E71" s="14" t="n">
        <v>77</v>
      </c>
      <c r="F71" s="14" t="n">
        <v>0</v>
      </c>
      <c r="G71" s="14" t="n">
        <v>900</v>
      </c>
      <c r="H71" s="15" t="n">
        <v>0.45</v>
      </c>
      <c r="I71" s="16">
        <f>G71*(1-H71)</f>
        <v/>
      </c>
      <c r="J71" s="17" t="n">
        <v>265.36</v>
      </c>
      <c r="K71" s="18">
        <f>$G$5</f>
        <v/>
      </c>
      <c r="L71" s="19">
        <f>J71+K71</f>
        <v/>
      </c>
      <c r="M71" s="20" t="n">
        <v>0.41</v>
      </c>
      <c r="N71" s="21">
        <f>G71*M71</f>
        <v/>
      </c>
      <c r="O71" s="22" t="n">
        <v>67</v>
      </c>
      <c r="P71" s="21">
        <f>G71*$G$8</f>
        <v/>
      </c>
      <c r="Q71" s="22" t="n">
        <v>25</v>
      </c>
      <c r="R71" s="21">
        <f>G71*$G$4</f>
        <v/>
      </c>
      <c r="S71" s="21">
        <f>I71*$G$3</f>
        <v/>
      </c>
      <c r="T71" s="23" t="n">
        <v>0.9</v>
      </c>
      <c r="U71" s="22" t="n">
        <v>67</v>
      </c>
      <c r="V71" s="21">
        <f>U71*(1-T71)</f>
        <v/>
      </c>
      <c r="W71" s="24" t="n">
        <v>0.93</v>
      </c>
      <c r="X71" s="21">
        <f>$G$6*$G$7*W71</f>
        <v/>
      </c>
      <c r="Y71" s="19">
        <f>W71*($G$9+$G$10)</f>
        <v/>
      </c>
      <c r="Z71" s="20" t="n">
        <v>0.07000000000000001</v>
      </c>
      <c r="AA71" s="21">
        <f>G71*Z71</f>
        <v/>
      </c>
      <c r="AB71" s="23" t="n">
        <v>0.08</v>
      </c>
      <c r="AC71" s="21">
        <f>G71*AB71</f>
        <v/>
      </c>
      <c r="AD71" s="21">
        <f>AA71+AC71</f>
        <v/>
      </c>
      <c r="AE71" s="25">
        <f>AD71/G71</f>
        <v/>
      </c>
      <c r="AF71" s="26">
        <f>G71-N71-O71-P71-Q71-R71-S71-V71-X71-Y71-L71</f>
        <v/>
      </c>
      <c r="AG71" s="41">
        <f>AF71-AD71</f>
        <v/>
      </c>
      <c r="AH71" s="42">
        <f>AG71/G71</f>
        <v/>
      </c>
      <c r="AI71" s="43">
        <f>AG71/L71</f>
        <v/>
      </c>
      <c r="AJ71" s="21">
        <f>(O71+Q71+V71+X71+Y71+L71)/(1-(M71+$G$4+(1-H71)*$G$3+$G$8+Z71+AB71))</f>
        <v/>
      </c>
    </row>
    <row r="72" ht="29" customHeight="1">
      <c r="A72" s="11" t="inlineStr">
        <is>
          <t>JIGOTT - Moisture Real Aloe Vera Toner [300ml] / Тонер для лица увлажняющий с экстрактом алоэ</t>
        </is>
      </c>
      <c r="B72" s="12" t="n"/>
      <c r="C72" s="13" t="n"/>
      <c r="D72" s="14" t="n">
        <v>1100</v>
      </c>
      <c r="E72" s="14" t="n">
        <v>169</v>
      </c>
      <c r="F72" s="14" t="n">
        <v>8</v>
      </c>
      <c r="G72" s="14" t="n">
        <v>1000</v>
      </c>
      <c r="H72" s="15" t="n">
        <v>0.45</v>
      </c>
      <c r="I72" s="16">
        <f>G72*(1-H72)</f>
        <v/>
      </c>
      <c r="J72" s="17" t="n">
        <v>265.36</v>
      </c>
      <c r="K72" s="18">
        <f>$G$5</f>
        <v/>
      </c>
      <c r="L72" s="19">
        <f>J72+K72</f>
        <v/>
      </c>
      <c r="M72" s="20" t="n">
        <v>0.41</v>
      </c>
      <c r="N72" s="21">
        <f>G72*M72</f>
        <v/>
      </c>
      <c r="O72" s="22" t="n">
        <v>67</v>
      </c>
      <c r="P72" s="21">
        <f>G72*$G$8</f>
        <v/>
      </c>
      <c r="Q72" s="22" t="n">
        <v>25</v>
      </c>
      <c r="R72" s="21">
        <f>G72*$G$4</f>
        <v/>
      </c>
      <c r="S72" s="21">
        <f>I72*$G$3</f>
        <v/>
      </c>
      <c r="T72" s="23" t="n">
        <v>0.9</v>
      </c>
      <c r="U72" s="22" t="n">
        <v>67</v>
      </c>
      <c r="V72" s="21">
        <f>U72*(1-T72)</f>
        <v/>
      </c>
      <c r="W72" s="24" t="n">
        <v>0.93</v>
      </c>
      <c r="X72" s="21">
        <f>$G$6*$G$7*W72</f>
        <v/>
      </c>
      <c r="Y72" s="19">
        <f>W72*($G$9+$G$10)</f>
        <v/>
      </c>
      <c r="Z72" s="20" t="n">
        <v>0.07000000000000001</v>
      </c>
      <c r="AA72" s="21">
        <f>G72*Z72</f>
        <v/>
      </c>
      <c r="AB72" s="23" t="n">
        <v>0.08</v>
      </c>
      <c r="AC72" s="21">
        <f>G72*AB72</f>
        <v/>
      </c>
      <c r="AD72" s="21">
        <f>AA72+AC72</f>
        <v/>
      </c>
      <c r="AE72" s="25">
        <f>AD72/G72</f>
        <v/>
      </c>
      <c r="AF72" s="26">
        <f>G72-N72-O72-P72-Q72-R72-S72-V72-X72-Y72-L72</f>
        <v/>
      </c>
      <c r="AG72" s="41">
        <f>AF72-AD72</f>
        <v/>
      </c>
      <c r="AH72" s="42">
        <f>AG72/G72</f>
        <v/>
      </c>
      <c r="AI72" s="43">
        <f>AG72/L72</f>
        <v/>
      </c>
      <c r="AJ72" s="21">
        <f>(O72+Q72+V72+X72+Y72+L72)/(1-(M72+$G$4+(1-H72)*$G$3+$G$8+Z72+AB72))</f>
        <v/>
      </c>
    </row>
    <row r="73">
      <c r="A73" s="56" t="inlineStr">
        <is>
          <t>Косметика/JMSOLUTION/JM-MASKPACKBLACK</t>
        </is>
      </c>
      <c r="B73" s="10" t="n"/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10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</row>
    <row r="74" ht="29" customHeight="1">
      <c r="A74" s="11" t="inlineStr">
        <is>
          <t>JMSOLUTION - MASK PACK BLACK [30ml*10ea] - ассорти набор 10шт в упаковке</t>
        </is>
      </c>
      <c r="B74" s="12" t="n"/>
      <c r="C74" s="13" t="n"/>
      <c r="D74" s="14" t="n">
        <v>2340</v>
      </c>
      <c r="E74" s="14" t="inlineStr">
        <is>
          <t>51 (закончились)</t>
        </is>
      </c>
      <c r="F74" s="14" t="n">
        <v>4</v>
      </c>
      <c r="G74" s="14" t="n">
        <v>2086</v>
      </c>
      <c r="H74" s="15" t="n">
        <v>0.45</v>
      </c>
      <c r="I74" s="16">
        <f>G74*(1-H74)</f>
        <v/>
      </c>
      <c r="J74" s="17" t="n">
        <v>463.2</v>
      </c>
      <c r="K74" s="18">
        <f>$G$5</f>
        <v/>
      </c>
      <c r="L74" s="19">
        <f>J74+K74</f>
        <v/>
      </c>
      <c r="M74" s="20" t="n">
        <v>0.41</v>
      </c>
      <c r="N74" s="21">
        <f>G74*M74</f>
        <v/>
      </c>
      <c r="O74" s="22" t="n">
        <v>72</v>
      </c>
      <c r="P74" s="21">
        <f>G74*$G$8</f>
        <v/>
      </c>
      <c r="Q74" s="22" t="n">
        <v>25</v>
      </c>
      <c r="R74" s="21">
        <f>G74*$G$4</f>
        <v/>
      </c>
      <c r="S74" s="21">
        <f>I74*$G$3</f>
        <v/>
      </c>
      <c r="T74" s="23" t="n">
        <v>0.9</v>
      </c>
      <c r="U74" s="22" t="n">
        <v>72</v>
      </c>
      <c r="V74" s="21">
        <f>U74*(1-T74)</f>
        <v/>
      </c>
      <c r="W74" s="24" t="n">
        <v>1.25</v>
      </c>
      <c r="X74" s="21">
        <f>$G$6*$G$7*W74</f>
        <v/>
      </c>
      <c r="Y74" s="19">
        <f>W74*($G$9+$G$10)</f>
        <v/>
      </c>
      <c r="Z74" s="20" t="n">
        <v>0.07000000000000001</v>
      </c>
      <c r="AA74" s="21">
        <f>G74*Z74</f>
        <v/>
      </c>
      <c r="AB74" s="23" t="n">
        <v>0.08</v>
      </c>
      <c r="AC74" s="21">
        <f>G74*AB74</f>
        <v/>
      </c>
      <c r="AD74" s="21">
        <f>AA74+AC74</f>
        <v/>
      </c>
      <c r="AE74" s="25">
        <f>AD74/G74</f>
        <v/>
      </c>
      <c r="AF74" s="26">
        <f>G74-N74-O74-P74-Q74-R74-S74-V74-X74-Y74-L74</f>
        <v/>
      </c>
      <c r="AG74" s="27">
        <f>AF74-AD74</f>
        <v/>
      </c>
      <c r="AH74" s="28">
        <f>AG74/G74</f>
        <v/>
      </c>
      <c r="AI74" s="29">
        <f>AG74/L74</f>
        <v/>
      </c>
      <c r="AJ74" s="21">
        <f>(O74+Q74+V74+X74+Y74+L74)/(1-(M74+$G$4+(1-H74)*$G$3+$G$8+Z74+AB74))</f>
        <v/>
      </c>
    </row>
    <row r="75" ht="29" customHeight="1">
      <c r="A75" s="57" t="inlineStr">
        <is>
          <t>JMSOLUTION ACTIVE BLACK CAVIAR MASK [30ml*10ea] / Ультратонкая тканевая маска с черной икрой</t>
        </is>
      </c>
      <c r="B75" s="30" t="n"/>
      <c r="C75" s="30" t="n"/>
      <c r="D75" s="31" t="n"/>
      <c r="E75" s="31" t="n"/>
      <c r="F75" s="31" t="n"/>
      <c r="G75" s="31" t="n"/>
      <c r="H75" s="32" t="n"/>
      <c r="I75" s="33" t="n"/>
      <c r="J75" s="34" t="n"/>
      <c r="K75" s="34" t="n"/>
      <c r="L75" s="35" t="n"/>
      <c r="M75" s="36" t="n"/>
      <c r="N75" s="31" t="n"/>
      <c r="O75" s="31" t="n"/>
      <c r="P75" s="31" t="n"/>
      <c r="Q75" s="31" t="n"/>
      <c r="R75" s="31" t="n"/>
      <c r="S75" s="31" t="n"/>
      <c r="T75" s="37" t="n"/>
      <c r="U75" s="31" t="n"/>
      <c r="V75" s="31" t="n"/>
      <c r="W75" s="38" t="n"/>
      <c r="X75" s="31" t="n"/>
      <c r="Y75" s="35" t="n"/>
      <c r="Z75" s="36" t="n"/>
      <c r="AA75" s="31" t="n"/>
      <c r="AB75" s="37" t="n"/>
      <c r="AC75" s="31" t="n"/>
      <c r="AD75" s="31" t="n"/>
      <c r="AE75" s="39" t="n"/>
      <c r="AF75" s="40" t="n"/>
      <c r="AG75" s="31" t="n"/>
      <c r="AH75" s="37" t="n"/>
      <c r="AI75" s="37" t="n"/>
      <c r="AJ75" s="31" t="n"/>
    </row>
    <row r="76" ht="29" customHeight="1">
      <c r="A76" s="57" t="inlineStr">
        <is>
          <t>JMSOLUTION - Active Golden Caviar Nourishing Mask [30ml*10ea] / Ультратонкая тканевая маска с золотом и икрой</t>
        </is>
      </c>
      <c r="B76" s="30" t="n"/>
      <c r="C76" s="30" t="n"/>
      <c r="D76" s="31" t="n"/>
      <c r="E76" s="31" t="n"/>
      <c r="F76" s="31" t="n"/>
      <c r="G76" s="31" t="n"/>
      <c r="H76" s="32" t="n"/>
      <c r="I76" s="33" t="n"/>
      <c r="J76" s="34" t="n"/>
      <c r="K76" s="34" t="n"/>
      <c r="L76" s="35" t="n"/>
      <c r="M76" s="36" t="n"/>
      <c r="N76" s="31" t="n"/>
      <c r="O76" s="31" t="n"/>
      <c r="P76" s="31" t="n"/>
      <c r="Q76" s="31" t="n"/>
      <c r="R76" s="31" t="n"/>
      <c r="S76" s="31" t="n"/>
      <c r="T76" s="37" t="n"/>
      <c r="U76" s="31" t="n"/>
      <c r="V76" s="31" t="n"/>
      <c r="W76" s="38" t="n"/>
      <c r="X76" s="31" t="n"/>
      <c r="Y76" s="35" t="n"/>
      <c r="Z76" s="36" t="n"/>
      <c r="AA76" s="31" t="n"/>
      <c r="AB76" s="37" t="n"/>
      <c r="AC76" s="31" t="n"/>
      <c r="AD76" s="31" t="n"/>
      <c r="AE76" s="39" t="n"/>
      <c r="AF76" s="40" t="n"/>
      <c r="AG76" s="31" t="n"/>
      <c r="AH76" s="37" t="n"/>
      <c r="AI76" s="37" t="n"/>
      <c r="AJ76" s="31" t="n"/>
    </row>
    <row r="77" ht="29" customHeight="1">
      <c r="A77" s="57" t="inlineStr">
        <is>
          <t>JMSOLUTION - Active Jellyfish Vital Mask [30ml*10ea] / Ультратонкая тканевая маска с экстрактом медузы</t>
        </is>
      </c>
      <c r="B77" s="30" t="n"/>
      <c r="C77" s="30" t="n"/>
      <c r="D77" s="31" t="n"/>
      <c r="E77" s="31" t="n"/>
      <c r="F77" s="31" t="n"/>
      <c r="G77" s="31" t="n"/>
      <c r="H77" s="32" t="n"/>
      <c r="I77" s="33" t="n"/>
      <c r="J77" s="34" t="n"/>
      <c r="K77" s="34" t="n"/>
      <c r="L77" s="35" t="n"/>
      <c r="M77" s="36" t="n"/>
      <c r="N77" s="31" t="n"/>
      <c r="O77" s="31" t="n"/>
      <c r="P77" s="31" t="n"/>
      <c r="Q77" s="31" t="n"/>
      <c r="R77" s="31" t="n"/>
      <c r="S77" s="31" t="n"/>
      <c r="T77" s="37" t="n"/>
      <c r="U77" s="31" t="n"/>
      <c r="V77" s="31" t="n"/>
      <c r="W77" s="38" t="n"/>
      <c r="X77" s="31" t="n"/>
      <c r="Y77" s="35" t="n"/>
      <c r="Z77" s="36" t="n"/>
      <c r="AA77" s="31" t="n"/>
      <c r="AB77" s="37" t="n"/>
      <c r="AC77" s="31" t="n"/>
      <c r="AD77" s="31" t="n"/>
      <c r="AE77" s="39" t="n"/>
      <c r="AF77" s="40" t="n"/>
      <c r="AG77" s="31" t="n"/>
      <c r="AH77" s="37" t="n"/>
      <c r="AI77" s="37" t="n"/>
      <c r="AJ77" s="31" t="n"/>
    </row>
    <row r="78" ht="29" customHeight="1">
      <c r="A78" s="57" t="inlineStr">
        <is>
          <t>JMSOLUTION - Active Pink Snail Brightening Mask [30ml*10ea] / Маска тканевая увлажняющая с улиткой</t>
        </is>
      </c>
      <c r="B78" s="30" t="n"/>
      <c r="C78" s="30" t="n"/>
      <c r="D78" s="31" t="n"/>
      <c r="E78" s="31" t="n"/>
      <c r="F78" s="31" t="n"/>
      <c r="G78" s="31" t="n"/>
      <c r="H78" s="32" t="n"/>
      <c r="I78" s="33" t="n"/>
      <c r="J78" s="34" t="n"/>
      <c r="K78" s="34" t="n"/>
      <c r="L78" s="35" t="n"/>
      <c r="M78" s="36" t="n"/>
      <c r="N78" s="31" t="n"/>
      <c r="O78" s="31" t="n"/>
      <c r="P78" s="31" t="n"/>
      <c r="Q78" s="31" t="n"/>
      <c r="R78" s="31" t="n"/>
      <c r="S78" s="31" t="n"/>
      <c r="T78" s="37" t="n"/>
      <c r="U78" s="31" t="n"/>
      <c r="V78" s="31" t="n"/>
      <c r="W78" s="38" t="n"/>
      <c r="X78" s="31" t="n"/>
      <c r="Y78" s="35" t="n"/>
      <c r="Z78" s="36" t="n"/>
      <c r="AA78" s="31" t="n"/>
      <c r="AB78" s="37" t="n"/>
      <c r="AC78" s="31" t="n"/>
      <c r="AD78" s="31" t="n"/>
      <c r="AE78" s="39" t="n"/>
      <c r="AF78" s="40" t="n"/>
      <c r="AG78" s="31" t="n"/>
      <c r="AH78" s="37" t="n"/>
      <c r="AI78" s="37" t="n"/>
      <c r="AJ78" s="31" t="n"/>
    </row>
    <row r="79">
      <c r="A79" s="57" t="inlineStr">
        <is>
          <t>JMSOLUTION GLORY AQUA FULLERENE MASK DELUXE</t>
        </is>
      </c>
      <c r="B79" s="30" t="n"/>
      <c r="C79" s="30" t="n"/>
      <c r="D79" s="31" t="n"/>
      <c r="E79" s="31" t="n"/>
      <c r="F79" s="31" t="n"/>
      <c r="G79" s="31" t="n"/>
      <c r="H79" s="32" t="n"/>
      <c r="I79" s="33" t="n"/>
      <c r="J79" s="34" t="n"/>
      <c r="K79" s="34" t="n"/>
      <c r="L79" s="35" t="n"/>
      <c r="M79" s="36" t="n"/>
      <c r="N79" s="31" t="n"/>
      <c r="O79" s="31" t="n"/>
      <c r="P79" s="31" t="n"/>
      <c r="Q79" s="31" t="n"/>
      <c r="R79" s="31" t="n"/>
      <c r="S79" s="31" t="n"/>
      <c r="T79" s="37" t="n"/>
      <c r="U79" s="31" t="n"/>
      <c r="V79" s="31" t="n"/>
      <c r="W79" s="38" t="n"/>
      <c r="X79" s="31" t="n"/>
      <c r="Y79" s="35" t="n"/>
      <c r="Z79" s="36" t="n"/>
      <c r="AA79" s="31" t="n"/>
      <c r="AB79" s="37" t="n"/>
      <c r="AC79" s="31" t="n"/>
      <c r="AD79" s="31" t="n"/>
      <c r="AE79" s="39" t="n"/>
      <c r="AF79" s="40" t="n"/>
      <c r="AG79" s="31" t="n"/>
      <c r="AH79" s="37" t="n"/>
      <c r="AI79" s="37" t="n"/>
      <c r="AJ79" s="31" t="n"/>
    </row>
    <row r="80">
      <c r="A80" s="57" t="inlineStr">
        <is>
          <t>JMSOLUTION LACTO SACCHAROMYCES GOLDEN RICE MASK PLUS</t>
        </is>
      </c>
      <c r="B80" s="30" t="n"/>
      <c r="C80" s="30" t="n"/>
      <c r="D80" s="31" t="n"/>
      <c r="E80" s="31" t="n"/>
      <c r="F80" s="31" t="n"/>
      <c r="G80" s="31" t="n"/>
      <c r="H80" s="32" t="n"/>
      <c r="I80" s="33" t="n"/>
      <c r="J80" s="34" t="n"/>
      <c r="K80" s="34" t="n"/>
      <c r="L80" s="35" t="n"/>
      <c r="M80" s="36" t="n"/>
      <c r="N80" s="31" t="n"/>
      <c r="O80" s="31" t="n"/>
      <c r="P80" s="31" t="n"/>
      <c r="Q80" s="31" t="n"/>
      <c r="R80" s="31" t="n"/>
      <c r="S80" s="31" t="n"/>
      <c r="T80" s="37" t="n"/>
      <c r="U80" s="31" t="n"/>
      <c r="V80" s="31" t="n"/>
      <c r="W80" s="38" t="n"/>
      <c r="X80" s="31" t="n"/>
      <c r="Y80" s="35" t="n"/>
      <c r="Z80" s="36" t="n"/>
      <c r="AA80" s="31" t="n"/>
      <c r="AB80" s="37" t="n"/>
      <c r="AC80" s="31" t="n"/>
      <c r="AD80" s="31" t="n"/>
      <c r="AE80" s="39" t="n"/>
      <c r="AF80" s="40" t="n"/>
      <c r="AG80" s="31" t="n"/>
      <c r="AH80" s="37" t="n"/>
      <c r="AI80" s="37" t="n"/>
      <c r="AJ80" s="31" t="n"/>
    </row>
    <row r="81">
      <c r="A81" s="57" t="inlineStr">
        <is>
          <t>JMSOLUTION PANTHELENE INTENSIVE BARRIER MASK</t>
        </is>
      </c>
      <c r="B81" s="30" t="n"/>
      <c r="C81" s="30" t="n"/>
      <c r="D81" s="31" t="n"/>
      <c r="E81" s="31" t="n"/>
      <c r="F81" s="31" t="n"/>
      <c r="G81" s="31" t="n"/>
      <c r="H81" s="32" t="n"/>
      <c r="I81" s="33" t="n"/>
      <c r="J81" s="34" t="n"/>
      <c r="K81" s="34" t="n"/>
      <c r="L81" s="35" t="n"/>
      <c r="M81" s="36" t="n"/>
      <c r="N81" s="31" t="n"/>
      <c r="O81" s="31" t="n"/>
      <c r="P81" s="31" t="n"/>
      <c r="Q81" s="31" t="n"/>
      <c r="R81" s="31" t="n"/>
      <c r="S81" s="31" t="n"/>
      <c r="T81" s="37" t="n"/>
      <c r="U81" s="31" t="n"/>
      <c r="V81" s="31" t="n"/>
      <c r="W81" s="38" t="n"/>
      <c r="X81" s="31" t="n"/>
      <c r="Y81" s="35" t="n"/>
      <c r="Z81" s="36" t="n"/>
      <c r="AA81" s="31" t="n"/>
      <c r="AB81" s="37" t="n"/>
      <c r="AC81" s="31" t="n"/>
      <c r="AD81" s="31" t="n"/>
      <c r="AE81" s="39" t="n"/>
      <c r="AF81" s="40" t="n"/>
      <c r="AG81" s="31" t="n"/>
      <c r="AH81" s="37" t="n"/>
      <c r="AI81" s="37" t="n"/>
      <c r="AJ81" s="31" t="n"/>
    </row>
    <row r="82" ht="43.5" customHeight="1">
      <c r="A82" s="57" t="inlineStr">
        <is>
          <t>JMSOLUTION - The Natural Cordyceps Melitaris Mask Moisture [30ml*10ea] / Тканевая маска для лица с экстрактом кордицепса и комплексом аминокислот</t>
        </is>
      </c>
      <c r="B82" s="30" t="n"/>
      <c r="C82" s="30" t="n"/>
      <c r="D82" s="31" t="n"/>
      <c r="E82" s="31" t="n"/>
      <c r="F82" s="31" t="n"/>
      <c r="G82" s="31" t="n"/>
      <c r="H82" s="32" t="n"/>
      <c r="I82" s="33" t="n"/>
      <c r="J82" s="34" t="n"/>
      <c r="K82" s="34" t="n"/>
      <c r="L82" s="35" t="n"/>
      <c r="M82" s="36" t="n"/>
      <c r="N82" s="31" t="n"/>
      <c r="O82" s="31" t="n"/>
      <c r="P82" s="31" t="n"/>
      <c r="Q82" s="31" t="n"/>
      <c r="R82" s="31" t="n"/>
      <c r="S82" s="31" t="n"/>
      <c r="T82" s="37" t="n"/>
      <c r="U82" s="31" t="n"/>
      <c r="V82" s="31" t="n"/>
      <c r="W82" s="38" t="n"/>
      <c r="X82" s="31" t="n"/>
      <c r="Y82" s="35" t="n"/>
      <c r="Z82" s="36" t="n"/>
      <c r="AA82" s="31" t="n"/>
      <c r="AB82" s="37" t="n"/>
      <c r="AC82" s="31" t="n"/>
      <c r="AD82" s="31" t="n"/>
      <c r="AE82" s="39" t="n"/>
      <c r="AF82" s="40" t="n"/>
      <c r="AG82" s="31" t="n"/>
      <c r="AH82" s="37" t="n"/>
      <c r="AI82" s="37" t="n"/>
      <c r="AJ82" s="31" t="n"/>
    </row>
    <row r="83" ht="29" customHeight="1">
      <c r="A83" s="57" t="inlineStr">
        <is>
          <t>JMSOLUTION - Water Luminous S.O.S. Ringer Mask Black [35ml*10ea] / Ультраувлажняющая тканевая маска</t>
        </is>
      </c>
      <c r="B83" s="30" t="n"/>
      <c r="C83" s="30" t="n"/>
      <c r="D83" s="31" t="n"/>
      <c r="E83" s="31" t="n"/>
      <c r="F83" s="31" t="n"/>
      <c r="G83" s="31" t="n"/>
      <c r="H83" s="32" t="n"/>
      <c r="I83" s="33" t="n"/>
      <c r="J83" s="34" t="n"/>
      <c r="K83" s="34" t="n"/>
      <c r="L83" s="35" t="n"/>
      <c r="M83" s="36" t="n"/>
      <c r="N83" s="31" t="n"/>
      <c r="O83" s="31" t="n"/>
      <c r="P83" s="31" t="n"/>
      <c r="Q83" s="31" t="n"/>
      <c r="R83" s="31" t="n"/>
      <c r="S83" s="31" t="n"/>
      <c r="T83" s="37" t="n"/>
      <c r="U83" s="31" t="n"/>
      <c r="V83" s="31" t="n"/>
      <c r="W83" s="38" t="n"/>
      <c r="X83" s="31" t="n"/>
      <c r="Y83" s="35" t="n"/>
      <c r="Z83" s="36" t="n"/>
      <c r="AA83" s="31" t="n"/>
      <c r="AB83" s="37" t="n"/>
      <c r="AC83" s="31" t="n"/>
      <c r="AD83" s="31" t="n"/>
      <c r="AE83" s="39" t="n"/>
      <c r="AF83" s="40" t="n"/>
      <c r="AG83" s="31" t="n"/>
      <c r="AH83" s="37" t="n"/>
      <c r="AI83" s="37" t="n"/>
      <c r="AJ83" s="31" t="n"/>
    </row>
    <row r="84" ht="29" customHeight="1">
      <c r="A84" s="57" t="inlineStr">
        <is>
          <t>JMSOLUTION GREEN DEAR TIGER CICA MASK PURE 30ml*10ea / Регенерирующая маска для лица с центеллой</t>
        </is>
      </c>
      <c r="B84" s="30" t="n"/>
      <c r="C84" s="30" t="n"/>
      <c r="D84" s="31" t="n"/>
      <c r="E84" s="31" t="n"/>
      <c r="F84" s="31" t="n"/>
      <c r="G84" s="31" t="n"/>
      <c r="H84" s="32" t="n"/>
      <c r="I84" s="33" t="n"/>
      <c r="J84" s="34" t="n"/>
      <c r="K84" s="34" t="n"/>
      <c r="L84" s="35" t="n"/>
      <c r="M84" s="36" t="n"/>
      <c r="N84" s="31" t="n"/>
      <c r="O84" s="31" t="n"/>
      <c r="P84" s="31" t="n"/>
      <c r="Q84" s="31" t="n"/>
      <c r="R84" s="31" t="n"/>
      <c r="S84" s="31" t="n"/>
      <c r="T84" s="37" t="n"/>
      <c r="U84" s="31" t="n"/>
      <c r="V84" s="31" t="n"/>
      <c r="W84" s="38" t="n"/>
      <c r="X84" s="31" t="n"/>
      <c r="Y84" s="35" t="n"/>
      <c r="Z84" s="36" t="n"/>
      <c r="AA84" s="31" t="n"/>
      <c r="AB84" s="37" t="n"/>
      <c r="AC84" s="31" t="n"/>
      <c r="AD84" s="31" t="n"/>
      <c r="AE84" s="39" t="n"/>
      <c r="AF84" s="40" t="n"/>
      <c r="AG84" s="31" t="n"/>
      <c r="AH84" s="37" t="n"/>
      <c r="AI84" s="37" t="n"/>
      <c r="AJ84" s="31" t="n"/>
    </row>
    <row r="85">
      <c r="A85" s="56" t="inlineStr">
        <is>
          <t>Косметика/JMSOLUTION/JM-MASKPACKDISNEY</t>
        </is>
      </c>
      <c r="B85" s="10" t="n"/>
      <c r="C85" s="10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10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</row>
    <row r="86">
      <c r="A86" s="11" t="inlineStr">
        <is>
          <t>JMSOLUTION - MASK PACK DISNEY [30ml*10ea] - ассорти набор из 10шт</t>
        </is>
      </c>
      <c r="B86" s="12" t="n"/>
      <c r="C86" s="13" t="inlineStr">
        <is>
          <t>нет таких наборов</t>
        </is>
      </c>
      <c r="D86" s="14" t="n"/>
      <c r="E86" s="14" t="n"/>
      <c r="F86" s="14" t="n"/>
      <c r="G86" s="14" t="n">
        <v>2086</v>
      </c>
      <c r="H86" s="15" t="n">
        <v>0.45</v>
      </c>
      <c r="I86" s="16">
        <f>G86*(1-H86)</f>
        <v/>
      </c>
      <c r="J86" s="17" t="n">
        <v>463.2</v>
      </c>
      <c r="K86" s="18">
        <f>$G$5</f>
        <v/>
      </c>
      <c r="L86" s="19">
        <f>J86+K86</f>
        <v/>
      </c>
      <c r="M86" s="20" t="n">
        <v>0.41</v>
      </c>
      <c r="N86" s="21">
        <f>G86*M86</f>
        <v/>
      </c>
      <c r="O86" s="22" t="n">
        <v>72</v>
      </c>
      <c r="P86" s="21">
        <f>G86*$G$8</f>
        <v/>
      </c>
      <c r="Q86" s="22" t="n">
        <v>25</v>
      </c>
      <c r="R86" s="21">
        <f>G86*$G$4</f>
        <v/>
      </c>
      <c r="S86" s="21">
        <f>I86*$G$3</f>
        <v/>
      </c>
      <c r="T86" s="23" t="n">
        <v>0.9</v>
      </c>
      <c r="U86" s="22" t="n">
        <v>72</v>
      </c>
      <c r="V86" s="21">
        <f>U86*(1-T86)</f>
        <v/>
      </c>
      <c r="W86" s="24" t="n">
        <v>1.25</v>
      </c>
      <c r="X86" s="21">
        <f>$G$6*$G$7*W86</f>
        <v/>
      </c>
      <c r="Y86" s="19">
        <f>W86*($G$9+$G$10)</f>
        <v/>
      </c>
      <c r="Z86" s="20" t="n">
        <v>0.07000000000000001</v>
      </c>
      <c r="AA86" s="21">
        <f>G86*Z86</f>
        <v/>
      </c>
      <c r="AB86" s="23" t="n">
        <v>0.08</v>
      </c>
      <c r="AC86" s="21">
        <f>G86*AB86</f>
        <v/>
      </c>
      <c r="AD86" s="21">
        <f>AA86+AC86</f>
        <v/>
      </c>
      <c r="AE86" s="25">
        <f>AD86/G86</f>
        <v/>
      </c>
      <c r="AF86" s="26">
        <f>G86-N86-O86-P86-Q86-R86-S86-V86-X86-Y86-L86</f>
        <v/>
      </c>
      <c r="AG86" s="27">
        <f>AF86-AD86</f>
        <v/>
      </c>
      <c r="AH86" s="28">
        <f>AG86/G86</f>
        <v/>
      </c>
      <c r="AI86" s="29">
        <f>AG86/L86</f>
        <v/>
      </c>
      <c r="AJ86" s="21">
        <f>(O86+Q86+V86+X86+Y86+L86)/(1-(M86+$G$4+(1-H86)*$G$3+$G$8+Z86+AB86))</f>
        <v/>
      </c>
    </row>
    <row r="87">
      <c r="A87" s="56" t="inlineStr">
        <is>
          <t>Косметика/LEBELAGE</t>
        </is>
      </c>
      <c r="B87" s="10" t="n"/>
      <c r="C87" s="10" t="n"/>
      <c r="D87" s="10" t="n"/>
      <c r="E87" s="10" t="n"/>
      <c r="F87" s="10" t="n"/>
      <c r="G87" s="10" t="n"/>
      <c r="H87" s="10" t="n"/>
      <c r="I87" s="10" t="n"/>
      <c r="J87" s="10" t="n"/>
      <c r="K87" s="10" t="n"/>
      <c r="L87" s="10" t="n"/>
      <c r="M87" s="10" t="n"/>
      <c r="N87" s="10" t="n"/>
      <c r="O87" s="10" t="n"/>
      <c r="P87" s="10" t="n"/>
      <c r="Q87" s="10" t="n"/>
      <c r="R87" s="10" t="n"/>
      <c r="S87" s="10" t="n"/>
      <c r="T87" s="10" t="n"/>
      <c r="U87" s="10" t="n"/>
      <c r="V87" s="10" t="n"/>
      <c r="W87" s="10" t="n"/>
      <c r="X87" s="10" t="n"/>
      <c r="Y87" s="10" t="n"/>
      <c r="Z87" s="10" t="n"/>
      <c r="AA87" s="10" t="n"/>
      <c r="AB87" s="10" t="n"/>
      <c r="AC87" s="10" t="n"/>
      <c r="AD87" s="10" t="n"/>
      <c r="AE87" s="10" t="n"/>
      <c r="AF87" s="10" t="n"/>
      <c r="AG87" s="10" t="n"/>
      <c r="AH87" s="10" t="n"/>
      <c r="AI87" s="10" t="n"/>
      <c r="AJ87" s="10" t="n"/>
    </row>
    <row r="88" ht="29" customHeight="1">
      <c r="A88" s="11" t="inlineStr">
        <is>
          <t>LEBELAGE - Dr. Peptide Derma Eye Cream [40ml] / Крем для глаз антивозрастной с пептидами</t>
        </is>
      </c>
      <c r="B88" s="12" t="n"/>
      <c r="C88" s="13" t="n"/>
      <c r="D88" s="14" t="n">
        <v>667</v>
      </c>
      <c r="E88" s="14" t="n">
        <v>1738</v>
      </c>
      <c r="F88" s="14" t="n">
        <v>22</v>
      </c>
      <c r="G88" s="14" t="n">
        <v>600</v>
      </c>
      <c r="H88" s="15" t="n">
        <v>0.45</v>
      </c>
      <c r="I88" s="16">
        <f>G88*(1-H88)</f>
        <v/>
      </c>
      <c r="J88" s="17" t="n">
        <v>108.15</v>
      </c>
      <c r="K88" s="18">
        <f>$G$5</f>
        <v/>
      </c>
      <c r="L88" s="19">
        <f>J88+K88</f>
        <v/>
      </c>
      <c r="M88" s="20" t="n">
        <v>0.41</v>
      </c>
      <c r="N88" s="21">
        <f>G88*M88</f>
        <v/>
      </c>
      <c r="O88" s="22" t="n">
        <v>63</v>
      </c>
      <c r="P88" s="21">
        <f>G88*$G$8</f>
        <v/>
      </c>
      <c r="Q88" s="22" t="n">
        <v>25</v>
      </c>
      <c r="R88" s="21">
        <f>G88*$G$4</f>
        <v/>
      </c>
      <c r="S88" s="21">
        <f>I88*$G$3</f>
        <v/>
      </c>
      <c r="T88" s="23" t="n">
        <v>0.9</v>
      </c>
      <c r="U88" s="22" t="n">
        <v>63</v>
      </c>
      <c r="V88" s="21">
        <f>U88*(1-T88)</f>
        <v/>
      </c>
      <c r="W88" s="24" t="n">
        <v>0.27</v>
      </c>
      <c r="X88" s="21">
        <f>$G$6*$G$7*W88</f>
        <v/>
      </c>
      <c r="Y88" s="19">
        <f>W88*($G$9+$G$10)</f>
        <v/>
      </c>
      <c r="Z88" s="20" t="n">
        <v>0.07000000000000001</v>
      </c>
      <c r="AA88" s="21">
        <f>G88*Z88</f>
        <v/>
      </c>
      <c r="AB88" s="23" t="n">
        <v>0.08</v>
      </c>
      <c r="AC88" s="21">
        <f>G88*AB88</f>
        <v/>
      </c>
      <c r="AD88" s="21">
        <f>AA88+AC88</f>
        <v/>
      </c>
      <c r="AE88" s="25">
        <f>AD88/G88</f>
        <v/>
      </c>
      <c r="AF88" s="26">
        <f>G88-N88-O88-P88-Q88-R88-S88-V88-X88-Y88-L88</f>
        <v/>
      </c>
      <c r="AG88" s="27">
        <f>AF88-AD88</f>
        <v/>
      </c>
      <c r="AH88" s="28">
        <f>AG88/G88</f>
        <v/>
      </c>
      <c r="AI88" s="29">
        <f>AG88/L88</f>
        <v/>
      </c>
      <c r="AJ88" s="21">
        <f>(O88+Q88+V88+X88+Y88+L88)/(1-(M88+$G$4+(1-H88)*$G$3+$G$8+Z88+AB88))</f>
        <v/>
      </c>
    </row>
    <row r="89">
      <c r="A89" s="56" t="inlineStr">
        <is>
          <t>Косметика/LANEIGE</t>
        </is>
      </c>
      <c r="B89" s="10" t="n"/>
      <c r="C89" s="10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10" t="n"/>
      <c r="R89" s="10" t="n"/>
      <c r="S89" s="10" t="n"/>
      <c r="T89" s="10" t="n"/>
      <c r="U89" s="10" t="n"/>
      <c r="V89" s="10" t="n"/>
      <c r="W89" s="10" t="n"/>
      <c r="X89" s="10" t="n"/>
      <c r="Y89" s="10" t="n"/>
      <c r="Z89" s="10" t="n"/>
      <c r="AA89" s="10" t="n"/>
      <c r="AB89" s="10" t="n"/>
      <c r="AC89" s="10" t="n"/>
      <c r="AD89" s="10" t="n"/>
      <c r="AE89" s="10" t="n"/>
      <c r="AF89" s="10" t="n"/>
      <c r="AG89" s="10" t="n"/>
      <c r="AH89" s="10" t="n"/>
      <c r="AI89" s="10" t="n"/>
      <c r="AJ89" s="10" t="n"/>
    </row>
    <row r="90">
      <c r="A90" s="11" t="inlineStr">
        <is>
          <t>LANEIGE LIP SLEEPING MASK-BERRY [3g]</t>
        </is>
      </c>
      <c r="B90" s="12" t="n"/>
      <c r="C90" s="13" t="n"/>
      <c r="D90" s="14" t="n">
        <v>1470</v>
      </c>
      <c r="E90" s="14" t="n">
        <v>568</v>
      </c>
      <c r="F90" s="14" t="n">
        <v>10</v>
      </c>
      <c r="G90" s="14">
        <f>(1.25*L90+O90+Q90+V90+X90+Y90)/(1-M90-$G$8-$G$4-(1-H90)*$G$3-Z90-AB90)</f>
        <v/>
      </c>
      <c r="H90" s="15" t="n">
        <v>0.45</v>
      </c>
      <c r="I90" s="16">
        <f>G90*(1-H90)</f>
        <v/>
      </c>
      <c r="J90" s="17" t="n">
        <v>130.86</v>
      </c>
      <c r="K90" s="18">
        <f>$G$5</f>
        <v/>
      </c>
      <c r="L90" s="19">
        <f>J90+K90</f>
        <v/>
      </c>
      <c r="M90" s="20" t="n">
        <v>0.41</v>
      </c>
      <c r="N90" s="21">
        <f>G90*M90</f>
        <v/>
      </c>
      <c r="O90" s="22" t="n">
        <v>56</v>
      </c>
      <c r="P90" s="21">
        <f>G90*$G$8</f>
        <v/>
      </c>
      <c r="Q90" s="22" t="n">
        <v>25</v>
      </c>
      <c r="R90" s="21">
        <f>G90*$G$4</f>
        <v/>
      </c>
      <c r="S90" s="21">
        <f>I90*$G$3</f>
        <v/>
      </c>
      <c r="T90" s="23" t="n">
        <v>0.9</v>
      </c>
      <c r="U90" s="22" t="n">
        <v>56</v>
      </c>
      <c r="V90" s="21">
        <f>U90*(1-T90)</f>
        <v/>
      </c>
      <c r="W90" s="24" t="n">
        <v>0.2</v>
      </c>
      <c r="X90" s="21">
        <f>$G$6*$G$7*W90</f>
        <v/>
      </c>
      <c r="Y90" s="19">
        <f>W90*($G$9+$G$10)</f>
        <v/>
      </c>
      <c r="Z90" s="20" t="n">
        <v>0.07000000000000001</v>
      </c>
      <c r="AA90" s="21">
        <f>G90*Z90</f>
        <v/>
      </c>
      <c r="AB90" s="23" t="n">
        <v>0.08</v>
      </c>
      <c r="AC90" s="21">
        <f>G90*AB90</f>
        <v/>
      </c>
      <c r="AD90" s="21">
        <f>AA90+AC90</f>
        <v/>
      </c>
      <c r="AE90" s="25">
        <f>AD90/G90</f>
        <v/>
      </c>
      <c r="AF90" s="26">
        <f>G90-N90-O90-P90-Q90-R90-S90-V90-X90-Y90-L90</f>
        <v/>
      </c>
      <c r="AG90" s="27">
        <f>AF90-AD90</f>
        <v/>
      </c>
      <c r="AH90" s="28">
        <f>AG90/G90</f>
        <v/>
      </c>
      <c r="AI90" s="29">
        <f>AG90/L90</f>
        <v/>
      </c>
      <c r="AJ90" s="21">
        <f>(O90+Q90+V90+X90+Y90+L90)/(1-(M90+$G$4+(1-H90)*$G$3+$G$8+Z90+AB90))</f>
        <v/>
      </c>
    </row>
    <row r="91">
      <c r="A91" s="56" t="inlineStr">
        <is>
          <t>Косметика/MANYO</t>
        </is>
      </c>
      <c r="B91" s="10" t="n"/>
      <c r="C91" s="10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0" t="n"/>
      <c r="M91" s="10" t="n"/>
      <c r="N91" s="10" t="n"/>
      <c r="O91" s="10" t="n"/>
      <c r="P91" s="10" t="n"/>
      <c r="Q91" s="10" t="n"/>
      <c r="R91" s="10" t="n"/>
      <c r="S91" s="10" t="n"/>
      <c r="T91" s="10" t="n"/>
      <c r="U91" s="10" t="n"/>
      <c r="V91" s="10" t="n"/>
      <c r="W91" s="10" t="n"/>
      <c r="X91" s="10" t="n"/>
      <c r="Y91" s="10" t="n"/>
      <c r="Z91" s="10" t="n"/>
      <c r="AA91" s="10" t="n"/>
      <c r="AB91" s="10" t="n"/>
      <c r="AC91" s="10" t="n"/>
      <c r="AD91" s="10" t="n"/>
      <c r="AE91" s="10" t="n"/>
      <c r="AF91" s="10" t="n"/>
      <c r="AG91" s="10" t="n"/>
      <c r="AH91" s="10" t="n"/>
      <c r="AI91" s="10" t="n"/>
      <c r="AJ91" s="10" t="n"/>
    </row>
    <row r="92" ht="29" customHeight="1">
      <c r="A92" s="11" t="inlineStr">
        <is>
          <t>MANYO - Bifida Biome Complex Ampoule [50ml] / Антивозрастная сыворотка для лица</t>
        </is>
      </c>
      <c r="B92" s="12" t="n"/>
      <c r="C92" s="13" t="n"/>
      <c r="D92" s="14" t="n">
        <v>5800</v>
      </c>
      <c r="E92" s="14" t="n">
        <v>152</v>
      </c>
      <c r="F92" s="14" t="n">
        <v>0</v>
      </c>
      <c r="G92" s="14" t="n">
        <v>5500</v>
      </c>
      <c r="H92" s="15" t="n">
        <v>0.45</v>
      </c>
      <c r="I92" s="16">
        <f>G92*(1-H92)</f>
        <v/>
      </c>
      <c r="J92" s="17" t="n">
        <v>899.78</v>
      </c>
      <c r="K92" s="18">
        <f>$G$5</f>
        <v/>
      </c>
      <c r="L92" s="19">
        <f>J92+K92</f>
        <v/>
      </c>
      <c r="M92" s="20" t="n">
        <v>0.41</v>
      </c>
      <c r="N92" s="21">
        <f>G92*M92</f>
        <v/>
      </c>
      <c r="O92" s="22" t="n">
        <v>63</v>
      </c>
      <c r="P92" s="21">
        <f>G92*$G$8</f>
        <v/>
      </c>
      <c r="Q92" s="22" t="n">
        <v>25</v>
      </c>
      <c r="R92" s="21">
        <f>G92*$G$4</f>
        <v/>
      </c>
      <c r="S92" s="21">
        <f>I92*$G$3</f>
        <v/>
      </c>
      <c r="T92" s="23" t="n">
        <v>0.9</v>
      </c>
      <c r="U92" s="22" t="n">
        <v>63</v>
      </c>
      <c r="V92" s="21">
        <f>U92*(1-T92)</f>
        <v/>
      </c>
      <c r="W92" s="24" t="n">
        <v>0.3</v>
      </c>
      <c r="X92" s="21">
        <f>$G$6*$G$7*W92</f>
        <v/>
      </c>
      <c r="Y92" s="19">
        <f>W92*($G$9+$G$10)</f>
        <v/>
      </c>
      <c r="Z92" s="20" t="n">
        <v>0.025</v>
      </c>
      <c r="AA92" s="21">
        <f>G92*Z92</f>
        <v/>
      </c>
      <c r="AB92" s="23" t="n">
        <v>0.025</v>
      </c>
      <c r="AC92" s="21">
        <f>G92*AB92</f>
        <v/>
      </c>
      <c r="AD92" s="21">
        <f>AA92+AC92</f>
        <v/>
      </c>
      <c r="AE92" s="25">
        <f>AD92/G92</f>
        <v/>
      </c>
      <c r="AF92" s="26">
        <f>G92-N92-O92-P92-Q92-R92-S92-V92-X92-Y92-L92</f>
        <v/>
      </c>
      <c r="AG92" s="27">
        <f>AF92-AD92</f>
        <v/>
      </c>
      <c r="AH92" s="28">
        <f>AG92/G92</f>
        <v/>
      </c>
      <c r="AI92" s="29">
        <f>AG92/L92</f>
        <v/>
      </c>
      <c r="AJ92" s="21">
        <f>(O92+Q92+V92+X92+Y92+L92)/(1-(M92+$G$4+(1-H92)*$G$3+$G$8+Z92+AB92))</f>
        <v/>
      </c>
    </row>
    <row r="93" ht="29" customHeight="1">
      <c r="A93" s="11" t="inlineStr">
        <is>
          <t>MANYO - Galac Whitening Vita Serum [50ml] / Осветляющая сыворотка с Витамином C</t>
        </is>
      </c>
      <c r="B93" s="12" t="n"/>
      <c r="C93" s="13" t="inlineStr">
        <is>
          <t>-</t>
        </is>
      </c>
      <c r="D93" s="14" t="n">
        <v>4000</v>
      </c>
      <c r="E93" s="14" t="n">
        <v>163</v>
      </c>
      <c r="F93" s="14" t="n">
        <v>0</v>
      </c>
      <c r="G93" s="14" t="n">
        <v>3700</v>
      </c>
      <c r="H93" s="15" t="n">
        <v>0.45</v>
      </c>
      <c r="I93" s="16">
        <f>G93*(1-H93)</f>
        <v/>
      </c>
      <c r="J93" s="17" t="n">
        <v>646.83</v>
      </c>
      <c r="K93" s="18">
        <f>$G$5</f>
        <v/>
      </c>
      <c r="L93" s="19">
        <f>J93+K93</f>
        <v/>
      </c>
      <c r="M93" s="20" t="n">
        <v>0.41</v>
      </c>
      <c r="N93" s="21">
        <f>G93*M93</f>
        <v/>
      </c>
      <c r="O93" s="22" t="n">
        <v>56</v>
      </c>
      <c r="P93" s="21">
        <f>G93*$G$8</f>
        <v/>
      </c>
      <c r="Q93" s="22" t="n">
        <v>25</v>
      </c>
      <c r="R93" s="21">
        <f>G93*$G$4</f>
        <v/>
      </c>
      <c r="S93" s="21">
        <f>I93*$G$3</f>
        <v/>
      </c>
      <c r="T93" s="23" t="n">
        <v>0.9</v>
      </c>
      <c r="U93" s="22" t="n">
        <v>56</v>
      </c>
      <c r="V93" s="21">
        <f>U93*(1-T93)</f>
        <v/>
      </c>
      <c r="W93" s="24" t="n">
        <v>0.19</v>
      </c>
      <c r="X93" s="21">
        <f>$G$6*$G$7*W93</f>
        <v/>
      </c>
      <c r="Y93" s="19">
        <f>W93*($G$9+$G$10)</f>
        <v/>
      </c>
      <c r="Z93" s="20" t="n">
        <v>0.025</v>
      </c>
      <c r="AA93" s="21">
        <f>G93*Z93</f>
        <v/>
      </c>
      <c r="AB93" s="23" t="n">
        <v>0.025</v>
      </c>
      <c r="AC93" s="21">
        <f>G93*AB93</f>
        <v/>
      </c>
      <c r="AD93" s="21">
        <f>AA93+AC93</f>
        <v/>
      </c>
      <c r="AE93" s="25">
        <f>AD93/G93</f>
        <v/>
      </c>
      <c r="AF93" s="26">
        <f>G93-N93-O93-P93-Q93-R93-S93-V93-X93-Y93-L93</f>
        <v/>
      </c>
      <c r="AG93" s="27">
        <f>AF93-AD93</f>
        <v/>
      </c>
      <c r="AH93" s="28">
        <f>AG93/G93</f>
        <v/>
      </c>
      <c r="AI93" s="29">
        <f>AG93/L93</f>
        <v/>
      </c>
      <c r="AJ93" s="21">
        <f>(O93+Q93+V93+X93+Y93+L93)/(1-(M93+$G$4+(1-H93)*$G$3+$G$8+Z93+AB93))</f>
        <v/>
      </c>
    </row>
    <row r="94" ht="29" customHeight="1">
      <c r="A94" s="11" t="inlineStr">
        <is>
          <t>MANYO - Bifida Biome Ampoule Lotion [300ml] / Укрепляющий лосьон с бифидобактериями</t>
        </is>
      </c>
      <c r="B94" s="12" t="n"/>
      <c r="C94" s="13" t="inlineStr">
        <is>
          <t>нет у официала</t>
        </is>
      </c>
      <c r="D94" s="14" t="n">
        <v>4000</v>
      </c>
      <c r="E94" s="14" t="n">
        <v>140</v>
      </c>
      <c r="F94" s="14" t="n">
        <v>0</v>
      </c>
      <c r="G94" s="14" t="n">
        <v>3700</v>
      </c>
      <c r="H94" s="15" t="n">
        <v>0.45</v>
      </c>
      <c r="I94" s="16">
        <f>G94*(1-H94)</f>
        <v/>
      </c>
      <c r="J94" s="17" t="n">
        <v>735.34</v>
      </c>
      <c r="K94" s="18">
        <f>$G$5</f>
        <v/>
      </c>
      <c r="L94" s="19">
        <f>J94+K94</f>
        <v/>
      </c>
      <c r="M94" s="20" t="n">
        <v>0.41</v>
      </c>
      <c r="N94" s="21">
        <f>G94*M94</f>
        <v/>
      </c>
      <c r="O94" s="22" t="n">
        <v>67</v>
      </c>
      <c r="P94" s="21">
        <f>G94*$G$8</f>
        <v/>
      </c>
      <c r="Q94" s="22" t="n">
        <v>25</v>
      </c>
      <c r="R94" s="21">
        <f>G94*$G$4</f>
        <v/>
      </c>
      <c r="S94" s="21">
        <f>I94*$G$3</f>
        <v/>
      </c>
      <c r="T94" s="23" t="n">
        <v>0.9</v>
      </c>
      <c r="U94" s="22" t="n">
        <v>67</v>
      </c>
      <c r="V94" s="21">
        <f>U94*(1-T94)</f>
        <v/>
      </c>
      <c r="W94" s="24" t="n">
        <v>0.61</v>
      </c>
      <c r="X94" s="21">
        <f>$G$6*$G$7*W94</f>
        <v/>
      </c>
      <c r="Y94" s="19">
        <f>W94*($G$9+$G$10)</f>
        <v/>
      </c>
      <c r="Z94" s="20" t="n">
        <v>0.025</v>
      </c>
      <c r="AA94" s="21">
        <f>G94*Z94</f>
        <v/>
      </c>
      <c r="AB94" s="23" t="n">
        <v>0.025</v>
      </c>
      <c r="AC94" s="21">
        <f>G94*AB94</f>
        <v/>
      </c>
      <c r="AD94" s="21">
        <f>AA94+AC94</f>
        <v/>
      </c>
      <c r="AE94" s="25">
        <f>AD94/G94</f>
        <v/>
      </c>
      <c r="AF94" s="26">
        <f>G94-N94-O94-P94-Q94-R94-S94-V94-X94-Y94-L94</f>
        <v/>
      </c>
      <c r="AG94" s="27">
        <f>AF94-AD94</f>
        <v/>
      </c>
      <c r="AH94" s="28">
        <f>AG94/G94</f>
        <v/>
      </c>
      <c r="AI94" s="29">
        <f>AG94/L94</f>
        <v/>
      </c>
      <c r="AJ94" s="21">
        <f>(O94+Q94+V94+X94+Y94+L94)/(1-(M94+$G$4+(1-H94)*$G$3+$G$8+Z94+AB94))</f>
        <v/>
      </c>
    </row>
    <row r="95" ht="29" customHeight="1">
      <c r="A95" s="11" t="inlineStr">
        <is>
          <t>MANYO - Pure Cleansing Oil [200ml] / Гидрофильное масло для глубокого очищения</t>
        </is>
      </c>
      <c r="B95" s="12" t="n"/>
      <c r="C95" s="13" t="inlineStr">
        <is>
          <t>-</t>
        </is>
      </c>
      <c r="D95" s="14" t="n">
        <v>4000</v>
      </c>
      <c r="E95" s="14" t="n">
        <v>60</v>
      </c>
      <c r="F95" s="14" t="n">
        <v>0</v>
      </c>
      <c r="G95" s="14" t="n">
        <v>3700</v>
      </c>
      <c r="H95" s="15" t="n">
        <v>0.45</v>
      </c>
      <c r="I95" s="16">
        <f>G95*(1-H95)</f>
        <v/>
      </c>
      <c r="J95" s="17" t="n">
        <v>853</v>
      </c>
      <c r="K95" s="18">
        <f>$G$5</f>
        <v/>
      </c>
      <c r="L95" s="19">
        <f>J95+K95</f>
        <v/>
      </c>
      <c r="M95" s="20" t="n">
        <v>0.41</v>
      </c>
      <c r="N95" s="21">
        <f>G95*M95</f>
        <v/>
      </c>
      <c r="O95" s="22" t="n">
        <v>67</v>
      </c>
      <c r="P95" s="21">
        <f>G95*$G$8</f>
        <v/>
      </c>
      <c r="Q95" s="22" t="n">
        <v>25</v>
      </c>
      <c r="R95" s="21">
        <f>G95*$G$4</f>
        <v/>
      </c>
      <c r="S95" s="21">
        <f>I95*$G$3</f>
        <v/>
      </c>
      <c r="T95" s="23" t="n">
        <v>0.9</v>
      </c>
      <c r="U95" s="22" t="n">
        <v>67</v>
      </c>
      <c r="V95" s="21">
        <f>U95*(1-T95)</f>
        <v/>
      </c>
      <c r="W95" s="24" t="n">
        <v>0.5</v>
      </c>
      <c r="X95" s="21">
        <f>$G$6*$G$7*W95</f>
        <v/>
      </c>
      <c r="Y95" s="19">
        <f>W95*($G$9+$G$10)</f>
        <v/>
      </c>
      <c r="Z95" s="20" t="n">
        <v>0.025</v>
      </c>
      <c r="AA95" s="21">
        <f>G95*Z95</f>
        <v/>
      </c>
      <c r="AB95" s="23" t="n">
        <v>0.025</v>
      </c>
      <c r="AC95" s="21">
        <f>G95*AB95</f>
        <v/>
      </c>
      <c r="AD95" s="21">
        <f>AA95+AC95</f>
        <v/>
      </c>
      <c r="AE95" s="25">
        <f>AD95/G95</f>
        <v/>
      </c>
      <c r="AF95" s="26">
        <f>G95-N95-O95-P95-Q95-R95-S95-V95-X95-Y95-L95</f>
        <v/>
      </c>
      <c r="AG95" s="27">
        <f>AF95-AD95</f>
        <v/>
      </c>
      <c r="AH95" s="28">
        <f>AG95/G95</f>
        <v/>
      </c>
      <c r="AI95" s="29">
        <f>AG95/L95</f>
        <v/>
      </c>
      <c r="AJ95" s="21">
        <f>(O95+Q95+V95+X95+Y95+L95)/(1-(M95+$G$4+(1-H95)*$G$3+$G$8+Z95+AB95))</f>
        <v/>
      </c>
    </row>
    <row r="96" ht="29" customHeight="1">
      <c r="A96" s="11" t="inlineStr">
        <is>
          <t>MANYO BIFIDA COMPLEX AMPOULE GEL CLEANSER [400ml] / Гель для умывания с бифидобактериями</t>
        </is>
      </c>
      <c r="B96" s="12" t="n"/>
      <c r="C96" s="13" t="inlineStr">
        <is>
          <t>-</t>
        </is>
      </c>
      <c r="D96" s="14" t="n">
        <v>4800</v>
      </c>
      <c r="E96" s="14" t="n">
        <v>20</v>
      </c>
      <c r="F96" s="14" t="n">
        <v>0</v>
      </c>
      <c r="G96" s="14" t="n">
        <v>4500</v>
      </c>
      <c r="H96" s="15" t="n">
        <v>0.45</v>
      </c>
      <c r="I96" s="16">
        <f>G96*(1-H96)</f>
        <v/>
      </c>
      <c r="J96" s="17" t="n">
        <v>650</v>
      </c>
      <c r="K96" s="18">
        <f>$G$5</f>
        <v/>
      </c>
      <c r="L96" s="19">
        <f>J96+K96</f>
        <v/>
      </c>
      <c r="M96" s="20" t="n">
        <v>0.41</v>
      </c>
      <c r="N96" s="21">
        <f>G96*M96</f>
        <v/>
      </c>
      <c r="O96" s="22" t="n">
        <v>75</v>
      </c>
      <c r="P96" s="21">
        <f>G96*$G$8</f>
        <v/>
      </c>
      <c r="Q96" s="22" t="n">
        <v>25</v>
      </c>
      <c r="R96" s="21">
        <f>G96*$G$4</f>
        <v/>
      </c>
      <c r="S96" s="21">
        <f>I96*$G$3</f>
        <v/>
      </c>
      <c r="T96" s="23" t="n">
        <v>0.9</v>
      </c>
      <c r="U96" s="22" t="n">
        <v>75</v>
      </c>
      <c r="V96" s="21">
        <f>U96*(1-T96)</f>
        <v/>
      </c>
      <c r="W96" s="24" t="n">
        <v>0.931</v>
      </c>
      <c r="X96" s="21">
        <f>$G$6*$G$7*W96</f>
        <v/>
      </c>
      <c r="Y96" s="19">
        <f>W96*($G$9+$G$10)</f>
        <v/>
      </c>
      <c r="Z96" s="20" t="n">
        <v>0.025</v>
      </c>
      <c r="AA96" s="21">
        <f>G96*Z96</f>
        <v/>
      </c>
      <c r="AB96" s="23" t="n">
        <v>0.025</v>
      </c>
      <c r="AC96" s="21">
        <f>G96*AB96</f>
        <v/>
      </c>
      <c r="AD96" s="21">
        <f>AA96+AC96</f>
        <v/>
      </c>
      <c r="AE96" s="25">
        <f>AD96/G96</f>
        <v/>
      </c>
      <c r="AF96" s="26">
        <f>G96-N96-O96-P96-Q96-R96-S96-V96-X96-Y96-L96</f>
        <v/>
      </c>
      <c r="AG96" s="27">
        <f>AF96-AD96</f>
        <v/>
      </c>
      <c r="AH96" s="28">
        <f>AG96/G96</f>
        <v/>
      </c>
      <c r="AI96" s="29">
        <f>AG96/L96</f>
        <v/>
      </c>
      <c r="AJ96" s="21">
        <f>(O96+Q96+V96+X96+Y96+L96)/(1-(M96+$G$4+(1-H96)*$G$3+$G$8+Z96+AB96))</f>
        <v/>
      </c>
    </row>
    <row r="97" ht="29" customHeight="1">
      <c r="A97" s="11" t="inlineStr">
        <is>
          <t>MANYO BIFIDA INFUSION SHOT AMPOULE 1DX [50ml] / Сыворотка с микроиглами и пробиотиками</t>
        </is>
      </c>
      <c r="B97" s="12" t="n"/>
      <c r="C97" s="13" t="n"/>
      <c r="D97" s="14" t="n">
        <v>3800</v>
      </c>
      <c r="E97" s="14" t="n">
        <v>370</v>
      </c>
      <c r="F97" s="14" t="n">
        <v>0</v>
      </c>
      <c r="G97" s="14" t="n">
        <v>3500</v>
      </c>
      <c r="H97" s="15" t="n">
        <v>0.45</v>
      </c>
      <c r="I97" s="16">
        <f>G97*(1-H97)</f>
        <v/>
      </c>
      <c r="J97" s="17" t="n">
        <v>899.78</v>
      </c>
      <c r="K97" s="18">
        <f>$G$5</f>
        <v/>
      </c>
      <c r="L97" s="19">
        <f>J97+K97</f>
        <v/>
      </c>
      <c r="M97" s="20" t="n">
        <v>0.41</v>
      </c>
      <c r="N97" s="21">
        <f>G97*M97</f>
        <v/>
      </c>
      <c r="O97" s="22" t="n">
        <v>63</v>
      </c>
      <c r="P97" s="21">
        <f>G97*$G$8</f>
        <v/>
      </c>
      <c r="Q97" s="22" t="n">
        <v>25</v>
      </c>
      <c r="R97" s="21">
        <f>G97*$G$4</f>
        <v/>
      </c>
      <c r="S97" s="21">
        <f>I97*$G$3</f>
        <v/>
      </c>
      <c r="T97" s="23" t="n">
        <v>0.9</v>
      </c>
      <c r="U97" s="22" t="n">
        <v>63</v>
      </c>
      <c r="V97" s="21">
        <f>U97*(1-T97)</f>
        <v/>
      </c>
      <c r="W97" s="24" t="n">
        <v>0.3</v>
      </c>
      <c r="X97" s="21">
        <f>$G$6*$G$7*W97</f>
        <v/>
      </c>
      <c r="Y97" s="19">
        <f>W97*($G$9+$G$10)</f>
        <v/>
      </c>
      <c r="Z97" s="20" t="n">
        <v>0.025</v>
      </c>
      <c r="AA97" s="21">
        <f>G97*Z97</f>
        <v/>
      </c>
      <c r="AB97" s="23" t="n">
        <v>0.025</v>
      </c>
      <c r="AC97" s="21">
        <f>G97*AB97</f>
        <v/>
      </c>
      <c r="AD97" s="21">
        <f>AA97+AC97</f>
        <v/>
      </c>
      <c r="AE97" s="25">
        <f>AD97/G97</f>
        <v/>
      </c>
      <c r="AF97" s="26">
        <f>G97-N97-O97-P97-Q97-R97-S97-V97-X97-Y97-L97</f>
        <v/>
      </c>
      <c r="AG97" s="27">
        <f>AF97-AD97</f>
        <v/>
      </c>
      <c r="AH97" s="28">
        <f>AG97/G97</f>
        <v/>
      </c>
      <c r="AI97" s="29">
        <f>AG97/L97</f>
        <v/>
      </c>
      <c r="AJ97" s="21">
        <f>(O97+Q97+V97+X97+Y97+L97)/(1-(M97+$G$4+(1-H97)*$G$3+$G$8+Z97+AB97))</f>
        <v/>
      </c>
    </row>
    <row r="98">
      <c r="A98" s="56" t="inlineStr">
        <is>
          <t>Косметика/MASIL</t>
        </is>
      </c>
      <c r="B98" s="10" t="n"/>
      <c r="C98" s="10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0" t="n"/>
      <c r="M98" s="10" t="n"/>
      <c r="N98" s="10" t="n"/>
      <c r="O98" s="10" t="n"/>
      <c r="P98" s="10" t="n"/>
      <c r="Q98" s="10" t="n"/>
      <c r="R98" s="10" t="n"/>
      <c r="S98" s="10" t="n"/>
      <c r="T98" s="10" t="n"/>
      <c r="U98" s="10" t="n"/>
      <c r="V98" s="10" t="n"/>
      <c r="W98" s="10" t="n"/>
      <c r="X98" s="10" t="n"/>
      <c r="Y98" s="10" t="n"/>
      <c r="Z98" s="10" t="n"/>
      <c r="AA98" s="10" t="n"/>
      <c r="AB98" s="10" t="n"/>
      <c r="AC98" s="10" t="n"/>
      <c r="AD98" s="10" t="n"/>
      <c r="AE98" s="10" t="n"/>
      <c r="AF98" s="10" t="n"/>
      <c r="AG98" s="10" t="n"/>
      <c r="AH98" s="10" t="n"/>
      <c r="AI98" s="10" t="n"/>
      <c r="AJ98" s="10" t="n"/>
    </row>
    <row r="99">
      <c r="A99" s="57" t="inlineStr">
        <is>
          <t>MASIL - 8 Seconds Salon Hair Mask 350ml Set [350ml+8ml*2]</t>
        </is>
      </c>
      <c r="B99" s="30" t="n"/>
      <c r="C99" s="30" t="n"/>
      <c r="D99" s="31" t="n"/>
      <c r="E99" s="31" t="n"/>
      <c r="F99" s="31" t="n"/>
      <c r="G99" s="31" t="n"/>
      <c r="H99" s="32" t="n"/>
      <c r="I99" s="33" t="n"/>
      <c r="J99" s="34" t="n"/>
      <c r="K99" s="34" t="n"/>
      <c r="L99" s="35" t="n"/>
      <c r="M99" s="36" t="n"/>
      <c r="N99" s="31" t="n"/>
      <c r="O99" s="31" t="n"/>
      <c r="P99" s="31" t="n"/>
      <c r="Q99" s="31" t="n"/>
      <c r="R99" s="31" t="n"/>
      <c r="S99" s="31" t="n"/>
      <c r="T99" s="37" t="n"/>
      <c r="U99" s="31" t="n"/>
      <c r="V99" s="31" t="n"/>
      <c r="W99" s="38" t="n"/>
      <c r="X99" s="31" t="n"/>
      <c r="Y99" s="35" t="n"/>
      <c r="Z99" s="36" t="n"/>
      <c r="AA99" s="31" t="n"/>
      <c r="AB99" s="37" t="n"/>
      <c r="AC99" s="31" t="n"/>
      <c r="AD99" s="31" t="n"/>
      <c r="AE99" s="39" t="n"/>
      <c r="AF99" s="40" t="n"/>
      <c r="AG99" s="31" t="n"/>
      <c r="AH99" s="37" t="n"/>
      <c r="AI99" s="37" t="n"/>
      <c r="AJ99" s="31" t="n"/>
    </row>
    <row r="100">
      <c r="A100" s="56" t="inlineStr">
        <is>
          <t>Косметика/PETITFEE/PETITFEE-EYEPATCH</t>
        </is>
      </c>
      <c r="B100" s="10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0" t="n"/>
      <c r="M100" s="10" t="n"/>
      <c r="N100" s="10" t="n"/>
      <c r="O100" s="10" t="n"/>
      <c r="P100" s="10" t="n"/>
      <c r="Q100" s="10" t="n"/>
      <c r="R100" s="10" t="n"/>
      <c r="S100" s="10" t="n"/>
      <c r="T100" s="10" t="n"/>
      <c r="U100" s="10" t="n"/>
      <c r="V100" s="10" t="n"/>
      <c r="W100" s="10" t="n"/>
      <c r="X100" s="10" t="n"/>
      <c r="Y100" s="10" t="n"/>
      <c r="Z100" s="10" t="n"/>
      <c r="AA100" s="10" t="n"/>
      <c r="AB100" s="10" t="n"/>
      <c r="AC100" s="10" t="n"/>
      <c r="AD100" s="10" t="n"/>
      <c r="AE100" s="10" t="n"/>
      <c r="AF100" s="10" t="n"/>
      <c r="AG100" s="10" t="n"/>
      <c r="AH100" s="10" t="n"/>
      <c r="AI100" s="10" t="n"/>
      <c r="AJ100" s="10" t="n"/>
    </row>
    <row r="101" ht="29" customHeight="1">
      <c r="A101" s="11" t="inlineStr">
        <is>
          <t>PETITFEE - Collagen &amp; CoQ10 Hydrogel Eye Patch [60ea] / Гидрогелевые патчи для глаз с коллагеном и коэнзимом Q10</t>
        </is>
      </c>
      <c r="B101" s="12" t="n"/>
      <c r="C101" s="13" t="n"/>
      <c r="D101" s="14" t="n">
        <v>1818</v>
      </c>
      <c r="E101" s="14" t="n">
        <v>734</v>
      </c>
      <c r="F101" s="14" t="n">
        <v>16</v>
      </c>
      <c r="G101" s="14" t="n">
        <v>1700</v>
      </c>
      <c r="H101" s="15" t="n">
        <v>0.45</v>
      </c>
      <c r="I101" s="16">
        <f>G101*(1-H101)</f>
        <v/>
      </c>
      <c r="J101" s="17" t="n">
        <v>385.05</v>
      </c>
      <c r="K101" s="18">
        <f>$G$5</f>
        <v/>
      </c>
      <c r="L101" s="19">
        <f>J101+K101</f>
        <v/>
      </c>
      <c r="M101" s="20" t="n">
        <v>0.41</v>
      </c>
      <c r="N101" s="21">
        <f>G101*M101</f>
        <v/>
      </c>
      <c r="O101" s="22" t="n">
        <v>67</v>
      </c>
      <c r="P101" s="21">
        <f>G101*$G$8</f>
        <v/>
      </c>
      <c r="Q101" s="22" t="n">
        <v>25</v>
      </c>
      <c r="R101" s="21">
        <f>G101*$G$4</f>
        <v/>
      </c>
      <c r="S101" s="21">
        <f>I101*$G$3</f>
        <v/>
      </c>
      <c r="T101" s="23" t="n">
        <v>0.9</v>
      </c>
      <c r="U101" s="22" t="n">
        <v>67</v>
      </c>
      <c r="V101" s="21">
        <f>U101*(1-T101)</f>
        <v/>
      </c>
      <c r="W101" s="24" t="n">
        <v>0.6</v>
      </c>
      <c r="X101" s="21">
        <f>$G$6*$G$7*W101</f>
        <v/>
      </c>
      <c r="Y101" s="19">
        <f>W101*($G$9+$G$10)</f>
        <v/>
      </c>
      <c r="Z101" s="20" t="n">
        <v>0.07000000000000001</v>
      </c>
      <c r="AA101" s="21">
        <f>G101*Z101</f>
        <v/>
      </c>
      <c r="AB101" s="23" t="n">
        <v>0.08</v>
      </c>
      <c r="AC101" s="21">
        <f>G101*AB101</f>
        <v/>
      </c>
      <c r="AD101" s="21">
        <f>AA101+AC101</f>
        <v/>
      </c>
      <c r="AE101" s="25">
        <f>AD101/G101</f>
        <v/>
      </c>
      <c r="AF101" s="26">
        <f>G101-N101-O101-P101-Q101-R101-S101-V101-X101-Y101-L101</f>
        <v/>
      </c>
      <c r="AG101" s="27">
        <f>AF101-AD101</f>
        <v/>
      </c>
      <c r="AH101" s="28">
        <f>AG101/G101</f>
        <v/>
      </c>
      <c r="AI101" s="29">
        <f>AG101/L101</f>
        <v/>
      </c>
      <c r="AJ101" s="21">
        <f>(O101+Q101+V101+X101+Y101+L101)/(1-(M101+$G$4+(1-H101)*$G$3+$G$8+Z101+AB101))</f>
        <v/>
      </c>
    </row>
    <row r="102" ht="29" customHeight="1">
      <c r="A102" s="11" t="inlineStr">
        <is>
          <t>PETITFEE - Bera Glucan Deep Firming Eye Patch [60ea] / Тканевые патчи для век увлажняющие</t>
        </is>
      </c>
      <c r="B102" s="12" t="n"/>
      <c r="C102" s="13" t="n"/>
      <c r="D102" s="14" t="n"/>
      <c r="E102" s="14" t="n"/>
      <c r="F102" s="14" t="n"/>
      <c r="G102" s="14">
        <f>(1.25*L102+O102+Q102+V102+X102+Y102)/(1-M102-$G$8-$G$4-(1-H102)*$G$3-Z102-AB102)</f>
        <v/>
      </c>
      <c r="H102" s="15" t="n">
        <v>0.45</v>
      </c>
      <c r="I102" s="16">
        <f>G102*(1-H102)</f>
        <v/>
      </c>
      <c r="J102" s="17" t="n">
        <v>486.69</v>
      </c>
      <c r="K102" s="18">
        <f>$G$5</f>
        <v/>
      </c>
      <c r="L102" s="19">
        <f>J102+K102</f>
        <v/>
      </c>
      <c r="M102" s="20" t="n">
        <v>0.41</v>
      </c>
      <c r="N102" s="21">
        <f>G102*M102</f>
        <v/>
      </c>
      <c r="O102" s="22" t="n">
        <v>67</v>
      </c>
      <c r="P102" s="21">
        <f>G102*$G$8</f>
        <v/>
      </c>
      <c r="Q102" s="22" t="n">
        <v>25</v>
      </c>
      <c r="R102" s="21">
        <f>G102*$G$4</f>
        <v/>
      </c>
      <c r="S102" s="21">
        <f>I102*$G$3</f>
        <v/>
      </c>
      <c r="T102" s="23" t="n">
        <v>0.9</v>
      </c>
      <c r="U102" s="22" t="n">
        <v>67</v>
      </c>
      <c r="V102" s="21">
        <f>U102*(1-T102)</f>
        <v/>
      </c>
      <c r="W102" s="24" t="n">
        <v>0.93</v>
      </c>
      <c r="X102" s="21">
        <f>$G$6*$G$7*W102</f>
        <v/>
      </c>
      <c r="Y102" s="19">
        <f>W102*($G$9+$G$10)</f>
        <v/>
      </c>
      <c r="Z102" s="20" t="n">
        <v>0.07000000000000001</v>
      </c>
      <c r="AA102" s="21">
        <f>G102*Z102</f>
        <v/>
      </c>
      <c r="AB102" s="23" t="n">
        <v>0.08</v>
      </c>
      <c r="AC102" s="21">
        <f>G102*AB102</f>
        <v/>
      </c>
      <c r="AD102" s="21">
        <f>AA102+AC102</f>
        <v/>
      </c>
      <c r="AE102" s="25">
        <f>AD102/G102</f>
        <v/>
      </c>
      <c r="AF102" s="26">
        <f>G102-N102-O102-P102-Q102-R102-S102-V102-X102-Y102-L102</f>
        <v/>
      </c>
      <c r="AG102" s="27">
        <f>AF102-AD102</f>
        <v/>
      </c>
      <c r="AH102" s="28">
        <f>AG102/G102</f>
        <v/>
      </c>
      <c r="AI102" s="29">
        <f>AG102/L102</f>
        <v/>
      </c>
      <c r="AJ102" s="21">
        <f>(O102+Q102+V102+X102+Y102+L102)/(1-(M102+$G$4+(1-H102)*$G$3+$G$8+Z102+AB102))</f>
        <v/>
      </c>
    </row>
    <row r="103" ht="29" customHeight="1">
      <c r="A103" s="11" t="inlineStr">
        <is>
          <t>PETITFEE - Artichoke Soothing Hydrogel Eye Patch [60ea] / Смягчающие гидрогелевые патчи для глаз с экстрактом артишока</t>
        </is>
      </c>
      <c r="B103" s="12" t="n"/>
      <c r="C103" s="13" t="n"/>
      <c r="D103" s="14" t="n"/>
      <c r="E103" s="14" t="n"/>
      <c r="F103" s="14" t="n"/>
      <c r="G103" s="14">
        <f>(1.25*L103+O103+Q103+V103+X103+Y103)/(1-M103-$G$8-$G$4-(1-H103)*$G$3-Z103-AB103)</f>
        <v/>
      </c>
      <c r="H103" s="15" t="n">
        <v>0.45</v>
      </c>
      <c r="I103" s="16">
        <f>G103*(1-H103)</f>
        <v/>
      </c>
      <c r="J103" s="17" t="n">
        <v>415.46</v>
      </c>
      <c r="K103" s="18">
        <f>$G$5</f>
        <v/>
      </c>
      <c r="L103" s="19">
        <f>J103+K103</f>
        <v/>
      </c>
      <c r="M103" s="20" t="n">
        <v>0.41</v>
      </c>
      <c r="N103" s="21">
        <f>G103*M103</f>
        <v/>
      </c>
      <c r="O103" s="22" t="n">
        <v>67</v>
      </c>
      <c r="P103" s="21">
        <f>G103*$G$8</f>
        <v/>
      </c>
      <c r="Q103" s="22" t="n">
        <v>25</v>
      </c>
      <c r="R103" s="21">
        <f>G103*$G$4</f>
        <v/>
      </c>
      <c r="S103" s="21">
        <f>I103*$G$3</f>
        <v/>
      </c>
      <c r="T103" s="23" t="n">
        <v>0.9</v>
      </c>
      <c r="U103" s="22" t="n">
        <v>67</v>
      </c>
      <c r="V103" s="21">
        <f>U103*(1-T103)</f>
        <v/>
      </c>
      <c r="W103" s="24" t="n">
        <v>0.6</v>
      </c>
      <c r="X103" s="21">
        <f>$G$6*$G$7*W103</f>
        <v/>
      </c>
      <c r="Y103" s="19">
        <f>W103*($G$9+$G$10)</f>
        <v/>
      </c>
      <c r="Z103" s="20" t="n">
        <v>0.07000000000000001</v>
      </c>
      <c r="AA103" s="21">
        <f>G103*Z103</f>
        <v/>
      </c>
      <c r="AB103" s="23" t="n">
        <v>0.08</v>
      </c>
      <c r="AC103" s="21">
        <f>G103*AB103</f>
        <v/>
      </c>
      <c r="AD103" s="21">
        <f>AA103+AC103</f>
        <v/>
      </c>
      <c r="AE103" s="25">
        <f>AD103/G103</f>
        <v/>
      </c>
      <c r="AF103" s="26">
        <f>G103-N103-O103-P103-Q103-R103-S103-V103-X103-Y103-L103</f>
        <v/>
      </c>
      <c r="AG103" s="27">
        <f>AF103-AD103</f>
        <v/>
      </c>
      <c r="AH103" s="28">
        <f>AG103/G103</f>
        <v/>
      </c>
      <c r="AI103" s="29">
        <f>AG103/L103</f>
        <v/>
      </c>
      <c r="AJ103" s="21">
        <f>(O103+Q103+V103+X103+Y103+L103)/(1-(M103+$G$4+(1-H103)*$G$3+$G$8+Z103+AB103))</f>
        <v/>
      </c>
    </row>
    <row r="104">
      <c r="A104" s="11" t="inlineStr">
        <is>
          <t>PETITFEE - Aura Quartz Hydrogel Eye Patch [60ea]</t>
        </is>
      </c>
      <c r="B104" s="12" t="n"/>
      <c r="C104" s="13" t="n"/>
      <c r="D104" s="14" t="n"/>
      <c r="E104" s="14" t="n"/>
      <c r="F104" s="14" t="n"/>
      <c r="G104" s="14">
        <f>(1.25*L104+O104+Q104+V104+X104+Y104)/(1-M104-$G$8-$G$4-(1-H104)*$G$3-Z104-AB104)</f>
        <v/>
      </c>
      <c r="H104" s="15" t="n">
        <v>0.45</v>
      </c>
      <c r="I104" s="16">
        <f>G104*(1-H104)</f>
        <v/>
      </c>
      <c r="J104" s="17" t="n">
        <v>591.29</v>
      </c>
      <c r="K104" s="18">
        <f>$G$5</f>
        <v/>
      </c>
      <c r="L104" s="19">
        <f>J104+K104</f>
        <v/>
      </c>
      <c r="M104" s="20" t="n">
        <v>0.41</v>
      </c>
      <c r="N104" s="21">
        <f>G104*M104</f>
        <v/>
      </c>
      <c r="O104" s="22" t="n">
        <v>67</v>
      </c>
      <c r="P104" s="21">
        <f>G104*$G$8</f>
        <v/>
      </c>
      <c r="Q104" s="22" t="n">
        <v>25</v>
      </c>
      <c r="R104" s="21">
        <f>G104*$G$4</f>
        <v/>
      </c>
      <c r="S104" s="21">
        <f>I104*$G$3</f>
        <v/>
      </c>
      <c r="T104" s="23" t="n">
        <v>0.9</v>
      </c>
      <c r="U104" s="22" t="n">
        <v>67</v>
      </c>
      <c r="V104" s="21">
        <f>U104*(1-T104)</f>
        <v/>
      </c>
      <c r="W104" s="24" t="n">
        <v>0.93</v>
      </c>
      <c r="X104" s="21">
        <f>$G$6*$G$7*W104</f>
        <v/>
      </c>
      <c r="Y104" s="19">
        <f>W104*($G$9+$G$10)</f>
        <v/>
      </c>
      <c r="Z104" s="20" t="n">
        <v>0.07000000000000001</v>
      </c>
      <c r="AA104" s="21">
        <f>G104*Z104</f>
        <v/>
      </c>
      <c r="AB104" s="23" t="n">
        <v>0.08</v>
      </c>
      <c r="AC104" s="21">
        <f>G104*AB104</f>
        <v/>
      </c>
      <c r="AD104" s="21">
        <f>AA104+AC104</f>
        <v/>
      </c>
      <c r="AE104" s="25">
        <f>AD104/G104</f>
        <v/>
      </c>
      <c r="AF104" s="26">
        <f>G104-N104-O104-P104-Q104-R104-S104-V104-X104-Y104-L104</f>
        <v/>
      </c>
      <c r="AG104" s="27">
        <f>AF104-AD104</f>
        <v/>
      </c>
      <c r="AH104" s="28">
        <f>AG104/G104</f>
        <v/>
      </c>
      <c r="AI104" s="29">
        <f>AG104/L104</f>
        <v/>
      </c>
      <c r="AJ104" s="21">
        <f>(O104+Q104+V104+X104+Y104+L104)/(1-(M104+$G$4+(1-H104)*$G$3+$G$8+Z104+AB104))</f>
        <v/>
      </c>
    </row>
    <row r="105" ht="29" customHeight="1">
      <c r="A105" s="11" t="inlineStr">
        <is>
          <t>PETITFEE - Cacao Energizing Hydrogel Eye Patch [60ea] / Тонизирующие гидрогелевые патчи для глаз с экстрактом какао</t>
        </is>
      </c>
      <c r="B105" s="12" t="n"/>
      <c r="C105" s="13" t="n"/>
      <c r="D105" s="14" t="n"/>
      <c r="E105" s="14" t="n"/>
      <c r="F105" s="14" t="n"/>
      <c r="G105" s="14">
        <f>(1.25*L105+O105+Q105+V105+X105+Y105)/(1-M105-$G$8-$G$4-(1-H105)*$G$3-Z105-AB105)</f>
        <v/>
      </c>
      <c r="H105" s="15" t="n">
        <v>0.45</v>
      </c>
      <c r="I105" s="16">
        <f>G105*(1-H105)</f>
        <v/>
      </c>
      <c r="J105" s="17" t="n">
        <v>415.46</v>
      </c>
      <c r="K105" s="18">
        <f>$G$5</f>
        <v/>
      </c>
      <c r="L105" s="19">
        <f>J105+K105</f>
        <v/>
      </c>
      <c r="M105" s="20" t="n">
        <v>0.41</v>
      </c>
      <c r="N105" s="21">
        <f>G105*M105</f>
        <v/>
      </c>
      <c r="O105" s="22" t="n">
        <v>67</v>
      </c>
      <c r="P105" s="21">
        <f>G105*$G$8</f>
        <v/>
      </c>
      <c r="Q105" s="22" t="n">
        <v>25</v>
      </c>
      <c r="R105" s="21">
        <f>G105*$G$4</f>
        <v/>
      </c>
      <c r="S105" s="21">
        <f>I105*$G$3</f>
        <v/>
      </c>
      <c r="T105" s="23" t="n">
        <v>0.9</v>
      </c>
      <c r="U105" s="22" t="n">
        <v>67</v>
      </c>
      <c r="V105" s="21">
        <f>U105*(1-T105)</f>
        <v/>
      </c>
      <c r="W105" s="24" t="n">
        <v>0.6</v>
      </c>
      <c r="X105" s="21">
        <f>$G$6*$G$7*W105</f>
        <v/>
      </c>
      <c r="Y105" s="19">
        <f>W105*($G$9+$G$10)</f>
        <v/>
      </c>
      <c r="Z105" s="20" t="n">
        <v>0.07000000000000001</v>
      </c>
      <c r="AA105" s="21">
        <f>G105*Z105</f>
        <v/>
      </c>
      <c r="AB105" s="23" t="n">
        <v>0.08</v>
      </c>
      <c r="AC105" s="21">
        <f>G105*AB105</f>
        <v/>
      </c>
      <c r="AD105" s="21">
        <f>AA105+AC105</f>
        <v/>
      </c>
      <c r="AE105" s="25">
        <f>AD105/G105</f>
        <v/>
      </c>
      <c r="AF105" s="26">
        <f>G105-N105-O105-P105-Q105-R105-S105-V105-X105-Y105-L105</f>
        <v/>
      </c>
      <c r="AG105" s="27">
        <f>AF105-AD105</f>
        <v/>
      </c>
      <c r="AH105" s="28">
        <f>AG105/G105</f>
        <v/>
      </c>
      <c r="AI105" s="29">
        <f>AG105/L105</f>
        <v/>
      </c>
      <c r="AJ105" s="21">
        <f>(O105+Q105+V105+X105+Y105+L105)/(1-(M105+$G$4+(1-H105)*$G$3+$G$8+Z105+AB105))</f>
        <v/>
      </c>
    </row>
    <row r="106" ht="29" customHeight="1">
      <c r="A106" s="11" t="inlineStr">
        <is>
          <t>PETITFEE - Chamomile Lightening Hydrogel Eye Patch [60ea] / Успокаивающие гидрогелевые патчи для глаз с экстрактом ромашки</t>
        </is>
      </c>
      <c r="B106" s="12" t="n"/>
      <c r="C106" s="13" t="n"/>
      <c r="D106" s="14" t="n"/>
      <c r="E106" s="14" t="n"/>
      <c r="F106" s="14" t="n"/>
      <c r="G106" s="14">
        <f>(1.25*L106+O106+Q106+V106+X106+Y106)/(1-M106-$G$8-$G$4-(1-H106)*$G$3-Z106-AB106)</f>
        <v/>
      </c>
      <c r="H106" s="15" t="n">
        <v>0.45</v>
      </c>
      <c r="I106" s="16">
        <f>G106*(1-H106)</f>
        <v/>
      </c>
      <c r="J106" s="17" t="n">
        <v>415.46</v>
      </c>
      <c r="K106" s="18">
        <f>$G$5</f>
        <v/>
      </c>
      <c r="L106" s="19">
        <f>J106+K106</f>
        <v/>
      </c>
      <c r="M106" s="20" t="n">
        <v>0.41</v>
      </c>
      <c r="N106" s="21">
        <f>G106*M106</f>
        <v/>
      </c>
      <c r="O106" s="22" t="n">
        <v>67</v>
      </c>
      <c r="P106" s="21">
        <f>G106*$G$8</f>
        <v/>
      </c>
      <c r="Q106" s="22" t="n">
        <v>25</v>
      </c>
      <c r="R106" s="21">
        <f>G106*$G$4</f>
        <v/>
      </c>
      <c r="S106" s="21">
        <f>I106*$G$3</f>
        <v/>
      </c>
      <c r="T106" s="23" t="n">
        <v>0.9</v>
      </c>
      <c r="U106" s="22" t="n">
        <v>67</v>
      </c>
      <c r="V106" s="21">
        <f>U106*(1-T106)</f>
        <v/>
      </c>
      <c r="W106" s="24" t="n">
        <v>0.6</v>
      </c>
      <c r="X106" s="21">
        <f>$G$6*$G$7*W106</f>
        <v/>
      </c>
      <c r="Y106" s="19">
        <f>W106*($G$9+$G$10)</f>
        <v/>
      </c>
      <c r="Z106" s="20" t="n">
        <v>0.07000000000000001</v>
      </c>
      <c r="AA106" s="21">
        <f>G106*Z106</f>
        <v/>
      </c>
      <c r="AB106" s="23" t="n">
        <v>0.08</v>
      </c>
      <c r="AC106" s="21">
        <f>G106*AB106</f>
        <v/>
      </c>
      <c r="AD106" s="21">
        <f>AA106+AC106</f>
        <v/>
      </c>
      <c r="AE106" s="25">
        <f>AD106/G106</f>
        <v/>
      </c>
      <c r="AF106" s="26">
        <f>G106-N106-O106-P106-Q106-R106-S106-V106-X106-Y106-L106</f>
        <v/>
      </c>
      <c r="AG106" s="27">
        <f>AF106-AD106</f>
        <v/>
      </c>
      <c r="AH106" s="28">
        <f>AG106/G106</f>
        <v/>
      </c>
      <c r="AI106" s="29">
        <f>AG106/L106</f>
        <v/>
      </c>
      <c r="AJ106" s="21">
        <f>(O106+Q106+V106+X106+Y106+L106)/(1-(M106+$G$4+(1-H106)*$G$3+$G$8+Z106+AB106))</f>
        <v/>
      </c>
    </row>
    <row r="107" ht="29" customHeight="1">
      <c r="A107" s="11" t="inlineStr">
        <is>
          <t>PETITFEE - Gold &amp; EGF Hydrogel Eye &amp; Spot Patch [60ea]/ гидрогелевые патчи с золотом и EGF</t>
        </is>
      </c>
      <c r="B107" s="12" t="n"/>
      <c r="C107" s="13" t="n"/>
      <c r="D107" s="14" t="n"/>
      <c r="E107" s="14" t="n"/>
      <c r="F107" s="14" t="n"/>
      <c r="G107" s="14">
        <f>(1.25*L107+O107+Q107+V107+X107+Y107)/(1-M107-$G$8-$G$4-(1-H107)*$G$3-Z107-AB107)</f>
        <v/>
      </c>
      <c r="H107" s="15" t="n">
        <v>0.45</v>
      </c>
      <c r="I107" s="16">
        <f>G107*(1-H107)</f>
        <v/>
      </c>
      <c r="J107" s="17" t="n">
        <v>385.05</v>
      </c>
      <c r="K107" s="18">
        <f>$G$5</f>
        <v/>
      </c>
      <c r="L107" s="19">
        <f>J107+K107</f>
        <v/>
      </c>
      <c r="M107" s="20" t="n">
        <v>0.41</v>
      </c>
      <c r="N107" s="21">
        <f>G107*M107</f>
        <v/>
      </c>
      <c r="O107" s="22" t="n">
        <v>67</v>
      </c>
      <c r="P107" s="21">
        <f>G107*$G$8</f>
        <v/>
      </c>
      <c r="Q107" s="22" t="n">
        <v>25</v>
      </c>
      <c r="R107" s="21">
        <f>G107*$G$4</f>
        <v/>
      </c>
      <c r="S107" s="21">
        <f>I107*$G$3</f>
        <v/>
      </c>
      <c r="T107" s="23" t="n">
        <v>0.9</v>
      </c>
      <c r="U107" s="22" t="n">
        <v>67</v>
      </c>
      <c r="V107" s="21">
        <f>U107*(1-T107)</f>
        <v/>
      </c>
      <c r="W107" s="24" t="n">
        <v>0.6</v>
      </c>
      <c r="X107" s="21">
        <f>$G$6*$G$7*W107</f>
        <v/>
      </c>
      <c r="Y107" s="19">
        <f>W107*($G$9+$G$10)</f>
        <v/>
      </c>
      <c r="Z107" s="20" t="n">
        <v>0.07000000000000001</v>
      </c>
      <c r="AA107" s="21">
        <f>G107*Z107</f>
        <v/>
      </c>
      <c r="AB107" s="23" t="n">
        <v>0.08</v>
      </c>
      <c r="AC107" s="21">
        <f>G107*AB107</f>
        <v/>
      </c>
      <c r="AD107" s="21">
        <f>AA107+AC107</f>
        <v/>
      </c>
      <c r="AE107" s="25">
        <f>AD107/G107</f>
        <v/>
      </c>
      <c r="AF107" s="26">
        <f>G107-N107-O107-P107-Q107-R107-S107-V107-X107-Y107-L107</f>
        <v/>
      </c>
      <c r="AG107" s="27">
        <f>AF107-AD107</f>
        <v/>
      </c>
      <c r="AH107" s="28">
        <f>AG107/G107</f>
        <v/>
      </c>
      <c r="AI107" s="29">
        <f>AG107/L107</f>
        <v/>
      </c>
      <c r="AJ107" s="21">
        <f>(O107+Q107+V107+X107+Y107+L107)/(1-(M107+$G$4+(1-H107)*$G$3+$G$8+Z107+AB107))</f>
        <v/>
      </c>
    </row>
    <row r="108" ht="29" customHeight="1">
      <c r="A108" s="11" t="inlineStr">
        <is>
          <t>PETITFEE - Pink Vita Brightening Eye Patch [60ea] / Тканевые патчи для век увлажняющие</t>
        </is>
      </c>
      <c r="B108" s="12" t="n"/>
      <c r="C108" s="13" t="n"/>
      <c r="D108" s="14" t="n"/>
      <c r="E108" s="14" t="n"/>
      <c r="F108" s="14" t="n"/>
      <c r="G108" s="14">
        <f>(1.25*L108+O108+Q108+V108+X108+Y108)/(1-M108-$G$8-$G$4-(1-H108)*$G$3-Z108-AB108)</f>
        <v/>
      </c>
      <c r="H108" s="15" t="n">
        <v>0.45</v>
      </c>
      <c r="I108" s="16">
        <f>G108*(1-H108)</f>
        <v/>
      </c>
      <c r="J108" s="17" t="n">
        <v>486.69</v>
      </c>
      <c r="K108" s="18">
        <f>$G$5</f>
        <v/>
      </c>
      <c r="L108" s="19">
        <f>J108+K108</f>
        <v/>
      </c>
      <c r="M108" s="20" t="n">
        <v>0.41</v>
      </c>
      <c r="N108" s="21">
        <f>G108*M108</f>
        <v/>
      </c>
      <c r="O108" s="22" t="n">
        <v>67</v>
      </c>
      <c r="P108" s="21">
        <f>G108*$G$8</f>
        <v/>
      </c>
      <c r="Q108" s="22" t="n">
        <v>25</v>
      </c>
      <c r="R108" s="21">
        <f>G108*$G$4</f>
        <v/>
      </c>
      <c r="S108" s="21">
        <f>I108*$G$3</f>
        <v/>
      </c>
      <c r="T108" s="23" t="n">
        <v>0.9</v>
      </c>
      <c r="U108" s="22" t="n">
        <v>67</v>
      </c>
      <c r="V108" s="21">
        <f>U108*(1-T108)</f>
        <v/>
      </c>
      <c r="W108" s="24" t="n">
        <v>0.93</v>
      </c>
      <c r="X108" s="21">
        <f>$G$6*$G$7*W108</f>
        <v/>
      </c>
      <c r="Y108" s="19">
        <f>W108*($G$9+$G$10)</f>
        <v/>
      </c>
      <c r="Z108" s="20" t="n">
        <v>0.07000000000000001</v>
      </c>
      <c r="AA108" s="21">
        <f>G108*Z108</f>
        <v/>
      </c>
      <c r="AB108" s="23" t="n">
        <v>0.08</v>
      </c>
      <c r="AC108" s="21">
        <f>G108*AB108</f>
        <v/>
      </c>
      <c r="AD108" s="21">
        <f>AA108+AC108</f>
        <v/>
      </c>
      <c r="AE108" s="25">
        <f>AD108/G108</f>
        <v/>
      </c>
      <c r="AF108" s="26">
        <f>G108-N108-O108-P108-Q108-R108-S108-V108-X108-Y108-L108</f>
        <v/>
      </c>
      <c r="AG108" s="27">
        <f>AF108-AD108</f>
        <v/>
      </c>
      <c r="AH108" s="28">
        <f>AG108/G108</f>
        <v/>
      </c>
      <c r="AI108" s="29">
        <f>AG108/L108</f>
        <v/>
      </c>
      <c r="AJ108" s="21">
        <f>(O108+Q108+V108+X108+Y108+L108)/(1-(M108+$G$4+(1-H108)*$G$3+$G$8+Z108+AB108))</f>
        <v/>
      </c>
    </row>
    <row r="109" ht="29" customHeight="1">
      <c r="A109" s="11" t="inlineStr">
        <is>
          <t>PETITFEE - Black Pearl &amp; Gold Hydrogel Eye Patch [60ea] / Гидрогелевые патчи для глаз с черным жемчугом и золотом</t>
        </is>
      </c>
      <c r="B109" s="12" t="n"/>
      <c r="C109" s="13" t="n"/>
      <c r="D109" s="14" t="n">
        <v>1780</v>
      </c>
      <c r="E109" s="14" t="n">
        <v>489</v>
      </c>
      <c r="F109" s="14" t="n">
        <v>16</v>
      </c>
      <c r="G109" s="14" t="n">
        <v>1650</v>
      </c>
      <c r="H109" s="15" t="n">
        <v>0.45</v>
      </c>
      <c r="I109" s="16">
        <f>G109*(1-H109)</f>
        <v/>
      </c>
      <c r="J109" s="17" t="n">
        <v>387.67</v>
      </c>
      <c r="K109" s="18">
        <f>$G$5</f>
        <v/>
      </c>
      <c r="L109" s="19">
        <f>J109+K109</f>
        <v/>
      </c>
      <c r="M109" s="20" t="n">
        <v>0.41</v>
      </c>
      <c r="N109" s="21">
        <f>G109*M109</f>
        <v/>
      </c>
      <c r="O109" s="22" t="n">
        <v>67</v>
      </c>
      <c r="P109" s="21">
        <f>G109*$G$8</f>
        <v/>
      </c>
      <c r="Q109" s="22" t="n">
        <v>25</v>
      </c>
      <c r="R109" s="21">
        <f>G109*$G$4</f>
        <v/>
      </c>
      <c r="S109" s="21">
        <f>I109*$G$3</f>
        <v/>
      </c>
      <c r="T109" s="23" t="n">
        <v>0.9</v>
      </c>
      <c r="U109" s="22" t="n">
        <v>67</v>
      </c>
      <c r="V109" s="21">
        <f>U109*(1-T109)</f>
        <v/>
      </c>
      <c r="W109" s="24" t="n">
        <v>0.6</v>
      </c>
      <c r="X109" s="21">
        <f>$G$6*$G$7*W109</f>
        <v/>
      </c>
      <c r="Y109" s="19">
        <f>W109*($G$9+$G$10)</f>
        <v/>
      </c>
      <c r="Z109" s="20" t="n">
        <v>0.07000000000000001</v>
      </c>
      <c r="AA109" s="21">
        <f>G109*Z109</f>
        <v/>
      </c>
      <c r="AB109" s="23" t="n">
        <v>0.08</v>
      </c>
      <c r="AC109" s="21">
        <f>G109*AB109</f>
        <v/>
      </c>
      <c r="AD109" s="21">
        <f>AA109+AC109</f>
        <v/>
      </c>
      <c r="AE109" s="25">
        <f>AD109/G109</f>
        <v/>
      </c>
      <c r="AF109" s="26">
        <f>G109-N109-O109-P109-Q109-R109-S109-V109-X109-Y109-L109</f>
        <v/>
      </c>
      <c r="AG109" s="27">
        <f>AF109-AD109</f>
        <v/>
      </c>
      <c r="AH109" s="28">
        <f>AG109/G109</f>
        <v/>
      </c>
      <c r="AI109" s="29">
        <f>AG109/L109</f>
        <v/>
      </c>
      <c r="AJ109" s="21">
        <f>(O109+Q109+V109+X109+Y109+L109)/(1-(M109+$G$4+(1-H109)*$G$3+$G$8+Z109+AB109))</f>
        <v/>
      </c>
    </row>
    <row r="110" ht="29" customHeight="1">
      <c r="A110" s="11" t="inlineStr">
        <is>
          <t>PETITFEE - Agave Cooling Hydrogel Eye Patch [60ea] / Охлаждающие гидрогелевые патчи для глаз с экстрактом агавы</t>
        </is>
      </c>
      <c r="B110" s="12" t="n"/>
      <c r="C110" s="13" t="n"/>
      <c r="D110" s="14" t="n">
        <v>1730</v>
      </c>
      <c r="E110" s="14" t="n">
        <v>568</v>
      </c>
      <c r="F110" s="14" t="n">
        <v>17</v>
      </c>
      <c r="G110" s="14" t="n">
        <v>1630</v>
      </c>
      <c r="H110" s="15" t="n">
        <v>0.45</v>
      </c>
      <c r="I110" s="16">
        <f>G110*(1-H110)</f>
        <v/>
      </c>
      <c r="J110" s="17" t="n">
        <v>415.46</v>
      </c>
      <c r="K110" s="18">
        <f>$G$5</f>
        <v/>
      </c>
      <c r="L110" s="19">
        <f>J110+K110</f>
        <v/>
      </c>
      <c r="M110" s="20" t="n">
        <v>0.41</v>
      </c>
      <c r="N110" s="21">
        <f>G110*M110</f>
        <v/>
      </c>
      <c r="O110" s="22" t="n">
        <v>67</v>
      </c>
      <c r="P110" s="21">
        <f>G110*$G$8</f>
        <v/>
      </c>
      <c r="Q110" s="22" t="n">
        <v>25</v>
      </c>
      <c r="R110" s="21">
        <f>G110*$G$4</f>
        <v/>
      </c>
      <c r="S110" s="21">
        <f>I110*$G$3</f>
        <v/>
      </c>
      <c r="T110" s="23" t="n">
        <v>0.9</v>
      </c>
      <c r="U110" s="22" t="n">
        <v>67</v>
      </c>
      <c r="V110" s="21">
        <f>U110*(1-T110)</f>
        <v/>
      </c>
      <c r="W110" s="24" t="n">
        <v>0.6</v>
      </c>
      <c r="X110" s="21">
        <f>$G$6*$G$7*W110</f>
        <v/>
      </c>
      <c r="Y110" s="19">
        <f>W110*($G$9+$G$10)</f>
        <v/>
      </c>
      <c r="Z110" s="20" t="n">
        <v>0.07000000000000001</v>
      </c>
      <c r="AA110" s="21">
        <f>G110*Z110</f>
        <v/>
      </c>
      <c r="AB110" s="23" t="n">
        <v>0.08</v>
      </c>
      <c r="AC110" s="21">
        <f>G110*AB110</f>
        <v/>
      </c>
      <c r="AD110" s="21">
        <f>AA110+AC110</f>
        <v/>
      </c>
      <c r="AE110" s="25">
        <f>AD110/G110</f>
        <v/>
      </c>
      <c r="AF110" s="26">
        <f>G110-N110-O110-P110-Q110-R110-S110-V110-X110-Y110-L110</f>
        <v/>
      </c>
      <c r="AG110" s="27">
        <f>AF110-AD110</f>
        <v/>
      </c>
      <c r="AH110" s="28">
        <f>AG110/G110</f>
        <v/>
      </c>
      <c r="AI110" s="29">
        <f>AG110/L110</f>
        <v/>
      </c>
      <c r="AJ110" s="21">
        <f>(O110+Q110+V110+X110+Y110+L110)/(1-(M110+$G$4+(1-H110)*$G$3+$G$8+Z110+AB110))</f>
        <v/>
      </c>
    </row>
    <row r="111" ht="29" customHeight="1">
      <c r="A111" s="11" t="inlineStr">
        <is>
          <t>PETITFEE - Gold &amp; Snail Hydrogel Eye Patch [60ea] / Гидрогелевые патчи для глаз с золотом и улиткой</t>
        </is>
      </c>
      <c r="B111" s="12" t="n"/>
      <c r="C111" s="13" t="n"/>
      <c r="D111" s="14" t="n">
        <v>1740</v>
      </c>
      <c r="E111" s="14" t="n">
        <v>150</v>
      </c>
      <c r="F111" s="14" t="n">
        <v>7</v>
      </c>
      <c r="G111" s="14" t="n">
        <v>1630</v>
      </c>
      <c r="H111" s="15" t="n">
        <v>0.45</v>
      </c>
      <c r="I111" s="16">
        <f>G111*(1-H111)</f>
        <v/>
      </c>
      <c r="J111" s="17" t="n">
        <v>415.46</v>
      </c>
      <c r="K111" s="18">
        <f>$G$5</f>
        <v/>
      </c>
      <c r="L111" s="19">
        <f>J111+K111</f>
        <v/>
      </c>
      <c r="M111" s="20" t="n">
        <v>0.41</v>
      </c>
      <c r="N111" s="21">
        <f>G111*M111</f>
        <v/>
      </c>
      <c r="O111" s="22" t="n">
        <v>67</v>
      </c>
      <c r="P111" s="21">
        <f>G111*$G$8</f>
        <v/>
      </c>
      <c r="Q111" s="22" t="n">
        <v>25</v>
      </c>
      <c r="R111" s="21">
        <f>G111*$G$4</f>
        <v/>
      </c>
      <c r="S111" s="21">
        <f>I111*$G$3</f>
        <v/>
      </c>
      <c r="T111" s="23" t="n">
        <v>0.9</v>
      </c>
      <c r="U111" s="22" t="n">
        <v>67</v>
      </c>
      <c r="V111" s="21">
        <f>U111*(1-T111)</f>
        <v/>
      </c>
      <c r="W111" s="24" t="n">
        <v>0.6</v>
      </c>
      <c r="X111" s="21">
        <f>$G$6*$G$7*W111</f>
        <v/>
      </c>
      <c r="Y111" s="19">
        <f>W111*($G$9+$G$10)</f>
        <v/>
      </c>
      <c r="Z111" s="20" t="n">
        <v>0.07000000000000001</v>
      </c>
      <c r="AA111" s="21">
        <f>G111*Z111</f>
        <v/>
      </c>
      <c r="AB111" s="23" t="n">
        <v>0.08</v>
      </c>
      <c r="AC111" s="21">
        <f>G111*AB111</f>
        <v/>
      </c>
      <c r="AD111" s="21">
        <f>AA111+AC111</f>
        <v/>
      </c>
      <c r="AE111" s="25">
        <f>AD111/G111</f>
        <v/>
      </c>
      <c r="AF111" s="26">
        <f>G111-N111-O111-P111-Q111-R111-S111-V111-X111-Y111-L111</f>
        <v/>
      </c>
      <c r="AG111" s="27">
        <f>AF111-AD111</f>
        <v/>
      </c>
      <c r="AH111" s="28">
        <f>AG111/G111</f>
        <v/>
      </c>
      <c r="AI111" s="29">
        <f>AG111/L111</f>
        <v/>
      </c>
      <c r="AJ111" s="21">
        <f>(O111+Q111+V111+X111+Y111+L111)/(1-(M111+$G$4+(1-H111)*$G$3+$G$8+Z111+AB111))</f>
        <v/>
      </c>
    </row>
    <row r="112" ht="29" customHeight="1">
      <c r="A112" s="11" t="inlineStr">
        <is>
          <t>PETITFEE - Gold Hydrogel Eye Patch [60ea] / гидрогелевые патчи для глаз с золотом</t>
        </is>
      </c>
      <c r="B112" s="12" t="n"/>
      <c r="C112" s="13" t="n"/>
      <c r="D112" s="14" t="n">
        <v>1930</v>
      </c>
      <c r="E112" s="14" t="n">
        <v>128</v>
      </c>
      <c r="F112" s="14" t="n">
        <v>2.2</v>
      </c>
      <c r="G112" s="14" t="n">
        <v>1800</v>
      </c>
      <c r="H112" s="15" t="n">
        <v>0.45</v>
      </c>
      <c r="I112" s="16">
        <f>G112*(1-H112)</f>
        <v/>
      </c>
      <c r="J112" s="17" t="n">
        <v>415.46</v>
      </c>
      <c r="K112" s="18">
        <f>$G$5</f>
        <v/>
      </c>
      <c r="L112" s="19">
        <f>J112+K112</f>
        <v/>
      </c>
      <c r="M112" s="20" t="n">
        <v>0.41</v>
      </c>
      <c r="N112" s="21">
        <f>G112*M112</f>
        <v/>
      </c>
      <c r="O112" s="22" t="n">
        <v>67</v>
      </c>
      <c r="P112" s="21">
        <f>G112*$G$8</f>
        <v/>
      </c>
      <c r="Q112" s="22" t="n">
        <v>25</v>
      </c>
      <c r="R112" s="21">
        <f>G112*$G$4</f>
        <v/>
      </c>
      <c r="S112" s="21">
        <f>I112*$G$3</f>
        <v/>
      </c>
      <c r="T112" s="23" t="n">
        <v>0.9</v>
      </c>
      <c r="U112" s="22" t="n">
        <v>67</v>
      </c>
      <c r="V112" s="21">
        <f>U112*(1-T112)</f>
        <v/>
      </c>
      <c r="W112" s="24" t="n">
        <v>0.6</v>
      </c>
      <c r="X112" s="21">
        <f>$G$6*$G$7*W112</f>
        <v/>
      </c>
      <c r="Y112" s="19">
        <f>W112*($G$9+$G$10)</f>
        <v/>
      </c>
      <c r="Z112" s="20" t="n">
        <v>0.07000000000000001</v>
      </c>
      <c r="AA112" s="21">
        <f>G112*Z112</f>
        <v/>
      </c>
      <c r="AB112" s="23" t="n">
        <v>0.08</v>
      </c>
      <c r="AC112" s="21">
        <f>G112*AB112</f>
        <v/>
      </c>
      <c r="AD112" s="21">
        <f>AA112+AC112</f>
        <v/>
      </c>
      <c r="AE112" s="25">
        <f>AD112/G112</f>
        <v/>
      </c>
      <c r="AF112" s="26">
        <f>G112-N112-O112-P112-Q112-R112-S112-V112-X112-Y112-L112</f>
        <v/>
      </c>
      <c r="AG112" s="27">
        <f>AF112-AD112</f>
        <v/>
      </c>
      <c r="AH112" s="28">
        <f>AG112/G112</f>
        <v/>
      </c>
      <c r="AI112" s="29">
        <f>AG112/L112</f>
        <v/>
      </c>
      <c r="AJ112" s="21">
        <f>(O112+Q112+V112+X112+Y112+L112)/(1-(M112+$G$4+(1-H112)*$G$3+$G$8+Z112+AB112))</f>
        <v/>
      </c>
    </row>
    <row r="113" ht="29" customHeight="1">
      <c r="A113" s="57" t="inlineStr">
        <is>
          <t>PETITFEE - Black Pearl &amp; Gold Hydrogel Eye Patch [1 pairs]/ Гидрогелевые патчи для глаз с черным жемчугом и золотом 1 пара</t>
        </is>
      </c>
      <c r="B113" s="30" t="n"/>
      <c r="C113" s="30" t="n"/>
      <c r="D113" s="31" t="n"/>
      <c r="E113" s="31" t="n"/>
      <c r="F113" s="31" t="n"/>
      <c r="G113" s="31" t="n"/>
      <c r="H113" s="32" t="n"/>
      <c r="I113" s="33" t="n"/>
      <c r="J113" s="34" t="n"/>
      <c r="K113" s="34" t="n"/>
      <c r="L113" s="35" t="n"/>
      <c r="M113" s="36" t="n"/>
      <c r="N113" s="31" t="n"/>
      <c r="O113" s="31" t="n"/>
      <c r="P113" s="31" t="n"/>
      <c r="Q113" s="31" t="n"/>
      <c r="R113" s="31" t="n"/>
      <c r="S113" s="31" t="n"/>
      <c r="T113" s="37" t="n"/>
      <c r="U113" s="31" t="n"/>
      <c r="V113" s="31" t="n"/>
      <c r="W113" s="38" t="n"/>
      <c r="X113" s="31" t="n"/>
      <c r="Y113" s="35" t="n"/>
      <c r="Z113" s="36" t="n"/>
      <c r="AA113" s="31" t="n"/>
      <c r="AB113" s="37" t="n"/>
      <c r="AC113" s="31" t="n"/>
      <c r="AD113" s="31" t="n"/>
      <c r="AE113" s="39" t="n"/>
      <c r="AF113" s="40" t="n"/>
      <c r="AG113" s="31" t="n"/>
      <c r="AH113" s="37" t="n"/>
      <c r="AI113" s="37" t="n"/>
      <c r="AJ113" s="31" t="n"/>
    </row>
    <row r="114" ht="29" customHeight="1">
      <c r="A114" s="57" t="inlineStr">
        <is>
          <t>PETITFEE - Gold Hydrogel Eye Patch [1 Pairs] / гидрогелевые патчи для глаз с золотом 1 пара</t>
        </is>
      </c>
      <c r="B114" s="30" t="n"/>
      <c r="C114" s="30" t="n"/>
      <c r="D114" s="31" t="n"/>
      <c r="E114" s="31" t="n"/>
      <c r="F114" s="31" t="n"/>
      <c r="G114" s="31" t="n"/>
      <c r="H114" s="32" t="n"/>
      <c r="I114" s="33" t="n"/>
      <c r="J114" s="34" t="n"/>
      <c r="K114" s="34" t="n"/>
      <c r="L114" s="35" t="n"/>
      <c r="M114" s="36" t="n"/>
      <c r="N114" s="31" t="n"/>
      <c r="O114" s="31" t="n"/>
      <c r="P114" s="31" t="n"/>
      <c r="Q114" s="31" t="n"/>
      <c r="R114" s="31" t="n"/>
      <c r="S114" s="31" t="n"/>
      <c r="T114" s="37" t="n"/>
      <c r="U114" s="31" t="n"/>
      <c r="V114" s="31" t="n"/>
      <c r="W114" s="38" t="n"/>
      <c r="X114" s="31" t="n"/>
      <c r="Y114" s="35" t="n"/>
      <c r="Z114" s="36" t="n"/>
      <c r="AA114" s="31" t="n"/>
      <c r="AB114" s="37" t="n"/>
      <c r="AC114" s="31" t="n"/>
      <c r="AD114" s="31" t="n"/>
      <c r="AE114" s="39" t="n"/>
      <c r="AF114" s="40" t="n"/>
      <c r="AG114" s="31" t="n"/>
      <c r="AH114" s="37" t="n"/>
      <c r="AI114" s="37" t="n"/>
      <c r="AJ114" s="31" t="n"/>
    </row>
    <row r="115">
      <c r="A115" s="56" t="inlineStr">
        <is>
          <t>Косметика/PETITFEE/PETITFEE-FACEMASK</t>
        </is>
      </c>
      <c r="B115" s="10" t="n"/>
      <c r="C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  <c r="Q115" s="10" t="n"/>
      <c r="R115" s="10" t="n"/>
      <c r="S115" s="10" t="n"/>
      <c r="T115" s="10" t="n"/>
      <c r="U115" s="10" t="n"/>
      <c r="V115" s="10" t="n"/>
      <c r="W115" s="10" t="n"/>
      <c r="X115" s="10" t="n"/>
      <c r="Y115" s="10" t="n"/>
      <c r="Z115" s="10" t="n"/>
      <c r="AA115" s="10" t="n"/>
      <c r="AB115" s="10" t="n"/>
      <c r="AC115" s="10" t="n"/>
      <c r="AD115" s="10" t="n"/>
      <c r="AE115" s="10" t="n"/>
      <c r="AF115" s="10" t="n"/>
      <c r="AG115" s="10" t="n"/>
      <c r="AH115" s="10" t="n"/>
      <c r="AI115" s="10" t="n"/>
      <c r="AJ115" s="10" t="n"/>
    </row>
    <row r="116" ht="29" customHeight="1">
      <c r="A116" s="11" t="inlineStr">
        <is>
          <t>PETITFEE - Agave Cooling Hydrogel Face Mask [5pcs] / Охлаждающая гидрогелевая маска для лица с экстрактом агавы</t>
        </is>
      </c>
      <c r="B116" s="12" t="n"/>
      <c r="C116" s="13" t="n"/>
      <c r="D116" s="14" t="n">
        <v>2480</v>
      </c>
      <c r="E116" s="14" t="n">
        <v>293</v>
      </c>
      <c r="F116" s="14" t="n">
        <v>21</v>
      </c>
      <c r="G116" s="14" t="n">
        <v>2200</v>
      </c>
      <c r="H116" s="15" t="n">
        <v>0.45</v>
      </c>
      <c r="I116" s="16">
        <f>G116*(1-H116)</f>
        <v/>
      </c>
      <c r="J116" s="17" t="n">
        <v>486.41</v>
      </c>
      <c r="K116" s="18">
        <f>$G$5</f>
        <v/>
      </c>
      <c r="L116" s="19">
        <f>J116+K116</f>
        <v/>
      </c>
      <c r="M116" s="20" t="n">
        <v>0.41</v>
      </c>
      <c r="N116" s="21">
        <f>G116*M116</f>
        <v/>
      </c>
      <c r="O116" s="22" t="n">
        <v>72</v>
      </c>
      <c r="P116" s="21">
        <f>G116*$G$8</f>
        <v/>
      </c>
      <c r="Q116" s="22" t="n">
        <v>25</v>
      </c>
      <c r="R116" s="21">
        <f>G116*$G$4</f>
        <v/>
      </c>
      <c r="S116" s="21">
        <f>I116*$G$3</f>
        <v/>
      </c>
      <c r="T116" s="23" t="n">
        <v>0.9</v>
      </c>
      <c r="U116" s="22" t="n">
        <v>72</v>
      </c>
      <c r="V116" s="21">
        <f>U116*(1-T116)</f>
        <v/>
      </c>
      <c r="W116" s="24" t="n">
        <v>1.1</v>
      </c>
      <c r="X116" s="21">
        <f>$G$6*$G$7*W116</f>
        <v/>
      </c>
      <c r="Y116" s="19">
        <f>W116*($G$9+$G$10)</f>
        <v/>
      </c>
      <c r="Z116" s="20" t="n">
        <v>0.07000000000000001</v>
      </c>
      <c r="AA116" s="21">
        <f>G116*Z116</f>
        <v/>
      </c>
      <c r="AB116" s="23" t="n">
        <v>0.08</v>
      </c>
      <c r="AC116" s="21">
        <f>G116*AB116</f>
        <v/>
      </c>
      <c r="AD116" s="21">
        <f>AA116+AC116</f>
        <v/>
      </c>
      <c r="AE116" s="25">
        <f>AD116/G116</f>
        <v/>
      </c>
      <c r="AF116" s="26">
        <f>G116-N116-O116-P116-Q116-R116-S116-V116-X116-Y116-L116</f>
        <v/>
      </c>
      <c r="AG116" s="27">
        <f>AF116-AD116</f>
        <v/>
      </c>
      <c r="AH116" s="28">
        <f>AG116/G116</f>
        <v/>
      </c>
      <c r="AI116" s="29">
        <f>AG116/L116</f>
        <v/>
      </c>
      <c r="AJ116" s="21">
        <f>(O116+Q116+V116+X116+Y116+L116)/(1-(M116+$G$4+(1-H116)*$G$3+$G$8+Z116+AB116))</f>
        <v/>
      </c>
    </row>
    <row r="117" ht="29" customHeight="1">
      <c r="A117" s="11" t="inlineStr">
        <is>
          <t>PETITFEE - Gold Hydrogel Mask Pack [5pcs] / Гидрогелевая маска для лица с золотом</t>
        </is>
      </c>
      <c r="B117" s="12" t="n"/>
      <c r="C117" s="13" t="n"/>
      <c r="D117" s="14" t="n">
        <v>2570</v>
      </c>
      <c r="E117" s="14" t="n">
        <v>121</v>
      </c>
      <c r="F117" s="14" t="n">
        <v>12</v>
      </c>
      <c r="G117" s="14" t="n">
        <v>2300</v>
      </c>
      <c r="H117" s="15" t="n">
        <v>0.45</v>
      </c>
      <c r="I117" s="16">
        <f>G117*(1-H117)</f>
        <v/>
      </c>
      <c r="J117" s="17" t="n">
        <v>507.16</v>
      </c>
      <c r="K117" s="18">
        <f>$G$5</f>
        <v/>
      </c>
      <c r="L117" s="19">
        <f>J117+K117</f>
        <v/>
      </c>
      <c r="M117" s="20" t="n">
        <v>0.41</v>
      </c>
      <c r="N117" s="21">
        <f>G117*M117</f>
        <v/>
      </c>
      <c r="O117" s="22" t="n">
        <v>72</v>
      </c>
      <c r="P117" s="21">
        <f>G117*$G$8</f>
        <v/>
      </c>
      <c r="Q117" s="22" t="n">
        <v>25</v>
      </c>
      <c r="R117" s="21">
        <f>G117*$G$4</f>
        <v/>
      </c>
      <c r="S117" s="21">
        <f>I117*$G$3</f>
        <v/>
      </c>
      <c r="T117" s="23" t="n">
        <v>0.9</v>
      </c>
      <c r="U117" s="22" t="n">
        <v>72</v>
      </c>
      <c r="V117" s="21">
        <f>U117*(1-T117)</f>
        <v/>
      </c>
      <c r="W117" s="24" t="n">
        <v>1.1</v>
      </c>
      <c r="X117" s="21">
        <f>$G$6*$G$7*W117</f>
        <v/>
      </c>
      <c r="Y117" s="19">
        <f>W117*($G$9+$G$10)</f>
        <v/>
      </c>
      <c r="Z117" s="20" t="n">
        <v>0.07000000000000001</v>
      </c>
      <c r="AA117" s="21">
        <f>G117*Z117</f>
        <v/>
      </c>
      <c r="AB117" s="23" t="n">
        <v>0.08</v>
      </c>
      <c r="AC117" s="21">
        <f>G117*AB117</f>
        <v/>
      </c>
      <c r="AD117" s="21">
        <f>AA117+AC117</f>
        <v/>
      </c>
      <c r="AE117" s="25">
        <f>AD117/G117</f>
        <v/>
      </c>
      <c r="AF117" s="26">
        <f>G117-N117-O117-P117-Q117-R117-S117-V117-X117-Y117-L117</f>
        <v/>
      </c>
      <c r="AG117" s="27">
        <f>AF117-AD117</f>
        <v/>
      </c>
      <c r="AH117" s="28">
        <f>AG117/G117</f>
        <v/>
      </c>
      <c r="AI117" s="29">
        <f>AG117/L117</f>
        <v/>
      </c>
      <c r="AJ117" s="21">
        <f>(O117+Q117+V117+X117+Y117+L117)/(1-(M117+$G$4+(1-H117)*$G$3+$G$8+Z117+AB117))</f>
        <v/>
      </c>
    </row>
    <row r="118" ht="29" customHeight="1">
      <c r="A118" s="11" t="inlineStr">
        <is>
          <t>PETITFEE - Cacao Energizing Hydrogel Mask Pack [5pcs] / Тонизирующая гидрогелевая маска для лица с экстрактом какао</t>
        </is>
      </c>
      <c r="B118" s="12" t="n"/>
      <c r="C118" s="13" t="n"/>
      <c r="D118" s="14" t="n">
        <v>2680</v>
      </c>
      <c r="E118" s="14" t="n">
        <v>38</v>
      </c>
      <c r="F118" s="14" t="n">
        <v>9.699999999999999</v>
      </c>
      <c r="G118" s="14" t="n">
        <v>2250</v>
      </c>
      <c r="H118" s="15" t="n">
        <v>0.45</v>
      </c>
      <c r="I118" s="16">
        <f>G118*(1-H118)</f>
        <v/>
      </c>
      <c r="J118" s="17" t="n">
        <v>496.86</v>
      </c>
      <c r="K118" s="18">
        <f>$G$5</f>
        <v/>
      </c>
      <c r="L118" s="19">
        <f>J118+K118</f>
        <v/>
      </c>
      <c r="M118" s="20" t="n">
        <v>0.41</v>
      </c>
      <c r="N118" s="21">
        <f>G118*M118</f>
        <v/>
      </c>
      <c r="O118" s="22" t="n">
        <v>72</v>
      </c>
      <c r="P118" s="21">
        <f>G118*$G$8</f>
        <v/>
      </c>
      <c r="Q118" s="22" t="n">
        <v>25</v>
      </c>
      <c r="R118" s="21">
        <f>G118*$G$4</f>
        <v/>
      </c>
      <c r="S118" s="21">
        <f>I118*$G$3</f>
        <v/>
      </c>
      <c r="T118" s="23" t="n">
        <v>0.9</v>
      </c>
      <c r="U118" s="22" t="n">
        <v>72</v>
      </c>
      <c r="V118" s="21">
        <f>U118*(1-T118)</f>
        <v/>
      </c>
      <c r="W118" s="24" t="n">
        <v>1.1</v>
      </c>
      <c r="X118" s="21">
        <f>$G$6*$G$7*W118</f>
        <v/>
      </c>
      <c r="Y118" s="19">
        <f>W118*($G$9+$G$10)</f>
        <v/>
      </c>
      <c r="Z118" s="20" t="n">
        <v>0.07000000000000001</v>
      </c>
      <c r="AA118" s="21">
        <f>G118*Z118</f>
        <v/>
      </c>
      <c r="AB118" s="23" t="n">
        <v>0.08</v>
      </c>
      <c r="AC118" s="21">
        <f>G118*AB118</f>
        <v/>
      </c>
      <c r="AD118" s="21">
        <f>AA118+AC118</f>
        <v/>
      </c>
      <c r="AE118" s="25">
        <f>AD118/G118</f>
        <v/>
      </c>
      <c r="AF118" s="26">
        <f>G118-N118-O118-P118-Q118-R118-S118-V118-X118-Y118-L118</f>
        <v/>
      </c>
      <c r="AG118" s="27">
        <f>AF118-AD118</f>
        <v/>
      </c>
      <c r="AH118" s="28">
        <f>AG118/G118</f>
        <v/>
      </c>
      <c r="AI118" s="29">
        <f>AG118/L118</f>
        <v/>
      </c>
      <c r="AJ118" s="21">
        <f>(O118+Q118+V118+X118+Y118+L118)/(1-(M118+$G$4+(1-H118)*$G$3+$G$8+Z118+AB118))</f>
        <v/>
      </c>
    </row>
    <row r="119" ht="29" customHeight="1">
      <c r="A119" s="11" t="inlineStr">
        <is>
          <t>PETITFEE - Artichoke Soothing Hydrogel Face Mask [5pcs] / Смягчающая гидрогелевая маска для лица с экстрактом артишока</t>
        </is>
      </c>
      <c r="B119" s="12" t="n"/>
      <c r="C119" s="13" t="n"/>
      <c r="D119" s="14" t="n">
        <v>2420</v>
      </c>
      <c r="E119" s="14" t="n">
        <v>409</v>
      </c>
      <c r="F119" s="14" t="n">
        <v>23</v>
      </c>
      <c r="G119" s="14" t="n">
        <v>2300</v>
      </c>
      <c r="H119" s="15" t="n">
        <v>0.45</v>
      </c>
      <c r="I119" s="16">
        <f>G119*(1-H119)</f>
        <v/>
      </c>
      <c r="J119" s="17" t="n">
        <v>498.54</v>
      </c>
      <c r="K119" s="18">
        <f>$G$5</f>
        <v/>
      </c>
      <c r="L119" s="19">
        <f>J119+K119</f>
        <v/>
      </c>
      <c r="M119" s="20" t="n">
        <v>0.41</v>
      </c>
      <c r="N119" s="21">
        <f>G119*M119</f>
        <v/>
      </c>
      <c r="O119" s="22" t="n">
        <v>72</v>
      </c>
      <c r="P119" s="21">
        <f>G119*$G$8</f>
        <v/>
      </c>
      <c r="Q119" s="22" t="n">
        <v>25</v>
      </c>
      <c r="R119" s="21">
        <f>G119*$G$4</f>
        <v/>
      </c>
      <c r="S119" s="21">
        <f>I119*$G$3</f>
        <v/>
      </c>
      <c r="T119" s="23" t="n">
        <v>0.9</v>
      </c>
      <c r="U119" s="22" t="n">
        <v>72</v>
      </c>
      <c r="V119" s="21">
        <f>U119*(1-T119)</f>
        <v/>
      </c>
      <c r="W119" s="24" t="n">
        <v>1.1</v>
      </c>
      <c r="X119" s="21">
        <f>$G$6*$G$7*W119</f>
        <v/>
      </c>
      <c r="Y119" s="19">
        <f>W119*($G$9+$G$10)</f>
        <v/>
      </c>
      <c r="Z119" s="20" t="n">
        <v>0.07000000000000001</v>
      </c>
      <c r="AA119" s="21">
        <f>G119*Z119</f>
        <v/>
      </c>
      <c r="AB119" s="23" t="n">
        <v>0.08</v>
      </c>
      <c r="AC119" s="21">
        <f>G119*AB119</f>
        <v/>
      </c>
      <c r="AD119" s="21">
        <f>AA119+AC119</f>
        <v/>
      </c>
      <c r="AE119" s="25">
        <f>AD119/G119</f>
        <v/>
      </c>
      <c r="AF119" s="26">
        <f>G119-N119-O119-P119-Q119-R119-S119-V119-X119-Y119-L119</f>
        <v/>
      </c>
      <c r="AG119" s="27">
        <f>AF119-AD119</f>
        <v/>
      </c>
      <c r="AH119" s="28">
        <f>AG119/G119</f>
        <v/>
      </c>
      <c r="AI119" s="29">
        <f>AG119/L119</f>
        <v/>
      </c>
      <c r="AJ119" s="21">
        <f>(O119+Q119+V119+X119+Y119+L119)/(1-(M119+$G$4+(1-H119)*$G$3+$G$8+Z119+AB119))</f>
        <v/>
      </c>
    </row>
    <row r="120" ht="29" customHeight="1">
      <c r="A120" s="11" t="inlineStr">
        <is>
          <t>PETITFEE - Gold &amp; Snail Hydrogel Mask Pack [5pcs] / Гидрогелевая маска для лица с золотом и экстрактом улитки</t>
        </is>
      </c>
      <c r="B120" s="12" t="n"/>
      <c r="C120" s="13" t="n"/>
      <c r="D120" s="14" t="n">
        <v>2280</v>
      </c>
      <c r="E120" s="14" t="n">
        <v>19</v>
      </c>
      <c r="F120" s="14" t="n">
        <v>8</v>
      </c>
      <c r="G120" s="14" t="n">
        <v>2135</v>
      </c>
      <c r="H120" s="15" t="n">
        <v>0.45</v>
      </c>
      <c r="I120" s="16">
        <f>G120*(1-H120)</f>
        <v/>
      </c>
      <c r="J120" s="17" t="n">
        <v>478.17</v>
      </c>
      <c r="K120" s="18">
        <f>$G$5</f>
        <v/>
      </c>
      <c r="L120" s="19">
        <f>J120+K120</f>
        <v/>
      </c>
      <c r="M120" s="20" t="n">
        <v>0.41</v>
      </c>
      <c r="N120" s="21">
        <f>G120*M120</f>
        <v/>
      </c>
      <c r="O120" s="22" t="n">
        <v>72</v>
      </c>
      <c r="P120" s="21">
        <f>G120*$G$8</f>
        <v/>
      </c>
      <c r="Q120" s="22" t="n">
        <v>25</v>
      </c>
      <c r="R120" s="21">
        <f>G120*$G$4</f>
        <v/>
      </c>
      <c r="S120" s="21">
        <f>I120*$G$3</f>
        <v/>
      </c>
      <c r="T120" s="23" t="n">
        <v>0.9</v>
      </c>
      <c r="U120" s="22" t="n">
        <v>72</v>
      </c>
      <c r="V120" s="21">
        <f>U120*(1-T120)</f>
        <v/>
      </c>
      <c r="W120" s="24" t="n">
        <v>1.1</v>
      </c>
      <c r="X120" s="21">
        <f>$G$6*$G$7*W120</f>
        <v/>
      </c>
      <c r="Y120" s="19">
        <f>W120*($G$9+$G$10)</f>
        <v/>
      </c>
      <c r="Z120" s="20" t="n">
        <v>0.07000000000000001</v>
      </c>
      <c r="AA120" s="21">
        <f>G120*Z120</f>
        <v/>
      </c>
      <c r="AB120" s="23" t="n">
        <v>0.08</v>
      </c>
      <c r="AC120" s="21">
        <f>G120*AB120</f>
        <v/>
      </c>
      <c r="AD120" s="21">
        <f>AA120+AC120</f>
        <v/>
      </c>
      <c r="AE120" s="25">
        <f>AD120/G120</f>
        <v/>
      </c>
      <c r="AF120" s="26">
        <f>G120-N120-O120-P120-Q120-R120-S120-V120-X120-Y120-L120</f>
        <v/>
      </c>
      <c r="AG120" s="27">
        <f>AF120-AD120</f>
        <v/>
      </c>
      <c r="AH120" s="28">
        <f>AG120/G120</f>
        <v/>
      </c>
      <c r="AI120" s="29">
        <f>AG120/L120</f>
        <v/>
      </c>
      <c r="AJ120" s="21">
        <f>(O120+Q120+V120+X120+Y120+L120)/(1-(M120+$G$4+(1-H120)*$G$3+$G$8+Z120+AB120))</f>
        <v/>
      </c>
    </row>
    <row r="121" ht="29" customHeight="1">
      <c r="A121" s="11" t="inlineStr">
        <is>
          <t>PETITFEE - Black Pearl &amp; Gold Hydrogel Mask Pack [5pcs] / Гидрогелевая маска для лица с черным жемчугом и золотом</t>
        </is>
      </c>
      <c r="B121" s="12" t="n"/>
      <c r="C121" s="13" t="n"/>
      <c r="D121" s="14" t="n">
        <v>2225</v>
      </c>
      <c r="E121" s="14" t="n">
        <v>156</v>
      </c>
      <c r="F121" s="14" t="n">
        <v>23</v>
      </c>
      <c r="G121" s="14" t="n">
        <v>2135</v>
      </c>
      <c r="H121" s="15" t="n">
        <v>0.45</v>
      </c>
      <c r="I121" s="16">
        <f>G121*(1-H121)</f>
        <v/>
      </c>
      <c r="J121" s="17" t="n">
        <v>478.05</v>
      </c>
      <c r="K121" s="18">
        <f>$G$5</f>
        <v/>
      </c>
      <c r="L121" s="19">
        <f>J121+K121</f>
        <v/>
      </c>
      <c r="M121" s="20" t="n">
        <v>0.41</v>
      </c>
      <c r="N121" s="21">
        <f>G121*M121</f>
        <v/>
      </c>
      <c r="O121" s="22" t="n">
        <v>72</v>
      </c>
      <c r="P121" s="21">
        <f>G121*$G$8</f>
        <v/>
      </c>
      <c r="Q121" s="22" t="n">
        <v>25</v>
      </c>
      <c r="R121" s="21">
        <f>G121*$G$4</f>
        <v/>
      </c>
      <c r="S121" s="21">
        <f>I121*$G$3</f>
        <v/>
      </c>
      <c r="T121" s="23" t="n">
        <v>0.9</v>
      </c>
      <c r="U121" s="22" t="n">
        <v>72</v>
      </c>
      <c r="V121" s="21">
        <f>U121*(1-T121)</f>
        <v/>
      </c>
      <c r="W121" s="24" t="n">
        <v>1.1</v>
      </c>
      <c r="X121" s="21">
        <f>$G$6*$G$7*W121</f>
        <v/>
      </c>
      <c r="Y121" s="19">
        <f>W121*($G$9+$G$10)</f>
        <v/>
      </c>
      <c r="Z121" s="20" t="n">
        <v>0.07000000000000001</v>
      </c>
      <c r="AA121" s="21">
        <f>G121*Z121</f>
        <v/>
      </c>
      <c r="AB121" s="23" t="n">
        <v>0.08</v>
      </c>
      <c r="AC121" s="21">
        <f>G121*AB121</f>
        <v/>
      </c>
      <c r="AD121" s="21">
        <f>AA121+AC121</f>
        <v/>
      </c>
      <c r="AE121" s="25">
        <f>AD121/G121</f>
        <v/>
      </c>
      <c r="AF121" s="26">
        <f>G121-N121-O121-P121-Q121-R121-S121-V121-X121-Y121-L121</f>
        <v/>
      </c>
      <c r="AG121" s="27">
        <f>AF121-AD121</f>
        <v/>
      </c>
      <c r="AH121" s="28">
        <f>AG121/G121</f>
        <v/>
      </c>
      <c r="AI121" s="29">
        <f>AG121/L121</f>
        <v/>
      </c>
      <c r="AJ121" s="21">
        <f>(O121+Q121+V121+X121+Y121+L121)/(1-(M121+$G$4+(1-H121)*$G$3+$G$8+Z121+AB121))</f>
        <v/>
      </c>
    </row>
    <row r="122">
      <c r="A122" s="56" t="inlineStr">
        <is>
          <t>Косметика/ROUND LAB</t>
        </is>
      </c>
      <c r="B122" s="10" t="n"/>
      <c r="C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  <c r="Q122" s="10" t="n"/>
      <c r="R122" s="10" t="n"/>
      <c r="S122" s="10" t="n"/>
      <c r="T122" s="10" t="n"/>
      <c r="U122" s="10" t="n"/>
      <c r="V122" s="10" t="n"/>
      <c r="W122" s="10" t="n"/>
      <c r="X122" s="10" t="n"/>
      <c r="Y122" s="10" t="n"/>
      <c r="Z122" s="10" t="n"/>
      <c r="AA122" s="10" t="n"/>
      <c r="AB122" s="10" t="n"/>
      <c r="AC122" s="10" t="n"/>
      <c r="AD122" s="10" t="n"/>
      <c r="AE122" s="10" t="n"/>
      <c r="AF122" s="10" t="n"/>
      <c r="AG122" s="10" t="n"/>
      <c r="AH122" s="10" t="n"/>
      <c r="AI122" s="10" t="n"/>
      <c r="AJ122" s="10" t="n"/>
    </row>
    <row r="123">
      <c r="A123" s="11" t="inlineStr">
        <is>
          <t>ROUND LAB 1025 DOKDO CLEANSER_150ml</t>
        </is>
      </c>
      <c r="B123" s="12" t="n"/>
      <c r="C123" s="13" t="n"/>
      <c r="D123" s="14" t="n">
        <v>2335</v>
      </c>
      <c r="E123" s="14" t="n">
        <v>4000</v>
      </c>
      <c r="F123" s="14" t="n">
        <v>3</v>
      </c>
      <c r="G123" s="14" t="n">
        <v>2200</v>
      </c>
      <c r="H123" s="15" t="n">
        <v>0.45</v>
      </c>
      <c r="I123" s="16">
        <f>G123*(1-H123)</f>
        <v/>
      </c>
      <c r="J123" s="17" t="n">
        <v>463.19</v>
      </c>
      <c r="K123" s="18">
        <f>$G$5</f>
        <v/>
      </c>
      <c r="L123" s="19">
        <f>J123+K123</f>
        <v/>
      </c>
      <c r="M123" s="20" t="n">
        <v>0.41</v>
      </c>
      <c r="N123" s="21">
        <f>G123*M123</f>
        <v/>
      </c>
      <c r="O123" s="22" t="n">
        <v>74</v>
      </c>
      <c r="P123" s="21">
        <f>G123*$G$8</f>
        <v/>
      </c>
      <c r="Q123" s="22" t="n">
        <v>25</v>
      </c>
      <c r="R123" s="21">
        <f>G123*$G$4</f>
        <v/>
      </c>
      <c r="S123" s="21">
        <f>I123*$G$3</f>
        <v/>
      </c>
      <c r="T123" s="23" t="n">
        <v>0.9</v>
      </c>
      <c r="U123" s="22" t="n">
        <v>74</v>
      </c>
      <c r="V123" s="21">
        <f>U123*(1-T123)</f>
        <v/>
      </c>
      <c r="W123" s="24" t="n">
        <v>1.28</v>
      </c>
      <c r="X123" s="21">
        <f>$G$6*$G$7*W123</f>
        <v/>
      </c>
      <c r="Y123" s="19">
        <f>W123*($G$9+$G$10)</f>
        <v/>
      </c>
      <c r="Z123" s="20" t="n">
        <v>0.07000000000000001</v>
      </c>
      <c r="AA123" s="21">
        <f>G123*Z123</f>
        <v/>
      </c>
      <c r="AB123" s="23" t="n">
        <v>0.08</v>
      </c>
      <c r="AC123" s="21">
        <f>G123*AB123</f>
        <v/>
      </c>
      <c r="AD123" s="21">
        <f>AA123+AC123</f>
        <v/>
      </c>
      <c r="AE123" s="25">
        <f>AD123/G123</f>
        <v/>
      </c>
      <c r="AF123" s="26">
        <f>G123-N123-O123-P123-Q123-R123-S123-V123-X123-Y123-L123</f>
        <v/>
      </c>
      <c r="AG123" s="27">
        <f>AF123-AD123</f>
        <v/>
      </c>
      <c r="AH123" s="28">
        <f>AG123/G123</f>
        <v/>
      </c>
      <c r="AI123" s="29">
        <f>AG123/L123</f>
        <v/>
      </c>
      <c r="AJ123" s="21">
        <f>(O123+Q123+V123+X123+Y123+L123)/(1-(M123+$G$4+(1-H123)*$G$3+$G$8+Z123+AB123))</f>
        <v/>
      </c>
    </row>
    <row r="124" ht="29" customHeight="1">
      <c r="A124" s="57" t="inlineStr">
        <is>
          <t>ROUND LAB BIRCH JUICE MOISTURIZING CREAM_80ml -Увлажняющий крем с березовым соком</t>
        </is>
      </c>
      <c r="B124" s="30" t="n"/>
      <c r="C124" s="30" t="n"/>
      <c r="D124" s="31" t="n"/>
      <c r="E124" s="31" t="n"/>
      <c r="F124" s="31" t="n"/>
      <c r="G124" s="31" t="n"/>
      <c r="H124" s="32" t="n"/>
      <c r="I124" s="33" t="n"/>
      <c r="J124" s="34" t="n"/>
      <c r="K124" s="34" t="n"/>
      <c r="L124" s="35" t="n"/>
      <c r="M124" s="36" t="n"/>
      <c r="N124" s="31" t="n"/>
      <c r="O124" s="31" t="n"/>
      <c r="P124" s="31" t="n"/>
      <c r="Q124" s="31" t="n"/>
      <c r="R124" s="31" t="n"/>
      <c r="S124" s="31" t="n"/>
      <c r="T124" s="37" t="n"/>
      <c r="U124" s="31" t="n"/>
      <c r="V124" s="31" t="n"/>
      <c r="W124" s="38" t="n"/>
      <c r="X124" s="31" t="n"/>
      <c r="Y124" s="35" t="n"/>
      <c r="Z124" s="36" t="n"/>
      <c r="AA124" s="31" t="n"/>
      <c r="AB124" s="37" t="n"/>
      <c r="AC124" s="31" t="n"/>
      <c r="AD124" s="31" t="n"/>
      <c r="AE124" s="39" t="n"/>
      <c r="AF124" s="40" t="n"/>
      <c r="AG124" s="31" t="n"/>
      <c r="AH124" s="37" t="n"/>
      <c r="AI124" s="37" t="n"/>
      <c r="AJ124" s="31" t="n"/>
    </row>
    <row r="125" ht="29" customHeight="1">
      <c r="A125" s="11" t="inlineStr">
        <is>
          <t>ROUND LAB MUGWORT CALMING CLEANSER_150ml - Очищающая пенка для умывания лица от прыщей и акне</t>
        </is>
      </c>
      <c r="B125" s="12" t="n"/>
      <c r="C125" s="13" t="n"/>
      <c r="D125" s="14" t="n"/>
      <c r="E125" s="14" t="n"/>
      <c r="F125" s="14" t="n"/>
      <c r="G125" s="14">
        <f>(1.25*L125+O125+Q125+V125+X125+Y125)/(1-M125-$G$8-$G$4-(1-H125)*$G$3-Z125-AB125)</f>
        <v/>
      </c>
      <c r="H125" s="15" t="n">
        <v>0.45</v>
      </c>
      <c r="I125" s="16">
        <f>G125*(1-H125)</f>
        <v/>
      </c>
      <c r="J125" s="17" t="n">
        <v>512.3200000000001</v>
      </c>
      <c r="K125" s="18">
        <f>$G$5</f>
        <v/>
      </c>
      <c r="L125" s="19">
        <f>J125+K125</f>
        <v/>
      </c>
      <c r="M125" s="20" t="n">
        <v>0.41</v>
      </c>
      <c r="N125" s="21">
        <f>G125*M125</f>
        <v/>
      </c>
      <c r="O125" s="22" t="n">
        <v>67</v>
      </c>
      <c r="P125" s="21">
        <f>G125*$G$8</f>
        <v/>
      </c>
      <c r="Q125" s="22" t="n">
        <v>25</v>
      </c>
      <c r="R125" s="21">
        <f>G125*$G$4</f>
        <v/>
      </c>
      <c r="S125" s="21">
        <f>I125*$G$3</f>
        <v/>
      </c>
      <c r="T125" s="23" t="n">
        <v>0.9</v>
      </c>
      <c r="U125" s="22" t="n">
        <v>67</v>
      </c>
      <c r="V125" s="21">
        <f>U125*(1-T125)</f>
        <v/>
      </c>
      <c r="W125" s="24" t="n">
        <v>0.8</v>
      </c>
      <c r="X125" s="21">
        <f>$G$6*$G$7*W125</f>
        <v/>
      </c>
      <c r="Y125" s="19">
        <f>W125*($G$9+$G$10)</f>
        <v/>
      </c>
      <c r="Z125" s="20" t="n">
        <v>0.07000000000000001</v>
      </c>
      <c r="AA125" s="21">
        <f>G125*Z125</f>
        <v/>
      </c>
      <c r="AB125" s="23" t="n">
        <v>0.08</v>
      </c>
      <c r="AC125" s="21">
        <f>G125*AB125</f>
        <v/>
      </c>
      <c r="AD125" s="21">
        <f>AA125+AC125</f>
        <v/>
      </c>
      <c r="AE125" s="25">
        <f>AD125/G125</f>
        <v/>
      </c>
      <c r="AF125" s="26">
        <f>G125-N125-O125-P125-Q125-R125-S125-V125-X125-Y125-L125</f>
        <v/>
      </c>
      <c r="AG125" s="27">
        <f>AF125-AD125</f>
        <v/>
      </c>
      <c r="AH125" s="28">
        <f>AG125/G125</f>
        <v/>
      </c>
      <c r="AI125" s="29">
        <f>AG125/L125</f>
        <v/>
      </c>
      <c r="AJ125" s="21">
        <f>(O125+Q125+V125+X125+Y125+L125)/(1-(M125+$G$4+(1-H125)*$G$3+$G$8+Z125+AB125))</f>
        <v/>
      </c>
    </row>
    <row r="126" ht="29" customHeight="1">
      <c r="A126" s="57" t="inlineStr">
        <is>
          <t>ROUND LAB SOYBEAN PANTHENOL CREAM_80ml - Крем для лица с чёрной соей и пантенолом успокаивающий</t>
        </is>
      </c>
      <c r="B126" s="30" t="n"/>
      <c r="C126" s="30" t="n"/>
      <c r="D126" s="31" t="n"/>
      <c r="E126" s="31" t="n"/>
      <c r="F126" s="31" t="n"/>
      <c r="G126" s="31" t="n"/>
      <c r="H126" s="32" t="n"/>
      <c r="I126" s="33" t="n"/>
      <c r="J126" s="34" t="n"/>
      <c r="K126" s="34" t="n"/>
      <c r="L126" s="35" t="n"/>
      <c r="M126" s="36" t="n"/>
      <c r="N126" s="31" t="n"/>
      <c r="O126" s="31" t="n"/>
      <c r="P126" s="31" t="n"/>
      <c r="Q126" s="31" t="n"/>
      <c r="R126" s="31" t="n"/>
      <c r="S126" s="31" t="n"/>
      <c r="T126" s="37" t="n"/>
      <c r="U126" s="31" t="n"/>
      <c r="V126" s="31" t="n"/>
      <c r="W126" s="38" t="n"/>
      <c r="X126" s="31" t="n"/>
      <c r="Y126" s="35" t="n"/>
      <c r="Z126" s="36" t="n"/>
      <c r="AA126" s="31" t="n"/>
      <c r="AB126" s="37" t="n"/>
      <c r="AC126" s="31" t="n"/>
      <c r="AD126" s="31" t="n"/>
      <c r="AE126" s="39" t="n"/>
      <c r="AF126" s="40" t="n"/>
      <c r="AG126" s="31" t="n"/>
      <c r="AH126" s="37" t="n"/>
      <c r="AI126" s="37" t="n"/>
      <c r="AJ126" s="31" t="n"/>
    </row>
    <row r="127" ht="29" customHeight="1">
      <c r="A127" s="57" t="inlineStr">
        <is>
          <t>ROUND LAB PINE CALMING CICA AMPOULE_30ml - Сыворотка для жирной кожи лица увлажняющая с центеллой</t>
        </is>
      </c>
      <c r="B127" s="30" t="n"/>
      <c r="C127" s="30" t="n"/>
      <c r="D127" s="31" t="n"/>
      <c r="E127" s="31" t="n"/>
      <c r="F127" s="31" t="n"/>
      <c r="G127" s="31" t="n"/>
      <c r="H127" s="32" t="n"/>
      <c r="I127" s="33" t="n"/>
      <c r="J127" s="34" t="n"/>
      <c r="K127" s="34" t="n"/>
      <c r="L127" s="35" t="n"/>
      <c r="M127" s="36" t="n"/>
      <c r="N127" s="31" t="n"/>
      <c r="O127" s="31" t="n"/>
      <c r="P127" s="31" t="n"/>
      <c r="Q127" s="31" t="n"/>
      <c r="R127" s="31" t="n"/>
      <c r="S127" s="31" t="n"/>
      <c r="T127" s="37" t="n"/>
      <c r="U127" s="31" t="n"/>
      <c r="V127" s="31" t="n"/>
      <c r="W127" s="38" t="n"/>
      <c r="X127" s="31" t="n"/>
      <c r="Y127" s="35" t="n"/>
      <c r="Z127" s="36" t="n"/>
      <c r="AA127" s="31" t="n"/>
      <c r="AB127" s="37" t="n"/>
      <c r="AC127" s="31" t="n"/>
      <c r="AD127" s="31" t="n"/>
      <c r="AE127" s="39" t="n"/>
      <c r="AF127" s="40" t="n"/>
      <c r="AG127" s="31" t="n"/>
      <c r="AH127" s="37" t="n"/>
      <c r="AI127" s="37" t="n"/>
      <c r="AJ127" s="31" t="n"/>
    </row>
    <row r="128">
      <c r="A128" s="11" t="inlineStr">
        <is>
          <t>ROUND LAB 1025 DOKDO TONER_200ml</t>
        </is>
      </c>
      <c r="B128" s="48" t="n"/>
      <c r="C128" s="49" t="n"/>
      <c r="D128" s="14" t="n">
        <v>3400</v>
      </c>
      <c r="E128" s="14" t="n">
        <v>260</v>
      </c>
      <c r="F128" s="14" t="n">
        <v>2</v>
      </c>
      <c r="G128" s="14" t="n">
        <v>3100</v>
      </c>
      <c r="H128" s="15" t="n">
        <v>0.45</v>
      </c>
      <c r="I128" s="16">
        <f>G128*(1-H128)</f>
        <v/>
      </c>
      <c r="J128" s="17" t="n">
        <v>463.19</v>
      </c>
      <c r="K128" s="18">
        <f>$G$5</f>
        <v/>
      </c>
      <c r="L128" s="19">
        <f>J128+K128</f>
        <v/>
      </c>
      <c r="M128" s="20" t="n">
        <v>0.41</v>
      </c>
      <c r="N128" s="21">
        <f>G128*M128</f>
        <v/>
      </c>
      <c r="O128" s="22" t="n">
        <v>74</v>
      </c>
      <c r="P128" s="21">
        <f>G128*$G$8</f>
        <v/>
      </c>
      <c r="Q128" s="22" t="n">
        <v>25</v>
      </c>
      <c r="R128" s="21">
        <f>G128*$G$4</f>
        <v/>
      </c>
      <c r="S128" s="21">
        <f>I128*$G$3</f>
        <v/>
      </c>
      <c r="T128" s="23" t="n">
        <v>0.9</v>
      </c>
      <c r="U128" s="22" t="n">
        <v>74</v>
      </c>
      <c r="V128" s="21">
        <f>U128*(1-T128)</f>
        <v/>
      </c>
      <c r="W128" s="24" t="n">
        <v>1.28</v>
      </c>
      <c r="X128" s="21">
        <f>$G$6*$G$7*W128</f>
        <v/>
      </c>
      <c r="Y128" s="19">
        <f>W128*($G$9+$G$10)</f>
        <v/>
      </c>
      <c r="Z128" s="20" t="n">
        <v>0.07000000000000001</v>
      </c>
      <c r="AA128" s="21">
        <f>G128*Z128</f>
        <v/>
      </c>
      <c r="AB128" s="23" t="n">
        <v>0.08</v>
      </c>
      <c r="AC128" s="21">
        <f>G128*AB128</f>
        <v/>
      </c>
      <c r="AD128" s="21">
        <f>AA128+AC128</f>
        <v/>
      </c>
      <c r="AE128" s="25">
        <f>AD128/G128</f>
        <v/>
      </c>
      <c r="AF128" s="26">
        <f>G128-N128-O128-P128-Q128-R128-S128-V128-X128-Y128-L128</f>
        <v/>
      </c>
      <c r="AG128" s="27">
        <f>AF128-AD128</f>
        <v/>
      </c>
      <c r="AH128" s="28">
        <f>AG128/G128</f>
        <v/>
      </c>
      <c r="AI128" s="29">
        <f>AG128/L128</f>
        <v/>
      </c>
      <c r="AJ128" s="21">
        <f>(O128+Q128+V128+X128+Y128+L128)/(1-(M128+$G$4+(1-H128)*$G$3+$G$8+Z128+AB128))</f>
        <v/>
      </c>
    </row>
    <row r="129">
      <c r="A129" s="56" t="inlineStr">
        <is>
          <t>Косметика/SKIN1004</t>
        </is>
      </c>
      <c r="B129" s="10" t="n"/>
      <c r="C129" s="10" t="n"/>
      <c r="D129" s="10" t="n"/>
      <c r="E129" s="10" t="n"/>
      <c r="F129" s="10" t="n"/>
      <c r="G129" s="10" t="n"/>
      <c r="H129" s="10" t="n"/>
      <c r="I129" s="10" t="n"/>
      <c r="J129" s="10" t="n"/>
      <c r="K129" s="10" t="n"/>
      <c r="L129" s="10" t="n"/>
      <c r="M129" s="10" t="n"/>
      <c r="N129" s="10" t="n"/>
      <c r="O129" s="10" t="n"/>
      <c r="P129" s="10" t="n"/>
      <c r="Q129" s="10" t="n"/>
      <c r="R129" s="10" t="n"/>
      <c r="S129" s="10" t="n"/>
      <c r="T129" s="10" t="n"/>
      <c r="U129" s="10" t="n"/>
      <c r="V129" s="10" t="n"/>
      <c r="W129" s="10" t="n"/>
      <c r="X129" s="10" t="n"/>
      <c r="Y129" s="10" t="n"/>
      <c r="Z129" s="10" t="n"/>
      <c r="AA129" s="10" t="n"/>
      <c r="AB129" s="10" t="n"/>
      <c r="AC129" s="10" t="n"/>
      <c r="AD129" s="10" t="n"/>
      <c r="AE129" s="10" t="n"/>
      <c r="AF129" s="10" t="n"/>
      <c r="AG129" s="10" t="n"/>
      <c r="AH129" s="10" t="n"/>
      <c r="AI129" s="10" t="n"/>
      <c r="AJ129" s="10" t="n"/>
    </row>
    <row r="130" ht="29" customHeight="1">
      <c r="A130" s="57" t="inlineStr">
        <is>
          <t>SKIN1004 - Madagascar Centella Ampoule [30ml] / Сыворотка для лица успокаивающая из экстракта центеллы.</t>
        </is>
      </c>
      <c r="B130" s="30" t="n"/>
      <c r="C130" s="30" t="n"/>
      <c r="D130" s="31" t="n"/>
      <c r="E130" s="31" t="n"/>
      <c r="F130" s="31" t="n"/>
      <c r="G130" s="31" t="n"/>
      <c r="H130" s="32" t="n"/>
      <c r="I130" s="33" t="n"/>
      <c r="J130" s="34" t="n"/>
      <c r="K130" s="34" t="n"/>
      <c r="L130" s="35" t="n"/>
      <c r="M130" s="36" t="n"/>
      <c r="N130" s="31" t="n"/>
      <c r="O130" s="31" t="n"/>
      <c r="P130" s="31" t="n"/>
      <c r="Q130" s="31" t="n"/>
      <c r="R130" s="31" t="n"/>
      <c r="S130" s="31" t="n"/>
      <c r="T130" s="37" t="n"/>
      <c r="U130" s="31" t="n"/>
      <c r="V130" s="31" t="n"/>
      <c r="W130" s="38" t="n"/>
      <c r="X130" s="31" t="n"/>
      <c r="Y130" s="35" t="n"/>
      <c r="Z130" s="36" t="n"/>
      <c r="AA130" s="31" t="n"/>
      <c r="AB130" s="37" t="n"/>
      <c r="AC130" s="31" t="n"/>
      <c r="AD130" s="31" t="n"/>
      <c r="AE130" s="39" t="n"/>
      <c r="AF130" s="40" t="n"/>
      <c r="AG130" s="31" t="n"/>
      <c r="AH130" s="37" t="n"/>
      <c r="AI130" s="37" t="n"/>
      <c r="AJ130" s="31" t="n"/>
    </row>
    <row r="131" ht="29" customHeight="1">
      <c r="A131" s="57" t="inlineStr">
        <is>
          <t>SKIN1004 - Madagascar Centella Hyalu-Cica Sleeping Pack [30ml] / Увлажняющая гиалуроновая ночная маска для сухой кожи</t>
        </is>
      </c>
      <c r="B131" s="30" t="n"/>
      <c r="C131" s="30" t="n"/>
      <c r="D131" s="31" t="n"/>
      <c r="E131" s="31" t="n"/>
      <c r="F131" s="31" t="n"/>
      <c r="G131" s="31" t="n"/>
      <c r="H131" s="32" t="n"/>
      <c r="I131" s="33" t="n"/>
      <c r="J131" s="34" t="n"/>
      <c r="K131" s="34" t="n"/>
      <c r="L131" s="35" t="n"/>
      <c r="M131" s="36" t="n"/>
      <c r="N131" s="31" t="n"/>
      <c r="O131" s="31" t="n"/>
      <c r="P131" s="31" t="n"/>
      <c r="Q131" s="31" t="n"/>
      <c r="R131" s="31" t="n"/>
      <c r="S131" s="31" t="n"/>
      <c r="T131" s="37" t="n"/>
      <c r="U131" s="31" t="n"/>
      <c r="V131" s="31" t="n"/>
      <c r="W131" s="38" t="n"/>
      <c r="X131" s="31" t="n"/>
      <c r="Y131" s="35" t="n"/>
      <c r="Z131" s="36" t="n"/>
      <c r="AA131" s="31" t="n"/>
      <c r="AB131" s="37" t="n"/>
      <c r="AC131" s="31" t="n"/>
      <c r="AD131" s="31" t="n"/>
      <c r="AE131" s="39" t="n"/>
      <c r="AF131" s="40" t="n"/>
      <c r="AG131" s="31" t="n"/>
      <c r="AH131" s="37" t="n"/>
      <c r="AI131" s="37" t="n"/>
      <c r="AJ131" s="31" t="n"/>
    </row>
    <row r="132">
      <c r="A132" s="56" t="inlineStr">
        <is>
          <t>Косметика/SOMEBYMI</t>
        </is>
      </c>
      <c r="B132" s="10" t="n"/>
      <c r="C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  <c r="Q132" s="10" t="n"/>
      <c r="R132" s="10" t="n"/>
      <c r="S132" s="10" t="n"/>
      <c r="T132" s="10" t="n"/>
      <c r="U132" s="10" t="n"/>
      <c r="V132" s="10" t="n"/>
      <c r="W132" s="10" t="n"/>
      <c r="X132" s="10" t="n"/>
      <c r="Y132" s="10" t="n"/>
      <c r="Z132" s="10" t="n"/>
      <c r="AA132" s="10" t="n"/>
      <c r="AB132" s="10" t="n"/>
      <c r="AC132" s="10" t="n"/>
      <c r="AD132" s="10" t="n"/>
      <c r="AE132" s="10" t="n"/>
      <c r="AF132" s="10" t="n"/>
      <c r="AG132" s="10" t="n"/>
      <c r="AH132" s="10" t="n"/>
      <c r="AI132" s="10" t="n"/>
      <c r="AJ132" s="10" t="n"/>
    </row>
    <row r="133" ht="29" customHeight="1">
      <c r="A133" s="57" t="inlineStr">
        <is>
          <t>SOME BY MI - AHA-BHA-PHA 30 Days Miracle Cleansing Bar [106g] / Мыло для проблемной кожи с aha bha кислотами</t>
        </is>
      </c>
      <c r="B133" s="30" t="n"/>
      <c r="C133" s="30" t="n"/>
      <c r="D133" s="31" t="n"/>
      <c r="E133" s="31" t="n"/>
      <c r="F133" s="31" t="n"/>
      <c r="G133" s="31" t="n"/>
      <c r="H133" s="32" t="n"/>
      <c r="I133" s="33" t="n"/>
      <c r="J133" s="34" t="n"/>
      <c r="K133" s="34" t="n"/>
      <c r="L133" s="35" t="n"/>
      <c r="M133" s="36" t="n"/>
      <c r="N133" s="31" t="n"/>
      <c r="O133" s="31" t="n"/>
      <c r="P133" s="31" t="n"/>
      <c r="Q133" s="31" t="n"/>
      <c r="R133" s="31" t="n"/>
      <c r="S133" s="31" t="n"/>
      <c r="T133" s="37" t="n"/>
      <c r="U133" s="31" t="n"/>
      <c r="V133" s="31" t="n"/>
      <c r="W133" s="38" t="n"/>
      <c r="X133" s="31" t="n"/>
      <c r="Y133" s="35" t="n"/>
      <c r="Z133" s="36" t="n"/>
      <c r="AA133" s="31" t="n"/>
      <c r="AB133" s="37" t="n"/>
      <c r="AC133" s="31" t="n"/>
      <c r="AD133" s="31" t="n"/>
      <c r="AE133" s="39" t="n"/>
      <c r="AF133" s="40" t="n"/>
      <c r="AG133" s="31" t="n"/>
      <c r="AH133" s="37" t="n"/>
      <c r="AI133" s="37" t="n"/>
      <c r="AJ133" s="31" t="n"/>
    </row>
    <row r="134" ht="29" customHeight="1">
      <c r="A134" s="57" t="inlineStr">
        <is>
          <t>SOME BY MI - AHA-BHA-PHA 30 Days Miracle Cream [60g] / Крем для лица</t>
        </is>
      </c>
      <c r="B134" s="30" t="n"/>
      <c r="C134" s="30" t="n"/>
      <c r="D134" s="31" t="n"/>
      <c r="E134" s="31" t="n"/>
      <c r="F134" s="31" t="n"/>
      <c r="G134" s="31" t="n"/>
      <c r="H134" s="32" t="n"/>
      <c r="I134" s="33" t="n"/>
      <c r="J134" s="34" t="n"/>
      <c r="K134" s="34" t="n"/>
      <c r="L134" s="35" t="n"/>
      <c r="M134" s="36" t="n"/>
      <c r="N134" s="31" t="n"/>
      <c r="O134" s="31" t="n"/>
      <c r="P134" s="31" t="n"/>
      <c r="Q134" s="31" t="n"/>
      <c r="R134" s="31" t="n"/>
      <c r="S134" s="31" t="n"/>
      <c r="T134" s="37" t="n"/>
      <c r="U134" s="31" t="n"/>
      <c r="V134" s="31" t="n"/>
      <c r="W134" s="38" t="n"/>
      <c r="X134" s="31" t="n"/>
      <c r="Y134" s="35" t="n"/>
      <c r="Z134" s="36" t="n"/>
      <c r="AA134" s="31" t="n"/>
      <c r="AB134" s="37" t="n"/>
      <c r="AC134" s="31" t="n"/>
      <c r="AD134" s="31" t="n"/>
      <c r="AE134" s="39" t="n"/>
      <c r="AF134" s="40" t="n"/>
      <c r="AG134" s="31" t="n"/>
      <c r="AH134" s="37" t="n"/>
      <c r="AI134" s="37" t="n"/>
      <c r="AJ134" s="31" t="n"/>
    </row>
    <row r="135">
      <c r="A135" s="56" t="inlineStr">
        <is>
          <t>Косметика/TheOrdinary</t>
        </is>
      </c>
      <c r="B135" s="10" t="n"/>
      <c r="C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0" t="n"/>
      <c r="M135" s="10" t="n"/>
      <c r="N135" s="10" t="n"/>
      <c r="O135" s="10" t="n"/>
      <c r="P135" s="10" t="n"/>
      <c r="Q135" s="10" t="n"/>
      <c r="R135" s="10" t="n"/>
      <c r="S135" s="10" t="n"/>
      <c r="T135" s="10" t="n"/>
      <c r="U135" s="10" t="n"/>
      <c r="V135" s="10" t="n"/>
      <c r="W135" s="10" t="n"/>
      <c r="X135" s="10" t="n"/>
      <c r="Y135" s="10" t="n"/>
      <c r="Z135" s="10" t="n"/>
      <c r="AA135" s="10" t="n"/>
      <c r="AB135" s="10" t="n"/>
      <c r="AC135" s="10" t="n"/>
      <c r="AD135" s="10" t="n"/>
      <c r="AE135" s="10" t="n"/>
      <c r="AF135" s="10" t="n"/>
      <c r="AG135" s="10" t="n"/>
      <c r="AH135" s="10" t="n"/>
      <c r="AI135" s="10" t="n"/>
      <c r="AJ135" s="10" t="n"/>
    </row>
    <row r="136" ht="29" customHeight="1">
      <c r="A136" s="57" t="inlineStr">
        <is>
          <t>THE ORDINARY - Argireline Solution 10% [30ml] / Сыворотка для лица от прыщей и акне с ниацинамидом 10 %</t>
        </is>
      </c>
      <c r="B136" s="30" t="n"/>
      <c r="C136" s="30" t="n"/>
      <c r="D136" s="31" t="n"/>
      <c r="E136" s="31" t="n"/>
      <c r="F136" s="31" t="n"/>
      <c r="G136" s="31" t="n"/>
      <c r="H136" s="32" t="n"/>
      <c r="I136" s="33" t="n"/>
      <c r="J136" s="34" t="n"/>
      <c r="K136" s="34" t="n"/>
      <c r="L136" s="35" t="n"/>
      <c r="M136" s="36" t="n"/>
      <c r="N136" s="31" t="n"/>
      <c r="O136" s="31" t="n"/>
      <c r="P136" s="31" t="n"/>
      <c r="Q136" s="31" t="n"/>
      <c r="R136" s="31" t="n"/>
      <c r="S136" s="31" t="n"/>
      <c r="T136" s="37" t="n"/>
      <c r="U136" s="31" t="n"/>
      <c r="V136" s="31" t="n"/>
      <c r="W136" s="38" t="n"/>
      <c r="X136" s="31" t="n"/>
      <c r="Y136" s="35" t="n"/>
      <c r="Z136" s="36" t="n"/>
      <c r="AA136" s="31" t="n"/>
      <c r="AB136" s="37" t="n"/>
      <c r="AC136" s="31" t="n"/>
      <c r="AD136" s="31" t="n"/>
      <c r="AE136" s="39" t="n"/>
      <c r="AF136" s="40" t="n"/>
      <c r="AG136" s="31" t="n"/>
      <c r="AH136" s="37" t="n"/>
      <c r="AI136" s="37" t="n"/>
      <c r="AJ136" s="31" t="n"/>
    </row>
    <row r="137" ht="29" customHeight="1">
      <c r="A137" s="57" t="inlineStr">
        <is>
          <t>THE ORDINARY - Glycolic Acid 7% Toning Solution [KOR] [240ml] / Тоник с гликолевой кислотой 7%</t>
        </is>
      </c>
      <c r="B137" s="30" t="n"/>
      <c r="C137" s="30" t="n"/>
      <c r="D137" s="31" t="n"/>
      <c r="E137" s="31" t="n"/>
      <c r="F137" s="31" t="n"/>
      <c r="G137" s="31" t="n"/>
      <c r="H137" s="32" t="n"/>
      <c r="I137" s="33" t="n"/>
      <c r="J137" s="34" t="n"/>
      <c r="K137" s="34" t="n"/>
      <c r="L137" s="35" t="n"/>
      <c r="M137" s="36" t="n"/>
      <c r="N137" s="31" t="n"/>
      <c r="O137" s="31" t="n"/>
      <c r="P137" s="31" t="n"/>
      <c r="Q137" s="31" t="n"/>
      <c r="R137" s="31" t="n"/>
      <c r="S137" s="31" t="n"/>
      <c r="T137" s="37" t="n"/>
      <c r="U137" s="31" t="n"/>
      <c r="V137" s="31" t="n"/>
      <c r="W137" s="38" t="n"/>
      <c r="X137" s="31" t="n"/>
      <c r="Y137" s="35" t="n"/>
      <c r="Z137" s="36" t="n"/>
      <c r="AA137" s="31" t="n"/>
      <c r="AB137" s="37" t="n"/>
      <c r="AC137" s="31" t="n"/>
      <c r="AD137" s="31" t="n"/>
      <c r="AE137" s="39" t="n"/>
      <c r="AF137" s="40" t="n"/>
      <c r="AG137" s="31" t="n"/>
      <c r="AH137" s="37" t="n"/>
      <c r="AI137" s="37" t="n"/>
      <c r="AJ137" s="31" t="n"/>
    </row>
    <row r="138">
      <c r="A138" s="56" t="inlineStr">
        <is>
          <t>Косметика/CELIMAX</t>
        </is>
      </c>
      <c r="B138" s="10" t="n"/>
      <c r="C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0" t="n"/>
      <c r="M138" s="10" t="n"/>
      <c r="N138" s="10" t="n"/>
      <c r="O138" s="10" t="n"/>
      <c r="P138" s="10" t="n"/>
      <c r="Q138" s="10" t="n"/>
      <c r="R138" s="10" t="n"/>
      <c r="S138" s="10" t="n"/>
      <c r="T138" s="10" t="n"/>
      <c r="U138" s="10" t="n"/>
      <c r="V138" s="10" t="n"/>
      <c r="W138" s="10" t="n"/>
      <c r="X138" s="10" t="n"/>
      <c r="Y138" s="10" t="n"/>
      <c r="Z138" s="10" t="n"/>
      <c r="AA138" s="10" t="n"/>
      <c r="AB138" s="10" t="n"/>
      <c r="AC138" s="10" t="n"/>
      <c r="AD138" s="10" t="n"/>
      <c r="AE138" s="10" t="n"/>
      <c r="AF138" s="10" t="n"/>
      <c r="AG138" s="10" t="n"/>
      <c r="AH138" s="10" t="n"/>
      <c r="AI138" s="10" t="n"/>
      <c r="AJ138" s="10" t="n"/>
    </row>
    <row r="139">
      <c r="A139" s="11" t="inlineStr">
        <is>
          <t>Celimax Dual Barrier Creamy Toner</t>
        </is>
      </c>
      <c r="B139" s="12" t="n"/>
      <c r="C139" s="13" t="n"/>
      <c r="D139" s="14" t="n">
        <v>2600</v>
      </c>
      <c r="E139" s="14" t="n">
        <v>5500</v>
      </c>
      <c r="F139" s="14" t="inlineStr">
        <is>
          <t>10-15</t>
        </is>
      </c>
      <c r="G139" s="14" t="n">
        <v>2450</v>
      </c>
      <c r="H139" s="15" t="n">
        <v>0.45</v>
      </c>
      <c r="I139" s="16">
        <f>G139*(1-H139)</f>
        <v/>
      </c>
      <c r="J139" s="17" t="n">
        <v>663.86</v>
      </c>
      <c r="K139" s="18">
        <f>$G$5</f>
        <v/>
      </c>
      <c r="L139" s="19">
        <f>J139+K139</f>
        <v/>
      </c>
      <c r="M139" s="20" t="n">
        <v>0.41</v>
      </c>
      <c r="N139" s="21">
        <f>G139*M139</f>
        <v/>
      </c>
      <c r="O139" s="22" t="n">
        <v>67</v>
      </c>
      <c r="P139" s="21">
        <f>G139*$G$8</f>
        <v/>
      </c>
      <c r="Q139" s="22" t="n">
        <v>25</v>
      </c>
      <c r="R139" s="21">
        <f>G139*$G$4</f>
        <v/>
      </c>
      <c r="S139" s="21">
        <f>I139*$G$3</f>
        <v/>
      </c>
      <c r="T139" s="23" t="n">
        <v>0.9</v>
      </c>
      <c r="U139" s="22" t="n">
        <v>67</v>
      </c>
      <c r="V139" s="21">
        <f>U139*(1-T139)</f>
        <v/>
      </c>
      <c r="W139" s="24" t="n">
        <v>0.735</v>
      </c>
      <c r="X139" s="21">
        <f>$G$6*$G$7*W139</f>
        <v/>
      </c>
      <c r="Y139" s="19">
        <f>W139*($G$9+$G$10)</f>
        <v/>
      </c>
      <c r="Z139" s="20" t="n">
        <v>0.07000000000000001</v>
      </c>
      <c r="AA139" s="21">
        <f>G139*Z139</f>
        <v/>
      </c>
      <c r="AB139" s="23" t="n">
        <v>0.08</v>
      </c>
      <c r="AC139" s="21">
        <f>G139*AB139</f>
        <v/>
      </c>
      <c r="AD139" s="21">
        <f>AA139+AC139</f>
        <v/>
      </c>
      <c r="AE139" s="25">
        <f>AD139/G139</f>
        <v/>
      </c>
      <c r="AF139" s="26">
        <f>G139-N139-O139-P139-Q139-R139-S139-V139-X139-Y139-L139</f>
        <v/>
      </c>
      <c r="AG139" s="27">
        <f>AF139-AD139</f>
        <v/>
      </c>
      <c r="AH139" s="28">
        <f>AG139/G139</f>
        <v/>
      </c>
      <c r="AI139" s="29">
        <f>AG139/L139</f>
        <v/>
      </c>
      <c r="AJ139" s="21">
        <f>(O139+Q139+V139+X139+Y139+L139)/(1-(M139+$G$4+(1-H139)*$G$3+$G$8+Z139+AB139))</f>
        <v/>
      </c>
    </row>
    <row r="140" ht="29" customHeight="1">
      <c r="A140" s="11" t="inlineStr">
        <is>
          <t>CELIMAX THE VITA-A RETINAL SHOT TIGHTENING BOOSTER [15ml]/Подтягивающий бустер-крем с ретинолом для лица</t>
        </is>
      </c>
      <c r="B140" s="49" t="n"/>
      <c r="C140" s="13" t="n"/>
      <c r="D140" s="14" t="n">
        <v>2250</v>
      </c>
      <c r="E140" s="14" t="n">
        <v>3000</v>
      </c>
      <c r="F140" s="14" t="n">
        <v>13</v>
      </c>
      <c r="G140" s="14" t="n">
        <v>2150</v>
      </c>
      <c r="H140" s="15" t="n">
        <v>0.45</v>
      </c>
      <c r="I140" s="16">
        <f>G140*(1-H140)</f>
        <v/>
      </c>
      <c r="J140" s="17" t="n">
        <v>512.1799999999999</v>
      </c>
      <c r="K140" s="18">
        <f>$G$5</f>
        <v/>
      </c>
      <c r="L140" s="19">
        <f>J140+K140</f>
        <v/>
      </c>
      <c r="M140" s="20" t="n">
        <v>0.41</v>
      </c>
      <c r="N140" s="21">
        <f>G140*M140</f>
        <v/>
      </c>
      <c r="O140" s="22" t="n">
        <v>56</v>
      </c>
      <c r="P140" s="21">
        <f>G140*$G$8</f>
        <v/>
      </c>
      <c r="Q140" s="22" t="n">
        <v>25</v>
      </c>
      <c r="R140" s="21">
        <f>G140*$G$4</f>
        <v/>
      </c>
      <c r="S140" s="21">
        <f>I140*$G$3</f>
        <v/>
      </c>
      <c r="T140" s="23" t="n">
        <v>0.9</v>
      </c>
      <c r="U140" s="22" t="n">
        <v>56</v>
      </c>
      <c r="V140" s="21">
        <f>U140*(1-T140)</f>
        <v/>
      </c>
      <c r="W140" s="24" t="n">
        <v>0.18</v>
      </c>
      <c r="X140" s="21">
        <f>$G$6*$G$7*W140</f>
        <v/>
      </c>
      <c r="Y140" s="19">
        <f>W140*($G$9+$G$10)</f>
        <v/>
      </c>
      <c r="Z140" s="20" t="n">
        <v>0.07000000000000001</v>
      </c>
      <c r="AA140" s="21">
        <f>G140*Z140</f>
        <v/>
      </c>
      <c r="AB140" s="23" t="n">
        <v>0.08</v>
      </c>
      <c r="AC140" s="21">
        <f>G140*AB140</f>
        <v/>
      </c>
      <c r="AD140" s="21">
        <f>AA140+AC140</f>
        <v/>
      </c>
      <c r="AE140" s="25">
        <f>AD140/G140</f>
        <v/>
      </c>
      <c r="AF140" s="26">
        <f>G140-N140-O140-P140-Q140-R140-S140-V140-X140-Y140-L140</f>
        <v/>
      </c>
      <c r="AG140" s="27">
        <f>AF140-AD140</f>
        <v/>
      </c>
      <c r="AH140" s="28">
        <f>AG140/G140</f>
        <v/>
      </c>
      <c r="AI140" s="29">
        <f>AG140/L140</f>
        <v/>
      </c>
      <c r="AJ140" s="21">
        <f>(O140+Q140+V140+X140+Y140+L140)/(1-(M140+$G$4+(1-H140)*$G$3+$G$8+Z140+AB140))</f>
        <v/>
      </c>
    </row>
    <row r="141" ht="29" customHeight="1">
      <c r="A141" s="11" t="inlineStr">
        <is>
          <t>CELIMAX THE VITA-A RETINOL SHOT TIGHTENING SERUM [30ml]/Сыворотка с ретинолом и микроиглами для лица</t>
        </is>
      </c>
      <c r="B141" s="49" t="n"/>
      <c r="C141" s="13" t="inlineStr">
        <is>
          <t>-</t>
        </is>
      </c>
      <c r="D141" s="14" t="n">
        <v>2450</v>
      </c>
      <c r="E141" s="14" t="n">
        <v>3500</v>
      </c>
      <c r="F141" s="14" t="n">
        <v>10</v>
      </c>
      <c r="G141" s="14" t="n">
        <v>2350</v>
      </c>
      <c r="H141" s="15" t="n">
        <v>0.45</v>
      </c>
      <c r="I141" s="16">
        <f>G141*(1-H141)</f>
        <v/>
      </c>
      <c r="J141" s="17" t="n">
        <v>532.1</v>
      </c>
      <c r="K141" s="18">
        <f>$G$5</f>
        <v/>
      </c>
      <c r="L141" s="19">
        <f>J141+K141</f>
        <v/>
      </c>
      <c r="M141" s="20" t="n">
        <v>0.41</v>
      </c>
      <c r="N141" s="21">
        <f>G141*M141</f>
        <v/>
      </c>
      <c r="O141" s="22" t="n">
        <v>63</v>
      </c>
      <c r="P141" s="21">
        <f>G141*$G$8</f>
        <v/>
      </c>
      <c r="Q141" s="22" t="n">
        <v>25</v>
      </c>
      <c r="R141" s="21">
        <f>G141*$G$4</f>
        <v/>
      </c>
      <c r="S141" s="21">
        <f>I141*$G$3</f>
        <v/>
      </c>
      <c r="T141" s="23" t="n">
        <v>0.9</v>
      </c>
      <c r="U141" s="22" t="n">
        <v>63</v>
      </c>
      <c r="V141" s="21">
        <f>U141*(1-T141)</f>
        <v/>
      </c>
      <c r="W141" s="24" t="n">
        <v>0.38</v>
      </c>
      <c r="X141" s="21">
        <f>$G$6*$G$7*W141</f>
        <v/>
      </c>
      <c r="Y141" s="19">
        <f>W141*($G$9+$G$10)</f>
        <v/>
      </c>
      <c r="Z141" s="20" t="n">
        <v>0.07000000000000001</v>
      </c>
      <c r="AA141" s="21">
        <f>G141*Z141</f>
        <v/>
      </c>
      <c r="AB141" s="23" t="n">
        <v>0.08</v>
      </c>
      <c r="AC141" s="21">
        <f>G141*AB141</f>
        <v/>
      </c>
      <c r="AD141" s="21">
        <f>AA141+AC141</f>
        <v/>
      </c>
      <c r="AE141" s="25">
        <f>AD141/G141</f>
        <v/>
      </c>
      <c r="AF141" s="26">
        <f>G141-N141-O141-P141-Q141-R141-S141-V141-X141-Y141-L141</f>
        <v/>
      </c>
      <c r="AG141" s="27">
        <f>AF141-AD141</f>
        <v/>
      </c>
      <c r="AH141" s="28">
        <f>AG141/G141</f>
        <v/>
      </c>
      <c r="AI141" s="29">
        <f>AG141/L141</f>
        <v/>
      </c>
      <c r="AJ141" s="21">
        <f>(O141+Q141+V141+X141+Y141+L141)/(1-(M141+$G$4+(1-H141)*$G$3+$G$8+Z141+AB141))</f>
        <v/>
      </c>
    </row>
    <row r="142" ht="29" customHeight="1">
      <c r="A142" s="11" t="inlineStr">
        <is>
          <t>CELIMAX JI WOO GAE CICA BHA BLEMISH TONER PAD_10EA [30ml]/успокаивающие тонер-пэды</t>
        </is>
      </c>
      <c r="B142" s="49" t="n"/>
      <c r="C142" s="13" t="n"/>
      <c r="D142" s="14" t="n">
        <v>775</v>
      </c>
      <c r="E142" s="14" t="inlineStr">
        <is>
          <t>2 740</t>
        </is>
      </c>
      <c r="F142" s="14" t="n">
        <v>11</v>
      </c>
      <c r="G142" s="14" t="n">
        <v>745</v>
      </c>
      <c r="H142" s="15" t="n">
        <v>0.45</v>
      </c>
      <c r="I142" s="16">
        <f>G142*(1-H142)</f>
        <v/>
      </c>
      <c r="J142" s="17" t="n">
        <v>96.94</v>
      </c>
      <c r="K142" s="18">
        <f>$G$5</f>
        <v/>
      </c>
      <c r="L142" s="19">
        <f>J142+K142</f>
        <v/>
      </c>
      <c r="M142" s="20" t="n">
        <v>0.41</v>
      </c>
      <c r="N142" s="21">
        <f>G142*M142</f>
        <v/>
      </c>
      <c r="O142" s="22" t="n">
        <v>56</v>
      </c>
      <c r="P142" s="21">
        <f>G142*$G$8</f>
        <v/>
      </c>
      <c r="Q142" s="22" t="n">
        <v>25</v>
      </c>
      <c r="R142" s="21">
        <f>G142*$G$4</f>
        <v/>
      </c>
      <c r="S142" s="21">
        <f>I142*$G$3</f>
        <v/>
      </c>
      <c r="T142" s="23" t="n">
        <v>0.9</v>
      </c>
      <c r="U142" s="22" t="n">
        <v>56</v>
      </c>
      <c r="V142" s="21">
        <f>U142*(1-T142)</f>
        <v/>
      </c>
      <c r="W142" s="24" t="n">
        <v>0.14</v>
      </c>
      <c r="X142" s="21">
        <f>$G$6*$G$7*W142</f>
        <v/>
      </c>
      <c r="Y142" s="19">
        <f>W142*($G$9+$G$10)</f>
        <v/>
      </c>
      <c r="Z142" s="20" t="n">
        <v>0.07000000000000001</v>
      </c>
      <c r="AA142" s="21">
        <f>G142*Z142</f>
        <v/>
      </c>
      <c r="AB142" s="23" t="n">
        <v>0.08</v>
      </c>
      <c r="AC142" s="21">
        <f>G142*AB142</f>
        <v/>
      </c>
      <c r="AD142" s="21">
        <f>AA142+AC142</f>
        <v/>
      </c>
      <c r="AE142" s="25">
        <f>AD142/G142</f>
        <v/>
      </c>
      <c r="AF142" s="26">
        <f>G142-N142-O142-P142-Q142-R142-S142-V142-X142-Y142-L142</f>
        <v/>
      </c>
      <c r="AG142" s="27">
        <f>AF142-AD142</f>
        <v/>
      </c>
      <c r="AH142" s="28">
        <f>AG142/G142</f>
        <v/>
      </c>
      <c r="AI142" s="29">
        <f>AG142/L142</f>
        <v/>
      </c>
      <c r="AJ142" s="21">
        <f>(O142+Q142+V142+X142+Y142+L142)/(1-(M142+$G$4+(1-H142)*$G$3+$G$8+Z142+AB142))</f>
        <v/>
      </c>
    </row>
    <row r="143" ht="29" customHeight="1">
      <c r="A143" s="57" t="inlineStr">
        <is>
          <t>CELIMAX PORE+DARK SPOT BRIGHTENING CREAM [35ml]/Крем для выравнивания тона и рельефа кожи лица</t>
        </is>
      </c>
      <c r="B143" s="30" t="n"/>
      <c r="C143" s="30" t="n"/>
      <c r="D143" s="31" t="n"/>
      <c r="E143" s="31" t="n"/>
      <c r="F143" s="31" t="n"/>
      <c r="G143" s="31" t="n"/>
      <c r="H143" s="32" t="n"/>
      <c r="I143" s="33" t="n"/>
      <c r="J143" s="34" t="n"/>
      <c r="K143" s="34" t="n"/>
      <c r="L143" s="35" t="n"/>
      <c r="M143" s="36" t="n"/>
      <c r="N143" s="31" t="n"/>
      <c r="O143" s="31" t="n"/>
      <c r="P143" s="31" t="n"/>
      <c r="Q143" s="31" t="n"/>
      <c r="R143" s="31" t="n"/>
      <c r="S143" s="31" t="n"/>
      <c r="T143" s="37" t="n"/>
      <c r="U143" s="31" t="n"/>
      <c r="V143" s="31" t="n"/>
      <c r="W143" s="38" t="n"/>
      <c r="X143" s="31" t="n"/>
      <c r="Y143" s="35" t="n"/>
      <c r="Z143" s="36" t="n"/>
      <c r="AA143" s="31" t="n"/>
      <c r="AB143" s="37" t="n"/>
      <c r="AC143" s="31" t="n"/>
      <c r="AD143" s="31" t="n"/>
      <c r="AE143" s="39" t="n"/>
      <c r="AF143" s="40" t="n"/>
      <c r="AG143" s="31" t="n"/>
      <c r="AH143" s="37" t="n"/>
      <c r="AI143" s="37" t="n"/>
      <c r="AJ143" s="31" t="n"/>
    </row>
    <row r="144" ht="29" customHeight="1">
      <c r="A144" s="57" t="inlineStr">
        <is>
          <t>CELIMAX DUAL BARRIER SKIN WEARABLE CREAM [50ml]/Крем для восстановления защитного барьера кожи лица</t>
        </is>
      </c>
      <c r="B144" s="30" t="n"/>
      <c r="C144" s="30" t="n"/>
      <c r="D144" s="31" t="n"/>
      <c r="E144" s="31" t="n"/>
      <c r="F144" s="31" t="n"/>
      <c r="G144" s="31" t="n"/>
      <c r="H144" s="32" t="n"/>
      <c r="I144" s="33" t="n"/>
      <c r="J144" s="34" t="n"/>
      <c r="K144" s="34" t="n"/>
      <c r="L144" s="35" t="n"/>
      <c r="M144" s="36" t="n"/>
      <c r="N144" s="31" t="n"/>
      <c r="O144" s="31" t="n"/>
      <c r="P144" s="31" t="n"/>
      <c r="Q144" s="31" t="n"/>
      <c r="R144" s="31" t="n"/>
      <c r="S144" s="31" t="n"/>
      <c r="T144" s="37" t="n"/>
      <c r="U144" s="31" t="n"/>
      <c r="V144" s="31" t="n"/>
      <c r="W144" s="38" t="n"/>
      <c r="X144" s="31" t="n"/>
      <c r="Y144" s="35" t="n"/>
      <c r="Z144" s="36" t="n"/>
      <c r="AA144" s="31" t="n"/>
      <c r="AB144" s="37" t="n"/>
      <c r="AC144" s="31" t="n"/>
      <c r="AD144" s="31" t="n"/>
      <c r="AE144" s="39" t="n"/>
      <c r="AF144" s="40" t="n"/>
      <c r="AG144" s="31" t="n"/>
      <c r="AH144" s="37" t="n"/>
      <c r="AI144" s="37" t="n"/>
      <c r="AJ144" s="31" t="n"/>
    </row>
    <row r="145" ht="29" customHeight="1">
      <c r="A145" s="11" t="inlineStr">
        <is>
          <t>CELIMAX JI WOO GAE CICA BHA BLEMISH TONER PAD [170ml / 60pads]/Тонер-пэды от воспалений</t>
        </is>
      </c>
      <c r="B145" s="49" t="n"/>
      <c r="C145" s="13" t="n"/>
      <c r="D145" s="14" t="n">
        <v>3450</v>
      </c>
      <c r="E145" s="14" t="inlineStr">
        <is>
          <t>1 820</t>
        </is>
      </c>
      <c r="F145" s="14" t="n">
        <v>11</v>
      </c>
      <c r="G145" s="14" t="n">
        <v>3150</v>
      </c>
      <c r="H145" s="15" t="n">
        <v>0.45</v>
      </c>
      <c r="I145" s="16">
        <f>G145*(1-H145)</f>
        <v/>
      </c>
      <c r="J145" s="17" t="n">
        <v>707.88</v>
      </c>
      <c r="K145" s="18">
        <f>$G$5</f>
        <v/>
      </c>
      <c r="L145" s="19">
        <f>J145+K145</f>
        <v/>
      </c>
      <c r="M145" s="20" t="n">
        <v>0.41</v>
      </c>
      <c r="N145" s="21">
        <f>G145*M145</f>
        <v/>
      </c>
      <c r="O145" s="22" t="n">
        <v>67</v>
      </c>
      <c r="P145" s="21">
        <f>G145*$G$8</f>
        <v/>
      </c>
      <c r="Q145" s="22" t="n">
        <v>25</v>
      </c>
      <c r="R145" s="21">
        <f>G145*$G$4</f>
        <v/>
      </c>
      <c r="S145" s="21">
        <f>I145*$G$3</f>
        <v/>
      </c>
      <c r="T145" s="23" t="n">
        <v>0.9</v>
      </c>
      <c r="U145" s="22" t="n">
        <v>67</v>
      </c>
      <c r="V145" s="21">
        <f>U145*(1-T145)</f>
        <v/>
      </c>
      <c r="W145" s="24" t="n">
        <v>0.96</v>
      </c>
      <c r="X145" s="21">
        <f>$G$6*$G$7*W145</f>
        <v/>
      </c>
      <c r="Y145" s="19">
        <f>W145*($G$9+$G$10)</f>
        <v/>
      </c>
      <c r="Z145" s="20" t="n">
        <v>0.07000000000000001</v>
      </c>
      <c r="AA145" s="21">
        <f>G145*Z145</f>
        <v/>
      </c>
      <c r="AB145" s="23" t="n">
        <v>0.08</v>
      </c>
      <c r="AC145" s="21">
        <f>G145*AB145</f>
        <v/>
      </c>
      <c r="AD145" s="21">
        <f>AA145+AC145</f>
        <v/>
      </c>
      <c r="AE145" s="25">
        <f>AD145/G145</f>
        <v/>
      </c>
      <c r="AF145" s="26">
        <f>G145-N145-O145-P145-Q145-R145-S145-V145-X145-Y145-L145</f>
        <v/>
      </c>
      <c r="AG145" s="27">
        <f>AF145-AD145</f>
        <v/>
      </c>
      <c r="AH145" s="28">
        <f>AG145/G145</f>
        <v/>
      </c>
      <c r="AI145" s="29">
        <f>AG145/L145</f>
        <v/>
      </c>
      <c r="AJ145" s="21">
        <f>(O145+Q145+V145+X145+Y145+L145)/(1-(M145+$G$4+(1-H145)*$G$3+$G$8+Z145+AB145))</f>
        <v/>
      </c>
    </row>
    <row r="146" ht="29" customHeight="1">
      <c r="A146" s="57" t="inlineStr">
        <is>
          <t>CELIMAX THE REAL NONI ENERGY AMPOULE_30ML (NEW) [30ml]/Восстанавливающая сыворотка с экстрактом нони для лица</t>
        </is>
      </c>
      <c r="B146" s="30" t="n"/>
      <c r="C146" s="30" t="n"/>
      <c r="D146" s="31" t="n"/>
      <c r="E146" s="31" t="n"/>
      <c r="F146" s="31" t="n"/>
      <c r="G146" s="31" t="n"/>
      <c r="H146" s="32" t="n"/>
      <c r="I146" s="33" t="n"/>
      <c r="J146" s="34" t="n"/>
      <c r="K146" s="34" t="n"/>
      <c r="L146" s="35" t="n"/>
      <c r="M146" s="36" t="n"/>
      <c r="N146" s="31" t="n"/>
      <c r="O146" s="31" t="n"/>
      <c r="P146" s="31" t="n"/>
      <c r="Q146" s="31" t="n"/>
      <c r="R146" s="31" t="n"/>
      <c r="S146" s="31" t="n"/>
      <c r="T146" s="37" t="n"/>
      <c r="U146" s="31" t="n"/>
      <c r="V146" s="31" t="n"/>
      <c r="W146" s="38" t="n"/>
      <c r="X146" s="31" t="n"/>
      <c r="Y146" s="35" t="n"/>
      <c r="Z146" s="36" t="n"/>
      <c r="AA146" s="31" t="n"/>
      <c r="AB146" s="37" t="n"/>
      <c r="AC146" s="31" t="n"/>
      <c r="AD146" s="31" t="n"/>
      <c r="AE146" s="39" t="n"/>
      <c r="AF146" s="40" t="n"/>
      <c r="AG146" s="31" t="n"/>
      <c r="AH146" s="37" t="n"/>
      <c r="AI146" s="37" t="n"/>
      <c r="AJ146" s="31" t="n"/>
    </row>
    <row r="147" ht="29" customHeight="1">
      <c r="A147" s="11" t="inlineStr">
        <is>
          <t>CELIMAX PORE+DARK SPOT BRIGHTENING PAD [100ml / 40pads]/Тонер-пэды для выравнивания тона и рельефа кожи</t>
        </is>
      </c>
      <c r="B147" s="49" t="n"/>
      <c r="C147" s="13" t="n"/>
      <c r="D147" s="14" t="n">
        <v>2880</v>
      </c>
      <c r="E147" s="14" t="inlineStr">
        <is>
          <t>1 640</t>
        </is>
      </c>
      <c r="F147" s="14" t="n">
        <v>21</v>
      </c>
      <c r="G147" s="14" t="n">
        <v>2580</v>
      </c>
      <c r="H147" s="15" t="n">
        <v>0.45</v>
      </c>
      <c r="I147" s="16">
        <f>G147*(1-H147)</f>
        <v/>
      </c>
      <c r="J147" s="17" t="n">
        <v>556.1799999999999</v>
      </c>
      <c r="K147" s="18">
        <f>$G$5</f>
        <v/>
      </c>
      <c r="L147" s="19">
        <f>J147+K147</f>
        <v/>
      </c>
      <c r="M147" s="20" t="n">
        <v>0.41</v>
      </c>
      <c r="N147" s="21">
        <f>G147*M147</f>
        <v/>
      </c>
      <c r="O147" s="22" t="n">
        <v>67</v>
      </c>
      <c r="P147" s="21">
        <f>G147*$G$8</f>
        <v/>
      </c>
      <c r="Q147" s="22" t="n">
        <v>25</v>
      </c>
      <c r="R147" s="21">
        <f>G147*$G$4</f>
        <v/>
      </c>
      <c r="S147" s="21">
        <f>I147*$G$3</f>
        <v/>
      </c>
      <c r="T147" s="23" t="n">
        <v>0.9</v>
      </c>
      <c r="U147" s="22" t="n">
        <v>67</v>
      </c>
      <c r="V147" s="21">
        <f>U147*(1-T147)</f>
        <v/>
      </c>
      <c r="W147" s="24" t="n">
        <v>0.57</v>
      </c>
      <c r="X147" s="21">
        <f>$G$6*$G$7*W147</f>
        <v/>
      </c>
      <c r="Y147" s="19">
        <f>W147*($G$9+$G$10)</f>
        <v/>
      </c>
      <c r="Z147" s="20" t="n">
        <v>0.07000000000000001</v>
      </c>
      <c r="AA147" s="21">
        <f>G147*Z147</f>
        <v/>
      </c>
      <c r="AB147" s="23" t="n">
        <v>0.08</v>
      </c>
      <c r="AC147" s="21">
        <f>G147*AB147</f>
        <v/>
      </c>
      <c r="AD147" s="21">
        <f>AA147+AC147</f>
        <v/>
      </c>
      <c r="AE147" s="25">
        <f>AD147/G147</f>
        <v/>
      </c>
      <c r="AF147" s="26">
        <f>G147-N147-O147-P147-Q147-R147-S147-V147-X147-Y147-L147</f>
        <v/>
      </c>
      <c r="AG147" s="27">
        <f>AF147-AD147</f>
        <v/>
      </c>
      <c r="AH147" s="28">
        <f>AG147/G147</f>
        <v/>
      </c>
      <c r="AI147" s="29">
        <f>AG147/L147</f>
        <v/>
      </c>
      <c r="AJ147" s="21">
        <f>(O147+Q147+V147+X147+Y147+L147)/(1-(M147+$G$4+(1-H147)*$G$3+$G$8+Z147+AB147))</f>
        <v/>
      </c>
    </row>
    <row r="148" ht="29" customHeight="1">
      <c r="A148" s="57" t="inlineStr">
        <is>
          <t>CELIMAX PORE+DARK SPOT BRIGHTENING SERUM_30ml [30ml]/Сыворотка для выравнивания тона и рельефа кожи лица</t>
        </is>
      </c>
      <c r="B148" s="30" t="n"/>
      <c r="C148" s="30" t="n"/>
      <c r="D148" s="31" t="n"/>
      <c r="E148" s="31" t="n"/>
      <c r="F148" s="31" t="n"/>
      <c r="G148" s="31" t="n"/>
      <c r="H148" s="32" t="n"/>
      <c r="I148" s="33" t="n"/>
      <c r="J148" s="34" t="n"/>
      <c r="K148" s="34" t="n"/>
      <c r="L148" s="35" t="n"/>
      <c r="M148" s="36" t="n"/>
      <c r="N148" s="31" t="n"/>
      <c r="O148" s="31" t="n"/>
      <c r="P148" s="31" t="n"/>
      <c r="Q148" s="31" t="n"/>
      <c r="R148" s="31" t="n"/>
      <c r="S148" s="31" t="n"/>
      <c r="T148" s="37" t="n"/>
      <c r="U148" s="31" t="n"/>
      <c r="V148" s="31" t="n"/>
      <c r="W148" s="38" t="n"/>
      <c r="X148" s="31" t="n"/>
      <c r="Y148" s="35" t="n"/>
      <c r="Z148" s="36" t="n"/>
      <c r="AA148" s="31" t="n"/>
      <c r="AB148" s="37" t="n"/>
      <c r="AC148" s="31" t="n"/>
      <c r="AD148" s="31" t="n"/>
      <c r="AE148" s="39" t="n"/>
      <c r="AF148" s="40" t="n"/>
      <c r="AG148" s="31" t="n"/>
      <c r="AH148" s="37" t="n"/>
      <c r="AI148" s="37" t="n"/>
      <c r="AJ148" s="31" t="n"/>
    </row>
    <row r="149" ht="29" customHeight="1">
      <c r="A149" s="57" t="inlineStr">
        <is>
          <t>CELIMAX THE REAL NONI MOISTURE BALANCING TONER (NEW) [150ml]/Восстанавливающий тонер с экстрактом нони</t>
        </is>
      </c>
      <c r="B149" s="30" t="n"/>
      <c r="C149" s="30" t="n"/>
      <c r="D149" s="31" t="n"/>
      <c r="E149" s="31" t="n"/>
      <c r="F149" s="31" t="n"/>
      <c r="G149" s="31" t="n"/>
      <c r="H149" s="32" t="n"/>
      <c r="I149" s="33" t="n"/>
      <c r="J149" s="34" t="n"/>
      <c r="K149" s="34" t="n"/>
      <c r="L149" s="35" t="n"/>
      <c r="M149" s="36" t="n"/>
      <c r="N149" s="31" t="n"/>
      <c r="O149" s="31" t="n"/>
      <c r="P149" s="31" t="n"/>
      <c r="Q149" s="31" t="n"/>
      <c r="R149" s="31" t="n"/>
      <c r="S149" s="31" t="n"/>
      <c r="T149" s="37" t="n"/>
      <c r="U149" s="31" t="n"/>
      <c r="V149" s="31" t="n"/>
      <c r="W149" s="38" t="n"/>
      <c r="X149" s="31" t="n"/>
      <c r="Y149" s="35" t="n"/>
      <c r="Z149" s="36" t="n"/>
      <c r="AA149" s="31" t="n"/>
      <c r="AB149" s="37" t="n"/>
      <c r="AC149" s="31" t="n"/>
      <c r="AD149" s="31" t="n"/>
      <c r="AE149" s="39" t="n"/>
      <c r="AF149" s="40" t="n"/>
      <c r="AG149" s="31" t="n"/>
      <c r="AH149" s="37" t="n"/>
      <c r="AI149" s="37" t="n"/>
      <c r="AJ149" s="31" t="n"/>
    </row>
    <row r="150">
      <c r="A150" s="56" t="inlineStr">
        <is>
          <t>Косметика/VT</t>
        </is>
      </c>
      <c r="B150" s="10" t="n"/>
      <c r="C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0" t="n"/>
      <c r="M150" s="10" t="n"/>
      <c r="N150" s="10" t="n"/>
      <c r="O150" s="10" t="n"/>
      <c r="P150" s="10" t="n"/>
      <c r="Q150" s="10" t="n"/>
      <c r="R150" s="10" t="n"/>
      <c r="S150" s="10" t="n"/>
      <c r="T150" s="10" t="n"/>
      <c r="U150" s="10" t="n"/>
      <c r="V150" s="10" t="n"/>
      <c r="W150" s="10" t="n"/>
      <c r="X150" s="10" t="n"/>
      <c r="Y150" s="10" t="n"/>
      <c r="Z150" s="10" t="n"/>
      <c r="AA150" s="10" t="n"/>
      <c r="AB150" s="10" t="n"/>
      <c r="AC150" s="10" t="n"/>
      <c r="AD150" s="10" t="n"/>
      <c r="AE150" s="10" t="n"/>
      <c r="AF150" s="10" t="n"/>
      <c r="AG150" s="10" t="n"/>
      <c r="AH150" s="10" t="n"/>
      <c r="AI150" s="10" t="n"/>
      <c r="AJ150" s="10" t="n"/>
    </row>
    <row r="151">
      <c r="A151" s="11" t="inlineStr">
        <is>
          <t>VT PDRN ESSENCE 100 / Укрепляющая бустер-эссенция с ПДРН</t>
        </is>
      </c>
      <c r="B151" s="12" t="n"/>
      <c r="C151" s="13" t="n"/>
      <c r="D151" s="14" t="n">
        <v>6000</v>
      </c>
      <c r="E151" s="14" t="n">
        <v>500</v>
      </c>
      <c r="F151" s="14" t="n">
        <v>10</v>
      </c>
      <c r="G151" s="14" t="n">
        <v>5700</v>
      </c>
      <c r="H151" s="15" t="n">
        <v>0.45</v>
      </c>
      <c r="I151" s="16">
        <f>G151*(1-H151)</f>
        <v/>
      </c>
      <c r="J151" s="17" t="n">
        <v>1335.95</v>
      </c>
      <c r="K151" s="18">
        <f>$G$5</f>
        <v/>
      </c>
      <c r="L151" s="19">
        <f>J151+K151</f>
        <v/>
      </c>
      <c r="M151" s="20" t="n">
        <v>0.41</v>
      </c>
      <c r="N151" s="21">
        <f>G151*M151</f>
        <v/>
      </c>
      <c r="O151" s="22" t="n">
        <v>63</v>
      </c>
      <c r="P151" s="21">
        <f>G151*$G$8</f>
        <v/>
      </c>
      <c r="Q151" s="22" t="n">
        <v>25</v>
      </c>
      <c r="R151" s="21">
        <f>G151*$G$4</f>
        <v/>
      </c>
      <c r="S151" s="21">
        <f>I151*$G$3</f>
        <v/>
      </c>
      <c r="T151" s="23" t="n">
        <v>0.9</v>
      </c>
      <c r="U151" s="22" t="n">
        <v>63</v>
      </c>
      <c r="V151" s="21">
        <f>U151*(1-T151)</f>
        <v/>
      </c>
      <c r="W151" s="24" t="n">
        <v>0.3</v>
      </c>
      <c r="X151" s="21">
        <f>$G$6*$G$7*W151</f>
        <v/>
      </c>
      <c r="Y151" s="19">
        <f>W151*($G$9+$G$10)</f>
        <v/>
      </c>
      <c r="Z151" s="20" t="n">
        <v>0.07000000000000001</v>
      </c>
      <c r="AA151" s="21">
        <f>G151*Z151</f>
        <v/>
      </c>
      <c r="AB151" s="23" t="n">
        <v>0.08</v>
      </c>
      <c r="AC151" s="21">
        <f>G151*AB151</f>
        <v/>
      </c>
      <c r="AD151" s="21">
        <f>AA151+AC151</f>
        <v/>
      </c>
      <c r="AE151" s="25">
        <f>AD151/G151</f>
        <v/>
      </c>
      <c r="AF151" s="26">
        <f>G151-N151-O151-P151-Q151-R151-S151-V151-X151-Y151-L151</f>
        <v/>
      </c>
      <c r="AG151" s="27">
        <f>AF151-AD151</f>
        <v/>
      </c>
      <c r="AH151" s="28">
        <f>AG151/G151</f>
        <v/>
      </c>
      <c r="AI151" s="29">
        <f>AG151/L151</f>
        <v/>
      </c>
      <c r="AJ151" s="21">
        <f>(O151+Q151+V151+X151+Y151+L151)/(1-(M151+$G$4+(1-H151)*$G$3+$G$8+Z151+AB151))</f>
        <v/>
      </c>
    </row>
    <row r="152">
      <c r="A152" s="11" t="inlineStr">
        <is>
          <t>VT REEDLE SHOT 100 / Бустер-сыворотка с микроиглами</t>
        </is>
      </c>
      <c r="B152" s="12" t="n"/>
      <c r="C152" s="13" t="n"/>
      <c r="D152" s="14" t="n">
        <v>5900</v>
      </c>
      <c r="E152" s="14" t="n">
        <v>220</v>
      </c>
      <c r="F152" s="14" t="n">
        <v>11</v>
      </c>
      <c r="G152" s="14" t="n">
        <v>5600</v>
      </c>
      <c r="H152" s="15" t="n">
        <v>0.45</v>
      </c>
      <c r="I152" s="16">
        <f>G152*(1-H152)</f>
        <v/>
      </c>
      <c r="J152" s="17" t="n">
        <v>974.04</v>
      </c>
      <c r="K152" s="18">
        <f>$G$5</f>
        <v/>
      </c>
      <c r="L152" s="19">
        <f>J152+K152</f>
        <v/>
      </c>
      <c r="M152" s="20" t="n">
        <v>0.41</v>
      </c>
      <c r="N152" s="21">
        <f>G152*M152</f>
        <v/>
      </c>
      <c r="O152" s="22" t="n">
        <v>63</v>
      </c>
      <c r="P152" s="21">
        <f>G152*$G$8</f>
        <v/>
      </c>
      <c r="Q152" s="22" t="n">
        <v>25</v>
      </c>
      <c r="R152" s="21">
        <f>G152*$G$4</f>
        <v/>
      </c>
      <c r="S152" s="21">
        <f>I152*$G$3</f>
        <v/>
      </c>
      <c r="T152" s="23" t="n">
        <v>0.9</v>
      </c>
      <c r="U152" s="22" t="n">
        <v>63</v>
      </c>
      <c r="V152" s="21">
        <f>U152*(1-T152)</f>
        <v/>
      </c>
      <c r="W152" s="24" t="n">
        <v>0.4</v>
      </c>
      <c r="X152" s="21">
        <f>$G$6*$G$7*W152</f>
        <v/>
      </c>
      <c r="Y152" s="19">
        <f>W152*($G$9+$G$10)</f>
        <v/>
      </c>
      <c r="Z152" s="20" t="n">
        <v>0.07000000000000001</v>
      </c>
      <c r="AA152" s="21">
        <f>G152*Z152</f>
        <v/>
      </c>
      <c r="AB152" s="23" t="n">
        <v>0.08</v>
      </c>
      <c r="AC152" s="21">
        <f>G152*AB152</f>
        <v/>
      </c>
      <c r="AD152" s="21">
        <f>AA152+AC152</f>
        <v/>
      </c>
      <c r="AE152" s="25">
        <f>AD152/G152</f>
        <v/>
      </c>
      <c r="AF152" s="26">
        <f>G152-N152-O152-P152-Q152-R152-S152-V152-X152-Y152-L152</f>
        <v/>
      </c>
      <c r="AG152" s="27">
        <f>AF152-AD152</f>
        <v/>
      </c>
      <c r="AH152" s="28">
        <f>AG152/G152</f>
        <v/>
      </c>
      <c r="AI152" s="29">
        <f>AG152/L152</f>
        <v/>
      </c>
      <c r="AJ152" s="21">
        <f>(O152+Q152+V152+X152+Y152+L152)/(1-(M152+$G$4+(1-H152)*$G$3+$G$8+Z152+AB152))</f>
        <v/>
      </c>
    </row>
    <row r="153">
      <c r="A153" s="57" t="inlineStr">
        <is>
          <t>Итого:</t>
        </is>
      </c>
      <c r="B153" s="30" t="n"/>
      <c r="C153" s="30" t="n"/>
      <c r="D153" s="31" t="n"/>
      <c r="E153" s="31" t="n"/>
      <c r="F153" s="31" t="n"/>
      <c r="G153" s="31" t="n"/>
      <c r="H153" s="32" t="n"/>
      <c r="I153" s="33" t="n"/>
      <c r="J153" s="34" t="n"/>
      <c r="K153" s="34" t="n"/>
      <c r="L153" s="35" t="n"/>
      <c r="M153" s="36" t="n"/>
      <c r="N153" s="31" t="n"/>
      <c r="O153" s="31" t="n"/>
      <c r="P153" s="31" t="n"/>
      <c r="Q153" s="31" t="n"/>
      <c r="R153" s="31" t="n"/>
      <c r="S153" s="31" t="n"/>
      <c r="T153" s="37" t="n"/>
      <c r="U153" s="31" t="n"/>
      <c r="V153" s="31" t="n"/>
      <c r="W153" s="38" t="n"/>
      <c r="X153" s="31" t="n"/>
      <c r="Y153" s="35" t="n"/>
      <c r="Z153" s="36" t="n"/>
      <c r="AA153" s="31" t="n"/>
      <c r="AB153" s="37" t="n"/>
      <c r="AC153" s="31" t="n"/>
      <c r="AD153" s="31" t="n"/>
      <c r="AE153" s="39" t="n"/>
      <c r="AF153" s="40" t="n"/>
      <c r="AG153" s="31" t="n"/>
      <c r="AH153" s="37" t="n"/>
      <c r="AI153" s="37" t="n"/>
      <c r="AJ153" s="31" t="n"/>
    </row>
    <row r="154">
      <c r="A154" s="56" t="inlineStr">
        <is>
          <t>НЕ В ОСТАТКАХ (юнитка без строки в остатках)</t>
        </is>
      </c>
      <c r="B154" s="10" t="n"/>
      <c r="C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0" t="n"/>
      <c r="M154" s="10" t="n"/>
      <c r="N154" s="10" t="n"/>
      <c r="O154" s="10" t="n"/>
      <c r="P154" s="10" t="n"/>
      <c r="Q154" s="10" t="n"/>
      <c r="R154" s="10" t="n"/>
      <c r="S154" s="10" t="n"/>
      <c r="T154" s="10" t="n"/>
      <c r="U154" s="10" t="n"/>
      <c r="V154" s="10" t="n"/>
      <c r="W154" s="10" t="n"/>
      <c r="X154" s="10" t="n"/>
      <c r="Y154" s="10" t="n"/>
      <c r="Z154" s="10" t="n"/>
      <c r="AA154" s="10" t="n"/>
      <c r="AB154" s="10" t="n"/>
      <c r="AC154" s="10" t="n"/>
      <c r="AD154" s="10" t="n"/>
      <c r="AE154" s="10" t="n"/>
      <c r="AF154" s="10" t="n"/>
      <c r="AG154" s="10" t="n"/>
      <c r="AH154" s="10" t="n"/>
      <c r="AI154" s="10" t="n"/>
      <c r="AJ154" s="10" t="n"/>
    </row>
    <row r="155">
      <c r="A155" s="50" t="inlineStr">
        <is>
          <t>1025 DOKDO BUBBLE FOAM_150ml</t>
        </is>
      </c>
      <c r="B155" s="51" t="n">
        <v>600</v>
      </c>
      <c r="C155" s="52" t="n"/>
      <c r="D155" s="14" t="n">
        <v>2650</v>
      </c>
      <c r="E155" s="14" t="n">
        <v>20</v>
      </c>
      <c r="F155" s="14" t="n">
        <v>2</v>
      </c>
      <c r="G155" s="14" t="n">
        <v>2500</v>
      </c>
      <c r="H155" s="15" t="n">
        <v>0.45</v>
      </c>
      <c r="I155" s="16">
        <f>G155*(1-H155)</f>
        <v/>
      </c>
      <c r="J155" s="17" t="n">
        <v>455</v>
      </c>
      <c r="K155" s="18">
        <f>$G$5</f>
        <v/>
      </c>
      <c r="L155" s="19">
        <f>J155+K155</f>
        <v/>
      </c>
      <c r="M155" s="20" t="n">
        <v>0.41</v>
      </c>
      <c r="N155" s="21">
        <f>G155*M155</f>
        <v/>
      </c>
      <c r="O155" s="22" t="n">
        <v>74</v>
      </c>
      <c r="P155" s="21">
        <f>G155*$G$8</f>
        <v/>
      </c>
      <c r="Q155" s="22" t="n">
        <v>25</v>
      </c>
      <c r="R155" s="21">
        <f>G155*$G$4</f>
        <v/>
      </c>
      <c r="S155" s="21">
        <f>I155*$G$3</f>
        <v/>
      </c>
      <c r="T155" s="23" t="n">
        <v>0.9</v>
      </c>
      <c r="U155" s="22" t="n">
        <v>74</v>
      </c>
      <c r="V155" s="21">
        <f>U155*(1-T155)</f>
        <v/>
      </c>
      <c r="W155" s="24" t="n">
        <v>1.28</v>
      </c>
      <c r="X155" s="21">
        <f>$G$6*$G$7*W155</f>
        <v/>
      </c>
      <c r="Y155" s="19">
        <f>W155*($G$9+$G$10)</f>
        <v/>
      </c>
      <c r="Z155" s="20" t="n">
        <v>0.07000000000000001</v>
      </c>
      <c r="AA155" s="21">
        <f>G155*Z155</f>
        <v/>
      </c>
      <c r="AB155" s="23" t="n">
        <v>0.08</v>
      </c>
      <c r="AC155" s="21">
        <f>G155*AB155</f>
        <v/>
      </c>
      <c r="AD155" s="21">
        <f>AA155+AC155</f>
        <v/>
      </c>
      <c r="AE155" s="25">
        <f>AD155/G155</f>
        <v/>
      </c>
      <c r="AF155" s="26">
        <f>G155-N155-O155-P155-Q155-R155-S155-V155-X155-Y155-L155</f>
        <v/>
      </c>
      <c r="AG155" s="27">
        <f>AF155-AD155</f>
        <v/>
      </c>
      <c r="AH155" s="28">
        <f>AG155/G155</f>
        <v/>
      </c>
      <c r="AI155" s="29">
        <f>AG155/L155</f>
        <v/>
      </c>
      <c r="AJ155" s="21">
        <f>(O155+Q155+V155+X155+Y155+L155)/(1-(M155+$G$4+(1-H155)*$G$3+$G$8+Z155+AB155))</f>
        <v/>
      </c>
    </row>
    <row r="156">
      <c r="A156" s="50" t="inlineStr">
        <is>
          <t>MEDICUBE PDRN PINK PEPTIDE SERUM 30ml</t>
        </is>
      </c>
      <c r="B156" s="51" t="n">
        <v>320</v>
      </c>
      <c r="C156" s="49" t="n"/>
      <c r="D156" s="14" t="n">
        <v>4880</v>
      </c>
      <c r="E156" s="14" t="n">
        <v>220</v>
      </c>
      <c r="F156" s="14" t="n">
        <v>10</v>
      </c>
      <c r="G156" s="14" t="n">
        <v>4580</v>
      </c>
      <c r="H156" s="15" t="n">
        <v>0.45</v>
      </c>
      <c r="I156" s="16">
        <f>G156*(1-H156)</f>
        <v/>
      </c>
      <c r="J156" s="17" t="n">
        <v>674</v>
      </c>
      <c r="K156" s="18">
        <f>$G$5</f>
        <v/>
      </c>
      <c r="L156" s="19">
        <f>J156+K156</f>
        <v/>
      </c>
      <c r="M156" s="20" t="n">
        <v>0.41</v>
      </c>
      <c r="N156" s="21">
        <f>G156*M156</f>
        <v/>
      </c>
      <c r="O156" s="22" t="n">
        <v>63</v>
      </c>
      <c r="P156" s="21">
        <f>G156*$G$8</f>
        <v/>
      </c>
      <c r="Q156" s="22" t="n">
        <v>25</v>
      </c>
      <c r="R156" s="21">
        <f>G156*$G$4</f>
        <v/>
      </c>
      <c r="S156" s="21">
        <f>I156*$G$3</f>
        <v/>
      </c>
      <c r="T156" s="23" t="n">
        <v>0.9</v>
      </c>
      <c r="U156" s="22" t="n">
        <v>63</v>
      </c>
      <c r="V156" s="21">
        <f>U156*(1-T156)</f>
        <v/>
      </c>
      <c r="W156" s="24" t="n">
        <v>0.4</v>
      </c>
      <c r="X156" s="21">
        <f>$G$6*$G$7*W156</f>
        <v/>
      </c>
      <c r="Y156" s="19">
        <f>W156*($G$9+$G$10)</f>
        <v/>
      </c>
      <c r="Z156" s="20" t="n">
        <v>0.07000000000000001</v>
      </c>
      <c r="AA156" s="21">
        <f>G156*Z156</f>
        <v/>
      </c>
      <c r="AB156" s="23" t="n">
        <v>0.08</v>
      </c>
      <c r="AC156" s="21">
        <f>G156*AB156</f>
        <v/>
      </c>
      <c r="AD156" s="21">
        <f>AA156+AC156</f>
        <v/>
      </c>
      <c r="AE156" s="25">
        <f>AD156/G156</f>
        <v/>
      </c>
      <c r="AF156" s="26">
        <f>G156-N156-O156-P156-Q156-R156-S156-V156-X156-Y156-L156</f>
        <v/>
      </c>
      <c r="AG156" s="27">
        <f>AF156-AD156</f>
        <v/>
      </c>
      <c r="AH156" s="28">
        <f>AG156/G156</f>
        <v/>
      </c>
      <c r="AI156" s="29">
        <f>AG156/L156</f>
        <v/>
      </c>
      <c r="AJ156" s="21">
        <f>(O156+Q156+V156+X156+Y156+L156)/(1-(M156+$G$4+(1-H156)*$G$3+$G$8+Z156+AB156))</f>
        <v/>
      </c>
    </row>
    <row r="157">
      <c r="A157" s="50" t="inlineStr">
        <is>
          <t>MEDICUBE PDRN PINK EXOSOME SHOT SERUM 7500 30ml</t>
        </is>
      </c>
      <c r="B157" s="51" t="n">
        <v>400</v>
      </c>
      <c r="C157" s="53" t="n"/>
      <c r="D157" s="14" t="n">
        <v>5000</v>
      </c>
      <c r="E157" s="14" t="n">
        <v>60</v>
      </c>
      <c r="F157" s="14" t="n">
        <v>10</v>
      </c>
      <c r="G157" s="14" t="n">
        <v>4700</v>
      </c>
      <c r="H157" s="15" t="n">
        <v>0.45</v>
      </c>
      <c r="I157" s="16">
        <f>G157*(1-H157)</f>
        <v/>
      </c>
      <c r="J157" s="17" t="n">
        <v>833</v>
      </c>
      <c r="K157" s="18">
        <f>$G$5</f>
        <v/>
      </c>
      <c r="L157" s="19">
        <f>J157+K157</f>
        <v/>
      </c>
      <c r="M157" s="20" t="n">
        <v>0.41</v>
      </c>
      <c r="N157" s="21">
        <f>G157*M157</f>
        <v/>
      </c>
      <c r="O157" s="22" t="n">
        <v>63</v>
      </c>
      <c r="P157" s="21">
        <f>G157*$G$8</f>
        <v/>
      </c>
      <c r="Q157" s="22" t="n">
        <v>25</v>
      </c>
      <c r="R157" s="21">
        <f>G157*$G$4</f>
        <v/>
      </c>
      <c r="S157" s="21">
        <f>I157*$G$3</f>
        <v/>
      </c>
      <c r="T157" s="23" t="n">
        <v>0.9</v>
      </c>
      <c r="U157" s="22" t="n">
        <v>63</v>
      </c>
      <c r="V157" s="21">
        <f>U157*(1-T157)</f>
        <v/>
      </c>
      <c r="W157" s="24" t="n">
        <v>0.4</v>
      </c>
      <c r="X157" s="21">
        <f>$G$6*$G$7*W157</f>
        <v/>
      </c>
      <c r="Y157" s="19">
        <f>W157*($G$9+$G$10)</f>
        <v/>
      </c>
      <c r="Z157" s="20" t="n">
        <v>0.07000000000000001</v>
      </c>
      <c r="AA157" s="21">
        <f>G157*Z157</f>
        <v/>
      </c>
      <c r="AB157" s="23" t="n">
        <v>0.08</v>
      </c>
      <c r="AC157" s="21">
        <f>G157*AB157</f>
        <v/>
      </c>
      <c r="AD157" s="21">
        <f>AA157+AC157</f>
        <v/>
      </c>
      <c r="AE157" s="25">
        <f>AD157/G157</f>
        <v/>
      </c>
      <c r="AF157" s="26">
        <f>G157-N157-O157-P157-Q157-R157-S157-V157-X157-Y157-L157</f>
        <v/>
      </c>
      <c r="AG157" s="27">
        <f>AF157-AD157</f>
        <v/>
      </c>
      <c r="AH157" s="28">
        <f>AG157/G157</f>
        <v/>
      </c>
      <c r="AI157" s="29">
        <f>AG157/L157</f>
        <v/>
      </c>
      <c r="AJ157" s="21">
        <f>(O157+Q157+V157+X157+Y157+L157)/(1-(M157+$G$4+(1-H157)*$G$3+$G$8+Z157+AB157))</f>
        <v/>
      </c>
    </row>
    <row r="158">
      <c r="A158" s="50" t="inlineStr">
        <is>
          <t>MEDICUBE PDRN PINK EXOSOME SHOT SERUM 2000 30ml</t>
        </is>
      </c>
      <c r="B158" s="51" t="n">
        <v>300</v>
      </c>
      <c r="C158" s="49" t="n"/>
      <c r="D158" s="14" t="n">
        <v>5150</v>
      </c>
      <c r="E158" s="14" t="n">
        <v>65</v>
      </c>
      <c r="F158" s="14" t="n">
        <v>5</v>
      </c>
      <c r="G158" s="14" t="n">
        <v>4850</v>
      </c>
      <c r="H158" s="15" t="n">
        <v>0.45</v>
      </c>
      <c r="I158" s="16">
        <f>G158*(1-H158)</f>
        <v/>
      </c>
      <c r="J158" s="17" t="n">
        <v>757</v>
      </c>
      <c r="K158" s="18">
        <f>$G$5</f>
        <v/>
      </c>
      <c r="L158" s="19">
        <f>J158+K158</f>
        <v/>
      </c>
      <c r="M158" s="20" t="n">
        <v>0.41</v>
      </c>
      <c r="N158" s="21">
        <f>G158*M158</f>
        <v/>
      </c>
      <c r="O158" s="22" t="n">
        <v>63</v>
      </c>
      <c r="P158" s="21">
        <f>G158*$G$8</f>
        <v/>
      </c>
      <c r="Q158" s="22" t="n">
        <v>25</v>
      </c>
      <c r="R158" s="21">
        <f>G158*$G$4</f>
        <v/>
      </c>
      <c r="S158" s="21">
        <f>I158*$G$3</f>
        <v/>
      </c>
      <c r="T158" s="23" t="n">
        <v>0.9</v>
      </c>
      <c r="U158" s="22" t="n">
        <v>63</v>
      </c>
      <c r="V158" s="21">
        <f>U158*(1-T158)</f>
        <v/>
      </c>
      <c r="W158" s="24" t="n">
        <v>0.4</v>
      </c>
      <c r="X158" s="21">
        <f>$G$6*$G$7*W158</f>
        <v/>
      </c>
      <c r="Y158" s="19">
        <f>W158*($G$9+$G$10)</f>
        <v/>
      </c>
      <c r="Z158" s="20" t="n">
        <v>0.07000000000000001</v>
      </c>
      <c r="AA158" s="21">
        <f>G158*Z158</f>
        <v/>
      </c>
      <c r="AB158" s="23" t="n">
        <v>0.08</v>
      </c>
      <c r="AC158" s="21">
        <f>G158*AB158</f>
        <v/>
      </c>
      <c r="AD158" s="21">
        <f>AA158+AC158</f>
        <v/>
      </c>
      <c r="AE158" s="25">
        <f>AD158/G158</f>
        <v/>
      </c>
      <c r="AF158" s="26">
        <f>G158-N158-O158-P158-Q158-R158-S158-V158-X158-Y158-L158</f>
        <v/>
      </c>
      <c r="AG158" s="27">
        <f>AF158-AD158</f>
        <v/>
      </c>
      <c r="AH158" s="28">
        <f>AG158/G158</f>
        <v/>
      </c>
      <c r="AI158" s="29">
        <f>AG158/L158</f>
        <v/>
      </c>
      <c r="AJ158" s="21">
        <f>(O158+Q158+V158+X158+Y158+L158)/(1-(M158+$G$4+(1-H158)*$G$3+$G$8+Z158+AB158))</f>
        <v/>
      </c>
    </row>
    <row r="159">
      <c r="A159" s="50" t="inlineStr">
        <is>
          <t>MEDICUBE TXA NIACINAMIDE CAPSULE CREAM 55g</t>
        </is>
      </c>
      <c r="B159" s="51" t="n">
        <v>240</v>
      </c>
      <c r="C159" s="49" t="n"/>
      <c r="D159" s="14" t="n">
        <v>6900</v>
      </c>
      <c r="E159" s="14" t="n">
        <v>25</v>
      </c>
      <c r="F159" s="14" t="n">
        <v>0</v>
      </c>
      <c r="G159" s="14" t="n">
        <v>6500</v>
      </c>
      <c r="H159" s="15" t="n">
        <v>0.45</v>
      </c>
      <c r="I159" s="16">
        <f>G159*(1-H159)</f>
        <v/>
      </c>
      <c r="J159" s="17" t="n">
        <v>922</v>
      </c>
      <c r="K159" s="18">
        <f>$G$5</f>
        <v/>
      </c>
      <c r="L159" s="19">
        <f>J159+K159</f>
        <v/>
      </c>
      <c r="M159" s="20" t="n">
        <v>0.41</v>
      </c>
      <c r="N159" s="21">
        <f>G159*M159</f>
        <v/>
      </c>
      <c r="O159" s="22" t="n">
        <v>63</v>
      </c>
      <c r="P159" s="21">
        <f>G159*$G$8</f>
        <v/>
      </c>
      <c r="Q159" s="22" t="n">
        <v>25</v>
      </c>
      <c r="R159" s="21">
        <f>G159*$G$4</f>
        <v/>
      </c>
      <c r="S159" s="21">
        <f>I159*$G$3</f>
        <v/>
      </c>
      <c r="T159" s="23" t="n">
        <v>0.9</v>
      </c>
      <c r="U159" s="22" t="n">
        <v>63</v>
      </c>
      <c r="V159" s="21">
        <f>U159*(1-T159)</f>
        <v/>
      </c>
      <c r="W159" s="24" t="n">
        <v>0.4</v>
      </c>
      <c r="X159" s="21">
        <f>$G$6*$G$7*W159</f>
        <v/>
      </c>
      <c r="Y159" s="19">
        <f>W159*($G$9+$G$10)</f>
        <v/>
      </c>
      <c r="Z159" s="20" t="n">
        <v>0.07000000000000001</v>
      </c>
      <c r="AA159" s="21">
        <f>G159*Z159</f>
        <v/>
      </c>
      <c r="AB159" s="23" t="n">
        <v>0.08</v>
      </c>
      <c r="AC159" s="21">
        <f>G159*AB159</f>
        <v/>
      </c>
      <c r="AD159" s="21">
        <f>AA159+AC159</f>
        <v/>
      </c>
      <c r="AE159" s="25">
        <f>AD159/G159</f>
        <v/>
      </c>
      <c r="AF159" s="26">
        <f>G159-N159-O159-P159-Q159-R159-S159-V159-X159-Y159-L159</f>
        <v/>
      </c>
      <c r="AG159" s="27">
        <f>AF159-AD159</f>
        <v/>
      </c>
      <c r="AH159" s="28">
        <f>AG159/G159</f>
        <v/>
      </c>
      <c r="AI159" s="29">
        <f>AG159/L159</f>
        <v/>
      </c>
      <c r="AJ159" s="21">
        <f>(O159+Q159+V159+X159+Y159+L159)/(1-(M159+$G$4+(1-H159)*$G$3+$G$8+Z159+AB159))</f>
        <v/>
      </c>
    </row>
    <row r="160">
      <c r="A160" s="50" t="inlineStr">
        <is>
          <t>MEDICUBE PDRN PINK COLLAGEN CAPSULE CREAM 55g</t>
        </is>
      </c>
      <c r="B160" s="51" t="n">
        <v>160</v>
      </c>
      <c r="C160" s="49" t="n"/>
      <c r="D160" s="14" t="n">
        <v>5270</v>
      </c>
      <c r="E160" s="14" t="n">
        <v>200</v>
      </c>
      <c r="F160" s="14" t="n">
        <v>17</v>
      </c>
      <c r="G160" s="14" t="n">
        <v>5000</v>
      </c>
      <c r="H160" s="15" t="n">
        <v>0.45</v>
      </c>
      <c r="I160" s="16">
        <f>G160*(1-H160)</f>
        <v/>
      </c>
      <c r="J160" s="17" t="n">
        <v>1019</v>
      </c>
      <c r="K160" s="18">
        <f>$G$5</f>
        <v/>
      </c>
      <c r="L160" s="19">
        <f>J160+K160</f>
        <v/>
      </c>
      <c r="M160" s="20" t="n">
        <v>0.41</v>
      </c>
      <c r="N160" s="21">
        <f>G160*M160</f>
        <v/>
      </c>
      <c r="O160" s="22" t="n">
        <v>63</v>
      </c>
      <c r="P160" s="21">
        <f>G160*$G$8</f>
        <v/>
      </c>
      <c r="Q160" s="22" t="n">
        <v>25</v>
      </c>
      <c r="R160" s="21">
        <f>G160*$G$4</f>
        <v/>
      </c>
      <c r="S160" s="21">
        <f>I160*$G$3</f>
        <v/>
      </c>
      <c r="T160" s="23" t="n">
        <v>0.9</v>
      </c>
      <c r="U160" s="22" t="n">
        <v>63</v>
      </c>
      <c r="V160" s="21">
        <f>U160*(1-T160)</f>
        <v/>
      </c>
      <c r="W160" s="24" t="n">
        <v>0.4</v>
      </c>
      <c r="X160" s="21">
        <f>$G$6*$G$7*W160</f>
        <v/>
      </c>
      <c r="Y160" s="19">
        <f>W160*($G$9+$G$10)</f>
        <v/>
      </c>
      <c r="Z160" s="20" t="n">
        <v>0.07000000000000001</v>
      </c>
      <c r="AA160" s="21">
        <f>G160*Z160</f>
        <v/>
      </c>
      <c r="AB160" s="23" t="n">
        <v>0.08</v>
      </c>
      <c r="AC160" s="21">
        <f>G160*AB160</f>
        <v/>
      </c>
      <c r="AD160" s="21">
        <f>AA160+AC160</f>
        <v/>
      </c>
      <c r="AE160" s="25">
        <f>AD160/G160</f>
        <v/>
      </c>
      <c r="AF160" s="26">
        <f>G160-N160-O160-P160-Q160-R160-S160-V160-X160-Y160-L160</f>
        <v/>
      </c>
      <c r="AG160" s="27">
        <f>AF160-AD160</f>
        <v/>
      </c>
      <c r="AH160" s="28">
        <f>AG160/G160</f>
        <v/>
      </c>
      <c r="AI160" s="29">
        <f>AG160/L160</f>
        <v/>
      </c>
      <c r="AJ160" s="21">
        <f>(O160+Q160+V160+X160+Y160+L160)/(1-(M160+$G$4+(1-H160)*$G$3+$G$8+Z160+AB160))</f>
        <v/>
      </c>
    </row>
    <row r="161">
      <c r="A161" s="50" t="inlineStr">
        <is>
          <t>MEDICUBE PDRN PINK HYALURONIC MOISTURIZING CREAM 50ml</t>
        </is>
      </c>
      <c r="B161" s="51" t="n">
        <v>200</v>
      </c>
      <c r="C161" s="49" t="n"/>
      <c r="D161" s="14" t="n">
        <v>3450</v>
      </c>
      <c r="E161" s="14" t="n">
        <v>100</v>
      </c>
      <c r="F161" s="14" t="n">
        <v>10</v>
      </c>
      <c r="G161" s="14" t="n">
        <v>3150</v>
      </c>
      <c r="H161" s="15" t="n">
        <v>0.45</v>
      </c>
      <c r="I161" s="16">
        <f>G161*(1-H161)</f>
        <v/>
      </c>
      <c r="J161" s="17" t="n">
        <v>670</v>
      </c>
      <c r="K161" s="18">
        <f>$G$5</f>
        <v/>
      </c>
      <c r="L161" s="19">
        <f>J161+K161</f>
        <v/>
      </c>
      <c r="M161" s="20" t="n">
        <v>0.41</v>
      </c>
      <c r="N161" s="21">
        <f>G161*M161</f>
        <v/>
      </c>
      <c r="O161" s="22" t="n">
        <v>63</v>
      </c>
      <c r="P161" s="21">
        <f>G161*$G$8</f>
        <v/>
      </c>
      <c r="Q161" s="22" t="n">
        <v>25</v>
      </c>
      <c r="R161" s="21">
        <f>G161*$G$4</f>
        <v/>
      </c>
      <c r="S161" s="21">
        <f>I161*$G$3</f>
        <v/>
      </c>
      <c r="T161" s="23" t="n">
        <v>0.9</v>
      </c>
      <c r="U161" s="22" t="n">
        <v>63</v>
      </c>
      <c r="V161" s="21">
        <f>U161*(1-T161)</f>
        <v/>
      </c>
      <c r="W161" s="24" t="n">
        <v>0.4</v>
      </c>
      <c r="X161" s="21">
        <f>$G$6*$G$7*W161</f>
        <v/>
      </c>
      <c r="Y161" s="19">
        <f>W161*($G$9+$G$10)</f>
        <v/>
      </c>
      <c r="Z161" s="20" t="n">
        <v>0.07000000000000001</v>
      </c>
      <c r="AA161" s="21">
        <f>G161*Z161</f>
        <v/>
      </c>
      <c r="AB161" s="23" t="n">
        <v>0.08</v>
      </c>
      <c r="AC161" s="21">
        <f>G161*AB161</f>
        <v/>
      </c>
      <c r="AD161" s="21">
        <f>AA161+AC161</f>
        <v/>
      </c>
      <c r="AE161" s="25">
        <f>AD161/G161</f>
        <v/>
      </c>
      <c r="AF161" s="26">
        <f>G161-N161-O161-P161-Q161-R161-S161-V161-X161-Y161-L161</f>
        <v/>
      </c>
      <c r="AG161" s="27">
        <f>AF161-AD161</f>
        <v/>
      </c>
      <c r="AH161" s="28">
        <f>AG161/G161</f>
        <v/>
      </c>
      <c r="AI161" s="29">
        <f>AG161/L161</f>
        <v/>
      </c>
      <c r="AJ161" s="21">
        <f>(O161+Q161+V161+X161+Y161+L161)/(1-(M161+$G$4+(1-H161)*$G$3+$G$8+Z161+AB161))</f>
        <v/>
      </c>
    </row>
    <row r="162">
      <c r="A162" s="50" t="inlineStr">
        <is>
          <t>[Derma Factory] PDRN 4% Ampoule</t>
        </is>
      </c>
      <c r="B162" s="51" t="n">
        <v>1530</v>
      </c>
      <c r="C162" s="49" t="n"/>
      <c r="D162" s="14" t="n">
        <v>3350</v>
      </c>
      <c r="E162" s="14" t="n">
        <v>400</v>
      </c>
      <c r="F162" s="14" t="n">
        <v>13</v>
      </c>
      <c r="G162" s="14" t="n">
        <v>3050</v>
      </c>
      <c r="H162" s="15" t="n">
        <v>0.45</v>
      </c>
      <c r="I162" s="16">
        <f>G162*(1-H162)</f>
        <v/>
      </c>
      <c r="J162" s="17" t="n">
        <v>407</v>
      </c>
      <c r="K162" s="18">
        <f>$G$5</f>
        <v/>
      </c>
      <c r="L162" s="19">
        <f>J162+K162</f>
        <v/>
      </c>
      <c r="M162" s="20" t="n">
        <v>0.41</v>
      </c>
      <c r="N162" s="21">
        <f>G162*M162</f>
        <v/>
      </c>
      <c r="O162" s="22" t="n">
        <v>63</v>
      </c>
      <c r="P162" s="21">
        <f>G162*$G$8</f>
        <v/>
      </c>
      <c r="Q162" s="22" t="n">
        <v>25</v>
      </c>
      <c r="R162" s="21">
        <f>G162*$G$4</f>
        <v/>
      </c>
      <c r="S162" s="21">
        <f>I162*$G$3</f>
        <v/>
      </c>
      <c r="T162" s="23" t="n">
        <v>0.9</v>
      </c>
      <c r="U162" s="22" t="n">
        <v>63</v>
      </c>
      <c r="V162" s="21">
        <f>U162*(1-T162)</f>
        <v/>
      </c>
      <c r="W162" s="24" t="n">
        <v>0.4</v>
      </c>
      <c r="X162" s="21">
        <f>$G$6*$G$7*W162</f>
        <v/>
      </c>
      <c r="Y162" s="19">
        <f>W162*($G$9+$G$10)</f>
        <v/>
      </c>
      <c r="Z162" s="20" t="n">
        <v>0.07000000000000001</v>
      </c>
      <c r="AA162" s="21">
        <f>G162*Z162</f>
        <v/>
      </c>
      <c r="AB162" s="23" t="n">
        <v>0.08</v>
      </c>
      <c r="AC162" s="21">
        <f>G162*AB162</f>
        <v/>
      </c>
      <c r="AD162" s="21">
        <f>AA162+AC162</f>
        <v/>
      </c>
      <c r="AE162" s="25">
        <f>AD162/G162</f>
        <v/>
      </c>
      <c r="AF162" s="26">
        <f>G162-N162-O162-P162-Q162-R162-S162-V162-X162-Y162-L162</f>
        <v/>
      </c>
      <c r="AG162" s="27">
        <f>AF162-AD162</f>
        <v/>
      </c>
      <c r="AH162" s="28">
        <f>AG162/G162</f>
        <v/>
      </c>
      <c r="AI162" s="29">
        <f>AG162/L162</f>
        <v/>
      </c>
      <c r="AJ162" s="21">
        <f>(O162+Q162+V162+X162+Y162+L162)/(1-(M162+$G$4+(1-H162)*$G$3+$G$8+Z162+AB162))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163"/>
  <sheetViews>
    <sheetView workbookViewId="0">
      <pane xSplit="7" ySplit="13" topLeftCell="H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.7265625" customWidth="1" min="1" max="1"/>
    <col width="12.08984375" customWidth="1" min="2" max="2"/>
    <col width="18.81640625" customWidth="1" min="3" max="3"/>
    <col width="10" customWidth="1" min="4" max="4"/>
    <col width="11.08984375" customWidth="1" min="5" max="5"/>
    <col width="11.26953125" customWidth="1" min="6" max="6"/>
    <col width="10" customWidth="1" min="7" max="7"/>
    <col width="7.453125" customWidth="1" min="8" max="8"/>
    <col width="8.54296875" customWidth="1" min="9" max="9"/>
    <col width="7.7265625" customWidth="1" min="10" max="10"/>
    <col width="9.81640625" customWidth="1" min="11" max="11"/>
    <col width="7.08984375" customWidth="1" min="12" max="12"/>
    <col width="9.453125" customWidth="1" min="13" max="13"/>
    <col width="13.453125" customWidth="1" min="14" max="14"/>
    <col width="13.26953125" customWidth="1" min="15" max="15"/>
    <col width="9.26953125" customWidth="1" min="16" max="16"/>
    <col width="9.453125" customWidth="1" min="17" max="17"/>
    <col width="10" customWidth="1" min="18" max="18"/>
    <col width="6.453125" customWidth="1" min="19" max="19"/>
    <col width="9" customWidth="1" min="20" max="20"/>
    <col width="8.26953125" customWidth="1" min="21" max="21"/>
    <col width="13" customWidth="1" min="22" max="22"/>
    <col width="9.453125" customWidth="1" min="23" max="23"/>
    <col width="10" customWidth="1" min="24" max="24"/>
    <col width="13.453125" customWidth="1" min="25" max="25"/>
    <col width="10" customWidth="1" min="26" max="26"/>
    <col width="13" customWidth="1" min="27" max="27"/>
    <col width="8.7265625" customWidth="1" min="28" max="28"/>
    <col width="13" customWidth="1" min="29" max="29"/>
    <col width="9" customWidth="1" min="30" max="30"/>
    <col width="6.81640625" customWidth="1" min="31" max="31"/>
    <col width="10.453125" customWidth="1" min="32" max="32"/>
    <col width="8.54296875" customWidth="1" min="33" max="33"/>
    <col width="9.7265625" customWidth="1" min="34" max="34"/>
    <col width="6.453125" customWidth="1" min="35" max="35"/>
    <col width="9.08984375" customWidth="1" min="36" max="36"/>
    <col width="13" customWidth="1" min="37" max="37"/>
    <col width="13" customWidth="1" min="38" max="38"/>
  </cols>
  <sheetData>
    <row r="1">
      <c r="A1" s="59" t="inlineStr">
        <is>
          <t>ПАРАМЕТРЫ — меняй жёлтые ячейки, всё пересчитается</t>
        </is>
      </c>
    </row>
    <row r="3">
      <c r="A3" s="49" t="inlineStr">
        <is>
          <t>Налог с оборота</t>
        </is>
      </c>
      <c r="G3" s="60" t="n">
        <v>0.07000000000000001</v>
      </c>
    </row>
    <row r="4">
      <c r="A4" s="49" t="inlineStr">
        <is>
          <t>Эквайринг</t>
        </is>
      </c>
      <c r="G4" s="61" t="n">
        <v>0.015</v>
      </c>
    </row>
    <row r="5">
      <c r="A5" s="49" t="inlineStr">
        <is>
          <t>Фулфилмент, ₽/шт</t>
        </is>
      </c>
      <c r="G5" s="62" t="n">
        <v>60</v>
      </c>
    </row>
    <row r="6">
      <c r="A6" s="49" t="inlineStr">
        <is>
          <t>Хранение, ₽/л/день</t>
        </is>
      </c>
      <c r="G6" s="63" t="n">
        <v>0.16</v>
      </c>
    </row>
    <row r="7">
      <c r="A7" s="49" t="inlineStr">
        <is>
          <t>Дней хранения</t>
        </is>
      </c>
      <c r="G7" s="62" t="n">
        <v>0</v>
      </c>
    </row>
    <row r="8">
      <c r="A8" s="49" t="inlineStr">
        <is>
          <t>Наценка за нелокальные продажи %</t>
        </is>
      </c>
      <c r="G8" s="61" t="n">
        <v>0.02</v>
      </c>
    </row>
    <row r="9">
      <c r="A9" s="49" t="inlineStr">
        <is>
          <t>Кроссдок: обработка (склады/СЦ) ₽/л</t>
        </is>
      </c>
      <c r="G9" s="63" t="n">
        <v>0.75</v>
      </c>
    </row>
    <row r="10">
      <c r="A10" s="49" t="inlineStr">
        <is>
          <t>Кроссдок: перевозка ₽/л (средн. 26 скл.)</t>
        </is>
      </c>
      <c r="G10" s="63" t="n">
        <v>4.423</v>
      </c>
    </row>
    <row r="11">
      <c r="A11" t="inlineStr">
        <is>
          <t>Подписка, %</t>
        </is>
      </c>
      <c r="G11" s="64" t="n">
        <v>0.03</v>
      </c>
    </row>
    <row r="12">
      <c r="A12" t="inlineStr">
        <is>
          <t>Отгрузка на ПВЗ, ₽</t>
        </is>
      </c>
      <c r="G12" s="65" t="n">
        <v>10</v>
      </c>
    </row>
    <row r="13" ht="32" customHeight="1">
      <c r="A13" s="66" t="inlineStr">
        <is>
          <t>Товар</t>
        </is>
      </c>
      <c r="B13" s="66" t="inlineStr">
        <is>
          <t>Заказ контейнер шт</t>
        </is>
      </c>
      <c r="C13" s="66" t="inlineStr">
        <is>
          <t>Комментарий</t>
        </is>
      </c>
      <c r="D13" s="66" t="inlineStr">
        <is>
          <t>Цена конкурента без СПП</t>
        </is>
      </c>
      <c r="E13" s="66" t="inlineStr">
        <is>
          <t>Кол-во продаж конкурент</t>
        </is>
      </c>
      <c r="F13" s="66" t="inlineStr">
        <is>
          <t>ДРР конкурент</t>
        </is>
      </c>
      <c r="G13" s="66" t="inlineStr">
        <is>
          <t>Цена наша без СПП</t>
        </is>
      </c>
      <c r="H13" s="6" t="inlineStr">
        <is>
          <t>СПП, %</t>
        </is>
      </c>
      <c r="I13" s="7" t="inlineStr">
        <is>
          <t>Цена с СПП</t>
        </is>
      </c>
      <c r="J13" s="66" t="inlineStr">
        <is>
          <t>Себест.</t>
        </is>
      </c>
      <c r="K13" s="66" t="inlineStr">
        <is>
          <t>Фулфилмент</t>
        </is>
      </c>
      <c r="L13" s="8" t="inlineStr">
        <is>
          <t>База затрат</t>
        </is>
      </c>
      <c r="M13" s="7" t="inlineStr">
        <is>
          <t>Комиссия %</t>
        </is>
      </c>
      <c r="N13" s="66" t="inlineStr">
        <is>
          <t>Комиссия ₽</t>
        </is>
      </c>
      <c r="O13" s="66" t="inlineStr">
        <is>
          <t>Логистика</t>
        </is>
      </c>
      <c r="P13" s="66" t="inlineStr">
        <is>
          <t>Наценка нелок., ₽</t>
        </is>
      </c>
      <c r="Q13" s="66" t="inlineStr">
        <is>
          <t>Доставка до ПВЗ</t>
        </is>
      </c>
      <c r="R13" s="66" t="inlineStr">
        <is>
          <t>Эквайринг</t>
        </is>
      </c>
      <c r="S13" s="66" t="inlineStr">
        <is>
          <t>Налог</t>
        </is>
      </c>
      <c r="T13" s="66" t="inlineStr">
        <is>
          <t>Выкуп %</t>
        </is>
      </c>
      <c r="U13" s="66" t="inlineStr">
        <is>
          <t>Обр.лог база</t>
        </is>
      </c>
      <c r="V13" s="66" t="inlineStr">
        <is>
          <t>Обр.лог</t>
        </is>
      </c>
      <c r="W13" s="66" t="inlineStr">
        <is>
          <t>Объём, л</t>
        </is>
      </c>
      <c r="X13" s="66" t="inlineStr">
        <is>
          <t>Хранение</t>
        </is>
      </c>
      <c r="Y13" s="8" t="inlineStr">
        <is>
          <t>Кроссдок ср., ₽/ед</t>
        </is>
      </c>
      <c r="Z13" s="7" t="inlineStr">
        <is>
          <t>Оплата за клик, %</t>
        </is>
      </c>
      <c r="AA13" s="66" t="inlineStr">
        <is>
          <t>Оплата за клик ₽</t>
        </is>
      </c>
      <c r="AB13" s="66" t="inlineStr">
        <is>
          <t>Вывод в топ, %</t>
        </is>
      </c>
      <c r="AC13" s="66" t="inlineStr">
        <is>
          <t>Вывод в топ ₽</t>
        </is>
      </c>
      <c r="AD13" s="66" t="inlineStr">
        <is>
          <t>Реклама всего ₽</t>
        </is>
      </c>
      <c r="AE13" s="8" t="inlineStr">
        <is>
          <t>ДРР %</t>
        </is>
      </c>
      <c r="AF13" s="9" t="inlineStr">
        <is>
          <t>Маржа до рекл.</t>
        </is>
      </c>
      <c r="AG13" s="66" t="inlineStr">
        <is>
          <t>Маржа/шт</t>
        </is>
      </c>
      <c r="AH13" s="66" t="inlineStr">
        <is>
          <t>Маржа % цены</t>
        </is>
      </c>
      <c r="AI13" s="66" t="inlineStr">
        <is>
          <t>ROI %</t>
        </is>
      </c>
      <c r="AJ13" s="66" t="inlineStr">
        <is>
          <t>Цена безубыт.</t>
        </is>
      </c>
      <c r="AK13" s="67" t="inlineStr">
        <is>
          <t>Отгрузка на ПВЗ, ₽</t>
        </is>
      </c>
      <c r="AL13" s="67" t="inlineStr">
        <is>
          <t>Подписка, ₽</t>
        </is>
      </c>
    </row>
    <row r="14">
      <c r="A14" s="68" t="inlineStr">
        <is>
          <t>Косметика/COSRX</t>
        </is>
      </c>
      <c r="B14" s="69" t="n"/>
      <c r="C14" s="69" t="n"/>
      <c r="D14" s="69" t="n"/>
      <c r="E14" s="69" t="n"/>
      <c r="F14" s="69" t="n"/>
      <c r="G14" s="69" t="n"/>
      <c r="H14" s="69" t="n"/>
      <c r="I14" s="69" t="n"/>
      <c r="J14" s="69" t="n"/>
      <c r="K14" s="69" t="n"/>
      <c r="L14" s="69" t="n"/>
      <c r="M14" s="69" t="n"/>
      <c r="N14" s="69" t="n"/>
      <c r="O14" s="69" t="n"/>
      <c r="P14" s="69" t="n"/>
      <c r="Q14" s="69" t="n"/>
      <c r="R14" s="69" t="n"/>
      <c r="S14" s="69" t="n"/>
      <c r="T14" s="69" t="n"/>
      <c r="U14" s="69" t="n"/>
      <c r="V14" s="69" t="n"/>
      <c r="W14" s="69" t="n"/>
      <c r="X14" s="69" t="n"/>
      <c r="Y14" s="69" t="n"/>
      <c r="Z14" s="69" t="n"/>
      <c r="AA14" s="69" t="n"/>
      <c r="AB14" s="69" t="n"/>
      <c r="AC14" s="69" t="n"/>
      <c r="AD14" s="69" t="n"/>
      <c r="AE14" s="69" t="n"/>
      <c r="AF14" s="69" t="n"/>
      <c r="AG14" s="69" t="n"/>
      <c r="AH14" s="69" t="n"/>
      <c r="AI14" s="69" t="n"/>
      <c r="AJ14" s="69" t="n"/>
      <c r="AK14" s="69" t="n"/>
      <c r="AL14" s="69" t="n"/>
    </row>
    <row r="15">
      <c r="A15" s="70" t="inlineStr">
        <is>
          <t>COSRX - Salicylic Acid Daily Gentle Cleanser [150ml] / Пенка с салициловой кислотой для проблемной кожи</t>
        </is>
      </c>
      <c r="B15" s="71" t="n"/>
      <c r="C15" s="72" t="n"/>
      <c r="D15" s="73" t="n">
        <v>1680</v>
      </c>
      <c r="E15" s="73" t="n">
        <v>286</v>
      </c>
      <c r="F15" s="73" t="n">
        <v>22.3</v>
      </c>
      <c r="G15" s="73">
        <f>(1.25*L15+O15+Q15+V15+X15+Y15+AK15)/(1-M15-$G$8-$G$4-(1-H15)*$G$3-$G$11-Z15-AB15)</f>
        <v/>
      </c>
      <c r="H15" s="15" t="n">
        <v>0.45</v>
      </c>
      <c r="I15" s="16">
        <f>G15*(1-H15)</f>
        <v/>
      </c>
      <c r="J15" s="74" t="n">
        <v>343.82</v>
      </c>
      <c r="K15" s="75">
        <f>$G$5</f>
        <v/>
      </c>
      <c r="L15" s="19">
        <f>J15+K15</f>
        <v/>
      </c>
      <c r="M15" s="20" t="n">
        <v>0.47</v>
      </c>
      <c r="N15" s="76">
        <f>G15*M15</f>
        <v/>
      </c>
      <c r="O15" s="77" t="n">
        <v>67</v>
      </c>
      <c r="P15" s="76">
        <f>G15*$G$8</f>
        <v/>
      </c>
      <c r="Q15" s="77" t="n">
        <v>25</v>
      </c>
      <c r="R15" s="76">
        <f>G15*$G$4</f>
        <v/>
      </c>
      <c r="S15" s="76">
        <f>I15*$G$3</f>
        <v/>
      </c>
      <c r="T15" s="78" t="n">
        <v>0.9</v>
      </c>
      <c r="U15" s="77" t="n">
        <v>67</v>
      </c>
      <c r="V15" s="76">
        <f>U15*(1-T15)</f>
        <v/>
      </c>
      <c r="W15" s="79" t="n">
        <v>0.63</v>
      </c>
      <c r="X15" s="76">
        <f>$G$6*$G$7*W15</f>
        <v/>
      </c>
      <c r="Y15" s="19">
        <f>W15*($G$9+$G$10)</f>
        <v/>
      </c>
      <c r="Z15" s="20" t="n">
        <v>0.11</v>
      </c>
      <c r="AA15" s="76">
        <f>G15*Z15</f>
        <v/>
      </c>
      <c r="AB15" s="78" t="n">
        <v>0.11</v>
      </c>
      <c r="AC15" s="76">
        <f>G15*AB15</f>
        <v/>
      </c>
      <c r="AD15" s="76">
        <f>AA15+AC15</f>
        <v/>
      </c>
      <c r="AE15" s="25">
        <f>AD15/G15</f>
        <v/>
      </c>
      <c r="AF15" s="26">
        <f>G15-N15-O15-P15-Q15-R15-S15-V15-X15-Y15-L15-AK15-AL15</f>
        <v/>
      </c>
      <c r="AG15" s="80">
        <f>AF15-AD15</f>
        <v/>
      </c>
      <c r="AH15" s="81">
        <f>AG15/G15</f>
        <v/>
      </c>
      <c r="AI15" s="82">
        <f>AG15/L15</f>
        <v/>
      </c>
      <c r="AJ15" s="76">
        <f>(O15+Q15+V15+X15+Y15+L15+AK15)/(1-(M15+$G$4+(1-H15)*$G$3+$G$8+$G$11+Z15+AB15))</f>
        <v/>
      </c>
      <c r="AK15" s="76">
        <f>$G$12</f>
        <v/>
      </c>
      <c r="AL15" s="76">
        <f>G15*$G$11</f>
        <v/>
      </c>
    </row>
    <row r="16">
      <c r="A16" s="68" t="inlineStr">
        <is>
          <t>Косметика/DEOPROCE/DEOPROCE-SHAMPOO</t>
        </is>
      </c>
      <c r="B16" s="69" t="n"/>
      <c r="C16" s="69" t="n"/>
      <c r="D16" s="69" t="n"/>
      <c r="E16" s="69" t="n"/>
      <c r="F16" s="69" t="n"/>
      <c r="G16" s="69" t="n"/>
      <c r="H16" s="69" t="n"/>
      <c r="I16" s="69" t="n"/>
      <c r="J16" s="69" t="n"/>
      <c r="K16" s="69" t="n"/>
      <c r="L16" s="69" t="n"/>
      <c r="M16" s="69" t="n"/>
      <c r="N16" s="69" t="n"/>
      <c r="O16" s="69" t="n"/>
      <c r="P16" s="69" t="n"/>
      <c r="Q16" s="69" t="n"/>
      <c r="R16" s="69" t="n"/>
      <c r="S16" s="69" t="n"/>
      <c r="T16" s="69" t="n"/>
      <c r="U16" s="69" t="n"/>
      <c r="V16" s="69" t="n"/>
      <c r="W16" s="69" t="n"/>
      <c r="X16" s="69" t="n"/>
      <c r="Y16" s="69" t="n"/>
      <c r="Z16" s="69" t="n"/>
      <c r="AA16" s="69" t="n"/>
      <c r="AB16" s="69" t="n"/>
      <c r="AC16" s="69" t="n"/>
      <c r="AD16" s="69" t="n"/>
      <c r="AE16" s="69" t="n"/>
      <c r="AF16" s="69" t="n"/>
      <c r="AG16" s="69" t="n"/>
      <c r="AH16" s="69" t="n"/>
      <c r="AI16" s="69" t="n"/>
      <c r="AJ16" s="69" t="n"/>
      <c r="AK16" s="69" t="n"/>
      <c r="AL16" s="69" t="n"/>
    </row>
    <row r="17">
      <c r="A17" s="83" t="inlineStr">
        <is>
          <t>DEOPROCE SHAMPOO - BLACK GARLIC INTENSME ENERGY [600ml] мягкая упаковка Шампунь с черным чесноком против выпадения волос</t>
        </is>
      </c>
      <c r="B17" s="84" t="n"/>
      <c r="C17" s="84" t="n"/>
      <c r="D17" s="85" t="n"/>
      <c r="E17" s="85" t="n"/>
      <c r="F17" s="85" t="n"/>
      <c r="G17" s="85" t="n"/>
      <c r="H17" s="32" t="n"/>
      <c r="I17" s="33" t="n"/>
      <c r="J17" s="86" t="n"/>
      <c r="K17" s="86" t="n"/>
      <c r="L17" s="35" t="n"/>
      <c r="M17" s="36" t="n"/>
      <c r="N17" s="85" t="n"/>
      <c r="O17" s="85" t="n"/>
      <c r="P17" s="85" t="n"/>
      <c r="Q17" s="85" t="n"/>
      <c r="R17" s="85" t="n"/>
      <c r="S17" s="85" t="n"/>
      <c r="T17" s="87" t="n"/>
      <c r="U17" s="85" t="n"/>
      <c r="V17" s="85" t="n"/>
      <c r="W17" s="88" t="n"/>
      <c r="X17" s="85" t="n"/>
      <c r="Y17" s="35" t="n"/>
      <c r="Z17" s="36" t="n"/>
      <c r="AA17" s="85" t="n"/>
      <c r="AB17" s="87" t="n"/>
      <c r="AC17" s="85" t="n"/>
      <c r="AD17" s="85" t="n"/>
      <c r="AE17" s="39" t="n"/>
      <c r="AF17" s="40" t="n"/>
      <c r="AG17" s="85" t="n"/>
      <c r="AH17" s="87" t="n"/>
      <c r="AI17" s="87" t="n"/>
      <c r="AJ17" s="85" t="n"/>
      <c r="AK17" s="85" t="n"/>
      <c r="AL17" s="85" t="n"/>
    </row>
    <row r="18">
      <c r="A18" s="83" t="inlineStr">
        <is>
          <t>DEOPROCE SHAMPOO - BLACK GARLIC INTENSME ENERGY [600ml] мягкая упаковка с колпачком,Шампунь с черным чесноком против выпадения волос</t>
        </is>
      </c>
      <c r="B18" s="84" t="n"/>
      <c r="C18" s="84" t="n"/>
      <c r="D18" s="85" t="n"/>
      <c r="E18" s="85" t="n"/>
      <c r="F18" s="85" t="n"/>
      <c r="G18" s="85" t="n"/>
      <c r="H18" s="32" t="n"/>
      <c r="I18" s="33" t="n"/>
      <c r="J18" s="86" t="n"/>
      <c r="K18" s="86" t="n"/>
      <c r="L18" s="35" t="n"/>
      <c r="M18" s="36" t="n"/>
      <c r="N18" s="85" t="n"/>
      <c r="O18" s="85" t="n"/>
      <c r="P18" s="85" t="n"/>
      <c r="Q18" s="85" t="n"/>
      <c r="R18" s="85" t="n"/>
      <c r="S18" s="85" t="n"/>
      <c r="T18" s="87" t="n"/>
      <c r="U18" s="85" t="n"/>
      <c r="V18" s="85" t="n"/>
      <c r="W18" s="88" t="n"/>
      <c r="X18" s="85" t="n"/>
      <c r="Y18" s="35" t="n"/>
      <c r="Z18" s="36" t="n"/>
      <c r="AA18" s="85" t="n"/>
      <c r="AB18" s="87" t="n"/>
      <c r="AC18" s="85" t="n"/>
      <c r="AD18" s="85" t="n"/>
      <c r="AE18" s="39" t="n"/>
      <c r="AF18" s="40" t="n"/>
      <c r="AG18" s="85" t="n"/>
      <c r="AH18" s="87" t="n"/>
      <c r="AI18" s="87" t="n"/>
      <c r="AJ18" s="85" t="n"/>
      <c r="AK18" s="85" t="n"/>
      <c r="AL18" s="85" t="n"/>
    </row>
    <row r="19">
      <c r="A19" s="70" t="inlineStr">
        <is>
          <t>DEOPROCE SHAMPOO - BLACK GARLIC INTENSME ENERGY [200ml]/ Шампунь с черным чесноком против выпадения волос</t>
        </is>
      </c>
      <c r="B19" s="71" t="n"/>
      <c r="C19" s="72" t="n"/>
      <c r="D19" s="73" t="n">
        <v>980</v>
      </c>
      <c r="E19" s="73" t="n">
        <v>8</v>
      </c>
      <c r="F19" s="73" t="n">
        <v>0</v>
      </c>
      <c r="G19" s="73">
        <f>(1.25*L19+O19+Q19+V19+X19+Y19+AK19)/(1-M19-$G$8-$G$4-(1-H19)*$G$3-$G$11-Z19-AB19)</f>
        <v/>
      </c>
      <c r="H19" s="15" t="n">
        <v>0.45</v>
      </c>
      <c r="I19" s="16">
        <f>G19*(1-H19)</f>
        <v/>
      </c>
      <c r="J19" s="74" t="n">
        <v>151.13</v>
      </c>
      <c r="K19" s="75">
        <f>$G$5</f>
        <v/>
      </c>
      <c r="L19" s="19">
        <f>J19+K19</f>
        <v/>
      </c>
      <c r="M19" s="20" t="n">
        <v>0.47</v>
      </c>
      <c r="N19" s="76">
        <f>G19*M19</f>
        <v/>
      </c>
      <c r="O19" s="77" t="n">
        <v>67</v>
      </c>
      <c r="P19" s="76">
        <f>G19*$G$8</f>
        <v/>
      </c>
      <c r="Q19" s="77" t="n">
        <v>25</v>
      </c>
      <c r="R19" s="76">
        <f>G19*$G$4</f>
        <v/>
      </c>
      <c r="S19" s="76">
        <f>I19*$G$3</f>
        <v/>
      </c>
      <c r="T19" s="78" t="n">
        <v>0.9</v>
      </c>
      <c r="U19" s="77" t="n">
        <v>67</v>
      </c>
      <c r="V19" s="76">
        <f>U19*(1-T19)</f>
        <v/>
      </c>
      <c r="W19" s="79" t="n">
        <v>0.68</v>
      </c>
      <c r="X19" s="76">
        <f>$G$6*$G$7*W19</f>
        <v/>
      </c>
      <c r="Y19" s="19">
        <f>W19*($G$9+$G$10)</f>
        <v/>
      </c>
      <c r="Z19" s="20" t="n">
        <v>0.07000000000000001</v>
      </c>
      <c r="AA19" s="76">
        <f>G19*Z19</f>
        <v/>
      </c>
      <c r="AB19" s="78" t="n">
        <v>0.08</v>
      </c>
      <c r="AC19" s="76">
        <f>G19*AB19</f>
        <v/>
      </c>
      <c r="AD19" s="76">
        <f>AA19+AC19</f>
        <v/>
      </c>
      <c r="AE19" s="25">
        <f>AD19/G19</f>
        <v/>
      </c>
      <c r="AF19" s="26">
        <f>G19-N19-O19-P19-Q19-R19-S19-V19-X19-Y19-L19-AK19-AL19</f>
        <v/>
      </c>
      <c r="AG19" s="80">
        <f>AF19-AD19</f>
        <v/>
      </c>
      <c r="AH19" s="81">
        <f>AG19/G19</f>
        <v/>
      </c>
      <c r="AI19" s="82">
        <f>AG19/L19</f>
        <v/>
      </c>
      <c r="AJ19" s="76">
        <f>(O19+Q19+V19+X19+Y19+L19+AK19)/(1-(M19+$G$4+(1-H19)*$G$3+$G$8+$G$11+Z19+AB19))</f>
        <v/>
      </c>
      <c r="AK19" s="76">
        <f>$G$12</f>
        <v/>
      </c>
      <c r="AL19" s="76">
        <f>G19*$G$11</f>
        <v/>
      </c>
    </row>
    <row r="20">
      <c r="A20" s="68" t="inlineStr">
        <is>
          <t>Косметика/DEOPROCE/НАБОР ШАМПУНЬ+БАЛЬЗАМ</t>
        </is>
      </c>
      <c r="B20" s="69" t="n"/>
      <c r="C20" s="69" t="n"/>
      <c r="D20" s="69" t="n"/>
      <c r="E20" s="69" t="n"/>
      <c r="F20" s="69" t="n"/>
      <c r="G20" s="69" t="n"/>
      <c r="H20" s="69" t="n"/>
      <c r="I20" s="69" t="n"/>
      <c r="J20" s="69" t="n"/>
      <c r="K20" s="69" t="n"/>
      <c r="L20" s="69" t="n"/>
      <c r="M20" s="69" t="n"/>
      <c r="N20" s="69" t="n"/>
      <c r="O20" s="69" t="n"/>
      <c r="P20" s="69" t="n"/>
      <c r="Q20" s="69" t="n"/>
      <c r="R20" s="69" t="n"/>
      <c r="S20" s="69" t="n"/>
      <c r="T20" s="69" t="n"/>
      <c r="U20" s="69" t="n"/>
      <c r="V20" s="69" t="n"/>
      <c r="W20" s="69" t="n"/>
      <c r="X20" s="69" t="n"/>
      <c r="Y20" s="69" t="n"/>
      <c r="Z20" s="69" t="n"/>
      <c r="AA20" s="69" t="n"/>
      <c r="AB20" s="69" t="n"/>
      <c r="AC20" s="69" t="n"/>
      <c r="AD20" s="69" t="n"/>
      <c r="AE20" s="69" t="n"/>
      <c r="AF20" s="69" t="n"/>
      <c r="AG20" s="69" t="n"/>
      <c r="AH20" s="69" t="n"/>
      <c r="AI20" s="69" t="n"/>
      <c r="AJ20" s="69" t="n"/>
      <c r="AK20" s="69" t="n"/>
      <c r="AL20" s="69" t="n"/>
    </row>
    <row r="21">
      <c r="A21" s="83" t="inlineStr">
        <is>
          <t>DEOPROCE SHAMPOO+BALSAM - BLACK GARLIC[2000ml]</t>
        </is>
      </c>
      <c r="B21" s="84" t="n"/>
      <c r="C21" s="84" t="n"/>
      <c r="D21" s="85" t="n"/>
      <c r="E21" s="85" t="n"/>
      <c r="F21" s="85" t="n"/>
      <c r="G21" s="85" t="n"/>
      <c r="H21" s="32" t="n"/>
      <c r="I21" s="33" t="n"/>
      <c r="J21" s="86" t="n"/>
      <c r="K21" s="86" t="n"/>
      <c r="L21" s="35" t="n"/>
      <c r="M21" s="36" t="n"/>
      <c r="N21" s="85" t="n"/>
      <c r="O21" s="85" t="n"/>
      <c r="P21" s="85" t="n"/>
      <c r="Q21" s="85" t="n"/>
      <c r="R21" s="85" t="n"/>
      <c r="S21" s="85" t="n"/>
      <c r="T21" s="87" t="n"/>
      <c r="U21" s="85" t="n"/>
      <c r="V21" s="85" t="n"/>
      <c r="W21" s="88" t="n"/>
      <c r="X21" s="85" t="n"/>
      <c r="Y21" s="35" t="n"/>
      <c r="Z21" s="36" t="n"/>
      <c r="AA21" s="85" t="n"/>
      <c r="AB21" s="87" t="n"/>
      <c r="AC21" s="85" t="n"/>
      <c r="AD21" s="85" t="n"/>
      <c r="AE21" s="39" t="n"/>
      <c r="AF21" s="40" t="n"/>
      <c r="AG21" s="85" t="n"/>
      <c r="AH21" s="87" t="n"/>
      <c r="AI21" s="87" t="n"/>
      <c r="AJ21" s="85" t="n"/>
      <c r="AK21" s="85" t="n"/>
      <c r="AL21" s="85" t="n"/>
    </row>
    <row r="22">
      <c r="A22" s="68" t="inlineStr">
        <is>
          <t>Косметика/DR.JART</t>
        </is>
      </c>
      <c r="B22" s="69" t="n"/>
      <c r="C22" s="69" t="n"/>
      <c r="D22" s="69" t="n"/>
      <c r="E22" s="69" t="n"/>
      <c r="F22" s="69" t="n"/>
      <c r="G22" s="69" t="n"/>
      <c r="H22" s="69" t="n"/>
      <c r="I22" s="69" t="n"/>
      <c r="J22" s="69" t="n"/>
      <c r="K22" s="69" t="n"/>
      <c r="L22" s="69" t="n"/>
      <c r="M22" s="69" t="n"/>
      <c r="N22" s="69" t="n"/>
      <c r="O22" s="69" t="n"/>
      <c r="P22" s="69" t="n"/>
      <c r="Q22" s="69" t="n"/>
      <c r="R22" s="69" t="n"/>
      <c r="S22" s="69" t="n"/>
      <c r="T22" s="69" t="n"/>
      <c r="U22" s="69" t="n"/>
      <c r="V22" s="69" t="n"/>
      <c r="W22" s="69" t="n"/>
      <c r="X22" s="69" t="n"/>
      <c r="Y22" s="69" t="n"/>
      <c r="Z22" s="69" t="n"/>
      <c r="AA22" s="69" t="n"/>
      <c r="AB22" s="69" t="n"/>
      <c r="AC22" s="69" t="n"/>
      <c r="AD22" s="69" t="n"/>
      <c r="AE22" s="69" t="n"/>
      <c r="AF22" s="69" t="n"/>
      <c r="AG22" s="69" t="n"/>
      <c r="AH22" s="69" t="n"/>
      <c r="AI22" s="69" t="n"/>
      <c r="AJ22" s="69" t="n"/>
      <c r="AK22" s="69" t="n"/>
      <c r="AL22" s="69" t="n"/>
    </row>
    <row r="23">
      <c r="A23" s="70" t="inlineStr">
        <is>
          <t>DR. JART - Ctrl+A Teatreatment Toner [120ml] / Тонер тоник для лица увлажняющий с чайным деревом</t>
        </is>
      </c>
      <c r="B23" s="71" t="n"/>
      <c r="C23" s="72" t="n"/>
      <c r="D23" s="73" t="n"/>
      <c r="E23" s="73" t="inlineStr">
        <is>
          <t>89 (Закончились)</t>
        </is>
      </c>
      <c r="F23" s="73" t="n">
        <v>9.199999999999999</v>
      </c>
      <c r="G23" s="73">
        <f>(1.25*L23+O23+Q23+V23+X23+Y23+AK23)/(1-M23-$G$8-$G$4-(1-H23)*$G$3-$G$11-Z23-AB23)</f>
        <v/>
      </c>
      <c r="H23" s="15" t="n">
        <v>0.45</v>
      </c>
      <c r="I23" s="16">
        <f>G23*(1-H23)</f>
        <v/>
      </c>
      <c r="J23" s="74" t="n">
        <v>637.89</v>
      </c>
      <c r="K23" s="75">
        <f>$G$5</f>
        <v/>
      </c>
      <c r="L23" s="19">
        <f>J23+K23</f>
        <v/>
      </c>
      <c r="M23" s="20" t="n">
        <v>0.47</v>
      </c>
      <c r="N23" s="76">
        <f>G23*M23</f>
        <v/>
      </c>
      <c r="O23" s="77" t="n">
        <v>63</v>
      </c>
      <c r="P23" s="76">
        <f>G23*$G$8</f>
        <v/>
      </c>
      <c r="Q23" s="77" t="n">
        <v>25</v>
      </c>
      <c r="R23" s="76">
        <f>G23*$G$4</f>
        <v/>
      </c>
      <c r="S23" s="76">
        <f>I23*$G$3</f>
        <v/>
      </c>
      <c r="T23" s="78" t="n">
        <v>0.9</v>
      </c>
      <c r="U23" s="77" t="n">
        <v>63</v>
      </c>
      <c r="V23" s="76">
        <f>U23*(1-T23)</f>
        <v/>
      </c>
      <c r="W23" s="79" t="n">
        <v>0.33</v>
      </c>
      <c r="X23" s="76">
        <f>$G$6*$G$7*W23</f>
        <v/>
      </c>
      <c r="Y23" s="19">
        <f>W23*($G$9+$G$10)</f>
        <v/>
      </c>
      <c r="Z23" s="20" t="n">
        <v>0.07000000000000001</v>
      </c>
      <c r="AA23" s="76">
        <f>G23*Z23</f>
        <v/>
      </c>
      <c r="AB23" s="78" t="n">
        <v>0.08</v>
      </c>
      <c r="AC23" s="76">
        <f>G23*AB23</f>
        <v/>
      </c>
      <c r="AD23" s="76">
        <f>AA23+AC23</f>
        <v/>
      </c>
      <c r="AE23" s="25">
        <f>AD23/G23</f>
        <v/>
      </c>
      <c r="AF23" s="26">
        <f>G23-N23-O23-P23-Q23-R23-S23-V23-X23-Y23-L23-AK23-AL23</f>
        <v/>
      </c>
      <c r="AG23" s="80">
        <f>AF23-AD23</f>
        <v/>
      </c>
      <c r="AH23" s="81">
        <f>AG23/G23</f>
        <v/>
      </c>
      <c r="AI23" s="82">
        <f>AG23/L23</f>
        <v/>
      </c>
      <c r="AJ23" s="76">
        <f>(O23+Q23+V23+X23+Y23+L23+AK23)/(1-(M23+$G$4+(1-H23)*$G$3+$G$8+$G$11+Z23+AB23))</f>
        <v/>
      </c>
      <c r="AK23" s="76">
        <f>$G$12</f>
        <v/>
      </c>
      <c r="AL23" s="76">
        <f>G23*$G$11</f>
        <v/>
      </c>
    </row>
    <row r="24">
      <c r="A24" s="68" t="inlineStr">
        <is>
          <t>Косметика/EKEL</t>
        </is>
      </c>
      <c r="B24" s="69" t="n"/>
      <c r="C24" s="69" t="n"/>
      <c r="D24" s="69" t="n"/>
      <c r="E24" s="69" t="n"/>
      <c r="F24" s="69" t="n"/>
      <c r="G24" s="69" t="n"/>
      <c r="H24" s="69" t="n"/>
      <c r="I24" s="69" t="n"/>
      <c r="J24" s="69" t="n"/>
      <c r="K24" s="69" t="n"/>
      <c r="L24" s="69" t="n"/>
      <c r="M24" s="69" t="n"/>
      <c r="N24" s="69" t="n"/>
      <c r="O24" s="69" t="n"/>
      <c r="P24" s="69" t="n"/>
      <c r="Q24" s="69" t="n"/>
      <c r="R24" s="69" t="n"/>
      <c r="S24" s="69" t="n"/>
      <c r="T24" s="69" t="n"/>
      <c r="U24" s="69" t="n"/>
      <c r="V24" s="69" t="n"/>
      <c r="W24" s="69" t="n"/>
      <c r="X24" s="69" t="n"/>
      <c r="Y24" s="69" t="n"/>
      <c r="Z24" s="69" t="n"/>
      <c r="AA24" s="69" t="n"/>
      <c r="AB24" s="69" t="n"/>
      <c r="AC24" s="69" t="n"/>
      <c r="AD24" s="69" t="n"/>
      <c r="AE24" s="69" t="n"/>
      <c r="AF24" s="69" t="n"/>
      <c r="AG24" s="69" t="n"/>
      <c r="AH24" s="69" t="n"/>
      <c r="AI24" s="69" t="n"/>
      <c r="AJ24" s="69" t="n"/>
      <c r="AK24" s="69" t="n"/>
      <c r="AL24" s="69" t="n"/>
    </row>
    <row r="25">
      <c r="A25" s="70" t="inlineStr">
        <is>
          <t>EKEL - Ampule Сream Сollagen [70ml] / Крем для лица ампульный с коллагеном</t>
        </is>
      </c>
      <c r="B25" s="71" t="n"/>
      <c r="C25" s="72" t="n"/>
      <c r="D25" s="73" t="n">
        <v>1280</v>
      </c>
      <c r="E25" s="73" t="n">
        <v>4</v>
      </c>
      <c r="F25" s="73" t="n">
        <v>0</v>
      </c>
      <c r="G25" s="73">
        <f>(1.25*L25+O25+Q25+V25+X25+Y25+AK25)/(1-M25-$G$8-$G$4-(1-H25)*$G$3-$G$11-Z25-AB25)</f>
        <v/>
      </c>
      <c r="H25" s="15" t="n">
        <v>0.45</v>
      </c>
      <c r="I25" s="16">
        <f>G25*(1-H25)</f>
        <v/>
      </c>
      <c r="J25" s="74" t="n">
        <v>142.13</v>
      </c>
      <c r="K25" s="75">
        <f>$G$5</f>
        <v/>
      </c>
      <c r="L25" s="19">
        <f>J25+K25</f>
        <v/>
      </c>
      <c r="M25" s="20" t="n">
        <v>0.47</v>
      </c>
      <c r="N25" s="76">
        <f>G25*M25</f>
        <v/>
      </c>
      <c r="O25" s="77" t="n">
        <v>67</v>
      </c>
      <c r="P25" s="76">
        <f>G25*$G$8</f>
        <v/>
      </c>
      <c r="Q25" s="77" t="n">
        <v>25</v>
      </c>
      <c r="R25" s="76">
        <f>G25*$G$4</f>
        <v/>
      </c>
      <c r="S25" s="76">
        <f>I25*$G$3</f>
        <v/>
      </c>
      <c r="T25" s="78" t="n">
        <v>0.9</v>
      </c>
      <c r="U25" s="77" t="n">
        <v>67</v>
      </c>
      <c r="V25" s="76">
        <f>U25*(1-T25)</f>
        <v/>
      </c>
      <c r="W25" s="79" t="n">
        <v>0.42</v>
      </c>
      <c r="X25" s="76">
        <f>$G$6*$G$7*W25</f>
        <v/>
      </c>
      <c r="Y25" s="19">
        <f>W25*($G$9+$G$10)</f>
        <v/>
      </c>
      <c r="Z25" s="20" t="n">
        <v>0.07000000000000001</v>
      </c>
      <c r="AA25" s="76">
        <f>G25*Z25</f>
        <v/>
      </c>
      <c r="AB25" s="78" t="n">
        <v>0.08</v>
      </c>
      <c r="AC25" s="76">
        <f>G25*AB25</f>
        <v/>
      </c>
      <c r="AD25" s="76">
        <f>AA25+AC25</f>
        <v/>
      </c>
      <c r="AE25" s="25">
        <f>AD25/G25</f>
        <v/>
      </c>
      <c r="AF25" s="26">
        <f>G25-N25-O25-P25-Q25-R25-S25-V25-X25-Y25-L25-AK25-AL25</f>
        <v/>
      </c>
      <c r="AG25" s="80">
        <f>AF25-AD25</f>
        <v/>
      </c>
      <c r="AH25" s="81">
        <f>AG25/G25</f>
        <v/>
      </c>
      <c r="AI25" s="82">
        <f>AG25/L25</f>
        <v/>
      </c>
      <c r="AJ25" s="76">
        <f>(O25+Q25+V25+X25+Y25+L25+AK25)/(1-(M25+$G$4+(1-H25)*$G$3+$G$8+$G$11+Z25+AB25))</f>
        <v/>
      </c>
      <c r="AK25" s="76">
        <f>$G$12</f>
        <v/>
      </c>
      <c r="AL25" s="76">
        <f>G25*$G$11</f>
        <v/>
      </c>
    </row>
    <row r="26">
      <c r="A26" s="68" t="inlineStr">
        <is>
          <t>Косметика/ELIZAVECCA</t>
        </is>
      </c>
      <c r="B26" s="69" t="n"/>
      <c r="C26" s="69" t="n"/>
      <c r="D26" s="69" t="n"/>
      <c r="E26" s="69" t="n"/>
      <c r="F26" s="69" t="n"/>
      <c r="G26" s="69" t="n"/>
      <c r="H26" s="69" t="n"/>
      <c r="I26" s="69" t="n"/>
      <c r="J26" s="69" t="n"/>
      <c r="K26" s="69" t="n"/>
      <c r="L26" s="69" t="n"/>
      <c r="M26" s="69" t="n"/>
      <c r="N26" s="69" t="n"/>
      <c r="O26" s="69" t="n"/>
      <c r="P26" s="69" t="n"/>
      <c r="Q26" s="69" t="n"/>
      <c r="R26" s="69" t="n"/>
      <c r="S26" s="69" t="n"/>
      <c r="T26" s="69" t="n"/>
      <c r="U26" s="69" t="n"/>
      <c r="V26" s="69" t="n"/>
      <c r="W26" s="69" t="n"/>
      <c r="X26" s="69" t="n"/>
      <c r="Y26" s="69" t="n"/>
      <c r="Z26" s="69" t="n"/>
      <c r="AA26" s="69" t="n"/>
      <c r="AB26" s="69" t="n"/>
      <c r="AC26" s="69" t="n"/>
      <c r="AD26" s="69" t="n"/>
      <c r="AE26" s="69" t="n"/>
      <c r="AF26" s="69" t="n"/>
      <c r="AG26" s="69" t="n"/>
      <c r="AH26" s="69" t="n"/>
      <c r="AI26" s="69" t="n"/>
      <c r="AJ26" s="69" t="n"/>
      <c r="AK26" s="69" t="n"/>
      <c r="AL26" s="69" t="n"/>
    </row>
    <row r="27">
      <c r="A27" s="70" t="inlineStr">
        <is>
          <t>ELIZAVECCA - CER-100 Collagen Ceramide Coating Protein Treatment [100ml] / Коллагеновая маска для волос</t>
        </is>
      </c>
      <c r="B27" s="71" t="n"/>
      <c r="C27" s="72" t="n"/>
      <c r="D27" s="73" t="n">
        <v>1315</v>
      </c>
      <c r="E27" s="73" t="n">
        <v>150</v>
      </c>
      <c r="F27" s="73" t="n">
        <v>0</v>
      </c>
      <c r="G27" s="73">
        <f>(1.25*L27+O27+Q27+V27+X27+Y27+AK27)/(1-M27-$G$8-$G$4-(1-H27)*$G$3-$G$11-Z27-AB27)</f>
        <v/>
      </c>
      <c r="H27" s="15" t="n">
        <v>0.45</v>
      </c>
      <c r="I27" s="16">
        <f>G27*(1-H27)</f>
        <v/>
      </c>
      <c r="J27" s="74" t="n">
        <v>242.23</v>
      </c>
      <c r="K27" s="75">
        <f>$G$5</f>
        <v/>
      </c>
      <c r="L27" s="19">
        <f>J27+K27</f>
        <v/>
      </c>
      <c r="M27" s="20" t="n">
        <v>0.47</v>
      </c>
      <c r="N27" s="76">
        <f>G27*M27</f>
        <v/>
      </c>
      <c r="O27" s="77" t="n">
        <v>67</v>
      </c>
      <c r="P27" s="76">
        <f>G27*$G$8</f>
        <v/>
      </c>
      <c r="Q27" s="77" t="n">
        <v>25</v>
      </c>
      <c r="R27" s="76">
        <f>G27*$G$4</f>
        <v/>
      </c>
      <c r="S27" s="76">
        <f>I27*$G$3</f>
        <v/>
      </c>
      <c r="T27" s="78" t="n">
        <v>0.9</v>
      </c>
      <c r="U27" s="77" t="n">
        <v>67</v>
      </c>
      <c r="V27" s="76">
        <f>U27*(1-T27)</f>
        <v/>
      </c>
      <c r="W27" s="79" t="n">
        <v>0.46</v>
      </c>
      <c r="X27" s="76">
        <f>$G$6*$G$7*W27</f>
        <v/>
      </c>
      <c r="Y27" s="19">
        <f>W27*($G$9+$G$10)</f>
        <v/>
      </c>
      <c r="Z27" s="20" t="n">
        <v>0.07000000000000001</v>
      </c>
      <c r="AA27" s="76">
        <f>G27*Z27</f>
        <v/>
      </c>
      <c r="AB27" s="78" t="n">
        <v>0.08</v>
      </c>
      <c r="AC27" s="76">
        <f>G27*AB27</f>
        <v/>
      </c>
      <c r="AD27" s="76">
        <f>AA27+AC27</f>
        <v/>
      </c>
      <c r="AE27" s="25">
        <f>AD27/G27</f>
        <v/>
      </c>
      <c r="AF27" s="26">
        <f>G27-N27-O27-P27-Q27-R27-S27-V27-X27-Y27-L27-AK27-AL27</f>
        <v/>
      </c>
      <c r="AG27" s="80">
        <f>AF27-AD27</f>
        <v/>
      </c>
      <c r="AH27" s="81">
        <f>AG27/G27</f>
        <v/>
      </c>
      <c r="AI27" s="82">
        <f>AG27/L27</f>
        <v/>
      </c>
      <c r="AJ27" s="76">
        <f>(O27+Q27+V27+X27+Y27+L27+AK27)/(1-(M27+$G$4+(1-H27)*$G$3+$G$8+$G$11+Z27+AB27))</f>
        <v/>
      </c>
      <c r="AK27" s="76">
        <f>$G$12</f>
        <v/>
      </c>
      <c r="AL27" s="76">
        <f>G27*$G$11</f>
        <v/>
      </c>
    </row>
    <row r="28">
      <c r="A28" s="70" t="inlineStr">
        <is>
          <t>ELIZAVECCA - Hell-Pore Galactomyces Pure Ample / Сыворотка для лица с экстрактом галактомисиса</t>
        </is>
      </c>
      <c r="B28" s="71" t="n"/>
      <c r="C28" s="72" t="inlineStr">
        <is>
          <t>не смогла найти с продажами</t>
        </is>
      </c>
      <c r="D28" s="73" t="n"/>
      <c r="E28" s="73" t="n"/>
      <c r="F28" s="73" t="n"/>
      <c r="G28" s="73">
        <f>(1.25*L28+O28+Q28+V28+X28+Y28+AK28)/(1-M28-$G$8-$G$4-(1-H28)*$G$3-$G$11-Z28-AB28)</f>
        <v/>
      </c>
      <c r="H28" s="15" t="n">
        <v>0.45</v>
      </c>
      <c r="I28" s="16">
        <f>G28*(1-H28)</f>
        <v/>
      </c>
      <c r="J28" s="74" t="n">
        <v>447.64</v>
      </c>
      <c r="K28" s="75">
        <f>$G$5</f>
        <v/>
      </c>
      <c r="L28" s="19">
        <f>J28+K28</f>
        <v/>
      </c>
      <c r="M28" s="20" t="n">
        <v>0.47</v>
      </c>
      <c r="N28" s="76">
        <f>G28*M28</f>
        <v/>
      </c>
      <c r="O28" s="77" t="n">
        <v>63</v>
      </c>
      <c r="P28" s="76">
        <f>G28*$G$8</f>
        <v/>
      </c>
      <c r="Q28" s="77" t="n">
        <v>25</v>
      </c>
      <c r="R28" s="76">
        <f>G28*$G$4</f>
        <v/>
      </c>
      <c r="S28" s="76">
        <f>I28*$G$3</f>
        <v/>
      </c>
      <c r="T28" s="78" t="n">
        <v>0.9</v>
      </c>
      <c r="U28" s="77" t="n">
        <v>63</v>
      </c>
      <c r="V28" s="76">
        <f>U28*(1-T28)</f>
        <v/>
      </c>
      <c r="W28" s="79" t="n">
        <v>0.3</v>
      </c>
      <c r="X28" s="76">
        <f>$G$6*$G$7*W28</f>
        <v/>
      </c>
      <c r="Y28" s="19">
        <f>W28*($G$9+$G$10)</f>
        <v/>
      </c>
      <c r="Z28" s="20" t="n">
        <v>0.07000000000000001</v>
      </c>
      <c r="AA28" s="76">
        <f>G28*Z28</f>
        <v/>
      </c>
      <c r="AB28" s="78" t="n">
        <v>0.08</v>
      </c>
      <c r="AC28" s="76">
        <f>G28*AB28</f>
        <v/>
      </c>
      <c r="AD28" s="76">
        <f>AA28+AC28</f>
        <v/>
      </c>
      <c r="AE28" s="25">
        <f>AD28/G28</f>
        <v/>
      </c>
      <c r="AF28" s="26">
        <f>G28-N28-O28-P28-Q28-R28-S28-V28-X28-Y28-L28-AK28-AL28</f>
        <v/>
      </c>
      <c r="AG28" s="80">
        <f>AF28-AD28</f>
        <v/>
      </c>
      <c r="AH28" s="81">
        <f>AG28/G28</f>
        <v/>
      </c>
      <c r="AI28" s="82">
        <f>AG28/L28</f>
        <v/>
      </c>
      <c r="AJ28" s="76">
        <f>(O28+Q28+V28+X28+Y28+L28+AK28)/(1-(M28+$G$4+(1-H28)*$G$3+$G$8+$G$11+Z28+AB28))</f>
        <v/>
      </c>
      <c r="AK28" s="76">
        <f>$G$12</f>
        <v/>
      </c>
      <c r="AL28" s="76">
        <f>G28*$G$11</f>
        <v/>
      </c>
    </row>
    <row r="29">
      <c r="A29" s="70" t="inlineStr">
        <is>
          <t>ELIZAVECCA - Milky Piggy EGF elastic retinol [100ml] / Антивозрастной крем для лица с ретинолом и EGF</t>
        </is>
      </c>
      <c r="B29" s="71" t="n"/>
      <c r="C29" s="72" t="n"/>
      <c r="D29" s="73" t="n">
        <v>1841</v>
      </c>
      <c r="E29" s="73" t="n">
        <v>47</v>
      </c>
      <c r="F29" s="73" t="n">
        <v>0</v>
      </c>
      <c r="G29" s="73">
        <f>(1.25*L29+O29+Q29+V29+X29+Y29+AK29)/(1-M29-$G$8-$G$4-(1-H29)*$G$3-$G$11-Z29-AB29)</f>
        <v/>
      </c>
      <c r="H29" s="15" t="n">
        <v>0.45</v>
      </c>
      <c r="I29" s="16">
        <f>G29*(1-H29)</f>
        <v/>
      </c>
      <c r="J29" s="74" t="n">
        <v>602.1799999999999</v>
      </c>
      <c r="K29" s="75">
        <f>$G$5</f>
        <v/>
      </c>
      <c r="L29" s="19">
        <f>J29+K29</f>
        <v/>
      </c>
      <c r="M29" s="20" t="n">
        <v>0.47</v>
      </c>
      <c r="N29" s="76">
        <f>G29*M29</f>
        <v/>
      </c>
      <c r="O29" s="77" t="n">
        <v>67</v>
      </c>
      <c r="P29" s="76">
        <f>G29*$G$8</f>
        <v/>
      </c>
      <c r="Q29" s="77" t="n">
        <v>25</v>
      </c>
      <c r="R29" s="76">
        <f>G29*$G$4</f>
        <v/>
      </c>
      <c r="S29" s="76">
        <f>I29*$G$3</f>
        <v/>
      </c>
      <c r="T29" s="78" t="n">
        <v>0.9</v>
      </c>
      <c r="U29" s="77" t="n">
        <v>67</v>
      </c>
      <c r="V29" s="76">
        <f>U29*(1-T29)</f>
        <v/>
      </c>
      <c r="W29" s="79" t="n">
        <v>0.58</v>
      </c>
      <c r="X29" s="76">
        <f>$G$6*$G$7*W29</f>
        <v/>
      </c>
      <c r="Y29" s="19">
        <f>W29*($G$9+$G$10)</f>
        <v/>
      </c>
      <c r="Z29" s="20" t="n">
        <v>0.07000000000000001</v>
      </c>
      <c r="AA29" s="76">
        <f>G29*Z29</f>
        <v/>
      </c>
      <c r="AB29" s="78" t="n">
        <v>0.08</v>
      </c>
      <c r="AC29" s="76">
        <f>G29*AB29</f>
        <v/>
      </c>
      <c r="AD29" s="76">
        <f>AA29+AC29</f>
        <v/>
      </c>
      <c r="AE29" s="25">
        <f>AD29/G29</f>
        <v/>
      </c>
      <c r="AF29" s="26">
        <f>G29-N29-O29-P29-Q29-R29-S29-V29-X29-Y29-L29-AK29-AL29</f>
        <v/>
      </c>
      <c r="AG29" s="80">
        <f>AF29-AD29</f>
        <v/>
      </c>
      <c r="AH29" s="81">
        <f>AG29/G29</f>
        <v/>
      </c>
      <c r="AI29" s="82">
        <f>AG29/L29</f>
        <v/>
      </c>
      <c r="AJ29" s="76">
        <f>(O29+Q29+V29+X29+Y29+L29+AK29)/(1-(M29+$G$4+(1-H29)*$G$3+$G$8+$G$11+Z29+AB29))</f>
        <v/>
      </c>
      <c r="AK29" s="76">
        <f>$G$12</f>
        <v/>
      </c>
      <c r="AL29" s="76">
        <f>G29*$G$11</f>
        <v/>
      </c>
    </row>
    <row r="30">
      <c r="A30" s="68" t="inlineStr">
        <is>
          <t>Косметика/ENOUGH</t>
        </is>
      </c>
      <c r="B30" s="69" t="n"/>
      <c r="C30" s="69" t="n"/>
      <c r="D30" s="69" t="n"/>
      <c r="E30" s="69" t="n"/>
      <c r="F30" s="69" t="n"/>
      <c r="G30" s="69" t="n"/>
      <c r="H30" s="69" t="n"/>
      <c r="I30" s="69" t="n"/>
      <c r="J30" s="69" t="n"/>
      <c r="K30" s="69" t="n"/>
      <c r="L30" s="69" t="n"/>
      <c r="M30" s="69" t="n"/>
      <c r="N30" s="69" t="n"/>
      <c r="O30" s="69" t="n"/>
      <c r="P30" s="69" t="n"/>
      <c r="Q30" s="69" t="n"/>
      <c r="R30" s="69" t="n"/>
      <c r="S30" s="69" t="n"/>
      <c r="T30" s="69" t="n"/>
      <c r="U30" s="69" t="n"/>
      <c r="V30" s="69" t="n"/>
      <c r="W30" s="69" t="n"/>
      <c r="X30" s="69" t="n"/>
      <c r="Y30" s="69" t="n"/>
      <c r="Z30" s="69" t="n"/>
      <c r="AA30" s="69" t="n"/>
      <c r="AB30" s="69" t="n"/>
      <c r="AC30" s="69" t="n"/>
      <c r="AD30" s="69" t="n"/>
      <c r="AE30" s="69" t="n"/>
      <c r="AF30" s="69" t="n"/>
      <c r="AG30" s="69" t="n"/>
      <c r="AH30" s="69" t="n"/>
      <c r="AI30" s="69" t="n"/>
      <c r="AJ30" s="69" t="n"/>
      <c r="AK30" s="69" t="n"/>
      <c r="AL30" s="69" t="n"/>
    </row>
    <row r="31">
      <c r="A31" s="70" t="inlineStr">
        <is>
          <t>ENOUGH - Collagen Moisture Essential Cream [50ml] / Увлажняющий крем для лица с коллагеном</t>
        </is>
      </c>
      <c r="B31" s="71" t="n"/>
      <c r="C31" s="72" t="inlineStr">
        <is>
          <t>260-382 (много подделок)</t>
        </is>
      </c>
      <c r="D31" s="73" t="n">
        <v>424</v>
      </c>
      <c r="E31" s="73" t="n">
        <v>166</v>
      </c>
      <c r="F31" s="73" t="n">
        <v>17</v>
      </c>
      <c r="G31" s="73">
        <f>(1.25*L31+O31+Q31+V31+X31+Y31+AK31)/(1-M31-$G$8-$G$4-(1-H31)*$G$3-$G$11-Z31-AB31)</f>
        <v/>
      </c>
      <c r="H31" s="15" t="n">
        <v>0.45</v>
      </c>
      <c r="I31" s="16">
        <f>G31*(1-H31)</f>
        <v/>
      </c>
      <c r="J31" s="74" t="n">
        <v>161.3</v>
      </c>
      <c r="K31" s="75">
        <f>$G$5</f>
        <v/>
      </c>
      <c r="L31" s="19">
        <f>J31+K31</f>
        <v/>
      </c>
      <c r="M31" s="20" t="n">
        <v>0.47</v>
      </c>
      <c r="N31" s="76">
        <f>G31*M31</f>
        <v/>
      </c>
      <c r="O31" s="77" t="n">
        <v>67</v>
      </c>
      <c r="P31" s="76">
        <f>G31*$G$8</f>
        <v/>
      </c>
      <c r="Q31" s="77" t="n">
        <v>25</v>
      </c>
      <c r="R31" s="76">
        <f>G31*$G$4</f>
        <v/>
      </c>
      <c r="S31" s="76">
        <f>I31*$G$3</f>
        <v/>
      </c>
      <c r="T31" s="78" t="n">
        <v>0.9</v>
      </c>
      <c r="U31" s="77" t="n">
        <v>67</v>
      </c>
      <c r="V31" s="76">
        <f>U31*(1-T31)</f>
        <v/>
      </c>
      <c r="W31" s="79" t="n">
        <v>0.72</v>
      </c>
      <c r="X31" s="76">
        <f>$G$6*$G$7*W31</f>
        <v/>
      </c>
      <c r="Y31" s="19">
        <f>W31*($G$9+$G$10)</f>
        <v/>
      </c>
      <c r="Z31" s="20" t="n">
        <v>0.07000000000000001</v>
      </c>
      <c r="AA31" s="76">
        <f>G31*Z31</f>
        <v/>
      </c>
      <c r="AB31" s="78" t="n">
        <v>0.08</v>
      </c>
      <c r="AC31" s="76">
        <f>G31*AB31</f>
        <v/>
      </c>
      <c r="AD31" s="76">
        <f>AA31+AC31</f>
        <v/>
      </c>
      <c r="AE31" s="25">
        <f>AD31/G31</f>
        <v/>
      </c>
      <c r="AF31" s="26">
        <f>G31-N31-O31-P31-Q31-R31-S31-V31-X31-Y31-L31-AK31-AL31</f>
        <v/>
      </c>
      <c r="AG31" s="89">
        <f>AF31-AD31</f>
        <v/>
      </c>
      <c r="AH31" s="90">
        <f>AG31/G31</f>
        <v/>
      </c>
      <c r="AI31" s="91">
        <f>AG31/L31</f>
        <v/>
      </c>
      <c r="AJ31" s="76">
        <f>(O31+Q31+V31+X31+Y31+L31+AK31)/(1-(M31+$G$4+(1-H31)*$G$3+$G$8+$G$11+Z31+AB31))</f>
        <v/>
      </c>
      <c r="AK31" s="76">
        <f>$G$12</f>
        <v/>
      </c>
      <c r="AL31" s="76">
        <f>G31*$G$11</f>
        <v/>
      </c>
    </row>
    <row r="32">
      <c r="A32" s="70" t="inlineStr">
        <is>
          <t>ENOUGH - Collagen Whitening Moisture Cream 3in1 [50g] / Антивозрастной отбеливающий крем с коллагеном</t>
        </is>
      </c>
      <c r="B32" s="71" t="n"/>
      <c r="C32" s="72" t="n"/>
      <c r="D32" s="73" t="n">
        <v>827</v>
      </c>
      <c r="E32" s="73" t="n">
        <v>96</v>
      </c>
      <c r="F32" s="73" t="n">
        <v>20</v>
      </c>
      <c r="G32" s="73">
        <f>(1.25*L32+O32+Q32+V32+X32+Y32+AK32)/(1-M32-$G$8-$G$4-(1-H32)*$G$3-$G$11-Z32-AB32)</f>
        <v/>
      </c>
      <c r="H32" s="15" t="n">
        <v>0.45</v>
      </c>
      <c r="I32" s="16">
        <f>G32*(1-H32)</f>
        <v/>
      </c>
      <c r="J32" s="44" t="n">
        <v>183.88</v>
      </c>
      <c r="K32" s="75">
        <f>$G$5</f>
        <v/>
      </c>
      <c r="L32" s="19">
        <f>J32+K32</f>
        <v/>
      </c>
      <c r="M32" s="20" t="n">
        <v>0.47</v>
      </c>
      <c r="N32" s="76">
        <f>G32*M32</f>
        <v/>
      </c>
      <c r="O32" s="77" t="n">
        <v>67</v>
      </c>
      <c r="P32" s="76">
        <f>G32*$G$8</f>
        <v/>
      </c>
      <c r="Q32" s="77" t="n">
        <v>25</v>
      </c>
      <c r="R32" s="76">
        <f>G32*$G$4</f>
        <v/>
      </c>
      <c r="S32" s="76">
        <f>I32*$G$3</f>
        <v/>
      </c>
      <c r="T32" s="78" t="n">
        <v>0.9</v>
      </c>
      <c r="U32" s="77" t="n">
        <v>67</v>
      </c>
      <c r="V32" s="76">
        <f>U32*(1-T32)</f>
        <v/>
      </c>
      <c r="W32" s="79" t="n">
        <v>0.72</v>
      </c>
      <c r="X32" s="76">
        <f>$G$6*$G$7*W32</f>
        <v/>
      </c>
      <c r="Y32" s="19">
        <f>W32*($G$9+$G$10)</f>
        <v/>
      </c>
      <c r="Z32" s="20" t="n">
        <v>0.07000000000000001</v>
      </c>
      <c r="AA32" s="76">
        <f>G32*Z32</f>
        <v/>
      </c>
      <c r="AB32" s="78" t="n">
        <v>0.08</v>
      </c>
      <c r="AC32" s="76">
        <f>G32*AB32</f>
        <v/>
      </c>
      <c r="AD32" s="76">
        <f>AA32+AC32</f>
        <v/>
      </c>
      <c r="AE32" s="25">
        <f>AD32/G32</f>
        <v/>
      </c>
      <c r="AF32" s="26">
        <f>G32-N32-O32-P32-Q32-R32-S32-V32-X32-Y32-L32-AK32-AL32</f>
        <v/>
      </c>
      <c r="AG32" s="89">
        <f>AF32-AD32</f>
        <v/>
      </c>
      <c r="AH32" s="90">
        <f>AG32/G32</f>
        <v/>
      </c>
      <c r="AI32" s="91">
        <f>AG32/L32</f>
        <v/>
      </c>
      <c r="AJ32" s="76">
        <f>(O32+Q32+V32+X32+Y32+L32+AK32)/(1-(M32+$G$4+(1-H32)*$G$3+$G$8+$G$11+Z32+AB32))</f>
        <v/>
      </c>
      <c r="AK32" s="76">
        <f>$G$12</f>
        <v/>
      </c>
      <c r="AL32" s="76">
        <f>G32*$G$11</f>
        <v/>
      </c>
    </row>
    <row r="33">
      <c r="A33" s="70" t="inlineStr">
        <is>
          <t>ENOUGH - Collagen Moisture Foundation [Tone 13] / Тональный крем для лица с коллагеном 13 тон</t>
        </is>
      </c>
      <c r="B33" s="71" t="n"/>
      <c r="C33" s="72" t="n"/>
      <c r="D33" s="73" t="n">
        <v>1980</v>
      </c>
      <c r="E33" s="73" t="n">
        <v>195</v>
      </c>
      <c r="F33" s="73" t="n">
        <v>8</v>
      </c>
      <c r="G33" s="73">
        <f>(1.25*L33+O33+Q33+V33+X33+Y33+AK33)/(1-M33-$G$8-$G$4-(1-H33)*$G$3-$G$11-Z33-AB33)</f>
        <v/>
      </c>
      <c r="H33" s="15" t="n">
        <v>0.45</v>
      </c>
      <c r="I33" s="16">
        <f>G33*(1-H33)</f>
        <v/>
      </c>
      <c r="J33" s="44" t="n">
        <v>216.45</v>
      </c>
      <c r="K33" s="75">
        <f>$G$5</f>
        <v/>
      </c>
      <c r="L33" s="19">
        <f>J33+K33</f>
        <v/>
      </c>
      <c r="M33" s="20" t="n">
        <v>0.47</v>
      </c>
      <c r="N33" s="76">
        <f>G33*M33</f>
        <v/>
      </c>
      <c r="O33" s="77" t="n">
        <v>67</v>
      </c>
      <c r="P33" s="76">
        <f>G33*$G$8</f>
        <v/>
      </c>
      <c r="Q33" s="77" t="n">
        <v>25</v>
      </c>
      <c r="R33" s="76">
        <f>G33*$G$4</f>
        <v/>
      </c>
      <c r="S33" s="76">
        <f>I33*$G$3</f>
        <v/>
      </c>
      <c r="T33" s="78" t="n">
        <v>0.9</v>
      </c>
      <c r="U33" s="77" t="n">
        <v>67</v>
      </c>
      <c r="V33" s="76">
        <f>U33*(1-T33)</f>
        <v/>
      </c>
      <c r="W33" s="79" t="n">
        <v>0.4</v>
      </c>
      <c r="X33" s="76">
        <f>$G$6*$G$7*W33</f>
        <v/>
      </c>
      <c r="Y33" s="19">
        <f>W33*($G$9+$G$10)</f>
        <v/>
      </c>
      <c r="Z33" s="20" t="n">
        <v>0.07000000000000001</v>
      </c>
      <c r="AA33" s="76">
        <f>G33*Z33</f>
        <v/>
      </c>
      <c r="AB33" s="78" t="n">
        <v>0.08</v>
      </c>
      <c r="AC33" s="76">
        <f>G33*AB33</f>
        <v/>
      </c>
      <c r="AD33" s="76">
        <f>AA33+AC33</f>
        <v/>
      </c>
      <c r="AE33" s="25">
        <f>AD33/G33</f>
        <v/>
      </c>
      <c r="AF33" s="26">
        <f>G33-N33-O33-P33-Q33-R33-S33-V33-X33-Y33-L33-AK33-AL33</f>
        <v/>
      </c>
      <c r="AG33" s="89">
        <f>AF33-AD33</f>
        <v/>
      </c>
      <c r="AH33" s="90">
        <f>AG33/G33</f>
        <v/>
      </c>
      <c r="AI33" s="91">
        <f>AG33/L33</f>
        <v/>
      </c>
      <c r="AJ33" s="76">
        <f>(O33+Q33+V33+X33+Y33+L33+AK33)/(1-(M33+$G$4+(1-H33)*$G$3+$G$8+$G$11+Z33+AB33))</f>
        <v/>
      </c>
      <c r="AK33" s="76">
        <f>$G$12</f>
        <v/>
      </c>
      <c r="AL33" s="76">
        <f>G33*$G$11</f>
        <v/>
      </c>
    </row>
    <row r="34">
      <c r="A34" s="70" t="inlineStr">
        <is>
          <t>ENOUGH - Collagen Moisture Foundation [Tone 21] / Тональный крем для лица с коллагеном 21 тон</t>
        </is>
      </c>
      <c r="B34" s="71" t="n"/>
      <c r="C34" s="72" t="n"/>
      <c r="D34" s="73" t="n">
        <v>1910</v>
      </c>
      <c r="E34" s="73" t="n">
        <v>121</v>
      </c>
      <c r="F34" s="73" t="n">
        <v>7.3</v>
      </c>
      <c r="G34" s="73">
        <f>(1.25*L34+O34+Q34+V34+X34+Y34+AK34)/(1-M34-$G$8-$G$4-(1-H34)*$G$3-$G$11-Z34-AB34)</f>
        <v/>
      </c>
      <c r="H34" s="15" t="n">
        <v>0.45</v>
      </c>
      <c r="I34" s="16">
        <f>G34*(1-H34)</f>
        <v/>
      </c>
      <c r="J34" s="45" t="n">
        <v>242.88</v>
      </c>
      <c r="K34" s="75">
        <f>$G$5</f>
        <v/>
      </c>
      <c r="L34" s="19">
        <f>J34+K34</f>
        <v/>
      </c>
      <c r="M34" s="20" t="n">
        <v>0.47</v>
      </c>
      <c r="N34" s="76">
        <f>G34*M34</f>
        <v/>
      </c>
      <c r="O34" s="77" t="n">
        <v>67</v>
      </c>
      <c r="P34" s="76">
        <f>G34*$G$8</f>
        <v/>
      </c>
      <c r="Q34" s="77" t="n">
        <v>25</v>
      </c>
      <c r="R34" s="76">
        <f>G34*$G$4</f>
        <v/>
      </c>
      <c r="S34" s="76">
        <f>I34*$G$3</f>
        <v/>
      </c>
      <c r="T34" s="78" t="n">
        <v>0.9</v>
      </c>
      <c r="U34" s="77" t="n">
        <v>67</v>
      </c>
      <c r="V34" s="76">
        <f>U34*(1-T34)</f>
        <v/>
      </c>
      <c r="W34" s="79" t="n">
        <v>0.4</v>
      </c>
      <c r="X34" s="76">
        <f>$G$6*$G$7*W34</f>
        <v/>
      </c>
      <c r="Y34" s="19">
        <f>W34*($G$9+$G$10)</f>
        <v/>
      </c>
      <c r="Z34" s="20" t="n">
        <v>0.07000000000000001</v>
      </c>
      <c r="AA34" s="76">
        <f>G34*Z34</f>
        <v/>
      </c>
      <c r="AB34" s="78" t="n">
        <v>0.08</v>
      </c>
      <c r="AC34" s="76">
        <f>G34*AB34</f>
        <v/>
      </c>
      <c r="AD34" s="76">
        <f>AA34+AC34</f>
        <v/>
      </c>
      <c r="AE34" s="25">
        <f>AD34/G34</f>
        <v/>
      </c>
      <c r="AF34" s="26">
        <f>G34-N34-O34-P34-Q34-R34-S34-V34-X34-Y34-L34-AK34-AL34</f>
        <v/>
      </c>
      <c r="AG34" s="89">
        <f>AF34-AD34</f>
        <v/>
      </c>
      <c r="AH34" s="90">
        <f>AG34/G34</f>
        <v/>
      </c>
      <c r="AI34" s="91">
        <f>AG34/L34</f>
        <v/>
      </c>
      <c r="AJ34" s="76">
        <f>(O34+Q34+V34+X34+Y34+L34+AK34)/(1-(M34+$G$4+(1-H34)*$G$3+$G$8+$G$11+Z34+AB34))</f>
        <v/>
      </c>
      <c r="AK34" s="76">
        <f>$G$12</f>
        <v/>
      </c>
      <c r="AL34" s="76">
        <f>G34*$G$11</f>
        <v/>
      </c>
    </row>
    <row r="35">
      <c r="A35" s="70" t="inlineStr">
        <is>
          <t>ENOUGH - Gold Snail Moisture Foundation [Tone 13] / Тональный крем с муцином улитки 13 тон</t>
        </is>
      </c>
      <c r="B35" s="71" t="n"/>
      <c r="C35" s="72" t="n"/>
      <c r="D35" s="73" t="n">
        <v>1456</v>
      </c>
      <c r="E35" s="73" t="n">
        <v>109</v>
      </c>
      <c r="F35" s="73" t="n">
        <v>9</v>
      </c>
      <c r="G35" s="73">
        <f>(1.25*L35+O35+Q35+V35+X35+Y35+AK35)/(1-M35-$G$8-$G$4-(1-H35)*$G$3-$G$11-Z35-AB35)</f>
        <v/>
      </c>
      <c r="H35" s="15" t="n">
        <v>0.45</v>
      </c>
      <c r="I35" s="16">
        <f>G35*(1-H35)</f>
        <v/>
      </c>
      <c r="J35" s="44" t="n">
        <v>245.65</v>
      </c>
      <c r="K35" s="75">
        <f>$G$5</f>
        <v/>
      </c>
      <c r="L35" s="19">
        <f>J35+K35</f>
        <v/>
      </c>
      <c r="M35" s="20" t="n">
        <v>0.47</v>
      </c>
      <c r="N35" s="76">
        <f>G35*M35</f>
        <v/>
      </c>
      <c r="O35" s="77" t="n">
        <v>67</v>
      </c>
      <c r="P35" s="76">
        <f>G35*$G$8</f>
        <v/>
      </c>
      <c r="Q35" s="77" t="n">
        <v>25</v>
      </c>
      <c r="R35" s="76">
        <f>G35*$G$4</f>
        <v/>
      </c>
      <c r="S35" s="76">
        <f>I35*$G$3</f>
        <v/>
      </c>
      <c r="T35" s="78" t="n">
        <v>0.9</v>
      </c>
      <c r="U35" s="77" t="n">
        <v>67</v>
      </c>
      <c r="V35" s="76">
        <f>U35*(1-T35)</f>
        <v/>
      </c>
      <c r="W35" s="79" t="n">
        <v>0.4</v>
      </c>
      <c r="X35" s="76">
        <f>$G$6*$G$7*W35</f>
        <v/>
      </c>
      <c r="Y35" s="19">
        <f>W35*($G$9+$G$10)</f>
        <v/>
      </c>
      <c r="Z35" s="20" t="n">
        <v>0.07000000000000001</v>
      </c>
      <c r="AA35" s="76">
        <f>G35*Z35</f>
        <v/>
      </c>
      <c r="AB35" s="78" t="n">
        <v>0.08</v>
      </c>
      <c r="AC35" s="76">
        <f>G35*AB35</f>
        <v/>
      </c>
      <c r="AD35" s="76">
        <f>AA35+AC35</f>
        <v/>
      </c>
      <c r="AE35" s="25">
        <f>AD35/G35</f>
        <v/>
      </c>
      <c r="AF35" s="26">
        <f>G35-N35-O35-P35-Q35-R35-S35-V35-X35-Y35-L35-AK35-AL35</f>
        <v/>
      </c>
      <c r="AG35" s="89">
        <f>AF35-AD35</f>
        <v/>
      </c>
      <c r="AH35" s="90">
        <f>AG35/G35</f>
        <v/>
      </c>
      <c r="AI35" s="91">
        <f>AG35/L35</f>
        <v/>
      </c>
      <c r="AJ35" s="76">
        <f>(O35+Q35+V35+X35+Y35+L35+AK35)/(1-(M35+$G$4+(1-H35)*$G$3+$G$8+$G$11+Z35+AB35))</f>
        <v/>
      </c>
      <c r="AK35" s="76">
        <f>$G$12</f>
        <v/>
      </c>
      <c r="AL35" s="76">
        <f>G35*$G$11</f>
        <v/>
      </c>
    </row>
    <row r="36">
      <c r="A36" s="70" t="inlineStr">
        <is>
          <t>ENOUGH - Gold Snail Moisture Foundation [Tone 21] / Тональный крем с муцином улитки 21 тон</t>
        </is>
      </c>
      <c r="B36" s="71" t="n"/>
      <c r="C36" s="72" t="n"/>
      <c r="D36" s="73" t="n">
        <v>1345</v>
      </c>
      <c r="E36" s="73" t="n">
        <v>114</v>
      </c>
      <c r="F36" s="73" t="n">
        <v>0</v>
      </c>
      <c r="G36" s="73">
        <f>(1.25*L36+O36+Q36+V36+X36+Y36+AK36)/(1-M36-$G$8-$G$4-(1-H36)*$G$3-$G$11-Z36-AB36)</f>
        <v/>
      </c>
      <c r="H36" s="15" t="n">
        <v>0.45</v>
      </c>
      <c r="I36" s="16">
        <f>G36*(1-H36)</f>
        <v/>
      </c>
      <c r="J36" s="45" t="n">
        <v>270.81</v>
      </c>
      <c r="K36" s="75">
        <f>$G$5</f>
        <v/>
      </c>
      <c r="L36" s="19">
        <f>J36+K36</f>
        <v/>
      </c>
      <c r="M36" s="20" t="n">
        <v>0.47</v>
      </c>
      <c r="N36" s="76">
        <f>G36*M36</f>
        <v/>
      </c>
      <c r="O36" s="77" t="n">
        <v>67</v>
      </c>
      <c r="P36" s="76">
        <f>G36*$G$8</f>
        <v/>
      </c>
      <c r="Q36" s="77" t="n">
        <v>25</v>
      </c>
      <c r="R36" s="76">
        <f>G36*$G$4</f>
        <v/>
      </c>
      <c r="S36" s="76">
        <f>I36*$G$3</f>
        <v/>
      </c>
      <c r="T36" s="78" t="n">
        <v>0.9</v>
      </c>
      <c r="U36" s="77" t="n">
        <v>67</v>
      </c>
      <c r="V36" s="76">
        <f>U36*(1-T36)</f>
        <v/>
      </c>
      <c r="W36" s="79" t="n">
        <v>0.4</v>
      </c>
      <c r="X36" s="76">
        <f>$G$6*$G$7*W36</f>
        <v/>
      </c>
      <c r="Y36" s="19">
        <f>W36*($G$9+$G$10)</f>
        <v/>
      </c>
      <c r="Z36" s="20" t="n">
        <v>0.07000000000000001</v>
      </c>
      <c r="AA36" s="76">
        <f>G36*Z36</f>
        <v/>
      </c>
      <c r="AB36" s="78" t="n">
        <v>0.08</v>
      </c>
      <c r="AC36" s="76">
        <f>G36*AB36</f>
        <v/>
      </c>
      <c r="AD36" s="76">
        <f>AA36+AC36</f>
        <v/>
      </c>
      <c r="AE36" s="25">
        <f>AD36/G36</f>
        <v/>
      </c>
      <c r="AF36" s="26">
        <f>G36-N36-O36-P36-Q36-R36-S36-V36-X36-Y36-L36-AK36-AL36</f>
        <v/>
      </c>
      <c r="AG36" s="89">
        <f>AF36-AD36</f>
        <v/>
      </c>
      <c r="AH36" s="90">
        <f>AG36/G36</f>
        <v/>
      </c>
      <c r="AI36" s="91">
        <f>AG36/L36</f>
        <v/>
      </c>
      <c r="AJ36" s="76">
        <f>(O36+Q36+V36+X36+Y36+L36+AK36)/(1-(M36+$G$4+(1-H36)*$G$3+$G$8+$G$11+Z36+AB36))</f>
        <v/>
      </c>
      <c r="AK36" s="76">
        <f>$G$12</f>
        <v/>
      </c>
      <c r="AL36" s="76">
        <f>G36*$G$11</f>
        <v/>
      </c>
    </row>
    <row r="37">
      <c r="A37" s="70" t="inlineStr">
        <is>
          <t>ENOUGH - Collagen 3in1 Whitening Moisture Foundation [Tone 13] / Тональный крем для лица с коллагеном 3в1 [13 тон]</t>
        </is>
      </c>
      <c r="B37" s="71" t="n"/>
      <c r="C37" s="72" t="n"/>
      <c r="D37" s="73" t="n">
        <v>1732</v>
      </c>
      <c r="E37" s="73" t="n">
        <v>51</v>
      </c>
      <c r="F37" s="73" t="n">
        <v>9</v>
      </c>
      <c r="G37" s="73">
        <f>(1.25*L37+O37+Q37+V37+X37+Y37+AK37)/(1-M37-$G$8-$G$4-(1-H37)*$G$3-$G$11-Z37-AB37)</f>
        <v/>
      </c>
      <c r="H37" s="15" t="n">
        <v>0.45</v>
      </c>
      <c r="I37" s="16">
        <f>G37*(1-H37)</f>
        <v/>
      </c>
      <c r="J37" s="45" t="n">
        <v>238.13</v>
      </c>
      <c r="K37" s="75">
        <f>$G$5</f>
        <v/>
      </c>
      <c r="L37" s="19">
        <f>J37+K37</f>
        <v/>
      </c>
      <c r="M37" s="20" t="n">
        <v>0.47</v>
      </c>
      <c r="N37" s="76">
        <f>G37*M37</f>
        <v/>
      </c>
      <c r="O37" s="77" t="n">
        <v>67</v>
      </c>
      <c r="P37" s="76">
        <f>G37*$G$8</f>
        <v/>
      </c>
      <c r="Q37" s="77" t="n">
        <v>25</v>
      </c>
      <c r="R37" s="76">
        <f>G37*$G$4</f>
        <v/>
      </c>
      <c r="S37" s="76">
        <f>I37*$G$3</f>
        <v/>
      </c>
      <c r="T37" s="78" t="n">
        <v>0.9</v>
      </c>
      <c r="U37" s="77" t="n">
        <v>67</v>
      </c>
      <c r="V37" s="76">
        <f>U37*(1-T37)</f>
        <v/>
      </c>
      <c r="W37" s="79" t="n">
        <v>0.4</v>
      </c>
      <c r="X37" s="76">
        <f>$G$6*$G$7*W37</f>
        <v/>
      </c>
      <c r="Y37" s="19">
        <f>W37*($G$9+$G$10)</f>
        <v/>
      </c>
      <c r="Z37" s="20" t="n">
        <v>0.07000000000000001</v>
      </c>
      <c r="AA37" s="76">
        <f>G37*Z37</f>
        <v/>
      </c>
      <c r="AB37" s="78" t="n">
        <v>0.08</v>
      </c>
      <c r="AC37" s="76">
        <f>G37*AB37</f>
        <v/>
      </c>
      <c r="AD37" s="76">
        <f>AA37+AC37</f>
        <v/>
      </c>
      <c r="AE37" s="25">
        <f>AD37/G37</f>
        <v/>
      </c>
      <c r="AF37" s="26">
        <f>G37-N37-O37-P37-Q37-R37-S37-V37-X37-Y37-L37-AK37-AL37</f>
        <v/>
      </c>
      <c r="AG37" s="89">
        <f>AF37-AD37</f>
        <v/>
      </c>
      <c r="AH37" s="90">
        <f>AG37/G37</f>
        <v/>
      </c>
      <c r="AI37" s="91">
        <f>AG37/L37</f>
        <v/>
      </c>
      <c r="AJ37" s="76">
        <f>(O37+Q37+V37+X37+Y37+L37+AK37)/(1-(M37+$G$4+(1-H37)*$G$3+$G$8+$G$11+Z37+AB37))</f>
        <v/>
      </c>
      <c r="AK37" s="76">
        <f>$G$12</f>
        <v/>
      </c>
      <c r="AL37" s="76">
        <f>G37*$G$11</f>
        <v/>
      </c>
    </row>
    <row r="38">
      <c r="A38" s="70" t="inlineStr">
        <is>
          <t>ENOUGH - Collagen 3in1 Whitening Moisture Foundation [Tone 21] / Тональный крем для лица с коллагеном 3в1 [21 тон]</t>
        </is>
      </c>
      <c r="B38" s="71" t="n"/>
      <c r="C38" s="72" t="n"/>
      <c r="D38" s="73" t="n">
        <v>1038</v>
      </c>
      <c r="E38" s="73" t="n">
        <v>65</v>
      </c>
      <c r="F38" s="73" t="n">
        <v>12</v>
      </c>
      <c r="G38" s="73">
        <f>(1.25*L38+O38+Q38+V38+X38+Y38+AK38)/(1-M38-$G$8-$G$4-(1-H38)*$G$3-$G$11-Z38-AB38)</f>
        <v/>
      </c>
      <c r="H38" s="15" t="n">
        <v>0.45</v>
      </c>
      <c r="I38" s="16">
        <f>G38*(1-H38)</f>
        <v/>
      </c>
      <c r="J38" s="46" t="n">
        <v>223.35</v>
      </c>
      <c r="K38" s="75">
        <f>$G$5</f>
        <v/>
      </c>
      <c r="L38" s="19">
        <f>J38+K38</f>
        <v/>
      </c>
      <c r="M38" s="20" t="n">
        <v>0.47</v>
      </c>
      <c r="N38" s="76">
        <f>G38*M38</f>
        <v/>
      </c>
      <c r="O38" s="77" t="n">
        <v>67</v>
      </c>
      <c r="P38" s="76">
        <f>G38*$G$8</f>
        <v/>
      </c>
      <c r="Q38" s="77" t="n">
        <v>25</v>
      </c>
      <c r="R38" s="76">
        <f>G38*$G$4</f>
        <v/>
      </c>
      <c r="S38" s="76">
        <f>I38*$G$3</f>
        <v/>
      </c>
      <c r="T38" s="78" t="n">
        <v>0.9</v>
      </c>
      <c r="U38" s="77" t="n">
        <v>67</v>
      </c>
      <c r="V38" s="76">
        <f>U38*(1-T38)</f>
        <v/>
      </c>
      <c r="W38" s="79" t="n">
        <v>0.4</v>
      </c>
      <c r="X38" s="76">
        <f>$G$6*$G$7*W38</f>
        <v/>
      </c>
      <c r="Y38" s="19">
        <f>W38*($G$9+$G$10)</f>
        <v/>
      </c>
      <c r="Z38" s="20" t="n">
        <v>0.07000000000000001</v>
      </c>
      <c r="AA38" s="76">
        <f>G38*Z38</f>
        <v/>
      </c>
      <c r="AB38" s="78" t="n">
        <v>0.08</v>
      </c>
      <c r="AC38" s="76">
        <f>G38*AB38</f>
        <v/>
      </c>
      <c r="AD38" s="76">
        <f>AA38+AC38</f>
        <v/>
      </c>
      <c r="AE38" s="25">
        <f>AD38/G38</f>
        <v/>
      </c>
      <c r="AF38" s="26">
        <f>G38-N38-O38-P38-Q38-R38-S38-V38-X38-Y38-L38-AK38-AL38</f>
        <v/>
      </c>
      <c r="AG38" s="89">
        <f>AF38-AD38</f>
        <v/>
      </c>
      <c r="AH38" s="90">
        <f>AG38/G38</f>
        <v/>
      </c>
      <c r="AI38" s="91">
        <f>AG38/L38</f>
        <v/>
      </c>
      <c r="AJ38" s="76">
        <f>(O38+Q38+V38+X38+Y38+L38+AK38)/(1-(M38+$G$4+(1-H38)*$G$3+$G$8+$G$11+Z38+AB38))</f>
        <v/>
      </c>
      <c r="AK38" s="76">
        <f>$G$12</f>
        <v/>
      </c>
      <c r="AL38" s="76">
        <f>G38*$G$11</f>
        <v/>
      </c>
    </row>
    <row r="39">
      <c r="A39" s="70" t="inlineStr">
        <is>
          <t>ENOUGH - Premium 8 Peptide Full Cover Perfect Foundation [Tone 13] / Тональный крем с пептидами 13 тон</t>
        </is>
      </c>
      <c r="B39" s="71" t="n"/>
      <c r="C39" s="72" t="n"/>
      <c r="D39" s="73" t="n">
        <v>1330</v>
      </c>
      <c r="E39" s="73" t="n">
        <v>180</v>
      </c>
      <c r="F39" s="73" t="n">
        <v>0</v>
      </c>
      <c r="G39" s="73">
        <f>(1.25*L39+O39+Q39+V39+X39+Y39+AK39)/(1-M39-$G$8-$G$4-(1-H39)*$G$3-$G$11-Z39-AB39)</f>
        <v/>
      </c>
      <c r="H39" s="15" t="n">
        <v>0.45</v>
      </c>
      <c r="I39" s="16">
        <f>G39*(1-H39)</f>
        <v/>
      </c>
      <c r="J39" s="45" t="n">
        <v>335.9</v>
      </c>
      <c r="K39" s="75">
        <f>$G$5</f>
        <v/>
      </c>
      <c r="L39" s="19">
        <f>J39+K39</f>
        <v/>
      </c>
      <c r="M39" s="20" t="n">
        <v>0.47</v>
      </c>
      <c r="N39" s="76">
        <f>G39*M39</f>
        <v/>
      </c>
      <c r="O39" s="77" t="n">
        <v>67</v>
      </c>
      <c r="P39" s="76">
        <f>G39*$G$8</f>
        <v/>
      </c>
      <c r="Q39" s="77" t="n">
        <v>25</v>
      </c>
      <c r="R39" s="76">
        <f>G39*$G$4</f>
        <v/>
      </c>
      <c r="S39" s="76">
        <f>I39*$G$3</f>
        <v/>
      </c>
      <c r="T39" s="78" t="n">
        <v>0.9</v>
      </c>
      <c r="U39" s="77" t="n">
        <v>67</v>
      </c>
      <c r="V39" s="76">
        <f>U39*(1-T39)</f>
        <v/>
      </c>
      <c r="W39" s="79" t="n">
        <v>0.4</v>
      </c>
      <c r="X39" s="76">
        <f>$G$6*$G$7*W39</f>
        <v/>
      </c>
      <c r="Y39" s="19">
        <f>W39*($G$9+$G$10)</f>
        <v/>
      </c>
      <c r="Z39" s="20" t="n">
        <v>0.07000000000000001</v>
      </c>
      <c r="AA39" s="76">
        <f>G39*Z39</f>
        <v/>
      </c>
      <c r="AB39" s="78" t="n">
        <v>0.08</v>
      </c>
      <c r="AC39" s="76">
        <f>G39*AB39</f>
        <v/>
      </c>
      <c r="AD39" s="76">
        <f>AA39+AC39</f>
        <v/>
      </c>
      <c r="AE39" s="25">
        <f>AD39/G39</f>
        <v/>
      </c>
      <c r="AF39" s="26">
        <f>G39-N39-O39-P39-Q39-R39-S39-V39-X39-Y39-L39-AK39-AL39</f>
        <v/>
      </c>
      <c r="AG39" s="89">
        <f>AF39-AD39</f>
        <v/>
      </c>
      <c r="AH39" s="90">
        <f>AG39/G39</f>
        <v/>
      </c>
      <c r="AI39" s="91">
        <f>AG39/L39</f>
        <v/>
      </c>
      <c r="AJ39" s="76">
        <f>(O39+Q39+V39+X39+Y39+L39+AK39)/(1-(M39+$G$4+(1-H39)*$G$3+$G$8+$G$11+Z39+AB39))</f>
        <v/>
      </c>
      <c r="AK39" s="76">
        <f>$G$12</f>
        <v/>
      </c>
      <c r="AL39" s="76">
        <f>G39*$G$11</f>
        <v/>
      </c>
    </row>
    <row r="40">
      <c r="A40" s="70" t="inlineStr">
        <is>
          <t>ENOUGH - Premium 8 Peptide Full Cover Perfect Foundation [Tone 21] / Тональный крем с пептидами 21 тон</t>
        </is>
      </c>
      <c r="B40" s="71" t="n"/>
      <c r="C40" s="72" t="n"/>
      <c r="D40" s="73" t="n">
        <v>1330</v>
      </c>
      <c r="E40" s="73" t="n">
        <v>265</v>
      </c>
      <c r="F40" s="73" t="n">
        <v>0</v>
      </c>
      <c r="G40" s="73">
        <f>(1.25*L40+O40+Q40+V40+X40+Y40+AK40)/(1-M40-$G$8-$G$4-(1-H40)*$G$3-$G$11-Z40-AB40)</f>
        <v/>
      </c>
      <c r="H40" s="15" t="n">
        <v>0.45</v>
      </c>
      <c r="I40" s="16">
        <f>G40*(1-H40)</f>
        <v/>
      </c>
      <c r="J40" s="45" t="n">
        <v>304.77</v>
      </c>
      <c r="K40" s="75">
        <f>$G$5</f>
        <v/>
      </c>
      <c r="L40" s="19">
        <f>J40+K40</f>
        <v/>
      </c>
      <c r="M40" s="20" t="n">
        <v>0.47</v>
      </c>
      <c r="N40" s="76">
        <f>G40*M40</f>
        <v/>
      </c>
      <c r="O40" s="77" t="n">
        <v>67</v>
      </c>
      <c r="P40" s="76">
        <f>G40*$G$8</f>
        <v/>
      </c>
      <c r="Q40" s="77" t="n">
        <v>25</v>
      </c>
      <c r="R40" s="76">
        <f>G40*$G$4</f>
        <v/>
      </c>
      <c r="S40" s="76">
        <f>I40*$G$3</f>
        <v/>
      </c>
      <c r="T40" s="78" t="n">
        <v>0.9</v>
      </c>
      <c r="U40" s="77" t="n">
        <v>67</v>
      </c>
      <c r="V40" s="76">
        <f>U40*(1-T40)</f>
        <v/>
      </c>
      <c r="W40" s="79" t="n">
        <v>0.4</v>
      </c>
      <c r="X40" s="76">
        <f>$G$6*$G$7*W40</f>
        <v/>
      </c>
      <c r="Y40" s="19">
        <f>W40*($G$9+$G$10)</f>
        <v/>
      </c>
      <c r="Z40" s="20" t="n">
        <v>0.07000000000000001</v>
      </c>
      <c r="AA40" s="76">
        <f>G40*Z40</f>
        <v/>
      </c>
      <c r="AB40" s="78" t="n">
        <v>0.08</v>
      </c>
      <c r="AC40" s="76">
        <f>G40*AB40</f>
        <v/>
      </c>
      <c r="AD40" s="76">
        <f>AA40+AC40</f>
        <v/>
      </c>
      <c r="AE40" s="25">
        <f>AD40/G40</f>
        <v/>
      </c>
      <c r="AF40" s="26">
        <f>G40-N40-O40-P40-Q40-R40-S40-V40-X40-Y40-L40-AK40-AL40</f>
        <v/>
      </c>
      <c r="AG40" s="89">
        <f>AF40-AD40</f>
        <v/>
      </c>
      <c r="AH40" s="90">
        <f>AG40/G40</f>
        <v/>
      </c>
      <c r="AI40" s="91">
        <f>AG40/L40</f>
        <v/>
      </c>
      <c r="AJ40" s="76">
        <f>(O40+Q40+V40+X40+Y40+L40+AK40)/(1-(M40+$G$4+(1-H40)*$G$3+$G$8+$G$11+Z40+AB40))</f>
        <v/>
      </c>
      <c r="AK40" s="76">
        <f>$G$12</f>
        <v/>
      </c>
      <c r="AL40" s="76">
        <f>G40*$G$11</f>
        <v/>
      </c>
    </row>
    <row r="41">
      <c r="A41" s="70" t="inlineStr">
        <is>
          <t>ENOUGH Collagen whitening cover tip concealer #01 [9g]/Консилер для лица (основная карточка) 4.5 рейтинг</t>
        </is>
      </c>
      <c r="B41" s="84" t="n"/>
      <c r="C41" s="84" t="n"/>
      <c r="D41" s="85" t="n"/>
      <c r="E41" s="85" t="n"/>
      <c r="F41" s="85" t="n"/>
      <c r="G41" s="85" t="n"/>
      <c r="H41" s="32" t="n"/>
      <c r="I41" s="33" t="n"/>
      <c r="J41" s="86" t="n"/>
      <c r="K41" s="86" t="n"/>
      <c r="L41" s="35" t="n"/>
      <c r="M41" s="36" t="n"/>
      <c r="N41" s="85" t="n"/>
      <c r="O41" s="85" t="n"/>
      <c r="P41" s="85" t="n"/>
      <c r="Q41" s="85" t="n"/>
      <c r="R41" s="85" t="n"/>
      <c r="S41" s="85" t="n"/>
      <c r="T41" s="87" t="n"/>
      <c r="U41" s="85" t="n"/>
      <c r="V41" s="85" t="n"/>
      <c r="W41" s="88" t="n"/>
      <c r="X41" s="85" t="n"/>
      <c r="Y41" s="35" t="n"/>
      <c r="Z41" s="36" t="n"/>
      <c r="AA41" s="85" t="n"/>
      <c r="AB41" s="87" t="n"/>
      <c r="AC41" s="85" t="n"/>
      <c r="AD41" s="85" t="n"/>
      <c r="AE41" s="39" t="n"/>
      <c r="AF41" s="40" t="n"/>
      <c r="AG41" s="85" t="n"/>
      <c r="AH41" s="87" t="n"/>
      <c r="AI41" s="87" t="n"/>
      <c r="AJ41" s="85" t="n"/>
      <c r="AK41" s="85" t="n"/>
      <c r="AL41" s="85" t="n"/>
    </row>
    <row r="42">
      <c r="A42" s="70" t="inlineStr">
        <is>
          <t>ENOUGH Collagen whitening cover tip concealer #02 [9g]/Консилер для лица (основная карточка)</t>
        </is>
      </c>
      <c r="B42" s="84" t="n"/>
      <c r="C42" s="84" t="n"/>
      <c r="D42" s="85" t="n"/>
      <c r="E42" s="85" t="n"/>
      <c r="F42" s="85" t="n"/>
      <c r="G42" s="85" t="n"/>
      <c r="H42" s="32" t="n"/>
      <c r="I42" s="33" t="n"/>
      <c r="J42" s="86" t="n"/>
      <c r="K42" s="86" t="n"/>
      <c r="L42" s="35" t="n"/>
      <c r="M42" s="36" t="n"/>
      <c r="N42" s="85" t="n"/>
      <c r="O42" s="85" t="n"/>
      <c r="P42" s="85" t="n"/>
      <c r="Q42" s="85" t="n"/>
      <c r="R42" s="85" t="n"/>
      <c r="S42" s="85" t="n"/>
      <c r="T42" s="87" t="n"/>
      <c r="U42" s="85" t="n"/>
      <c r="V42" s="85" t="n"/>
      <c r="W42" s="88" t="n"/>
      <c r="X42" s="85" t="n"/>
      <c r="Y42" s="35" t="n"/>
      <c r="Z42" s="36" t="n"/>
      <c r="AA42" s="85" t="n"/>
      <c r="AB42" s="87" t="n"/>
      <c r="AC42" s="85" t="n"/>
      <c r="AD42" s="85" t="n"/>
      <c r="AE42" s="39" t="n"/>
      <c r="AF42" s="40" t="n"/>
      <c r="AG42" s="85" t="n"/>
      <c r="AH42" s="87" t="n"/>
      <c r="AI42" s="87" t="n"/>
      <c r="AJ42" s="85" t="n"/>
      <c r="AK42" s="85" t="n"/>
      <c r="AL42" s="85" t="n"/>
    </row>
    <row r="43">
      <c r="A43" s="70" t="inlineStr">
        <is>
          <t>ENOUGH Collagen whitening cover tip concealer #03 [9g]/ Консилер для лица (основаная карточка)</t>
        </is>
      </c>
      <c r="B43" s="84" t="n"/>
      <c r="C43" s="84" t="n"/>
      <c r="D43" s="85" t="n"/>
      <c r="E43" s="85" t="n"/>
      <c r="F43" s="85" t="n"/>
      <c r="G43" s="85" t="n"/>
      <c r="H43" s="32" t="n"/>
      <c r="I43" s="33" t="n"/>
      <c r="J43" s="86" t="n"/>
      <c r="K43" s="86" t="n"/>
      <c r="L43" s="35" t="n"/>
      <c r="M43" s="36" t="n"/>
      <c r="N43" s="85" t="n"/>
      <c r="O43" s="85" t="n"/>
      <c r="P43" s="85" t="n"/>
      <c r="Q43" s="85" t="n"/>
      <c r="R43" s="85" t="n"/>
      <c r="S43" s="85" t="n"/>
      <c r="T43" s="87" t="n"/>
      <c r="U43" s="85" t="n"/>
      <c r="V43" s="85" t="n"/>
      <c r="W43" s="88" t="n"/>
      <c r="X43" s="85" t="n"/>
      <c r="Y43" s="35" t="n"/>
      <c r="Z43" s="36" t="n"/>
      <c r="AA43" s="85" t="n"/>
      <c r="AB43" s="87" t="n"/>
      <c r="AC43" s="85" t="n"/>
      <c r="AD43" s="85" t="n"/>
      <c r="AE43" s="39" t="n"/>
      <c r="AF43" s="40" t="n"/>
      <c r="AG43" s="85" t="n"/>
      <c r="AH43" s="87" t="n"/>
      <c r="AI43" s="87" t="n"/>
      <c r="AJ43" s="85" t="n"/>
      <c r="AK43" s="85" t="n"/>
      <c r="AL43" s="85" t="n"/>
    </row>
    <row r="44">
      <c r="A44" s="70" t="inlineStr">
        <is>
          <t>ENOUGH - Collagen Moisture BB Cream SPF47 PA+++ [50ml] / Увлажняющий BB крем с коллагеном</t>
        </is>
      </c>
      <c r="B44" s="71" t="n"/>
      <c r="C44" s="72" t="n"/>
      <c r="D44" s="73" t="n"/>
      <c r="E44" s="73" t="n"/>
      <c r="F44" s="73" t="n"/>
      <c r="G44" s="73">
        <f>(1.25*L44+O44+Q44+V44+X44+Y44+AK44)/(1-M44-$G$8-$G$4-(1-H44)*$G$3-$G$11-Z44-AB44)</f>
        <v/>
      </c>
      <c r="H44" s="15" t="n">
        <v>0.45</v>
      </c>
      <c r="I44" s="16">
        <f>G44*(1-H44)</f>
        <v/>
      </c>
      <c r="J44" s="45" t="n">
        <v>189.27</v>
      </c>
      <c r="K44" s="75">
        <f>$G$5</f>
        <v/>
      </c>
      <c r="L44" s="19">
        <f>J44+K44</f>
        <v/>
      </c>
      <c r="M44" s="20" t="n">
        <v>0.47</v>
      </c>
      <c r="N44" s="76">
        <f>G44*M44</f>
        <v/>
      </c>
      <c r="O44" s="77" t="n">
        <v>63</v>
      </c>
      <c r="P44" s="76">
        <f>G44*$G$8</f>
        <v/>
      </c>
      <c r="Q44" s="77" t="n">
        <v>25</v>
      </c>
      <c r="R44" s="76">
        <f>G44*$G$4</f>
        <v/>
      </c>
      <c r="S44" s="76">
        <f>I44*$G$3</f>
        <v/>
      </c>
      <c r="T44" s="78" t="n">
        <v>0.9</v>
      </c>
      <c r="U44" s="77" t="n">
        <v>63</v>
      </c>
      <c r="V44" s="76">
        <f>U44*(1-T44)</f>
        <v/>
      </c>
      <c r="W44" s="79" t="n">
        <v>0.28</v>
      </c>
      <c r="X44" s="76">
        <f>$G$6*$G$7*W44</f>
        <v/>
      </c>
      <c r="Y44" s="19">
        <f>W44*($G$9+$G$10)</f>
        <v/>
      </c>
      <c r="Z44" s="20" t="n">
        <v>0.07000000000000001</v>
      </c>
      <c r="AA44" s="76">
        <f>G44*Z44</f>
        <v/>
      </c>
      <c r="AB44" s="78" t="n">
        <v>0.08</v>
      </c>
      <c r="AC44" s="76">
        <f>G44*AB44</f>
        <v/>
      </c>
      <c r="AD44" s="76">
        <f>AA44+AC44</f>
        <v/>
      </c>
      <c r="AE44" s="25">
        <f>AD44/G44</f>
        <v/>
      </c>
      <c r="AF44" s="26">
        <f>G44-N44-O44-P44-Q44-R44-S44-V44-X44-Y44-L44-AK44-AL44</f>
        <v/>
      </c>
      <c r="AG44" s="89">
        <f>AF44-AD44</f>
        <v/>
      </c>
      <c r="AH44" s="90">
        <f>AG44/G44</f>
        <v/>
      </c>
      <c r="AI44" s="91">
        <f>AG44/L44</f>
        <v/>
      </c>
      <c r="AJ44" s="76">
        <f>(O44+Q44+V44+X44+Y44+L44+AK44)/(1-(M44+$G$4+(1-H44)*$G$3+$G$8+$G$11+Z44+AB44))</f>
        <v/>
      </c>
      <c r="AK44" s="76">
        <f>$G$12</f>
        <v/>
      </c>
      <c r="AL44" s="76">
        <f>G44*$G$11</f>
        <v/>
      </c>
    </row>
    <row r="45">
      <c r="A45" s="68" t="inlineStr">
        <is>
          <t>Косметика/ETUDEHOUSE</t>
        </is>
      </c>
      <c r="B45" s="69" t="n"/>
      <c r="C45" s="69" t="n"/>
      <c r="D45" s="69" t="n"/>
      <c r="E45" s="69" t="n"/>
      <c r="F45" s="69" t="n"/>
      <c r="G45" s="69" t="n"/>
      <c r="H45" s="69" t="n"/>
      <c r="I45" s="69" t="n"/>
      <c r="J45" s="69" t="n"/>
      <c r="K45" s="69" t="n"/>
      <c r="L45" s="69" t="n"/>
      <c r="M45" s="69" t="n"/>
      <c r="N45" s="69" t="n"/>
      <c r="O45" s="69" t="n"/>
      <c r="P45" s="69" t="n"/>
      <c r="Q45" s="69" t="n"/>
      <c r="R45" s="69" t="n"/>
      <c r="S45" s="69" t="n"/>
      <c r="T45" s="69" t="n"/>
      <c r="U45" s="69" t="n"/>
      <c r="V45" s="69" t="n"/>
      <c r="W45" s="69" t="n"/>
      <c r="X45" s="69" t="n"/>
      <c r="Y45" s="69" t="n"/>
      <c r="Z45" s="69" t="n"/>
      <c r="AA45" s="69" t="n"/>
      <c r="AB45" s="69" t="n"/>
      <c r="AC45" s="69" t="n"/>
      <c r="AD45" s="69" t="n"/>
      <c r="AE45" s="69" t="n"/>
      <c r="AF45" s="69" t="n"/>
      <c r="AG45" s="69" t="n"/>
      <c r="AH45" s="69" t="n"/>
      <c r="AI45" s="69" t="n"/>
      <c r="AJ45" s="69" t="n"/>
      <c r="AK45" s="69" t="n"/>
      <c r="AL45" s="69" t="n"/>
    </row>
    <row r="46">
      <c r="A46" s="70" t="inlineStr">
        <is>
          <t>ETUDE - Baking Powder Crunch Pore Scrub [200ml] / Очищающий скраб для лица с содой</t>
        </is>
      </c>
      <c r="B46" s="71" t="n"/>
      <c r="C46" s="72" t="n"/>
      <c r="D46" s="73" t="n">
        <v>1730</v>
      </c>
      <c r="E46" s="73" t="n">
        <v>300</v>
      </c>
      <c r="F46" s="73" t="n">
        <v>5</v>
      </c>
      <c r="G46" s="73">
        <f>(1.25*L46+O46+Q46+V46+X46+Y46+AK46)/(1-M46-$G$8-$G$4-(1-H46)*$G$3-$G$11-Z46-AB46)</f>
        <v/>
      </c>
      <c r="H46" s="15" t="n">
        <v>0.45</v>
      </c>
      <c r="I46" s="16">
        <f>G46*(1-H46)</f>
        <v/>
      </c>
      <c r="J46" s="74" t="n">
        <v>361.03</v>
      </c>
      <c r="K46" s="75">
        <f>$G$5</f>
        <v/>
      </c>
      <c r="L46" s="19">
        <f>J46+K46</f>
        <v/>
      </c>
      <c r="M46" s="20" t="n">
        <v>0.47</v>
      </c>
      <c r="N46" s="76">
        <f>G46*M46</f>
        <v/>
      </c>
      <c r="O46" s="77" t="n">
        <v>67</v>
      </c>
      <c r="P46" s="76">
        <f>G46*$G$8</f>
        <v/>
      </c>
      <c r="Q46" s="77" t="n">
        <v>25</v>
      </c>
      <c r="R46" s="76">
        <f>G46*$G$4</f>
        <v/>
      </c>
      <c r="S46" s="76">
        <f>I46*$G$3</f>
        <v/>
      </c>
      <c r="T46" s="78" t="n">
        <v>0.9</v>
      </c>
      <c r="U46" s="77" t="n">
        <v>67</v>
      </c>
      <c r="V46" s="76">
        <f>U46*(1-T46)</f>
        <v/>
      </c>
      <c r="W46" s="79" t="n">
        <v>0.5600000000000001</v>
      </c>
      <c r="X46" s="76">
        <f>$G$6*$G$7*W46</f>
        <v/>
      </c>
      <c r="Y46" s="19">
        <f>W46*($G$9+$G$10)</f>
        <v/>
      </c>
      <c r="Z46" s="20" t="n">
        <v>0.05</v>
      </c>
      <c r="AA46" s="76">
        <f>G46*Z46</f>
        <v/>
      </c>
      <c r="AB46" s="78" t="n">
        <v>0.05</v>
      </c>
      <c r="AC46" s="76">
        <f>G46*AB46</f>
        <v/>
      </c>
      <c r="AD46" s="76">
        <f>AA46+AC46</f>
        <v/>
      </c>
      <c r="AE46" s="25">
        <f>AD46/G46</f>
        <v/>
      </c>
      <c r="AF46" s="26">
        <f>G46-N46-O46-P46-Q46-R46-S46-V46-X46-Y46-L46-AK46-AL46</f>
        <v/>
      </c>
      <c r="AG46" s="80">
        <f>AF46-AD46</f>
        <v/>
      </c>
      <c r="AH46" s="81">
        <f>AG46/G46</f>
        <v/>
      </c>
      <c r="AI46" s="82">
        <f>AG46/L46</f>
        <v/>
      </c>
      <c r="AJ46" s="76">
        <f>(O46+Q46+V46+X46+Y46+L46+AK46)/(1-(M46+$G$4+(1-H46)*$G$3+$G$8+$G$11+Z46+AB46))</f>
        <v/>
      </c>
      <c r="AK46" s="76">
        <f>$G$12</f>
        <v/>
      </c>
      <c r="AL46" s="76">
        <f>G46*$G$11</f>
        <v/>
      </c>
    </row>
    <row r="47">
      <c r="A47" s="70" t="inlineStr">
        <is>
          <t>ETUDE - Baking Powder BB Deep Cleansing Foam [160ml] / Пенка с содой для глубокого очищения и снятия макияжа</t>
        </is>
      </c>
      <c r="B47" s="71" t="n"/>
      <c r="C47" s="72" t="n"/>
      <c r="D47" s="73" t="n">
        <v>1870</v>
      </c>
      <c r="E47" s="73" t="n">
        <v>230</v>
      </c>
      <c r="F47" s="73" t="n">
        <v>8</v>
      </c>
      <c r="G47" s="73">
        <f>(1.25*L47+O47+Q47+V47+X47+Y47+AK47)/(1-M47-$G$8-$G$4-(1-H47)*$G$3-$G$11-Z47-AB47)</f>
        <v/>
      </c>
      <c r="H47" s="15" t="n">
        <v>0.45</v>
      </c>
      <c r="I47" s="16">
        <f>G47*(1-H47)</f>
        <v/>
      </c>
      <c r="J47" s="74" t="n">
        <v>292.89</v>
      </c>
      <c r="K47" s="75">
        <f>$G$5</f>
        <v/>
      </c>
      <c r="L47" s="19">
        <f>J47+K47</f>
        <v/>
      </c>
      <c r="M47" s="20" t="n">
        <v>0.47</v>
      </c>
      <c r="N47" s="76">
        <f>G47*M47</f>
        <v/>
      </c>
      <c r="O47" s="77" t="n">
        <v>67</v>
      </c>
      <c r="P47" s="76">
        <f>G47*$G$8</f>
        <v/>
      </c>
      <c r="Q47" s="77" t="n">
        <v>25</v>
      </c>
      <c r="R47" s="76">
        <f>G47*$G$4</f>
        <v/>
      </c>
      <c r="S47" s="76">
        <f>I47*$G$3</f>
        <v/>
      </c>
      <c r="T47" s="78" t="n">
        <v>0.9</v>
      </c>
      <c r="U47" s="77" t="n">
        <v>67</v>
      </c>
      <c r="V47" s="76">
        <f>U47*(1-T47)</f>
        <v/>
      </c>
      <c r="W47" s="79" t="n">
        <v>0.5600000000000001</v>
      </c>
      <c r="X47" s="76">
        <f>$G$6*$G$7*W47</f>
        <v/>
      </c>
      <c r="Y47" s="19">
        <f>W47*($G$9+$G$10)</f>
        <v/>
      </c>
      <c r="Z47" s="20" t="n">
        <v>0.07000000000000001</v>
      </c>
      <c r="AA47" s="76">
        <f>G47*Z47</f>
        <v/>
      </c>
      <c r="AB47" s="78" t="n">
        <v>0.05</v>
      </c>
      <c r="AC47" s="76">
        <f>G47*AB47</f>
        <v/>
      </c>
      <c r="AD47" s="76">
        <f>AA47+AC47</f>
        <v/>
      </c>
      <c r="AE47" s="25">
        <f>AD47/G47</f>
        <v/>
      </c>
      <c r="AF47" s="26">
        <f>G47-N47-O47-P47-Q47-R47-S47-V47-X47-Y47-L47-AK47-AL47</f>
        <v/>
      </c>
      <c r="AG47" s="80">
        <f>AF47-AD47</f>
        <v/>
      </c>
      <c r="AH47" s="81">
        <f>AG47/G47</f>
        <v/>
      </c>
      <c r="AI47" s="82">
        <f>AG47/L47</f>
        <v/>
      </c>
      <c r="AJ47" s="76">
        <f>(O47+Q47+V47+X47+Y47+L47+AK47)/(1-(M47+$G$4+(1-H47)*$G$3+$G$8+$G$11+Z47+AB47))</f>
        <v/>
      </c>
      <c r="AK47" s="76">
        <f>$G$12</f>
        <v/>
      </c>
      <c r="AL47" s="76">
        <f>G47*$G$11</f>
        <v/>
      </c>
    </row>
    <row r="48">
      <c r="A48" s="70" t="inlineStr">
        <is>
          <t>ETUDE - Baking Powder Crunch Pore Scrub [24*7ml] / Очищающий скраб для лица с содой</t>
        </is>
      </c>
      <c r="B48" s="71" t="n"/>
      <c r="C48" s="72" t="n"/>
      <c r="D48" s="73" t="n">
        <v>1900</v>
      </c>
      <c r="E48" s="73" t="n">
        <v>60</v>
      </c>
      <c r="F48" s="73" t="n">
        <v>10</v>
      </c>
      <c r="G48" s="73">
        <f>(1.25*L48+O48+Q48+V48+X48+Y48+AK48)/(1-M48-$G$8-$G$4-(1-H48)*$G$3-$G$11-Z48-AB48)</f>
        <v/>
      </c>
      <c r="H48" s="15" t="n">
        <v>0.45</v>
      </c>
      <c r="I48" s="16">
        <f>G48*(1-H48)</f>
        <v/>
      </c>
      <c r="J48" s="74" t="n">
        <v>389.99</v>
      </c>
      <c r="K48" s="75">
        <f>$G$5</f>
        <v/>
      </c>
      <c r="L48" s="19">
        <f>J48+K48</f>
        <v/>
      </c>
      <c r="M48" s="20" t="n">
        <v>0.47</v>
      </c>
      <c r="N48" s="76">
        <f>G48*M48</f>
        <v/>
      </c>
      <c r="O48" s="77" t="n">
        <v>72</v>
      </c>
      <c r="P48" s="76">
        <f>G48*$G$8</f>
        <v/>
      </c>
      <c r="Q48" s="77" t="n">
        <v>25</v>
      </c>
      <c r="R48" s="76">
        <f>G48*$G$4</f>
        <v/>
      </c>
      <c r="S48" s="76">
        <f>I48*$G$3</f>
        <v/>
      </c>
      <c r="T48" s="78" t="n">
        <v>0.9</v>
      </c>
      <c r="U48" s="77" t="n">
        <v>72</v>
      </c>
      <c r="V48" s="76">
        <f>U48*(1-T48)</f>
        <v/>
      </c>
      <c r="W48" s="79" t="n">
        <v>1.15</v>
      </c>
      <c r="X48" s="76">
        <f>$G$6*$G$7*W48</f>
        <v/>
      </c>
      <c r="Y48" s="19">
        <f>W48*($G$9+$G$10)</f>
        <v/>
      </c>
      <c r="Z48" s="20" t="n">
        <v>0.07000000000000001</v>
      </c>
      <c r="AA48" s="76">
        <f>G48*Z48</f>
        <v/>
      </c>
      <c r="AB48" s="78" t="n">
        <v>0.08</v>
      </c>
      <c r="AC48" s="76">
        <f>G48*AB48</f>
        <v/>
      </c>
      <c r="AD48" s="76">
        <f>AA48+AC48</f>
        <v/>
      </c>
      <c r="AE48" s="25">
        <f>AD48/G48</f>
        <v/>
      </c>
      <c r="AF48" s="26">
        <f>G48-N48-O48-P48-Q48-R48-S48-V48-X48-Y48-L48-AK48-AL48</f>
        <v/>
      </c>
      <c r="AG48" s="80">
        <f>AF48-AD48</f>
        <v/>
      </c>
      <c r="AH48" s="81">
        <f>AG48/G48</f>
        <v/>
      </c>
      <c r="AI48" s="82">
        <f>AG48/L48</f>
        <v/>
      </c>
      <c r="AJ48" s="76">
        <f>(O48+Q48+V48+X48+Y48+L48+AK48)/(1-(M48+$G$4+(1-H48)*$G$3+$G$8+$G$11+Z48+AB48))</f>
        <v/>
      </c>
      <c r="AK48" s="76">
        <f>$G$12</f>
        <v/>
      </c>
      <c r="AL48" s="76">
        <f>G48*$G$11</f>
        <v/>
      </c>
    </row>
    <row r="49">
      <c r="A49" s="68" t="inlineStr">
        <is>
          <t>Косметика/FARMSTAY</t>
        </is>
      </c>
      <c r="B49" s="69" t="n"/>
      <c r="C49" s="69" t="n"/>
      <c r="D49" s="69" t="n"/>
      <c r="E49" s="69" t="n"/>
      <c r="F49" s="69" t="n"/>
      <c r="G49" s="69" t="n"/>
      <c r="H49" s="69" t="n"/>
      <c r="I49" s="69" t="n"/>
      <c r="J49" s="69" t="n"/>
      <c r="K49" s="69" t="n"/>
      <c r="L49" s="69" t="n"/>
      <c r="M49" s="69" t="n"/>
      <c r="N49" s="69" t="n"/>
      <c r="O49" s="69" t="n"/>
      <c r="P49" s="69" t="n"/>
      <c r="Q49" s="69" t="n"/>
      <c r="R49" s="69" t="n"/>
      <c r="S49" s="69" t="n"/>
      <c r="T49" s="69" t="n"/>
      <c r="U49" s="69" t="n"/>
      <c r="V49" s="69" t="n"/>
      <c r="W49" s="69" t="n"/>
      <c r="X49" s="69" t="n"/>
      <c r="Y49" s="69" t="n"/>
      <c r="Z49" s="69" t="n"/>
      <c r="AA49" s="69" t="n"/>
      <c r="AB49" s="69" t="n"/>
      <c r="AC49" s="69" t="n"/>
      <c r="AD49" s="69" t="n"/>
      <c r="AE49" s="69" t="n"/>
      <c r="AF49" s="69" t="n"/>
      <c r="AG49" s="69" t="n"/>
      <c r="AH49" s="69" t="n"/>
      <c r="AI49" s="69" t="n"/>
      <c r="AJ49" s="69" t="n"/>
      <c r="AK49" s="69" t="n"/>
      <c r="AL49" s="69" t="n"/>
    </row>
    <row r="50">
      <c r="A50" s="92" t="inlineStr">
        <is>
          <t>FARMSTAY COLLAGEN&amp;HYALURONIC ACID ALL-IN ONE</t>
        </is>
      </c>
      <c r="B50" s="71" t="n"/>
      <c r="C50" s="72" t="inlineStr">
        <is>
          <t>только Holika продает на Озон</t>
        </is>
      </c>
      <c r="D50" s="73" t="n">
        <v>3850</v>
      </c>
      <c r="E50" s="73" t="n">
        <v>127</v>
      </c>
      <c r="F50" s="73" t="n">
        <v>6</v>
      </c>
      <c r="G50" s="73">
        <f>(1.25*L50+O50+Q50+V50+X50+Y50+AK50)/(1-M50-$G$8-$G$4-(1-H50)*$G$3-$G$11-Z50-AB50)</f>
        <v/>
      </c>
      <c r="H50" s="15" t="n">
        <v>0.45</v>
      </c>
      <c r="I50" s="16">
        <f>G50*(1-H50)</f>
        <v/>
      </c>
      <c r="J50" s="74" t="n">
        <v>347.76</v>
      </c>
      <c r="K50" s="75">
        <f>$G$5</f>
        <v/>
      </c>
      <c r="L50" s="19">
        <f>J50+K50</f>
        <v/>
      </c>
      <c r="M50" s="20" t="n">
        <v>0.47</v>
      </c>
      <c r="N50" s="76">
        <f>G50*M50</f>
        <v/>
      </c>
      <c r="O50" s="77" t="n">
        <v>67</v>
      </c>
      <c r="P50" s="76">
        <f>G50*$G$8</f>
        <v/>
      </c>
      <c r="Q50" s="77" t="n">
        <v>25</v>
      </c>
      <c r="R50" s="76">
        <f>G50*$G$4</f>
        <v/>
      </c>
      <c r="S50" s="76">
        <f>I50*$G$3</f>
        <v/>
      </c>
      <c r="T50" s="78" t="n">
        <v>0.9</v>
      </c>
      <c r="U50" s="77" t="n">
        <v>67</v>
      </c>
      <c r="V50" s="76">
        <f>U50*(1-T50)</f>
        <v/>
      </c>
      <c r="W50" s="79" t="n">
        <v>0.832</v>
      </c>
      <c r="X50" s="76">
        <f>$G$6*$G$7*W50</f>
        <v/>
      </c>
      <c r="Y50" s="19">
        <f>W50*($G$9+$G$10)</f>
        <v/>
      </c>
      <c r="Z50" s="20" t="n">
        <v>0.07000000000000001</v>
      </c>
      <c r="AA50" s="76">
        <f>G50*Z50</f>
        <v/>
      </c>
      <c r="AB50" s="78" t="n">
        <v>0.08</v>
      </c>
      <c r="AC50" s="76">
        <f>G50*AB50</f>
        <v/>
      </c>
      <c r="AD50" s="76">
        <f>AA50+AC50</f>
        <v/>
      </c>
      <c r="AE50" s="25">
        <f>AD50/G50</f>
        <v/>
      </c>
      <c r="AF50" s="26">
        <f>G50-N50-O50-P50-Q50-R50-S50-V50-X50-Y50-L50-AK50-AL50</f>
        <v/>
      </c>
      <c r="AG50" s="80">
        <f>AF50-AD50</f>
        <v/>
      </c>
      <c r="AH50" s="81">
        <f>AG50/G50</f>
        <v/>
      </c>
      <c r="AI50" s="82">
        <f>AG50/L50</f>
        <v/>
      </c>
      <c r="AJ50" s="76">
        <f>(O50+Q50+V50+X50+Y50+L50+AK50)/(1-(M50+$G$4+(1-H50)*$G$3+$G$8+$G$11+Z50+AB50))</f>
        <v/>
      </c>
      <c r="AK50" s="76">
        <f>$G$12</f>
        <v/>
      </c>
      <c r="AL50" s="76">
        <f>G50*$G$11</f>
        <v/>
      </c>
    </row>
    <row r="51">
      <c r="A51" s="92" t="inlineStr">
        <is>
          <t>FARMSTAY - Black Garlic Nourishing Shampoo [530ml] / Шампунь-кондиционер 2в1 с экстрактом черного чеснока</t>
        </is>
      </c>
      <c r="B51" s="71" t="n"/>
      <c r="C51" s="72" t="inlineStr">
        <is>
          <t>только Holika продает на Озон</t>
        </is>
      </c>
      <c r="D51" s="73" t="n">
        <v>2156</v>
      </c>
      <c r="E51" s="73" t="n">
        <v>46</v>
      </c>
      <c r="F51" s="73" t="n">
        <v>5</v>
      </c>
      <c r="G51" s="73">
        <f>(1.25*L51+O51+Q51+V51+X51+Y51+AK51)/(1-M51-$G$8-$G$4-(1-H51)*$G$3-$G$11-Z51-AB51)</f>
        <v/>
      </c>
      <c r="H51" s="15" t="n">
        <v>0.45</v>
      </c>
      <c r="I51" s="16">
        <f>G51*(1-H51)</f>
        <v/>
      </c>
      <c r="J51" s="74" t="n">
        <v>396.72</v>
      </c>
      <c r="K51" s="75">
        <f>$G$5</f>
        <v/>
      </c>
      <c r="L51" s="19">
        <f>J51+K51</f>
        <v/>
      </c>
      <c r="M51" s="20" t="n">
        <v>0.47</v>
      </c>
      <c r="N51" s="76">
        <f>G51*M51</f>
        <v/>
      </c>
      <c r="O51" s="77" t="n">
        <v>75</v>
      </c>
      <c r="P51" s="76">
        <f>G51*$G$8</f>
        <v/>
      </c>
      <c r="Q51" s="77" t="n">
        <v>25</v>
      </c>
      <c r="R51" s="76">
        <f>G51*$G$4</f>
        <v/>
      </c>
      <c r="S51" s="76">
        <f>I51*$G$3</f>
        <v/>
      </c>
      <c r="T51" s="78" t="n">
        <v>0.9</v>
      </c>
      <c r="U51" s="77" t="n">
        <v>75</v>
      </c>
      <c r="V51" s="76">
        <f>U51*(1-T51)</f>
        <v/>
      </c>
      <c r="W51" s="79" t="n">
        <v>1.89</v>
      </c>
      <c r="X51" s="76">
        <f>$G$6*$G$7*W51</f>
        <v/>
      </c>
      <c r="Y51" s="19">
        <f>W51*($G$9+$G$10)</f>
        <v/>
      </c>
      <c r="Z51" s="20" t="n">
        <v>0.07000000000000001</v>
      </c>
      <c r="AA51" s="76">
        <f>G51*Z51</f>
        <v/>
      </c>
      <c r="AB51" s="78" t="n">
        <v>0.08</v>
      </c>
      <c r="AC51" s="76">
        <f>G51*AB51</f>
        <v/>
      </c>
      <c r="AD51" s="76">
        <f>AA51+AC51</f>
        <v/>
      </c>
      <c r="AE51" s="25">
        <f>AD51/G51</f>
        <v/>
      </c>
      <c r="AF51" s="26">
        <f>G51-N51-O51-P51-Q51-R51-S51-V51-X51-Y51-L51-AK51-AL51</f>
        <v/>
      </c>
      <c r="AG51" s="80">
        <f>AF51-AD51</f>
        <v/>
      </c>
      <c r="AH51" s="81">
        <f>AG51/G51</f>
        <v/>
      </c>
      <c r="AI51" s="82">
        <f>AG51/L51</f>
        <v/>
      </c>
      <c r="AJ51" s="76">
        <f>(O51+Q51+V51+X51+Y51+L51+AK51)/(1-(M51+$G$4+(1-H51)*$G$3+$G$8+$G$11+Z51+AB51))</f>
        <v/>
      </c>
      <c r="AK51" s="76">
        <f>$G$12</f>
        <v/>
      </c>
      <c r="AL51" s="76">
        <f>G51*$G$11</f>
        <v/>
      </c>
    </row>
    <row r="52">
      <c r="A52" s="92" t="inlineStr">
        <is>
          <t>FARMSTAY - Gold Snail Premium Cream [50ml] / Омолаживающий крем с муцином улитки и коллоидным золотом</t>
        </is>
      </c>
      <c r="B52" s="71" t="n"/>
      <c r="C52" s="72" t="inlineStr">
        <is>
          <t>не смогла найти с продажами</t>
        </is>
      </c>
      <c r="D52" s="73" t="n"/>
      <c r="E52" s="73" t="n"/>
      <c r="F52" s="73" t="n"/>
      <c r="G52" s="73">
        <f>(1.25*L52+O52+Q52+V52+X52+Y52+AK52)/(1-M52-$G$8-$G$4-(1-H52)*$G$3-$G$11-Z52-AB52)</f>
        <v/>
      </c>
      <c r="H52" s="15" t="n">
        <v>0.45</v>
      </c>
      <c r="I52" s="16">
        <f>G52*(1-H52)</f>
        <v/>
      </c>
      <c r="J52" s="74" t="n">
        <v>431.05</v>
      </c>
      <c r="K52" s="75">
        <f>$G$5</f>
        <v/>
      </c>
      <c r="L52" s="19">
        <f>J52+K52</f>
        <v/>
      </c>
      <c r="M52" s="20" t="n">
        <v>0.47</v>
      </c>
      <c r="N52" s="76">
        <f>G52*M52</f>
        <v/>
      </c>
      <c r="O52" s="77" t="n">
        <v>67</v>
      </c>
      <c r="P52" s="76">
        <f>G52*$G$8</f>
        <v/>
      </c>
      <c r="Q52" s="77" t="n">
        <v>25</v>
      </c>
      <c r="R52" s="76">
        <f>G52*$G$4</f>
        <v/>
      </c>
      <c r="S52" s="76">
        <f>I52*$G$3</f>
        <v/>
      </c>
      <c r="T52" s="78" t="n">
        <v>0.9</v>
      </c>
      <c r="U52" s="77" t="n">
        <v>67</v>
      </c>
      <c r="V52" s="76">
        <f>U52*(1-T52)</f>
        <v/>
      </c>
      <c r="W52" s="79" t="n">
        <v>0.73</v>
      </c>
      <c r="X52" s="76">
        <f>$G$6*$G$7*W52</f>
        <v/>
      </c>
      <c r="Y52" s="19">
        <f>W52*($G$9+$G$10)</f>
        <v/>
      </c>
      <c r="Z52" s="20" t="n">
        <v>0.07000000000000001</v>
      </c>
      <c r="AA52" s="76">
        <f>G52*Z52</f>
        <v/>
      </c>
      <c r="AB52" s="78" t="n">
        <v>0.08</v>
      </c>
      <c r="AC52" s="76">
        <f>G52*AB52</f>
        <v/>
      </c>
      <c r="AD52" s="76">
        <f>AA52+AC52</f>
        <v/>
      </c>
      <c r="AE52" s="25">
        <f>AD52/G52</f>
        <v/>
      </c>
      <c r="AF52" s="26">
        <f>G52-N52-O52-P52-Q52-R52-S52-V52-X52-Y52-L52-AK52-AL52</f>
        <v/>
      </c>
      <c r="AG52" s="80">
        <f>AF52-AD52</f>
        <v/>
      </c>
      <c r="AH52" s="81">
        <f>AG52/G52</f>
        <v/>
      </c>
      <c r="AI52" s="82">
        <f>AG52/L52</f>
        <v/>
      </c>
      <c r="AJ52" s="76">
        <f>(O52+Q52+V52+X52+Y52+L52+AK52)/(1-(M52+$G$4+(1-H52)*$G$3+$G$8+$G$11+Z52+AB52))</f>
        <v/>
      </c>
      <c r="AK52" s="76">
        <f>$G$12</f>
        <v/>
      </c>
      <c r="AL52" s="76">
        <f>G52*$G$11</f>
        <v/>
      </c>
    </row>
    <row r="53">
      <c r="A53" s="92" t="inlineStr">
        <is>
          <t>FARMSTAY - Escargot Noblesse Intensive Cream [50g] / Крем с муцином королевской улитки</t>
        </is>
      </c>
      <c r="B53" s="71" t="n"/>
      <c r="C53" s="72" t="inlineStr">
        <is>
          <t>только Holika продает на Озон</t>
        </is>
      </c>
      <c r="D53" s="73" t="n">
        <v>3070</v>
      </c>
      <c r="E53" s="73" t="n">
        <v>48</v>
      </c>
      <c r="F53" s="73" t="n">
        <v>6.6</v>
      </c>
      <c r="G53" s="73">
        <f>(1.25*L53+O53+Q53+V53+X53+Y53+AK53)/(1-M53-$G$8-$G$4-(1-H53)*$G$3-$G$11-Z53-AB53)</f>
        <v/>
      </c>
      <c r="H53" s="15" t="n">
        <v>0.45</v>
      </c>
      <c r="I53" s="16">
        <f>G53*(1-H53)</f>
        <v/>
      </c>
      <c r="J53" s="74" t="n">
        <v>313.84</v>
      </c>
      <c r="K53" s="75">
        <f>$G$5</f>
        <v/>
      </c>
      <c r="L53" s="19">
        <f>J53+K53</f>
        <v/>
      </c>
      <c r="M53" s="20" t="n">
        <v>0.47</v>
      </c>
      <c r="N53" s="76">
        <f>G53*M53</f>
        <v/>
      </c>
      <c r="O53" s="77" t="n">
        <v>67</v>
      </c>
      <c r="P53" s="76">
        <f>G53*$G$8</f>
        <v/>
      </c>
      <c r="Q53" s="77" t="n">
        <v>25</v>
      </c>
      <c r="R53" s="76">
        <f>G53*$G$4</f>
        <v/>
      </c>
      <c r="S53" s="76">
        <f>I53*$G$3</f>
        <v/>
      </c>
      <c r="T53" s="78" t="n">
        <v>0.9</v>
      </c>
      <c r="U53" s="77" t="n">
        <v>67</v>
      </c>
      <c r="V53" s="76">
        <f>U53*(1-T53)</f>
        <v/>
      </c>
      <c r="W53" s="79" t="n">
        <v>0.86</v>
      </c>
      <c r="X53" s="76">
        <f>$G$6*$G$7*W53</f>
        <v/>
      </c>
      <c r="Y53" s="19">
        <f>W53*($G$9+$G$10)</f>
        <v/>
      </c>
      <c r="Z53" s="20" t="n">
        <v>0.07000000000000001</v>
      </c>
      <c r="AA53" s="76">
        <f>G53*Z53</f>
        <v/>
      </c>
      <c r="AB53" s="78" t="n">
        <v>0.08</v>
      </c>
      <c r="AC53" s="76">
        <f>G53*AB53</f>
        <v/>
      </c>
      <c r="AD53" s="76">
        <f>AA53+AC53</f>
        <v/>
      </c>
      <c r="AE53" s="25">
        <f>AD53/G53</f>
        <v/>
      </c>
      <c r="AF53" s="26">
        <f>G53-N53-O53-P53-Q53-R53-S53-V53-X53-Y53-L53-AK53-AL53</f>
        <v/>
      </c>
      <c r="AG53" s="80">
        <f>AF53-AD53</f>
        <v/>
      </c>
      <c r="AH53" s="81">
        <f>AG53/G53</f>
        <v/>
      </c>
      <c r="AI53" s="82">
        <f>AG53/L53</f>
        <v/>
      </c>
      <c r="AJ53" s="76">
        <f>(O53+Q53+V53+X53+Y53+L53+AK53)/(1-(M53+$G$4+(1-H53)*$G$3+$G$8+$G$11+Z53+AB53))</f>
        <v/>
      </c>
      <c r="AK53" s="76">
        <f>$G$12</f>
        <v/>
      </c>
      <c r="AL53" s="76">
        <f>G53*$G$11</f>
        <v/>
      </c>
    </row>
    <row r="54">
      <c r="A54" s="70" t="inlineStr">
        <is>
          <t xml:space="preserve">FARMSTAY ESCARGOT NOBLESSE INTENSIVE AMPOULE/ сыворотка с улиткой </t>
        </is>
      </c>
      <c r="B54" s="71" t="n"/>
      <c r="C54" s="72" t="n"/>
      <c r="D54" s="73" t="n">
        <v>3820</v>
      </c>
      <c r="E54" s="73" t="n">
        <v>22</v>
      </c>
      <c r="F54" s="73" t="n">
        <v>7</v>
      </c>
      <c r="G54" s="73">
        <f>(1.25*L54+O54+Q54+V54+X54+Y54+AK54)/(1-M54-$G$8-$G$4-(1-H54)*$G$3-$G$11-Z54-AB54)</f>
        <v/>
      </c>
      <c r="H54" s="15" t="n">
        <v>0.45</v>
      </c>
      <c r="I54" s="16">
        <f>G54*(1-H54)</f>
        <v/>
      </c>
      <c r="J54" s="74" t="n">
        <v>390.46</v>
      </c>
      <c r="K54" s="75">
        <f>$G$5</f>
        <v/>
      </c>
      <c r="L54" s="19">
        <f>J54+K54</f>
        <v/>
      </c>
      <c r="M54" s="20" t="n">
        <v>0.47</v>
      </c>
      <c r="N54" s="76">
        <f>G54*M54</f>
        <v/>
      </c>
      <c r="O54" s="77" t="n">
        <v>67</v>
      </c>
      <c r="P54" s="76">
        <f>G54*$G$8</f>
        <v/>
      </c>
      <c r="Q54" s="77" t="n">
        <v>25</v>
      </c>
      <c r="R54" s="76">
        <f>G54*$G$4</f>
        <v/>
      </c>
      <c r="S54" s="76">
        <f>I54*$G$3</f>
        <v/>
      </c>
      <c r="T54" s="78" t="n">
        <v>0.9</v>
      </c>
      <c r="U54" s="77" t="n">
        <v>67</v>
      </c>
      <c r="V54" s="76">
        <f>U54*(1-T54)</f>
        <v/>
      </c>
      <c r="W54" s="79" t="n">
        <v>0.86</v>
      </c>
      <c r="X54" s="76">
        <f>$G$6*$G$7*W54</f>
        <v/>
      </c>
      <c r="Y54" s="19">
        <f>W54*($G$9+$G$10)</f>
        <v/>
      </c>
      <c r="Z54" s="20" t="n">
        <v>0.07000000000000001</v>
      </c>
      <c r="AA54" s="76">
        <f>G54*Z54</f>
        <v/>
      </c>
      <c r="AB54" s="78" t="n">
        <v>0.08</v>
      </c>
      <c r="AC54" s="76">
        <f>G54*AB54</f>
        <v/>
      </c>
      <c r="AD54" s="76">
        <f>AA54+AC54</f>
        <v/>
      </c>
      <c r="AE54" s="25">
        <f>AD54/G54</f>
        <v/>
      </c>
      <c r="AF54" s="26">
        <f>G54-N54-O54-P54-Q54-R54-S54-V54-X54-Y54-L54-AK54-AL54</f>
        <v/>
      </c>
      <c r="AG54" s="80">
        <f>AF54-AD54</f>
        <v/>
      </c>
      <c r="AH54" s="81">
        <f>AG54/G54</f>
        <v/>
      </c>
      <c r="AI54" s="82">
        <f>AG54/L54</f>
        <v/>
      </c>
      <c r="AJ54" s="76">
        <f>(O54+Q54+V54+X54+Y54+L54+AK54)/(1-(M54+$G$4+(1-H54)*$G$3+$G$8+$G$11+Z54+AB54))</f>
        <v/>
      </c>
      <c r="AK54" s="76">
        <f>$G$12</f>
        <v/>
      </c>
      <c r="AL54" s="76">
        <f>G54*$G$11</f>
        <v/>
      </c>
    </row>
    <row r="55">
      <c r="A55" s="70" t="inlineStr">
        <is>
          <t>FARMSTAY - Argan Oil Complete Volume Up Shampoo &amp; Conditioner [530ml] / Шампунь-кондиционер с аргановым маслом</t>
        </is>
      </c>
      <c r="B55" s="71" t="n"/>
      <c r="C55" s="72" t="n"/>
      <c r="D55" s="73" t="n">
        <v>2000</v>
      </c>
      <c r="E55" s="73" t="n">
        <v>23</v>
      </c>
      <c r="F55" s="73" t="n">
        <v>1</v>
      </c>
      <c r="G55" s="73">
        <f>(1.25*L55+O55+Q55+V55+X55+Y55+AK55)/(1-M55-$G$8-$G$4-(1-H55)*$G$3-$G$11-Z55-AB55)</f>
        <v/>
      </c>
      <c r="H55" s="15" t="n">
        <v>0.45</v>
      </c>
      <c r="I55" s="16">
        <f>G55*(1-H55)</f>
        <v/>
      </c>
      <c r="J55" s="74" t="n">
        <v>400.76</v>
      </c>
      <c r="K55" s="75">
        <f>$G$5</f>
        <v/>
      </c>
      <c r="L55" s="19">
        <f>J55+K55</f>
        <v/>
      </c>
      <c r="M55" s="20" t="n">
        <v>0.47</v>
      </c>
      <c r="N55" s="76">
        <f>G55*M55</f>
        <v/>
      </c>
      <c r="O55" s="77" t="n">
        <v>75</v>
      </c>
      <c r="P55" s="76">
        <f>G55*$G$8</f>
        <v/>
      </c>
      <c r="Q55" s="77" t="n">
        <v>25</v>
      </c>
      <c r="R55" s="76">
        <f>G55*$G$4</f>
        <v/>
      </c>
      <c r="S55" s="76">
        <f>I55*$G$3</f>
        <v/>
      </c>
      <c r="T55" s="78" t="n">
        <v>0.9</v>
      </c>
      <c r="U55" s="77" t="n">
        <v>75</v>
      </c>
      <c r="V55" s="76">
        <f>U55*(1-T55)</f>
        <v/>
      </c>
      <c r="W55" s="79" t="n">
        <v>1.26</v>
      </c>
      <c r="X55" s="76">
        <f>$G$6*$G$7*W55</f>
        <v/>
      </c>
      <c r="Y55" s="19">
        <f>W55*($G$9+$G$10)</f>
        <v/>
      </c>
      <c r="Z55" s="20" t="n">
        <v>0.07000000000000001</v>
      </c>
      <c r="AA55" s="76">
        <f>G55*Z55</f>
        <v/>
      </c>
      <c r="AB55" s="78" t="n">
        <v>0.08</v>
      </c>
      <c r="AC55" s="76">
        <f>G55*AB55</f>
        <v/>
      </c>
      <c r="AD55" s="76">
        <f>AA55+AC55</f>
        <v/>
      </c>
      <c r="AE55" s="25">
        <f>AD55/G55</f>
        <v/>
      </c>
      <c r="AF55" s="26">
        <f>G55-N55-O55-P55-Q55-R55-S55-V55-X55-Y55-L55-AK55-AL55</f>
        <v/>
      </c>
      <c r="AG55" s="80">
        <f>AF55-AD55</f>
        <v/>
      </c>
      <c r="AH55" s="81">
        <f>AG55/G55</f>
        <v/>
      </c>
      <c r="AI55" s="82">
        <f>AG55/L55</f>
        <v/>
      </c>
      <c r="AJ55" s="76">
        <f>(O55+Q55+V55+X55+Y55+L55+AK55)/(1-(M55+$G$4+(1-H55)*$G$3+$G$8+$G$11+Z55+AB55))</f>
        <v/>
      </c>
      <c r="AK55" s="76">
        <f>$G$12</f>
        <v/>
      </c>
      <c r="AL55" s="76">
        <f>G55*$G$11</f>
        <v/>
      </c>
    </row>
    <row r="56">
      <c r="A56" s="70" t="inlineStr">
        <is>
          <t>FARMSTAY - Collagen Water Full Shampoo &amp; Conditioner [530ml] / Шампунь-кондиционер 2в1 с коллагеном</t>
        </is>
      </c>
      <c r="B56" s="71" t="n"/>
      <c r="C56" s="72" t="n"/>
      <c r="D56" s="73" t="n">
        <v>2128</v>
      </c>
      <c r="E56" s="73" t="n">
        <v>22</v>
      </c>
      <c r="F56" s="73" t="n">
        <v>7.5</v>
      </c>
      <c r="G56" s="73">
        <f>(1.25*L56+O56+Q56+V56+X56+Y56+AK56)/(1-M56-$G$8-$G$4-(1-H56)*$G$3-$G$11-Z56-AB56)</f>
        <v/>
      </c>
      <c r="H56" s="15" t="n">
        <v>0.45</v>
      </c>
      <c r="I56" s="16">
        <f>G56*(1-H56)</f>
        <v/>
      </c>
      <c r="J56" s="74" t="n">
        <v>396.72</v>
      </c>
      <c r="K56" s="75">
        <f>$G$5</f>
        <v/>
      </c>
      <c r="L56" s="19">
        <f>J56+K56</f>
        <v/>
      </c>
      <c r="M56" s="20" t="n">
        <v>0.47</v>
      </c>
      <c r="N56" s="76">
        <f>G56*M56</f>
        <v/>
      </c>
      <c r="O56" s="77" t="n">
        <v>75</v>
      </c>
      <c r="P56" s="76">
        <f>G56*$G$8</f>
        <v/>
      </c>
      <c r="Q56" s="77" t="n">
        <v>25</v>
      </c>
      <c r="R56" s="76">
        <f>G56*$G$4</f>
        <v/>
      </c>
      <c r="S56" s="76">
        <f>I56*$G$3</f>
        <v/>
      </c>
      <c r="T56" s="78" t="n">
        <v>0.9</v>
      </c>
      <c r="U56" s="77" t="n">
        <v>75</v>
      </c>
      <c r="V56" s="76">
        <f>U56*(1-T56)</f>
        <v/>
      </c>
      <c r="W56" s="79" t="n">
        <v>1.26</v>
      </c>
      <c r="X56" s="76">
        <f>$G$6*$G$7*W56</f>
        <v/>
      </c>
      <c r="Y56" s="19">
        <f>W56*($G$9+$G$10)</f>
        <v/>
      </c>
      <c r="Z56" s="20" t="n">
        <v>0.07000000000000001</v>
      </c>
      <c r="AA56" s="76">
        <f>G56*Z56</f>
        <v/>
      </c>
      <c r="AB56" s="78" t="n">
        <v>0.08</v>
      </c>
      <c r="AC56" s="76">
        <f>G56*AB56</f>
        <v/>
      </c>
      <c r="AD56" s="76">
        <f>AA56+AC56</f>
        <v/>
      </c>
      <c r="AE56" s="25">
        <f>AD56/G56</f>
        <v/>
      </c>
      <c r="AF56" s="26">
        <f>G56-N56-O56-P56-Q56-R56-S56-V56-X56-Y56-L56-AK56-AL56</f>
        <v/>
      </c>
      <c r="AG56" s="80">
        <f>AF56-AD56</f>
        <v/>
      </c>
      <c r="AH56" s="81">
        <f>AG56/G56</f>
        <v/>
      </c>
      <c r="AI56" s="82">
        <f>AG56/L56</f>
        <v/>
      </c>
      <c r="AJ56" s="76">
        <f>(O56+Q56+V56+X56+Y56+L56+AK56)/(1-(M56+$G$4+(1-H56)*$G$3+$G$8+$G$11+Z56+AB56))</f>
        <v/>
      </c>
      <c r="AK56" s="76">
        <f>$G$12</f>
        <v/>
      </c>
      <c r="AL56" s="76">
        <f>G56*$G$11</f>
        <v/>
      </c>
    </row>
    <row r="57">
      <c r="A57" s="70" t="inlineStr">
        <is>
          <t>FARMSTAY - Collagen Water Full Moist Rolling Eye Serum [25ml] / Сыворотка роллер для глаз</t>
        </is>
      </c>
      <c r="B57" s="71" t="n"/>
      <c r="C57" s="72" t="n"/>
      <c r="D57" s="73" t="n">
        <v>2145</v>
      </c>
      <c r="E57" s="73" t="n">
        <v>48</v>
      </c>
      <c r="F57" s="73" t="n">
        <v>5</v>
      </c>
      <c r="G57" s="73">
        <f>(1.25*L57+O57+Q57+V57+X57+Y57+AK57)/(1-M57-$G$8-$G$4-(1-H57)*$G$3-$G$11-Z57-AB57)</f>
        <v/>
      </c>
      <c r="H57" s="15" t="n">
        <v>0.45</v>
      </c>
      <c r="I57" s="16">
        <f>G57*(1-H57)</f>
        <v/>
      </c>
      <c r="J57" s="74" t="n">
        <v>231.73</v>
      </c>
      <c r="K57" s="75">
        <f>$G$5</f>
        <v/>
      </c>
      <c r="L57" s="19">
        <f>J57+K57</f>
        <v/>
      </c>
      <c r="M57" s="20" t="n">
        <v>0.47</v>
      </c>
      <c r="N57" s="76">
        <f>G57*M57</f>
        <v/>
      </c>
      <c r="O57" s="77" t="n">
        <v>63</v>
      </c>
      <c r="P57" s="76">
        <f>G57*$G$8</f>
        <v/>
      </c>
      <c r="Q57" s="77" t="n">
        <v>25</v>
      </c>
      <c r="R57" s="76">
        <f>G57*$G$4</f>
        <v/>
      </c>
      <c r="S57" s="76">
        <f>I57*$G$3</f>
        <v/>
      </c>
      <c r="T57" s="78" t="n">
        <v>0.9</v>
      </c>
      <c r="U57" s="77" t="n">
        <v>63</v>
      </c>
      <c r="V57" s="76">
        <f>U57*(1-T57)</f>
        <v/>
      </c>
      <c r="W57" s="79" t="n">
        <v>0.22</v>
      </c>
      <c r="X57" s="76">
        <f>$G$6*$G$7*W57</f>
        <v/>
      </c>
      <c r="Y57" s="19">
        <f>W57*($G$9+$G$10)</f>
        <v/>
      </c>
      <c r="Z57" s="20" t="n">
        <v>0.07000000000000001</v>
      </c>
      <c r="AA57" s="76">
        <f>G57*Z57</f>
        <v/>
      </c>
      <c r="AB57" s="78" t="n">
        <v>0.08</v>
      </c>
      <c r="AC57" s="76">
        <f>G57*AB57</f>
        <v/>
      </c>
      <c r="AD57" s="76">
        <f>AA57+AC57</f>
        <v/>
      </c>
      <c r="AE57" s="25">
        <f>AD57/G57</f>
        <v/>
      </c>
      <c r="AF57" s="26">
        <f>G57-N57-O57-P57-Q57-R57-S57-V57-X57-Y57-L57-AK57-AL57</f>
        <v/>
      </c>
      <c r="AG57" s="80">
        <f>AF57-AD57</f>
        <v/>
      </c>
      <c r="AH57" s="81">
        <f>AG57/G57</f>
        <v/>
      </c>
      <c r="AI57" s="82">
        <f>AG57/L57</f>
        <v/>
      </c>
      <c r="AJ57" s="76">
        <f>(O57+Q57+V57+X57+Y57+L57+AK57)/(1-(M57+$G$4+(1-H57)*$G$3+$G$8+$G$11+Z57+AB57))</f>
        <v/>
      </c>
      <c r="AK57" s="76">
        <f>$G$12</f>
        <v/>
      </c>
      <c r="AL57" s="76">
        <f>G57*$G$11</f>
        <v/>
      </c>
    </row>
    <row r="58">
      <c r="A58" s="70" t="inlineStr">
        <is>
          <t>FARMSTAY - Collagen Water Full Moist Cream [100g] / Увлажняющий крем с коллагеном</t>
        </is>
      </c>
      <c r="B58" s="71" t="n"/>
      <c r="C58" s="72" t="n"/>
      <c r="D58" s="73" t="n">
        <v>4300</v>
      </c>
      <c r="E58" s="73" t="n">
        <v>29</v>
      </c>
      <c r="F58" s="73" t="n">
        <v>7</v>
      </c>
      <c r="G58" s="73">
        <f>(1.25*L58+O58+Q58+V58+X58+Y58+AK58)/(1-M58-$G$8-$G$4-(1-H58)*$G$3-$G$11-Z58-AB58)</f>
        <v/>
      </c>
      <c r="H58" s="15" t="n">
        <v>0.45</v>
      </c>
      <c r="I58" s="16">
        <f>G58*(1-H58)</f>
        <v/>
      </c>
      <c r="J58" s="74" t="n">
        <v>484.42</v>
      </c>
      <c r="K58" s="75">
        <f>$G$5</f>
        <v/>
      </c>
      <c r="L58" s="19">
        <f>J58+K58</f>
        <v/>
      </c>
      <c r="M58" s="20" t="n">
        <v>0.47</v>
      </c>
      <c r="N58" s="76">
        <f>G58*M58</f>
        <v/>
      </c>
      <c r="O58" s="77" t="n">
        <v>67</v>
      </c>
      <c r="P58" s="76">
        <f>G58*$G$8</f>
        <v/>
      </c>
      <c r="Q58" s="77" t="n">
        <v>25</v>
      </c>
      <c r="R58" s="76">
        <f>G58*$G$4</f>
        <v/>
      </c>
      <c r="S58" s="76">
        <f>I58*$G$3</f>
        <v/>
      </c>
      <c r="T58" s="78" t="n">
        <v>0.9</v>
      </c>
      <c r="U58" s="77" t="n">
        <v>67</v>
      </c>
      <c r="V58" s="76">
        <f>U58*(1-T58)</f>
        <v/>
      </c>
      <c r="W58" s="79" t="n">
        <v>0.57</v>
      </c>
      <c r="X58" s="76">
        <f>$G$6*$G$7*W58</f>
        <v/>
      </c>
      <c r="Y58" s="19">
        <f>W58*($G$9+$G$10)</f>
        <v/>
      </c>
      <c r="Z58" s="20" t="n">
        <v>0.07000000000000001</v>
      </c>
      <c r="AA58" s="76">
        <f>G58*Z58</f>
        <v/>
      </c>
      <c r="AB58" s="78" t="n">
        <v>0.08</v>
      </c>
      <c r="AC58" s="76">
        <f>G58*AB58</f>
        <v/>
      </c>
      <c r="AD58" s="76">
        <f>AA58+AC58</f>
        <v/>
      </c>
      <c r="AE58" s="25">
        <f>AD58/G58</f>
        <v/>
      </c>
      <c r="AF58" s="26">
        <f>G58-N58-O58-P58-Q58-R58-S58-V58-X58-Y58-L58-AK58-AL58</f>
        <v/>
      </c>
      <c r="AG58" s="80">
        <f>AF58-AD58</f>
        <v/>
      </c>
      <c r="AH58" s="81">
        <f>AG58/G58</f>
        <v/>
      </c>
      <c r="AI58" s="82">
        <f>AG58/L58</f>
        <v/>
      </c>
      <c r="AJ58" s="76">
        <f>(O58+Q58+V58+X58+Y58+L58+AK58)/(1-(M58+$G$4+(1-H58)*$G$3+$G$8+$G$11+Z58+AB58))</f>
        <v/>
      </c>
      <c r="AK58" s="76">
        <f>$G$12</f>
        <v/>
      </c>
      <c r="AL58" s="76">
        <f>G58*$G$11</f>
        <v/>
      </c>
    </row>
    <row r="59">
      <c r="A59" s="70" t="inlineStr">
        <is>
          <t xml:space="preserve">FARMSTAY - Collagen Pure Cleansing Foam [180ml]/Пенка для умывания </t>
        </is>
      </c>
      <c r="B59" s="71" t="n"/>
      <c r="C59" s="72" t="n"/>
      <c r="D59" s="73" t="n">
        <v>1100</v>
      </c>
      <c r="E59" s="73" t="n">
        <v>163</v>
      </c>
      <c r="F59" s="73" t="n">
        <v>4.5</v>
      </c>
      <c r="G59" s="73">
        <f>(1.25*L59+O59+Q59+V59+X59+Y59+AK59)/(1-M59-$G$8-$G$4-(1-H59)*$G$3-$G$11-Z59-AB59)</f>
        <v/>
      </c>
      <c r="H59" s="15" t="n">
        <v>0.45</v>
      </c>
      <c r="I59" s="16">
        <f>G59*(1-H59)</f>
        <v/>
      </c>
      <c r="J59" s="74" t="n">
        <v>161.47</v>
      </c>
      <c r="K59" s="75">
        <f>$G$5</f>
        <v/>
      </c>
      <c r="L59" s="19">
        <f>J59+K59</f>
        <v/>
      </c>
      <c r="M59" s="20" t="n">
        <v>0.47</v>
      </c>
      <c r="N59" s="76">
        <f>G59*M59</f>
        <v/>
      </c>
      <c r="O59" s="77" t="n">
        <v>67</v>
      </c>
      <c r="P59" s="76">
        <f>G59*$G$8</f>
        <v/>
      </c>
      <c r="Q59" s="77" t="n">
        <v>25</v>
      </c>
      <c r="R59" s="76">
        <f>G59*$G$4</f>
        <v/>
      </c>
      <c r="S59" s="76">
        <f>I59*$G$3</f>
        <v/>
      </c>
      <c r="T59" s="78" t="n">
        <v>0.9</v>
      </c>
      <c r="U59" s="77" t="n">
        <v>67</v>
      </c>
      <c r="V59" s="76">
        <f>U59*(1-T59)</f>
        <v/>
      </c>
      <c r="W59" s="79" t="n">
        <v>0.57</v>
      </c>
      <c r="X59" s="76">
        <f>$G$6*$G$7*W59</f>
        <v/>
      </c>
      <c r="Y59" s="19">
        <f>W59*($G$9+$G$10)</f>
        <v/>
      </c>
      <c r="Z59" s="20" t="n">
        <v>0.07000000000000001</v>
      </c>
      <c r="AA59" s="76">
        <f>G59*Z59</f>
        <v/>
      </c>
      <c r="AB59" s="78" t="n">
        <v>0.08</v>
      </c>
      <c r="AC59" s="76">
        <f>G59*AB59</f>
        <v/>
      </c>
      <c r="AD59" s="76">
        <f>AA59+AC59</f>
        <v/>
      </c>
      <c r="AE59" s="25">
        <f>AD59/G59</f>
        <v/>
      </c>
      <c r="AF59" s="26">
        <f>G59-N59-O59-P59-Q59-R59-S59-V59-X59-Y59-L59-AK59-AL59</f>
        <v/>
      </c>
      <c r="AG59" s="80">
        <f>AF59-AD59</f>
        <v/>
      </c>
      <c r="AH59" s="81">
        <f>AG59/G59</f>
        <v/>
      </c>
      <c r="AI59" s="82">
        <f>AG59/L59</f>
        <v/>
      </c>
      <c r="AJ59" s="76">
        <f>(O59+Q59+V59+X59+Y59+L59+AK59)/(1-(M59+$G$4+(1-H59)*$G$3+$G$8+$G$11+Z59+AB59))</f>
        <v/>
      </c>
      <c r="AK59" s="76">
        <f>$G$12</f>
        <v/>
      </c>
      <c r="AL59" s="76">
        <f>G59*$G$11</f>
        <v/>
      </c>
    </row>
    <row r="60">
      <c r="A60" s="68" t="inlineStr">
        <is>
          <t>Косметика/HEIMISH</t>
        </is>
      </c>
      <c r="B60" s="69" t="n"/>
      <c r="C60" s="69" t="n"/>
      <c r="D60" s="69" t="n"/>
      <c r="E60" s="69" t="n"/>
      <c r="F60" s="69" t="n"/>
      <c r="G60" s="69" t="n"/>
      <c r="H60" s="69" t="n"/>
      <c r="I60" s="69" t="n"/>
      <c r="J60" s="69" t="n"/>
      <c r="K60" s="69" t="n"/>
      <c r="L60" s="69" t="n"/>
      <c r="M60" s="69" t="n"/>
      <c r="N60" s="69" t="n"/>
      <c r="O60" s="69" t="n"/>
      <c r="P60" s="69" t="n"/>
      <c r="Q60" s="69" t="n"/>
      <c r="R60" s="69" t="n"/>
      <c r="S60" s="69" t="n"/>
      <c r="T60" s="69" t="n"/>
      <c r="U60" s="69" t="n"/>
      <c r="V60" s="69" t="n"/>
      <c r="W60" s="69" t="n"/>
      <c r="X60" s="69" t="n"/>
      <c r="Y60" s="69" t="n"/>
      <c r="Z60" s="69" t="n"/>
      <c r="AA60" s="69" t="n"/>
      <c r="AB60" s="69" t="n"/>
      <c r="AC60" s="69" t="n"/>
      <c r="AD60" s="69" t="n"/>
      <c r="AE60" s="69" t="n"/>
      <c r="AF60" s="69" t="n"/>
      <c r="AG60" s="69" t="n"/>
      <c r="AH60" s="69" t="n"/>
      <c r="AI60" s="69" t="n"/>
      <c r="AJ60" s="69" t="n"/>
      <c r="AK60" s="69" t="n"/>
      <c r="AL60" s="69" t="n"/>
    </row>
    <row r="61">
      <c r="A61" s="70" t="inlineStr">
        <is>
          <t>HEIMISH - Artless Glow Base SPF50+ PA+++(Renew) [40ml] / База под макияж SPF50+ PA+++</t>
        </is>
      </c>
      <c r="B61" s="71" t="n"/>
      <c r="C61" s="72" t="n"/>
      <c r="D61" s="73" t="n">
        <v>2980</v>
      </c>
      <c r="E61" s="73" t="n">
        <v>100</v>
      </c>
      <c r="F61" s="73" t="n">
        <v>0</v>
      </c>
      <c r="G61" s="73">
        <f>(1.25*L61+O61+Q61+V61+X61+Y61+AK61)/(1-M61-$G$8-$G$4-(1-H61)*$G$3-$G$11-Z61-AB61)</f>
        <v/>
      </c>
      <c r="H61" s="15" t="n">
        <v>0.45</v>
      </c>
      <c r="I61" s="16">
        <f>G61*(1-H61)</f>
        <v/>
      </c>
      <c r="J61" s="74" t="n">
        <v>770.48</v>
      </c>
      <c r="K61" s="75">
        <f>$G$5</f>
        <v/>
      </c>
      <c r="L61" s="19">
        <f>J61+K61</f>
        <v/>
      </c>
      <c r="M61" s="20" t="n">
        <v>0.47</v>
      </c>
      <c r="N61" s="76">
        <f>G61*M61</f>
        <v/>
      </c>
      <c r="O61" s="77" t="n">
        <v>56</v>
      </c>
      <c r="P61" s="76">
        <f>G61*$G$8</f>
        <v/>
      </c>
      <c r="Q61" s="77" t="n">
        <v>25</v>
      </c>
      <c r="R61" s="76">
        <f>G61*$G$4</f>
        <v/>
      </c>
      <c r="S61" s="76">
        <f>I61*$G$3</f>
        <v/>
      </c>
      <c r="T61" s="78" t="n">
        <v>0.9</v>
      </c>
      <c r="U61" s="77" t="n">
        <v>56</v>
      </c>
      <c r="V61" s="76">
        <f>U61*(1-T61)</f>
        <v/>
      </c>
      <c r="W61" s="79" t="n">
        <v>0.14</v>
      </c>
      <c r="X61" s="76">
        <f>$G$6*$G$7*W61</f>
        <v/>
      </c>
      <c r="Y61" s="19">
        <f>W61*($G$9+$G$10)</f>
        <v/>
      </c>
      <c r="Z61" s="20" t="n">
        <v>0.05</v>
      </c>
      <c r="AA61" s="76">
        <f>G61*Z61</f>
        <v/>
      </c>
      <c r="AB61" s="78" t="n">
        <v>0.05</v>
      </c>
      <c r="AC61" s="76">
        <f>G61*AB61</f>
        <v/>
      </c>
      <c r="AD61" s="76">
        <f>AA61+AC61</f>
        <v/>
      </c>
      <c r="AE61" s="25">
        <f>AD61/G61</f>
        <v/>
      </c>
      <c r="AF61" s="26">
        <f>G61-N61-O61-P61-Q61-R61-S61-V61-X61-Y61-L61-AK61-AL61</f>
        <v/>
      </c>
      <c r="AG61" s="80">
        <f>AF61-AD61</f>
        <v/>
      </c>
      <c r="AH61" s="81">
        <f>AG61/G61</f>
        <v/>
      </c>
      <c r="AI61" s="82">
        <f>AG61/L61</f>
        <v/>
      </c>
      <c r="AJ61" s="76">
        <f>(O61+Q61+V61+X61+Y61+L61+AK61)/(1-(M61+$G$4+(1-H61)*$G$3+$G$8+$G$11+Z61+AB61))</f>
        <v/>
      </c>
      <c r="AK61" s="76">
        <f>$G$12</f>
        <v/>
      </c>
      <c r="AL61" s="76">
        <f>G61*$G$11</f>
        <v/>
      </c>
    </row>
    <row r="62">
      <c r="A62" s="83" t="inlineStr">
        <is>
          <t>HEIMISH - All Clean Balm / Очищающий гидрофильный бальзам щербет МИНИ ВЕРСИЯ</t>
        </is>
      </c>
      <c r="B62" s="84" t="n"/>
      <c r="C62" s="84" t="n"/>
      <c r="D62" s="85" t="n"/>
      <c r="E62" s="85" t="n"/>
      <c r="F62" s="85" t="n"/>
      <c r="G62" s="85" t="n"/>
      <c r="H62" s="32" t="n"/>
      <c r="I62" s="33" t="n"/>
      <c r="J62" s="86" t="n"/>
      <c r="K62" s="86" t="n"/>
      <c r="L62" s="35" t="n"/>
      <c r="M62" s="36" t="n"/>
      <c r="N62" s="85" t="n"/>
      <c r="O62" s="85" t="n"/>
      <c r="P62" s="85" t="n"/>
      <c r="Q62" s="85" t="n"/>
      <c r="R62" s="85" t="n"/>
      <c r="S62" s="85" t="n"/>
      <c r="T62" s="87" t="n"/>
      <c r="U62" s="85" t="n"/>
      <c r="V62" s="85" t="n"/>
      <c r="W62" s="88" t="n"/>
      <c r="X62" s="85" t="n"/>
      <c r="Y62" s="35" t="n"/>
      <c r="Z62" s="36" t="n"/>
      <c r="AA62" s="85" t="n"/>
      <c r="AB62" s="87" t="n"/>
      <c r="AC62" s="85" t="n"/>
      <c r="AD62" s="85" t="n"/>
      <c r="AE62" s="39" t="n"/>
      <c r="AF62" s="40" t="n"/>
      <c r="AG62" s="85" t="n"/>
      <c r="AH62" s="87" t="n"/>
      <c r="AI62" s="87" t="n"/>
      <c r="AJ62" s="85" t="n"/>
      <c r="AK62" s="85" t="n"/>
      <c r="AL62" s="85" t="n"/>
    </row>
    <row r="63">
      <c r="A63" s="68" t="inlineStr">
        <is>
          <t>Косметика/JIGOTT/JIGOTT-CREAM</t>
        </is>
      </c>
      <c r="B63" s="69" t="n"/>
      <c r="C63" s="69" t="n"/>
      <c r="D63" s="69" t="n"/>
      <c r="E63" s="69" t="n"/>
      <c r="F63" s="69" t="n"/>
      <c r="G63" s="69" t="n"/>
      <c r="H63" s="69" t="n"/>
      <c r="I63" s="69" t="n"/>
      <c r="J63" s="69" t="n"/>
      <c r="K63" s="69" t="n"/>
      <c r="L63" s="69" t="n"/>
      <c r="M63" s="69" t="n"/>
      <c r="N63" s="69" t="n"/>
      <c r="O63" s="69" t="n"/>
      <c r="P63" s="69" t="n"/>
      <c r="Q63" s="69" t="n"/>
      <c r="R63" s="69" t="n"/>
      <c r="S63" s="69" t="n"/>
      <c r="T63" s="69" t="n"/>
      <c r="U63" s="69" t="n"/>
      <c r="V63" s="69" t="n"/>
      <c r="W63" s="69" t="n"/>
      <c r="X63" s="69" t="n"/>
      <c r="Y63" s="69" t="n"/>
      <c r="Z63" s="69" t="n"/>
      <c r="AA63" s="69" t="n"/>
      <c r="AB63" s="69" t="n"/>
      <c r="AC63" s="69" t="n"/>
      <c r="AD63" s="69" t="n"/>
      <c r="AE63" s="69" t="n"/>
      <c r="AF63" s="69" t="n"/>
      <c r="AG63" s="69" t="n"/>
      <c r="AH63" s="69" t="n"/>
      <c r="AI63" s="69" t="n"/>
      <c r="AJ63" s="69" t="n"/>
      <c r="AK63" s="69" t="n"/>
      <c r="AL63" s="69" t="n"/>
    </row>
    <row r="64">
      <c r="A64" s="70" t="inlineStr">
        <is>
          <t>JIGOTT - Snail Lifting Cream [70ml] / Крем для лица увлажняющий антивозрастной</t>
        </is>
      </c>
      <c r="B64" s="71" t="n"/>
      <c r="C64" s="72" t="n"/>
      <c r="D64" s="73" t="n">
        <v>980</v>
      </c>
      <c r="E64" s="73" t="n">
        <v>160</v>
      </c>
      <c r="F64" s="73" t="n">
        <v>4.5</v>
      </c>
      <c r="G64" s="73">
        <f>(1.25*L64+O64+Q64+V64+X64+Y64+AK64)/(1-M64-$G$8-$G$4-(1-H64)*$G$3-$G$11-Z64-AB64)</f>
        <v/>
      </c>
      <c r="H64" s="15" t="n">
        <v>0.45</v>
      </c>
      <c r="I64" s="16">
        <f>G64*(1-H64)</f>
        <v/>
      </c>
      <c r="J64" s="74" t="n">
        <v>202.27</v>
      </c>
      <c r="K64" s="75">
        <f>$G$5</f>
        <v/>
      </c>
      <c r="L64" s="19">
        <f>J64+K64</f>
        <v/>
      </c>
      <c r="M64" s="20" t="n">
        <v>0.47</v>
      </c>
      <c r="N64" s="76">
        <f>G64*M64</f>
        <v/>
      </c>
      <c r="O64" s="77" t="n">
        <v>67</v>
      </c>
      <c r="P64" s="76">
        <f>G64*$G$8</f>
        <v/>
      </c>
      <c r="Q64" s="77" t="n">
        <v>25</v>
      </c>
      <c r="R64" s="76">
        <f>G64*$G$4</f>
        <v/>
      </c>
      <c r="S64" s="76">
        <f>I64*$G$3</f>
        <v/>
      </c>
      <c r="T64" s="78" t="n">
        <v>0.9</v>
      </c>
      <c r="U64" s="77" t="n">
        <v>67</v>
      </c>
      <c r="V64" s="76">
        <f>U64*(1-T64)</f>
        <v/>
      </c>
      <c r="W64" s="79" t="n">
        <v>0.42</v>
      </c>
      <c r="X64" s="76">
        <f>$G$6*$G$7*W64</f>
        <v/>
      </c>
      <c r="Y64" s="19">
        <f>W64*($G$9+$G$10)</f>
        <v/>
      </c>
      <c r="Z64" s="20" t="n">
        <v>0.07000000000000001</v>
      </c>
      <c r="AA64" s="76">
        <f>G64*Z64</f>
        <v/>
      </c>
      <c r="AB64" s="78" t="n">
        <v>0.08</v>
      </c>
      <c r="AC64" s="76">
        <f>G64*AB64</f>
        <v/>
      </c>
      <c r="AD64" s="76">
        <f>AA64+AC64</f>
        <v/>
      </c>
      <c r="AE64" s="25">
        <f>AD64/G64</f>
        <v/>
      </c>
      <c r="AF64" s="26">
        <f>G64-N64-O64-P64-Q64-R64-S64-V64-X64-Y64-L64-AK64-AL64</f>
        <v/>
      </c>
      <c r="AG64" s="89">
        <f>AF64-AD64</f>
        <v/>
      </c>
      <c r="AH64" s="90">
        <f>AG64/G64</f>
        <v/>
      </c>
      <c r="AI64" s="91">
        <f>AG64/L64</f>
        <v/>
      </c>
      <c r="AJ64" s="76">
        <f>(O64+Q64+V64+X64+Y64+L64+AK64)/(1-(M64+$G$4+(1-H64)*$G$3+$G$8+$G$11+Z64+AB64))</f>
        <v/>
      </c>
      <c r="AK64" s="76">
        <f>$G$12</f>
        <v/>
      </c>
      <c r="AL64" s="76">
        <f>G64*$G$11</f>
        <v/>
      </c>
    </row>
    <row r="65">
      <c r="A65" s="70" t="inlineStr">
        <is>
          <t>JIGOTT - Snail Reparing Cream [100ml] / Крем для лица увлажняющий антивозрастной с муцином улитки</t>
        </is>
      </c>
      <c r="B65" s="71" t="n"/>
      <c r="C65" s="72" t="n"/>
      <c r="D65" s="73" t="n">
        <v>1030</v>
      </c>
      <c r="E65" s="73" t="n">
        <v>153</v>
      </c>
      <c r="F65" s="73" t="n">
        <v>5</v>
      </c>
      <c r="G65" s="73">
        <f>(1.25*L65+O65+Q65+V65+X65+Y65+AK65)/(1-M65-$G$8-$G$4-(1-H65)*$G$3-$G$11-Z65-AB65)</f>
        <v/>
      </c>
      <c r="H65" s="15" t="n">
        <v>0.45</v>
      </c>
      <c r="I65" s="16">
        <f>G65*(1-H65)</f>
        <v/>
      </c>
      <c r="J65" s="74" t="n">
        <v>185.86</v>
      </c>
      <c r="K65" s="75">
        <f>$G$5</f>
        <v/>
      </c>
      <c r="L65" s="19">
        <f>J65+K65</f>
        <v/>
      </c>
      <c r="M65" s="20" t="n">
        <v>0.47</v>
      </c>
      <c r="N65" s="76">
        <f>G65*M65</f>
        <v/>
      </c>
      <c r="O65" s="77" t="n">
        <v>67</v>
      </c>
      <c r="P65" s="76">
        <f>G65*$G$8</f>
        <v/>
      </c>
      <c r="Q65" s="77" t="n">
        <v>25</v>
      </c>
      <c r="R65" s="76">
        <f>G65*$G$4</f>
        <v/>
      </c>
      <c r="S65" s="76">
        <f>I65*$G$3</f>
        <v/>
      </c>
      <c r="T65" s="78" t="n">
        <v>0.9</v>
      </c>
      <c r="U65" s="77" t="n">
        <v>67</v>
      </c>
      <c r="V65" s="76">
        <f>U65*(1-T65)</f>
        <v/>
      </c>
      <c r="W65" s="79" t="n">
        <v>0.57</v>
      </c>
      <c r="X65" s="76">
        <f>$G$6*$G$7*W65</f>
        <v/>
      </c>
      <c r="Y65" s="19">
        <f>W65*($G$9+$G$10)</f>
        <v/>
      </c>
      <c r="Z65" s="20" t="n">
        <v>0.07000000000000001</v>
      </c>
      <c r="AA65" s="76">
        <f>G65*Z65</f>
        <v/>
      </c>
      <c r="AB65" s="78" t="n">
        <v>0.08</v>
      </c>
      <c r="AC65" s="76">
        <f>G65*AB65</f>
        <v/>
      </c>
      <c r="AD65" s="76">
        <f>AA65+AC65</f>
        <v/>
      </c>
      <c r="AE65" s="25">
        <f>AD65/G65</f>
        <v/>
      </c>
      <c r="AF65" s="26">
        <f>G65-N65-O65-P65-Q65-R65-S65-V65-X65-Y65-L65-AK65-AL65</f>
        <v/>
      </c>
      <c r="AG65" s="89">
        <f>AF65-AD65</f>
        <v/>
      </c>
      <c r="AH65" s="90">
        <f>AG65/G65</f>
        <v/>
      </c>
      <c r="AI65" s="91">
        <f>AG65/L65</f>
        <v/>
      </c>
      <c r="AJ65" s="76">
        <f>(O65+Q65+V65+X65+Y65+L65+AK65)/(1-(M65+$G$4+(1-H65)*$G$3+$G$8+$G$11+Z65+AB65))</f>
        <v/>
      </c>
      <c r="AK65" s="76">
        <f>$G$12</f>
        <v/>
      </c>
      <c r="AL65" s="76">
        <f>G65*$G$11</f>
        <v/>
      </c>
    </row>
    <row r="66">
      <c r="A66" s="70" t="inlineStr">
        <is>
          <t>JIGOTT - Birds Nest Firming Cream [70ml] / Антивозрастной крем с экстрактом ласточкиного гнезда</t>
        </is>
      </c>
      <c r="B66" s="71" t="n"/>
      <c r="C66" s="72" t="n"/>
      <c r="D66" s="73" t="n">
        <v>1040</v>
      </c>
      <c r="E66" s="73" t="n">
        <v>49</v>
      </c>
      <c r="F66" s="73" t="n">
        <v>4</v>
      </c>
      <c r="G66" s="73">
        <f>(1.25*L66+O66+Q66+V66+X66+Y66+AK66)/(1-M66-$G$8-$G$4-(1-H66)*$G$3-$G$11-Z66-AB66)</f>
        <v/>
      </c>
      <c r="H66" s="15" t="n">
        <v>0.45</v>
      </c>
      <c r="I66" s="16">
        <f>G66*(1-H66)</f>
        <v/>
      </c>
      <c r="J66" s="74" t="n">
        <v>202.27</v>
      </c>
      <c r="K66" s="75">
        <f>$G$5</f>
        <v/>
      </c>
      <c r="L66" s="19">
        <f>J66+K66</f>
        <v/>
      </c>
      <c r="M66" s="20" t="n">
        <v>0.47</v>
      </c>
      <c r="N66" s="76">
        <f>G66*M66</f>
        <v/>
      </c>
      <c r="O66" s="77" t="n">
        <v>67</v>
      </c>
      <c r="P66" s="76">
        <f>G66*$G$8</f>
        <v/>
      </c>
      <c r="Q66" s="77" t="n">
        <v>25</v>
      </c>
      <c r="R66" s="76">
        <f>G66*$G$4</f>
        <v/>
      </c>
      <c r="S66" s="76">
        <f>I66*$G$3</f>
        <v/>
      </c>
      <c r="T66" s="78" t="n">
        <v>0.9</v>
      </c>
      <c r="U66" s="77" t="n">
        <v>67</v>
      </c>
      <c r="V66" s="76">
        <f>U66*(1-T66)</f>
        <v/>
      </c>
      <c r="W66" s="79" t="n">
        <v>0.42</v>
      </c>
      <c r="X66" s="76">
        <f>$G$6*$G$7*W66</f>
        <v/>
      </c>
      <c r="Y66" s="19">
        <f>W66*($G$9+$G$10)</f>
        <v/>
      </c>
      <c r="Z66" s="20" t="n">
        <v>0.07000000000000001</v>
      </c>
      <c r="AA66" s="76">
        <f>G66*Z66</f>
        <v/>
      </c>
      <c r="AB66" s="78" t="n">
        <v>0.08</v>
      </c>
      <c r="AC66" s="76">
        <f>G66*AB66</f>
        <v/>
      </c>
      <c r="AD66" s="76">
        <f>AA66+AC66</f>
        <v/>
      </c>
      <c r="AE66" s="25">
        <f>AD66/G66</f>
        <v/>
      </c>
      <c r="AF66" s="26">
        <f>G66-N66-O66-P66-Q66-R66-S66-V66-X66-Y66-L66-AK66-AL66</f>
        <v/>
      </c>
      <c r="AG66" s="89">
        <f>AF66-AD66</f>
        <v/>
      </c>
      <c r="AH66" s="90">
        <f>AG66/G66</f>
        <v/>
      </c>
      <c r="AI66" s="91">
        <f>AG66/L66</f>
        <v/>
      </c>
      <c r="AJ66" s="76">
        <f>(O66+Q66+V66+X66+Y66+L66+AK66)/(1-(M66+$G$4+(1-H66)*$G$3+$G$8+$G$11+Z66+AB66))</f>
        <v/>
      </c>
      <c r="AK66" s="76">
        <f>$G$12</f>
        <v/>
      </c>
      <c r="AL66" s="76">
        <f>G66*$G$11</f>
        <v/>
      </c>
    </row>
    <row r="67">
      <c r="A67" s="68" t="inlineStr">
        <is>
          <t>Косметика/JIGOTT/JIGOTT-MASK</t>
        </is>
      </c>
      <c r="B67" s="69" t="n"/>
      <c r="C67" s="69" t="n"/>
      <c r="D67" s="69" t="n"/>
      <c r="E67" s="69" t="n"/>
      <c r="F67" s="69" t="n"/>
      <c r="G67" s="69" t="n"/>
      <c r="H67" s="69" t="n"/>
      <c r="I67" s="69" t="n"/>
      <c r="J67" s="69" t="n"/>
      <c r="K67" s="69" t="n"/>
      <c r="L67" s="69" t="n"/>
      <c r="M67" s="69" t="n"/>
      <c r="N67" s="69" t="n"/>
      <c r="O67" s="69" t="n"/>
      <c r="P67" s="69" t="n"/>
      <c r="Q67" s="69" t="n"/>
      <c r="R67" s="69" t="n"/>
      <c r="S67" s="69" t="n"/>
      <c r="T67" s="69" t="n"/>
      <c r="U67" s="69" t="n"/>
      <c r="V67" s="69" t="n"/>
      <c r="W67" s="69" t="n"/>
      <c r="X67" s="69" t="n"/>
      <c r="Y67" s="69" t="n"/>
      <c r="Z67" s="69" t="n"/>
      <c r="AA67" s="69" t="n"/>
      <c r="AB67" s="69" t="n"/>
      <c r="AC67" s="69" t="n"/>
      <c r="AD67" s="69" t="n"/>
      <c r="AE67" s="69" t="n"/>
      <c r="AF67" s="69" t="n"/>
      <c r="AG67" s="69" t="n"/>
      <c r="AH67" s="69" t="n"/>
      <c r="AI67" s="69" t="n"/>
      <c r="AJ67" s="69" t="n"/>
      <c r="AK67" s="69" t="n"/>
      <c r="AL67" s="69" t="n"/>
    </row>
    <row r="68">
      <c r="A68" s="83" t="inlineStr">
        <is>
          <t>JIGOTT - Ассорти набор масок [27ml х 15]</t>
        </is>
      </c>
      <c r="B68" s="84" t="n"/>
      <c r="C68" s="84" t="n"/>
      <c r="D68" s="85" t="n"/>
      <c r="E68" s="85" t="n"/>
      <c r="F68" s="85" t="n"/>
      <c r="G68" s="85" t="n"/>
      <c r="H68" s="32" t="n"/>
      <c r="I68" s="33" t="n"/>
      <c r="J68" s="86" t="n"/>
      <c r="K68" s="86" t="n"/>
      <c r="L68" s="35" t="n"/>
      <c r="M68" s="36" t="n"/>
      <c r="N68" s="85" t="n"/>
      <c r="O68" s="85" t="n"/>
      <c r="P68" s="85" t="n"/>
      <c r="Q68" s="85" t="n"/>
      <c r="R68" s="85" t="n"/>
      <c r="S68" s="85" t="n"/>
      <c r="T68" s="87" t="n"/>
      <c r="U68" s="85" t="n"/>
      <c r="V68" s="85" t="n"/>
      <c r="W68" s="88" t="n"/>
      <c r="X68" s="85" t="n"/>
      <c r="Y68" s="35" t="n"/>
      <c r="Z68" s="36" t="n"/>
      <c r="AA68" s="85" t="n"/>
      <c r="AB68" s="87" t="n"/>
      <c r="AC68" s="85" t="n"/>
      <c r="AD68" s="85" t="n"/>
      <c r="AE68" s="39" t="n"/>
      <c r="AF68" s="40" t="n"/>
      <c r="AG68" s="85" t="n"/>
      <c r="AH68" s="87" t="n"/>
      <c r="AI68" s="87" t="n"/>
      <c r="AJ68" s="85" t="n"/>
      <c r="AK68" s="85" t="n"/>
      <c r="AL68" s="85" t="n"/>
    </row>
    <row r="69">
      <c r="A69" s="68" t="inlineStr">
        <is>
          <t>Косметика/JIGOTT/JIGOTT-TONER</t>
        </is>
      </c>
      <c r="B69" s="69" t="n"/>
      <c r="C69" s="69" t="n"/>
      <c r="D69" s="69" t="n"/>
      <c r="E69" s="69" t="n"/>
      <c r="F69" s="69" t="n"/>
      <c r="G69" s="69" t="n"/>
      <c r="H69" s="69" t="n"/>
      <c r="I69" s="69" t="n"/>
      <c r="J69" s="69" t="n"/>
      <c r="K69" s="69" t="n"/>
      <c r="L69" s="69" t="n"/>
      <c r="M69" s="69" t="n"/>
      <c r="N69" s="69" t="n"/>
      <c r="O69" s="69" t="n"/>
      <c r="P69" s="69" t="n"/>
      <c r="Q69" s="69" t="n"/>
      <c r="R69" s="69" t="n"/>
      <c r="S69" s="69" t="n"/>
      <c r="T69" s="69" t="n"/>
      <c r="U69" s="69" t="n"/>
      <c r="V69" s="69" t="n"/>
      <c r="W69" s="69" t="n"/>
      <c r="X69" s="69" t="n"/>
      <c r="Y69" s="69" t="n"/>
      <c r="Z69" s="69" t="n"/>
      <c r="AA69" s="69" t="n"/>
      <c r="AB69" s="69" t="n"/>
      <c r="AC69" s="69" t="n"/>
      <c r="AD69" s="69" t="n"/>
      <c r="AE69" s="69" t="n"/>
      <c r="AF69" s="69" t="n"/>
      <c r="AG69" s="69" t="n"/>
      <c r="AH69" s="69" t="n"/>
      <c r="AI69" s="69" t="n"/>
      <c r="AJ69" s="69" t="n"/>
      <c r="AK69" s="69" t="n"/>
      <c r="AL69" s="69" t="n"/>
    </row>
    <row r="70">
      <c r="A70" s="70" t="inlineStr">
        <is>
          <t>JIGOTT - Ultimate Real Collagen Toner [300ml] / тонер с коллагеном антивозрастной</t>
        </is>
      </c>
      <c r="B70" s="71" t="n"/>
      <c r="C70" s="72" t="n"/>
      <c r="D70" s="73" t="n">
        <v>1140</v>
      </c>
      <c r="E70" s="73" t="n">
        <v>131</v>
      </c>
      <c r="F70" s="73" t="n">
        <v>0</v>
      </c>
      <c r="G70" s="73">
        <f>(1.25*L70+O70+Q70+V70+X70+Y70+AK70)/(1-M70-$G$8-$G$4-(1-H70)*$G$3-$G$11-Z70-AB70)</f>
        <v/>
      </c>
      <c r="H70" s="15" t="n">
        <v>0.45</v>
      </c>
      <c r="I70" s="16">
        <f>G70*(1-H70)</f>
        <v/>
      </c>
      <c r="J70" s="74" t="n">
        <v>265.36</v>
      </c>
      <c r="K70" s="75">
        <f>$G$5</f>
        <v/>
      </c>
      <c r="L70" s="19">
        <f>J70+K70</f>
        <v/>
      </c>
      <c r="M70" s="20" t="n">
        <v>0.47</v>
      </c>
      <c r="N70" s="76">
        <f>G70*M70</f>
        <v/>
      </c>
      <c r="O70" s="77" t="n">
        <v>67</v>
      </c>
      <c r="P70" s="76">
        <f>G70*$G$8</f>
        <v/>
      </c>
      <c r="Q70" s="77" t="n">
        <v>25</v>
      </c>
      <c r="R70" s="76">
        <f>G70*$G$4</f>
        <v/>
      </c>
      <c r="S70" s="76">
        <f>I70*$G$3</f>
        <v/>
      </c>
      <c r="T70" s="78" t="n">
        <v>0.9</v>
      </c>
      <c r="U70" s="77" t="n">
        <v>67</v>
      </c>
      <c r="V70" s="76">
        <f>U70*(1-T70)</f>
        <v/>
      </c>
      <c r="W70" s="79" t="n">
        <v>0.93</v>
      </c>
      <c r="X70" s="76">
        <f>$G$6*$G$7*W70</f>
        <v/>
      </c>
      <c r="Y70" s="19">
        <f>W70*($G$9+$G$10)</f>
        <v/>
      </c>
      <c r="Z70" s="20" t="n">
        <v>0.07000000000000001</v>
      </c>
      <c r="AA70" s="76">
        <f>G70*Z70</f>
        <v/>
      </c>
      <c r="AB70" s="78" t="n">
        <v>0.08</v>
      </c>
      <c r="AC70" s="76">
        <f>G70*AB70</f>
        <v/>
      </c>
      <c r="AD70" s="76">
        <f>AA70+AC70</f>
        <v/>
      </c>
      <c r="AE70" s="25">
        <f>AD70/G70</f>
        <v/>
      </c>
      <c r="AF70" s="26">
        <f>G70-N70-O70-P70-Q70-R70-S70-V70-X70-Y70-L70-AK70-AL70</f>
        <v/>
      </c>
      <c r="AG70" s="89">
        <f>AF70-AD70</f>
        <v/>
      </c>
      <c r="AH70" s="90">
        <f>AG70/G70</f>
        <v/>
      </c>
      <c r="AI70" s="91">
        <f>AG70/L70</f>
        <v/>
      </c>
      <c r="AJ70" s="76">
        <f>(O70+Q70+V70+X70+Y70+L70+AK70)/(1-(M70+$G$4+(1-H70)*$G$3+$G$8+$G$11+Z70+AB70))</f>
        <v/>
      </c>
      <c r="AK70" s="76">
        <f>$G$12</f>
        <v/>
      </c>
      <c r="AL70" s="76">
        <f>G70*$G$11</f>
        <v/>
      </c>
    </row>
    <row r="71">
      <c r="A71" s="70" t="inlineStr">
        <is>
          <t>JIGOTT - Daily Real Cica Toner [300ml] / Тонер для лица с центеллой азиатской</t>
        </is>
      </c>
      <c r="B71" s="71" t="n"/>
      <c r="C71" s="72" t="n"/>
      <c r="D71" s="73" t="n">
        <v>1140</v>
      </c>
      <c r="E71" s="73" t="n">
        <v>191</v>
      </c>
      <c r="F71" s="73" t="n">
        <v>0</v>
      </c>
      <c r="G71" s="73">
        <f>(1.25*L71+O71+Q71+V71+X71+Y71+AK71)/(1-M71-$G$8-$G$4-(1-H71)*$G$3-$G$11-Z71-AB71)</f>
        <v/>
      </c>
      <c r="H71" s="15" t="n">
        <v>0.45</v>
      </c>
      <c r="I71" s="16">
        <f>G71*(1-H71)</f>
        <v/>
      </c>
      <c r="J71" s="74" t="n">
        <v>265.36</v>
      </c>
      <c r="K71" s="75">
        <f>$G$5</f>
        <v/>
      </c>
      <c r="L71" s="19">
        <f>J71+K71</f>
        <v/>
      </c>
      <c r="M71" s="20" t="n">
        <v>0.47</v>
      </c>
      <c r="N71" s="76">
        <f>G71*M71</f>
        <v/>
      </c>
      <c r="O71" s="77" t="n">
        <v>67</v>
      </c>
      <c r="P71" s="76">
        <f>G71*$G$8</f>
        <v/>
      </c>
      <c r="Q71" s="77" t="n">
        <v>25</v>
      </c>
      <c r="R71" s="76">
        <f>G71*$G$4</f>
        <v/>
      </c>
      <c r="S71" s="76">
        <f>I71*$G$3</f>
        <v/>
      </c>
      <c r="T71" s="78" t="n">
        <v>0.9</v>
      </c>
      <c r="U71" s="77" t="n">
        <v>67</v>
      </c>
      <c r="V71" s="76">
        <f>U71*(1-T71)</f>
        <v/>
      </c>
      <c r="W71" s="79" t="n">
        <v>0.93</v>
      </c>
      <c r="X71" s="76">
        <f>$G$6*$G$7*W71</f>
        <v/>
      </c>
      <c r="Y71" s="19">
        <f>W71*($G$9+$G$10)</f>
        <v/>
      </c>
      <c r="Z71" s="20" t="n">
        <v>0.07000000000000001</v>
      </c>
      <c r="AA71" s="76">
        <f>G71*Z71</f>
        <v/>
      </c>
      <c r="AB71" s="78" t="n">
        <v>0.08</v>
      </c>
      <c r="AC71" s="76">
        <f>G71*AB71</f>
        <v/>
      </c>
      <c r="AD71" s="76">
        <f>AA71+AC71</f>
        <v/>
      </c>
      <c r="AE71" s="25">
        <f>AD71/G71</f>
        <v/>
      </c>
      <c r="AF71" s="26">
        <f>G71-N71-O71-P71-Q71-R71-S71-V71-X71-Y71-L71-AK71-AL71</f>
        <v/>
      </c>
      <c r="AG71" s="89">
        <f>AF71-AD71</f>
        <v/>
      </c>
      <c r="AH71" s="90">
        <f>AG71/G71</f>
        <v/>
      </c>
      <c r="AI71" s="91">
        <f>AG71/L71</f>
        <v/>
      </c>
      <c r="AJ71" s="76">
        <f>(O71+Q71+V71+X71+Y71+L71+AK71)/(1-(M71+$G$4+(1-H71)*$G$3+$G$8+$G$11+Z71+AB71))</f>
        <v/>
      </c>
      <c r="AK71" s="76">
        <f>$G$12</f>
        <v/>
      </c>
      <c r="AL71" s="76">
        <f>G71*$G$11</f>
        <v/>
      </c>
    </row>
    <row r="72">
      <c r="A72" s="70" t="inlineStr">
        <is>
          <t>JIGOTT - Aura Secret Hyaluronec Acid Toner [300ml] / Тонер с гиалуроновой кислотой антивозрастной</t>
        </is>
      </c>
      <c r="B72" s="71" t="n"/>
      <c r="C72" s="72" t="n"/>
      <c r="D72" s="73" t="n">
        <v>975</v>
      </c>
      <c r="E72" s="73" t="n">
        <v>77</v>
      </c>
      <c r="F72" s="73" t="n">
        <v>0</v>
      </c>
      <c r="G72" s="73">
        <f>(1.25*L72+O72+Q72+V72+X72+Y72+AK72)/(1-M72-$G$8-$G$4-(1-H72)*$G$3-$G$11-Z72-AB72)</f>
        <v/>
      </c>
      <c r="H72" s="15" t="n">
        <v>0.45</v>
      </c>
      <c r="I72" s="16">
        <f>G72*(1-H72)</f>
        <v/>
      </c>
      <c r="J72" s="74" t="n">
        <v>265.36</v>
      </c>
      <c r="K72" s="75">
        <f>$G$5</f>
        <v/>
      </c>
      <c r="L72" s="19">
        <f>J72+K72</f>
        <v/>
      </c>
      <c r="M72" s="20" t="n">
        <v>0.47</v>
      </c>
      <c r="N72" s="76">
        <f>G72*M72</f>
        <v/>
      </c>
      <c r="O72" s="77" t="n">
        <v>67</v>
      </c>
      <c r="P72" s="76">
        <f>G72*$G$8</f>
        <v/>
      </c>
      <c r="Q72" s="77" t="n">
        <v>25</v>
      </c>
      <c r="R72" s="76">
        <f>G72*$G$4</f>
        <v/>
      </c>
      <c r="S72" s="76">
        <f>I72*$G$3</f>
        <v/>
      </c>
      <c r="T72" s="78" t="n">
        <v>0.9</v>
      </c>
      <c r="U72" s="77" t="n">
        <v>67</v>
      </c>
      <c r="V72" s="76">
        <f>U72*(1-T72)</f>
        <v/>
      </c>
      <c r="W72" s="79" t="n">
        <v>0.93</v>
      </c>
      <c r="X72" s="76">
        <f>$G$6*$G$7*W72</f>
        <v/>
      </c>
      <c r="Y72" s="19">
        <f>W72*($G$9+$G$10)</f>
        <v/>
      </c>
      <c r="Z72" s="20" t="n">
        <v>0.07000000000000001</v>
      </c>
      <c r="AA72" s="76">
        <f>G72*Z72</f>
        <v/>
      </c>
      <c r="AB72" s="78" t="n">
        <v>0.08</v>
      </c>
      <c r="AC72" s="76">
        <f>G72*AB72</f>
        <v/>
      </c>
      <c r="AD72" s="76">
        <f>AA72+AC72</f>
        <v/>
      </c>
      <c r="AE72" s="25">
        <f>AD72/G72</f>
        <v/>
      </c>
      <c r="AF72" s="26">
        <f>G72-N72-O72-P72-Q72-R72-S72-V72-X72-Y72-L72-AK72-AL72</f>
        <v/>
      </c>
      <c r="AG72" s="89">
        <f>AF72-AD72</f>
        <v/>
      </c>
      <c r="AH72" s="90">
        <f>AG72/G72</f>
        <v/>
      </c>
      <c r="AI72" s="91">
        <f>AG72/L72</f>
        <v/>
      </c>
      <c r="AJ72" s="76">
        <f>(O72+Q72+V72+X72+Y72+L72+AK72)/(1-(M72+$G$4+(1-H72)*$G$3+$G$8+$G$11+Z72+AB72))</f>
        <v/>
      </c>
      <c r="AK72" s="76">
        <f>$G$12</f>
        <v/>
      </c>
      <c r="AL72" s="76">
        <f>G72*$G$11</f>
        <v/>
      </c>
    </row>
    <row r="73">
      <c r="A73" s="70" t="inlineStr">
        <is>
          <t>JIGOTT - Moisture Real Aloe Vera Toner [300ml] / Тонер для лица увлажняющий с экстрактом алоэ</t>
        </is>
      </c>
      <c r="B73" s="71" t="n"/>
      <c r="C73" s="72" t="n"/>
      <c r="D73" s="73" t="n">
        <v>1100</v>
      </c>
      <c r="E73" s="73" t="n">
        <v>169</v>
      </c>
      <c r="F73" s="73" t="n">
        <v>8</v>
      </c>
      <c r="G73" s="73">
        <f>(1.25*L73+O73+Q73+V73+X73+Y73+AK73)/(1-M73-$G$8-$G$4-(1-H73)*$G$3-$G$11-Z73-AB73)</f>
        <v/>
      </c>
      <c r="H73" s="15" t="n">
        <v>0.45</v>
      </c>
      <c r="I73" s="16">
        <f>G73*(1-H73)</f>
        <v/>
      </c>
      <c r="J73" s="74" t="n">
        <v>265.36</v>
      </c>
      <c r="K73" s="75">
        <f>$G$5</f>
        <v/>
      </c>
      <c r="L73" s="19">
        <f>J73+K73</f>
        <v/>
      </c>
      <c r="M73" s="20" t="n">
        <v>0.47</v>
      </c>
      <c r="N73" s="76">
        <f>G73*M73</f>
        <v/>
      </c>
      <c r="O73" s="77" t="n">
        <v>67</v>
      </c>
      <c r="P73" s="76">
        <f>G73*$G$8</f>
        <v/>
      </c>
      <c r="Q73" s="77" t="n">
        <v>25</v>
      </c>
      <c r="R73" s="76">
        <f>G73*$G$4</f>
        <v/>
      </c>
      <c r="S73" s="76">
        <f>I73*$G$3</f>
        <v/>
      </c>
      <c r="T73" s="78" t="n">
        <v>0.9</v>
      </c>
      <c r="U73" s="77" t="n">
        <v>67</v>
      </c>
      <c r="V73" s="76">
        <f>U73*(1-T73)</f>
        <v/>
      </c>
      <c r="W73" s="79" t="n">
        <v>0.93</v>
      </c>
      <c r="X73" s="76">
        <f>$G$6*$G$7*W73</f>
        <v/>
      </c>
      <c r="Y73" s="19">
        <f>W73*($G$9+$G$10)</f>
        <v/>
      </c>
      <c r="Z73" s="20" t="n">
        <v>0.07000000000000001</v>
      </c>
      <c r="AA73" s="76">
        <f>G73*Z73</f>
        <v/>
      </c>
      <c r="AB73" s="78" t="n">
        <v>0.08</v>
      </c>
      <c r="AC73" s="76">
        <f>G73*AB73</f>
        <v/>
      </c>
      <c r="AD73" s="76">
        <f>AA73+AC73</f>
        <v/>
      </c>
      <c r="AE73" s="25">
        <f>AD73/G73</f>
        <v/>
      </c>
      <c r="AF73" s="26">
        <f>G73-N73-O73-P73-Q73-R73-S73-V73-X73-Y73-L73-AK73-AL73</f>
        <v/>
      </c>
      <c r="AG73" s="89">
        <f>AF73-AD73</f>
        <v/>
      </c>
      <c r="AH73" s="90">
        <f>AG73/G73</f>
        <v/>
      </c>
      <c r="AI73" s="91">
        <f>AG73/L73</f>
        <v/>
      </c>
      <c r="AJ73" s="76">
        <f>(O73+Q73+V73+X73+Y73+L73+AK73)/(1-(M73+$G$4+(1-H73)*$G$3+$G$8+$G$11+Z73+AB73))</f>
        <v/>
      </c>
      <c r="AK73" s="76">
        <f>$G$12</f>
        <v/>
      </c>
      <c r="AL73" s="76">
        <f>G73*$G$11</f>
        <v/>
      </c>
    </row>
    <row r="74">
      <c r="A74" s="68" t="inlineStr">
        <is>
          <t>Косметика/JMSOLUTION/JM-MASKPACKBLACK</t>
        </is>
      </c>
      <c r="B74" s="69" t="n"/>
      <c r="C74" s="69" t="n"/>
      <c r="D74" s="69" t="n"/>
      <c r="E74" s="69" t="n"/>
      <c r="F74" s="69" t="n"/>
      <c r="G74" s="69" t="n"/>
      <c r="H74" s="69" t="n"/>
      <c r="I74" s="69" t="n"/>
      <c r="J74" s="69" t="n"/>
      <c r="K74" s="69" t="n"/>
      <c r="L74" s="69" t="n"/>
      <c r="M74" s="69" t="n"/>
      <c r="N74" s="69" t="n"/>
      <c r="O74" s="69" t="n"/>
      <c r="P74" s="69" t="n"/>
      <c r="Q74" s="69" t="n"/>
      <c r="R74" s="69" t="n"/>
      <c r="S74" s="69" t="n"/>
      <c r="T74" s="69" t="n"/>
      <c r="U74" s="69" t="n"/>
      <c r="V74" s="69" t="n"/>
      <c r="W74" s="69" t="n"/>
      <c r="X74" s="69" t="n"/>
      <c r="Y74" s="69" t="n"/>
      <c r="Z74" s="69" t="n"/>
      <c r="AA74" s="69" t="n"/>
      <c r="AB74" s="69" t="n"/>
      <c r="AC74" s="69" t="n"/>
      <c r="AD74" s="69" t="n"/>
      <c r="AE74" s="69" t="n"/>
      <c r="AF74" s="69" t="n"/>
      <c r="AG74" s="69" t="n"/>
      <c r="AH74" s="69" t="n"/>
      <c r="AI74" s="69" t="n"/>
      <c r="AJ74" s="69" t="n"/>
      <c r="AK74" s="69" t="n"/>
      <c r="AL74" s="69" t="n"/>
    </row>
    <row r="75">
      <c r="A75" s="70" t="inlineStr">
        <is>
          <t>JMSOLUTION - MASK PACK BLACK [30ml*10ea] - ассорти набор 10шт в упаковке</t>
        </is>
      </c>
      <c r="B75" s="71" t="n"/>
      <c r="C75" s="72" t="n"/>
      <c r="D75" s="73" t="n">
        <v>2340</v>
      </c>
      <c r="E75" s="73" t="inlineStr">
        <is>
          <t>51 (закончились)</t>
        </is>
      </c>
      <c r="F75" s="73" t="n">
        <v>4</v>
      </c>
      <c r="G75" s="73">
        <f>(1.25*L75+O75+Q75+V75+X75+Y75+AK75)/(1-M75-$G$8-$G$4-(1-H75)*$G$3-$G$11-Z75-AB75)</f>
        <v/>
      </c>
      <c r="H75" s="15" t="n">
        <v>0.45</v>
      </c>
      <c r="I75" s="16">
        <f>G75*(1-H75)</f>
        <v/>
      </c>
      <c r="J75" s="74" t="n">
        <v>463.2</v>
      </c>
      <c r="K75" s="75">
        <f>$G$5</f>
        <v/>
      </c>
      <c r="L75" s="19">
        <f>J75+K75</f>
        <v/>
      </c>
      <c r="M75" s="20" t="n">
        <v>0.47</v>
      </c>
      <c r="N75" s="76">
        <f>G75*M75</f>
        <v/>
      </c>
      <c r="O75" s="77" t="n">
        <v>72</v>
      </c>
      <c r="P75" s="76">
        <f>G75*$G$8</f>
        <v/>
      </c>
      <c r="Q75" s="77" t="n">
        <v>25</v>
      </c>
      <c r="R75" s="76">
        <f>G75*$G$4</f>
        <v/>
      </c>
      <c r="S75" s="76">
        <f>I75*$G$3</f>
        <v/>
      </c>
      <c r="T75" s="78" t="n">
        <v>0.9</v>
      </c>
      <c r="U75" s="77" t="n">
        <v>72</v>
      </c>
      <c r="V75" s="76">
        <f>U75*(1-T75)</f>
        <v/>
      </c>
      <c r="W75" s="79" t="n">
        <v>1.25</v>
      </c>
      <c r="X75" s="76">
        <f>$G$6*$G$7*W75</f>
        <v/>
      </c>
      <c r="Y75" s="19">
        <f>W75*($G$9+$G$10)</f>
        <v/>
      </c>
      <c r="Z75" s="20" t="n">
        <v>0.07000000000000001</v>
      </c>
      <c r="AA75" s="76">
        <f>G75*Z75</f>
        <v/>
      </c>
      <c r="AB75" s="78" t="n">
        <v>0.08</v>
      </c>
      <c r="AC75" s="76">
        <f>G75*AB75</f>
        <v/>
      </c>
      <c r="AD75" s="76">
        <f>AA75+AC75</f>
        <v/>
      </c>
      <c r="AE75" s="25">
        <f>AD75/G75</f>
        <v/>
      </c>
      <c r="AF75" s="26">
        <f>G75-N75-O75-P75-Q75-R75-S75-V75-X75-Y75-L75-AK75-AL75</f>
        <v/>
      </c>
      <c r="AG75" s="80">
        <f>AF75-AD75</f>
        <v/>
      </c>
      <c r="AH75" s="81">
        <f>AG75/G75</f>
        <v/>
      </c>
      <c r="AI75" s="82">
        <f>AG75/L75</f>
        <v/>
      </c>
      <c r="AJ75" s="76">
        <f>(O75+Q75+V75+X75+Y75+L75+AK75)/(1-(M75+$G$4+(1-H75)*$G$3+$G$8+$G$11+Z75+AB75))</f>
        <v/>
      </c>
      <c r="AK75" s="76">
        <f>$G$12</f>
        <v/>
      </c>
      <c r="AL75" s="76">
        <f>G75*$G$11</f>
        <v/>
      </c>
    </row>
    <row r="76">
      <c r="A76" s="83" t="inlineStr">
        <is>
          <t>JMSOLUTION ACTIVE BLACK CAVIAR MASK [30ml*10ea] / Ультратонкая тканевая маска с черной икрой</t>
        </is>
      </c>
      <c r="B76" s="84" t="n"/>
      <c r="C76" s="84" t="n"/>
      <c r="D76" s="85" t="n"/>
      <c r="E76" s="85" t="n"/>
      <c r="F76" s="85" t="n"/>
      <c r="G76" s="85" t="n"/>
      <c r="H76" s="32" t="n"/>
      <c r="I76" s="33" t="n"/>
      <c r="J76" s="86" t="n"/>
      <c r="K76" s="86" t="n"/>
      <c r="L76" s="35" t="n"/>
      <c r="M76" s="36" t="n"/>
      <c r="N76" s="85" t="n"/>
      <c r="O76" s="85" t="n"/>
      <c r="P76" s="85" t="n"/>
      <c r="Q76" s="85" t="n"/>
      <c r="R76" s="85" t="n"/>
      <c r="S76" s="85" t="n"/>
      <c r="T76" s="87" t="n"/>
      <c r="U76" s="85" t="n"/>
      <c r="V76" s="85" t="n"/>
      <c r="W76" s="88" t="n"/>
      <c r="X76" s="85" t="n"/>
      <c r="Y76" s="35" t="n"/>
      <c r="Z76" s="36" t="n"/>
      <c r="AA76" s="85" t="n"/>
      <c r="AB76" s="87" t="n"/>
      <c r="AC76" s="85" t="n"/>
      <c r="AD76" s="85" t="n"/>
      <c r="AE76" s="39" t="n"/>
      <c r="AF76" s="40" t="n"/>
      <c r="AG76" s="85" t="n"/>
      <c r="AH76" s="87" t="n"/>
      <c r="AI76" s="87" t="n"/>
      <c r="AJ76" s="85" t="n"/>
      <c r="AK76" s="85" t="n"/>
      <c r="AL76" s="85" t="n"/>
    </row>
    <row r="77">
      <c r="A77" s="83" t="inlineStr">
        <is>
          <t>JMSOLUTION - Active Golden Caviar Nourishing Mask [30ml*10ea] / Ультратонкая тканевая маска с золотом и икрой</t>
        </is>
      </c>
      <c r="B77" s="84" t="n"/>
      <c r="C77" s="84" t="n"/>
      <c r="D77" s="85" t="n"/>
      <c r="E77" s="85" t="n"/>
      <c r="F77" s="85" t="n"/>
      <c r="G77" s="85" t="n"/>
      <c r="H77" s="32" t="n"/>
      <c r="I77" s="33" t="n"/>
      <c r="J77" s="86" t="n"/>
      <c r="K77" s="86" t="n"/>
      <c r="L77" s="35" t="n"/>
      <c r="M77" s="36" t="n"/>
      <c r="N77" s="85" t="n"/>
      <c r="O77" s="85" t="n"/>
      <c r="P77" s="85" t="n"/>
      <c r="Q77" s="85" t="n"/>
      <c r="R77" s="85" t="n"/>
      <c r="S77" s="85" t="n"/>
      <c r="T77" s="87" t="n"/>
      <c r="U77" s="85" t="n"/>
      <c r="V77" s="85" t="n"/>
      <c r="W77" s="88" t="n"/>
      <c r="X77" s="85" t="n"/>
      <c r="Y77" s="35" t="n"/>
      <c r="Z77" s="36" t="n"/>
      <c r="AA77" s="85" t="n"/>
      <c r="AB77" s="87" t="n"/>
      <c r="AC77" s="85" t="n"/>
      <c r="AD77" s="85" t="n"/>
      <c r="AE77" s="39" t="n"/>
      <c r="AF77" s="40" t="n"/>
      <c r="AG77" s="85" t="n"/>
      <c r="AH77" s="87" t="n"/>
      <c r="AI77" s="87" t="n"/>
      <c r="AJ77" s="85" t="n"/>
      <c r="AK77" s="85" t="n"/>
      <c r="AL77" s="85" t="n"/>
    </row>
    <row r="78">
      <c r="A78" s="83" t="inlineStr">
        <is>
          <t>JMSOLUTION - Active Jellyfish Vital Mask [30ml*10ea] / Ультратонкая тканевая маска с экстрактом медузы</t>
        </is>
      </c>
      <c r="B78" s="84" t="n"/>
      <c r="C78" s="84" t="n"/>
      <c r="D78" s="85" t="n"/>
      <c r="E78" s="85" t="n"/>
      <c r="F78" s="85" t="n"/>
      <c r="G78" s="85" t="n"/>
      <c r="H78" s="32" t="n"/>
      <c r="I78" s="33" t="n"/>
      <c r="J78" s="86" t="n"/>
      <c r="K78" s="86" t="n"/>
      <c r="L78" s="35" t="n"/>
      <c r="M78" s="36" t="n"/>
      <c r="N78" s="85" t="n"/>
      <c r="O78" s="85" t="n"/>
      <c r="P78" s="85" t="n"/>
      <c r="Q78" s="85" t="n"/>
      <c r="R78" s="85" t="n"/>
      <c r="S78" s="85" t="n"/>
      <c r="T78" s="87" t="n"/>
      <c r="U78" s="85" t="n"/>
      <c r="V78" s="85" t="n"/>
      <c r="W78" s="88" t="n"/>
      <c r="X78" s="85" t="n"/>
      <c r="Y78" s="35" t="n"/>
      <c r="Z78" s="36" t="n"/>
      <c r="AA78" s="85" t="n"/>
      <c r="AB78" s="87" t="n"/>
      <c r="AC78" s="85" t="n"/>
      <c r="AD78" s="85" t="n"/>
      <c r="AE78" s="39" t="n"/>
      <c r="AF78" s="40" t="n"/>
      <c r="AG78" s="85" t="n"/>
      <c r="AH78" s="87" t="n"/>
      <c r="AI78" s="87" t="n"/>
      <c r="AJ78" s="85" t="n"/>
      <c r="AK78" s="85" t="n"/>
      <c r="AL78" s="85" t="n"/>
    </row>
    <row r="79">
      <c r="A79" s="83" t="inlineStr">
        <is>
          <t>JMSOLUTION - Active Pink Snail Brightening Mask [30ml*10ea] / Маска тканевая увлажняющая с улиткой</t>
        </is>
      </c>
      <c r="B79" s="84" t="n"/>
      <c r="C79" s="84" t="n"/>
      <c r="D79" s="85" t="n"/>
      <c r="E79" s="85" t="n"/>
      <c r="F79" s="85" t="n"/>
      <c r="G79" s="85" t="n"/>
      <c r="H79" s="32" t="n"/>
      <c r="I79" s="33" t="n"/>
      <c r="J79" s="86" t="n"/>
      <c r="K79" s="86" t="n"/>
      <c r="L79" s="35" t="n"/>
      <c r="M79" s="36" t="n"/>
      <c r="N79" s="85" t="n"/>
      <c r="O79" s="85" t="n"/>
      <c r="P79" s="85" t="n"/>
      <c r="Q79" s="85" t="n"/>
      <c r="R79" s="85" t="n"/>
      <c r="S79" s="85" t="n"/>
      <c r="T79" s="87" t="n"/>
      <c r="U79" s="85" t="n"/>
      <c r="V79" s="85" t="n"/>
      <c r="W79" s="88" t="n"/>
      <c r="X79" s="85" t="n"/>
      <c r="Y79" s="35" t="n"/>
      <c r="Z79" s="36" t="n"/>
      <c r="AA79" s="85" t="n"/>
      <c r="AB79" s="87" t="n"/>
      <c r="AC79" s="85" t="n"/>
      <c r="AD79" s="85" t="n"/>
      <c r="AE79" s="39" t="n"/>
      <c r="AF79" s="40" t="n"/>
      <c r="AG79" s="85" t="n"/>
      <c r="AH79" s="87" t="n"/>
      <c r="AI79" s="87" t="n"/>
      <c r="AJ79" s="85" t="n"/>
      <c r="AK79" s="85" t="n"/>
      <c r="AL79" s="85" t="n"/>
    </row>
    <row r="80">
      <c r="A80" s="83" t="inlineStr">
        <is>
          <t>JMSOLUTION GLORY AQUA FULLERENE MASK DELUXE</t>
        </is>
      </c>
      <c r="B80" s="84" t="n"/>
      <c r="C80" s="84" t="n"/>
      <c r="D80" s="85" t="n"/>
      <c r="E80" s="85" t="n"/>
      <c r="F80" s="85" t="n"/>
      <c r="G80" s="85" t="n"/>
      <c r="H80" s="32" t="n"/>
      <c r="I80" s="33" t="n"/>
      <c r="J80" s="86" t="n"/>
      <c r="K80" s="86" t="n"/>
      <c r="L80" s="35" t="n"/>
      <c r="M80" s="36" t="n"/>
      <c r="N80" s="85" t="n"/>
      <c r="O80" s="85" t="n"/>
      <c r="P80" s="85" t="n"/>
      <c r="Q80" s="85" t="n"/>
      <c r="R80" s="85" t="n"/>
      <c r="S80" s="85" t="n"/>
      <c r="T80" s="87" t="n"/>
      <c r="U80" s="85" t="n"/>
      <c r="V80" s="85" t="n"/>
      <c r="W80" s="88" t="n"/>
      <c r="X80" s="85" t="n"/>
      <c r="Y80" s="35" t="n"/>
      <c r="Z80" s="36" t="n"/>
      <c r="AA80" s="85" t="n"/>
      <c r="AB80" s="87" t="n"/>
      <c r="AC80" s="85" t="n"/>
      <c r="AD80" s="85" t="n"/>
      <c r="AE80" s="39" t="n"/>
      <c r="AF80" s="40" t="n"/>
      <c r="AG80" s="85" t="n"/>
      <c r="AH80" s="87" t="n"/>
      <c r="AI80" s="87" t="n"/>
      <c r="AJ80" s="85" t="n"/>
      <c r="AK80" s="85" t="n"/>
      <c r="AL80" s="85" t="n"/>
    </row>
    <row r="81">
      <c r="A81" s="83" t="inlineStr">
        <is>
          <t>JMSOLUTION LACTO SACCHAROMYCES GOLDEN RICE MASK PLUS</t>
        </is>
      </c>
      <c r="B81" s="84" t="n"/>
      <c r="C81" s="84" t="n"/>
      <c r="D81" s="85" t="n"/>
      <c r="E81" s="85" t="n"/>
      <c r="F81" s="85" t="n"/>
      <c r="G81" s="85" t="n"/>
      <c r="H81" s="32" t="n"/>
      <c r="I81" s="33" t="n"/>
      <c r="J81" s="86" t="n"/>
      <c r="K81" s="86" t="n"/>
      <c r="L81" s="35" t="n"/>
      <c r="M81" s="36" t="n"/>
      <c r="N81" s="85" t="n"/>
      <c r="O81" s="85" t="n"/>
      <c r="P81" s="85" t="n"/>
      <c r="Q81" s="85" t="n"/>
      <c r="R81" s="85" t="n"/>
      <c r="S81" s="85" t="n"/>
      <c r="T81" s="87" t="n"/>
      <c r="U81" s="85" t="n"/>
      <c r="V81" s="85" t="n"/>
      <c r="W81" s="88" t="n"/>
      <c r="X81" s="85" t="n"/>
      <c r="Y81" s="35" t="n"/>
      <c r="Z81" s="36" t="n"/>
      <c r="AA81" s="85" t="n"/>
      <c r="AB81" s="87" t="n"/>
      <c r="AC81" s="85" t="n"/>
      <c r="AD81" s="85" t="n"/>
      <c r="AE81" s="39" t="n"/>
      <c r="AF81" s="40" t="n"/>
      <c r="AG81" s="85" t="n"/>
      <c r="AH81" s="87" t="n"/>
      <c r="AI81" s="87" t="n"/>
      <c r="AJ81" s="85" t="n"/>
      <c r="AK81" s="85" t="n"/>
      <c r="AL81" s="85" t="n"/>
    </row>
    <row r="82">
      <c r="A82" s="83" t="inlineStr">
        <is>
          <t>JMSOLUTION PANTHELENE INTENSIVE BARRIER MASK</t>
        </is>
      </c>
      <c r="B82" s="84" t="n"/>
      <c r="C82" s="84" t="n"/>
      <c r="D82" s="85" t="n"/>
      <c r="E82" s="85" t="n"/>
      <c r="F82" s="85" t="n"/>
      <c r="G82" s="85" t="n"/>
      <c r="H82" s="32" t="n"/>
      <c r="I82" s="33" t="n"/>
      <c r="J82" s="86" t="n"/>
      <c r="K82" s="86" t="n"/>
      <c r="L82" s="35" t="n"/>
      <c r="M82" s="36" t="n"/>
      <c r="N82" s="85" t="n"/>
      <c r="O82" s="85" t="n"/>
      <c r="P82" s="85" t="n"/>
      <c r="Q82" s="85" t="n"/>
      <c r="R82" s="85" t="n"/>
      <c r="S82" s="85" t="n"/>
      <c r="T82" s="87" t="n"/>
      <c r="U82" s="85" t="n"/>
      <c r="V82" s="85" t="n"/>
      <c r="W82" s="88" t="n"/>
      <c r="X82" s="85" t="n"/>
      <c r="Y82" s="35" t="n"/>
      <c r="Z82" s="36" t="n"/>
      <c r="AA82" s="85" t="n"/>
      <c r="AB82" s="87" t="n"/>
      <c r="AC82" s="85" t="n"/>
      <c r="AD82" s="85" t="n"/>
      <c r="AE82" s="39" t="n"/>
      <c r="AF82" s="40" t="n"/>
      <c r="AG82" s="85" t="n"/>
      <c r="AH82" s="87" t="n"/>
      <c r="AI82" s="87" t="n"/>
      <c r="AJ82" s="85" t="n"/>
      <c r="AK82" s="85" t="n"/>
      <c r="AL82" s="85" t="n"/>
    </row>
    <row r="83">
      <c r="A83" s="83" t="inlineStr">
        <is>
          <t>JMSOLUTION - The Natural Cordyceps Melitaris Mask Moisture [30ml*10ea] / Тканевая маска для лица с экстрактом кордицепса и комплексом аминокислот</t>
        </is>
      </c>
      <c r="B83" s="84" t="n"/>
      <c r="C83" s="84" t="n"/>
      <c r="D83" s="85" t="n"/>
      <c r="E83" s="85" t="n"/>
      <c r="F83" s="85" t="n"/>
      <c r="G83" s="85" t="n"/>
      <c r="H83" s="32" t="n"/>
      <c r="I83" s="33" t="n"/>
      <c r="J83" s="86" t="n"/>
      <c r="K83" s="86" t="n"/>
      <c r="L83" s="35" t="n"/>
      <c r="M83" s="36" t="n"/>
      <c r="N83" s="85" t="n"/>
      <c r="O83" s="85" t="n"/>
      <c r="P83" s="85" t="n"/>
      <c r="Q83" s="85" t="n"/>
      <c r="R83" s="85" t="n"/>
      <c r="S83" s="85" t="n"/>
      <c r="T83" s="87" t="n"/>
      <c r="U83" s="85" t="n"/>
      <c r="V83" s="85" t="n"/>
      <c r="W83" s="88" t="n"/>
      <c r="X83" s="85" t="n"/>
      <c r="Y83" s="35" t="n"/>
      <c r="Z83" s="36" t="n"/>
      <c r="AA83" s="85" t="n"/>
      <c r="AB83" s="87" t="n"/>
      <c r="AC83" s="85" t="n"/>
      <c r="AD83" s="85" t="n"/>
      <c r="AE83" s="39" t="n"/>
      <c r="AF83" s="40" t="n"/>
      <c r="AG83" s="85" t="n"/>
      <c r="AH83" s="87" t="n"/>
      <c r="AI83" s="87" t="n"/>
      <c r="AJ83" s="85" t="n"/>
      <c r="AK83" s="85" t="n"/>
      <c r="AL83" s="85" t="n"/>
    </row>
    <row r="84">
      <c r="A84" s="83" t="inlineStr">
        <is>
          <t>JMSOLUTION - Water Luminous S.O.S. Ringer Mask Black [35ml*10ea] / Ультраувлажняющая тканевая маска</t>
        </is>
      </c>
      <c r="B84" s="84" t="n"/>
      <c r="C84" s="84" t="n"/>
      <c r="D84" s="85" t="n"/>
      <c r="E84" s="85" t="n"/>
      <c r="F84" s="85" t="n"/>
      <c r="G84" s="85" t="n"/>
      <c r="H84" s="32" t="n"/>
      <c r="I84" s="33" t="n"/>
      <c r="J84" s="86" t="n"/>
      <c r="K84" s="86" t="n"/>
      <c r="L84" s="35" t="n"/>
      <c r="M84" s="36" t="n"/>
      <c r="N84" s="85" t="n"/>
      <c r="O84" s="85" t="n"/>
      <c r="P84" s="85" t="n"/>
      <c r="Q84" s="85" t="n"/>
      <c r="R84" s="85" t="n"/>
      <c r="S84" s="85" t="n"/>
      <c r="T84" s="87" t="n"/>
      <c r="U84" s="85" t="n"/>
      <c r="V84" s="85" t="n"/>
      <c r="W84" s="88" t="n"/>
      <c r="X84" s="85" t="n"/>
      <c r="Y84" s="35" t="n"/>
      <c r="Z84" s="36" t="n"/>
      <c r="AA84" s="85" t="n"/>
      <c r="AB84" s="87" t="n"/>
      <c r="AC84" s="85" t="n"/>
      <c r="AD84" s="85" t="n"/>
      <c r="AE84" s="39" t="n"/>
      <c r="AF84" s="40" t="n"/>
      <c r="AG84" s="85" t="n"/>
      <c r="AH84" s="87" t="n"/>
      <c r="AI84" s="87" t="n"/>
      <c r="AJ84" s="85" t="n"/>
      <c r="AK84" s="85" t="n"/>
      <c r="AL84" s="85" t="n"/>
    </row>
    <row r="85">
      <c r="A85" s="83" t="inlineStr">
        <is>
          <t>JMSOLUTION GREEN DEAR TIGER CICA MASK PURE 30ml*10ea / Регенерирующая маска для лица с центеллой</t>
        </is>
      </c>
      <c r="B85" s="84" t="n"/>
      <c r="C85" s="84" t="n"/>
      <c r="D85" s="85" t="n"/>
      <c r="E85" s="85" t="n"/>
      <c r="F85" s="85" t="n"/>
      <c r="G85" s="85" t="n"/>
      <c r="H85" s="32" t="n"/>
      <c r="I85" s="33" t="n"/>
      <c r="J85" s="86" t="n"/>
      <c r="K85" s="86" t="n"/>
      <c r="L85" s="35" t="n"/>
      <c r="M85" s="36" t="n"/>
      <c r="N85" s="85" t="n"/>
      <c r="O85" s="85" t="n"/>
      <c r="P85" s="85" t="n"/>
      <c r="Q85" s="85" t="n"/>
      <c r="R85" s="85" t="n"/>
      <c r="S85" s="85" t="n"/>
      <c r="T85" s="87" t="n"/>
      <c r="U85" s="85" t="n"/>
      <c r="V85" s="85" t="n"/>
      <c r="W85" s="88" t="n"/>
      <c r="X85" s="85" t="n"/>
      <c r="Y85" s="35" t="n"/>
      <c r="Z85" s="36" t="n"/>
      <c r="AA85" s="85" t="n"/>
      <c r="AB85" s="87" t="n"/>
      <c r="AC85" s="85" t="n"/>
      <c r="AD85" s="85" t="n"/>
      <c r="AE85" s="39" t="n"/>
      <c r="AF85" s="40" t="n"/>
      <c r="AG85" s="85" t="n"/>
      <c r="AH85" s="87" t="n"/>
      <c r="AI85" s="87" t="n"/>
      <c r="AJ85" s="85" t="n"/>
      <c r="AK85" s="85" t="n"/>
      <c r="AL85" s="85" t="n"/>
    </row>
    <row r="86">
      <c r="A86" s="68" t="inlineStr">
        <is>
          <t>Косметика/JMSOLUTION/JM-MASKPACKDISNEY</t>
        </is>
      </c>
      <c r="B86" s="69" t="n"/>
      <c r="C86" s="69" t="n"/>
      <c r="D86" s="69" t="n"/>
      <c r="E86" s="69" t="n"/>
      <c r="F86" s="69" t="n"/>
      <c r="G86" s="69" t="n"/>
      <c r="H86" s="69" t="n"/>
      <c r="I86" s="69" t="n"/>
      <c r="J86" s="69" t="n"/>
      <c r="K86" s="69" t="n"/>
      <c r="L86" s="69" t="n"/>
      <c r="M86" s="69" t="n"/>
      <c r="N86" s="69" t="n"/>
      <c r="O86" s="69" t="n"/>
      <c r="P86" s="69" t="n"/>
      <c r="Q86" s="69" t="n"/>
      <c r="R86" s="69" t="n"/>
      <c r="S86" s="69" t="n"/>
      <c r="T86" s="69" t="n"/>
      <c r="U86" s="69" t="n"/>
      <c r="V86" s="69" t="n"/>
      <c r="W86" s="69" t="n"/>
      <c r="X86" s="69" t="n"/>
      <c r="Y86" s="69" t="n"/>
      <c r="Z86" s="69" t="n"/>
      <c r="AA86" s="69" t="n"/>
      <c r="AB86" s="69" t="n"/>
      <c r="AC86" s="69" t="n"/>
      <c r="AD86" s="69" t="n"/>
      <c r="AE86" s="69" t="n"/>
      <c r="AF86" s="69" t="n"/>
      <c r="AG86" s="69" t="n"/>
      <c r="AH86" s="69" t="n"/>
      <c r="AI86" s="69" t="n"/>
      <c r="AJ86" s="69" t="n"/>
      <c r="AK86" s="69" t="n"/>
      <c r="AL86" s="69" t="n"/>
    </row>
    <row r="87">
      <c r="A87" s="70" t="inlineStr">
        <is>
          <t>JMSOLUTION - MASK PACK DISNEY [30ml*10ea] - ассорти набор из 10шт</t>
        </is>
      </c>
      <c r="B87" s="71" t="n"/>
      <c r="C87" s="72" t="inlineStr">
        <is>
          <t>нет таких наборов</t>
        </is>
      </c>
      <c r="D87" s="73" t="n"/>
      <c r="E87" s="73" t="n"/>
      <c r="F87" s="73" t="n"/>
      <c r="G87" s="73">
        <f>(1.25*L87+O87+Q87+V87+X87+Y87+AK87)/(1-M87-$G$8-$G$4-(1-H87)*$G$3-$G$11-Z87-AB87)</f>
        <v/>
      </c>
      <c r="H87" s="15" t="n">
        <v>0.45</v>
      </c>
      <c r="I87" s="16">
        <f>G87*(1-H87)</f>
        <v/>
      </c>
      <c r="J87" s="74" t="n">
        <v>463.2</v>
      </c>
      <c r="K87" s="75">
        <f>$G$5</f>
        <v/>
      </c>
      <c r="L87" s="19">
        <f>J87+K87</f>
        <v/>
      </c>
      <c r="M87" s="20" t="n">
        <v>0.47</v>
      </c>
      <c r="N87" s="76">
        <f>G87*M87</f>
        <v/>
      </c>
      <c r="O87" s="77" t="n">
        <v>72</v>
      </c>
      <c r="P87" s="76">
        <f>G87*$G$8</f>
        <v/>
      </c>
      <c r="Q87" s="77" t="n">
        <v>25</v>
      </c>
      <c r="R87" s="76">
        <f>G87*$G$4</f>
        <v/>
      </c>
      <c r="S87" s="76">
        <f>I87*$G$3</f>
        <v/>
      </c>
      <c r="T87" s="78" t="n">
        <v>0.9</v>
      </c>
      <c r="U87" s="77" t="n">
        <v>72</v>
      </c>
      <c r="V87" s="76">
        <f>U87*(1-T87)</f>
        <v/>
      </c>
      <c r="W87" s="79" t="n">
        <v>1.25</v>
      </c>
      <c r="X87" s="76">
        <f>$G$6*$G$7*W87</f>
        <v/>
      </c>
      <c r="Y87" s="19">
        <f>W87*($G$9+$G$10)</f>
        <v/>
      </c>
      <c r="Z87" s="20" t="n">
        <v>0.07000000000000001</v>
      </c>
      <c r="AA87" s="76">
        <f>G87*Z87</f>
        <v/>
      </c>
      <c r="AB87" s="78" t="n">
        <v>0.08</v>
      </c>
      <c r="AC87" s="76">
        <f>G87*AB87</f>
        <v/>
      </c>
      <c r="AD87" s="76">
        <f>AA87+AC87</f>
        <v/>
      </c>
      <c r="AE87" s="25">
        <f>AD87/G87</f>
        <v/>
      </c>
      <c r="AF87" s="26">
        <f>G87-N87-O87-P87-Q87-R87-S87-V87-X87-Y87-L87-AK87-AL87</f>
        <v/>
      </c>
      <c r="AG87" s="80">
        <f>AF87-AD87</f>
        <v/>
      </c>
      <c r="AH87" s="81">
        <f>AG87/G87</f>
        <v/>
      </c>
      <c r="AI87" s="82">
        <f>AG87/L87</f>
        <v/>
      </c>
      <c r="AJ87" s="76">
        <f>(O87+Q87+V87+X87+Y87+L87+AK87)/(1-(M87+$G$4+(1-H87)*$G$3+$G$8+$G$11+Z87+AB87))</f>
        <v/>
      </c>
      <c r="AK87" s="76">
        <f>$G$12</f>
        <v/>
      </c>
      <c r="AL87" s="76">
        <f>G87*$G$11</f>
        <v/>
      </c>
    </row>
    <row r="88">
      <c r="A88" s="68" t="inlineStr">
        <is>
          <t>Косметика/LEBELAGE</t>
        </is>
      </c>
      <c r="B88" s="69" t="n"/>
      <c r="C88" s="69" t="n"/>
      <c r="D88" s="69" t="n"/>
      <c r="E88" s="69" t="n"/>
      <c r="F88" s="69" t="n"/>
      <c r="G88" s="69" t="n"/>
      <c r="H88" s="69" t="n"/>
      <c r="I88" s="69" t="n"/>
      <c r="J88" s="69" t="n"/>
      <c r="K88" s="69" t="n"/>
      <c r="L88" s="69" t="n"/>
      <c r="M88" s="69" t="n"/>
      <c r="N88" s="69" t="n"/>
      <c r="O88" s="69" t="n"/>
      <c r="P88" s="69" t="n"/>
      <c r="Q88" s="69" t="n"/>
      <c r="R88" s="69" t="n"/>
      <c r="S88" s="69" t="n"/>
      <c r="T88" s="69" t="n"/>
      <c r="U88" s="69" t="n"/>
      <c r="V88" s="69" t="n"/>
      <c r="W88" s="69" t="n"/>
      <c r="X88" s="69" t="n"/>
      <c r="Y88" s="69" t="n"/>
      <c r="Z88" s="69" t="n"/>
      <c r="AA88" s="69" t="n"/>
      <c r="AB88" s="69" t="n"/>
      <c r="AC88" s="69" t="n"/>
      <c r="AD88" s="69" t="n"/>
      <c r="AE88" s="69" t="n"/>
      <c r="AF88" s="69" t="n"/>
      <c r="AG88" s="69" t="n"/>
      <c r="AH88" s="69" t="n"/>
      <c r="AI88" s="69" t="n"/>
      <c r="AJ88" s="69" t="n"/>
      <c r="AK88" s="69" t="n"/>
      <c r="AL88" s="69" t="n"/>
    </row>
    <row r="89">
      <c r="A89" s="70" t="inlineStr">
        <is>
          <t>LEBELAGE - Dr. Peptide Derma Eye Cream [40ml] / Крем для глаз антивозрастной с пептидами</t>
        </is>
      </c>
      <c r="B89" s="71" t="n"/>
      <c r="C89" s="72" t="n"/>
      <c r="D89" s="73" t="n">
        <v>667</v>
      </c>
      <c r="E89" s="73" t="n">
        <v>1738</v>
      </c>
      <c r="F89" s="73" t="n">
        <v>22</v>
      </c>
      <c r="G89" s="73">
        <f>(1.25*L89+O89+Q89+V89+X89+Y89+AK89)/(1-M89-$G$8-$G$4-(1-H89)*$G$3-$G$11-Z89-AB89)</f>
        <v/>
      </c>
      <c r="H89" s="15" t="n">
        <v>0.45</v>
      </c>
      <c r="I89" s="16">
        <f>G89*(1-H89)</f>
        <v/>
      </c>
      <c r="J89" s="74" t="n">
        <v>108.15</v>
      </c>
      <c r="K89" s="75">
        <f>$G$5</f>
        <v/>
      </c>
      <c r="L89" s="19">
        <f>J89+K89</f>
        <v/>
      </c>
      <c r="M89" s="20" t="n">
        <v>0.47</v>
      </c>
      <c r="N89" s="76">
        <f>G89*M89</f>
        <v/>
      </c>
      <c r="O89" s="77" t="n">
        <v>63</v>
      </c>
      <c r="P89" s="76">
        <f>G89*$G$8</f>
        <v/>
      </c>
      <c r="Q89" s="77" t="n">
        <v>25</v>
      </c>
      <c r="R89" s="76">
        <f>G89*$G$4</f>
        <v/>
      </c>
      <c r="S89" s="76">
        <f>I89*$G$3</f>
        <v/>
      </c>
      <c r="T89" s="78" t="n">
        <v>0.9</v>
      </c>
      <c r="U89" s="77" t="n">
        <v>63</v>
      </c>
      <c r="V89" s="76">
        <f>U89*(1-T89)</f>
        <v/>
      </c>
      <c r="W89" s="79" t="n">
        <v>0.27</v>
      </c>
      <c r="X89" s="76">
        <f>$G$6*$G$7*W89</f>
        <v/>
      </c>
      <c r="Y89" s="19">
        <f>W89*($G$9+$G$10)</f>
        <v/>
      </c>
      <c r="Z89" s="20" t="n">
        <v>0.07000000000000001</v>
      </c>
      <c r="AA89" s="76">
        <f>G89*Z89</f>
        <v/>
      </c>
      <c r="AB89" s="78" t="n">
        <v>0.08</v>
      </c>
      <c r="AC89" s="76">
        <f>G89*AB89</f>
        <v/>
      </c>
      <c r="AD89" s="76">
        <f>AA89+AC89</f>
        <v/>
      </c>
      <c r="AE89" s="25">
        <f>AD89/G89</f>
        <v/>
      </c>
      <c r="AF89" s="26">
        <f>G89-N89-O89-P89-Q89-R89-S89-V89-X89-Y89-L89-AK89-AL89</f>
        <v/>
      </c>
      <c r="AG89" s="80">
        <f>AF89-AD89</f>
        <v/>
      </c>
      <c r="AH89" s="81">
        <f>AG89/G89</f>
        <v/>
      </c>
      <c r="AI89" s="82">
        <f>AG89/L89</f>
        <v/>
      </c>
      <c r="AJ89" s="76">
        <f>(O89+Q89+V89+X89+Y89+L89+AK89)/(1-(M89+$G$4+(1-H89)*$G$3+$G$8+$G$11+Z89+AB89))</f>
        <v/>
      </c>
      <c r="AK89" s="76">
        <f>$G$12</f>
        <v/>
      </c>
      <c r="AL89" s="76">
        <f>G89*$G$11</f>
        <v/>
      </c>
    </row>
    <row r="90">
      <c r="A90" s="68" t="inlineStr">
        <is>
          <t>Косметика/LANEIGE</t>
        </is>
      </c>
      <c r="B90" s="69" t="n"/>
      <c r="C90" s="69" t="n"/>
      <c r="D90" s="69" t="n"/>
      <c r="E90" s="69" t="n"/>
      <c r="F90" s="69" t="n"/>
      <c r="G90" s="69" t="n"/>
      <c r="H90" s="69" t="n"/>
      <c r="I90" s="69" t="n"/>
      <c r="J90" s="69" t="n"/>
      <c r="K90" s="69" t="n"/>
      <c r="L90" s="69" t="n"/>
      <c r="M90" s="69" t="n"/>
      <c r="N90" s="69" t="n"/>
      <c r="O90" s="69" t="n"/>
      <c r="P90" s="69" t="n"/>
      <c r="Q90" s="69" t="n"/>
      <c r="R90" s="69" t="n"/>
      <c r="S90" s="69" t="n"/>
      <c r="T90" s="69" t="n"/>
      <c r="U90" s="69" t="n"/>
      <c r="V90" s="69" t="n"/>
      <c r="W90" s="69" t="n"/>
      <c r="X90" s="69" t="n"/>
      <c r="Y90" s="69" t="n"/>
      <c r="Z90" s="69" t="n"/>
      <c r="AA90" s="69" t="n"/>
      <c r="AB90" s="69" t="n"/>
      <c r="AC90" s="69" t="n"/>
      <c r="AD90" s="69" t="n"/>
      <c r="AE90" s="69" t="n"/>
      <c r="AF90" s="69" t="n"/>
      <c r="AG90" s="69" t="n"/>
      <c r="AH90" s="69" t="n"/>
      <c r="AI90" s="69" t="n"/>
      <c r="AJ90" s="69" t="n"/>
      <c r="AK90" s="69" t="n"/>
      <c r="AL90" s="69" t="n"/>
    </row>
    <row r="91">
      <c r="A91" s="70" t="inlineStr">
        <is>
          <t>LANEIGE LIP SLEEPING MASK-BERRY [3g]</t>
        </is>
      </c>
      <c r="B91" s="71" t="n"/>
      <c r="C91" s="72" t="n"/>
      <c r="D91" s="73" t="n">
        <v>1470</v>
      </c>
      <c r="E91" s="73" t="n">
        <v>568</v>
      </c>
      <c r="F91" s="73" t="n">
        <v>10</v>
      </c>
      <c r="G91" s="73">
        <f>(1.25*L91+O91+Q91+V91+X91+Y91+AK91)/(1-M91-$G$8-$G$4-(1-H91)*$G$3-$G$11-Z91-AB91)</f>
        <v/>
      </c>
      <c r="H91" s="15" t="n">
        <v>0.45</v>
      </c>
      <c r="I91" s="16">
        <f>G91*(1-H91)</f>
        <v/>
      </c>
      <c r="J91" s="74" t="n">
        <v>130.86</v>
      </c>
      <c r="K91" s="75">
        <f>$G$5</f>
        <v/>
      </c>
      <c r="L91" s="19">
        <f>J91+K91</f>
        <v/>
      </c>
      <c r="M91" s="20" t="n">
        <v>0.47</v>
      </c>
      <c r="N91" s="76">
        <f>G91*M91</f>
        <v/>
      </c>
      <c r="O91" s="77" t="n">
        <v>56</v>
      </c>
      <c r="P91" s="76">
        <f>G91*$G$8</f>
        <v/>
      </c>
      <c r="Q91" s="77" t="n">
        <v>25</v>
      </c>
      <c r="R91" s="76">
        <f>G91*$G$4</f>
        <v/>
      </c>
      <c r="S91" s="76">
        <f>I91*$G$3</f>
        <v/>
      </c>
      <c r="T91" s="78" t="n">
        <v>0.9</v>
      </c>
      <c r="U91" s="77" t="n">
        <v>56</v>
      </c>
      <c r="V91" s="76">
        <f>U91*(1-T91)</f>
        <v/>
      </c>
      <c r="W91" s="79" t="n">
        <v>0.2</v>
      </c>
      <c r="X91" s="76">
        <f>$G$6*$G$7*W91</f>
        <v/>
      </c>
      <c r="Y91" s="19">
        <f>W91*($G$9+$G$10)</f>
        <v/>
      </c>
      <c r="Z91" s="20" t="n">
        <v>0.07000000000000001</v>
      </c>
      <c r="AA91" s="76">
        <f>G91*Z91</f>
        <v/>
      </c>
      <c r="AB91" s="78" t="n">
        <v>0.08</v>
      </c>
      <c r="AC91" s="76">
        <f>G91*AB91</f>
        <v/>
      </c>
      <c r="AD91" s="76">
        <f>AA91+AC91</f>
        <v/>
      </c>
      <c r="AE91" s="25">
        <f>AD91/G91</f>
        <v/>
      </c>
      <c r="AF91" s="26">
        <f>G91-N91-O91-P91-Q91-R91-S91-V91-X91-Y91-L91-AK91-AL91</f>
        <v/>
      </c>
      <c r="AG91" s="80">
        <f>AF91-AD91</f>
        <v/>
      </c>
      <c r="AH91" s="81">
        <f>AG91/G91</f>
        <v/>
      </c>
      <c r="AI91" s="82">
        <f>AG91/L91</f>
        <v/>
      </c>
      <c r="AJ91" s="76">
        <f>(O91+Q91+V91+X91+Y91+L91+AK91)/(1-(M91+$G$4+(1-H91)*$G$3+$G$8+$G$11+Z91+AB91))</f>
        <v/>
      </c>
      <c r="AK91" s="76">
        <f>$G$12</f>
        <v/>
      </c>
      <c r="AL91" s="76">
        <f>G91*$G$11</f>
        <v/>
      </c>
    </row>
    <row r="92">
      <c r="A92" s="68" t="inlineStr">
        <is>
          <t>Косметика/MANYO</t>
        </is>
      </c>
      <c r="B92" s="69" t="n"/>
      <c r="C92" s="69" t="n"/>
      <c r="D92" s="69" t="n"/>
      <c r="E92" s="69" t="n"/>
      <c r="F92" s="69" t="n"/>
      <c r="G92" s="69" t="n"/>
      <c r="H92" s="69" t="n"/>
      <c r="I92" s="69" t="n"/>
      <c r="J92" s="69" t="n"/>
      <c r="K92" s="69" t="n"/>
      <c r="L92" s="69" t="n"/>
      <c r="M92" s="69" t="n"/>
      <c r="N92" s="69" t="n"/>
      <c r="O92" s="69" t="n"/>
      <c r="P92" s="69" t="n"/>
      <c r="Q92" s="69" t="n"/>
      <c r="R92" s="69" t="n"/>
      <c r="S92" s="69" t="n"/>
      <c r="T92" s="69" t="n"/>
      <c r="U92" s="69" t="n"/>
      <c r="V92" s="69" t="n"/>
      <c r="W92" s="69" t="n"/>
      <c r="X92" s="69" t="n"/>
      <c r="Y92" s="69" t="n"/>
      <c r="Z92" s="69" t="n"/>
      <c r="AA92" s="69" t="n"/>
      <c r="AB92" s="69" t="n"/>
      <c r="AC92" s="69" t="n"/>
      <c r="AD92" s="69" t="n"/>
      <c r="AE92" s="69" t="n"/>
      <c r="AF92" s="69" t="n"/>
      <c r="AG92" s="69" t="n"/>
      <c r="AH92" s="69" t="n"/>
      <c r="AI92" s="69" t="n"/>
      <c r="AJ92" s="69" t="n"/>
      <c r="AK92" s="69" t="n"/>
      <c r="AL92" s="69" t="n"/>
    </row>
    <row r="93">
      <c r="A93" s="70" t="inlineStr">
        <is>
          <t>MANYO - Bifida Biome Complex Ampoule [50ml] / Антивозрастная сыворотка для лица</t>
        </is>
      </c>
      <c r="B93" s="71" t="n"/>
      <c r="C93" s="72" t="n"/>
      <c r="D93" s="73" t="n">
        <v>5800</v>
      </c>
      <c r="E93" s="73" t="n">
        <v>152</v>
      </c>
      <c r="F93" s="73" t="n">
        <v>0</v>
      </c>
      <c r="G93" s="73">
        <f>(1.25*L93+O93+Q93+V93+X93+Y93+AK93)/(1-M93-$G$8-$G$4-(1-H93)*$G$3-$G$11-Z93-AB93)</f>
        <v/>
      </c>
      <c r="H93" s="15" t="n">
        <v>0.45</v>
      </c>
      <c r="I93" s="16">
        <f>G93*(1-H93)</f>
        <v/>
      </c>
      <c r="J93" s="74" t="n">
        <v>899.78</v>
      </c>
      <c r="K93" s="75">
        <f>$G$5</f>
        <v/>
      </c>
      <c r="L93" s="19">
        <f>J93+K93</f>
        <v/>
      </c>
      <c r="M93" s="20" t="n">
        <v>0.47</v>
      </c>
      <c r="N93" s="76">
        <f>G93*M93</f>
        <v/>
      </c>
      <c r="O93" s="77" t="n">
        <v>63</v>
      </c>
      <c r="P93" s="76">
        <f>G93*$G$8</f>
        <v/>
      </c>
      <c r="Q93" s="77" t="n">
        <v>25</v>
      </c>
      <c r="R93" s="76">
        <f>G93*$G$4</f>
        <v/>
      </c>
      <c r="S93" s="76">
        <f>I93*$G$3</f>
        <v/>
      </c>
      <c r="T93" s="78" t="n">
        <v>0.9</v>
      </c>
      <c r="U93" s="77" t="n">
        <v>63</v>
      </c>
      <c r="V93" s="76">
        <f>U93*(1-T93)</f>
        <v/>
      </c>
      <c r="W93" s="79" t="n">
        <v>0.3</v>
      </c>
      <c r="X93" s="76">
        <f>$G$6*$G$7*W93</f>
        <v/>
      </c>
      <c r="Y93" s="19">
        <f>W93*($G$9+$G$10)</f>
        <v/>
      </c>
      <c r="Z93" s="20" t="n">
        <v>0.025</v>
      </c>
      <c r="AA93" s="76">
        <f>G93*Z93</f>
        <v/>
      </c>
      <c r="AB93" s="78" t="n">
        <v>0.025</v>
      </c>
      <c r="AC93" s="76">
        <f>G93*AB93</f>
        <v/>
      </c>
      <c r="AD93" s="76">
        <f>AA93+AC93</f>
        <v/>
      </c>
      <c r="AE93" s="25">
        <f>AD93/G93</f>
        <v/>
      </c>
      <c r="AF93" s="26">
        <f>G93-N93-O93-P93-Q93-R93-S93-V93-X93-Y93-L93-AK93-AL93</f>
        <v/>
      </c>
      <c r="AG93" s="80">
        <f>AF93-AD93</f>
        <v/>
      </c>
      <c r="AH93" s="81">
        <f>AG93/G93</f>
        <v/>
      </c>
      <c r="AI93" s="82">
        <f>AG93/L93</f>
        <v/>
      </c>
      <c r="AJ93" s="76">
        <f>(O93+Q93+V93+X93+Y93+L93+AK93)/(1-(M93+$G$4+(1-H93)*$G$3+$G$8+$G$11+Z93+AB93))</f>
        <v/>
      </c>
      <c r="AK93" s="76">
        <f>$G$12</f>
        <v/>
      </c>
      <c r="AL93" s="76">
        <f>G93*$G$11</f>
        <v/>
      </c>
    </row>
    <row r="94">
      <c r="A94" s="70" t="inlineStr">
        <is>
          <t>MANYO - Galac Whitening Vita Serum [50ml] / Осветляющая сыворотка с Витамином C</t>
        </is>
      </c>
      <c r="B94" s="71" t="n"/>
      <c r="C94" s="72" t="inlineStr">
        <is>
          <t>-</t>
        </is>
      </c>
      <c r="D94" s="73" t="n">
        <v>4000</v>
      </c>
      <c r="E94" s="73" t="n">
        <v>163</v>
      </c>
      <c r="F94" s="73" t="n">
        <v>0</v>
      </c>
      <c r="G94" s="73">
        <f>(1.25*L94+O94+Q94+V94+X94+Y94+AK94)/(1-M94-$G$8-$G$4-(1-H94)*$G$3-$G$11-Z94-AB94)</f>
        <v/>
      </c>
      <c r="H94" s="15" t="n">
        <v>0.45</v>
      </c>
      <c r="I94" s="16">
        <f>G94*(1-H94)</f>
        <v/>
      </c>
      <c r="J94" s="74" t="n">
        <v>646.83</v>
      </c>
      <c r="K94" s="75">
        <f>$G$5</f>
        <v/>
      </c>
      <c r="L94" s="19">
        <f>J94+K94</f>
        <v/>
      </c>
      <c r="M94" s="20" t="n">
        <v>0.47</v>
      </c>
      <c r="N94" s="76">
        <f>G94*M94</f>
        <v/>
      </c>
      <c r="O94" s="77" t="n">
        <v>56</v>
      </c>
      <c r="P94" s="76">
        <f>G94*$G$8</f>
        <v/>
      </c>
      <c r="Q94" s="77" t="n">
        <v>25</v>
      </c>
      <c r="R94" s="76">
        <f>G94*$G$4</f>
        <v/>
      </c>
      <c r="S94" s="76">
        <f>I94*$G$3</f>
        <v/>
      </c>
      <c r="T94" s="78" t="n">
        <v>0.9</v>
      </c>
      <c r="U94" s="77" t="n">
        <v>56</v>
      </c>
      <c r="V94" s="76">
        <f>U94*(1-T94)</f>
        <v/>
      </c>
      <c r="W94" s="79" t="n">
        <v>0.19</v>
      </c>
      <c r="X94" s="76">
        <f>$G$6*$G$7*W94</f>
        <v/>
      </c>
      <c r="Y94" s="19">
        <f>W94*($G$9+$G$10)</f>
        <v/>
      </c>
      <c r="Z94" s="20" t="n">
        <v>0.025</v>
      </c>
      <c r="AA94" s="76">
        <f>G94*Z94</f>
        <v/>
      </c>
      <c r="AB94" s="78" t="n">
        <v>0.025</v>
      </c>
      <c r="AC94" s="76">
        <f>G94*AB94</f>
        <v/>
      </c>
      <c r="AD94" s="76">
        <f>AA94+AC94</f>
        <v/>
      </c>
      <c r="AE94" s="25">
        <f>AD94/G94</f>
        <v/>
      </c>
      <c r="AF94" s="26">
        <f>G94-N94-O94-P94-Q94-R94-S94-V94-X94-Y94-L94-AK94-AL94</f>
        <v/>
      </c>
      <c r="AG94" s="80">
        <f>AF94-AD94</f>
        <v/>
      </c>
      <c r="AH94" s="81">
        <f>AG94/G94</f>
        <v/>
      </c>
      <c r="AI94" s="82">
        <f>AG94/L94</f>
        <v/>
      </c>
      <c r="AJ94" s="76">
        <f>(O94+Q94+V94+X94+Y94+L94+AK94)/(1-(M94+$G$4+(1-H94)*$G$3+$G$8+$G$11+Z94+AB94))</f>
        <v/>
      </c>
      <c r="AK94" s="76">
        <f>$G$12</f>
        <v/>
      </c>
      <c r="AL94" s="76">
        <f>G94*$G$11</f>
        <v/>
      </c>
    </row>
    <row r="95">
      <c r="A95" s="70" t="inlineStr">
        <is>
          <t>MANYO - Bifida Biome Ampoule Lotion [300ml] / Укрепляющий лосьон с бифидобактериями</t>
        </is>
      </c>
      <c r="B95" s="71" t="n"/>
      <c r="C95" s="72" t="inlineStr">
        <is>
          <t>нет у официала</t>
        </is>
      </c>
      <c r="D95" s="73" t="n">
        <v>4000</v>
      </c>
      <c r="E95" s="73" t="n">
        <v>140</v>
      </c>
      <c r="F95" s="73" t="n">
        <v>0</v>
      </c>
      <c r="G95" s="73">
        <f>(1.25*L95+O95+Q95+V95+X95+Y95+AK95)/(1-M95-$G$8-$G$4-(1-H95)*$G$3-$G$11-Z95-AB95)</f>
        <v/>
      </c>
      <c r="H95" s="15" t="n">
        <v>0.45</v>
      </c>
      <c r="I95" s="16">
        <f>G95*(1-H95)</f>
        <v/>
      </c>
      <c r="J95" s="74" t="n">
        <v>735.34</v>
      </c>
      <c r="K95" s="75">
        <f>$G$5</f>
        <v/>
      </c>
      <c r="L95" s="19">
        <f>J95+K95</f>
        <v/>
      </c>
      <c r="M95" s="20" t="n">
        <v>0.47</v>
      </c>
      <c r="N95" s="76">
        <f>G95*M95</f>
        <v/>
      </c>
      <c r="O95" s="77" t="n">
        <v>67</v>
      </c>
      <c r="P95" s="76">
        <f>G95*$G$8</f>
        <v/>
      </c>
      <c r="Q95" s="77" t="n">
        <v>25</v>
      </c>
      <c r="R95" s="76">
        <f>G95*$G$4</f>
        <v/>
      </c>
      <c r="S95" s="76">
        <f>I95*$G$3</f>
        <v/>
      </c>
      <c r="T95" s="78" t="n">
        <v>0.9</v>
      </c>
      <c r="U95" s="77" t="n">
        <v>67</v>
      </c>
      <c r="V95" s="76">
        <f>U95*(1-T95)</f>
        <v/>
      </c>
      <c r="W95" s="79" t="n">
        <v>0.61</v>
      </c>
      <c r="X95" s="76">
        <f>$G$6*$G$7*W95</f>
        <v/>
      </c>
      <c r="Y95" s="19">
        <f>W95*($G$9+$G$10)</f>
        <v/>
      </c>
      <c r="Z95" s="20" t="n">
        <v>0.025</v>
      </c>
      <c r="AA95" s="76">
        <f>G95*Z95</f>
        <v/>
      </c>
      <c r="AB95" s="78" t="n">
        <v>0.025</v>
      </c>
      <c r="AC95" s="76">
        <f>G95*AB95</f>
        <v/>
      </c>
      <c r="AD95" s="76">
        <f>AA95+AC95</f>
        <v/>
      </c>
      <c r="AE95" s="25">
        <f>AD95/G95</f>
        <v/>
      </c>
      <c r="AF95" s="26">
        <f>G95-N95-O95-P95-Q95-R95-S95-V95-X95-Y95-L95-AK95-AL95</f>
        <v/>
      </c>
      <c r="AG95" s="80">
        <f>AF95-AD95</f>
        <v/>
      </c>
      <c r="AH95" s="81">
        <f>AG95/G95</f>
        <v/>
      </c>
      <c r="AI95" s="82">
        <f>AG95/L95</f>
        <v/>
      </c>
      <c r="AJ95" s="76">
        <f>(O95+Q95+V95+X95+Y95+L95+AK95)/(1-(M95+$G$4+(1-H95)*$G$3+$G$8+$G$11+Z95+AB95))</f>
        <v/>
      </c>
      <c r="AK95" s="76">
        <f>$G$12</f>
        <v/>
      </c>
      <c r="AL95" s="76">
        <f>G95*$G$11</f>
        <v/>
      </c>
    </row>
    <row r="96">
      <c r="A96" s="70" t="inlineStr">
        <is>
          <t>MANYO - Pure Cleansing Oil [200ml] / Гидрофильное масло для глубокого очищения</t>
        </is>
      </c>
      <c r="B96" s="71" t="n"/>
      <c r="C96" s="72" t="inlineStr">
        <is>
          <t>-</t>
        </is>
      </c>
      <c r="D96" s="73" t="n">
        <v>4000</v>
      </c>
      <c r="E96" s="73" t="n">
        <v>60</v>
      </c>
      <c r="F96" s="73" t="n">
        <v>0</v>
      </c>
      <c r="G96" s="73">
        <f>(1.25*L96+O96+Q96+V96+X96+Y96+AK96)/(1-M96-$G$8-$G$4-(1-H96)*$G$3-$G$11-Z96-AB96)</f>
        <v/>
      </c>
      <c r="H96" s="15" t="n">
        <v>0.45</v>
      </c>
      <c r="I96" s="16">
        <f>G96*(1-H96)</f>
        <v/>
      </c>
      <c r="J96" s="74" t="n">
        <v>853</v>
      </c>
      <c r="K96" s="75">
        <f>$G$5</f>
        <v/>
      </c>
      <c r="L96" s="19">
        <f>J96+K96</f>
        <v/>
      </c>
      <c r="M96" s="20" t="n">
        <v>0.47</v>
      </c>
      <c r="N96" s="76">
        <f>G96*M96</f>
        <v/>
      </c>
      <c r="O96" s="77" t="n">
        <v>67</v>
      </c>
      <c r="P96" s="76">
        <f>G96*$G$8</f>
        <v/>
      </c>
      <c r="Q96" s="77" t="n">
        <v>25</v>
      </c>
      <c r="R96" s="76">
        <f>G96*$G$4</f>
        <v/>
      </c>
      <c r="S96" s="76">
        <f>I96*$G$3</f>
        <v/>
      </c>
      <c r="T96" s="78" t="n">
        <v>0.9</v>
      </c>
      <c r="U96" s="77" t="n">
        <v>67</v>
      </c>
      <c r="V96" s="76">
        <f>U96*(1-T96)</f>
        <v/>
      </c>
      <c r="W96" s="79" t="n">
        <v>0.5</v>
      </c>
      <c r="X96" s="76">
        <f>$G$6*$G$7*W96</f>
        <v/>
      </c>
      <c r="Y96" s="19">
        <f>W96*($G$9+$G$10)</f>
        <v/>
      </c>
      <c r="Z96" s="20" t="n">
        <v>0.025</v>
      </c>
      <c r="AA96" s="76">
        <f>G96*Z96</f>
        <v/>
      </c>
      <c r="AB96" s="78" t="n">
        <v>0.025</v>
      </c>
      <c r="AC96" s="76">
        <f>G96*AB96</f>
        <v/>
      </c>
      <c r="AD96" s="76">
        <f>AA96+AC96</f>
        <v/>
      </c>
      <c r="AE96" s="25">
        <f>AD96/G96</f>
        <v/>
      </c>
      <c r="AF96" s="26">
        <f>G96-N96-O96-P96-Q96-R96-S96-V96-X96-Y96-L96-AK96-AL96</f>
        <v/>
      </c>
      <c r="AG96" s="80">
        <f>AF96-AD96</f>
        <v/>
      </c>
      <c r="AH96" s="81">
        <f>AG96/G96</f>
        <v/>
      </c>
      <c r="AI96" s="82">
        <f>AG96/L96</f>
        <v/>
      </c>
      <c r="AJ96" s="76">
        <f>(O96+Q96+V96+X96+Y96+L96+AK96)/(1-(M96+$G$4+(1-H96)*$G$3+$G$8+$G$11+Z96+AB96))</f>
        <v/>
      </c>
      <c r="AK96" s="76">
        <f>$G$12</f>
        <v/>
      </c>
      <c r="AL96" s="76">
        <f>G96*$G$11</f>
        <v/>
      </c>
    </row>
    <row r="97">
      <c r="A97" s="70" t="inlineStr">
        <is>
          <t>MANYO BIFIDA COMPLEX AMPOULE GEL CLEANSER [400ml] / Гель для умывания с бифидобактериями</t>
        </is>
      </c>
      <c r="B97" s="71" t="n"/>
      <c r="C97" s="72" t="inlineStr">
        <is>
          <t>-</t>
        </is>
      </c>
      <c r="D97" s="73" t="n">
        <v>4800</v>
      </c>
      <c r="E97" s="73" t="n">
        <v>20</v>
      </c>
      <c r="F97" s="73" t="n">
        <v>0</v>
      </c>
      <c r="G97" s="73">
        <f>(1.25*L97+O97+Q97+V97+X97+Y97+AK97)/(1-M97-$G$8-$G$4-(1-H97)*$G$3-$G$11-Z97-AB97)</f>
        <v/>
      </c>
      <c r="H97" s="15" t="n">
        <v>0.45</v>
      </c>
      <c r="I97" s="16">
        <f>G97*(1-H97)</f>
        <v/>
      </c>
      <c r="J97" s="74" t="n">
        <v>650</v>
      </c>
      <c r="K97" s="75">
        <f>$G$5</f>
        <v/>
      </c>
      <c r="L97" s="19">
        <f>J97+K97</f>
        <v/>
      </c>
      <c r="M97" s="20" t="n">
        <v>0.47</v>
      </c>
      <c r="N97" s="76">
        <f>G97*M97</f>
        <v/>
      </c>
      <c r="O97" s="77" t="n">
        <v>75</v>
      </c>
      <c r="P97" s="76">
        <f>G97*$G$8</f>
        <v/>
      </c>
      <c r="Q97" s="77" t="n">
        <v>25</v>
      </c>
      <c r="R97" s="76">
        <f>G97*$G$4</f>
        <v/>
      </c>
      <c r="S97" s="76">
        <f>I97*$G$3</f>
        <v/>
      </c>
      <c r="T97" s="78" t="n">
        <v>0.9</v>
      </c>
      <c r="U97" s="77" t="n">
        <v>75</v>
      </c>
      <c r="V97" s="76">
        <f>U97*(1-T97)</f>
        <v/>
      </c>
      <c r="W97" s="79" t="n">
        <v>0.931</v>
      </c>
      <c r="X97" s="76">
        <f>$G$6*$G$7*W97</f>
        <v/>
      </c>
      <c r="Y97" s="19">
        <f>W97*($G$9+$G$10)</f>
        <v/>
      </c>
      <c r="Z97" s="20" t="n">
        <v>0.025</v>
      </c>
      <c r="AA97" s="76">
        <f>G97*Z97</f>
        <v/>
      </c>
      <c r="AB97" s="78" t="n">
        <v>0.025</v>
      </c>
      <c r="AC97" s="76">
        <f>G97*AB97</f>
        <v/>
      </c>
      <c r="AD97" s="76">
        <f>AA97+AC97</f>
        <v/>
      </c>
      <c r="AE97" s="25">
        <f>AD97/G97</f>
        <v/>
      </c>
      <c r="AF97" s="26">
        <f>G97-N97-O97-P97-Q97-R97-S97-V97-X97-Y97-L97-AK97-AL97</f>
        <v/>
      </c>
      <c r="AG97" s="80">
        <f>AF97-AD97</f>
        <v/>
      </c>
      <c r="AH97" s="81">
        <f>AG97/G97</f>
        <v/>
      </c>
      <c r="AI97" s="82">
        <f>AG97/L97</f>
        <v/>
      </c>
      <c r="AJ97" s="76">
        <f>(O97+Q97+V97+X97+Y97+L97+AK97)/(1-(M97+$G$4+(1-H97)*$G$3+$G$8+$G$11+Z97+AB97))</f>
        <v/>
      </c>
      <c r="AK97" s="76">
        <f>$G$12</f>
        <v/>
      </c>
      <c r="AL97" s="76">
        <f>G97*$G$11</f>
        <v/>
      </c>
    </row>
    <row r="98">
      <c r="A98" s="70" t="inlineStr">
        <is>
          <t>MANYO BIFIDA INFUSION SHOT AMPOULE 1DX [50ml] / Сыворотка с микроиглами и пробиотиками</t>
        </is>
      </c>
      <c r="B98" s="71" t="n"/>
      <c r="C98" s="72" t="n"/>
      <c r="D98" s="73" t="n">
        <v>3800</v>
      </c>
      <c r="E98" s="73" t="n">
        <v>370</v>
      </c>
      <c r="F98" s="73" t="n">
        <v>0</v>
      </c>
      <c r="G98" s="73">
        <f>(1.25*L98+O98+Q98+V98+X98+Y98+AK98)/(1-M98-$G$8-$G$4-(1-H98)*$G$3-$G$11-Z98-AB98)</f>
        <v/>
      </c>
      <c r="H98" s="15" t="n">
        <v>0.45</v>
      </c>
      <c r="I98" s="16">
        <f>G98*(1-H98)</f>
        <v/>
      </c>
      <c r="J98" s="74" t="n">
        <v>899.78</v>
      </c>
      <c r="K98" s="75">
        <f>$G$5</f>
        <v/>
      </c>
      <c r="L98" s="19">
        <f>J98+K98</f>
        <v/>
      </c>
      <c r="M98" s="20" t="n">
        <v>0.47</v>
      </c>
      <c r="N98" s="76">
        <f>G98*M98</f>
        <v/>
      </c>
      <c r="O98" s="77" t="n">
        <v>63</v>
      </c>
      <c r="P98" s="76">
        <f>G98*$G$8</f>
        <v/>
      </c>
      <c r="Q98" s="77" t="n">
        <v>25</v>
      </c>
      <c r="R98" s="76">
        <f>G98*$G$4</f>
        <v/>
      </c>
      <c r="S98" s="76">
        <f>I98*$G$3</f>
        <v/>
      </c>
      <c r="T98" s="78" t="n">
        <v>0.9</v>
      </c>
      <c r="U98" s="77" t="n">
        <v>63</v>
      </c>
      <c r="V98" s="76">
        <f>U98*(1-T98)</f>
        <v/>
      </c>
      <c r="W98" s="79" t="n">
        <v>0.3</v>
      </c>
      <c r="X98" s="76">
        <f>$G$6*$G$7*W98</f>
        <v/>
      </c>
      <c r="Y98" s="19">
        <f>W98*($G$9+$G$10)</f>
        <v/>
      </c>
      <c r="Z98" s="20" t="n">
        <v>0.025</v>
      </c>
      <c r="AA98" s="76">
        <f>G98*Z98</f>
        <v/>
      </c>
      <c r="AB98" s="78" t="n">
        <v>0.025</v>
      </c>
      <c r="AC98" s="76">
        <f>G98*AB98</f>
        <v/>
      </c>
      <c r="AD98" s="76">
        <f>AA98+AC98</f>
        <v/>
      </c>
      <c r="AE98" s="25">
        <f>AD98/G98</f>
        <v/>
      </c>
      <c r="AF98" s="26">
        <f>G98-N98-O98-P98-Q98-R98-S98-V98-X98-Y98-L98-AK98-AL98</f>
        <v/>
      </c>
      <c r="AG98" s="80">
        <f>AF98-AD98</f>
        <v/>
      </c>
      <c r="AH98" s="81">
        <f>AG98/G98</f>
        <v/>
      </c>
      <c r="AI98" s="82">
        <f>AG98/L98</f>
        <v/>
      </c>
      <c r="AJ98" s="76">
        <f>(O98+Q98+V98+X98+Y98+L98+AK98)/(1-(M98+$G$4+(1-H98)*$G$3+$G$8+$G$11+Z98+AB98))</f>
        <v/>
      </c>
      <c r="AK98" s="76">
        <f>$G$12</f>
        <v/>
      </c>
      <c r="AL98" s="76">
        <f>G98*$G$11</f>
        <v/>
      </c>
    </row>
    <row r="99">
      <c r="A99" s="68" t="inlineStr">
        <is>
          <t>Косметика/MASIL</t>
        </is>
      </c>
      <c r="B99" s="69" t="n"/>
      <c r="C99" s="69" t="n"/>
      <c r="D99" s="69" t="n"/>
      <c r="E99" s="69" t="n"/>
      <c r="F99" s="69" t="n"/>
      <c r="G99" s="69" t="n"/>
      <c r="H99" s="69" t="n"/>
      <c r="I99" s="69" t="n"/>
      <c r="J99" s="69" t="n"/>
      <c r="K99" s="69" t="n"/>
      <c r="L99" s="69" t="n"/>
      <c r="M99" s="69" t="n"/>
      <c r="N99" s="69" t="n"/>
      <c r="O99" s="69" t="n"/>
      <c r="P99" s="69" t="n"/>
      <c r="Q99" s="69" t="n"/>
      <c r="R99" s="69" t="n"/>
      <c r="S99" s="69" t="n"/>
      <c r="T99" s="69" t="n"/>
      <c r="U99" s="69" t="n"/>
      <c r="V99" s="69" t="n"/>
      <c r="W99" s="69" t="n"/>
      <c r="X99" s="69" t="n"/>
      <c r="Y99" s="69" t="n"/>
      <c r="Z99" s="69" t="n"/>
      <c r="AA99" s="69" t="n"/>
      <c r="AB99" s="69" t="n"/>
      <c r="AC99" s="69" t="n"/>
      <c r="AD99" s="69" t="n"/>
      <c r="AE99" s="69" t="n"/>
      <c r="AF99" s="69" t="n"/>
      <c r="AG99" s="69" t="n"/>
      <c r="AH99" s="69" t="n"/>
      <c r="AI99" s="69" t="n"/>
      <c r="AJ99" s="69" t="n"/>
      <c r="AK99" s="69" t="n"/>
      <c r="AL99" s="69" t="n"/>
    </row>
    <row r="100">
      <c r="A100" s="83" t="inlineStr">
        <is>
          <t>MASIL - 8 Seconds Salon Hair Mask 350ml Set [350ml+8ml*2]</t>
        </is>
      </c>
      <c r="B100" s="84" t="n"/>
      <c r="C100" s="84" t="n"/>
      <c r="D100" s="85" t="n"/>
      <c r="E100" s="85" t="n"/>
      <c r="F100" s="85" t="n"/>
      <c r="G100" s="85" t="n"/>
      <c r="H100" s="32" t="n"/>
      <c r="I100" s="33" t="n"/>
      <c r="J100" s="86" t="n"/>
      <c r="K100" s="86" t="n"/>
      <c r="L100" s="35" t="n"/>
      <c r="M100" s="36" t="n"/>
      <c r="N100" s="85" t="n"/>
      <c r="O100" s="85" t="n"/>
      <c r="P100" s="85" t="n"/>
      <c r="Q100" s="85" t="n"/>
      <c r="R100" s="85" t="n"/>
      <c r="S100" s="85" t="n"/>
      <c r="T100" s="87" t="n"/>
      <c r="U100" s="85" t="n"/>
      <c r="V100" s="85" t="n"/>
      <c r="W100" s="88" t="n"/>
      <c r="X100" s="85" t="n"/>
      <c r="Y100" s="35" t="n"/>
      <c r="Z100" s="36" t="n"/>
      <c r="AA100" s="85" t="n"/>
      <c r="AB100" s="87" t="n"/>
      <c r="AC100" s="85" t="n"/>
      <c r="AD100" s="85" t="n"/>
      <c r="AE100" s="39" t="n"/>
      <c r="AF100" s="40" t="n"/>
      <c r="AG100" s="85" t="n"/>
      <c r="AH100" s="87" t="n"/>
      <c r="AI100" s="87" t="n"/>
      <c r="AJ100" s="85" t="n"/>
      <c r="AK100" s="85" t="n"/>
      <c r="AL100" s="85" t="n"/>
    </row>
    <row r="101">
      <c r="A101" s="68" t="inlineStr">
        <is>
          <t>Косметика/PETITFEE/PETITFEE-EYEPATCH</t>
        </is>
      </c>
      <c r="B101" s="69" t="n"/>
      <c r="C101" s="69" t="n"/>
      <c r="D101" s="69" t="n"/>
      <c r="E101" s="69" t="n"/>
      <c r="F101" s="69" t="n"/>
      <c r="G101" s="69" t="n"/>
      <c r="H101" s="69" t="n"/>
      <c r="I101" s="69" t="n"/>
      <c r="J101" s="69" t="n"/>
      <c r="K101" s="69" t="n"/>
      <c r="L101" s="69" t="n"/>
      <c r="M101" s="69" t="n"/>
      <c r="N101" s="69" t="n"/>
      <c r="O101" s="69" t="n"/>
      <c r="P101" s="69" t="n"/>
      <c r="Q101" s="69" t="n"/>
      <c r="R101" s="69" t="n"/>
      <c r="S101" s="69" t="n"/>
      <c r="T101" s="69" t="n"/>
      <c r="U101" s="69" t="n"/>
      <c r="V101" s="69" t="n"/>
      <c r="W101" s="69" t="n"/>
      <c r="X101" s="69" t="n"/>
      <c r="Y101" s="69" t="n"/>
      <c r="Z101" s="69" t="n"/>
      <c r="AA101" s="69" t="n"/>
      <c r="AB101" s="69" t="n"/>
      <c r="AC101" s="69" t="n"/>
      <c r="AD101" s="69" t="n"/>
      <c r="AE101" s="69" t="n"/>
      <c r="AF101" s="69" t="n"/>
      <c r="AG101" s="69" t="n"/>
      <c r="AH101" s="69" t="n"/>
      <c r="AI101" s="69" t="n"/>
      <c r="AJ101" s="69" t="n"/>
      <c r="AK101" s="69" t="n"/>
      <c r="AL101" s="69" t="n"/>
    </row>
    <row r="102">
      <c r="A102" s="70" t="inlineStr">
        <is>
          <t>PETITFEE - Collagen &amp; CoQ10 Hydrogel Eye Patch [60ea] / Гидрогелевые патчи для глаз с коллагеном и коэнзимом Q10</t>
        </is>
      </c>
      <c r="B102" s="71" t="n"/>
      <c r="C102" s="72" t="n"/>
      <c r="D102" s="73" t="n">
        <v>1818</v>
      </c>
      <c r="E102" s="73" t="n">
        <v>734</v>
      </c>
      <c r="F102" s="73" t="n">
        <v>16</v>
      </c>
      <c r="G102" s="73">
        <f>(1.25*L102+O102+Q102+V102+X102+Y102+AK102)/(1-M102-$G$8-$G$4-(1-H102)*$G$3-$G$11-Z102-AB102)</f>
        <v/>
      </c>
      <c r="H102" s="15" t="n">
        <v>0.45</v>
      </c>
      <c r="I102" s="16">
        <f>G102*(1-H102)</f>
        <v/>
      </c>
      <c r="J102" s="74" t="n">
        <v>385.05</v>
      </c>
      <c r="K102" s="75">
        <f>$G$5</f>
        <v/>
      </c>
      <c r="L102" s="19">
        <f>J102+K102</f>
        <v/>
      </c>
      <c r="M102" s="20" t="n">
        <v>0.47</v>
      </c>
      <c r="N102" s="76">
        <f>G102*M102</f>
        <v/>
      </c>
      <c r="O102" s="77" t="n">
        <v>67</v>
      </c>
      <c r="P102" s="76">
        <f>G102*$G$8</f>
        <v/>
      </c>
      <c r="Q102" s="77" t="n">
        <v>25</v>
      </c>
      <c r="R102" s="76">
        <f>G102*$G$4</f>
        <v/>
      </c>
      <c r="S102" s="76">
        <f>I102*$G$3</f>
        <v/>
      </c>
      <c r="T102" s="78" t="n">
        <v>0.9</v>
      </c>
      <c r="U102" s="77" t="n">
        <v>67</v>
      </c>
      <c r="V102" s="76">
        <f>U102*(1-T102)</f>
        <v/>
      </c>
      <c r="W102" s="79" t="n">
        <v>0.6</v>
      </c>
      <c r="X102" s="76">
        <f>$G$6*$G$7*W102</f>
        <v/>
      </c>
      <c r="Y102" s="19">
        <f>W102*($G$9+$G$10)</f>
        <v/>
      </c>
      <c r="Z102" s="20" t="n">
        <v>0.07000000000000001</v>
      </c>
      <c r="AA102" s="76">
        <f>G102*Z102</f>
        <v/>
      </c>
      <c r="AB102" s="78" t="n">
        <v>0.08</v>
      </c>
      <c r="AC102" s="76">
        <f>G102*AB102</f>
        <v/>
      </c>
      <c r="AD102" s="76">
        <f>AA102+AC102</f>
        <v/>
      </c>
      <c r="AE102" s="25">
        <f>AD102/G102</f>
        <v/>
      </c>
      <c r="AF102" s="26">
        <f>G102-N102-O102-P102-Q102-R102-S102-V102-X102-Y102-L102-AK102-AL102</f>
        <v/>
      </c>
      <c r="AG102" s="80">
        <f>AF102-AD102</f>
        <v/>
      </c>
      <c r="AH102" s="81">
        <f>AG102/G102</f>
        <v/>
      </c>
      <c r="AI102" s="82">
        <f>AG102/L102</f>
        <v/>
      </c>
      <c r="AJ102" s="76">
        <f>(O102+Q102+V102+X102+Y102+L102+AK102)/(1-(M102+$G$4+(1-H102)*$G$3+$G$8+$G$11+Z102+AB102))</f>
        <v/>
      </c>
      <c r="AK102" s="76">
        <f>$G$12</f>
        <v/>
      </c>
      <c r="AL102" s="76">
        <f>G102*$G$11</f>
        <v/>
      </c>
    </row>
    <row r="103">
      <c r="A103" s="70" t="inlineStr">
        <is>
          <t>PETITFEE - Bera Glucan Deep Firming Eye Patch [60ea] / Тканевые патчи для век увлажняющие</t>
        </is>
      </c>
      <c r="B103" s="71" t="n"/>
      <c r="C103" s="72" t="n"/>
      <c r="D103" s="73" t="n"/>
      <c r="E103" s="73" t="n"/>
      <c r="F103" s="73" t="n"/>
      <c r="G103" s="73">
        <f>(1.25*L103+O103+Q103+V103+X103+Y103+AK103)/(1-M103-$G$8-$G$4-(1-H103)*$G$3-$G$11-Z103-AB103)</f>
        <v/>
      </c>
      <c r="H103" s="15" t="n">
        <v>0.45</v>
      </c>
      <c r="I103" s="16">
        <f>G103*(1-H103)</f>
        <v/>
      </c>
      <c r="J103" s="74" t="n">
        <v>486.69</v>
      </c>
      <c r="K103" s="75">
        <f>$G$5</f>
        <v/>
      </c>
      <c r="L103" s="19">
        <f>J103+K103</f>
        <v/>
      </c>
      <c r="M103" s="20" t="n">
        <v>0.47</v>
      </c>
      <c r="N103" s="76">
        <f>G103*M103</f>
        <v/>
      </c>
      <c r="O103" s="77" t="n">
        <v>67</v>
      </c>
      <c r="P103" s="76">
        <f>G103*$G$8</f>
        <v/>
      </c>
      <c r="Q103" s="77" t="n">
        <v>25</v>
      </c>
      <c r="R103" s="76">
        <f>G103*$G$4</f>
        <v/>
      </c>
      <c r="S103" s="76">
        <f>I103*$G$3</f>
        <v/>
      </c>
      <c r="T103" s="78" t="n">
        <v>0.9</v>
      </c>
      <c r="U103" s="77" t="n">
        <v>67</v>
      </c>
      <c r="V103" s="76">
        <f>U103*(1-T103)</f>
        <v/>
      </c>
      <c r="W103" s="79" t="n">
        <v>0.93</v>
      </c>
      <c r="X103" s="76">
        <f>$G$6*$G$7*W103</f>
        <v/>
      </c>
      <c r="Y103" s="19">
        <f>W103*($G$9+$G$10)</f>
        <v/>
      </c>
      <c r="Z103" s="20" t="n">
        <v>0.07000000000000001</v>
      </c>
      <c r="AA103" s="76">
        <f>G103*Z103</f>
        <v/>
      </c>
      <c r="AB103" s="78" t="n">
        <v>0.08</v>
      </c>
      <c r="AC103" s="76">
        <f>G103*AB103</f>
        <v/>
      </c>
      <c r="AD103" s="76">
        <f>AA103+AC103</f>
        <v/>
      </c>
      <c r="AE103" s="25">
        <f>AD103/G103</f>
        <v/>
      </c>
      <c r="AF103" s="26">
        <f>G103-N103-O103-P103-Q103-R103-S103-V103-X103-Y103-L103-AK103-AL103</f>
        <v/>
      </c>
      <c r="AG103" s="80">
        <f>AF103-AD103</f>
        <v/>
      </c>
      <c r="AH103" s="81">
        <f>AG103/G103</f>
        <v/>
      </c>
      <c r="AI103" s="82">
        <f>AG103/L103</f>
        <v/>
      </c>
      <c r="AJ103" s="76">
        <f>(O103+Q103+V103+X103+Y103+L103+AK103)/(1-(M103+$G$4+(1-H103)*$G$3+$G$8+$G$11+Z103+AB103))</f>
        <v/>
      </c>
      <c r="AK103" s="76">
        <f>$G$12</f>
        <v/>
      </c>
      <c r="AL103" s="76">
        <f>G103*$G$11</f>
        <v/>
      </c>
    </row>
    <row r="104">
      <c r="A104" s="70" t="inlineStr">
        <is>
          <t>PETITFEE - Artichoke Soothing Hydrogel Eye Patch [60ea] / Смягчающие гидрогелевые патчи для глаз с экстрактом артишока</t>
        </is>
      </c>
      <c r="B104" s="71" t="n"/>
      <c r="C104" s="72" t="n"/>
      <c r="D104" s="73" t="n"/>
      <c r="E104" s="73" t="n"/>
      <c r="F104" s="73" t="n"/>
      <c r="G104" s="73">
        <f>(1.25*L104+O104+Q104+V104+X104+Y104+AK104)/(1-M104-$G$8-$G$4-(1-H104)*$G$3-$G$11-Z104-AB104)</f>
        <v/>
      </c>
      <c r="H104" s="15" t="n">
        <v>0.45</v>
      </c>
      <c r="I104" s="16">
        <f>G104*(1-H104)</f>
        <v/>
      </c>
      <c r="J104" s="74" t="n">
        <v>415.46</v>
      </c>
      <c r="K104" s="75">
        <f>$G$5</f>
        <v/>
      </c>
      <c r="L104" s="19">
        <f>J104+K104</f>
        <v/>
      </c>
      <c r="M104" s="20" t="n">
        <v>0.47</v>
      </c>
      <c r="N104" s="76">
        <f>G104*M104</f>
        <v/>
      </c>
      <c r="O104" s="77" t="n">
        <v>67</v>
      </c>
      <c r="P104" s="76">
        <f>G104*$G$8</f>
        <v/>
      </c>
      <c r="Q104" s="77" t="n">
        <v>25</v>
      </c>
      <c r="R104" s="76">
        <f>G104*$G$4</f>
        <v/>
      </c>
      <c r="S104" s="76">
        <f>I104*$G$3</f>
        <v/>
      </c>
      <c r="T104" s="78" t="n">
        <v>0.9</v>
      </c>
      <c r="U104" s="77" t="n">
        <v>67</v>
      </c>
      <c r="V104" s="76">
        <f>U104*(1-T104)</f>
        <v/>
      </c>
      <c r="W104" s="79" t="n">
        <v>0.6</v>
      </c>
      <c r="X104" s="76">
        <f>$G$6*$G$7*W104</f>
        <v/>
      </c>
      <c r="Y104" s="19">
        <f>W104*($G$9+$G$10)</f>
        <v/>
      </c>
      <c r="Z104" s="20" t="n">
        <v>0.07000000000000001</v>
      </c>
      <c r="AA104" s="76">
        <f>G104*Z104</f>
        <v/>
      </c>
      <c r="AB104" s="78" t="n">
        <v>0.08</v>
      </c>
      <c r="AC104" s="76">
        <f>G104*AB104</f>
        <v/>
      </c>
      <c r="AD104" s="76">
        <f>AA104+AC104</f>
        <v/>
      </c>
      <c r="AE104" s="25">
        <f>AD104/G104</f>
        <v/>
      </c>
      <c r="AF104" s="26">
        <f>G104-N104-O104-P104-Q104-R104-S104-V104-X104-Y104-L104-AK104-AL104</f>
        <v/>
      </c>
      <c r="AG104" s="80">
        <f>AF104-AD104</f>
        <v/>
      </c>
      <c r="AH104" s="81">
        <f>AG104/G104</f>
        <v/>
      </c>
      <c r="AI104" s="82">
        <f>AG104/L104</f>
        <v/>
      </c>
      <c r="AJ104" s="76">
        <f>(O104+Q104+V104+X104+Y104+L104+AK104)/(1-(M104+$G$4+(1-H104)*$G$3+$G$8+$G$11+Z104+AB104))</f>
        <v/>
      </c>
      <c r="AK104" s="76">
        <f>$G$12</f>
        <v/>
      </c>
      <c r="AL104" s="76">
        <f>G104*$G$11</f>
        <v/>
      </c>
    </row>
    <row r="105">
      <c r="A105" s="70" t="inlineStr">
        <is>
          <t>PETITFEE - Aura Quartz Hydrogel Eye Patch [60ea]</t>
        </is>
      </c>
      <c r="B105" s="71" t="n"/>
      <c r="C105" s="72" t="n"/>
      <c r="D105" s="73" t="n"/>
      <c r="E105" s="73" t="n"/>
      <c r="F105" s="73" t="n"/>
      <c r="G105" s="73">
        <f>(1.25*L105+O105+Q105+V105+X105+Y105+AK105)/(1-M105-$G$8-$G$4-(1-H105)*$G$3-$G$11-Z105-AB105)</f>
        <v/>
      </c>
      <c r="H105" s="15" t="n">
        <v>0.45</v>
      </c>
      <c r="I105" s="16">
        <f>G105*(1-H105)</f>
        <v/>
      </c>
      <c r="J105" s="74" t="n">
        <v>591.29</v>
      </c>
      <c r="K105" s="75">
        <f>$G$5</f>
        <v/>
      </c>
      <c r="L105" s="19">
        <f>J105+K105</f>
        <v/>
      </c>
      <c r="M105" s="20" t="n">
        <v>0.47</v>
      </c>
      <c r="N105" s="76">
        <f>G105*M105</f>
        <v/>
      </c>
      <c r="O105" s="77" t="n">
        <v>67</v>
      </c>
      <c r="P105" s="76">
        <f>G105*$G$8</f>
        <v/>
      </c>
      <c r="Q105" s="77" t="n">
        <v>25</v>
      </c>
      <c r="R105" s="76">
        <f>G105*$G$4</f>
        <v/>
      </c>
      <c r="S105" s="76">
        <f>I105*$G$3</f>
        <v/>
      </c>
      <c r="T105" s="78" t="n">
        <v>0.9</v>
      </c>
      <c r="U105" s="77" t="n">
        <v>67</v>
      </c>
      <c r="V105" s="76">
        <f>U105*(1-T105)</f>
        <v/>
      </c>
      <c r="W105" s="79" t="n">
        <v>0.93</v>
      </c>
      <c r="X105" s="76">
        <f>$G$6*$G$7*W105</f>
        <v/>
      </c>
      <c r="Y105" s="19">
        <f>W105*($G$9+$G$10)</f>
        <v/>
      </c>
      <c r="Z105" s="20" t="n">
        <v>0.07000000000000001</v>
      </c>
      <c r="AA105" s="76">
        <f>G105*Z105</f>
        <v/>
      </c>
      <c r="AB105" s="78" t="n">
        <v>0.08</v>
      </c>
      <c r="AC105" s="76">
        <f>G105*AB105</f>
        <v/>
      </c>
      <c r="AD105" s="76">
        <f>AA105+AC105</f>
        <v/>
      </c>
      <c r="AE105" s="25">
        <f>AD105/G105</f>
        <v/>
      </c>
      <c r="AF105" s="26">
        <f>G105-N105-O105-P105-Q105-R105-S105-V105-X105-Y105-L105-AK105-AL105</f>
        <v/>
      </c>
      <c r="AG105" s="80">
        <f>AF105-AD105</f>
        <v/>
      </c>
      <c r="AH105" s="81">
        <f>AG105/G105</f>
        <v/>
      </c>
      <c r="AI105" s="82">
        <f>AG105/L105</f>
        <v/>
      </c>
      <c r="AJ105" s="76">
        <f>(O105+Q105+V105+X105+Y105+L105+AK105)/(1-(M105+$G$4+(1-H105)*$G$3+$G$8+$G$11+Z105+AB105))</f>
        <v/>
      </c>
      <c r="AK105" s="76">
        <f>$G$12</f>
        <v/>
      </c>
      <c r="AL105" s="76">
        <f>G105*$G$11</f>
        <v/>
      </c>
    </row>
    <row r="106">
      <c r="A106" s="70" t="inlineStr">
        <is>
          <t>PETITFEE - Cacao Energizing Hydrogel Eye Patch [60ea] / Тонизирующие гидрогелевые патчи для глаз с экстрактом какао</t>
        </is>
      </c>
      <c r="B106" s="71" t="n"/>
      <c r="C106" s="72" t="n"/>
      <c r="D106" s="73" t="n"/>
      <c r="E106" s="73" t="n"/>
      <c r="F106" s="73" t="n"/>
      <c r="G106" s="73">
        <f>(1.25*L106+O106+Q106+V106+X106+Y106+AK106)/(1-M106-$G$8-$G$4-(1-H106)*$G$3-$G$11-Z106-AB106)</f>
        <v/>
      </c>
      <c r="H106" s="15" t="n">
        <v>0.45</v>
      </c>
      <c r="I106" s="16">
        <f>G106*(1-H106)</f>
        <v/>
      </c>
      <c r="J106" s="74" t="n">
        <v>415.46</v>
      </c>
      <c r="K106" s="75">
        <f>$G$5</f>
        <v/>
      </c>
      <c r="L106" s="19">
        <f>J106+K106</f>
        <v/>
      </c>
      <c r="M106" s="20" t="n">
        <v>0.47</v>
      </c>
      <c r="N106" s="76">
        <f>G106*M106</f>
        <v/>
      </c>
      <c r="O106" s="77" t="n">
        <v>67</v>
      </c>
      <c r="P106" s="76">
        <f>G106*$G$8</f>
        <v/>
      </c>
      <c r="Q106" s="77" t="n">
        <v>25</v>
      </c>
      <c r="R106" s="76">
        <f>G106*$G$4</f>
        <v/>
      </c>
      <c r="S106" s="76">
        <f>I106*$G$3</f>
        <v/>
      </c>
      <c r="T106" s="78" t="n">
        <v>0.9</v>
      </c>
      <c r="U106" s="77" t="n">
        <v>67</v>
      </c>
      <c r="V106" s="76">
        <f>U106*(1-T106)</f>
        <v/>
      </c>
      <c r="W106" s="79" t="n">
        <v>0.6</v>
      </c>
      <c r="X106" s="76">
        <f>$G$6*$G$7*W106</f>
        <v/>
      </c>
      <c r="Y106" s="19">
        <f>W106*($G$9+$G$10)</f>
        <v/>
      </c>
      <c r="Z106" s="20" t="n">
        <v>0.07000000000000001</v>
      </c>
      <c r="AA106" s="76">
        <f>G106*Z106</f>
        <v/>
      </c>
      <c r="AB106" s="78" t="n">
        <v>0.08</v>
      </c>
      <c r="AC106" s="76">
        <f>G106*AB106</f>
        <v/>
      </c>
      <c r="AD106" s="76">
        <f>AA106+AC106</f>
        <v/>
      </c>
      <c r="AE106" s="25">
        <f>AD106/G106</f>
        <v/>
      </c>
      <c r="AF106" s="26">
        <f>G106-N106-O106-P106-Q106-R106-S106-V106-X106-Y106-L106-AK106-AL106</f>
        <v/>
      </c>
      <c r="AG106" s="80">
        <f>AF106-AD106</f>
        <v/>
      </c>
      <c r="AH106" s="81">
        <f>AG106/G106</f>
        <v/>
      </c>
      <c r="AI106" s="82">
        <f>AG106/L106</f>
        <v/>
      </c>
      <c r="AJ106" s="76">
        <f>(O106+Q106+V106+X106+Y106+L106+AK106)/(1-(M106+$G$4+(1-H106)*$G$3+$G$8+$G$11+Z106+AB106))</f>
        <v/>
      </c>
      <c r="AK106" s="76">
        <f>$G$12</f>
        <v/>
      </c>
      <c r="AL106" s="76">
        <f>G106*$G$11</f>
        <v/>
      </c>
    </row>
    <row r="107">
      <c r="A107" s="70" t="inlineStr">
        <is>
          <t>PETITFEE - Chamomile Lightening Hydrogel Eye Patch [60ea] / Успокаивающие гидрогелевые патчи для глаз с экстрактом ромашки</t>
        </is>
      </c>
      <c r="B107" s="71" t="n"/>
      <c r="C107" s="72" t="n"/>
      <c r="D107" s="73" t="n"/>
      <c r="E107" s="73" t="n"/>
      <c r="F107" s="73" t="n"/>
      <c r="G107" s="73">
        <f>(1.25*L107+O107+Q107+V107+X107+Y107+AK107)/(1-M107-$G$8-$G$4-(1-H107)*$G$3-$G$11-Z107-AB107)</f>
        <v/>
      </c>
      <c r="H107" s="15" t="n">
        <v>0.45</v>
      </c>
      <c r="I107" s="16">
        <f>G107*(1-H107)</f>
        <v/>
      </c>
      <c r="J107" s="74" t="n">
        <v>415.46</v>
      </c>
      <c r="K107" s="75">
        <f>$G$5</f>
        <v/>
      </c>
      <c r="L107" s="19">
        <f>J107+K107</f>
        <v/>
      </c>
      <c r="M107" s="20" t="n">
        <v>0.47</v>
      </c>
      <c r="N107" s="76">
        <f>G107*M107</f>
        <v/>
      </c>
      <c r="O107" s="77" t="n">
        <v>67</v>
      </c>
      <c r="P107" s="76">
        <f>G107*$G$8</f>
        <v/>
      </c>
      <c r="Q107" s="77" t="n">
        <v>25</v>
      </c>
      <c r="R107" s="76">
        <f>G107*$G$4</f>
        <v/>
      </c>
      <c r="S107" s="76">
        <f>I107*$G$3</f>
        <v/>
      </c>
      <c r="T107" s="78" t="n">
        <v>0.9</v>
      </c>
      <c r="U107" s="77" t="n">
        <v>67</v>
      </c>
      <c r="V107" s="76">
        <f>U107*(1-T107)</f>
        <v/>
      </c>
      <c r="W107" s="79" t="n">
        <v>0.6</v>
      </c>
      <c r="X107" s="76">
        <f>$G$6*$G$7*W107</f>
        <v/>
      </c>
      <c r="Y107" s="19">
        <f>W107*($G$9+$G$10)</f>
        <v/>
      </c>
      <c r="Z107" s="20" t="n">
        <v>0.07000000000000001</v>
      </c>
      <c r="AA107" s="76">
        <f>G107*Z107</f>
        <v/>
      </c>
      <c r="AB107" s="78" t="n">
        <v>0.08</v>
      </c>
      <c r="AC107" s="76">
        <f>G107*AB107</f>
        <v/>
      </c>
      <c r="AD107" s="76">
        <f>AA107+AC107</f>
        <v/>
      </c>
      <c r="AE107" s="25">
        <f>AD107/G107</f>
        <v/>
      </c>
      <c r="AF107" s="26">
        <f>G107-N107-O107-P107-Q107-R107-S107-V107-X107-Y107-L107-AK107-AL107</f>
        <v/>
      </c>
      <c r="AG107" s="80">
        <f>AF107-AD107</f>
        <v/>
      </c>
      <c r="AH107" s="81">
        <f>AG107/G107</f>
        <v/>
      </c>
      <c r="AI107" s="82">
        <f>AG107/L107</f>
        <v/>
      </c>
      <c r="AJ107" s="76">
        <f>(O107+Q107+V107+X107+Y107+L107+AK107)/(1-(M107+$G$4+(1-H107)*$G$3+$G$8+$G$11+Z107+AB107))</f>
        <v/>
      </c>
      <c r="AK107" s="76">
        <f>$G$12</f>
        <v/>
      </c>
      <c r="AL107" s="76">
        <f>G107*$G$11</f>
        <v/>
      </c>
    </row>
    <row r="108">
      <c r="A108" s="70" t="inlineStr">
        <is>
          <t>PETITFEE - Gold &amp; EGF Hydrogel Eye &amp; Spot Patch [60ea]/ гидрогелевые патчи с золотом и EGF</t>
        </is>
      </c>
      <c r="B108" s="71" t="n"/>
      <c r="C108" s="72" t="n"/>
      <c r="D108" s="73" t="n"/>
      <c r="E108" s="73" t="n"/>
      <c r="F108" s="73" t="n"/>
      <c r="G108" s="73">
        <f>(1.25*L108+O108+Q108+V108+X108+Y108+AK108)/(1-M108-$G$8-$G$4-(1-H108)*$G$3-$G$11-Z108-AB108)</f>
        <v/>
      </c>
      <c r="H108" s="15" t="n">
        <v>0.45</v>
      </c>
      <c r="I108" s="16">
        <f>G108*(1-H108)</f>
        <v/>
      </c>
      <c r="J108" s="74" t="n">
        <v>385.05</v>
      </c>
      <c r="K108" s="75">
        <f>$G$5</f>
        <v/>
      </c>
      <c r="L108" s="19">
        <f>J108+K108</f>
        <v/>
      </c>
      <c r="M108" s="20" t="n">
        <v>0.47</v>
      </c>
      <c r="N108" s="76">
        <f>G108*M108</f>
        <v/>
      </c>
      <c r="O108" s="77" t="n">
        <v>67</v>
      </c>
      <c r="P108" s="76">
        <f>G108*$G$8</f>
        <v/>
      </c>
      <c r="Q108" s="77" t="n">
        <v>25</v>
      </c>
      <c r="R108" s="76">
        <f>G108*$G$4</f>
        <v/>
      </c>
      <c r="S108" s="76">
        <f>I108*$G$3</f>
        <v/>
      </c>
      <c r="T108" s="78" t="n">
        <v>0.9</v>
      </c>
      <c r="U108" s="77" t="n">
        <v>67</v>
      </c>
      <c r="V108" s="76">
        <f>U108*(1-T108)</f>
        <v/>
      </c>
      <c r="W108" s="79" t="n">
        <v>0.6</v>
      </c>
      <c r="X108" s="76">
        <f>$G$6*$G$7*W108</f>
        <v/>
      </c>
      <c r="Y108" s="19">
        <f>W108*($G$9+$G$10)</f>
        <v/>
      </c>
      <c r="Z108" s="20" t="n">
        <v>0.07000000000000001</v>
      </c>
      <c r="AA108" s="76">
        <f>G108*Z108</f>
        <v/>
      </c>
      <c r="AB108" s="78" t="n">
        <v>0.08</v>
      </c>
      <c r="AC108" s="76">
        <f>G108*AB108</f>
        <v/>
      </c>
      <c r="AD108" s="76">
        <f>AA108+AC108</f>
        <v/>
      </c>
      <c r="AE108" s="25">
        <f>AD108/G108</f>
        <v/>
      </c>
      <c r="AF108" s="26">
        <f>G108-N108-O108-P108-Q108-R108-S108-V108-X108-Y108-L108-AK108-AL108</f>
        <v/>
      </c>
      <c r="AG108" s="80">
        <f>AF108-AD108</f>
        <v/>
      </c>
      <c r="AH108" s="81">
        <f>AG108/G108</f>
        <v/>
      </c>
      <c r="AI108" s="82">
        <f>AG108/L108</f>
        <v/>
      </c>
      <c r="AJ108" s="76">
        <f>(O108+Q108+V108+X108+Y108+L108+AK108)/(1-(M108+$G$4+(1-H108)*$G$3+$G$8+$G$11+Z108+AB108))</f>
        <v/>
      </c>
      <c r="AK108" s="76">
        <f>$G$12</f>
        <v/>
      </c>
      <c r="AL108" s="76">
        <f>G108*$G$11</f>
        <v/>
      </c>
    </row>
    <row r="109">
      <c r="A109" s="70" t="inlineStr">
        <is>
          <t>PETITFEE - Pink Vita Brightening Eye Patch [60ea] / Тканевые патчи для век увлажняющие</t>
        </is>
      </c>
      <c r="B109" s="71" t="n"/>
      <c r="C109" s="72" t="n"/>
      <c r="D109" s="73" t="n"/>
      <c r="E109" s="73" t="n"/>
      <c r="F109" s="73" t="n"/>
      <c r="G109" s="73">
        <f>(1.25*L109+O109+Q109+V109+X109+Y109+AK109)/(1-M109-$G$8-$G$4-(1-H109)*$G$3-$G$11-Z109-AB109)</f>
        <v/>
      </c>
      <c r="H109" s="15" t="n">
        <v>0.45</v>
      </c>
      <c r="I109" s="16">
        <f>G109*(1-H109)</f>
        <v/>
      </c>
      <c r="J109" s="74" t="n">
        <v>486.69</v>
      </c>
      <c r="K109" s="75">
        <f>$G$5</f>
        <v/>
      </c>
      <c r="L109" s="19">
        <f>J109+K109</f>
        <v/>
      </c>
      <c r="M109" s="20" t="n">
        <v>0.47</v>
      </c>
      <c r="N109" s="76">
        <f>G109*M109</f>
        <v/>
      </c>
      <c r="O109" s="77" t="n">
        <v>67</v>
      </c>
      <c r="P109" s="76">
        <f>G109*$G$8</f>
        <v/>
      </c>
      <c r="Q109" s="77" t="n">
        <v>25</v>
      </c>
      <c r="R109" s="76">
        <f>G109*$G$4</f>
        <v/>
      </c>
      <c r="S109" s="76">
        <f>I109*$G$3</f>
        <v/>
      </c>
      <c r="T109" s="78" t="n">
        <v>0.9</v>
      </c>
      <c r="U109" s="77" t="n">
        <v>67</v>
      </c>
      <c r="V109" s="76">
        <f>U109*(1-T109)</f>
        <v/>
      </c>
      <c r="W109" s="79" t="n">
        <v>0.93</v>
      </c>
      <c r="X109" s="76">
        <f>$G$6*$G$7*W109</f>
        <v/>
      </c>
      <c r="Y109" s="19">
        <f>W109*($G$9+$G$10)</f>
        <v/>
      </c>
      <c r="Z109" s="20" t="n">
        <v>0.07000000000000001</v>
      </c>
      <c r="AA109" s="76">
        <f>G109*Z109</f>
        <v/>
      </c>
      <c r="AB109" s="78" t="n">
        <v>0.08</v>
      </c>
      <c r="AC109" s="76">
        <f>G109*AB109</f>
        <v/>
      </c>
      <c r="AD109" s="76">
        <f>AA109+AC109</f>
        <v/>
      </c>
      <c r="AE109" s="25">
        <f>AD109/G109</f>
        <v/>
      </c>
      <c r="AF109" s="26">
        <f>G109-N109-O109-P109-Q109-R109-S109-V109-X109-Y109-L109-AK109-AL109</f>
        <v/>
      </c>
      <c r="AG109" s="80">
        <f>AF109-AD109</f>
        <v/>
      </c>
      <c r="AH109" s="81">
        <f>AG109/G109</f>
        <v/>
      </c>
      <c r="AI109" s="82">
        <f>AG109/L109</f>
        <v/>
      </c>
      <c r="AJ109" s="76">
        <f>(O109+Q109+V109+X109+Y109+L109+AK109)/(1-(M109+$G$4+(1-H109)*$G$3+$G$8+$G$11+Z109+AB109))</f>
        <v/>
      </c>
      <c r="AK109" s="76">
        <f>$G$12</f>
        <v/>
      </c>
      <c r="AL109" s="76">
        <f>G109*$G$11</f>
        <v/>
      </c>
    </row>
    <row r="110">
      <c r="A110" s="70" t="inlineStr">
        <is>
          <t>PETITFEE - Black Pearl &amp; Gold Hydrogel Eye Patch [60ea] / Гидрогелевые патчи для глаз с черным жемчугом и золотом</t>
        </is>
      </c>
      <c r="B110" s="71" t="n"/>
      <c r="C110" s="72" t="n"/>
      <c r="D110" s="73" t="n">
        <v>1780</v>
      </c>
      <c r="E110" s="73" t="n">
        <v>489</v>
      </c>
      <c r="F110" s="73" t="n">
        <v>16</v>
      </c>
      <c r="G110" s="73">
        <f>(1.25*L110+O110+Q110+V110+X110+Y110+AK110)/(1-M110-$G$8-$G$4-(1-H110)*$G$3-$G$11-Z110-AB110)</f>
        <v/>
      </c>
      <c r="H110" s="15" t="n">
        <v>0.45</v>
      </c>
      <c r="I110" s="16">
        <f>G110*(1-H110)</f>
        <v/>
      </c>
      <c r="J110" s="74" t="n">
        <v>387.67</v>
      </c>
      <c r="K110" s="75">
        <f>$G$5</f>
        <v/>
      </c>
      <c r="L110" s="19">
        <f>J110+K110</f>
        <v/>
      </c>
      <c r="M110" s="20" t="n">
        <v>0.47</v>
      </c>
      <c r="N110" s="76">
        <f>G110*M110</f>
        <v/>
      </c>
      <c r="O110" s="77" t="n">
        <v>67</v>
      </c>
      <c r="P110" s="76">
        <f>G110*$G$8</f>
        <v/>
      </c>
      <c r="Q110" s="77" t="n">
        <v>25</v>
      </c>
      <c r="R110" s="76">
        <f>G110*$G$4</f>
        <v/>
      </c>
      <c r="S110" s="76">
        <f>I110*$G$3</f>
        <v/>
      </c>
      <c r="T110" s="78" t="n">
        <v>0.9</v>
      </c>
      <c r="U110" s="77" t="n">
        <v>67</v>
      </c>
      <c r="V110" s="76">
        <f>U110*(1-T110)</f>
        <v/>
      </c>
      <c r="W110" s="79" t="n">
        <v>0.6</v>
      </c>
      <c r="X110" s="76">
        <f>$G$6*$G$7*W110</f>
        <v/>
      </c>
      <c r="Y110" s="19">
        <f>W110*($G$9+$G$10)</f>
        <v/>
      </c>
      <c r="Z110" s="20" t="n">
        <v>0.07000000000000001</v>
      </c>
      <c r="AA110" s="76">
        <f>G110*Z110</f>
        <v/>
      </c>
      <c r="AB110" s="78" t="n">
        <v>0.08</v>
      </c>
      <c r="AC110" s="76">
        <f>G110*AB110</f>
        <v/>
      </c>
      <c r="AD110" s="76">
        <f>AA110+AC110</f>
        <v/>
      </c>
      <c r="AE110" s="25">
        <f>AD110/G110</f>
        <v/>
      </c>
      <c r="AF110" s="26">
        <f>G110-N110-O110-P110-Q110-R110-S110-V110-X110-Y110-L110-AK110-AL110</f>
        <v/>
      </c>
      <c r="AG110" s="80">
        <f>AF110-AD110</f>
        <v/>
      </c>
      <c r="AH110" s="81">
        <f>AG110/G110</f>
        <v/>
      </c>
      <c r="AI110" s="82">
        <f>AG110/L110</f>
        <v/>
      </c>
      <c r="AJ110" s="76">
        <f>(O110+Q110+V110+X110+Y110+L110+AK110)/(1-(M110+$G$4+(1-H110)*$G$3+$G$8+$G$11+Z110+AB110))</f>
        <v/>
      </c>
      <c r="AK110" s="76">
        <f>$G$12</f>
        <v/>
      </c>
      <c r="AL110" s="76">
        <f>G110*$G$11</f>
        <v/>
      </c>
    </row>
    <row r="111">
      <c r="A111" s="70" t="inlineStr">
        <is>
          <t>PETITFEE - Agave Cooling Hydrogel Eye Patch [60ea] / Охлаждающие гидрогелевые патчи для глаз с экстрактом агавы</t>
        </is>
      </c>
      <c r="B111" s="71" t="n"/>
      <c r="C111" s="72" t="n"/>
      <c r="D111" s="73" t="n">
        <v>1730</v>
      </c>
      <c r="E111" s="73" t="n">
        <v>568</v>
      </c>
      <c r="F111" s="73" t="n">
        <v>17</v>
      </c>
      <c r="G111" s="73">
        <f>(1.25*L111+O111+Q111+V111+X111+Y111+AK111)/(1-M111-$G$8-$G$4-(1-H111)*$G$3-$G$11-Z111-AB111)</f>
        <v/>
      </c>
      <c r="H111" s="15" t="n">
        <v>0.45</v>
      </c>
      <c r="I111" s="16">
        <f>G111*(1-H111)</f>
        <v/>
      </c>
      <c r="J111" s="74" t="n">
        <v>415.46</v>
      </c>
      <c r="K111" s="75">
        <f>$G$5</f>
        <v/>
      </c>
      <c r="L111" s="19">
        <f>J111+K111</f>
        <v/>
      </c>
      <c r="M111" s="20" t="n">
        <v>0.47</v>
      </c>
      <c r="N111" s="76">
        <f>G111*M111</f>
        <v/>
      </c>
      <c r="O111" s="77" t="n">
        <v>67</v>
      </c>
      <c r="P111" s="76">
        <f>G111*$G$8</f>
        <v/>
      </c>
      <c r="Q111" s="77" t="n">
        <v>25</v>
      </c>
      <c r="R111" s="76">
        <f>G111*$G$4</f>
        <v/>
      </c>
      <c r="S111" s="76">
        <f>I111*$G$3</f>
        <v/>
      </c>
      <c r="T111" s="78" t="n">
        <v>0.9</v>
      </c>
      <c r="U111" s="77" t="n">
        <v>67</v>
      </c>
      <c r="V111" s="76">
        <f>U111*(1-T111)</f>
        <v/>
      </c>
      <c r="W111" s="79" t="n">
        <v>0.6</v>
      </c>
      <c r="X111" s="76">
        <f>$G$6*$G$7*W111</f>
        <v/>
      </c>
      <c r="Y111" s="19">
        <f>W111*($G$9+$G$10)</f>
        <v/>
      </c>
      <c r="Z111" s="20" t="n">
        <v>0.07000000000000001</v>
      </c>
      <c r="AA111" s="76">
        <f>G111*Z111</f>
        <v/>
      </c>
      <c r="AB111" s="78" t="n">
        <v>0.08</v>
      </c>
      <c r="AC111" s="76">
        <f>G111*AB111</f>
        <v/>
      </c>
      <c r="AD111" s="76">
        <f>AA111+AC111</f>
        <v/>
      </c>
      <c r="AE111" s="25">
        <f>AD111/G111</f>
        <v/>
      </c>
      <c r="AF111" s="26">
        <f>G111-N111-O111-P111-Q111-R111-S111-V111-X111-Y111-L111-AK111-AL111</f>
        <v/>
      </c>
      <c r="AG111" s="80">
        <f>AF111-AD111</f>
        <v/>
      </c>
      <c r="AH111" s="81">
        <f>AG111/G111</f>
        <v/>
      </c>
      <c r="AI111" s="82">
        <f>AG111/L111</f>
        <v/>
      </c>
      <c r="AJ111" s="76">
        <f>(O111+Q111+V111+X111+Y111+L111+AK111)/(1-(M111+$G$4+(1-H111)*$G$3+$G$8+$G$11+Z111+AB111))</f>
        <v/>
      </c>
      <c r="AK111" s="76">
        <f>$G$12</f>
        <v/>
      </c>
      <c r="AL111" s="76">
        <f>G111*$G$11</f>
        <v/>
      </c>
    </row>
    <row r="112">
      <c r="A112" s="70" t="inlineStr">
        <is>
          <t>PETITFEE - Gold &amp; Snail Hydrogel Eye Patch [60ea] / Гидрогелевые патчи для глаз с золотом и улиткой</t>
        </is>
      </c>
      <c r="B112" s="71" t="n"/>
      <c r="C112" s="72" t="n"/>
      <c r="D112" s="73" t="n">
        <v>1740</v>
      </c>
      <c r="E112" s="73" t="n">
        <v>150</v>
      </c>
      <c r="F112" s="73" t="n">
        <v>7</v>
      </c>
      <c r="G112" s="73">
        <f>(1.25*L112+O112+Q112+V112+X112+Y112+AK112)/(1-M112-$G$8-$G$4-(1-H112)*$G$3-$G$11-Z112-AB112)</f>
        <v/>
      </c>
      <c r="H112" s="15" t="n">
        <v>0.45</v>
      </c>
      <c r="I112" s="16">
        <f>G112*(1-H112)</f>
        <v/>
      </c>
      <c r="J112" s="74" t="n">
        <v>415.46</v>
      </c>
      <c r="K112" s="75">
        <f>$G$5</f>
        <v/>
      </c>
      <c r="L112" s="19">
        <f>J112+K112</f>
        <v/>
      </c>
      <c r="M112" s="20" t="n">
        <v>0.47</v>
      </c>
      <c r="N112" s="76">
        <f>G112*M112</f>
        <v/>
      </c>
      <c r="O112" s="77" t="n">
        <v>67</v>
      </c>
      <c r="P112" s="76">
        <f>G112*$G$8</f>
        <v/>
      </c>
      <c r="Q112" s="77" t="n">
        <v>25</v>
      </c>
      <c r="R112" s="76">
        <f>G112*$G$4</f>
        <v/>
      </c>
      <c r="S112" s="76">
        <f>I112*$G$3</f>
        <v/>
      </c>
      <c r="T112" s="78" t="n">
        <v>0.9</v>
      </c>
      <c r="U112" s="77" t="n">
        <v>67</v>
      </c>
      <c r="V112" s="76">
        <f>U112*(1-T112)</f>
        <v/>
      </c>
      <c r="W112" s="79" t="n">
        <v>0.6</v>
      </c>
      <c r="X112" s="76">
        <f>$G$6*$G$7*W112</f>
        <v/>
      </c>
      <c r="Y112" s="19">
        <f>W112*($G$9+$G$10)</f>
        <v/>
      </c>
      <c r="Z112" s="20" t="n">
        <v>0.07000000000000001</v>
      </c>
      <c r="AA112" s="76">
        <f>G112*Z112</f>
        <v/>
      </c>
      <c r="AB112" s="78" t="n">
        <v>0.08</v>
      </c>
      <c r="AC112" s="76">
        <f>G112*AB112</f>
        <v/>
      </c>
      <c r="AD112" s="76">
        <f>AA112+AC112</f>
        <v/>
      </c>
      <c r="AE112" s="25">
        <f>AD112/G112</f>
        <v/>
      </c>
      <c r="AF112" s="26">
        <f>G112-N112-O112-P112-Q112-R112-S112-V112-X112-Y112-L112-AK112-AL112</f>
        <v/>
      </c>
      <c r="AG112" s="80">
        <f>AF112-AD112</f>
        <v/>
      </c>
      <c r="AH112" s="81">
        <f>AG112/G112</f>
        <v/>
      </c>
      <c r="AI112" s="82">
        <f>AG112/L112</f>
        <v/>
      </c>
      <c r="AJ112" s="76">
        <f>(O112+Q112+V112+X112+Y112+L112+AK112)/(1-(M112+$G$4+(1-H112)*$G$3+$G$8+$G$11+Z112+AB112))</f>
        <v/>
      </c>
      <c r="AK112" s="76">
        <f>$G$12</f>
        <v/>
      </c>
      <c r="AL112" s="76">
        <f>G112*$G$11</f>
        <v/>
      </c>
    </row>
    <row r="113">
      <c r="A113" s="70" t="inlineStr">
        <is>
          <t>PETITFEE - Gold Hydrogel Eye Patch [60ea] / гидрогелевые патчи для глаз с золотом</t>
        </is>
      </c>
      <c r="B113" s="71" t="n"/>
      <c r="C113" s="72" t="n"/>
      <c r="D113" s="73" t="n">
        <v>1930</v>
      </c>
      <c r="E113" s="73" t="n">
        <v>128</v>
      </c>
      <c r="F113" s="73" t="n">
        <v>2.2</v>
      </c>
      <c r="G113" s="73">
        <f>(1.25*L113+O113+Q113+V113+X113+Y113+AK113)/(1-M113-$G$8-$G$4-(1-H113)*$G$3-$G$11-Z113-AB113)</f>
        <v/>
      </c>
      <c r="H113" s="15" t="n">
        <v>0.45</v>
      </c>
      <c r="I113" s="16">
        <f>G113*(1-H113)</f>
        <v/>
      </c>
      <c r="J113" s="74" t="n">
        <v>415.46</v>
      </c>
      <c r="K113" s="75">
        <f>$G$5</f>
        <v/>
      </c>
      <c r="L113" s="19">
        <f>J113+K113</f>
        <v/>
      </c>
      <c r="M113" s="20" t="n">
        <v>0.47</v>
      </c>
      <c r="N113" s="76">
        <f>G113*M113</f>
        <v/>
      </c>
      <c r="O113" s="77" t="n">
        <v>67</v>
      </c>
      <c r="P113" s="76">
        <f>G113*$G$8</f>
        <v/>
      </c>
      <c r="Q113" s="77" t="n">
        <v>25</v>
      </c>
      <c r="R113" s="76">
        <f>G113*$G$4</f>
        <v/>
      </c>
      <c r="S113" s="76">
        <f>I113*$G$3</f>
        <v/>
      </c>
      <c r="T113" s="78" t="n">
        <v>0.9</v>
      </c>
      <c r="U113" s="77" t="n">
        <v>67</v>
      </c>
      <c r="V113" s="76">
        <f>U113*(1-T113)</f>
        <v/>
      </c>
      <c r="W113" s="79" t="n">
        <v>0.6</v>
      </c>
      <c r="X113" s="76">
        <f>$G$6*$G$7*W113</f>
        <v/>
      </c>
      <c r="Y113" s="19">
        <f>W113*($G$9+$G$10)</f>
        <v/>
      </c>
      <c r="Z113" s="20" t="n">
        <v>0.07000000000000001</v>
      </c>
      <c r="AA113" s="76">
        <f>G113*Z113</f>
        <v/>
      </c>
      <c r="AB113" s="78" t="n">
        <v>0.08</v>
      </c>
      <c r="AC113" s="76">
        <f>G113*AB113</f>
        <v/>
      </c>
      <c r="AD113" s="76">
        <f>AA113+AC113</f>
        <v/>
      </c>
      <c r="AE113" s="25">
        <f>AD113/G113</f>
        <v/>
      </c>
      <c r="AF113" s="26">
        <f>G113-N113-O113-P113-Q113-R113-S113-V113-X113-Y113-L113-AK113-AL113</f>
        <v/>
      </c>
      <c r="AG113" s="80">
        <f>AF113-AD113</f>
        <v/>
      </c>
      <c r="AH113" s="81">
        <f>AG113/G113</f>
        <v/>
      </c>
      <c r="AI113" s="82">
        <f>AG113/L113</f>
        <v/>
      </c>
      <c r="AJ113" s="76">
        <f>(O113+Q113+V113+X113+Y113+L113+AK113)/(1-(M113+$G$4+(1-H113)*$G$3+$G$8+$G$11+Z113+AB113))</f>
        <v/>
      </c>
      <c r="AK113" s="76">
        <f>$G$12</f>
        <v/>
      </c>
      <c r="AL113" s="76">
        <f>G113*$G$11</f>
        <v/>
      </c>
    </row>
    <row r="114">
      <c r="A114" s="83" t="inlineStr">
        <is>
          <t>PETITFEE - Black Pearl &amp; Gold Hydrogel Eye Patch [1 pairs]/ Гидрогелевые патчи для глаз с черным жемчугом и золотом 1 пара</t>
        </is>
      </c>
      <c r="B114" s="84" t="n"/>
      <c r="C114" s="84" t="n"/>
      <c r="D114" s="85" t="n"/>
      <c r="E114" s="85" t="n"/>
      <c r="F114" s="85" t="n"/>
      <c r="G114" s="85" t="n"/>
      <c r="H114" s="32" t="n"/>
      <c r="I114" s="33" t="n"/>
      <c r="J114" s="86" t="n"/>
      <c r="K114" s="86" t="n"/>
      <c r="L114" s="35" t="n"/>
      <c r="M114" s="36" t="n"/>
      <c r="N114" s="85" t="n"/>
      <c r="O114" s="85" t="n"/>
      <c r="P114" s="85" t="n"/>
      <c r="Q114" s="85" t="n"/>
      <c r="R114" s="85" t="n"/>
      <c r="S114" s="85" t="n"/>
      <c r="T114" s="87" t="n"/>
      <c r="U114" s="85" t="n"/>
      <c r="V114" s="85" t="n"/>
      <c r="W114" s="88" t="n"/>
      <c r="X114" s="85" t="n"/>
      <c r="Y114" s="35" t="n"/>
      <c r="Z114" s="36" t="n"/>
      <c r="AA114" s="85" t="n"/>
      <c r="AB114" s="87" t="n"/>
      <c r="AC114" s="85" t="n"/>
      <c r="AD114" s="85" t="n"/>
      <c r="AE114" s="39" t="n"/>
      <c r="AF114" s="40" t="n"/>
      <c r="AG114" s="85" t="n"/>
      <c r="AH114" s="87" t="n"/>
      <c r="AI114" s="87" t="n"/>
      <c r="AJ114" s="85" t="n"/>
      <c r="AK114" s="85" t="n"/>
      <c r="AL114" s="85" t="n"/>
    </row>
    <row r="115">
      <c r="A115" s="83" t="inlineStr">
        <is>
          <t>PETITFEE - Gold Hydrogel Eye Patch [1 Pairs] / гидрогелевые патчи для глаз с золотом 1 пара</t>
        </is>
      </c>
      <c r="B115" s="84" t="n"/>
      <c r="C115" s="84" t="n"/>
      <c r="D115" s="85" t="n"/>
      <c r="E115" s="85" t="n"/>
      <c r="F115" s="85" t="n"/>
      <c r="G115" s="85" t="n"/>
      <c r="H115" s="32" t="n"/>
      <c r="I115" s="33" t="n"/>
      <c r="J115" s="86" t="n"/>
      <c r="K115" s="86" t="n"/>
      <c r="L115" s="35" t="n"/>
      <c r="M115" s="36" t="n"/>
      <c r="N115" s="85" t="n"/>
      <c r="O115" s="85" t="n"/>
      <c r="P115" s="85" t="n"/>
      <c r="Q115" s="85" t="n"/>
      <c r="R115" s="85" t="n"/>
      <c r="S115" s="85" t="n"/>
      <c r="T115" s="87" t="n"/>
      <c r="U115" s="85" t="n"/>
      <c r="V115" s="85" t="n"/>
      <c r="W115" s="88" t="n"/>
      <c r="X115" s="85" t="n"/>
      <c r="Y115" s="35" t="n"/>
      <c r="Z115" s="36" t="n"/>
      <c r="AA115" s="85" t="n"/>
      <c r="AB115" s="87" t="n"/>
      <c r="AC115" s="85" t="n"/>
      <c r="AD115" s="85" t="n"/>
      <c r="AE115" s="39" t="n"/>
      <c r="AF115" s="40" t="n"/>
      <c r="AG115" s="85" t="n"/>
      <c r="AH115" s="87" t="n"/>
      <c r="AI115" s="87" t="n"/>
      <c r="AJ115" s="85" t="n"/>
      <c r="AK115" s="85" t="n"/>
      <c r="AL115" s="85" t="n"/>
    </row>
    <row r="116">
      <c r="A116" s="68" t="inlineStr">
        <is>
          <t>Косметика/PETITFEE/PETITFEE-FACEMASK</t>
        </is>
      </c>
      <c r="B116" s="69" t="n"/>
      <c r="C116" s="69" t="n"/>
      <c r="D116" s="69" t="n"/>
      <c r="E116" s="69" t="n"/>
      <c r="F116" s="69" t="n"/>
      <c r="G116" s="69" t="n"/>
      <c r="H116" s="69" t="n"/>
      <c r="I116" s="69" t="n"/>
      <c r="J116" s="69" t="n"/>
      <c r="K116" s="69" t="n"/>
      <c r="L116" s="69" t="n"/>
      <c r="M116" s="69" t="n"/>
      <c r="N116" s="69" t="n"/>
      <c r="O116" s="69" t="n"/>
      <c r="P116" s="69" t="n"/>
      <c r="Q116" s="69" t="n"/>
      <c r="R116" s="69" t="n"/>
      <c r="S116" s="69" t="n"/>
      <c r="T116" s="69" t="n"/>
      <c r="U116" s="69" t="n"/>
      <c r="V116" s="69" t="n"/>
      <c r="W116" s="69" t="n"/>
      <c r="X116" s="69" t="n"/>
      <c r="Y116" s="69" t="n"/>
      <c r="Z116" s="69" t="n"/>
      <c r="AA116" s="69" t="n"/>
      <c r="AB116" s="69" t="n"/>
      <c r="AC116" s="69" t="n"/>
      <c r="AD116" s="69" t="n"/>
      <c r="AE116" s="69" t="n"/>
      <c r="AF116" s="69" t="n"/>
      <c r="AG116" s="69" t="n"/>
      <c r="AH116" s="69" t="n"/>
      <c r="AI116" s="69" t="n"/>
      <c r="AJ116" s="69" t="n"/>
      <c r="AK116" s="69" t="n"/>
      <c r="AL116" s="69" t="n"/>
    </row>
    <row r="117">
      <c r="A117" s="70" t="inlineStr">
        <is>
          <t>PETITFEE - Agave Cooling Hydrogel Face Mask [5pcs] / Охлаждающая гидрогелевая маска для лица с экстрактом агавы</t>
        </is>
      </c>
      <c r="B117" s="71" t="n"/>
      <c r="C117" s="72" t="n"/>
      <c r="D117" s="73" t="n">
        <v>2480</v>
      </c>
      <c r="E117" s="73" t="n">
        <v>293</v>
      </c>
      <c r="F117" s="73" t="n">
        <v>21</v>
      </c>
      <c r="G117" s="73">
        <f>(1.25*L117+O117+Q117+V117+X117+Y117+AK117)/(1-M117-$G$8-$G$4-(1-H117)*$G$3-$G$11-Z117-AB117)</f>
        <v/>
      </c>
      <c r="H117" s="15" t="n">
        <v>0.45</v>
      </c>
      <c r="I117" s="16">
        <f>G117*(1-H117)</f>
        <v/>
      </c>
      <c r="J117" s="74" t="n">
        <v>486.41</v>
      </c>
      <c r="K117" s="75">
        <f>$G$5</f>
        <v/>
      </c>
      <c r="L117" s="19">
        <f>J117+K117</f>
        <v/>
      </c>
      <c r="M117" s="20" t="n">
        <v>0.47</v>
      </c>
      <c r="N117" s="76">
        <f>G117*M117</f>
        <v/>
      </c>
      <c r="O117" s="77" t="n">
        <v>72</v>
      </c>
      <c r="P117" s="76">
        <f>G117*$G$8</f>
        <v/>
      </c>
      <c r="Q117" s="77" t="n">
        <v>25</v>
      </c>
      <c r="R117" s="76">
        <f>G117*$G$4</f>
        <v/>
      </c>
      <c r="S117" s="76">
        <f>I117*$G$3</f>
        <v/>
      </c>
      <c r="T117" s="78" t="n">
        <v>0.9</v>
      </c>
      <c r="U117" s="77" t="n">
        <v>72</v>
      </c>
      <c r="V117" s="76">
        <f>U117*(1-T117)</f>
        <v/>
      </c>
      <c r="W117" s="79" t="n">
        <v>1.1</v>
      </c>
      <c r="X117" s="76">
        <f>$G$6*$G$7*W117</f>
        <v/>
      </c>
      <c r="Y117" s="19">
        <f>W117*($G$9+$G$10)</f>
        <v/>
      </c>
      <c r="Z117" s="20" t="n">
        <v>0.07000000000000001</v>
      </c>
      <c r="AA117" s="76">
        <f>G117*Z117</f>
        <v/>
      </c>
      <c r="AB117" s="78" t="n">
        <v>0.08</v>
      </c>
      <c r="AC117" s="76">
        <f>G117*AB117</f>
        <v/>
      </c>
      <c r="AD117" s="76">
        <f>AA117+AC117</f>
        <v/>
      </c>
      <c r="AE117" s="25">
        <f>AD117/G117</f>
        <v/>
      </c>
      <c r="AF117" s="26">
        <f>G117-N117-O117-P117-Q117-R117-S117-V117-X117-Y117-L117-AK117-AL117</f>
        <v/>
      </c>
      <c r="AG117" s="80">
        <f>AF117-AD117</f>
        <v/>
      </c>
      <c r="AH117" s="81">
        <f>AG117/G117</f>
        <v/>
      </c>
      <c r="AI117" s="82">
        <f>AG117/L117</f>
        <v/>
      </c>
      <c r="AJ117" s="76">
        <f>(O117+Q117+V117+X117+Y117+L117+AK117)/(1-(M117+$G$4+(1-H117)*$G$3+$G$8+$G$11+Z117+AB117))</f>
        <v/>
      </c>
      <c r="AK117" s="76">
        <f>$G$12</f>
        <v/>
      </c>
      <c r="AL117" s="76">
        <f>G117*$G$11</f>
        <v/>
      </c>
    </row>
    <row r="118">
      <c r="A118" s="70" t="inlineStr">
        <is>
          <t>PETITFEE - Gold Hydrogel Mask Pack [5pcs] / Гидрогелевая маска для лица с золотом</t>
        </is>
      </c>
      <c r="B118" s="71" t="n"/>
      <c r="C118" s="72" t="n"/>
      <c r="D118" s="73" t="n">
        <v>2570</v>
      </c>
      <c r="E118" s="73" t="n">
        <v>121</v>
      </c>
      <c r="F118" s="73" t="n">
        <v>12</v>
      </c>
      <c r="G118" s="73">
        <f>(1.25*L118+O118+Q118+V118+X118+Y118+AK118)/(1-M118-$G$8-$G$4-(1-H118)*$G$3-$G$11-Z118-AB118)</f>
        <v/>
      </c>
      <c r="H118" s="15" t="n">
        <v>0.45</v>
      </c>
      <c r="I118" s="16">
        <f>G118*(1-H118)</f>
        <v/>
      </c>
      <c r="J118" s="74" t="n">
        <v>507.16</v>
      </c>
      <c r="K118" s="75">
        <f>$G$5</f>
        <v/>
      </c>
      <c r="L118" s="19">
        <f>J118+K118</f>
        <v/>
      </c>
      <c r="M118" s="20" t="n">
        <v>0.47</v>
      </c>
      <c r="N118" s="76">
        <f>G118*M118</f>
        <v/>
      </c>
      <c r="O118" s="77" t="n">
        <v>72</v>
      </c>
      <c r="P118" s="76">
        <f>G118*$G$8</f>
        <v/>
      </c>
      <c r="Q118" s="77" t="n">
        <v>25</v>
      </c>
      <c r="R118" s="76">
        <f>G118*$G$4</f>
        <v/>
      </c>
      <c r="S118" s="76">
        <f>I118*$G$3</f>
        <v/>
      </c>
      <c r="T118" s="78" t="n">
        <v>0.9</v>
      </c>
      <c r="U118" s="77" t="n">
        <v>72</v>
      </c>
      <c r="V118" s="76">
        <f>U118*(1-T118)</f>
        <v/>
      </c>
      <c r="W118" s="79" t="n">
        <v>1.1</v>
      </c>
      <c r="X118" s="76">
        <f>$G$6*$G$7*W118</f>
        <v/>
      </c>
      <c r="Y118" s="19">
        <f>W118*($G$9+$G$10)</f>
        <v/>
      </c>
      <c r="Z118" s="20" t="n">
        <v>0.07000000000000001</v>
      </c>
      <c r="AA118" s="76">
        <f>G118*Z118</f>
        <v/>
      </c>
      <c r="AB118" s="78" t="n">
        <v>0.08</v>
      </c>
      <c r="AC118" s="76">
        <f>G118*AB118</f>
        <v/>
      </c>
      <c r="AD118" s="76">
        <f>AA118+AC118</f>
        <v/>
      </c>
      <c r="AE118" s="25">
        <f>AD118/G118</f>
        <v/>
      </c>
      <c r="AF118" s="26">
        <f>G118-N118-O118-P118-Q118-R118-S118-V118-X118-Y118-L118-AK118-AL118</f>
        <v/>
      </c>
      <c r="AG118" s="80">
        <f>AF118-AD118</f>
        <v/>
      </c>
      <c r="AH118" s="81">
        <f>AG118/G118</f>
        <v/>
      </c>
      <c r="AI118" s="82">
        <f>AG118/L118</f>
        <v/>
      </c>
      <c r="AJ118" s="76">
        <f>(O118+Q118+V118+X118+Y118+L118+AK118)/(1-(M118+$G$4+(1-H118)*$G$3+$G$8+$G$11+Z118+AB118))</f>
        <v/>
      </c>
      <c r="AK118" s="76">
        <f>$G$12</f>
        <v/>
      </c>
      <c r="AL118" s="76">
        <f>G118*$G$11</f>
        <v/>
      </c>
    </row>
    <row r="119">
      <c r="A119" s="70" t="inlineStr">
        <is>
          <t>PETITFEE - Cacao Energizing Hydrogel Mask Pack [5pcs] / Тонизирующая гидрогелевая маска для лица с экстрактом какао</t>
        </is>
      </c>
      <c r="B119" s="71" t="n"/>
      <c r="C119" s="72" t="n"/>
      <c r="D119" s="73" t="n">
        <v>2680</v>
      </c>
      <c r="E119" s="73" t="n">
        <v>38</v>
      </c>
      <c r="F119" s="73" t="n">
        <v>9.699999999999999</v>
      </c>
      <c r="G119" s="73">
        <f>(1.25*L119+O119+Q119+V119+X119+Y119+AK119)/(1-M119-$G$8-$G$4-(1-H119)*$G$3-$G$11-Z119-AB119)</f>
        <v/>
      </c>
      <c r="H119" s="15" t="n">
        <v>0.45</v>
      </c>
      <c r="I119" s="16">
        <f>G119*(1-H119)</f>
        <v/>
      </c>
      <c r="J119" s="74" t="n">
        <v>496.86</v>
      </c>
      <c r="K119" s="75">
        <f>$G$5</f>
        <v/>
      </c>
      <c r="L119" s="19">
        <f>J119+K119</f>
        <v/>
      </c>
      <c r="M119" s="20" t="n">
        <v>0.47</v>
      </c>
      <c r="N119" s="76">
        <f>G119*M119</f>
        <v/>
      </c>
      <c r="O119" s="77" t="n">
        <v>72</v>
      </c>
      <c r="P119" s="76">
        <f>G119*$G$8</f>
        <v/>
      </c>
      <c r="Q119" s="77" t="n">
        <v>25</v>
      </c>
      <c r="R119" s="76">
        <f>G119*$G$4</f>
        <v/>
      </c>
      <c r="S119" s="76">
        <f>I119*$G$3</f>
        <v/>
      </c>
      <c r="T119" s="78" t="n">
        <v>0.9</v>
      </c>
      <c r="U119" s="77" t="n">
        <v>72</v>
      </c>
      <c r="V119" s="76">
        <f>U119*(1-T119)</f>
        <v/>
      </c>
      <c r="W119" s="79" t="n">
        <v>1.1</v>
      </c>
      <c r="X119" s="76">
        <f>$G$6*$G$7*W119</f>
        <v/>
      </c>
      <c r="Y119" s="19">
        <f>W119*($G$9+$G$10)</f>
        <v/>
      </c>
      <c r="Z119" s="20" t="n">
        <v>0.07000000000000001</v>
      </c>
      <c r="AA119" s="76">
        <f>G119*Z119</f>
        <v/>
      </c>
      <c r="AB119" s="78" t="n">
        <v>0.08</v>
      </c>
      <c r="AC119" s="76">
        <f>G119*AB119</f>
        <v/>
      </c>
      <c r="AD119" s="76">
        <f>AA119+AC119</f>
        <v/>
      </c>
      <c r="AE119" s="25">
        <f>AD119/G119</f>
        <v/>
      </c>
      <c r="AF119" s="26">
        <f>G119-N119-O119-P119-Q119-R119-S119-V119-X119-Y119-L119-AK119-AL119</f>
        <v/>
      </c>
      <c r="AG119" s="80">
        <f>AF119-AD119</f>
        <v/>
      </c>
      <c r="AH119" s="81">
        <f>AG119/G119</f>
        <v/>
      </c>
      <c r="AI119" s="82">
        <f>AG119/L119</f>
        <v/>
      </c>
      <c r="AJ119" s="76">
        <f>(O119+Q119+V119+X119+Y119+L119+AK119)/(1-(M119+$G$4+(1-H119)*$G$3+$G$8+$G$11+Z119+AB119))</f>
        <v/>
      </c>
      <c r="AK119" s="76">
        <f>$G$12</f>
        <v/>
      </c>
      <c r="AL119" s="76">
        <f>G119*$G$11</f>
        <v/>
      </c>
    </row>
    <row r="120">
      <c r="A120" s="70" t="inlineStr">
        <is>
          <t>PETITFEE - Artichoke Soothing Hydrogel Face Mask [5pcs] / Смягчающая гидрогелевая маска для лица с экстрактом артишока</t>
        </is>
      </c>
      <c r="B120" s="71" t="n"/>
      <c r="C120" s="72" t="n"/>
      <c r="D120" s="73" t="n">
        <v>2420</v>
      </c>
      <c r="E120" s="73" t="n">
        <v>409</v>
      </c>
      <c r="F120" s="73" t="n">
        <v>23</v>
      </c>
      <c r="G120" s="73">
        <f>(1.25*L120+O120+Q120+V120+X120+Y120+AK120)/(1-M120-$G$8-$G$4-(1-H120)*$G$3-$G$11-Z120-AB120)</f>
        <v/>
      </c>
      <c r="H120" s="15" t="n">
        <v>0.45</v>
      </c>
      <c r="I120" s="16">
        <f>G120*(1-H120)</f>
        <v/>
      </c>
      <c r="J120" s="74" t="n">
        <v>498.54</v>
      </c>
      <c r="K120" s="75">
        <f>$G$5</f>
        <v/>
      </c>
      <c r="L120" s="19">
        <f>J120+K120</f>
        <v/>
      </c>
      <c r="M120" s="20" t="n">
        <v>0.47</v>
      </c>
      <c r="N120" s="76">
        <f>G120*M120</f>
        <v/>
      </c>
      <c r="O120" s="77" t="n">
        <v>72</v>
      </c>
      <c r="P120" s="76">
        <f>G120*$G$8</f>
        <v/>
      </c>
      <c r="Q120" s="77" t="n">
        <v>25</v>
      </c>
      <c r="R120" s="76">
        <f>G120*$G$4</f>
        <v/>
      </c>
      <c r="S120" s="76">
        <f>I120*$G$3</f>
        <v/>
      </c>
      <c r="T120" s="78" t="n">
        <v>0.9</v>
      </c>
      <c r="U120" s="77" t="n">
        <v>72</v>
      </c>
      <c r="V120" s="76">
        <f>U120*(1-T120)</f>
        <v/>
      </c>
      <c r="W120" s="79" t="n">
        <v>1.1</v>
      </c>
      <c r="X120" s="76">
        <f>$G$6*$G$7*W120</f>
        <v/>
      </c>
      <c r="Y120" s="19">
        <f>W120*($G$9+$G$10)</f>
        <v/>
      </c>
      <c r="Z120" s="20" t="n">
        <v>0.07000000000000001</v>
      </c>
      <c r="AA120" s="76">
        <f>G120*Z120</f>
        <v/>
      </c>
      <c r="AB120" s="78" t="n">
        <v>0.08</v>
      </c>
      <c r="AC120" s="76">
        <f>G120*AB120</f>
        <v/>
      </c>
      <c r="AD120" s="76">
        <f>AA120+AC120</f>
        <v/>
      </c>
      <c r="AE120" s="25">
        <f>AD120/G120</f>
        <v/>
      </c>
      <c r="AF120" s="26">
        <f>G120-N120-O120-P120-Q120-R120-S120-V120-X120-Y120-L120-AK120-AL120</f>
        <v/>
      </c>
      <c r="AG120" s="80">
        <f>AF120-AD120</f>
        <v/>
      </c>
      <c r="AH120" s="81">
        <f>AG120/G120</f>
        <v/>
      </c>
      <c r="AI120" s="82">
        <f>AG120/L120</f>
        <v/>
      </c>
      <c r="AJ120" s="76">
        <f>(O120+Q120+V120+X120+Y120+L120+AK120)/(1-(M120+$G$4+(1-H120)*$G$3+$G$8+$G$11+Z120+AB120))</f>
        <v/>
      </c>
      <c r="AK120" s="76">
        <f>$G$12</f>
        <v/>
      </c>
      <c r="AL120" s="76">
        <f>G120*$G$11</f>
        <v/>
      </c>
    </row>
    <row r="121">
      <c r="A121" s="70" t="inlineStr">
        <is>
          <t>PETITFEE - Gold &amp; Snail Hydrogel Mask Pack [5pcs] / Гидрогелевая маска для лица с золотом и экстрактом улитки</t>
        </is>
      </c>
      <c r="B121" s="71" t="n"/>
      <c r="C121" s="72" t="n"/>
      <c r="D121" s="73" t="n">
        <v>2280</v>
      </c>
      <c r="E121" s="73" t="n">
        <v>19</v>
      </c>
      <c r="F121" s="73" t="n">
        <v>8</v>
      </c>
      <c r="G121" s="73">
        <f>(1.25*L121+O121+Q121+V121+X121+Y121+AK121)/(1-M121-$G$8-$G$4-(1-H121)*$G$3-$G$11-Z121-AB121)</f>
        <v/>
      </c>
      <c r="H121" s="15" t="n">
        <v>0.45</v>
      </c>
      <c r="I121" s="16">
        <f>G121*(1-H121)</f>
        <v/>
      </c>
      <c r="J121" s="74" t="n">
        <v>478.17</v>
      </c>
      <c r="K121" s="75">
        <f>$G$5</f>
        <v/>
      </c>
      <c r="L121" s="19">
        <f>J121+K121</f>
        <v/>
      </c>
      <c r="M121" s="20" t="n">
        <v>0.47</v>
      </c>
      <c r="N121" s="76">
        <f>G121*M121</f>
        <v/>
      </c>
      <c r="O121" s="77" t="n">
        <v>72</v>
      </c>
      <c r="P121" s="76">
        <f>G121*$G$8</f>
        <v/>
      </c>
      <c r="Q121" s="77" t="n">
        <v>25</v>
      </c>
      <c r="R121" s="76">
        <f>G121*$G$4</f>
        <v/>
      </c>
      <c r="S121" s="76">
        <f>I121*$G$3</f>
        <v/>
      </c>
      <c r="T121" s="78" t="n">
        <v>0.9</v>
      </c>
      <c r="U121" s="77" t="n">
        <v>72</v>
      </c>
      <c r="V121" s="76">
        <f>U121*(1-T121)</f>
        <v/>
      </c>
      <c r="W121" s="79" t="n">
        <v>1.1</v>
      </c>
      <c r="X121" s="76">
        <f>$G$6*$G$7*W121</f>
        <v/>
      </c>
      <c r="Y121" s="19">
        <f>W121*($G$9+$G$10)</f>
        <v/>
      </c>
      <c r="Z121" s="20" t="n">
        <v>0.07000000000000001</v>
      </c>
      <c r="AA121" s="76">
        <f>G121*Z121</f>
        <v/>
      </c>
      <c r="AB121" s="78" t="n">
        <v>0.08</v>
      </c>
      <c r="AC121" s="76">
        <f>G121*AB121</f>
        <v/>
      </c>
      <c r="AD121" s="76">
        <f>AA121+AC121</f>
        <v/>
      </c>
      <c r="AE121" s="25">
        <f>AD121/G121</f>
        <v/>
      </c>
      <c r="AF121" s="26">
        <f>G121-N121-O121-P121-Q121-R121-S121-V121-X121-Y121-L121-AK121-AL121</f>
        <v/>
      </c>
      <c r="AG121" s="80">
        <f>AF121-AD121</f>
        <v/>
      </c>
      <c r="AH121" s="81">
        <f>AG121/G121</f>
        <v/>
      </c>
      <c r="AI121" s="82">
        <f>AG121/L121</f>
        <v/>
      </c>
      <c r="AJ121" s="76">
        <f>(O121+Q121+V121+X121+Y121+L121+AK121)/(1-(M121+$G$4+(1-H121)*$G$3+$G$8+$G$11+Z121+AB121))</f>
        <v/>
      </c>
      <c r="AK121" s="76">
        <f>$G$12</f>
        <v/>
      </c>
      <c r="AL121" s="76">
        <f>G121*$G$11</f>
        <v/>
      </c>
    </row>
    <row r="122">
      <c r="A122" s="70" t="inlineStr">
        <is>
          <t>PETITFEE - Black Pearl &amp; Gold Hydrogel Mask Pack [5pcs] / Гидрогелевая маска для лица с черным жемчугом и золотом</t>
        </is>
      </c>
      <c r="B122" s="71" t="n"/>
      <c r="C122" s="72" t="n"/>
      <c r="D122" s="73" t="n">
        <v>2225</v>
      </c>
      <c r="E122" s="73" t="n">
        <v>156</v>
      </c>
      <c r="F122" s="73" t="n">
        <v>23</v>
      </c>
      <c r="G122" s="73">
        <f>(1.25*L122+O122+Q122+V122+X122+Y122+AK122)/(1-M122-$G$8-$G$4-(1-H122)*$G$3-$G$11-Z122-AB122)</f>
        <v/>
      </c>
      <c r="H122" s="15" t="n">
        <v>0.45</v>
      </c>
      <c r="I122" s="16">
        <f>G122*(1-H122)</f>
        <v/>
      </c>
      <c r="J122" s="74" t="n">
        <v>478.05</v>
      </c>
      <c r="K122" s="75">
        <f>$G$5</f>
        <v/>
      </c>
      <c r="L122" s="19">
        <f>J122+K122</f>
        <v/>
      </c>
      <c r="M122" s="20" t="n">
        <v>0.47</v>
      </c>
      <c r="N122" s="76">
        <f>G122*M122</f>
        <v/>
      </c>
      <c r="O122" s="77" t="n">
        <v>72</v>
      </c>
      <c r="P122" s="76">
        <f>G122*$G$8</f>
        <v/>
      </c>
      <c r="Q122" s="77" t="n">
        <v>25</v>
      </c>
      <c r="R122" s="76">
        <f>G122*$G$4</f>
        <v/>
      </c>
      <c r="S122" s="76">
        <f>I122*$G$3</f>
        <v/>
      </c>
      <c r="T122" s="78" t="n">
        <v>0.9</v>
      </c>
      <c r="U122" s="77" t="n">
        <v>72</v>
      </c>
      <c r="V122" s="76">
        <f>U122*(1-T122)</f>
        <v/>
      </c>
      <c r="W122" s="79" t="n">
        <v>1.1</v>
      </c>
      <c r="X122" s="76">
        <f>$G$6*$G$7*W122</f>
        <v/>
      </c>
      <c r="Y122" s="19">
        <f>W122*($G$9+$G$10)</f>
        <v/>
      </c>
      <c r="Z122" s="20" t="n">
        <v>0.07000000000000001</v>
      </c>
      <c r="AA122" s="76">
        <f>G122*Z122</f>
        <v/>
      </c>
      <c r="AB122" s="78" t="n">
        <v>0.08</v>
      </c>
      <c r="AC122" s="76">
        <f>G122*AB122</f>
        <v/>
      </c>
      <c r="AD122" s="76">
        <f>AA122+AC122</f>
        <v/>
      </c>
      <c r="AE122" s="25">
        <f>AD122/G122</f>
        <v/>
      </c>
      <c r="AF122" s="26">
        <f>G122-N122-O122-P122-Q122-R122-S122-V122-X122-Y122-L122-AK122-AL122</f>
        <v/>
      </c>
      <c r="AG122" s="80">
        <f>AF122-AD122</f>
        <v/>
      </c>
      <c r="AH122" s="81">
        <f>AG122/G122</f>
        <v/>
      </c>
      <c r="AI122" s="82">
        <f>AG122/L122</f>
        <v/>
      </c>
      <c r="AJ122" s="76">
        <f>(O122+Q122+V122+X122+Y122+L122+AK122)/(1-(M122+$G$4+(1-H122)*$G$3+$G$8+$G$11+Z122+AB122))</f>
        <v/>
      </c>
      <c r="AK122" s="76">
        <f>$G$12</f>
        <v/>
      </c>
      <c r="AL122" s="76">
        <f>G122*$G$11</f>
        <v/>
      </c>
    </row>
    <row r="123">
      <c r="A123" s="68" t="inlineStr">
        <is>
          <t>Косметика/ROUND LAB</t>
        </is>
      </c>
      <c r="B123" s="69" t="n"/>
      <c r="C123" s="69" t="n"/>
      <c r="D123" s="69" t="n"/>
      <c r="E123" s="69" t="n"/>
      <c r="F123" s="69" t="n"/>
      <c r="G123" s="69" t="n"/>
      <c r="H123" s="69" t="n"/>
      <c r="I123" s="69" t="n"/>
      <c r="J123" s="69" t="n"/>
      <c r="K123" s="69" t="n"/>
      <c r="L123" s="69" t="n"/>
      <c r="M123" s="69" t="n"/>
      <c r="N123" s="69" t="n"/>
      <c r="O123" s="69" t="n"/>
      <c r="P123" s="69" t="n"/>
      <c r="Q123" s="69" t="n"/>
      <c r="R123" s="69" t="n"/>
      <c r="S123" s="69" t="n"/>
      <c r="T123" s="69" t="n"/>
      <c r="U123" s="69" t="n"/>
      <c r="V123" s="69" t="n"/>
      <c r="W123" s="69" t="n"/>
      <c r="X123" s="69" t="n"/>
      <c r="Y123" s="69" t="n"/>
      <c r="Z123" s="69" t="n"/>
      <c r="AA123" s="69" t="n"/>
      <c r="AB123" s="69" t="n"/>
      <c r="AC123" s="69" t="n"/>
      <c r="AD123" s="69" t="n"/>
      <c r="AE123" s="69" t="n"/>
      <c r="AF123" s="69" t="n"/>
      <c r="AG123" s="69" t="n"/>
      <c r="AH123" s="69" t="n"/>
      <c r="AI123" s="69" t="n"/>
      <c r="AJ123" s="69" t="n"/>
      <c r="AK123" s="69" t="n"/>
      <c r="AL123" s="69" t="n"/>
    </row>
    <row r="124">
      <c r="A124" s="70" t="inlineStr">
        <is>
          <t>ROUND LAB 1025 DOKDO CLEANSER_150ml</t>
        </is>
      </c>
      <c r="B124" s="71" t="n"/>
      <c r="C124" s="72" t="n"/>
      <c r="D124" s="73" t="n">
        <v>2335</v>
      </c>
      <c r="E124" s="73" t="n">
        <v>4000</v>
      </c>
      <c r="F124" s="73" t="n">
        <v>3</v>
      </c>
      <c r="G124" s="73">
        <f>(1.25*L124+O124+Q124+V124+X124+Y124+AK124)/(1-M124-$G$8-$G$4-(1-H124)*$G$3-$G$11-Z124-AB124)</f>
        <v/>
      </c>
      <c r="H124" s="15" t="n">
        <v>0.45</v>
      </c>
      <c r="I124" s="16">
        <f>G124*(1-H124)</f>
        <v/>
      </c>
      <c r="J124" s="74" t="n">
        <v>463.19</v>
      </c>
      <c r="K124" s="75">
        <f>$G$5</f>
        <v/>
      </c>
      <c r="L124" s="19">
        <f>J124+K124</f>
        <v/>
      </c>
      <c r="M124" s="20" t="n">
        <v>0.47</v>
      </c>
      <c r="N124" s="76">
        <f>G124*M124</f>
        <v/>
      </c>
      <c r="O124" s="77" t="n">
        <v>74</v>
      </c>
      <c r="P124" s="76">
        <f>G124*$G$8</f>
        <v/>
      </c>
      <c r="Q124" s="77" t="n">
        <v>25</v>
      </c>
      <c r="R124" s="76">
        <f>G124*$G$4</f>
        <v/>
      </c>
      <c r="S124" s="76">
        <f>I124*$G$3</f>
        <v/>
      </c>
      <c r="T124" s="78" t="n">
        <v>0.9</v>
      </c>
      <c r="U124" s="77" t="n">
        <v>74</v>
      </c>
      <c r="V124" s="76">
        <f>U124*(1-T124)</f>
        <v/>
      </c>
      <c r="W124" s="79" t="n">
        <v>1.28</v>
      </c>
      <c r="X124" s="76">
        <f>$G$6*$G$7*W124</f>
        <v/>
      </c>
      <c r="Y124" s="19">
        <f>W124*($G$9+$G$10)</f>
        <v/>
      </c>
      <c r="Z124" s="20" t="n">
        <v>0.07000000000000001</v>
      </c>
      <c r="AA124" s="76">
        <f>G124*Z124</f>
        <v/>
      </c>
      <c r="AB124" s="78" t="n">
        <v>0.08</v>
      </c>
      <c r="AC124" s="76">
        <f>G124*AB124</f>
        <v/>
      </c>
      <c r="AD124" s="76">
        <f>AA124+AC124</f>
        <v/>
      </c>
      <c r="AE124" s="25">
        <f>AD124/G124</f>
        <v/>
      </c>
      <c r="AF124" s="26">
        <f>G124-N124-O124-P124-Q124-R124-S124-V124-X124-Y124-L124-AK124-AL124</f>
        <v/>
      </c>
      <c r="AG124" s="80">
        <f>AF124-AD124</f>
        <v/>
      </c>
      <c r="AH124" s="81">
        <f>AG124/G124</f>
        <v/>
      </c>
      <c r="AI124" s="82">
        <f>AG124/L124</f>
        <v/>
      </c>
      <c r="AJ124" s="76">
        <f>(O124+Q124+V124+X124+Y124+L124+AK124)/(1-(M124+$G$4+(1-H124)*$G$3+$G$8+$G$11+Z124+AB124))</f>
        <v/>
      </c>
      <c r="AK124" s="76">
        <f>$G$12</f>
        <v/>
      </c>
      <c r="AL124" s="76">
        <f>G124*$G$11</f>
        <v/>
      </c>
    </row>
    <row r="125">
      <c r="A125" s="83" t="inlineStr">
        <is>
          <t>ROUND LAB BIRCH JUICE MOISTURIZING CREAM_80ml -Увлажняющий крем с березовым соком</t>
        </is>
      </c>
      <c r="B125" s="84" t="n"/>
      <c r="C125" s="84" t="n"/>
      <c r="D125" s="85" t="n"/>
      <c r="E125" s="85" t="n"/>
      <c r="F125" s="85" t="n"/>
      <c r="G125" s="85" t="n"/>
      <c r="H125" s="32" t="n"/>
      <c r="I125" s="33" t="n"/>
      <c r="J125" s="86" t="n"/>
      <c r="K125" s="86" t="n"/>
      <c r="L125" s="35" t="n"/>
      <c r="M125" s="36" t="n"/>
      <c r="N125" s="85" t="n"/>
      <c r="O125" s="85" t="n"/>
      <c r="P125" s="85" t="n"/>
      <c r="Q125" s="85" t="n"/>
      <c r="R125" s="85" t="n"/>
      <c r="S125" s="85" t="n"/>
      <c r="T125" s="87" t="n"/>
      <c r="U125" s="85" t="n"/>
      <c r="V125" s="85" t="n"/>
      <c r="W125" s="88" t="n"/>
      <c r="X125" s="85" t="n"/>
      <c r="Y125" s="35" t="n"/>
      <c r="Z125" s="36" t="n"/>
      <c r="AA125" s="85" t="n"/>
      <c r="AB125" s="87" t="n"/>
      <c r="AC125" s="85" t="n"/>
      <c r="AD125" s="85" t="n"/>
      <c r="AE125" s="39" t="n"/>
      <c r="AF125" s="40" t="n"/>
      <c r="AG125" s="85" t="n"/>
      <c r="AH125" s="87" t="n"/>
      <c r="AI125" s="87" t="n"/>
      <c r="AJ125" s="85" t="n"/>
      <c r="AK125" s="85" t="n"/>
      <c r="AL125" s="85" t="n"/>
    </row>
    <row r="126">
      <c r="A126" s="70" t="inlineStr">
        <is>
          <t>ROUND LAB MUGWORT CALMING CLEANSER_150ml - Очищающая пенка для умывания лица от прыщей и акне</t>
        </is>
      </c>
      <c r="B126" s="71" t="n"/>
      <c r="C126" s="72" t="n"/>
      <c r="D126" s="73" t="n"/>
      <c r="E126" s="73" t="n"/>
      <c r="F126" s="73" t="n"/>
      <c r="G126" s="73">
        <f>(1.25*L126+O126+Q126+V126+X126+Y126+AK126)/(1-M126-$G$8-$G$4-(1-H126)*$G$3-$G$11-Z126-AB126)</f>
        <v/>
      </c>
      <c r="H126" s="15" t="n">
        <v>0.45</v>
      </c>
      <c r="I126" s="16">
        <f>G126*(1-H126)</f>
        <v/>
      </c>
      <c r="J126" s="74" t="n">
        <v>512.3200000000001</v>
      </c>
      <c r="K126" s="75">
        <f>$G$5</f>
        <v/>
      </c>
      <c r="L126" s="19">
        <f>J126+K126</f>
        <v/>
      </c>
      <c r="M126" s="20" t="n">
        <v>0.47</v>
      </c>
      <c r="N126" s="76">
        <f>G126*M126</f>
        <v/>
      </c>
      <c r="O126" s="77" t="n">
        <v>67</v>
      </c>
      <c r="P126" s="76">
        <f>G126*$G$8</f>
        <v/>
      </c>
      <c r="Q126" s="77" t="n">
        <v>25</v>
      </c>
      <c r="R126" s="76">
        <f>G126*$G$4</f>
        <v/>
      </c>
      <c r="S126" s="76">
        <f>I126*$G$3</f>
        <v/>
      </c>
      <c r="T126" s="78" t="n">
        <v>0.9</v>
      </c>
      <c r="U126" s="77" t="n">
        <v>67</v>
      </c>
      <c r="V126" s="76">
        <f>U126*(1-T126)</f>
        <v/>
      </c>
      <c r="W126" s="79" t="n">
        <v>0.8</v>
      </c>
      <c r="X126" s="76">
        <f>$G$6*$G$7*W126</f>
        <v/>
      </c>
      <c r="Y126" s="19">
        <f>W126*($G$9+$G$10)</f>
        <v/>
      </c>
      <c r="Z126" s="20" t="n">
        <v>0.07000000000000001</v>
      </c>
      <c r="AA126" s="76">
        <f>G126*Z126</f>
        <v/>
      </c>
      <c r="AB126" s="78" t="n">
        <v>0.08</v>
      </c>
      <c r="AC126" s="76">
        <f>G126*AB126</f>
        <v/>
      </c>
      <c r="AD126" s="76">
        <f>AA126+AC126</f>
        <v/>
      </c>
      <c r="AE126" s="25">
        <f>AD126/G126</f>
        <v/>
      </c>
      <c r="AF126" s="26">
        <f>G126-N126-O126-P126-Q126-R126-S126-V126-X126-Y126-L126-AK126-AL126</f>
        <v/>
      </c>
      <c r="AG126" s="80">
        <f>AF126-AD126</f>
        <v/>
      </c>
      <c r="AH126" s="81">
        <f>AG126/G126</f>
        <v/>
      </c>
      <c r="AI126" s="82">
        <f>AG126/L126</f>
        <v/>
      </c>
      <c r="AJ126" s="76">
        <f>(O126+Q126+V126+X126+Y126+L126+AK126)/(1-(M126+$G$4+(1-H126)*$G$3+$G$8+$G$11+Z126+AB126))</f>
        <v/>
      </c>
      <c r="AK126" s="76">
        <f>$G$12</f>
        <v/>
      </c>
      <c r="AL126" s="76">
        <f>G126*$G$11</f>
        <v/>
      </c>
    </row>
    <row r="127">
      <c r="A127" s="83" t="inlineStr">
        <is>
          <t>ROUND LAB SOYBEAN PANTHENOL CREAM_80ml - Крем для лица с чёрной соей и пантенолом успокаивающий</t>
        </is>
      </c>
      <c r="B127" s="84" t="n"/>
      <c r="C127" s="84" t="n"/>
      <c r="D127" s="85" t="n"/>
      <c r="E127" s="85" t="n"/>
      <c r="F127" s="85" t="n"/>
      <c r="G127" s="85" t="n"/>
      <c r="H127" s="32" t="n"/>
      <c r="I127" s="33" t="n"/>
      <c r="J127" s="86" t="n"/>
      <c r="K127" s="86" t="n"/>
      <c r="L127" s="35" t="n"/>
      <c r="M127" s="36" t="n"/>
      <c r="N127" s="85" t="n"/>
      <c r="O127" s="85" t="n"/>
      <c r="P127" s="85" t="n"/>
      <c r="Q127" s="85" t="n"/>
      <c r="R127" s="85" t="n"/>
      <c r="S127" s="85" t="n"/>
      <c r="T127" s="87" t="n"/>
      <c r="U127" s="85" t="n"/>
      <c r="V127" s="85" t="n"/>
      <c r="W127" s="88" t="n"/>
      <c r="X127" s="85" t="n"/>
      <c r="Y127" s="35" t="n"/>
      <c r="Z127" s="36" t="n"/>
      <c r="AA127" s="85" t="n"/>
      <c r="AB127" s="87" t="n"/>
      <c r="AC127" s="85" t="n"/>
      <c r="AD127" s="85" t="n"/>
      <c r="AE127" s="39" t="n"/>
      <c r="AF127" s="40" t="n"/>
      <c r="AG127" s="85" t="n"/>
      <c r="AH127" s="87" t="n"/>
      <c r="AI127" s="87" t="n"/>
      <c r="AJ127" s="85" t="n"/>
      <c r="AK127" s="85" t="n"/>
      <c r="AL127" s="85" t="n"/>
    </row>
    <row r="128">
      <c r="A128" s="83" t="inlineStr">
        <is>
          <t>ROUND LAB PINE CALMING CICA AMPOULE_30ml - Сыворотка для жирной кожи лица увлажняющая с центеллой</t>
        </is>
      </c>
      <c r="B128" s="84" t="n"/>
      <c r="C128" s="84" t="n"/>
      <c r="D128" s="85" t="n"/>
      <c r="E128" s="85" t="n"/>
      <c r="F128" s="85" t="n"/>
      <c r="G128" s="85" t="n"/>
      <c r="H128" s="32" t="n"/>
      <c r="I128" s="33" t="n"/>
      <c r="J128" s="86" t="n"/>
      <c r="K128" s="86" t="n"/>
      <c r="L128" s="35" t="n"/>
      <c r="M128" s="36" t="n"/>
      <c r="N128" s="85" t="n"/>
      <c r="O128" s="85" t="n"/>
      <c r="P128" s="85" t="n"/>
      <c r="Q128" s="85" t="n"/>
      <c r="R128" s="85" t="n"/>
      <c r="S128" s="85" t="n"/>
      <c r="T128" s="87" t="n"/>
      <c r="U128" s="85" t="n"/>
      <c r="V128" s="85" t="n"/>
      <c r="W128" s="88" t="n"/>
      <c r="X128" s="85" t="n"/>
      <c r="Y128" s="35" t="n"/>
      <c r="Z128" s="36" t="n"/>
      <c r="AA128" s="85" t="n"/>
      <c r="AB128" s="87" t="n"/>
      <c r="AC128" s="85" t="n"/>
      <c r="AD128" s="85" t="n"/>
      <c r="AE128" s="39" t="n"/>
      <c r="AF128" s="40" t="n"/>
      <c r="AG128" s="85" t="n"/>
      <c r="AH128" s="87" t="n"/>
      <c r="AI128" s="87" t="n"/>
      <c r="AJ128" s="85" t="n"/>
      <c r="AK128" s="85" t="n"/>
      <c r="AL128" s="85" t="n"/>
    </row>
    <row r="129">
      <c r="A129" s="70" t="inlineStr">
        <is>
          <t>ROUND LAB 1025 DOKDO TONER_200ml</t>
        </is>
      </c>
      <c r="B129" s="93" t="n"/>
      <c r="C129" s="49" t="n"/>
      <c r="D129" s="73" t="n">
        <v>3400</v>
      </c>
      <c r="E129" s="73" t="n">
        <v>260</v>
      </c>
      <c r="F129" s="73" t="n">
        <v>2</v>
      </c>
      <c r="G129" s="73">
        <f>(1.25*L129+O129+Q129+V129+X129+Y129+AK129)/(1-M129-$G$8-$G$4-(1-H129)*$G$3-$G$11-Z129-AB129)</f>
        <v/>
      </c>
      <c r="H129" s="15" t="n">
        <v>0.45</v>
      </c>
      <c r="I129" s="16">
        <f>G129*(1-H129)</f>
        <v/>
      </c>
      <c r="J129" s="74" t="n">
        <v>463.19</v>
      </c>
      <c r="K129" s="75">
        <f>$G$5</f>
        <v/>
      </c>
      <c r="L129" s="19">
        <f>J129+K129</f>
        <v/>
      </c>
      <c r="M129" s="20" t="n">
        <v>0.47</v>
      </c>
      <c r="N129" s="76">
        <f>G129*M129</f>
        <v/>
      </c>
      <c r="O129" s="77" t="n">
        <v>74</v>
      </c>
      <c r="P129" s="76">
        <f>G129*$G$8</f>
        <v/>
      </c>
      <c r="Q129" s="77" t="n">
        <v>25</v>
      </c>
      <c r="R129" s="76">
        <f>G129*$G$4</f>
        <v/>
      </c>
      <c r="S129" s="76">
        <f>I129*$G$3</f>
        <v/>
      </c>
      <c r="T129" s="78" t="n">
        <v>0.9</v>
      </c>
      <c r="U129" s="77" t="n">
        <v>74</v>
      </c>
      <c r="V129" s="76">
        <f>U129*(1-T129)</f>
        <v/>
      </c>
      <c r="W129" s="79" t="n">
        <v>1.28</v>
      </c>
      <c r="X129" s="76">
        <f>$G$6*$G$7*W129</f>
        <v/>
      </c>
      <c r="Y129" s="19">
        <f>W129*($G$9+$G$10)</f>
        <v/>
      </c>
      <c r="Z129" s="20" t="n">
        <v>0.07000000000000001</v>
      </c>
      <c r="AA129" s="76">
        <f>G129*Z129</f>
        <v/>
      </c>
      <c r="AB129" s="78" t="n">
        <v>0.08</v>
      </c>
      <c r="AC129" s="76">
        <f>G129*AB129</f>
        <v/>
      </c>
      <c r="AD129" s="76">
        <f>AA129+AC129</f>
        <v/>
      </c>
      <c r="AE129" s="25">
        <f>AD129/G129</f>
        <v/>
      </c>
      <c r="AF129" s="26">
        <f>G129-N129-O129-P129-Q129-R129-S129-V129-X129-Y129-L129-AK129-AL129</f>
        <v/>
      </c>
      <c r="AG129" s="80">
        <f>AF129-AD129</f>
        <v/>
      </c>
      <c r="AH129" s="81">
        <f>AG129/G129</f>
        <v/>
      </c>
      <c r="AI129" s="82">
        <f>AG129/L129</f>
        <v/>
      </c>
      <c r="AJ129" s="76">
        <f>(O129+Q129+V129+X129+Y129+L129+AK129)/(1-(M129+$G$4+(1-H129)*$G$3+$G$8+$G$11+Z129+AB129))</f>
        <v/>
      </c>
      <c r="AK129" s="76">
        <f>$G$12</f>
        <v/>
      </c>
      <c r="AL129" s="76">
        <f>G129*$G$11</f>
        <v/>
      </c>
    </row>
    <row r="130">
      <c r="A130" s="68" t="inlineStr">
        <is>
          <t>Косметика/SKIN1004</t>
        </is>
      </c>
      <c r="B130" s="69" t="n"/>
      <c r="C130" s="69" t="n"/>
      <c r="D130" s="69" t="n"/>
      <c r="E130" s="69" t="n"/>
      <c r="F130" s="69" t="n"/>
      <c r="G130" s="69" t="n"/>
      <c r="H130" s="69" t="n"/>
      <c r="I130" s="69" t="n"/>
      <c r="J130" s="69" t="n"/>
      <c r="K130" s="69" t="n"/>
      <c r="L130" s="69" t="n"/>
      <c r="M130" s="69" t="n"/>
      <c r="N130" s="69" t="n"/>
      <c r="O130" s="69" t="n"/>
      <c r="P130" s="69" t="n"/>
      <c r="Q130" s="69" t="n"/>
      <c r="R130" s="69" t="n"/>
      <c r="S130" s="69" t="n"/>
      <c r="T130" s="69" t="n"/>
      <c r="U130" s="69" t="n"/>
      <c r="V130" s="69" t="n"/>
      <c r="W130" s="69" t="n"/>
      <c r="X130" s="69" t="n"/>
      <c r="Y130" s="69" t="n"/>
      <c r="Z130" s="69" t="n"/>
      <c r="AA130" s="69" t="n"/>
      <c r="AB130" s="69" t="n"/>
      <c r="AC130" s="69" t="n"/>
      <c r="AD130" s="69" t="n"/>
      <c r="AE130" s="69" t="n"/>
      <c r="AF130" s="69" t="n"/>
      <c r="AG130" s="69" t="n"/>
      <c r="AH130" s="69" t="n"/>
      <c r="AI130" s="69" t="n"/>
      <c r="AJ130" s="69" t="n"/>
      <c r="AK130" s="69" t="n"/>
      <c r="AL130" s="69" t="n"/>
    </row>
    <row r="131">
      <c r="A131" s="83" t="inlineStr">
        <is>
          <t>SKIN1004 - Madagascar Centella Ampoule [30ml] / Сыворотка для лица успокаивающая из экстракта центеллы.</t>
        </is>
      </c>
      <c r="B131" s="84" t="n"/>
      <c r="C131" s="84" t="n"/>
      <c r="D131" s="85" t="n"/>
      <c r="E131" s="85" t="n"/>
      <c r="F131" s="85" t="n"/>
      <c r="G131" s="85" t="n"/>
      <c r="H131" s="32" t="n"/>
      <c r="I131" s="33" t="n"/>
      <c r="J131" s="86" t="n"/>
      <c r="K131" s="86" t="n"/>
      <c r="L131" s="35" t="n"/>
      <c r="M131" s="36" t="n"/>
      <c r="N131" s="85" t="n"/>
      <c r="O131" s="85" t="n"/>
      <c r="P131" s="85" t="n"/>
      <c r="Q131" s="85" t="n"/>
      <c r="R131" s="85" t="n"/>
      <c r="S131" s="85" t="n"/>
      <c r="T131" s="87" t="n"/>
      <c r="U131" s="85" t="n"/>
      <c r="V131" s="85" t="n"/>
      <c r="W131" s="88" t="n"/>
      <c r="X131" s="85" t="n"/>
      <c r="Y131" s="35" t="n"/>
      <c r="Z131" s="36" t="n"/>
      <c r="AA131" s="85" t="n"/>
      <c r="AB131" s="87" t="n"/>
      <c r="AC131" s="85" t="n"/>
      <c r="AD131" s="85" t="n"/>
      <c r="AE131" s="39" t="n"/>
      <c r="AF131" s="40" t="n"/>
      <c r="AG131" s="85" t="n"/>
      <c r="AH131" s="87" t="n"/>
      <c r="AI131" s="87" t="n"/>
      <c r="AJ131" s="85" t="n"/>
      <c r="AK131" s="85" t="n"/>
      <c r="AL131" s="85" t="n"/>
    </row>
    <row r="132">
      <c r="A132" s="83" t="inlineStr">
        <is>
          <t>SKIN1004 - Madagascar Centella Hyalu-Cica Sleeping Pack [30ml] / Увлажняющая гиалуроновая ночная маска для сухой кожи</t>
        </is>
      </c>
      <c r="B132" s="84" t="n"/>
      <c r="C132" s="84" t="n"/>
      <c r="D132" s="85" t="n"/>
      <c r="E132" s="85" t="n"/>
      <c r="F132" s="85" t="n"/>
      <c r="G132" s="85" t="n"/>
      <c r="H132" s="32" t="n"/>
      <c r="I132" s="33" t="n"/>
      <c r="J132" s="86" t="n"/>
      <c r="K132" s="86" t="n"/>
      <c r="L132" s="35" t="n"/>
      <c r="M132" s="36" t="n"/>
      <c r="N132" s="85" t="n"/>
      <c r="O132" s="85" t="n"/>
      <c r="P132" s="85" t="n"/>
      <c r="Q132" s="85" t="n"/>
      <c r="R132" s="85" t="n"/>
      <c r="S132" s="85" t="n"/>
      <c r="T132" s="87" t="n"/>
      <c r="U132" s="85" t="n"/>
      <c r="V132" s="85" t="n"/>
      <c r="W132" s="88" t="n"/>
      <c r="X132" s="85" t="n"/>
      <c r="Y132" s="35" t="n"/>
      <c r="Z132" s="36" t="n"/>
      <c r="AA132" s="85" t="n"/>
      <c r="AB132" s="87" t="n"/>
      <c r="AC132" s="85" t="n"/>
      <c r="AD132" s="85" t="n"/>
      <c r="AE132" s="39" t="n"/>
      <c r="AF132" s="40" t="n"/>
      <c r="AG132" s="85" t="n"/>
      <c r="AH132" s="87" t="n"/>
      <c r="AI132" s="87" t="n"/>
      <c r="AJ132" s="85" t="n"/>
      <c r="AK132" s="85" t="n"/>
      <c r="AL132" s="85" t="n"/>
    </row>
    <row r="133">
      <c r="A133" s="68" t="inlineStr">
        <is>
          <t>Косметика/SOMEBYMI</t>
        </is>
      </c>
      <c r="B133" s="69" t="n"/>
      <c r="C133" s="69" t="n"/>
      <c r="D133" s="69" t="n"/>
      <c r="E133" s="69" t="n"/>
      <c r="F133" s="69" t="n"/>
      <c r="G133" s="69" t="n"/>
      <c r="H133" s="69" t="n"/>
      <c r="I133" s="69" t="n"/>
      <c r="J133" s="69" t="n"/>
      <c r="K133" s="69" t="n"/>
      <c r="L133" s="69" t="n"/>
      <c r="M133" s="69" t="n"/>
      <c r="N133" s="69" t="n"/>
      <c r="O133" s="69" t="n"/>
      <c r="P133" s="69" t="n"/>
      <c r="Q133" s="69" t="n"/>
      <c r="R133" s="69" t="n"/>
      <c r="S133" s="69" t="n"/>
      <c r="T133" s="69" t="n"/>
      <c r="U133" s="69" t="n"/>
      <c r="V133" s="69" t="n"/>
      <c r="W133" s="69" t="n"/>
      <c r="X133" s="69" t="n"/>
      <c r="Y133" s="69" t="n"/>
      <c r="Z133" s="69" t="n"/>
      <c r="AA133" s="69" t="n"/>
      <c r="AB133" s="69" t="n"/>
      <c r="AC133" s="69" t="n"/>
      <c r="AD133" s="69" t="n"/>
      <c r="AE133" s="69" t="n"/>
      <c r="AF133" s="69" t="n"/>
      <c r="AG133" s="69" t="n"/>
      <c r="AH133" s="69" t="n"/>
      <c r="AI133" s="69" t="n"/>
      <c r="AJ133" s="69" t="n"/>
      <c r="AK133" s="69" t="n"/>
      <c r="AL133" s="69" t="n"/>
    </row>
    <row r="134">
      <c r="A134" s="83" t="inlineStr">
        <is>
          <t>SOME BY MI - AHA-BHA-PHA 30 Days Miracle Cleansing Bar [106g] / Мыло для проблемной кожи с aha bha кислотами</t>
        </is>
      </c>
      <c r="B134" s="84" t="n"/>
      <c r="C134" s="84" t="n"/>
      <c r="D134" s="85" t="n"/>
      <c r="E134" s="85" t="n"/>
      <c r="F134" s="85" t="n"/>
      <c r="G134" s="85" t="n"/>
      <c r="H134" s="32" t="n"/>
      <c r="I134" s="33" t="n"/>
      <c r="J134" s="86" t="n"/>
      <c r="K134" s="86" t="n"/>
      <c r="L134" s="35" t="n"/>
      <c r="M134" s="36" t="n"/>
      <c r="N134" s="85" t="n"/>
      <c r="O134" s="85" t="n"/>
      <c r="P134" s="85" t="n"/>
      <c r="Q134" s="85" t="n"/>
      <c r="R134" s="85" t="n"/>
      <c r="S134" s="85" t="n"/>
      <c r="T134" s="87" t="n"/>
      <c r="U134" s="85" t="n"/>
      <c r="V134" s="85" t="n"/>
      <c r="W134" s="88" t="n"/>
      <c r="X134" s="85" t="n"/>
      <c r="Y134" s="35" t="n"/>
      <c r="Z134" s="36" t="n"/>
      <c r="AA134" s="85" t="n"/>
      <c r="AB134" s="87" t="n"/>
      <c r="AC134" s="85" t="n"/>
      <c r="AD134" s="85" t="n"/>
      <c r="AE134" s="39" t="n"/>
      <c r="AF134" s="40" t="n"/>
      <c r="AG134" s="85" t="n"/>
      <c r="AH134" s="87" t="n"/>
      <c r="AI134" s="87" t="n"/>
      <c r="AJ134" s="85" t="n"/>
      <c r="AK134" s="85" t="n"/>
      <c r="AL134" s="85" t="n"/>
    </row>
    <row r="135">
      <c r="A135" s="83" t="inlineStr">
        <is>
          <t>SOME BY MI - AHA-BHA-PHA 30 Days Miracle Cream [60g] / Крем для лица</t>
        </is>
      </c>
      <c r="B135" s="84" t="n"/>
      <c r="C135" s="84" t="n"/>
      <c r="D135" s="85" t="n"/>
      <c r="E135" s="85" t="n"/>
      <c r="F135" s="85" t="n"/>
      <c r="G135" s="85" t="n"/>
      <c r="H135" s="32" t="n"/>
      <c r="I135" s="33" t="n"/>
      <c r="J135" s="86" t="n"/>
      <c r="K135" s="86" t="n"/>
      <c r="L135" s="35" t="n"/>
      <c r="M135" s="36" t="n"/>
      <c r="N135" s="85" t="n"/>
      <c r="O135" s="85" t="n"/>
      <c r="P135" s="85" t="n"/>
      <c r="Q135" s="85" t="n"/>
      <c r="R135" s="85" t="n"/>
      <c r="S135" s="85" t="n"/>
      <c r="T135" s="87" t="n"/>
      <c r="U135" s="85" t="n"/>
      <c r="V135" s="85" t="n"/>
      <c r="W135" s="88" t="n"/>
      <c r="X135" s="85" t="n"/>
      <c r="Y135" s="35" t="n"/>
      <c r="Z135" s="36" t="n"/>
      <c r="AA135" s="85" t="n"/>
      <c r="AB135" s="87" t="n"/>
      <c r="AC135" s="85" t="n"/>
      <c r="AD135" s="85" t="n"/>
      <c r="AE135" s="39" t="n"/>
      <c r="AF135" s="40" t="n"/>
      <c r="AG135" s="85" t="n"/>
      <c r="AH135" s="87" t="n"/>
      <c r="AI135" s="87" t="n"/>
      <c r="AJ135" s="85" t="n"/>
      <c r="AK135" s="85" t="n"/>
      <c r="AL135" s="85" t="n"/>
    </row>
    <row r="136">
      <c r="A136" s="68" t="inlineStr">
        <is>
          <t>Косметика/TheOrdinary</t>
        </is>
      </c>
      <c r="B136" s="69" t="n"/>
      <c r="C136" s="69" t="n"/>
      <c r="D136" s="69" t="n"/>
      <c r="E136" s="69" t="n"/>
      <c r="F136" s="69" t="n"/>
      <c r="G136" s="69" t="n"/>
      <c r="H136" s="69" t="n"/>
      <c r="I136" s="69" t="n"/>
      <c r="J136" s="69" t="n"/>
      <c r="K136" s="69" t="n"/>
      <c r="L136" s="69" t="n"/>
      <c r="M136" s="69" t="n"/>
      <c r="N136" s="69" t="n"/>
      <c r="O136" s="69" t="n"/>
      <c r="P136" s="69" t="n"/>
      <c r="Q136" s="69" t="n"/>
      <c r="R136" s="69" t="n"/>
      <c r="S136" s="69" t="n"/>
      <c r="T136" s="69" t="n"/>
      <c r="U136" s="69" t="n"/>
      <c r="V136" s="69" t="n"/>
      <c r="W136" s="69" t="n"/>
      <c r="X136" s="69" t="n"/>
      <c r="Y136" s="69" t="n"/>
      <c r="Z136" s="69" t="n"/>
      <c r="AA136" s="69" t="n"/>
      <c r="AB136" s="69" t="n"/>
      <c r="AC136" s="69" t="n"/>
      <c r="AD136" s="69" t="n"/>
      <c r="AE136" s="69" t="n"/>
      <c r="AF136" s="69" t="n"/>
      <c r="AG136" s="69" t="n"/>
      <c r="AH136" s="69" t="n"/>
      <c r="AI136" s="69" t="n"/>
      <c r="AJ136" s="69" t="n"/>
      <c r="AK136" s="69" t="n"/>
      <c r="AL136" s="69" t="n"/>
    </row>
    <row r="137">
      <c r="A137" s="83" t="inlineStr">
        <is>
          <t>THE ORDINARY - Argireline Solution 10% [30ml] / Сыворотка для лица от прыщей и акне с ниацинамидом 10 %</t>
        </is>
      </c>
      <c r="B137" s="84" t="n"/>
      <c r="C137" s="84" t="n"/>
      <c r="D137" s="85" t="n"/>
      <c r="E137" s="85" t="n"/>
      <c r="F137" s="85" t="n"/>
      <c r="G137" s="85" t="n"/>
      <c r="H137" s="32" t="n"/>
      <c r="I137" s="33" t="n"/>
      <c r="J137" s="86" t="n"/>
      <c r="K137" s="86" t="n"/>
      <c r="L137" s="35" t="n"/>
      <c r="M137" s="36" t="n"/>
      <c r="N137" s="85" t="n"/>
      <c r="O137" s="85" t="n"/>
      <c r="P137" s="85" t="n"/>
      <c r="Q137" s="85" t="n"/>
      <c r="R137" s="85" t="n"/>
      <c r="S137" s="85" t="n"/>
      <c r="T137" s="87" t="n"/>
      <c r="U137" s="85" t="n"/>
      <c r="V137" s="85" t="n"/>
      <c r="W137" s="88" t="n"/>
      <c r="X137" s="85" t="n"/>
      <c r="Y137" s="35" t="n"/>
      <c r="Z137" s="36" t="n"/>
      <c r="AA137" s="85" t="n"/>
      <c r="AB137" s="87" t="n"/>
      <c r="AC137" s="85" t="n"/>
      <c r="AD137" s="85" t="n"/>
      <c r="AE137" s="39" t="n"/>
      <c r="AF137" s="40" t="n"/>
      <c r="AG137" s="85" t="n"/>
      <c r="AH137" s="87" t="n"/>
      <c r="AI137" s="87" t="n"/>
      <c r="AJ137" s="85" t="n"/>
      <c r="AK137" s="85" t="n"/>
      <c r="AL137" s="85" t="n"/>
    </row>
    <row r="138">
      <c r="A138" s="83" t="inlineStr">
        <is>
          <t>THE ORDINARY - Glycolic Acid 7% Toning Solution [KOR] [240ml] / Тоник с гликолевой кислотой 7%</t>
        </is>
      </c>
      <c r="B138" s="84" t="n"/>
      <c r="C138" s="84" t="n"/>
      <c r="D138" s="85" t="n"/>
      <c r="E138" s="85" t="n"/>
      <c r="F138" s="85" t="n"/>
      <c r="G138" s="85" t="n"/>
      <c r="H138" s="32" t="n"/>
      <c r="I138" s="33" t="n"/>
      <c r="J138" s="86" t="n"/>
      <c r="K138" s="86" t="n"/>
      <c r="L138" s="35" t="n"/>
      <c r="M138" s="36" t="n"/>
      <c r="N138" s="85" t="n"/>
      <c r="O138" s="85" t="n"/>
      <c r="P138" s="85" t="n"/>
      <c r="Q138" s="85" t="n"/>
      <c r="R138" s="85" t="n"/>
      <c r="S138" s="85" t="n"/>
      <c r="T138" s="87" t="n"/>
      <c r="U138" s="85" t="n"/>
      <c r="V138" s="85" t="n"/>
      <c r="W138" s="88" t="n"/>
      <c r="X138" s="85" t="n"/>
      <c r="Y138" s="35" t="n"/>
      <c r="Z138" s="36" t="n"/>
      <c r="AA138" s="85" t="n"/>
      <c r="AB138" s="87" t="n"/>
      <c r="AC138" s="85" t="n"/>
      <c r="AD138" s="85" t="n"/>
      <c r="AE138" s="39" t="n"/>
      <c r="AF138" s="40" t="n"/>
      <c r="AG138" s="85" t="n"/>
      <c r="AH138" s="87" t="n"/>
      <c r="AI138" s="87" t="n"/>
      <c r="AJ138" s="85" t="n"/>
      <c r="AK138" s="85" t="n"/>
      <c r="AL138" s="85" t="n"/>
    </row>
    <row r="139">
      <c r="A139" s="68" t="inlineStr">
        <is>
          <t>Косметика/CELIMAX</t>
        </is>
      </c>
      <c r="B139" s="69" t="n"/>
      <c r="C139" s="69" t="n"/>
      <c r="D139" s="69" t="n"/>
      <c r="E139" s="69" t="n"/>
      <c r="F139" s="69" t="n"/>
      <c r="G139" s="69" t="n"/>
      <c r="H139" s="69" t="n"/>
      <c r="I139" s="69" t="n"/>
      <c r="J139" s="69" t="n"/>
      <c r="K139" s="69" t="n"/>
      <c r="L139" s="69" t="n"/>
      <c r="M139" s="69" t="n"/>
      <c r="N139" s="69" t="n"/>
      <c r="O139" s="69" t="n"/>
      <c r="P139" s="69" t="n"/>
      <c r="Q139" s="69" t="n"/>
      <c r="R139" s="69" t="n"/>
      <c r="S139" s="69" t="n"/>
      <c r="T139" s="69" t="n"/>
      <c r="U139" s="69" t="n"/>
      <c r="V139" s="69" t="n"/>
      <c r="W139" s="69" t="n"/>
      <c r="X139" s="69" t="n"/>
      <c r="Y139" s="69" t="n"/>
      <c r="Z139" s="69" t="n"/>
      <c r="AA139" s="69" t="n"/>
      <c r="AB139" s="69" t="n"/>
      <c r="AC139" s="69" t="n"/>
      <c r="AD139" s="69" t="n"/>
      <c r="AE139" s="69" t="n"/>
      <c r="AF139" s="69" t="n"/>
      <c r="AG139" s="69" t="n"/>
      <c r="AH139" s="69" t="n"/>
      <c r="AI139" s="69" t="n"/>
      <c r="AJ139" s="69" t="n"/>
      <c r="AK139" s="69" t="n"/>
      <c r="AL139" s="69" t="n"/>
    </row>
    <row r="140">
      <c r="A140" s="70" t="inlineStr">
        <is>
          <t>Celimax Dual Barrier Creamy Toner</t>
        </is>
      </c>
      <c r="B140" s="71" t="n"/>
      <c r="C140" s="72" t="n"/>
      <c r="D140" s="73" t="n">
        <v>2600</v>
      </c>
      <c r="E140" s="73" t="n">
        <v>5500</v>
      </c>
      <c r="F140" s="73" t="inlineStr">
        <is>
          <t>10-15</t>
        </is>
      </c>
      <c r="G140" s="73">
        <f>(1.25*L140+O140+Q140+V140+X140+Y140+AK140)/(1-M140-$G$8-$G$4-(1-H140)*$G$3-$G$11-Z140-AB140)</f>
        <v/>
      </c>
      <c r="H140" s="15" t="n">
        <v>0.45</v>
      </c>
      <c r="I140" s="16">
        <f>G140*(1-H140)</f>
        <v/>
      </c>
      <c r="J140" s="74" t="n">
        <v>663.86</v>
      </c>
      <c r="K140" s="75">
        <f>$G$5</f>
        <v/>
      </c>
      <c r="L140" s="19">
        <f>J140+K140</f>
        <v/>
      </c>
      <c r="M140" s="20" t="n">
        <v>0.47</v>
      </c>
      <c r="N140" s="76">
        <f>G140*M140</f>
        <v/>
      </c>
      <c r="O140" s="77" t="n">
        <v>67</v>
      </c>
      <c r="P140" s="76">
        <f>G140*$G$8</f>
        <v/>
      </c>
      <c r="Q140" s="77" t="n">
        <v>25</v>
      </c>
      <c r="R140" s="76">
        <f>G140*$G$4</f>
        <v/>
      </c>
      <c r="S140" s="76">
        <f>I140*$G$3</f>
        <v/>
      </c>
      <c r="T140" s="78" t="n">
        <v>0.9</v>
      </c>
      <c r="U140" s="77" t="n">
        <v>67</v>
      </c>
      <c r="V140" s="76">
        <f>U140*(1-T140)</f>
        <v/>
      </c>
      <c r="W140" s="79" t="n">
        <v>0.735</v>
      </c>
      <c r="X140" s="76">
        <f>$G$6*$G$7*W140</f>
        <v/>
      </c>
      <c r="Y140" s="19">
        <f>W140*($G$9+$G$10)</f>
        <v/>
      </c>
      <c r="Z140" s="20" t="n">
        <v>0.07000000000000001</v>
      </c>
      <c r="AA140" s="76">
        <f>G140*Z140</f>
        <v/>
      </c>
      <c r="AB140" s="78" t="n">
        <v>0.08</v>
      </c>
      <c r="AC140" s="76">
        <f>G140*AB140</f>
        <v/>
      </c>
      <c r="AD140" s="76">
        <f>AA140+AC140</f>
        <v/>
      </c>
      <c r="AE140" s="25">
        <f>AD140/G140</f>
        <v/>
      </c>
      <c r="AF140" s="26">
        <f>G140-N140-O140-P140-Q140-R140-S140-V140-X140-Y140-L140-AK140-AL140</f>
        <v/>
      </c>
      <c r="AG140" s="80">
        <f>AF140-AD140</f>
        <v/>
      </c>
      <c r="AH140" s="81">
        <f>AG140/G140</f>
        <v/>
      </c>
      <c r="AI140" s="82">
        <f>AG140/L140</f>
        <v/>
      </c>
      <c r="AJ140" s="76">
        <f>(O140+Q140+V140+X140+Y140+L140+AK140)/(1-(M140+$G$4+(1-H140)*$G$3+$G$8+$G$11+Z140+AB140))</f>
        <v/>
      </c>
      <c r="AK140" s="76">
        <f>$G$12</f>
        <v/>
      </c>
      <c r="AL140" s="76">
        <f>G140*$G$11</f>
        <v/>
      </c>
    </row>
    <row r="141">
      <c r="A141" s="70" t="inlineStr">
        <is>
          <t>CELIMAX THE VITA-A RETINAL SHOT TIGHTENING BOOSTER [15ml]/Подтягивающий бустер-крем с ретинолом для лица</t>
        </is>
      </c>
      <c r="B141" s="49" t="n"/>
      <c r="C141" s="72" t="n"/>
      <c r="D141" s="73" t="n">
        <v>2250</v>
      </c>
      <c r="E141" s="73" t="n">
        <v>3000</v>
      </c>
      <c r="F141" s="73" t="n">
        <v>13</v>
      </c>
      <c r="G141" s="73">
        <f>(1.25*L141+O141+Q141+V141+X141+Y141+AK141)/(1-M141-$G$8-$G$4-(1-H141)*$G$3-$G$11-Z141-AB141)</f>
        <v/>
      </c>
      <c r="H141" s="15" t="n">
        <v>0.45</v>
      </c>
      <c r="I141" s="16">
        <f>G141*(1-H141)</f>
        <v/>
      </c>
      <c r="J141" s="74" t="n">
        <v>512.1799999999999</v>
      </c>
      <c r="K141" s="75">
        <f>$G$5</f>
        <v/>
      </c>
      <c r="L141" s="19">
        <f>J141+K141</f>
        <v/>
      </c>
      <c r="M141" s="20" t="n">
        <v>0.47</v>
      </c>
      <c r="N141" s="76">
        <f>G141*M141</f>
        <v/>
      </c>
      <c r="O141" s="77" t="n">
        <v>56</v>
      </c>
      <c r="P141" s="76">
        <f>G141*$G$8</f>
        <v/>
      </c>
      <c r="Q141" s="77" t="n">
        <v>25</v>
      </c>
      <c r="R141" s="76">
        <f>G141*$G$4</f>
        <v/>
      </c>
      <c r="S141" s="76">
        <f>I141*$G$3</f>
        <v/>
      </c>
      <c r="T141" s="78" t="n">
        <v>0.9</v>
      </c>
      <c r="U141" s="77" t="n">
        <v>56</v>
      </c>
      <c r="V141" s="76">
        <f>U141*(1-T141)</f>
        <v/>
      </c>
      <c r="W141" s="79" t="n">
        <v>0.18</v>
      </c>
      <c r="X141" s="76">
        <f>$G$6*$G$7*W141</f>
        <v/>
      </c>
      <c r="Y141" s="19">
        <f>W141*($G$9+$G$10)</f>
        <v/>
      </c>
      <c r="Z141" s="20" t="n">
        <v>0.07000000000000001</v>
      </c>
      <c r="AA141" s="76">
        <f>G141*Z141</f>
        <v/>
      </c>
      <c r="AB141" s="78" t="n">
        <v>0.08</v>
      </c>
      <c r="AC141" s="76">
        <f>G141*AB141</f>
        <v/>
      </c>
      <c r="AD141" s="76">
        <f>AA141+AC141</f>
        <v/>
      </c>
      <c r="AE141" s="25">
        <f>AD141/G141</f>
        <v/>
      </c>
      <c r="AF141" s="26">
        <f>G141-N141-O141-P141-Q141-R141-S141-V141-X141-Y141-L141-AK141-AL141</f>
        <v/>
      </c>
      <c r="AG141" s="80">
        <f>AF141-AD141</f>
        <v/>
      </c>
      <c r="AH141" s="81">
        <f>AG141/G141</f>
        <v/>
      </c>
      <c r="AI141" s="82">
        <f>AG141/L141</f>
        <v/>
      </c>
      <c r="AJ141" s="76">
        <f>(O141+Q141+V141+X141+Y141+L141+AK141)/(1-(M141+$G$4+(1-H141)*$G$3+$G$8+$G$11+Z141+AB141))</f>
        <v/>
      </c>
      <c r="AK141" s="76">
        <f>$G$12</f>
        <v/>
      </c>
      <c r="AL141" s="76">
        <f>G141*$G$11</f>
        <v/>
      </c>
    </row>
    <row r="142">
      <c r="A142" s="70" t="inlineStr">
        <is>
          <t>CELIMAX THE VITA-A RETINOL SHOT TIGHTENING SERUM [30ml]/Сыворотка с ретинолом и микроиглами для лица</t>
        </is>
      </c>
      <c r="B142" s="49" t="n"/>
      <c r="C142" s="72" t="inlineStr">
        <is>
          <t>-</t>
        </is>
      </c>
      <c r="D142" s="73" t="n">
        <v>2450</v>
      </c>
      <c r="E142" s="73" t="n">
        <v>3500</v>
      </c>
      <c r="F142" s="73" t="n">
        <v>10</v>
      </c>
      <c r="G142" s="73">
        <f>(1.25*L142+O142+Q142+V142+X142+Y142+AK142)/(1-M142-$G$8-$G$4-(1-H142)*$G$3-$G$11-Z142-AB142)</f>
        <v/>
      </c>
      <c r="H142" s="15" t="n">
        <v>0.45</v>
      </c>
      <c r="I142" s="16">
        <f>G142*(1-H142)</f>
        <v/>
      </c>
      <c r="J142" s="74" t="n">
        <v>532.1</v>
      </c>
      <c r="K142" s="75">
        <f>$G$5</f>
        <v/>
      </c>
      <c r="L142" s="19">
        <f>J142+K142</f>
        <v/>
      </c>
      <c r="M142" s="20" t="n">
        <v>0.47</v>
      </c>
      <c r="N142" s="76">
        <f>G142*M142</f>
        <v/>
      </c>
      <c r="O142" s="77" t="n">
        <v>63</v>
      </c>
      <c r="P142" s="76">
        <f>G142*$G$8</f>
        <v/>
      </c>
      <c r="Q142" s="77" t="n">
        <v>25</v>
      </c>
      <c r="R142" s="76">
        <f>G142*$G$4</f>
        <v/>
      </c>
      <c r="S142" s="76">
        <f>I142*$G$3</f>
        <v/>
      </c>
      <c r="T142" s="78" t="n">
        <v>0.9</v>
      </c>
      <c r="U142" s="77" t="n">
        <v>63</v>
      </c>
      <c r="V142" s="76">
        <f>U142*(1-T142)</f>
        <v/>
      </c>
      <c r="W142" s="79" t="n">
        <v>0.38</v>
      </c>
      <c r="X142" s="76">
        <f>$G$6*$G$7*W142</f>
        <v/>
      </c>
      <c r="Y142" s="19">
        <f>W142*($G$9+$G$10)</f>
        <v/>
      </c>
      <c r="Z142" s="20" t="n">
        <v>0.07000000000000001</v>
      </c>
      <c r="AA142" s="76">
        <f>G142*Z142</f>
        <v/>
      </c>
      <c r="AB142" s="78" t="n">
        <v>0.08</v>
      </c>
      <c r="AC142" s="76">
        <f>G142*AB142</f>
        <v/>
      </c>
      <c r="AD142" s="76">
        <f>AA142+AC142</f>
        <v/>
      </c>
      <c r="AE142" s="25">
        <f>AD142/G142</f>
        <v/>
      </c>
      <c r="AF142" s="26">
        <f>G142-N142-O142-P142-Q142-R142-S142-V142-X142-Y142-L142-AK142-AL142</f>
        <v/>
      </c>
      <c r="AG142" s="80">
        <f>AF142-AD142</f>
        <v/>
      </c>
      <c r="AH142" s="81">
        <f>AG142/G142</f>
        <v/>
      </c>
      <c r="AI142" s="82">
        <f>AG142/L142</f>
        <v/>
      </c>
      <c r="AJ142" s="76">
        <f>(O142+Q142+V142+X142+Y142+L142+AK142)/(1-(M142+$G$4+(1-H142)*$G$3+$G$8+$G$11+Z142+AB142))</f>
        <v/>
      </c>
      <c r="AK142" s="76">
        <f>$G$12</f>
        <v/>
      </c>
      <c r="AL142" s="76">
        <f>G142*$G$11</f>
        <v/>
      </c>
    </row>
    <row r="143">
      <c r="A143" s="70" t="inlineStr">
        <is>
          <t>CELIMAX JI WOO GAE CICA BHA BLEMISH TONER PAD_10EA [30ml]/успокаивающие тонер-пэды</t>
        </is>
      </c>
      <c r="B143" s="49" t="n"/>
      <c r="C143" s="72" t="n"/>
      <c r="D143" s="73" t="n">
        <v>775</v>
      </c>
      <c r="E143" s="73" t="inlineStr">
        <is>
          <t>2 740</t>
        </is>
      </c>
      <c r="F143" s="73" t="n">
        <v>11</v>
      </c>
      <c r="G143" s="73">
        <f>(1.25*L143+O143+Q143+V143+X143+Y143+AK143)/(1-M143-$G$8-$G$4-(1-H143)*$G$3-$G$11-Z143-AB143)</f>
        <v/>
      </c>
      <c r="H143" s="15" t="n">
        <v>0.45</v>
      </c>
      <c r="I143" s="16">
        <f>G143*(1-H143)</f>
        <v/>
      </c>
      <c r="J143" s="74" t="n">
        <v>96.94</v>
      </c>
      <c r="K143" s="75">
        <f>$G$5</f>
        <v/>
      </c>
      <c r="L143" s="19">
        <f>J143+K143</f>
        <v/>
      </c>
      <c r="M143" s="20" t="n">
        <v>0.47</v>
      </c>
      <c r="N143" s="76">
        <f>G143*M143</f>
        <v/>
      </c>
      <c r="O143" s="77" t="n">
        <v>56</v>
      </c>
      <c r="P143" s="76">
        <f>G143*$G$8</f>
        <v/>
      </c>
      <c r="Q143" s="77" t="n">
        <v>25</v>
      </c>
      <c r="R143" s="76">
        <f>G143*$G$4</f>
        <v/>
      </c>
      <c r="S143" s="76">
        <f>I143*$G$3</f>
        <v/>
      </c>
      <c r="T143" s="78" t="n">
        <v>0.9</v>
      </c>
      <c r="U143" s="77" t="n">
        <v>56</v>
      </c>
      <c r="V143" s="76">
        <f>U143*(1-T143)</f>
        <v/>
      </c>
      <c r="W143" s="79" t="n">
        <v>0.14</v>
      </c>
      <c r="X143" s="76">
        <f>$G$6*$G$7*W143</f>
        <v/>
      </c>
      <c r="Y143" s="19">
        <f>W143*($G$9+$G$10)</f>
        <v/>
      </c>
      <c r="Z143" s="20" t="n">
        <v>0.07000000000000001</v>
      </c>
      <c r="AA143" s="76">
        <f>G143*Z143</f>
        <v/>
      </c>
      <c r="AB143" s="78" t="n">
        <v>0.08</v>
      </c>
      <c r="AC143" s="76">
        <f>G143*AB143</f>
        <v/>
      </c>
      <c r="AD143" s="76">
        <f>AA143+AC143</f>
        <v/>
      </c>
      <c r="AE143" s="25">
        <f>AD143/G143</f>
        <v/>
      </c>
      <c r="AF143" s="26">
        <f>G143-N143-O143-P143-Q143-R143-S143-V143-X143-Y143-L143-AK143-AL143</f>
        <v/>
      </c>
      <c r="AG143" s="80">
        <f>AF143-AD143</f>
        <v/>
      </c>
      <c r="AH143" s="81">
        <f>AG143/G143</f>
        <v/>
      </c>
      <c r="AI143" s="82">
        <f>AG143/L143</f>
        <v/>
      </c>
      <c r="AJ143" s="76">
        <f>(O143+Q143+V143+X143+Y143+L143+AK143)/(1-(M143+$G$4+(1-H143)*$G$3+$G$8+$G$11+Z143+AB143))</f>
        <v/>
      </c>
      <c r="AK143" s="76">
        <f>$G$12</f>
        <v/>
      </c>
      <c r="AL143" s="76">
        <f>G143*$G$11</f>
        <v/>
      </c>
    </row>
    <row r="144">
      <c r="A144" s="83" t="inlineStr">
        <is>
          <t>CELIMAX PORE+DARK SPOT BRIGHTENING CREAM [35ml]/Крем для выравнивания тона и рельефа кожи лица</t>
        </is>
      </c>
      <c r="B144" s="84" t="n"/>
      <c r="C144" s="84" t="n"/>
      <c r="D144" s="85" t="n"/>
      <c r="E144" s="85" t="n"/>
      <c r="F144" s="85" t="n"/>
      <c r="G144" s="85" t="n"/>
      <c r="H144" s="32" t="n"/>
      <c r="I144" s="33" t="n"/>
      <c r="J144" s="86" t="n"/>
      <c r="K144" s="86" t="n"/>
      <c r="L144" s="35" t="n"/>
      <c r="M144" s="36" t="n"/>
      <c r="N144" s="85" t="n"/>
      <c r="O144" s="85" t="n"/>
      <c r="P144" s="85" t="n"/>
      <c r="Q144" s="85" t="n"/>
      <c r="R144" s="85" t="n"/>
      <c r="S144" s="85" t="n"/>
      <c r="T144" s="87" t="n"/>
      <c r="U144" s="85" t="n"/>
      <c r="V144" s="85" t="n"/>
      <c r="W144" s="88" t="n"/>
      <c r="X144" s="85" t="n"/>
      <c r="Y144" s="35" t="n"/>
      <c r="Z144" s="36" t="n"/>
      <c r="AA144" s="85" t="n"/>
      <c r="AB144" s="87" t="n"/>
      <c r="AC144" s="85" t="n"/>
      <c r="AD144" s="85" t="n"/>
      <c r="AE144" s="39" t="n"/>
      <c r="AF144" s="40" t="n"/>
      <c r="AG144" s="85" t="n"/>
      <c r="AH144" s="87" t="n"/>
      <c r="AI144" s="87" t="n"/>
      <c r="AJ144" s="85" t="n"/>
      <c r="AK144" s="85" t="n"/>
      <c r="AL144" s="85" t="n"/>
    </row>
    <row r="145">
      <c r="A145" s="83" t="inlineStr">
        <is>
          <t>CELIMAX DUAL BARRIER SKIN WEARABLE CREAM [50ml]/Крем для восстановления защитного барьера кожи лица</t>
        </is>
      </c>
      <c r="B145" s="84" t="n"/>
      <c r="C145" s="84" t="n"/>
      <c r="D145" s="85" t="n"/>
      <c r="E145" s="85" t="n"/>
      <c r="F145" s="85" t="n"/>
      <c r="G145" s="85" t="n"/>
      <c r="H145" s="32" t="n"/>
      <c r="I145" s="33" t="n"/>
      <c r="J145" s="86" t="n"/>
      <c r="K145" s="86" t="n"/>
      <c r="L145" s="35" t="n"/>
      <c r="M145" s="36" t="n"/>
      <c r="N145" s="85" t="n"/>
      <c r="O145" s="85" t="n"/>
      <c r="P145" s="85" t="n"/>
      <c r="Q145" s="85" t="n"/>
      <c r="R145" s="85" t="n"/>
      <c r="S145" s="85" t="n"/>
      <c r="T145" s="87" t="n"/>
      <c r="U145" s="85" t="n"/>
      <c r="V145" s="85" t="n"/>
      <c r="W145" s="88" t="n"/>
      <c r="X145" s="85" t="n"/>
      <c r="Y145" s="35" t="n"/>
      <c r="Z145" s="36" t="n"/>
      <c r="AA145" s="85" t="n"/>
      <c r="AB145" s="87" t="n"/>
      <c r="AC145" s="85" t="n"/>
      <c r="AD145" s="85" t="n"/>
      <c r="AE145" s="39" t="n"/>
      <c r="AF145" s="40" t="n"/>
      <c r="AG145" s="85" t="n"/>
      <c r="AH145" s="87" t="n"/>
      <c r="AI145" s="87" t="n"/>
      <c r="AJ145" s="85" t="n"/>
      <c r="AK145" s="85" t="n"/>
      <c r="AL145" s="85" t="n"/>
    </row>
    <row r="146">
      <c r="A146" s="70" t="inlineStr">
        <is>
          <t>CELIMAX JI WOO GAE CICA BHA BLEMISH TONER PAD [170ml / 60pads]/Тонер-пэды от воспалений</t>
        </is>
      </c>
      <c r="B146" s="49" t="n"/>
      <c r="C146" s="72" t="n"/>
      <c r="D146" s="73" t="n">
        <v>3450</v>
      </c>
      <c r="E146" s="73" t="inlineStr">
        <is>
          <t>1 820</t>
        </is>
      </c>
      <c r="F146" s="73" t="n">
        <v>11</v>
      </c>
      <c r="G146" s="73">
        <f>(1.25*L146+O146+Q146+V146+X146+Y146+AK146)/(1-M146-$G$8-$G$4-(1-H146)*$G$3-$G$11-Z146-AB146)</f>
        <v/>
      </c>
      <c r="H146" s="15" t="n">
        <v>0.45</v>
      </c>
      <c r="I146" s="16">
        <f>G146*(1-H146)</f>
        <v/>
      </c>
      <c r="J146" s="74" t="n">
        <v>707.88</v>
      </c>
      <c r="K146" s="75">
        <f>$G$5</f>
        <v/>
      </c>
      <c r="L146" s="19">
        <f>J146+K146</f>
        <v/>
      </c>
      <c r="M146" s="20" t="n">
        <v>0.47</v>
      </c>
      <c r="N146" s="76">
        <f>G146*M146</f>
        <v/>
      </c>
      <c r="O146" s="77" t="n">
        <v>67</v>
      </c>
      <c r="P146" s="76">
        <f>G146*$G$8</f>
        <v/>
      </c>
      <c r="Q146" s="77" t="n">
        <v>25</v>
      </c>
      <c r="R146" s="76">
        <f>G146*$G$4</f>
        <v/>
      </c>
      <c r="S146" s="76">
        <f>I146*$G$3</f>
        <v/>
      </c>
      <c r="T146" s="78" t="n">
        <v>0.9</v>
      </c>
      <c r="U146" s="77" t="n">
        <v>67</v>
      </c>
      <c r="V146" s="76">
        <f>U146*(1-T146)</f>
        <v/>
      </c>
      <c r="W146" s="79" t="n">
        <v>0.96</v>
      </c>
      <c r="X146" s="76">
        <f>$G$6*$G$7*W146</f>
        <v/>
      </c>
      <c r="Y146" s="19">
        <f>W146*($G$9+$G$10)</f>
        <v/>
      </c>
      <c r="Z146" s="20" t="n">
        <v>0.07000000000000001</v>
      </c>
      <c r="AA146" s="76">
        <f>G146*Z146</f>
        <v/>
      </c>
      <c r="AB146" s="78" t="n">
        <v>0.08</v>
      </c>
      <c r="AC146" s="76">
        <f>G146*AB146</f>
        <v/>
      </c>
      <c r="AD146" s="76">
        <f>AA146+AC146</f>
        <v/>
      </c>
      <c r="AE146" s="25">
        <f>AD146/G146</f>
        <v/>
      </c>
      <c r="AF146" s="26">
        <f>G146-N146-O146-P146-Q146-R146-S146-V146-X146-Y146-L146-AK146-AL146</f>
        <v/>
      </c>
      <c r="AG146" s="80">
        <f>AF146-AD146</f>
        <v/>
      </c>
      <c r="AH146" s="81">
        <f>AG146/G146</f>
        <v/>
      </c>
      <c r="AI146" s="82">
        <f>AG146/L146</f>
        <v/>
      </c>
      <c r="AJ146" s="76">
        <f>(O146+Q146+V146+X146+Y146+L146+AK146)/(1-(M146+$G$4+(1-H146)*$G$3+$G$8+$G$11+Z146+AB146))</f>
        <v/>
      </c>
      <c r="AK146" s="76">
        <f>$G$12</f>
        <v/>
      </c>
      <c r="AL146" s="76">
        <f>G146*$G$11</f>
        <v/>
      </c>
    </row>
    <row r="147">
      <c r="A147" s="83" t="inlineStr">
        <is>
          <t>CELIMAX THE REAL NONI ENERGY AMPOULE_30ML (NEW) [30ml]/Восстанавливающая сыворотка с экстрактом нони для лица</t>
        </is>
      </c>
      <c r="B147" s="84" t="n"/>
      <c r="C147" s="84" t="n"/>
      <c r="D147" s="85" t="n"/>
      <c r="E147" s="85" t="n"/>
      <c r="F147" s="85" t="n"/>
      <c r="G147" s="85" t="n"/>
      <c r="H147" s="32" t="n"/>
      <c r="I147" s="33" t="n"/>
      <c r="J147" s="86" t="n"/>
      <c r="K147" s="86" t="n"/>
      <c r="L147" s="35" t="n"/>
      <c r="M147" s="36" t="n"/>
      <c r="N147" s="85" t="n"/>
      <c r="O147" s="85" t="n"/>
      <c r="P147" s="85" t="n"/>
      <c r="Q147" s="85" t="n"/>
      <c r="R147" s="85" t="n"/>
      <c r="S147" s="85" t="n"/>
      <c r="T147" s="87" t="n"/>
      <c r="U147" s="85" t="n"/>
      <c r="V147" s="85" t="n"/>
      <c r="W147" s="88" t="n"/>
      <c r="X147" s="85" t="n"/>
      <c r="Y147" s="35" t="n"/>
      <c r="Z147" s="36" t="n"/>
      <c r="AA147" s="85" t="n"/>
      <c r="AB147" s="87" t="n"/>
      <c r="AC147" s="85" t="n"/>
      <c r="AD147" s="85" t="n"/>
      <c r="AE147" s="39" t="n"/>
      <c r="AF147" s="40" t="n"/>
      <c r="AG147" s="85" t="n"/>
      <c r="AH147" s="87" t="n"/>
      <c r="AI147" s="87" t="n"/>
      <c r="AJ147" s="85" t="n"/>
      <c r="AK147" s="85" t="n"/>
      <c r="AL147" s="85" t="n"/>
    </row>
    <row r="148">
      <c r="A148" s="70" t="inlineStr">
        <is>
          <t>CELIMAX PORE+DARK SPOT BRIGHTENING PAD [100ml / 40pads]/Тонер-пэды для выравнивания тона и рельефа кожи</t>
        </is>
      </c>
      <c r="B148" s="49" t="n"/>
      <c r="C148" s="72" t="n"/>
      <c r="D148" s="73" t="n">
        <v>2880</v>
      </c>
      <c r="E148" s="73" t="inlineStr">
        <is>
          <t>1 640</t>
        </is>
      </c>
      <c r="F148" s="73" t="n">
        <v>21</v>
      </c>
      <c r="G148" s="73">
        <f>(1.25*L148+O148+Q148+V148+X148+Y148+AK148)/(1-M148-$G$8-$G$4-(1-H148)*$G$3-$G$11-Z148-AB148)</f>
        <v/>
      </c>
      <c r="H148" s="15" t="n">
        <v>0.45</v>
      </c>
      <c r="I148" s="16">
        <f>G148*(1-H148)</f>
        <v/>
      </c>
      <c r="J148" s="74" t="n">
        <v>556.1799999999999</v>
      </c>
      <c r="K148" s="75">
        <f>$G$5</f>
        <v/>
      </c>
      <c r="L148" s="19">
        <f>J148+K148</f>
        <v/>
      </c>
      <c r="M148" s="20" t="n">
        <v>0.47</v>
      </c>
      <c r="N148" s="76">
        <f>G148*M148</f>
        <v/>
      </c>
      <c r="O148" s="77" t="n">
        <v>67</v>
      </c>
      <c r="P148" s="76">
        <f>G148*$G$8</f>
        <v/>
      </c>
      <c r="Q148" s="77" t="n">
        <v>25</v>
      </c>
      <c r="R148" s="76">
        <f>G148*$G$4</f>
        <v/>
      </c>
      <c r="S148" s="76">
        <f>I148*$G$3</f>
        <v/>
      </c>
      <c r="T148" s="78" t="n">
        <v>0.9</v>
      </c>
      <c r="U148" s="77" t="n">
        <v>67</v>
      </c>
      <c r="V148" s="76">
        <f>U148*(1-T148)</f>
        <v/>
      </c>
      <c r="W148" s="79" t="n">
        <v>0.57</v>
      </c>
      <c r="X148" s="76">
        <f>$G$6*$G$7*W148</f>
        <v/>
      </c>
      <c r="Y148" s="19">
        <f>W148*($G$9+$G$10)</f>
        <v/>
      </c>
      <c r="Z148" s="20" t="n">
        <v>0.07000000000000001</v>
      </c>
      <c r="AA148" s="76">
        <f>G148*Z148</f>
        <v/>
      </c>
      <c r="AB148" s="78" t="n">
        <v>0.08</v>
      </c>
      <c r="AC148" s="76">
        <f>G148*AB148</f>
        <v/>
      </c>
      <c r="AD148" s="76">
        <f>AA148+AC148</f>
        <v/>
      </c>
      <c r="AE148" s="25">
        <f>AD148/G148</f>
        <v/>
      </c>
      <c r="AF148" s="26">
        <f>G148-N148-O148-P148-Q148-R148-S148-V148-X148-Y148-L148-AK148-AL148</f>
        <v/>
      </c>
      <c r="AG148" s="80">
        <f>AF148-AD148</f>
        <v/>
      </c>
      <c r="AH148" s="81">
        <f>AG148/G148</f>
        <v/>
      </c>
      <c r="AI148" s="82">
        <f>AG148/L148</f>
        <v/>
      </c>
      <c r="AJ148" s="76">
        <f>(O148+Q148+V148+X148+Y148+L148+AK148)/(1-(M148+$G$4+(1-H148)*$G$3+$G$8+$G$11+Z148+AB148))</f>
        <v/>
      </c>
      <c r="AK148" s="76">
        <f>$G$12</f>
        <v/>
      </c>
      <c r="AL148" s="76">
        <f>G148*$G$11</f>
        <v/>
      </c>
    </row>
    <row r="149">
      <c r="A149" s="83" t="inlineStr">
        <is>
          <t>CELIMAX PORE+DARK SPOT BRIGHTENING SERUM_30ml [30ml]/Сыворотка для выравнивания тона и рельефа кожи лица</t>
        </is>
      </c>
      <c r="B149" s="84" t="n"/>
      <c r="C149" s="84" t="n"/>
      <c r="D149" s="85" t="n"/>
      <c r="E149" s="85" t="n"/>
      <c r="F149" s="85" t="n"/>
      <c r="G149" s="85" t="n"/>
      <c r="H149" s="32" t="n"/>
      <c r="I149" s="33" t="n"/>
      <c r="J149" s="86" t="n"/>
      <c r="K149" s="86" t="n"/>
      <c r="L149" s="35" t="n"/>
      <c r="M149" s="36" t="n"/>
      <c r="N149" s="85" t="n"/>
      <c r="O149" s="85" t="n"/>
      <c r="P149" s="85" t="n"/>
      <c r="Q149" s="85" t="n"/>
      <c r="R149" s="85" t="n"/>
      <c r="S149" s="85" t="n"/>
      <c r="T149" s="87" t="n"/>
      <c r="U149" s="85" t="n"/>
      <c r="V149" s="85" t="n"/>
      <c r="W149" s="88" t="n"/>
      <c r="X149" s="85" t="n"/>
      <c r="Y149" s="35" t="n"/>
      <c r="Z149" s="36" t="n"/>
      <c r="AA149" s="85" t="n"/>
      <c r="AB149" s="87" t="n"/>
      <c r="AC149" s="85" t="n"/>
      <c r="AD149" s="85" t="n"/>
      <c r="AE149" s="39" t="n"/>
      <c r="AF149" s="40" t="n"/>
      <c r="AG149" s="85" t="n"/>
      <c r="AH149" s="87" t="n"/>
      <c r="AI149" s="87" t="n"/>
      <c r="AJ149" s="85" t="n"/>
      <c r="AK149" s="85" t="n"/>
      <c r="AL149" s="85" t="n"/>
    </row>
    <row r="150">
      <c r="A150" s="83" t="inlineStr">
        <is>
          <t>CELIMAX THE REAL NONI MOISTURE BALANCING TONER (NEW) [150ml]/Восстанавливающий тонер с экстрактом нони</t>
        </is>
      </c>
      <c r="B150" s="84" t="n"/>
      <c r="C150" s="84" t="n"/>
      <c r="D150" s="85" t="n"/>
      <c r="E150" s="85" t="n"/>
      <c r="F150" s="85" t="n"/>
      <c r="G150" s="85" t="n"/>
      <c r="H150" s="32" t="n"/>
      <c r="I150" s="33" t="n"/>
      <c r="J150" s="86" t="n"/>
      <c r="K150" s="86" t="n"/>
      <c r="L150" s="35" t="n"/>
      <c r="M150" s="36" t="n"/>
      <c r="N150" s="85" t="n"/>
      <c r="O150" s="85" t="n"/>
      <c r="P150" s="85" t="n"/>
      <c r="Q150" s="85" t="n"/>
      <c r="R150" s="85" t="n"/>
      <c r="S150" s="85" t="n"/>
      <c r="T150" s="87" t="n"/>
      <c r="U150" s="85" t="n"/>
      <c r="V150" s="85" t="n"/>
      <c r="W150" s="88" t="n"/>
      <c r="X150" s="85" t="n"/>
      <c r="Y150" s="35" t="n"/>
      <c r="Z150" s="36" t="n"/>
      <c r="AA150" s="85" t="n"/>
      <c r="AB150" s="87" t="n"/>
      <c r="AC150" s="85" t="n"/>
      <c r="AD150" s="85" t="n"/>
      <c r="AE150" s="39" t="n"/>
      <c r="AF150" s="40" t="n"/>
      <c r="AG150" s="85" t="n"/>
      <c r="AH150" s="87" t="n"/>
      <c r="AI150" s="87" t="n"/>
      <c r="AJ150" s="85" t="n"/>
      <c r="AK150" s="85" t="n"/>
      <c r="AL150" s="85" t="n"/>
    </row>
    <row r="151">
      <c r="A151" s="68" t="inlineStr">
        <is>
          <t>Косметика/VT</t>
        </is>
      </c>
      <c r="B151" s="69" t="n"/>
      <c r="C151" s="69" t="n"/>
      <c r="D151" s="69" t="n"/>
      <c r="E151" s="69" t="n"/>
      <c r="F151" s="69" t="n"/>
      <c r="G151" s="69" t="n"/>
      <c r="H151" s="69" t="n"/>
      <c r="I151" s="69" t="n"/>
      <c r="J151" s="69" t="n"/>
      <c r="K151" s="69" t="n"/>
      <c r="L151" s="69" t="n"/>
      <c r="M151" s="69" t="n"/>
      <c r="N151" s="69" t="n"/>
      <c r="O151" s="69" t="n"/>
      <c r="P151" s="69" t="n"/>
      <c r="Q151" s="69" t="n"/>
      <c r="R151" s="69" t="n"/>
      <c r="S151" s="69" t="n"/>
      <c r="T151" s="69" t="n"/>
      <c r="U151" s="69" t="n"/>
      <c r="V151" s="69" t="n"/>
      <c r="W151" s="69" t="n"/>
      <c r="X151" s="69" t="n"/>
      <c r="Y151" s="69" t="n"/>
      <c r="Z151" s="69" t="n"/>
      <c r="AA151" s="69" t="n"/>
      <c r="AB151" s="69" t="n"/>
      <c r="AC151" s="69" t="n"/>
      <c r="AD151" s="69" t="n"/>
      <c r="AE151" s="69" t="n"/>
      <c r="AF151" s="69" t="n"/>
      <c r="AG151" s="69" t="n"/>
      <c r="AH151" s="69" t="n"/>
      <c r="AI151" s="69" t="n"/>
      <c r="AJ151" s="69" t="n"/>
      <c r="AK151" s="69" t="n"/>
      <c r="AL151" s="69" t="n"/>
    </row>
    <row r="152">
      <c r="A152" s="70" t="inlineStr">
        <is>
          <t>VT PDRN ESSENCE 100 / Укрепляющая бустер-эссенция с ПДРН</t>
        </is>
      </c>
      <c r="B152" s="71" t="n"/>
      <c r="C152" s="72" t="n"/>
      <c r="D152" s="73" t="n">
        <v>6000</v>
      </c>
      <c r="E152" s="73" t="n">
        <v>500</v>
      </c>
      <c r="F152" s="73" t="n">
        <v>10</v>
      </c>
      <c r="G152" s="73">
        <f>(1.25*L152+O152+Q152+V152+X152+Y152+AK152)/(1-M152-$G$8-$G$4-(1-H152)*$G$3-$G$11-Z152-AB152)</f>
        <v/>
      </c>
      <c r="H152" s="15" t="n">
        <v>0.45</v>
      </c>
      <c r="I152" s="16">
        <f>G152*(1-H152)</f>
        <v/>
      </c>
      <c r="J152" s="74" t="n">
        <v>1335.95</v>
      </c>
      <c r="K152" s="75">
        <f>$G$5</f>
        <v/>
      </c>
      <c r="L152" s="19">
        <f>J152+K152</f>
        <v/>
      </c>
      <c r="M152" s="20" t="n">
        <v>0.47</v>
      </c>
      <c r="N152" s="76">
        <f>G152*M152</f>
        <v/>
      </c>
      <c r="O152" s="77" t="n">
        <v>63</v>
      </c>
      <c r="P152" s="76">
        <f>G152*$G$8</f>
        <v/>
      </c>
      <c r="Q152" s="77" t="n">
        <v>25</v>
      </c>
      <c r="R152" s="76">
        <f>G152*$G$4</f>
        <v/>
      </c>
      <c r="S152" s="76">
        <f>I152*$G$3</f>
        <v/>
      </c>
      <c r="T152" s="78" t="n">
        <v>0.9</v>
      </c>
      <c r="U152" s="77" t="n">
        <v>63</v>
      </c>
      <c r="V152" s="76">
        <f>U152*(1-T152)</f>
        <v/>
      </c>
      <c r="W152" s="79" t="n">
        <v>0.3</v>
      </c>
      <c r="X152" s="76">
        <f>$G$6*$G$7*W152</f>
        <v/>
      </c>
      <c r="Y152" s="19">
        <f>W152*($G$9+$G$10)</f>
        <v/>
      </c>
      <c r="Z152" s="20" t="n">
        <v>0.07000000000000001</v>
      </c>
      <c r="AA152" s="76">
        <f>G152*Z152</f>
        <v/>
      </c>
      <c r="AB152" s="78" t="n">
        <v>0.08</v>
      </c>
      <c r="AC152" s="76">
        <f>G152*AB152</f>
        <v/>
      </c>
      <c r="AD152" s="76">
        <f>AA152+AC152</f>
        <v/>
      </c>
      <c r="AE152" s="25">
        <f>AD152/G152</f>
        <v/>
      </c>
      <c r="AF152" s="26">
        <f>G152-N152-O152-P152-Q152-R152-S152-V152-X152-Y152-L152-AK152-AL152</f>
        <v/>
      </c>
      <c r="AG152" s="80">
        <f>AF152-AD152</f>
        <v/>
      </c>
      <c r="AH152" s="81">
        <f>AG152/G152</f>
        <v/>
      </c>
      <c r="AI152" s="82">
        <f>AG152/L152</f>
        <v/>
      </c>
      <c r="AJ152" s="76">
        <f>(O152+Q152+V152+X152+Y152+L152+AK152)/(1-(M152+$G$4+(1-H152)*$G$3+$G$8+$G$11+Z152+AB152))</f>
        <v/>
      </c>
      <c r="AK152" s="76">
        <f>$G$12</f>
        <v/>
      </c>
      <c r="AL152" s="76">
        <f>G152*$G$11</f>
        <v/>
      </c>
    </row>
    <row r="153">
      <c r="A153" s="70" t="inlineStr">
        <is>
          <t>VT REEDLE SHOT 100 / Бустер-сыворотка с микроиглами</t>
        </is>
      </c>
      <c r="B153" s="71" t="n"/>
      <c r="C153" s="72" t="n"/>
      <c r="D153" s="73" t="n">
        <v>5900</v>
      </c>
      <c r="E153" s="73" t="n">
        <v>220</v>
      </c>
      <c r="F153" s="73" t="n">
        <v>11</v>
      </c>
      <c r="G153" s="73">
        <f>(1.25*L153+O153+Q153+V153+X153+Y153+AK153)/(1-M153-$G$8-$G$4-(1-H153)*$G$3-$G$11-Z153-AB153)</f>
        <v/>
      </c>
      <c r="H153" s="15" t="n">
        <v>0.45</v>
      </c>
      <c r="I153" s="16">
        <f>G153*(1-H153)</f>
        <v/>
      </c>
      <c r="J153" s="74" t="n">
        <v>974.04</v>
      </c>
      <c r="K153" s="75">
        <f>$G$5</f>
        <v/>
      </c>
      <c r="L153" s="19">
        <f>J153+K153</f>
        <v/>
      </c>
      <c r="M153" s="20" t="n">
        <v>0.47</v>
      </c>
      <c r="N153" s="76">
        <f>G153*M153</f>
        <v/>
      </c>
      <c r="O153" s="77" t="n">
        <v>63</v>
      </c>
      <c r="P153" s="76">
        <f>G153*$G$8</f>
        <v/>
      </c>
      <c r="Q153" s="77" t="n">
        <v>25</v>
      </c>
      <c r="R153" s="76">
        <f>G153*$G$4</f>
        <v/>
      </c>
      <c r="S153" s="76">
        <f>I153*$G$3</f>
        <v/>
      </c>
      <c r="T153" s="78" t="n">
        <v>0.9</v>
      </c>
      <c r="U153" s="77" t="n">
        <v>63</v>
      </c>
      <c r="V153" s="76">
        <f>U153*(1-T153)</f>
        <v/>
      </c>
      <c r="W153" s="79" t="n">
        <v>0.4</v>
      </c>
      <c r="X153" s="76">
        <f>$G$6*$G$7*W153</f>
        <v/>
      </c>
      <c r="Y153" s="19">
        <f>W153*($G$9+$G$10)</f>
        <v/>
      </c>
      <c r="Z153" s="20" t="n">
        <v>0.07000000000000001</v>
      </c>
      <c r="AA153" s="76">
        <f>G153*Z153</f>
        <v/>
      </c>
      <c r="AB153" s="78" t="n">
        <v>0.08</v>
      </c>
      <c r="AC153" s="76">
        <f>G153*AB153</f>
        <v/>
      </c>
      <c r="AD153" s="76">
        <f>AA153+AC153</f>
        <v/>
      </c>
      <c r="AE153" s="25">
        <f>AD153/G153</f>
        <v/>
      </c>
      <c r="AF153" s="26">
        <f>G153-N153-O153-P153-Q153-R153-S153-V153-X153-Y153-L153-AK153-AL153</f>
        <v/>
      </c>
      <c r="AG153" s="80">
        <f>AF153-AD153</f>
        <v/>
      </c>
      <c r="AH153" s="81">
        <f>AG153/G153</f>
        <v/>
      </c>
      <c r="AI153" s="82">
        <f>AG153/L153</f>
        <v/>
      </c>
      <c r="AJ153" s="76">
        <f>(O153+Q153+V153+X153+Y153+L153+AK153)/(1-(M153+$G$4+(1-H153)*$G$3+$G$8+$G$11+Z153+AB153))</f>
        <v/>
      </c>
      <c r="AK153" s="76">
        <f>$G$12</f>
        <v/>
      </c>
      <c r="AL153" s="76">
        <f>G153*$G$11</f>
        <v/>
      </c>
    </row>
    <row r="154">
      <c r="A154" s="83" t="inlineStr">
        <is>
          <t>Итого:</t>
        </is>
      </c>
      <c r="B154" s="84" t="n"/>
      <c r="C154" s="84" t="n"/>
      <c r="D154" s="85" t="n"/>
      <c r="E154" s="85" t="n"/>
      <c r="F154" s="85" t="n"/>
      <c r="G154" s="85" t="n"/>
      <c r="H154" s="32" t="n"/>
      <c r="I154" s="33" t="n"/>
      <c r="J154" s="86" t="n"/>
      <c r="K154" s="86" t="n"/>
      <c r="L154" s="35" t="n"/>
      <c r="M154" s="36" t="n"/>
      <c r="N154" s="85" t="n"/>
      <c r="O154" s="85" t="n"/>
      <c r="P154" s="85" t="n"/>
      <c r="Q154" s="85" t="n"/>
      <c r="R154" s="85" t="n"/>
      <c r="S154" s="85" t="n"/>
      <c r="T154" s="87" t="n"/>
      <c r="U154" s="85" t="n"/>
      <c r="V154" s="85" t="n"/>
      <c r="W154" s="88" t="n"/>
      <c r="X154" s="85" t="n"/>
      <c r="Y154" s="35" t="n"/>
      <c r="Z154" s="36" t="n"/>
      <c r="AA154" s="85" t="n"/>
      <c r="AB154" s="87" t="n"/>
      <c r="AC154" s="85" t="n"/>
      <c r="AD154" s="85" t="n"/>
      <c r="AE154" s="39" t="n"/>
      <c r="AF154" s="40" t="n"/>
      <c r="AG154" s="85" t="n"/>
      <c r="AH154" s="87" t="n"/>
      <c r="AI154" s="87" t="n"/>
      <c r="AJ154" s="85" t="n"/>
      <c r="AK154" s="85" t="n"/>
      <c r="AL154" s="85" t="n"/>
    </row>
    <row r="155">
      <c r="A155" s="68" t="inlineStr">
        <is>
          <t>НЕ В ОСТАТКАХ (юнитка без строки в остатках)</t>
        </is>
      </c>
      <c r="B155" s="69" t="n"/>
      <c r="C155" s="69" t="n"/>
      <c r="D155" s="69" t="n"/>
      <c r="E155" s="69" t="n"/>
      <c r="F155" s="69" t="n"/>
      <c r="G155" s="69" t="n"/>
      <c r="H155" s="69" t="n"/>
      <c r="I155" s="69" t="n"/>
      <c r="J155" s="69" t="n"/>
      <c r="K155" s="69" t="n"/>
      <c r="L155" s="69" t="n"/>
      <c r="M155" s="69" t="n"/>
      <c r="N155" s="69" t="n"/>
      <c r="O155" s="69" t="n"/>
      <c r="P155" s="69" t="n"/>
      <c r="Q155" s="69" t="n"/>
      <c r="R155" s="69" t="n"/>
      <c r="S155" s="69" t="n"/>
      <c r="T155" s="69" t="n"/>
      <c r="U155" s="69" t="n"/>
      <c r="V155" s="69" t="n"/>
      <c r="W155" s="69" t="n"/>
      <c r="X155" s="69" t="n"/>
      <c r="Y155" s="69" t="n"/>
      <c r="Z155" s="69" t="n"/>
      <c r="AA155" s="69" t="n"/>
      <c r="AB155" s="69" t="n"/>
      <c r="AC155" s="69" t="n"/>
      <c r="AD155" s="69" t="n"/>
      <c r="AE155" s="69" t="n"/>
      <c r="AF155" s="69" t="n"/>
      <c r="AG155" s="69" t="n"/>
      <c r="AH155" s="69" t="n"/>
      <c r="AI155" s="69" t="n"/>
      <c r="AJ155" s="69" t="n"/>
      <c r="AK155" s="69" t="n"/>
      <c r="AL155" s="69" t="n"/>
    </row>
    <row r="156">
      <c r="A156" s="94" t="inlineStr">
        <is>
          <t>1025 DOKDO BUBBLE FOAM_150ml</t>
        </is>
      </c>
      <c r="B156" s="95" t="n">
        <v>600</v>
      </c>
      <c r="C156" s="52" t="n"/>
      <c r="D156" s="73" t="n">
        <v>2650</v>
      </c>
      <c r="E156" s="73" t="n">
        <v>20</v>
      </c>
      <c r="F156" s="73" t="n">
        <v>2</v>
      </c>
      <c r="G156" s="73">
        <f>(1.25*L156+O156+Q156+V156+X156+Y156+AK156)/(1-M156-$G$8-$G$4-(1-H156)*$G$3-$G$11-Z156-AB156)</f>
        <v/>
      </c>
      <c r="H156" s="15" t="n">
        <v>0.45</v>
      </c>
      <c r="I156" s="16">
        <f>G156*(1-H156)</f>
        <v/>
      </c>
      <c r="J156" s="74" t="n">
        <v>455</v>
      </c>
      <c r="K156" s="75">
        <f>$G$5</f>
        <v/>
      </c>
      <c r="L156" s="19">
        <f>J156+K156</f>
        <v/>
      </c>
      <c r="M156" s="20" t="n">
        <v>0.47</v>
      </c>
      <c r="N156" s="76">
        <f>G156*M156</f>
        <v/>
      </c>
      <c r="O156" s="77" t="n">
        <v>74</v>
      </c>
      <c r="P156" s="76">
        <f>G156*$G$8</f>
        <v/>
      </c>
      <c r="Q156" s="77" t="n">
        <v>25</v>
      </c>
      <c r="R156" s="76">
        <f>G156*$G$4</f>
        <v/>
      </c>
      <c r="S156" s="76">
        <f>I156*$G$3</f>
        <v/>
      </c>
      <c r="T156" s="78" t="n">
        <v>0.9</v>
      </c>
      <c r="U156" s="77" t="n">
        <v>74</v>
      </c>
      <c r="V156" s="76">
        <f>U156*(1-T156)</f>
        <v/>
      </c>
      <c r="W156" s="79" t="n">
        <v>1.28</v>
      </c>
      <c r="X156" s="76">
        <f>$G$6*$G$7*W156</f>
        <v/>
      </c>
      <c r="Y156" s="19">
        <f>W156*($G$9+$G$10)</f>
        <v/>
      </c>
      <c r="Z156" s="20" t="n">
        <v>0.07000000000000001</v>
      </c>
      <c r="AA156" s="76">
        <f>G156*Z156</f>
        <v/>
      </c>
      <c r="AB156" s="78" t="n">
        <v>0.08</v>
      </c>
      <c r="AC156" s="76">
        <f>G156*AB156</f>
        <v/>
      </c>
      <c r="AD156" s="76">
        <f>AA156+AC156</f>
        <v/>
      </c>
      <c r="AE156" s="25">
        <f>AD156/G156</f>
        <v/>
      </c>
      <c r="AF156" s="26">
        <f>G156-N156-O156-P156-Q156-R156-S156-V156-X156-Y156-L156-AK156-AL156</f>
        <v/>
      </c>
      <c r="AG156" s="80">
        <f>AF156-AD156</f>
        <v/>
      </c>
      <c r="AH156" s="81">
        <f>AG156/G156</f>
        <v/>
      </c>
      <c r="AI156" s="82">
        <f>AG156/L156</f>
        <v/>
      </c>
      <c r="AJ156" s="76">
        <f>(O156+Q156+V156+X156+Y156+L156+AK156)/(1-(M156+$G$4+(1-H156)*$G$3+$G$8+$G$11+Z156+AB156))</f>
        <v/>
      </c>
      <c r="AK156" s="76">
        <f>$G$12</f>
        <v/>
      </c>
      <c r="AL156" s="76">
        <f>G156*$G$11</f>
        <v/>
      </c>
    </row>
    <row r="157">
      <c r="A157" s="94" t="inlineStr">
        <is>
          <t>MEDICUBE PDRN PINK PEPTIDE SERUM 30ml</t>
        </is>
      </c>
      <c r="B157" s="95" t="n">
        <v>320</v>
      </c>
      <c r="C157" s="49" t="n"/>
      <c r="D157" s="73" t="n">
        <v>4880</v>
      </c>
      <c r="E157" s="73" t="n">
        <v>220</v>
      </c>
      <c r="F157" s="73" t="n">
        <v>10</v>
      </c>
      <c r="G157" s="73">
        <f>(1.25*L157+O157+Q157+V157+X157+Y157+AK157)/(1-M157-$G$8-$G$4-(1-H157)*$G$3-$G$11-Z157-AB157)</f>
        <v/>
      </c>
      <c r="H157" s="15" t="n">
        <v>0.45</v>
      </c>
      <c r="I157" s="16">
        <f>G157*(1-H157)</f>
        <v/>
      </c>
      <c r="J157" s="74" t="n">
        <v>674</v>
      </c>
      <c r="K157" s="75">
        <f>$G$5</f>
        <v/>
      </c>
      <c r="L157" s="19">
        <f>J157+K157</f>
        <v/>
      </c>
      <c r="M157" s="20" t="n">
        <v>0.47</v>
      </c>
      <c r="N157" s="76">
        <f>G157*M157</f>
        <v/>
      </c>
      <c r="O157" s="77" t="n">
        <v>63</v>
      </c>
      <c r="P157" s="76">
        <f>G157*$G$8</f>
        <v/>
      </c>
      <c r="Q157" s="77" t="n">
        <v>25</v>
      </c>
      <c r="R157" s="76">
        <f>G157*$G$4</f>
        <v/>
      </c>
      <c r="S157" s="76">
        <f>I157*$G$3</f>
        <v/>
      </c>
      <c r="T157" s="78" t="n">
        <v>0.9</v>
      </c>
      <c r="U157" s="77" t="n">
        <v>63</v>
      </c>
      <c r="V157" s="76">
        <f>U157*(1-T157)</f>
        <v/>
      </c>
      <c r="W157" s="79" t="n">
        <v>0.4</v>
      </c>
      <c r="X157" s="76">
        <f>$G$6*$G$7*W157</f>
        <v/>
      </c>
      <c r="Y157" s="19">
        <f>W157*($G$9+$G$10)</f>
        <v/>
      </c>
      <c r="Z157" s="20" t="n">
        <v>0.07000000000000001</v>
      </c>
      <c r="AA157" s="76">
        <f>G157*Z157</f>
        <v/>
      </c>
      <c r="AB157" s="78" t="n">
        <v>0.08</v>
      </c>
      <c r="AC157" s="76">
        <f>G157*AB157</f>
        <v/>
      </c>
      <c r="AD157" s="76">
        <f>AA157+AC157</f>
        <v/>
      </c>
      <c r="AE157" s="25">
        <f>AD157/G157</f>
        <v/>
      </c>
      <c r="AF157" s="26">
        <f>G157-N157-O157-P157-Q157-R157-S157-V157-X157-Y157-L157-AK157-AL157</f>
        <v/>
      </c>
      <c r="AG157" s="80">
        <f>AF157-AD157</f>
        <v/>
      </c>
      <c r="AH157" s="81">
        <f>AG157/G157</f>
        <v/>
      </c>
      <c r="AI157" s="82">
        <f>AG157/L157</f>
        <v/>
      </c>
      <c r="AJ157" s="76">
        <f>(O157+Q157+V157+X157+Y157+L157+AK157)/(1-(M157+$G$4+(1-H157)*$G$3+$G$8+$G$11+Z157+AB157))</f>
        <v/>
      </c>
      <c r="AK157" s="76">
        <f>$G$12</f>
        <v/>
      </c>
      <c r="AL157" s="76">
        <f>G157*$G$11</f>
        <v/>
      </c>
    </row>
    <row r="158">
      <c r="A158" s="94" t="inlineStr">
        <is>
          <t>MEDICUBE PDRN PINK EXOSOME SHOT SERUM 7500 30ml</t>
        </is>
      </c>
      <c r="B158" s="95" t="n">
        <v>400</v>
      </c>
      <c r="C158" s="53" t="n"/>
      <c r="D158" s="73" t="n">
        <v>5000</v>
      </c>
      <c r="E158" s="73" t="n">
        <v>60</v>
      </c>
      <c r="F158" s="73" t="n">
        <v>10</v>
      </c>
      <c r="G158" s="73">
        <f>(1.25*L158+O158+Q158+V158+X158+Y158+AK158)/(1-M158-$G$8-$G$4-(1-H158)*$G$3-$G$11-Z158-AB158)</f>
        <v/>
      </c>
      <c r="H158" s="15" t="n">
        <v>0.45</v>
      </c>
      <c r="I158" s="16">
        <f>G158*(1-H158)</f>
        <v/>
      </c>
      <c r="J158" s="74" t="n">
        <v>833</v>
      </c>
      <c r="K158" s="75">
        <f>$G$5</f>
        <v/>
      </c>
      <c r="L158" s="19">
        <f>J158+K158</f>
        <v/>
      </c>
      <c r="M158" s="20" t="n">
        <v>0.47</v>
      </c>
      <c r="N158" s="76">
        <f>G158*M158</f>
        <v/>
      </c>
      <c r="O158" s="77" t="n">
        <v>63</v>
      </c>
      <c r="P158" s="76">
        <f>G158*$G$8</f>
        <v/>
      </c>
      <c r="Q158" s="77" t="n">
        <v>25</v>
      </c>
      <c r="R158" s="76">
        <f>G158*$G$4</f>
        <v/>
      </c>
      <c r="S158" s="76">
        <f>I158*$G$3</f>
        <v/>
      </c>
      <c r="T158" s="78" t="n">
        <v>0.9</v>
      </c>
      <c r="U158" s="77" t="n">
        <v>63</v>
      </c>
      <c r="V158" s="76">
        <f>U158*(1-T158)</f>
        <v/>
      </c>
      <c r="W158" s="79" t="n">
        <v>0.4</v>
      </c>
      <c r="X158" s="76">
        <f>$G$6*$G$7*W158</f>
        <v/>
      </c>
      <c r="Y158" s="19">
        <f>W158*($G$9+$G$10)</f>
        <v/>
      </c>
      <c r="Z158" s="20" t="n">
        <v>0.07000000000000001</v>
      </c>
      <c r="AA158" s="76">
        <f>G158*Z158</f>
        <v/>
      </c>
      <c r="AB158" s="78" t="n">
        <v>0.08</v>
      </c>
      <c r="AC158" s="76">
        <f>G158*AB158</f>
        <v/>
      </c>
      <c r="AD158" s="76">
        <f>AA158+AC158</f>
        <v/>
      </c>
      <c r="AE158" s="25">
        <f>AD158/G158</f>
        <v/>
      </c>
      <c r="AF158" s="26">
        <f>G158-N158-O158-P158-Q158-R158-S158-V158-X158-Y158-L158-AK158-AL158</f>
        <v/>
      </c>
      <c r="AG158" s="80">
        <f>AF158-AD158</f>
        <v/>
      </c>
      <c r="AH158" s="81">
        <f>AG158/G158</f>
        <v/>
      </c>
      <c r="AI158" s="82">
        <f>AG158/L158</f>
        <v/>
      </c>
      <c r="AJ158" s="76">
        <f>(O158+Q158+V158+X158+Y158+L158+AK158)/(1-(M158+$G$4+(1-H158)*$G$3+$G$8+$G$11+Z158+AB158))</f>
        <v/>
      </c>
      <c r="AK158" s="76">
        <f>$G$12</f>
        <v/>
      </c>
      <c r="AL158" s="76">
        <f>G158*$G$11</f>
        <v/>
      </c>
    </row>
    <row r="159">
      <c r="A159" s="94" t="inlineStr">
        <is>
          <t>MEDICUBE PDRN PINK EXOSOME SHOT SERUM 2000 30ml</t>
        </is>
      </c>
      <c r="B159" s="95" t="n">
        <v>300</v>
      </c>
      <c r="C159" s="49" t="n"/>
      <c r="D159" s="73" t="n">
        <v>5150</v>
      </c>
      <c r="E159" s="73" t="n">
        <v>65</v>
      </c>
      <c r="F159" s="73" t="n">
        <v>5</v>
      </c>
      <c r="G159" s="73">
        <f>(1.25*L159+O159+Q159+V159+X159+Y159+AK159)/(1-M159-$G$8-$G$4-(1-H159)*$G$3-$G$11-Z159-AB159)</f>
        <v/>
      </c>
      <c r="H159" s="15" t="n">
        <v>0.45</v>
      </c>
      <c r="I159" s="16">
        <f>G159*(1-H159)</f>
        <v/>
      </c>
      <c r="J159" s="74" t="n">
        <v>757</v>
      </c>
      <c r="K159" s="75">
        <f>$G$5</f>
        <v/>
      </c>
      <c r="L159" s="19">
        <f>J159+K159</f>
        <v/>
      </c>
      <c r="M159" s="20" t="n">
        <v>0.47</v>
      </c>
      <c r="N159" s="76">
        <f>G159*M159</f>
        <v/>
      </c>
      <c r="O159" s="77" t="n">
        <v>63</v>
      </c>
      <c r="P159" s="76">
        <f>G159*$G$8</f>
        <v/>
      </c>
      <c r="Q159" s="77" t="n">
        <v>25</v>
      </c>
      <c r="R159" s="76">
        <f>G159*$G$4</f>
        <v/>
      </c>
      <c r="S159" s="76">
        <f>I159*$G$3</f>
        <v/>
      </c>
      <c r="T159" s="78" t="n">
        <v>0.9</v>
      </c>
      <c r="U159" s="77" t="n">
        <v>63</v>
      </c>
      <c r="V159" s="76">
        <f>U159*(1-T159)</f>
        <v/>
      </c>
      <c r="W159" s="79" t="n">
        <v>0.4</v>
      </c>
      <c r="X159" s="76">
        <f>$G$6*$G$7*W159</f>
        <v/>
      </c>
      <c r="Y159" s="19">
        <f>W159*($G$9+$G$10)</f>
        <v/>
      </c>
      <c r="Z159" s="20" t="n">
        <v>0.07000000000000001</v>
      </c>
      <c r="AA159" s="76">
        <f>G159*Z159</f>
        <v/>
      </c>
      <c r="AB159" s="78" t="n">
        <v>0.08</v>
      </c>
      <c r="AC159" s="76">
        <f>G159*AB159</f>
        <v/>
      </c>
      <c r="AD159" s="76">
        <f>AA159+AC159</f>
        <v/>
      </c>
      <c r="AE159" s="25">
        <f>AD159/G159</f>
        <v/>
      </c>
      <c r="AF159" s="26">
        <f>G159-N159-O159-P159-Q159-R159-S159-V159-X159-Y159-L159-AK159-AL159</f>
        <v/>
      </c>
      <c r="AG159" s="80">
        <f>AF159-AD159</f>
        <v/>
      </c>
      <c r="AH159" s="81">
        <f>AG159/G159</f>
        <v/>
      </c>
      <c r="AI159" s="82">
        <f>AG159/L159</f>
        <v/>
      </c>
      <c r="AJ159" s="76">
        <f>(O159+Q159+V159+X159+Y159+L159+AK159)/(1-(M159+$G$4+(1-H159)*$G$3+$G$8+$G$11+Z159+AB159))</f>
        <v/>
      </c>
      <c r="AK159" s="76">
        <f>$G$12</f>
        <v/>
      </c>
      <c r="AL159" s="76">
        <f>G159*$G$11</f>
        <v/>
      </c>
    </row>
    <row r="160">
      <c r="A160" s="94" t="inlineStr">
        <is>
          <t>MEDICUBE TXA NIACINAMIDE CAPSULE CREAM 55g</t>
        </is>
      </c>
      <c r="B160" s="95" t="n">
        <v>240</v>
      </c>
      <c r="C160" s="49" t="n"/>
      <c r="D160" s="73" t="n">
        <v>6900</v>
      </c>
      <c r="E160" s="73" t="n">
        <v>25</v>
      </c>
      <c r="F160" s="73" t="n">
        <v>0</v>
      </c>
      <c r="G160" s="73">
        <f>(1.25*L160+O160+Q160+V160+X160+Y160+AK160)/(1-M160-$G$8-$G$4-(1-H160)*$G$3-$G$11-Z160-AB160)</f>
        <v/>
      </c>
      <c r="H160" s="15" t="n">
        <v>0.45</v>
      </c>
      <c r="I160" s="16">
        <f>G160*(1-H160)</f>
        <v/>
      </c>
      <c r="J160" s="74" t="n">
        <v>922</v>
      </c>
      <c r="K160" s="75">
        <f>$G$5</f>
        <v/>
      </c>
      <c r="L160" s="19">
        <f>J160+K160</f>
        <v/>
      </c>
      <c r="M160" s="20" t="n">
        <v>0.47</v>
      </c>
      <c r="N160" s="76">
        <f>G160*M160</f>
        <v/>
      </c>
      <c r="O160" s="77" t="n">
        <v>63</v>
      </c>
      <c r="P160" s="76">
        <f>G160*$G$8</f>
        <v/>
      </c>
      <c r="Q160" s="77" t="n">
        <v>25</v>
      </c>
      <c r="R160" s="76">
        <f>G160*$G$4</f>
        <v/>
      </c>
      <c r="S160" s="76">
        <f>I160*$G$3</f>
        <v/>
      </c>
      <c r="T160" s="78" t="n">
        <v>0.9</v>
      </c>
      <c r="U160" s="77" t="n">
        <v>63</v>
      </c>
      <c r="V160" s="76">
        <f>U160*(1-T160)</f>
        <v/>
      </c>
      <c r="W160" s="79" t="n">
        <v>0.4</v>
      </c>
      <c r="X160" s="76">
        <f>$G$6*$G$7*W160</f>
        <v/>
      </c>
      <c r="Y160" s="19">
        <f>W160*($G$9+$G$10)</f>
        <v/>
      </c>
      <c r="Z160" s="20" t="n">
        <v>0.07000000000000001</v>
      </c>
      <c r="AA160" s="76">
        <f>G160*Z160</f>
        <v/>
      </c>
      <c r="AB160" s="78" t="n">
        <v>0.08</v>
      </c>
      <c r="AC160" s="76">
        <f>G160*AB160</f>
        <v/>
      </c>
      <c r="AD160" s="76">
        <f>AA160+AC160</f>
        <v/>
      </c>
      <c r="AE160" s="25">
        <f>AD160/G160</f>
        <v/>
      </c>
      <c r="AF160" s="26">
        <f>G160-N160-O160-P160-Q160-R160-S160-V160-X160-Y160-L160-AK160-AL160</f>
        <v/>
      </c>
      <c r="AG160" s="80">
        <f>AF160-AD160</f>
        <v/>
      </c>
      <c r="AH160" s="81">
        <f>AG160/G160</f>
        <v/>
      </c>
      <c r="AI160" s="82">
        <f>AG160/L160</f>
        <v/>
      </c>
      <c r="AJ160" s="76">
        <f>(O160+Q160+V160+X160+Y160+L160+AK160)/(1-(M160+$G$4+(1-H160)*$G$3+$G$8+$G$11+Z160+AB160))</f>
        <v/>
      </c>
      <c r="AK160" s="76">
        <f>$G$12</f>
        <v/>
      </c>
      <c r="AL160" s="76">
        <f>G160*$G$11</f>
        <v/>
      </c>
    </row>
    <row r="161">
      <c r="A161" s="94" t="inlineStr">
        <is>
          <t>MEDICUBE PDRN PINK COLLAGEN CAPSULE CREAM 55g</t>
        </is>
      </c>
      <c r="B161" s="95" t="n">
        <v>160</v>
      </c>
      <c r="C161" s="49" t="n"/>
      <c r="D161" s="73" t="n">
        <v>5270</v>
      </c>
      <c r="E161" s="73" t="n">
        <v>200</v>
      </c>
      <c r="F161" s="73" t="n">
        <v>17</v>
      </c>
      <c r="G161" s="73">
        <f>(1.25*L161+O161+Q161+V161+X161+Y161+AK161)/(1-M161-$G$8-$G$4-(1-H161)*$G$3-$G$11-Z161-AB161)</f>
        <v/>
      </c>
      <c r="H161" s="15" t="n">
        <v>0.45</v>
      </c>
      <c r="I161" s="16">
        <f>G161*(1-H161)</f>
        <v/>
      </c>
      <c r="J161" s="74" t="n">
        <v>1019</v>
      </c>
      <c r="K161" s="75">
        <f>$G$5</f>
        <v/>
      </c>
      <c r="L161" s="19">
        <f>J161+K161</f>
        <v/>
      </c>
      <c r="M161" s="20" t="n">
        <v>0.47</v>
      </c>
      <c r="N161" s="76">
        <f>G161*M161</f>
        <v/>
      </c>
      <c r="O161" s="77" t="n">
        <v>63</v>
      </c>
      <c r="P161" s="76">
        <f>G161*$G$8</f>
        <v/>
      </c>
      <c r="Q161" s="77" t="n">
        <v>25</v>
      </c>
      <c r="R161" s="76">
        <f>G161*$G$4</f>
        <v/>
      </c>
      <c r="S161" s="76">
        <f>I161*$G$3</f>
        <v/>
      </c>
      <c r="T161" s="78" t="n">
        <v>0.9</v>
      </c>
      <c r="U161" s="77" t="n">
        <v>63</v>
      </c>
      <c r="V161" s="76">
        <f>U161*(1-T161)</f>
        <v/>
      </c>
      <c r="W161" s="79" t="n">
        <v>0.4</v>
      </c>
      <c r="X161" s="76">
        <f>$G$6*$G$7*W161</f>
        <v/>
      </c>
      <c r="Y161" s="19">
        <f>W161*($G$9+$G$10)</f>
        <v/>
      </c>
      <c r="Z161" s="20" t="n">
        <v>0.07000000000000001</v>
      </c>
      <c r="AA161" s="76">
        <f>G161*Z161</f>
        <v/>
      </c>
      <c r="AB161" s="78" t="n">
        <v>0.08</v>
      </c>
      <c r="AC161" s="76">
        <f>G161*AB161</f>
        <v/>
      </c>
      <c r="AD161" s="76">
        <f>AA161+AC161</f>
        <v/>
      </c>
      <c r="AE161" s="25">
        <f>AD161/G161</f>
        <v/>
      </c>
      <c r="AF161" s="26">
        <f>G161-N161-O161-P161-Q161-R161-S161-V161-X161-Y161-L161-AK161-AL161</f>
        <v/>
      </c>
      <c r="AG161" s="80">
        <f>AF161-AD161</f>
        <v/>
      </c>
      <c r="AH161" s="81">
        <f>AG161/G161</f>
        <v/>
      </c>
      <c r="AI161" s="82">
        <f>AG161/L161</f>
        <v/>
      </c>
      <c r="AJ161" s="76">
        <f>(O161+Q161+V161+X161+Y161+L161+AK161)/(1-(M161+$G$4+(1-H161)*$G$3+$G$8+$G$11+Z161+AB161))</f>
        <v/>
      </c>
      <c r="AK161" s="76">
        <f>$G$12</f>
        <v/>
      </c>
      <c r="AL161" s="76">
        <f>G161*$G$11</f>
        <v/>
      </c>
    </row>
    <row r="162">
      <c r="A162" s="94" t="inlineStr">
        <is>
          <t>MEDICUBE PDRN PINK HYALURONIC MOISTURIZING CREAM 50ml</t>
        </is>
      </c>
      <c r="B162" s="95" t="n">
        <v>200</v>
      </c>
      <c r="C162" s="49" t="n"/>
      <c r="D162" s="73" t="n">
        <v>3450</v>
      </c>
      <c r="E162" s="73" t="n">
        <v>100</v>
      </c>
      <c r="F162" s="73" t="n">
        <v>10</v>
      </c>
      <c r="G162" s="73">
        <f>(1.25*L162+O162+Q162+V162+X162+Y162+AK162)/(1-M162-$G$8-$G$4-(1-H162)*$G$3-$G$11-Z162-AB162)</f>
        <v/>
      </c>
      <c r="H162" s="15" t="n">
        <v>0.45</v>
      </c>
      <c r="I162" s="16">
        <f>G162*(1-H162)</f>
        <v/>
      </c>
      <c r="J162" s="74" t="n">
        <v>670</v>
      </c>
      <c r="K162" s="75">
        <f>$G$5</f>
        <v/>
      </c>
      <c r="L162" s="19">
        <f>J162+K162</f>
        <v/>
      </c>
      <c r="M162" s="20" t="n">
        <v>0.47</v>
      </c>
      <c r="N162" s="76">
        <f>G162*M162</f>
        <v/>
      </c>
      <c r="O162" s="77" t="n">
        <v>63</v>
      </c>
      <c r="P162" s="76">
        <f>G162*$G$8</f>
        <v/>
      </c>
      <c r="Q162" s="77" t="n">
        <v>25</v>
      </c>
      <c r="R162" s="76">
        <f>G162*$G$4</f>
        <v/>
      </c>
      <c r="S162" s="76">
        <f>I162*$G$3</f>
        <v/>
      </c>
      <c r="T162" s="78" t="n">
        <v>0.9</v>
      </c>
      <c r="U162" s="77" t="n">
        <v>63</v>
      </c>
      <c r="V162" s="76">
        <f>U162*(1-T162)</f>
        <v/>
      </c>
      <c r="W162" s="79" t="n">
        <v>0.4</v>
      </c>
      <c r="X162" s="76">
        <f>$G$6*$G$7*W162</f>
        <v/>
      </c>
      <c r="Y162" s="19">
        <f>W162*($G$9+$G$10)</f>
        <v/>
      </c>
      <c r="Z162" s="20" t="n">
        <v>0.07000000000000001</v>
      </c>
      <c r="AA162" s="76">
        <f>G162*Z162</f>
        <v/>
      </c>
      <c r="AB162" s="78" t="n">
        <v>0.08</v>
      </c>
      <c r="AC162" s="76">
        <f>G162*AB162</f>
        <v/>
      </c>
      <c r="AD162" s="76">
        <f>AA162+AC162</f>
        <v/>
      </c>
      <c r="AE162" s="25">
        <f>AD162/G162</f>
        <v/>
      </c>
      <c r="AF162" s="26">
        <f>G162-N162-O162-P162-Q162-R162-S162-V162-X162-Y162-L162-AK162-AL162</f>
        <v/>
      </c>
      <c r="AG162" s="80">
        <f>AF162-AD162</f>
        <v/>
      </c>
      <c r="AH162" s="81">
        <f>AG162/G162</f>
        <v/>
      </c>
      <c r="AI162" s="82">
        <f>AG162/L162</f>
        <v/>
      </c>
      <c r="AJ162" s="76">
        <f>(O162+Q162+V162+X162+Y162+L162+AK162)/(1-(M162+$G$4+(1-H162)*$G$3+$G$8+$G$11+Z162+AB162))</f>
        <v/>
      </c>
      <c r="AK162" s="76">
        <f>$G$12</f>
        <v/>
      </c>
      <c r="AL162" s="76">
        <f>G162*$G$11</f>
        <v/>
      </c>
    </row>
    <row r="163">
      <c r="A163" s="94" t="inlineStr">
        <is>
          <t>[Derma Factory] PDRN 4% Ampoule</t>
        </is>
      </c>
      <c r="B163" s="95" t="n">
        <v>1530</v>
      </c>
      <c r="C163" s="49" t="n"/>
      <c r="D163" s="73" t="n">
        <v>3350</v>
      </c>
      <c r="E163" s="73" t="n">
        <v>400</v>
      </c>
      <c r="F163" s="73" t="n">
        <v>13</v>
      </c>
      <c r="G163" s="73">
        <f>(1.25*L163+O163+Q163+V163+X163+Y163+AK163)/(1-M163-$G$8-$G$4-(1-H163)*$G$3-$G$11-Z163-AB163)</f>
        <v/>
      </c>
      <c r="H163" s="15" t="n">
        <v>0.45</v>
      </c>
      <c r="I163" s="16">
        <f>G163*(1-H163)</f>
        <v/>
      </c>
      <c r="J163" s="74" t="n">
        <v>407</v>
      </c>
      <c r="K163" s="75">
        <f>$G$5</f>
        <v/>
      </c>
      <c r="L163" s="19">
        <f>J163+K163</f>
        <v/>
      </c>
      <c r="M163" s="20" t="n">
        <v>0.47</v>
      </c>
      <c r="N163" s="76">
        <f>G163*M163</f>
        <v/>
      </c>
      <c r="O163" s="77" t="n">
        <v>63</v>
      </c>
      <c r="P163" s="76">
        <f>G163*$G$8</f>
        <v/>
      </c>
      <c r="Q163" s="77" t="n">
        <v>25</v>
      </c>
      <c r="R163" s="76">
        <f>G163*$G$4</f>
        <v/>
      </c>
      <c r="S163" s="76">
        <f>I163*$G$3</f>
        <v/>
      </c>
      <c r="T163" s="78" t="n">
        <v>0.9</v>
      </c>
      <c r="U163" s="77" t="n">
        <v>63</v>
      </c>
      <c r="V163" s="76">
        <f>U163*(1-T163)</f>
        <v/>
      </c>
      <c r="W163" s="79" t="n">
        <v>0.4</v>
      </c>
      <c r="X163" s="76">
        <f>$G$6*$G$7*W163</f>
        <v/>
      </c>
      <c r="Y163" s="19">
        <f>W163*($G$9+$G$10)</f>
        <v/>
      </c>
      <c r="Z163" s="20" t="n">
        <v>0.07000000000000001</v>
      </c>
      <c r="AA163" s="76">
        <f>G163*Z163</f>
        <v/>
      </c>
      <c r="AB163" s="78" t="n">
        <v>0.08</v>
      </c>
      <c r="AC163" s="76">
        <f>G163*AB163</f>
        <v/>
      </c>
      <c r="AD163" s="76">
        <f>AA163+AC163</f>
        <v/>
      </c>
      <c r="AE163" s="25">
        <f>AD163/G163</f>
        <v/>
      </c>
      <c r="AF163" s="26">
        <f>G163-N163-O163-P163-Q163-R163-S163-V163-X163-Y163-L163-AK163-AL163</f>
        <v/>
      </c>
      <c r="AG163" s="80">
        <f>AF163-AD163</f>
        <v/>
      </c>
      <c r="AH163" s="81">
        <f>AG163/G163</f>
        <v/>
      </c>
      <c r="AI163" s="82">
        <f>AG163/L163</f>
        <v/>
      </c>
      <c r="AJ163" s="76">
        <f>(O163+Q163+V163+X163+Y163+L163+AK163)/(1-(M163+$G$4+(1-H163)*$G$3+$G$8+$G$11+Z163+AB163))</f>
        <v/>
      </c>
      <c r="AK163" s="76">
        <f>$G$12</f>
        <v/>
      </c>
      <c r="AL163" s="76">
        <f>G163*$G$11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2026-08-05T12:06:27Z</dcterms:created>
  <dcterms:modified xsi:type="dcterms:W3CDTF">2026-08-11T07:52:02Z</dcterms:modified>
  <cp:lastModifiedBy>PC</cp:lastModifiedBy>
</cp:coreProperties>
</file>
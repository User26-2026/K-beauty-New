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1" autoFilterDateGrouping="1"/>
  </bookViews>
  <sheets>
    <sheet name="Юнитка FBO" sheetId="1" state="visible" r:id="rId1"/>
    <sheet name="Юнитка FBS" sheetId="2" state="visible" r:id="rId2"/>
    <sheet name="остатки" sheetId="3" state="visible" r:id="rId3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2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b val="1"/>
      <sz val="11"/>
    </font>
    <font>
      <name val="Calibri"/>
      <charset val="204"/>
      <family val="2"/>
      <color theme="1"/>
      <sz val="11"/>
    </font>
    <font>
      <name val="Calibri"/>
      <charset val="204"/>
      <family val="2"/>
      <i val="1"/>
      <color theme="1"/>
      <sz val="11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b val="1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b val="1"/>
      <sz val="11"/>
    </font>
    <font>
      <name val="Calibri"/>
      <charset val="204"/>
      <family val="2"/>
      <b val="1"/>
      <color rgb="FFFFFFFF"/>
      <sz val="11"/>
    </font>
    <font>
      <name val="Arial"/>
      <charset val="204"/>
      <family val="2"/>
      <color theme="1"/>
      <sz val="10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theme="1"/>
      <sz val="9"/>
    </font>
    <font>
      <name val="Arial"/>
      <charset val="204"/>
      <family val="2"/>
      <color theme="1"/>
      <sz val="8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Calibri"/>
      <charset val="204"/>
      <family val="2"/>
      <color theme="1"/>
      <sz val="10"/>
    </font>
  </fonts>
  <fills count="21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FFBDD7EE"/>
      </patternFill>
    </fill>
    <fill>
      <patternFill patternType="solid">
        <fgColor theme="0"/>
        <bgColor theme="0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</patternFill>
    </fill>
    <fill>
      <patternFill patternType="solid">
        <fgColor rgb="FFE06666"/>
        <bgColor rgb="FFE066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</patternFill>
    </fill>
    <fill>
      <patternFill patternType="solid">
        <fgColor rgb="FF305496"/>
      </patternFill>
    </fill>
    <fill>
      <patternFill patternType="solid">
        <fgColor rgb="FFFFF2CC"/>
      </patternFill>
    </fill>
    <fill>
      <patternFill patternType="solid">
        <fgColor rgb="FF305496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D0E0E3"/>
        <bgColor indexed="64"/>
      </patternFill>
    </fill>
    <fill>
      <patternFill patternType="solid">
        <fgColor rgb="FF00FFFF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1"/>
  </cellStyleXfs>
  <cellXfs count="112">
    <xf numFmtId="0" fontId="0" fillId="0" borderId="0" pivotButton="0" quotePrefix="0" xfId="0"/>
    <xf numFmtId="9" fontId="3" fillId="2" borderId="2" pivotButton="0" quotePrefix="0" xfId="0"/>
    <xf numFmtId="164" fontId="3" fillId="2" borderId="2" pivotButton="0" quotePrefix="0" xfId="0"/>
    <xf numFmtId="3" fontId="3" fillId="2" borderId="2" pivotButton="0" quotePrefix="0" xfId="0"/>
    <xf numFmtId="2" fontId="3" fillId="2" borderId="2" pivotButton="0" quotePrefix="0" xfId="0"/>
    <xf numFmtId="0" fontId="4" fillId="3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0" fontId="0" fillId="4" borderId="7" pivotButton="0" quotePrefix="0" xfId="0"/>
    <xf numFmtId="0" fontId="6" fillId="0" borderId="2" applyAlignment="1" pivotButton="0" quotePrefix="0" xfId="0">
      <alignment wrapText="1"/>
    </xf>
    <xf numFmtId="0" fontId="7" fillId="5" borderId="2" applyAlignment="1" pivotButton="0" quotePrefix="0" xfId="0">
      <alignment horizontal="center"/>
    </xf>
    <xf numFmtId="0" fontId="7" fillId="5" borderId="2" pivotButton="0" quotePrefix="0" xfId="0"/>
    <xf numFmtId="3" fontId="3" fillId="6" borderId="2" applyAlignment="1" pivotButton="0" quotePrefix="0" xfId="0">
      <alignment horizontal="center"/>
    </xf>
    <xf numFmtId="164" fontId="6" fillId="2" borderId="3" pivotButton="0" quotePrefix="0" xfId="0"/>
    <xf numFmtId="3" fontId="6" fillId="0" borderId="4" pivotButton="0" quotePrefix="0" xfId="0"/>
    <xf numFmtId="4" fontId="6" fillId="2" borderId="2" pivotButton="0" quotePrefix="0" xfId="0"/>
    <xf numFmtId="4" fontId="6" fillId="0" borderId="2" pivotButton="0" quotePrefix="0" xfId="0"/>
    <xf numFmtId="4" fontId="6" fillId="0" borderId="5" pivotButton="0" quotePrefix="0" xfId="0"/>
    <xf numFmtId="164" fontId="6" fillId="2" borderId="4" pivotButton="0" quotePrefix="0" xfId="0"/>
    <xf numFmtId="3" fontId="6" fillId="0" borderId="2" pivotButton="0" quotePrefix="0" xfId="0"/>
    <xf numFmtId="3" fontId="6" fillId="2" borderId="2" pivotButton="0" quotePrefix="0" xfId="0"/>
    <xf numFmtId="164" fontId="6" fillId="2" borderId="2" pivotButton="0" quotePrefix="0" xfId="0"/>
    <xf numFmtId="2" fontId="6" fillId="2" borderId="2" pivotButton="0" quotePrefix="0" xfId="0"/>
    <xf numFmtId="164" fontId="6" fillId="0" borderId="5" pivotButton="0" quotePrefix="0" xfId="0"/>
    <xf numFmtId="3" fontId="6" fillId="0" borderId="6" pivotButton="0" quotePrefix="0" xfId="0"/>
    <xf numFmtId="3" fontId="3" fillId="7" borderId="2" pivotButton="0" quotePrefix="0" xfId="0"/>
    <xf numFmtId="164" fontId="6" fillId="0" borderId="2" pivotButton="0" quotePrefix="0" xfId="0"/>
    <xf numFmtId="164" fontId="3" fillId="7" borderId="2" pivotButton="0" quotePrefix="0" xfId="0"/>
    <xf numFmtId="0" fontId="0" fillId="0" borderId="2" pivotButton="0" quotePrefix="0" xfId="0"/>
    <xf numFmtId="3" fontId="0" fillId="0" borderId="2" pivotButton="0" quotePrefix="0" xfId="0"/>
    <xf numFmtId="164" fontId="0" fillId="0" borderId="3" pivotButton="0" quotePrefix="0" xfId="0"/>
    <xf numFmtId="3" fontId="0" fillId="0" borderId="4" pivotButton="0" quotePrefix="0" xfId="0"/>
    <xf numFmtId="4" fontId="0" fillId="0" borderId="2" pivotButton="0" quotePrefix="0" xfId="0"/>
    <xf numFmtId="4" fontId="0" fillId="0" borderId="5" pivotButton="0" quotePrefix="0" xfId="0"/>
    <xf numFmtId="164" fontId="0" fillId="0" borderId="4" pivotButton="0" quotePrefix="0" xfId="0"/>
    <xf numFmtId="164" fontId="0" fillId="0" borderId="2" pivotButton="0" quotePrefix="0" xfId="0"/>
    <xf numFmtId="2" fontId="0" fillId="0" borderId="2" pivotButton="0" quotePrefix="0" xfId="0"/>
    <xf numFmtId="164" fontId="0" fillId="0" borderId="5" pivotButton="0" quotePrefix="0" xfId="0"/>
    <xf numFmtId="3" fontId="0" fillId="0" borderId="6" pivotButton="0" quotePrefix="0" xfId="0"/>
    <xf numFmtId="3" fontId="3" fillId="9" borderId="2" pivotButton="0" quotePrefix="0" xfId="0"/>
    <xf numFmtId="164" fontId="6" fillId="9" borderId="2" pivotButton="0" quotePrefix="0" xfId="0"/>
    <xf numFmtId="164" fontId="3" fillId="9" borderId="2" pivotButton="0" quotePrefix="0" xfId="0"/>
    <xf numFmtId="0" fontId="2" fillId="0" borderId="1" applyAlignment="1" pivotButton="0" quotePrefix="0" xfId="0">
      <alignment horizontal="center"/>
    </xf>
    <xf numFmtId="0" fontId="8" fillId="0" borderId="1" pivotButton="0" quotePrefix="0" xfId="0"/>
    <xf numFmtId="0" fontId="6" fillId="10" borderId="2" applyAlignment="1" pivotButton="0" quotePrefix="0" xfId="0">
      <alignment wrapText="1"/>
    </xf>
    <xf numFmtId="0" fontId="7" fillId="10" borderId="2" applyAlignment="1" pivotButton="0" quotePrefix="0" xfId="0">
      <alignment horizontal="center"/>
    </xf>
    <xf numFmtId="0" fontId="7" fillId="5" borderId="1" pivotButton="0" quotePrefix="0" xfId="0"/>
    <xf numFmtId="0" fontId="9" fillId="0" borderId="1" pivotButton="0" quotePrefix="0" xfId="0"/>
    <xf numFmtId="0" fontId="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5" fillId="4" borderId="7" applyAlignment="1" pivotButton="0" quotePrefix="0" xfId="0">
      <alignment wrapText="1"/>
    </xf>
    <xf numFmtId="0" fontId="0" fillId="8" borderId="2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0" borderId="1" pivotButton="0" quotePrefix="0" xfId="0"/>
    <xf numFmtId="9" fontId="3" fillId="2" borderId="7" pivotButton="0" quotePrefix="0" xfId="0"/>
    <xf numFmtId="164" fontId="3" fillId="2" borderId="7" pivotButton="0" quotePrefix="0" xfId="0"/>
    <xf numFmtId="3" fontId="3" fillId="2" borderId="7" pivotButton="0" quotePrefix="0" xfId="0"/>
    <xf numFmtId="2" fontId="3" fillId="2" borderId="7" pivotButton="0" quotePrefix="0" xfId="0"/>
    <xf numFmtId="164" fontId="10" fillId="11" borderId="8" pivotButton="0" quotePrefix="0" xfId="0"/>
    <xf numFmtId="3" fontId="10" fillId="11" borderId="8" pivotButton="0" quotePrefix="0" xfId="0"/>
    <xf numFmtId="0" fontId="4" fillId="3" borderId="7" applyAlignment="1" pivotButton="0" quotePrefix="0" xfId="0">
      <alignment horizontal="center" vertical="center" wrapText="1"/>
    </xf>
    <xf numFmtId="0" fontId="11" fillId="12" borderId="8" applyAlignment="1" pivotButton="0" quotePrefix="0" xfId="0">
      <alignment horizontal="center" vertical="center" wrapText="1"/>
    </xf>
    <xf numFmtId="0" fontId="10" fillId="4" borderId="8" pivotButton="0" quotePrefix="0" xfId="0"/>
    <xf numFmtId="0" fontId="0" fillId="4" borderId="8" pivotButton="0" quotePrefix="0" xfId="0"/>
    <xf numFmtId="0" fontId="6" fillId="0" borderId="7" applyAlignment="1" pivotButton="0" quotePrefix="0" xfId="0">
      <alignment wrapText="1"/>
    </xf>
    <xf numFmtId="0" fontId="7" fillId="5" borderId="7" applyAlignment="1" pivotButton="0" quotePrefix="0" xfId="0">
      <alignment horizontal="center"/>
    </xf>
    <xf numFmtId="0" fontId="7" fillId="5" borderId="7" pivotButton="0" quotePrefix="0" xfId="0"/>
    <xf numFmtId="3" fontId="3" fillId="6" borderId="7" applyAlignment="1" pivotButton="0" quotePrefix="0" xfId="0">
      <alignment horizontal="center"/>
    </xf>
    <xf numFmtId="4" fontId="6" fillId="2" borderId="7" pivotButton="0" quotePrefix="0" xfId="0"/>
    <xf numFmtId="4" fontId="6" fillId="0" borderId="7" pivotButton="0" quotePrefix="0" xfId="0"/>
    <xf numFmtId="3" fontId="6" fillId="0" borderId="7" pivotButton="0" quotePrefix="0" xfId="0"/>
    <xf numFmtId="3" fontId="6" fillId="2" borderId="7" pivotButton="0" quotePrefix="0" xfId="0"/>
    <xf numFmtId="164" fontId="6" fillId="2" borderId="7" pivotButton="0" quotePrefix="0" xfId="0"/>
    <xf numFmtId="2" fontId="6" fillId="2" borderId="7" pivotButton="0" quotePrefix="0" xfId="0"/>
    <xf numFmtId="3" fontId="3" fillId="7" borderId="7" pivotButton="0" quotePrefix="0" xfId="0"/>
    <xf numFmtId="164" fontId="6" fillId="0" borderId="7" pivotButton="0" quotePrefix="0" xfId="0"/>
    <xf numFmtId="164" fontId="3" fillId="7" borderId="7" pivotButton="0" quotePrefix="0" xfId="0"/>
    <xf numFmtId="0" fontId="0" fillId="8" borderId="7" applyAlignment="1" pivotButton="0" quotePrefix="0" xfId="0">
      <alignment wrapText="1"/>
    </xf>
    <xf numFmtId="0" fontId="0" fillId="0" borderId="7" pivotButton="0" quotePrefix="0" xfId="0"/>
    <xf numFmtId="3" fontId="0" fillId="0" borderId="7" pivotButton="0" quotePrefix="0" xfId="0"/>
    <xf numFmtId="4" fontId="0" fillId="0" borderId="7" pivotButton="0" quotePrefix="0" xfId="0"/>
    <xf numFmtId="164" fontId="0" fillId="0" borderId="7" pivotButton="0" quotePrefix="0" xfId="0"/>
    <xf numFmtId="2" fontId="0" fillId="0" borderId="7" pivotButton="0" quotePrefix="0" xfId="0"/>
    <xf numFmtId="0" fontId="8" fillId="0" borderId="1" applyAlignment="1" pivotButton="0" quotePrefix="0" xfId="0">
      <alignment horizontal="center"/>
    </xf>
    <xf numFmtId="0" fontId="6" fillId="10" borderId="7" applyAlignment="1" pivotButton="0" quotePrefix="0" xfId="0">
      <alignment wrapText="1"/>
    </xf>
    <xf numFmtId="0" fontId="7" fillId="10" borderId="7" applyAlignment="1" pivotButton="0" quotePrefix="0" xfId="0">
      <alignment horizontal="center"/>
    </xf>
    <xf numFmtId="164" fontId="12" fillId="13" borderId="9" pivotButton="0" quotePrefix="0" xfId="0"/>
    <xf numFmtId="0" fontId="13" fillId="14" borderId="9" applyAlignment="1" pivotButton="0" quotePrefix="0" xfId="0">
      <alignment horizontal="center" vertical="center" wrapText="1"/>
    </xf>
    <xf numFmtId="3" fontId="0" fillId="0" borderId="9" pivotButton="0" quotePrefix="0" xfId="0"/>
    <xf numFmtId="0" fontId="14" fillId="15" borderId="10" applyAlignment="1" pivotButton="0" quotePrefix="0" xfId="0">
      <alignment wrapText="1"/>
    </xf>
    <xf numFmtId="0" fontId="14" fillId="15" borderId="11" applyAlignment="1" pivotButton="0" quotePrefix="0" xfId="0">
      <alignment wrapText="1"/>
    </xf>
    <xf numFmtId="0" fontId="14" fillId="15" borderId="12" applyAlignment="1" pivotButton="0" quotePrefix="0" xfId="0">
      <alignment wrapText="1"/>
    </xf>
    <xf numFmtId="0" fontId="15" fillId="15" borderId="11" applyAlignment="1" pivotButton="0" quotePrefix="0" xfId="0">
      <alignment horizontal="center" wrapText="1"/>
    </xf>
    <xf numFmtId="0" fontId="16" fillId="15" borderId="13" applyAlignment="1" pivotButton="0" quotePrefix="0" xfId="0">
      <alignment horizontal="center" wrapText="1"/>
    </xf>
    <xf numFmtId="0" fontId="14" fillId="15" borderId="13" applyAlignment="1" pivotButton="0" quotePrefix="0" xfId="0">
      <alignment wrapText="1"/>
    </xf>
    <xf numFmtId="0" fontId="17" fillId="16" borderId="11" applyAlignment="1" pivotButton="0" quotePrefix="0" xfId="0">
      <alignment wrapText="1"/>
    </xf>
    <xf numFmtId="0" fontId="17" fillId="17" borderId="11" applyAlignment="1" pivotButton="0" quotePrefix="0" xfId="0">
      <alignment wrapText="1"/>
    </xf>
    <xf numFmtId="0" fontId="17" fillId="15" borderId="11" applyAlignment="1" pivotButton="0" quotePrefix="0" xfId="0">
      <alignment wrapText="1"/>
    </xf>
    <xf numFmtId="0" fontId="17" fillId="18" borderId="11" applyAlignment="1" pivotButton="0" quotePrefix="0" xfId="0">
      <alignment wrapText="1"/>
    </xf>
    <xf numFmtId="0" fontId="17" fillId="19" borderId="11" applyAlignment="1" pivotButton="0" quotePrefix="0" xfId="0">
      <alignment wrapText="1"/>
    </xf>
    <xf numFmtId="0" fontId="14" fillId="0" borderId="11" applyAlignment="1" pivotButton="0" quotePrefix="0" xfId="0">
      <alignment wrapText="1"/>
    </xf>
    <xf numFmtId="0" fontId="18" fillId="15" borderId="13" applyAlignment="1" pivotButton="0" quotePrefix="0" xfId="0">
      <alignment horizontal="center" wrapText="1"/>
    </xf>
    <xf numFmtId="0" fontId="19" fillId="15" borderId="13" applyAlignment="1" pivotButton="0" quotePrefix="0" xfId="0">
      <alignment horizontal="center" wrapText="1"/>
    </xf>
    <xf numFmtId="0" fontId="17" fillId="20" borderId="11" applyAlignment="1" pivotButton="0" quotePrefix="0" xfId="0">
      <alignment wrapText="1"/>
    </xf>
    <xf numFmtId="0" fontId="20" fillId="15" borderId="11" applyAlignment="1" pivotButton="0" quotePrefix="0" xfId="0">
      <alignment wrapText="1"/>
    </xf>
    <xf numFmtId="0" fontId="16" fillId="15" borderId="14" applyAlignment="1" pivotButton="0" quotePrefix="0" xfId="0">
      <alignment horizontal="center" wrapText="1"/>
    </xf>
    <xf numFmtId="0" fontId="14" fillId="15" borderId="14" applyAlignment="1" pivotButton="0" quotePrefix="0" xfId="0">
      <alignment wrapText="1"/>
    </xf>
    <xf numFmtId="0" fontId="15" fillId="15" borderId="11" applyAlignment="1" pivotButton="0" quotePrefix="0" xfId="0">
      <alignment horizontal="right" wrapText="1"/>
    </xf>
    <xf numFmtId="0" fontId="13" fillId="3" borderId="9" applyAlignment="1" pivotButton="0" quotePrefix="0" xfId="0">
      <alignment horizontal="center" vertical="center" wrapText="1"/>
    </xf>
    <xf numFmtId="3" fontId="0" fillId="0" borderId="15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62"/>
  <sheetViews>
    <sheetView zoomScale="55" zoomScaleNormal="55" workbookViewId="0">
      <pane xSplit="8" ySplit="12" topLeftCell="I13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F47" sqref="F47"/>
    </sheetView>
  </sheetViews>
  <sheetFormatPr baseColWidth="8" defaultRowHeight="14.5"/>
  <cols>
    <col width="62.7265625" customWidth="1" style="54" min="1" max="1"/>
    <col width="12.08984375" customWidth="1" min="2" max="2"/>
    <col width="18.81640625" customWidth="1" min="3" max="3"/>
    <col width="10" customWidth="1" min="4" max="4"/>
    <col width="11.08984375" customWidth="1" min="5" max="5"/>
    <col width="11.26953125" customWidth="1" min="6" max="6"/>
    <col width="10" customWidth="1" min="7" max="7"/>
    <col width="7.453125" customWidth="1" min="8" max="8"/>
    <col width="8.54296875" customWidth="1" min="9" max="9"/>
    <col width="7.7265625" customWidth="1" min="10" max="10"/>
    <col width="9.81640625" customWidth="1" min="11" max="11"/>
    <col width="7.08984375" customWidth="1" min="12" max="12"/>
    <col width="9.453125" customWidth="1" min="13" max="13"/>
    <col width="13.453125" customWidth="1" min="14" max="14"/>
    <col width="13.26953125" customWidth="1" min="15" max="15"/>
    <col width="9.26953125" customWidth="1" min="16" max="16"/>
    <col width="9.453125" customWidth="1" min="17" max="17"/>
    <col width="10" customWidth="1" min="18" max="18"/>
    <col width="6.453125" customWidth="1" min="19" max="19"/>
    <col width="9" customWidth="1" min="20" max="20"/>
    <col width="8.26953125" customWidth="1" min="21" max="21"/>
    <col width="13" customWidth="1" min="22" max="22"/>
    <col width="9.453125" customWidth="1" min="23" max="23"/>
    <col width="10" customWidth="1" min="24" max="24"/>
    <col width="13.453125" customWidth="1" min="25" max="25"/>
    <col width="10" customWidth="1" min="26" max="26"/>
    <col width="13" customWidth="1" min="27" max="27"/>
    <col width="8.7265625" customWidth="1" min="28" max="28"/>
    <col width="13" customWidth="1" min="29" max="29"/>
    <col width="9" customWidth="1" min="30" max="30"/>
    <col width="6.81640625" customWidth="1" min="31" max="31"/>
    <col width="10.453125" customWidth="1" min="32" max="32"/>
    <col width="8.54296875" customWidth="1" min="33" max="33"/>
    <col width="9.7265625" customWidth="1" min="34" max="34"/>
    <col width="11.08984375" customWidth="1" min="35" max="35"/>
    <col width="9.08984375" customWidth="1" min="36" max="36"/>
    <col width="12" customWidth="1" min="37" max="37"/>
  </cols>
  <sheetData>
    <row r="1" ht="15.5" customHeight="1">
      <c r="A1" s="50" t="inlineStr">
        <is>
          <t>ПАРАМЕТРЫ — меняй жёлтые ячейки, всё пересчитается</t>
        </is>
      </c>
    </row>
    <row r="2"/>
    <row r="3">
      <c r="A3" s="51" t="inlineStr">
        <is>
          <t>Налог с оборота</t>
        </is>
      </c>
      <c r="H3" s="1" t="n">
        <v>0.07000000000000001</v>
      </c>
    </row>
    <row r="4">
      <c r="A4" s="51" t="inlineStr">
        <is>
          <t>Эквайринг</t>
        </is>
      </c>
      <c r="H4" s="2" t="n">
        <v>0.015</v>
      </c>
    </row>
    <row r="5">
      <c r="A5" s="51" t="inlineStr">
        <is>
          <t>Фулфилмент, ₽/шт</t>
        </is>
      </c>
      <c r="H5" s="3" t="n">
        <v>60</v>
      </c>
    </row>
    <row r="6">
      <c r="A6" s="51" t="inlineStr">
        <is>
          <t>Хранение, ₽/л/день</t>
        </is>
      </c>
      <c r="H6" s="4" t="n">
        <v>0.16</v>
      </c>
    </row>
    <row r="7">
      <c r="A7" s="51" t="inlineStr">
        <is>
          <t>Дней хранения</t>
        </is>
      </c>
      <c r="H7" s="3" t="n">
        <v>0</v>
      </c>
    </row>
    <row r="8">
      <c r="A8" s="51" t="inlineStr">
        <is>
          <t>Наценка за нелокальные продажи %</t>
        </is>
      </c>
      <c r="H8" s="2" t="n">
        <v>0.02</v>
      </c>
    </row>
    <row r="9">
      <c r="A9" s="51" t="inlineStr">
        <is>
          <t>Кроссдок: обработка (склады/СЦ) ₽/л</t>
        </is>
      </c>
      <c r="H9" s="4" t="n">
        <v>0.75</v>
      </c>
    </row>
    <row r="10">
      <c r="A10" s="51" t="inlineStr">
        <is>
          <t>Кроссдок: перевозка ₽/л (средн. 26 скл.)</t>
        </is>
      </c>
      <c r="H10" s="4" t="n">
        <v>4.423</v>
      </c>
    </row>
    <row r="11">
      <c r="A11" t="inlineStr">
        <is>
          <t>Подписка, %</t>
        </is>
      </c>
      <c r="H11" s="88" t="n">
        <v>0.03</v>
      </c>
    </row>
    <row r="12" ht="43.5" customHeight="1">
      <c r="A12" s="5" t="inlineStr">
        <is>
          <t>Товар</t>
        </is>
      </c>
      <c r="B12" s="5" t="inlineStr">
        <is>
          <t>Заказ контейнер шт</t>
        </is>
      </c>
      <c r="C12" s="5" t="inlineStr">
        <is>
          <t>Комментарий</t>
        </is>
      </c>
      <c r="D12" s="110" t="inlineStr">
        <is>
          <t>Остаток</t>
        </is>
      </c>
      <c r="E12" s="5" t="inlineStr">
        <is>
          <t>Цена конкурента без СПП</t>
        </is>
      </c>
      <c r="F12" s="5" t="inlineStr">
        <is>
          <t>Кол-во продаж конкурент</t>
        </is>
      </c>
      <c r="G12" s="5" t="inlineStr">
        <is>
          <t>ДРР конкурент</t>
        </is>
      </c>
      <c r="H12" s="5" t="inlineStr">
        <is>
          <t>Цена наша без СПП</t>
        </is>
      </c>
      <c r="I12" s="6" t="inlineStr">
        <is>
          <t>СПП, %</t>
        </is>
      </c>
      <c r="J12" s="7" t="inlineStr">
        <is>
          <t>Цена с СПП</t>
        </is>
      </c>
      <c r="K12" s="5" t="inlineStr">
        <is>
          <t>Себест.</t>
        </is>
      </c>
      <c r="L12" s="5" t="inlineStr">
        <is>
          <t>Фулфилмент</t>
        </is>
      </c>
      <c r="M12" s="8" t="inlineStr">
        <is>
          <t>База затрат</t>
        </is>
      </c>
      <c r="N12" s="7" t="inlineStr">
        <is>
          <t>Комиссия %</t>
        </is>
      </c>
      <c r="O12" s="5" t="inlineStr">
        <is>
          <t>Комиссия ₽</t>
        </is>
      </c>
      <c r="P12" s="5" t="inlineStr">
        <is>
          <t>Логистика</t>
        </is>
      </c>
      <c r="Q12" s="5" t="inlineStr">
        <is>
          <t>Наценка нелок., ₽</t>
        </is>
      </c>
      <c r="R12" s="5" t="inlineStr">
        <is>
          <t>Доставка до ПВЗ</t>
        </is>
      </c>
      <c r="S12" s="5" t="inlineStr">
        <is>
          <t>Эквайринг</t>
        </is>
      </c>
      <c r="T12" s="5" t="inlineStr">
        <is>
          <t>Налог</t>
        </is>
      </c>
      <c r="U12" s="5" t="inlineStr">
        <is>
          <t>Выкуп %</t>
        </is>
      </c>
      <c r="V12" s="5" t="inlineStr">
        <is>
          <t>Обр.лог база</t>
        </is>
      </c>
      <c r="W12" s="5" t="inlineStr">
        <is>
          <t>Обр.лог</t>
        </is>
      </c>
      <c r="X12" s="5" t="inlineStr">
        <is>
          <t>Объём, л</t>
        </is>
      </c>
      <c r="Y12" s="5" t="inlineStr">
        <is>
          <t>Хранение</t>
        </is>
      </c>
      <c r="Z12" s="8" t="inlineStr">
        <is>
          <t>Кроссдок ср., ₽/ед</t>
        </is>
      </c>
      <c r="AA12" s="7" t="inlineStr">
        <is>
          <t>Оплата за клик, %</t>
        </is>
      </c>
      <c r="AB12" s="5" t="inlineStr">
        <is>
          <t>Оплата за клик ₽</t>
        </is>
      </c>
      <c r="AC12" s="5" t="inlineStr">
        <is>
          <t>Вывод в топ, %</t>
        </is>
      </c>
      <c r="AD12" s="5" t="inlineStr">
        <is>
          <t>Вывод в топ ₽</t>
        </is>
      </c>
      <c r="AE12" s="5" t="inlineStr">
        <is>
          <t>Реклама всего ₽</t>
        </is>
      </c>
      <c r="AF12" s="8" t="inlineStr">
        <is>
          <t>ДРР %</t>
        </is>
      </c>
      <c r="AG12" s="9" t="inlineStr">
        <is>
          <t>Маржа до рекл.</t>
        </is>
      </c>
      <c r="AH12" s="5" t="inlineStr">
        <is>
          <t>Маржа/шт</t>
        </is>
      </c>
      <c r="AI12" s="5" t="inlineStr">
        <is>
          <t>Маржа % цены</t>
        </is>
      </c>
      <c r="AJ12" s="5" t="inlineStr">
        <is>
          <t>ROI %</t>
        </is>
      </c>
      <c r="AK12" s="5" t="inlineStr">
        <is>
          <t>Цена безубыт.</t>
        </is>
      </c>
      <c r="AL12" s="89" t="inlineStr">
        <is>
          <t>Подписка, ₽</t>
        </is>
      </c>
    </row>
    <row r="13">
      <c r="A13" s="52" t="inlineStr">
        <is>
          <t>Косметика/COSRX</t>
        </is>
      </c>
      <c r="B13" s="10" t="n"/>
      <c r="C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</row>
    <row r="14" ht="29" customHeight="1">
      <c r="A14" s="11" t="inlineStr">
        <is>
          <t>COSRX - Salicylic Acid Daily Gentle Cleanser [150ml] / Пенка с салициловой кислотой для проблемной кожи</t>
        </is>
      </c>
      <c r="B14" s="12" t="n"/>
      <c r="C14" s="13" t="n"/>
      <c r="D14" s="111" t="n">
        <v>412</v>
      </c>
      <c r="E14" s="14" t="n">
        <v>1680</v>
      </c>
      <c r="F14" s="14" t="n">
        <v>286</v>
      </c>
      <c r="G14" s="14" t="n">
        <v>22.3</v>
      </c>
      <c r="H14" s="14" t="n">
        <v>1630</v>
      </c>
      <c r="I14" s="15" t="n">
        <v>0.45</v>
      </c>
      <c r="J14" s="16">
        <f>H14*(1-I14)</f>
        <v/>
      </c>
      <c r="K14" s="17" t="n">
        <v>343.82</v>
      </c>
      <c r="L14" s="18">
        <f>$H$5</f>
        <v/>
      </c>
      <c r="M14" s="19">
        <f>K14+L14</f>
        <v/>
      </c>
      <c r="N14" s="20" t="n">
        <v>0.41</v>
      </c>
      <c r="O14" s="21">
        <f>H14*N14</f>
        <v/>
      </c>
      <c r="P14" s="22" t="n">
        <v>67</v>
      </c>
      <c r="Q14" s="21">
        <f>H14*$H$8</f>
        <v/>
      </c>
      <c r="R14" s="22" t="n">
        <v>25</v>
      </c>
      <c r="S14" s="21">
        <f>H14*$H$4</f>
        <v/>
      </c>
      <c r="T14" s="21">
        <f>J14*$H$3</f>
        <v/>
      </c>
      <c r="U14" s="23" t="n">
        <v>0.9</v>
      </c>
      <c r="V14" s="22" t="n">
        <v>67</v>
      </c>
      <c r="W14" s="21">
        <f>V14*(1-U14)</f>
        <v/>
      </c>
      <c r="X14" s="24" t="n">
        <v>0.63</v>
      </c>
      <c r="Y14" s="21">
        <f>$H$6*$H$7*X14</f>
        <v/>
      </c>
      <c r="Z14" s="19">
        <f>X14*($H$9+$H$10)</f>
        <v/>
      </c>
      <c r="AA14" s="20" t="n">
        <v>0.11</v>
      </c>
      <c r="AB14" s="21">
        <f>H14*AA14</f>
        <v/>
      </c>
      <c r="AC14" s="23" t="n">
        <v>0.11</v>
      </c>
      <c r="AD14" s="21">
        <f>H14*AC14</f>
        <v/>
      </c>
      <c r="AE14" s="21">
        <f>AB14+AD14</f>
        <v/>
      </c>
      <c r="AF14" s="25">
        <f>AE14/H14</f>
        <v/>
      </c>
      <c r="AG14" s="26">
        <f>H14-O14-P14-Q14-R14-S14-T14-W14-Y14-Z14-M14-AL14</f>
        <v/>
      </c>
      <c r="AH14" s="27">
        <f>AG14-AE14</f>
        <v/>
      </c>
      <c r="AI14" s="28">
        <f>AH14/H14</f>
        <v/>
      </c>
      <c r="AJ14" s="29">
        <f>AH14/M14</f>
        <v/>
      </c>
      <c r="AK14" s="21">
        <f>(P14+R14+W14+Y14+Z14+M14)/(1-(N14+$H$4+(1-I14)*$H$3+$H$8+$H$11+AA14+AC14))</f>
        <v/>
      </c>
      <c r="AL14" s="90">
        <f>H14*$H$11</f>
        <v/>
      </c>
    </row>
    <row r="15">
      <c r="A15" s="52" t="inlineStr">
        <is>
          <t>Косметика/DEOPROCE/DEOPROCE-SHAMPOO</t>
        </is>
      </c>
      <c r="B15" s="10" t="n"/>
      <c r="C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</row>
    <row r="16" ht="43.5" customHeight="1">
      <c r="A16" s="53" t="inlineStr">
        <is>
          <t>DEOPROCE SHAMPOO - BLACK GARLIC INTENSME ENERGY [600ml] мягкая упаковка Шампунь с черным чесноком против выпадения волос</t>
        </is>
      </c>
      <c r="B16" s="30" t="n"/>
      <c r="C16" s="30" t="n"/>
      <c r="D16" s="111" t="n">
        <v>72</v>
      </c>
      <c r="E16" s="31" t="n"/>
      <c r="F16" s="31" t="n"/>
      <c r="G16" s="31" t="n"/>
      <c r="H16" s="31" t="n"/>
      <c r="I16" s="32" t="n"/>
      <c r="J16" s="33" t="n"/>
      <c r="K16" s="34" t="n"/>
      <c r="L16" s="34" t="n"/>
      <c r="M16" s="35" t="n"/>
      <c r="N16" s="36" t="n"/>
      <c r="O16" s="31" t="n"/>
      <c r="P16" s="31" t="n"/>
      <c r="Q16" s="31" t="n"/>
      <c r="R16" s="31" t="n"/>
      <c r="S16" s="31" t="n"/>
      <c r="T16" s="31" t="n"/>
      <c r="U16" s="37" t="n"/>
      <c r="V16" s="31" t="n"/>
      <c r="W16" s="31" t="n"/>
      <c r="X16" s="38" t="n"/>
      <c r="Y16" s="31" t="n"/>
      <c r="Z16" s="35" t="n"/>
      <c r="AA16" s="36" t="n"/>
      <c r="AB16" s="31" t="n"/>
      <c r="AC16" s="37" t="n"/>
      <c r="AD16" s="31" t="n"/>
      <c r="AE16" s="31" t="n"/>
      <c r="AF16" s="39" t="n"/>
      <c r="AG16" s="40" t="n"/>
      <c r="AH16" s="31" t="n"/>
      <c r="AI16" s="37" t="n"/>
      <c r="AJ16" s="37" t="n"/>
      <c r="AK16" s="31" t="n"/>
    </row>
    <row r="17" ht="43.5" customHeight="1">
      <c r="A17" s="53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7" s="30" t="n"/>
      <c r="C17" s="30" t="n"/>
      <c r="D17" s="111" t="n">
        <v>19</v>
      </c>
      <c r="E17" s="31" t="n"/>
      <c r="F17" s="31" t="n"/>
      <c r="G17" s="31" t="n"/>
      <c r="H17" s="31" t="n"/>
      <c r="I17" s="32" t="n"/>
      <c r="J17" s="33" t="n"/>
      <c r="K17" s="34" t="n"/>
      <c r="L17" s="34" t="n"/>
      <c r="M17" s="35" t="n"/>
      <c r="N17" s="36" t="n"/>
      <c r="O17" s="31" t="n"/>
      <c r="P17" s="31" t="n"/>
      <c r="Q17" s="31" t="n"/>
      <c r="R17" s="31" t="n"/>
      <c r="S17" s="31" t="n"/>
      <c r="T17" s="31" t="n"/>
      <c r="U17" s="37" t="n"/>
      <c r="V17" s="31" t="n"/>
      <c r="W17" s="31" t="n"/>
      <c r="X17" s="38" t="n"/>
      <c r="Y17" s="31" t="n"/>
      <c r="Z17" s="35" t="n"/>
      <c r="AA17" s="36" t="n"/>
      <c r="AB17" s="31" t="n"/>
      <c r="AC17" s="37" t="n"/>
      <c r="AD17" s="31" t="n"/>
      <c r="AE17" s="31" t="n"/>
      <c r="AF17" s="39" t="n"/>
      <c r="AG17" s="40" t="n"/>
      <c r="AH17" s="31" t="n"/>
      <c r="AI17" s="37" t="n"/>
      <c r="AJ17" s="37" t="n"/>
      <c r="AK17" s="31" t="n"/>
    </row>
    <row r="18" ht="29" customHeight="1">
      <c r="A18" s="11" t="inlineStr">
        <is>
          <t>DEOPROCE SHAMPOO - BLACK GARLIC INTENSME ENERGY [200ml]/ Шампунь с черным чесноком против выпадения волос</t>
        </is>
      </c>
      <c r="B18" s="12" t="n"/>
      <c r="C18" s="13" t="n"/>
      <c r="D18" s="111" t="n">
        <v>370</v>
      </c>
      <c r="E18" s="14" t="n">
        <v>980</v>
      </c>
      <c r="F18" s="14" t="n">
        <v>8</v>
      </c>
      <c r="G18" s="14" t="n">
        <v>0</v>
      </c>
      <c r="H18" s="14" t="n">
        <v>900</v>
      </c>
      <c r="I18" s="15" t="n">
        <v>0.45</v>
      </c>
      <c r="J18" s="16">
        <f>H18*(1-I18)</f>
        <v/>
      </c>
      <c r="K18" s="17" t="n">
        <v>151.13</v>
      </c>
      <c r="L18" s="18">
        <f>$H$5</f>
        <v/>
      </c>
      <c r="M18" s="19">
        <f>K18+L18</f>
        <v/>
      </c>
      <c r="N18" s="20" t="n">
        <v>0.41</v>
      </c>
      <c r="O18" s="21">
        <f>H18*N18</f>
        <v/>
      </c>
      <c r="P18" s="22" t="n">
        <v>67</v>
      </c>
      <c r="Q18" s="21">
        <f>H18*$H$8</f>
        <v/>
      </c>
      <c r="R18" s="22" t="n">
        <v>25</v>
      </c>
      <c r="S18" s="21">
        <f>H18*$H$4</f>
        <v/>
      </c>
      <c r="T18" s="21">
        <f>J18*$H$3</f>
        <v/>
      </c>
      <c r="U18" s="23" t="n">
        <v>0.9</v>
      </c>
      <c r="V18" s="22" t="n">
        <v>67</v>
      </c>
      <c r="W18" s="21">
        <f>V18*(1-U18)</f>
        <v/>
      </c>
      <c r="X18" s="24" t="n">
        <v>0.68</v>
      </c>
      <c r="Y18" s="21">
        <f>$H$6*$H$7*X18</f>
        <v/>
      </c>
      <c r="Z18" s="19">
        <f>X18*($H$9+$H$10)</f>
        <v/>
      </c>
      <c r="AA18" s="20" t="n">
        <v>0.07000000000000001</v>
      </c>
      <c r="AB18" s="21">
        <f>H18*AA18</f>
        <v/>
      </c>
      <c r="AC18" s="23" t="n">
        <v>0.08</v>
      </c>
      <c r="AD18" s="21">
        <f>H18*AC18</f>
        <v/>
      </c>
      <c r="AE18" s="21">
        <f>AB18+AD18</f>
        <v/>
      </c>
      <c r="AF18" s="25">
        <f>AE18/H18</f>
        <v/>
      </c>
      <c r="AG18" s="26">
        <f>H18-O18-P18-Q18-R18-S18-T18-W18-Y18-Z18-M18-AL18</f>
        <v/>
      </c>
      <c r="AH18" s="27">
        <f>AG18-AE18</f>
        <v/>
      </c>
      <c r="AI18" s="28">
        <f>AH18/H18</f>
        <v/>
      </c>
      <c r="AJ18" s="29">
        <f>AH18/M18</f>
        <v/>
      </c>
      <c r="AK18" s="21">
        <f>(P18+R18+W18+Y18+Z18+M18)/(1-(N18+$H$4+(1-I18)*$H$3+$H$8+$H$11+AA18+AC18))</f>
        <v/>
      </c>
      <c r="AL18" s="90">
        <f>H18*$H$11</f>
        <v/>
      </c>
    </row>
    <row r="19">
      <c r="A19" s="52" t="inlineStr">
        <is>
          <t>Косметика/DEOPROCE/НАБОР ШАМПУНЬ+БАЛЬЗАМ</t>
        </is>
      </c>
      <c r="B19" s="10" t="n"/>
      <c r="C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</row>
    <row r="20">
      <c r="A20" s="53" t="inlineStr">
        <is>
          <t>DEOPROCE SHAMPOO+BALSAM - BLACK GARLIC[2000ml]</t>
        </is>
      </c>
      <c r="B20" s="30" t="n"/>
      <c r="C20" s="30" t="n"/>
      <c r="D20" s="111" t="n">
        <v>447</v>
      </c>
      <c r="E20" s="31" t="n"/>
      <c r="F20" s="31" t="n"/>
      <c r="G20" s="31" t="n"/>
      <c r="H20" s="31" t="n"/>
      <c r="I20" s="32" t="n"/>
      <c r="J20" s="33" t="n"/>
      <c r="K20" s="34" t="n"/>
      <c r="L20" s="34" t="n"/>
      <c r="M20" s="35" t="n"/>
      <c r="N20" s="36" t="n"/>
      <c r="O20" s="31" t="n"/>
      <c r="P20" s="31" t="n"/>
      <c r="Q20" s="31" t="n"/>
      <c r="R20" s="31" t="n"/>
      <c r="S20" s="31" t="n"/>
      <c r="T20" s="31" t="n"/>
      <c r="U20" s="37" t="n"/>
      <c r="V20" s="31" t="n"/>
      <c r="W20" s="31" t="n"/>
      <c r="X20" s="38" t="n"/>
      <c r="Y20" s="31" t="n"/>
      <c r="Z20" s="35" t="n"/>
      <c r="AA20" s="36" t="n"/>
      <c r="AB20" s="31" t="n"/>
      <c r="AC20" s="37" t="n"/>
      <c r="AD20" s="31" t="n"/>
      <c r="AE20" s="31" t="n"/>
      <c r="AF20" s="39" t="n"/>
      <c r="AG20" s="40" t="n"/>
      <c r="AH20" s="31" t="n"/>
      <c r="AI20" s="37" t="n"/>
      <c r="AJ20" s="37" t="n"/>
      <c r="AK20" s="31" t="n"/>
    </row>
    <row r="21">
      <c r="A21" s="52" t="inlineStr">
        <is>
          <t>Косметика/DR.JART</t>
        </is>
      </c>
      <c r="B21" s="10" t="n"/>
      <c r="C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</row>
    <row r="22" ht="29" customHeight="1">
      <c r="A22" s="11" t="inlineStr">
        <is>
          <t>DR. JART - Ctrl+A Teatreatment Toner [120ml] / Тонер тоник для лица увлажняющий с чайным деревом</t>
        </is>
      </c>
      <c r="B22" s="12" t="n"/>
      <c r="C22" s="13" t="n"/>
      <c r="D22" s="111" t="n">
        <v>180</v>
      </c>
      <c r="E22" s="14" t="n"/>
      <c r="F22" s="14" t="inlineStr">
        <is>
          <t>89 (Закончились)</t>
        </is>
      </c>
      <c r="G22" s="14" t="n">
        <v>9.199999999999999</v>
      </c>
      <c r="H22" s="14">
        <f>(1.25*M22+P22+R22+W22+Y22+Z22)/(1-N22-$H$8-$H$4-(1-I22)*$H$3-$H$11-AA22-AC22)</f>
        <v/>
      </c>
      <c r="I22" s="15" t="n">
        <v>0.45</v>
      </c>
      <c r="J22" s="16">
        <f>H22*(1-I22)</f>
        <v/>
      </c>
      <c r="K22" s="17" t="n">
        <v>637.89</v>
      </c>
      <c r="L22" s="18">
        <f>$H$5</f>
        <v/>
      </c>
      <c r="M22" s="19">
        <f>K22+L22</f>
        <v/>
      </c>
      <c r="N22" s="20" t="n">
        <v>0.41</v>
      </c>
      <c r="O22" s="21">
        <f>H22*N22</f>
        <v/>
      </c>
      <c r="P22" s="22" t="n">
        <v>63</v>
      </c>
      <c r="Q22" s="21">
        <f>H22*$H$8</f>
        <v/>
      </c>
      <c r="R22" s="22" t="n">
        <v>25</v>
      </c>
      <c r="S22" s="21">
        <f>H22*$H$4</f>
        <v/>
      </c>
      <c r="T22" s="21">
        <f>J22*$H$3</f>
        <v/>
      </c>
      <c r="U22" s="23" t="n">
        <v>0.9</v>
      </c>
      <c r="V22" s="22" t="n">
        <v>63</v>
      </c>
      <c r="W22" s="21">
        <f>V22*(1-U22)</f>
        <v/>
      </c>
      <c r="X22" s="24" t="n">
        <v>0.33</v>
      </c>
      <c r="Y22" s="21">
        <f>$H$6*$H$7*X22</f>
        <v/>
      </c>
      <c r="Z22" s="19">
        <f>X22*($H$9+$H$10)</f>
        <v/>
      </c>
      <c r="AA22" s="20" t="n">
        <v>0.07000000000000001</v>
      </c>
      <c r="AB22" s="21">
        <f>H22*AA22</f>
        <v/>
      </c>
      <c r="AC22" s="23" t="n">
        <v>0.08</v>
      </c>
      <c r="AD22" s="21">
        <f>H22*AC22</f>
        <v/>
      </c>
      <c r="AE22" s="21">
        <f>AB22+AD22</f>
        <v/>
      </c>
      <c r="AF22" s="25">
        <f>AE22/H22</f>
        <v/>
      </c>
      <c r="AG22" s="26">
        <f>H22-O22-P22-Q22-R22-S22-T22-W22-Y22-Z22-M22-AL22</f>
        <v/>
      </c>
      <c r="AH22" s="27">
        <f>AG22-AE22</f>
        <v/>
      </c>
      <c r="AI22" s="28">
        <f>AH22/H22</f>
        <v/>
      </c>
      <c r="AJ22" s="29">
        <f>AH22/M22</f>
        <v/>
      </c>
      <c r="AK22" s="21">
        <f>(P22+R22+W22+Y22+Z22+M22)/(1-(N22+$H$4+(1-I22)*$H$3+$H$8+$H$11+AA22+AC22))</f>
        <v/>
      </c>
      <c r="AL22" s="90">
        <f>H22*$H$11</f>
        <v/>
      </c>
    </row>
    <row r="23">
      <c r="A23" s="52" t="inlineStr">
        <is>
          <t>Косметика/EKEL</t>
        </is>
      </c>
      <c r="B23" s="10" t="n"/>
      <c r="C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</row>
    <row r="24" ht="29" customHeight="1">
      <c r="A24" s="11" t="inlineStr">
        <is>
          <t>EKEL - Ampule Сream Сollagen [70ml] / Крем для лица ампульный с коллагеном</t>
        </is>
      </c>
      <c r="B24" s="12" t="n"/>
      <c r="C24" s="13" t="n"/>
      <c r="D24" s="111" t="n">
        <v>50</v>
      </c>
      <c r="E24" s="14" t="n">
        <v>1280</v>
      </c>
      <c r="F24" s="14" t="n">
        <v>4</v>
      </c>
      <c r="G24" s="14" t="n">
        <v>0</v>
      </c>
      <c r="H24" s="14">
        <f>(1.25*M24+P24+R24+W24+Y24+Z24)/(1-N24-$H$8-$H$4-(1-I24)*$H$3-$H$11-AA24-AC24)</f>
        <v/>
      </c>
      <c r="I24" s="15" t="n">
        <v>0.45</v>
      </c>
      <c r="J24" s="16">
        <f>H24*(1-I24)</f>
        <v/>
      </c>
      <c r="K24" s="17" t="n">
        <v>142.13</v>
      </c>
      <c r="L24" s="18">
        <f>$H$5</f>
        <v/>
      </c>
      <c r="M24" s="19">
        <f>K24+L24</f>
        <v/>
      </c>
      <c r="N24" s="20" t="n">
        <v>0.41</v>
      </c>
      <c r="O24" s="21">
        <f>H24*N24</f>
        <v/>
      </c>
      <c r="P24" s="22" t="n">
        <v>67</v>
      </c>
      <c r="Q24" s="21">
        <f>H24*$H$8</f>
        <v/>
      </c>
      <c r="R24" s="22" t="n">
        <v>25</v>
      </c>
      <c r="S24" s="21">
        <f>H24*$H$4</f>
        <v/>
      </c>
      <c r="T24" s="21">
        <f>J24*$H$3</f>
        <v/>
      </c>
      <c r="U24" s="23" t="n">
        <v>0.9</v>
      </c>
      <c r="V24" s="22" t="n">
        <v>67</v>
      </c>
      <c r="W24" s="21">
        <f>V24*(1-U24)</f>
        <v/>
      </c>
      <c r="X24" s="24" t="n">
        <v>0.42</v>
      </c>
      <c r="Y24" s="21">
        <f>$H$6*$H$7*X24</f>
        <v/>
      </c>
      <c r="Z24" s="19">
        <f>X24*($H$9+$H$10)</f>
        <v/>
      </c>
      <c r="AA24" s="20" t="n">
        <v>0.07000000000000001</v>
      </c>
      <c r="AB24" s="21">
        <f>H24*AA24</f>
        <v/>
      </c>
      <c r="AC24" s="23" t="n">
        <v>0.08</v>
      </c>
      <c r="AD24" s="21">
        <f>H24*AC24</f>
        <v/>
      </c>
      <c r="AE24" s="21">
        <f>AB24+AD24</f>
        <v/>
      </c>
      <c r="AF24" s="25">
        <f>AE24/H24</f>
        <v/>
      </c>
      <c r="AG24" s="26">
        <f>H24-O24-P24-Q24-R24-S24-T24-W24-Y24-Z24-M24-AL24</f>
        <v/>
      </c>
      <c r="AH24" s="27">
        <f>AG24-AE24</f>
        <v/>
      </c>
      <c r="AI24" s="28">
        <f>AH24/H24</f>
        <v/>
      </c>
      <c r="AJ24" s="29">
        <f>AH24/M24</f>
        <v/>
      </c>
      <c r="AK24" s="21">
        <f>(P24+R24+W24+Y24+Z24+M24)/(1-(N24+$H$4+(1-I24)*$H$3+$H$8+$H$11+AA24+AC24))</f>
        <v/>
      </c>
      <c r="AL24" s="90">
        <f>H24*$H$11</f>
        <v/>
      </c>
    </row>
    <row r="25">
      <c r="A25" s="52" t="inlineStr">
        <is>
          <t>Косметика/ELIZAVECCA</t>
        </is>
      </c>
      <c r="B25" s="10" t="n"/>
      <c r="C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</row>
    <row r="26" ht="29" customHeight="1">
      <c r="A26" s="11" t="inlineStr">
        <is>
          <t>ELIZAVECCA - CER-100 Collagen Ceramide Coating Protein Treatment [100ml] / Коллагеновая маска для волос</t>
        </is>
      </c>
      <c r="B26" s="12" t="n"/>
      <c r="C26" s="13" t="n"/>
      <c r="D26" s="111" t="n">
        <v>453</v>
      </c>
      <c r="E26" s="14" t="n">
        <v>1315</v>
      </c>
      <c r="F26" s="14" t="n">
        <v>150</v>
      </c>
      <c r="G26" s="14" t="n">
        <v>0</v>
      </c>
      <c r="H26" s="14">
        <f>(1.25*M26+P26+R26+W26+Y26+Z26)/(1-N26-$H$8-$H$4-(1-I26)*$H$3-$H$11-AA26-AC26)</f>
        <v/>
      </c>
      <c r="I26" s="15" t="n">
        <v>0.45</v>
      </c>
      <c r="J26" s="16">
        <f>H26*(1-I26)</f>
        <v/>
      </c>
      <c r="K26" s="17" t="n">
        <v>242.23</v>
      </c>
      <c r="L26" s="18">
        <f>$H$5</f>
        <v/>
      </c>
      <c r="M26" s="19">
        <f>K26+L26</f>
        <v/>
      </c>
      <c r="N26" s="20" t="n">
        <v>0.41</v>
      </c>
      <c r="O26" s="21">
        <f>H26*N26</f>
        <v/>
      </c>
      <c r="P26" s="22" t="n">
        <v>67</v>
      </c>
      <c r="Q26" s="21">
        <f>H26*$H$8</f>
        <v/>
      </c>
      <c r="R26" s="22" t="n">
        <v>25</v>
      </c>
      <c r="S26" s="21">
        <f>H26*$H$4</f>
        <v/>
      </c>
      <c r="T26" s="21">
        <f>J26*$H$3</f>
        <v/>
      </c>
      <c r="U26" s="23" t="n">
        <v>0.9</v>
      </c>
      <c r="V26" s="22" t="n">
        <v>67</v>
      </c>
      <c r="W26" s="21">
        <f>V26*(1-U26)</f>
        <v/>
      </c>
      <c r="X26" s="24" t="n">
        <v>0.46</v>
      </c>
      <c r="Y26" s="21">
        <f>$H$6*$H$7*X26</f>
        <v/>
      </c>
      <c r="Z26" s="19">
        <f>X26*($H$9+$H$10)</f>
        <v/>
      </c>
      <c r="AA26" s="20" t="n">
        <v>0.07000000000000001</v>
      </c>
      <c r="AB26" s="21">
        <f>H26*AA26</f>
        <v/>
      </c>
      <c r="AC26" s="23" t="n">
        <v>0.08</v>
      </c>
      <c r="AD26" s="21">
        <f>H26*AC26</f>
        <v/>
      </c>
      <c r="AE26" s="21">
        <f>AB26+AD26</f>
        <v/>
      </c>
      <c r="AF26" s="25">
        <f>AE26/H26</f>
        <v/>
      </c>
      <c r="AG26" s="26">
        <f>H26-O26-P26-Q26-R26-S26-T26-W26-Y26-Z26-M26-AL26</f>
        <v/>
      </c>
      <c r="AH26" s="27">
        <f>AG26-AE26</f>
        <v/>
      </c>
      <c r="AI26" s="28">
        <f>AH26/H26</f>
        <v/>
      </c>
      <c r="AJ26" s="29">
        <f>AH26/M26</f>
        <v/>
      </c>
      <c r="AK26" s="21">
        <f>(P26+R26+W26+Y26+Z26+M26)/(1-(N26+$H$4+(1-I26)*$H$3+$H$8+$H$11+AA26+AC26))</f>
        <v/>
      </c>
      <c r="AL26" s="90">
        <f>H26*$H$11</f>
        <v/>
      </c>
    </row>
    <row r="27" ht="29" customHeight="1">
      <c r="A27" s="11" t="inlineStr">
        <is>
          <t>ELIZAVECCA - Hell-Pore Galactomyces Pure Ample / Сыворотка для лица с экстрактом галактомисиса</t>
        </is>
      </c>
      <c r="B27" s="12" t="n"/>
      <c r="C27" s="13" t="inlineStr">
        <is>
          <t>не смогла найти с продажами</t>
        </is>
      </c>
      <c r="D27" s="111" t="n">
        <v>50</v>
      </c>
      <c r="E27" s="14" t="n"/>
      <c r="F27" s="14" t="n"/>
      <c r="G27" s="14" t="n"/>
      <c r="H27" s="14">
        <f>(1.25*M27+P27+R27+W27+Y27+Z27)/(1-N27-$H$8-$H$4-(1-I27)*$H$3-$H$11-AA27-AC27)</f>
        <v/>
      </c>
      <c r="I27" s="15" t="n">
        <v>0.45</v>
      </c>
      <c r="J27" s="16">
        <f>H27*(1-I27)</f>
        <v/>
      </c>
      <c r="K27" s="17" t="n">
        <v>447.64</v>
      </c>
      <c r="L27" s="18">
        <f>$H$5</f>
        <v/>
      </c>
      <c r="M27" s="19">
        <f>K27+L27</f>
        <v/>
      </c>
      <c r="N27" s="20" t="n">
        <v>0.41</v>
      </c>
      <c r="O27" s="21">
        <f>H27*N27</f>
        <v/>
      </c>
      <c r="P27" s="22" t="n">
        <v>63</v>
      </c>
      <c r="Q27" s="21">
        <f>H27*$H$8</f>
        <v/>
      </c>
      <c r="R27" s="22" t="n">
        <v>25</v>
      </c>
      <c r="S27" s="21">
        <f>H27*$H$4</f>
        <v/>
      </c>
      <c r="T27" s="21">
        <f>J27*$H$3</f>
        <v/>
      </c>
      <c r="U27" s="23" t="n">
        <v>0.9</v>
      </c>
      <c r="V27" s="22" t="n">
        <v>63</v>
      </c>
      <c r="W27" s="21">
        <f>V27*(1-U27)</f>
        <v/>
      </c>
      <c r="X27" s="24" t="n">
        <v>0.3</v>
      </c>
      <c r="Y27" s="21">
        <f>$H$6*$H$7*X27</f>
        <v/>
      </c>
      <c r="Z27" s="19">
        <f>X27*($H$9+$H$10)</f>
        <v/>
      </c>
      <c r="AA27" s="20" t="n">
        <v>0.07000000000000001</v>
      </c>
      <c r="AB27" s="21">
        <f>H27*AA27</f>
        <v/>
      </c>
      <c r="AC27" s="23" t="n">
        <v>0.08</v>
      </c>
      <c r="AD27" s="21">
        <f>H27*AC27</f>
        <v/>
      </c>
      <c r="AE27" s="21">
        <f>AB27+AD27</f>
        <v/>
      </c>
      <c r="AF27" s="25">
        <f>AE27/H27</f>
        <v/>
      </c>
      <c r="AG27" s="26">
        <f>H27-O27-P27-Q27-R27-S27-T27-W27-Y27-Z27-M27-AL27</f>
        <v/>
      </c>
      <c r="AH27" s="27">
        <f>AG27-AE27</f>
        <v/>
      </c>
      <c r="AI27" s="28">
        <f>AH27/H27</f>
        <v/>
      </c>
      <c r="AJ27" s="29">
        <f>AH27/M27</f>
        <v/>
      </c>
      <c r="AK27" s="21">
        <f>(P27+R27+W27+Y27+Z27+M27)/(1-(N27+$H$4+(1-I27)*$H$3+$H$8+$H$11+AA27+AC27))</f>
        <v/>
      </c>
      <c r="AL27" s="90">
        <f>H27*$H$11</f>
        <v/>
      </c>
    </row>
    <row r="28" ht="29" customHeight="1">
      <c r="A28" s="11" t="inlineStr">
        <is>
          <t>ELIZAVECCA - Milky Piggy EGF elastic retinol [100ml] / Антивозрастной крем для лица с ретинолом и EGF</t>
        </is>
      </c>
      <c r="B28" s="12" t="n"/>
      <c r="C28" s="13" t="n"/>
      <c r="D28" s="111" t="n">
        <v>235</v>
      </c>
      <c r="E28" s="14" t="n">
        <v>1841</v>
      </c>
      <c r="F28" s="14" t="n">
        <v>47</v>
      </c>
      <c r="G28" s="14" t="n">
        <v>0</v>
      </c>
      <c r="H28" s="14" t="n">
        <v>1790</v>
      </c>
      <c r="I28" s="15" t="n">
        <v>0.45</v>
      </c>
      <c r="J28" s="16">
        <f>H28*(1-I28)</f>
        <v/>
      </c>
      <c r="K28" s="17" t="n">
        <v>602.1799999999999</v>
      </c>
      <c r="L28" s="18">
        <f>$H$5</f>
        <v/>
      </c>
      <c r="M28" s="19">
        <f>K28+L28</f>
        <v/>
      </c>
      <c r="N28" s="20" t="n">
        <v>0.41</v>
      </c>
      <c r="O28" s="21">
        <f>H28*N28</f>
        <v/>
      </c>
      <c r="P28" s="22" t="n">
        <v>67</v>
      </c>
      <c r="Q28" s="21">
        <f>H28*$H$8</f>
        <v/>
      </c>
      <c r="R28" s="22" t="n">
        <v>25</v>
      </c>
      <c r="S28" s="21">
        <f>H28*$H$4</f>
        <v/>
      </c>
      <c r="T28" s="21">
        <f>J28*$H$3</f>
        <v/>
      </c>
      <c r="U28" s="23" t="n">
        <v>0.9</v>
      </c>
      <c r="V28" s="22" t="n">
        <v>67</v>
      </c>
      <c r="W28" s="21">
        <f>V28*(1-U28)</f>
        <v/>
      </c>
      <c r="X28" s="24" t="n">
        <v>0.58</v>
      </c>
      <c r="Y28" s="21">
        <f>$H$6*$H$7*X28</f>
        <v/>
      </c>
      <c r="Z28" s="19">
        <f>X28*($H$9+$H$10)</f>
        <v/>
      </c>
      <c r="AA28" s="20" t="n">
        <v>0.07000000000000001</v>
      </c>
      <c r="AB28" s="21">
        <f>H28*AA28</f>
        <v/>
      </c>
      <c r="AC28" s="23" t="n">
        <v>0.08</v>
      </c>
      <c r="AD28" s="21">
        <f>H28*AC28</f>
        <v/>
      </c>
      <c r="AE28" s="21">
        <f>AB28+AD28</f>
        <v/>
      </c>
      <c r="AF28" s="25">
        <f>AE28/H28</f>
        <v/>
      </c>
      <c r="AG28" s="26">
        <f>H28-O28-P28-Q28-R28-S28-T28-W28-Y28-Z28-M28-AL28</f>
        <v/>
      </c>
      <c r="AH28" s="27">
        <f>AG28-AE28</f>
        <v/>
      </c>
      <c r="AI28" s="28">
        <f>AH28/H28</f>
        <v/>
      </c>
      <c r="AJ28" s="29">
        <f>AH28/M28</f>
        <v/>
      </c>
      <c r="AK28" s="21">
        <f>(P28+R28+W28+Y28+Z28+M28)/(1-(N28+$H$4+(1-I28)*$H$3+$H$8+$H$11+AA28+AC28))</f>
        <v/>
      </c>
      <c r="AL28" s="90">
        <f>H28*$H$11</f>
        <v/>
      </c>
    </row>
    <row r="29">
      <c r="A29" s="52" t="inlineStr">
        <is>
          <t>Косметика/ENOUGH</t>
        </is>
      </c>
      <c r="B29" s="10" t="n"/>
      <c r="C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</row>
    <row r="30" ht="29" customHeight="1">
      <c r="A30" s="11" t="inlineStr">
        <is>
          <t>ENOUGH - Collagen Moisture Essential Cream [50ml] / Увлажняющий крем для лица с коллагеном</t>
        </is>
      </c>
      <c r="B30" s="12" t="n"/>
      <c r="C30" s="13" t="inlineStr">
        <is>
          <t>260-382 (много подделок)</t>
        </is>
      </c>
      <c r="E30" s="14" t="n">
        <v>424</v>
      </c>
      <c r="F30" s="14" t="n">
        <v>166</v>
      </c>
      <c r="G30" s="14" t="n">
        <v>17</v>
      </c>
      <c r="H30" s="14" t="n">
        <v>750</v>
      </c>
      <c r="I30" s="15" t="n">
        <v>0.45</v>
      </c>
      <c r="J30" s="16">
        <f>H30*(1-I30)</f>
        <v/>
      </c>
      <c r="K30" s="17" t="n">
        <v>161.3</v>
      </c>
      <c r="L30" s="18">
        <f>$H$5</f>
        <v/>
      </c>
      <c r="M30" s="19">
        <f>K30+L30</f>
        <v/>
      </c>
      <c r="N30" s="20" t="n">
        <v>0.41</v>
      </c>
      <c r="O30" s="21">
        <f>H30*N30</f>
        <v/>
      </c>
      <c r="P30" s="22" t="n">
        <v>67</v>
      </c>
      <c r="Q30" s="21">
        <f>H30*$H$8</f>
        <v/>
      </c>
      <c r="R30" s="22" t="n">
        <v>25</v>
      </c>
      <c r="S30" s="21">
        <f>H30*$H$4</f>
        <v/>
      </c>
      <c r="T30" s="21">
        <f>J30*$H$3</f>
        <v/>
      </c>
      <c r="U30" s="23" t="n">
        <v>0.9</v>
      </c>
      <c r="V30" s="22" t="n">
        <v>67</v>
      </c>
      <c r="W30" s="21">
        <f>V30*(1-U30)</f>
        <v/>
      </c>
      <c r="X30" s="24" t="n">
        <v>0.72</v>
      </c>
      <c r="Y30" s="21">
        <f>$H$6*$H$7*X30</f>
        <v/>
      </c>
      <c r="Z30" s="19">
        <f>X30*($H$9+$H$10)</f>
        <v/>
      </c>
      <c r="AA30" s="20" t="n">
        <v>0.07000000000000001</v>
      </c>
      <c r="AB30" s="21">
        <f>H30*AA30</f>
        <v/>
      </c>
      <c r="AC30" s="23" t="n">
        <v>0.08</v>
      </c>
      <c r="AD30" s="21">
        <f>H30*AC30</f>
        <v/>
      </c>
      <c r="AE30" s="21">
        <f>AB30+AD30</f>
        <v/>
      </c>
      <c r="AF30" s="25">
        <f>AE30/H30</f>
        <v/>
      </c>
      <c r="AG30" s="26">
        <f>H30-O30-P30-Q30-R30-S30-T30-W30-Y30-Z30-M30-AL30</f>
        <v/>
      </c>
      <c r="AH30" s="27">
        <f>AG30-AE30</f>
        <v/>
      </c>
      <c r="AI30" s="28">
        <f>AH30/H30</f>
        <v/>
      </c>
      <c r="AJ30" s="29">
        <f>AH30/M30</f>
        <v/>
      </c>
      <c r="AK30" s="21">
        <f>(P30+R30+W30+Y30+Z30+M30)/(1-(N30+$H$4+(1-I30)*$H$3+$H$8+$H$11+AA30+AC30))</f>
        <v/>
      </c>
      <c r="AL30" s="90">
        <f>H30*$H$11</f>
        <v/>
      </c>
    </row>
    <row r="31" ht="29" customHeight="1">
      <c r="A31" s="11" t="inlineStr">
        <is>
          <t>ENOUGH - Collagen Whitening Moisture Cream 3in1 [50g] / Антивозрастной отбеливающий крем с коллагеном</t>
        </is>
      </c>
      <c r="B31" s="12" t="n"/>
      <c r="C31" s="13" t="n"/>
      <c r="D31" s="111" t="n">
        <v>761</v>
      </c>
      <c r="E31" s="14" t="n">
        <v>827</v>
      </c>
      <c r="F31" s="14" t="n">
        <v>96</v>
      </c>
      <c r="G31" s="14" t="n">
        <v>20</v>
      </c>
      <c r="H31" s="14">
        <f>(1.25*M31+P31+R31+W31+Y31+Z31)/(1-N31-$H$8-$H$4-(1-I31)*$H$3-$H$11-AA31-AC31)</f>
        <v/>
      </c>
      <c r="I31" s="15" t="n">
        <v>0.45</v>
      </c>
      <c r="J31" s="16">
        <f>H31*(1-I31)</f>
        <v/>
      </c>
      <c r="K31" s="17" t="n">
        <v>183.88</v>
      </c>
      <c r="L31" s="18">
        <f>$H$5</f>
        <v/>
      </c>
      <c r="M31" s="19">
        <f>K31+L31</f>
        <v/>
      </c>
      <c r="N31" s="20" t="n">
        <v>0.41</v>
      </c>
      <c r="O31" s="21">
        <f>H31*N31</f>
        <v/>
      </c>
      <c r="P31" s="22" t="n">
        <v>67</v>
      </c>
      <c r="Q31" s="21">
        <f>H31*$H$8</f>
        <v/>
      </c>
      <c r="R31" s="22" t="n">
        <v>25</v>
      </c>
      <c r="S31" s="21">
        <f>H31*$H$4</f>
        <v/>
      </c>
      <c r="T31" s="21">
        <f>J31*$H$3</f>
        <v/>
      </c>
      <c r="U31" s="23" t="n">
        <v>0.9</v>
      </c>
      <c r="V31" s="22" t="n">
        <v>67</v>
      </c>
      <c r="W31" s="21">
        <f>V31*(1-U31)</f>
        <v/>
      </c>
      <c r="X31" s="24" t="n">
        <v>0.72</v>
      </c>
      <c r="Y31" s="21">
        <f>$H$6*$H$7*X31</f>
        <v/>
      </c>
      <c r="Z31" s="19">
        <f>X31*($H$9+$H$10)</f>
        <v/>
      </c>
      <c r="AA31" s="20" t="n">
        <v>0.07000000000000001</v>
      </c>
      <c r="AB31" s="21">
        <f>H31*AA31</f>
        <v/>
      </c>
      <c r="AC31" s="23" t="n">
        <v>0.08</v>
      </c>
      <c r="AD31" s="21">
        <f>H31*AC31</f>
        <v/>
      </c>
      <c r="AE31" s="21">
        <f>AB31+AD31</f>
        <v/>
      </c>
      <c r="AF31" s="25">
        <f>AE31/H31</f>
        <v/>
      </c>
      <c r="AG31" s="26">
        <f>H31-O31-P31-Q31-R31-S31-T31-W31-Y31-Z31-M31-AL31</f>
        <v/>
      </c>
      <c r="AH31" s="27">
        <f>AG31-AE31</f>
        <v/>
      </c>
      <c r="AI31" s="28">
        <f>AH31/H31</f>
        <v/>
      </c>
      <c r="AJ31" s="29">
        <f>AH31/M31</f>
        <v/>
      </c>
      <c r="AK31" s="21">
        <f>(P31+R31+W31+Y31+Z31+M31)/(1-(N31+$H$4+(1-I31)*$H$3+$H$8+$H$11+AA31+AC31))</f>
        <v/>
      </c>
      <c r="AL31" s="90">
        <f>H31*$H$11</f>
        <v/>
      </c>
    </row>
    <row r="32" ht="29" customHeight="1">
      <c r="A32" s="11" t="inlineStr">
        <is>
          <t>ENOUGH - Collagen Moisture Foundation [Tone 13] / Тональный крем для лица с коллагеном 13 тон</t>
        </is>
      </c>
      <c r="B32" s="12" t="n"/>
      <c r="C32" s="13" t="n"/>
      <c r="D32" s="111" t="n">
        <v>0</v>
      </c>
      <c r="E32" s="14" t="n">
        <v>1980</v>
      </c>
      <c r="F32" s="14" t="n">
        <v>195</v>
      </c>
      <c r="G32" s="14" t="n">
        <v>8</v>
      </c>
      <c r="H32" s="14" t="n">
        <v>1800</v>
      </c>
      <c r="I32" s="15" t="n">
        <v>0.45</v>
      </c>
      <c r="J32" s="16">
        <f>H32*(1-I32)</f>
        <v/>
      </c>
      <c r="K32" s="17" t="n">
        <v>216.45</v>
      </c>
      <c r="L32" s="18">
        <f>$H$5</f>
        <v/>
      </c>
      <c r="M32" s="19">
        <f>K32+L32</f>
        <v/>
      </c>
      <c r="N32" s="20" t="n">
        <v>0.41</v>
      </c>
      <c r="O32" s="21">
        <f>H32*N32</f>
        <v/>
      </c>
      <c r="P32" s="22" t="n">
        <v>67</v>
      </c>
      <c r="Q32" s="21">
        <f>H32*$H$8</f>
        <v/>
      </c>
      <c r="R32" s="22" t="n">
        <v>25</v>
      </c>
      <c r="S32" s="21">
        <f>H32*$H$4</f>
        <v/>
      </c>
      <c r="T32" s="21">
        <f>J32*$H$3</f>
        <v/>
      </c>
      <c r="U32" s="23" t="n">
        <v>0.9</v>
      </c>
      <c r="V32" s="22" t="n">
        <v>67</v>
      </c>
      <c r="W32" s="21">
        <f>V32*(1-U32)</f>
        <v/>
      </c>
      <c r="X32" s="24" t="n">
        <v>0.4</v>
      </c>
      <c r="Y32" s="21">
        <f>$H$6*$H$7*X32</f>
        <v/>
      </c>
      <c r="Z32" s="19">
        <f>X32*($H$9+$H$10)</f>
        <v/>
      </c>
      <c r="AA32" s="20" t="n">
        <v>0.07000000000000001</v>
      </c>
      <c r="AB32" s="21">
        <f>H32*AA32</f>
        <v/>
      </c>
      <c r="AC32" s="23" t="n">
        <v>0.08</v>
      </c>
      <c r="AD32" s="21">
        <f>H32*AC32</f>
        <v/>
      </c>
      <c r="AE32" s="21">
        <f>AB32+AD32</f>
        <v/>
      </c>
      <c r="AF32" s="25">
        <f>AE32/H32</f>
        <v/>
      </c>
      <c r="AG32" s="26">
        <f>H32-O32-P32-Q32-R32-S32-T32-W32-Y32-Z32-M32-AL32</f>
        <v/>
      </c>
      <c r="AH32" s="27">
        <f>AG32-AE32</f>
        <v/>
      </c>
      <c r="AI32" s="28">
        <f>AH32/H32</f>
        <v/>
      </c>
      <c r="AJ32" s="29">
        <f>AH32/M32</f>
        <v/>
      </c>
      <c r="AK32" s="21">
        <f>(P32+R32+W32+Y32+Z32+M32)/(1-(N32+$H$4+(1-I32)*$H$3+$H$8+$H$11+AA32+AC32))</f>
        <v/>
      </c>
      <c r="AL32" s="90">
        <f>H32*$H$11</f>
        <v/>
      </c>
    </row>
    <row r="33" ht="29" customHeight="1">
      <c r="A33" s="11" t="inlineStr">
        <is>
          <t>ENOUGH - Collagen Moisture Foundation [Tone 21] / Тональный крем для лица с коллагеном 21 тон</t>
        </is>
      </c>
      <c r="B33" s="12" t="n"/>
      <c r="C33" s="13" t="n"/>
      <c r="D33" s="111" t="n">
        <v>0</v>
      </c>
      <c r="E33" s="14" t="n">
        <v>1910</v>
      </c>
      <c r="F33" s="14" t="n">
        <v>121</v>
      </c>
      <c r="G33" s="14" t="n">
        <v>7.3</v>
      </c>
      <c r="H33" s="14" t="n">
        <v>1800</v>
      </c>
      <c r="I33" s="15" t="n">
        <v>0.45</v>
      </c>
      <c r="J33" s="16">
        <f>H33*(1-I33)</f>
        <v/>
      </c>
      <c r="K33" s="17" t="n">
        <v>242.88</v>
      </c>
      <c r="L33" s="18">
        <f>$H$5</f>
        <v/>
      </c>
      <c r="M33" s="19">
        <f>K33+L33</f>
        <v/>
      </c>
      <c r="N33" s="20" t="n">
        <v>0.41</v>
      </c>
      <c r="O33" s="21">
        <f>H33*N33</f>
        <v/>
      </c>
      <c r="P33" s="22" t="n">
        <v>67</v>
      </c>
      <c r="Q33" s="21">
        <f>H33*$H$8</f>
        <v/>
      </c>
      <c r="R33" s="22" t="n">
        <v>25</v>
      </c>
      <c r="S33" s="21">
        <f>H33*$H$4</f>
        <v/>
      </c>
      <c r="T33" s="21">
        <f>J33*$H$3</f>
        <v/>
      </c>
      <c r="U33" s="23" t="n">
        <v>0.9</v>
      </c>
      <c r="V33" s="22" t="n">
        <v>67</v>
      </c>
      <c r="W33" s="21">
        <f>V33*(1-U33)</f>
        <v/>
      </c>
      <c r="X33" s="24" t="n">
        <v>0.4</v>
      </c>
      <c r="Y33" s="21">
        <f>$H$6*$H$7*X33</f>
        <v/>
      </c>
      <c r="Z33" s="19">
        <f>X33*($H$9+$H$10)</f>
        <v/>
      </c>
      <c r="AA33" s="20" t="n">
        <v>0.07000000000000001</v>
      </c>
      <c r="AB33" s="21">
        <f>H33*AA33</f>
        <v/>
      </c>
      <c r="AC33" s="23" t="n">
        <v>0.08</v>
      </c>
      <c r="AD33" s="21">
        <f>H33*AC33</f>
        <v/>
      </c>
      <c r="AE33" s="21">
        <f>AB33+AD33</f>
        <v/>
      </c>
      <c r="AF33" s="25">
        <f>AE33/H33</f>
        <v/>
      </c>
      <c r="AG33" s="26">
        <f>H33-O33-P33-Q33-R33-S33-T33-W33-Y33-Z33-M33-AL33</f>
        <v/>
      </c>
      <c r="AH33" s="27">
        <f>AG33-AE33</f>
        <v/>
      </c>
      <c r="AI33" s="28">
        <f>AH33/H33</f>
        <v/>
      </c>
      <c r="AJ33" s="29">
        <f>AH33/M33</f>
        <v/>
      </c>
      <c r="AK33" s="21">
        <f>(P33+R33+W33+Y33+Z33+M33)/(1-(N33+$H$4+(1-I33)*$H$3+$H$8+$H$11+AA33+AC33))</f>
        <v/>
      </c>
      <c r="AL33" s="90">
        <f>H33*$H$11</f>
        <v/>
      </c>
    </row>
    <row r="34" ht="29" customHeight="1">
      <c r="A34" s="11" t="inlineStr">
        <is>
          <t>ENOUGH - Gold Snail Moisture Foundation [Tone 13] / Тональный крем с муцином улитки 13 тон</t>
        </is>
      </c>
      <c r="B34" s="12" t="n"/>
      <c r="C34" s="13" t="n"/>
      <c r="D34" s="111" t="n">
        <v>95</v>
      </c>
      <c r="E34" s="14" t="n">
        <v>1456</v>
      </c>
      <c r="F34" s="14" t="n">
        <v>109</v>
      </c>
      <c r="G34" s="14" t="n">
        <v>9</v>
      </c>
      <c r="H34" s="14" t="n">
        <v>1356</v>
      </c>
      <c r="I34" s="15" t="n">
        <v>0.45</v>
      </c>
      <c r="J34" s="16">
        <f>H34*(1-I34)</f>
        <v/>
      </c>
      <c r="K34" s="17" t="n">
        <v>245.65</v>
      </c>
      <c r="L34" s="18">
        <f>$H$5</f>
        <v/>
      </c>
      <c r="M34" s="19">
        <f>K34+L34</f>
        <v/>
      </c>
      <c r="N34" s="20" t="n">
        <v>0.41</v>
      </c>
      <c r="O34" s="21">
        <f>H34*N34</f>
        <v/>
      </c>
      <c r="P34" s="22" t="n">
        <v>67</v>
      </c>
      <c r="Q34" s="21">
        <f>H34*$H$8</f>
        <v/>
      </c>
      <c r="R34" s="22" t="n">
        <v>25</v>
      </c>
      <c r="S34" s="21">
        <f>H34*$H$4</f>
        <v/>
      </c>
      <c r="T34" s="21">
        <f>J34*$H$3</f>
        <v/>
      </c>
      <c r="U34" s="23" t="n">
        <v>0.9</v>
      </c>
      <c r="V34" s="22" t="n">
        <v>67</v>
      </c>
      <c r="W34" s="21">
        <f>V34*(1-U34)</f>
        <v/>
      </c>
      <c r="X34" s="24" t="n">
        <v>0.4</v>
      </c>
      <c r="Y34" s="21">
        <f>$H$6*$H$7*X34</f>
        <v/>
      </c>
      <c r="Z34" s="19">
        <f>X34*($H$9+$H$10)</f>
        <v/>
      </c>
      <c r="AA34" s="20" t="n">
        <v>0.07000000000000001</v>
      </c>
      <c r="AB34" s="21">
        <f>H34*AA34</f>
        <v/>
      </c>
      <c r="AC34" s="23" t="n">
        <v>0.08</v>
      </c>
      <c r="AD34" s="21">
        <f>H34*AC34</f>
        <v/>
      </c>
      <c r="AE34" s="21">
        <f>AB34+AD34</f>
        <v/>
      </c>
      <c r="AF34" s="25">
        <f>AE34/H34</f>
        <v/>
      </c>
      <c r="AG34" s="26">
        <f>H34-O34-P34-Q34-R34-S34-T34-W34-Y34-Z34-M34-AL34</f>
        <v/>
      </c>
      <c r="AH34" s="27">
        <f>AG34-AE34</f>
        <v/>
      </c>
      <c r="AI34" s="28">
        <f>AH34/H34</f>
        <v/>
      </c>
      <c r="AJ34" s="29">
        <f>AH34/M34</f>
        <v/>
      </c>
      <c r="AK34" s="21">
        <f>(P34+R34+W34+Y34+Z34+M34)/(1-(N34+$H$4+(1-I34)*$H$3+$H$8+$H$11+AA34+AC34))</f>
        <v/>
      </c>
      <c r="AL34" s="90">
        <f>H34*$H$11</f>
        <v/>
      </c>
    </row>
    <row r="35" ht="29" customHeight="1">
      <c r="A35" s="11" t="inlineStr">
        <is>
          <t>ENOUGH - Gold Snail Moisture Foundation [Tone 21] / Тональный крем с муцином улитки 21 тон</t>
        </is>
      </c>
      <c r="B35" s="12" t="n"/>
      <c r="C35" s="13" t="n"/>
      <c r="D35" s="111" t="n">
        <v>101</v>
      </c>
      <c r="E35" s="14" t="n">
        <v>1345</v>
      </c>
      <c r="F35" s="14" t="n">
        <v>114</v>
      </c>
      <c r="G35" s="14" t="n">
        <v>0</v>
      </c>
      <c r="H35" s="14" t="n">
        <v>1280</v>
      </c>
      <c r="I35" s="15" t="n">
        <v>0.45</v>
      </c>
      <c r="J35" s="16">
        <f>H35*(1-I35)</f>
        <v/>
      </c>
      <c r="K35" s="17" t="n">
        <v>270.81</v>
      </c>
      <c r="L35" s="18">
        <f>$H$5</f>
        <v/>
      </c>
      <c r="M35" s="19">
        <f>K35+L35</f>
        <v/>
      </c>
      <c r="N35" s="20" t="n">
        <v>0.41</v>
      </c>
      <c r="O35" s="21">
        <f>H35*N35</f>
        <v/>
      </c>
      <c r="P35" s="22" t="n">
        <v>67</v>
      </c>
      <c r="Q35" s="21">
        <f>H35*$H$8</f>
        <v/>
      </c>
      <c r="R35" s="22" t="n">
        <v>25</v>
      </c>
      <c r="S35" s="21">
        <f>H35*$H$4</f>
        <v/>
      </c>
      <c r="T35" s="21">
        <f>J35*$H$3</f>
        <v/>
      </c>
      <c r="U35" s="23" t="n">
        <v>0.9</v>
      </c>
      <c r="V35" s="22" t="n">
        <v>67</v>
      </c>
      <c r="W35" s="21">
        <f>V35*(1-U35)</f>
        <v/>
      </c>
      <c r="X35" s="24" t="n">
        <v>0.4</v>
      </c>
      <c r="Y35" s="21">
        <f>$H$6*$H$7*X35</f>
        <v/>
      </c>
      <c r="Z35" s="19">
        <f>X35*($H$9+$H$10)</f>
        <v/>
      </c>
      <c r="AA35" s="20" t="n">
        <v>0.07000000000000001</v>
      </c>
      <c r="AB35" s="21">
        <f>H35*AA35</f>
        <v/>
      </c>
      <c r="AC35" s="23" t="n">
        <v>0.08</v>
      </c>
      <c r="AD35" s="21">
        <f>H35*AC35</f>
        <v/>
      </c>
      <c r="AE35" s="21">
        <f>AB35+AD35</f>
        <v/>
      </c>
      <c r="AF35" s="25">
        <f>AE35/H35</f>
        <v/>
      </c>
      <c r="AG35" s="26">
        <f>H35-O35-P35-Q35-R35-S35-T35-W35-Y35-Z35-M35-AL35</f>
        <v/>
      </c>
      <c r="AH35" s="27">
        <f>AG35-AE35</f>
        <v/>
      </c>
      <c r="AI35" s="28">
        <f>AH35/H35</f>
        <v/>
      </c>
      <c r="AJ35" s="29">
        <f>AH35/M35</f>
        <v/>
      </c>
      <c r="AK35" s="21">
        <f>(P35+R35+W35+Y35+Z35+M35)/(1-(N35+$H$4+(1-I35)*$H$3+$H$8+$H$11+AA35+AC35))</f>
        <v/>
      </c>
      <c r="AL35" s="90">
        <f>H35*$H$11</f>
        <v/>
      </c>
    </row>
    <row r="36" ht="29" customHeight="1">
      <c r="A36" s="11" t="inlineStr">
        <is>
          <t>ENOUGH - Collagen 3in1 Whitening Moisture Foundation [Tone 13] / Тональный крем для лица с коллагеном 3в1 [13 тон]</t>
        </is>
      </c>
      <c r="B36" s="12" t="n"/>
      <c r="C36" s="13" t="n"/>
      <c r="D36" s="111" t="n">
        <v>247</v>
      </c>
      <c r="E36" s="14" t="n">
        <v>1732</v>
      </c>
      <c r="F36" s="14" t="n">
        <v>51</v>
      </c>
      <c r="G36" s="14" t="n">
        <v>9</v>
      </c>
      <c r="H36" s="14" t="n">
        <v>1600</v>
      </c>
      <c r="I36" s="15" t="n">
        <v>0.45</v>
      </c>
      <c r="J36" s="16">
        <f>H36*(1-I36)</f>
        <v/>
      </c>
      <c r="K36" s="17" t="n">
        <v>238.13</v>
      </c>
      <c r="L36" s="18">
        <f>$H$5</f>
        <v/>
      </c>
      <c r="M36" s="19">
        <f>K36+L36</f>
        <v/>
      </c>
      <c r="N36" s="20" t="n">
        <v>0.41</v>
      </c>
      <c r="O36" s="21">
        <f>H36*N36</f>
        <v/>
      </c>
      <c r="P36" s="22" t="n">
        <v>67</v>
      </c>
      <c r="Q36" s="21">
        <f>H36*$H$8</f>
        <v/>
      </c>
      <c r="R36" s="22" t="n">
        <v>25</v>
      </c>
      <c r="S36" s="21">
        <f>H36*$H$4</f>
        <v/>
      </c>
      <c r="T36" s="21">
        <f>J36*$H$3</f>
        <v/>
      </c>
      <c r="U36" s="23" t="n">
        <v>0.9</v>
      </c>
      <c r="V36" s="22" t="n">
        <v>67</v>
      </c>
      <c r="W36" s="21">
        <f>V36*(1-U36)</f>
        <v/>
      </c>
      <c r="X36" s="24" t="n">
        <v>0.4</v>
      </c>
      <c r="Y36" s="21">
        <f>$H$6*$H$7*X36</f>
        <v/>
      </c>
      <c r="Z36" s="19">
        <f>X36*($H$9+$H$10)</f>
        <v/>
      </c>
      <c r="AA36" s="20" t="n">
        <v>0.07000000000000001</v>
      </c>
      <c r="AB36" s="21">
        <f>H36*AA36</f>
        <v/>
      </c>
      <c r="AC36" s="23" t="n">
        <v>0.08</v>
      </c>
      <c r="AD36" s="21">
        <f>H36*AC36</f>
        <v/>
      </c>
      <c r="AE36" s="21">
        <f>AB36+AD36</f>
        <v/>
      </c>
      <c r="AF36" s="25">
        <f>AE36/H36</f>
        <v/>
      </c>
      <c r="AG36" s="26">
        <f>H36-O36-P36-Q36-R36-S36-T36-W36-Y36-Z36-M36-AL36</f>
        <v/>
      </c>
      <c r="AH36" s="27">
        <f>AG36-AE36</f>
        <v/>
      </c>
      <c r="AI36" s="28">
        <f>AH36/H36</f>
        <v/>
      </c>
      <c r="AJ36" s="29">
        <f>AH36/M36</f>
        <v/>
      </c>
      <c r="AK36" s="21">
        <f>(P36+R36+W36+Y36+Z36+M36)/(1-(N36+$H$4+(1-I36)*$H$3+$H$8+$H$11+AA36+AC36))</f>
        <v/>
      </c>
      <c r="AL36" s="90">
        <f>H36*$H$11</f>
        <v/>
      </c>
    </row>
    <row r="37" ht="29" customHeight="1">
      <c r="A37" s="11" t="inlineStr">
        <is>
          <t>ENOUGH - Collagen 3in1 Whitening Moisture Foundation [Tone 21] / Тональный крем для лица с коллагеном 3в1 [21 тон]</t>
        </is>
      </c>
      <c r="B37" s="12" t="n"/>
      <c r="C37" s="13" t="n"/>
      <c r="D37" s="111" t="n">
        <v>78</v>
      </c>
      <c r="E37" s="14" t="n">
        <v>1038</v>
      </c>
      <c r="F37" s="14" t="n">
        <v>65</v>
      </c>
      <c r="G37" s="14" t="n">
        <v>12</v>
      </c>
      <c r="H37" s="14" t="n">
        <v>1000</v>
      </c>
      <c r="I37" s="15" t="n">
        <v>0.45</v>
      </c>
      <c r="J37" s="16">
        <f>H37*(1-I37)</f>
        <v/>
      </c>
      <c r="K37" s="17" t="n">
        <v>223.35</v>
      </c>
      <c r="L37" s="18">
        <f>$H$5</f>
        <v/>
      </c>
      <c r="M37" s="19">
        <f>K37+L37</f>
        <v/>
      </c>
      <c r="N37" s="20" t="n">
        <v>0.41</v>
      </c>
      <c r="O37" s="21">
        <f>H37*N37</f>
        <v/>
      </c>
      <c r="P37" s="22" t="n">
        <v>67</v>
      </c>
      <c r="Q37" s="21">
        <f>H37*$H$8</f>
        <v/>
      </c>
      <c r="R37" s="22" t="n">
        <v>25</v>
      </c>
      <c r="S37" s="21">
        <f>H37*$H$4</f>
        <v/>
      </c>
      <c r="T37" s="21">
        <f>J37*$H$3</f>
        <v/>
      </c>
      <c r="U37" s="23" t="n">
        <v>0.9</v>
      </c>
      <c r="V37" s="22" t="n">
        <v>67</v>
      </c>
      <c r="W37" s="21">
        <f>V37*(1-U37)</f>
        <v/>
      </c>
      <c r="X37" s="24" t="n">
        <v>0.4</v>
      </c>
      <c r="Y37" s="21">
        <f>$H$6*$H$7*X37</f>
        <v/>
      </c>
      <c r="Z37" s="19">
        <f>X37*($H$9+$H$10)</f>
        <v/>
      </c>
      <c r="AA37" s="20" t="n">
        <v>0.07000000000000001</v>
      </c>
      <c r="AB37" s="21">
        <f>H37*AA37</f>
        <v/>
      </c>
      <c r="AC37" s="23" t="n">
        <v>0.08</v>
      </c>
      <c r="AD37" s="21">
        <f>H37*AC37</f>
        <v/>
      </c>
      <c r="AE37" s="21">
        <f>AB37+AD37</f>
        <v/>
      </c>
      <c r="AF37" s="25">
        <f>AE37/H37</f>
        <v/>
      </c>
      <c r="AG37" s="26">
        <f>H37-O37-P37-Q37-R37-S37-T37-W37-Y37-Z37-M37-AL37</f>
        <v/>
      </c>
      <c r="AH37" s="27">
        <f>AG37-AE37</f>
        <v/>
      </c>
      <c r="AI37" s="28">
        <f>AH37/H37</f>
        <v/>
      </c>
      <c r="AJ37" s="29">
        <f>AH37/M37</f>
        <v/>
      </c>
      <c r="AK37" s="21">
        <f>(P37+R37+W37+Y37+Z37+M37)/(1-(N37+$H$4+(1-I37)*$H$3+$H$8+$H$11+AA37+AC37))</f>
        <v/>
      </c>
      <c r="AL37" s="90">
        <f>H37*$H$11</f>
        <v/>
      </c>
    </row>
    <row r="38" ht="29" customHeight="1">
      <c r="A38" s="11" t="inlineStr">
        <is>
          <t>ENOUGH - Premium 8 Peptide Full Cover Perfect Foundation [Tone 13] / Тональный крем с пептидами 13 тон</t>
        </is>
      </c>
      <c r="B38" s="12" t="n"/>
      <c r="C38" s="13" t="n"/>
      <c r="D38" s="111" t="n">
        <v>463</v>
      </c>
      <c r="E38" s="14" t="n">
        <v>1330</v>
      </c>
      <c r="F38" s="14" t="n">
        <v>180</v>
      </c>
      <c r="G38" s="14" t="n">
        <v>0</v>
      </c>
      <c r="H38" s="14" t="n">
        <v>1290</v>
      </c>
      <c r="I38" s="15" t="n">
        <v>0.45</v>
      </c>
      <c r="J38" s="16">
        <f>H38*(1-I38)</f>
        <v/>
      </c>
      <c r="K38" s="17" t="n">
        <v>335.9</v>
      </c>
      <c r="L38" s="18">
        <f>$H$5</f>
        <v/>
      </c>
      <c r="M38" s="19">
        <f>K38+L38</f>
        <v/>
      </c>
      <c r="N38" s="20" t="n">
        <v>0.41</v>
      </c>
      <c r="O38" s="21">
        <f>H38*N38</f>
        <v/>
      </c>
      <c r="P38" s="22" t="n">
        <v>67</v>
      </c>
      <c r="Q38" s="21">
        <f>H38*$H$8</f>
        <v/>
      </c>
      <c r="R38" s="22" t="n">
        <v>25</v>
      </c>
      <c r="S38" s="21">
        <f>H38*$H$4</f>
        <v/>
      </c>
      <c r="T38" s="21">
        <f>J38*$H$3</f>
        <v/>
      </c>
      <c r="U38" s="23" t="n">
        <v>0.9</v>
      </c>
      <c r="V38" s="22" t="n">
        <v>67</v>
      </c>
      <c r="W38" s="21">
        <f>V38*(1-U38)</f>
        <v/>
      </c>
      <c r="X38" s="24" t="n">
        <v>0.4</v>
      </c>
      <c r="Y38" s="21">
        <f>$H$6*$H$7*X38</f>
        <v/>
      </c>
      <c r="Z38" s="19">
        <f>X38*($H$9+$H$10)</f>
        <v/>
      </c>
      <c r="AA38" s="20" t="n">
        <v>0.07000000000000001</v>
      </c>
      <c r="AB38" s="21">
        <f>H38*AA38</f>
        <v/>
      </c>
      <c r="AC38" s="23" t="n">
        <v>0.08</v>
      </c>
      <c r="AD38" s="21">
        <f>H38*AC38</f>
        <v/>
      </c>
      <c r="AE38" s="21">
        <f>AB38+AD38</f>
        <v/>
      </c>
      <c r="AF38" s="25">
        <f>AE38/H38</f>
        <v/>
      </c>
      <c r="AG38" s="26">
        <f>H38-O38-P38-Q38-R38-S38-T38-W38-Y38-Z38-M38-AL38</f>
        <v/>
      </c>
      <c r="AH38" s="27">
        <f>AG38-AE38</f>
        <v/>
      </c>
      <c r="AI38" s="28">
        <f>AH38/H38</f>
        <v/>
      </c>
      <c r="AJ38" s="29">
        <f>AH38/M38</f>
        <v/>
      </c>
      <c r="AK38" s="21">
        <f>(P38+R38+W38+Y38+Z38+M38)/(1-(N38+$H$4+(1-I38)*$H$3+$H$8+$H$11+AA38+AC38))</f>
        <v/>
      </c>
      <c r="AL38" s="90">
        <f>H38*$H$11</f>
        <v/>
      </c>
    </row>
    <row r="39" ht="29" customHeight="1">
      <c r="A39" s="11" t="inlineStr">
        <is>
          <t>ENOUGH - Premium 8 Peptide Full Cover Perfect Foundation [Tone 21] / Тональный крем с пептидами 21 тон</t>
        </is>
      </c>
      <c r="B39" s="12" t="n"/>
      <c r="C39" s="13" t="n"/>
      <c r="D39" s="111" t="n">
        <v>208</v>
      </c>
      <c r="E39" s="14" t="n">
        <v>1330</v>
      </c>
      <c r="F39" s="14" t="n">
        <v>265</v>
      </c>
      <c r="G39" s="14" t="n">
        <v>0</v>
      </c>
      <c r="H39" s="14">
        <f>(1.25*M39+P39+R39+W39+Y39+Z39)/(1-N39-$H$8-$H$4-(1-I39)*$H$3-$H$11-AA39-AC39)</f>
        <v/>
      </c>
      <c r="I39" s="15" t="n">
        <v>0.45</v>
      </c>
      <c r="J39" s="16">
        <f>H39*(1-I39)</f>
        <v/>
      </c>
      <c r="K39" s="17" t="n">
        <v>304.77</v>
      </c>
      <c r="L39" s="18">
        <f>$H$5</f>
        <v/>
      </c>
      <c r="M39" s="19">
        <f>K39+L39</f>
        <v/>
      </c>
      <c r="N39" s="20" t="n">
        <v>0.41</v>
      </c>
      <c r="O39" s="21">
        <f>H39*N39</f>
        <v/>
      </c>
      <c r="P39" s="22" t="n">
        <v>67</v>
      </c>
      <c r="Q39" s="21">
        <f>H39*$H$8</f>
        <v/>
      </c>
      <c r="R39" s="22" t="n">
        <v>25</v>
      </c>
      <c r="S39" s="21">
        <f>H39*$H$4</f>
        <v/>
      </c>
      <c r="T39" s="21">
        <f>J39*$H$3</f>
        <v/>
      </c>
      <c r="U39" s="23" t="n">
        <v>0.9</v>
      </c>
      <c r="V39" s="22" t="n">
        <v>67</v>
      </c>
      <c r="W39" s="21">
        <f>V39*(1-U39)</f>
        <v/>
      </c>
      <c r="X39" s="24" t="n">
        <v>0.4</v>
      </c>
      <c r="Y39" s="21">
        <f>$H$6*$H$7*X39</f>
        <v/>
      </c>
      <c r="Z39" s="19">
        <f>X39*($H$9+$H$10)</f>
        <v/>
      </c>
      <c r="AA39" s="20" t="n">
        <v>0.07000000000000001</v>
      </c>
      <c r="AB39" s="21">
        <f>H39*AA39</f>
        <v/>
      </c>
      <c r="AC39" s="23" t="n">
        <v>0.08</v>
      </c>
      <c r="AD39" s="21">
        <f>H39*AC39</f>
        <v/>
      </c>
      <c r="AE39" s="21">
        <f>AB39+AD39</f>
        <v/>
      </c>
      <c r="AF39" s="25">
        <f>AE39/H39</f>
        <v/>
      </c>
      <c r="AG39" s="26">
        <f>H39-O39-P39-Q39-R39-S39-T39-W39-Y39-Z39-M39-AL39</f>
        <v/>
      </c>
      <c r="AH39" s="27">
        <f>AG39-AE39</f>
        <v/>
      </c>
      <c r="AI39" s="28">
        <f>AH39/H39</f>
        <v/>
      </c>
      <c r="AJ39" s="29">
        <f>AH39/M39</f>
        <v/>
      </c>
      <c r="AK39" s="21">
        <f>(P39+R39+W39+Y39+Z39+M39)/(1-(N39+$H$4+(1-I39)*$H$3+$H$8+$H$11+AA39+AC39))</f>
        <v/>
      </c>
      <c r="AL39" s="90">
        <f>H39*$H$11</f>
        <v/>
      </c>
    </row>
    <row r="40" ht="29" customHeight="1">
      <c r="A40" s="11" t="inlineStr">
        <is>
          <t>ENOUGH Collagen whitening cover tip concealer #01 [9g]/Консилер для лица (основная карточка) 4.5 рейтинг</t>
        </is>
      </c>
      <c r="B40" s="12" t="n"/>
      <c r="C40" s="13" t="n"/>
      <c r="D40" s="111" t="n">
        <v>593</v>
      </c>
      <c r="E40" s="14" t="n"/>
      <c r="F40" s="14" t="n"/>
      <c r="G40" s="14" t="n"/>
      <c r="H40" s="14" t="n"/>
      <c r="I40" s="15" t="n"/>
      <c r="J40" s="16" t="n"/>
      <c r="K40" s="17" t="n"/>
      <c r="L40" s="18" t="n"/>
      <c r="M40" s="19" t="n"/>
      <c r="N40" s="20" t="n"/>
      <c r="O40" s="21" t="n"/>
      <c r="P40" s="22" t="n"/>
      <c r="Q40" s="21" t="n"/>
      <c r="R40" s="22" t="n"/>
      <c r="S40" s="21" t="n"/>
      <c r="T40" s="21" t="n"/>
      <c r="U40" s="23" t="n"/>
      <c r="V40" s="22" t="n"/>
      <c r="W40" s="21" t="n"/>
      <c r="X40" s="24" t="n"/>
      <c r="Y40" s="21" t="n"/>
      <c r="Z40" s="19" t="n"/>
      <c r="AA40" s="20" t="n"/>
      <c r="AB40" s="21" t="n"/>
      <c r="AC40" s="23" t="n"/>
      <c r="AD40" s="21" t="n"/>
      <c r="AE40" s="21" t="n"/>
      <c r="AF40" s="25" t="n"/>
      <c r="AG40" s="26" t="n"/>
      <c r="AH40" s="27" t="n"/>
      <c r="AI40" s="28" t="n"/>
      <c r="AJ40" s="29" t="n"/>
      <c r="AK40" s="21" t="n"/>
    </row>
    <row r="41" ht="29" customHeight="1">
      <c r="A41" s="11" t="inlineStr">
        <is>
          <t>ENOUGH Collagen whitening cover tip concealer #02 [9g]/Консилер для лица (основная карточка)</t>
        </is>
      </c>
      <c r="B41" s="12" t="n"/>
      <c r="C41" s="13" t="n"/>
      <c r="D41" s="111" t="n">
        <v>757</v>
      </c>
      <c r="E41" s="14" t="n"/>
      <c r="F41" s="14" t="n"/>
      <c r="G41" s="14" t="n"/>
      <c r="H41" s="14" t="n"/>
      <c r="I41" s="15" t="n"/>
      <c r="J41" s="16" t="n"/>
      <c r="K41" s="17" t="n"/>
      <c r="L41" s="18" t="n"/>
      <c r="M41" s="19" t="n"/>
      <c r="N41" s="20" t="n"/>
      <c r="O41" s="21" t="n"/>
      <c r="P41" s="22" t="n"/>
      <c r="Q41" s="21" t="n"/>
      <c r="R41" s="22" t="n"/>
      <c r="S41" s="21" t="n"/>
      <c r="T41" s="21" t="n"/>
      <c r="U41" s="23" t="n"/>
      <c r="V41" s="22" t="n"/>
      <c r="W41" s="21" t="n"/>
      <c r="X41" s="24" t="n"/>
      <c r="Y41" s="21" t="n"/>
      <c r="Z41" s="19" t="n"/>
      <c r="AA41" s="20" t="n"/>
      <c r="AB41" s="21" t="n"/>
      <c r="AC41" s="23" t="n"/>
      <c r="AD41" s="21" t="n"/>
      <c r="AE41" s="21" t="n"/>
      <c r="AF41" s="25" t="n"/>
      <c r="AG41" s="26" t="n"/>
      <c r="AH41" s="27" t="n"/>
      <c r="AI41" s="28" t="n"/>
      <c r="AJ41" s="29" t="n"/>
      <c r="AK41" s="21" t="n"/>
    </row>
    <row r="42" ht="29" customHeight="1">
      <c r="A42" s="11" t="inlineStr">
        <is>
          <t>ENOUGH Collagen whitening cover tip concealer #03 [9g]/ Консилер для лица (основаная карточка)</t>
        </is>
      </c>
      <c r="B42" s="12" t="n"/>
      <c r="C42" s="13" t="n"/>
      <c r="D42" s="111" t="n">
        <v>810</v>
      </c>
      <c r="E42" s="14" t="n"/>
      <c r="F42" s="14" t="n"/>
      <c r="G42" s="14" t="n"/>
      <c r="H42" s="14" t="n"/>
      <c r="I42" s="15" t="n"/>
      <c r="J42" s="16" t="n"/>
      <c r="K42" s="17" t="n"/>
      <c r="L42" s="18" t="n"/>
      <c r="M42" s="19" t="n"/>
      <c r="N42" s="20" t="n"/>
      <c r="O42" s="21" t="n"/>
      <c r="P42" s="22" t="n"/>
      <c r="Q42" s="21" t="n"/>
      <c r="R42" s="22" t="n"/>
      <c r="S42" s="21" t="n"/>
      <c r="T42" s="21" t="n"/>
      <c r="U42" s="23" t="n"/>
      <c r="V42" s="22" t="n"/>
      <c r="W42" s="21" t="n"/>
      <c r="X42" s="24" t="n"/>
      <c r="Y42" s="21" t="n"/>
      <c r="Z42" s="19" t="n"/>
      <c r="AA42" s="20" t="n"/>
      <c r="AB42" s="21" t="n"/>
      <c r="AC42" s="23" t="n"/>
      <c r="AD42" s="21" t="n"/>
      <c r="AE42" s="21" t="n"/>
      <c r="AF42" s="25" t="n"/>
      <c r="AG42" s="26" t="n"/>
      <c r="AH42" s="27" t="n"/>
      <c r="AI42" s="28" t="n"/>
      <c r="AJ42" s="29" t="n"/>
      <c r="AK42" s="21" t="n"/>
    </row>
    <row r="43" ht="29" customHeight="1">
      <c r="A43" s="11" t="inlineStr">
        <is>
          <t>ENOUGH - Collagen Moisture BB Cream SPF47 PA+++ [50ml] / Увлажняющий BB крем с коллагеном</t>
        </is>
      </c>
      <c r="B43" s="12" t="n"/>
      <c r="C43" s="13" t="n"/>
      <c r="D43" s="111" t="n">
        <v>722</v>
      </c>
      <c r="E43" s="14" t="n"/>
      <c r="F43" s="14" t="n"/>
      <c r="G43" s="14" t="n"/>
      <c r="H43" s="14">
        <f>(1.25*M43+P43+R43+W43+Y43+Z43)/(1-N43-$H$8-$H$4-(1-I43)*$H$3-$H$11-AA43-AC43)</f>
        <v/>
      </c>
      <c r="I43" s="15" t="n">
        <v>0.45</v>
      </c>
      <c r="J43" s="16">
        <f>H43*(1-I43)</f>
        <v/>
      </c>
      <c r="K43" s="17" t="n">
        <v>189.27</v>
      </c>
      <c r="L43" s="18">
        <f>$H$5</f>
        <v/>
      </c>
      <c r="M43" s="19">
        <f>K43+L43</f>
        <v/>
      </c>
      <c r="N43" s="20" t="n">
        <v>0.41</v>
      </c>
      <c r="O43" s="21">
        <f>H43*N43</f>
        <v/>
      </c>
      <c r="P43" s="22" t="n">
        <v>63</v>
      </c>
      <c r="Q43" s="21">
        <f>H43*$H$8</f>
        <v/>
      </c>
      <c r="R43" s="22" t="n">
        <v>25</v>
      </c>
      <c r="S43" s="21">
        <f>H43*$H$4</f>
        <v/>
      </c>
      <c r="T43" s="21">
        <f>J43*$H$3</f>
        <v/>
      </c>
      <c r="U43" s="23" t="n">
        <v>0.9</v>
      </c>
      <c r="V43" s="22" t="n">
        <v>63</v>
      </c>
      <c r="W43" s="21">
        <f>V43*(1-U43)</f>
        <v/>
      </c>
      <c r="X43" s="24" t="n">
        <v>0.28</v>
      </c>
      <c r="Y43" s="21">
        <f>$H$6*$H$7*X43</f>
        <v/>
      </c>
      <c r="Z43" s="19">
        <f>X43*($H$9+$H$10)</f>
        <v/>
      </c>
      <c r="AA43" s="20" t="n">
        <v>0.07000000000000001</v>
      </c>
      <c r="AB43" s="21">
        <f>H43*AA43</f>
        <v/>
      </c>
      <c r="AC43" s="23" t="n">
        <v>0.08</v>
      </c>
      <c r="AD43" s="21">
        <f>H43*AC43</f>
        <v/>
      </c>
      <c r="AE43" s="21">
        <f>AB43+AD43</f>
        <v/>
      </c>
      <c r="AF43" s="25">
        <f>AE43/H43</f>
        <v/>
      </c>
      <c r="AG43" s="26">
        <f>H43-O43-P43-Q43-R43-S43-T43-W43-Y43-Z43-M43-AL43</f>
        <v/>
      </c>
      <c r="AH43" s="27">
        <f>AG43-AE43</f>
        <v/>
      </c>
      <c r="AI43" s="28">
        <f>AH43/H43</f>
        <v/>
      </c>
      <c r="AJ43" s="29">
        <f>AH43/M43</f>
        <v/>
      </c>
      <c r="AK43" s="21">
        <f>(P43+R43+W43+Y43+Z43+M43)/(1-(N43+$H$4+(1-I43)*$H$3+$H$8+$H$11+AA43+AC43))</f>
        <v/>
      </c>
      <c r="AL43" s="90">
        <f>H43*$H$11</f>
        <v/>
      </c>
    </row>
    <row r="44">
      <c r="A44" s="52" t="inlineStr">
        <is>
          <t>Косметика/ETUDEHOUSE</t>
        </is>
      </c>
      <c r="B44" s="10" t="n"/>
      <c r="C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</row>
    <row r="45" ht="29" customHeight="1">
      <c r="A45" s="11" t="inlineStr">
        <is>
          <t>ETUDE - Baking Powder Crunch Pore Scrub [200ml] / Очищающий скраб для лица с содой</t>
        </is>
      </c>
      <c r="B45" s="12" t="n"/>
      <c r="C45" s="13" t="n"/>
      <c r="D45" s="111" t="n">
        <v>221</v>
      </c>
      <c r="E45" s="14" t="n">
        <v>1730</v>
      </c>
      <c r="F45" s="14" t="n">
        <v>300</v>
      </c>
      <c r="G45" s="14" t="n">
        <v>5</v>
      </c>
      <c r="H45" s="14" t="n">
        <v>1650</v>
      </c>
      <c r="I45" s="15" t="n">
        <v>0.45</v>
      </c>
      <c r="J45" s="16">
        <f>H45*(1-I45)</f>
        <v/>
      </c>
      <c r="K45" s="17" t="n">
        <v>361.03</v>
      </c>
      <c r="L45" s="18">
        <f>$H$5</f>
        <v/>
      </c>
      <c r="M45" s="19">
        <f>K45+L45</f>
        <v/>
      </c>
      <c r="N45" s="20" t="n">
        <v>0.41</v>
      </c>
      <c r="O45" s="21">
        <f>H45*N45</f>
        <v/>
      </c>
      <c r="P45" s="22" t="n">
        <v>67</v>
      </c>
      <c r="Q45" s="21">
        <f>H45*$H$8</f>
        <v/>
      </c>
      <c r="R45" s="22" t="n">
        <v>25</v>
      </c>
      <c r="S45" s="21">
        <f>H45*$H$4</f>
        <v/>
      </c>
      <c r="T45" s="21">
        <f>J45*$H$3</f>
        <v/>
      </c>
      <c r="U45" s="23" t="n">
        <v>0.9</v>
      </c>
      <c r="V45" s="22" t="n">
        <v>67</v>
      </c>
      <c r="W45" s="21">
        <f>V45*(1-U45)</f>
        <v/>
      </c>
      <c r="X45" s="24" t="n">
        <v>0.5600000000000001</v>
      </c>
      <c r="Y45" s="21">
        <f>$H$6*$H$7*X45</f>
        <v/>
      </c>
      <c r="Z45" s="19">
        <f>X45*($H$9+$H$10)</f>
        <v/>
      </c>
      <c r="AA45" s="20" t="n">
        <v>0.05</v>
      </c>
      <c r="AB45" s="21">
        <f>H45*AA45</f>
        <v/>
      </c>
      <c r="AC45" s="23" t="n">
        <v>0.05</v>
      </c>
      <c r="AD45" s="21">
        <f>H45*AC45</f>
        <v/>
      </c>
      <c r="AE45" s="21">
        <f>AB45+AD45</f>
        <v/>
      </c>
      <c r="AF45" s="25">
        <f>AE45/H45</f>
        <v/>
      </c>
      <c r="AG45" s="26">
        <f>H45-O45-P45-Q45-R45-S45-T45-W45-Y45-Z45-M45-AL45</f>
        <v/>
      </c>
      <c r="AH45" s="27">
        <f>AG45-AE45</f>
        <v/>
      </c>
      <c r="AI45" s="28">
        <f>AH45/H45</f>
        <v/>
      </c>
      <c r="AJ45" s="29">
        <f>AH45/M45</f>
        <v/>
      </c>
      <c r="AK45" s="21">
        <f>(P45+R45+W45+Y45+Z45+M45)/(1-(N45+$H$4+(1-I45)*$H$3+$H$8+$H$11+AA45+AC45))</f>
        <v/>
      </c>
      <c r="AL45" s="90">
        <f>H45*$H$11</f>
        <v/>
      </c>
    </row>
    <row r="46" ht="29" customHeight="1">
      <c r="A46" s="11" t="inlineStr">
        <is>
          <t>ETUDE - Baking Powder BB Deep Cleansing Foam [160ml] / Пенка с содой для глубокого очищения и снятия макияжа</t>
        </is>
      </c>
      <c r="B46" s="12" t="n"/>
      <c r="C46" s="13" t="n"/>
      <c r="D46" s="111" t="n">
        <v>228</v>
      </c>
      <c r="E46" s="14" t="n">
        <v>1870</v>
      </c>
      <c r="F46" s="14" t="n">
        <v>230</v>
      </c>
      <c r="G46" s="14" t="n">
        <v>8</v>
      </c>
      <c r="H46" s="14" t="n">
        <v>1770</v>
      </c>
      <c r="I46" s="15" t="n">
        <v>0.45</v>
      </c>
      <c r="J46" s="16">
        <f>H46*(1-I46)</f>
        <v/>
      </c>
      <c r="K46" s="17" t="n">
        <v>292.89</v>
      </c>
      <c r="L46" s="18">
        <f>$H$5</f>
        <v/>
      </c>
      <c r="M46" s="19">
        <f>K46+L46</f>
        <v/>
      </c>
      <c r="N46" s="20" t="n">
        <v>0.41</v>
      </c>
      <c r="O46" s="21">
        <f>H46*N46</f>
        <v/>
      </c>
      <c r="P46" s="22" t="n">
        <v>67</v>
      </c>
      <c r="Q46" s="21">
        <f>H46*$H$8</f>
        <v/>
      </c>
      <c r="R46" s="22" t="n">
        <v>25</v>
      </c>
      <c r="S46" s="21">
        <f>H46*$H$4</f>
        <v/>
      </c>
      <c r="T46" s="21">
        <f>J46*$H$3</f>
        <v/>
      </c>
      <c r="U46" s="23" t="n">
        <v>0.9</v>
      </c>
      <c r="V46" s="22" t="n">
        <v>67</v>
      </c>
      <c r="W46" s="21">
        <f>V46*(1-U46)</f>
        <v/>
      </c>
      <c r="X46" s="24" t="n">
        <v>0.5600000000000001</v>
      </c>
      <c r="Y46" s="21">
        <f>$H$6*$H$7*X46</f>
        <v/>
      </c>
      <c r="Z46" s="19">
        <f>X46*($H$9+$H$10)</f>
        <v/>
      </c>
      <c r="AA46" s="20" t="n">
        <v>0.07000000000000001</v>
      </c>
      <c r="AB46" s="21">
        <f>H46*AA46</f>
        <v/>
      </c>
      <c r="AC46" s="23" t="n">
        <v>0.05</v>
      </c>
      <c r="AD46" s="21">
        <f>H46*AC46</f>
        <v/>
      </c>
      <c r="AE46" s="21">
        <f>AB46+AD46</f>
        <v/>
      </c>
      <c r="AF46" s="25">
        <f>AE46/H46</f>
        <v/>
      </c>
      <c r="AG46" s="26">
        <f>H46-O46-P46-Q46-R46-S46-T46-W46-Y46-Z46-M46-AL46</f>
        <v/>
      </c>
      <c r="AH46" s="27">
        <f>AG46-AE46</f>
        <v/>
      </c>
      <c r="AI46" s="28">
        <f>AH46/H46</f>
        <v/>
      </c>
      <c r="AJ46" s="29">
        <f>AH46/M46</f>
        <v/>
      </c>
      <c r="AK46" s="21">
        <f>(P46+R46+W46+Y46+Z46+M46)/(1-(N46+$H$4+(1-I46)*$H$3+$H$8+$H$11+AA46+AC46))</f>
        <v/>
      </c>
      <c r="AL46" s="90">
        <f>H46*$H$11</f>
        <v/>
      </c>
    </row>
    <row r="47" ht="29" customHeight="1">
      <c r="A47" s="11" t="inlineStr">
        <is>
          <t>ETUDE - Baking Powder Crunch Pore Scrub [24*7ml] / Очищающий скраб для лица с содой</t>
        </is>
      </c>
      <c r="B47" s="12" t="n"/>
      <c r="C47" s="13" t="n"/>
      <c r="D47" s="111" t="n">
        <v>221</v>
      </c>
      <c r="E47" s="14" t="n">
        <v>1900</v>
      </c>
      <c r="F47" s="14" t="n">
        <v>60</v>
      </c>
      <c r="G47" s="14" t="n">
        <v>10</v>
      </c>
      <c r="H47" s="14" t="n">
        <v>1835</v>
      </c>
      <c r="I47" s="15" t="n">
        <v>0.45</v>
      </c>
      <c r="J47" s="16">
        <f>H47*(1-I47)</f>
        <v/>
      </c>
      <c r="K47" s="17" t="n">
        <v>389.99</v>
      </c>
      <c r="L47" s="18">
        <f>$H$5</f>
        <v/>
      </c>
      <c r="M47" s="19">
        <f>K47+L47</f>
        <v/>
      </c>
      <c r="N47" s="20" t="n">
        <v>0.41</v>
      </c>
      <c r="O47" s="21">
        <f>H47*N47</f>
        <v/>
      </c>
      <c r="P47" s="22" t="n">
        <v>72</v>
      </c>
      <c r="Q47" s="21">
        <f>H47*$H$8</f>
        <v/>
      </c>
      <c r="R47" s="22" t="n">
        <v>25</v>
      </c>
      <c r="S47" s="21">
        <f>H47*$H$4</f>
        <v/>
      </c>
      <c r="T47" s="21">
        <f>J47*$H$3</f>
        <v/>
      </c>
      <c r="U47" s="23" t="n">
        <v>0.9</v>
      </c>
      <c r="V47" s="22" t="n">
        <v>72</v>
      </c>
      <c r="W47" s="21">
        <f>V47*(1-U47)</f>
        <v/>
      </c>
      <c r="X47" s="24" t="n">
        <v>1.15</v>
      </c>
      <c r="Y47" s="21">
        <f>$H$6*$H$7*X47</f>
        <v/>
      </c>
      <c r="Z47" s="19">
        <f>X47*($H$9+$H$10)</f>
        <v/>
      </c>
      <c r="AA47" s="20" t="n">
        <v>0.07000000000000001</v>
      </c>
      <c r="AB47" s="21">
        <f>H47*AA47</f>
        <v/>
      </c>
      <c r="AC47" s="23" t="n">
        <v>0.08</v>
      </c>
      <c r="AD47" s="21">
        <f>H47*AC47</f>
        <v/>
      </c>
      <c r="AE47" s="21">
        <f>AB47+AD47</f>
        <v/>
      </c>
      <c r="AF47" s="25">
        <f>AE47/H47</f>
        <v/>
      </c>
      <c r="AG47" s="26">
        <f>H47-O47-P47-Q47-R47-S47-T47-W47-Y47-Z47-M47-AL47</f>
        <v/>
      </c>
      <c r="AH47" s="27">
        <f>AG47-AE47</f>
        <v/>
      </c>
      <c r="AI47" s="28">
        <f>AH47/H47</f>
        <v/>
      </c>
      <c r="AJ47" s="29">
        <f>AH47/M47</f>
        <v/>
      </c>
      <c r="AK47" s="21">
        <f>(P47+R47+W47+Y47+Z47+M47)/(1-(N47+$H$4+(1-I47)*$H$3+$H$8+$H$11+AA47+AC47))</f>
        <v/>
      </c>
      <c r="AL47" s="90">
        <f>H47*$H$11</f>
        <v/>
      </c>
    </row>
    <row r="48" ht="12" customHeight="1">
      <c r="A48" s="52" t="inlineStr">
        <is>
          <t>Косметика/FARMSTAY</t>
        </is>
      </c>
      <c r="B48" s="10" t="n"/>
      <c r="C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</row>
    <row r="49" ht="29" customHeight="1">
      <c r="A49" s="11" t="inlineStr">
        <is>
          <t>FARMSTAY COLLAGEN&amp;HYALURONIC ACID ALL-IN ONE</t>
        </is>
      </c>
      <c r="B49" s="12" t="n"/>
      <c r="C49" s="13" t="inlineStr">
        <is>
          <t>только Holika продает на Озон</t>
        </is>
      </c>
      <c r="E49" s="14" t="n">
        <v>3850</v>
      </c>
      <c r="F49" s="14" t="n">
        <v>127</v>
      </c>
      <c r="G49" s="14" t="n">
        <v>6</v>
      </c>
      <c r="H49" s="14" t="n">
        <v>3500</v>
      </c>
      <c r="I49" s="15" t="n">
        <v>0.45</v>
      </c>
      <c r="J49" s="16">
        <f>H49*(1-I49)</f>
        <v/>
      </c>
      <c r="K49" s="17" t="n">
        <v>347.76</v>
      </c>
      <c r="L49" s="18">
        <f>$H$5</f>
        <v/>
      </c>
      <c r="M49" s="19">
        <f>K49+L49</f>
        <v/>
      </c>
      <c r="N49" s="20" t="n">
        <v>0.41</v>
      </c>
      <c r="O49" s="21">
        <f>H49*N49</f>
        <v/>
      </c>
      <c r="P49" s="22" t="n">
        <v>67</v>
      </c>
      <c r="Q49" s="21">
        <f>H49*$H$8</f>
        <v/>
      </c>
      <c r="R49" s="22" t="n">
        <v>25</v>
      </c>
      <c r="S49" s="21">
        <f>H49*$H$4</f>
        <v/>
      </c>
      <c r="T49" s="21">
        <f>J49*$H$3</f>
        <v/>
      </c>
      <c r="U49" s="23" t="n">
        <v>0.9</v>
      </c>
      <c r="V49" s="22" t="n">
        <v>67</v>
      </c>
      <c r="W49" s="21">
        <f>V49*(1-U49)</f>
        <v/>
      </c>
      <c r="X49" s="24" t="n">
        <v>0.832</v>
      </c>
      <c r="Y49" s="21">
        <f>$H$6*$H$7*X49</f>
        <v/>
      </c>
      <c r="Z49" s="19">
        <f>X49*($H$9+$H$10)</f>
        <v/>
      </c>
      <c r="AA49" s="20" t="n">
        <v>0.07000000000000001</v>
      </c>
      <c r="AB49" s="21">
        <f>H49*AA49</f>
        <v/>
      </c>
      <c r="AC49" s="23" t="n">
        <v>0.08</v>
      </c>
      <c r="AD49" s="21">
        <f>H49*AC49</f>
        <v/>
      </c>
      <c r="AE49" s="21">
        <f>AB49+AD49</f>
        <v/>
      </c>
      <c r="AF49" s="25">
        <f>AE49/H49</f>
        <v/>
      </c>
      <c r="AG49" s="26">
        <f>H49-O49-P49-Q49-R49-S49-T49-W49-Y49-Z49-M49-AL49</f>
        <v/>
      </c>
      <c r="AH49" s="27">
        <f>AG49-AE49</f>
        <v/>
      </c>
      <c r="AI49" s="28">
        <f>AH49/H49</f>
        <v/>
      </c>
      <c r="AJ49" s="29">
        <f>AH49/M49</f>
        <v/>
      </c>
      <c r="AK49" s="21">
        <f>(P49+R49+W49+Y49+Z49+M49)/(1-(N49+$H$4+(1-I49)*$H$3+$H$8+$H$11+AA49+AC49))</f>
        <v/>
      </c>
      <c r="AL49" s="90">
        <f>H49*$H$11</f>
        <v/>
      </c>
    </row>
    <row r="50" ht="29" customHeight="1">
      <c r="A50" s="11" t="inlineStr">
        <is>
          <t>FARMSTAY - Black Garlic Nourishing Shampoo [530ml] / Шампунь-кондиционер 2в1 с экстрактом черного чеснока</t>
        </is>
      </c>
      <c r="B50" s="12" t="n"/>
      <c r="C50" s="13" t="inlineStr">
        <is>
          <t>только Holika продает на Озон</t>
        </is>
      </c>
      <c r="E50" s="14" t="n">
        <v>2156</v>
      </c>
      <c r="F50" s="14" t="n">
        <v>46</v>
      </c>
      <c r="G50" s="14" t="n">
        <v>5</v>
      </c>
      <c r="H50" s="14" t="n">
        <v>1850</v>
      </c>
      <c r="I50" s="15" t="n">
        <v>0.45</v>
      </c>
      <c r="J50" s="16">
        <f>H50*(1-I50)</f>
        <v/>
      </c>
      <c r="K50" s="17" t="n">
        <v>396.72</v>
      </c>
      <c r="L50" s="18">
        <f>$H$5</f>
        <v/>
      </c>
      <c r="M50" s="19">
        <f>K50+L50</f>
        <v/>
      </c>
      <c r="N50" s="20" t="n">
        <v>0.41</v>
      </c>
      <c r="O50" s="21">
        <f>H50*N50</f>
        <v/>
      </c>
      <c r="P50" s="22" t="n">
        <v>75</v>
      </c>
      <c r="Q50" s="21">
        <f>H50*$H$8</f>
        <v/>
      </c>
      <c r="R50" s="22" t="n">
        <v>25</v>
      </c>
      <c r="S50" s="21">
        <f>H50*$H$4</f>
        <v/>
      </c>
      <c r="T50" s="21">
        <f>J50*$H$3</f>
        <v/>
      </c>
      <c r="U50" s="23" t="n">
        <v>0.9</v>
      </c>
      <c r="V50" s="22" t="n">
        <v>75</v>
      </c>
      <c r="W50" s="21">
        <f>V50*(1-U50)</f>
        <v/>
      </c>
      <c r="X50" s="24" t="n">
        <v>1.89</v>
      </c>
      <c r="Y50" s="21">
        <f>$H$6*$H$7*X50</f>
        <v/>
      </c>
      <c r="Z50" s="19">
        <f>X50*($H$9+$H$10)</f>
        <v/>
      </c>
      <c r="AA50" s="20" t="n">
        <v>0.07000000000000001</v>
      </c>
      <c r="AB50" s="21">
        <f>H50*AA50</f>
        <v/>
      </c>
      <c r="AC50" s="23" t="n">
        <v>0.08</v>
      </c>
      <c r="AD50" s="21">
        <f>H50*AC50</f>
        <v/>
      </c>
      <c r="AE50" s="21">
        <f>AB50+AD50</f>
        <v/>
      </c>
      <c r="AF50" s="25">
        <f>AE50/H50</f>
        <v/>
      </c>
      <c r="AG50" s="26">
        <f>H50-O50-P50-Q50-R50-S50-T50-W50-Y50-Z50-M50-AL50</f>
        <v/>
      </c>
      <c r="AH50" s="27">
        <f>AG50-AE50</f>
        <v/>
      </c>
      <c r="AI50" s="28">
        <f>AH50/H50</f>
        <v/>
      </c>
      <c r="AJ50" s="29">
        <f>AH50/M50</f>
        <v/>
      </c>
      <c r="AK50" s="21">
        <f>(P50+R50+W50+Y50+Z50+M50)/(1-(N50+$H$4+(1-I50)*$H$3+$H$8+$H$11+AA50+AC50))</f>
        <v/>
      </c>
      <c r="AL50" s="90">
        <f>H50*$H$11</f>
        <v/>
      </c>
    </row>
    <row r="51" ht="29" customHeight="1">
      <c r="A51" s="11" t="inlineStr">
        <is>
          <t>FARMSTAY - Gold Snail Premium Cream [50ml] / Омолаживающий крем с муцином улитки и коллоидным золотом</t>
        </is>
      </c>
      <c r="B51" s="12" t="n"/>
      <c r="C51" s="13" t="inlineStr">
        <is>
          <t>не смогла найти с продажами</t>
        </is>
      </c>
      <c r="E51" s="14" t="n"/>
      <c r="F51" s="14" t="n"/>
      <c r="G51" s="14" t="n"/>
      <c r="H51" s="14">
        <f>(1.25*M51+P51+R51+W51+Y51+Z51)/(1-N51-$H$8-$H$4-(1-I51)*$H$3-$H$11-AA51-AC51)</f>
        <v/>
      </c>
      <c r="I51" s="15" t="n">
        <v>0.45</v>
      </c>
      <c r="J51" s="16">
        <f>H51*(1-I51)</f>
        <v/>
      </c>
      <c r="K51" s="17" t="n">
        <v>431.05</v>
      </c>
      <c r="L51" s="18">
        <f>$H$5</f>
        <v/>
      </c>
      <c r="M51" s="19">
        <f>K51+L51</f>
        <v/>
      </c>
      <c r="N51" s="20" t="n">
        <v>0.41</v>
      </c>
      <c r="O51" s="21">
        <f>H51*N51</f>
        <v/>
      </c>
      <c r="P51" s="22" t="n">
        <v>67</v>
      </c>
      <c r="Q51" s="21">
        <f>H51*$H$8</f>
        <v/>
      </c>
      <c r="R51" s="22" t="n">
        <v>25</v>
      </c>
      <c r="S51" s="21">
        <f>H51*$H$4</f>
        <v/>
      </c>
      <c r="T51" s="21">
        <f>J51*$H$3</f>
        <v/>
      </c>
      <c r="U51" s="23" t="n">
        <v>0.9</v>
      </c>
      <c r="V51" s="22" t="n">
        <v>67</v>
      </c>
      <c r="W51" s="21">
        <f>V51*(1-U51)</f>
        <v/>
      </c>
      <c r="X51" s="24" t="n">
        <v>0.73</v>
      </c>
      <c r="Y51" s="21">
        <f>$H$6*$H$7*X51</f>
        <v/>
      </c>
      <c r="Z51" s="19">
        <f>X51*($H$9+$H$10)</f>
        <v/>
      </c>
      <c r="AA51" s="20" t="n">
        <v>0.07000000000000001</v>
      </c>
      <c r="AB51" s="21">
        <f>H51*AA51</f>
        <v/>
      </c>
      <c r="AC51" s="23" t="n">
        <v>0.08</v>
      </c>
      <c r="AD51" s="21">
        <f>H51*AC51</f>
        <v/>
      </c>
      <c r="AE51" s="21">
        <f>AB51+AD51</f>
        <v/>
      </c>
      <c r="AF51" s="25">
        <f>AE51/H51</f>
        <v/>
      </c>
      <c r="AG51" s="26">
        <f>H51-O51-P51-Q51-R51-S51-T51-W51-Y51-Z51-M51-AL51</f>
        <v/>
      </c>
      <c r="AH51" s="27">
        <f>AG51-AE51</f>
        <v/>
      </c>
      <c r="AI51" s="28">
        <f>AH51/H51</f>
        <v/>
      </c>
      <c r="AJ51" s="29">
        <f>AH51/M51</f>
        <v/>
      </c>
      <c r="AK51" s="21">
        <f>(P51+R51+W51+Y51+Z51+M51)/(1-(N51+$H$4+(1-I51)*$H$3+$H$8+$H$11+AA51+AC51))</f>
        <v/>
      </c>
      <c r="AL51" s="90">
        <f>H51*$H$11</f>
        <v/>
      </c>
    </row>
    <row r="52" ht="29" customHeight="1">
      <c r="A52" s="11" t="inlineStr">
        <is>
          <t>FARMSTAY - Escargot Noblesse Intensive Cream [50g] / Крем с муцином королевской улитки</t>
        </is>
      </c>
      <c r="B52" s="12" t="n"/>
      <c r="C52" s="13" t="inlineStr">
        <is>
          <t>только Holika продает на Озон</t>
        </is>
      </c>
      <c r="D52" s="111" t="n">
        <v>964</v>
      </c>
      <c r="E52" s="14" t="n">
        <v>3070</v>
      </c>
      <c r="F52" s="14" t="n">
        <v>48</v>
      </c>
      <c r="G52" s="14" t="n">
        <v>6.6</v>
      </c>
      <c r="H52" s="14" t="n">
        <v>2900</v>
      </c>
      <c r="I52" s="15" t="n">
        <v>0.45</v>
      </c>
      <c r="J52" s="16">
        <f>H52*(1-I52)</f>
        <v/>
      </c>
      <c r="K52" s="17" t="n">
        <v>313.84</v>
      </c>
      <c r="L52" s="18">
        <f>$H$5</f>
        <v/>
      </c>
      <c r="M52" s="19">
        <f>K52+L52</f>
        <v/>
      </c>
      <c r="N52" s="20" t="n">
        <v>0.41</v>
      </c>
      <c r="O52" s="21">
        <f>H52*N52</f>
        <v/>
      </c>
      <c r="P52" s="22" t="n">
        <v>67</v>
      </c>
      <c r="Q52" s="21">
        <f>H52*$H$8</f>
        <v/>
      </c>
      <c r="R52" s="22" t="n">
        <v>25</v>
      </c>
      <c r="S52" s="21">
        <f>H52*$H$4</f>
        <v/>
      </c>
      <c r="T52" s="21">
        <f>J52*$H$3</f>
        <v/>
      </c>
      <c r="U52" s="23" t="n">
        <v>0.9</v>
      </c>
      <c r="V52" s="22" t="n">
        <v>67</v>
      </c>
      <c r="W52" s="21">
        <f>V52*(1-U52)</f>
        <v/>
      </c>
      <c r="X52" s="24" t="n">
        <v>0.86</v>
      </c>
      <c r="Y52" s="21">
        <f>$H$6*$H$7*X52</f>
        <v/>
      </c>
      <c r="Z52" s="19">
        <f>X52*($H$9+$H$10)</f>
        <v/>
      </c>
      <c r="AA52" s="20" t="n">
        <v>0.07000000000000001</v>
      </c>
      <c r="AB52" s="21">
        <f>H52*AA52</f>
        <v/>
      </c>
      <c r="AC52" s="23" t="n">
        <v>0.08</v>
      </c>
      <c r="AD52" s="21">
        <f>H52*AC52</f>
        <v/>
      </c>
      <c r="AE52" s="21">
        <f>AB52+AD52</f>
        <v/>
      </c>
      <c r="AF52" s="25">
        <f>AE52/H52</f>
        <v/>
      </c>
      <c r="AG52" s="26">
        <f>H52-O52-P52-Q52-R52-S52-T52-W52-Y52-Z52-M52-AL52</f>
        <v/>
      </c>
      <c r="AH52" s="27">
        <f>AG52-AE52</f>
        <v/>
      </c>
      <c r="AI52" s="28">
        <f>AH52/H52</f>
        <v/>
      </c>
      <c r="AJ52" s="29">
        <f>AH52/M52</f>
        <v/>
      </c>
      <c r="AK52" s="21">
        <f>(P52+R52+W52+Y52+Z52+M52)/(1-(N52+$H$4+(1-I52)*$H$3+$H$8+$H$11+AA52+AC52))</f>
        <v/>
      </c>
      <c r="AL52" s="90">
        <f>H52*$H$11</f>
        <v/>
      </c>
    </row>
    <row r="53" ht="29" customHeight="1">
      <c r="A53" s="11" t="inlineStr">
        <is>
          <t xml:space="preserve">FARMSTAY ESCARGOT NOBLESSE INTENSIVE AMPOULE/ сыворотка с улиткой </t>
        </is>
      </c>
      <c r="B53" s="12" t="n"/>
      <c r="C53" s="13" t="n"/>
      <c r="D53" s="111" t="n">
        <v>964</v>
      </c>
      <c r="E53" s="14" t="n">
        <v>3820</v>
      </c>
      <c r="F53" s="14" t="n">
        <v>22</v>
      </c>
      <c r="G53" s="14" t="n">
        <v>7</v>
      </c>
      <c r="H53" s="14">
        <f>(1.25*M53+P53+R53+W53+Y53+Z53)/(1-N53-$H$8-$H$4-(1-I53)*$H$3-$H$11-AA53-AC53)</f>
        <v/>
      </c>
      <c r="I53" s="15" t="n">
        <v>0.45</v>
      </c>
      <c r="J53" s="16">
        <f>H53*(1-I53)</f>
        <v/>
      </c>
      <c r="K53" s="17" t="n">
        <v>390.46</v>
      </c>
      <c r="L53" s="18">
        <f>$H$5</f>
        <v/>
      </c>
      <c r="M53" s="19">
        <f>K53+L53</f>
        <v/>
      </c>
      <c r="N53" s="20" t="n">
        <v>0.41</v>
      </c>
      <c r="O53" s="21">
        <f>H53*N53</f>
        <v/>
      </c>
      <c r="P53" s="22" t="n">
        <v>67</v>
      </c>
      <c r="Q53" s="21">
        <f>H53*$H$8</f>
        <v/>
      </c>
      <c r="R53" s="22" t="n">
        <v>25</v>
      </c>
      <c r="S53" s="21">
        <f>H53*$H$4</f>
        <v/>
      </c>
      <c r="T53" s="21">
        <f>J53*$H$3</f>
        <v/>
      </c>
      <c r="U53" s="23" t="n">
        <v>0.9</v>
      </c>
      <c r="V53" s="22" t="n">
        <v>67</v>
      </c>
      <c r="W53" s="21">
        <f>V53*(1-U53)</f>
        <v/>
      </c>
      <c r="X53" s="24" t="n">
        <v>0.86</v>
      </c>
      <c r="Y53" s="21">
        <f>$H$6*$H$7*X53</f>
        <v/>
      </c>
      <c r="Z53" s="19">
        <f>X53*($H$9+$H$10)</f>
        <v/>
      </c>
      <c r="AA53" s="20" t="n">
        <v>0.07000000000000001</v>
      </c>
      <c r="AB53" s="21">
        <f>H53*AA53</f>
        <v/>
      </c>
      <c r="AC53" s="23" t="n">
        <v>0.08</v>
      </c>
      <c r="AD53" s="21">
        <f>H53*AC53</f>
        <v/>
      </c>
      <c r="AE53" s="21">
        <f>AB53+AD53</f>
        <v/>
      </c>
      <c r="AF53" s="25">
        <f>AE53/H53</f>
        <v/>
      </c>
      <c r="AG53" s="26">
        <f>H53-O53-P53-Q53-R53-S53-T53-W53-Y53-Z53-M53-AL53</f>
        <v/>
      </c>
      <c r="AH53" s="27">
        <f>AG53-AE53</f>
        <v/>
      </c>
      <c r="AI53" s="28">
        <f>AH53/H53</f>
        <v/>
      </c>
      <c r="AJ53" s="29">
        <f>AH53/M53</f>
        <v/>
      </c>
      <c r="AK53" s="21">
        <f>(P53+R53+W53+Y53+Z53+M53)/(1-(N53+$H$4+(1-I53)*$H$3+$H$8+$H$11+AA53+AC53))</f>
        <v/>
      </c>
      <c r="AL53" s="90">
        <f>H53*$H$11</f>
        <v/>
      </c>
    </row>
    <row r="54" ht="29" customHeight="1">
      <c r="A54" s="11" t="inlineStr">
        <is>
          <t>FARMSTAY - Argan Oil Complete Volume Up Shampoo &amp; Conditioner [530ml] / Шампунь-кондиционер с аргановым маслом</t>
        </is>
      </c>
      <c r="B54" s="12" t="n"/>
      <c r="C54" s="13" t="n"/>
      <c r="E54" s="14" t="n">
        <v>2000</v>
      </c>
      <c r="F54" s="14" t="n">
        <v>23</v>
      </c>
      <c r="G54" s="14" t="n">
        <v>1</v>
      </c>
      <c r="H54" s="14">
        <f>(1.25*M54+P54+R54+W54+Y54+Z54)/(1-N54-$H$8-$H$4-(1-I54)*$H$3-$H$11-AA54-AC54)</f>
        <v/>
      </c>
      <c r="I54" s="15" t="n">
        <v>0.45</v>
      </c>
      <c r="J54" s="16">
        <f>H54*(1-I54)</f>
        <v/>
      </c>
      <c r="K54" s="17" t="n">
        <v>400.76</v>
      </c>
      <c r="L54" s="18">
        <f>$H$5</f>
        <v/>
      </c>
      <c r="M54" s="19">
        <f>K54+L54</f>
        <v/>
      </c>
      <c r="N54" s="20" t="n">
        <v>0.41</v>
      </c>
      <c r="O54" s="21">
        <f>H54*N54</f>
        <v/>
      </c>
      <c r="P54" s="22" t="n">
        <v>75</v>
      </c>
      <c r="Q54" s="21">
        <f>H54*$H$8</f>
        <v/>
      </c>
      <c r="R54" s="22" t="n">
        <v>25</v>
      </c>
      <c r="S54" s="21">
        <f>H54*$H$4</f>
        <v/>
      </c>
      <c r="T54" s="21">
        <f>J54*$H$3</f>
        <v/>
      </c>
      <c r="U54" s="23" t="n">
        <v>0.9</v>
      </c>
      <c r="V54" s="22" t="n">
        <v>75</v>
      </c>
      <c r="W54" s="21">
        <f>V54*(1-U54)</f>
        <v/>
      </c>
      <c r="X54" s="24" t="n">
        <v>1.26</v>
      </c>
      <c r="Y54" s="21">
        <f>$H$6*$H$7*X54</f>
        <v/>
      </c>
      <c r="Z54" s="19">
        <f>X54*($H$9+$H$10)</f>
        <v/>
      </c>
      <c r="AA54" s="20" t="n">
        <v>0.07000000000000001</v>
      </c>
      <c r="AB54" s="21">
        <f>H54*AA54</f>
        <v/>
      </c>
      <c r="AC54" s="23" t="n">
        <v>0.08</v>
      </c>
      <c r="AD54" s="21">
        <f>H54*AC54</f>
        <v/>
      </c>
      <c r="AE54" s="21">
        <f>AB54+AD54</f>
        <v/>
      </c>
      <c r="AF54" s="25">
        <f>AE54/H54</f>
        <v/>
      </c>
      <c r="AG54" s="26">
        <f>H54-O54-P54-Q54-R54-S54-T54-W54-Y54-Z54-M54-AL54</f>
        <v/>
      </c>
      <c r="AH54" s="27">
        <f>AG54-AE54</f>
        <v/>
      </c>
      <c r="AI54" s="28">
        <f>AH54/H54</f>
        <v/>
      </c>
      <c r="AJ54" s="29">
        <f>AH54/M54</f>
        <v/>
      </c>
      <c r="AK54" s="21">
        <f>(P54+R54+W54+Y54+Z54+M54)/(1-(N54+$H$4+(1-I54)*$H$3+$H$8+$H$11+AA54+AC54))</f>
        <v/>
      </c>
      <c r="AL54" s="90">
        <f>H54*$H$11</f>
        <v/>
      </c>
    </row>
    <row r="55" ht="29" customHeight="1">
      <c r="A55" s="11" t="inlineStr">
        <is>
          <t>FARMSTAY - Collagen Water Full Shampoo &amp; Conditioner [530ml] / Шампунь-кондиционер 2в1 с коллагеном</t>
        </is>
      </c>
      <c r="B55" s="12" t="n"/>
      <c r="C55" s="13" t="n"/>
      <c r="D55" s="111" t="n">
        <v>484</v>
      </c>
      <c r="E55" s="14" t="n">
        <v>2128</v>
      </c>
      <c r="F55" s="14" t="n">
        <v>22</v>
      </c>
      <c r="G55" s="14" t="n">
        <v>7.5</v>
      </c>
      <c r="H55" s="14">
        <f>(1.25*M55+P55+R55+W55+Y55+Z55)/(1-N55-$H$8-$H$4-(1-I55)*$H$3-$H$11-AA55-AC55)</f>
        <v/>
      </c>
      <c r="I55" s="15" t="n">
        <v>0.45</v>
      </c>
      <c r="J55" s="16">
        <f>H55*(1-I55)</f>
        <v/>
      </c>
      <c r="K55" s="17" t="n">
        <v>396.72</v>
      </c>
      <c r="L55" s="18">
        <f>$H$5</f>
        <v/>
      </c>
      <c r="M55" s="19">
        <f>K55+L55</f>
        <v/>
      </c>
      <c r="N55" s="20" t="n">
        <v>0.41</v>
      </c>
      <c r="O55" s="21">
        <f>H55*N55</f>
        <v/>
      </c>
      <c r="P55" s="22" t="n">
        <v>75</v>
      </c>
      <c r="Q55" s="21">
        <f>H55*$H$8</f>
        <v/>
      </c>
      <c r="R55" s="22" t="n">
        <v>25</v>
      </c>
      <c r="S55" s="21">
        <f>H55*$H$4</f>
        <v/>
      </c>
      <c r="T55" s="21">
        <f>J55*$H$3</f>
        <v/>
      </c>
      <c r="U55" s="23" t="n">
        <v>0.9</v>
      </c>
      <c r="V55" s="22" t="n">
        <v>75</v>
      </c>
      <c r="W55" s="21">
        <f>V55*(1-U55)</f>
        <v/>
      </c>
      <c r="X55" s="24" t="n">
        <v>1.26</v>
      </c>
      <c r="Y55" s="21">
        <f>$H$6*$H$7*X55</f>
        <v/>
      </c>
      <c r="Z55" s="19">
        <f>X55*($H$9+$H$10)</f>
        <v/>
      </c>
      <c r="AA55" s="20" t="n">
        <v>0.07000000000000001</v>
      </c>
      <c r="AB55" s="21">
        <f>H55*AA55</f>
        <v/>
      </c>
      <c r="AC55" s="23" t="n">
        <v>0.08</v>
      </c>
      <c r="AD55" s="21">
        <f>H55*AC55</f>
        <v/>
      </c>
      <c r="AE55" s="21">
        <f>AB55+AD55</f>
        <v/>
      </c>
      <c r="AF55" s="25">
        <f>AE55/H55</f>
        <v/>
      </c>
      <c r="AG55" s="26">
        <f>H55-O55-P55-Q55-R55-S55-T55-W55-Y55-Z55-M55-AL55</f>
        <v/>
      </c>
      <c r="AH55" s="27">
        <f>AG55-AE55</f>
        <v/>
      </c>
      <c r="AI55" s="28">
        <f>AH55/H55</f>
        <v/>
      </c>
      <c r="AJ55" s="29">
        <f>AH55/M55</f>
        <v/>
      </c>
      <c r="AK55" s="21">
        <f>(P55+R55+W55+Y55+Z55+M55)/(1-(N55+$H$4+(1-I55)*$H$3+$H$8+$H$11+AA55+AC55))</f>
        <v/>
      </c>
      <c r="AL55" s="90">
        <f>H55*$H$11</f>
        <v/>
      </c>
    </row>
    <row r="56" ht="29" customHeight="1">
      <c r="A56" s="11" t="inlineStr">
        <is>
          <t>FARMSTAY - Collagen Water Full Moist Rolling Eye Serum [25ml] / Сыворотка роллер для глаз</t>
        </is>
      </c>
      <c r="B56" s="12" t="n"/>
      <c r="C56" s="13" t="n"/>
      <c r="D56" s="111" t="n">
        <v>484</v>
      </c>
      <c r="E56" s="14" t="n">
        <v>2145</v>
      </c>
      <c r="F56" s="14" t="n">
        <v>48</v>
      </c>
      <c r="G56" s="14" t="n">
        <v>5</v>
      </c>
      <c r="H56" s="14" t="n">
        <v>1800</v>
      </c>
      <c r="I56" s="15" t="n">
        <v>0.45</v>
      </c>
      <c r="J56" s="16">
        <f>H56*(1-I56)</f>
        <v/>
      </c>
      <c r="K56" s="17" t="n">
        <v>231.73</v>
      </c>
      <c r="L56" s="18">
        <f>$H$5</f>
        <v/>
      </c>
      <c r="M56" s="19">
        <f>K56+L56</f>
        <v/>
      </c>
      <c r="N56" s="20" t="n">
        <v>0.41</v>
      </c>
      <c r="O56" s="21">
        <f>H56*N56</f>
        <v/>
      </c>
      <c r="P56" s="22" t="n">
        <v>63</v>
      </c>
      <c r="Q56" s="21">
        <f>H56*$H$8</f>
        <v/>
      </c>
      <c r="R56" s="22" t="n">
        <v>25</v>
      </c>
      <c r="S56" s="21">
        <f>H56*$H$4</f>
        <v/>
      </c>
      <c r="T56" s="21">
        <f>J56*$H$3</f>
        <v/>
      </c>
      <c r="U56" s="23" t="n">
        <v>0.9</v>
      </c>
      <c r="V56" s="22" t="n">
        <v>63</v>
      </c>
      <c r="W56" s="21">
        <f>V56*(1-U56)</f>
        <v/>
      </c>
      <c r="X56" s="24" t="n">
        <v>0.22</v>
      </c>
      <c r="Y56" s="21">
        <f>$H$6*$H$7*X56</f>
        <v/>
      </c>
      <c r="Z56" s="19">
        <f>X56*($H$9+$H$10)</f>
        <v/>
      </c>
      <c r="AA56" s="20" t="n">
        <v>0.07000000000000001</v>
      </c>
      <c r="AB56" s="21">
        <f>H56*AA56</f>
        <v/>
      </c>
      <c r="AC56" s="23" t="n">
        <v>0.08</v>
      </c>
      <c r="AD56" s="21">
        <f>H56*AC56</f>
        <v/>
      </c>
      <c r="AE56" s="21">
        <f>AB56+AD56</f>
        <v/>
      </c>
      <c r="AF56" s="25">
        <f>AE56/H56</f>
        <v/>
      </c>
      <c r="AG56" s="26">
        <f>H56-O56-P56-Q56-R56-S56-T56-W56-Y56-Z56-M56-AL56</f>
        <v/>
      </c>
      <c r="AH56" s="27">
        <f>AG56-AE56</f>
        <v/>
      </c>
      <c r="AI56" s="28">
        <f>AH56/H56</f>
        <v/>
      </c>
      <c r="AJ56" s="29">
        <f>AH56/M56</f>
        <v/>
      </c>
      <c r="AK56" s="21">
        <f>(P56+R56+W56+Y56+Z56+M56)/(1-(N56+$H$4+(1-I56)*$H$3+$H$8+$H$11+AA56+AC56))</f>
        <v/>
      </c>
      <c r="AL56" s="90">
        <f>H56*$H$11</f>
        <v/>
      </c>
    </row>
    <row r="57" ht="29" customHeight="1">
      <c r="A57" s="11" t="inlineStr">
        <is>
          <t>FARMSTAY - Collagen Water Full Moist Cream [100g] / Увлажняющий крем с коллагеном</t>
        </is>
      </c>
      <c r="B57" s="12" t="n"/>
      <c r="C57" s="13" t="n"/>
      <c r="D57" s="111" t="n">
        <v>287</v>
      </c>
      <c r="E57" s="14" t="n">
        <v>4300</v>
      </c>
      <c r="F57" s="14" t="n">
        <v>29</v>
      </c>
      <c r="G57" s="14" t="n">
        <v>7</v>
      </c>
      <c r="H57" s="14">
        <f>(1.25*M57+P57+R57+W57+Y57+Z57)/(1-N57-$H$8-$H$4-(1-I57)*$H$3-$H$11-AA57-AC57)</f>
        <v/>
      </c>
      <c r="I57" s="15" t="n">
        <v>0.45</v>
      </c>
      <c r="J57" s="16">
        <f>H57*(1-I57)</f>
        <v/>
      </c>
      <c r="K57" s="17" t="n">
        <v>484.42</v>
      </c>
      <c r="L57" s="18">
        <f>$H$5</f>
        <v/>
      </c>
      <c r="M57" s="19">
        <f>K57+L57</f>
        <v/>
      </c>
      <c r="N57" s="20" t="n">
        <v>0.41</v>
      </c>
      <c r="O57" s="21">
        <f>H57*N57</f>
        <v/>
      </c>
      <c r="P57" s="22" t="n">
        <v>67</v>
      </c>
      <c r="Q57" s="21">
        <f>H57*$H$8</f>
        <v/>
      </c>
      <c r="R57" s="22" t="n">
        <v>25</v>
      </c>
      <c r="S57" s="21">
        <f>H57*$H$4</f>
        <v/>
      </c>
      <c r="T57" s="21">
        <f>J57*$H$3</f>
        <v/>
      </c>
      <c r="U57" s="23" t="n">
        <v>0.9</v>
      </c>
      <c r="V57" s="22" t="n">
        <v>67</v>
      </c>
      <c r="W57" s="21">
        <f>V57*(1-U57)</f>
        <v/>
      </c>
      <c r="X57" s="24" t="n">
        <v>0.57</v>
      </c>
      <c r="Y57" s="21">
        <f>$H$6*$H$7*X57</f>
        <v/>
      </c>
      <c r="Z57" s="19">
        <f>X57*($H$9+$H$10)</f>
        <v/>
      </c>
      <c r="AA57" s="20" t="n">
        <v>0.07000000000000001</v>
      </c>
      <c r="AB57" s="21">
        <f>H57*AA57</f>
        <v/>
      </c>
      <c r="AC57" s="23" t="n">
        <v>0.08</v>
      </c>
      <c r="AD57" s="21">
        <f>H57*AC57</f>
        <v/>
      </c>
      <c r="AE57" s="21">
        <f>AB57+AD57</f>
        <v/>
      </c>
      <c r="AF57" s="25">
        <f>AE57/H57</f>
        <v/>
      </c>
      <c r="AG57" s="26">
        <f>H57-O57-P57-Q57-R57-S57-T57-W57-Y57-Z57-M57-AL57</f>
        <v/>
      </c>
      <c r="AH57" s="27">
        <f>AG57-AE57</f>
        <v/>
      </c>
      <c r="AI57" s="28">
        <f>AH57/H57</f>
        <v/>
      </c>
      <c r="AJ57" s="29">
        <f>AH57/M57</f>
        <v/>
      </c>
      <c r="AK57" s="21">
        <f>(P57+R57+W57+Y57+Z57+M57)/(1-(N57+$H$4+(1-I57)*$H$3+$H$8+$H$11+AA57+AC57))</f>
        <v/>
      </c>
      <c r="AL57" s="90">
        <f>H57*$H$11</f>
        <v/>
      </c>
    </row>
    <row r="58" ht="29" customHeight="1">
      <c r="A58" s="11" t="inlineStr">
        <is>
          <t xml:space="preserve">FARMSTAY - Collagen Pure Cleansing Foam [180ml]/Пенка для умывания </t>
        </is>
      </c>
      <c r="B58" s="12" t="n"/>
      <c r="C58" s="13" t="n"/>
      <c r="D58" s="111" t="n">
        <v>515</v>
      </c>
      <c r="E58" s="14" t="n">
        <v>1100</v>
      </c>
      <c r="F58" s="14" t="n">
        <v>163</v>
      </c>
      <c r="G58" s="14" t="n">
        <v>4.5</v>
      </c>
      <c r="H58" s="14">
        <f>(1.25*M58+P58+R58+W58+Y58+Z58)/(1-N58-$H$8-$H$4-(1-I58)*$H$3-$H$11-AA58-AC58)</f>
        <v/>
      </c>
      <c r="I58" s="15" t="n">
        <v>0.45</v>
      </c>
      <c r="J58" s="16">
        <f>H58*(1-I58)</f>
        <v/>
      </c>
      <c r="K58" s="17" t="n">
        <v>161.47</v>
      </c>
      <c r="L58" s="18">
        <f>$H$5</f>
        <v/>
      </c>
      <c r="M58" s="19">
        <f>K58+L58</f>
        <v/>
      </c>
      <c r="N58" s="20" t="n">
        <v>0.41</v>
      </c>
      <c r="O58" s="21">
        <f>H58*N58</f>
        <v/>
      </c>
      <c r="P58" s="22" t="n">
        <v>67</v>
      </c>
      <c r="Q58" s="21">
        <f>H58*$H$8</f>
        <v/>
      </c>
      <c r="R58" s="22" t="n">
        <v>25</v>
      </c>
      <c r="S58" s="21">
        <f>H58*$H$4</f>
        <v/>
      </c>
      <c r="T58" s="21">
        <f>J58*$H$3</f>
        <v/>
      </c>
      <c r="U58" s="23" t="n">
        <v>0.9</v>
      </c>
      <c r="V58" s="22" t="n">
        <v>67</v>
      </c>
      <c r="W58" s="21">
        <f>V58*(1-U58)</f>
        <v/>
      </c>
      <c r="X58" s="24" t="n">
        <v>0.57</v>
      </c>
      <c r="Y58" s="21">
        <f>$H$6*$H$7*X58</f>
        <v/>
      </c>
      <c r="Z58" s="19">
        <f>X58*($H$9+$H$10)</f>
        <v/>
      </c>
      <c r="AA58" s="20" t="n">
        <v>0.07000000000000001</v>
      </c>
      <c r="AB58" s="21">
        <f>H58*AA58</f>
        <v/>
      </c>
      <c r="AC58" s="23" t="n">
        <v>0.08</v>
      </c>
      <c r="AD58" s="21">
        <f>H58*AC58</f>
        <v/>
      </c>
      <c r="AE58" s="21">
        <f>AB58+AD58</f>
        <v/>
      </c>
      <c r="AF58" s="25">
        <f>AE58/H58</f>
        <v/>
      </c>
      <c r="AG58" s="26">
        <f>H58-O58-P58-Q58-R58-S58-T58-W58-Y58-Z58-M58-AL58</f>
        <v/>
      </c>
      <c r="AH58" s="27">
        <f>AG58-AE58</f>
        <v/>
      </c>
      <c r="AI58" s="28">
        <f>AH58/H58</f>
        <v/>
      </c>
      <c r="AJ58" s="29">
        <f>AH58/M58</f>
        <v/>
      </c>
      <c r="AK58" s="21">
        <f>(P58+R58+W58+Y58+Z58+M58)/(1-(N58+$H$4+(1-I58)*$H$3+$H$8+$H$11+AA58+AC58))</f>
        <v/>
      </c>
      <c r="AL58" s="90">
        <f>H58*$H$11</f>
        <v/>
      </c>
    </row>
    <row r="59">
      <c r="A59" s="52" t="inlineStr">
        <is>
          <t>Косметика/HEIMISH</t>
        </is>
      </c>
      <c r="B59" s="10" t="n"/>
      <c r="C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</row>
    <row r="60" ht="29" customHeight="1">
      <c r="A60" s="11" t="inlineStr">
        <is>
          <t>HEIMISH - Artless Glow Base SPF50+ PA+++(Renew) [40ml] / База под макияж SPF50+ PA+++</t>
        </is>
      </c>
      <c r="B60" s="12" t="n"/>
      <c r="C60" s="13" t="n"/>
      <c r="E60" s="14" t="n">
        <v>2980</v>
      </c>
      <c r="F60" s="14" t="n">
        <v>100</v>
      </c>
      <c r="G60" s="14" t="n">
        <v>0</v>
      </c>
      <c r="H60" s="14" t="n">
        <v>2750</v>
      </c>
      <c r="I60" s="15" t="n">
        <v>0.45</v>
      </c>
      <c r="J60" s="16">
        <f>H60*(1-I60)</f>
        <v/>
      </c>
      <c r="K60" s="17" t="n">
        <v>770.48</v>
      </c>
      <c r="L60" s="18">
        <f>$H$5</f>
        <v/>
      </c>
      <c r="M60" s="19">
        <f>K60+L60</f>
        <v/>
      </c>
      <c r="N60" s="20" t="n">
        <v>0.41</v>
      </c>
      <c r="O60" s="21">
        <f>H60*N60</f>
        <v/>
      </c>
      <c r="P60" s="22" t="n">
        <v>56</v>
      </c>
      <c r="Q60" s="21">
        <f>H60*$H$8</f>
        <v/>
      </c>
      <c r="R60" s="22" t="n">
        <v>25</v>
      </c>
      <c r="S60" s="21">
        <f>H60*$H$4</f>
        <v/>
      </c>
      <c r="T60" s="21">
        <f>J60*$H$3</f>
        <v/>
      </c>
      <c r="U60" s="23" t="n">
        <v>0.9</v>
      </c>
      <c r="V60" s="22" t="n">
        <v>56</v>
      </c>
      <c r="W60" s="21">
        <f>V60*(1-U60)</f>
        <v/>
      </c>
      <c r="X60" s="24" t="n">
        <v>0.14</v>
      </c>
      <c r="Y60" s="21">
        <f>$H$6*$H$7*X60</f>
        <v/>
      </c>
      <c r="Z60" s="19">
        <f>X60*($H$9+$H$10)</f>
        <v/>
      </c>
      <c r="AA60" s="20" t="n">
        <v>0.05</v>
      </c>
      <c r="AB60" s="21">
        <f>H60*AA60</f>
        <v/>
      </c>
      <c r="AC60" s="23" t="n">
        <v>0.05</v>
      </c>
      <c r="AD60" s="21">
        <f>H60*AC60</f>
        <v/>
      </c>
      <c r="AE60" s="21">
        <f>AB60+AD60</f>
        <v/>
      </c>
      <c r="AF60" s="25">
        <f>AE60/H60</f>
        <v/>
      </c>
      <c r="AG60" s="26">
        <f>H60-O60-P60-Q60-R60-S60-T60-W60-Y60-Z60-M60-AL60</f>
        <v/>
      </c>
      <c r="AH60" s="27">
        <f>AG60-AE60</f>
        <v/>
      </c>
      <c r="AI60" s="28">
        <f>AH60/H60</f>
        <v/>
      </c>
      <c r="AJ60" s="29">
        <f>AH60/M60</f>
        <v/>
      </c>
      <c r="AK60" s="21">
        <f>(P60+R60+W60+Y60+Z60+M60)/(1-(N60+$H$4+(1-I60)*$H$3+$H$8+$H$11+AA60+AC60))</f>
        <v/>
      </c>
      <c r="AL60" s="90">
        <f>H60*$H$11</f>
        <v/>
      </c>
    </row>
    <row r="61" ht="29" customHeight="1">
      <c r="A61" s="53" t="inlineStr">
        <is>
          <t>HEIMISH - All Clean Balm / Очищающий гидрофильный бальзам щербет МИНИ ВЕРСИЯ</t>
        </is>
      </c>
      <c r="B61" s="30" t="n"/>
      <c r="C61" s="30" t="n"/>
      <c r="D61" s="111" t="n">
        <v>400</v>
      </c>
      <c r="E61" s="31" t="n"/>
      <c r="F61" s="31" t="n"/>
      <c r="G61" s="31" t="n"/>
      <c r="H61" s="31" t="n"/>
      <c r="I61" s="32" t="n"/>
      <c r="J61" s="33" t="n"/>
      <c r="K61" s="34" t="n"/>
      <c r="L61" s="34" t="n"/>
      <c r="M61" s="35" t="n"/>
      <c r="N61" s="36" t="n"/>
      <c r="O61" s="31" t="n"/>
      <c r="P61" s="31" t="n"/>
      <c r="Q61" s="31" t="n"/>
      <c r="R61" s="31" t="n"/>
      <c r="S61" s="31" t="n"/>
      <c r="T61" s="31" t="n"/>
      <c r="U61" s="37" t="n"/>
      <c r="V61" s="31" t="n"/>
      <c r="W61" s="31" t="n"/>
      <c r="X61" s="38" t="n"/>
      <c r="Y61" s="31" t="n"/>
      <c r="Z61" s="35" t="n"/>
      <c r="AA61" s="36" t="n"/>
      <c r="AB61" s="31" t="n"/>
      <c r="AC61" s="37" t="n"/>
      <c r="AD61" s="31" t="n"/>
      <c r="AE61" s="31" t="n"/>
      <c r="AF61" s="39" t="n"/>
      <c r="AG61" s="40" t="n"/>
      <c r="AH61" s="31" t="n"/>
      <c r="AI61" s="37" t="n"/>
      <c r="AJ61" s="37" t="n"/>
      <c r="AK61" s="31" t="n"/>
    </row>
    <row r="62">
      <c r="A62" s="52" t="inlineStr">
        <is>
          <t>Косметика/JIGOTT/JIGOTT-CREAM</t>
        </is>
      </c>
      <c r="B62" s="10" t="n"/>
      <c r="C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</row>
    <row r="63" ht="29" customHeight="1">
      <c r="A63" s="11" t="inlineStr">
        <is>
          <t>JIGOTT - Snail Lifting Cream [70ml] / Крем для лица увлажняющий антивозрастной</t>
        </is>
      </c>
      <c r="B63" s="12" t="n"/>
      <c r="C63" s="13" t="n"/>
      <c r="E63" s="14" t="n">
        <v>980</v>
      </c>
      <c r="F63" s="14" t="n">
        <v>160</v>
      </c>
      <c r="G63" s="14" t="n">
        <v>4.5</v>
      </c>
      <c r="H63" s="14" t="n">
        <v>880</v>
      </c>
      <c r="I63" s="15" t="n">
        <v>0.45</v>
      </c>
      <c r="J63" s="16">
        <f>H63*(1-I63)</f>
        <v/>
      </c>
      <c r="K63" s="17" t="n">
        <v>202.27</v>
      </c>
      <c r="L63" s="18">
        <f>$H$5</f>
        <v/>
      </c>
      <c r="M63" s="19">
        <f>K63+L63</f>
        <v/>
      </c>
      <c r="N63" s="20" t="n">
        <v>0.41</v>
      </c>
      <c r="O63" s="21">
        <f>H63*N63</f>
        <v/>
      </c>
      <c r="P63" s="22" t="n">
        <v>67</v>
      </c>
      <c r="Q63" s="21">
        <f>H63*$H$8</f>
        <v/>
      </c>
      <c r="R63" s="22" t="n">
        <v>25</v>
      </c>
      <c r="S63" s="21">
        <f>H63*$H$4</f>
        <v/>
      </c>
      <c r="T63" s="21">
        <f>J63*$H$3</f>
        <v/>
      </c>
      <c r="U63" s="23" t="n">
        <v>0.9</v>
      </c>
      <c r="V63" s="22" t="n">
        <v>67</v>
      </c>
      <c r="W63" s="21">
        <f>V63*(1-U63)</f>
        <v/>
      </c>
      <c r="X63" s="24" t="n">
        <v>0.42</v>
      </c>
      <c r="Y63" s="21">
        <f>$H$6*$H$7*X63</f>
        <v/>
      </c>
      <c r="Z63" s="19">
        <f>X63*($H$9+$H$10)</f>
        <v/>
      </c>
      <c r="AA63" s="20" t="n">
        <v>0.07000000000000001</v>
      </c>
      <c r="AB63" s="21">
        <f>H63*AA63</f>
        <v/>
      </c>
      <c r="AC63" s="23" t="n">
        <v>0.08</v>
      </c>
      <c r="AD63" s="21">
        <f>H63*AC63</f>
        <v/>
      </c>
      <c r="AE63" s="21">
        <f>AB63+AD63</f>
        <v/>
      </c>
      <c r="AF63" s="25">
        <f>AE63/H63</f>
        <v/>
      </c>
      <c r="AG63" s="26">
        <f>H63-O63-P63-Q63-R63-S63-T63-W63-Y63-Z63-M63-AL63</f>
        <v/>
      </c>
      <c r="AH63" s="41">
        <f>AG63-AE63</f>
        <v/>
      </c>
      <c r="AI63" s="42">
        <f>AH63/H63</f>
        <v/>
      </c>
      <c r="AJ63" s="43">
        <f>AH63/M63</f>
        <v/>
      </c>
      <c r="AK63" s="21">
        <f>(P63+R63+W63+Y63+Z63+M63)/(1-(N63+$H$4+(1-I63)*$H$3+$H$8+$H$11+AA63+AC63))</f>
        <v/>
      </c>
      <c r="AL63" s="90">
        <f>H63*$H$11</f>
        <v/>
      </c>
    </row>
    <row r="64" ht="29" customHeight="1">
      <c r="A64" s="11" t="inlineStr">
        <is>
          <t>JIGOTT - Snail Reparing Cream [100ml] / Крем для лица увлажняющий антивозрастной с муцином улитки</t>
        </is>
      </c>
      <c r="B64" s="12" t="n"/>
      <c r="C64" s="13" t="n"/>
      <c r="E64" s="14" t="n">
        <v>1030</v>
      </c>
      <c r="F64" s="14" t="n">
        <v>153</v>
      </c>
      <c r="G64" s="14" t="n">
        <v>5</v>
      </c>
      <c r="H64" s="14" t="n">
        <v>930</v>
      </c>
      <c r="I64" s="15" t="n">
        <v>0.45</v>
      </c>
      <c r="J64" s="16">
        <f>H64*(1-I64)</f>
        <v/>
      </c>
      <c r="K64" s="17" t="n">
        <v>185.86</v>
      </c>
      <c r="L64" s="18">
        <f>$H$5</f>
        <v/>
      </c>
      <c r="M64" s="19">
        <f>K64+L64</f>
        <v/>
      </c>
      <c r="N64" s="20" t="n">
        <v>0.41</v>
      </c>
      <c r="O64" s="21">
        <f>H64*N64</f>
        <v/>
      </c>
      <c r="P64" s="22" t="n">
        <v>67</v>
      </c>
      <c r="Q64" s="21">
        <f>H64*$H$8</f>
        <v/>
      </c>
      <c r="R64" s="22" t="n">
        <v>25</v>
      </c>
      <c r="S64" s="21">
        <f>H64*$H$4</f>
        <v/>
      </c>
      <c r="T64" s="21">
        <f>J64*$H$3</f>
        <v/>
      </c>
      <c r="U64" s="23" t="n">
        <v>0.9</v>
      </c>
      <c r="V64" s="22" t="n">
        <v>67</v>
      </c>
      <c r="W64" s="21">
        <f>V64*(1-U64)</f>
        <v/>
      </c>
      <c r="X64" s="24" t="n">
        <v>0.57</v>
      </c>
      <c r="Y64" s="21">
        <f>$H$6*$H$7*X64</f>
        <v/>
      </c>
      <c r="Z64" s="19">
        <f>X64*($H$9+$H$10)</f>
        <v/>
      </c>
      <c r="AA64" s="20" t="n">
        <v>0.07000000000000001</v>
      </c>
      <c r="AB64" s="21">
        <f>H64*AA64</f>
        <v/>
      </c>
      <c r="AC64" s="23" t="n">
        <v>0.08</v>
      </c>
      <c r="AD64" s="21">
        <f>H64*AC64</f>
        <v/>
      </c>
      <c r="AE64" s="21">
        <f>AB64+AD64</f>
        <v/>
      </c>
      <c r="AF64" s="25">
        <f>AE64/H64</f>
        <v/>
      </c>
      <c r="AG64" s="26">
        <f>H64-O64-P64-Q64-R64-S64-T64-W64-Y64-Z64-M64-AL64</f>
        <v/>
      </c>
      <c r="AH64" s="41">
        <f>AG64-AE64</f>
        <v/>
      </c>
      <c r="AI64" s="42">
        <f>AH64/H64</f>
        <v/>
      </c>
      <c r="AJ64" s="43">
        <f>AH64/M64</f>
        <v/>
      </c>
      <c r="AK64" s="21">
        <f>(P64+R64+W64+Y64+Z64+M64)/(1-(N64+$H$4+(1-I64)*$H$3+$H$8+$H$11+AA64+AC64))</f>
        <v/>
      </c>
      <c r="AL64" s="90">
        <f>H64*$H$11</f>
        <v/>
      </c>
    </row>
    <row r="65" ht="29" customHeight="1">
      <c r="A65" s="11" t="inlineStr">
        <is>
          <t>JIGOTT - Birds Nest Firming Cream [70ml] / Антивозрастной крем с экстрактом ласточкиного гнезда</t>
        </is>
      </c>
      <c r="B65" s="12" t="n"/>
      <c r="C65" s="13" t="n"/>
      <c r="E65" s="14" t="n">
        <v>1040</v>
      </c>
      <c r="F65" s="14" t="n">
        <v>49</v>
      </c>
      <c r="G65" s="14" t="n">
        <v>4</v>
      </c>
      <c r="H65" s="14" t="n">
        <v>960</v>
      </c>
      <c r="I65" s="15" t="n">
        <v>0.45</v>
      </c>
      <c r="J65" s="16">
        <f>H65*(1-I65)</f>
        <v/>
      </c>
      <c r="K65" s="17" t="n">
        <v>202.27</v>
      </c>
      <c r="L65" s="18">
        <f>$H$5</f>
        <v/>
      </c>
      <c r="M65" s="19">
        <f>K65+L65</f>
        <v/>
      </c>
      <c r="N65" s="20" t="n">
        <v>0.41</v>
      </c>
      <c r="O65" s="21">
        <f>H65*N65</f>
        <v/>
      </c>
      <c r="P65" s="22" t="n">
        <v>67</v>
      </c>
      <c r="Q65" s="21">
        <f>H65*$H$8</f>
        <v/>
      </c>
      <c r="R65" s="22" t="n">
        <v>25</v>
      </c>
      <c r="S65" s="21">
        <f>H65*$H$4</f>
        <v/>
      </c>
      <c r="T65" s="21">
        <f>J65*$H$3</f>
        <v/>
      </c>
      <c r="U65" s="23" t="n">
        <v>0.9</v>
      </c>
      <c r="V65" s="22" t="n">
        <v>67</v>
      </c>
      <c r="W65" s="21">
        <f>V65*(1-U65)</f>
        <v/>
      </c>
      <c r="X65" s="24" t="n">
        <v>0.42</v>
      </c>
      <c r="Y65" s="21">
        <f>$H$6*$H$7*X65</f>
        <v/>
      </c>
      <c r="Z65" s="19">
        <f>X65*($H$9+$H$10)</f>
        <v/>
      </c>
      <c r="AA65" s="20" t="n">
        <v>0.07000000000000001</v>
      </c>
      <c r="AB65" s="21">
        <f>H65*AA65</f>
        <v/>
      </c>
      <c r="AC65" s="23" t="n">
        <v>0.08</v>
      </c>
      <c r="AD65" s="21">
        <f>H65*AC65</f>
        <v/>
      </c>
      <c r="AE65" s="21">
        <f>AB65+AD65</f>
        <v/>
      </c>
      <c r="AF65" s="25">
        <f>AE65/H65</f>
        <v/>
      </c>
      <c r="AG65" s="26">
        <f>H65-O65-P65-Q65-R65-S65-T65-W65-Y65-Z65-M65-AL65</f>
        <v/>
      </c>
      <c r="AH65" s="41">
        <f>AG65-AE65</f>
        <v/>
      </c>
      <c r="AI65" s="42">
        <f>AH65/H65</f>
        <v/>
      </c>
      <c r="AJ65" s="43">
        <f>AH65/M65</f>
        <v/>
      </c>
      <c r="AK65" s="21">
        <f>(P65+R65+W65+Y65+Z65+M65)/(1-(N65+$H$4+(1-I65)*$H$3+$H$8+$H$11+AA65+AC65))</f>
        <v/>
      </c>
      <c r="AL65" s="90">
        <f>H65*$H$11</f>
        <v/>
      </c>
    </row>
    <row r="66">
      <c r="A66" s="52" t="inlineStr">
        <is>
          <t>Косметика/JIGOTT/JIGOTT-MASK</t>
        </is>
      </c>
      <c r="B66" s="10" t="n"/>
      <c r="C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</row>
    <row r="67">
      <c r="A67" s="53" t="inlineStr">
        <is>
          <t>JIGOTT - Ассорти набор масок [27ml х 15]</t>
        </is>
      </c>
      <c r="B67" s="30" t="n"/>
      <c r="C67" s="30" t="n"/>
      <c r="E67" s="31" t="n"/>
      <c r="F67" s="31" t="n"/>
      <c r="G67" s="31" t="n"/>
      <c r="H67" s="31" t="n"/>
      <c r="I67" s="32" t="n"/>
      <c r="J67" s="33" t="n"/>
      <c r="K67" s="34" t="n"/>
      <c r="L67" s="34" t="n"/>
      <c r="M67" s="35" t="n"/>
      <c r="N67" s="36" t="n"/>
      <c r="O67" s="31" t="n"/>
      <c r="P67" s="31" t="n"/>
      <c r="Q67" s="31" t="n"/>
      <c r="R67" s="31" t="n"/>
      <c r="S67" s="31" t="n"/>
      <c r="T67" s="31" t="n"/>
      <c r="U67" s="37" t="n"/>
      <c r="V67" s="31" t="n"/>
      <c r="W67" s="31" t="n"/>
      <c r="X67" s="38" t="n"/>
      <c r="Y67" s="31" t="n"/>
      <c r="Z67" s="35" t="n"/>
      <c r="AA67" s="36" t="n"/>
      <c r="AB67" s="31" t="n"/>
      <c r="AC67" s="37" t="n"/>
      <c r="AD67" s="31" t="n"/>
      <c r="AE67" s="31" t="n"/>
      <c r="AF67" s="39" t="n"/>
      <c r="AG67" s="40" t="n"/>
      <c r="AH67" s="31" t="n"/>
      <c r="AI67" s="37" t="n"/>
      <c r="AJ67" s="37" t="n"/>
      <c r="AK67" s="31" t="n"/>
    </row>
    <row r="68">
      <c r="A68" s="52" t="inlineStr">
        <is>
          <t>Косметика/JIGOTT/JIGOTT-TONER</t>
        </is>
      </c>
      <c r="B68" s="10" t="n"/>
      <c r="C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</row>
    <row r="69" ht="29" customHeight="1">
      <c r="A69" s="11" t="inlineStr">
        <is>
          <t>JIGOTT - Ultimate Real Collagen Toner [300ml] / тонер с коллагеном антивозрастной</t>
        </is>
      </c>
      <c r="B69" s="12" t="n"/>
      <c r="C69" s="13" t="n"/>
      <c r="E69" s="14" t="n">
        <v>1140</v>
      </c>
      <c r="F69" s="14" t="n">
        <v>131</v>
      </c>
      <c r="G69" s="14" t="n">
        <v>0</v>
      </c>
      <c r="H69" s="14" t="n">
        <v>960</v>
      </c>
      <c r="I69" s="15" t="n">
        <v>0.45</v>
      </c>
      <c r="J69" s="16">
        <f>H69*(1-I69)</f>
        <v/>
      </c>
      <c r="K69" s="17" t="n">
        <v>265.36</v>
      </c>
      <c r="L69" s="18">
        <f>$H$5</f>
        <v/>
      </c>
      <c r="M69" s="19">
        <f>K69+L69</f>
        <v/>
      </c>
      <c r="N69" s="20" t="n">
        <v>0.41</v>
      </c>
      <c r="O69" s="21">
        <f>H69*N69</f>
        <v/>
      </c>
      <c r="P69" s="22" t="n">
        <v>67</v>
      </c>
      <c r="Q69" s="21">
        <f>H69*$H$8</f>
        <v/>
      </c>
      <c r="R69" s="22" t="n">
        <v>25</v>
      </c>
      <c r="S69" s="21">
        <f>H69*$H$4</f>
        <v/>
      </c>
      <c r="T69" s="21">
        <f>J69*$H$3</f>
        <v/>
      </c>
      <c r="U69" s="23" t="n">
        <v>0.9</v>
      </c>
      <c r="V69" s="22" t="n">
        <v>67</v>
      </c>
      <c r="W69" s="21">
        <f>V69*(1-U69)</f>
        <v/>
      </c>
      <c r="X69" s="24" t="n">
        <v>0.93</v>
      </c>
      <c r="Y69" s="21">
        <f>$H$6*$H$7*X69</f>
        <v/>
      </c>
      <c r="Z69" s="19">
        <f>X69*($H$9+$H$10)</f>
        <v/>
      </c>
      <c r="AA69" s="20" t="n">
        <v>0.07000000000000001</v>
      </c>
      <c r="AB69" s="21">
        <f>H69*AA69</f>
        <v/>
      </c>
      <c r="AC69" s="23" t="n">
        <v>0.08</v>
      </c>
      <c r="AD69" s="21">
        <f>H69*AC69</f>
        <v/>
      </c>
      <c r="AE69" s="21">
        <f>AB69+AD69</f>
        <v/>
      </c>
      <c r="AF69" s="25">
        <f>AE69/H69</f>
        <v/>
      </c>
      <c r="AG69" s="26">
        <f>H69-O69-P69-Q69-R69-S69-T69-W69-Y69-Z69-M69-AL69</f>
        <v/>
      </c>
      <c r="AH69" s="41">
        <f>AG69-AE69</f>
        <v/>
      </c>
      <c r="AI69" s="42">
        <f>AH69/H69</f>
        <v/>
      </c>
      <c r="AJ69" s="43">
        <f>AH69/M69</f>
        <v/>
      </c>
      <c r="AK69" s="21">
        <f>(P69+R69+W69+Y69+Z69+M69)/(1-(N69+$H$4+(1-I69)*$H$3+$H$8+$H$11+AA69+AC69))</f>
        <v/>
      </c>
      <c r="AL69" s="90">
        <f>H69*$H$11</f>
        <v/>
      </c>
    </row>
    <row r="70" ht="29" customHeight="1">
      <c r="A70" s="11" t="inlineStr">
        <is>
          <t>JIGOTT - Daily Real Cica Toner [300ml] / Тонер для лица с центеллой азиатской</t>
        </is>
      </c>
      <c r="B70" s="12" t="n"/>
      <c r="C70" s="13" t="n"/>
      <c r="E70" s="14" t="n">
        <v>1140</v>
      </c>
      <c r="F70" s="14" t="n">
        <v>191</v>
      </c>
      <c r="G70" s="14" t="n">
        <v>0</v>
      </c>
      <c r="H70" s="14" t="n">
        <v>960</v>
      </c>
      <c r="I70" s="15" t="n">
        <v>0.45</v>
      </c>
      <c r="J70" s="16">
        <f>H70*(1-I70)</f>
        <v/>
      </c>
      <c r="K70" s="17" t="n">
        <v>265.36</v>
      </c>
      <c r="L70" s="18">
        <f>$H$5</f>
        <v/>
      </c>
      <c r="M70" s="19">
        <f>K70+L70</f>
        <v/>
      </c>
      <c r="N70" s="20" t="n">
        <v>0.41</v>
      </c>
      <c r="O70" s="21">
        <f>H70*N70</f>
        <v/>
      </c>
      <c r="P70" s="22" t="n">
        <v>67</v>
      </c>
      <c r="Q70" s="21">
        <f>H70*$H$8</f>
        <v/>
      </c>
      <c r="R70" s="22" t="n">
        <v>25</v>
      </c>
      <c r="S70" s="21">
        <f>H70*$H$4</f>
        <v/>
      </c>
      <c r="T70" s="21">
        <f>J70*$H$3</f>
        <v/>
      </c>
      <c r="U70" s="23" t="n">
        <v>0.9</v>
      </c>
      <c r="V70" s="22" t="n">
        <v>67</v>
      </c>
      <c r="W70" s="21">
        <f>V70*(1-U70)</f>
        <v/>
      </c>
      <c r="X70" s="24" t="n">
        <v>0.93</v>
      </c>
      <c r="Y70" s="21">
        <f>$H$6*$H$7*X70</f>
        <v/>
      </c>
      <c r="Z70" s="19">
        <f>X70*($H$9+$H$10)</f>
        <v/>
      </c>
      <c r="AA70" s="20" t="n">
        <v>0.07000000000000001</v>
      </c>
      <c r="AB70" s="21">
        <f>H70*AA70</f>
        <v/>
      </c>
      <c r="AC70" s="23" t="n">
        <v>0.08</v>
      </c>
      <c r="AD70" s="21">
        <f>H70*AC70</f>
        <v/>
      </c>
      <c r="AE70" s="21">
        <f>AB70+AD70</f>
        <v/>
      </c>
      <c r="AF70" s="25">
        <f>AE70/H70</f>
        <v/>
      </c>
      <c r="AG70" s="26">
        <f>H70-O70-P70-Q70-R70-S70-T70-W70-Y70-Z70-M70-AL70</f>
        <v/>
      </c>
      <c r="AH70" s="41">
        <f>AG70-AE70</f>
        <v/>
      </c>
      <c r="AI70" s="42">
        <f>AH70/H70</f>
        <v/>
      </c>
      <c r="AJ70" s="43">
        <f>AH70/M70</f>
        <v/>
      </c>
      <c r="AK70" s="21">
        <f>(P70+R70+W70+Y70+Z70+M70)/(1-(N70+$H$4+(1-I70)*$H$3+$H$8+$H$11+AA70+AC70))</f>
        <v/>
      </c>
      <c r="AL70" s="90">
        <f>H70*$H$11</f>
        <v/>
      </c>
    </row>
    <row r="71" ht="29" customHeight="1">
      <c r="A71" s="11" t="inlineStr">
        <is>
          <t>JIGOTT - Aura Secret Hyaluronec Acid Toner [300ml] / Тонер с гиалуроновой кислотой антивозрастной</t>
        </is>
      </c>
      <c r="B71" s="12" t="n"/>
      <c r="C71" s="13" t="n"/>
      <c r="D71" s="111" t="n">
        <v>424</v>
      </c>
      <c r="E71" s="14" t="n">
        <v>975</v>
      </c>
      <c r="F71" s="14" t="n">
        <v>77</v>
      </c>
      <c r="G71" s="14" t="n">
        <v>0</v>
      </c>
      <c r="H71" s="14" t="n">
        <v>900</v>
      </c>
      <c r="I71" s="15" t="n">
        <v>0.45</v>
      </c>
      <c r="J71" s="16">
        <f>H71*(1-I71)</f>
        <v/>
      </c>
      <c r="K71" s="17" t="n">
        <v>265.36</v>
      </c>
      <c r="L71" s="18">
        <f>$H$5</f>
        <v/>
      </c>
      <c r="M71" s="19">
        <f>K71+L71</f>
        <v/>
      </c>
      <c r="N71" s="20" t="n">
        <v>0.41</v>
      </c>
      <c r="O71" s="21">
        <f>H71*N71</f>
        <v/>
      </c>
      <c r="P71" s="22" t="n">
        <v>67</v>
      </c>
      <c r="Q71" s="21">
        <f>H71*$H$8</f>
        <v/>
      </c>
      <c r="R71" s="22" t="n">
        <v>25</v>
      </c>
      <c r="S71" s="21">
        <f>H71*$H$4</f>
        <v/>
      </c>
      <c r="T71" s="21">
        <f>J71*$H$3</f>
        <v/>
      </c>
      <c r="U71" s="23" t="n">
        <v>0.9</v>
      </c>
      <c r="V71" s="22" t="n">
        <v>67</v>
      </c>
      <c r="W71" s="21">
        <f>V71*(1-U71)</f>
        <v/>
      </c>
      <c r="X71" s="24" t="n">
        <v>0.93</v>
      </c>
      <c r="Y71" s="21">
        <f>$H$6*$H$7*X71</f>
        <v/>
      </c>
      <c r="Z71" s="19">
        <f>X71*($H$9+$H$10)</f>
        <v/>
      </c>
      <c r="AA71" s="20" t="n">
        <v>0.07000000000000001</v>
      </c>
      <c r="AB71" s="21">
        <f>H71*AA71</f>
        <v/>
      </c>
      <c r="AC71" s="23" t="n">
        <v>0.08</v>
      </c>
      <c r="AD71" s="21">
        <f>H71*AC71</f>
        <v/>
      </c>
      <c r="AE71" s="21">
        <f>AB71+AD71</f>
        <v/>
      </c>
      <c r="AF71" s="25">
        <f>AE71/H71</f>
        <v/>
      </c>
      <c r="AG71" s="26">
        <f>H71-O71-P71-Q71-R71-S71-T71-W71-Y71-Z71-M71-AL71</f>
        <v/>
      </c>
      <c r="AH71" s="41">
        <f>AG71-AE71</f>
        <v/>
      </c>
      <c r="AI71" s="42">
        <f>AH71/H71</f>
        <v/>
      </c>
      <c r="AJ71" s="43">
        <f>AH71/M71</f>
        <v/>
      </c>
      <c r="AK71" s="21">
        <f>(P71+R71+W71+Y71+Z71+M71)/(1-(N71+$H$4+(1-I71)*$H$3+$H$8+$H$11+AA71+AC71))</f>
        <v/>
      </c>
      <c r="AL71" s="90">
        <f>H71*$H$11</f>
        <v/>
      </c>
    </row>
    <row r="72" ht="29" customHeight="1">
      <c r="A72" s="11" t="inlineStr">
        <is>
          <t>JIGOTT - Moisture Real Aloe Vera Toner [300ml] / Тонер для лица увлажняющий с экстрактом алоэ</t>
        </is>
      </c>
      <c r="B72" s="12" t="n"/>
      <c r="C72" s="13" t="n"/>
      <c r="D72" s="111" t="n">
        <v>356</v>
      </c>
      <c r="E72" s="14" t="n">
        <v>1100</v>
      </c>
      <c r="F72" s="14" t="n">
        <v>169</v>
      </c>
      <c r="G72" s="14" t="n">
        <v>8</v>
      </c>
      <c r="H72" s="14" t="n">
        <v>1000</v>
      </c>
      <c r="I72" s="15" t="n">
        <v>0.45</v>
      </c>
      <c r="J72" s="16">
        <f>H72*(1-I72)</f>
        <v/>
      </c>
      <c r="K72" s="17" t="n">
        <v>265.36</v>
      </c>
      <c r="L72" s="18">
        <f>$H$5</f>
        <v/>
      </c>
      <c r="M72" s="19">
        <f>K72+L72</f>
        <v/>
      </c>
      <c r="N72" s="20" t="n">
        <v>0.41</v>
      </c>
      <c r="O72" s="21">
        <f>H72*N72</f>
        <v/>
      </c>
      <c r="P72" s="22" t="n">
        <v>67</v>
      </c>
      <c r="Q72" s="21">
        <f>H72*$H$8</f>
        <v/>
      </c>
      <c r="R72" s="22" t="n">
        <v>25</v>
      </c>
      <c r="S72" s="21">
        <f>H72*$H$4</f>
        <v/>
      </c>
      <c r="T72" s="21">
        <f>J72*$H$3</f>
        <v/>
      </c>
      <c r="U72" s="23" t="n">
        <v>0.9</v>
      </c>
      <c r="V72" s="22" t="n">
        <v>67</v>
      </c>
      <c r="W72" s="21">
        <f>V72*(1-U72)</f>
        <v/>
      </c>
      <c r="X72" s="24" t="n">
        <v>0.93</v>
      </c>
      <c r="Y72" s="21">
        <f>$H$6*$H$7*X72</f>
        <v/>
      </c>
      <c r="Z72" s="19">
        <f>X72*($H$9+$H$10)</f>
        <v/>
      </c>
      <c r="AA72" s="20" t="n">
        <v>0.07000000000000001</v>
      </c>
      <c r="AB72" s="21">
        <f>H72*AA72</f>
        <v/>
      </c>
      <c r="AC72" s="23" t="n">
        <v>0.08</v>
      </c>
      <c r="AD72" s="21">
        <f>H72*AC72</f>
        <v/>
      </c>
      <c r="AE72" s="21">
        <f>AB72+AD72</f>
        <v/>
      </c>
      <c r="AF72" s="25">
        <f>AE72/H72</f>
        <v/>
      </c>
      <c r="AG72" s="26">
        <f>H72-O72-P72-Q72-R72-S72-T72-W72-Y72-Z72-M72-AL72</f>
        <v/>
      </c>
      <c r="AH72" s="41">
        <f>AG72-AE72</f>
        <v/>
      </c>
      <c r="AI72" s="42">
        <f>AH72/H72</f>
        <v/>
      </c>
      <c r="AJ72" s="43">
        <f>AH72/M72</f>
        <v/>
      </c>
      <c r="AK72" s="21">
        <f>(P72+R72+W72+Y72+Z72+M72)/(1-(N72+$H$4+(1-I72)*$H$3+$H$8+$H$11+AA72+AC72))</f>
        <v/>
      </c>
      <c r="AL72" s="90">
        <f>H72*$H$11</f>
        <v/>
      </c>
    </row>
    <row r="73">
      <c r="A73" s="52" t="inlineStr">
        <is>
          <t>Косметика/JMSOLUTION/JM-MASKPACKBLACK</t>
        </is>
      </c>
      <c r="B73" s="10" t="n"/>
      <c r="C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</row>
    <row r="74" ht="29" customHeight="1">
      <c r="A74" s="11" t="inlineStr">
        <is>
          <t>JMSOLUTION - MASK PACK BLACK [30ml*10ea] - ассорти набор 10шт в упаковке</t>
        </is>
      </c>
      <c r="B74" s="12" t="n"/>
      <c r="C74" s="13" t="n"/>
      <c r="D74" s="111" t="n">
        <v>0</v>
      </c>
      <c r="E74" s="14" t="n">
        <v>2340</v>
      </c>
      <c r="F74" s="14" t="inlineStr">
        <is>
          <t>51 (закончились)</t>
        </is>
      </c>
      <c r="G74" s="14" t="n">
        <v>4</v>
      </c>
      <c r="H74" s="14" t="n">
        <v>2086</v>
      </c>
      <c r="I74" s="15" t="n">
        <v>0.45</v>
      </c>
      <c r="J74" s="16">
        <f>H74*(1-I74)</f>
        <v/>
      </c>
      <c r="K74" s="17" t="n">
        <v>463.2</v>
      </c>
      <c r="L74" s="18">
        <f>$H$5</f>
        <v/>
      </c>
      <c r="M74" s="19">
        <f>K74+L74</f>
        <v/>
      </c>
      <c r="N74" s="20" t="n">
        <v>0.41</v>
      </c>
      <c r="O74" s="21">
        <f>H74*N74</f>
        <v/>
      </c>
      <c r="P74" s="22" t="n">
        <v>72</v>
      </c>
      <c r="Q74" s="21">
        <f>H74*$H$8</f>
        <v/>
      </c>
      <c r="R74" s="22" t="n">
        <v>25</v>
      </c>
      <c r="S74" s="21">
        <f>H74*$H$4</f>
        <v/>
      </c>
      <c r="T74" s="21">
        <f>J74*$H$3</f>
        <v/>
      </c>
      <c r="U74" s="23" t="n">
        <v>0.9</v>
      </c>
      <c r="V74" s="22" t="n">
        <v>72</v>
      </c>
      <c r="W74" s="21">
        <f>V74*(1-U74)</f>
        <v/>
      </c>
      <c r="X74" s="24" t="n">
        <v>1.25</v>
      </c>
      <c r="Y74" s="21">
        <f>$H$6*$H$7*X74</f>
        <v/>
      </c>
      <c r="Z74" s="19">
        <f>X74*($H$9+$H$10)</f>
        <v/>
      </c>
      <c r="AA74" s="20" t="n">
        <v>0.07000000000000001</v>
      </c>
      <c r="AB74" s="21">
        <f>H74*AA74</f>
        <v/>
      </c>
      <c r="AC74" s="23" t="n">
        <v>0.08</v>
      </c>
      <c r="AD74" s="21">
        <f>H74*AC74</f>
        <v/>
      </c>
      <c r="AE74" s="21">
        <f>AB74+AD74</f>
        <v/>
      </c>
      <c r="AF74" s="25">
        <f>AE74/H74</f>
        <v/>
      </c>
      <c r="AG74" s="26">
        <f>H74-O74-P74-Q74-R74-S74-T74-W74-Y74-Z74-M74-AL74</f>
        <v/>
      </c>
      <c r="AH74" s="27">
        <f>AG74-AE74</f>
        <v/>
      </c>
      <c r="AI74" s="28">
        <f>AH74/H74</f>
        <v/>
      </c>
      <c r="AJ74" s="29">
        <f>AH74/M74</f>
        <v/>
      </c>
      <c r="AK74" s="21">
        <f>(P74+R74+W74+Y74+Z74+M74)/(1-(N74+$H$4+(1-I74)*$H$3+$H$8+$H$11+AA74+AC74))</f>
        <v/>
      </c>
      <c r="AL74" s="90">
        <f>H74*$H$11</f>
        <v/>
      </c>
    </row>
    <row r="75" ht="29" customHeight="1">
      <c r="A75" s="53" t="inlineStr">
        <is>
          <t>JMSOLUTION ACTIVE BLACK CAVIAR MASK [30ml*10ea] / Ультратонкая тканевая маска с черной икрой</t>
        </is>
      </c>
      <c r="B75" s="30" t="n"/>
      <c r="C75" s="30" t="n"/>
      <c r="D75" s="111" t="n">
        <v>160</v>
      </c>
      <c r="E75" s="31" t="n"/>
      <c r="F75" s="31" t="n"/>
      <c r="G75" s="31" t="n"/>
      <c r="H75" s="31" t="n"/>
      <c r="I75" s="32" t="n"/>
      <c r="J75" s="33" t="n"/>
      <c r="K75" s="34" t="n"/>
      <c r="L75" s="34" t="n"/>
      <c r="M75" s="35" t="n"/>
      <c r="N75" s="36" t="n"/>
      <c r="O75" s="31" t="n"/>
      <c r="P75" s="31" t="n"/>
      <c r="Q75" s="31" t="n"/>
      <c r="R75" s="31" t="n"/>
      <c r="S75" s="31" t="n"/>
      <c r="T75" s="31" t="n"/>
      <c r="U75" s="37" t="n"/>
      <c r="V75" s="31" t="n"/>
      <c r="W75" s="31" t="n"/>
      <c r="X75" s="38" t="n"/>
      <c r="Y75" s="31" t="n"/>
      <c r="Z75" s="35" t="n"/>
      <c r="AA75" s="36" t="n"/>
      <c r="AB75" s="31" t="n"/>
      <c r="AC75" s="37" t="n"/>
      <c r="AD75" s="31" t="n"/>
      <c r="AE75" s="31" t="n"/>
      <c r="AF75" s="39" t="n"/>
      <c r="AG75" s="40" t="n"/>
      <c r="AH75" s="31" t="n"/>
      <c r="AI75" s="37" t="n"/>
      <c r="AJ75" s="37" t="n"/>
      <c r="AK75" s="31" t="n"/>
    </row>
    <row r="76" ht="29" customHeight="1">
      <c r="A76" s="53" t="inlineStr">
        <is>
          <t>JMSOLUTION - Active Golden Caviar Nourishing Mask [30ml*10ea] / Ультратонкая тканевая маска с золотом и икрой</t>
        </is>
      </c>
      <c r="B76" s="30" t="n"/>
      <c r="C76" s="30" t="n"/>
      <c r="D76" s="111" t="n">
        <v>160</v>
      </c>
      <c r="E76" s="31" t="n"/>
      <c r="F76" s="31" t="n"/>
      <c r="G76" s="31" t="n"/>
      <c r="H76" s="31" t="n"/>
      <c r="I76" s="32" t="n"/>
      <c r="J76" s="33" t="n"/>
      <c r="K76" s="34" t="n"/>
      <c r="L76" s="34" t="n"/>
      <c r="M76" s="35" t="n"/>
      <c r="N76" s="36" t="n"/>
      <c r="O76" s="31" t="n"/>
      <c r="P76" s="31" t="n"/>
      <c r="Q76" s="31" t="n"/>
      <c r="R76" s="31" t="n"/>
      <c r="S76" s="31" t="n"/>
      <c r="T76" s="31" t="n"/>
      <c r="U76" s="37" t="n"/>
      <c r="V76" s="31" t="n"/>
      <c r="W76" s="31" t="n"/>
      <c r="X76" s="38" t="n"/>
      <c r="Y76" s="31" t="n"/>
      <c r="Z76" s="35" t="n"/>
      <c r="AA76" s="36" t="n"/>
      <c r="AB76" s="31" t="n"/>
      <c r="AC76" s="37" t="n"/>
      <c r="AD76" s="31" t="n"/>
      <c r="AE76" s="31" t="n"/>
      <c r="AF76" s="39" t="n"/>
      <c r="AG76" s="40" t="n"/>
      <c r="AH76" s="31" t="n"/>
      <c r="AI76" s="37" t="n"/>
      <c r="AJ76" s="37" t="n"/>
      <c r="AK76" s="31" t="n"/>
    </row>
    <row r="77" ht="29" customHeight="1">
      <c r="A77" s="53" t="inlineStr">
        <is>
          <t>JMSOLUTION - Active Jellyfish Vital Mask [30ml*10ea] / Ультратонкая тканевая маска с экстрактом медузы</t>
        </is>
      </c>
      <c r="B77" s="30" t="n"/>
      <c r="C77" s="30" t="n"/>
      <c r="D77" s="111" t="n">
        <v>160</v>
      </c>
      <c r="E77" s="31" t="n"/>
      <c r="F77" s="31" t="n"/>
      <c r="G77" s="31" t="n"/>
      <c r="H77" s="31" t="n"/>
      <c r="I77" s="32" t="n"/>
      <c r="J77" s="33" t="n"/>
      <c r="K77" s="34" t="n"/>
      <c r="L77" s="34" t="n"/>
      <c r="M77" s="35" t="n"/>
      <c r="N77" s="36" t="n"/>
      <c r="O77" s="31" t="n"/>
      <c r="P77" s="31" t="n"/>
      <c r="Q77" s="31" t="n"/>
      <c r="R77" s="31" t="n"/>
      <c r="S77" s="31" t="n"/>
      <c r="T77" s="31" t="n"/>
      <c r="U77" s="37" t="n"/>
      <c r="V77" s="31" t="n"/>
      <c r="W77" s="31" t="n"/>
      <c r="X77" s="38" t="n"/>
      <c r="Y77" s="31" t="n"/>
      <c r="Z77" s="35" t="n"/>
      <c r="AA77" s="36" t="n"/>
      <c r="AB77" s="31" t="n"/>
      <c r="AC77" s="37" t="n"/>
      <c r="AD77" s="31" t="n"/>
      <c r="AE77" s="31" t="n"/>
      <c r="AF77" s="39" t="n"/>
      <c r="AG77" s="40" t="n"/>
      <c r="AH77" s="31" t="n"/>
      <c r="AI77" s="37" t="n"/>
      <c r="AJ77" s="37" t="n"/>
      <c r="AK77" s="31" t="n"/>
    </row>
    <row r="78" ht="29" customHeight="1">
      <c r="A78" s="53" t="inlineStr">
        <is>
          <t>JMSOLUTION - Active Pink Snail Brightening Mask [30ml*10ea] / Маска тканевая увлажняющая с улиткой</t>
        </is>
      </c>
      <c r="B78" s="30" t="n"/>
      <c r="C78" s="30" t="n"/>
      <c r="D78" s="111" t="n">
        <v>160</v>
      </c>
      <c r="E78" s="31" t="n"/>
      <c r="F78" s="31" t="n"/>
      <c r="G78" s="31" t="n"/>
      <c r="H78" s="31" t="n"/>
      <c r="I78" s="32" t="n"/>
      <c r="J78" s="33" t="n"/>
      <c r="K78" s="34" t="n"/>
      <c r="L78" s="34" t="n"/>
      <c r="M78" s="35" t="n"/>
      <c r="N78" s="36" t="n"/>
      <c r="O78" s="31" t="n"/>
      <c r="P78" s="31" t="n"/>
      <c r="Q78" s="31" t="n"/>
      <c r="R78" s="31" t="n"/>
      <c r="S78" s="31" t="n"/>
      <c r="T78" s="31" t="n"/>
      <c r="U78" s="37" t="n"/>
      <c r="V78" s="31" t="n"/>
      <c r="W78" s="31" t="n"/>
      <c r="X78" s="38" t="n"/>
      <c r="Y78" s="31" t="n"/>
      <c r="Z78" s="35" t="n"/>
      <c r="AA78" s="36" t="n"/>
      <c r="AB78" s="31" t="n"/>
      <c r="AC78" s="37" t="n"/>
      <c r="AD78" s="31" t="n"/>
      <c r="AE78" s="31" t="n"/>
      <c r="AF78" s="39" t="n"/>
      <c r="AG78" s="40" t="n"/>
      <c r="AH78" s="31" t="n"/>
      <c r="AI78" s="37" t="n"/>
      <c r="AJ78" s="37" t="n"/>
      <c r="AK78" s="31" t="n"/>
    </row>
    <row r="79">
      <c r="A79" s="53" t="inlineStr">
        <is>
          <t>JMSOLUTION GLORY AQUA FULLERENE MASK DELUXE</t>
        </is>
      </c>
      <c r="B79" s="30" t="n"/>
      <c r="C79" s="30" t="n"/>
      <c r="D79" s="111" t="n">
        <v>160</v>
      </c>
      <c r="E79" s="31" t="n"/>
      <c r="F79" s="31" t="n"/>
      <c r="G79" s="31" t="n"/>
      <c r="H79" s="31" t="n"/>
      <c r="I79" s="32" t="n"/>
      <c r="J79" s="33" t="n"/>
      <c r="K79" s="34" t="n"/>
      <c r="L79" s="34" t="n"/>
      <c r="M79" s="35" t="n"/>
      <c r="N79" s="36" t="n"/>
      <c r="O79" s="31" t="n"/>
      <c r="P79" s="31" t="n"/>
      <c r="Q79" s="31" t="n"/>
      <c r="R79" s="31" t="n"/>
      <c r="S79" s="31" t="n"/>
      <c r="T79" s="31" t="n"/>
      <c r="U79" s="37" t="n"/>
      <c r="V79" s="31" t="n"/>
      <c r="W79" s="31" t="n"/>
      <c r="X79" s="38" t="n"/>
      <c r="Y79" s="31" t="n"/>
      <c r="Z79" s="35" t="n"/>
      <c r="AA79" s="36" t="n"/>
      <c r="AB79" s="31" t="n"/>
      <c r="AC79" s="37" t="n"/>
      <c r="AD79" s="31" t="n"/>
      <c r="AE79" s="31" t="n"/>
      <c r="AF79" s="39" t="n"/>
      <c r="AG79" s="40" t="n"/>
      <c r="AH79" s="31" t="n"/>
      <c r="AI79" s="37" t="n"/>
      <c r="AJ79" s="37" t="n"/>
      <c r="AK79" s="31" t="n"/>
    </row>
    <row r="80">
      <c r="A80" s="53" t="inlineStr">
        <is>
          <t>JMSOLUTION LACTO SACCHAROMYCES GOLDEN RICE MASK PLUS</t>
        </is>
      </c>
      <c r="B80" s="30" t="n"/>
      <c r="C80" s="30" t="n"/>
      <c r="D80" s="111" t="n">
        <v>160</v>
      </c>
      <c r="E80" s="31" t="n"/>
      <c r="F80" s="31" t="n"/>
      <c r="G80" s="31" t="n"/>
      <c r="H80" s="31" t="n"/>
      <c r="I80" s="32" t="n"/>
      <c r="J80" s="33" t="n"/>
      <c r="K80" s="34" t="n"/>
      <c r="L80" s="34" t="n"/>
      <c r="M80" s="35" t="n"/>
      <c r="N80" s="36" t="n"/>
      <c r="O80" s="31" t="n"/>
      <c r="P80" s="31" t="n"/>
      <c r="Q80" s="31" t="n"/>
      <c r="R80" s="31" t="n"/>
      <c r="S80" s="31" t="n"/>
      <c r="T80" s="31" t="n"/>
      <c r="U80" s="37" t="n"/>
      <c r="V80" s="31" t="n"/>
      <c r="W80" s="31" t="n"/>
      <c r="X80" s="38" t="n"/>
      <c r="Y80" s="31" t="n"/>
      <c r="Z80" s="35" t="n"/>
      <c r="AA80" s="36" t="n"/>
      <c r="AB80" s="31" t="n"/>
      <c r="AC80" s="37" t="n"/>
      <c r="AD80" s="31" t="n"/>
      <c r="AE80" s="31" t="n"/>
      <c r="AF80" s="39" t="n"/>
      <c r="AG80" s="40" t="n"/>
      <c r="AH80" s="31" t="n"/>
      <c r="AI80" s="37" t="n"/>
      <c r="AJ80" s="37" t="n"/>
      <c r="AK80" s="31" t="n"/>
    </row>
    <row r="81">
      <c r="A81" s="53" t="inlineStr">
        <is>
          <t>JMSOLUTION PANTHELENE INTENSIVE BARRIER MASK</t>
        </is>
      </c>
      <c r="B81" s="30" t="n"/>
      <c r="C81" s="30" t="n"/>
      <c r="D81" s="111" t="n">
        <v>160</v>
      </c>
      <c r="E81" s="31" t="n"/>
      <c r="F81" s="31" t="n"/>
      <c r="G81" s="31" t="n"/>
      <c r="H81" s="31" t="n"/>
      <c r="I81" s="32" t="n"/>
      <c r="J81" s="33" t="n"/>
      <c r="K81" s="34" t="n"/>
      <c r="L81" s="34" t="n"/>
      <c r="M81" s="35" t="n"/>
      <c r="N81" s="36" t="n"/>
      <c r="O81" s="31" t="n"/>
      <c r="P81" s="31" t="n"/>
      <c r="Q81" s="31" t="n"/>
      <c r="R81" s="31" t="n"/>
      <c r="S81" s="31" t="n"/>
      <c r="T81" s="31" t="n"/>
      <c r="U81" s="37" t="n"/>
      <c r="V81" s="31" t="n"/>
      <c r="W81" s="31" t="n"/>
      <c r="X81" s="38" t="n"/>
      <c r="Y81" s="31" t="n"/>
      <c r="Z81" s="35" t="n"/>
      <c r="AA81" s="36" t="n"/>
      <c r="AB81" s="31" t="n"/>
      <c r="AC81" s="37" t="n"/>
      <c r="AD81" s="31" t="n"/>
      <c r="AE81" s="31" t="n"/>
      <c r="AF81" s="39" t="n"/>
      <c r="AG81" s="40" t="n"/>
      <c r="AH81" s="31" t="n"/>
      <c r="AI81" s="37" t="n"/>
      <c r="AJ81" s="37" t="n"/>
      <c r="AK81" s="31" t="n"/>
    </row>
    <row r="82" ht="43.5" customHeight="1">
      <c r="A82" s="53" t="inlineStr">
        <is>
          <t>JMSOLUTION - The Natural Cordyceps Melitaris Mask Moisture [30ml*10ea] / Тканевая маска для лица с экстрактом кордицепса и комплексом аминокислот</t>
        </is>
      </c>
      <c r="B82" s="30" t="n"/>
      <c r="C82" s="30" t="n"/>
      <c r="D82" s="111" t="n">
        <v>160</v>
      </c>
      <c r="E82" s="31" t="n"/>
      <c r="F82" s="31" t="n"/>
      <c r="G82" s="31" t="n"/>
      <c r="H82" s="31" t="n"/>
      <c r="I82" s="32" t="n"/>
      <c r="J82" s="33" t="n"/>
      <c r="K82" s="34" t="n"/>
      <c r="L82" s="34" t="n"/>
      <c r="M82" s="35" t="n"/>
      <c r="N82" s="36" t="n"/>
      <c r="O82" s="31" t="n"/>
      <c r="P82" s="31" t="n"/>
      <c r="Q82" s="31" t="n"/>
      <c r="R82" s="31" t="n"/>
      <c r="S82" s="31" t="n"/>
      <c r="T82" s="31" t="n"/>
      <c r="U82" s="37" t="n"/>
      <c r="V82" s="31" t="n"/>
      <c r="W82" s="31" t="n"/>
      <c r="X82" s="38" t="n"/>
      <c r="Y82" s="31" t="n"/>
      <c r="Z82" s="35" t="n"/>
      <c r="AA82" s="36" t="n"/>
      <c r="AB82" s="31" t="n"/>
      <c r="AC82" s="37" t="n"/>
      <c r="AD82" s="31" t="n"/>
      <c r="AE82" s="31" t="n"/>
      <c r="AF82" s="39" t="n"/>
      <c r="AG82" s="40" t="n"/>
      <c r="AH82" s="31" t="n"/>
      <c r="AI82" s="37" t="n"/>
      <c r="AJ82" s="37" t="n"/>
      <c r="AK82" s="31" t="n"/>
    </row>
    <row r="83" ht="29" customHeight="1">
      <c r="A83" s="53" t="inlineStr">
        <is>
          <t>JMSOLUTION - Water Luminous S.O.S. Ringer Mask Black [35ml*10ea] / Ультраувлажняющая тканевая маска</t>
        </is>
      </c>
      <c r="B83" s="30" t="n"/>
      <c r="C83" s="30" t="n"/>
      <c r="D83" s="111" t="n">
        <v>160</v>
      </c>
      <c r="E83" s="31" t="n"/>
      <c r="F83" s="31" t="n"/>
      <c r="G83" s="31" t="n"/>
      <c r="H83" s="31" t="n"/>
      <c r="I83" s="32" t="n"/>
      <c r="J83" s="33" t="n"/>
      <c r="K83" s="34" t="n"/>
      <c r="L83" s="34" t="n"/>
      <c r="M83" s="35" t="n"/>
      <c r="N83" s="36" t="n"/>
      <c r="O83" s="31" t="n"/>
      <c r="P83" s="31" t="n"/>
      <c r="Q83" s="31" t="n"/>
      <c r="R83" s="31" t="n"/>
      <c r="S83" s="31" t="n"/>
      <c r="T83" s="31" t="n"/>
      <c r="U83" s="37" t="n"/>
      <c r="V83" s="31" t="n"/>
      <c r="W83" s="31" t="n"/>
      <c r="X83" s="38" t="n"/>
      <c r="Y83" s="31" t="n"/>
      <c r="Z83" s="35" t="n"/>
      <c r="AA83" s="36" t="n"/>
      <c r="AB83" s="31" t="n"/>
      <c r="AC83" s="37" t="n"/>
      <c r="AD83" s="31" t="n"/>
      <c r="AE83" s="31" t="n"/>
      <c r="AF83" s="39" t="n"/>
      <c r="AG83" s="40" t="n"/>
      <c r="AH83" s="31" t="n"/>
      <c r="AI83" s="37" t="n"/>
      <c r="AJ83" s="37" t="n"/>
      <c r="AK83" s="31" t="n"/>
    </row>
    <row r="84" ht="29" customHeight="1">
      <c r="A84" s="53" t="inlineStr">
        <is>
          <t>JMSOLUTION GREEN DEAR TIGER CICA MASK PURE 30ml*10ea / Регенерирующая маска для лица с центеллой</t>
        </is>
      </c>
      <c r="B84" s="30" t="n"/>
      <c r="C84" s="30" t="n"/>
      <c r="D84" s="111" t="n">
        <v>160</v>
      </c>
      <c r="E84" s="31" t="n"/>
      <c r="F84" s="31" t="n"/>
      <c r="G84" s="31" t="n"/>
      <c r="H84" s="31" t="n"/>
      <c r="I84" s="32" t="n"/>
      <c r="J84" s="33" t="n"/>
      <c r="K84" s="34" t="n"/>
      <c r="L84" s="34" t="n"/>
      <c r="M84" s="35" t="n"/>
      <c r="N84" s="36" t="n"/>
      <c r="O84" s="31" t="n"/>
      <c r="P84" s="31" t="n"/>
      <c r="Q84" s="31" t="n"/>
      <c r="R84" s="31" t="n"/>
      <c r="S84" s="31" t="n"/>
      <c r="T84" s="31" t="n"/>
      <c r="U84" s="37" t="n"/>
      <c r="V84" s="31" t="n"/>
      <c r="W84" s="31" t="n"/>
      <c r="X84" s="38" t="n"/>
      <c r="Y84" s="31" t="n"/>
      <c r="Z84" s="35" t="n"/>
      <c r="AA84" s="36" t="n"/>
      <c r="AB84" s="31" t="n"/>
      <c r="AC84" s="37" t="n"/>
      <c r="AD84" s="31" t="n"/>
      <c r="AE84" s="31" t="n"/>
      <c r="AF84" s="39" t="n"/>
      <c r="AG84" s="40" t="n"/>
      <c r="AH84" s="31" t="n"/>
      <c r="AI84" s="37" t="n"/>
      <c r="AJ84" s="37" t="n"/>
      <c r="AK84" s="31" t="n"/>
    </row>
    <row r="85">
      <c r="A85" s="52" t="inlineStr">
        <is>
          <t>Косметика/JMSOLUTION/JM-MASKPACKDISNEY</t>
        </is>
      </c>
      <c r="B85" s="10" t="n"/>
      <c r="C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</row>
    <row r="86">
      <c r="A86" s="11" t="inlineStr">
        <is>
          <t>JMSOLUTION - MASK PACK DISNEY [30ml*10ea] - ассорти набор из 10шт</t>
        </is>
      </c>
      <c r="B86" s="12" t="n"/>
      <c r="C86" s="13" t="inlineStr">
        <is>
          <t>нет таких наборов</t>
        </is>
      </c>
      <c r="D86" s="111" t="n">
        <v>835</v>
      </c>
      <c r="E86" s="14" t="n"/>
      <c r="F86" s="14" t="n"/>
      <c r="G86" s="14" t="n"/>
      <c r="H86" s="14" t="n">
        <v>2086</v>
      </c>
      <c r="I86" s="15" t="n">
        <v>0.45</v>
      </c>
      <c r="J86" s="16">
        <f>H86*(1-I86)</f>
        <v/>
      </c>
      <c r="K86" s="17" t="n">
        <v>463.2</v>
      </c>
      <c r="L86" s="18">
        <f>$H$5</f>
        <v/>
      </c>
      <c r="M86" s="19">
        <f>K86+L86</f>
        <v/>
      </c>
      <c r="N86" s="20" t="n">
        <v>0.41</v>
      </c>
      <c r="O86" s="21">
        <f>H86*N86</f>
        <v/>
      </c>
      <c r="P86" s="22" t="n">
        <v>72</v>
      </c>
      <c r="Q86" s="21">
        <f>H86*$H$8</f>
        <v/>
      </c>
      <c r="R86" s="22" t="n">
        <v>25</v>
      </c>
      <c r="S86" s="21">
        <f>H86*$H$4</f>
        <v/>
      </c>
      <c r="T86" s="21">
        <f>J86*$H$3</f>
        <v/>
      </c>
      <c r="U86" s="23" t="n">
        <v>0.9</v>
      </c>
      <c r="V86" s="22" t="n">
        <v>72</v>
      </c>
      <c r="W86" s="21">
        <f>V86*(1-U86)</f>
        <v/>
      </c>
      <c r="X86" s="24" t="n">
        <v>1.25</v>
      </c>
      <c r="Y86" s="21">
        <f>$H$6*$H$7*X86</f>
        <v/>
      </c>
      <c r="Z86" s="19">
        <f>X86*($H$9+$H$10)</f>
        <v/>
      </c>
      <c r="AA86" s="20" t="n">
        <v>0.07000000000000001</v>
      </c>
      <c r="AB86" s="21">
        <f>H86*AA86</f>
        <v/>
      </c>
      <c r="AC86" s="23" t="n">
        <v>0.08</v>
      </c>
      <c r="AD86" s="21">
        <f>H86*AC86</f>
        <v/>
      </c>
      <c r="AE86" s="21">
        <f>AB86+AD86</f>
        <v/>
      </c>
      <c r="AF86" s="25">
        <f>AE86/H86</f>
        <v/>
      </c>
      <c r="AG86" s="26">
        <f>H86-O86-P86-Q86-R86-S86-T86-W86-Y86-Z86-M86-AL86</f>
        <v/>
      </c>
      <c r="AH86" s="27">
        <f>AG86-AE86</f>
        <v/>
      </c>
      <c r="AI86" s="28">
        <f>AH86/H86</f>
        <v/>
      </c>
      <c r="AJ86" s="29">
        <f>AH86/M86</f>
        <v/>
      </c>
      <c r="AK86" s="21">
        <f>(P86+R86+W86+Y86+Z86+M86)/(1-(N86+$H$4+(1-I86)*$H$3+$H$8+$H$11+AA86+AC86))</f>
        <v/>
      </c>
      <c r="AL86" s="90">
        <f>H86*$H$11</f>
        <v/>
      </c>
    </row>
    <row r="87">
      <c r="A87" s="52" t="inlineStr">
        <is>
          <t>Косметика/LEBELAGE</t>
        </is>
      </c>
      <c r="B87" s="10" t="n"/>
      <c r="C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  <c r="AH87" s="10" t="n"/>
      <c r="AI87" s="10" t="n"/>
      <c r="AJ87" s="10" t="n"/>
      <c r="AK87" s="10" t="n"/>
    </row>
    <row r="88" ht="29" customHeight="1">
      <c r="A88" s="11" t="inlineStr">
        <is>
          <t>LEBELAGE - Dr. Peptide Derma Eye Cream [40ml] / Крем для глаз антивозрастной с пептидами</t>
        </is>
      </c>
      <c r="B88" s="12" t="n"/>
      <c r="C88" s="13" t="n"/>
      <c r="D88" s="111" t="n">
        <v>410</v>
      </c>
      <c r="E88" s="14" t="n">
        <v>667</v>
      </c>
      <c r="F88" s="14" t="n">
        <v>1738</v>
      </c>
      <c r="G88" s="14" t="n">
        <v>22</v>
      </c>
      <c r="H88" s="14" t="n">
        <v>600</v>
      </c>
      <c r="I88" s="15" t="n">
        <v>0.45</v>
      </c>
      <c r="J88" s="16">
        <f>H88*(1-I88)</f>
        <v/>
      </c>
      <c r="K88" s="17" t="n">
        <v>108.15</v>
      </c>
      <c r="L88" s="18">
        <f>$H$5</f>
        <v/>
      </c>
      <c r="M88" s="19">
        <f>K88+L88</f>
        <v/>
      </c>
      <c r="N88" s="20" t="n">
        <v>0.41</v>
      </c>
      <c r="O88" s="21">
        <f>H88*N88</f>
        <v/>
      </c>
      <c r="P88" s="22" t="n">
        <v>63</v>
      </c>
      <c r="Q88" s="21">
        <f>H88*$H$8</f>
        <v/>
      </c>
      <c r="R88" s="22" t="n">
        <v>25</v>
      </c>
      <c r="S88" s="21">
        <f>H88*$H$4</f>
        <v/>
      </c>
      <c r="T88" s="21">
        <f>J88*$H$3</f>
        <v/>
      </c>
      <c r="U88" s="23" t="n">
        <v>0.9</v>
      </c>
      <c r="V88" s="22" t="n">
        <v>63</v>
      </c>
      <c r="W88" s="21">
        <f>V88*(1-U88)</f>
        <v/>
      </c>
      <c r="X88" s="24" t="n">
        <v>0.27</v>
      </c>
      <c r="Y88" s="21">
        <f>$H$6*$H$7*X88</f>
        <v/>
      </c>
      <c r="Z88" s="19">
        <f>X88*($H$9+$H$10)</f>
        <v/>
      </c>
      <c r="AA88" s="20" t="n">
        <v>0.07000000000000001</v>
      </c>
      <c r="AB88" s="21">
        <f>H88*AA88</f>
        <v/>
      </c>
      <c r="AC88" s="23" t="n">
        <v>0.08</v>
      </c>
      <c r="AD88" s="21">
        <f>H88*AC88</f>
        <v/>
      </c>
      <c r="AE88" s="21">
        <f>AB88+AD88</f>
        <v/>
      </c>
      <c r="AF88" s="25">
        <f>AE88/H88</f>
        <v/>
      </c>
      <c r="AG88" s="26">
        <f>H88-O88-P88-Q88-R88-S88-T88-W88-Y88-Z88-M88-AL88</f>
        <v/>
      </c>
      <c r="AH88" s="27">
        <f>AG88-AE88</f>
        <v/>
      </c>
      <c r="AI88" s="28">
        <f>AH88/H88</f>
        <v/>
      </c>
      <c r="AJ88" s="29">
        <f>AH88/M88</f>
        <v/>
      </c>
      <c r="AK88" s="21">
        <f>(P88+R88+W88+Y88+Z88+M88)/(1-(N88+$H$4+(1-I88)*$H$3+$H$8+$H$11+AA88+AC88))</f>
        <v/>
      </c>
      <c r="AL88" s="90">
        <f>H88*$H$11</f>
        <v/>
      </c>
    </row>
    <row r="89">
      <c r="A89" s="52" t="inlineStr">
        <is>
          <t>Косметика/LANEIGE</t>
        </is>
      </c>
      <c r="B89" s="10" t="n"/>
      <c r="C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</row>
    <row r="90">
      <c r="A90" s="11" t="inlineStr">
        <is>
          <t>LANEIGE LIP SLEEPING MASK-BERRY [3g]</t>
        </is>
      </c>
      <c r="B90" s="12" t="n"/>
      <c r="C90" s="13" t="n"/>
      <c r="D90" s="111" t="n">
        <v>341</v>
      </c>
      <c r="E90" s="14" t="n">
        <v>1470</v>
      </c>
      <c r="F90" s="14" t="n">
        <v>568</v>
      </c>
      <c r="G90" s="14" t="n">
        <v>10</v>
      </c>
      <c r="H90" s="14">
        <f>(1.25*M90+P90+R90+W90+Y90+Z90)/(1-N90-$H$8-$H$4-(1-I90)*$H$3-$H$11-AA90-AC90)</f>
        <v/>
      </c>
      <c r="I90" s="15" t="n">
        <v>0.45</v>
      </c>
      <c r="J90" s="16">
        <f>H90*(1-I90)</f>
        <v/>
      </c>
      <c r="K90" s="17" t="n">
        <v>130.86</v>
      </c>
      <c r="L90" s="18">
        <f>$H$5</f>
        <v/>
      </c>
      <c r="M90" s="19">
        <f>K90+L90</f>
        <v/>
      </c>
      <c r="N90" s="20" t="n">
        <v>0.41</v>
      </c>
      <c r="O90" s="21">
        <f>H90*N90</f>
        <v/>
      </c>
      <c r="P90" s="22" t="n">
        <v>56</v>
      </c>
      <c r="Q90" s="21">
        <f>H90*$H$8</f>
        <v/>
      </c>
      <c r="R90" s="22" t="n">
        <v>25</v>
      </c>
      <c r="S90" s="21">
        <f>H90*$H$4</f>
        <v/>
      </c>
      <c r="T90" s="21">
        <f>J90*$H$3</f>
        <v/>
      </c>
      <c r="U90" s="23" t="n">
        <v>0.9</v>
      </c>
      <c r="V90" s="22" t="n">
        <v>56</v>
      </c>
      <c r="W90" s="21">
        <f>V90*(1-U90)</f>
        <v/>
      </c>
      <c r="X90" s="24" t="n">
        <v>0.2</v>
      </c>
      <c r="Y90" s="21">
        <f>$H$6*$H$7*X90</f>
        <v/>
      </c>
      <c r="Z90" s="19">
        <f>X90*($H$9+$H$10)</f>
        <v/>
      </c>
      <c r="AA90" s="20" t="n">
        <v>0.07000000000000001</v>
      </c>
      <c r="AB90" s="21">
        <f>H90*AA90</f>
        <v/>
      </c>
      <c r="AC90" s="23" t="n">
        <v>0.08</v>
      </c>
      <c r="AD90" s="21">
        <f>H90*AC90</f>
        <v/>
      </c>
      <c r="AE90" s="21">
        <f>AB90+AD90</f>
        <v/>
      </c>
      <c r="AF90" s="25">
        <f>AE90/H90</f>
        <v/>
      </c>
      <c r="AG90" s="26">
        <f>H90-O90-P90-Q90-R90-S90-T90-W90-Y90-Z90-M90-AL90</f>
        <v/>
      </c>
      <c r="AH90" s="27">
        <f>AG90-AE90</f>
        <v/>
      </c>
      <c r="AI90" s="28">
        <f>AH90/H90</f>
        <v/>
      </c>
      <c r="AJ90" s="29">
        <f>AH90/M90</f>
        <v/>
      </c>
      <c r="AK90" s="21">
        <f>(P90+R90+W90+Y90+Z90+M90)/(1-(N90+$H$4+(1-I90)*$H$3+$H$8+$H$11+AA90+AC90))</f>
        <v/>
      </c>
      <c r="AL90" s="90">
        <f>H90*$H$11</f>
        <v/>
      </c>
    </row>
    <row r="91">
      <c r="A91" s="52" t="inlineStr">
        <is>
          <t>Косметика/MANYO</t>
        </is>
      </c>
      <c r="B91" s="10" t="n"/>
      <c r="C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</row>
    <row r="92" ht="29" customHeight="1">
      <c r="A92" s="11" t="inlineStr">
        <is>
          <t>MANYO - Bifida Biome Complex Ampoule [50ml] / Антивозрастная сыворотка для лица</t>
        </is>
      </c>
      <c r="B92" s="12" t="n"/>
      <c r="C92" s="13" t="n"/>
      <c r="E92" s="14" t="n">
        <v>5800</v>
      </c>
      <c r="F92" s="14" t="n">
        <v>152</v>
      </c>
      <c r="G92" s="14" t="n">
        <v>0</v>
      </c>
      <c r="H92" s="14" t="n">
        <v>5500</v>
      </c>
      <c r="I92" s="15" t="n">
        <v>0.45</v>
      </c>
      <c r="J92" s="16">
        <f>H92*(1-I92)</f>
        <v/>
      </c>
      <c r="K92" s="17" t="n">
        <v>899.78</v>
      </c>
      <c r="L92" s="18">
        <f>$H$5</f>
        <v/>
      </c>
      <c r="M92" s="19">
        <f>K92+L92</f>
        <v/>
      </c>
      <c r="N92" s="20" t="n">
        <v>0.41</v>
      </c>
      <c r="O92" s="21">
        <f>H92*N92</f>
        <v/>
      </c>
      <c r="P92" s="22" t="n">
        <v>63</v>
      </c>
      <c r="Q92" s="21">
        <f>H92*$H$8</f>
        <v/>
      </c>
      <c r="R92" s="22" t="n">
        <v>25</v>
      </c>
      <c r="S92" s="21">
        <f>H92*$H$4</f>
        <v/>
      </c>
      <c r="T92" s="21">
        <f>J92*$H$3</f>
        <v/>
      </c>
      <c r="U92" s="23" t="n">
        <v>0.9</v>
      </c>
      <c r="V92" s="22" t="n">
        <v>63</v>
      </c>
      <c r="W92" s="21">
        <f>V92*(1-U92)</f>
        <v/>
      </c>
      <c r="X92" s="24" t="n">
        <v>0.3</v>
      </c>
      <c r="Y92" s="21">
        <f>$H$6*$H$7*X92</f>
        <v/>
      </c>
      <c r="Z92" s="19">
        <f>X92*($H$9+$H$10)</f>
        <v/>
      </c>
      <c r="AA92" s="20" t="n">
        <v>0.025</v>
      </c>
      <c r="AB92" s="21">
        <f>H92*AA92</f>
        <v/>
      </c>
      <c r="AC92" s="23" t="n">
        <v>0.025</v>
      </c>
      <c r="AD92" s="21">
        <f>H92*AC92</f>
        <v/>
      </c>
      <c r="AE92" s="21">
        <f>AB92+AD92</f>
        <v/>
      </c>
      <c r="AF92" s="25">
        <f>AE92/H92</f>
        <v/>
      </c>
      <c r="AG92" s="26">
        <f>H92-O92-P92-Q92-R92-S92-T92-W92-Y92-Z92-M92-AL92</f>
        <v/>
      </c>
      <c r="AH92" s="27">
        <f>AG92-AE92</f>
        <v/>
      </c>
      <c r="AI92" s="28">
        <f>AH92/H92</f>
        <v/>
      </c>
      <c r="AJ92" s="29">
        <f>AH92/M92</f>
        <v/>
      </c>
      <c r="AK92" s="21">
        <f>(P92+R92+W92+Y92+Z92+M92)/(1-(N92+$H$4+(1-I92)*$H$3+$H$8+$H$11+AA92+AC92))</f>
        <v/>
      </c>
      <c r="AL92" s="90">
        <f>H92*$H$11</f>
        <v/>
      </c>
    </row>
    <row r="93" ht="29" customHeight="1">
      <c r="A93" s="11" t="inlineStr">
        <is>
          <t>MANYO - Galac Whitening Vita Serum [50ml] / Осветляющая сыворотка с Витамином C</t>
        </is>
      </c>
      <c r="B93" s="12" t="n"/>
      <c r="C93" s="13" t="inlineStr">
        <is>
          <t>-</t>
        </is>
      </c>
      <c r="D93" s="111" t="n">
        <v>854</v>
      </c>
      <c r="E93" s="14" t="n">
        <v>4000</v>
      </c>
      <c r="F93" s="14" t="n">
        <v>163</v>
      </c>
      <c r="G93" s="14" t="n">
        <v>0</v>
      </c>
      <c r="H93" s="14" t="n">
        <v>3700</v>
      </c>
      <c r="I93" s="15" t="n">
        <v>0.45</v>
      </c>
      <c r="J93" s="16">
        <f>H93*(1-I93)</f>
        <v/>
      </c>
      <c r="K93" s="17" t="n">
        <v>646.83</v>
      </c>
      <c r="L93" s="18">
        <f>$H$5</f>
        <v/>
      </c>
      <c r="M93" s="19">
        <f>K93+L93</f>
        <v/>
      </c>
      <c r="N93" s="20" t="n">
        <v>0.41</v>
      </c>
      <c r="O93" s="21">
        <f>H93*N93</f>
        <v/>
      </c>
      <c r="P93" s="22" t="n">
        <v>56</v>
      </c>
      <c r="Q93" s="21">
        <f>H93*$H$8</f>
        <v/>
      </c>
      <c r="R93" s="22" t="n">
        <v>25</v>
      </c>
      <c r="S93" s="21">
        <f>H93*$H$4</f>
        <v/>
      </c>
      <c r="T93" s="21">
        <f>J93*$H$3</f>
        <v/>
      </c>
      <c r="U93" s="23" t="n">
        <v>0.9</v>
      </c>
      <c r="V93" s="22" t="n">
        <v>56</v>
      </c>
      <c r="W93" s="21">
        <f>V93*(1-U93)</f>
        <v/>
      </c>
      <c r="X93" s="24" t="n">
        <v>0.19</v>
      </c>
      <c r="Y93" s="21">
        <f>$H$6*$H$7*X93</f>
        <v/>
      </c>
      <c r="Z93" s="19">
        <f>X93*($H$9+$H$10)</f>
        <v/>
      </c>
      <c r="AA93" s="20" t="n">
        <v>0.025</v>
      </c>
      <c r="AB93" s="21">
        <f>H93*AA93</f>
        <v/>
      </c>
      <c r="AC93" s="23" t="n">
        <v>0.025</v>
      </c>
      <c r="AD93" s="21">
        <f>H93*AC93</f>
        <v/>
      </c>
      <c r="AE93" s="21">
        <f>AB93+AD93</f>
        <v/>
      </c>
      <c r="AF93" s="25">
        <f>AE93/H93</f>
        <v/>
      </c>
      <c r="AG93" s="26">
        <f>H93-O93-P93-Q93-R93-S93-T93-W93-Y93-Z93-M93-AL93</f>
        <v/>
      </c>
      <c r="AH93" s="27">
        <f>AG93-AE93</f>
        <v/>
      </c>
      <c r="AI93" s="28">
        <f>AH93/H93</f>
        <v/>
      </c>
      <c r="AJ93" s="29">
        <f>AH93/M93</f>
        <v/>
      </c>
      <c r="AK93" s="21">
        <f>(P93+R93+W93+Y93+Z93+M93)/(1-(N93+$H$4+(1-I93)*$H$3+$H$8+$H$11+AA93+AC93))</f>
        <v/>
      </c>
      <c r="AL93" s="90">
        <f>H93*$H$11</f>
        <v/>
      </c>
    </row>
    <row r="94" ht="29" customHeight="1">
      <c r="A94" s="11" t="inlineStr">
        <is>
          <t>MANYO - Bifida Biome Ampoule Lotion [300ml] / Укрепляющий лосьон с бифидобактериями</t>
        </is>
      </c>
      <c r="B94" s="12" t="n"/>
      <c r="C94" s="13" t="inlineStr">
        <is>
          <t>нет у официала</t>
        </is>
      </c>
      <c r="D94" s="111" t="n">
        <v>756</v>
      </c>
      <c r="E94" s="14" t="n">
        <v>4000</v>
      </c>
      <c r="F94" s="14" t="n">
        <v>140</v>
      </c>
      <c r="G94" s="14" t="n">
        <v>0</v>
      </c>
      <c r="H94" s="14" t="n">
        <v>3700</v>
      </c>
      <c r="I94" s="15" t="n">
        <v>0.45</v>
      </c>
      <c r="J94" s="16">
        <f>H94*(1-I94)</f>
        <v/>
      </c>
      <c r="K94" s="17" t="n">
        <v>735.34</v>
      </c>
      <c r="L94" s="18">
        <f>$H$5</f>
        <v/>
      </c>
      <c r="M94" s="19">
        <f>K94+L94</f>
        <v/>
      </c>
      <c r="N94" s="20" t="n">
        <v>0.41</v>
      </c>
      <c r="O94" s="21">
        <f>H94*N94</f>
        <v/>
      </c>
      <c r="P94" s="22" t="n">
        <v>67</v>
      </c>
      <c r="Q94" s="21">
        <f>H94*$H$8</f>
        <v/>
      </c>
      <c r="R94" s="22" t="n">
        <v>25</v>
      </c>
      <c r="S94" s="21">
        <f>H94*$H$4</f>
        <v/>
      </c>
      <c r="T94" s="21">
        <f>J94*$H$3</f>
        <v/>
      </c>
      <c r="U94" s="23" t="n">
        <v>0.9</v>
      </c>
      <c r="V94" s="22" t="n">
        <v>67</v>
      </c>
      <c r="W94" s="21">
        <f>V94*(1-U94)</f>
        <v/>
      </c>
      <c r="X94" s="24" t="n">
        <v>0.61</v>
      </c>
      <c r="Y94" s="21">
        <f>$H$6*$H$7*X94</f>
        <v/>
      </c>
      <c r="Z94" s="19">
        <f>X94*($H$9+$H$10)</f>
        <v/>
      </c>
      <c r="AA94" s="20" t="n">
        <v>0.025</v>
      </c>
      <c r="AB94" s="21">
        <f>H94*AA94</f>
        <v/>
      </c>
      <c r="AC94" s="23" t="n">
        <v>0.025</v>
      </c>
      <c r="AD94" s="21">
        <f>H94*AC94</f>
        <v/>
      </c>
      <c r="AE94" s="21">
        <f>AB94+AD94</f>
        <v/>
      </c>
      <c r="AF94" s="25">
        <f>AE94/H94</f>
        <v/>
      </c>
      <c r="AG94" s="26">
        <f>H94-O94-P94-Q94-R94-S94-T94-W94-Y94-Z94-M94-AL94</f>
        <v/>
      </c>
      <c r="AH94" s="27">
        <f>AG94-AE94</f>
        <v/>
      </c>
      <c r="AI94" s="28">
        <f>AH94/H94</f>
        <v/>
      </c>
      <c r="AJ94" s="29">
        <f>AH94/M94</f>
        <v/>
      </c>
      <c r="AK94" s="21">
        <f>(P94+R94+W94+Y94+Z94+M94)/(1-(N94+$H$4+(1-I94)*$H$3+$H$8+$H$11+AA94+AC94))</f>
        <v/>
      </c>
      <c r="AL94" s="90">
        <f>H94*$H$11</f>
        <v/>
      </c>
    </row>
    <row r="95" ht="29" customHeight="1">
      <c r="A95" s="11" t="inlineStr">
        <is>
          <t>MANYO - Pure Cleansing Oil [200ml] / Гидрофильное масло для глубокого очищения</t>
        </is>
      </c>
      <c r="B95" s="12" t="n"/>
      <c r="C95" s="13" t="inlineStr">
        <is>
          <t>-</t>
        </is>
      </c>
      <c r="D95" s="111" t="n">
        <v>243</v>
      </c>
      <c r="E95" s="14" t="n">
        <v>4000</v>
      </c>
      <c r="F95" s="14" t="n">
        <v>60</v>
      </c>
      <c r="G95" s="14" t="n">
        <v>0</v>
      </c>
      <c r="H95" s="14" t="n">
        <v>3700</v>
      </c>
      <c r="I95" s="15" t="n">
        <v>0.45</v>
      </c>
      <c r="J95" s="16">
        <f>H95*(1-I95)</f>
        <v/>
      </c>
      <c r="K95" s="17" t="n">
        <v>853</v>
      </c>
      <c r="L95" s="18">
        <f>$H$5</f>
        <v/>
      </c>
      <c r="M95" s="19">
        <f>K95+L95</f>
        <v/>
      </c>
      <c r="N95" s="20" t="n">
        <v>0.41</v>
      </c>
      <c r="O95" s="21">
        <f>H95*N95</f>
        <v/>
      </c>
      <c r="P95" s="22" t="n">
        <v>67</v>
      </c>
      <c r="Q95" s="21">
        <f>H95*$H$8</f>
        <v/>
      </c>
      <c r="R95" s="22" t="n">
        <v>25</v>
      </c>
      <c r="S95" s="21">
        <f>H95*$H$4</f>
        <v/>
      </c>
      <c r="T95" s="21">
        <f>J95*$H$3</f>
        <v/>
      </c>
      <c r="U95" s="23" t="n">
        <v>0.9</v>
      </c>
      <c r="V95" s="22" t="n">
        <v>67</v>
      </c>
      <c r="W95" s="21">
        <f>V95*(1-U95)</f>
        <v/>
      </c>
      <c r="X95" s="24" t="n">
        <v>0.5</v>
      </c>
      <c r="Y95" s="21">
        <f>$H$6*$H$7*X95</f>
        <v/>
      </c>
      <c r="Z95" s="19">
        <f>X95*($H$9+$H$10)</f>
        <v/>
      </c>
      <c r="AA95" s="20" t="n">
        <v>0.025</v>
      </c>
      <c r="AB95" s="21">
        <f>H95*AA95</f>
        <v/>
      </c>
      <c r="AC95" s="23" t="n">
        <v>0.025</v>
      </c>
      <c r="AD95" s="21">
        <f>H95*AC95</f>
        <v/>
      </c>
      <c r="AE95" s="21">
        <f>AB95+AD95</f>
        <v/>
      </c>
      <c r="AF95" s="25">
        <f>AE95/H95</f>
        <v/>
      </c>
      <c r="AG95" s="26">
        <f>H95-O95-P95-Q95-R95-S95-T95-W95-Y95-Z95-M95-AL95</f>
        <v/>
      </c>
      <c r="AH95" s="27">
        <f>AG95-AE95</f>
        <v/>
      </c>
      <c r="AI95" s="28">
        <f>AH95/H95</f>
        <v/>
      </c>
      <c r="AJ95" s="29">
        <f>AH95/M95</f>
        <v/>
      </c>
      <c r="AK95" s="21">
        <f>(P95+R95+W95+Y95+Z95+M95)/(1-(N95+$H$4+(1-I95)*$H$3+$H$8+$H$11+AA95+AC95))</f>
        <v/>
      </c>
      <c r="AL95" s="90">
        <f>H95*$H$11</f>
        <v/>
      </c>
    </row>
    <row r="96" ht="29" customHeight="1">
      <c r="A96" s="11" t="inlineStr">
        <is>
          <t>MANYO BIFIDA COMPLEX AMPOULE GEL CLEANSER [400ml] / Гель для умывания с бифидобактериями</t>
        </is>
      </c>
      <c r="B96" s="12" t="n"/>
      <c r="C96" s="13" t="inlineStr">
        <is>
          <t>-</t>
        </is>
      </c>
      <c r="D96" s="111" t="n">
        <v>814</v>
      </c>
      <c r="E96" s="14" t="n">
        <v>4800</v>
      </c>
      <c r="F96" s="14" t="n">
        <v>20</v>
      </c>
      <c r="G96" s="14" t="n">
        <v>0</v>
      </c>
      <c r="H96" s="14" t="n">
        <v>4500</v>
      </c>
      <c r="I96" s="15" t="n">
        <v>0.45</v>
      </c>
      <c r="J96" s="16">
        <f>H96*(1-I96)</f>
        <v/>
      </c>
      <c r="K96" s="17" t="n">
        <v>650</v>
      </c>
      <c r="L96" s="18">
        <f>$H$5</f>
        <v/>
      </c>
      <c r="M96" s="19">
        <f>K96+L96</f>
        <v/>
      </c>
      <c r="N96" s="20" t="n">
        <v>0.41</v>
      </c>
      <c r="O96" s="21">
        <f>H96*N96</f>
        <v/>
      </c>
      <c r="P96" s="22" t="n">
        <v>75</v>
      </c>
      <c r="Q96" s="21">
        <f>H96*$H$8</f>
        <v/>
      </c>
      <c r="R96" s="22" t="n">
        <v>25</v>
      </c>
      <c r="S96" s="21">
        <f>H96*$H$4</f>
        <v/>
      </c>
      <c r="T96" s="21">
        <f>J96*$H$3</f>
        <v/>
      </c>
      <c r="U96" s="23" t="n">
        <v>0.9</v>
      </c>
      <c r="V96" s="22" t="n">
        <v>75</v>
      </c>
      <c r="W96" s="21">
        <f>V96*(1-U96)</f>
        <v/>
      </c>
      <c r="X96" s="24" t="n">
        <v>0.931</v>
      </c>
      <c r="Y96" s="21">
        <f>$H$6*$H$7*X96</f>
        <v/>
      </c>
      <c r="Z96" s="19">
        <f>X96*($H$9+$H$10)</f>
        <v/>
      </c>
      <c r="AA96" s="20" t="n">
        <v>0.025</v>
      </c>
      <c r="AB96" s="21">
        <f>H96*AA96</f>
        <v/>
      </c>
      <c r="AC96" s="23" t="n">
        <v>0.025</v>
      </c>
      <c r="AD96" s="21">
        <f>H96*AC96</f>
        <v/>
      </c>
      <c r="AE96" s="21">
        <f>AB96+AD96</f>
        <v/>
      </c>
      <c r="AF96" s="25">
        <f>AE96/H96</f>
        <v/>
      </c>
      <c r="AG96" s="26">
        <f>H96-O96-P96-Q96-R96-S96-T96-W96-Y96-Z96-M96-AL96</f>
        <v/>
      </c>
      <c r="AH96" s="27">
        <f>AG96-AE96</f>
        <v/>
      </c>
      <c r="AI96" s="28">
        <f>AH96/H96</f>
        <v/>
      </c>
      <c r="AJ96" s="29">
        <f>AH96/M96</f>
        <v/>
      </c>
      <c r="AK96" s="21">
        <f>(P96+R96+W96+Y96+Z96+M96)/(1-(N96+$H$4+(1-I96)*$H$3+$H$8+$H$11+AA96+AC96))</f>
        <v/>
      </c>
      <c r="AL96" s="90">
        <f>H96*$H$11</f>
        <v/>
      </c>
    </row>
    <row r="97" ht="29" customHeight="1">
      <c r="A97" s="11" t="inlineStr">
        <is>
          <t>MANYO BIFIDA INFUSION SHOT AMPOULE 1DX [50ml] / Сыворотка с микроиглами и пробиотиками</t>
        </is>
      </c>
      <c r="B97" s="12" t="n"/>
      <c r="C97" s="13" t="n"/>
      <c r="D97" s="111" t="n">
        <v>786</v>
      </c>
      <c r="E97" s="14" t="n">
        <v>3800</v>
      </c>
      <c r="F97" s="14" t="n">
        <v>370</v>
      </c>
      <c r="G97" s="14" t="n">
        <v>0</v>
      </c>
      <c r="H97" s="14" t="n">
        <v>3500</v>
      </c>
      <c r="I97" s="15" t="n">
        <v>0.45</v>
      </c>
      <c r="J97" s="16">
        <f>H97*(1-I97)</f>
        <v/>
      </c>
      <c r="K97" s="17" t="n">
        <v>899.78</v>
      </c>
      <c r="L97" s="18">
        <f>$H$5</f>
        <v/>
      </c>
      <c r="M97" s="19">
        <f>K97+L97</f>
        <v/>
      </c>
      <c r="N97" s="20" t="n">
        <v>0.41</v>
      </c>
      <c r="O97" s="21">
        <f>H97*N97</f>
        <v/>
      </c>
      <c r="P97" s="22" t="n">
        <v>63</v>
      </c>
      <c r="Q97" s="21">
        <f>H97*$H$8</f>
        <v/>
      </c>
      <c r="R97" s="22" t="n">
        <v>25</v>
      </c>
      <c r="S97" s="21">
        <f>H97*$H$4</f>
        <v/>
      </c>
      <c r="T97" s="21">
        <f>J97*$H$3</f>
        <v/>
      </c>
      <c r="U97" s="23" t="n">
        <v>0.9</v>
      </c>
      <c r="V97" s="22" t="n">
        <v>63</v>
      </c>
      <c r="W97" s="21">
        <f>V97*(1-U97)</f>
        <v/>
      </c>
      <c r="X97" s="24" t="n">
        <v>0.3</v>
      </c>
      <c r="Y97" s="21">
        <f>$H$6*$H$7*X97</f>
        <v/>
      </c>
      <c r="Z97" s="19">
        <f>X97*($H$9+$H$10)</f>
        <v/>
      </c>
      <c r="AA97" s="20" t="n">
        <v>0.025</v>
      </c>
      <c r="AB97" s="21">
        <f>H97*AA97</f>
        <v/>
      </c>
      <c r="AC97" s="23" t="n">
        <v>0.025</v>
      </c>
      <c r="AD97" s="21">
        <f>H97*AC97</f>
        <v/>
      </c>
      <c r="AE97" s="21">
        <f>AB97+AD97</f>
        <v/>
      </c>
      <c r="AF97" s="25">
        <f>AE97/H97</f>
        <v/>
      </c>
      <c r="AG97" s="26">
        <f>H97-O97-P97-Q97-R97-S97-T97-W97-Y97-Z97-M97-AL97</f>
        <v/>
      </c>
      <c r="AH97" s="27">
        <f>AG97-AE97</f>
        <v/>
      </c>
      <c r="AI97" s="28">
        <f>AH97/H97</f>
        <v/>
      </c>
      <c r="AJ97" s="29">
        <f>AH97/M97</f>
        <v/>
      </c>
      <c r="AK97" s="21">
        <f>(P97+R97+W97+Y97+Z97+M97)/(1-(N97+$H$4+(1-I97)*$H$3+$H$8+$H$11+AA97+AC97))</f>
        <v/>
      </c>
      <c r="AL97" s="90">
        <f>H97*$H$11</f>
        <v/>
      </c>
    </row>
    <row r="98">
      <c r="A98" s="52" t="inlineStr">
        <is>
          <t>Косметика/MASIL</t>
        </is>
      </c>
      <c r="B98" s="10" t="n"/>
      <c r="C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</row>
    <row r="99">
      <c r="A99" s="53" t="inlineStr">
        <is>
          <t>MASIL - 8 Seconds Salon Hair Mask 350ml Set [350ml+8ml*2]</t>
        </is>
      </c>
      <c r="B99" s="30" t="n"/>
      <c r="C99" s="30" t="n"/>
      <c r="D99" s="111" t="n">
        <v>119</v>
      </c>
      <c r="E99" s="31" t="n"/>
      <c r="F99" s="31" t="n"/>
      <c r="G99" s="31" t="n"/>
      <c r="H99" s="31" t="n"/>
      <c r="I99" s="32" t="n"/>
      <c r="J99" s="33" t="n"/>
      <c r="K99" s="34" t="n"/>
      <c r="L99" s="34" t="n"/>
      <c r="M99" s="35" t="n"/>
      <c r="N99" s="36" t="n"/>
      <c r="O99" s="31" t="n"/>
      <c r="P99" s="31" t="n"/>
      <c r="Q99" s="31" t="n"/>
      <c r="R99" s="31" t="n"/>
      <c r="S99" s="31" t="n"/>
      <c r="T99" s="31" t="n"/>
      <c r="U99" s="37" t="n"/>
      <c r="V99" s="31" t="n"/>
      <c r="W99" s="31" t="n"/>
      <c r="X99" s="38" t="n"/>
      <c r="Y99" s="31" t="n"/>
      <c r="Z99" s="35" t="n"/>
      <c r="AA99" s="36" t="n"/>
      <c r="AB99" s="31" t="n"/>
      <c r="AC99" s="37" t="n"/>
      <c r="AD99" s="31" t="n"/>
      <c r="AE99" s="31" t="n"/>
      <c r="AF99" s="39" t="n"/>
      <c r="AG99" s="40" t="n"/>
      <c r="AH99" s="31" t="n"/>
      <c r="AI99" s="37" t="n"/>
      <c r="AJ99" s="37" t="n"/>
      <c r="AK99" s="31" t="n"/>
    </row>
    <row r="100">
      <c r="A100" s="52" t="inlineStr">
        <is>
          <t>Косметика/PETITFEE/PETITFEE-EYEPATCH</t>
        </is>
      </c>
      <c r="B100" s="10" t="n"/>
      <c r="C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  <c r="AK100" s="10" t="n"/>
    </row>
    <row r="101" ht="29" customHeight="1">
      <c r="A101" s="11" t="inlineStr">
        <is>
          <t>PETITFEE - Collagen &amp; CoQ10 Hydrogel Eye Patch [60ea] / Гидрогелевые патчи для глаз с коллагеном и коэнзимом Q10</t>
        </is>
      </c>
      <c r="B101" s="12" t="n"/>
      <c r="C101" s="13" t="n"/>
      <c r="E101" s="14" t="n">
        <v>1818</v>
      </c>
      <c r="F101" s="14" t="n">
        <v>734</v>
      </c>
      <c r="G101" s="14" t="n">
        <v>16</v>
      </c>
      <c r="H101" s="14" t="n">
        <v>1700</v>
      </c>
      <c r="I101" s="15" t="n">
        <v>0.45</v>
      </c>
      <c r="J101" s="16">
        <f>H101*(1-I101)</f>
        <v/>
      </c>
      <c r="K101" s="17" t="n">
        <v>385.05</v>
      </c>
      <c r="L101" s="18">
        <f>$H$5</f>
        <v/>
      </c>
      <c r="M101" s="19">
        <f>K101+L101</f>
        <v/>
      </c>
      <c r="N101" s="20" t="n">
        <v>0.41</v>
      </c>
      <c r="O101" s="21">
        <f>H101*N101</f>
        <v/>
      </c>
      <c r="P101" s="22" t="n">
        <v>67</v>
      </c>
      <c r="Q101" s="21">
        <f>H101*$H$8</f>
        <v/>
      </c>
      <c r="R101" s="22" t="n">
        <v>25</v>
      </c>
      <c r="S101" s="21">
        <f>H101*$H$4</f>
        <v/>
      </c>
      <c r="T101" s="21">
        <f>J101*$H$3</f>
        <v/>
      </c>
      <c r="U101" s="23" t="n">
        <v>0.9</v>
      </c>
      <c r="V101" s="22" t="n">
        <v>67</v>
      </c>
      <c r="W101" s="21">
        <f>V101*(1-U101)</f>
        <v/>
      </c>
      <c r="X101" s="24" t="n">
        <v>0.6</v>
      </c>
      <c r="Y101" s="21">
        <f>$H$6*$H$7*X101</f>
        <v/>
      </c>
      <c r="Z101" s="19">
        <f>X101*($H$9+$H$10)</f>
        <v/>
      </c>
      <c r="AA101" s="20" t="n">
        <v>0.07000000000000001</v>
      </c>
      <c r="AB101" s="21">
        <f>H101*AA101</f>
        <v/>
      </c>
      <c r="AC101" s="23" t="n">
        <v>0.08</v>
      </c>
      <c r="AD101" s="21">
        <f>H101*AC101</f>
        <v/>
      </c>
      <c r="AE101" s="21">
        <f>AB101+AD101</f>
        <v/>
      </c>
      <c r="AF101" s="25">
        <f>AE101/H101</f>
        <v/>
      </c>
      <c r="AG101" s="26">
        <f>H101-O101-P101-Q101-R101-S101-T101-W101-Y101-Z101-M101-AL101</f>
        <v/>
      </c>
      <c r="AH101" s="27">
        <f>AG101-AE101</f>
        <v/>
      </c>
      <c r="AI101" s="28">
        <f>AH101/H101</f>
        <v/>
      </c>
      <c r="AJ101" s="29">
        <f>AH101/M101</f>
        <v/>
      </c>
      <c r="AK101" s="21">
        <f>(P101+R101+W101+Y101+Z101+M101)/(1-(N101+$H$4+(1-I101)*$H$3+$H$8+$H$11+AA101+AC101))</f>
        <v/>
      </c>
      <c r="AL101" s="90">
        <f>H101*$H$11</f>
        <v/>
      </c>
    </row>
    <row r="102" ht="29" customHeight="1">
      <c r="A102" s="11" t="inlineStr">
        <is>
          <t>PETITFEE - Bera Glucan Deep Firming Eye Patch [60ea] / Тканевые патчи для век увлажняющие</t>
        </is>
      </c>
      <c r="B102" s="12" t="n"/>
      <c r="C102" s="13" t="n"/>
      <c r="D102" s="111" t="n">
        <v>587</v>
      </c>
      <c r="E102" s="14" t="n"/>
      <c r="F102" s="14" t="n"/>
      <c r="G102" s="14" t="n"/>
      <c r="H102" s="14">
        <f>(1.25*M102+P102+R102+W102+Y102+Z102)/(1-N102-$H$8-$H$4-(1-I102)*$H$3-$H$11-AA102-AC102)</f>
        <v/>
      </c>
      <c r="I102" s="15" t="n">
        <v>0.45</v>
      </c>
      <c r="J102" s="16">
        <f>H102*(1-I102)</f>
        <v/>
      </c>
      <c r="K102" s="17" t="n">
        <v>486.69</v>
      </c>
      <c r="L102" s="18">
        <f>$H$5</f>
        <v/>
      </c>
      <c r="M102" s="19">
        <f>K102+L102</f>
        <v/>
      </c>
      <c r="N102" s="20" t="n">
        <v>0.41</v>
      </c>
      <c r="O102" s="21">
        <f>H102*N102</f>
        <v/>
      </c>
      <c r="P102" s="22" t="n">
        <v>67</v>
      </c>
      <c r="Q102" s="21">
        <f>H102*$H$8</f>
        <v/>
      </c>
      <c r="R102" s="22" t="n">
        <v>25</v>
      </c>
      <c r="S102" s="21">
        <f>H102*$H$4</f>
        <v/>
      </c>
      <c r="T102" s="21">
        <f>J102*$H$3</f>
        <v/>
      </c>
      <c r="U102" s="23" t="n">
        <v>0.9</v>
      </c>
      <c r="V102" s="22" t="n">
        <v>67</v>
      </c>
      <c r="W102" s="21">
        <f>V102*(1-U102)</f>
        <v/>
      </c>
      <c r="X102" s="24" t="n">
        <v>0.93</v>
      </c>
      <c r="Y102" s="21">
        <f>$H$6*$H$7*X102</f>
        <v/>
      </c>
      <c r="Z102" s="19">
        <f>X102*($H$9+$H$10)</f>
        <v/>
      </c>
      <c r="AA102" s="20" t="n">
        <v>0.07000000000000001</v>
      </c>
      <c r="AB102" s="21">
        <f>H102*AA102</f>
        <v/>
      </c>
      <c r="AC102" s="23" t="n">
        <v>0.08</v>
      </c>
      <c r="AD102" s="21">
        <f>H102*AC102</f>
        <v/>
      </c>
      <c r="AE102" s="21">
        <f>AB102+AD102</f>
        <v/>
      </c>
      <c r="AF102" s="25">
        <f>AE102/H102</f>
        <v/>
      </c>
      <c r="AG102" s="26">
        <f>H102-O102-P102-Q102-R102-S102-T102-W102-Y102-Z102-M102-AL102</f>
        <v/>
      </c>
      <c r="AH102" s="27">
        <f>AG102-AE102</f>
        <v/>
      </c>
      <c r="AI102" s="28">
        <f>AH102/H102</f>
        <v/>
      </c>
      <c r="AJ102" s="29">
        <f>AH102/M102</f>
        <v/>
      </c>
      <c r="AK102" s="21">
        <f>(P102+R102+W102+Y102+Z102+M102)/(1-(N102+$H$4+(1-I102)*$H$3+$H$8+$H$11+AA102+AC102))</f>
        <v/>
      </c>
      <c r="AL102" s="90">
        <f>H102*$H$11</f>
        <v/>
      </c>
    </row>
    <row r="103" ht="29" customHeight="1">
      <c r="A103" s="11" t="inlineStr">
        <is>
          <t>PETITFEE - Artichoke Soothing Hydrogel Eye Patch [60ea] / Смягчающие гидрогелевые патчи для глаз с экстрактом артишока</t>
        </is>
      </c>
      <c r="B103" s="12" t="n"/>
      <c r="C103" s="13" t="n"/>
      <c r="D103" s="111" t="n">
        <v>300</v>
      </c>
      <c r="E103" s="14" t="n"/>
      <c r="F103" s="14" t="n"/>
      <c r="G103" s="14" t="n"/>
      <c r="H103" s="14">
        <f>(1.25*M103+P103+R103+W103+Y103+Z103)/(1-N103-$H$8-$H$4-(1-I103)*$H$3-$H$11-AA103-AC103)</f>
        <v/>
      </c>
      <c r="I103" s="15" t="n">
        <v>0.45</v>
      </c>
      <c r="J103" s="16">
        <f>H103*(1-I103)</f>
        <v/>
      </c>
      <c r="K103" s="17" t="n">
        <v>415.46</v>
      </c>
      <c r="L103" s="18">
        <f>$H$5</f>
        <v/>
      </c>
      <c r="M103" s="19">
        <f>K103+L103</f>
        <v/>
      </c>
      <c r="N103" s="20" t="n">
        <v>0.41</v>
      </c>
      <c r="O103" s="21">
        <f>H103*N103</f>
        <v/>
      </c>
      <c r="P103" s="22" t="n">
        <v>67</v>
      </c>
      <c r="Q103" s="21">
        <f>H103*$H$8</f>
        <v/>
      </c>
      <c r="R103" s="22" t="n">
        <v>25</v>
      </c>
      <c r="S103" s="21">
        <f>H103*$H$4</f>
        <v/>
      </c>
      <c r="T103" s="21">
        <f>J103*$H$3</f>
        <v/>
      </c>
      <c r="U103" s="23" t="n">
        <v>0.9</v>
      </c>
      <c r="V103" s="22" t="n">
        <v>67</v>
      </c>
      <c r="W103" s="21">
        <f>V103*(1-U103)</f>
        <v/>
      </c>
      <c r="X103" s="24" t="n">
        <v>0.6</v>
      </c>
      <c r="Y103" s="21">
        <f>$H$6*$H$7*X103</f>
        <v/>
      </c>
      <c r="Z103" s="19">
        <f>X103*($H$9+$H$10)</f>
        <v/>
      </c>
      <c r="AA103" s="20" t="n">
        <v>0.07000000000000001</v>
      </c>
      <c r="AB103" s="21">
        <f>H103*AA103</f>
        <v/>
      </c>
      <c r="AC103" s="23" t="n">
        <v>0.08</v>
      </c>
      <c r="AD103" s="21">
        <f>H103*AC103</f>
        <v/>
      </c>
      <c r="AE103" s="21">
        <f>AB103+AD103</f>
        <v/>
      </c>
      <c r="AF103" s="25">
        <f>AE103/H103</f>
        <v/>
      </c>
      <c r="AG103" s="26">
        <f>H103-O103-P103-Q103-R103-S103-T103-W103-Y103-Z103-M103-AL103</f>
        <v/>
      </c>
      <c r="AH103" s="27">
        <f>AG103-AE103</f>
        <v/>
      </c>
      <c r="AI103" s="28">
        <f>AH103/H103</f>
        <v/>
      </c>
      <c r="AJ103" s="29">
        <f>AH103/M103</f>
        <v/>
      </c>
      <c r="AK103" s="21">
        <f>(P103+R103+W103+Y103+Z103+M103)/(1-(N103+$H$4+(1-I103)*$H$3+$H$8+$H$11+AA103+AC103))</f>
        <v/>
      </c>
      <c r="AL103" s="90">
        <f>H103*$H$11</f>
        <v/>
      </c>
    </row>
    <row r="104">
      <c r="A104" s="11" t="inlineStr">
        <is>
          <t>PETITFEE - Aura Quartz Hydrogel Eye Patch [60ea]</t>
        </is>
      </c>
      <c r="B104" s="12" t="n"/>
      <c r="C104" s="13" t="n"/>
      <c r="D104" s="111" t="n">
        <v>95</v>
      </c>
      <c r="E104" s="14" t="n"/>
      <c r="F104" s="14" t="n"/>
      <c r="G104" s="14" t="n"/>
      <c r="H104" s="14">
        <f>(1.25*M104+P104+R104+W104+Y104+Z104)/(1-N104-$H$8-$H$4-(1-I104)*$H$3-$H$11-AA104-AC104)</f>
        <v/>
      </c>
      <c r="I104" s="15" t="n">
        <v>0.45</v>
      </c>
      <c r="J104" s="16">
        <f>H104*(1-I104)</f>
        <v/>
      </c>
      <c r="K104" s="17" t="n">
        <v>591.29</v>
      </c>
      <c r="L104" s="18">
        <f>$H$5</f>
        <v/>
      </c>
      <c r="M104" s="19">
        <f>K104+L104</f>
        <v/>
      </c>
      <c r="N104" s="20" t="n">
        <v>0.41</v>
      </c>
      <c r="O104" s="21">
        <f>H104*N104</f>
        <v/>
      </c>
      <c r="P104" s="22" t="n">
        <v>67</v>
      </c>
      <c r="Q104" s="21">
        <f>H104*$H$8</f>
        <v/>
      </c>
      <c r="R104" s="22" t="n">
        <v>25</v>
      </c>
      <c r="S104" s="21">
        <f>H104*$H$4</f>
        <v/>
      </c>
      <c r="T104" s="21">
        <f>J104*$H$3</f>
        <v/>
      </c>
      <c r="U104" s="23" t="n">
        <v>0.9</v>
      </c>
      <c r="V104" s="22" t="n">
        <v>67</v>
      </c>
      <c r="W104" s="21">
        <f>V104*(1-U104)</f>
        <v/>
      </c>
      <c r="X104" s="24" t="n">
        <v>0.93</v>
      </c>
      <c r="Y104" s="21">
        <f>$H$6*$H$7*X104</f>
        <v/>
      </c>
      <c r="Z104" s="19">
        <f>X104*($H$9+$H$10)</f>
        <v/>
      </c>
      <c r="AA104" s="20" t="n">
        <v>0.07000000000000001</v>
      </c>
      <c r="AB104" s="21">
        <f>H104*AA104</f>
        <v/>
      </c>
      <c r="AC104" s="23" t="n">
        <v>0.08</v>
      </c>
      <c r="AD104" s="21">
        <f>H104*AC104</f>
        <v/>
      </c>
      <c r="AE104" s="21">
        <f>AB104+AD104</f>
        <v/>
      </c>
      <c r="AF104" s="25">
        <f>AE104/H104</f>
        <v/>
      </c>
      <c r="AG104" s="26">
        <f>H104-O104-P104-Q104-R104-S104-T104-W104-Y104-Z104-M104-AL104</f>
        <v/>
      </c>
      <c r="AH104" s="27">
        <f>AG104-AE104</f>
        <v/>
      </c>
      <c r="AI104" s="28">
        <f>AH104/H104</f>
        <v/>
      </c>
      <c r="AJ104" s="29">
        <f>AH104/M104</f>
        <v/>
      </c>
      <c r="AK104" s="21">
        <f>(P104+R104+W104+Y104+Z104+M104)/(1-(N104+$H$4+(1-I104)*$H$3+$H$8+$H$11+AA104+AC104))</f>
        <v/>
      </c>
      <c r="AL104" s="90">
        <f>H104*$H$11</f>
        <v/>
      </c>
    </row>
    <row r="105" ht="29" customHeight="1">
      <c r="A105" s="11" t="inlineStr">
        <is>
          <t>PETITFEE - Cacao Energizing Hydrogel Eye Patch [60ea] / Тонизирующие гидрогелевые патчи для глаз с экстрактом какао</t>
        </is>
      </c>
      <c r="B105" s="12" t="n"/>
      <c r="C105" s="13" t="n"/>
      <c r="D105" s="111" t="n">
        <v>713</v>
      </c>
      <c r="E105" s="14" t="n"/>
      <c r="F105" s="14" t="n"/>
      <c r="G105" s="14" t="n"/>
      <c r="H105" s="14">
        <f>(1.25*M105+P105+R105+W105+Y105+Z105)/(1-N105-$H$8-$H$4-(1-I105)*$H$3-$H$11-AA105-AC105)</f>
        <v/>
      </c>
      <c r="I105" s="15" t="n">
        <v>0.45</v>
      </c>
      <c r="J105" s="16">
        <f>H105*(1-I105)</f>
        <v/>
      </c>
      <c r="K105" s="17" t="n">
        <v>415.46</v>
      </c>
      <c r="L105" s="18">
        <f>$H$5</f>
        <v/>
      </c>
      <c r="M105" s="19">
        <f>K105+L105</f>
        <v/>
      </c>
      <c r="N105" s="20" t="n">
        <v>0.41</v>
      </c>
      <c r="O105" s="21">
        <f>H105*N105</f>
        <v/>
      </c>
      <c r="P105" s="22" t="n">
        <v>67</v>
      </c>
      <c r="Q105" s="21">
        <f>H105*$H$8</f>
        <v/>
      </c>
      <c r="R105" s="22" t="n">
        <v>25</v>
      </c>
      <c r="S105" s="21">
        <f>H105*$H$4</f>
        <v/>
      </c>
      <c r="T105" s="21">
        <f>J105*$H$3</f>
        <v/>
      </c>
      <c r="U105" s="23" t="n">
        <v>0.9</v>
      </c>
      <c r="V105" s="22" t="n">
        <v>67</v>
      </c>
      <c r="W105" s="21">
        <f>V105*(1-U105)</f>
        <v/>
      </c>
      <c r="X105" s="24" t="n">
        <v>0.6</v>
      </c>
      <c r="Y105" s="21">
        <f>$H$6*$H$7*X105</f>
        <v/>
      </c>
      <c r="Z105" s="19">
        <f>X105*($H$9+$H$10)</f>
        <v/>
      </c>
      <c r="AA105" s="20" t="n">
        <v>0.07000000000000001</v>
      </c>
      <c r="AB105" s="21">
        <f>H105*AA105</f>
        <v/>
      </c>
      <c r="AC105" s="23" t="n">
        <v>0.08</v>
      </c>
      <c r="AD105" s="21">
        <f>H105*AC105</f>
        <v/>
      </c>
      <c r="AE105" s="21">
        <f>AB105+AD105</f>
        <v/>
      </c>
      <c r="AF105" s="25">
        <f>AE105/H105</f>
        <v/>
      </c>
      <c r="AG105" s="26">
        <f>H105-O105-P105-Q105-R105-S105-T105-W105-Y105-Z105-M105-AL105</f>
        <v/>
      </c>
      <c r="AH105" s="27">
        <f>AG105-AE105</f>
        <v/>
      </c>
      <c r="AI105" s="28">
        <f>AH105/H105</f>
        <v/>
      </c>
      <c r="AJ105" s="29">
        <f>AH105/M105</f>
        <v/>
      </c>
      <c r="AK105" s="21">
        <f>(P105+R105+W105+Y105+Z105+M105)/(1-(N105+$H$4+(1-I105)*$H$3+$H$8+$H$11+AA105+AC105))</f>
        <v/>
      </c>
      <c r="AL105" s="90">
        <f>H105*$H$11</f>
        <v/>
      </c>
    </row>
    <row r="106" ht="29" customHeight="1">
      <c r="A106" s="11" t="inlineStr">
        <is>
          <t>PETITFEE - Chamomile Lightening Hydrogel Eye Patch [60ea] / Успокаивающие гидрогелевые патчи для глаз с экстрактом ромашки</t>
        </is>
      </c>
      <c r="B106" s="12" t="n"/>
      <c r="C106" s="13" t="n"/>
      <c r="D106" s="111" t="n">
        <v>288</v>
      </c>
      <c r="E106" s="14" t="n"/>
      <c r="F106" s="14" t="n"/>
      <c r="G106" s="14" t="n"/>
      <c r="H106" s="14">
        <f>(1.25*M106+P106+R106+W106+Y106+Z106)/(1-N106-$H$8-$H$4-(1-I106)*$H$3-$H$11-AA106-AC106)</f>
        <v/>
      </c>
      <c r="I106" s="15" t="n">
        <v>0.45</v>
      </c>
      <c r="J106" s="16">
        <f>H106*(1-I106)</f>
        <v/>
      </c>
      <c r="K106" s="17" t="n">
        <v>415.46</v>
      </c>
      <c r="L106" s="18">
        <f>$H$5</f>
        <v/>
      </c>
      <c r="M106" s="19">
        <f>K106+L106</f>
        <v/>
      </c>
      <c r="N106" s="20" t="n">
        <v>0.41</v>
      </c>
      <c r="O106" s="21">
        <f>H106*N106</f>
        <v/>
      </c>
      <c r="P106" s="22" t="n">
        <v>67</v>
      </c>
      <c r="Q106" s="21">
        <f>H106*$H$8</f>
        <v/>
      </c>
      <c r="R106" s="22" t="n">
        <v>25</v>
      </c>
      <c r="S106" s="21">
        <f>H106*$H$4</f>
        <v/>
      </c>
      <c r="T106" s="21">
        <f>J106*$H$3</f>
        <v/>
      </c>
      <c r="U106" s="23" t="n">
        <v>0.9</v>
      </c>
      <c r="V106" s="22" t="n">
        <v>67</v>
      </c>
      <c r="W106" s="21">
        <f>V106*(1-U106)</f>
        <v/>
      </c>
      <c r="X106" s="24" t="n">
        <v>0.6</v>
      </c>
      <c r="Y106" s="21">
        <f>$H$6*$H$7*X106</f>
        <v/>
      </c>
      <c r="Z106" s="19">
        <f>X106*($H$9+$H$10)</f>
        <v/>
      </c>
      <c r="AA106" s="20" t="n">
        <v>0.07000000000000001</v>
      </c>
      <c r="AB106" s="21">
        <f>H106*AA106</f>
        <v/>
      </c>
      <c r="AC106" s="23" t="n">
        <v>0.08</v>
      </c>
      <c r="AD106" s="21">
        <f>H106*AC106</f>
        <v/>
      </c>
      <c r="AE106" s="21">
        <f>AB106+AD106</f>
        <v/>
      </c>
      <c r="AF106" s="25">
        <f>AE106/H106</f>
        <v/>
      </c>
      <c r="AG106" s="26">
        <f>H106-O106-P106-Q106-R106-S106-T106-W106-Y106-Z106-M106-AL106</f>
        <v/>
      </c>
      <c r="AH106" s="27">
        <f>AG106-AE106</f>
        <v/>
      </c>
      <c r="AI106" s="28">
        <f>AH106/H106</f>
        <v/>
      </c>
      <c r="AJ106" s="29">
        <f>AH106/M106</f>
        <v/>
      </c>
      <c r="AK106" s="21">
        <f>(P106+R106+W106+Y106+Z106+M106)/(1-(N106+$H$4+(1-I106)*$H$3+$H$8+$H$11+AA106+AC106))</f>
        <v/>
      </c>
      <c r="AL106" s="90">
        <f>H106*$H$11</f>
        <v/>
      </c>
    </row>
    <row r="107" ht="29" customHeight="1">
      <c r="A107" s="11" t="inlineStr">
        <is>
          <t>PETITFEE - Gold &amp; EGF Hydrogel Eye &amp; Spot Patch [60ea]/ гидрогелевые патчи с золотом и EGF</t>
        </is>
      </c>
      <c r="B107" s="12" t="n"/>
      <c r="C107" s="13" t="n"/>
      <c r="D107" s="111" t="n">
        <v>72</v>
      </c>
      <c r="E107" s="14" t="n"/>
      <c r="F107" s="14" t="n"/>
      <c r="G107" s="14" t="n"/>
      <c r="H107" s="14">
        <f>(1.25*M107+P107+R107+W107+Y107+Z107)/(1-N107-$H$8-$H$4-(1-I107)*$H$3-$H$11-AA107-AC107)</f>
        <v/>
      </c>
      <c r="I107" s="15" t="n">
        <v>0.45</v>
      </c>
      <c r="J107" s="16">
        <f>H107*(1-I107)</f>
        <v/>
      </c>
      <c r="K107" s="17" t="n">
        <v>385.05</v>
      </c>
      <c r="L107" s="18">
        <f>$H$5</f>
        <v/>
      </c>
      <c r="M107" s="19">
        <f>K107+L107</f>
        <v/>
      </c>
      <c r="N107" s="20" t="n">
        <v>0.41</v>
      </c>
      <c r="O107" s="21">
        <f>H107*N107</f>
        <v/>
      </c>
      <c r="P107" s="22" t="n">
        <v>67</v>
      </c>
      <c r="Q107" s="21">
        <f>H107*$H$8</f>
        <v/>
      </c>
      <c r="R107" s="22" t="n">
        <v>25</v>
      </c>
      <c r="S107" s="21">
        <f>H107*$H$4</f>
        <v/>
      </c>
      <c r="T107" s="21">
        <f>J107*$H$3</f>
        <v/>
      </c>
      <c r="U107" s="23" t="n">
        <v>0.9</v>
      </c>
      <c r="V107" s="22" t="n">
        <v>67</v>
      </c>
      <c r="W107" s="21">
        <f>V107*(1-U107)</f>
        <v/>
      </c>
      <c r="X107" s="24" t="n">
        <v>0.6</v>
      </c>
      <c r="Y107" s="21">
        <f>$H$6*$H$7*X107</f>
        <v/>
      </c>
      <c r="Z107" s="19">
        <f>X107*($H$9+$H$10)</f>
        <v/>
      </c>
      <c r="AA107" s="20" t="n">
        <v>0.07000000000000001</v>
      </c>
      <c r="AB107" s="21">
        <f>H107*AA107</f>
        <v/>
      </c>
      <c r="AC107" s="23" t="n">
        <v>0.08</v>
      </c>
      <c r="AD107" s="21">
        <f>H107*AC107</f>
        <v/>
      </c>
      <c r="AE107" s="21">
        <f>AB107+AD107</f>
        <v/>
      </c>
      <c r="AF107" s="25">
        <f>AE107/H107</f>
        <v/>
      </c>
      <c r="AG107" s="26">
        <f>H107-O107-P107-Q107-R107-S107-T107-W107-Y107-Z107-M107-AL107</f>
        <v/>
      </c>
      <c r="AH107" s="27">
        <f>AG107-AE107</f>
        <v/>
      </c>
      <c r="AI107" s="28">
        <f>AH107/H107</f>
        <v/>
      </c>
      <c r="AJ107" s="29">
        <f>AH107/M107</f>
        <v/>
      </c>
      <c r="AK107" s="21">
        <f>(P107+R107+W107+Y107+Z107+M107)/(1-(N107+$H$4+(1-I107)*$H$3+$H$8+$H$11+AA107+AC107))</f>
        <v/>
      </c>
      <c r="AL107" s="90">
        <f>H107*$H$11</f>
        <v/>
      </c>
    </row>
    <row r="108" ht="29" customHeight="1">
      <c r="A108" s="11" t="inlineStr">
        <is>
          <t>PETITFEE - Pink Vita Brightening Eye Patch [60ea] / Тканевые патчи для век увлажняющие</t>
        </is>
      </c>
      <c r="B108" s="12" t="n"/>
      <c r="C108" s="13" t="n"/>
      <c r="D108" s="111" t="n">
        <v>267</v>
      </c>
      <c r="E108" s="14" t="n"/>
      <c r="F108" s="14" t="n"/>
      <c r="G108" s="14" t="n"/>
      <c r="H108" s="14">
        <f>(1.25*M108+P108+R108+W108+Y108+Z108)/(1-N108-$H$8-$H$4-(1-I108)*$H$3-$H$11-AA108-AC108)</f>
        <v/>
      </c>
      <c r="I108" s="15" t="n">
        <v>0.45</v>
      </c>
      <c r="J108" s="16">
        <f>H108*(1-I108)</f>
        <v/>
      </c>
      <c r="K108" s="17" t="n">
        <v>486.69</v>
      </c>
      <c r="L108" s="18">
        <f>$H$5</f>
        <v/>
      </c>
      <c r="M108" s="19">
        <f>K108+L108</f>
        <v/>
      </c>
      <c r="N108" s="20" t="n">
        <v>0.41</v>
      </c>
      <c r="O108" s="21">
        <f>H108*N108</f>
        <v/>
      </c>
      <c r="P108" s="22" t="n">
        <v>67</v>
      </c>
      <c r="Q108" s="21">
        <f>H108*$H$8</f>
        <v/>
      </c>
      <c r="R108" s="22" t="n">
        <v>25</v>
      </c>
      <c r="S108" s="21">
        <f>H108*$H$4</f>
        <v/>
      </c>
      <c r="T108" s="21">
        <f>J108*$H$3</f>
        <v/>
      </c>
      <c r="U108" s="23" t="n">
        <v>0.9</v>
      </c>
      <c r="V108" s="22" t="n">
        <v>67</v>
      </c>
      <c r="W108" s="21">
        <f>V108*(1-U108)</f>
        <v/>
      </c>
      <c r="X108" s="24" t="n">
        <v>0.93</v>
      </c>
      <c r="Y108" s="21">
        <f>$H$6*$H$7*X108</f>
        <v/>
      </c>
      <c r="Z108" s="19">
        <f>X108*($H$9+$H$10)</f>
        <v/>
      </c>
      <c r="AA108" s="20" t="n">
        <v>0.07000000000000001</v>
      </c>
      <c r="AB108" s="21">
        <f>H108*AA108</f>
        <v/>
      </c>
      <c r="AC108" s="23" t="n">
        <v>0.08</v>
      </c>
      <c r="AD108" s="21">
        <f>H108*AC108</f>
        <v/>
      </c>
      <c r="AE108" s="21">
        <f>AB108+AD108</f>
        <v/>
      </c>
      <c r="AF108" s="25">
        <f>AE108/H108</f>
        <v/>
      </c>
      <c r="AG108" s="26">
        <f>H108-O108-P108-Q108-R108-S108-T108-W108-Y108-Z108-M108-AL108</f>
        <v/>
      </c>
      <c r="AH108" s="27">
        <f>AG108-AE108</f>
        <v/>
      </c>
      <c r="AI108" s="28">
        <f>AH108/H108</f>
        <v/>
      </c>
      <c r="AJ108" s="29">
        <f>AH108/M108</f>
        <v/>
      </c>
      <c r="AK108" s="21">
        <f>(P108+R108+W108+Y108+Z108+M108)/(1-(N108+$H$4+(1-I108)*$H$3+$H$8+$H$11+AA108+AC108))</f>
        <v/>
      </c>
      <c r="AL108" s="90">
        <f>H108*$H$11</f>
        <v/>
      </c>
    </row>
    <row r="109" ht="29" customHeight="1">
      <c r="A109" s="11" t="inlineStr">
        <is>
          <t>PETITFEE - Black Pearl &amp; Gold Hydrogel Eye Patch [60ea] / Гидрогелевые патчи для глаз с черным жемчугом и золотом</t>
        </is>
      </c>
      <c r="B109" s="12" t="n"/>
      <c r="C109" s="13" t="n"/>
      <c r="D109" s="111" t="n">
        <v>909</v>
      </c>
      <c r="E109" s="14" t="n">
        <v>1780</v>
      </c>
      <c r="F109" s="14" t="n">
        <v>489</v>
      </c>
      <c r="G109" s="14" t="n">
        <v>16</v>
      </c>
      <c r="H109" s="14" t="n">
        <v>1650</v>
      </c>
      <c r="I109" s="15" t="n">
        <v>0.45</v>
      </c>
      <c r="J109" s="16">
        <f>H109*(1-I109)</f>
        <v/>
      </c>
      <c r="K109" s="17" t="n">
        <v>387.67</v>
      </c>
      <c r="L109" s="18">
        <f>$H$5</f>
        <v/>
      </c>
      <c r="M109" s="19">
        <f>K109+L109</f>
        <v/>
      </c>
      <c r="N109" s="20" t="n">
        <v>0.41</v>
      </c>
      <c r="O109" s="21">
        <f>H109*N109</f>
        <v/>
      </c>
      <c r="P109" s="22" t="n">
        <v>67</v>
      </c>
      <c r="Q109" s="21">
        <f>H109*$H$8</f>
        <v/>
      </c>
      <c r="R109" s="22" t="n">
        <v>25</v>
      </c>
      <c r="S109" s="21">
        <f>H109*$H$4</f>
        <v/>
      </c>
      <c r="T109" s="21">
        <f>J109*$H$3</f>
        <v/>
      </c>
      <c r="U109" s="23" t="n">
        <v>0.9</v>
      </c>
      <c r="V109" s="22" t="n">
        <v>67</v>
      </c>
      <c r="W109" s="21">
        <f>V109*(1-U109)</f>
        <v/>
      </c>
      <c r="X109" s="24" t="n">
        <v>0.6</v>
      </c>
      <c r="Y109" s="21">
        <f>$H$6*$H$7*X109</f>
        <v/>
      </c>
      <c r="Z109" s="19">
        <f>X109*($H$9+$H$10)</f>
        <v/>
      </c>
      <c r="AA109" s="20" t="n">
        <v>0.07000000000000001</v>
      </c>
      <c r="AB109" s="21">
        <f>H109*AA109</f>
        <v/>
      </c>
      <c r="AC109" s="23" t="n">
        <v>0.08</v>
      </c>
      <c r="AD109" s="21">
        <f>H109*AC109</f>
        <v/>
      </c>
      <c r="AE109" s="21">
        <f>AB109+AD109</f>
        <v/>
      </c>
      <c r="AF109" s="25">
        <f>AE109/H109</f>
        <v/>
      </c>
      <c r="AG109" s="26">
        <f>H109-O109-P109-Q109-R109-S109-T109-W109-Y109-Z109-M109-AL109</f>
        <v/>
      </c>
      <c r="AH109" s="27">
        <f>AG109-AE109</f>
        <v/>
      </c>
      <c r="AI109" s="28">
        <f>AH109/H109</f>
        <v/>
      </c>
      <c r="AJ109" s="29">
        <f>AH109/M109</f>
        <v/>
      </c>
      <c r="AK109" s="21">
        <f>(P109+R109+W109+Y109+Z109+M109)/(1-(N109+$H$4+(1-I109)*$H$3+$H$8+$H$11+AA109+AC109))</f>
        <v/>
      </c>
      <c r="AL109" s="90">
        <f>H109*$H$11</f>
        <v/>
      </c>
    </row>
    <row r="110" ht="29" customHeight="1">
      <c r="A110" s="11" t="inlineStr">
        <is>
          <t>PETITFEE - Agave Cooling Hydrogel Eye Patch [60ea] / Охлаждающие гидрогелевые патчи для глаз с экстрактом агавы</t>
        </is>
      </c>
      <c r="B110" s="12" t="n"/>
      <c r="C110" s="13" t="n"/>
      <c r="D110" s="111" t="n">
        <v>933</v>
      </c>
      <c r="E110" s="14" t="n">
        <v>1730</v>
      </c>
      <c r="F110" s="14" t="n">
        <v>568</v>
      </c>
      <c r="G110" s="14" t="n">
        <v>17</v>
      </c>
      <c r="H110" s="14" t="n">
        <v>1630</v>
      </c>
      <c r="I110" s="15" t="n">
        <v>0.45</v>
      </c>
      <c r="J110" s="16">
        <f>H110*(1-I110)</f>
        <v/>
      </c>
      <c r="K110" s="17" t="n">
        <v>415.46</v>
      </c>
      <c r="L110" s="18">
        <f>$H$5</f>
        <v/>
      </c>
      <c r="M110" s="19">
        <f>K110+L110</f>
        <v/>
      </c>
      <c r="N110" s="20" t="n">
        <v>0.41</v>
      </c>
      <c r="O110" s="21">
        <f>H110*N110</f>
        <v/>
      </c>
      <c r="P110" s="22" t="n">
        <v>67</v>
      </c>
      <c r="Q110" s="21">
        <f>H110*$H$8</f>
        <v/>
      </c>
      <c r="R110" s="22" t="n">
        <v>25</v>
      </c>
      <c r="S110" s="21">
        <f>H110*$H$4</f>
        <v/>
      </c>
      <c r="T110" s="21">
        <f>J110*$H$3</f>
        <v/>
      </c>
      <c r="U110" s="23" t="n">
        <v>0.9</v>
      </c>
      <c r="V110" s="22" t="n">
        <v>67</v>
      </c>
      <c r="W110" s="21">
        <f>V110*(1-U110)</f>
        <v/>
      </c>
      <c r="X110" s="24" t="n">
        <v>0.6</v>
      </c>
      <c r="Y110" s="21">
        <f>$H$6*$H$7*X110</f>
        <v/>
      </c>
      <c r="Z110" s="19">
        <f>X110*($H$9+$H$10)</f>
        <v/>
      </c>
      <c r="AA110" s="20" t="n">
        <v>0.07000000000000001</v>
      </c>
      <c r="AB110" s="21">
        <f>H110*AA110</f>
        <v/>
      </c>
      <c r="AC110" s="23" t="n">
        <v>0.08</v>
      </c>
      <c r="AD110" s="21">
        <f>H110*AC110</f>
        <v/>
      </c>
      <c r="AE110" s="21">
        <f>AB110+AD110</f>
        <v/>
      </c>
      <c r="AF110" s="25">
        <f>AE110/H110</f>
        <v/>
      </c>
      <c r="AG110" s="26">
        <f>H110-O110-P110-Q110-R110-S110-T110-W110-Y110-Z110-M110-AL110</f>
        <v/>
      </c>
      <c r="AH110" s="27">
        <f>AG110-AE110</f>
        <v/>
      </c>
      <c r="AI110" s="28">
        <f>AH110/H110</f>
        <v/>
      </c>
      <c r="AJ110" s="29">
        <f>AH110/M110</f>
        <v/>
      </c>
      <c r="AK110" s="21">
        <f>(P110+R110+W110+Y110+Z110+M110)/(1-(N110+$H$4+(1-I110)*$H$3+$H$8+$H$11+AA110+AC110))</f>
        <v/>
      </c>
      <c r="AL110" s="90">
        <f>H110*$H$11</f>
        <v/>
      </c>
    </row>
    <row r="111" ht="29" customHeight="1">
      <c r="A111" s="11" t="inlineStr">
        <is>
          <t>PETITFEE - Gold &amp; Snail Hydrogel Eye Patch [60ea] / Гидрогелевые патчи для глаз с золотом и улиткой</t>
        </is>
      </c>
      <c r="B111" s="12" t="n"/>
      <c r="C111" s="13" t="n"/>
      <c r="D111" s="111" t="n">
        <v>909</v>
      </c>
      <c r="E111" s="14" t="n">
        <v>1740</v>
      </c>
      <c r="F111" s="14" t="n">
        <v>150</v>
      </c>
      <c r="G111" s="14" t="n">
        <v>7</v>
      </c>
      <c r="H111" s="14" t="n">
        <v>1630</v>
      </c>
      <c r="I111" s="15" t="n">
        <v>0.45</v>
      </c>
      <c r="J111" s="16">
        <f>H111*(1-I111)</f>
        <v/>
      </c>
      <c r="K111" s="17" t="n">
        <v>415.46</v>
      </c>
      <c r="L111" s="18">
        <f>$H$5</f>
        <v/>
      </c>
      <c r="M111" s="19">
        <f>K111+L111</f>
        <v/>
      </c>
      <c r="N111" s="20" t="n">
        <v>0.41</v>
      </c>
      <c r="O111" s="21">
        <f>H111*N111</f>
        <v/>
      </c>
      <c r="P111" s="22" t="n">
        <v>67</v>
      </c>
      <c r="Q111" s="21">
        <f>H111*$H$8</f>
        <v/>
      </c>
      <c r="R111" s="22" t="n">
        <v>25</v>
      </c>
      <c r="S111" s="21">
        <f>H111*$H$4</f>
        <v/>
      </c>
      <c r="T111" s="21">
        <f>J111*$H$3</f>
        <v/>
      </c>
      <c r="U111" s="23" t="n">
        <v>0.9</v>
      </c>
      <c r="V111" s="22" t="n">
        <v>67</v>
      </c>
      <c r="W111" s="21">
        <f>V111*(1-U111)</f>
        <v/>
      </c>
      <c r="X111" s="24" t="n">
        <v>0.6</v>
      </c>
      <c r="Y111" s="21">
        <f>$H$6*$H$7*X111</f>
        <v/>
      </c>
      <c r="Z111" s="19">
        <f>X111*($H$9+$H$10)</f>
        <v/>
      </c>
      <c r="AA111" s="20" t="n">
        <v>0.07000000000000001</v>
      </c>
      <c r="AB111" s="21">
        <f>H111*AA111</f>
        <v/>
      </c>
      <c r="AC111" s="23" t="n">
        <v>0.08</v>
      </c>
      <c r="AD111" s="21">
        <f>H111*AC111</f>
        <v/>
      </c>
      <c r="AE111" s="21">
        <f>AB111+AD111</f>
        <v/>
      </c>
      <c r="AF111" s="25">
        <f>AE111/H111</f>
        <v/>
      </c>
      <c r="AG111" s="26">
        <f>H111-O111-P111-Q111-R111-S111-T111-W111-Y111-Z111-M111-AL111</f>
        <v/>
      </c>
      <c r="AH111" s="27">
        <f>AG111-AE111</f>
        <v/>
      </c>
      <c r="AI111" s="28">
        <f>AH111/H111</f>
        <v/>
      </c>
      <c r="AJ111" s="29">
        <f>AH111/M111</f>
        <v/>
      </c>
      <c r="AK111" s="21">
        <f>(P111+R111+W111+Y111+Z111+M111)/(1-(N111+$H$4+(1-I111)*$H$3+$H$8+$H$11+AA111+AC111))</f>
        <v/>
      </c>
      <c r="AL111" s="90">
        <f>H111*$H$11</f>
        <v/>
      </c>
    </row>
    <row r="112" ht="29" customHeight="1">
      <c r="A112" s="11" t="inlineStr">
        <is>
          <t>PETITFEE - Gold Hydrogel Eye Patch [60ea] / гидрогелевые патчи для глаз с золотом</t>
        </is>
      </c>
      <c r="B112" s="12" t="n"/>
      <c r="C112" s="13" t="n"/>
      <c r="D112" s="111" t="n">
        <v>700</v>
      </c>
      <c r="E112" s="14" t="n">
        <v>1930</v>
      </c>
      <c r="F112" s="14" t="n">
        <v>128</v>
      </c>
      <c r="G112" s="14" t="n">
        <v>2.2</v>
      </c>
      <c r="H112" s="14" t="n">
        <v>1800</v>
      </c>
      <c r="I112" s="15" t="n">
        <v>0.45</v>
      </c>
      <c r="J112" s="16">
        <f>H112*(1-I112)</f>
        <v/>
      </c>
      <c r="K112" s="17" t="n">
        <v>415.46</v>
      </c>
      <c r="L112" s="18">
        <f>$H$5</f>
        <v/>
      </c>
      <c r="M112" s="19">
        <f>K112+L112</f>
        <v/>
      </c>
      <c r="N112" s="20" t="n">
        <v>0.41</v>
      </c>
      <c r="O112" s="21">
        <f>H112*N112</f>
        <v/>
      </c>
      <c r="P112" s="22" t="n">
        <v>67</v>
      </c>
      <c r="Q112" s="21">
        <f>H112*$H$8</f>
        <v/>
      </c>
      <c r="R112" s="22" t="n">
        <v>25</v>
      </c>
      <c r="S112" s="21">
        <f>H112*$H$4</f>
        <v/>
      </c>
      <c r="T112" s="21">
        <f>J112*$H$3</f>
        <v/>
      </c>
      <c r="U112" s="23" t="n">
        <v>0.9</v>
      </c>
      <c r="V112" s="22" t="n">
        <v>67</v>
      </c>
      <c r="W112" s="21">
        <f>V112*(1-U112)</f>
        <v/>
      </c>
      <c r="X112" s="24" t="n">
        <v>0.6</v>
      </c>
      <c r="Y112" s="21">
        <f>$H$6*$H$7*X112</f>
        <v/>
      </c>
      <c r="Z112" s="19">
        <f>X112*($H$9+$H$10)</f>
        <v/>
      </c>
      <c r="AA112" s="20" t="n">
        <v>0.07000000000000001</v>
      </c>
      <c r="AB112" s="21">
        <f>H112*AA112</f>
        <v/>
      </c>
      <c r="AC112" s="23" t="n">
        <v>0.08</v>
      </c>
      <c r="AD112" s="21">
        <f>H112*AC112</f>
        <v/>
      </c>
      <c r="AE112" s="21">
        <f>AB112+AD112</f>
        <v/>
      </c>
      <c r="AF112" s="25">
        <f>AE112/H112</f>
        <v/>
      </c>
      <c r="AG112" s="26">
        <f>H112-O112-P112-Q112-R112-S112-T112-W112-Y112-Z112-M112-AL112</f>
        <v/>
      </c>
      <c r="AH112" s="27">
        <f>AG112-AE112</f>
        <v/>
      </c>
      <c r="AI112" s="28">
        <f>AH112/H112</f>
        <v/>
      </c>
      <c r="AJ112" s="29">
        <f>AH112/M112</f>
        <v/>
      </c>
      <c r="AK112" s="21">
        <f>(P112+R112+W112+Y112+Z112+M112)/(1-(N112+$H$4+(1-I112)*$H$3+$H$8+$H$11+AA112+AC112))</f>
        <v/>
      </c>
      <c r="AL112" s="90">
        <f>H112*$H$11</f>
        <v/>
      </c>
    </row>
    <row r="113" ht="29" customHeight="1">
      <c r="A113" s="53" t="inlineStr">
        <is>
          <t>PETITFEE - Black Pearl &amp; Gold Hydrogel Eye Patch [1 pairs]/ Гидрогелевые патчи для глаз с черным жемчугом и золотом 1 пара</t>
        </is>
      </c>
      <c r="B113" s="30" t="n"/>
      <c r="C113" s="30" t="n"/>
      <c r="D113" s="111" t="n">
        <v>320</v>
      </c>
      <c r="E113" s="31" t="n"/>
      <c r="F113" s="31" t="n"/>
      <c r="G113" s="31" t="n"/>
      <c r="H113" s="31" t="n"/>
      <c r="I113" s="32" t="n"/>
      <c r="J113" s="33" t="n"/>
      <c r="K113" s="34" t="n"/>
      <c r="L113" s="34" t="n"/>
      <c r="M113" s="35" t="n"/>
      <c r="N113" s="36" t="n"/>
      <c r="O113" s="31" t="n"/>
      <c r="P113" s="31" t="n"/>
      <c r="Q113" s="31" t="n"/>
      <c r="R113" s="31" t="n"/>
      <c r="S113" s="31" t="n"/>
      <c r="T113" s="31" t="n"/>
      <c r="U113" s="37" t="n"/>
      <c r="V113" s="31" t="n"/>
      <c r="W113" s="31" t="n"/>
      <c r="X113" s="38" t="n"/>
      <c r="Y113" s="31" t="n"/>
      <c r="Z113" s="35" t="n"/>
      <c r="AA113" s="36" t="n"/>
      <c r="AB113" s="31" t="n"/>
      <c r="AC113" s="37" t="n"/>
      <c r="AD113" s="31" t="n"/>
      <c r="AE113" s="31" t="n"/>
      <c r="AF113" s="39" t="n"/>
      <c r="AG113" s="40" t="n"/>
      <c r="AH113" s="31" t="n"/>
      <c r="AI113" s="37" t="n"/>
      <c r="AJ113" s="37" t="n"/>
      <c r="AK113" s="31" t="n"/>
    </row>
    <row r="114" ht="29" customHeight="1">
      <c r="A114" s="53" t="inlineStr">
        <is>
          <t>PETITFEE - Gold Hydrogel Eye Patch [1 Pairs] / гидрогелевые патчи для глаз с золотом 1 пара</t>
        </is>
      </c>
      <c r="B114" s="30" t="n"/>
      <c r="C114" s="30" t="n"/>
      <c r="D114" s="111" t="n">
        <v>428</v>
      </c>
      <c r="E114" s="31" t="n"/>
      <c r="F114" s="31" t="n"/>
      <c r="G114" s="31" t="n"/>
      <c r="H114" s="31" t="n"/>
      <c r="I114" s="32" t="n"/>
      <c r="J114" s="33" t="n"/>
      <c r="K114" s="34" t="n"/>
      <c r="L114" s="34" t="n"/>
      <c r="M114" s="35" t="n"/>
      <c r="N114" s="36" t="n"/>
      <c r="O114" s="31" t="n"/>
      <c r="P114" s="31" t="n"/>
      <c r="Q114" s="31" t="n"/>
      <c r="R114" s="31" t="n"/>
      <c r="S114" s="31" t="n"/>
      <c r="T114" s="31" t="n"/>
      <c r="U114" s="37" t="n"/>
      <c r="V114" s="31" t="n"/>
      <c r="W114" s="31" t="n"/>
      <c r="X114" s="38" t="n"/>
      <c r="Y114" s="31" t="n"/>
      <c r="Z114" s="35" t="n"/>
      <c r="AA114" s="36" t="n"/>
      <c r="AB114" s="31" t="n"/>
      <c r="AC114" s="37" t="n"/>
      <c r="AD114" s="31" t="n"/>
      <c r="AE114" s="31" t="n"/>
      <c r="AF114" s="39" t="n"/>
      <c r="AG114" s="40" t="n"/>
      <c r="AH114" s="31" t="n"/>
      <c r="AI114" s="37" t="n"/>
      <c r="AJ114" s="37" t="n"/>
      <c r="AK114" s="31" t="n"/>
    </row>
    <row r="115">
      <c r="A115" s="52" t="inlineStr">
        <is>
          <t>Косметика/PETITFEE/PETITFEE-FACEMASK</t>
        </is>
      </c>
      <c r="B115" s="10" t="n"/>
      <c r="C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</row>
    <row r="116" ht="29" customHeight="1">
      <c r="A116" s="11" t="inlineStr">
        <is>
          <t>PETITFEE - Agave Cooling Hydrogel Face Mask [5pcs] / Охлаждающая гидрогелевая маска для лица с экстрактом агавы</t>
        </is>
      </c>
      <c r="B116" s="12" t="n"/>
      <c r="C116" s="13" t="n"/>
      <c r="D116" s="111" t="n">
        <v>951</v>
      </c>
      <c r="E116" s="14" t="n">
        <v>2480</v>
      </c>
      <c r="F116" s="14" t="n">
        <v>293</v>
      </c>
      <c r="G116" s="14" t="n">
        <v>21</v>
      </c>
      <c r="H116" s="14" t="n">
        <v>2200</v>
      </c>
      <c r="I116" s="15" t="n">
        <v>0.45</v>
      </c>
      <c r="J116" s="16">
        <f>H116*(1-I116)</f>
        <v/>
      </c>
      <c r="K116" s="17" t="n">
        <v>486.41</v>
      </c>
      <c r="L116" s="18">
        <f>$H$5</f>
        <v/>
      </c>
      <c r="M116" s="19">
        <f>K116+L116</f>
        <v/>
      </c>
      <c r="N116" s="20" t="n">
        <v>0.41</v>
      </c>
      <c r="O116" s="21">
        <f>H116*N116</f>
        <v/>
      </c>
      <c r="P116" s="22" t="n">
        <v>72</v>
      </c>
      <c r="Q116" s="21">
        <f>H116*$H$8</f>
        <v/>
      </c>
      <c r="R116" s="22" t="n">
        <v>25</v>
      </c>
      <c r="S116" s="21">
        <f>H116*$H$4</f>
        <v/>
      </c>
      <c r="T116" s="21">
        <f>J116*$H$3</f>
        <v/>
      </c>
      <c r="U116" s="23" t="n">
        <v>0.9</v>
      </c>
      <c r="V116" s="22" t="n">
        <v>72</v>
      </c>
      <c r="W116" s="21">
        <f>V116*(1-U116)</f>
        <v/>
      </c>
      <c r="X116" s="24" t="n">
        <v>1.1</v>
      </c>
      <c r="Y116" s="21">
        <f>$H$6*$H$7*X116</f>
        <v/>
      </c>
      <c r="Z116" s="19">
        <f>X116*($H$9+$H$10)</f>
        <v/>
      </c>
      <c r="AA116" s="20" t="n">
        <v>0.07000000000000001</v>
      </c>
      <c r="AB116" s="21">
        <f>H116*AA116</f>
        <v/>
      </c>
      <c r="AC116" s="23" t="n">
        <v>0.08</v>
      </c>
      <c r="AD116" s="21">
        <f>H116*AC116</f>
        <v/>
      </c>
      <c r="AE116" s="21">
        <f>AB116+AD116</f>
        <v/>
      </c>
      <c r="AF116" s="25">
        <f>AE116/H116</f>
        <v/>
      </c>
      <c r="AG116" s="26">
        <f>H116-O116-P116-Q116-R116-S116-T116-W116-Y116-Z116-M116-AL116</f>
        <v/>
      </c>
      <c r="AH116" s="27">
        <f>AG116-AE116</f>
        <v/>
      </c>
      <c r="AI116" s="28">
        <f>AH116/H116</f>
        <v/>
      </c>
      <c r="AJ116" s="29">
        <f>AH116/M116</f>
        <v/>
      </c>
      <c r="AK116" s="21">
        <f>(P116+R116+W116+Y116+Z116+M116)/(1-(N116+$H$4+(1-I116)*$H$3+$H$8+$H$11+AA116+AC116))</f>
        <v/>
      </c>
      <c r="AL116" s="90">
        <f>H116*$H$11</f>
        <v/>
      </c>
    </row>
    <row r="117" ht="29" customHeight="1">
      <c r="A117" s="11" t="inlineStr">
        <is>
          <t>PETITFEE - Gold Hydrogel Mask Pack [5pcs] / Гидрогелевая маска для лица с золотом</t>
        </is>
      </c>
      <c r="B117" s="12" t="n"/>
      <c r="C117" s="13" t="n"/>
      <c r="D117" s="111" t="n">
        <v>734</v>
      </c>
      <c r="E117" s="14" t="n">
        <v>2570</v>
      </c>
      <c r="F117" s="14" t="n">
        <v>121</v>
      </c>
      <c r="G117" s="14" t="n">
        <v>12</v>
      </c>
      <c r="H117" s="14" t="n">
        <v>2300</v>
      </c>
      <c r="I117" s="15" t="n">
        <v>0.45</v>
      </c>
      <c r="J117" s="16">
        <f>H117*(1-I117)</f>
        <v/>
      </c>
      <c r="K117" s="17" t="n">
        <v>507.16</v>
      </c>
      <c r="L117" s="18">
        <f>$H$5</f>
        <v/>
      </c>
      <c r="M117" s="19">
        <f>K117+L117</f>
        <v/>
      </c>
      <c r="N117" s="20" t="n">
        <v>0.41</v>
      </c>
      <c r="O117" s="21">
        <f>H117*N117</f>
        <v/>
      </c>
      <c r="P117" s="22" t="n">
        <v>72</v>
      </c>
      <c r="Q117" s="21">
        <f>H117*$H$8</f>
        <v/>
      </c>
      <c r="R117" s="22" t="n">
        <v>25</v>
      </c>
      <c r="S117" s="21">
        <f>H117*$H$4</f>
        <v/>
      </c>
      <c r="T117" s="21">
        <f>J117*$H$3</f>
        <v/>
      </c>
      <c r="U117" s="23" t="n">
        <v>0.9</v>
      </c>
      <c r="V117" s="22" t="n">
        <v>72</v>
      </c>
      <c r="W117" s="21">
        <f>V117*(1-U117)</f>
        <v/>
      </c>
      <c r="X117" s="24" t="n">
        <v>1.1</v>
      </c>
      <c r="Y117" s="21">
        <f>$H$6*$H$7*X117</f>
        <v/>
      </c>
      <c r="Z117" s="19">
        <f>X117*($H$9+$H$10)</f>
        <v/>
      </c>
      <c r="AA117" s="20" t="n">
        <v>0.07000000000000001</v>
      </c>
      <c r="AB117" s="21">
        <f>H117*AA117</f>
        <v/>
      </c>
      <c r="AC117" s="23" t="n">
        <v>0.08</v>
      </c>
      <c r="AD117" s="21">
        <f>H117*AC117</f>
        <v/>
      </c>
      <c r="AE117" s="21">
        <f>AB117+AD117</f>
        <v/>
      </c>
      <c r="AF117" s="25">
        <f>AE117/H117</f>
        <v/>
      </c>
      <c r="AG117" s="26">
        <f>H117-O117-P117-Q117-R117-S117-T117-W117-Y117-Z117-M117-AL117</f>
        <v/>
      </c>
      <c r="AH117" s="27">
        <f>AG117-AE117</f>
        <v/>
      </c>
      <c r="AI117" s="28">
        <f>AH117/H117</f>
        <v/>
      </c>
      <c r="AJ117" s="29">
        <f>AH117/M117</f>
        <v/>
      </c>
      <c r="AK117" s="21">
        <f>(P117+R117+W117+Y117+Z117+M117)/(1-(N117+$H$4+(1-I117)*$H$3+$H$8+$H$11+AA117+AC117))</f>
        <v/>
      </c>
      <c r="AL117" s="90">
        <f>H117*$H$11</f>
        <v/>
      </c>
    </row>
    <row r="118" ht="29" customHeight="1">
      <c r="A118" s="11" t="inlineStr">
        <is>
          <t>PETITFEE - Cacao Energizing Hydrogel Mask Pack [5pcs] / Тонизирующая гидрогелевая маска для лица с экстрактом какао</t>
        </is>
      </c>
      <c r="B118" s="12" t="n"/>
      <c r="C118" s="13" t="n"/>
      <c r="D118" s="111" t="n">
        <v>619</v>
      </c>
      <c r="E118" s="14" t="n">
        <v>2680</v>
      </c>
      <c r="F118" s="14" t="n">
        <v>38</v>
      </c>
      <c r="G118" s="14" t="n">
        <v>9.699999999999999</v>
      </c>
      <c r="H118" s="14" t="n">
        <v>2250</v>
      </c>
      <c r="I118" s="15" t="n">
        <v>0.45</v>
      </c>
      <c r="J118" s="16">
        <f>H118*(1-I118)</f>
        <v/>
      </c>
      <c r="K118" s="17" t="n">
        <v>496.86</v>
      </c>
      <c r="L118" s="18">
        <f>$H$5</f>
        <v/>
      </c>
      <c r="M118" s="19">
        <f>K118+L118</f>
        <v/>
      </c>
      <c r="N118" s="20" t="n">
        <v>0.41</v>
      </c>
      <c r="O118" s="21">
        <f>H118*N118</f>
        <v/>
      </c>
      <c r="P118" s="22" t="n">
        <v>72</v>
      </c>
      <c r="Q118" s="21">
        <f>H118*$H$8</f>
        <v/>
      </c>
      <c r="R118" s="22" t="n">
        <v>25</v>
      </c>
      <c r="S118" s="21">
        <f>H118*$H$4</f>
        <v/>
      </c>
      <c r="T118" s="21">
        <f>J118*$H$3</f>
        <v/>
      </c>
      <c r="U118" s="23" t="n">
        <v>0.9</v>
      </c>
      <c r="V118" s="22" t="n">
        <v>72</v>
      </c>
      <c r="W118" s="21">
        <f>V118*(1-U118)</f>
        <v/>
      </c>
      <c r="X118" s="24" t="n">
        <v>1.1</v>
      </c>
      <c r="Y118" s="21">
        <f>$H$6*$H$7*X118</f>
        <v/>
      </c>
      <c r="Z118" s="19">
        <f>X118*($H$9+$H$10)</f>
        <v/>
      </c>
      <c r="AA118" s="20" t="n">
        <v>0.07000000000000001</v>
      </c>
      <c r="AB118" s="21">
        <f>H118*AA118</f>
        <v/>
      </c>
      <c r="AC118" s="23" t="n">
        <v>0.08</v>
      </c>
      <c r="AD118" s="21">
        <f>H118*AC118</f>
        <v/>
      </c>
      <c r="AE118" s="21">
        <f>AB118+AD118</f>
        <v/>
      </c>
      <c r="AF118" s="25">
        <f>AE118/H118</f>
        <v/>
      </c>
      <c r="AG118" s="26">
        <f>H118-O118-P118-Q118-R118-S118-T118-W118-Y118-Z118-M118-AL118</f>
        <v/>
      </c>
      <c r="AH118" s="27">
        <f>AG118-AE118</f>
        <v/>
      </c>
      <c r="AI118" s="28">
        <f>AH118/H118</f>
        <v/>
      </c>
      <c r="AJ118" s="29">
        <f>AH118/M118</f>
        <v/>
      </c>
      <c r="AK118" s="21">
        <f>(P118+R118+W118+Y118+Z118+M118)/(1-(N118+$H$4+(1-I118)*$H$3+$H$8+$H$11+AA118+AC118))</f>
        <v/>
      </c>
      <c r="AL118" s="90">
        <f>H118*$H$11</f>
        <v/>
      </c>
    </row>
    <row r="119" ht="29" customHeight="1">
      <c r="A119" s="11" t="inlineStr">
        <is>
          <t>PETITFEE - Artichoke Soothing Hydrogel Face Mask [5pcs] / Смягчающая гидрогелевая маска для лица с экстрактом артишока</t>
        </is>
      </c>
      <c r="B119" s="12" t="n"/>
      <c r="C119" s="13" t="n"/>
      <c r="D119" s="111" t="n">
        <v>542</v>
      </c>
      <c r="E119" s="14" t="n">
        <v>2420</v>
      </c>
      <c r="F119" s="14" t="n">
        <v>409</v>
      </c>
      <c r="G119" s="14" t="n">
        <v>23</v>
      </c>
      <c r="H119" s="14" t="n">
        <v>2300</v>
      </c>
      <c r="I119" s="15" t="n">
        <v>0.45</v>
      </c>
      <c r="J119" s="16">
        <f>H119*(1-I119)</f>
        <v/>
      </c>
      <c r="K119" s="17" t="n">
        <v>498.54</v>
      </c>
      <c r="L119" s="18">
        <f>$H$5</f>
        <v/>
      </c>
      <c r="M119" s="19">
        <f>K119+L119</f>
        <v/>
      </c>
      <c r="N119" s="20" t="n">
        <v>0.41</v>
      </c>
      <c r="O119" s="21">
        <f>H119*N119</f>
        <v/>
      </c>
      <c r="P119" s="22" t="n">
        <v>72</v>
      </c>
      <c r="Q119" s="21">
        <f>H119*$H$8</f>
        <v/>
      </c>
      <c r="R119" s="22" t="n">
        <v>25</v>
      </c>
      <c r="S119" s="21">
        <f>H119*$H$4</f>
        <v/>
      </c>
      <c r="T119" s="21">
        <f>J119*$H$3</f>
        <v/>
      </c>
      <c r="U119" s="23" t="n">
        <v>0.9</v>
      </c>
      <c r="V119" s="22" t="n">
        <v>72</v>
      </c>
      <c r="W119" s="21">
        <f>V119*(1-U119)</f>
        <v/>
      </c>
      <c r="X119" s="24" t="n">
        <v>1.1</v>
      </c>
      <c r="Y119" s="21">
        <f>$H$6*$H$7*X119</f>
        <v/>
      </c>
      <c r="Z119" s="19">
        <f>X119*($H$9+$H$10)</f>
        <v/>
      </c>
      <c r="AA119" s="20" t="n">
        <v>0.07000000000000001</v>
      </c>
      <c r="AB119" s="21">
        <f>H119*AA119</f>
        <v/>
      </c>
      <c r="AC119" s="23" t="n">
        <v>0.08</v>
      </c>
      <c r="AD119" s="21">
        <f>H119*AC119</f>
        <v/>
      </c>
      <c r="AE119" s="21">
        <f>AB119+AD119</f>
        <v/>
      </c>
      <c r="AF119" s="25">
        <f>AE119/H119</f>
        <v/>
      </c>
      <c r="AG119" s="26">
        <f>H119-O119-P119-Q119-R119-S119-T119-W119-Y119-Z119-M119-AL119</f>
        <v/>
      </c>
      <c r="AH119" s="27">
        <f>AG119-AE119</f>
        <v/>
      </c>
      <c r="AI119" s="28">
        <f>AH119/H119</f>
        <v/>
      </c>
      <c r="AJ119" s="29">
        <f>AH119/M119</f>
        <v/>
      </c>
      <c r="AK119" s="21">
        <f>(P119+R119+W119+Y119+Z119+M119)/(1-(N119+$H$4+(1-I119)*$H$3+$H$8+$H$11+AA119+AC119))</f>
        <v/>
      </c>
      <c r="AL119" s="90">
        <f>H119*$H$11</f>
        <v/>
      </c>
    </row>
    <row r="120" ht="29" customHeight="1">
      <c r="A120" s="11" t="inlineStr">
        <is>
          <t>PETITFEE - Gold &amp; Snail Hydrogel Mask Pack [5pcs] / Гидрогелевая маска для лица с золотом и экстрактом улитки</t>
        </is>
      </c>
      <c r="B120" s="12" t="n"/>
      <c r="C120" s="13" t="n"/>
      <c r="D120" s="111" t="n">
        <v>453</v>
      </c>
      <c r="E120" s="14" t="n">
        <v>2280</v>
      </c>
      <c r="F120" s="14" t="n">
        <v>19</v>
      </c>
      <c r="G120" s="14" t="n">
        <v>8</v>
      </c>
      <c r="H120" s="14" t="n">
        <v>2135</v>
      </c>
      <c r="I120" s="15" t="n">
        <v>0.45</v>
      </c>
      <c r="J120" s="16">
        <f>H120*(1-I120)</f>
        <v/>
      </c>
      <c r="K120" s="17" t="n">
        <v>478.17</v>
      </c>
      <c r="L120" s="18">
        <f>$H$5</f>
        <v/>
      </c>
      <c r="M120" s="19">
        <f>K120+L120</f>
        <v/>
      </c>
      <c r="N120" s="20" t="n">
        <v>0.41</v>
      </c>
      <c r="O120" s="21">
        <f>H120*N120</f>
        <v/>
      </c>
      <c r="P120" s="22" t="n">
        <v>72</v>
      </c>
      <c r="Q120" s="21">
        <f>H120*$H$8</f>
        <v/>
      </c>
      <c r="R120" s="22" t="n">
        <v>25</v>
      </c>
      <c r="S120" s="21">
        <f>H120*$H$4</f>
        <v/>
      </c>
      <c r="T120" s="21">
        <f>J120*$H$3</f>
        <v/>
      </c>
      <c r="U120" s="23" t="n">
        <v>0.9</v>
      </c>
      <c r="V120" s="22" t="n">
        <v>72</v>
      </c>
      <c r="W120" s="21">
        <f>V120*(1-U120)</f>
        <v/>
      </c>
      <c r="X120" s="24" t="n">
        <v>1.1</v>
      </c>
      <c r="Y120" s="21">
        <f>$H$6*$H$7*X120</f>
        <v/>
      </c>
      <c r="Z120" s="19">
        <f>X120*($H$9+$H$10)</f>
        <v/>
      </c>
      <c r="AA120" s="20" t="n">
        <v>0.07000000000000001</v>
      </c>
      <c r="AB120" s="21">
        <f>H120*AA120</f>
        <v/>
      </c>
      <c r="AC120" s="23" t="n">
        <v>0.08</v>
      </c>
      <c r="AD120" s="21">
        <f>H120*AC120</f>
        <v/>
      </c>
      <c r="AE120" s="21">
        <f>AB120+AD120</f>
        <v/>
      </c>
      <c r="AF120" s="25">
        <f>AE120/H120</f>
        <v/>
      </c>
      <c r="AG120" s="26">
        <f>H120-O120-P120-Q120-R120-S120-T120-W120-Y120-Z120-M120-AL120</f>
        <v/>
      </c>
      <c r="AH120" s="27">
        <f>AG120-AE120</f>
        <v/>
      </c>
      <c r="AI120" s="28">
        <f>AH120/H120</f>
        <v/>
      </c>
      <c r="AJ120" s="29">
        <f>AH120/M120</f>
        <v/>
      </c>
      <c r="AK120" s="21">
        <f>(P120+R120+W120+Y120+Z120+M120)/(1-(N120+$H$4+(1-I120)*$H$3+$H$8+$H$11+AA120+AC120))</f>
        <v/>
      </c>
      <c r="AL120" s="90">
        <f>H120*$H$11</f>
        <v/>
      </c>
    </row>
    <row r="121" ht="29" customHeight="1">
      <c r="A121" s="11" t="inlineStr">
        <is>
          <t>PETITFEE - Black Pearl &amp; Gold Hydrogel Mask Pack [5pcs] / Гидрогелевая маска для лица с черным жемчугом и золотом</t>
        </is>
      </c>
      <c r="B121" s="12" t="n"/>
      <c r="C121" s="13" t="n"/>
      <c r="D121" s="111" t="n">
        <v>543</v>
      </c>
      <c r="E121" s="14" t="n">
        <v>2225</v>
      </c>
      <c r="F121" s="14" t="n">
        <v>156</v>
      </c>
      <c r="G121" s="14" t="n">
        <v>23</v>
      </c>
      <c r="H121" s="14" t="n">
        <v>2135</v>
      </c>
      <c r="I121" s="15" t="n">
        <v>0.45</v>
      </c>
      <c r="J121" s="16">
        <f>H121*(1-I121)</f>
        <v/>
      </c>
      <c r="K121" s="17" t="n">
        <v>478.05</v>
      </c>
      <c r="L121" s="18">
        <f>$H$5</f>
        <v/>
      </c>
      <c r="M121" s="19">
        <f>K121+L121</f>
        <v/>
      </c>
      <c r="N121" s="20" t="n">
        <v>0.41</v>
      </c>
      <c r="O121" s="21">
        <f>H121*N121</f>
        <v/>
      </c>
      <c r="P121" s="22" t="n">
        <v>72</v>
      </c>
      <c r="Q121" s="21">
        <f>H121*$H$8</f>
        <v/>
      </c>
      <c r="R121" s="22" t="n">
        <v>25</v>
      </c>
      <c r="S121" s="21">
        <f>H121*$H$4</f>
        <v/>
      </c>
      <c r="T121" s="21">
        <f>J121*$H$3</f>
        <v/>
      </c>
      <c r="U121" s="23" t="n">
        <v>0.9</v>
      </c>
      <c r="V121" s="22" t="n">
        <v>72</v>
      </c>
      <c r="W121" s="21">
        <f>V121*(1-U121)</f>
        <v/>
      </c>
      <c r="X121" s="24" t="n">
        <v>1.1</v>
      </c>
      <c r="Y121" s="21">
        <f>$H$6*$H$7*X121</f>
        <v/>
      </c>
      <c r="Z121" s="19">
        <f>X121*($H$9+$H$10)</f>
        <v/>
      </c>
      <c r="AA121" s="20" t="n">
        <v>0.07000000000000001</v>
      </c>
      <c r="AB121" s="21">
        <f>H121*AA121</f>
        <v/>
      </c>
      <c r="AC121" s="23" t="n">
        <v>0.08</v>
      </c>
      <c r="AD121" s="21">
        <f>H121*AC121</f>
        <v/>
      </c>
      <c r="AE121" s="21">
        <f>AB121+AD121</f>
        <v/>
      </c>
      <c r="AF121" s="25">
        <f>AE121/H121</f>
        <v/>
      </c>
      <c r="AG121" s="26">
        <f>H121-O121-P121-Q121-R121-S121-T121-W121-Y121-Z121-M121-AL121</f>
        <v/>
      </c>
      <c r="AH121" s="27">
        <f>AG121-AE121</f>
        <v/>
      </c>
      <c r="AI121" s="28">
        <f>AH121/H121</f>
        <v/>
      </c>
      <c r="AJ121" s="29">
        <f>AH121/M121</f>
        <v/>
      </c>
      <c r="AK121" s="21">
        <f>(P121+R121+W121+Y121+Z121+M121)/(1-(N121+$H$4+(1-I121)*$H$3+$H$8+$H$11+AA121+AC121))</f>
        <v/>
      </c>
      <c r="AL121" s="90">
        <f>H121*$H$11</f>
        <v/>
      </c>
    </row>
    <row r="122">
      <c r="A122" s="52" t="inlineStr">
        <is>
          <t>Косметика/ROUND LAB</t>
        </is>
      </c>
      <c r="B122" s="10" t="n"/>
      <c r="C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</row>
    <row r="123">
      <c r="A123" s="11" t="inlineStr">
        <is>
          <t>ROUND LAB 1025 DOKDO CLEANSER_150ml</t>
        </is>
      </c>
      <c r="B123" s="12" t="n"/>
      <c r="C123" s="13" t="n"/>
      <c r="E123" s="14" t="n">
        <v>2335</v>
      </c>
      <c r="F123" s="14" t="n">
        <v>4000</v>
      </c>
      <c r="G123" s="14" t="n">
        <v>3</v>
      </c>
      <c r="H123" s="14" t="n">
        <v>2200</v>
      </c>
      <c r="I123" s="15" t="n">
        <v>0.45</v>
      </c>
      <c r="J123" s="16">
        <f>H123*(1-I123)</f>
        <v/>
      </c>
      <c r="K123" s="17" t="n">
        <v>463.19</v>
      </c>
      <c r="L123" s="18">
        <f>$H$5</f>
        <v/>
      </c>
      <c r="M123" s="19">
        <f>K123+L123</f>
        <v/>
      </c>
      <c r="N123" s="20" t="n">
        <v>0.41</v>
      </c>
      <c r="O123" s="21">
        <f>H123*N123</f>
        <v/>
      </c>
      <c r="P123" s="22" t="n">
        <v>74</v>
      </c>
      <c r="Q123" s="21">
        <f>H123*$H$8</f>
        <v/>
      </c>
      <c r="R123" s="22" t="n">
        <v>25</v>
      </c>
      <c r="S123" s="21">
        <f>H123*$H$4</f>
        <v/>
      </c>
      <c r="T123" s="21">
        <f>J123*$H$3</f>
        <v/>
      </c>
      <c r="U123" s="23" t="n">
        <v>0.9</v>
      </c>
      <c r="V123" s="22" t="n">
        <v>74</v>
      </c>
      <c r="W123" s="21">
        <f>V123*(1-U123)</f>
        <v/>
      </c>
      <c r="X123" s="24" t="n">
        <v>1.28</v>
      </c>
      <c r="Y123" s="21">
        <f>$H$6*$H$7*X123</f>
        <v/>
      </c>
      <c r="Z123" s="19">
        <f>X123*($H$9+$H$10)</f>
        <v/>
      </c>
      <c r="AA123" s="20" t="n">
        <v>0.07000000000000001</v>
      </c>
      <c r="AB123" s="21">
        <f>H123*AA123</f>
        <v/>
      </c>
      <c r="AC123" s="23" t="n">
        <v>0.08</v>
      </c>
      <c r="AD123" s="21">
        <f>H123*AC123</f>
        <v/>
      </c>
      <c r="AE123" s="21">
        <f>AB123+AD123</f>
        <v/>
      </c>
      <c r="AF123" s="25">
        <f>AE123/H123</f>
        <v/>
      </c>
      <c r="AG123" s="26">
        <f>H123-O123-P123-Q123-R123-S123-T123-W123-Y123-Z123-M123-AL123</f>
        <v/>
      </c>
      <c r="AH123" s="27">
        <f>AG123-AE123</f>
        <v/>
      </c>
      <c r="AI123" s="28">
        <f>AH123/H123</f>
        <v/>
      </c>
      <c r="AJ123" s="29">
        <f>AH123/M123</f>
        <v/>
      </c>
      <c r="AK123" s="21">
        <f>(P123+R123+W123+Y123+Z123+M123)/(1-(N123+$H$4+(1-I123)*$H$3+$H$8+$H$11+AA123+AC123))</f>
        <v/>
      </c>
      <c r="AL123" s="90">
        <f>H123*$H$11</f>
        <v/>
      </c>
    </row>
    <row r="124" ht="29" customHeight="1">
      <c r="A124" s="53" t="inlineStr">
        <is>
          <t>ROUND LAB BIRCH JUICE MOISTURIZING CREAM_80ml -Увлажняющий крем с березовым соком</t>
        </is>
      </c>
      <c r="B124" s="30" t="n"/>
      <c r="C124" s="30" t="n"/>
      <c r="D124" s="111" t="n">
        <v>260</v>
      </c>
      <c r="E124" s="31" t="n"/>
      <c r="F124" s="31" t="n"/>
      <c r="G124" s="31" t="n"/>
      <c r="H124" s="31" t="n"/>
      <c r="I124" s="32" t="n"/>
      <c r="J124" s="33" t="n"/>
      <c r="K124" s="34" t="n"/>
      <c r="L124" s="34" t="n"/>
      <c r="M124" s="35" t="n"/>
      <c r="N124" s="36" t="n"/>
      <c r="O124" s="31" t="n"/>
      <c r="P124" s="31" t="n"/>
      <c r="Q124" s="31" t="n"/>
      <c r="R124" s="31" t="n"/>
      <c r="S124" s="31" t="n"/>
      <c r="T124" s="31" t="n"/>
      <c r="U124" s="37" t="n"/>
      <c r="V124" s="31" t="n"/>
      <c r="W124" s="31" t="n"/>
      <c r="X124" s="38" t="n"/>
      <c r="Y124" s="31" t="n"/>
      <c r="Z124" s="35" t="n"/>
      <c r="AA124" s="36" t="n"/>
      <c r="AB124" s="31" t="n"/>
      <c r="AC124" s="37" t="n"/>
      <c r="AD124" s="31" t="n"/>
      <c r="AE124" s="31" t="n"/>
      <c r="AF124" s="39" t="n"/>
      <c r="AG124" s="40" t="n"/>
      <c r="AH124" s="31" t="n"/>
      <c r="AI124" s="37" t="n"/>
      <c r="AJ124" s="37" t="n"/>
      <c r="AK124" s="31" t="n"/>
    </row>
    <row r="125" ht="29" customHeight="1">
      <c r="A125" s="11" t="inlineStr">
        <is>
          <t>ROUND LAB MUGWORT CALMING CLEANSER_150ml - Очищающая пенка для умывания лица от прыщей и акне</t>
        </is>
      </c>
      <c r="B125" s="12" t="n"/>
      <c r="C125" s="13" t="n"/>
      <c r="E125" s="14" t="n"/>
      <c r="F125" s="14" t="n"/>
      <c r="G125" s="14" t="n"/>
      <c r="H125" s="14">
        <f>(1.25*M125+P125+R125+W125+Y125+Z125)/(1-N125-$H$8-$H$4-(1-I125)*$H$3-$H$11-AA125-AC125)</f>
        <v/>
      </c>
      <c r="I125" s="15" t="n">
        <v>0.45</v>
      </c>
      <c r="J125" s="16">
        <f>H125*(1-I125)</f>
        <v/>
      </c>
      <c r="K125" s="17" t="n">
        <v>512.3200000000001</v>
      </c>
      <c r="L125" s="18">
        <f>$H$5</f>
        <v/>
      </c>
      <c r="M125" s="19">
        <f>K125+L125</f>
        <v/>
      </c>
      <c r="N125" s="20" t="n">
        <v>0.41</v>
      </c>
      <c r="O125" s="21">
        <f>H125*N125</f>
        <v/>
      </c>
      <c r="P125" s="22" t="n">
        <v>67</v>
      </c>
      <c r="Q125" s="21">
        <f>H125*$H$8</f>
        <v/>
      </c>
      <c r="R125" s="22" t="n">
        <v>25</v>
      </c>
      <c r="S125" s="21">
        <f>H125*$H$4</f>
        <v/>
      </c>
      <c r="T125" s="21">
        <f>J125*$H$3</f>
        <v/>
      </c>
      <c r="U125" s="23" t="n">
        <v>0.9</v>
      </c>
      <c r="V125" s="22" t="n">
        <v>67</v>
      </c>
      <c r="W125" s="21">
        <f>V125*(1-U125)</f>
        <v/>
      </c>
      <c r="X125" s="24" t="n">
        <v>0.8</v>
      </c>
      <c r="Y125" s="21">
        <f>$H$6*$H$7*X125</f>
        <v/>
      </c>
      <c r="Z125" s="19">
        <f>X125*($H$9+$H$10)</f>
        <v/>
      </c>
      <c r="AA125" s="20" t="n">
        <v>0.07000000000000001</v>
      </c>
      <c r="AB125" s="21">
        <f>H125*AA125</f>
        <v/>
      </c>
      <c r="AC125" s="23" t="n">
        <v>0.08</v>
      </c>
      <c r="AD125" s="21">
        <f>H125*AC125</f>
        <v/>
      </c>
      <c r="AE125" s="21">
        <f>AB125+AD125</f>
        <v/>
      </c>
      <c r="AF125" s="25">
        <f>AE125/H125</f>
        <v/>
      </c>
      <c r="AG125" s="26">
        <f>H125-O125-P125-Q125-R125-S125-T125-W125-Y125-Z125-M125-AL125</f>
        <v/>
      </c>
      <c r="AH125" s="27">
        <f>AG125-AE125</f>
        <v/>
      </c>
      <c r="AI125" s="28">
        <f>AH125/H125</f>
        <v/>
      </c>
      <c r="AJ125" s="29">
        <f>AH125/M125</f>
        <v/>
      </c>
      <c r="AK125" s="21">
        <f>(P125+R125+W125+Y125+Z125+M125)/(1-(N125+$H$4+(1-I125)*$H$3+$H$8+$H$11+AA125+AC125))</f>
        <v/>
      </c>
      <c r="AL125" s="90">
        <f>H125*$H$11</f>
        <v/>
      </c>
    </row>
    <row r="126" ht="29" customHeight="1">
      <c r="A126" s="53" t="inlineStr">
        <is>
          <t>ROUND LAB SOYBEAN PANTHENOL CREAM_80ml - Крем для лица с чёрной соей и пантенолом успокаивающий</t>
        </is>
      </c>
      <c r="B126" s="30" t="n"/>
      <c r="C126" s="30" t="n"/>
      <c r="D126" s="111" t="n">
        <v>150</v>
      </c>
      <c r="E126" s="31" t="n"/>
      <c r="F126" s="31" t="n"/>
      <c r="G126" s="31" t="n"/>
      <c r="H126" s="31" t="n"/>
      <c r="I126" s="32" t="n"/>
      <c r="J126" s="33" t="n"/>
      <c r="K126" s="34" t="n"/>
      <c r="L126" s="34" t="n"/>
      <c r="M126" s="35" t="n"/>
      <c r="N126" s="36" t="n"/>
      <c r="O126" s="31" t="n"/>
      <c r="P126" s="31" t="n"/>
      <c r="Q126" s="31" t="n"/>
      <c r="R126" s="31" t="n"/>
      <c r="S126" s="31" t="n"/>
      <c r="T126" s="31" t="n"/>
      <c r="U126" s="37" t="n"/>
      <c r="V126" s="31" t="n"/>
      <c r="W126" s="31" t="n"/>
      <c r="X126" s="38" t="n"/>
      <c r="Y126" s="31" t="n"/>
      <c r="Z126" s="35" t="n"/>
      <c r="AA126" s="36" t="n"/>
      <c r="AB126" s="31" t="n"/>
      <c r="AC126" s="37" t="n"/>
      <c r="AD126" s="31" t="n"/>
      <c r="AE126" s="31" t="n"/>
      <c r="AF126" s="39" t="n"/>
      <c r="AG126" s="40" t="n"/>
      <c r="AH126" s="31" t="n"/>
      <c r="AI126" s="37" t="n"/>
      <c r="AJ126" s="37" t="n"/>
      <c r="AK126" s="31" t="n"/>
    </row>
    <row r="127" ht="29" customHeight="1">
      <c r="A127" s="53" t="inlineStr">
        <is>
          <t>ROUND LAB PINE CALMING CICA AMPOULE_30ml - Сыворотка для жирной кожи лица увлажняющая с центеллой</t>
        </is>
      </c>
      <c r="B127" s="30" t="n"/>
      <c r="C127" s="30" t="n"/>
      <c r="D127" s="111" t="n">
        <v>37</v>
      </c>
      <c r="E127" s="31" t="n"/>
      <c r="F127" s="31" t="n"/>
      <c r="G127" s="31" t="n"/>
      <c r="H127" s="31" t="n"/>
      <c r="I127" s="32" t="n"/>
      <c r="J127" s="33" t="n"/>
      <c r="K127" s="34" t="n"/>
      <c r="L127" s="34" t="n"/>
      <c r="M127" s="35" t="n"/>
      <c r="N127" s="36" t="n"/>
      <c r="O127" s="31" t="n"/>
      <c r="P127" s="31" t="n"/>
      <c r="Q127" s="31" t="n"/>
      <c r="R127" s="31" t="n"/>
      <c r="S127" s="31" t="n"/>
      <c r="T127" s="31" t="n"/>
      <c r="U127" s="37" t="n"/>
      <c r="V127" s="31" t="n"/>
      <c r="W127" s="31" t="n"/>
      <c r="X127" s="38" t="n"/>
      <c r="Y127" s="31" t="n"/>
      <c r="Z127" s="35" t="n"/>
      <c r="AA127" s="36" t="n"/>
      <c r="AB127" s="31" t="n"/>
      <c r="AC127" s="37" t="n"/>
      <c r="AD127" s="31" t="n"/>
      <c r="AE127" s="31" t="n"/>
      <c r="AF127" s="39" t="n"/>
      <c r="AG127" s="40" t="n"/>
      <c r="AH127" s="31" t="n"/>
      <c r="AI127" s="37" t="n"/>
      <c r="AJ127" s="37" t="n"/>
      <c r="AK127" s="31" t="n"/>
    </row>
    <row r="128">
      <c r="A128" s="11" t="inlineStr">
        <is>
          <t>ROUND LAB 1025 DOKDO TONER_200ml</t>
        </is>
      </c>
      <c r="B128" s="44" t="n"/>
      <c r="C128" s="45" t="n"/>
      <c r="D128" s="111" t="n">
        <v>998</v>
      </c>
      <c r="E128" s="14" t="n">
        <v>3400</v>
      </c>
      <c r="F128" s="14" t="n">
        <v>260</v>
      </c>
      <c r="G128" s="14" t="n">
        <v>2</v>
      </c>
      <c r="H128" s="14" t="n">
        <v>3100</v>
      </c>
      <c r="I128" s="15" t="n">
        <v>0.45</v>
      </c>
      <c r="J128" s="16">
        <f>H128*(1-I128)</f>
        <v/>
      </c>
      <c r="K128" s="17" t="n">
        <v>463.19</v>
      </c>
      <c r="L128" s="18">
        <f>$H$5</f>
        <v/>
      </c>
      <c r="M128" s="19">
        <f>K128+L128</f>
        <v/>
      </c>
      <c r="N128" s="20" t="n">
        <v>0.41</v>
      </c>
      <c r="O128" s="21">
        <f>H128*N128</f>
        <v/>
      </c>
      <c r="P128" s="22" t="n">
        <v>74</v>
      </c>
      <c r="Q128" s="21">
        <f>H128*$H$8</f>
        <v/>
      </c>
      <c r="R128" s="22" t="n">
        <v>25</v>
      </c>
      <c r="S128" s="21">
        <f>H128*$H$4</f>
        <v/>
      </c>
      <c r="T128" s="21">
        <f>J128*$H$3</f>
        <v/>
      </c>
      <c r="U128" s="23" t="n">
        <v>0.9</v>
      </c>
      <c r="V128" s="22" t="n">
        <v>74</v>
      </c>
      <c r="W128" s="21">
        <f>V128*(1-U128)</f>
        <v/>
      </c>
      <c r="X128" s="24" t="n">
        <v>1.28</v>
      </c>
      <c r="Y128" s="21">
        <f>$H$6*$H$7*X128</f>
        <v/>
      </c>
      <c r="Z128" s="19">
        <f>X128*($H$9+$H$10)</f>
        <v/>
      </c>
      <c r="AA128" s="20" t="n">
        <v>0.07000000000000001</v>
      </c>
      <c r="AB128" s="21">
        <f>H128*AA128</f>
        <v/>
      </c>
      <c r="AC128" s="23" t="n">
        <v>0.08</v>
      </c>
      <c r="AD128" s="21">
        <f>H128*AC128</f>
        <v/>
      </c>
      <c r="AE128" s="21">
        <f>AB128+AD128</f>
        <v/>
      </c>
      <c r="AF128" s="25">
        <f>AE128/H128</f>
        <v/>
      </c>
      <c r="AG128" s="26">
        <f>H128-O128-P128-Q128-R128-S128-T128-W128-Y128-Z128-M128-AL128</f>
        <v/>
      </c>
      <c r="AH128" s="27">
        <f>AG128-AE128</f>
        <v/>
      </c>
      <c r="AI128" s="28">
        <f>AH128/H128</f>
        <v/>
      </c>
      <c r="AJ128" s="29">
        <f>AH128/M128</f>
        <v/>
      </c>
      <c r="AK128" s="21">
        <f>(P128+R128+W128+Y128+Z128+M128)/(1-(N128+$H$4+(1-I128)*$H$3+$H$8+$H$11+AA128+AC128))</f>
        <v/>
      </c>
      <c r="AL128" s="90">
        <f>H128*$H$11</f>
        <v/>
      </c>
    </row>
    <row r="129">
      <c r="A129" s="52" t="inlineStr">
        <is>
          <t>Косметика/SKIN1004</t>
        </is>
      </c>
      <c r="B129" s="10" t="n"/>
      <c r="C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</row>
    <row r="130" ht="29" customHeight="1">
      <c r="A130" s="53" t="inlineStr">
        <is>
          <t>SKIN1004 - Madagascar Centella Ampoule [30ml] / Сыворотка для лица успокаивающая из экстракта центеллы.</t>
        </is>
      </c>
      <c r="B130" s="30" t="n"/>
      <c r="C130" s="30" t="n"/>
      <c r="D130" s="111" t="n">
        <v>30</v>
      </c>
      <c r="E130" s="31" t="n"/>
      <c r="F130" s="31" t="n"/>
      <c r="G130" s="31" t="n"/>
      <c r="H130" s="31" t="n"/>
      <c r="I130" s="32" t="n"/>
      <c r="J130" s="33" t="n"/>
      <c r="K130" s="34" t="n"/>
      <c r="L130" s="34" t="n"/>
      <c r="M130" s="35" t="n"/>
      <c r="N130" s="36" t="n"/>
      <c r="O130" s="31" t="n"/>
      <c r="P130" s="31" t="n"/>
      <c r="Q130" s="31" t="n"/>
      <c r="R130" s="31" t="n"/>
      <c r="S130" s="31" t="n"/>
      <c r="T130" s="31" t="n"/>
      <c r="U130" s="37" t="n"/>
      <c r="V130" s="31" t="n"/>
      <c r="W130" s="31" t="n"/>
      <c r="X130" s="38" t="n"/>
      <c r="Y130" s="31" t="n"/>
      <c r="Z130" s="35" t="n"/>
      <c r="AA130" s="36" t="n"/>
      <c r="AB130" s="31" t="n"/>
      <c r="AC130" s="37" t="n"/>
      <c r="AD130" s="31" t="n"/>
      <c r="AE130" s="31" t="n"/>
      <c r="AF130" s="39" t="n"/>
      <c r="AG130" s="40" t="n"/>
      <c r="AH130" s="31" t="n"/>
      <c r="AI130" s="37" t="n"/>
      <c r="AJ130" s="37" t="n"/>
      <c r="AK130" s="31" t="n"/>
    </row>
    <row r="131" ht="29" customHeight="1">
      <c r="A131" s="53" t="inlineStr">
        <is>
          <t>SKIN1004 - Madagascar Centella Hyalu-Cica Sleeping Pack [30ml] / Увлажняющая гиалуроновая ночная маска для сухой кожи</t>
        </is>
      </c>
      <c r="B131" s="30" t="n"/>
      <c r="C131" s="30" t="n"/>
      <c r="D131" s="111" t="n">
        <v>22</v>
      </c>
      <c r="E131" s="31" t="n"/>
      <c r="F131" s="31" t="n"/>
      <c r="G131" s="31" t="n"/>
      <c r="H131" s="31" t="n"/>
      <c r="I131" s="32" t="n"/>
      <c r="J131" s="33" t="n"/>
      <c r="K131" s="34" t="n"/>
      <c r="L131" s="34" t="n"/>
      <c r="M131" s="35" t="n"/>
      <c r="N131" s="36" t="n"/>
      <c r="O131" s="31" t="n"/>
      <c r="P131" s="31" t="n"/>
      <c r="Q131" s="31" t="n"/>
      <c r="R131" s="31" t="n"/>
      <c r="S131" s="31" t="n"/>
      <c r="T131" s="31" t="n"/>
      <c r="U131" s="37" t="n"/>
      <c r="V131" s="31" t="n"/>
      <c r="W131" s="31" t="n"/>
      <c r="X131" s="38" t="n"/>
      <c r="Y131" s="31" t="n"/>
      <c r="Z131" s="35" t="n"/>
      <c r="AA131" s="36" t="n"/>
      <c r="AB131" s="31" t="n"/>
      <c r="AC131" s="37" t="n"/>
      <c r="AD131" s="31" t="n"/>
      <c r="AE131" s="31" t="n"/>
      <c r="AF131" s="39" t="n"/>
      <c r="AG131" s="40" t="n"/>
      <c r="AH131" s="31" t="n"/>
      <c r="AI131" s="37" t="n"/>
      <c r="AJ131" s="37" t="n"/>
      <c r="AK131" s="31" t="n"/>
    </row>
    <row r="132">
      <c r="A132" s="52" t="inlineStr">
        <is>
          <t>Косметика/SOMEBYMI</t>
        </is>
      </c>
      <c r="B132" s="10" t="n"/>
      <c r="C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  <c r="AH132" s="10" t="n"/>
      <c r="AI132" s="10" t="n"/>
      <c r="AJ132" s="10" t="n"/>
      <c r="AK132" s="10" t="n"/>
    </row>
    <row r="133" ht="29" customHeight="1">
      <c r="A133" s="53" t="inlineStr">
        <is>
          <t>SOME BY MI - AHA-BHA-PHA 30 Days Miracle Cleansing Bar [106g] / Мыло для проблемной кожи с aha bha кислотами</t>
        </is>
      </c>
      <c r="B133" s="30" t="n"/>
      <c r="C133" s="30" t="n"/>
      <c r="D133" s="111" t="n">
        <v>527</v>
      </c>
      <c r="E133" s="31" t="n"/>
      <c r="F133" s="31" t="n"/>
      <c r="G133" s="31" t="n"/>
      <c r="H133" s="31" t="n"/>
      <c r="I133" s="32" t="n"/>
      <c r="J133" s="33" t="n"/>
      <c r="K133" s="34" t="n"/>
      <c r="L133" s="34" t="n"/>
      <c r="M133" s="35" t="n"/>
      <c r="N133" s="36" t="n"/>
      <c r="O133" s="31" t="n"/>
      <c r="P133" s="31" t="n"/>
      <c r="Q133" s="31" t="n"/>
      <c r="R133" s="31" t="n"/>
      <c r="S133" s="31" t="n"/>
      <c r="T133" s="31" t="n"/>
      <c r="U133" s="37" t="n"/>
      <c r="V133" s="31" t="n"/>
      <c r="W133" s="31" t="n"/>
      <c r="X133" s="38" t="n"/>
      <c r="Y133" s="31" t="n"/>
      <c r="Z133" s="35" t="n"/>
      <c r="AA133" s="36" t="n"/>
      <c r="AB133" s="31" t="n"/>
      <c r="AC133" s="37" t="n"/>
      <c r="AD133" s="31" t="n"/>
      <c r="AE133" s="31" t="n"/>
      <c r="AF133" s="39" t="n"/>
      <c r="AG133" s="40" t="n"/>
      <c r="AH133" s="31" t="n"/>
      <c r="AI133" s="37" t="n"/>
      <c r="AJ133" s="37" t="n"/>
      <c r="AK133" s="31" t="n"/>
    </row>
    <row r="134" ht="29" customHeight="1">
      <c r="A134" s="53" t="inlineStr">
        <is>
          <t>SOME BY MI - AHA-BHA-PHA 30 Days Miracle Cream [60g] / Крем для лица</t>
        </is>
      </c>
      <c r="B134" s="30" t="n"/>
      <c r="C134" s="30" t="n"/>
      <c r="D134" s="111" t="n">
        <v>55</v>
      </c>
      <c r="E134" s="31" t="n"/>
      <c r="F134" s="31" t="n"/>
      <c r="G134" s="31" t="n"/>
      <c r="H134" s="31" t="n"/>
      <c r="I134" s="32" t="n"/>
      <c r="J134" s="33" t="n"/>
      <c r="K134" s="34" t="n"/>
      <c r="L134" s="34" t="n"/>
      <c r="M134" s="35" t="n"/>
      <c r="N134" s="36" t="n"/>
      <c r="O134" s="31" t="n"/>
      <c r="P134" s="31" t="n"/>
      <c r="Q134" s="31" t="n"/>
      <c r="R134" s="31" t="n"/>
      <c r="S134" s="31" t="n"/>
      <c r="T134" s="31" t="n"/>
      <c r="U134" s="37" t="n"/>
      <c r="V134" s="31" t="n"/>
      <c r="W134" s="31" t="n"/>
      <c r="X134" s="38" t="n"/>
      <c r="Y134" s="31" t="n"/>
      <c r="Z134" s="35" t="n"/>
      <c r="AA134" s="36" t="n"/>
      <c r="AB134" s="31" t="n"/>
      <c r="AC134" s="37" t="n"/>
      <c r="AD134" s="31" t="n"/>
      <c r="AE134" s="31" t="n"/>
      <c r="AF134" s="39" t="n"/>
      <c r="AG134" s="40" t="n"/>
      <c r="AH134" s="31" t="n"/>
      <c r="AI134" s="37" t="n"/>
      <c r="AJ134" s="37" t="n"/>
      <c r="AK134" s="31" t="n"/>
    </row>
    <row r="135">
      <c r="A135" s="52" t="inlineStr">
        <is>
          <t>Косметика/TheOrdinary</t>
        </is>
      </c>
      <c r="B135" s="10" t="n"/>
      <c r="C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  <c r="AH135" s="10" t="n"/>
      <c r="AI135" s="10" t="n"/>
      <c r="AJ135" s="10" t="n"/>
      <c r="AK135" s="10" t="n"/>
    </row>
    <row r="136" ht="29" customHeight="1">
      <c r="A136" s="53" t="inlineStr">
        <is>
          <t>THE ORDINARY - Argireline Solution 10% [30ml] / Сыворотка для лица от прыщей и акне с ниацинамидом 10 %</t>
        </is>
      </c>
      <c r="B136" s="30" t="n"/>
      <c r="C136" s="30" t="n"/>
      <c r="D136" s="111" t="n">
        <v>117</v>
      </c>
      <c r="E136" s="31" t="n"/>
      <c r="F136" s="31" t="n"/>
      <c r="G136" s="31" t="n"/>
      <c r="H136" s="31" t="n"/>
      <c r="I136" s="32" t="n"/>
      <c r="J136" s="33" t="n"/>
      <c r="K136" s="34" t="n"/>
      <c r="L136" s="34" t="n"/>
      <c r="M136" s="35" t="n"/>
      <c r="N136" s="36" t="n"/>
      <c r="O136" s="31" t="n"/>
      <c r="P136" s="31" t="n"/>
      <c r="Q136" s="31" t="n"/>
      <c r="R136" s="31" t="n"/>
      <c r="S136" s="31" t="n"/>
      <c r="T136" s="31" t="n"/>
      <c r="U136" s="37" t="n"/>
      <c r="V136" s="31" t="n"/>
      <c r="W136" s="31" t="n"/>
      <c r="X136" s="38" t="n"/>
      <c r="Y136" s="31" t="n"/>
      <c r="Z136" s="35" t="n"/>
      <c r="AA136" s="36" t="n"/>
      <c r="AB136" s="31" t="n"/>
      <c r="AC136" s="37" t="n"/>
      <c r="AD136" s="31" t="n"/>
      <c r="AE136" s="31" t="n"/>
      <c r="AF136" s="39" t="n"/>
      <c r="AG136" s="40" t="n"/>
      <c r="AH136" s="31" t="n"/>
      <c r="AI136" s="37" t="n"/>
      <c r="AJ136" s="37" t="n"/>
      <c r="AK136" s="31" t="n"/>
    </row>
    <row r="137" ht="29" customHeight="1">
      <c r="A137" s="53" t="inlineStr">
        <is>
          <t>THE ORDINARY - Glycolic Acid 7% Toning Solution [KOR] [240ml] / Тоник с гликолевой кислотой 7%</t>
        </is>
      </c>
      <c r="B137" s="30" t="n"/>
      <c r="C137" s="30" t="n"/>
      <c r="D137" s="111" t="n">
        <v>32</v>
      </c>
      <c r="E137" s="31" t="n"/>
      <c r="F137" s="31" t="n"/>
      <c r="G137" s="31" t="n"/>
      <c r="H137" s="31" t="n"/>
      <c r="I137" s="32" t="n"/>
      <c r="J137" s="33" t="n"/>
      <c r="K137" s="34" t="n"/>
      <c r="L137" s="34" t="n"/>
      <c r="M137" s="35" t="n"/>
      <c r="N137" s="36" t="n"/>
      <c r="O137" s="31" t="n"/>
      <c r="P137" s="31" t="n"/>
      <c r="Q137" s="31" t="n"/>
      <c r="R137" s="31" t="n"/>
      <c r="S137" s="31" t="n"/>
      <c r="T137" s="31" t="n"/>
      <c r="U137" s="37" t="n"/>
      <c r="V137" s="31" t="n"/>
      <c r="W137" s="31" t="n"/>
      <c r="X137" s="38" t="n"/>
      <c r="Y137" s="31" t="n"/>
      <c r="Z137" s="35" t="n"/>
      <c r="AA137" s="36" t="n"/>
      <c r="AB137" s="31" t="n"/>
      <c r="AC137" s="37" t="n"/>
      <c r="AD137" s="31" t="n"/>
      <c r="AE137" s="31" t="n"/>
      <c r="AF137" s="39" t="n"/>
      <c r="AG137" s="40" t="n"/>
      <c r="AH137" s="31" t="n"/>
      <c r="AI137" s="37" t="n"/>
      <c r="AJ137" s="37" t="n"/>
      <c r="AK137" s="31" t="n"/>
    </row>
    <row r="138">
      <c r="A138" s="52" t="inlineStr">
        <is>
          <t>Косметика/CELIMAX</t>
        </is>
      </c>
      <c r="B138" s="10" t="n"/>
      <c r="C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/>
      <c r="AH138" s="10" t="n"/>
      <c r="AI138" s="10" t="n"/>
      <c r="AJ138" s="10" t="n"/>
      <c r="AK138" s="10" t="n"/>
    </row>
    <row r="139">
      <c r="A139" s="11" t="inlineStr">
        <is>
          <t>Celimax Dual Barrier Creamy Toner</t>
        </is>
      </c>
      <c r="B139" s="12" t="n"/>
      <c r="C139" s="13" t="n"/>
      <c r="E139" s="14" t="n">
        <v>2600</v>
      </c>
      <c r="F139" s="14" t="n">
        <v>5500</v>
      </c>
      <c r="G139" s="14" t="inlineStr">
        <is>
          <t>10-15</t>
        </is>
      </c>
      <c r="H139" s="14" t="n">
        <v>2450</v>
      </c>
      <c r="I139" s="15" t="n">
        <v>0.45</v>
      </c>
      <c r="J139" s="16">
        <f>H139*(1-I139)</f>
        <v/>
      </c>
      <c r="K139" s="17" t="n">
        <v>663.86</v>
      </c>
      <c r="L139" s="18">
        <f>$H$5</f>
        <v/>
      </c>
      <c r="M139" s="19">
        <f>K139+L139</f>
        <v/>
      </c>
      <c r="N139" s="20" t="n">
        <v>0.41</v>
      </c>
      <c r="O139" s="21">
        <f>H139*N139</f>
        <v/>
      </c>
      <c r="P139" s="22" t="n">
        <v>67</v>
      </c>
      <c r="Q139" s="21">
        <f>H139*$H$8</f>
        <v/>
      </c>
      <c r="R139" s="22" t="n">
        <v>25</v>
      </c>
      <c r="S139" s="21">
        <f>H139*$H$4</f>
        <v/>
      </c>
      <c r="T139" s="21">
        <f>J139*$H$3</f>
        <v/>
      </c>
      <c r="U139" s="23" t="n">
        <v>0.9</v>
      </c>
      <c r="V139" s="22" t="n">
        <v>67</v>
      </c>
      <c r="W139" s="21">
        <f>V139*(1-U139)</f>
        <v/>
      </c>
      <c r="X139" s="24" t="n">
        <v>0.735</v>
      </c>
      <c r="Y139" s="21">
        <f>$H$6*$H$7*X139</f>
        <v/>
      </c>
      <c r="Z139" s="19">
        <f>X139*($H$9+$H$10)</f>
        <v/>
      </c>
      <c r="AA139" s="20" t="n">
        <v>0.07000000000000001</v>
      </c>
      <c r="AB139" s="21">
        <f>H139*AA139</f>
        <v/>
      </c>
      <c r="AC139" s="23" t="n">
        <v>0.08</v>
      </c>
      <c r="AD139" s="21">
        <f>H139*AC139</f>
        <v/>
      </c>
      <c r="AE139" s="21">
        <f>AB139+AD139</f>
        <v/>
      </c>
      <c r="AF139" s="25">
        <f>AE139/H139</f>
        <v/>
      </c>
      <c r="AG139" s="26">
        <f>H139-O139-P139-Q139-R139-S139-T139-W139-Y139-Z139-M139-AL139</f>
        <v/>
      </c>
      <c r="AH139" s="27">
        <f>AG139-AE139</f>
        <v/>
      </c>
      <c r="AI139" s="28">
        <f>AH139/H139</f>
        <v/>
      </c>
      <c r="AJ139" s="29">
        <f>AH139/M139</f>
        <v/>
      </c>
      <c r="AK139" s="21">
        <f>(P139+R139+W139+Y139+Z139+M139)/(1-(N139+$H$4+(1-I139)*$H$3+$H$8+$H$11+AA139+AC139))</f>
        <v/>
      </c>
      <c r="AL139" s="90">
        <f>H139*$H$11</f>
        <v/>
      </c>
    </row>
    <row r="140" ht="29" customHeight="1">
      <c r="A140" s="11" t="inlineStr">
        <is>
          <t>CELIMAX THE VITA-A RETINAL SHOT TIGHTENING BOOSTER [15ml]/Подтягивающий бустер-крем с ретинолом для лица</t>
        </is>
      </c>
      <c r="B140" s="45" t="n"/>
      <c r="C140" s="13" t="n"/>
      <c r="E140" s="14" t="n">
        <v>2250</v>
      </c>
      <c r="F140" s="14" t="n">
        <v>3000</v>
      </c>
      <c r="G140" s="14" t="n">
        <v>13</v>
      </c>
      <c r="H140" s="14" t="n">
        <v>2150</v>
      </c>
      <c r="I140" s="15" t="n">
        <v>0.45</v>
      </c>
      <c r="J140" s="16">
        <f>H140*(1-I140)</f>
        <v/>
      </c>
      <c r="K140" s="17" t="n">
        <v>512.1799999999999</v>
      </c>
      <c r="L140" s="18">
        <f>$H$5</f>
        <v/>
      </c>
      <c r="M140" s="19">
        <f>K140+L140</f>
        <v/>
      </c>
      <c r="N140" s="20" t="n">
        <v>0.41</v>
      </c>
      <c r="O140" s="21">
        <f>H140*N140</f>
        <v/>
      </c>
      <c r="P140" s="22" t="n">
        <v>56</v>
      </c>
      <c r="Q140" s="21">
        <f>H140*$H$8</f>
        <v/>
      </c>
      <c r="R140" s="22" t="n">
        <v>25</v>
      </c>
      <c r="S140" s="21">
        <f>H140*$H$4</f>
        <v/>
      </c>
      <c r="T140" s="21">
        <f>J140*$H$3</f>
        <v/>
      </c>
      <c r="U140" s="23" t="n">
        <v>0.9</v>
      </c>
      <c r="V140" s="22" t="n">
        <v>56</v>
      </c>
      <c r="W140" s="21">
        <f>V140*(1-U140)</f>
        <v/>
      </c>
      <c r="X140" s="24" t="n">
        <v>0.18</v>
      </c>
      <c r="Y140" s="21">
        <f>$H$6*$H$7*X140</f>
        <v/>
      </c>
      <c r="Z140" s="19">
        <f>X140*($H$9+$H$10)</f>
        <v/>
      </c>
      <c r="AA140" s="20" t="n">
        <v>0.07000000000000001</v>
      </c>
      <c r="AB140" s="21">
        <f>H140*AA140</f>
        <v/>
      </c>
      <c r="AC140" s="23" t="n">
        <v>0.08</v>
      </c>
      <c r="AD140" s="21">
        <f>H140*AC140</f>
        <v/>
      </c>
      <c r="AE140" s="21">
        <f>AB140+AD140</f>
        <v/>
      </c>
      <c r="AF140" s="25">
        <f>AE140/H140</f>
        <v/>
      </c>
      <c r="AG140" s="26">
        <f>H140-O140-P140-Q140-R140-S140-T140-W140-Y140-Z140-M140-AL140</f>
        <v/>
      </c>
      <c r="AH140" s="27">
        <f>AG140-AE140</f>
        <v/>
      </c>
      <c r="AI140" s="28">
        <f>AH140/H140</f>
        <v/>
      </c>
      <c r="AJ140" s="29">
        <f>AH140/M140</f>
        <v/>
      </c>
      <c r="AK140" s="21">
        <f>(P140+R140+W140+Y140+Z140+M140)/(1-(N140+$H$4+(1-I140)*$H$3+$H$8+$H$11+AA140+AC140))</f>
        <v/>
      </c>
      <c r="AL140" s="90">
        <f>H140*$H$11</f>
        <v/>
      </c>
    </row>
    <row r="141" ht="29" customHeight="1">
      <c r="A141" s="11" t="inlineStr">
        <is>
          <t>CELIMAX THE VITA-A RETINOL SHOT TIGHTENING SERUM [30ml]/Сыворотка с ретинолом и микроиглами для лица</t>
        </is>
      </c>
      <c r="B141" s="45" t="n"/>
      <c r="C141" s="13" t="inlineStr">
        <is>
          <t>-</t>
        </is>
      </c>
      <c r="E141" s="14" t="n">
        <v>2450</v>
      </c>
      <c r="F141" s="14" t="n">
        <v>3500</v>
      </c>
      <c r="G141" s="14" t="n">
        <v>10</v>
      </c>
      <c r="H141" s="14" t="n">
        <v>2350</v>
      </c>
      <c r="I141" s="15" t="n">
        <v>0.45</v>
      </c>
      <c r="J141" s="16">
        <f>H141*(1-I141)</f>
        <v/>
      </c>
      <c r="K141" s="17" t="n">
        <v>532.1</v>
      </c>
      <c r="L141" s="18">
        <f>$H$5</f>
        <v/>
      </c>
      <c r="M141" s="19">
        <f>K141+L141</f>
        <v/>
      </c>
      <c r="N141" s="20" t="n">
        <v>0.41</v>
      </c>
      <c r="O141" s="21">
        <f>H141*N141</f>
        <v/>
      </c>
      <c r="P141" s="22" t="n">
        <v>63</v>
      </c>
      <c r="Q141" s="21">
        <f>H141*$H$8</f>
        <v/>
      </c>
      <c r="R141" s="22" t="n">
        <v>25</v>
      </c>
      <c r="S141" s="21">
        <f>H141*$H$4</f>
        <v/>
      </c>
      <c r="T141" s="21">
        <f>J141*$H$3</f>
        <v/>
      </c>
      <c r="U141" s="23" t="n">
        <v>0.9</v>
      </c>
      <c r="V141" s="22" t="n">
        <v>63</v>
      </c>
      <c r="W141" s="21">
        <f>V141*(1-U141)</f>
        <v/>
      </c>
      <c r="X141" s="24" t="n">
        <v>0.38</v>
      </c>
      <c r="Y141" s="21">
        <f>$H$6*$H$7*X141</f>
        <v/>
      </c>
      <c r="Z141" s="19">
        <f>X141*($H$9+$H$10)</f>
        <v/>
      </c>
      <c r="AA141" s="20" t="n">
        <v>0.07000000000000001</v>
      </c>
      <c r="AB141" s="21">
        <f>H141*AA141</f>
        <v/>
      </c>
      <c r="AC141" s="23" t="n">
        <v>0.08</v>
      </c>
      <c r="AD141" s="21">
        <f>H141*AC141</f>
        <v/>
      </c>
      <c r="AE141" s="21">
        <f>AB141+AD141</f>
        <v/>
      </c>
      <c r="AF141" s="25">
        <f>AE141/H141</f>
        <v/>
      </c>
      <c r="AG141" s="26">
        <f>H141-O141-P141-Q141-R141-S141-T141-W141-Y141-Z141-M141-AL141</f>
        <v/>
      </c>
      <c r="AH141" s="27">
        <f>AG141-AE141</f>
        <v/>
      </c>
      <c r="AI141" s="28">
        <f>AH141/H141</f>
        <v/>
      </c>
      <c r="AJ141" s="29">
        <f>AH141/M141</f>
        <v/>
      </c>
      <c r="AK141" s="21">
        <f>(P141+R141+W141+Y141+Z141+M141)/(1-(N141+$H$4+(1-I141)*$H$3+$H$8+$H$11+AA141+AC141))</f>
        <v/>
      </c>
      <c r="AL141" s="90">
        <f>H141*$H$11</f>
        <v/>
      </c>
    </row>
    <row r="142" ht="29" customHeight="1">
      <c r="A142" s="11" t="inlineStr">
        <is>
          <t>CELIMAX JI WOO GAE CICA BHA BLEMISH TONER PAD_10EA [30ml]/успокаивающие тонер-пэды</t>
        </is>
      </c>
      <c r="B142" s="45" t="n"/>
      <c r="C142" s="13" t="n"/>
      <c r="E142" s="14" t="n">
        <v>775</v>
      </c>
      <c r="F142" s="14" t="inlineStr">
        <is>
          <t>2 740</t>
        </is>
      </c>
      <c r="G142" s="14" t="n">
        <v>11</v>
      </c>
      <c r="H142" s="14" t="n">
        <v>745</v>
      </c>
      <c r="I142" s="15" t="n">
        <v>0.45</v>
      </c>
      <c r="J142" s="16">
        <f>H142*(1-I142)</f>
        <v/>
      </c>
      <c r="K142" s="17" t="n">
        <v>96.94</v>
      </c>
      <c r="L142" s="18">
        <f>$H$5</f>
        <v/>
      </c>
      <c r="M142" s="19">
        <f>K142+L142</f>
        <v/>
      </c>
      <c r="N142" s="20" t="n">
        <v>0.41</v>
      </c>
      <c r="O142" s="21">
        <f>H142*N142</f>
        <v/>
      </c>
      <c r="P142" s="22" t="n">
        <v>56</v>
      </c>
      <c r="Q142" s="21">
        <f>H142*$H$8</f>
        <v/>
      </c>
      <c r="R142" s="22" t="n">
        <v>25</v>
      </c>
      <c r="S142" s="21">
        <f>H142*$H$4</f>
        <v/>
      </c>
      <c r="T142" s="21">
        <f>J142*$H$3</f>
        <v/>
      </c>
      <c r="U142" s="23" t="n">
        <v>0.9</v>
      </c>
      <c r="V142" s="22" t="n">
        <v>56</v>
      </c>
      <c r="W142" s="21">
        <f>V142*(1-U142)</f>
        <v/>
      </c>
      <c r="X142" s="24" t="n">
        <v>0.14</v>
      </c>
      <c r="Y142" s="21">
        <f>$H$6*$H$7*X142</f>
        <v/>
      </c>
      <c r="Z142" s="19">
        <f>X142*($H$9+$H$10)</f>
        <v/>
      </c>
      <c r="AA142" s="20" t="n">
        <v>0.07000000000000001</v>
      </c>
      <c r="AB142" s="21">
        <f>H142*AA142</f>
        <v/>
      </c>
      <c r="AC142" s="23" t="n">
        <v>0.08</v>
      </c>
      <c r="AD142" s="21">
        <f>H142*AC142</f>
        <v/>
      </c>
      <c r="AE142" s="21">
        <f>AB142+AD142</f>
        <v/>
      </c>
      <c r="AF142" s="25">
        <f>AE142/H142</f>
        <v/>
      </c>
      <c r="AG142" s="26">
        <f>H142-O142-P142-Q142-R142-S142-T142-W142-Y142-Z142-M142-AL142</f>
        <v/>
      </c>
      <c r="AH142" s="27">
        <f>AG142-AE142</f>
        <v/>
      </c>
      <c r="AI142" s="28">
        <f>AH142/H142</f>
        <v/>
      </c>
      <c r="AJ142" s="29">
        <f>AH142/M142</f>
        <v/>
      </c>
      <c r="AK142" s="21">
        <f>(P142+R142+W142+Y142+Z142+M142)/(1-(N142+$H$4+(1-I142)*$H$3+$H$8+$H$11+AA142+AC142))</f>
        <v/>
      </c>
      <c r="AL142" s="90">
        <f>H142*$H$11</f>
        <v/>
      </c>
    </row>
    <row r="143" ht="29" customHeight="1">
      <c r="A143" s="53" t="inlineStr">
        <is>
          <t>CELIMAX PORE+DARK SPOT BRIGHTENING CREAM [35ml]/Крем для выравнивания тона и рельефа кожи лица</t>
        </is>
      </c>
      <c r="B143" s="30" t="n"/>
      <c r="C143" s="30" t="n"/>
      <c r="D143" s="111" t="n">
        <v>99</v>
      </c>
      <c r="E143" s="31" t="n"/>
      <c r="F143" s="31" t="n"/>
      <c r="G143" s="31" t="n"/>
      <c r="H143" s="31" t="n"/>
      <c r="I143" s="32" t="n"/>
      <c r="J143" s="33" t="n"/>
      <c r="K143" s="34" t="n"/>
      <c r="L143" s="34" t="n"/>
      <c r="M143" s="35" t="n"/>
      <c r="N143" s="36" t="n"/>
      <c r="O143" s="31" t="n"/>
      <c r="P143" s="31" t="n"/>
      <c r="Q143" s="31" t="n"/>
      <c r="R143" s="31" t="n"/>
      <c r="S143" s="31" t="n"/>
      <c r="T143" s="31" t="n"/>
      <c r="U143" s="37" t="n"/>
      <c r="V143" s="31" t="n"/>
      <c r="W143" s="31" t="n"/>
      <c r="X143" s="38" t="n"/>
      <c r="Y143" s="31" t="n"/>
      <c r="Z143" s="35" t="n"/>
      <c r="AA143" s="36" t="n"/>
      <c r="AB143" s="31" t="n"/>
      <c r="AC143" s="37" t="n"/>
      <c r="AD143" s="31" t="n"/>
      <c r="AE143" s="31" t="n"/>
      <c r="AF143" s="39" t="n"/>
      <c r="AG143" s="40" t="n"/>
      <c r="AH143" s="31" t="n"/>
      <c r="AI143" s="37" t="n"/>
      <c r="AJ143" s="37" t="n"/>
      <c r="AK143" s="31" t="n"/>
    </row>
    <row r="144" ht="29" customHeight="1">
      <c r="A144" s="53" t="inlineStr">
        <is>
          <t>CELIMAX DUAL BARRIER SKIN WEARABLE CREAM [50ml]/Крем для восстановления защитного барьера кожи лица</t>
        </is>
      </c>
      <c r="B144" s="30" t="n"/>
      <c r="C144" s="30" t="n"/>
      <c r="D144" s="111" t="n">
        <v>446</v>
      </c>
      <c r="E144" s="31" t="n"/>
      <c r="F144" s="31" t="n"/>
      <c r="G144" s="31" t="n"/>
      <c r="H144" s="31" t="n"/>
      <c r="I144" s="32" t="n"/>
      <c r="J144" s="33" t="n"/>
      <c r="K144" s="34" t="n"/>
      <c r="L144" s="34" t="n"/>
      <c r="M144" s="35" t="n"/>
      <c r="N144" s="36" t="n"/>
      <c r="O144" s="31" t="n"/>
      <c r="P144" s="31" t="n"/>
      <c r="Q144" s="31" t="n"/>
      <c r="R144" s="31" t="n"/>
      <c r="S144" s="31" t="n"/>
      <c r="T144" s="31" t="n"/>
      <c r="U144" s="37" t="n"/>
      <c r="V144" s="31" t="n"/>
      <c r="W144" s="31" t="n"/>
      <c r="X144" s="38" t="n"/>
      <c r="Y144" s="31" t="n"/>
      <c r="Z144" s="35" t="n"/>
      <c r="AA144" s="36" t="n"/>
      <c r="AB144" s="31" t="n"/>
      <c r="AC144" s="37" t="n"/>
      <c r="AD144" s="31" t="n"/>
      <c r="AE144" s="31" t="n"/>
      <c r="AF144" s="39" t="n"/>
      <c r="AG144" s="40" t="n"/>
      <c r="AH144" s="31" t="n"/>
      <c r="AI144" s="37" t="n"/>
      <c r="AJ144" s="37" t="n"/>
      <c r="AK144" s="31" t="n"/>
    </row>
    <row r="145" ht="29" customHeight="1">
      <c r="A145" s="11" t="inlineStr">
        <is>
          <t>CELIMAX JI WOO GAE CICA BHA BLEMISH TONER PAD [170ml / 60pads]/Тонер-пэды от воспалений</t>
        </is>
      </c>
      <c r="B145" s="45" t="n"/>
      <c r="C145" s="13" t="n"/>
      <c r="E145" s="14" t="n">
        <v>3450</v>
      </c>
      <c r="F145" s="14" t="inlineStr">
        <is>
          <t>1 820</t>
        </is>
      </c>
      <c r="G145" s="14" t="n">
        <v>11</v>
      </c>
      <c r="H145" s="14" t="n">
        <v>3150</v>
      </c>
      <c r="I145" s="15" t="n">
        <v>0.45</v>
      </c>
      <c r="J145" s="16">
        <f>H145*(1-I145)</f>
        <v/>
      </c>
      <c r="K145" s="17" t="n">
        <v>707.88</v>
      </c>
      <c r="L145" s="18">
        <f>$H$5</f>
        <v/>
      </c>
      <c r="M145" s="19">
        <f>K145+L145</f>
        <v/>
      </c>
      <c r="N145" s="20" t="n">
        <v>0.41</v>
      </c>
      <c r="O145" s="21">
        <f>H145*N145</f>
        <v/>
      </c>
      <c r="P145" s="22" t="n">
        <v>67</v>
      </c>
      <c r="Q145" s="21">
        <f>H145*$H$8</f>
        <v/>
      </c>
      <c r="R145" s="22" t="n">
        <v>25</v>
      </c>
      <c r="S145" s="21">
        <f>H145*$H$4</f>
        <v/>
      </c>
      <c r="T145" s="21">
        <f>J145*$H$3</f>
        <v/>
      </c>
      <c r="U145" s="23" t="n">
        <v>0.9</v>
      </c>
      <c r="V145" s="22" t="n">
        <v>67</v>
      </c>
      <c r="W145" s="21">
        <f>V145*(1-U145)</f>
        <v/>
      </c>
      <c r="X145" s="24" t="n">
        <v>0.96</v>
      </c>
      <c r="Y145" s="21">
        <f>$H$6*$H$7*X145</f>
        <v/>
      </c>
      <c r="Z145" s="19">
        <f>X145*($H$9+$H$10)</f>
        <v/>
      </c>
      <c r="AA145" s="20" t="n">
        <v>0.07000000000000001</v>
      </c>
      <c r="AB145" s="21">
        <f>H145*AA145</f>
        <v/>
      </c>
      <c r="AC145" s="23" t="n">
        <v>0.08</v>
      </c>
      <c r="AD145" s="21">
        <f>H145*AC145</f>
        <v/>
      </c>
      <c r="AE145" s="21">
        <f>AB145+AD145</f>
        <v/>
      </c>
      <c r="AF145" s="25">
        <f>AE145/H145</f>
        <v/>
      </c>
      <c r="AG145" s="26">
        <f>H145-O145-P145-Q145-R145-S145-T145-W145-Y145-Z145-M145-AL145</f>
        <v/>
      </c>
      <c r="AH145" s="27">
        <f>AG145-AE145</f>
        <v/>
      </c>
      <c r="AI145" s="28">
        <f>AH145/H145</f>
        <v/>
      </c>
      <c r="AJ145" s="29">
        <f>AH145/M145</f>
        <v/>
      </c>
      <c r="AK145" s="21">
        <f>(P145+R145+W145+Y145+Z145+M145)/(1-(N145+$H$4+(1-I145)*$H$3+$H$8+$H$11+AA145+AC145))</f>
        <v/>
      </c>
      <c r="AL145" s="90">
        <f>H145*$H$11</f>
        <v/>
      </c>
    </row>
    <row r="146" ht="29" customHeight="1">
      <c r="A146" s="53" t="inlineStr">
        <is>
          <t>CELIMAX THE REAL NONI ENERGY AMPOULE_30ML (NEW) [30ml]/Восстанавливающая сыворотка с экстрактом нони для лица</t>
        </is>
      </c>
      <c r="B146" s="30" t="n"/>
      <c r="C146" s="30" t="n"/>
      <c r="D146" s="111" t="n">
        <v>62</v>
      </c>
      <c r="E146" s="31" t="n"/>
      <c r="F146" s="31" t="n"/>
      <c r="G146" s="31" t="n"/>
      <c r="H146" s="31" t="n"/>
      <c r="I146" s="32" t="n"/>
      <c r="J146" s="33" t="n"/>
      <c r="K146" s="34" t="n"/>
      <c r="L146" s="34" t="n"/>
      <c r="M146" s="35" t="n"/>
      <c r="N146" s="36" t="n"/>
      <c r="O146" s="31" t="n"/>
      <c r="P146" s="31" t="n"/>
      <c r="Q146" s="31" t="n"/>
      <c r="R146" s="31" t="n"/>
      <c r="S146" s="31" t="n"/>
      <c r="T146" s="31" t="n"/>
      <c r="U146" s="37" t="n"/>
      <c r="V146" s="31" t="n"/>
      <c r="W146" s="31" t="n"/>
      <c r="X146" s="38" t="n"/>
      <c r="Y146" s="31" t="n"/>
      <c r="Z146" s="35" t="n"/>
      <c r="AA146" s="36" t="n"/>
      <c r="AB146" s="31" t="n"/>
      <c r="AC146" s="37" t="n"/>
      <c r="AD146" s="31" t="n"/>
      <c r="AE146" s="31" t="n"/>
      <c r="AF146" s="39" t="n"/>
      <c r="AG146" s="40" t="n"/>
      <c r="AH146" s="31" t="n"/>
      <c r="AI146" s="37" t="n"/>
      <c r="AJ146" s="37" t="n"/>
      <c r="AK146" s="31" t="n"/>
    </row>
    <row r="147" ht="29" customHeight="1">
      <c r="A147" s="11" t="inlineStr">
        <is>
          <t>CELIMAX PORE+DARK SPOT BRIGHTENING PAD [100ml / 40pads]/Тонер-пэды для выравнивания тона и рельефа кожи</t>
        </is>
      </c>
      <c r="B147" s="45" t="n"/>
      <c r="C147" s="13" t="n"/>
      <c r="D147" s="111" t="n">
        <v>0</v>
      </c>
      <c r="E147" s="14" t="n">
        <v>2880</v>
      </c>
      <c r="F147" s="14" t="inlineStr">
        <is>
          <t>1 640</t>
        </is>
      </c>
      <c r="G147" s="14" t="n">
        <v>21</v>
      </c>
      <c r="H147" s="14" t="n">
        <v>2580</v>
      </c>
      <c r="I147" s="15" t="n">
        <v>0.45</v>
      </c>
      <c r="J147" s="16">
        <f>H147*(1-I147)</f>
        <v/>
      </c>
      <c r="K147" s="17" t="n">
        <v>556.1799999999999</v>
      </c>
      <c r="L147" s="18">
        <f>$H$5</f>
        <v/>
      </c>
      <c r="M147" s="19">
        <f>K147+L147</f>
        <v/>
      </c>
      <c r="N147" s="20" t="n">
        <v>0.41</v>
      </c>
      <c r="O147" s="21">
        <f>H147*N147</f>
        <v/>
      </c>
      <c r="P147" s="22" t="n">
        <v>67</v>
      </c>
      <c r="Q147" s="21">
        <f>H147*$H$8</f>
        <v/>
      </c>
      <c r="R147" s="22" t="n">
        <v>25</v>
      </c>
      <c r="S147" s="21">
        <f>H147*$H$4</f>
        <v/>
      </c>
      <c r="T147" s="21">
        <f>J147*$H$3</f>
        <v/>
      </c>
      <c r="U147" s="23" t="n">
        <v>0.9</v>
      </c>
      <c r="V147" s="22" t="n">
        <v>67</v>
      </c>
      <c r="W147" s="21">
        <f>V147*(1-U147)</f>
        <v/>
      </c>
      <c r="X147" s="24" t="n">
        <v>0.57</v>
      </c>
      <c r="Y147" s="21">
        <f>$H$6*$H$7*X147</f>
        <v/>
      </c>
      <c r="Z147" s="19">
        <f>X147*($H$9+$H$10)</f>
        <v/>
      </c>
      <c r="AA147" s="20" t="n">
        <v>0.07000000000000001</v>
      </c>
      <c r="AB147" s="21">
        <f>H147*AA147</f>
        <v/>
      </c>
      <c r="AC147" s="23" t="n">
        <v>0.08</v>
      </c>
      <c r="AD147" s="21">
        <f>H147*AC147</f>
        <v/>
      </c>
      <c r="AE147" s="21">
        <f>AB147+AD147</f>
        <v/>
      </c>
      <c r="AF147" s="25">
        <f>AE147/H147</f>
        <v/>
      </c>
      <c r="AG147" s="26">
        <f>H147-O147-P147-Q147-R147-S147-T147-W147-Y147-Z147-M147-AL147</f>
        <v/>
      </c>
      <c r="AH147" s="27">
        <f>AG147-AE147</f>
        <v/>
      </c>
      <c r="AI147" s="28">
        <f>AH147/H147</f>
        <v/>
      </c>
      <c r="AJ147" s="29">
        <f>AH147/M147</f>
        <v/>
      </c>
      <c r="AK147" s="21">
        <f>(P147+R147+W147+Y147+Z147+M147)/(1-(N147+$H$4+(1-I147)*$H$3+$H$8+$H$11+AA147+AC147))</f>
        <v/>
      </c>
      <c r="AL147" s="90">
        <f>H147*$H$11</f>
        <v/>
      </c>
    </row>
    <row r="148" ht="29" customHeight="1">
      <c r="A148" s="53" t="inlineStr">
        <is>
          <t>CELIMAX PORE+DARK SPOT BRIGHTENING SERUM_30ml [30ml]/Сыворотка для выравнивания тона и рельефа кожи лица</t>
        </is>
      </c>
      <c r="B148" s="30" t="n"/>
      <c r="C148" s="30" t="n"/>
      <c r="D148" s="111" t="n">
        <v>124</v>
      </c>
      <c r="E148" s="31" t="n"/>
      <c r="F148" s="31" t="n"/>
      <c r="G148" s="31" t="n"/>
      <c r="H148" s="31" t="n"/>
      <c r="I148" s="32" t="n"/>
      <c r="J148" s="33" t="n"/>
      <c r="K148" s="34" t="n"/>
      <c r="L148" s="34" t="n"/>
      <c r="M148" s="35" t="n"/>
      <c r="N148" s="36" t="n"/>
      <c r="O148" s="31" t="n"/>
      <c r="P148" s="31" t="n"/>
      <c r="Q148" s="31" t="n"/>
      <c r="R148" s="31" t="n"/>
      <c r="S148" s="31" t="n"/>
      <c r="T148" s="31" t="n"/>
      <c r="U148" s="37" t="n"/>
      <c r="V148" s="31" t="n"/>
      <c r="W148" s="31" t="n"/>
      <c r="X148" s="38" t="n"/>
      <c r="Y148" s="31" t="n"/>
      <c r="Z148" s="35" t="n"/>
      <c r="AA148" s="36" t="n"/>
      <c r="AB148" s="31" t="n"/>
      <c r="AC148" s="37" t="n"/>
      <c r="AD148" s="31" t="n"/>
      <c r="AE148" s="31" t="n"/>
      <c r="AF148" s="39" t="n"/>
      <c r="AG148" s="40" t="n"/>
      <c r="AH148" s="31" t="n"/>
      <c r="AI148" s="37" t="n"/>
      <c r="AJ148" s="37" t="n"/>
      <c r="AK148" s="31" t="n"/>
    </row>
    <row r="149" ht="29" customHeight="1">
      <c r="A149" s="53" t="inlineStr">
        <is>
          <t>CELIMAX THE REAL NONI MOISTURE BALANCING TONER (NEW) [150ml]/Восстанавливающий тонер с экстрактом нони</t>
        </is>
      </c>
      <c r="B149" s="30" t="n"/>
      <c r="C149" s="30" t="n"/>
      <c r="D149" s="111" t="n">
        <v>194</v>
      </c>
      <c r="E149" s="31" t="n"/>
      <c r="F149" s="31" t="n"/>
      <c r="G149" s="31" t="n"/>
      <c r="H149" s="31" t="n"/>
      <c r="I149" s="32" t="n"/>
      <c r="J149" s="33" t="n"/>
      <c r="K149" s="34" t="n"/>
      <c r="L149" s="34" t="n"/>
      <c r="M149" s="35" t="n"/>
      <c r="N149" s="36" t="n"/>
      <c r="O149" s="31" t="n"/>
      <c r="P149" s="31" t="n"/>
      <c r="Q149" s="31" t="n"/>
      <c r="R149" s="31" t="n"/>
      <c r="S149" s="31" t="n"/>
      <c r="T149" s="31" t="n"/>
      <c r="U149" s="37" t="n"/>
      <c r="V149" s="31" t="n"/>
      <c r="W149" s="31" t="n"/>
      <c r="X149" s="38" t="n"/>
      <c r="Y149" s="31" t="n"/>
      <c r="Z149" s="35" t="n"/>
      <c r="AA149" s="36" t="n"/>
      <c r="AB149" s="31" t="n"/>
      <c r="AC149" s="37" t="n"/>
      <c r="AD149" s="31" t="n"/>
      <c r="AE149" s="31" t="n"/>
      <c r="AF149" s="39" t="n"/>
      <c r="AG149" s="40" t="n"/>
      <c r="AH149" s="31" t="n"/>
      <c r="AI149" s="37" t="n"/>
      <c r="AJ149" s="37" t="n"/>
      <c r="AK149" s="31" t="n"/>
    </row>
    <row r="150">
      <c r="A150" s="52" t="inlineStr">
        <is>
          <t>Косметика/VT</t>
        </is>
      </c>
      <c r="B150" s="10" t="n"/>
      <c r="C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  <c r="AD150" s="10" t="n"/>
      <c r="AE150" s="10" t="n"/>
      <c r="AF150" s="10" t="n"/>
      <c r="AG150" s="10" t="n"/>
      <c r="AH150" s="10" t="n"/>
      <c r="AI150" s="10" t="n"/>
      <c r="AJ150" s="10" t="n"/>
      <c r="AK150" s="10" t="n"/>
    </row>
    <row r="151">
      <c r="A151" s="11" t="inlineStr">
        <is>
          <t>VT PDRN ESSENCE 100 / Укрепляющая бустер-эссенция с ПДРН</t>
        </is>
      </c>
      <c r="B151" s="12" t="n"/>
      <c r="C151" s="13" t="n"/>
      <c r="E151" s="14" t="n">
        <v>6000</v>
      </c>
      <c r="F151" s="14" t="n">
        <v>500</v>
      </c>
      <c r="G151" s="14" t="n">
        <v>10</v>
      </c>
      <c r="H151" s="14" t="n">
        <v>5700</v>
      </c>
      <c r="I151" s="15" t="n">
        <v>0.45</v>
      </c>
      <c r="J151" s="16">
        <f>H151*(1-I151)</f>
        <v/>
      </c>
      <c r="K151" s="17" t="n">
        <v>1335.95</v>
      </c>
      <c r="L151" s="18">
        <f>$H$5</f>
        <v/>
      </c>
      <c r="M151" s="19">
        <f>K151+L151</f>
        <v/>
      </c>
      <c r="N151" s="20" t="n">
        <v>0.41</v>
      </c>
      <c r="O151" s="21">
        <f>H151*N151</f>
        <v/>
      </c>
      <c r="P151" s="22" t="n">
        <v>63</v>
      </c>
      <c r="Q151" s="21">
        <f>H151*$H$8</f>
        <v/>
      </c>
      <c r="R151" s="22" t="n">
        <v>25</v>
      </c>
      <c r="S151" s="21">
        <f>H151*$H$4</f>
        <v/>
      </c>
      <c r="T151" s="21">
        <f>J151*$H$3</f>
        <v/>
      </c>
      <c r="U151" s="23" t="n">
        <v>0.9</v>
      </c>
      <c r="V151" s="22" t="n">
        <v>63</v>
      </c>
      <c r="W151" s="21">
        <f>V151*(1-U151)</f>
        <v/>
      </c>
      <c r="X151" s="24" t="n">
        <v>0.3</v>
      </c>
      <c r="Y151" s="21">
        <f>$H$6*$H$7*X151</f>
        <v/>
      </c>
      <c r="Z151" s="19">
        <f>X151*($H$9+$H$10)</f>
        <v/>
      </c>
      <c r="AA151" s="20" t="n">
        <v>0.07000000000000001</v>
      </c>
      <c r="AB151" s="21">
        <f>H151*AA151</f>
        <v/>
      </c>
      <c r="AC151" s="23" t="n">
        <v>0.08</v>
      </c>
      <c r="AD151" s="21">
        <f>H151*AC151</f>
        <v/>
      </c>
      <c r="AE151" s="21">
        <f>AB151+AD151</f>
        <v/>
      </c>
      <c r="AF151" s="25">
        <f>AE151/H151</f>
        <v/>
      </c>
      <c r="AG151" s="26">
        <f>H151-O151-P151-Q151-R151-S151-T151-W151-Y151-Z151-M151-AL151</f>
        <v/>
      </c>
      <c r="AH151" s="27">
        <f>AG151-AE151</f>
        <v/>
      </c>
      <c r="AI151" s="28">
        <f>AH151/H151</f>
        <v/>
      </c>
      <c r="AJ151" s="29">
        <f>AH151/M151</f>
        <v/>
      </c>
      <c r="AK151" s="21">
        <f>(P151+R151+W151+Y151+Z151+M151)/(1-(N151+$H$4+(1-I151)*$H$3+$H$8+$H$11+AA151+AC151))</f>
        <v/>
      </c>
      <c r="AL151" s="90">
        <f>H151*$H$11</f>
        <v/>
      </c>
    </row>
    <row r="152">
      <c r="A152" s="11" t="inlineStr">
        <is>
          <t>VT REEDLE SHOT 100 / Бустер-сыворотка с микроиглами</t>
        </is>
      </c>
      <c r="B152" s="12" t="n"/>
      <c r="C152" s="13" t="n"/>
      <c r="D152" s="111" t="n">
        <v>543</v>
      </c>
      <c r="E152" s="14" t="n">
        <v>5900</v>
      </c>
      <c r="F152" s="14" t="n">
        <v>220</v>
      </c>
      <c r="G152" s="14" t="n">
        <v>11</v>
      </c>
      <c r="H152" s="14" t="n">
        <v>5600</v>
      </c>
      <c r="I152" s="15" t="n">
        <v>0.45</v>
      </c>
      <c r="J152" s="16">
        <f>H152*(1-I152)</f>
        <v/>
      </c>
      <c r="K152" s="17" t="n">
        <v>974.04</v>
      </c>
      <c r="L152" s="18">
        <f>$H$5</f>
        <v/>
      </c>
      <c r="M152" s="19">
        <f>K152+L152</f>
        <v/>
      </c>
      <c r="N152" s="20" t="n">
        <v>0.41</v>
      </c>
      <c r="O152" s="21">
        <f>H152*N152</f>
        <v/>
      </c>
      <c r="P152" s="22" t="n">
        <v>63</v>
      </c>
      <c r="Q152" s="21">
        <f>H152*$H$8</f>
        <v/>
      </c>
      <c r="R152" s="22" t="n">
        <v>25</v>
      </c>
      <c r="S152" s="21">
        <f>H152*$H$4</f>
        <v/>
      </c>
      <c r="T152" s="21">
        <f>J152*$H$3</f>
        <v/>
      </c>
      <c r="U152" s="23" t="n">
        <v>0.9</v>
      </c>
      <c r="V152" s="22" t="n">
        <v>63</v>
      </c>
      <c r="W152" s="21">
        <f>V152*(1-U152)</f>
        <v/>
      </c>
      <c r="X152" s="24" t="n">
        <v>0.4</v>
      </c>
      <c r="Y152" s="21">
        <f>$H$6*$H$7*X152</f>
        <v/>
      </c>
      <c r="Z152" s="19">
        <f>X152*($H$9+$H$10)</f>
        <v/>
      </c>
      <c r="AA152" s="20" t="n">
        <v>0.07000000000000001</v>
      </c>
      <c r="AB152" s="21">
        <f>H152*AA152</f>
        <v/>
      </c>
      <c r="AC152" s="23" t="n">
        <v>0.08</v>
      </c>
      <c r="AD152" s="21">
        <f>H152*AC152</f>
        <v/>
      </c>
      <c r="AE152" s="21">
        <f>AB152+AD152</f>
        <v/>
      </c>
      <c r="AF152" s="25">
        <f>AE152/H152</f>
        <v/>
      </c>
      <c r="AG152" s="26">
        <f>H152-O152-P152-Q152-R152-S152-T152-W152-Y152-Z152-M152-AL152</f>
        <v/>
      </c>
      <c r="AH152" s="27">
        <f>AG152-AE152</f>
        <v/>
      </c>
      <c r="AI152" s="28">
        <f>AH152/H152</f>
        <v/>
      </c>
      <c r="AJ152" s="29">
        <f>AH152/M152</f>
        <v/>
      </c>
      <c r="AK152" s="21">
        <f>(P152+R152+W152+Y152+Z152+M152)/(1-(N152+$H$4+(1-I152)*$H$3+$H$8+$H$11+AA152+AC152))</f>
        <v/>
      </c>
      <c r="AL152" s="90">
        <f>H152*$H$11</f>
        <v/>
      </c>
    </row>
    <row r="153">
      <c r="A153" s="53" t="inlineStr">
        <is>
          <t>Итого:</t>
        </is>
      </c>
      <c r="B153" s="30" t="n"/>
      <c r="C153" s="30" t="n"/>
      <c r="E153" s="31" t="n"/>
      <c r="F153" s="31" t="n"/>
      <c r="G153" s="31" t="n"/>
      <c r="H153" s="31" t="n"/>
      <c r="I153" s="32" t="n"/>
      <c r="J153" s="33" t="n"/>
      <c r="K153" s="34" t="n"/>
      <c r="L153" s="34" t="n"/>
      <c r="M153" s="35" t="n"/>
      <c r="N153" s="36" t="n"/>
      <c r="O153" s="31" t="n"/>
      <c r="P153" s="31" t="n"/>
      <c r="Q153" s="31" t="n"/>
      <c r="R153" s="31" t="n"/>
      <c r="S153" s="31" t="n"/>
      <c r="T153" s="31" t="n"/>
      <c r="U153" s="37" t="n"/>
      <c r="V153" s="31" t="n"/>
      <c r="W153" s="31" t="n"/>
      <c r="X153" s="38" t="n"/>
      <c r="Y153" s="31" t="n"/>
      <c r="Z153" s="35" t="n"/>
      <c r="AA153" s="36" t="n"/>
      <c r="AB153" s="31" t="n"/>
      <c r="AC153" s="37" t="n"/>
      <c r="AD153" s="31" t="n"/>
      <c r="AE153" s="31" t="n"/>
      <c r="AF153" s="39" t="n"/>
      <c r="AG153" s="40" t="n"/>
      <c r="AH153" s="31" t="n"/>
      <c r="AI153" s="37" t="n"/>
      <c r="AJ153" s="37" t="n"/>
      <c r="AK153" s="31" t="n"/>
    </row>
    <row r="154">
      <c r="A154" s="52" t="inlineStr">
        <is>
          <t>НЕ В ОСТАТКАХ (юнитка без строки в остатках)</t>
        </is>
      </c>
      <c r="B154" s="10" t="n"/>
      <c r="C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  <c r="AD154" s="10" t="n"/>
      <c r="AE154" s="10" t="n"/>
      <c r="AF154" s="10" t="n"/>
      <c r="AG154" s="10" t="n"/>
      <c r="AH154" s="10" t="n"/>
      <c r="AI154" s="10" t="n"/>
      <c r="AJ154" s="10" t="n"/>
      <c r="AK154" s="10" t="n"/>
    </row>
    <row r="155">
      <c r="A155" s="46" t="inlineStr">
        <is>
          <t>1025 DOKDO BUBBLE FOAM_150ml</t>
        </is>
      </c>
      <c r="B155" s="47" t="n">
        <v>600</v>
      </c>
      <c r="C155" s="48" t="n"/>
      <c r="D155" s="111" t="n">
        <v>0</v>
      </c>
      <c r="E155" s="14" t="n">
        <v>2650</v>
      </c>
      <c r="F155" s="14" t="n">
        <v>20</v>
      </c>
      <c r="G155" s="14" t="n">
        <v>2</v>
      </c>
      <c r="H155" s="14" t="n">
        <v>2500</v>
      </c>
      <c r="I155" s="15" t="n">
        <v>0.45</v>
      </c>
      <c r="J155" s="16">
        <f>H155*(1-I155)</f>
        <v/>
      </c>
      <c r="K155" s="17" t="n">
        <v>455</v>
      </c>
      <c r="L155" s="18">
        <f>$H$5</f>
        <v/>
      </c>
      <c r="M155" s="19">
        <f>K155+L155</f>
        <v/>
      </c>
      <c r="N155" s="20" t="n">
        <v>0.41</v>
      </c>
      <c r="O155" s="21">
        <f>H155*N155</f>
        <v/>
      </c>
      <c r="P155" s="22" t="n">
        <v>74</v>
      </c>
      <c r="Q155" s="21">
        <f>H155*$H$8</f>
        <v/>
      </c>
      <c r="R155" s="22" t="n">
        <v>25</v>
      </c>
      <c r="S155" s="21">
        <f>H155*$H$4</f>
        <v/>
      </c>
      <c r="T155" s="21">
        <f>J155*$H$3</f>
        <v/>
      </c>
      <c r="U155" s="23" t="n">
        <v>0.9</v>
      </c>
      <c r="V155" s="22" t="n">
        <v>74</v>
      </c>
      <c r="W155" s="21">
        <f>V155*(1-U155)</f>
        <v/>
      </c>
      <c r="X155" s="24" t="n">
        <v>1.28</v>
      </c>
      <c r="Y155" s="21">
        <f>$H$6*$H$7*X155</f>
        <v/>
      </c>
      <c r="Z155" s="19">
        <f>X155*($H$9+$H$10)</f>
        <v/>
      </c>
      <c r="AA155" s="20" t="n">
        <v>0.07000000000000001</v>
      </c>
      <c r="AB155" s="21">
        <f>H155*AA155</f>
        <v/>
      </c>
      <c r="AC155" s="23" t="n">
        <v>0.08</v>
      </c>
      <c r="AD155" s="21">
        <f>H155*AC155</f>
        <v/>
      </c>
      <c r="AE155" s="21">
        <f>AB155+AD155</f>
        <v/>
      </c>
      <c r="AF155" s="25">
        <f>AE155/H155</f>
        <v/>
      </c>
      <c r="AG155" s="26">
        <f>H155-O155-P155-Q155-R155-S155-T155-W155-Y155-Z155-M155-AL155</f>
        <v/>
      </c>
      <c r="AH155" s="27">
        <f>AG155-AE155</f>
        <v/>
      </c>
      <c r="AI155" s="28">
        <f>AH155/H155</f>
        <v/>
      </c>
      <c r="AJ155" s="29">
        <f>AH155/M155</f>
        <v/>
      </c>
      <c r="AK155" s="21">
        <f>(P155+R155+W155+Y155+Z155+M155)/(1-(N155+$H$4+(1-I155)*$H$3+$H$8+$H$11+AA155+AC155))</f>
        <v/>
      </c>
      <c r="AL155" s="90">
        <f>H155*$H$11</f>
        <v/>
      </c>
    </row>
    <row r="156">
      <c r="A156" s="46" t="inlineStr">
        <is>
          <t>MEDICUBE PDRN PINK PEPTIDE SERUM 30ml</t>
        </is>
      </c>
      <c r="B156" s="47" t="n">
        <v>320</v>
      </c>
      <c r="C156" s="45" t="n"/>
      <c r="E156" s="14" t="n">
        <v>4880</v>
      </c>
      <c r="F156" s="14" t="n">
        <v>220</v>
      </c>
      <c r="G156" s="14" t="n">
        <v>10</v>
      </c>
      <c r="H156" s="14" t="n">
        <v>4580</v>
      </c>
      <c r="I156" s="15" t="n">
        <v>0.45</v>
      </c>
      <c r="J156" s="16">
        <f>H156*(1-I156)</f>
        <v/>
      </c>
      <c r="K156" s="17" t="n">
        <v>674</v>
      </c>
      <c r="L156" s="18">
        <f>$H$5</f>
        <v/>
      </c>
      <c r="M156" s="19">
        <f>K156+L156</f>
        <v/>
      </c>
      <c r="N156" s="20" t="n">
        <v>0.41</v>
      </c>
      <c r="O156" s="21">
        <f>H156*N156</f>
        <v/>
      </c>
      <c r="P156" s="22" t="n">
        <v>63</v>
      </c>
      <c r="Q156" s="21">
        <f>H156*$H$8</f>
        <v/>
      </c>
      <c r="R156" s="22" t="n">
        <v>25</v>
      </c>
      <c r="S156" s="21">
        <f>H156*$H$4</f>
        <v/>
      </c>
      <c r="T156" s="21">
        <f>J156*$H$3</f>
        <v/>
      </c>
      <c r="U156" s="23" t="n">
        <v>0.9</v>
      </c>
      <c r="V156" s="22" t="n">
        <v>63</v>
      </c>
      <c r="W156" s="21">
        <f>V156*(1-U156)</f>
        <v/>
      </c>
      <c r="X156" s="24" t="n">
        <v>0.4</v>
      </c>
      <c r="Y156" s="21">
        <f>$H$6*$H$7*X156</f>
        <v/>
      </c>
      <c r="Z156" s="19">
        <f>X156*($H$9+$H$10)</f>
        <v/>
      </c>
      <c r="AA156" s="20" t="n">
        <v>0.07000000000000001</v>
      </c>
      <c r="AB156" s="21">
        <f>H156*AA156</f>
        <v/>
      </c>
      <c r="AC156" s="23" t="n">
        <v>0.08</v>
      </c>
      <c r="AD156" s="21">
        <f>H156*AC156</f>
        <v/>
      </c>
      <c r="AE156" s="21">
        <f>AB156+AD156</f>
        <v/>
      </c>
      <c r="AF156" s="25">
        <f>AE156/H156</f>
        <v/>
      </c>
      <c r="AG156" s="26">
        <f>H156-O156-P156-Q156-R156-S156-T156-W156-Y156-Z156-M156-AL156</f>
        <v/>
      </c>
      <c r="AH156" s="27">
        <f>AG156-AE156</f>
        <v/>
      </c>
      <c r="AI156" s="28">
        <f>AH156/H156</f>
        <v/>
      </c>
      <c r="AJ156" s="29">
        <f>AH156/M156</f>
        <v/>
      </c>
      <c r="AK156" s="21">
        <f>(P156+R156+W156+Y156+Z156+M156)/(1-(N156+$H$4+(1-I156)*$H$3+$H$8+$H$11+AA156+AC156))</f>
        <v/>
      </c>
      <c r="AL156" s="90">
        <f>H156*$H$11</f>
        <v/>
      </c>
    </row>
    <row r="157">
      <c r="A157" s="46" t="inlineStr">
        <is>
          <t>MEDICUBE PDRN PINK EXOSOME SHOT SERUM 7500 30ml</t>
        </is>
      </c>
      <c r="B157" s="47" t="n">
        <v>400</v>
      </c>
      <c r="C157" s="49" t="n"/>
      <c r="E157" s="14" t="n">
        <v>5000</v>
      </c>
      <c r="F157" s="14" t="n">
        <v>60</v>
      </c>
      <c r="G157" s="14" t="n">
        <v>10</v>
      </c>
      <c r="H157" s="14" t="n">
        <v>4700</v>
      </c>
      <c r="I157" s="15" t="n">
        <v>0.45</v>
      </c>
      <c r="J157" s="16">
        <f>H157*(1-I157)</f>
        <v/>
      </c>
      <c r="K157" s="17" t="n">
        <v>833</v>
      </c>
      <c r="L157" s="18">
        <f>$H$5</f>
        <v/>
      </c>
      <c r="M157" s="19">
        <f>K157+L157</f>
        <v/>
      </c>
      <c r="N157" s="20" t="n">
        <v>0.41</v>
      </c>
      <c r="O157" s="21">
        <f>H157*N157</f>
        <v/>
      </c>
      <c r="P157" s="22" t="n">
        <v>63</v>
      </c>
      <c r="Q157" s="21">
        <f>H157*$H$8</f>
        <v/>
      </c>
      <c r="R157" s="22" t="n">
        <v>25</v>
      </c>
      <c r="S157" s="21">
        <f>H157*$H$4</f>
        <v/>
      </c>
      <c r="T157" s="21">
        <f>J157*$H$3</f>
        <v/>
      </c>
      <c r="U157" s="23" t="n">
        <v>0.9</v>
      </c>
      <c r="V157" s="22" t="n">
        <v>63</v>
      </c>
      <c r="W157" s="21">
        <f>V157*(1-U157)</f>
        <v/>
      </c>
      <c r="X157" s="24" t="n">
        <v>0.4</v>
      </c>
      <c r="Y157" s="21">
        <f>$H$6*$H$7*X157</f>
        <v/>
      </c>
      <c r="Z157" s="19">
        <f>X157*($H$9+$H$10)</f>
        <v/>
      </c>
      <c r="AA157" s="20" t="n">
        <v>0.07000000000000001</v>
      </c>
      <c r="AB157" s="21">
        <f>H157*AA157</f>
        <v/>
      </c>
      <c r="AC157" s="23" t="n">
        <v>0.08</v>
      </c>
      <c r="AD157" s="21">
        <f>H157*AC157</f>
        <v/>
      </c>
      <c r="AE157" s="21">
        <f>AB157+AD157</f>
        <v/>
      </c>
      <c r="AF157" s="25">
        <f>AE157/H157</f>
        <v/>
      </c>
      <c r="AG157" s="26">
        <f>H157-O157-P157-Q157-R157-S157-T157-W157-Y157-Z157-M157-AL157</f>
        <v/>
      </c>
      <c r="AH157" s="27">
        <f>AG157-AE157</f>
        <v/>
      </c>
      <c r="AI157" s="28">
        <f>AH157/H157</f>
        <v/>
      </c>
      <c r="AJ157" s="29">
        <f>AH157/M157</f>
        <v/>
      </c>
      <c r="AK157" s="21">
        <f>(P157+R157+W157+Y157+Z157+M157)/(1-(N157+$H$4+(1-I157)*$H$3+$H$8+$H$11+AA157+AC157))</f>
        <v/>
      </c>
      <c r="AL157" s="90">
        <f>H157*$H$11</f>
        <v/>
      </c>
    </row>
    <row r="158">
      <c r="A158" s="46" t="inlineStr">
        <is>
          <t>MEDICUBE PDRN PINK EXOSOME SHOT SERUM 2000 30ml</t>
        </is>
      </c>
      <c r="B158" s="47" t="n">
        <v>300</v>
      </c>
      <c r="C158" s="45" t="n"/>
      <c r="E158" s="14" t="n">
        <v>5150</v>
      </c>
      <c r="F158" s="14" t="n">
        <v>65</v>
      </c>
      <c r="G158" s="14" t="n">
        <v>5</v>
      </c>
      <c r="H158" s="14" t="n">
        <v>4850</v>
      </c>
      <c r="I158" s="15" t="n">
        <v>0.45</v>
      </c>
      <c r="J158" s="16">
        <f>H158*(1-I158)</f>
        <v/>
      </c>
      <c r="K158" s="17" t="n">
        <v>757</v>
      </c>
      <c r="L158" s="18">
        <f>$H$5</f>
        <v/>
      </c>
      <c r="M158" s="19">
        <f>K158+L158</f>
        <v/>
      </c>
      <c r="N158" s="20" t="n">
        <v>0.41</v>
      </c>
      <c r="O158" s="21">
        <f>H158*N158</f>
        <v/>
      </c>
      <c r="P158" s="22" t="n">
        <v>63</v>
      </c>
      <c r="Q158" s="21">
        <f>H158*$H$8</f>
        <v/>
      </c>
      <c r="R158" s="22" t="n">
        <v>25</v>
      </c>
      <c r="S158" s="21">
        <f>H158*$H$4</f>
        <v/>
      </c>
      <c r="T158" s="21">
        <f>J158*$H$3</f>
        <v/>
      </c>
      <c r="U158" s="23" t="n">
        <v>0.9</v>
      </c>
      <c r="V158" s="22" t="n">
        <v>63</v>
      </c>
      <c r="W158" s="21">
        <f>V158*(1-U158)</f>
        <v/>
      </c>
      <c r="X158" s="24" t="n">
        <v>0.4</v>
      </c>
      <c r="Y158" s="21">
        <f>$H$6*$H$7*X158</f>
        <v/>
      </c>
      <c r="Z158" s="19">
        <f>X158*($H$9+$H$10)</f>
        <v/>
      </c>
      <c r="AA158" s="20" t="n">
        <v>0.07000000000000001</v>
      </c>
      <c r="AB158" s="21">
        <f>H158*AA158</f>
        <v/>
      </c>
      <c r="AC158" s="23" t="n">
        <v>0.08</v>
      </c>
      <c r="AD158" s="21">
        <f>H158*AC158</f>
        <v/>
      </c>
      <c r="AE158" s="21">
        <f>AB158+AD158</f>
        <v/>
      </c>
      <c r="AF158" s="25">
        <f>AE158/H158</f>
        <v/>
      </c>
      <c r="AG158" s="26">
        <f>H158-O158-P158-Q158-R158-S158-T158-W158-Y158-Z158-M158-AL158</f>
        <v/>
      </c>
      <c r="AH158" s="27">
        <f>AG158-AE158</f>
        <v/>
      </c>
      <c r="AI158" s="28">
        <f>AH158/H158</f>
        <v/>
      </c>
      <c r="AJ158" s="29">
        <f>AH158/M158</f>
        <v/>
      </c>
      <c r="AK158" s="21">
        <f>(P158+R158+W158+Y158+Z158+M158)/(1-(N158+$H$4+(1-I158)*$H$3+$H$8+$H$11+AA158+AC158))</f>
        <v/>
      </c>
      <c r="AL158" s="90">
        <f>H158*$H$11</f>
        <v/>
      </c>
    </row>
    <row r="159">
      <c r="A159" s="46" t="inlineStr">
        <is>
          <t>MEDICUBE TXA NIACINAMIDE CAPSULE CREAM 55g</t>
        </is>
      </c>
      <c r="B159" s="47" t="n">
        <v>240</v>
      </c>
      <c r="C159" s="45" t="n"/>
      <c r="E159" s="14" t="n">
        <v>6900</v>
      </c>
      <c r="F159" s="14" t="n">
        <v>25</v>
      </c>
      <c r="G159" s="14" t="n">
        <v>0</v>
      </c>
      <c r="H159" s="14" t="n">
        <v>6500</v>
      </c>
      <c r="I159" s="15" t="n">
        <v>0.45</v>
      </c>
      <c r="J159" s="16">
        <f>H159*(1-I159)</f>
        <v/>
      </c>
      <c r="K159" s="17" t="n">
        <v>922</v>
      </c>
      <c r="L159" s="18">
        <f>$H$5</f>
        <v/>
      </c>
      <c r="M159" s="19">
        <f>K159+L159</f>
        <v/>
      </c>
      <c r="N159" s="20" t="n">
        <v>0.41</v>
      </c>
      <c r="O159" s="21">
        <f>H159*N159</f>
        <v/>
      </c>
      <c r="P159" s="22" t="n">
        <v>63</v>
      </c>
      <c r="Q159" s="21">
        <f>H159*$H$8</f>
        <v/>
      </c>
      <c r="R159" s="22" t="n">
        <v>25</v>
      </c>
      <c r="S159" s="21">
        <f>H159*$H$4</f>
        <v/>
      </c>
      <c r="T159" s="21">
        <f>J159*$H$3</f>
        <v/>
      </c>
      <c r="U159" s="23" t="n">
        <v>0.9</v>
      </c>
      <c r="V159" s="22" t="n">
        <v>63</v>
      </c>
      <c r="W159" s="21">
        <f>V159*(1-U159)</f>
        <v/>
      </c>
      <c r="X159" s="24" t="n">
        <v>0.4</v>
      </c>
      <c r="Y159" s="21">
        <f>$H$6*$H$7*X159</f>
        <v/>
      </c>
      <c r="Z159" s="19">
        <f>X159*($H$9+$H$10)</f>
        <v/>
      </c>
      <c r="AA159" s="20" t="n">
        <v>0.07000000000000001</v>
      </c>
      <c r="AB159" s="21">
        <f>H159*AA159</f>
        <v/>
      </c>
      <c r="AC159" s="23" t="n">
        <v>0.08</v>
      </c>
      <c r="AD159" s="21">
        <f>H159*AC159</f>
        <v/>
      </c>
      <c r="AE159" s="21">
        <f>AB159+AD159</f>
        <v/>
      </c>
      <c r="AF159" s="25">
        <f>AE159/H159</f>
        <v/>
      </c>
      <c r="AG159" s="26">
        <f>H159-O159-P159-Q159-R159-S159-T159-W159-Y159-Z159-M159-AL159</f>
        <v/>
      </c>
      <c r="AH159" s="27">
        <f>AG159-AE159</f>
        <v/>
      </c>
      <c r="AI159" s="28">
        <f>AH159/H159</f>
        <v/>
      </c>
      <c r="AJ159" s="29">
        <f>AH159/M159</f>
        <v/>
      </c>
      <c r="AK159" s="21">
        <f>(P159+R159+W159+Y159+Z159+M159)/(1-(N159+$H$4+(1-I159)*$H$3+$H$8+$H$11+AA159+AC159))</f>
        <v/>
      </c>
      <c r="AL159" s="90">
        <f>H159*$H$11</f>
        <v/>
      </c>
    </row>
    <row r="160">
      <c r="A160" s="46" t="inlineStr">
        <is>
          <t>MEDICUBE PDRN PINK COLLAGEN CAPSULE CREAM 55g</t>
        </is>
      </c>
      <c r="B160" s="47" t="n">
        <v>160</v>
      </c>
      <c r="C160" s="45" t="n"/>
      <c r="E160" s="14" t="n">
        <v>5270</v>
      </c>
      <c r="F160" s="14" t="n">
        <v>200</v>
      </c>
      <c r="G160" s="14" t="n">
        <v>17</v>
      </c>
      <c r="H160" s="14" t="n">
        <v>5000</v>
      </c>
      <c r="I160" s="15" t="n">
        <v>0.45</v>
      </c>
      <c r="J160" s="16">
        <f>H160*(1-I160)</f>
        <v/>
      </c>
      <c r="K160" s="17" t="n">
        <v>1019</v>
      </c>
      <c r="L160" s="18">
        <f>$H$5</f>
        <v/>
      </c>
      <c r="M160" s="19">
        <f>K160+L160</f>
        <v/>
      </c>
      <c r="N160" s="20" t="n">
        <v>0.41</v>
      </c>
      <c r="O160" s="21">
        <f>H160*N160</f>
        <v/>
      </c>
      <c r="P160" s="22" t="n">
        <v>63</v>
      </c>
      <c r="Q160" s="21">
        <f>H160*$H$8</f>
        <v/>
      </c>
      <c r="R160" s="22" t="n">
        <v>25</v>
      </c>
      <c r="S160" s="21">
        <f>H160*$H$4</f>
        <v/>
      </c>
      <c r="T160" s="21">
        <f>J160*$H$3</f>
        <v/>
      </c>
      <c r="U160" s="23" t="n">
        <v>0.9</v>
      </c>
      <c r="V160" s="22" t="n">
        <v>63</v>
      </c>
      <c r="W160" s="21">
        <f>V160*(1-U160)</f>
        <v/>
      </c>
      <c r="X160" s="24" t="n">
        <v>0.4</v>
      </c>
      <c r="Y160" s="21">
        <f>$H$6*$H$7*X160</f>
        <v/>
      </c>
      <c r="Z160" s="19">
        <f>X160*($H$9+$H$10)</f>
        <v/>
      </c>
      <c r="AA160" s="20" t="n">
        <v>0.07000000000000001</v>
      </c>
      <c r="AB160" s="21">
        <f>H160*AA160</f>
        <v/>
      </c>
      <c r="AC160" s="23" t="n">
        <v>0.08</v>
      </c>
      <c r="AD160" s="21">
        <f>H160*AC160</f>
        <v/>
      </c>
      <c r="AE160" s="21">
        <f>AB160+AD160</f>
        <v/>
      </c>
      <c r="AF160" s="25">
        <f>AE160/H160</f>
        <v/>
      </c>
      <c r="AG160" s="26">
        <f>H160-O160-P160-Q160-R160-S160-T160-W160-Y160-Z160-M160-AL160</f>
        <v/>
      </c>
      <c r="AH160" s="27">
        <f>AG160-AE160</f>
        <v/>
      </c>
      <c r="AI160" s="28">
        <f>AH160/H160</f>
        <v/>
      </c>
      <c r="AJ160" s="29">
        <f>AH160/M160</f>
        <v/>
      </c>
      <c r="AK160" s="21">
        <f>(P160+R160+W160+Y160+Z160+M160)/(1-(N160+$H$4+(1-I160)*$H$3+$H$8+$H$11+AA160+AC160))</f>
        <v/>
      </c>
      <c r="AL160" s="90">
        <f>H160*$H$11</f>
        <v/>
      </c>
    </row>
    <row r="161">
      <c r="A161" s="46" t="inlineStr">
        <is>
          <t>MEDICUBE PDRN PINK HYALURONIC MOISTURIZING CREAM 50ml</t>
        </is>
      </c>
      <c r="B161" s="47" t="n">
        <v>200</v>
      </c>
      <c r="C161" s="45" t="n"/>
      <c r="E161" s="14" t="n">
        <v>3450</v>
      </c>
      <c r="F161" s="14" t="n">
        <v>100</v>
      </c>
      <c r="G161" s="14" t="n">
        <v>10</v>
      </c>
      <c r="H161" s="14" t="n">
        <v>3150</v>
      </c>
      <c r="I161" s="15" t="n">
        <v>0.45</v>
      </c>
      <c r="J161" s="16">
        <f>H161*(1-I161)</f>
        <v/>
      </c>
      <c r="K161" s="17" t="n">
        <v>670</v>
      </c>
      <c r="L161" s="18">
        <f>$H$5</f>
        <v/>
      </c>
      <c r="M161" s="19">
        <f>K161+L161</f>
        <v/>
      </c>
      <c r="N161" s="20" t="n">
        <v>0.41</v>
      </c>
      <c r="O161" s="21">
        <f>H161*N161</f>
        <v/>
      </c>
      <c r="P161" s="22" t="n">
        <v>63</v>
      </c>
      <c r="Q161" s="21">
        <f>H161*$H$8</f>
        <v/>
      </c>
      <c r="R161" s="22" t="n">
        <v>25</v>
      </c>
      <c r="S161" s="21">
        <f>H161*$H$4</f>
        <v/>
      </c>
      <c r="T161" s="21">
        <f>J161*$H$3</f>
        <v/>
      </c>
      <c r="U161" s="23" t="n">
        <v>0.9</v>
      </c>
      <c r="V161" s="22" t="n">
        <v>63</v>
      </c>
      <c r="W161" s="21">
        <f>V161*(1-U161)</f>
        <v/>
      </c>
      <c r="X161" s="24" t="n">
        <v>0.4</v>
      </c>
      <c r="Y161" s="21">
        <f>$H$6*$H$7*X161</f>
        <v/>
      </c>
      <c r="Z161" s="19">
        <f>X161*($H$9+$H$10)</f>
        <v/>
      </c>
      <c r="AA161" s="20" t="n">
        <v>0.07000000000000001</v>
      </c>
      <c r="AB161" s="21">
        <f>H161*AA161</f>
        <v/>
      </c>
      <c r="AC161" s="23" t="n">
        <v>0.08</v>
      </c>
      <c r="AD161" s="21">
        <f>H161*AC161</f>
        <v/>
      </c>
      <c r="AE161" s="21">
        <f>AB161+AD161</f>
        <v/>
      </c>
      <c r="AF161" s="25">
        <f>AE161/H161</f>
        <v/>
      </c>
      <c r="AG161" s="26">
        <f>H161-O161-P161-Q161-R161-S161-T161-W161-Y161-Z161-M161-AL161</f>
        <v/>
      </c>
      <c r="AH161" s="27">
        <f>AG161-AE161</f>
        <v/>
      </c>
      <c r="AI161" s="28">
        <f>AH161/H161</f>
        <v/>
      </c>
      <c r="AJ161" s="29">
        <f>AH161/M161</f>
        <v/>
      </c>
      <c r="AK161" s="21">
        <f>(P161+R161+W161+Y161+Z161+M161)/(1-(N161+$H$4+(1-I161)*$H$3+$H$8+$H$11+AA161+AC161))</f>
        <v/>
      </c>
      <c r="AL161" s="90">
        <f>H161*$H$11</f>
        <v/>
      </c>
    </row>
    <row r="162">
      <c r="A162" s="46" t="inlineStr">
        <is>
          <t>[Derma Factory] PDRN 4% Ampoule</t>
        </is>
      </c>
      <c r="B162" s="47" t="n">
        <v>1530</v>
      </c>
      <c r="C162" s="45" t="n"/>
      <c r="D162" s="111" t="n">
        <v>0</v>
      </c>
      <c r="E162" s="14" t="n">
        <v>3350</v>
      </c>
      <c r="F162" s="14" t="n">
        <v>400</v>
      </c>
      <c r="G162" s="14" t="n">
        <v>13</v>
      </c>
      <c r="H162" s="14" t="n">
        <v>3050</v>
      </c>
      <c r="I162" s="15" t="n">
        <v>0.45</v>
      </c>
      <c r="J162" s="16">
        <f>H162*(1-I162)</f>
        <v/>
      </c>
      <c r="K162" s="17" t="n">
        <v>407</v>
      </c>
      <c r="L162" s="18">
        <f>$H$5</f>
        <v/>
      </c>
      <c r="M162" s="19">
        <f>K162+L162</f>
        <v/>
      </c>
      <c r="N162" s="20" t="n">
        <v>0.41</v>
      </c>
      <c r="O162" s="21">
        <f>H162*N162</f>
        <v/>
      </c>
      <c r="P162" s="22" t="n">
        <v>63</v>
      </c>
      <c r="Q162" s="21">
        <f>H162*$H$8</f>
        <v/>
      </c>
      <c r="R162" s="22" t="n">
        <v>25</v>
      </c>
      <c r="S162" s="21">
        <f>H162*$H$4</f>
        <v/>
      </c>
      <c r="T162" s="21">
        <f>J162*$H$3</f>
        <v/>
      </c>
      <c r="U162" s="23" t="n">
        <v>0.9</v>
      </c>
      <c r="V162" s="22" t="n">
        <v>63</v>
      </c>
      <c r="W162" s="21">
        <f>V162*(1-U162)</f>
        <v/>
      </c>
      <c r="X162" s="24" t="n">
        <v>0.4</v>
      </c>
      <c r="Y162" s="21">
        <f>$H$6*$H$7*X162</f>
        <v/>
      </c>
      <c r="Z162" s="19">
        <f>X162*($H$9+$H$10)</f>
        <v/>
      </c>
      <c r="AA162" s="20" t="n">
        <v>0.07000000000000001</v>
      </c>
      <c r="AB162" s="21">
        <f>H162*AA162</f>
        <v/>
      </c>
      <c r="AC162" s="23" t="n">
        <v>0.08</v>
      </c>
      <c r="AD162" s="21">
        <f>H162*AC162</f>
        <v/>
      </c>
      <c r="AE162" s="21">
        <f>AB162+AD162</f>
        <v/>
      </c>
      <c r="AF162" s="25">
        <f>AE162/H162</f>
        <v/>
      </c>
      <c r="AG162" s="26">
        <f>H162-O162-P162-Q162-R162-S162-T162-W162-Y162-Z162-M162-AL162</f>
        <v/>
      </c>
      <c r="AH162" s="27">
        <f>AG162-AE162</f>
        <v/>
      </c>
      <c r="AI162" s="28">
        <f>AH162/H162</f>
        <v/>
      </c>
      <c r="AJ162" s="29">
        <f>AH162/M162</f>
        <v/>
      </c>
      <c r="AK162" s="21">
        <f>(P162+R162+W162+Y162+Z162+M162)/(1-(N162+$H$4+(1-I162)*$H$3+$H$8+$H$11+AA162+AC162))</f>
        <v/>
      </c>
      <c r="AL162" s="90">
        <f>H162*$H$11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63"/>
  <sheetViews>
    <sheetView tabSelected="1" zoomScale="70" zoomScaleNormal="70" workbookViewId="0">
      <pane xSplit="8" ySplit="13" topLeftCell="I1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D6" sqref="D6"/>
    </sheetView>
  </sheetViews>
  <sheetFormatPr baseColWidth="8" defaultRowHeight="14.5"/>
  <cols>
    <col width="62.7265625" customWidth="1" min="1" max="1"/>
    <col width="12.08984375" customWidth="1" min="2" max="2"/>
    <col width="18.81640625" customWidth="1" min="3" max="3"/>
    <col width="10" customWidth="1" min="4" max="4"/>
    <col width="11.08984375" customWidth="1" min="5" max="5"/>
    <col width="11.26953125" customWidth="1" min="6" max="6"/>
    <col width="10" customWidth="1" min="7" max="7"/>
    <col width="7.453125" customWidth="1" min="8" max="8"/>
    <col width="8.54296875" customWidth="1" min="9" max="9"/>
    <col width="7.7265625" customWidth="1" min="10" max="10"/>
    <col width="9.81640625" customWidth="1" min="11" max="11"/>
    <col width="7.08984375" customWidth="1" min="12" max="12"/>
    <col width="9.453125" customWidth="1" min="13" max="13"/>
    <col width="13.453125" customWidth="1" min="14" max="14"/>
    <col width="13.26953125" customWidth="1" min="15" max="15"/>
    <col width="9.26953125" customWidth="1" min="16" max="16"/>
    <col width="9.453125" customWidth="1" min="17" max="17"/>
    <col width="10" customWidth="1" min="18" max="18"/>
    <col width="6.453125" customWidth="1" min="19" max="19"/>
    <col width="9" customWidth="1" min="20" max="20"/>
    <col width="8.26953125" customWidth="1" min="21" max="21"/>
    <col width="13" customWidth="1" min="22" max="22"/>
    <col width="9.453125" customWidth="1" min="23" max="23"/>
    <col width="10" customWidth="1" min="24" max="24"/>
    <col width="13.453125" customWidth="1" min="25" max="25"/>
    <col width="10" customWidth="1" min="26" max="26"/>
    <col width="13" customWidth="1" min="27" max="27"/>
    <col width="8.7265625" customWidth="1" min="28" max="28"/>
    <col width="13" customWidth="1" min="29" max="29"/>
    <col width="9" customWidth="1" min="30" max="30"/>
    <col width="6.81640625" customWidth="1" min="31" max="31"/>
    <col width="10.453125" customWidth="1" min="32" max="32"/>
    <col width="8.54296875" customWidth="1" min="33" max="33"/>
    <col width="9.7265625" customWidth="1" min="34" max="34"/>
    <col width="6.453125" customWidth="1" min="35" max="35"/>
    <col width="9.08984375" customWidth="1" min="36" max="36"/>
    <col width="13" customWidth="1" min="37" max="38"/>
  </cols>
  <sheetData>
    <row r="1" ht="15.5" customHeight="1">
      <c r="A1" s="55" t="inlineStr">
        <is>
          <t>ПАРАМЕТРЫ — меняй жёлтые ячейки, всё пересчитается</t>
        </is>
      </c>
    </row>
    <row r="2"/>
    <row r="3">
      <c r="A3" s="45" t="inlineStr">
        <is>
          <t>Налог с оборота</t>
        </is>
      </c>
      <c r="H3" s="56" t="n">
        <v>0.07000000000000001</v>
      </c>
    </row>
    <row r="4">
      <c r="A4" s="45" t="inlineStr">
        <is>
          <t>Эквайринг</t>
        </is>
      </c>
      <c r="H4" s="57" t="n">
        <v>0.015</v>
      </c>
    </row>
    <row r="5">
      <c r="A5" s="45" t="inlineStr">
        <is>
          <t>Фулфилмент, ₽/шт</t>
        </is>
      </c>
      <c r="H5" s="58" t="n">
        <v>60</v>
      </c>
    </row>
    <row r="6">
      <c r="A6" s="45" t="inlineStr">
        <is>
          <t>Хранение, ₽/л/день</t>
        </is>
      </c>
      <c r="H6" s="59" t="n">
        <v>0.16</v>
      </c>
    </row>
    <row r="7">
      <c r="A7" s="45" t="inlineStr">
        <is>
          <t>Дней хранения</t>
        </is>
      </c>
      <c r="H7" s="58" t="n">
        <v>0</v>
      </c>
    </row>
    <row r="8">
      <c r="A8" s="45" t="inlineStr">
        <is>
          <t>Наценка за нелокальные продажи %</t>
        </is>
      </c>
      <c r="H8" s="57" t="n">
        <v>0.02</v>
      </c>
    </row>
    <row r="9">
      <c r="A9" s="45" t="inlineStr">
        <is>
          <t>Кроссдок: обработка (склады/СЦ) ₽/л</t>
        </is>
      </c>
      <c r="H9" s="59" t="n">
        <v>0.75</v>
      </c>
    </row>
    <row r="10">
      <c r="A10" s="45" t="inlineStr">
        <is>
          <t>Кроссдок: перевозка ₽/л (средн. 26 скл.)</t>
        </is>
      </c>
      <c r="H10" s="59" t="n">
        <v>4.423</v>
      </c>
    </row>
    <row r="11">
      <c r="A11" t="inlineStr">
        <is>
          <t>Подписка, %</t>
        </is>
      </c>
      <c r="H11" s="60" t="n">
        <v>0.03</v>
      </c>
    </row>
    <row r="12">
      <c r="A12" t="inlineStr">
        <is>
          <t>Отгрузка на ПВЗ, ₽</t>
        </is>
      </c>
      <c r="H12" s="61" t="n">
        <v>10</v>
      </c>
    </row>
    <row r="13" ht="32" customHeight="1">
      <c r="A13" s="62" t="inlineStr">
        <is>
          <t>Товар</t>
        </is>
      </c>
      <c r="B13" s="62" t="inlineStr">
        <is>
          <t>Заказ контейнер шт</t>
        </is>
      </c>
      <c r="C13" s="62" t="inlineStr">
        <is>
          <t>Комментарий</t>
        </is>
      </c>
      <c r="D13" s="110" t="inlineStr">
        <is>
          <t>Остаток</t>
        </is>
      </c>
      <c r="E13" s="62" t="inlineStr">
        <is>
          <t>Цена конкурента без СПП</t>
        </is>
      </c>
      <c r="F13" s="62" t="inlineStr">
        <is>
          <t>Кол-во продаж конкурент</t>
        </is>
      </c>
      <c r="G13" s="62" t="inlineStr">
        <is>
          <t>ДРР конкурент</t>
        </is>
      </c>
      <c r="H13" s="62" t="inlineStr">
        <is>
          <t>Цена наша без СПП</t>
        </is>
      </c>
      <c r="I13" s="6" t="inlineStr">
        <is>
          <t>СПП, %</t>
        </is>
      </c>
      <c r="J13" s="7" t="inlineStr">
        <is>
          <t>Цена с СПП</t>
        </is>
      </c>
      <c r="K13" s="62" t="inlineStr">
        <is>
          <t>Себест.</t>
        </is>
      </c>
      <c r="L13" s="62" t="inlineStr">
        <is>
          <t>Фулфилмент</t>
        </is>
      </c>
      <c r="M13" s="8" t="inlineStr">
        <is>
          <t>База затрат</t>
        </is>
      </c>
      <c r="N13" s="7" t="inlineStr">
        <is>
          <t>Комиссия %</t>
        </is>
      </c>
      <c r="O13" s="62" t="inlineStr">
        <is>
          <t>Комиссия ₽</t>
        </is>
      </c>
      <c r="P13" s="62" t="inlineStr">
        <is>
          <t>Логистика</t>
        </is>
      </c>
      <c r="Q13" s="62" t="inlineStr">
        <is>
          <t>Наценка нелок., ₽</t>
        </is>
      </c>
      <c r="R13" s="62" t="inlineStr">
        <is>
          <t>Доставка до ПВЗ</t>
        </is>
      </c>
      <c r="S13" s="62" t="inlineStr">
        <is>
          <t>Эквайринг</t>
        </is>
      </c>
      <c r="T13" s="62" t="inlineStr">
        <is>
          <t>Налог</t>
        </is>
      </c>
      <c r="U13" s="62" t="inlineStr">
        <is>
          <t>Выкуп %</t>
        </is>
      </c>
      <c r="V13" s="62" t="inlineStr">
        <is>
          <t>Обр.лог база</t>
        </is>
      </c>
      <c r="W13" s="62" t="inlineStr">
        <is>
          <t>Обр.лог</t>
        </is>
      </c>
      <c r="X13" s="62" t="inlineStr">
        <is>
          <t>Объём, л</t>
        </is>
      </c>
      <c r="Y13" s="62" t="inlineStr">
        <is>
          <t>Хранение</t>
        </is>
      </c>
      <c r="Z13" s="8" t="inlineStr">
        <is>
          <t>Кроссдок ср., ₽/ед</t>
        </is>
      </c>
      <c r="AA13" s="7" t="inlineStr">
        <is>
          <t>Оплата за клик, %</t>
        </is>
      </c>
      <c r="AB13" s="62" t="inlineStr">
        <is>
          <t>Оплата за клик ₽</t>
        </is>
      </c>
      <c r="AC13" s="62" t="inlineStr">
        <is>
          <t>Вывод в топ, %</t>
        </is>
      </c>
      <c r="AD13" s="62" t="inlineStr">
        <is>
          <t>Вывод в топ ₽</t>
        </is>
      </c>
      <c r="AE13" s="62" t="inlineStr">
        <is>
          <t>Реклама всего ₽</t>
        </is>
      </c>
      <c r="AF13" s="8" t="inlineStr">
        <is>
          <t>ДРР %</t>
        </is>
      </c>
      <c r="AG13" s="9" t="inlineStr">
        <is>
          <t>Маржа до рекл.</t>
        </is>
      </c>
      <c r="AH13" s="62" t="inlineStr">
        <is>
          <t>Маржа/шт</t>
        </is>
      </c>
      <c r="AI13" s="62" t="inlineStr">
        <is>
          <t>Маржа % цены</t>
        </is>
      </c>
      <c r="AJ13" s="62" t="inlineStr">
        <is>
          <t>ROI %</t>
        </is>
      </c>
      <c r="AK13" s="62" t="inlineStr">
        <is>
          <t>Цена безубыт.</t>
        </is>
      </c>
      <c r="AL13" s="63" t="inlineStr">
        <is>
          <t>Отгрузка на ПВЗ, ₽</t>
        </is>
      </c>
      <c r="AM13" s="63" t="inlineStr">
        <is>
          <t>Подписка, ₽</t>
        </is>
      </c>
    </row>
    <row r="14">
      <c r="A14" s="64" t="inlineStr">
        <is>
          <t>Косметика/COSRX</t>
        </is>
      </c>
      <c r="B14" s="65" t="n"/>
      <c r="C14" s="65" t="n"/>
      <c r="E14" s="65" t="n"/>
      <c r="F14" s="65" t="n"/>
      <c r="G14" s="65" t="n"/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65" t="n"/>
      <c r="R14" s="65" t="n"/>
      <c r="S14" s="65" t="n"/>
      <c r="T14" s="65" t="n"/>
      <c r="U14" s="65" t="n"/>
      <c r="V14" s="65" t="n"/>
      <c r="W14" s="65" t="n"/>
      <c r="X14" s="65" t="n"/>
      <c r="Y14" s="65" t="n"/>
      <c r="Z14" s="65" t="n"/>
      <c r="AA14" s="65" t="n"/>
      <c r="AB14" s="65" t="n"/>
      <c r="AC14" s="65" t="n"/>
      <c r="AD14" s="65" t="n"/>
      <c r="AE14" s="65" t="n"/>
      <c r="AF14" s="65" t="n"/>
      <c r="AG14" s="65" t="n"/>
      <c r="AH14" s="65" t="n"/>
      <c r="AI14" s="65" t="n"/>
      <c r="AJ14" s="65" t="n"/>
      <c r="AK14" s="65" t="n"/>
      <c r="AL14" s="65" t="n"/>
      <c r="AM14" s="65" t="n"/>
    </row>
    <row r="15" ht="29" customHeight="1">
      <c r="A15" s="66" t="inlineStr">
        <is>
          <t>COSRX - Salicylic Acid Daily Gentle Cleanser [150ml] / Пенка с салициловой кислотой для проблемной кожи</t>
        </is>
      </c>
      <c r="B15" s="67" t="n"/>
      <c r="C15" s="68" t="n"/>
      <c r="D15" s="111" t="n">
        <v>412</v>
      </c>
      <c r="E15" s="69" t="n">
        <v>1680</v>
      </c>
      <c r="F15" s="69" t="n">
        <v>286</v>
      </c>
      <c r="G15" s="69" t="n">
        <v>22.3</v>
      </c>
      <c r="H15" s="69">
        <f>(1.25*M15+P15+R15+W15+Y15+Z15+AL15)/(1-N15-$H$8-$H$4-(1-I15)*$H$3-$H$11-AA15-AC15)</f>
        <v/>
      </c>
      <c r="I15" s="15" t="n">
        <v>0.45</v>
      </c>
      <c r="J15" s="16">
        <f>H15*(1-I15)</f>
        <v/>
      </c>
      <c r="K15" s="70" t="n">
        <v>343.82</v>
      </c>
      <c r="L15" s="71">
        <f>$H$5</f>
        <v/>
      </c>
      <c r="M15" s="19">
        <f>K15+L15</f>
        <v/>
      </c>
      <c r="N15" s="20" t="n">
        <v>0.47</v>
      </c>
      <c r="O15" s="72">
        <f>H15*N15</f>
        <v/>
      </c>
      <c r="P15" s="73" t="n">
        <v>67</v>
      </c>
      <c r="Q15" s="72">
        <f>H15*$H$8</f>
        <v/>
      </c>
      <c r="R15" s="73" t="n">
        <v>25</v>
      </c>
      <c r="S15" s="72">
        <f>H15*$H$4</f>
        <v/>
      </c>
      <c r="T15" s="72">
        <f>J15*$H$3</f>
        <v/>
      </c>
      <c r="U15" s="74" t="n">
        <v>0.9</v>
      </c>
      <c r="V15" s="73" t="n">
        <v>67</v>
      </c>
      <c r="W15" s="72">
        <f>V15*(1-U15)</f>
        <v/>
      </c>
      <c r="X15" s="75" t="n">
        <v>0.63</v>
      </c>
      <c r="Y15" s="72">
        <f>$H$6*$H$7*X15</f>
        <v/>
      </c>
      <c r="Z15" s="19">
        <f>X15*($H$9+$H$10)</f>
        <v/>
      </c>
      <c r="AA15" s="20" t="n">
        <v>0.11</v>
      </c>
      <c r="AB15" s="72">
        <f>H15*AA15</f>
        <v/>
      </c>
      <c r="AC15" s="74" t="n">
        <v>0.11</v>
      </c>
      <c r="AD15" s="72">
        <f>H15*AC15</f>
        <v/>
      </c>
      <c r="AE15" s="72">
        <f>AB15+AD15</f>
        <v/>
      </c>
      <c r="AF15" s="25">
        <f>AE15/H15</f>
        <v/>
      </c>
      <c r="AG15" s="26">
        <f>H15-O15-P15-Q15-R15-S15-T15-W15-Y15-Z15-M15-AL15-AM15</f>
        <v/>
      </c>
      <c r="AH15" s="76">
        <f>AG15-AE15</f>
        <v/>
      </c>
      <c r="AI15" s="77">
        <f>AH15/H15</f>
        <v/>
      </c>
      <c r="AJ15" s="78">
        <f>AH15/M15</f>
        <v/>
      </c>
      <c r="AK15" s="72">
        <f>(P15+R15+W15+Y15+Z15+M15+AL15)/(1-(N15+$H$4+(1-I15)*$H$3+$H$8+$H$11+AA15+AC15))</f>
        <v/>
      </c>
      <c r="AL15" s="72">
        <f>$H$12</f>
        <v/>
      </c>
      <c r="AM15" s="72">
        <f>H15*$H$11</f>
        <v/>
      </c>
    </row>
    <row r="16">
      <c r="A16" s="64" t="inlineStr">
        <is>
          <t>Косметика/DEOPROCE/DEOPROCE-SHAMPOO</t>
        </is>
      </c>
      <c r="B16" s="65" t="n"/>
      <c r="C16" s="65" t="n"/>
      <c r="E16" s="65" t="n"/>
      <c r="F16" s="65" t="n"/>
      <c r="G16" s="65" t="n"/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65" t="n"/>
      <c r="R16" s="65" t="n"/>
      <c r="S16" s="65" t="n"/>
      <c r="T16" s="65" t="n"/>
      <c r="U16" s="65" t="n"/>
      <c r="V16" s="65" t="n"/>
      <c r="W16" s="65" t="n"/>
      <c r="X16" s="65" t="n"/>
      <c r="Y16" s="65" t="n"/>
      <c r="Z16" s="65" t="n"/>
      <c r="AA16" s="65" t="n"/>
      <c r="AB16" s="65" t="n"/>
      <c r="AC16" s="65" t="n"/>
      <c r="AD16" s="65" t="n"/>
      <c r="AE16" s="65" t="n"/>
      <c r="AF16" s="65" t="n"/>
      <c r="AG16" s="65" t="n"/>
      <c r="AH16" s="65" t="n"/>
      <c r="AI16" s="65" t="n"/>
      <c r="AJ16" s="65" t="n"/>
      <c r="AK16" s="65" t="n"/>
      <c r="AL16" s="65" t="n"/>
      <c r="AM16" s="65" t="n"/>
    </row>
    <row r="17" ht="43.5" customHeight="1">
      <c r="A17" s="79" t="inlineStr">
        <is>
          <t>DEOPROCE SHAMPOO - BLACK GARLIC INTENSME ENERGY [600ml] мягкая упаковка Шампунь с черным чесноком против выпадения волос</t>
        </is>
      </c>
      <c r="B17" s="80" t="n"/>
      <c r="C17" s="80" t="n"/>
      <c r="D17" s="111" t="n">
        <v>72</v>
      </c>
      <c r="E17" s="81" t="n"/>
      <c r="F17" s="81" t="n"/>
      <c r="G17" s="81" t="n"/>
      <c r="H17" s="81" t="n"/>
      <c r="I17" s="32" t="n"/>
      <c r="J17" s="33" t="n"/>
      <c r="K17" s="82" t="n"/>
      <c r="L17" s="82" t="n"/>
      <c r="M17" s="35" t="n"/>
      <c r="N17" s="36" t="n"/>
      <c r="O17" s="81" t="n"/>
      <c r="P17" s="81" t="n"/>
      <c r="Q17" s="81" t="n"/>
      <c r="R17" s="81" t="n"/>
      <c r="S17" s="81" t="n"/>
      <c r="T17" s="81" t="n"/>
      <c r="U17" s="83" t="n"/>
      <c r="V17" s="81" t="n"/>
      <c r="W17" s="81" t="n"/>
      <c r="X17" s="84" t="n"/>
      <c r="Y17" s="81" t="n"/>
      <c r="Z17" s="35" t="n"/>
      <c r="AA17" s="36" t="n"/>
      <c r="AB17" s="81" t="n"/>
      <c r="AC17" s="83" t="n"/>
      <c r="AD17" s="81" t="n"/>
      <c r="AE17" s="81" t="n"/>
      <c r="AF17" s="39" t="n"/>
      <c r="AG17" s="40" t="n"/>
      <c r="AH17" s="81" t="n"/>
      <c r="AI17" s="83" t="n"/>
      <c r="AJ17" s="83" t="n"/>
      <c r="AK17" s="81" t="n"/>
      <c r="AL17" s="81" t="n"/>
      <c r="AM17" s="81" t="n"/>
    </row>
    <row r="18" ht="43.5" customHeight="1">
      <c r="A18" s="79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8" s="80" t="n"/>
      <c r="C18" s="80" t="n"/>
      <c r="D18" s="111" t="n">
        <v>19</v>
      </c>
      <c r="E18" s="81" t="n"/>
      <c r="F18" s="81" t="n"/>
      <c r="G18" s="81" t="n"/>
      <c r="H18" s="81" t="n"/>
      <c r="I18" s="32" t="n"/>
      <c r="J18" s="33" t="n"/>
      <c r="K18" s="82" t="n"/>
      <c r="L18" s="82" t="n"/>
      <c r="M18" s="35" t="n"/>
      <c r="N18" s="36" t="n"/>
      <c r="O18" s="81" t="n"/>
      <c r="P18" s="81" t="n"/>
      <c r="Q18" s="81" t="n"/>
      <c r="R18" s="81" t="n"/>
      <c r="S18" s="81" t="n"/>
      <c r="T18" s="81" t="n"/>
      <c r="U18" s="83" t="n"/>
      <c r="V18" s="81" t="n"/>
      <c r="W18" s="81" t="n"/>
      <c r="X18" s="84" t="n"/>
      <c r="Y18" s="81" t="n"/>
      <c r="Z18" s="35" t="n"/>
      <c r="AA18" s="36" t="n"/>
      <c r="AB18" s="81" t="n"/>
      <c r="AC18" s="83" t="n"/>
      <c r="AD18" s="81" t="n"/>
      <c r="AE18" s="81" t="n"/>
      <c r="AF18" s="39" t="n"/>
      <c r="AG18" s="40" t="n"/>
      <c r="AH18" s="81" t="n"/>
      <c r="AI18" s="83" t="n"/>
      <c r="AJ18" s="83" t="n"/>
      <c r="AK18" s="81" t="n"/>
      <c r="AL18" s="81" t="n"/>
      <c r="AM18" s="81" t="n"/>
    </row>
    <row r="19" ht="29" customHeight="1">
      <c r="A19" s="66" t="inlineStr">
        <is>
          <t>DEOPROCE SHAMPOO - BLACK GARLIC INTENSME ENERGY [200ml]/ Шампунь с черным чесноком против выпадения волос</t>
        </is>
      </c>
      <c r="B19" s="67" t="n"/>
      <c r="C19" s="68" t="n"/>
      <c r="D19" s="111" t="n">
        <v>370</v>
      </c>
      <c r="E19" s="69" t="n">
        <v>980</v>
      </c>
      <c r="F19" s="69" t="n">
        <v>8</v>
      </c>
      <c r="G19" s="69" t="n">
        <v>0</v>
      </c>
      <c r="H19" s="69">
        <f>(1.25*M19+P19+R19+W19+Y19+Z19+AL19)/(1-N19-$H$8-$H$4-(1-I19)*$H$3-$H$11-AA19-AC19)</f>
        <v/>
      </c>
      <c r="I19" s="15" t="n">
        <v>0.45</v>
      </c>
      <c r="J19" s="16">
        <f>H19*(1-I19)</f>
        <v/>
      </c>
      <c r="K19" s="70" t="n">
        <v>151.13</v>
      </c>
      <c r="L19" s="71">
        <f>$H$5</f>
        <v/>
      </c>
      <c r="M19" s="19">
        <f>K19+L19</f>
        <v/>
      </c>
      <c r="N19" s="20" t="n">
        <v>0.47</v>
      </c>
      <c r="O19" s="72">
        <f>H19*N19</f>
        <v/>
      </c>
      <c r="P19" s="73" t="n">
        <v>67</v>
      </c>
      <c r="Q19" s="72">
        <f>H19*$H$8</f>
        <v/>
      </c>
      <c r="R19" s="73" t="n">
        <v>25</v>
      </c>
      <c r="S19" s="72">
        <f>H19*$H$4</f>
        <v/>
      </c>
      <c r="T19" s="72">
        <f>J19*$H$3</f>
        <v/>
      </c>
      <c r="U19" s="74" t="n">
        <v>0.9</v>
      </c>
      <c r="V19" s="73" t="n">
        <v>67</v>
      </c>
      <c r="W19" s="72">
        <f>V19*(1-U19)</f>
        <v/>
      </c>
      <c r="X19" s="75" t="n">
        <v>0.68</v>
      </c>
      <c r="Y19" s="72">
        <f>$H$6*$H$7*X19</f>
        <v/>
      </c>
      <c r="Z19" s="19">
        <f>X19*($H$9+$H$10)</f>
        <v/>
      </c>
      <c r="AA19" s="20" t="n">
        <v>0.07000000000000001</v>
      </c>
      <c r="AB19" s="72">
        <f>H19*AA19</f>
        <v/>
      </c>
      <c r="AC19" s="74" t="n">
        <v>0.08</v>
      </c>
      <c r="AD19" s="72">
        <f>H19*AC19</f>
        <v/>
      </c>
      <c r="AE19" s="72">
        <f>AB19+AD19</f>
        <v/>
      </c>
      <c r="AF19" s="25">
        <f>AE19/H19</f>
        <v/>
      </c>
      <c r="AG19" s="26">
        <f>H19-O19-P19-Q19-R19-S19-T19-W19-Y19-Z19-M19-AL19-AM19</f>
        <v/>
      </c>
      <c r="AH19" s="76">
        <f>AG19-AE19</f>
        <v/>
      </c>
      <c r="AI19" s="77">
        <f>AH19/H19</f>
        <v/>
      </c>
      <c r="AJ19" s="78">
        <f>AH19/M19</f>
        <v/>
      </c>
      <c r="AK19" s="72">
        <f>(P19+R19+W19+Y19+Z19+M19+AL19)/(1-(N19+$H$4+(1-I19)*$H$3+$H$8+$H$11+AA19+AC19))</f>
        <v/>
      </c>
      <c r="AL19" s="72">
        <f>$H$12</f>
        <v/>
      </c>
      <c r="AM19" s="72">
        <f>H19*$H$11</f>
        <v/>
      </c>
    </row>
    <row r="20">
      <c r="A20" s="64" t="inlineStr">
        <is>
          <t>Косметика/DEOPROCE/НАБОР ШАМПУНЬ+БАЛЬЗАМ</t>
        </is>
      </c>
      <c r="B20" s="65" t="n"/>
      <c r="C20" s="65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5" t="n"/>
      <c r="S20" s="65" t="n"/>
      <c r="T20" s="65" t="n"/>
      <c r="U20" s="65" t="n"/>
      <c r="V20" s="65" t="n"/>
      <c r="W20" s="65" t="n"/>
      <c r="X20" s="65" t="n"/>
      <c r="Y20" s="65" t="n"/>
      <c r="Z20" s="65" t="n"/>
      <c r="AA20" s="65" t="n"/>
      <c r="AB20" s="65" t="n"/>
      <c r="AC20" s="65" t="n"/>
      <c r="AD20" s="65" t="n"/>
      <c r="AE20" s="65" t="n"/>
      <c r="AF20" s="65" t="n"/>
      <c r="AG20" s="65" t="n"/>
      <c r="AH20" s="65" t="n"/>
      <c r="AI20" s="65" t="n"/>
      <c r="AJ20" s="65" t="n"/>
      <c r="AK20" s="65" t="n"/>
      <c r="AL20" s="65" t="n"/>
      <c r="AM20" s="65" t="n"/>
    </row>
    <row r="21">
      <c r="A21" s="79" t="inlineStr">
        <is>
          <t>DEOPROCE SHAMPOO+BALSAM - BLACK GARLIC[2000ml]</t>
        </is>
      </c>
      <c r="B21" s="80" t="n"/>
      <c r="C21" s="80" t="n"/>
      <c r="D21" s="111" t="n">
        <v>447</v>
      </c>
      <c r="E21" s="81" t="n"/>
      <c r="F21" s="81" t="n"/>
      <c r="G21" s="81" t="n"/>
      <c r="H21" s="81" t="n"/>
      <c r="I21" s="32" t="n"/>
      <c r="J21" s="33" t="n"/>
      <c r="K21" s="82" t="n"/>
      <c r="L21" s="82" t="n"/>
      <c r="M21" s="35" t="n"/>
      <c r="N21" s="36" t="n"/>
      <c r="O21" s="81" t="n"/>
      <c r="P21" s="81" t="n"/>
      <c r="Q21" s="81" t="n"/>
      <c r="R21" s="81" t="n"/>
      <c r="S21" s="81" t="n"/>
      <c r="T21" s="81" t="n"/>
      <c r="U21" s="83" t="n"/>
      <c r="V21" s="81" t="n"/>
      <c r="W21" s="81" t="n"/>
      <c r="X21" s="84" t="n"/>
      <c r="Y21" s="81" t="n"/>
      <c r="Z21" s="35" t="n"/>
      <c r="AA21" s="36" t="n"/>
      <c r="AB21" s="81" t="n"/>
      <c r="AC21" s="83" t="n"/>
      <c r="AD21" s="81" t="n"/>
      <c r="AE21" s="81" t="n"/>
      <c r="AF21" s="39" t="n"/>
      <c r="AG21" s="40" t="n"/>
      <c r="AH21" s="81" t="n"/>
      <c r="AI21" s="83" t="n"/>
      <c r="AJ21" s="83" t="n"/>
      <c r="AK21" s="81" t="n"/>
      <c r="AL21" s="81" t="n"/>
      <c r="AM21" s="81" t="n"/>
    </row>
    <row r="22">
      <c r="A22" s="64" t="inlineStr">
        <is>
          <t>Косметика/DR.JART</t>
        </is>
      </c>
      <c r="B22" s="65" t="n"/>
      <c r="C22" s="65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65" t="n"/>
      <c r="R22" s="65" t="n"/>
      <c r="S22" s="65" t="n"/>
      <c r="T22" s="65" t="n"/>
      <c r="U22" s="65" t="n"/>
      <c r="V22" s="65" t="n"/>
      <c r="W22" s="65" t="n"/>
      <c r="X22" s="65" t="n"/>
      <c r="Y22" s="65" t="n"/>
      <c r="Z22" s="65" t="n"/>
      <c r="AA22" s="65" t="n"/>
      <c r="AB22" s="65" t="n"/>
      <c r="AC22" s="65" t="n"/>
      <c r="AD22" s="65" t="n"/>
      <c r="AE22" s="65" t="n"/>
      <c r="AF22" s="65" t="n"/>
      <c r="AG22" s="65" t="n"/>
      <c r="AH22" s="65" t="n"/>
      <c r="AI22" s="65" t="n"/>
      <c r="AJ22" s="65" t="n"/>
      <c r="AK22" s="65" t="n"/>
      <c r="AL22" s="65" t="n"/>
      <c r="AM22" s="65" t="n"/>
    </row>
    <row r="23" ht="29" customHeight="1">
      <c r="A23" s="66" t="inlineStr">
        <is>
          <t>DR. JART - Ctrl+A Teatreatment Toner [120ml] / Тонер тоник для лица увлажняющий с чайным деревом</t>
        </is>
      </c>
      <c r="B23" s="67" t="n"/>
      <c r="C23" s="68" t="n"/>
      <c r="D23" s="111" t="n">
        <v>180</v>
      </c>
      <c r="E23" s="69" t="n"/>
      <c r="F23" s="69" t="inlineStr">
        <is>
          <t>89 (Закончились)</t>
        </is>
      </c>
      <c r="G23" s="69" t="n">
        <v>9.199999999999999</v>
      </c>
      <c r="H23" s="69">
        <f>(1.25*M23+P23+R23+W23+Y23+Z23+AL23)/(1-N23-$H$8-$H$4-(1-I23)*$H$3-$H$11-AA23-AC23)</f>
        <v/>
      </c>
      <c r="I23" s="15" t="n">
        <v>0.45</v>
      </c>
      <c r="J23" s="16">
        <f>H23*(1-I23)</f>
        <v/>
      </c>
      <c r="K23" s="70" t="n">
        <v>637.89</v>
      </c>
      <c r="L23" s="71">
        <f>$H$5</f>
        <v/>
      </c>
      <c r="M23" s="19">
        <f>K23+L23</f>
        <v/>
      </c>
      <c r="N23" s="20" t="n">
        <v>0.47</v>
      </c>
      <c r="O23" s="72">
        <f>H23*N23</f>
        <v/>
      </c>
      <c r="P23" s="73" t="n">
        <v>63</v>
      </c>
      <c r="Q23" s="72">
        <f>H23*$H$8</f>
        <v/>
      </c>
      <c r="R23" s="73" t="n">
        <v>25</v>
      </c>
      <c r="S23" s="72">
        <f>H23*$H$4</f>
        <v/>
      </c>
      <c r="T23" s="72">
        <f>J23*$H$3</f>
        <v/>
      </c>
      <c r="U23" s="74" t="n">
        <v>0.9</v>
      </c>
      <c r="V23" s="73" t="n">
        <v>63</v>
      </c>
      <c r="W23" s="72">
        <f>V23*(1-U23)</f>
        <v/>
      </c>
      <c r="X23" s="75" t="n">
        <v>0.33</v>
      </c>
      <c r="Y23" s="72">
        <f>$H$6*$H$7*X23</f>
        <v/>
      </c>
      <c r="Z23" s="19">
        <f>X23*($H$9+$H$10)</f>
        <v/>
      </c>
      <c r="AA23" s="20" t="n">
        <v>0.07000000000000001</v>
      </c>
      <c r="AB23" s="72">
        <f>H23*AA23</f>
        <v/>
      </c>
      <c r="AC23" s="74" t="n">
        <v>0.08</v>
      </c>
      <c r="AD23" s="72">
        <f>H23*AC23</f>
        <v/>
      </c>
      <c r="AE23" s="72">
        <f>AB23+AD23</f>
        <v/>
      </c>
      <c r="AF23" s="25">
        <f>AE23/H23</f>
        <v/>
      </c>
      <c r="AG23" s="26">
        <f>H23-O23-P23-Q23-R23-S23-T23-W23-Y23-Z23-M23-AL23-AM23</f>
        <v/>
      </c>
      <c r="AH23" s="76">
        <f>AG23-AE23</f>
        <v/>
      </c>
      <c r="AI23" s="77">
        <f>AH23/H23</f>
        <v/>
      </c>
      <c r="AJ23" s="78">
        <f>AH23/M23</f>
        <v/>
      </c>
      <c r="AK23" s="72">
        <f>(P23+R23+W23+Y23+Z23+M23+AL23)/(1-(N23+$H$4+(1-I23)*$H$3+$H$8+$H$11+AA23+AC23))</f>
        <v/>
      </c>
      <c r="AL23" s="72">
        <f>$H$12</f>
        <v/>
      </c>
      <c r="AM23" s="72">
        <f>H23*$H$11</f>
        <v/>
      </c>
    </row>
    <row r="24">
      <c r="A24" s="64" t="inlineStr">
        <is>
          <t>Косметика/EKEL</t>
        </is>
      </c>
      <c r="B24" s="65" t="n"/>
      <c r="C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  <c r="AA24" s="65" t="n"/>
      <c r="AB24" s="65" t="n"/>
      <c r="AC24" s="65" t="n"/>
      <c r="AD24" s="65" t="n"/>
      <c r="AE24" s="65" t="n"/>
      <c r="AF24" s="65" t="n"/>
      <c r="AG24" s="65" t="n"/>
      <c r="AH24" s="65" t="n"/>
      <c r="AI24" s="65" t="n"/>
      <c r="AJ24" s="65" t="n"/>
      <c r="AK24" s="65" t="n"/>
      <c r="AL24" s="65" t="n"/>
      <c r="AM24" s="65" t="n"/>
    </row>
    <row r="25" ht="29" customHeight="1">
      <c r="A25" s="66" t="inlineStr">
        <is>
          <t>EKEL - Ampule Сream Сollagen [70ml] / Крем для лица ампульный с коллагеном</t>
        </is>
      </c>
      <c r="B25" s="67" t="n"/>
      <c r="C25" s="68" t="n"/>
      <c r="D25" s="111" t="n">
        <v>50</v>
      </c>
      <c r="E25" s="69" t="n">
        <v>1280</v>
      </c>
      <c r="F25" s="69" t="n">
        <v>4</v>
      </c>
      <c r="G25" s="69" t="n">
        <v>0</v>
      </c>
      <c r="H25" s="69">
        <f>(1.25*M25+P25+R25+W25+Y25+Z25+AL25)/(1-N25-$H$8-$H$4-(1-I25)*$H$3-$H$11-AA25-AC25)</f>
        <v/>
      </c>
      <c r="I25" s="15" t="n">
        <v>0.45</v>
      </c>
      <c r="J25" s="16">
        <f>H25*(1-I25)</f>
        <v/>
      </c>
      <c r="K25" s="70" t="n">
        <v>142.13</v>
      </c>
      <c r="L25" s="71">
        <f>$H$5</f>
        <v/>
      </c>
      <c r="M25" s="19">
        <f>K25+L25</f>
        <v/>
      </c>
      <c r="N25" s="20" t="n">
        <v>0.47</v>
      </c>
      <c r="O25" s="72">
        <f>H25*N25</f>
        <v/>
      </c>
      <c r="P25" s="73" t="n">
        <v>67</v>
      </c>
      <c r="Q25" s="72">
        <f>H25*$H$8</f>
        <v/>
      </c>
      <c r="R25" s="73" t="n">
        <v>25</v>
      </c>
      <c r="S25" s="72">
        <f>H25*$H$4</f>
        <v/>
      </c>
      <c r="T25" s="72">
        <f>J25*$H$3</f>
        <v/>
      </c>
      <c r="U25" s="74" t="n">
        <v>0.9</v>
      </c>
      <c r="V25" s="73" t="n">
        <v>67</v>
      </c>
      <c r="W25" s="72">
        <f>V25*(1-U25)</f>
        <v/>
      </c>
      <c r="X25" s="75" t="n">
        <v>0.42</v>
      </c>
      <c r="Y25" s="72">
        <f>$H$6*$H$7*X25</f>
        <v/>
      </c>
      <c r="Z25" s="19">
        <f>X25*($H$9+$H$10)</f>
        <v/>
      </c>
      <c r="AA25" s="20" t="n">
        <v>0.07000000000000001</v>
      </c>
      <c r="AB25" s="72">
        <f>H25*AA25</f>
        <v/>
      </c>
      <c r="AC25" s="74" t="n">
        <v>0.08</v>
      </c>
      <c r="AD25" s="72">
        <f>H25*AC25</f>
        <v/>
      </c>
      <c r="AE25" s="72">
        <f>AB25+AD25</f>
        <v/>
      </c>
      <c r="AF25" s="25">
        <f>AE25/H25</f>
        <v/>
      </c>
      <c r="AG25" s="26">
        <f>H25-O25-P25-Q25-R25-S25-T25-W25-Y25-Z25-M25-AL25-AM25</f>
        <v/>
      </c>
      <c r="AH25" s="76">
        <f>AG25-AE25</f>
        <v/>
      </c>
      <c r="AI25" s="77">
        <f>AH25/H25</f>
        <v/>
      </c>
      <c r="AJ25" s="78">
        <f>AH25/M25</f>
        <v/>
      </c>
      <c r="AK25" s="72">
        <f>(P25+R25+W25+Y25+Z25+M25+AL25)/(1-(N25+$H$4+(1-I25)*$H$3+$H$8+$H$11+AA25+AC25))</f>
        <v/>
      </c>
      <c r="AL25" s="72">
        <f>$H$12</f>
        <v/>
      </c>
      <c r="AM25" s="72">
        <f>H25*$H$11</f>
        <v/>
      </c>
    </row>
    <row r="26">
      <c r="A26" s="64" t="inlineStr">
        <is>
          <t>Косметика/ELIZAVECCA</t>
        </is>
      </c>
      <c r="B26" s="65" t="n"/>
      <c r="C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65" t="n"/>
      <c r="Z26" s="65" t="n"/>
      <c r="AA26" s="65" t="n"/>
      <c r="AB26" s="65" t="n"/>
      <c r="AC26" s="65" t="n"/>
      <c r="AD26" s="65" t="n"/>
      <c r="AE26" s="65" t="n"/>
      <c r="AF26" s="65" t="n"/>
      <c r="AG26" s="65" t="n"/>
      <c r="AH26" s="65" t="n"/>
      <c r="AI26" s="65" t="n"/>
      <c r="AJ26" s="65" t="n"/>
      <c r="AK26" s="65" t="n"/>
      <c r="AL26" s="65" t="n"/>
      <c r="AM26" s="65" t="n"/>
    </row>
    <row r="27" ht="29" customHeight="1">
      <c r="A27" s="66" t="inlineStr">
        <is>
          <t>ELIZAVECCA - CER-100 Collagen Ceramide Coating Protein Treatment [100ml] / Коллагеновая маска для волос</t>
        </is>
      </c>
      <c r="B27" s="67" t="n"/>
      <c r="C27" s="68" t="n"/>
      <c r="D27" s="111" t="n">
        <v>453</v>
      </c>
      <c r="E27" s="69" t="n">
        <v>1315</v>
      </c>
      <c r="F27" s="69" t="n">
        <v>150</v>
      </c>
      <c r="G27" s="69" t="n">
        <v>0</v>
      </c>
      <c r="H27" s="69">
        <f>(1.25*M27+P27+R27+W27+Y27+Z27+AL27)/(1-N27-$H$8-$H$4-(1-I27)*$H$3-$H$11-AA27-AC27)</f>
        <v/>
      </c>
      <c r="I27" s="15" t="n">
        <v>0.45</v>
      </c>
      <c r="J27" s="16">
        <f>H27*(1-I27)</f>
        <v/>
      </c>
      <c r="K27" s="70" t="n">
        <v>242.23</v>
      </c>
      <c r="L27" s="71">
        <f>$H$5</f>
        <v/>
      </c>
      <c r="M27" s="19">
        <f>K27+L27</f>
        <v/>
      </c>
      <c r="N27" s="20" t="n">
        <v>0.47</v>
      </c>
      <c r="O27" s="72">
        <f>H27*N27</f>
        <v/>
      </c>
      <c r="P27" s="73" t="n">
        <v>67</v>
      </c>
      <c r="Q27" s="72">
        <f>H27*$H$8</f>
        <v/>
      </c>
      <c r="R27" s="73" t="n">
        <v>25</v>
      </c>
      <c r="S27" s="72">
        <f>H27*$H$4</f>
        <v/>
      </c>
      <c r="T27" s="72">
        <f>J27*$H$3</f>
        <v/>
      </c>
      <c r="U27" s="74" t="n">
        <v>0.9</v>
      </c>
      <c r="V27" s="73" t="n">
        <v>67</v>
      </c>
      <c r="W27" s="72">
        <f>V27*(1-U27)</f>
        <v/>
      </c>
      <c r="X27" s="75" t="n">
        <v>0.46</v>
      </c>
      <c r="Y27" s="72">
        <f>$H$6*$H$7*X27</f>
        <v/>
      </c>
      <c r="Z27" s="19">
        <f>X27*($H$9+$H$10)</f>
        <v/>
      </c>
      <c r="AA27" s="20" t="n">
        <v>0.07000000000000001</v>
      </c>
      <c r="AB27" s="72">
        <f>H27*AA27</f>
        <v/>
      </c>
      <c r="AC27" s="74" t="n">
        <v>0.08</v>
      </c>
      <c r="AD27" s="72">
        <f>H27*AC27</f>
        <v/>
      </c>
      <c r="AE27" s="72">
        <f>AB27+AD27</f>
        <v/>
      </c>
      <c r="AF27" s="25">
        <f>AE27/H27</f>
        <v/>
      </c>
      <c r="AG27" s="26">
        <f>H27-O27-P27-Q27-R27-S27-T27-W27-Y27-Z27-M27-AL27-AM27</f>
        <v/>
      </c>
      <c r="AH27" s="76">
        <f>AG27-AE27</f>
        <v/>
      </c>
      <c r="AI27" s="77">
        <f>AH27/H27</f>
        <v/>
      </c>
      <c r="AJ27" s="78">
        <f>AH27/M27</f>
        <v/>
      </c>
      <c r="AK27" s="72">
        <f>(P27+R27+W27+Y27+Z27+M27+AL27)/(1-(N27+$H$4+(1-I27)*$H$3+$H$8+$H$11+AA27+AC27))</f>
        <v/>
      </c>
      <c r="AL27" s="72">
        <f>$H$12</f>
        <v/>
      </c>
      <c r="AM27" s="72">
        <f>H27*$H$11</f>
        <v/>
      </c>
    </row>
    <row r="28" ht="29" customHeight="1">
      <c r="A28" s="66" t="inlineStr">
        <is>
          <t>ELIZAVECCA - Hell-Pore Galactomyces Pure Ample / Сыворотка для лица с экстрактом галактомисиса</t>
        </is>
      </c>
      <c r="B28" s="67" t="n"/>
      <c r="C28" s="68" t="inlineStr">
        <is>
          <t>не смогла найти с продажами</t>
        </is>
      </c>
      <c r="D28" s="111" t="n">
        <v>50</v>
      </c>
      <c r="E28" s="69" t="n"/>
      <c r="F28" s="69" t="n"/>
      <c r="G28" s="69" t="n"/>
      <c r="H28" s="69">
        <f>(1.25*M28+P28+R28+W28+Y28+Z28+AL28)/(1-N28-$H$8-$H$4-(1-I28)*$H$3-$H$11-AA28-AC28)</f>
        <v/>
      </c>
      <c r="I28" s="15" t="n">
        <v>0.45</v>
      </c>
      <c r="J28" s="16">
        <f>H28*(1-I28)</f>
        <v/>
      </c>
      <c r="K28" s="70" t="n">
        <v>447.64</v>
      </c>
      <c r="L28" s="71">
        <f>$H$5</f>
        <v/>
      </c>
      <c r="M28" s="19">
        <f>K28+L28</f>
        <v/>
      </c>
      <c r="N28" s="20" t="n">
        <v>0.47</v>
      </c>
      <c r="O28" s="72">
        <f>H28*N28</f>
        <v/>
      </c>
      <c r="P28" s="73" t="n">
        <v>63</v>
      </c>
      <c r="Q28" s="72">
        <f>H28*$H$8</f>
        <v/>
      </c>
      <c r="R28" s="73" t="n">
        <v>25</v>
      </c>
      <c r="S28" s="72">
        <f>H28*$H$4</f>
        <v/>
      </c>
      <c r="T28" s="72">
        <f>J28*$H$3</f>
        <v/>
      </c>
      <c r="U28" s="74" t="n">
        <v>0.9</v>
      </c>
      <c r="V28" s="73" t="n">
        <v>63</v>
      </c>
      <c r="W28" s="72">
        <f>V28*(1-U28)</f>
        <v/>
      </c>
      <c r="X28" s="75" t="n">
        <v>0.3</v>
      </c>
      <c r="Y28" s="72">
        <f>$H$6*$H$7*X28</f>
        <v/>
      </c>
      <c r="Z28" s="19">
        <f>X28*($H$9+$H$10)</f>
        <v/>
      </c>
      <c r="AA28" s="20" t="n">
        <v>0.07000000000000001</v>
      </c>
      <c r="AB28" s="72">
        <f>H28*AA28</f>
        <v/>
      </c>
      <c r="AC28" s="74" t="n">
        <v>0.08</v>
      </c>
      <c r="AD28" s="72">
        <f>H28*AC28</f>
        <v/>
      </c>
      <c r="AE28" s="72">
        <f>AB28+AD28</f>
        <v/>
      </c>
      <c r="AF28" s="25">
        <f>AE28/H28</f>
        <v/>
      </c>
      <c r="AG28" s="26">
        <f>H28-O28-P28-Q28-R28-S28-T28-W28-Y28-Z28-M28-AL28-AM28</f>
        <v/>
      </c>
      <c r="AH28" s="76">
        <f>AG28-AE28</f>
        <v/>
      </c>
      <c r="AI28" s="77">
        <f>AH28/H28</f>
        <v/>
      </c>
      <c r="AJ28" s="78">
        <f>AH28/M28</f>
        <v/>
      </c>
      <c r="AK28" s="72">
        <f>(P28+R28+W28+Y28+Z28+M28+AL28)/(1-(N28+$H$4+(1-I28)*$H$3+$H$8+$H$11+AA28+AC28))</f>
        <v/>
      </c>
      <c r="AL28" s="72">
        <f>$H$12</f>
        <v/>
      </c>
      <c r="AM28" s="72">
        <f>H28*$H$11</f>
        <v/>
      </c>
    </row>
    <row r="29" ht="29" customHeight="1">
      <c r="A29" s="66" t="inlineStr">
        <is>
          <t>ELIZAVECCA - Milky Piggy EGF elastic retinol [100ml] / Антивозрастной крем для лица с ретинолом и EGF</t>
        </is>
      </c>
      <c r="B29" s="67" t="n"/>
      <c r="C29" s="68" t="n"/>
      <c r="D29" s="111" t="n">
        <v>235</v>
      </c>
      <c r="E29" s="69" t="n">
        <v>1841</v>
      </c>
      <c r="F29" s="69" t="n">
        <v>47</v>
      </c>
      <c r="G29" s="69" t="n">
        <v>0</v>
      </c>
      <c r="H29" s="69">
        <f>(1.25*M29+P29+R29+W29+Y29+Z29+AL29)/(1-N29-$H$8-$H$4-(1-I29)*$H$3-$H$11-AA29-AC29)</f>
        <v/>
      </c>
      <c r="I29" s="15" t="n">
        <v>0.45</v>
      </c>
      <c r="J29" s="16">
        <f>H29*(1-I29)</f>
        <v/>
      </c>
      <c r="K29" s="70" t="n">
        <v>602.1799999999999</v>
      </c>
      <c r="L29" s="71">
        <f>$H$5</f>
        <v/>
      </c>
      <c r="M29" s="19">
        <f>K29+L29</f>
        <v/>
      </c>
      <c r="N29" s="20" t="n">
        <v>0.47</v>
      </c>
      <c r="O29" s="72">
        <f>H29*N29</f>
        <v/>
      </c>
      <c r="P29" s="73" t="n">
        <v>67</v>
      </c>
      <c r="Q29" s="72">
        <f>H29*$H$8</f>
        <v/>
      </c>
      <c r="R29" s="73" t="n">
        <v>25</v>
      </c>
      <c r="S29" s="72">
        <f>H29*$H$4</f>
        <v/>
      </c>
      <c r="T29" s="72">
        <f>J29*$H$3</f>
        <v/>
      </c>
      <c r="U29" s="74" t="n">
        <v>0.9</v>
      </c>
      <c r="V29" s="73" t="n">
        <v>67</v>
      </c>
      <c r="W29" s="72">
        <f>V29*(1-U29)</f>
        <v/>
      </c>
      <c r="X29" s="75" t="n">
        <v>0.58</v>
      </c>
      <c r="Y29" s="72">
        <f>$H$6*$H$7*X29</f>
        <v/>
      </c>
      <c r="Z29" s="19">
        <f>X29*($H$9+$H$10)</f>
        <v/>
      </c>
      <c r="AA29" s="20" t="n">
        <v>0.07000000000000001</v>
      </c>
      <c r="AB29" s="72">
        <f>H29*AA29</f>
        <v/>
      </c>
      <c r="AC29" s="74" t="n">
        <v>0.08</v>
      </c>
      <c r="AD29" s="72">
        <f>H29*AC29</f>
        <v/>
      </c>
      <c r="AE29" s="72">
        <f>AB29+AD29</f>
        <v/>
      </c>
      <c r="AF29" s="25">
        <f>AE29/H29</f>
        <v/>
      </c>
      <c r="AG29" s="26">
        <f>H29-O29-P29-Q29-R29-S29-T29-W29-Y29-Z29-M29-AL29-AM29</f>
        <v/>
      </c>
      <c r="AH29" s="76">
        <f>AG29-AE29</f>
        <v/>
      </c>
      <c r="AI29" s="77">
        <f>AH29/H29</f>
        <v/>
      </c>
      <c r="AJ29" s="78">
        <f>AH29/M29</f>
        <v/>
      </c>
      <c r="AK29" s="72">
        <f>(P29+R29+W29+Y29+Z29+M29+AL29)/(1-(N29+$H$4+(1-I29)*$H$3+$H$8+$H$11+AA29+AC29))</f>
        <v/>
      </c>
      <c r="AL29" s="72">
        <f>$H$12</f>
        <v/>
      </c>
      <c r="AM29" s="72">
        <f>H29*$H$11</f>
        <v/>
      </c>
    </row>
    <row r="30">
      <c r="A30" s="64" t="inlineStr">
        <is>
          <t>Косметика/ENOUGH</t>
        </is>
      </c>
      <c r="B30" s="65" t="n"/>
      <c r="C30" s="65" t="n"/>
      <c r="E30" s="65" t="n"/>
      <c r="F30" s="65" t="n"/>
      <c r="G30" s="65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65" t="n"/>
      <c r="U30" s="65" t="n"/>
      <c r="V30" s="65" t="n"/>
      <c r="W30" s="65" t="n"/>
      <c r="X30" s="65" t="n"/>
      <c r="Y30" s="65" t="n"/>
      <c r="Z30" s="65" t="n"/>
      <c r="AA30" s="65" t="n"/>
      <c r="AB30" s="65" t="n"/>
      <c r="AC30" s="65" t="n"/>
      <c r="AD30" s="65" t="n"/>
      <c r="AE30" s="65" t="n"/>
      <c r="AF30" s="65" t="n"/>
      <c r="AG30" s="65" t="n"/>
      <c r="AH30" s="65" t="n"/>
      <c r="AI30" s="65" t="n"/>
      <c r="AJ30" s="65" t="n"/>
      <c r="AK30" s="65" t="n"/>
      <c r="AL30" s="65" t="n"/>
      <c r="AM30" s="65" t="n"/>
    </row>
    <row r="31" ht="29" customHeight="1">
      <c r="A31" s="66" t="inlineStr">
        <is>
          <t>ENOUGH - Collagen Moisture Essential Cream [50ml] / Увлажняющий крем для лица с коллагеном</t>
        </is>
      </c>
      <c r="B31" s="67" t="n"/>
      <c r="C31" s="68" t="inlineStr">
        <is>
          <t>260-382 (много подделок)</t>
        </is>
      </c>
      <c r="E31" s="69" t="n">
        <v>424</v>
      </c>
      <c r="F31" s="69" t="n">
        <v>166</v>
      </c>
      <c r="G31" s="69" t="n">
        <v>17</v>
      </c>
      <c r="H31" s="69">
        <f>(1.25*M31+P31+R31+W31+Y31+Z31+AL31)/(1-N31-$H$8-$H$4-(1-I31)*$H$3-$H$11-AA31-AC31)</f>
        <v/>
      </c>
      <c r="I31" s="15" t="n">
        <v>0.45</v>
      </c>
      <c r="J31" s="16">
        <f>H31*(1-I31)</f>
        <v/>
      </c>
      <c r="K31" s="70" t="n">
        <v>161.3</v>
      </c>
      <c r="L31" s="71">
        <f>$H$5</f>
        <v/>
      </c>
      <c r="M31" s="19">
        <f>K31+L31</f>
        <v/>
      </c>
      <c r="N31" s="20" t="n">
        <v>0.47</v>
      </c>
      <c r="O31" s="72">
        <f>H31*N31</f>
        <v/>
      </c>
      <c r="P31" s="73" t="n">
        <v>67</v>
      </c>
      <c r="Q31" s="72">
        <f>H31*$H$8</f>
        <v/>
      </c>
      <c r="R31" s="73" t="n">
        <v>25</v>
      </c>
      <c r="S31" s="72">
        <f>H31*$H$4</f>
        <v/>
      </c>
      <c r="T31" s="72">
        <f>J31*$H$3</f>
        <v/>
      </c>
      <c r="U31" s="74" t="n">
        <v>0.9</v>
      </c>
      <c r="V31" s="73" t="n">
        <v>67</v>
      </c>
      <c r="W31" s="72">
        <f>V31*(1-U31)</f>
        <v/>
      </c>
      <c r="X31" s="75" t="n">
        <v>0.72</v>
      </c>
      <c r="Y31" s="72">
        <f>$H$6*$H$7*X31</f>
        <v/>
      </c>
      <c r="Z31" s="19">
        <f>X31*($H$9+$H$10)</f>
        <v/>
      </c>
      <c r="AA31" s="20" t="n">
        <v>0.07000000000000001</v>
      </c>
      <c r="AB31" s="72">
        <f>H31*AA31</f>
        <v/>
      </c>
      <c r="AC31" s="74" t="n">
        <v>0.08</v>
      </c>
      <c r="AD31" s="72">
        <f>H31*AC31</f>
        <v/>
      </c>
      <c r="AE31" s="72">
        <f>AB31+AD31</f>
        <v/>
      </c>
      <c r="AF31" s="25">
        <f>AE31/H31</f>
        <v/>
      </c>
      <c r="AG31" s="26">
        <f>H31-O31-P31-Q31-R31-S31-T31-W31-Y31-Z31-M31-AL31-AM31</f>
        <v/>
      </c>
      <c r="AH31" s="76">
        <f>AG31-AE31</f>
        <v/>
      </c>
      <c r="AI31" s="77">
        <f>AH31/H31</f>
        <v/>
      </c>
      <c r="AJ31" s="78">
        <f>AH31/M31</f>
        <v/>
      </c>
      <c r="AK31" s="72">
        <f>(P31+R31+W31+Y31+Z31+M31+AL31)/(1-(N31+$H$4+(1-I31)*$H$3+$H$8+$H$11+AA31+AC31))</f>
        <v/>
      </c>
      <c r="AL31" s="72">
        <f>$H$12</f>
        <v/>
      </c>
      <c r="AM31" s="72">
        <f>H31*$H$11</f>
        <v/>
      </c>
    </row>
    <row r="32" ht="29" customHeight="1">
      <c r="A32" s="66" t="inlineStr">
        <is>
          <t>ENOUGH - Collagen Whitening Moisture Cream 3in1 [50g] / Антивозрастной отбеливающий крем с коллагеном</t>
        </is>
      </c>
      <c r="B32" s="67" t="n"/>
      <c r="C32" s="68" t="n"/>
      <c r="D32" s="111" t="n">
        <v>761</v>
      </c>
      <c r="E32" s="69" t="n">
        <v>827</v>
      </c>
      <c r="F32" s="69" t="n">
        <v>96</v>
      </c>
      <c r="G32" s="69" t="n">
        <v>20</v>
      </c>
      <c r="H32" s="69">
        <f>(1.25*M32+P32+R32+W32+Y32+Z32+AL32)/(1-N32-$H$8-$H$4-(1-I32)*$H$3-$H$11-AA32-AC32)</f>
        <v/>
      </c>
      <c r="I32" s="15" t="n">
        <v>0.45</v>
      </c>
      <c r="J32" s="16">
        <f>H32*(1-I32)</f>
        <v/>
      </c>
      <c r="K32" s="70" t="n">
        <v>183.88</v>
      </c>
      <c r="L32" s="71">
        <f>$H$5</f>
        <v/>
      </c>
      <c r="M32" s="19">
        <f>K32+L32</f>
        <v/>
      </c>
      <c r="N32" s="20" t="n">
        <v>0.47</v>
      </c>
      <c r="O32" s="72">
        <f>H32*N32</f>
        <v/>
      </c>
      <c r="P32" s="73" t="n">
        <v>67</v>
      </c>
      <c r="Q32" s="72">
        <f>H32*$H$8</f>
        <v/>
      </c>
      <c r="R32" s="73" t="n">
        <v>25</v>
      </c>
      <c r="S32" s="72">
        <f>H32*$H$4</f>
        <v/>
      </c>
      <c r="T32" s="72">
        <f>J32*$H$3</f>
        <v/>
      </c>
      <c r="U32" s="74" t="n">
        <v>0.9</v>
      </c>
      <c r="V32" s="73" t="n">
        <v>67</v>
      </c>
      <c r="W32" s="72">
        <f>V32*(1-U32)</f>
        <v/>
      </c>
      <c r="X32" s="75" t="n">
        <v>0.72</v>
      </c>
      <c r="Y32" s="72">
        <f>$H$6*$H$7*X32</f>
        <v/>
      </c>
      <c r="Z32" s="19">
        <f>X32*($H$9+$H$10)</f>
        <v/>
      </c>
      <c r="AA32" s="20" t="n">
        <v>0.07000000000000001</v>
      </c>
      <c r="AB32" s="72">
        <f>H32*AA32</f>
        <v/>
      </c>
      <c r="AC32" s="74" t="n">
        <v>0.08</v>
      </c>
      <c r="AD32" s="72">
        <f>H32*AC32</f>
        <v/>
      </c>
      <c r="AE32" s="72">
        <f>AB32+AD32</f>
        <v/>
      </c>
      <c r="AF32" s="25">
        <f>AE32/H32</f>
        <v/>
      </c>
      <c r="AG32" s="26">
        <f>H32-O32-P32-Q32-R32-S32-T32-W32-Y32-Z32-M32-AL32-AM32</f>
        <v/>
      </c>
      <c r="AH32" s="76">
        <f>AG32-AE32</f>
        <v/>
      </c>
      <c r="AI32" s="77">
        <f>AH32/H32</f>
        <v/>
      </c>
      <c r="AJ32" s="78">
        <f>AH32/M32</f>
        <v/>
      </c>
      <c r="AK32" s="72">
        <f>(P32+R32+W32+Y32+Z32+M32+AL32)/(1-(N32+$H$4+(1-I32)*$H$3+$H$8+$H$11+AA32+AC32))</f>
        <v/>
      </c>
      <c r="AL32" s="72">
        <f>$H$12</f>
        <v/>
      </c>
      <c r="AM32" s="72">
        <f>H32*$H$11</f>
        <v/>
      </c>
    </row>
    <row r="33" ht="29" customHeight="1">
      <c r="A33" s="66" t="inlineStr">
        <is>
          <t>ENOUGH - Collagen Moisture Foundation [Tone 13] / Тональный крем для лица с коллагеном 13 тон</t>
        </is>
      </c>
      <c r="B33" s="67" t="n"/>
      <c r="C33" s="68" t="n"/>
      <c r="D33" s="111" t="n">
        <v>0</v>
      </c>
      <c r="E33" s="69" t="n">
        <v>1980</v>
      </c>
      <c r="F33" s="69" t="n">
        <v>195</v>
      </c>
      <c r="G33" s="69" t="n">
        <v>8</v>
      </c>
      <c r="H33" s="69">
        <f>(1.25*M33+P33+R33+W33+Y33+Z33+AL33)/(1-N33-$H$8-$H$4-(1-I33)*$H$3-$H$11-AA33-AC33)</f>
        <v/>
      </c>
      <c r="I33" s="15" t="n">
        <v>0.45</v>
      </c>
      <c r="J33" s="16">
        <f>H33*(1-I33)</f>
        <v/>
      </c>
      <c r="K33" s="70" t="n">
        <v>216.45</v>
      </c>
      <c r="L33" s="71">
        <f>$H$5</f>
        <v/>
      </c>
      <c r="M33" s="19">
        <f>K33+L33</f>
        <v/>
      </c>
      <c r="N33" s="20" t="n">
        <v>0.47</v>
      </c>
      <c r="O33" s="72">
        <f>H33*N33</f>
        <v/>
      </c>
      <c r="P33" s="73" t="n">
        <v>67</v>
      </c>
      <c r="Q33" s="72">
        <f>H33*$H$8</f>
        <v/>
      </c>
      <c r="R33" s="73" t="n">
        <v>25</v>
      </c>
      <c r="S33" s="72">
        <f>H33*$H$4</f>
        <v/>
      </c>
      <c r="T33" s="72">
        <f>J33*$H$3</f>
        <v/>
      </c>
      <c r="U33" s="74" t="n">
        <v>0.9</v>
      </c>
      <c r="V33" s="73" t="n">
        <v>67</v>
      </c>
      <c r="W33" s="72">
        <f>V33*(1-U33)</f>
        <v/>
      </c>
      <c r="X33" s="75" t="n">
        <v>0.4</v>
      </c>
      <c r="Y33" s="72">
        <f>$H$6*$H$7*X33</f>
        <v/>
      </c>
      <c r="Z33" s="19">
        <f>X33*($H$9+$H$10)</f>
        <v/>
      </c>
      <c r="AA33" s="20" t="n">
        <v>0.07000000000000001</v>
      </c>
      <c r="AB33" s="72">
        <f>H33*AA33</f>
        <v/>
      </c>
      <c r="AC33" s="74" t="n">
        <v>0.08</v>
      </c>
      <c r="AD33" s="72">
        <f>H33*AC33</f>
        <v/>
      </c>
      <c r="AE33" s="72">
        <f>AB33+AD33</f>
        <v/>
      </c>
      <c r="AF33" s="25">
        <f>AE33/H33</f>
        <v/>
      </c>
      <c r="AG33" s="26">
        <f>H33-O33-P33-Q33-R33-S33-T33-W33-Y33-Z33-M33-AL33-AM33</f>
        <v/>
      </c>
      <c r="AH33" s="76">
        <f>AG33-AE33</f>
        <v/>
      </c>
      <c r="AI33" s="77">
        <f>AH33/H33</f>
        <v/>
      </c>
      <c r="AJ33" s="78">
        <f>AH33/M33</f>
        <v/>
      </c>
      <c r="AK33" s="72">
        <f>(P33+R33+W33+Y33+Z33+M33+AL33)/(1-(N33+$H$4+(1-I33)*$H$3+$H$8+$H$11+AA33+AC33))</f>
        <v/>
      </c>
      <c r="AL33" s="72">
        <f>$H$12</f>
        <v/>
      </c>
      <c r="AM33" s="72">
        <f>H33*$H$11</f>
        <v/>
      </c>
    </row>
    <row r="34" ht="29" customHeight="1">
      <c r="A34" s="66" t="inlineStr">
        <is>
          <t>ENOUGH - Collagen Moisture Foundation [Tone 21] / Тональный крем для лица с коллагеном 21 тон</t>
        </is>
      </c>
      <c r="B34" s="67" t="n"/>
      <c r="C34" s="68" t="n"/>
      <c r="D34" s="111" t="n">
        <v>0</v>
      </c>
      <c r="E34" s="69" t="n">
        <v>1910</v>
      </c>
      <c r="F34" s="69" t="n">
        <v>121</v>
      </c>
      <c r="G34" s="69" t="n">
        <v>7.3</v>
      </c>
      <c r="H34" s="69">
        <f>(1.25*M34+P34+R34+W34+Y34+Z34+AL34)/(1-N34-$H$8-$H$4-(1-I34)*$H$3-$H$11-AA34-AC34)</f>
        <v/>
      </c>
      <c r="I34" s="15" t="n">
        <v>0.45</v>
      </c>
      <c r="J34" s="16">
        <f>H34*(1-I34)</f>
        <v/>
      </c>
      <c r="K34" s="70" t="n">
        <v>242.88</v>
      </c>
      <c r="L34" s="71">
        <f>$H$5</f>
        <v/>
      </c>
      <c r="M34" s="19">
        <f>K34+L34</f>
        <v/>
      </c>
      <c r="N34" s="20" t="n">
        <v>0.47</v>
      </c>
      <c r="O34" s="72">
        <f>H34*N34</f>
        <v/>
      </c>
      <c r="P34" s="73" t="n">
        <v>67</v>
      </c>
      <c r="Q34" s="72">
        <f>H34*$H$8</f>
        <v/>
      </c>
      <c r="R34" s="73" t="n">
        <v>25</v>
      </c>
      <c r="S34" s="72">
        <f>H34*$H$4</f>
        <v/>
      </c>
      <c r="T34" s="72">
        <f>J34*$H$3</f>
        <v/>
      </c>
      <c r="U34" s="74" t="n">
        <v>0.9</v>
      </c>
      <c r="V34" s="73" t="n">
        <v>67</v>
      </c>
      <c r="W34" s="72">
        <f>V34*(1-U34)</f>
        <v/>
      </c>
      <c r="X34" s="75" t="n">
        <v>0.4</v>
      </c>
      <c r="Y34" s="72">
        <f>$H$6*$H$7*X34</f>
        <v/>
      </c>
      <c r="Z34" s="19">
        <f>X34*($H$9+$H$10)</f>
        <v/>
      </c>
      <c r="AA34" s="20" t="n">
        <v>0.07000000000000001</v>
      </c>
      <c r="AB34" s="72">
        <f>H34*AA34</f>
        <v/>
      </c>
      <c r="AC34" s="74" t="n">
        <v>0.08</v>
      </c>
      <c r="AD34" s="72">
        <f>H34*AC34</f>
        <v/>
      </c>
      <c r="AE34" s="72">
        <f>AB34+AD34</f>
        <v/>
      </c>
      <c r="AF34" s="25">
        <f>AE34/H34</f>
        <v/>
      </c>
      <c r="AG34" s="26">
        <f>H34-O34-P34-Q34-R34-S34-T34-W34-Y34-Z34-M34-AL34-AM34</f>
        <v/>
      </c>
      <c r="AH34" s="76">
        <f>AG34-AE34</f>
        <v/>
      </c>
      <c r="AI34" s="77">
        <f>AH34/H34</f>
        <v/>
      </c>
      <c r="AJ34" s="78">
        <f>AH34/M34</f>
        <v/>
      </c>
      <c r="AK34" s="72">
        <f>(P34+R34+W34+Y34+Z34+M34+AL34)/(1-(N34+$H$4+(1-I34)*$H$3+$H$8+$H$11+AA34+AC34))</f>
        <v/>
      </c>
      <c r="AL34" s="72">
        <f>$H$12</f>
        <v/>
      </c>
      <c r="AM34" s="72">
        <f>H34*$H$11</f>
        <v/>
      </c>
    </row>
    <row r="35" ht="29" customHeight="1">
      <c r="A35" s="66" t="inlineStr">
        <is>
          <t>ENOUGH - Gold Snail Moisture Foundation [Tone 13] / Тональный крем с муцином улитки 13 тон</t>
        </is>
      </c>
      <c r="B35" s="67" t="n"/>
      <c r="C35" s="68" t="n"/>
      <c r="D35" s="111" t="n">
        <v>95</v>
      </c>
      <c r="E35" s="69" t="n">
        <v>1456</v>
      </c>
      <c r="F35" s="69" t="n">
        <v>109</v>
      </c>
      <c r="G35" s="69" t="n">
        <v>9</v>
      </c>
      <c r="H35" s="69">
        <f>(1.25*M35+P35+R35+W35+Y35+Z35+AL35)/(1-N35-$H$8-$H$4-(1-I35)*$H$3-$H$11-AA35-AC35)</f>
        <v/>
      </c>
      <c r="I35" s="15" t="n">
        <v>0.45</v>
      </c>
      <c r="J35" s="16">
        <f>H35*(1-I35)</f>
        <v/>
      </c>
      <c r="K35" s="70" t="n">
        <v>245.65</v>
      </c>
      <c r="L35" s="71">
        <f>$H$5</f>
        <v/>
      </c>
      <c r="M35" s="19">
        <f>K35+L35</f>
        <v/>
      </c>
      <c r="N35" s="20" t="n">
        <v>0.47</v>
      </c>
      <c r="O35" s="72">
        <f>H35*N35</f>
        <v/>
      </c>
      <c r="P35" s="73" t="n">
        <v>67</v>
      </c>
      <c r="Q35" s="72">
        <f>H35*$H$8</f>
        <v/>
      </c>
      <c r="R35" s="73" t="n">
        <v>25</v>
      </c>
      <c r="S35" s="72">
        <f>H35*$H$4</f>
        <v/>
      </c>
      <c r="T35" s="72">
        <f>J35*$H$3</f>
        <v/>
      </c>
      <c r="U35" s="74" t="n">
        <v>0.9</v>
      </c>
      <c r="V35" s="73" t="n">
        <v>67</v>
      </c>
      <c r="W35" s="72">
        <f>V35*(1-U35)</f>
        <v/>
      </c>
      <c r="X35" s="75" t="n">
        <v>0.4</v>
      </c>
      <c r="Y35" s="72">
        <f>$H$6*$H$7*X35</f>
        <v/>
      </c>
      <c r="Z35" s="19">
        <f>X35*($H$9+$H$10)</f>
        <v/>
      </c>
      <c r="AA35" s="20" t="n">
        <v>0.07000000000000001</v>
      </c>
      <c r="AB35" s="72">
        <f>H35*AA35</f>
        <v/>
      </c>
      <c r="AC35" s="74" t="n">
        <v>0.08</v>
      </c>
      <c r="AD35" s="72">
        <f>H35*AC35</f>
        <v/>
      </c>
      <c r="AE35" s="72">
        <f>AB35+AD35</f>
        <v/>
      </c>
      <c r="AF35" s="25">
        <f>AE35/H35</f>
        <v/>
      </c>
      <c r="AG35" s="26">
        <f>H35-O35-P35-Q35-R35-S35-T35-W35-Y35-Z35-M35-AL35-AM35</f>
        <v/>
      </c>
      <c r="AH35" s="76">
        <f>AG35-AE35</f>
        <v/>
      </c>
      <c r="AI35" s="77">
        <f>AH35/H35</f>
        <v/>
      </c>
      <c r="AJ35" s="78">
        <f>AH35/M35</f>
        <v/>
      </c>
      <c r="AK35" s="72">
        <f>(P35+R35+W35+Y35+Z35+M35+AL35)/(1-(N35+$H$4+(1-I35)*$H$3+$H$8+$H$11+AA35+AC35))</f>
        <v/>
      </c>
      <c r="AL35" s="72">
        <f>$H$12</f>
        <v/>
      </c>
      <c r="AM35" s="72">
        <f>H35*$H$11</f>
        <v/>
      </c>
    </row>
    <row r="36" ht="29" customHeight="1">
      <c r="A36" s="66" t="inlineStr">
        <is>
          <t>ENOUGH - Gold Snail Moisture Foundation [Tone 21] / Тональный крем с муцином улитки 21 тон</t>
        </is>
      </c>
      <c r="B36" s="67" t="n"/>
      <c r="C36" s="68" t="n"/>
      <c r="D36" s="111" t="n">
        <v>101</v>
      </c>
      <c r="E36" s="69" t="n">
        <v>1345</v>
      </c>
      <c r="F36" s="69" t="n">
        <v>114</v>
      </c>
      <c r="G36" s="69" t="n">
        <v>0</v>
      </c>
      <c r="H36" s="69">
        <f>(1.25*M36+P36+R36+W36+Y36+Z36+AL36)/(1-N36-$H$8-$H$4-(1-I36)*$H$3-$H$11-AA36-AC36)</f>
        <v/>
      </c>
      <c r="I36" s="15" t="n">
        <v>0.45</v>
      </c>
      <c r="J36" s="16">
        <f>H36*(1-I36)</f>
        <v/>
      </c>
      <c r="K36" s="70" t="n">
        <v>270.81</v>
      </c>
      <c r="L36" s="71">
        <f>$H$5</f>
        <v/>
      </c>
      <c r="M36" s="19">
        <f>K36+L36</f>
        <v/>
      </c>
      <c r="N36" s="20" t="n">
        <v>0.47</v>
      </c>
      <c r="O36" s="72">
        <f>H36*N36</f>
        <v/>
      </c>
      <c r="P36" s="73" t="n">
        <v>67</v>
      </c>
      <c r="Q36" s="72">
        <f>H36*$H$8</f>
        <v/>
      </c>
      <c r="R36" s="73" t="n">
        <v>25</v>
      </c>
      <c r="S36" s="72">
        <f>H36*$H$4</f>
        <v/>
      </c>
      <c r="T36" s="72">
        <f>J36*$H$3</f>
        <v/>
      </c>
      <c r="U36" s="74" t="n">
        <v>0.9</v>
      </c>
      <c r="V36" s="73" t="n">
        <v>67</v>
      </c>
      <c r="W36" s="72">
        <f>V36*(1-U36)</f>
        <v/>
      </c>
      <c r="X36" s="75" t="n">
        <v>0.4</v>
      </c>
      <c r="Y36" s="72">
        <f>$H$6*$H$7*X36</f>
        <v/>
      </c>
      <c r="Z36" s="19">
        <f>X36*($H$9+$H$10)</f>
        <v/>
      </c>
      <c r="AA36" s="20" t="n">
        <v>0.07000000000000001</v>
      </c>
      <c r="AB36" s="72">
        <f>H36*AA36</f>
        <v/>
      </c>
      <c r="AC36" s="74" t="n">
        <v>0.08</v>
      </c>
      <c r="AD36" s="72">
        <f>H36*AC36</f>
        <v/>
      </c>
      <c r="AE36" s="72">
        <f>AB36+AD36</f>
        <v/>
      </c>
      <c r="AF36" s="25">
        <f>AE36/H36</f>
        <v/>
      </c>
      <c r="AG36" s="26">
        <f>H36-O36-P36-Q36-R36-S36-T36-W36-Y36-Z36-M36-AL36-AM36</f>
        <v/>
      </c>
      <c r="AH36" s="76">
        <f>AG36-AE36</f>
        <v/>
      </c>
      <c r="AI36" s="77">
        <f>AH36/H36</f>
        <v/>
      </c>
      <c r="AJ36" s="78">
        <f>AH36/M36</f>
        <v/>
      </c>
      <c r="AK36" s="72">
        <f>(P36+R36+W36+Y36+Z36+M36+AL36)/(1-(N36+$H$4+(1-I36)*$H$3+$H$8+$H$11+AA36+AC36))</f>
        <v/>
      </c>
      <c r="AL36" s="72">
        <f>$H$12</f>
        <v/>
      </c>
      <c r="AM36" s="72">
        <f>H36*$H$11</f>
        <v/>
      </c>
    </row>
    <row r="37" ht="29" customHeight="1">
      <c r="A37" s="66" t="inlineStr">
        <is>
          <t>ENOUGH - Collagen 3in1 Whitening Moisture Foundation [Tone 13] / Тональный крем для лица с коллагеном 3в1 [13 тон]</t>
        </is>
      </c>
      <c r="B37" s="67" t="n"/>
      <c r="C37" s="68" t="n"/>
      <c r="D37" s="111" t="n">
        <v>247</v>
      </c>
      <c r="E37" s="69" t="n">
        <v>1732</v>
      </c>
      <c r="F37" s="69" t="n">
        <v>51</v>
      </c>
      <c r="G37" s="69" t="n">
        <v>9</v>
      </c>
      <c r="H37" s="69">
        <f>(1.25*M37+P37+R37+W37+Y37+Z37+AL37)/(1-N37-$H$8-$H$4-(1-I37)*$H$3-$H$11-AA37-AC37)</f>
        <v/>
      </c>
      <c r="I37" s="15" t="n">
        <v>0.45</v>
      </c>
      <c r="J37" s="16">
        <f>H37*(1-I37)</f>
        <v/>
      </c>
      <c r="K37" s="70" t="n">
        <v>238.13</v>
      </c>
      <c r="L37" s="71">
        <f>$H$5</f>
        <v/>
      </c>
      <c r="M37" s="19">
        <f>K37+L37</f>
        <v/>
      </c>
      <c r="N37" s="20" t="n">
        <v>0.47</v>
      </c>
      <c r="O37" s="72">
        <f>H37*N37</f>
        <v/>
      </c>
      <c r="P37" s="73" t="n">
        <v>67</v>
      </c>
      <c r="Q37" s="72">
        <f>H37*$H$8</f>
        <v/>
      </c>
      <c r="R37" s="73" t="n">
        <v>25</v>
      </c>
      <c r="S37" s="72">
        <f>H37*$H$4</f>
        <v/>
      </c>
      <c r="T37" s="72">
        <f>J37*$H$3</f>
        <v/>
      </c>
      <c r="U37" s="74" t="n">
        <v>0.9</v>
      </c>
      <c r="V37" s="73" t="n">
        <v>67</v>
      </c>
      <c r="W37" s="72">
        <f>V37*(1-U37)</f>
        <v/>
      </c>
      <c r="X37" s="75" t="n">
        <v>0.4</v>
      </c>
      <c r="Y37" s="72">
        <f>$H$6*$H$7*X37</f>
        <v/>
      </c>
      <c r="Z37" s="19">
        <f>X37*($H$9+$H$10)</f>
        <v/>
      </c>
      <c r="AA37" s="20" t="n">
        <v>0.07000000000000001</v>
      </c>
      <c r="AB37" s="72">
        <f>H37*AA37</f>
        <v/>
      </c>
      <c r="AC37" s="74" t="n">
        <v>0.08</v>
      </c>
      <c r="AD37" s="72">
        <f>H37*AC37</f>
        <v/>
      </c>
      <c r="AE37" s="72">
        <f>AB37+AD37</f>
        <v/>
      </c>
      <c r="AF37" s="25">
        <f>AE37/H37</f>
        <v/>
      </c>
      <c r="AG37" s="26">
        <f>H37-O37-P37-Q37-R37-S37-T37-W37-Y37-Z37-M37-AL37-AM37</f>
        <v/>
      </c>
      <c r="AH37" s="76">
        <f>AG37-AE37</f>
        <v/>
      </c>
      <c r="AI37" s="77">
        <f>AH37/H37</f>
        <v/>
      </c>
      <c r="AJ37" s="78">
        <f>AH37/M37</f>
        <v/>
      </c>
      <c r="AK37" s="72">
        <f>(P37+R37+W37+Y37+Z37+M37+AL37)/(1-(N37+$H$4+(1-I37)*$H$3+$H$8+$H$11+AA37+AC37))</f>
        <v/>
      </c>
      <c r="AL37" s="72">
        <f>$H$12</f>
        <v/>
      </c>
      <c r="AM37" s="72">
        <f>H37*$H$11</f>
        <v/>
      </c>
    </row>
    <row r="38" ht="29" customHeight="1">
      <c r="A38" s="66" t="inlineStr">
        <is>
          <t>ENOUGH - Collagen 3in1 Whitening Moisture Foundation [Tone 21] / Тональный крем для лица с коллагеном 3в1 [21 тон]</t>
        </is>
      </c>
      <c r="B38" s="67" t="n"/>
      <c r="C38" s="68" t="n"/>
      <c r="D38" s="111" t="n">
        <v>78</v>
      </c>
      <c r="E38" s="69" t="n">
        <v>1038</v>
      </c>
      <c r="F38" s="69" t="n">
        <v>65</v>
      </c>
      <c r="G38" s="69" t="n">
        <v>12</v>
      </c>
      <c r="H38" s="69">
        <f>(1.25*M38+P38+R38+W38+Y38+Z38+AL38)/(1-N38-$H$8-$H$4-(1-I38)*$H$3-$H$11-AA38-AC38)</f>
        <v/>
      </c>
      <c r="I38" s="15" t="n">
        <v>0.45</v>
      </c>
      <c r="J38" s="16">
        <f>H38*(1-I38)</f>
        <v/>
      </c>
      <c r="K38" s="70" t="n">
        <v>223.35</v>
      </c>
      <c r="L38" s="71">
        <f>$H$5</f>
        <v/>
      </c>
      <c r="M38" s="19">
        <f>K38+L38</f>
        <v/>
      </c>
      <c r="N38" s="20" t="n">
        <v>0.47</v>
      </c>
      <c r="O38" s="72">
        <f>H38*N38</f>
        <v/>
      </c>
      <c r="P38" s="73" t="n">
        <v>67</v>
      </c>
      <c r="Q38" s="72">
        <f>H38*$H$8</f>
        <v/>
      </c>
      <c r="R38" s="73" t="n">
        <v>25</v>
      </c>
      <c r="S38" s="72">
        <f>H38*$H$4</f>
        <v/>
      </c>
      <c r="T38" s="72">
        <f>J38*$H$3</f>
        <v/>
      </c>
      <c r="U38" s="74" t="n">
        <v>0.9</v>
      </c>
      <c r="V38" s="73" t="n">
        <v>67</v>
      </c>
      <c r="W38" s="72">
        <f>V38*(1-U38)</f>
        <v/>
      </c>
      <c r="X38" s="75" t="n">
        <v>0.4</v>
      </c>
      <c r="Y38" s="72">
        <f>$H$6*$H$7*X38</f>
        <v/>
      </c>
      <c r="Z38" s="19">
        <f>X38*($H$9+$H$10)</f>
        <v/>
      </c>
      <c r="AA38" s="20" t="n">
        <v>0.07000000000000001</v>
      </c>
      <c r="AB38" s="72">
        <f>H38*AA38</f>
        <v/>
      </c>
      <c r="AC38" s="74" t="n">
        <v>0.08</v>
      </c>
      <c r="AD38" s="72">
        <f>H38*AC38</f>
        <v/>
      </c>
      <c r="AE38" s="72">
        <f>AB38+AD38</f>
        <v/>
      </c>
      <c r="AF38" s="25">
        <f>AE38/H38</f>
        <v/>
      </c>
      <c r="AG38" s="26">
        <f>H38-O38-P38-Q38-R38-S38-T38-W38-Y38-Z38-M38-AL38-AM38</f>
        <v/>
      </c>
      <c r="AH38" s="76">
        <f>AG38-AE38</f>
        <v/>
      </c>
      <c r="AI38" s="77">
        <f>AH38/H38</f>
        <v/>
      </c>
      <c r="AJ38" s="78">
        <f>AH38/M38</f>
        <v/>
      </c>
      <c r="AK38" s="72">
        <f>(P38+R38+W38+Y38+Z38+M38+AL38)/(1-(N38+$H$4+(1-I38)*$H$3+$H$8+$H$11+AA38+AC38))</f>
        <v/>
      </c>
      <c r="AL38" s="72">
        <f>$H$12</f>
        <v/>
      </c>
      <c r="AM38" s="72">
        <f>H38*$H$11</f>
        <v/>
      </c>
    </row>
    <row r="39" ht="29" customHeight="1">
      <c r="A39" s="66" t="inlineStr">
        <is>
          <t>ENOUGH - Premium 8 Peptide Full Cover Perfect Foundation [Tone 13] / Тональный крем с пептидами 13 тон</t>
        </is>
      </c>
      <c r="B39" s="67" t="n"/>
      <c r="C39" s="68" t="n"/>
      <c r="D39" s="111" t="n">
        <v>463</v>
      </c>
      <c r="E39" s="69" t="n">
        <v>1330</v>
      </c>
      <c r="F39" s="69" t="n">
        <v>180</v>
      </c>
      <c r="G39" s="69" t="n">
        <v>0</v>
      </c>
      <c r="H39" s="69">
        <f>(1.25*M39+P39+R39+W39+Y39+Z39+AL39)/(1-N39-$H$8-$H$4-(1-I39)*$H$3-$H$11-AA39-AC39)</f>
        <v/>
      </c>
      <c r="I39" s="15" t="n">
        <v>0.45</v>
      </c>
      <c r="J39" s="16">
        <f>H39*(1-I39)</f>
        <v/>
      </c>
      <c r="K39" s="70" t="n">
        <v>335.9</v>
      </c>
      <c r="L39" s="71">
        <f>$H$5</f>
        <v/>
      </c>
      <c r="M39" s="19">
        <f>K39+L39</f>
        <v/>
      </c>
      <c r="N39" s="20" t="n">
        <v>0.47</v>
      </c>
      <c r="O39" s="72">
        <f>H39*N39</f>
        <v/>
      </c>
      <c r="P39" s="73" t="n">
        <v>67</v>
      </c>
      <c r="Q39" s="72">
        <f>H39*$H$8</f>
        <v/>
      </c>
      <c r="R39" s="73" t="n">
        <v>25</v>
      </c>
      <c r="S39" s="72">
        <f>H39*$H$4</f>
        <v/>
      </c>
      <c r="T39" s="72">
        <f>J39*$H$3</f>
        <v/>
      </c>
      <c r="U39" s="74" t="n">
        <v>0.9</v>
      </c>
      <c r="V39" s="73" t="n">
        <v>67</v>
      </c>
      <c r="W39" s="72">
        <f>V39*(1-U39)</f>
        <v/>
      </c>
      <c r="X39" s="75" t="n">
        <v>0.4</v>
      </c>
      <c r="Y39" s="72">
        <f>$H$6*$H$7*X39</f>
        <v/>
      </c>
      <c r="Z39" s="19">
        <f>X39*($H$9+$H$10)</f>
        <v/>
      </c>
      <c r="AA39" s="20" t="n">
        <v>0.07000000000000001</v>
      </c>
      <c r="AB39" s="72">
        <f>H39*AA39</f>
        <v/>
      </c>
      <c r="AC39" s="74" t="n">
        <v>0.08</v>
      </c>
      <c r="AD39" s="72">
        <f>H39*AC39</f>
        <v/>
      </c>
      <c r="AE39" s="72">
        <f>AB39+AD39</f>
        <v/>
      </c>
      <c r="AF39" s="25">
        <f>AE39/H39</f>
        <v/>
      </c>
      <c r="AG39" s="26">
        <f>H39-O39-P39-Q39-R39-S39-T39-W39-Y39-Z39-M39-AL39-AM39</f>
        <v/>
      </c>
      <c r="AH39" s="76">
        <f>AG39-AE39</f>
        <v/>
      </c>
      <c r="AI39" s="77">
        <f>AH39/H39</f>
        <v/>
      </c>
      <c r="AJ39" s="78">
        <f>AH39/M39</f>
        <v/>
      </c>
      <c r="AK39" s="72">
        <f>(P39+R39+W39+Y39+Z39+M39+AL39)/(1-(N39+$H$4+(1-I39)*$H$3+$H$8+$H$11+AA39+AC39))</f>
        <v/>
      </c>
      <c r="AL39" s="72">
        <f>$H$12</f>
        <v/>
      </c>
      <c r="AM39" s="72">
        <f>H39*$H$11</f>
        <v/>
      </c>
    </row>
    <row r="40" ht="29" customHeight="1">
      <c r="A40" s="66" t="inlineStr">
        <is>
          <t>ENOUGH - Premium 8 Peptide Full Cover Perfect Foundation [Tone 21] / Тональный крем с пептидами 21 тон</t>
        </is>
      </c>
      <c r="B40" s="67" t="n"/>
      <c r="C40" s="68" t="n"/>
      <c r="D40" s="111" t="n">
        <v>208</v>
      </c>
      <c r="E40" s="69" t="n">
        <v>1330</v>
      </c>
      <c r="F40" s="69" t="n">
        <v>265</v>
      </c>
      <c r="G40" s="69" t="n">
        <v>0</v>
      </c>
      <c r="H40" s="69">
        <f>(1.25*M40+P40+R40+W40+Y40+Z40+AL40)/(1-N40-$H$8-$H$4-(1-I40)*$H$3-$H$11-AA40-AC40)</f>
        <v/>
      </c>
      <c r="I40" s="15" t="n">
        <v>0.45</v>
      </c>
      <c r="J40" s="16">
        <f>H40*(1-I40)</f>
        <v/>
      </c>
      <c r="K40" s="70" t="n">
        <v>304.77</v>
      </c>
      <c r="L40" s="71">
        <f>$H$5</f>
        <v/>
      </c>
      <c r="M40" s="19">
        <f>K40+L40</f>
        <v/>
      </c>
      <c r="N40" s="20" t="n">
        <v>0.47</v>
      </c>
      <c r="O40" s="72">
        <f>H40*N40</f>
        <v/>
      </c>
      <c r="P40" s="73" t="n">
        <v>67</v>
      </c>
      <c r="Q40" s="72">
        <f>H40*$H$8</f>
        <v/>
      </c>
      <c r="R40" s="73" t="n">
        <v>25</v>
      </c>
      <c r="S40" s="72">
        <f>H40*$H$4</f>
        <v/>
      </c>
      <c r="T40" s="72">
        <f>J40*$H$3</f>
        <v/>
      </c>
      <c r="U40" s="74" t="n">
        <v>0.9</v>
      </c>
      <c r="V40" s="73" t="n">
        <v>67</v>
      </c>
      <c r="W40" s="72">
        <f>V40*(1-U40)</f>
        <v/>
      </c>
      <c r="X40" s="75" t="n">
        <v>0.4</v>
      </c>
      <c r="Y40" s="72">
        <f>$H$6*$H$7*X40</f>
        <v/>
      </c>
      <c r="Z40" s="19">
        <f>X40*($H$9+$H$10)</f>
        <v/>
      </c>
      <c r="AA40" s="20" t="n">
        <v>0.07000000000000001</v>
      </c>
      <c r="AB40" s="72">
        <f>H40*AA40</f>
        <v/>
      </c>
      <c r="AC40" s="74" t="n">
        <v>0.08</v>
      </c>
      <c r="AD40" s="72">
        <f>H40*AC40</f>
        <v/>
      </c>
      <c r="AE40" s="72">
        <f>AB40+AD40</f>
        <v/>
      </c>
      <c r="AF40" s="25">
        <f>AE40/H40</f>
        <v/>
      </c>
      <c r="AG40" s="26">
        <f>H40-O40-P40-Q40-R40-S40-T40-W40-Y40-Z40-M40-AL40-AM40</f>
        <v/>
      </c>
      <c r="AH40" s="76">
        <f>AG40-AE40</f>
        <v/>
      </c>
      <c r="AI40" s="77">
        <f>AH40/H40</f>
        <v/>
      </c>
      <c r="AJ40" s="78">
        <f>AH40/M40</f>
        <v/>
      </c>
      <c r="AK40" s="72">
        <f>(P40+R40+W40+Y40+Z40+M40+AL40)/(1-(N40+$H$4+(1-I40)*$H$3+$H$8+$H$11+AA40+AC40))</f>
        <v/>
      </c>
      <c r="AL40" s="72">
        <f>$H$12</f>
        <v/>
      </c>
      <c r="AM40" s="72">
        <f>H40*$H$11</f>
        <v/>
      </c>
    </row>
    <row r="41" ht="29" customHeight="1">
      <c r="A41" s="66" t="inlineStr">
        <is>
          <t>ENOUGH Collagen whitening cover tip concealer #01 [9g]/Консилер для лица (основная карточка) 4.5 рейтинг</t>
        </is>
      </c>
      <c r="B41" s="80" t="n"/>
      <c r="C41" s="80" t="n"/>
      <c r="D41" s="111" t="n">
        <v>593</v>
      </c>
      <c r="E41" s="81" t="n"/>
      <c r="F41" s="81" t="n"/>
      <c r="G41" s="81" t="n"/>
      <c r="H41" s="81" t="n"/>
      <c r="I41" s="32" t="n"/>
      <c r="J41" s="33" t="n"/>
      <c r="K41" s="70" t="n"/>
      <c r="L41" s="82" t="n"/>
      <c r="M41" s="35" t="n"/>
      <c r="N41" s="36" t="n"/>
      <c r="O41" s="81" t="n"/>
      <c r="P41" s="81" t="n"/>
      <c r="Q41" s="81" t="n"/>
      <c r="R41" s="81" t="n"/>
      <c r="S41" s="81" t="n"/>
      <c r="T41" s="81" t="n"/>
      <c r="U41" s="83" t="n"/>
      <c r="V41" s="81" t="n"/>
      <c r="W41" s="81" t="n"/>
      <c r="X41" s="84" t="n"/>
      <c r="Y41" s="81" t="n"/>
      <c r="Z41" s="35" t="n"/>
      <c r="AA41" s="36" t="n"/>
      <c r="AB41" s="81" t="n"/>
      <c r="AC41" s="83" t="n"/>
      <c r="AD41" s="81" t="n"/>
      <c r="AE41" s="81" t="n"/>
      <c r="AF41" s="39" t="n"/>
      <c r="AG41" s="40" t="n"/>
      <c r="AH41" s="76" t="n"/>
      <c r="AI41" s="77" t="n"/>
      <c r="AJ41" s="78" t="n"/>
      <c r="AK41" s="81" t="n"/>
      <c r="AL41" s="81" t="n"/>
      <c r="AM41" s="81" t="n"/>
    </row>
    <row r="42" ht="29" customHeight="1">
      <c r="A42" s="66" t="inlineStr">
        <is>
          <t>ENOUGH Collagen whitening cover tip concealer #02 [9g]/Консилер для лица (основная карточка)</t>
        </is>
      </c>
      <c r="B42" s="80" t="n"/>
      <c r="C42" s="80" t="n"/>
      <c r="D42" s="111" t="n">
        <v>757</v>
      </c>
      <c r="E42" s="81" t="n"/>
      <c r="F42" s="81" t="n"/>
      <c r="G42" s="81" t="n"/>
      <c r="H42" s="81" t="n"/>
      <c r="I42" s="32" t="n"/>
      <c r="J42" s="33" t="n"/>
      <c r="K42" s="70" t="n"/>
      <c r="L42" s="82" t="n"/>
      <c r="M42" s="35" t="n"/>
      <c r="N42" s="36" t="n"/>
      <c r="O42" s="81" t="n"/>
      <c r="P42" s="81" t="n"/>
      <c r="Q42" s="81" t="n"/>
      <c r="R42" s="81" t="n"/>
      <c r="S42" s="81" t="n"/>
      <c r="T42" s="81" t="n"/>
      <c r="U42" s="83" t="n"/>
      <c r="V42" s="81" t="n"/>
      <c r="W42" s="81" t="n"/>
      <c r="X42" s="84" t="n"/>
      <c r="Y42" s="81" t="n"/>
      <c r="Z42" s="35" t="n"/>
      <c r="AA42" s="36" t="n"/>
      <c r="AB42" s="81" t="n"/>
      <c r="AC42" s="83" t="n"/>
      <c r="AD42" s="81" t="n"/>
      <c r="AE42" s="81" t="n"/>
      <c r="AF42" s="39" t="n"/>
      <c r="AG42" s="40" t="n"/>
      <c r="AH42" s="76" t="n"/>
      <c r="AI42" s="77" t="n"/>
      <c r="AJ42" s="78" t="n"/>
      <c r="AK42" s="81" t="n"/>
      <c r="AL42" s="81" t="n"/>
      <c r="AM42" s="81" t="n"/>
    </row>
    <row r="43" ht="29" customHeight="1">
      <c r="A43" s="66" t="inlineStr">
        <is>
          <t>ENOUGH Collagen whitening cover tip concealer #03 [9g]/ Консилер для лица (основаная карточка)</t>
        </is>
      </c>
      <c r="B43" s="80" t="n"/>
      <c r="C43" s="80" t="n"/>
      <c r="D43" s="111" t="n">
        <v>810</v>
      </c>
      <c r="E43" s="81" t="n"/>
      <c r="F43" s="81" t="n"/>
      <c r="G43" s="81" t="n"/>
      <c r="H43" s="81" t="n"/>
      <c r="I43" s="32" t="n"/>
      <c r="J43" s="33" t="n"/>
      <c r="K43" s="70" t="n"/>
      <c r="L43" s="82" t="n"/>
      <c r="M43" s="35" t="n"/>
      <c r="N43" s="36" t="n"/>
      <c r="O43" s="81" t="n"/>
      <c r="P43" s="81" t="n"/>
      <c r="Q43" s="81" t="n"/>
      <c r="R43" s="81" t="n"/>
      <c r="S43" s="81" t="n"/>
      <c r="T43" s="81" t="n"/>
      <c r="U43" s="83" t="n"/>
      <c r="V43" s="81" t="n"/>
      <c r="W43" s="81" t="n"/>
      <c r="X43" s="84" t="n"/>
      <c r="Y43" s="81" t="n"/>
      <c r="Z43" s="35" t="n"/>
      <c r="AA43" s="36" t="n"/>
      <c r="AB43" s="81" t="n"/>
      <c r="AC43" s="83" t="n"/>
      <c r="AD43" s="81" t="n"/>
      <c r="AE43" s="81" t="n"/>
      <c r="AF43" s="39" t="n"/>
      <c r="AG43" s="40" t="n"/>
      <c r="AH43" s="76" t="n"/>
      <c r="AI43" s="77" t="n"/>
      <c r="AJ43" s="78" t="n"/>
      <c r="AK43" s="81" t="n"/>
      <c r="AL43" s="81" t="n"/>
      <c r="AM43" s="81" t="n"/>
    </row>
    <row r="44" ht="29" customHeight="1">
      <c r="A44" s="66" t="inlineStr">
        <is>
          <t>ENOUGH - Collagen Moisture BB Cream SPF47 PA+++ [50ml] / Увлажняющий BB крем с коллагеном</t>
        </is>
      </c>
      <c r="B44" s="67" t="n"/>
      <c r="C44" s="68" t="n"/>
      <c r="D44" s="111" t="n">
        <v>722</v>
      </c>
      <c r="E44" s="69" t="n"/>
      <c r="F44" s="69" t="n"/>
      <c r="G44" s="69" t="n"/>
      <c r="H44" s="69">
        <f>(1.25*M44+P44+R44+W44+Y44+Z44+AL44)/(1-N44-$H$8-$H$4-(1-I44)*$H$3-$H$11-AA44-AC44)</f>
        <v/>
      </c>
      <c r="I44" s="15" t="n">
        <v>0.45</v>
      </c>
      <c r="J44" s="16">
        <f>H44*(1-I44)</f>
        <v/>
      </c>
      <c r="K44" s="70" t="n">
        <v>189.27</v>
      </c>
      <c r="L44" s="71">
        <f>$H$5</f>
        <v/>
      </c>
      <c r="M44" s="19">
        <f>K44+L44</f>
        <v/>
      </c>
      <c r="N44" s="20" t="n">
        <v>0.47</v>
      </c>
      <c r="O44" s="72">
        <f>H44*N44</f>
        <v/>
      </c>
      <c r="P44" s="73" t="n">
        <v>63</v>
      </c>
      <c r="Q44" s="72">
        <f>H44*$H$8</f>
        <v/>
      </c>
      <c r="R44" s="73" t="n">
        <v>25</v>
      </c>
      <c r="S44" s="72">
        <f>H44*$H$4</f>
        <v/>
      </c>
      <c r="T44" s="72">
        <f>J44*$H$3</f>
        <v/>
      </c>
      <c r="U44" s="74" t="n">
        <v>0.9</v>
      </c>
      <c r="V44" s="73" t="n">
        <v>63</v>
      </c>
      <c r="W44" s="72">
        <f>V44*(1-U44)</f>
        <v/>
      </c>
      <c r="X44" s="75" t="n">
        <v>0.28</v>
      </c>
      <c r="Y44" s="72">
        <f>$H$6*$H$7*X44</f>
        <v/>
      </c>
      <c r="Z44" s="19">
        <f>X44*($H$9+$H$10)</f>
        <v/>
      </c>
      <c r="AA44" s="20" t="n">
        <v>0.07000000000000001</v>
      </c>
      <c r="AB44" s="72">
        <f>H44*AA44</f>
        <v/>
      </c>
      <c r="AC44" s="74" t="n">
        <v>0.08</v>
      </c>
      <c r="AD44" s="72">
        <f>H44*AC44</f>
        <v/>
      </c>
      <c r="AE44" s="72">
        <f>AB44+AD44</f>
        <v/>
      </c>
      <c r="AF44" s="25">
        <f>AE44/H44</f>
        <v/>
      </c>
      <c r="AG44" s="26">
        <f>H44-O44-P44-Q44-R44-S44-T44-W44-Y44-Z44-M44-AL44-AM44</f>
        <v/>
      </c>
      <c r="AH44" s="76">
        <f>AG44-AE44</f>
        <v/>
      </c>
      <c r="AI44" s="77">
        <f>AH44/H44</f>
        <v/>
      </c>
      <c r="AJ44" s="78">
        <f>AH44/M44</f>
        <v/>
      </c>
      <c r="AK44" s="72">
        <f>(P44+R44+W44+Y44+Z44+M44+AL44)/(1-(N44+$H$4+(1-I44)*$H$3+$H$8+$H$11+AA44+AC44))</f>
        <v/>
      </c>
      <c r="AL44" s="72">
        <f>$H$12</f>
        <v/>
      </c>
      <c r="AM44" s="72">
        <f>H44*$H$11</f>
        <v/>
      </c>
    </row>
    <row r="45">
      <c r="A45" s="64" t="inlineStr">
        <is>
          <t>Косметика/ETUDEHOUSE</t>
        </is>
      </c>
      <c r="B45" s="65" t="n"/>
      <c r="C45" s="65" t="n"/>
      <c r="E45" s="65" t="n"/>
      <c r="F45" s="65" t="n"/>
      <c r="G45" s="65" t="n"/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65" t="n"/>
      <c r="U45" s="65" t="n"/>
      <c r="V45" s="65" t="n"/>
      <c r="W45" s="65" t="n"/>
      <c r="X45" s="65" t="n"/>
      <c r="Y45" s="65" t="n"/>
      <c r="Z45" s="65" t="n"/>
      <c r="AA45" s="65" t="n"/>
      <c r="AB45" s="65" t="n"/>
      <c r="AC45" s="65" t="n"/>
      <c r="AD45" s="65" t="n"/>
      <c r="AE45" s="65" t="n"/>
      <c r="AF45" s="65" t="n"/>
      <c r="AG45" s="65" t="n"/>
      <c r="AH45" s="65" t="n"/>
      <c r="AI45" s="65" t="n"/>
      <c r="AJ45" s="65" t="n"/>
      <c r="AK45" s="65" t="n"/>
      <c r="AL45" s="65" t="n"/>
      <c r="AM45" s="65" t="n"/>
    </row>
    <row r="46" ht="29" customHeight="1">
      <c r="A46" s="66" t="inlineStr">
        <is>
          <t>ETUDE - Baking Powder Crunch Pore Scrub [200ml] / Очищающий скраб для лица с содой</t>
        </is>
      </c>
      <c r="B46" s="67" t="n"/>
      <c r="C46" s="68" t="n"/>
      <c r="D46" s="111" t="n">
        <v>221</v>
      </c>
      <c r="E46" s="69" t="n">
        <v>1730</v>
      </c>
      <c r="F46" s="69" t="n">
        <v>300</v>
      </c>
      <c r="G46" s="69" t="n">
        <v>5</v>
      </c>
      <c r="H46" s="69">
        <f>(1.25*M46+P46+R46+W46+Y46+Z46+AL46)/(1-N46-$H$8-$H$4-(1-I46)*$H$3-$H$11-AA46-AC46)</f>
        <v/>
      </c>
      <c r="I46" s="15" t="n">
        <v>0.45</v>
      </c>
      <c r="J46" s="16">
        <f>H46*(1-I46)</f>
        <v/>
      </c>
      <c r="K46" s="70" t="n">
        <v>361.03</v>
      </c>
      <c r="L46" s="71">
        <f>$H$5</f>
        <v/>
      </c>
      <c r="M46" s="19">
        <f>K46+L46</f>
        <v/>
      </c>
      <c r="N46" s="20" t="n">
        <v>0.47</v>
      </c>
      <c r="O46" s="72">
        <f>H46*N46</f>
        <v/>
      </c>
      <c r="P46" s="73" t="n">
        <v>67</v>
      </c>
      <c r="Q46" s="72">
        <f>H46*$H$8</f>
        <v/>
      </c>
      <c r="R46" s="73" t="n">
        <v>25</v>
      </c>
      <c r="S46" s="72">
        <f>H46*$H$4</f>
        <v/>
      </c>
      <c r="T46" s="72">
        <f>J46*$H$3</f>
        <v/>
      </c>
      <c r="U46" s="74" t="n">
        <v>0.9</v>
      </c>
      <c r="V46" s="73" t="n">
        <v>67</v>
      </c>
      <c r="W46" s="72">
        <f>V46*(1-U46)</f>
        <v/>
      </c>
      <c r="X46" s="75" t="n">
        <v>0.5600000000000001</v>
      </c>
      <c r="Y46" s="72">
        <f>$H$6*$H$7*X46</f>
        <v/>
      </c>
      <c r="Z46" s="19">
        <f>X46*($H$9+$H$10)</f>
        <v/>
      </c>
      <c r="AA46" s="20" t="n">
        <v>0.05</v>
      </c>
      <c r="AB46" s="72">
        <f>H46*AA46</f>
        <v/>
      </c>
      <c r="AC46" s="74" t="n">
        <v>0.05</v>
      </c>
      <c r="AD46" s="72">
        <f>H46*AC46</f>
        <v/>
      </c>
      <c r="AE46" s="72">
        <f>AB46+AD46</f>
        <v/>
      </c>
      <c r="AF46" s="25">
        <f>AE46/H46</f>
        <v/>
      </c>
      <c r="AG46" s="26">
        <f>H46-O46-P46-Q46-R46-S46-T46-W46-Y46-Z46-M46-AL46-AM46</f>
        <v/>
      </c>
      <c r="AH46" s="76">
        <f>AG46-AE46</f>
        <v/>
      </c>
      <c r="AI46" s="77">
        <f>AH46/H46</f>
        <v/>
      </c>
      <c r="AJ46" s="78">
        <f>AH46/M46</f>
        <v/>
      </c>
      <c r="AK46" s="72">
        <f>(P46+R46+W46+Y46+Z46+M46+AL46)/(1-(N46+$H$4+(1-I46)*$H$3+$H$8+$H$11+AA46+AC46))</f>
        <v/>
      </c>
      <c r="AL46" s="72">
        <f>$H$12</f>
        <v/>
      </c>
      <c r="AM46" s="72">
        <f>H46*$H$11</f>
        <v/>
      </c>
    </row>
    <row r="47" ht="29" customHeight="1">
      <c r="A47" s="66" t="inlineStr">
        <is>
          <t>ETUDE - Baking Powder BB Deep Cleansing Foam [160ml] / Пенка с содой для глубокого очищения и снятия макияжа</t>
        </is>
      </c>
      <c r="B47" s="67" t="n"/>
      <c r="C47" s="68" t="n"/>
      <c r="D47" s="111" t="n">
        <v>228</v>
      </c>
      <c r="E47" s="69" t="n">
        <v>1870</v>
      </c>
      <c r="F47" s="69" t="n">
        <v>230</v>
      </c>
      <c r="G47" s="69" t="n">
        <v>8</v>
      </c>
      <c r="H47" s="69">
        <f>(1.25*M47+P47+R47+W47+Y47+Z47+AL47)/(1-N47-$H$8-$H$4-(1-I47)*$H$3-$H$11-AA47-AC47)</f>
        <v/>
      </c>
      <c r="I47" s="15" t="n">
        <v>0.45</v>
      </c>
      <c r="J47" s="16">
        <f>H47*(1-I47)</f>
        <v/>
      </c>
      <c r="K47" s="70" t="n">
        <v>292.89</v>
      </c>
      <c r="L47" s="71">
        <f>$H$5</f>
        <v/>
      </c>
      <c r="M47" s="19">
        <f>K47+L47</f>
        <v/>
      </c>
      <c r="N47" s="20" t="n">
        <v>0.47</v>
      </c>
      <c r="O47" s="72">
        <f>H47*N47</f>
        <v/>
      </c>
      <c r="P47" s="73" t="n">
        <v>67</v>
      </c>
      <c r="Q47" s="72">
        <f>H47*$H$8</f>
        <v/>
      </c>
      <c r="R47" s="73" t="n">
        <v>25</v>
      </c>
      <c r="S47" s="72">
        <f>H47*$H$4</f>
        <v/>
      </c>
      <c r="T47" s="72">
        <f>J47*$H$3</f>
        <v/>
      </c>
      <c r="U47" s="74" t="n">
        <v>0.9</v>
      </c>
      <c r="V47" s="73" t="n">
        <v>67</v>
      </c>
      <c r="W47" s="72">
        <f>V47*(1-U47)</f>
        <v/>
      </c>
      <c r="X47" s="75" t="n">
        <v>0.5600000000000001</v>
      </c>
      <c r="Y47" s="72">
        <f>$H$6*$H$7*X47</f>
        <v/>
      </c>
      <c r="Z47" s="19">
        <f>X47*($H$9+$H$10)</f>
        <v/>
      </c>
      <c r="AA47" s="20" t="n">
        <v>0.07000000000000001</v>
      </c>
      <c r="AB47" s="72">
        <f>H47*AA47</f>
        <v/>
      </c>
      <c r="AC47" s="74" t="n">
        <v>0.05</v>
      </c>
      <c r="AD47" s="72">
        <f>H47*AC47</f>
        <v/>
      </c>
      <c r="AE47" s="72">
        <f>AB47+AD47</f>
        <v/>
      </c>
      <c r="AF47" s="25">
        <f>AE47/H47</f>
        <v/>
      </c>
      <c r="AG47" s="26">
        <f>H47-O47-P47-Q47-R47-S47-T47-W47-Y47-Z47-M47-AL47-AM47</f>
        <v/>
      </c>
      <c r="AH47" s="76">
        <f>AG47-AE47</f>
        <v/>
      </c>
      <c r="AI47" s="77">
        <f>AH47/H47</f>
        <v/>
      </c>
      <c r="AJ47" s="78">
        <f>AH47/M47</f>
        <v/>
      </c>
      <c r="AK47" s="72">
        <f>(P47+R47+W47+Y47+Z47+M47+AL47)/(1-(N47+$H$4+(1-I47)*$H$3+$H$8+$H$11+AA47+AC47))</f>
        <v/>
      </c>
      <c r="AL47" s="72">
        <f>$H$12</f>
        <v/>
      </c>
      <c r="AM47" s="72">
        <f>H47*$H$11</f>
        <v/>
      </c>
    </row>
    <row r="48" ht="29" customHeight="1">
      <c r="A48" s="66" t="inlineStr">
        <is>
          <t>ETUDE - Baking Powder Crunch Pore Scrub [24*7ml] / Очищающий скраб для лица с содой</t>
        </is>
      </c>
      <c r="B48" s="67" t="n"/>
      <c r="C48" s="68" t="n"/>
      <c r="D48" s="111" t="n">
        <v>221</v>
      </c>
      <c r="E48" s="69" t="n">
        <v>1900</v>
      </c>
      <c r="F48" s="69" t="n">
        <v>60</v>
      </c>
      <c r="G48" s="69" t="n">
        <v>10</v>
      </c>
      <c r="H48" s="69">
        <f>(1.25*M48+P48+R48+W48+Y48+Z48+AL48)/(1-N48-$H$8-$H$4-(1-I48)*$H$3-$H$11-AA48-AC48)</f>
        <v/>
      </c>
      <c r="I48" s="15" t="n">
        <v>0.45</v>
      </c>
      <c r="J48" s="16">
        <f>H48*(1-I48)</f>
        <v/>
      </c>
      <c r="K48" s="70" t="n">
        <v>389.99</v>
      </c>
      <c r="L48" s="71">
        <f>$H$5</f>
        <v/>
      </c>
      <c r="M48" s="19">
        <f>K48+L48</f>
        <v/>
      </c>
      <c r="N48" s="20" t="n">
        <v>0.47</v>
      </c>
      <c r="O48" s="72">
        <f>H48*N48</f>
        <v/>
      </c>
      <c r="P48" s="73" t="n">
        <v>72</v>
      </c>
      <c r="Q48" s="72">
        <f>H48*$H$8</f>
        <v/>
      </c>
      <c r="R48" s="73" t="n">
        <v>25</v>
      </c>
      <c r="S48" s="72">
        <f>H48*$H$4</f>
        <v/>
      </c>
      <c r="T48" s="72">
        <f>J48*$H$3</f>
        <v/>
      </c>
      <c r="U48" s="74" t="n">
        <v>0.9</v>
      </c>
      <c r="V48" s="73" t="n">
        <v>72</v>
      </c>
      <c r="W48" s="72">
        <f>V48*(1-U48)</f>
        <v/>
      </c>
      <c r="X48" s="75" t="n">
        <v>1.15</v>
      </c>
      <c r="Y48" s="72">
        <f>$H$6*$H$7*X48</f>
        <v/>
      </c>
      <c r="Z48" s="19">
        <f>X48*($H$9+$H$10)</f>
        <v/>
      </c>
      <c r="AA48" s="20" t="n">
        <v>0.07000000000000001</v>
      </c>
      <c r="AB48" s="72">
        <f>H48*AA48</f>
        <v/>
      </c>
      <c r="AC48" s="74" t="n">
        <v>0.08</v>
      </c>
      <c r="AD48" s="72">
        <f>H48*AC48</f>
        <v/>
      </c>
      <c r="AE48" s="72">
        <f>AB48+AD48</f>
        <v/>
      </c>
      <c r="AF48" s="25">
        <f>AE48/H48</f>
        <v/>
      </c>
      <c r="AG48" s="26">
        <f>H48-O48-P48-Q48-R48-S48-T48-W48-Y48-Z48-M48-AL48-AM48</f>
        <v/>
      </c>
      <c r="AH48" s="76">
        <f>AG48-AE48</f>
        <v/>
      </c>
      <c r="AI48" s="77">
        <f>AH48/H48</f>
        <v/>
      </c>
      <c r="AJ48" s="78">
        <f>AH48/M48</f>
        <v/>
      </c>
      <c r="AK48" s="72">
        <f>(P48+R48+W48+Y48+Z48+M48+AL48)/(1-(N48+$H$4+(1-I48)*$H$3+$H$8+$H$11+AA48+AC48))</f>
        <v/>
      </c>
      <c r="AL48" s="72">
        <f>$H$12</f>
        <v/>
      </c>
      <c r="AM48" s="72">
        <f>H48*$H$11</f>
        <v/>
      </c>
    </row>
    <row r="49">
      <c r="A49" s="64" t="inlineStr">
        <is>
          <t>Косметика/FARMSTAY</t>
        </is>
      </c>
      <c r="B49" s="65" t="n"/>
      <c r="C49" s="65" t="n"/>
      <c r="E49" s="65" t="n"/>
      <c r="F49" s="65" t="n"/>
      <c r="G49" s="65" t="n"/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n"/>
      <c r="R49" s="65" t="n"/>
      <c r="S49" s="65" t="n"/>
      <c r="T49" s="65" t="n"/>
      <c r="U49" s="65" t="n"/>
      <c r="V49" s="65" t="n"/>
      <c r="W49" s="65" t="n"/>
      <c r="X49" s="65" t="n"/>
      <c r="Y49" s="65" t="n"/>
      <c r="Z49" s="65" t="n"/>
      <c r="AA49" s="65" t="n"/>
      <c r="AB49" s="65" t="n"/>
      <c r="AC49" s="65" t="n"/>
      <c r="AD49" s="65" t="n"/>
      <c r="AE49" s="65" t="n"/>
      <c r="AF49" s="65" t="n"/>
      <c r="AG49" s="65" t="n"/>
      <c r="AH49" s="65" t="n"/>
      <c r="AI49" s="65" t="n"/>
      <c r="AJ49" s="65" t="n"/>
      <c r="AK49" s="65" t="n"/>
      <c r="AL49" s="65" t="n"/>
      <c r="AM49" s="65" t="n"/>
    </row>
    <row r="50">
      <c r="A50" s="66" t="inlineStr">
        <is>
          <t>FARMSTAY COLLAGEN&amp;HYALURONIC ACID ALL-IN ONE</t>
        </is>
      </c>
      <c r="B50" s="67" t="n"/>
      <c r="C50" s="68" t="inlineStr">
        <is>
          <t>только Holika продает на Озон</t>
        </is>
      </c>
      <c r="E50" s="69" t="n">
        <v>3850</v>
      </c>
      <c r="F50" s="69" t="n">
        <v>127</v>
      </c>
      <c r="G50" s="69" t="n">
        <v>6</v>
      </c>
      <c r="H50" s="69">
        <f>(1.25*M50+P50+R50+W50+Y50+Z50+AL50)/(1-N50-$H$8-$H$4-(1-I50)*$H$3-$H$11-AA50-AC50)</f>
        <v/>
      </c>
      <c r="I50" s="15" t="n">
        <v>0.45</v>
      </c>
      <c r="J50" s="16">
        <f>H50*(1-I50)</f>
        <v/>
      </c>
      <c r="K50" s="70" t="n">
        <v>347.76</v>
      </c>
      <c r="L50" s="71">
        <f>$H$5</f>
        <v/>
      </c>
      <c r="M50" s="19">
        <f>K50+L50</f>
        <v/>
      </c>
      <c r="N50" s="20" t="n">
        <v>0.47</v>
      </c>
      <c r="O50" s="72">
        <f>H50*N50</f>
        <v/>
      </c>
      <c r="P50" s="73" t="n">
        <v>67</v>
      </c>
      <c r="Q50" s="72">
        <f>H50*$H$8</f>
        <v/>
      </c>
      <c r="R50" s="73" t="n">
        <v>25</v>
      </c>
      <c r="S50" s="72">
        <f>H50*$H$4</f>
        <v/>
      </c>
      <c r="T50" s="72">
        <f>J50*$H$3</f>
        <v/>
      </c>
      <c r="U50" s="74" t="n">
        <v>0.9</v>
      </c>
      <c r="V50" s="73" t="n">
        <v>67</v>
      </c>
      <c r="W50" s="72">
        <f>V50*(1-U50)</f>
        <v/>
      </c>
      <c r="X50" s="75" t="n">
        <v>0.832</v>
      </c>
      <c r="Y50" s="72">
        <f>$H$6*$H$7*X50</f>
        <v/>
      </c>
      <c r="Z50" s="19">
        <f>X50*($H$9+$H$10)</f>
        <v/>
      </c>
      <c r="AA50" s="20" t="n">
        <v>0.07000000000000001</v>
      </c>
      <c r="AB50" s="72">
        <f>H50*AA50</f>
        <v/>
      </c>
      <c r="AC50" s="74" t="n">
        <v>0.08</v>
      </c>
      <c r="AD50" s="72">
        <f>H50*AC50</f>
        <v/>
      </c>
      <c r="AE50" s="72">
        <f>AB50+AD50</f>
        <v/>
      </c>
      <c r="AF50" s="25">
        <f>AE50/H50</f>
        <v/>
      </c>
      <c r="AG50" s="26">
        <f>H50-O50-P50-Q50-R50-S50-T50-W50-Y50-Z50-M50-AL50-AM50</f>
        <v/>
      </c>
      <c r="AH50" s="76">
        <f>AG50-AE50</f>
        <v/>
      </c>
      <c r="AI50" s="77">
        <f>AH50/H50</f>
        <v/>
      </c>
      <c r="AJ50" s="78">
        <f>AH50/M50</f>
        <v/>
      </c>
      <c r="AK50" s="72">
        <f>(P50+R50+W50+Y50+Z50+M50+AL50)/(1-(N50+$H$4+(1-I50)*$H$3+$H$8+$H$11+AA50+AC50))</f>
        <v/>
      </c>
      <c r="AL50" s="72">
        <f>$H$12</f>
        <v/>
      </c>
      <c r="AM50" s="72">
        <f>H50*$H$11</f>
        <v/>
      </c>
    </row>
    <row r="51" ht="29" customHeight="1">
      <c r="A51" s="66" t="inlineStr">
        <is>
          <t>FARMSTAY - Black Garlic Nourishing Shampoo [530ml] / Шампунь-кондиционер 2в1 с экстрактом черного чеснока</t>
        </is>
      </c>
      <c r="B51" s="67" t="n"/>
      <c r="C51" s="68" t="inlineStr">
        <is>
          <t>только Holika продает на Озон</t>
        </is>
      </c>
      <c r="E51" s="69" t="n">
        <v>2156</v>
      </c>
      <c r="F51" s="69" t="n">
        <v>46</v>
      </c>
      <c r="G51" s="69" t="n">
        <v>5</v>
      </c>
      <c r="H51" s="69">
        <f>(1.25*M51+P51+R51+W51+Y51+Z51+AL51)/(1-N51-$H$8-$H$4-(1-I51)*$H$3-$H$11-AA51-AC51)</f>
        <v/>
      </c>
      <c r="I51" s="15" t="n">
        <v>0.45</v>
      </c>
      <c r="J51" s="16">
        <f>H51*(1-I51)</f>
        <v/>
      </c>
      <c r="K51" s="70" t="n">
        <v>396.72</v>
      </c>
      <c r="L51" s="71">
        <f>$H$5</f>
        <v/>
      </c>
      <c r="M51" s="19">
        <f>K51+L51</f>
        <v/>
      </c>
      <c r="N51" s="20" t="n">
        <v>0.47</v>
      </c>
      <c r="O51" s="72">
        <f>H51*N51</f>
        <v/>
      </c>
      <c r="P51" s="73" t="n">
        <v>75</v>
      </c>
      <c r="Q51" s="72">
        <f>H51*$H$8</f>
        <v/>
      </c>
      <c r="R51" s="73" t="n">
        <v>25</v>
      </c>
      <c r="S51" s="72">
        <f>H51*$H$4</f>
        <v/>
      </c>
      <c r="T51" s="72">
        <f>J51*$H$3</f>
        <v/>
      </c>
      <c r="U51" s="74" t="n">
        <v>0.9</v>
      </c>
      <c r="V51" s="73" t="n">
        <v>75</v>
      </c>
      <c r="W51" s="72">
        <f>V51*(1-U51)</f>
        <v/>
      </c>
      <c r="X51" s="75" t="n">
        <v>1.89</v>
      </c>
      <c r="Y51" s="72">
        <f>$H$6*$H$7*X51</f>
        <v/>
      </c>
      <c r="Z51" s="19">
        <f>X51*($H$9+$H$10)</f>
        <v/>
      </c>
      <c r="AA51" s="20" t="n">
        <v>0.07000000000000001</v>
      </c>
      <c r="AB51" s="72">
        <f>H51*AA51</f>
        <v/>
      </c>
      <c r="AC51" s="74" t="n">
        <v>0.08</v>
      </c>
      <c r="AD51" s="72">
        <f>H51*AC51</f>
        <v/>
      </c>
      <c r="AE51" s="72">
        <f>AB51+AD51</f>
        <v/>
      </c>
      <c r="AF51" s="25">
        <f>AE51/H51</f>
        <v/>
      </c>
      <c r="AG51" s="26">
        <f>H51-O51-P51-Q51-R51-S51-T51-W51-Y51-Z51-M51-AL51-AM51</f>
        <v/>
      </c>
      <c r="AH51" s="76">
        <f>AG51-AE51</f>
        <v/>
      </c>
      <c r="AI51" s="77">
        <f>AH51/H51</f>
        <v/>
      </c>
      <c r="AJ51" s="78">
        <f>AH51/M51</f>
        <v/>
      </c>
      <c r="AK51" s="72">
        <f>(P51+R51+W51+Y51+Z51+M51+AL51)/(1-(N51+$H$4+(1-I51)*$H$3+$H$8+$H$11+AA51+AC51))</f>
        <v/>
      </c>
      <c r="AL51" s="72">
        <f>$H$12</f>
        <v/>
      </c>
      <c r="AM51" s="72">
        <f>H51*$H$11</f>
        <v/>
      </c>
    </row>
    <row r="52" ht="29" customHeight="1">
      <c r="A52" s="66" t="inlineStr">
        <is>
          <t>FARMSTAY - Gold Snail Premium Cream [50ml] / Омолаживающий крем с муцином улитки и коллоидным золотом</t>
        </is>
      </c>
      <c r="B52" s="67" t="n"/>
      <c r="C52" s="68" t="inlineStr">
        <is>
          <t>не смогла найти с продажами</t>
        </is>
      </c>
      <c r="E52" s="69" t="n"/>
      <c r="F52" s="69" t="n"/>
      <c r="G52" s="69" t="n"/>
      <c r="H52" s="69">
        <f>(1.25*M52+P52+R52+W52+Y52+Z52+AL52)/(1-N52-$H$8-$H$4-(1-I52)*$H$3-$H$11-AA52-AC52)</f>
        <v/>
      </c>
      <c r="I52" s="15" t="n">
        <v>0.45</v>
      </c>
      <c r="J52" s="16">
        <f>H52*(1-I52)</f>
        <v/>
      </c>
      <c r="K52" s="70" t="n">
        <v>431.05</v>
      </c>
      <c r="L52" s="71">
        <f>$H$5</f>
        <v/>
      </c>
      <c r="M52" s="19">
        <f>K52+L52</f>
        <v/>
      </c>
      <c r="N52" s="20" t="n">
        <v>0.47</v>
      </c>
      <c r="O52" s="72">
        <f>H52*N52</f>
        <v/>
      </c>
      <c r="P52" s="73" t="n">
        <v>67</v>
      </c>
      <c r="Q52" s="72">
        <f>H52*$H$8</f>
        <v/>
      </c>
      <c r="R52" s="73" t="n">
        <v>25</v>
      </c>
      <c r="S52" s="72">
        <f>H52*$H$4</f>
        <v/>
      </c>
      <c r="T52" s="72">
        <f>J52*$H$3</f>
        <v/>
      </c>
      <c r="U52" s="74" t="n">
        <v>0.9</v>
      </c>
      <c r="V52" s="73" t="n">
        <v>67</v>
      </c>
      <c r="W52" s="72">
        <f>V52*(1-U52)</f>
        <v/>
      </c>
      <c r="X52" s="75" t="n">
        <v>0.73</v>
      </c>
      <c r="Y52" s="72">
        <f>$H$6*$H$7*X52</f>
        <v/>
      </c>
      <c r="Z52" s="19">
        <f>X52*($H$9+$H$10)</f>
        <v/>
      </c>
      <c r="AA52" s="20" t="n">
        <v>0.07000000000000001</v>
      </c>
      <c r="AB52" s="72">
        <f>H52*AA52</f>
        <v/>
      </c>
      <c r="AC52" s="74" t="n">
        <v>0.08</v>
      </c>
      <c r="AD52" s="72">
        <f>H52*AC52</f>
        <v/>
      </c>
      <c r="AE52" s="72">
        <f>AB52+AD52</f>
        <v/>
      </c>
      <c r="AF52" s="25">
        <f>AE52/H52</f>
        <v/>
      </c>
      <c r="AG52" s="26">
        <f>H52-O52-P52-Q52-R52-S52-T52-W52-Y52-Z52-M52-AL52-AM52</f>
        <v/>
      </c>
      <c r="AH52" s="76">
        <f>AG52-AE52</f>
        <v/>
      </c>
      <c r="AI52" s="77">
        <f>AH52/H52</f>
        <v/>
      </c>
      <c r="AJ52" s="78">
        <f>AH52/M52</f>
        <v/>
      </c>
      <c r="AK52" s="72">
        <f>(P52+R52+W52+Y52+Z52+M52+AL52)/(1-(N52+$H$4+(1-I52)*$H$3+$H$8+$H$11+AA52+AC52))</f>
        <v/>
      </c>
      <c r="AL52" s="72">
        <f>$H$12</f>
        <v/>
      </c>
      <c r="AM52" s="72">
        <f>H52*$H$11</f>
        <v/>
      </c>
    </row>
    <row r="53" ht="29" customHeight="1">
      <c r="A53" s="66" t="inlineStr">
        <is>
          <t>FARMSTAY - Escargot Noblesse Intensive Cream [50g] / Крем с муцином королевской улитки</t>
        </is>
      </c>
      <c r="B53" s="67" t="n"/>
      <c r="C53" s="68" t="inlineStr">
        <is>
          <t>только Holika продает на Озон</t>
        </is>
      </c>
      <c r="D53" s="111" t="n">
        <v>964</v>
      </c>
      <c r="E53" s="69" t="n">
        <v>3070</v>
      </c>
      <c r="F53" s="69" t="n">
        <v>48</v>
      </c>
      <c r="G53" s="69" t="n">
        <v>6.6</v>
      </c>
      <c r="H53" s="69">
        <f>(1.25*M53+P53+R53+W53+Y53+Z53+AL53)/(1-N53-$H$8-$H$4-(1-I53)*$H$3-$H$11-AA53-AC53)</f>
        <v/>
      </c>
      <c r="I53" s="15" t="n">
        <v>0.45</v>
      </c>
      <c r="J53" s="16">
        <f>H53*(1-I53)</f>
        <v/>
      </c>
      <c r="K53" s="70" t="n">
        <v>313.84</v>
      </c>
      <c r="L53" s="71">
        <f>$H$5</f>
        <v/>
      </c>
      <c r="M53" s="19">
        <f>K53+L53</f>
        <v/>
      </c>
      <c r="N53" s="20" t="n">
        <v>0.47</v>
      </c>
      <c r="O53" s="72">
        <f>H53*N53</f>
        <v/>
      </c>
      <c r="P53" s="73" t="n">
        <v>67</v>
      </c>
      <c r="Q53" s="72">
        <f>H53*$H$8</f>
        <v/>
      </c>
      <c r="R53" s="73" t="n">
        <v>25</v>
      </c>
      <c r="S53" s="72">
        <f>H53*$H$4</f>
        <v/>
      </c>
      <c r="T53" s="72">
        <f>J53*$H$3</f>
        <v/>
      </c>
      <c r="U53" s="74" t="n">
        <v>0.9</v>
      </c>
      <c r="V53" s="73" t="n">
        <v>67</v>
      </c>
      <c r="W53" s="72">
        <f>V53*(1-U53)</f>
        <v/>
      </c>
      <c r="X53" s="75" t="n">
        <v>0.86</v>
      </c>
      <c r="Y53" s="72">
        <f>$H$6*$H$7*X53</f>
        <v/>
      </c>
      <c r="Z53" s="19">
        <f>X53*($H$9+$H$10)</f>
        <v/>
      </c>
      <c r="AA53" s="20" t="n">
        <v>0.07000000000000001</v>
      </c>
      <c r="AB53" s="72">
        <f>H53*AA53</f>
        <v/>
      </c>
      <c r="AC53" s="74" t="n">
        <v>0.08</v>
      </c>
      <c r="AD53" s="72">
        <f>H53*AC53</f>
        <v/>
      </c>
      <c r="AE53" s="72">
        <f>AB53+AD53</f>
        <v/>
      </c>
      <c r="AF53" s="25">
        <f>AE53/H53</f>
        <v/>
      </c>
      <c r="AG53" s="26">
        <f>H53-O53-P53-Q53-R53-S53-T53-W53-Y53-Z53-M53-AL53-AM53</f>
        <v/>
      </c>
      <c r="AH53" s="76">
        <f>AG53-AE53</f>
        <v/>
      </c>
      <c r="AI53" s="77">
        <f>AH53/H53</f>
        <v/>
      </c>
      <c r="AJ53" s="78">
        <f>AH53/M53</f>
        <v/>
      </c>
      <c r="AK53" s="72">
        <f>(P53+R53+W53+Y53+Z53+M53+AL53)/(1-(N53+$H$4+(1-I53)*$H$3+$H$8+$H$11+AA53+AC53))</f>
        <v/>
      </c>
      <c r="AL53" s="72">
        <f>$H$12</f>
        <v/>
      </c>
      <c r="AM53" s="72">
        <f>H53*$H$11</f>
        <v/>
      </c>
    </row>
    <row r="54" ht="29" customHeight="1">
      <c r="A54" s="66" t="inlineStr">
        <is>
          <t xml:space="preserve">FARMSTAY ESCARGOT NOBLESSE INTENSIVE AMPOULE/ сыворотка с улиткой </t>
        </is>
      </c>
      <c r="B54" s="67" t="n"/>
      <c r="C54" s="68" t="n"/>
      <c r="D54" s="111" t="n">
        <v>964</v>
      </c>
      <c r="E54" s="69" t="n">
        <v>3820</v>
      </c>
      <c r="F54" s="69" t="n">
        <v>22</v>
      </c>
      <c r="G54" s="69" t="n">
        <v>7</v>
      </c>
      <c r="H54" s="69">
        <f>(1.25*M54+P54+R54+W54+Y54+Z54+AL54)/(1-N54-$H$8-$H$4-(1-I54)*$H$3-$H$11-AA54-AC54)</f>
        <v/>
      </c>
      <c r="I54" s="15" t="n">
        <v>0.45</v>
      </c>
      <c r="J54" s="16">
        <f>H54*(1-I54)</f>
        <v/>
      </c>
      <c r="K54" s="70" t="n">
        <v>390.46</v>
      </c>
      <c r="L54" s="71">
        <f>$H$5</f>
        <v/>
      </c>
      <c r="M54" s="19">
        <f>K54+L54</f>
        <v/>
      </c>
      <c r="N54" s="20" t="n">
        <v>0.47</v>
      </c>
      <c r="O54" s="72">
        <f>H54*N54</f>
        <v/>
      </c>
      <c r="P54" s="73" t="n">
        <v>67</v>
      </c>
      <c r="Q54" s="72">
        <f>H54*$H$8</f>
        <v/>
      </c>
      <c r="R54" s="73" t="n">
        <v>25</v>
      </c>
      <c r="S54" s="72">
        <f>H54*$H$4</f>
        <v/>
      </c>
      <c r="T54" s="72">
        <f>J54*$H$3</f>
        <v/>
      </c>
      <c r="U54" s="74" t="n">
        <v>0.9</v>
      </c>
      <c r="V54" s="73" t="n">
        <v>67</v>
      </c>
      <c r="W54" s="72">
        <f>V54*(1-U54)</f>
        <v/>
      </c>
      <c r="X54" s="75" t="n">
        <v>0.86</v>
      </c>
      <c r="Y54" s="72">
        <f>$H$6*$H$7*X54</f>
        <v/>
      </c>
      <c r="Z54" s="19">
        <f>X54*($H$9+$H$10)</f>
        <v/>
      </c>
      <c r="AA54" s="20" t="n">
        <v>0.07000000000000001</v>
      </c>
      <c r="AB54" s="72">
        <f>H54*AA54</f>
        <v/>
      </c>
      <c r="AC54" s="74" t="n">
        <v>0.08</v>
      </c>
      <c r="AD54" s="72">
        <f>H54*AC54</f>
        <v/>
      </c>
      <c r="AE54" s="72">
        <f>AB54+AD54</f>
        <v/>
      </c>
      <c r="AF54" s="25">
        <f>AE54/H54</f>
        <v/>
      </c>
      <c r="AG54" s="26">
        <f>H54-O54-P54-Q54-R54-S54-T54-W54-Y54-Z54-M54-AL54-AM54</f>
        <v/>
      </c>
      <c r="AH54" s="76">
        <f>AG54-AE54</f>
        <v/>
      </c>
      <c r="AI54" s="77">
        <f>AH54/H54</f>
        <v/>
      </c>
      <c r="AJ54" s="78">
        <f>AH54/M54</f>
        <v/>
      </c>
      <c r="AK54" s="72">
        <f>(P54+R54+W54+Y54+Z54+M54+AL54)/(1-(N54+$H$4+(1-I54)*$H$3+$H$8+$H$11+AA54+AC54))</f>
        <v/>
      </c>
      <c r="AL54" s="72">
        <f>$H$12</f>
        <v/>
      </c>
      <c r="AM54" s="72">
        <f>H54*$H$11</f>
        <v/>
      </c>
    </row>
    <row r="55" ht="29" customHeight="1">
      <c r="A55" s="66" t="inlineStr">
        <is>
          <t>FARMSTAY - Argan Oil Complete Volume Up Shampoo &amp; Conditioner [530ml] / Шампунь-кондиционер с аргановым маслом</t>
        </is>
      </c>
      <c r="B55" s="67" t="n"/>
      <c r="C55" s="68" t="n"/>
      <c r="E55" s="69" t="n">
        <v>2000</v>
      </c>
      <c r="F55" s="69" t="n">
        <v>23</v>
      </c>
      <c r="G55" s="69" t="n">
        <v>1</v>
      </c>
      <c r="H55" s="69">
        <f>(1.25*M55+P55+R55+W55+Y55+Z55+AL55)/(1-N55-$H$8-$H$4-(1-I55)*$H$3-$H$11-AA55-AC55)</f>
        <v/>
      </c>
      <c r="I55" s="15" t="n">
        <v>0.45</v>
      </c>
      <c r="J55" s="16">
        <f>H55*(1-I55)</f>
        <v/>
      </c>
      <c r="K55" s="70" t="n">
        <v>400.76</v>
      </c>
      <c r="L55" s="71">
        <f>$H$5</f>
        <v/>
      </c>
      <c r="M55" s="19">
        <f>K55+L55</f>
        <v/>
      </c>
      <c r="N55" s="20" t="n">
        <v>0.47</v>
      </c>
      <c r="O55" s="72">
        <f>H55*N55</f>
        <v/>
      </c>
      <c r="P55" s="73" t="n">
        <v>75</v>
      </c>
      <c r="Q55" s="72">
        <f>H55*$H$8</f>
        <v/>
      </c>
      <c r="R55" s="73" t="n">
        <v>25</v>
      </c>
      <c r="S55" s="72">
        <f>H55*$H$4</f>
        <v/>
      </c>
      <c r="T55" s="72">
        <f>J55*$H$3</f>
        <v/>
      </c>
      <c r="U55" s="74" t="n">
        <v>0.9</v>
      </c>
      <c r="V55" s="73" t="n">
        <v>75</v>
      </c>
      <c r="W55" s="72">
        <f>V55*(1-U55)</f>
        <v/>
      </c>
      <c r="X55" s="75" t="n">
        <v>1.26</v>
      </c>
      <c r="Y55" s="72">
        <f>$H$6*$H$7*X55</f>
        <v/>
      </c>
      <c r="Z55" s="19">
        <f>X55*($H$9+$H$10)</f>
        <v/>
      </c>
      <c r="AA55" s="20" t="n">
        <v>0.07000000000000001</v>
      </c>
      <c r="AB55" s="72">
        <f>H55*AA55</f>
        <v/>
      </c>
      <c r="AC55" s="74" t="n">
        <v>0.08</v>
      </c>
      <c r="AD55" s="72">
        <f>H55*AC55</f>
        <v/>
      </c>
      <c r="AE55" s="72">
        <f>AB55+AD55</f>
        <v/>
      </c>
      <c r="AF55" s="25">
        <f>AE55/H55</f>
        <v/>
      </c>
      <c r="AG55" s="26">
        <f>H55-O55-P55-Q55-R55-S55-T55-W55-Y55-Z55-M55-AL55-AM55</f>
        <v/>
      </c>
      <c r="AH55" s="76">
        <f>AG55-AE55</f>
        <v/>
      </c>
      <c r="AI55" s="77">
        <f>AH55/H55</f>
        <v/>
      </c>
      <c r="AJ55" s="78">
        <f>AH55/M55</f>
        <v/>
      </c>
      <c r="AK55" s="72">
        <f>(P55+R55+W55+Y55+Z55+M55+AL55)/(1-(N55+$H$4+(1-I55)*$H$3+$H$8+$H$11+AA55+AC55))</f>
        <v/>
      </c>
      <c r="AL55" s="72">
        <f>$H$12</f>
        <v/>
      </c>
      <c r="AM55" s="72">
        <f>H55*$H$11</f>
        <v/>
      </c>
    </row>
    <row r="56" ht="29" customHeight="1">
      <c r="A56" s="66" t="inlineStr">
        <is>
          <t>FARMSTAY - Collagen Water Full Shampoo &amp; Conditioner [530ml] / Шампунь-кондиционер 2в1 с коллагеном</t>
        </is>
      </c>
      <c r="B56" s="67" t="n"/>
      <c r="C56" s="68" t="n"/>
      <c r="D56" s="111" t="n">
        <v>484</v>
      </c>
      <c r="E56" s="69" t="n">
        <v>2128</v>
      </c>
      <c r="F56" s="69" t="n">
        <v>22</v>
      </c>
      <c r="G56" s="69" t="n">
        <v>7.5</v>
      </c>
      <c r="H56" s="69">
        <f>(1.25*M56+P56+R56+W56+Y56+Z56+AL56)/(1-N56-$H$8-$H$4-(1-I56)*$H$3-$H$11-AA56-AC56)</f>
        <v/>
      </c>
      <c r="I56" s="15" t="n">
        <v>0.45</v>
      </c>
      <c r="J56" s="16">
        <f>H56*(1-I56)</f>
        <v/>
      </c>
      <c r="K56" s="70" t="n">
        <v>396.72</v>
      </c>
      <c r="L56" s="71">
        <f>$H$5</f>
        <v/>
      </c>
      <c r="M56" s="19">
        <f>K56+L56</f>
        <v/>
      </c>
      <c r="N56" s="20" t="n">
        <v>0.47</v>
      </c>
      <c r="O56" s="72">
        <f>H56*N56</f>
        <v/>
      </c>
      <c r="P56" s="73" t="n">
        <v>75</v>
      </c>
      <c r="Q56" s="72">
        <f>H56*$H$8</f>
        <v/>
      </c>
      <c r="R56" s="73" t="n">
        <v>25</v>
      </c>
      <c r="S56" s="72">
        <f>H56*$H$4</f>
        <v/>
      </c>
      <c r="T56" s="72">
        <f>J56*$H$3</f>
        <v/>
      </c>
      <c r="U56" s="74" t="n">
        <v>0.9</v>
      </c>
      <c r="V56" s="73" t="n">
        <v>75</v>
      </c>
      <c r="W56" s="72">
        <f>V56*(1-U56)</f>
        <v/>
      </c>
      <c r="X56" s="75" t="n">
        <v>1.26</v>
      </c>
      <c r="Y56" s="72">
        <f>$H$6*$H$7*X56</f>
        <v/>
      </c>
      <c r="Z56" s="19">
        <f>X56*($H$9+$H$10)</f>
        <v/>
      </c>
      <c r="AA56" s="20" t="n">
        <v>0.07000000000000001</v>
      </c>
      <c r="AB56" s="72">
        <f>H56*AA56</f>
        <v/>
      </c>
      <c r="AC56" s="74" t="n">
        <v>0.08</v>
      </c>
      <c r="AD56" s="72">
        <f>H56*AC56</f>
        <v/>
      </c>
      <c r="AE56" s="72">
        <f>AB56+AD56</f>
        <v/>
      </c>
      <c r="AF56" s="25">
        <f>AE56/H56</f>
        <v/>
      </c>
      <c r="AG56" s="26">
        <f>H56-O56-P56-Q56-R56-S56-T56-W56-Y56-Z56-M56-AL56-AM56</f>
        <v/>
      </c>
      <c r="AH56" s="76">
        <f>AG56-AE56</f>
        <v/>
      </c>
      <c r="AI56" s="77">
        <f>AH56/H56</f>
        <v/>
      </c>
      <c r="AJ56" s="78">
        <f>AH56/M56</f>
        <v/>
      </c>
      <c r="AK56" s="72">
        <f>(P56+R56+W56+Y56+Z56+M56+AL56)/(1-(N56+$H$4+(1-I56)*$H$3+$H$8+$H$11+AA56+AC56))</f>
        <v/>
      </c>
      <c r="AL56" s="72">
        <f>$H$12</f>
        <v/>
      </c>
      <c r="AM56" s="72">
        <f>H56*$H$11</f>
        <v/>
      </c>
    </row>
    <row r="57" ht="29" customHeight="1">
      <c r="A57" s="66" t="inlineStr">
        <is>
          <t>FARMSTAY - Collagen Water Full Moist Rolling Eye Serum [25ml] / Сыворотка роллер для глаз</t>
        </is>
      </c>
      <c r="B57" s="67" t="n"/>
      <c r="C57" s="68" t="n"/>
      <c r="D57" s="111" t="n">
        <v>484</v>
      </c>
      <c r="E57" s="69" t="n">
        <v>2145</v>
      </c>
      <c r="F57" s="69" t="n">
        <v>48</v>
      </c>
      <c r="G57" s="69" t="n">
        <v>5</v>
      </c>
      <c r="H57" s="69">
        <f>(1.25*M57+P57+R57+W57+Y57+Z57+AL57)/(1-N57-$H$8-$H$4-(1-I57)*$H$3-$H$11-AA57-AC57)</f>
        <v/>
      </c>
      <c r="I57" s="15" t="n">
        <v>0.45</v>
      </c>
      <c r="J57" s="16">
        <f>H57*(1-I57)</f>
        <v/>
      </c>
      <c r="K57" s="70" t="n">
        <v>231.73</v>
      </c>
      <c r="L57" s="71">
        <f>$H$5</f>
        <v/>
      </c>
      <c r="M57" s="19">
        <f>K57+L57</f>
        <v/>
      </c>
      <c r="N57" s="20" t="n">
        <v>0.47</v>
      </c>
      <c r="O57" s="72">
        <f>H57*N57</f>
        <v/>
      </c>
      <c r="P57" s="73" t="n">
        <v>63</v>
      </c>
      <c r="Q57" s="72">
        <f>H57*$H$8</f>
        <v/>
      </c>
      <c r="R57" s="73" t="n">
        <v>25</v>
      </c>
      <c r="S57" s="72">
        <f>H57*$H$4</f>
        <v/>
      </c>
      <c r="T57" s="72">
        <f>J57*$H$3</f>
        <v/>
      </c>
      <c r="U57" s="74" t="n">
        <v>0.9</v>
      </c>
      <c r="V57" s="73" t="n">
        <v>63</v>
      </c>
      <c r="W57" s="72">
        <f>V57*(1-U57)</f>
        <v/>
      </c>
      <c r="X57" s="75" t="n">
        <v>0.22</v>
      </c>
      <c r="Y57" s="72">
        <f>$H$6*$H$7*X57</f>
        <v/>
      </c>
      <c r="Z57" s="19">
        <f>X57*($H$9+$H$10)</f>
        <v/>
      </c>
      <c r="AA57" s="20" t="n">
        <v>0.07000000000000001</v>
      </c>
      <c r="AB57" s="72">
        <f>H57*AA57</f>
        <v/>
      </c>
      <c r="AC57" s="74" t="n">
        <v>0.08</v>
      </c>
      <c r="AD57" s="72">
        <f>H57*AC57</f>
        <v/>
      </c>
      <c r="AE57" s="72">
        <f>AB57+AD57</f>
        <v/>
      </c>
      <c r="AF57" s="25">
        <f>AE57/H57</f>
        <v/>
      </c>
      <c r="AG57" s="26">
        <f>H57-O57-P57-Q57-R57-S57-T57-W57-Y57-Z57-M57-AL57-AM57</f>
        <v/>
      </c>
      <c r="AH57" s="76">
        <f>AG57-AE57</f>
        <v/>
      </c>
      <c r="AI57" s="77">
        <f>AH57/H57</f>
        <v/>
      </c>
      <c r="AJ57" s="78">
        <f>AH57/M57</f>
        <v/>
      </c>
      <c r="AK57" s="72">
        <f>(P57+R57+W57+Y57+Z57+M57+AL57)/(1-(N57+$H$4+(1-I57)*$H$3+$H$8+$H$11+AA57+AC57))</f>
        <v/>
      </c>
      <c r="AL57" s="72">
        <f>$H$12</f>
        <v/>
      </c>
      <c r="AM57" s="72">
        <f>H57*$H$11</f>
        <v/>
      </c>
    </row>
    <row r="58" ht="29" customHeight="1">
      <c r="A58" s="66" t="inlineStr">
        <is>
          <t>FARMSTAY - Collagen Water Full Moist Cream [100g] / Увлажняющий крем с коллагеном</t>
        </is>
      </c>
      <c r="B58" s="67" t="n"/>
      <c r="C58" s="68" t="n"/>
      <c r="D58" s="111" t="n">
        <v>287</v>
      </c>
      <c r="E58" s="69" t="n">
        <v>4300</v>
      </c>
      <c r="F58" s="69" t="n">
        <v>29</v>
      </c>
      <c r="G58" s="69" t="n">
        <v>7</v>
      </c>
      <c r="H58" s="69">
        <f>(1.25*M58+P58+R58+W58+Y58+Z58+AL58)/(1-N58-$H$8-$H$4-(1-I58)*$H$3-$H$11-AA58-AC58)</f>
        <v/>
      </c>
      <c r="I58" s="15" t="n">
        <v>0.45</v>
      </c>
      <c r="J58" s="16">
        <f>H58*(1-I58)</f>
        <v/>
      </c>
      <c r="K58" s="70" t="n">
        <v>484.42</v>
      </c>
      <c r="L58" s="71">
        <f>$H$5</f>
        <v/>
      </c>
      <c r="M58" s="19">
        <f>K58+L58</f>
        <v/>
      </c>
      <c r="N58" s="20" t="n">
        <v>0.47</v>
      </c>
      <c r="O58" s="72">
        <f>H58*N58</f>
        <v/>
      </c>
      <c r="P58" s="73" t="n">
        <v>67</v>
      </c>
      <c r="Q58" s="72">
        <f>H58*$H$8</f>
        <v/>
      </c>
      <c r="R58" s="73" t="n">
        <v>25</v>
      </c>
      <c r="S58" s="72">
        <f>H58*$H$4</f>
        <v/>
      </c>
      <c r="T58" s="72">
        <f>J58*$H$3</f>
        <v/>
      </c>
      <c r="U58" s="74" t="n">
        <v>0.9</v>
      </c>
      <c r="V58" s="73" t="n">
        <v>67</v>
      </c>
      <c r="W58" s="72">
        <f>V58*(1-U58)</f>
        <v/>
      </c>
      <c r="X58" s="75" t="n">
        <v>0.57</v>
      </c>
      <c r="Y58" s="72">
        <f>$H$6*$H$7*X58</f>
        <v/>
      </c>
      <c r="Z58" s="19">
        <f>X58*($H$9+$H$10)</f>
        <v/>
      </c>
      <c r="AA58" s="20" t="n">
        <v>0.07000000000000001</v>
      </c>
      <c r="AB58" s="72">
        <f>H58*AA58</f>
        <v/>
      </c>
      <c r="AC58" s="74" t="n">
        <v>0.08</v>
      </c>
      <c r="AD58" s="72">
        <f>H58*AC58</f>
        <v/>
      </c>
      <c r="AE58" s="72">
        <f>AB58+AD58</f>
        <v/>
      </c>
      <c r="AF58" s="25">
        <f>AE58/H58</f>
        <v/>
      </c>
      <c r="AG58" s="26">
        <f>H58-O58-P58-Q58-R58-S58-T58-W58-Y58-Z58-M58-AL58-AM58</f>
        <v/>
      </c>
      <c r="AH58" s="76">
        <f>AG58-AE58</f>
        <v/>
      </c>
      <c r="AI58" s="77">
        <f>AH58/H58</f>
        <v/>
      </c>
      <c r="AJ58" s="78">
        <f>AH58/M58</f>
        <v/>
      </c>
      <c r="AK58" s="72">
        <f>(P58+R58+W58+Y58+Z58+M58+AL58)/(1-(N58+$H$4+(1-I58)*$H$3+$H$8+$H$11+AA58+AC58))</f>
        <v/>
      </c>
      <c r="AL58" s="72">
        <f>$H$12</f>
        <v/>
      </c>
      <c r="AM58" s="72">
        <f>H58*$H$11</f>
        <v/>
      </c>
    </row>
    <row r="59" ht="29" customHeight="1">
      <c r="A59" s="66" t="inlineStr">
        <is>
          <t xml:space="preserve">FARMSTAY - Collagen Pure Cleansing Foam [180ml]/Пенка для умывания </t>
        </is>
      </c>
      <c r="B59" s="67" t="n"/>
      <c r="C59" s="68" t="n"/>
      <c r="D59" s="111" t="n">
        <v>515</v>
      </c>
      <c r="E59" s="69" t="n">
        <v>1100</v>
      </c>
      <c r="F59" s="69" t="n">
        <v>163</v>
      </c>
      <c r="G59" s="69" t="n">
        <v>4.5</v>
      </c>
      <c r="H59" s="69">
        <f>(1.25*M59+P59+R59+W59+Y59+Z59+AL59)/(1-N59-$H$8-$H$4-(1-I59)*$H$3-$H$11-AA59-AC59)</f>
        <v/>
      </c>
      <c r="I59" s="15" t="n">
        <v>0.45</v>
      </c>
      <c r="J59" s="16">
        <f>H59*(1-I59)</f>
        <v/>
      </c>
      <c r="K59" s="70" t="n">
        <v>161.47</v>
      </c>
      <c r="L59" s="71">
        <f>$H$5</f>
        <v/>
      </c>
      <c r="M59" s="19">
        <f>K59+L59</f>
        <v/>
      </c>
      <c r="N59" s="20" t="n">
        <v>0.47</v>
      </c>
      <c r="O59" s="72">
        <f>H59*N59</f>
        <v/>
      </c>
      <c r="P59" s="73" t="n">
        <v>67</v>
      </c>
      <c r="Q59" s="72">
        <f>H59*$H$8</f>
        <v/>
      </c>
      <c r="R59" s="73" t="n">
        <v>25</v>
      </c>
      <c r="S59" s="72">
        <f>H59*$H$4</f>
        <v/>
      </c>
      <c r="T59" s="72">
        <f>J59*$H$3</f>
        <v/>
      </c>
      <c r="U59" s="74" t="n">
        <v>0.9</v>
      </c>
      <c r="V59" s="73" t="n">
        <v>67</v>
      </c>
      <c r="W59" s="72">
        <f>V59*(1-U59)</f>
        <v/>
      </c>
      <c r="X59" s="75" t="n">
        <v>0.57</v>
      </c>
      <c r="Y59" s="72">
        <f>$H$6*$H$7*X59</f>
        <v/>
      </c>
      <c r="Z59" s="19">
        <f>X59*($H$9+$H$10)</f>
        <v/>
      </c>
      <c r="AA59" s="20" t="n">
        <v>0.07000000000000001</v>
      </c>
      <c r="AB59" s="72">
        <f>H59*AA59</f>
        <v/>
      </c>
      <c r="AC59" s="74" t="n">
        <v>0.08</v>
      </c>
      <c r="AD59" s="72">
        <f>H59*AC59</f>
        <v/>
      </c>
      <c r="AE59" s="72">
        <f>AB59+AD59</f>
        <v/>
      </c>
      <c r="AF59" s="25">
        <f>AE59/H59</f>
        <v/>
      </c>
      <c r="AG59" s="26">
        <f>H59-O59-P59-Q59-R59-S59-T59-W59-Y59-Z59-M59-AL59-AM59</f>
        <v/>
      </c>
      <c r="AH59" s="76">
        <f>AG59-AE59</f>
        <v/>
      </c>
      <c r="AI59" s="77">
        <f>AH59/H59</f>
        <v/>
      </c>
      <c r="AJ59" s="78">
        <f>AH59/M59</f>
        <v/>
      </c>
      <c r="AK59" s="72">
        <f>(P59+R59+W59+Y59+Z59+M59+AL59)/(1-(N59+$H$4+(1-I59)*$H$3+$H$8+$H$11+AA59+AC59))</f>
        <v/>
      </c>
      <c r="AL59" s="72">
        <f>$H$12</f>
        <v/>
      </c>
      <c r="AM59" s="72">
        <f>H59*$H$11</f>
        <v/>
      </c>
    </row>
    <row r="60">
      <c r="A60" s="64" t="inlineStr">
        <is>
          <t>Косметика/HEIMISH</t>
        </is>
      </c>
      <c r="B60" s="65" t="n"/>
      <c r="C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65" t="n"/>
      <c r="U60" s="65" t="n"/>
      <c r="V60" s="65" t="n"/>
      <c r="W60" s="65" t="n"/>
      <c r="X60" s="65" t="n"/>
      <c r="Y60" s="65" t="n"/>
      <c r="Z60" s="65" t="n"/>
      <c r="AA60" s="65" t="n"/>
      <c r="AB60" s="65" t="n"/>
      <c r="AC60" s="65" t="n"/>
      <c r="AD60" s="65" t="n"/>
      <c r="AE60" s="65" t="n"/>
      <c r="AF60" s="65" t="n"/>
      <c r="AG60" s="65" t="n"/>
      <c r="AH60" s="65" t="n"/>
      <c r="AI60" s="65" t="n"/>
      <c r="AJ60" s="65" t="n"/>
      <c r="AK60" s="65" t="n"/>
      <c r="AL60" s="65" t="n"/>
      <c r="AM60" s="65" t="n"/>
    </row>
    <row r="61" ht="29" customHeight="1">
      <c r="A61" s="66" t="inlineStr">
        <is>
          <t>HEIMISH - Artless Glow Base SPF50+ PA+++(Renew) [40ml] / База под макияж SPF50+ PA+++</t>
        </is>
      </c>
      <c r="B61" s="67" t="n"/>
      <c r="C61" s="68" t="n"/>
      <c r="E61" s="69" t="n">
        <v>2980</v>
      </c>
      <c r="F61" s="69" t="n">
        <v>100</v>
      </c>
      <c r="G61" s="69" t="n">
        <v>0</v>
      </c>
      <c r="H61" s="69">
        <f>(1.25*M61+P61+R61+W61+Y61+Z61+AL61)/(1-N61-$H$8-$H$4-(1-I61)*$H$3-$H$11-AA61-AC61)</f>
        <v/>
      </c>
      <c r="I61" s="15" t="n">
        <v>0.45</v>
      </c>
      <c r="J61" s="16">
        <f>H61*(1-I61)</f>
        <v/>
      </c>
      <c r="K61" s="70" t="n">
        <v>770.48</v>
      </c>
      <c r="L61" s="71">
        <f>$H$5</f>
        <v/>
      </c>
      <c r="M61" s="19">
        <f>K61+L61</f>
        <v/>
      </c>
      <c r="N61" s="20" t="n">
        <v>0.47</v>
      </c>
      <c r="O61" s="72">
        <f>H61*N61</f>
        <v/>
      </c>
      <c r="P61" s="73" t="n">
        <v>56</v>
      </c>
      <c r="Q61" s="72">
        <f>H61*$H$8</f>
        <v/>
      </c>
      <c r="R61" s="73" t="n">
        <v>25</v>
      </c>
      <c r="S61" s="72">
        <f>H61*$H$4</f>
        <v/>
      </c>
      <c r="T61" s="72">
        <f>J61*$H$3</f>
        <v/>
      </c>
      <c r="U61" s="74" t="n">
        <v>0.9</v>
      </c>
      <c r="V61" s="73" t="n">
        <v>56</v>
      </c>
      <c r="W61" s="72">
        <f>V61*(1-U61)</f>
        <v/>
      </c>
      <c r="X61" s="75" t="n">
        <v>0.14</v>
      </c>
      <c r="Y61" s="72">
        <f>$H$6*$H$7*X61</f>
        <v/>
      </c>
      <c r="Z61" s="19">
        <f>X61*($H$9+$H$10)</f>
        <v/>
      </c>
      <c r="AA61" s="20" t="n">
        <v>0.05</v>
      </c>
      <c r="AB61" s="72">
        <f>H61*AA61</f>
        <v/>
      </c>
      <c r="AC61" s="74" t="n">
        <v>0.05</v>
      </c>
      <c r="AD61" s="72">
        <f>H61*AC61</f>
        <v/>
      </c>
      <c r="AE61" s="72">
        <f>AB61+AD61</f>
        <v/>
      </c>
      <c r="AF61" s="25">
        <f>AE61/H61</f>
        <v/>
      </c>
      <c r="AG61" s="26">
        <f>H61-O61-P61-Q61-R61-S61-T61-W61-Y61-Z61-M61-AL61-AM61</f>
        <v/>
      </c>
      <c r="AH61" s="76">
        <f>AG61-AE61</f>
        <v/>
      </c>
      <c r="AI61" s="77">
        <f>AH61/H61</f>
        <v/>
      </c>
      <c r="AJ61" s="78">
        <f>AH61/M61</f>
        <v/>
      </c>
      <c r="AK61" s="72">
        <f>(P61+R61+W61+Y61+Z61+M61+AL61)/(1-(N61+$H$4+(1-I61)*$H$3+$H$8+$H$11+AA61+AC61))</f>
        <v/>
      </c>
      <c r="AL61" s="72">
        <f>$H$12</f>
        <v/>
      </c>
      <c r="AM61" s="72">
        <f>H61*$H$11</f>
        <v/>
      </c>
    </row>
    <row r="62" ht="29" customHeight="1">
      <c r="A62" s="79" t="inlineStr">
        <is>
          <t>HEIMISH - All Clean Balm / Очищающий гидрофильный бальзам щербет МИНИ ВЕРСИЯ</t>
        </is>
      </c>
      <c r="B62" s="80" t="n"/>
      <c r="C62" s="80" t="n"/>
      <c r="D62" s="111" t="n">
        <v>400</v>
      </c>
      <c r="E62" s="81" t="n"/>
      <c r="F62" s="81" t="n"/>
      <c r="G62" s="81" t="n"/>
      <c r="H62" s="81" t="n"/>
      <c r="I62" s="32" t="n"/>
      <c r="J62" s="33" t="n"/>
      <c r="K62" s="82" t="n"/>
      <c r="L62" s="82" t="n"/>
      <c r="M62" s="35" t="n"/>
      <c r="N62" s="36" t="n"/>
      <c r="O62" s="81" t="n"/>
      <c r="P62" s="81" t="n"/>
      <c r="Q62" s="81" t="n"/>
      <c r="R62" s="81" t="n"/>
      <c r="S62" s="81" t="n"/>
      <c r="T62" s="81" t="n"/>
      <c r="U62" s="83" t="n"/>
      <c r="V62" s="81" t="n"/>
      <c r="W62" s="81" t="n"/>
      <c r="X62" s="84" t="n"/>
      <c r="Y62" s="81" t="n"/>
      <c r="Z62" s="35" t="n"/>
      <c r="AA62" s="36" t="n"/>
      <c r="AB62" s="81" t="n"/>
      <c r="AC62" s="83" t="n"/>
      <c r="AD62" s="81" t="n"/>
      <c r="AE62" s="81" t="n"/>
      <c r="AF62" s="39" t="n"/>
      <c r="AG62" s="40" t="n"/>
      <c r="AH62" s="81" t="n"/>
      <c r="AI62" s="83" t="n"/>
      <c r="AJ62" s="83" t="n"/>
      <c r="AK62" s="81" t="n"/>
      <c r="AL62" s="81" t="n"/>
      <c r="AM62" s="81" t="n"/>
    </row>
    <row r="63">
      <c r="A63" s="64" t="inlineStr">
        <is>
          <t>Косметика/JIGOTT/JIGOTT-CREAM</t>
        </is>
      </c>
      <c r="B63" s="65" t="n"/>
      <c r="C63" s="65" t="n"/>
      <c r="E63" s="65" t="n"/>
      <c r="F63" s="65" t="n"/>
      <c r="G63" s="65" t="n"/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65" t="n"/>
      <c r="U63" s="65" t="n"/>
      <c r="V63" s="65" t="n"/>
      <c r="W63" s="65" t="n"/>
      <c r="X63" s="65" t="n"/>
      <c r="Y63" s="65" t="n"/>
      <c r="Z63" s="65" t="n"/>
      <c r="AA63" s="65" t="n"/>
      <c r="AB63" s="65" t="n"/>
      <c r="AC63" s="65" t="n"/>
      <c r="AD63" s="65" t="n"/>
      <c r="AE63" s="65" t="n"/>
      <c r="AF63" s="65" t="n"/>
      <c r="AG63" s="65" t="n"/>
      <c r="AH63" s="65" t="n"/>
      <c r="AI63" s="65" t="n"/>
      <c r="AJ63" s="65" t="n"/>
      <c r="AK63" s="65" t="n"/>
      <c r="AL63" s="65" t="n"/>
      <c r="AM63" s="65" t="n"/>
    </row>
    <row r="64" ht="29" customHeight="1">
      <c r="A64" s="66" t="inlineStr">
        <is>
          <t>JIGOTT - Snail Lifting Cream [70ml] / Крем для лица увлажняющий антивозрастной</t>
        </is>
      </c>
      <c r="B64" s="67" t="n"/>
      <c r="C64" s="68" t="n"/>
      <c r="E64" s="69" t="n">
        <v>980</v>
      </c>
      <c r="F64" s="69" t="n">
        <v>160</v>
      </c>
      <c r="G64" s="69" t="n">
        <v>4.5</v>
      </c>
      <c r="H64" s="69">
        <f>(1.25*M64+P64+R64+W64+Y64+Z64+AL64)/(1-N64-$H$8-$H$4-(1-I64)*$H$3-$H$11-AA64-AC64)</f>
        <v/>
      </c>
      <c r="I64" s="15" t="n">
        <v>0.45</v>
      </c>
      <c r="J64" s="16">
        <f>H64*(1-I64)</f>
        <v/>
      </c>
      <c r="K64" s="70" t="n">
        <v>202.27</v>
      </c>
      <c r="L64" s="71">
        <f>$H$5</f>
        <v/>
      </c>
      <c r="M64" s="19">
        <f>K64+L64</f>
        <v/>
      </c>
      <c r="N64" s="20" t="n">
        <v>0.47</v>
      </c>
      <c r="O64" s="72">
        <f>H64*N64</f>
        <v/>
      </c>
      <c r="P64" s="73" t="n">
        <v>67</v>
      </c>
      <c r="Q64" s="72">
        <f>H64*$H$8</f>
        <v/>
      </c>
      <c r="R64" s="73" t="n">
        <v>25</v>
      </c>
      <c r="S64" s="72">
        <f>H64*$H$4</f>
        <v/>
      </c>
      <c r="T64" s="72">
        <f>J64*$H$3</f>
        <v/>
      </c>
      <c r="U64" s="74" t="n">
        <v>0.9</v>
      </c>
      <c r="V64" s="73" t="n">
        <v>67</v>
      </c>
      <c r="W64" s="72">
        <f>V64*(1-U64)</f>
        <v/>
      </c>
      <c r="X64" s="75" t="n">
        <v>0.42</v>
      </c>
      <c r="Y64" s="72">
        <f>$H$6*$H$7*X64</f>
        <v/>
      </c>
      <c r="Z64" s="19">
        <f>X64*($H$9+$H$10)</f>
        <v/>
      </c>
      <c r="AA64" s="20" t="n">
        <v>0.07000000000000001</v>
      </c>
      <c r="AB64" s="72">
        <f>H64*AA64</f>
        <v/>
      </c>
      <c r="AC64" s="74" t="n">
        <v>0.08</v>
      </c>
      <c r="AD64" s="72">
        <f>H64*AC64</f>
        <v/>
      </c>
      <c r="AE64" s="72">
        <f>AB64+AD64</f>
        <v/>
      </c>
      <c r="AF64" s="25">
        <f>AE64/H64</f>
        <v/>
      </c>
      <c r="AG64" s="26">
        <f>H64-O64-P64-Q64-R64-S64-T64-W64-Y64-Z64-M64-AL64-AM64</f>
        <v/>
      </c>
      <c r="AH64" s="76">
        <f>AG64-AE64</f>
        <v/>
      </c>
      <c r="AI64" s="77">
        <f>AH64/H64</f>
        <v/>
      </c>
      <c r="AJ64" s="78">
        <f>AH64/M64</f>
        <v/>
      </c>
      <c r="AK64" s="72">
        <f>(P64+R64+W64+Y64+Z64+M64+AL64)/(1-(N64+$H$4+(1-I64)*$H$3+$H$8+$H$11+AA64+AC64))</f>
        <v/>
      </c>
      <c r="AL64" s="72">
        <f>$H$12</f>
        <v/>
      </c>
      <c r="AM64" s="72">
        <f>H64*$H$11</f>
        <v/>
      </c>
    </row>
    <row r="65" ht="29" customHeight="1">
      <c r="A65" s="66" t="inlineStr">
        <is>
          <t>JIGOTT - Snail Reparing Cream [100ml] / Крем для лица увлажняющий антивозрастной с муцином улитки</t>
        </is>
      </c>
      <c r="B65" s="67" t="n"/>
      <c r="C65" s="68" t="n"/>
      <c r="E65" s="69" t="n">
        <v>1030</v>
      </c>
      <c r="F65" s="69" t="n">
        <v>153</v>
      </c>
      <c r="G65" s="69" t="n">
        <v>5</v>
      </c>
      <c r="H65" s="69">
        <f>(1.25*M65+P65+R65+W65+Y65+Z65+AL65)/(1-N65-$H$8-$H$4-(1-I65)*$H$3-$H$11-AA65-AC65)</f>
        <v/>
      </c>
      <c r="I65" s="15" t="n">
        <v>0.45</v>
      </c>
      <c r="J65" s="16">
        <f>H65*(1-I65)</f>
        <v/>
      </c>
      <c r="K65" s="70" t="n">
        <v>185.86</v>
      </c>
      <c r="L65" s="71">
        <f>$H$5</f>
        <v/>
      </c>
      <c r="M65" s="19">
        <f>K65+L65</f>
        <v/>
      </c>
      <c r="N65" s="20" t="n">
        <v>0.47</v>
      </c>
      <c r="O65" s="72">
        <f>H65*N65</f>
        <v/>
      </c>
      <c r="P65" s="73" t="n">
        <v>67</v>
      </c>
      <c r="Q65" s="72">
        <f>H65*$H$8</f>
        <v/>
      </c>
      <c r="R65" s="73" t="n">
        <v>25</v>
      </c>
      <c r="S65" s="72">
        <f>H65*$H$4</f>
        <v/>
      </c>
      <c r="T65" s="72">
        <f>J65*$H$3</f>
        <v/>
      </c>
      <c r="U65" s="74" t="n">
        <v>0.9</v>
      </c>
      <c r="V65" s="73" t="n">
        <v>67</v>
      </c>
      <c r="W65" s="72">
        <f>V65*(1-U65)</f>
        <v/>
      </c>
      <c r="X65" s="75" t="n">
        <v>0.57</v>
      </c>
      <c r="Y65" s="72">
        <f>$H$6*$H$7*X65</f>
        <v/>
      </c>
      <c r="Z65" s="19">
        <f>X65*($H$9+$H$10)</f>
        <v/>
      </c>
      <c r="AA65" s="20" t="n">
        <v>0.07000000000000001</v>
      </c>
      <c r="AB65" s="72">
        <f>H65*AA65</f>
        <v/>
      </c>
      <c r="AC65" s="74" t="n">
        <v>0.08</v>
      </c>
      <c r="AD65" s="72">
        <f>H65*AC65</f>
        <v/>
      </c>
      <c r="AE65" s="72">
        <f>AB65+AD65</f>
        <v/>
      </c>
      <c r="AF65" s="25">
        <f>AE65/H65</f>
        <v/>
      </c>
      <c r="AG65" s="26">
        <f>H65-O65-P65-Q65-R65-S65-T65-W65-Y65-Z65-M65-AL65-AM65</f>
        <v/>
      </c>
      <c r="AH65" s="76">
        <f>AG65-AE65</f>
        <v/>
      </c>
      <c r="AI65" s="77">
        <f>AH65/H65</f>
        <v/>
      </c>
      <c r="AJ65" s="78">
        <f>AH65/M65</f>
        <v/>
      </c>
      <c r="AK65" s="72">
        <f>(P65+R65+W65+Y65+Z65+M65+AL65)/(1-(N65+$H$4+(1-I65)*$H$3+$H$8+$H$11+AA65+AC65))</f>
        <v/>
      </c>
      <c r="AL65" s="72">
        <f>$H$12</f>
        <v/>
      </c>
      <c r="AM65" s="72">
        <f>H65*$H$11</f>
        <v/>
      </c>
    </row>
    <row r="66" ht="29" customHeight="1">
      <c r="A66" s="66" t="inlineStr">
        <is>
          <t>JIGOTT - Birds Nest Firming Cream [70ml] / Антивозрастной крем с экстрактом ласточкиного гнезда</t>
        </is>
      </c>
      <c r="B66" s="67" t="n"/>
      <c r="C66" s="68" t="n"/>
      <c r="E66" s="69" t="n">
        <v>1040</v>
      </c>
      <c r="F66" s="69" t="n">
        <v>49</v>
      </c>
      <c r="G66" s="69" t="n">
        <v>4</v>
      </c>
      <c r="H66" s="69">
        <f>(1.25*M66+P66+R66+W66+Y66+Z66+AL66)/(1-N66-$H$8-$H$4-(1-I66)*$H$3-$H$11-AA66-AC66)</f>
        <v/>
      </c>
      <c r="I66" s="15" t="n">
        <v>0.45</v>
      </c>
      <c r="J66" s="16">
        <f>H66*(1-I66)</f>
        <v/>
      </c>
      <c r="K66" s="70" t="n">
        <v>202.27</v>
      </c>
      <c r="L66" s="71">
        <f>$H$5</f>
        <v/>
      </c>
      <c r="M66" s="19">
        <f>K66+L66</f>
        <v/>
      </c>
      <c r="N66" s="20" t="n">
        <v>0.47</v>
      </c>
      <c r="O66" s="72">
        <f>H66*N66</f>
        <v/>
      </c>
      <c r="P66" s="73" t="n">
        <v>67</v>
      </c>
      <c r="Q66" s="72">
        <f>H66*$H$8</f>
        <v/>
      </c>
      <c r="R66" s="73" t="n">
        <v>25</v>
      </c>
      <c r="S66" s="72">
        <f>H66*$H$4</f>
        <v/>
      </c>
      <c r="T66" s="72">
        <f>J66*$H$3</f>
        <v/>
      </c>
      <c r="U66" s="74" t="n">
        <v>0.9</v>
      </c>
      <c r="V66" s="73" t="n">
        <v>67</v>
      </c>
      <c r="W66" s="72">
        <f>V66*(1-U66)</f>
        <v/>
      </c>
      <c r="X66" s="75" t="n">
        <v>0.42</v>
      </c>
      <c r="Y66" s="72">
        <f>$H$6*$H$7*X66</f>
        <v/>
      </c>
      <c r="Z66" s="19">
        <f>X66*($H$9+$H$10)</f>
        <v/>
      </c>
      <c r="AA66" s="20" t="n">
        <v>0.07000000000000001</v>
      </c>
      <c r="AB66" s="72">
        <f>H66*AA66</f>
        <v/>
      </c>
      <c r="AC66" s="74" t="n">
        <v>0.08</v>
      </c>
      <c r="AD66" s="72">
        <f>H66*AC66</f>
        <v/>
      </c>
      <c r="AE66" s="72">
        <f>AB66+AD66</f>
        <v/>
      </c>
      <c r="AF66" s="25">
        <f>AE66/H66</f>
        <v/>
      </c>
      <c r="AG66" s="26">
        <f>H66-O66-P66-Q66-R66-S66-T66-W66-Y66-Z66-M66-AL66-AM66</f>
        <v/>
      </c>
      <c r="AH66" s="76">
        <f>AG66-AE66</f>
        <v/>
      </c>
      <c r="AI66" s="77">
        <f>AH66/H66</f>
        <v/>
      </c>
      <c r="AJ66" s="78">
        <f>AH66/M66</f>
        <v/>
      </c>
      <c r="AK66" s="72">
        <f>(P66+R66+W66+Y66+Z66+M66+AL66)/(1-(N66+$H$4+(1-I66)*$H$3+$H$8+$H$11+AA66+AC66))</f>
        <v/>
      </c>
      <c r="AL66" s="72">
        <f>$H$12</f>
        <v/>
      </c>
      <c r="AM66" s="72">
        <f>H66*$H$11</f>
        <v/>
      </c>
    </row>
    <row r="67">
      <c r="A67" s="64" t="inlineStr">
        <is>
          <t>Косметика/JIGOTT/JIGOTT-MASK</t>
        </is>
      </c>
      <c r="B67" s="65" t="n"/>
      <c r="C67" s="65" t="n"/>
      <c r="E67" s="65" t="n"/>
      <c r="F67" s="65" t="n"/>
      <c r="G67" s="65" t="n"/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65" t="n"/>
      <c r="U67" s="65" t="n"/>
      <c r="V67" s="65" t="n"/>
      <c r="W67" s="65" t="n"/>
      <c r="X67" s="65" t="n"/>
      <c r="Y67" s="65" t="n"/>
      <c r="Z67" s="65" t="n"/>
      <c r="AA67" s="65" t="n"/>
      <c r="AB67" s="65" t="n"/>
      <c r="AC67" s="65" t="n"/>
      <c r="AD67" s="65" t="n"/>
      <c r="AE67" s="65" t="n"/>
      <c r="AF67" s="65" t="n"/>
      <c r="AG67" s="65" t="n"/>
      <c r="AH67" s="65" t="n"/>
      <c r="AI67" s="65" t="n"/>
      <c r="AJ67" s="65" t="n"/>
      <c r="AK67" s="65" t="n"/>
      <c r="AL67" s="65" t="n"/>
      <c r="AM67" s="65" t="n"/>
    </row>
    <row r="68">
      <c r="A68" s="79" t="inlineStr">
        <is>
          <t>JIGOTT - Ассорти набор масок [27ml х 15]</t>
        </is>
      </c>
      <c r="B68" s="80" t="n"/>
      <c r="C68" s="80" t="n"/>
      <c r="E68" s="81" t="n"/>
      <c r="F68" s="81" t="n"/>
      <c r="G68" s="81" t="n"/>
      <c r="H68" s="81" t="n"/>
      <c r="I68" s="32" t="n"/>
      <c r="J68" s="33" t="n"/>
      <c r="K68" s="82" t="n"/>
      <c r="L68" s="82" t="n"/>
      <c r="M68" s="35" t="n"/>
      <c r="N68" s="36" t="n"/>
      <c r="O68" s="81" t="n"/>
      <c r="P68" s="81" t="n"/>
      <c r="Q68" s="81" t="n"/>
      <c r="R68" s="81" t="n"/>
      <c r="S68" s="81" t="n"/>
      <c r="T68" s="81" t="n"/>
      <c r="U68" s="83" t="n"/>
      <c r="V68" s="81" t="n"/>
      <c r="W68" s="81" t="n"/>
      <c r="X68" s="84" t="n"/>
      <c r="Y68" s="81" t="n"/>
      <c r="Z68" s="35" t="n"/>
      <c r="AA68" s="36" t="n"/>
      <c r="AB68" s="81" t="n"/>
      <c r="AC68" s="83" t="n"/>
      <c r="AD68" s="81" t="n"/>
      <c r="AE68" s="81" t="n"/>
      <c r="AF68" s="39" t="n"/>
      <c r="AG68" s="40" t="n"/>
      <c r="AH68" s="81" t="n"/>
      <c r="AI68" s="83" t="n"/>
      <c r="AJ68" s="83" t="n"/>
      <c r="AK68" s="81" t="n"/>
      <c r="AL68" s="81" t="n"/>
      <c r="AM68" s="81" t="n"/>
    </row>
    <row r="69">
      <c r="A69" s="64" t="inlineStr">
        <is>
          <t>Косметика/JIGOTT/JIGOTT-TONER</t>
        </is>
      </c>
      <c r="B69" s="65" t="n"/>
      <c r="C69" s="65" t="n"/>
      <c r="E69" s="65" t="n"/>
      <c r="F69" s="65" t="n"/>
      <c r="G69" s="65" t="n"/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65" t="n"/>
      <c r="U69" s="65" t="n"/>
      <c r="V69" s="65" t="n"/>
      <c r="W69" s="65" t="n"/>
      <c r="X69" s="65" t="n"/>
      <c r="Y69" s="65" t="n"/>
      <c r="Z69" s="65" t="n"/>
      <c r="AA69" s="65" t="n"/>
      <c r="AB69" s="65" t="n"/>
      <c r="AC69" s="65" t="n"/>
      <c r="AD69" s="65" t="n"/>
      <c r="AE69" s="65" t="n"/>
      <c r="AF69" s="65" t="n"/>
      <c r="AG69" s="65" t="n"/>
      <c r="AH69" s="65" t="n"/>
      <c r="AI69" s="65" t="n"/>
      <c r="AJ69" s="65" t="n"/>
      <c r="AK69" s="65" t="n"/>
      <c r="AL69" s="65" t="n"/>
      <c r="AM69" s="65" t="n"/>
    </row>
    <row r="70" ht="29" customHeight="1">
      <c r="A70" s="66" t="inlineStr">
        <is>
          <t>JIGOTT - Ultimate Real Collagen Toner [300ml] / тонер с коллагеном антивозрастной</t>
        </is>
      </c>
      <c r="B70" s="67" t="n"/>
      <c r="C70" s="68" t="n"/>
      <c r="E70" s="69" t="n">
        <v>1140</v>
      </c>
      <c r="F70" s="69" t="n">
        <v>131</v>
      </c>
      <c r="G70" s="69" t="n">
        <v>0</v>
      </c>
      <c r="H70" s="69">
        <f>(1.25*M70+P70+R70+W70+Y70+Z70+AL70)/(1-N70-$H$8-$H$4-(1-I70)*$H$3-$H$11-AA70-AC70)</f>
        <v/>
      </c>
      <c r="I70" s="15" t="n">
        <v>0.45</v>
      </c>
      <c r="J70" s="16">
        <f>H70*(1-I70)</f>
        <v/>
      </c>
      <c r="K70" s="70" t="n">
        <v>265.36</v>
      </c>
      <c r="L70" s="71">
        <f>$H$5</f>
        <v/>
      </c>
      <c r="M70" s="19">
        <f>K70+L70</f>
        <v/>
      </c>
      <c r="N70" s="20" t="n">
        <v>0.47</v>
      </c>
      <c r="O70" s="72">
        <f>H70*N70</f>
        <v/>
      </c>
      <c r="P70" s="73" t="n">
        <v>67</v>
      </c>
      <c r="Q70" s="72">
        <f>H70*$H$8</f>
        <v/>
      </c>
      <c r="R70" s="73" t="n">
        <v>25</v>
      </c>
      <c r="S70" s="72">
        <f>H70*$H$4</f>
        <v/>
      </c>
      <c r="T70" s="72">
        <f>J70*$H$3</f>
        <v/>
      </c>
      <c r="U70" s="74" t="n">
        <v>0.9</v>
      </c>
      <c r="V70" s="73" t="n">
        <v>67</v>
      </c>
      <c r="W70" s="72">
        <f>V70*(1-U70)</f>
        <v/>
      </c>
      <c r="X70" s="75" t="n">
        <v>0.93</v>
      </c>
      <c r="Y70" s="72">
        <f>$H$6*$H$7*X70</f>
        <v/>
      </c>
      <c r="Z70" s="19">
        <f>X70*($H$9+$H$10)</f>
        <v/>
      </c>
      <c r="AA70" s="20" t="n">
        <v>0.07000000000000001</v>
      </c>
      <c r="AB70" s="72">
        <f>H70*AA70</f>
        <v/>
      </c>
      <c r="AC70" s="74" t="n">
        <v>0.08</v>
      </c>
      <c r="AD70" s="72">
        <f>H70*AC70</f>
        <v/>
      </c>
      <c r="AE70" s="72">
        <f>AB70+AD70</f>
        <v/>
      </c>
      <c r="AF70" s="25">
        <f>AE70/H70</f>
        <v/>
      </c>
      <c r="AG70" s="26">
        <f>H70-O70-P70-Q70-R70-S70-T70-W70-Y70-Z70-M70-AL70-AM70</f>
        <v/>
      </c>
      <c r="AH70" s="76">
        <f>AG70-AE70</f>
        <v/>
      </c>
      <c r="AI70" s="77">
        <f>AH70/H70</f>
        <v/>
      </c>
      <c r="AJ70" s="78">
        <f>AH70/M70</f>
        <v/>
      </c>
      <c r="AK70" s="72">
        <f>(P70+R70+W70+Y70+Z70+M70+AL70)/(1-(N70+$H$4+(1-I70)*$H$3+$H$8+$H$11+AA70+AC70))</f>
        <v/>
      </c>
      <c r="AL70" s="72">
        <f>$H$12</f>
        <v/>
      </c>
      <c r="AM70" s="72">
        <f>H70*$H$11</f>
        <v/>
      </c>
    </row>
    <row r="71" ht="29" customHeight="1">
      <c r="A71" s="66" t="inlineStr">
        <is>
          <t>JIGOTT - Daily Real Cica Toner [300ml] / Тонер для лица с центеллой азиатской</t>
        </is>
      </c>
      <c r="B71" s="67" t="n"/>
      <c r="C71" s="68" t="n"/>
      <c r="E71" s="69" t="n">
        <v>1140</v>
      </c>
      <c r="F71" s="69" t="n">
        <v>191</v>
      </c>
      <c r="G71" s="69" t="n">
        <v>0</v>
      </c>
      <c r="H71" s="69">
        <f>(1.25*M71+P71+R71+W71+Y71+Z71+AL71)/(1-N71-$H$8-$H$4-(1-I71)*$H$3-$H$11-AA71-AC71)</f>
        <v/>
      </c>
      <c r="I71" s="15" t="n">
        <v>0.45</v>
      </c>
      <c r="J71" s="16">
        <f>H71*(1-I71)</f>
        <v/>
      </c>
      <c r="K71" s="70" t="n">
        <v>265.36</v>
      </c>
      <c r="L71" s="71">
        <f>$H$5</f>
        <v/>
      </c>
      <c r="M71" s="19">
        <f>K71+L71</f>
        <v/>
      </c>
      <c r="N71" s="20" t="n">
        <v>0.47</v>
      </c>
      <c r="O71" s="72">
        <f>H71*N71</f>
        <v/>
      </c>
      <c r="P71" s="73" t="n">
        <v>67</v>
      </c>
      <c r="Q71" s="72">
        <f>H71*$H$8</f>
        <v/>
      </c>
      <c r="R71" s="73" t="n">
        <v>25</v>
      </c>
      <c r="S71" s="72">
        <f>H71*$H$4</f>
        <v/>
      </c>
      <c r="T71" s="72">
        <f>J71*$H$3</f>
        <v/>
      </c>
      <c r="U71" s="74" t="n">
        <v>0.9</v>
      </c>
      <c r="V71" s="73" t="n">
        <v>67</v>
      </c>
      <c r="W71" s="72">
        <f>V71*(1-U71)</f>
        <v/>
      </c>
      <c r="X71" s="75" t="n">
        <v>0.93</v>
      </c>
      <c r="Y71" s="72">
        <f>$H$6*$H$7*X71</f>
        <v/>
      </c>
      <c r="Z71" s="19">
        <f>X71*($H$9+$H$10)</f>
        <v/>
      </c>
      <c r="AA71" s="20" t="n">
        <v>0.07000000000000001</v>
      </c>
      <c r="AB71" s="72">
        <f>H71*AA71</f>
        <v/>
      </c>
      <c r="AC71" s="74" t="n">
        <v>0.08</v>
      </c>
      <c r="AD71" s="72">
        <f>H71*AC71</f>
        <v/>
      </c>
      <c r="AE71" s="72">
        <f>AB71+AD71</f>
        <v/>
      </c>
      <c r="AF71" s="25">
        <f>AE71/H71</f>
        <v/>
      </c>
      <c r="AG71" s="26">
        <f>H71-O71-P71-Q71-R71-S71-T71-W71-Y71-Z71-M71-AL71-AM71</f>
        <v/>
      </c>
      <c r="AH71" s="76">
        <f>AG71-AE71</f>
        <v/>
      </c>
      <c r="AI71" s="77">
        <f>AH71/H71</f>
        <v/>
      </c>
      <c r="AJ71" s="78">
        <f>AH71/M71</f>
        <v/>
      </c>
      <c r="AK71" s="72">
        <f>(P71+R71+W71+Y71+Z71+M71+AL71)/(1-(N71+$H$4+(1-I71)*$H$3+$H$8+$H$11+AA71+AC71))</f>
        <v/>
      </c>
      <c r="AL71" s="72">
        <f>$H$12</f>
        <v/>
      </c>
      <c r="AM71" s="72">
        <f>H71*$H$11</f>
        <v/>
      </c>
    </row>
    <row r="72" ht="29" customHeight="1">
      <c r="A72" s="66" t="inlineStr">
        <is>
          <t>JIGOTT - Aura Secret Hyaluronec Acid Toner [300ml] / Тонер с гиалуроновой кислотой антивозрастной</t>
        </is>
      </c>
      <c r="B72" s="67" t="n"/>
      <c r="C72" s="68" t="n"/>
      <c r="D72" s="111" t="n">
        <v>424</v>
      </c>
      <c r="E72" s="69" t="n">
        <v>975</v>
      </c>
      <c r="F72" s="69" t="n">
        <v>77</v>
      </c>
      <c r="G72" s="69" t="n">
        <v>0</v>
      </c>
      <c r="H72" s="69">
        <f>(1.25*M72+P72+R72+W72+Y72+Z72+AL72)/(1-N72-$H$8-$H$4-(1-I72)*$H$3-$H$11-AA72-AC72)</f>
        <v/>
      </c>
      <c r="I72" s="15" t="n">
        <v>0.45</v>
      </c>
      <c r="J72" s="16">
        <f>H72*(1-I72)</f>
        <v/>
      </c>
      <c r="K72" s="70" t="n">
        <v>265.36</v>
      </c>
      <c r="L72" s="71">
        <f>$H$5</f>
        <v/>
      </c>
      <c r="M72" s="19">
        <f>K72+L72</f>
        <v/>
      </c>
      <c r="N72" s="20" t="n">
        <v>0.47</v>
      </c>
      <c r="O72" s="72">
        <f>H72*N72</f>
        <v/>
      </c>
      <c r="P72" s="73" t="n">
        <v>67</v>
      </c>
      <c r="Q72" s="72">
        <f>H72*$H$8</f>
        <v/>
      </c>
      <c r="R72" s="73" t="n">
        <v>25</v>
      </c>
      <c r="S72" s="72">
        <f>H72*$H$4</f>
        <v/>
      </c>
      <c r="T72" s="72">
        <f>J72*$H$3</f>
        <v/>
      </c>
      <c r="U72" s="74" t="n">
        <v>0.9</v>
      </c>
      <c r="V72" s="73" t="n">
        <v>67</v>
      </c>
      <c r="W72" s="72">
        <f>V72*(1-U72)</f>
        <v/>
      </c>
      <c r="X72" s="75" t="n">
        <v>0.93</v>
      </c>
      <c r="Y72" s="72">
        <f>$H$6*$H$7*X72</f>
        <v/>
      </c>
      <c r="Z72" s="19">
        <f>X72*($H$9+$H$10)</f>
        <v/>
      </c>
      <c r="AA72" s="20" t="n">
        <v>0.07000000000000001</v>
      </c>
      <c r="AB72" s="72">
        <f>H72*AA72</f>
        <v/>
      </c>
      <c r="AC72" s="74" t="n">
        <v>0.08</v>
      </c>
      <c r="AD72" s="72">
        <f>H72*AC72</f>
        <v/>
      </c>
      <c r="AE72" s="72">
        <f>AB72+AD72</f>
        <v/>
      </c>
      <c r="AF72" s="25">
        <f>AE72/H72</f>
        <v/>
      </c>
      <c r="AG72" s="26">
        <f>H72-O72-P72-Q72-R72-S72-T72-W72-Y72-Z72-M72-AL72-AM72</f>
        <v/>
      </c>
      <c r="AH72" s="76">
        <f>AG72-AE72</f>
        <v/>
      </c>
      <c r="AI72" s="77">
        <f>AH72/H72</f>
        <v/>
      </c>
      <c r="AJ72" s="78">
        <f>AH72/M72</f>
        <v/>
      </c>
      <c r="AK72" s="72">
        <f>(P72+R72+W72+Y72+Z72+M72+AL72)/(1-(N72+$H$4+(1-I72)*$H$3+$H$8+$H$11+AA72+AC72))</f>
        <v/>
      </c>
      <c r="AL72" s="72">
        <f>$H$12</f>
        <v/>
      </c>
      <c r="AM72" s="72">
        <f>H72*$H$11</f>
        <v/>
      </c>
    </row>
    <row r="73" ht="29" customHeight="1">
      <c r="A73" s="66" t="inlineStr">
        <is>
          <t>JIGOTT - Moisture Real Aloe Vera Toner [300ml] / Тонер для лица увлажняющий с экстрактом алоэ</t>
        </is>
      </c>
      <c r="B73" s="67" t="n"/>
      <c r="C73" s="68" t="n"/>
      <c r="D73" s="111" t="n">
        <v>356</v>
      </c>
      <c r="E73" s="69" t="n">
        <v>1100</v>
      </c>
      <c r="F73" s="69" t="n">
        <v>169</v>
      </c>
      <c r="G73" s="69" t="n">
        <v>8</v>
      </c>
      <c r="H73" s="69">
        <f>(1.25*M73+P73+R73+W73+Y73+Z73+AL73)/(1-N73-$H$8-$H$4-(1-I73)*$H$3-$H$11-AA73-AC73)</f>
        <v/>
      </c>
      <c r="I73" s="15" t="n">
        <v>0.45</v>
      </c>
      <c r="J73" s="16">
        <f>H73*(1-I73)</f>
        <v/>
      </c>
      <c r="K73" s="70" t="n">
        <v>265.36</v>
      </c>
      <c r="L73" s="71">
        <f>$H$5</f>
        <v/>
      </c>
      <c r="M73" s="19">
        <f>K73+L73</f>
        <v/>
      </c>
      <c r="N73" s="20" t="n">
        <v>0.47</v>
      </c>
      <c r="O73" s="72">
        <f>H73*N73</f>
        <v/>
      </c>
      <c r="P73" s="73" t="n">
        <v>67</v>
      </c>
      <c r="Q73" s="72">
        <f>H73*$H$8</f>
        <v/>
      </c>
      <c r="R73" s="73" t="n">
        <v>25</v>
      </c>
      <c r="S73" s="72">
        <f>H73*$H$4</f>
        <v/>
      </c>
      <c r="T73" s="72">
        <f>J73*$H$3</f>
        <v/>
      </c>
      <c r="U73" s="74" t="n">
        <v>0.9</v>
      </c>
      <c r="V73" s="73" t="n">
        <v>67</v>
      </c>
      <c r="W73" s="72">
        <f>V73*(1-U73)</f>
        <v/>
      </c>
      <c r="X73" s="75" t="n">
        <v>0.93</v>
      </c>
      <c r="Y73" s="72">
        <f>$H$6*$H$7*X73</f>
        <v/>
      </c>
      <c r="Z73" s="19">
        <f>X73*($H$9+$H$10)</f>
        <v/>
      </c>
      <c r="AA73" s="20" t="n">
        <v>0.07000000000000001</v>
      </c>
      <c r="AB73" s="72">
        <f>H73*AA73</f>
        <v/>
      </c>
      <c r="AC73" s="74" t="n">
        <v>0.08</v>
      </c>
      <c r="AD73" s="72">
        <f>H73*AC73</f>
        <v/>
      </c>
      <c r="AE73" s="72">
        <f>AB73+AD73</f>
        <v/>
      </c>
      <c r="AF73" s="25">
        <f>AE73/H73</f>
        <v/>
      </c>
      <c r="AG73" s="26">
        <f>H73-O73-P73-Q73-R73-S73-T73-W73-Y73-Z73-M73-AL73-AM73</f>
        <v/>
      </c>
      <c r="AH73" s="76">
        <f>AG73-AE73</f>
        <v/>
      </c>
      <c r="AI73" s="77">
        <f>AH73/H73</f>
        <v/>
      </c>
      <c r="AJ73" s="78">
        <f>AH73/M73</f>
        <v/>
      </c>
      <c r="AK73" s="72">
        <f>(P73+R73+W73+Y73+Z73+M73+AL73)/(1-(N73+$H$4+(1-I73)*$H$3+$H$8+$H$11+AA73+AC73))</f>
        <v/>
      </c>
      <c r="AL73" s="72">
        <f>$H$12</f>
        <v/>
      </c>
      <c r="AM73" s="72">
        <f>H73*$H$11</f>
        <v/>
      </c>
    </row>
    <row r="74">
      <c r="A74" s="64" t="inlineStr">
        <is>
          <t>Косметика/JMSOLUTION/JM-MASKPACKBLACK</t>
        </is>
      </c>
      <c r="B74" s="65" t="n"/>
      <c r="C74" s="65" t="n"/>
      <c r="E74" s="65" t="n"/>
      <c r="F74" s="65" t="n"/>
      <c r="G74" s="65" t="n"/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65" t="n"/>
      <c r="U74" s="65" t="n"/>
      <c r="V74" s="65" t="n"/>
      <c r="W74" s="65" t="n"/>
      <c r="X74" s="65" t="n"/>
      <c r="Y74" s="65" t="n"/>
      <c r="Z74" s="65" t="n"/>
      <c r="AA74" s="65" t="n"/>
      <c r="AB74" s="65" t="n"/>
      <c r="AC74" s="65" t="n"/>
      <c r="AD74" s="65" t="n"/>
      <c r="AE74" s="65" t="n"/>
      <c r="AF74" s="65" t="n"/>
      <c r="AG74" s="65" t="n"/>
      <c r="AH74" s="65" t="n"/>
      <c r="AI74" s="65" t="n"/>
      <c r="AJ74" s="65" t="n"/>
      <c r="AK74" s="65" t="n"/>
      <c r="AL74" s="65" t="n"/>
      <c r="AM74" s="65" t="n"/>
    </row>
    <row r="75" ht="29" customHeight="1">
      <c r="A75" s="66" t="inlineStr">
        <is>
          <t>JMSOLUTION - MASK PACK BLACK [30ml*10ea] - ассорти набор 10шт в упаковке</t>
        </is>
      </c>
      <c r="B75" s="67" t="n"/>
      <c r="C75" s="68" t="n"/>
      <c r="D75" s="111" t="n">
        <v>0</v>
      </c>
      <c r="E75" s="69" t="n">
        <v>2340</v>
      </c>
      <c r="F75" s="69" t="inlineStr">
        <is>
          <t>51 (закончились)</t>
        </is>
      </c>
      <c r="G75" s="69" t="n">
        <v>4</v>
      </c>
      <c r="H75" s="69">
        <f>(1.25*M75+P75+R75+W75+Y75+Z75+AL75)/(1-N75-$H$8-$H$4-(1-I75)*$H$3-$H$11-AA75-AC75)</f>
        <v/>
      </c>
      <c r="I75" s="15" t="n">
        <v>0.45</v>
      </c>
      <c r="J75" s="16">
        <f>H75*(1-I75)</f>
        <v/>
      </c>
      <c r="K75" s="70" t="n">
        <v>463.2</v>
      </c>
      <c r="L75" s="71">
        <f>$H$5</f>
        <v/>
      </c>
      <c r="M75" s="19">
        <f>K75+L75</f>
        <v/>
      </c>
      <c r="N75" s="20" t="n">
        <v>0.47</v>
      </c>
      <c r="O75" s="72">
        <f>H75*N75</f>
        <v/>
      </c>
      <c r="P75" s="73" t="n">
        <v>72</v>
      </c>
      <c r="Q75" s="72">
        <f>H75*$H$8</f>
        <v/>
      </c>
      <c r="R75" s="73" t="n">
        <v>25</v>
      </c>
      <c r="S75" s="72">
        <f>H75*$H$4</f>
        <v/>
      </c>
      <c r="T75" s="72">
        <f>J75*$H$3</f>
        <v/>
      </c>
      <c r="U75" s="74" t="n">
        <v>0.9</v>
      </c>
      <c r="V75" s="73" t="n">
        <v>72</v>
      </c>
      <c r="W75" s="72">
        <f>V75*(1-U75)</f>
        <v/>
      </c>
      <c r="X75" s="75" t="n">
        <v>1.25</v>
      </c>
      <c r="Y75" s="72">
        <f>$H$6*$H$7*X75</f>
        <v/>
      </c>
      <c r="Z75" s="19">
        <f>X75*($H$9+$H$10)</f>
        <v/>
      </c>
      <c r="AA75" s="20" t="n">
        <v>0.07000000000000001</v>
      </c>
      <c r="AB75" s="72">
        <f>H75*AA75</f>
        <v/>
      </c>
      <c r="AC75" s="74" t="n">
        <v>0.08</v>
      </c>
      <c r="AD75" s="72">
        <f>H75*AC75</f>
        <v/>
      </c>
      <c r="AE75" s="72">
        <f>AB75+AD75</f>
        <v/>
      </c>
      <c r="AF75" s="25">
        <f>AE75/H75</f>
        <v/>
      </c>
      <c r="AG75" s="26">
        <f>H75-O75-P75-Q75-R75-S75-T75-W75-Y75-Z75-M75-AL75-AM75</f>
        <v/>
      </c>
      <c r="AH75" s="76">
        <f>AG75-AE75</f>
        <v/>
      </c>
      <c r="AI75" s="77">
        <f>AH75/H75</f>
        <v/>
      </c>
      <c r="AJ75" s="78">
        <f>AH75/M75</f>
        <v/>
      </c>
      <c r="AK75" s="72">
        <f>(P75+R75+W75+Y75+Z75+M75+AL75)/(1-(N75+$H$4+(1-I75)*$H$3+$H$8+$H$11+AA75+AC75))</f>
        <v/>
      </c>
      <c r="AL75" s="72">
        <f>$H$12</f>
        <v/>
      </c>
      <c r="AM75" s="72">
        <f>H75*$H$11</f>
        <v/>
      </c>
    </row>
    <row r="76" ht="29" customHeight="1">
      <c r="A76" s="79" t="inlineStr">
        <is>
          <t>JMSOLUTION ACTIVE BLACK CAVIAR MASK [30ml*10ea] / Ультратонкая тканевая маска с черной икрой</t>
        </is>
      </c>
      <c r="B76" s="80" t="n"/>
      <c r="C76" s="80" t="n"/>
      <c r="D76" s="111" t="n">
        <v>160</v>
      </c>
      <c r="E76" s="81" t="n"/>
      <c r="F76" s="81" t="n"/>
      <c r="G76" s="81" t="n"/>
      <c r="H76" s="81" t="n"/>
      <c r="I76" s="32" t="n"/>
      <c r="J76" s="33" t="n"/>
      <c r="K76" s="82" t="n"/>
      <c r="L76" s="82" t="n"/>
      <c r="M76" s="35" t="n"/>
      <c r="N76" s="36" t="n"/>
      <c r="O76" s="81" t="n"/>
      <c r="P76" s="81" t="n"/>
      <c r="Q76" s="81" t="n"/>
      <c r="R76" s="81" t="n"/>
      <c r="S76" s="81" t="n"/>
      <c r="T76" s="81" t="n"/>
      <c r="U76" s="83" t="n"/>
      <c r="V76" s="81" t="n"/>
      <c r="W76" s="81" t="n"/>
      <c r="X76" s="84" t="n"/>
      <c r="Y76" s="81" t="n"/>
      <c r="Z76" s="35" t="n"/>
      <c r="AA76" s="36" t="n"/>
      <c r="AB76" s="81" t="n"/>
      <c r="AC76" s="83" t="n"/>
      <c r="AD76" s="81" t="n"/>
      <c r="AE76" s="81" t="n"/>
      <c r="AF76" s="39" t="n"/>
      <c r="AG76" s="40" t="n"/>
      <c r="AH76" s="81" t="n"/>
      <c r="AI76" s="83" t="n"/>
      <c r="AJ76" s="83" t="n"/>
      <c r="AK76" s="81" t="n"/>
      <c r="AL76" s="81" t="n"/>
      <c r="AM76" s="81" t="n"/>
    </row>
    <row r="77" ht="29" customHeight="1">
      <c r="A77" s="79" t="inlineStr">
        <is>
          <t>JMSOLUTION - Active Golden Caviar Nourishing Mask [30ml*10ea] / Ультратонкая тканевая маска с золотом и икрой</t>
        </is>
      </c>
      <c r="B77" s="80" t="n"/>
      <c r="C77" s="80" t="n"/>
      <c r="D77" s="111" t="n">
        <v>160</v>
      </c>
      <c r="E77" s="81" t="n"/>
      <c r="F77" s="81" t="n"/>
      <c r="G77" s="81" t="n"/>
      <c r="H77" s="81" t="n"/>
      <c r="I77" s="32" t="n"/>
      <c r="J77" s="33" t="n"/>
      <c r="K77" s="82" t="n"/>
      <c r="L77" s="82" t="n"/>
      <c r="M77" s="35" t="n"/>
      <c r="N77" s="36" t="n"/>
      <c r="O77" s="81" t="n"/>
      <c r="P77" s="81" t="n"/>
      <c r="Q77" s="81" t="n"/>
      <c r="R77" s="81" t="n"/>
      <c r="S77" s="81" t="n"/>
      <c r="T77" s="81" t="n"/>
      <c r="U77" s="83" t="n"/>
      <c r="V77" s="81" t="n"/>
      <c r="W77" s="81" t="n"/>
      <c r="X77" s="84" t="n"/>
      <c r="Y77" s="81" t="n"/>
      <c r="Z77" s="35" t="n"/>
      <c r="AA77" s="36" t="n"/>
      <c r="AB77" s="81" t="n"/>
      <c r="AC77" s="83" t="n"/>
      <c r="AD77" s="81" t="n"/>
      <c r="AE77" s="81" t="n"/>
      <c r="AF77" s="39" t="n"/>
      <c r="AG77" s="40" t="n"/>
      <c r="AH77" s="81" t="n"/>
      <c r="AI77" s="83" t="n"/>
      <c r="AJ77" s="83" t="n"/>
      <c r="AK77" s="81" t="n"/>
      <c r="AL77" s="81" t="n"/>
      <c r="AM77" s="81" t="n"/>
    </row>
    <row r="78" ht="29" customHeight="1">
      <c r="A78" s="79" t="inlineStr">
        <is>
          <t>JMSOLUTION - Active Jellyfish Vital Mask [30ml*10ea] / Ультратонкая тканевая маска с экстрактом медузы</t>
        </is>
      </c>
      <c r="B78" s="80" t="n"/>
      <c r="C78" s="80" t="n"/>
      <c r="D78" s="111" t="n">
        <v>160</v>
      </c>
      <c r="E78" s="81" t="n"/>
      <c r="F78" s="81" t="n"/>
      <c r="G78" s="81" t="n"/>
      <c r="H78" s="81" t="n"/>
      <c r="I78" s="32" t="n"/>
      <c r="J78" s="33" t="n"/>
      <c r="K78" s="82" t="n"/>
      <c r="L78" s="82" t="n"/>
      <c r="M78" s="35" t="n"/>
      <c r="N78" s="36" t="n"/>
      <c r="O78" s="81" t="n"/>
      <c r="P78" s="81" t="n"/>
      <c r="Q78" s="81" t="n"/>
      <c r="R78" s="81" t="n"/>
      <c r="S78" s="81" t="n"/>
      <c r="T78" s="81" t="n"/>
      <c r="U78" s="83" t="n"/>
      <c r="V78" s="81" t="n"/>
      <c r="W78" s="81" t="n"/>
      <c r="X78" s="84" t="n"/>
      <c r="Y78" s="81" t="n"/>
      <c r="Z78" s="35" t="n"/>
      <c r="AA78" s="36" t="n"/>
      <c r="AB78" s="81" t="n"/>
      <c r="AC78" s="83" t="n"/>
      <c r="AD78" s="81" t="n"/>
      <c r="AE78" s="81" t="n"/>
      <c r="AF78" s="39" t="n"/>
      <c r="AG78" s="40" t="n"/>
      <c r="AH78" s="81" t="n"/>
      <c r="AI78" s="83" t="n"/>
      <c r="AJ78" s="83" t="n"/>
      <c r="AK78" s="81" t="n"/>
      <c r="AL78" s="81" t="n"/>
      <c r="AM78" s="81" t="n"/>
    </row>
    <row r="79" ht="29" customHeight="1">
      <c r="A79" s="79" t="inlineStr">
        <is>
          <t>JMSOLUTION - Active Pink Snail Brightening Mask [30ml*10ea] / Маска тканевая увлажняющая с улиткой</t>
        </is>
      </c>
      <c r="B79" s="80" t="n"/>
      <c r="C79" s="80" t="n"/>
      <c r="D79" s="111" t="n">
        <v>160</v>
      </c>
      <c r="E79" s="81" t="n"/>
      <c r="F79" s="81" t="n"/>
      <c r="G79" s="81" t="n"/>
      <c r="H79" s="81" t="n"/>
      <c r="I79" s="32" t="n"/>
      <c r="J79" s="33" t="n"/>
      <c r="K79" s="82" t="n"/>
      <c r="L79" s="82" t="n"/>
      <c r="M79" s="35" t="n"/>
      <c r="N79" s="36" t="n"/>
      <c r="O79" s="81" t="n"/>
      <c r="P79" s="81" t="n"/>
      <c r="Q79" s="81" t="n"/>
      <c r="R79" s="81" t="n"/>
      <c r="S79" s="81" t="n"/>
      <c r="T79" s="81" t="n"/>
      <c r="U79" s="83" t="n"/>
      <c r="V79" s="81" t="n"/>
      <c r="W79" s="81" t="n"/>
      <c r="X79" s="84" t="n"/>
      <c r="Y79" s="81" t="n"/>
      <c r="Z79" s="35" t="n"/>
      <c r="AA79" s="36" t="n"/>
      <c r="AB79" s="81" t="n"/>
      <c r="AC79" s="83" t="n"/>
      <c r="AD79" s="81" t="n"/>
      <c r="AE79" s="81" t="n"/>
      <c r="AF79" s="39" t="n"/>
      <c r="AG79" s="40" t="n"/>
      <c r="AH79" s="81" t="n"/>
      <c r="AI79" s="83" t="n"/>
      <c r="AJ79" s="83" t="n"/>
      <c r="AK79" s="81" t="n"/>
      <c r="AL79" s="81" t="n"/>
      <c r="AM79" s="81" t="n"/>
    </row>
    <row r="80">
      <c r="A80" s="79" t="inlineStr">
        <is>
          <t>JMSOLUTION GLORY AQUA FULLERENE MASK DELUXE</t>
        </is>
      </c>
      <c r="B80" s="80" t="n"/>
      <c r="C80" s="80" t="n"/>
      <c r="D80" s="111" t="n">
        <v>160</v>
      </c>
      <c r="E80" s="81" t="n"/>
      <c r="F80" s="81" t="n"/>
      <c r="G80" s="81" t="n"/>
      <c r="H80" s="81" t="n"/>
      <c r="I80" s="32" t="n"/>
      <c r="J80" s="33" t="n"/>
      <c r="K80" s="82" t="n"/>
      <c r="L80" s="82" t="n"/>
      <c r="M80" s="35" t="n"/>
      <c r="N80" s="36" t="n"/>
      <c r="O80" s="81" t="n"/>
      <c r="P80" s="81" t="n"/>
      <c r="Q80" s="81" t="n"/>
      <c r="R80" s="81" t="n"/>
      <c r="S80" s="81" t="n"/>
      <c r="T80" s="81" t="n"/>
      <c r="U80" s="83" t="n"/>
      <c r="V80" s="81" t="n"/>
      <c r="W80" s="81" t="n"/>
      <c r="X80" s="84" t="n"/>
      <c r="Y80" s="81" t="n"/>
      <c r="Z80" s="35" t="n"/>
      <c r="AA80" s="36" t="n"/>
      <c r="AB80" s="81" t="n"/>
      <c r="AC80" s="83" t="n"/>
      <c r="AD80" s="81" t="n"/>
      <c r="AE80" s="81" t="n"/>
      <c r="AF80" s="39" t="n"/>
      <c r="AG80" s="40" t="n"/>
      <c r="AH80" s="81" t="n"/>
      <c r="AI80" s="83" t="n"/>
      <c r="AJ80" s="83" t="n"/>
      <c r="AK80" s="81" t="n"/>
      <c r="AL80" s="81" t="n"/>
      <c r="AM80" s="81" t="n"/>
    </row>
    <row r="81">
      <c r="A81" s="79" t="inlineStr">
        <is>
          <t>JMSOLUTION LACTO SACCHAROMYCES GOLDEN RICE MASK PLUS</t>
        </is>
      </c>
      <c r="B81" s="80" t="n"/>
      <c r="C81" s="80" t="n"/>
      <c r="D81" s="111" t="n">
        <v>160</v>
      </c>
      <c r="E81" s="81" t="n"/>
      <c r="F81" s="81" t="n"/>
      <c r="G81" s="81" t="n"/>
      <c r="H81" s="81" t="n"/>
      <c r="I81" s="32" t="n"/>
      <c r="J81" s="33" t="n"/>
      <c r="K81" s="82" t="n"/>
      <c r="L81" s="82" t="n"/>
      <c r="M81" s="35" t="n"/>
      <c r="N81" s="36" t="n"/>
      <c r="O81" s="81" t="n"/>
      <c r="P81" s="81" t="n"/>
      <c r="Q81" s="81" t="n"/>
      <c r="R81" s="81" t="n"/>
      <c r="S81" s="81" t="n"/>
      <c r="T81" s="81" t="n"/>
      <c r="U81" s="83" t="n"/>
      <c r="V81" s="81" t="n"/>
      <c r="W81" s="81" t="n"/>
      <c r="X81" s="84" t="n"/>
      <c r="Y81" s="81" t="n"/>
      <c r="Z81" s="35" t="n"/>
      <c r="AA81" s="36" t="n"/>
      <c r="AB81" s="81" t="n"/>
      <c r="AC81" s="83" t="n"/>
      <c r="AD81" s="81" t="n"/>
      <c r="AE81" s="81" t="n"/>
      <c r="AF81" s="39" t="n"/>
      <c r="AG81" s="40" t="n"/>
      <c r="AH81" s="81" t="n"/>
      <c r="AI81" s="83" t="n"/>
      <c r="AJ81" s="83" t="n"/>
      <c r="AK81" s="81" t="n"/>
      <c r="AL81" s="81" t="n"/>
      <c r="AM81" s="81" t="n"/>
    </row>
    <row r="82">
      <c r="A82" s="79" t="inlineStr">
        <is>
          <t>JMSOLUTION PANTHELENE INTENSIVE BARRIER MASK</t>
        </is>
      </c>
      <c r="B82" s="80" t="n"/>
      <c r="C82" s="80" t="n"/>
      <c r="D82" s="111" t="n">
        <v>160</v>
      </c>
      <c r="E82" s="81" t="n"/>
      <c r="F82" s="81" t="n"/>
      <c r="G82" s="81" t="n"/>
      <c r="H82" s="81" t="n"/>
      <c r="I82" s="32" t="n"/>
      <c r="J82" s="33" t="n"/>
      <c r="K82" s="82" t="n"/>
      <c r="L82" s="82" t="n"/>
      <c r="M82" s="35" t="n"/>
      <c r="N82" s="36" t="n"/>
      <c r="O82" s="81" t="n"/>
      <c r="P82" s="81" t="n"/>
      <c r="Q82" s="81" t="n"/>
      <c r="R82" s="81" t="n"/>
      <c r="S82" s="81" t="n"/>
      <c r="T82" s="81" t="n"/>
      <c r="U82" s="83" t="n"/>
      <c r="V82" s="81" t="n"/>
      <c r="W82" s="81" t="n"/>
      <c r="X82" s="84" t="n"/>
      <c r="Y82" s="81" t="n"/>
      <c r="Z82" s="35" t="n"/>
      <c r="AA82" s="36" t="n"/>
      <c r="AB82" s="81" t="n"/>
      <c r="AC82" s="83" t="n"/>
      <c r="AD82" s="81" t="n"/>
      <c r="AE82" s="81" t="n"/>
      <c r="AF82" s="39" t="n"/>
      <c r="AG82" s="40" t="n"/>
      <c r="AH82" s="81" t="n"/>
      <c r="AI82" s="83" t="n"/>
      <c r="AJ82" s="83" t="n"/>
      <c r="AK82" s="81" t="n"/>
      <c r="AL82" s="81" t="n"/>
      <c r="AM82" s="81" t="n"/>
    </row>
    <row r="83" ht="43.5" customHeight="1">
      <c r="A83" s="79" t="inlineStr">
        <is>
          <t>JMSOLUTION - The Natural Cordyceps Melitaris Mask Moisture [30ml*10ea] / Тканевая маска для лица с экстрактом кордицепса и комплексом аминокислот</t>
        </is>
      </c>
      <c r="B83" s="80" t="n"/>
      <c r="C83" s="80" t="n"/>
      <c r="D83" s="111" t="n">
        <v>160</v>
      </c>
      <c r="E83" s="81" t="n"/>
      <c r="F83" s="81" t="n"/>
      <c r="G83" s="81" t="n"/>
      <c r="H83" s="81" t="n"/>
      <c r="I83" s="32" t="n"/>
      <c r="J83" s="33" t="n"/>
      <c r="K83" s="82" t="n"/>
      <c r="L83" s="82" t="n"/>
      <c r="M83" s="35" t="n"/>
      <c r="N83" s="36" t="n"/>
      <c r="O83" s="81" t="n"/>
      <c r="P83" s="81" t="n"/>
      <c r="Q83" s="81" t="n"/>
      <c r="R83" s="81" t="n"/>
      <c r="S83" s="81" t="n"/>
      <c r="T83" s="81" t="n"/>
      <c r="U83" s="83" t="n"/>
      <c r="V83" s="81" t="n"/>
      <c r="W83" s="81" t="n"/>
      <c r="X83" s="84" t="n"/>
      <c r="Y83" s="81" t="n"/>
      <c r="Z83" s="35" t="n"/>
      <c r="AA83" s="36" t="n"/>
      <c r="AB83" s="81" t="n"/>
      <c r="AC83" s="83" t="n"/>
      <c r="AD83" s="81" t="n"/>
      <c r="AE83" s="81" t="n"/>
      <c r="AF83" s="39" t="n"/>
      <c r="AG83" s="40" t="n"/>
      <c r="AH83" s="81" t="n"/>
      <c r="AI83" s="83" t="n"/>
      <c r="AJ83" s="83" t="n"/>
      <c r="AK83" s="81" t="n"/>
      <c r="AL83" s="81" t="n"/>
      <c r="AM83" s="81" t="n"/>
    </row>
    <row r="84" ht="29" customHeight="1">
      <c r="A84" s="79" t="inlineStr">
        <is>
          <t>JMSOLUTION - Water Luminous S.O.S. Ringer Mask Black [35ml*10ea] / Ультраувлажняющая тканевая маска</t>
        </is>
      </c>
      <c r="B84" s="80" t="n"/>
      <c r="C84" s="80" t="n"/>
      <c r="D84" s="111" t="n">
        <v>160</v>
      </c>
      <c r="E84" s="81" t="n"/>
      <c r="F84" s="81" t="n"/>
      <c r="G84" s="81" t="n"/>
      <c r="H84" s="81" t="n"/>
      <c r="I84" s="32" t="n"/>
      <c r="J84" s="33" t="n"/>
      <c r="K84" s="82" t="n"/>
      <c r="L84" s="82" t="n"/>
      <c r="M84" s="35" t="n"/>
      <c r="N84" s="36" t="n"/>
      <c r="O84" s="81" t="n"/>
      <c r="P84" s="81" t="n"/>
      <c r="Q84" s="81" t="n"/>
      <c r="R84" s="81" t="n"/>
      <c r="S84" s="81" t="n"/>
      <c r="T84" s="81" t="n"/>
      <c r="U84" s="83" t="n"/>
      <c r="V84" s="81" t="n"/>
      <c r="W84" s="81" t="n"/>
      <c r="X84" s="84" t="n"/>
      <c r="Y84" s="81" t="n"/>
      <c r="Z84" s="35" t="n"/>
      <c r="AA84" s="36" t="n"/>
      <c r="AB84" s="81" t="n"/>
      <c r="AC84" s="83" t="n"/>
      <c r="AD84" s="81" t="n"/>
      <c r="AE84" s="81" t="n"/>
      <c r="AF84" s="39" t="n"/>
      <c r="AG84" s="40" t="n"/>
      <c r="AH84" s="81" t="n"/>
      <c r="AI84" s="83" t="n"/>
      <c r="AJ84" s="83" t="n"/>
      <c r="AK84" s="81" t="n"/>
      <c r="AL84" s="81" t="n"/>
      <c r="AM84" s="81" t="n"/>
    </row>
    <row r="85" ht="29" customHeight="1">
      <c r="A85" s="79" t="inlineStr">
        <is>
          <t>JMSOLUTION GREEN DEAR TIGER CICA MASK PURE 30ml*10ea / Регенерирующая маска для лица с центеллой</t>
        </is>
      </c>
      <c r="B85" s="80" t="n"/>
      <c r="C85" s="80" t="n"/>
      <c r="D85" s="111" t="n">
        <v>160</v>
      </c>
      <c r="E85" s="81" t="n"/>
      <c r="F85" s="81" t="n"/>
      <c r="G85" s="81" t="n"/>
      <c r="H85" s="81" t="n"/>
      <c r="I85" s="32" t="n"/>
      <c r="J85" s="33" t="n"/>
      <c r="K85" s="82" t="n"/>
      <c r="L85" s="82" t="n"/>
      <c r="M85" s="35" t="n"/>
      <c r="N85" s="36" t="n"/>
      <c r="O85" s="81" t="n"/>
      <c r="P85" s="81" t="n"/>
      <c r="Q85" s="81" t="n"/>
      <c r="R85" s="81" t="n"/>
      <c r="S85" s="81" t="n"/>
      <c r="T85" s="81" t="n"/>
      <c r="U85" s="83" t="n"/>
      <c r="V85" s="81" t="n"/>
      <c r="W85" s="81" t="n"/>
      <c r="X85" s="84" t="n"/>
      <c r="Y85" s="81" t="n"/>
      <c r="Z85" s="35" t="n"/>
      <c r="AA85" s="36" t="n"/>
      <c r="AB85" s="81" t="n"/>
      <c r="AC85" s="83" t="n"/>
      <c r="AD85" s="81" t="n"/>
      <c r="AE85" s="81" t="n"/>
      <c r="AF85" s="39" t="n"/>
      <c r="AG85" s="40" t="n"/>
      <c r="AH85" s="81" t="n"/>
      <c r="AI85" s="83" t="n"/>
      <c r="AJ85" s="83" t="n"/>
      <c r="AK85" s="81" t="n"/>
      <c r="AL85" s="81" t="n"/>
      <c r="AM85" s="81" t="n"/>
    </row>
    <row r="86">
      <c r="A86" s="64" t="inlineStr">
        <is>
          <t>Косметика/JMSOLUTION/JM-MASKPACKDISNEY</t>
        </is>
      </c>
      <c r="B86" s="65" t="n"/>
      <c r="C86" s="65" t="n"/>
      <c r="E86" s="65" t="n"/>
      <c r="F86" s="65" t="n"/>
      <c r="G86" s="65" t="n"/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65" t="n"/>
      <c r="U86" s="65" t="n"/>
      <c r="V86" s="65" t="n"/>
      <c r="W86" s="65" t="n"/>
      <c r="X86" s="65" t="n"/>
      <c r="Y86" s="65" t="n"/>
      <c r="Z86" s="65" t="n"/>
      <c r="AA86" s="65" t="n"/>
      <c r="AB86" s="65" t="n"/>
      <c r="AC86" s="65" t="n"/>
      <c r="AD86" s="65" t="n"/>
      <c r="AE86" s="65" t="n"/>
      <c r="AF86" s="65" t="n"/>
      <c r="AG86" s="65" t="n"/>
      <c r="AH86" s="65" t="n"/>
      <c r="AI86" s="65" t="n"/>
      <c r="AJ86" s="65" t="n"/>
      <c r="AK86" s="65" t="n"/>
      <c r="AL86" s="65" t="n"/>
      <c r="AM86" s="65" t="n"/>
    </row>
    <row r="87">
      <c r="A87" s="66" t="inlineStr">
        <is>
          <t>JMSOLUTION - MASK PACK DISNEY [30ml*10ea] - ассорти набор из 10шт</t>
        </is>
      </c>
      <c r="B87" s="67" t="n"/>
      <c r="C87" s="68" t="inlineStr">
        <is>
          <t>нет таких наборов</t>
        </is>
      </c>
      <c r="D87" s="111" t="n">
        <v>835</v>
      </c>
      <c r="E87" s="69" t="n"/>
      <c r="F87" s="69" t="n"/>
      <c r="G87" s="69" t="n"/>
      <c r="H87" s="69">
        <f>(1.25*M87+P87+R87+W87+Y87+Z87+AL87)/(1-N87-$H$8-$H$4-(1-I87)*$H$3-$H$11-AA87-AC87)</f>
        <v/>
      </c>
      <c r="I87" s="15" t="n">
        <v>0.45</v>
      </c>
      <c r="J87" s="16">
        <f>H87*(1-I87)</f>
        <v/>
      </c>
      <c r="K87" s="70" t="n">
        <v>463.2</v>
      </c>
      <c r="L87" s="71">
        <f>$H$5</f>
        <v/>
      </c>
      <c r="M87" s="19">
        <f>K87+L87</f>
        <v/>
      </c>
      <c r="N87" s="20" t="n">
        <v>0.47</v>
      </c>
      <c r="O87" s="72">
        <f>H87*N87</f>
        <v/>
      </c>
      <c r="P87" s="73" t="n">
        <v>72</v>
      </c>
      <c r="Q87" s="72">
        <f>H87*$H$8</f>
        <v/>
      </c>
      <c r="R87" s="73" t="n">
        <v>25</v>
      </c>
      <c r="S87" s="72">
        <f>H87*$H$4</f>
        <v/>
      </c>
      <c r="T87" s="72">
        <f>J87*$H$3</f>
        <v/>
      </c>
      <c r="U87" s="74" t="n">
        <v>0.9</v>
      </c>
      <c r="V87" s="73" t="n">
        <v>72</v>
      </c>
      <c r="W87" s="72">
        <f>V87*(1-U87)</f>
        <v/>
      </c>
      <c r="X87" s="75" t="n">
        <v>1.25</v>
      </c>
      <c r="Y87" s="72">
        <f>$H$6*$H$7*X87</f>
        <v/>
      </c>
      <c r="Z87" s="19">
        <f>X87*($H$9+$H$10)</f>
        <v/>
      </c>
      <c r="AA87" s="20" t="n">
        <v>0.07000000000000001</v>
      </c>
      <c r="AB87" s="72">
        <f>H87*AA87</f>
        <v/>
      </c>
      <c r="AC87" s="74" t="n">
        <v>0.08</v>
      </c>
      <c r="AD87" s="72">
        <f>H87*AC87</f>
        <v/>
      </c>
      <c r="AE87" s="72">
        <f>AB87+AD87</f>
        <v/>
      </c>
      <c r="AF87" s="25">
        <f>AE87/H87</f>
        <v/>
      </c>
      <c r="AG87" s="26">
        <f>H87-O87-P87-Q87-R87-S87-T87-W87-Y87-Z87-M87-AL87-AM87</f>
        <v/>
      </c>
      <c r="AH87" s="76">
        <f>AG87-AE87</f>
        <v/>
      </c>
      <c r="AI87" s="77">
        <f>AH87/H87</f>
        <v/>
      </c>
      <c r="AJ87" s="78">
        <f>AH87/M87</f>
        <v/>
      </c>
      <c r="AK87" s="72">
        <f>(P87+R87+W87+Y87+Z87+M87+AL87)/(1-(N87+$H$4+(1-I87)*$H$3+$H$8+$H$11+AA87+AC87))</f>
        <v/>
      </c>
      <c r="AL87" s="72">
        <f>$H$12</f>
        <v/>
      </c>
      <c r="AM87" s="72">
        <f>H87*$H$11</f>
        <v/>
      </c>
    </row>
    <row r="88">
      <c r="A88" s="64" t="inlineStr">
        <is>
          <t>Косметика/LEBELAGE</t>
        </is>
      </c>
      <c r="B88" s="65" t="n"/>
      <c r="C88" s="65" t="n"/>
      <c r="E88" s="65" t="n"/>
      <c r="F88" s="65" t="n"/>
      <c r="G88" s="65" t="n"/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65" t="n"/>
      <c r="U88" s="65" t="n"/>
      <c r="V88" s="65" t="n"/>
      <c r="W88" s="65" t="n"/>
      <c r="X88" s="65" t="n"/>
      <c r="Y88" s="65" t="n"/>
      <c r="Z88" s="65" t="n"/>
      <c r="AA88" s="65" t="n"/>
      <c r="AB88" s="65" t="n"/>
      <c r="AC88" s="65" t="n"/>
      <c r="AD88" s="65" t="n"/>
      <c r="AE88" s="65" t="n"/>
      <c r="AF88" s="65" t="n"/>
      <c r="AG88" s="65" t="n"/>
      <c r="AH88" s="65" t="n"/>
      <c r="AI88" s="65" t="n"/>
      <c r="AJ88" s="65" t="n"/>
      <c r="AK88" s="65" t="n"/>
      <c r="AL88" s="65" t="n"/>
      <c r="AM88" s="65" t="n"/>
    </row>
    <row r="89" ht="29" customHeight="1">
      <c r="A89" s="66" t="inlineStr">
        <is>
          <t>LEBELAGE - Dr. Peptide Derma Eye Cream [40ml] / Крем для глаз антивозрастной с пептидами</t>
        </is>
      </c>
      <c r="B89" s="67" t="n"/>
      <c r="C89" s="68" t="n"/>
      <c r="D89" s="111" t="n">
        <v>410</v>
      </c>
      <c r="E89" s="69" t="n">
        <v>667</v>
      </c>
      <c r="F89" s="69" t="n">
        <v>1738</v>
      </c>
      <c r="G89" s="69" t="n">
        <v>22</v>
      </c>
      <c r="H89" s="69">
        <f>(1.25*M89+P89+R89+W89+Y89+Z89+AL89)/(1-N89-$H$8-$H$4-(1-I89)*$H$3-$H$11-AA89-AC89)</f>
        <v/>
      </c>
      <c r="I89" s="15" t="n">
        <v>0.45</v>
      </c>
      <c r="J89" s="16">
        <f>H89*(1-I89)</f>
        <v/>
      </c>
      <c r="K89" s="70" t="n">
        <v>108.15</v>
      </c>
      <c r="L89" s="71">
        <f>$H$5</f>
        <v/>
      </c>
      <c r="M89" s="19">
        <f>K89+L89</f>
        <v/>
      </c>
      <c r="N89" s="20" t="n">
        <v>0.47</v>
      </c>
      <c r="O89" s="72">
        <f>H89*N89</f>
        <v/>
      </c>
      <c r="P89" s="73" t="n">
        <v>63</v>
      </c>
      <c r="Q89" s="72">
        <f>H89*$H$8</f>
        <v/>
      </c>
      <c r="R89" s="73" t="n">
        <v>25</v>
      </c>
      <c r="S89" s="72">
        <f>H89*$H$4</f>
        <v/>
      </c>
      <c r="T89" s="72">
        <f>J89*$H$3</f>
        <v/>
      </c>
      <c r="U89" s="74" t="n">
        <v>0.9</v>
      </c>
      <c r="V89" s="73" t="n">
        <v>63</v>
      </c>
      <c r="W89" s="72">
        <f>V89*(1-U89)</f>
        <v/>
      </c>
      <c r="X89" s="75" t="n">
        <v>0.27</v>
      </c>
      <c r="Y89" s="72">
        <f>$H$6*$H$7*X89</f>
        <v/>
      </c>
      <c r="Z89" s="19">
        <f>X89*($H$9+$H$10)</f>
        <v/>
      </c>
      <c r="AA89" s="20" t="n">
        <v>0.07000000000000001</v>
      </c>
      <c r="AB89" s="72">
        <f>H89*AA89</f>
        <v/>
      </c>
      <c r="AC89" s="74" t="n">
        <v>0.08</v>
      </c>
      <c r="AD89" s="72">
        <f>H89*AC89</f>
        <v/>
      </c>
      <c r="AE89" s="72">
        <f>AB89+AD89</f>
        <v/>
      </c>
      <c r="AF89" s="25">
        <f>AE89/H89</f>
        <v/>
      </c>
      <c r="AG89" s="26">
        <f>H89-O89-P89-Q89-R89-S89-T89-W89-Y89-Z89-M89-AL89-AM89</f>
        <v/>
      </c>
      <c r="AH89" s="76">
        <f>AG89-AE89</f>
        <v/>
      </c>
      <c r="AI89" s="77">
        <f>AH89/H89</f>
        <v/>
      </c>
      <c r="AJ89" s="78">
        <f>AH89/M89</f>
        <v/>
      </c>
      <c r="AK89" s="72">
        <f>(P89+R89+W89+Y89+Z89+M89+AL89)/(1-(N89+$H$4+(1-I89)*$H$3+$H$8+$H$11+AA89+AC89))</f>
        <v/>
      </c>
      <c r="AL89" s="72">
        <f>$H$12</f>
        <v/>
      </c>
      <c r="AM89" s="72">
        <f>H89*$H$11</f>
        <v/>
      </c>
    </row>
    <row r="90">
      <c r="A90" s="64" t="inlineStr">
        <is>
          <t>Косметика/LANEIGE</t>
        </is>
      </c>
      <c r="B90" s="65" t="n"/>
      <c r="C90" s="65" t="n"/>
      <c r="E90" s="65" t="n"/>
      <c r="F90" s="65" t="n"/>
      <c r="G90" s="65" t="n"/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65" t="n"/>
      <c r="U90" s="65" t="n"/>
      <c r="V90" s="65" t="n"/>
      <c r="W90" s="65" t="n"/>
      <c r="X90" s="65" t="n"/>
      <c r="Y90" s="65" t="n"/>
      <c r="Z90" s="65" t="n"/>
      <c r="AA90" s="65" t="n"/>
      <c r="AB90" s="65" t="n"/>
      <c r="AC90" s="65" t="n"/>
      <c r="AD90" s="65" t="n"/>
      <c r="AE90" s="65" t="n"/>
      <c r="AF90" s="65" t="n"/>
      <c r="AG90" s="65" t="n"/>
      <c r="AH90" s="65" t="n"/>
      <c r="AI90" s="65" t="n"/>
      <c r="AJ90" s="65" t="n"/>
      <c r="AK90" s="65" t="n"/>
      <c r="AL90" s="65" t="n"/>
      <c r="AM90" s="65" t="n"/>
    </row>
    <row r="91">
      <c r="A91" s="66" t="inlineStr">
        <is>
          <t>LANEIGE LIP SLEEPING MASK-BERRY [3g]</t>
        </is>
      </c>
      <c r="B91" s="67" t="n"/>
      <c r="C91" s="68" t="n"/>
      <c r="D91" s="111" t="n">
        <v>341</v>
      </c>
      <c r="E91" s="69" t="n">
        <v>1470</v>
      </c>
      <c r="F91" s="69" t="n">
        <v>568</v>
      </c>
      <c r="G91" s="69" t="n">
        <v>10</v>
      </c>
      <c r="H91" s="69">
        <f>(1.25*M91+P91+R91+W91+Y91+Z91+AL91)/(1-N91-$H$8-$H$4-(1-I91)*$H$3-$H$11-AA91-AC91)</f>
        <v/>
      </c>
      <c r="I91" s="15" t="n">
        <v>0.45</v>
      </c>
      <c r="J91" s="16">
        <f>H91*(1-I91)</f>
        <v/>
      </c>
      <c r="K91" s="70" t="n">
        <v>130.86</v>
      </c>
      <c r="L91" s="71">
        <f>$H$5</f>
        <v/>
      </c>
      <c r="M91" s="19">
        <f>K91+L91</f>
        <v/>
      </c>
      <c r="N91" s="20" t="n">
        <v>0.47</v>
      </c>
      <c r="O91" s="72">
        <f>H91*N91</f>
        <v/>
      </c>
      <c r="P91" s="73" t="n">
        <v>56</v>
      </c>
      <c r="Q91" s="72">
        <f>H91*$H$8</f>
        <v/>
      </c>
      <c r="R91" s="73" t="n">
        <v>25</v>
      </c>
      <c r="S91" s="72">
        <f>H91*$H$4</f>
        <v/>
      </c>
      <c r="T91" s="72">
        <f>J91*$H$3</f>
        <v/>
      </c>
      <c r="U91" s="74" t="n">
        <v>0.9</v>
      </c>
      <c r="V91" s="73" t="n">
        <v>56</v>
      </c>
      <c r="W91" s="72">
        <f>V91*(1-U91)</f>
        <v/>
      </c>
      <c r="X91" s="75" t="n">
        <v>0.2</v>
      </c>
      <c r="Y91" s="72">
        <f>$H$6*$H$7*X91</f>
        <v/>
      </c>
      <c r="Z91" s="19">
        <f>X91*($H$9+$H$10)</f>
        <v/>
      </c>
      <c r="AA91" s="20" t="n">
        <v>0.07000000000000001</v>
      </c>
      <c r="AB91" s="72">
        <f>H91*AA91</f>
        <v/>
      </c>
      <c r="AC91" s="74" t="n">
        <v>0.08</v>
      </c>
      <c r="AD91" s="72">
        <f>H91*AC91</f>
        <v/>
      </c>
      <c r="AE91" s="72">
        <f>AB91+AD91</f>
        <v/>
      </c>
      <c r="AF91" s="25">
        <f>AE91/H91</f>
        <v/>
      </c>
      <c r="AG91" s="26">
        <f>H91-O91-P91-Q91-R91-S91-T91-W91-Y91-Z91-M91-AL91-AM91</f>
        <v/>
      </c>
      <c r="AH91" s="76">
        <f>AG91-AE91</f>
        <v/>
      </c>
      <c r="AI91" s="77">
        <f>AH91/H91</f>
        <v/>
      </c>
      <c r="AJ91" s="78">
        <f>AH91/M91</f>
        <v/>
      </c>
      <c r="AK91" s="72">
        <f>(P91+R91+W91+Y91+Z91+M91+AL91)/(1-(N91+$H$4+(1-I91)*$H$3+$H$8+$H$11+AA91+AC91))</f>
        <v/>
      </c>
      <c r="AL91" s="72">
        <f>$H$12</f>
        <v/>
      </c>
      <c r="AM91" s="72">
        <f>H91*$H$11</f>
        <v/>
      </c>
    </row>
    <row r="92">
      <c r="A92" s="64" t="inlineStr">
        <is>
          <t>Косметика/MANYO</t>
        </is>
      </c>
      <c r="B92" s="65" t="n"/>
      <c r="C92" s="65" t="n"/>
      <c r="E92" s="65" t="n"/>
      <c r="F92" s="65" t="n"/>
      <c r="G92" s="65" t="n"/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65" t="n"/>
      <c r="U92" s="65" t="n"/>
      <c r="V92" s="65" t="n"/>
      <c r="W92" s="65" t="n"/>
      <c r="X92" s="65" t="n"/>
      <c r="Y92" s="65" t="n"/>
      <c r="Z92" s="65" t="n"/>
      <c r="AA92" s="65" t="n"/>
      <c r="AB92" s="65" t="n"/>
      <c r="AC92" s="65" t="n"/>
      <c r="AD92" s="65" t="n"/>
      <c r="AE92" s="65" t="n"/>
      <c r="AF92" s="65" t="n"/>
      <c r="AG92" s="65" t="n"/>
      <c r="AH92" s="65" t="n"/>
      <c r="AI92" s="65" t="n"/>
      <c r="AJ92" s="65" t="n"/>
      <c r="AK92" s="65" t="n"/>
      <c r="AL92" s="65" t="n"/>
      <c r="AM92" s="65" t="n"/>
    </row>
    <row r="93" ht="29" customHeight="1">
      <c r="A93" s="66" t="inlineStr">
        <is>
          <t>MANYO - Bifida Biome Complex Ampoule [50ml] / Антивозрастная сыворотка для лица</t>
        </is>
      </c>
      <c r="B93" s="67" t="n"/>
      <c r="C93" s="68" t="n"/>
      <c r="E93" s="69" t="n">
        <v>5800</v>
      </c>
      <c r="F93" s="69" t="n">
        <v>152</v>
      </c>
      <c r="G93" s="69" t="n">
        <v>0</v>
      </c>
      <c r="H93" s="69">
        <f>(1.25*M93+P93+R93+W93+Y93+Z93+AL93)/(1-N93-$H$8-$H$4-(1-I93)*$H$3-$H$11-AA93-AC93)</f>
        <v/>
      </c>
      <c r="I93" s="15" t="n">
        <v>0.45</v>
      </c>
      <c r="J93" s="16">
        <f>H93*(1-I93)</f>
        <v/>
      </c>
      <c r="K93" s="70" t="n">
        <v>899.78</v>
      </c>
      <c r="L93" s="71">
        <f>$H$5</f>
        <v/>
      </c>
      <c r="M93" s="19">
        <f>K93+L93</f>
        <v/>
      </c>
      <c r="N93" s="20" t="n">
        <v>0.47</v>
      </c>
      <c r="O93" s="72">
        <f>H93*N93</f>
        <v/>
      </c>
      <c r="P93" s="73" t="n">
        <v>63</v>
      </c>
      <c r="Q93" s="72">
        <f>H93*$H$8</f>
        <v/>
      </c>
      <c r="R93" s="73" t="n">
        <v>25</v>
      </c>
      <c r="S93" s="72">
        <f>H93*$H$4</f>
        <v/>
      </c>
      <c r="T93" s="72">
        <f>J93*$H$3</f>
        <v/>
      </c>
      <c r="U93" s="74" t="n">
        <v>0.9</v>
      </c>
      <c r="V93" s="73" t="n">
        <v>63</v>
      </c>
      <c r="W93" s="72">
        <f>V93*(1-U93)</f>
        <v/>
      </c>
      <c r="X93" s="75" t="n">
        <v>0.3</v>
      </c>
      <c r="Y93" s="72">
        <f>$H$6*$H$7*X93</f>
        <v/>
      </c>
      <c r="Z93" s="19">
        <f>X93*($H$9+$H$10)</f>
        <v/>
      </c>
      <c r="AA93" s="20" t="n">
        <v>0.025</v>
      </c>
      <c r="AB93" s="72">
        <f>H93*AA93</f>
        <v/>
      </c>
      <c r="AC93" s="74" t="n">
        <v>0.025</v>
      </c>
      <c r="AD93" s="72">
        <f>H93*AC93</f>
        <v/>
      </c>
      <c r="AE93" s="72">
        <f>AB93+AD93</f>
        <v/>
      </c>
      <c r="AF93" s="25">
        <f>AE93/H93</f>
        <v/>
      </c>
      <c r="AG93" s="26">
        <f>H93-O93-P93-Q93-R93-S93-T93-W93-Y93-Z93-M93-AL93-AM93</f>
        <v/>
      </c>
      <c r="AH93" s="76">
        <f>AG93-AE93</f>
        <v/>
      </c>
      <c r="AI93" s="77">
        <f>AH93/H93</f>
        <v/>
      </c>
      <c r="AJ93" s="78">
        <f>AH93/M93</f>
        <v/>
      </c>
      <c r="AK93" s="72">
        <f>(P93+R93+W93+Y93+Z93+M93+AL93)/(1-(N93+$H$4+(1-I93)*$H$3+$H$8+$H$11+AA93+AC93))</f>
        <v/>
      </c>
      <c r="AL93" s="72">
        <f>$H$12</f>
        <v/>
      </c>
      <c r="AM93" s="72">
        <f>H93*$H$11</f>
        <v/>
      </c>
    </row>
    <row r="94" ht="29" customHeight="1">
      <c r="A94" s="66" t="inlineStr">
        <is>
          <t>MANYO - Galac Whitening Vita Serum [50ml] / Осветляющая сыворотка с Витамином C</t>
        </is>
      </c>
      <c r="B94" s="67" t="n"/>
      <c r="C94" s="68" t="inlineStr">
        <is>
          <t>-</t>
        </is>
      </c>
      <c r="D94" s="111" t="n">
        <v>854</v>
      </c>
      <c r="E94" s="69" t="n">
        <v>4000</v>
      </c>
      <c r="F94" s="69" t="n">
        <v>163</v>
      </c>
      <c r="G94" s="69" t="n">
        <v>0</v>
      </c>
      <c r="H94" s="69">
        <f>(1.25*M94+P94+R94+W94+Y94+Z94+AL94)/(1-N94-$H$8-$H$4-(1-I94)*$H$3-$H$11-AA94-AC94)</f>
        <v/>
      </c>
      <c r="I94" s="15" t="n">
        <v>0.45</v>
      </c>
      <c r="J94" s="16">
        <f>H94*(1-I94)</f>
        <v/>
      </c>
      <c r="K94" s="70" t="n">
        <v>646.83</v>
      </c>
      <c r="L94" s="71">
        <f>$H$5</f>
        <v/>
      </c>
      <c r="M94" s="19">
        <f>K94+L94</f>
        <v/>
      </c>
      <c r="N94" s="20" t="n">
        <v>0.47</v>
      </c>
      <c r="O94" s="72">
        <f>H94*N94</f>
        <v/>
      </c>
      <c r="P94" s="73" t="n">
        <v>56</v>
      </c>
      <c r="Q94" s="72">
        <f>H94*$H$8</f>
        <v/>
      </c>
      <c r="R94" s="73" t="n">
        <v>25</v>
      </c>
      <c r="S94" s="72">
        <f>H94*$H$4</f>
        <v/>
      </c>
      <c r="T94" s="72">
        <f>J94*$H$3</f>
        <v/>
      </c>
      <c r="U94" s="74" t="n">
        <v>0.9</v>
      </c>
      <c r="V94" s="73" t="n">
        <v>56</v>
      </c>
      <c r="W94" s="72">
        <f>V94*(1-U94)</f>
        <v/>
      </c>
      <c r="X94" s="75" t="n">
        <v>0.19</v>
      </c>
      <c r="Y94" s="72">
        <f>$H$6*$H$7*X94</f>
        <v/>
      </c>
      <c r="Z94" s="19">
        <f>X94*($H$9+$H$10)</f>
        <v/>
      </c>
      <c r="AA94" s="20" t="n">
        <v>0.025</v>
      </c>
      <c r="AB94" s="72">
        <f>H94*AA94</f>
        <v/>
      </c>
      <c r="AC94" s="74" t="n">
        <v>0.025</v>
      </c>
      <c r="AD94" s="72">
        <f>H94*AC94</f>
        <v/>
      </c>
      <c r="AE94" s="72">
        <f>AB94+AD94</f>
        <v/>
      </c>
      <c r="AF94" s="25">
        <f>AE94/H94</f>
        <v/>
      </c>
      <c r="AG94" s="26">
        <f>H94-O94-P94-Q94-R94-S94-T94-W94-Y94-Z94-M94-AL94-AM94</f>
        <v/>
      </c>
      <c r="AH94" s="76">
        <f>AG94-AE94</f>
        <v/>
      </c>
      <c r="AI94" s="77">
        <f>AH94/H94</f>
        <v/>
      </c>
      <c r="AJ94" s="78">
        <f>AH94/M94</f>
        <v/>
      </c>
      <c r="AK94" s="72">
        <f>(P94+R94+W94+Y94+Z94+M94+AL94)/(1-(N94+$H$4+(1-I94)*$H$3+$H$8+$H$11+AA94+AC94))</f>
        <v/>
      </c>
      <c r="AL94" s="72">
        <f>$H$12</f>
        <v/>
      </c>
      <c r="AM94" s="72">
        <f>H94*$H$11</f>
        <v/>
      </c>
    </row>
    <row r="95" ht="29" customHeight="1">
      <c r="A95" s="66" t="inlineStr">
        <is>
          <t>MANYO - Bifida Biome Ampoule Lotion [300ml] / Укрепляющий лосьон с бифидобактериями</t>
        </is>
      </c>
      <c r="B95" s="67" t="n"/>
      <c r="C95" s="68" t="inlineStr">
        <is>
          <t>нет у официала</t>
        </is>
      </c>
      <c r="D95" s="111" t="n">
        <v>756</v>
      </c>
      <c r="E95" s="69" t="n">
        <v>4000</v>
      </c>
      <c r="F95" s="69" t="n">
        <v>140</v>
      </c>
      <c r="G95" s="69" t="n">
        <v>0</v>
      </c>
      <c r="H95" s="69">
        <f>(1.25*M95+P95+R95+W95+Y95+Z95+AL95)/(1-N95-$H$8-$H$4-(1-I95)*$H$3-$H$11-AA95-AC95)</f>
        <v/>
      </c>
      <c r="I95" s="15" t="n">
        <v>0.45</v>
      </c>
      <c r="J95" s="16">
        <f>H95*(1-I95)</f>
        <v/>
      </c>
      <c r="K95" s="70" t="n">
        <v>735.34</v>
      </c>
      <c r="L95" s="71">
        <f>$H$5</f>
        <v/>
      </c>
      <c r="M95" s="19">
        <f>K95+L95</f>
        <v/>
      </c>
      <c r="N95" s="20" t="n">
        <v>0.47</v>
      </c>
      <c r="O95" s="72">
        <f>H95*N95</f>
        <v/>
      </c>
      <c r="P95" s="73" t="n">
        <v>67</v>
      </c>
      <c r="Q95" s="72">
        <f>H95*$H$8</f>
        <v/>
      </c>
      <c r="R95" s="73" t="n">
        <v>25</v>
      </c>
      <c r="S95" s="72">
        <f>H95*$H$4</f>
        <v/>
      </c>
      <c r="T95" s="72">
        <f>J95*$H$3</f>
        <v/>
      </c>
      <c r="U95" s="74" t="n">
        <v>0.9</v>
      </c>
      <c r="V95" s="73" t="n">
        <v>67</v>
      </c>
      <c r="W95" s="72">
        <f>V95*(1-U95)</f>
        <v/>
      </c>
      <c r="X95" s="75" t="n">
        <v>0.61</v>
      </c>
      <c r="Y95" s="72">
        <f>$H$6*$H$7*X95</f>
        <v/>
      </c>
      <c r="Z95" s="19">
        <f>X95*($H$9+$H$10)</f>
        <v/>
      </c>
      <c r="AA95" s="20" t="n">
        <v>0.025</v>
      </c>
      <c r="AB95" s="72">
        <f>H95*AA95</f>
        <v/>
      </c>
      <c r="AC95" s="74" t="n">
        <v>0.025</v>
      </c>
      <c r="AD95" s="72">
        <f>H95*AC95</f>
        <v/>
      </c>
      <c r="AE95" s="72">
        <f>AB95+AD95</f>
        <v/>
      </c>
      <c r="AF95" s="25">
        <f>AE95/H95</f>
        <v/>
      </c>
      <c r="AG95" s="26">
        <f>H95-O95-P95-Q95-R95-S95-T95-W95-Y95-Z95-M95-AL95-AM95</f>
        <v/>
      </c>
      <c r="AH95" s="76">
        <f>AG95-AE95</f>
        <v/>
      </c>
      <c r="AI95" s="77">
        <f>AH95/H95</f>
        <v/>
      </c>
      <c r="AJ95" s="78">
        <f>AH95/M95</f>
        <v/>
      </c>
      <c r="AK95" s="72">
        <f>(P95+R95+W95+Y95+Z95+M95+AL95)/(1-(N95+$H$4+(1-I95)*$H$3+$H$8+$H$11+AA95+AC95))</f>
        <v/>
      </c>
      <c r="AL95" s="72">
        <f>$H$12</f>
        <v/>
      </c>
      <c r="AM95" s="72">
        <f>H95*$H$11</f>
        <v/>
      </c>
    </row>
    <row r="96" ht="29" customHeight="1">
      <c r="A96" s="66" t="inlineStr">
        <is>
          <t>MANYO - Pure Cleansing Oil [200ml] / Гидрофильное масло для глубокого очищения</t>
        </is>
      </c>
      <c r="B96" s="67" t="n"/>
      <c r="C96" s="68" t="inlineStr">
        <is>
          <t>-</t>
        </is>
      </c>
      <c r="D96" s="111" t="n">
        <v>243</v>
      </c>
      <c r="E96" s="69" t="n">
        <v>4000</v>
      </c>
      <c r="F96" s="69" t="n">
        <v>60</v>
      </c>
      <c r="G96" s="69" t="n">
        <v>0</v>
      </c>
      <c r="H96" s="69">
        <f>(1.25*M96+P96+R96+W96+Y96+Z96+AL96)/(1-N96-$H$8-$H$4-(1-I96)*$H$3-$H$11-AA96-AC96)</f>
        <v/>
      </c>
      <c r="I96" s="15" t="n">
        <v>0.45</v>
      </c>
      <c r="J96" s="16">
        <f>H96*(1-I96)</f>
        <v/>
      </c>
      <c r="K96" s="70" t="n">
        <v>853</v>
      </c>
      <c r="L96" s="71">
        <f>$H$5</f>
        <v/>
      </c>
      <c r="M96" s="19">
        <f>K96+L96</f>
        <v/>
      </c>
      <c r="N96" s="20" t="n">
        <v>0.47</v>
      </c>
      <c r="O96" s="72">
        <f>H96*N96</f>
        <v/>
      </c>
      <c r="P96" s="73" t="n">
        <v>67</v>
      </c>
      <c r="Q96" s="72">
        <f>H96*$H$8</f>
        <v/>
      </c>
      <c r="R96" s="73" t="n">
        <v>25</v>
      </c>
      <c r="S96" s="72">
        <f>H96*$H$4</f>
        <v/>
      </c>
      <c r="T96" s="72">
        <f>J96*$H$3</f>
        <v/>
      </c>
      <c r="U96" s="74" t="n">
        <v>0.9</v>
      </c>
      <c r="V96" s="73" t="n">
        <v>67</v>
      </c>
      <c r="W96" s="72">
        <f>V96*(1-U96)</f>
        <v/>
      </c>
      <c r="X96" s="75" t="n">
        <v>0.5</v>
      </c>
      <c r="Y96" s="72">
        <f>$H$6*$H$7*X96</f>
        <v/>
      </c>
      <c r="Z96" s="19">
        <f>X96*($H$9+$H$10)</f>
        <v/>
      </c>
      <c r="AA96" s="20" t="n">
        <v>0.025</v>
      </c>
      <c r="AB96" s="72">
        <f>H96*AA96</f>
        <v/>
      </c>
      <c r="AC96" s="74" t="n">
        <v>0.025</v>
      </c>
      <c r="AD96" s="72">
        <f>H96*AC96</f>
        <v/>
      </c>
      <c r="AE96" s="72">
        <f>AB96+AD96</f>
        <v/>
      </c>
      <c r="AF96" s="25">
        <f>AE96/H96</f>
        <v/>
      </c>
      <c r="AG96" s="26">
        <f>H96-O96-P96-Q96-R96-S96-T96-W96-Y96-Z96-M96-AL96-AM96</f>
        <v/>
      </c>
      <c r="AH96" s="76">
        <f>AG96-AE96</f>
        <v/>
      </c>
      <c r="AI96" s="77">
        <f>AH96/H96</f>
        <v/>
      </c>
      <c r="AJ96" s="78">
        <f>AH96/M96</f>
        <v/>
      </c>
      <c r="AK96" s="72">
        <f>(P96+R96+W96+Y96+Z96+M96+AL96)/(1-(N96+$H$4+(1-I96)*$H$3+$H$8+$H$11+AA96+AC96))</f>
        <v/>
      </c>
      <c r="AL96" s="72">
        <f>$H$12</f>
        <v/>
      </c>
      <c r="AM96" s="72">
        <f>H96*$H$11</f>
        <v/>
      </c>
    </row>
    <row r="97" ht="29" customHeight="1">
      <c r="A97" s="66" t="inlineStr">
        <is>
          <t>MANYO BIFIDA COMPLEX AMPOULE GEL CLEANSER [400ml] / Гель для умывания с бифидобактериями</t>
        </is>
      </c>
      <c r="B97" s="67" t="n"/>
      <c r="C97" s="68" t="inlineStr">
        <is>
          <t>-</t>
        </is>
      </c>
      <c r="D97" s="111" t="n">
        <v>814</v>
      </c>
      <c r="E97" s="69" t="n">
        <v>4800</v>
      </c>
      <c r="F97" s="69" t="n">
        <v>20</v>
      </c>
      <c r="G97" s="69" t="n">
        <v>0</v>
      </c>
      <c r="H97" s="69">
        <f>(1.25*M97+P97+R97+W97+Y97+Z97+AL97)/(1-N97-$H$8-$H$4-(1-I97)*$H$3-$H$11-AA97-AC97)</f>
        <v/>
      </c>
      <c r="I97" s="15" t="n">
        <v>0.45</v>
      </c>
      <c r="J97" s="16">
        <f>H97*(1-I97)</f>
        <v/>
      </c>
      <c r="K97" s="70" t="n">
        <v>650</v>
      </c>
      <c r="L97" s="71">
        <f>$H$5</f>
        <v/>
      </c>
      <c r="M97" s="19">
        <f>K97+L97</f>
        <v/>
      </c>
      <c r="N97" s="20" t="n">
        <v>0.47</v>
      </c>
      <c r="O97" s="72">
        <f>H97*N97</f>
        <v/>
      </c>
      <c r="P97" s="73" t="n">
        <v>75</v>
      </c>
      <c r="Q97" s="72">
        <f>H97*$H$8</f>
        <v/>
      </c>
      <c r="R97" s="73" t="n">
        <v>25</v>
      </c>
      <c r="S97" s="72">
        <f>H97*$H$4</f>
        <v/>
      </c>
      <c r="T97" s="72">
        <f>J97*$H$3</f>
        <v/>
      </c>
      <c r="U97" s="74" t="n">
        <v>0.9</v>
      </c>
      <c r="V97" s="73" t="n">
        <v>75</v>
      </c>
      <c r="W97" s="72">
        <f>V97*(1-U97)</f>
        <v/>
      </c>
      <c r="X97" s="75" t="n">
        <v>0.931</v>
      </c>
      <c r="Y97" s="72">
        <f>$H$6*$H$7*X97</f>
        <v/>
      </c>
      <c r="Z97" s="19">
        <f>X97*($H$9+$H$10)</f>
        <v/>
      </c>
      <c r="AA97" s="20" t="n">
        <v>0.025</v>
      </c>
      <c r="AB97" s="72">
        <f>H97*AA97</f>
        <v/>
      </c>
      <c r="AC97" s="74" t="n">
        <v>0.025</v>
      </c>
      <c r="AD97" s="72">
        <f>H97*AC97</f>
        <v/>
      </c>
      <c r="AE97" s="72">
        <f>AB97+AD97</f>
        <v/>
      </c>
      <c r="AF97" s="25">
        <f>AE97/H97</f>
        <v/>
      </c>
      <c r="AG97" s="26">
        <f>H97-O97-P97-Q97-R97-S97-T97-W97-Y97-Z97-M97-AL97-AM97</f>
        <v/>
      </c>
      <c r="AH97" s="76">
        <f>AG97-AE97</f>
        <v/>
      </c>
      <c r="AI97" s="77">
        <f>AH97/H97</f>
        <v/>
      </c>
      <c r="AJ97" s="78">
        <f>AH97/M97</f>
        <v/>
      </c>
      <c r="AK97" s="72">
        <f>(P97+R97+W97+Y97+Z97+M97+AL97)/(1-(N97+$H$4+(1-I97)*$H$3+$H$8+$H$11+AA97+AC97))</f>
        <v/>
      </c>
      <c r="AL97" s="72">
        <f>$H$12</f>
        <v/>
      </c>
      <c r="AM97" s="72">
        <f>H97*$H$11</f>
        <v/>
      </c>
    </row>
    <row r="98" ht="29" customHeight="1">
      <c r="A98" s="66" t="inlineStr">
        <is>
          <t>MANYO BIFIDA INFUSION SHOT AMPOULE 1DX [50ml] / Сыворотка с микроиглами и пробиотиками</t>
        </is>
      </c>
      <c r="B98" s="67" t="n"/>
      <c r="C98" s="68" t="n"/>
      <c r="D98" s="111" t="n">
        <v>786</v>
      </c>
      <c r="E98" s="69" t="n">
        <v>3800</v>
      </c>
      <c r="F98" s="69" t="n">
        <v>370</v>
      </c>
      <c r="G98" s="69" t="n">
        <v>0</v>
      </c>
      <c r="H98" s="69">
        <f>(1.25*M98+P98+R98+W98+Y98+Z98+AL98)/(1-N98-$H$8-$H$4-(1-I98)*$H$3-$H$11-AA98-AC98)</f>
        <v/>
      </c>
      <c r="I98" s="15" t="n">
        <v>0.45</v>
      </c>
      <c r="J98" s="16">
        <f>H98*(1-I98)</f>
        <v/>
      </c>
      <c r="K98" s="70" t="n">
        <v>899.78</v>
      </c>
      <c r="L98" s="71">
        <f>$H$5</f>
        <v/>
      </c>
      <c r="M98" s="19">
        <f>K98+L98</f>
        <v/>
      </c>
      <c r="N98" s="20" t="n">
        <v>0.47</v>
      </c>
      <c r="O98" s="72">
        <f>H98*N98</f>
        <v/>
      </c>
      <c r="P98" s="73" t="n">
        <v>63</v>
      </c>
      <c r="Q98" s="72">
        <f>H98*$H$8</f>
        <v/>
      </c>
      <c r="R98" s="73" t="n">
        <v>25</v>
      </c>
      <c r="S98" s="72">
        <f>H98*$H$4</f>
        <v/>
      </c>
      <c r="T98" s="72">
        <f>J98*$H$3</f>
        <v/>
      </c>
      <c r="U98" s="74" t="n">
        <v>0.9</v>
      </c>
      <c r="V98" s="73" t="n">
        <v>63</v>
      </c>
      <c r="W98" s="72">
        <f>V98*(1-U98)</f>
        <v/>
      </c>
      <c r="X98" s="75" t="n">
        <v>0.3</v>
      </c>
      <c r="Y98" s="72">
        <f>$H$6*$H$7*X98</f>
        <v/>
      </c>
      <c r="Z98" s="19">
        <f>X98*($H$9+$H$10)</f>
        <v/>
      </c>
      <c r="AA98" s="20" t="n">
        <v>0.025</v>
      </c>
      <c r="AB98" s="72">
        <f>H98*AA98</f>
        <v/>
      </c>
      <c r="AC98" s="74" t="n">
        <v>0.025</v>
      </c>
      <c r="AD98" s="72">
        <f>H98*AC98</f>
        <v/>
      </c>
      <c r="AE98" s="72">
        <f>AB98+AD98</f>
        <v/>
      </c>
      <c r="AF98" s="25">
        <f>AE98/H98</f>
        <v/>
      </c>
      <c r="AG98" s="26">
        <f>H98-O98-P98-Q98-R98-S98-T98-W98-Y98-Z98-M98-AL98-AM98</f>
        <v/>
      </c>
      <c r="AH98" s="76">
        <f>AG98-AE98</f>
        <v/>
      </c>
      <c r="AI98" s="77">
        <f>AH98/H98</f>
        <v/>
      </c>
      <c r="AJ98" s="78">
        <f>AH98/M98</f>
        <v/>
      </c>
      <c r="AK98" s="72">
        <f>(P98+R98+W98+Y98+Z98+M98+AL98)/(1-(N98+$H$4+(1-I98)*$H$3+$H$8+$H$11+AA98+AC98))</f>
        <v/>
      </c>
      <c r="AL98" s="72">
        <f>$H$12</f>
        <v/>
      </c>
      <c r="AM98" s="72">
        <f>H98*$H$11</f>
        <v/>
      </c>
    </row>
    <row r="99">
      <c r="A99" s="64" t="inlineStr">
        <is>
          <t>Косметика/MASIL</t>
        </is>
      </c>
      <c r="B99" s="65" t="n"/>
      <c r="C99" s="65" t="n"/>
      <c r="E99" s="65" t="n"/>
      <c r="F99" s="65" t="n"/>
      <c r="G99" s="65" t="n"/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65" t="n"/>
      <c r="U99" s="65" t="n"/>
      <c r="V99" s="65" t="n"/>
      <c r="W99" s="65" t="n"/>
      <c r="X99" s="65" t="n"/>
      <c r="Y99" s="65" t="n"/>
      <c r="Z99" s="65" t="n"/>
      <c r="AA99" s="65" t="n"/>
      <c r="AB99" s="65" t="n"/>
      <c r="AC99" s="65" t="n"/>
      <c r="AD99" s="65" t="n"/>
      <c r="AE99" s="65" t="n"/>
      <c r="AF99" s="65" t="n"/>
      <c r="AG99" s="65" t="n"/>
      <c r="AH99" s="65" t="n"/>
      <c r="AI99" s="65" t="n"/>
      <c r="AJ99" s="65" t="n"/>
      <c r="AK99" s="65" t="n"/>
      <c r="AL99" s="65" t="n"/>
      <c r="AM99" s="65" t="n"/>
    </row>
    <row r="100">
      <c r="A100" s="79" t="inlineStr">
        <is>
          <t>MASIL - 8 Seconds Salon Hair Mask 350ml Set [350ml+8ml*2]</t>
        </is>
      </c>
      <c r="B100" s="80" t="n"/>
      <c r="C100" s="80" t="n"/>
      <c r="D100" s="111" t="n">
        <v>119</v>
      </c>
      <c r="E100" s="81" t="n"/>
      <c r="F100" s="81" t="n"/>
      <c r="G100" s="81" t="n"/>
      <c r="H100" s="81" t="n"/>
      <c r="I100" s="32" t="n"/>
      <c r="J100" s="33" t="n"/>
      <c r="K100" s="82" t="n"/>
      <c r="L100" s="82" t="n"/>
      <c r="M100" s="35" t="n"/>
      <c r="N100" s="36" t="n"/>
      <c r="O100" s="81" t="n"/>
      <c r="P100" s="81" t="n"/>
      <c r="Q100" s="81" t="n"/>
      <c r="R100" s="81" t="n"/>
      <c r="S100" s="81" t="n"/>
      <c r="T100" s="81" t="n"/>
      <c r="U100" s="83" t="n"/>
      <c r="V100" s="81" t="n"/>
      <c r="W100" s="81" t="n"/>
      <c r="X100" s="84" t="n"/>
      <c r="Y100" s="81" t="n"/>
      <c r="Z100" s="35" t="n"/>
      <c r="AA100" s="36" t="n"/>
      <c r="AB100" s="81" t="n"/>
      <c r="AC100" s="83" t="n"/>
      <c r="AD100" s="81" t="n"/>
      <c r="AE100" s="81" t="n"/>
      <c r="AF100" s="39" t="n"/>
      <c r="AG100" s="40" t="n"/>
      <c r="AH100" s="81" t="n"/>
      <c r="AI100" s="83" t="n"/>
      <c r="AJ100" s="83" t="n"/>
      <c r="AK100" s="81" t="n"/>
      <c r="AL100" s="81" t="n"/>
      <c r="AM100" s="81" t="n"/>
    </row>
    <row r="101">
      <c r="A101" s="64" t="inlineStr">
        <is>
          <t>Косметика/PETITFEE/PETITFEE-EYEPATCH</t>
        </is>
      </c>
      <c r="B101" s="65" t="n"/>
      <c r="C101" s="65" t="n"/>
      <c r="E101" s="65" t="n"/>
      <c r="F101" s="65" t="n"/>
      <c r="G101" s="65" t="n"/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65" t="n"/>
      <c r="U101" s="65" t="n"/>
      <c r="V101" s="65" t="n"/>
      <c r="W101" s="65" t="n"/>
      <c r="X101" s="65" t="n"/>
      <c r="Y101" s="65" t="n"/>
      <c r="Z101" s="65" t="n"/>
      <c r="AA101" s="65" t="n"/>
      <c r="AB101" s="65" t="n"/>
      <c r="AC101" s="65" t="n"/>
      <c r="AD101" s="65" t="n"/>
      <c r="AE101" s="65" t="n"/>
      <c r="AF101" s="65" t="n"/>
      <c r="AG101" s="65" t="n"/>
      <c r="AH101" s="65" t="n"/>
      <c r="AI101" s="65" t="n"/>
      <c r="AJ101" s="65" t="n"/>
      <c r="AK101" s="65" t="n"/>
      <c r="AL101" s="65" t="n"/>
      <c r="AM101" s="65" t="n"/>
    </row>
    <row r="102" ht="29" customHeight="1">
      <c r="A102" s="66" t="inlineStr">
        <is>
          <t>PETITFEE - Collagen &amp; CoQ10 Hydrogel Eye Patch [60ea] / Гидрогелевые патчи для глаз с коллагеном и коэнзимом Q10</t>
        </is>
      </c>
      <c r="B102" s="67" t="n"/>
      <c r="C102" s="68" t="n"/>
      <c r="E102" s="69" t="n">
        <v>1818</v>
      </c>
      <c r="F102" s="69" t="n">
        <v>734</v>
      </c>
      <c r="G102" s="69" t="n">
        <v>16</v>
      </c>
      <c r="H102" s="69">
        <f>(1.25*M102+P102+R102+W102+Y102+Z102+AL102)/(1-N102-$H$8-$H$4-(1-I102)*$H$3-$H$11-AA102-AC102)</f>
        <v/>
      </c>
      <c r="I102" s="15" t="n">
        <v>0.45</v>
      </c>
      <c r="J102" s="16">
        <f>H102*(1-I102)</f>
        <v/>
      </c>
      <c r="K102" s="70" t="n">
        <v>385.05</v>
      </c>
      <c r="L102" s="71">
        <f>$H$5</f>
        <v/>
      </c>
      <c r="M102" s="19">
        <f>K102+L102</f>
        <v/>
      </c>
      <c r="N102" s="20" t="n">
        <v>0.47</v>
      </c>
      <c r="O102" s="72">
        <f>H102*N102</f>
        <v/>
      </c>
      <c r="P102" s="73" t="n">
        <v>67</v>
      </c>
      <c r="Q102" s="72">
        <f>H102*$H$8</f>
        <v/>
      </c>
      <c r="R102" s="73" t="n">
        <v>25</v>
      </c>
      <c r="S102" s="72">
        <f>H102*$H$4</f>
        <v/>
      </c>
      <c r="T102" s="72">
        <f>J102*$H$3</f>
        <v/>
      </c>
      <c r="U102" s="74" t="n">
        <v>0.9</v>
      </c>
      <c r="V102" s="73" t="n">
        <v>67</v>
      </c>
      <c r="W102" s="72">
        <f>V102*(1-U102)</f>
        <v/>
      </c>
      <c r="X102" s="75" t="n">
        <v>0.6</v>
      </c>
      <c r="Y102" s="72">
        <f>$H$6*$H$7*X102</f>
        <v/>
      </c>
      <c r="Z102" s="19">
        <f>X102*($H$9+$H$10)</f>
        <v/>
      </c>
      <c r="AA102" s="20" t="n">
        <v>0.07000000000000001</v>
      </c>
      <c r="AB102" s="72">
        <f>H102*AA102</f>
        <v/>
      </c>
      <c r="AC102" s="74" t="n">
        <v>0.08</v>
      </c>
      <c r="AD102" s="72">
        <f>H102*AC102</f>
        <v/>
      </c>
      <c r="AE102" s="72">
        <f>AB102+AD102</f>
        <v/>
      </c>
      <c r="AF102" s="25">
        <f>AE102/H102</f>
        <v/>
      </c>
      <c r="AG102" s="26">
        <f>H102-O102-P102-Q102-R102-S102-T102-W102-Y102-Z102-M102-AL102-AM102</f>
        <v/>
      </c>
      <c r="AH102" s="76">
        <f>AG102-AE102</f>
        <v/>
      </c>
      <c r="AI102" s="77">
        <f>AH102/H102</f>
        <v/>
      </c>
      <c r="AJ102" s="78">
        <f>AH102/M102</f>
        <v/>
      </c>
      <c r="AK102" s="72">
        <f>(P102+R102+W102+Y102+Z102+M102+AL102)/(1-(N102+$H$4+(1-I102)*$H$3+$H$8+$H$11+AA102+AC102))</f>
        <v/>
      </c>
      <c r="AL102" s="72">
        <f>$H$12</f>
        <v/>
      </c>
      <c r="AM102" s="72">
        <f>H102*$H$11</f>
        <v/>
      </c>
    </row>
    <row r="103" ht="29" customHeight="1">
      <c r="A103" s="66" t="inlineStr">
        <is>
          <t>PETITFEE - Bera Glucan Deep Firming Eye Patch [60ea] / Тканевые патчи для век увлажняющие</t>
        </is>
      </c>
      <c r="B103" s="67" t="n"/>
      <c r="C103" s="68" t="n"/>
      <c r="D103" s="111" t="n">
        <v>587</v>
      </c>
      <c r="E103" s="69" t="n"/>
      <c r="F103" s="69" t="n"/>
      <c r="G103" s="69" t="n"/>
      <c r="H103" s="69">
        <f>(1.25*M103+P103+R103+W103+Y103+Z103+AL103)/(1-N103-$H$8-$H$4-(1-I103)*$H$3-$H$11-AA103-AC103)</f>
        <v/>
      </c>
      <c r="I103" s="15" t="n">
        <v>0.45</v>
      </c>
      <c r="J103" s="16">
        <f>H103*(1-I103)</f>
        <v/>
      </c>
      <c r="K103" s="70" t="n">
        <v>486.69</v>
      </c>
      <c r="L103" s="71">
        <f>$H$5</f>
        <v/>
      </c>
      <c r="M103" s="19">
        <f>K103+L103</f>
        <v/>
      </c>
      <c r="N103" s="20" t="n">
        <v>0.47</v>
      </c>
      <c r="O103" s="72">
        <f>H103*N103</f>
        <v/>
      </c>
      <c r="P103" s="73" t="n">
        <v>67</v>
      </c>
      <c r="Q103" s="72">
        <f>H103*$H$8</f>
        <v/>
      </c>
      <c r="R103" s="73" t="n">
        <v>25</v>
      </c>
      <c r="S103" s="72">
        <f>H103*$H$4</f>
        <v/>
      </c>
      <c r="T103" s="72">
        <f>J103*$H$3</f>
        <v/>
      </c>
      <c r="U103" s="74" t="n">
        <v>0.9</v>
      </c>
      <c r="V103" s="73" t="n">
        <v>67</v>
      </c>
      <c r="W103" s="72">
        <f>V103*(1-U103)</f>
        <v/>
      </c>
      <c r="X103" s="75" t="n">
        <v>0.93</v>
      </c>
      <c r="Y103" s="72">
        <f>$H$6*$H$7*X103</f>
        <v/>
      </c>
      <c r="Z103" s="19">
        <f>X103*($H$9+$H$10)</f>
        <v/>
      </c>
      <c r="AA103" s="20" t="n">
        <v>0.07000000000000001</v>
      </c>
      <c r="AB103" s="72">
        <f>H103*AA103</f>
        <v/>
      </c>
      <c r="AC103" s="74" t="n">
        <v>0.08</v>
      </c>
      <c r="AD103" s="72">
        <f>H103*AC103</f>
        <v/>
      </c>
      <c r="AE103" s="72">
        <f>AB103+AD103</f>
        <v/>
      </c>
      <c r="AF103" s="25">
        <f>AE103/H103</f>
        <v/>
      </c>
      <c r="AG103" s="26">
        <f>H103-O103-P103-Q103-R103-S103-T103-W103-Y103-Z103-M103-AL103-AM103</f>
        <v/>
      </c>
      <c r="AH103" s="76">
        <f>AG103-AE103</f>
        <v/>
      </c>
      <c r="AI103" s="77">
        <f>AH103/H103</f>
        <v/>
      </c>
      <c r="AJ103" s="78">
        <f>AH103/M103</f>
        <v/>
      </c>
      <c r="AK103" s="72">
        <f>(P103+R103+W103+Y103+Z103+M103+AL103)/(1-(N103+$H$4+(1-I103)*$H$3+$H$8+$H$11+AA103+AC103))</f>
        <v/>
      </c>
      <c r="AL103" s="72">
        <f>$H$12</f>
        <v/>
      </c>
      <c r="AM103" s="72">
        <f>H103*$H$11</f>
        <v/>
      </c>
    </row>
    <row r="104" ht="29" customHeight="1">
      <c r="A104" s="66" t="inlineStr">
        <is>
          <t>PETITFEE - Artichoke Soothing Hydrogel Eye Patch [60ea] / Смягчающие гидрогелевые патчи для глаз с экстрактом артишока</t>
        </is>
      </c>
      <c r="B104" s="67" t="n"/>
      <c r="C104" s="68" t="n"/>
      <c r="D104" s="111" t="n">
        <v>300</v>
      </c>
      <c r="E104" s="69" t="n"/>
      <c r="F104" s="69" t="n"/>
      <c r="G104" s="69" t="n"/>
      <c r="H104" s="69">
        <f>(1.25*M104+P104+R104+W104+Y104+Z104+AL104)/(1-N104-$H$8-$H$4-(1-I104)*$H$3-$H$11-AA104-AC104)</f>
        <v/>
      </c>
      <c r="I104" s="15" t="n">
        <v>0.45</v>
      </c>
      <c r="J104" s="16">
        <f>H104*(1-I104)</f>
        <v/>
      </c>
      <c r="K104" s="70" t="n">
        <v>415.46</v>
      </c>
      <c r="L104" s="71">
        <f>$H$5</f>
        <v/>
      </c>
      <c r="M104" s="19">
        <f>K104+L104</f>
        <v/>
      </c>
      <c r="N104" s="20" t="n">
        <v>0.47</v>
      </c>
      <c r="O104" s="72">
        <f>H104*N104</f>
        <v/>
      </c>
      <c r="P104" s="73" t="n">
        <v>67</v>
      </c>
      <c r="Q104" s="72">
        <f>H104*$H$8</f>
        <v/>
      </c>
      <c r="R104" s="73" t="n">
        <v>25</v>
      </c>
      <c r="S104" s="72">
        <f>H104*$H$4</f>
        <v/>
      </c>
      <c r="T104" s="72">
        <f>J104*$H$3</f>
        <v/>
      </c>
      <c r="U104" s="74" t="n">
        <v>0.9</v>
      </c>
      <c r="V104" s="73" t="n">
        <v>67</v>
      </c>
      <c r="W104" s="72">
        <f>V104*(1-U104)</f>
        <v/>
      </c>
      <c r="X104" s="75" t="n">
        <v>0.6</v>
      </c>
      <c r="Y104" s="72">
        <f>$H$6*$H$7*X104</f>
        <v/>
      </c>
      <c r="Z104" s="19">
        <f>X104*($H$9+$H$10)</f>
        <v/>
      </c>
      <c r="AA104" s="20" t="n">
        <v>0.07000000000000001</v>
      </c>
      <c r="AB104" s="72">
        <f>H104*AA104</f>
        <v/>
      </c>
      <c r="AC104" s="74" t="n">
        <v>0.08</v>
      </c>
      <c r="AD104" s="72">
        <f>H104*AC104</f>
        <v/>
      </c>
      <c r="AE104" s="72">
        <f>AB104+AD104</f>
        <v/>
      </c>
      <c r="AF104" s="25">
        <f>AE104/H104</f>
        <v/>
      </c>
      <c r="AG104" s="26">
        <f>H104-O104-P104-Q104-R104-S104-T104-W104-Y104-Z104-M104-AL104-AM104</f>
        <v/>
      </c>
      <c r="AH104" s="76">
        <f>AG104-AE104</f>
        <v/>
      </c>
      <c r="AI104" s="77">
        <f>AH104/H104</f>
        <v/>
      </c>
      <c r="AJ104" s="78">
        <f>AH104/M104</f>
        <v/>
      </c>
      <c r="AK104" s="72">
        <f>(P104+R104+W104+Y104+Z104+M104+AL104)/(1-(N104+$H$4+(1-I104)*$H$3+$H$8+$H$11+AA104+AC104))</f>
        <v/>
      </c>
      <c r="AL104" s="72">
        <f>$H$12</f>
        <v/>
      </c>
      <c r="AM104" s="72">
        <f>H104*$H$11</f>
        <v/>
      </c>
    </row>
    <row r="105">
      <c r="A105" s="66" t="inlineStr">
        <is>
          <t>PETITFEE - Aura Quartz Hydrogel Eye Patch [60ea]</t>
        </is>
      </c>
      <c r="B105" s="67" t="n"/>
      <c r="C105" s="68" t="n"/>
      <c r="D105" s="111" t="n">
        <v>95</v>
      </c>
      <c r="E105" s="69" t="n"/>
      <c r="F105" s="69" t="n"/>
      <c r="G105" s="69" t="n"/>
      <c r="H105" s="69">
        <f>(1.25*M105+P105+R105+W105+Y105+Z105+AL105)/(1-N105-$H$8-$H$4-(1-I105)*$H$3-$H$11-AA105-AC105)</f>
        <v/>
      </c>
      <c r="I105" s="15" t="n">
        <v>0.45</v>
      </c>
      <c r="J105" s="16">
        <f>H105*(1-I105)</f>
        <v/>
      </c>
      <c r="K105" s="70" t="n">
        <v>591.29</v>
      </c>
      <c r="L105" s="71">
        <f>$H$5</f>
        <v/>
      </c>
      <c r="M105" s="19">
        <f>K105+L105</f>
        <v/>
      </c>
      <c r="N105" s="20" t="n">
        <v>0.47</v>
      </c>
      <c r="O105" s="72">
        <f>H105*N105</f>
        <v/>
      </c>
      <c r="P105" s="73" t="n">
        <v>67</v>
      </c>
      <c r="Q105" s="72">
        <f>H105*$H$8</f>
        <v/>
      </c>
      <c r="R105" s="73" t="n">
        <v>25</v>
      </c>
      <c r="S105" s="72">
        <f>H105*$H$4</f>
        <v/>
      </c>
      <c r="T105" s="72">
        <f>J105*$H$3</f>
        <v/>
      </c>
      <c r="U105" s="74" t="n">
        <v>0.9</v>
      </c>
      <c r="V105" s="73" t="n">
        <v>67</v>
      </c>
      <c r="W105" s="72">
        <f>V105*(1-U105)</f>
        <v/>
      </c>
      <c r="X105" s="75" t="n">
        <v>0.93</v>
      </c>
      <c r="Y105" s="72">
        <f>$H$6*$H$7*X105</f>
        <v/>
      </c>
      <c r="Z105" s="19">
        <f>X105*($H$9+$H$10)</f>
        <v/>
      </c>
      <c r="AA105" s="20" t="n">
        <v>0.07000000000000001</v>
      </c>
      <c r="AB105" s="72">
        <f>H105*AA105</f>
        <v/>
      </c>
      <c r="AC105" s="74" t="n">
        <v>0.08</v>
      </c>
      <c r="AD105" s="72">
        <f>H105*AC105</f>
        <v/>
      </c>
      <c r="AE105" s="72">
        <f>AB105+AD105</f>
        <v/>
      </c>
      <c r="AF105" s="25">
        <f>AE105/H105</f>
        <v/>
      </c>
      <c r="AG105" s="26">
        <f>H105-O105-P105-Q105-R105-S105-T105-W105-Y105-Z105-M105-AL105-AM105</f>
        <v/>
      </c>
      <c r="AH105" s="76">
        <f>AG105-AE105</f>
        <v/>
      </c>
      <c r="AI105" s="77">
        <f>AH105/H105</f>
        <v/>
      </c>
      <c r="AJ105" s="78">
        <f>AH105/M105</f>
        <v/>
      </c>
      <c r="AK105" s="72">
        <f>(P105+R105+W105+Y105+Z105+M105+AL105)/(1-(N105+$H$4+(1-I105)*$H$3+$H$8+$H$11+AA105+AC105))</f>
        <v/>
      </c>
      <c r="AL105" s="72">
        <f>$H$12</f>
        <v/>
      </c>
      <c r="AM105" s="72">
        <f>H105*$H$11</f>
        <v/>
      </c>
    </row>
    <row r="106" ht="29" customHeight="1">
      <c r="A106" s="66" t="inlineStr">
        <is>
          <t>PETITFEE - Cacao Energizing Hydrogel Eye Patch [60ea] / Тонизирующие гидрогелевые патчи для глаз с экстрактом какао</t>
        </is>
      </c>
      <c r="B106" s="67" t="n"/>
      <c r="C106" s="68" t="n"/>
      <c r="D106" s="111" t="n">
        <v>713</v>
      </c>
      <c r="E106" s="69" t="n"/>
      <c r="F106" s="69" t="n"/>
      <c r="G106" s="69" t="n"/>
      <c r="H106" s="69">
        <f>(1.25*M106+P106+R106+W106+Y106+Z106+AL106)/(1-N106-$H$8-$H$4-(1-I106)*$H$3-$H$11-AA106-AC106)</f>
        <v/>
      </c>
      <c r="I106" s="15" t="n">
        <v>0.45</v>
      </c>
      <c r="J106" s="16">
        <f>H106*(1-I106)</f>
        <v/>
      </c>
      <c r="K106" s="70" t="n">
        <v>415.46</v>
      </c>
      <c r="L106" s="71">
        <f>$H$5</f>
        <v/>
      </c>
      <c r="M106" s="19">
        <f>K106+L106</f>
        <v/>
      </c>
      <c r="N106" s="20" t="n">
        <v>0.47</v>
      </c>
      <c r="O106" s="72">
        <f>H106*N106</f>
        <v/>
      </c>
      <c r="P106" s="73" t="n">
        <v>67</v>
      </c>
      <c r="Q106" s="72">
        <f>H106*$H$8</f>
        <v/>
      </c>
      <c r="R106" s="73" t="n">
        <v>25</v>
      </c>
      <c r="S106" s="72">
        <f>H106*$H$4</f>
        <v/>
      </c>
      <c r="T106" s="72">
        <f>J106*$H$3</f>
        <v/>
      </c>
      <c r="U106" s="74" t="n">
        <v>0.9</v>
      </c>
      <c r="V106" s="73" t="n">
        <v>67</v>
      </c>
      <c r="W106" s="72">
        <f>V106*(1-U106)</f>
        <v/>
      </c>
      <c r="X106" s="75" t="n">
        <v>0.6</v>
      </c>
      <c r="Y106" s="72">
        <f>$H$6*$H$7*X106</f>
        <v/>
      </c>
      <c r="Z106" s="19">
        <f>X106*($H$9+$H$10)</f>
        <v/>
      </c>
      <c r="AA106" s="20" t="n">
        <v>0.07000000000000001</v>
      </c>
      <c r="AB106" s="72">
        <f>H106*AA106</f>
        <v/>
      </c>
      <c r="AC106" s="74" t="n">
        <v>0.08</v>
      </c>
      <c r="AD106" s="72">
        <f>H106*AC106</f>
        <v/>
      </c>
      <c r="AE106" s="72">
        <f>AB106+AD106</f>
        <v/>
      </c>
      <c r="AF106" s="25">
        <f>AE106/H106</f>
        <v/>
      </c>
      <c r="AG106" s="26">
        <f>H106-O106-P106-Q106-R106-S106-T106-W106-Y106-Z106-M106-AL106-AM106</f>
        <v/>
      </c>
      <c r="AH106" s="76">
        <f>AG106-AE106</f>
        <v/>
      </c>
      <c r="AI106" s="77">
        <f>AH106/H106</f>
        <v/>
      </c>
      <c r="AJ106" s="78">
        <f>AH106/M106</f>
        <v/>
      </c>
      <c r="AK106" s="72">
        <f>(P106+R106+W106+Y106+Z106+M106+AL106)/(1-(N106+$H$4+(1-I106)*$H$3+$H$8+$H$11+AA106+AC106))</f>
        <v/>
      </c>
      <c r="AL106" s="72">
        <f>$H$12</f>
        <v/>
      </c>
      <c r="AM106" s="72">
        <f>H106*$H$11</f>
        <v/>
      </c>
    </row>
    <row r="107" ht="29" customHeight="1">
      <c r="A107" s="66" t="inlineStr">
        <is>
          <t>PETITFEE - Chamomile Lightening Hydrogel Eye Patch [60ea] / Успокаивающие гидрогелевые патчи для глаз с экстрактом ромашки</t>
        </is>
      </c>
      <c r="B107" s="67" t="n"/>
      <c r="C107" s="68" t="n"/>
      <c r="D107" s="111" t="n">
        <v>288</v>
      </c>
      <c r="E107" s="69" t="n"/>
      <c r="F107" s="69" t="n"/>
      <c r="G107" s="69" t="n"/>
      <c r="H107" s="69">
        <f>(1.25*M107+P107+R107+W107+Y107+Z107+AL107)/(1-N107-$H$8-$H$4-(1-I107)*$H$3-$H$11-AA107-AC107)</f>
        <v/>
      </c>
      <c r="I107" s="15" t="n">
        <v>0.45</v>
      </c>
      <c r="J107" s="16">
        <f>H107*(1-I107)</f>
        <v/>
      </c>
      <c r="K107" s="70" t="n">
        <v>415.46</v>
      </c>
      <c r="L107" s="71">
        <f>$H$5</f>
        <v/>
      </c>
      <c r="M107" s="19">
        <f>K107+L107</f>
        <v/>
      </c>
      <c r="N107" s="20" t="n">
        <v>0.47</v>
      </c>
      <c r="O107" s="72">
        <f>H107*N107</f>
        <v/>
      </c>
      <c r="P107" s="73" t="n">
        <v>67</v>
      </c>
      <c r="Q107" s="72">
        <f>H107*$H$8</f>
        <v/>
      </c>
      <c r="R107" s="73" t="n">
        <v>25</v>
      </c>
      <c r="S107" s="72">
        <f>H107*$H$4</f>
        <v/>
      </c>
      <c r="T107" s="72">
        <f>J107*$H$3</f>
        <v/>
      </c>
      <c r="U107" s="74" t="n">
        <v>0.9</v>
      </c>
      <c r="V107" s="73" t="n">
        <v>67</v>
      </c>
      <c r="W107" s="72">
        <f>V107*(1-U107)</f>
        <v/>
      </c>
      <c r="X107" s="75" t="n">
        <v>0.6</v>
      </c>
      <c r="Y107" s="72">
        <f>$H$6*$H$7*X107</f>
        <v/>
      </c>
      <c r="Z107" s="19">
        <f>X107*($H$9+$H$10)</f>
        <v/>
      </c>
      <c r="AA107" s="20" t="n">
        <v>0.07000000000000001</v>
      </c>
      <c r="AB107" s="72">
        <f>H107*AA107</f>
        <v/>
      </c>
      <c r="AC107" s="74" t="n">
        <v>0.08</v>
      </c>
      <c r="AD107" s="72">
        <f>H107*AC107</f>
        <v/>
      </c>
      <c r="AE107" s="72">
        <f>AB107+AD107</f>
        <v/>
      </c>
      <c r="AF107" s="25">
        <f>AE107/H107</f>
        <v/>
      </c>
      <c r="AG107" s="26">
        <f>H107-O107-P107-Q107-R107-S107-T107-W107-Y107-Z107-M107-AL107-AM107</f>
        <v/>
      </c>
      <c r="AH107" s="76">
        <f>AG107-AE107</f>
        <v/>
      </c>
      <c r="AI107" s="77">
        <f>AH107/H107</f>
        <v/>
      </c>
      <c r="AJ107" s="78">
        <f>AH107/M107</f>
        <v/>
      </c>
      <c r="AK107" s="72">
        <f>(P107+R107+W107+Y107+Z107+M107+AL107)/(1-(N107+$H$4+(1-I107)*$H$3+$H$8+$H$11+AA107+AC107))</f>
        <v/>
      </c>
      <c r="AL107" s="72">
        <f>$H$12</f>
        <v/>
      </c>
      <c r="AM107" s="72">
        <f>H107*$H$11</f>
        <v/>
      </c>
    </row>
    <row r="108" ht="29" customHeight="1">
      <c r="A108" s="66" t="inlineStr">
        <is>
          <t>PETITFEE - Gold &amp; EGF Hydrogel Eye &amp; Spot Patch [60ea]/ гидрогелевые патчи с золотом и EGF</t>
        </is>
      </c>
      <c r="B108" s="67" t="n"/>
      <c r="C108" s="68" t="n"/>
      <c r="D108" s="111" t="n">
        <v>72</v>
      </c>
      <c r="E108" s="69" t="n"/>
      <c r="F108" s="69" t="n"/>
      <c r="G108" s="69" t="n"/>
      <c r="H108" s="69">
        <f>(1.25*M108+P108+R108+W108+Y108+Z108+AL108)/(1-N108-$H$8-$H$4-(1-I108)*$H$3-$H$11-AA108-AC108)</f>
        <v/>
      </c>
      <c r="I108" s="15" t="n">
        <v>0.45</v>
      </c>
      <c r="J108" s="16">
        <f>H108*(1-I108)</f>
        <v/>
      </c>
      <c r="K108" s="70" t="n">
        <v>385.05</v>
      </c>
      <c r="L108" s="71">
        <f>$H$5</f>
        <v/>
      </c>
      <c r="M108" s="19">
        <f>K108+L108</f>
        <v/>
      </c>
      <c r="N108" s="20" t="n">
        <v>0.47</v>
      </c>
      <c r="O108" s="72">
        <f>H108*N108</f>
        <v/>
      </c>
      <c r="P108" s="73" t="n">
        <v>67</v>
      </c>
      <c r="Q108" s="72">
        <f>H108*$H$8</f>
        <v/>
      </c>
      <c r="R108" s="73" t="n">
        <v>25</v>
      </c>
      <c r="S108" s="72">
        <f>H108*$H$4</f>
        <v/>
      </c>
      <c r="T108" s="72">
        <f>J108*$H$3</f>
        <v/>
      </c>
      <c r="U108" s="74" t="n">
        <v>0.9</v>
      </c>
      <c r="V108" s="73" t="n">
        <v>67</v>
      </c>
      <c r="W108" s="72">
        <f>V108*(1-U108)</f>
        <v/>
      </c>
      <c r="X108" s="75" t="n">
        <v>0.6</v>
      </c>
      <c r="Y108" s="72">
        <f>$H$6*$H$7*X108</f>
        <v/>
      </c>
      <c r="Z108" s="19">
        <f>X108*($H$9+$H$10)</f>
        <v/>
      </c>
      <c r="AA108" s="20" t="n">
        <v>0.07000000000000001</v>
      </c>
      <c r="AB108" s="72">
        <f>H108*AA108</f>
        <v/>
      </c>
      <c r="AC108" s="74" t="n">
        <v>0.08</v>
      </c>
      <c r="AD108" s="72">
        <f>H108*AC108</f>
        <v/>
      </c>
      <c r="AE108" s="72">
        <f>AB108+AD108</f>
        <v/>
      </c>
      <c r="AF108" s="25">
        <f>AE108/H108</f>
        <v/>
      </c>
      <c r="AG108" s="26">
        <f>H108-O108-P108-Q108-R108-S108-T108-W108-Y108-Z108-M108-AL108-AM108</f>
        <v/>
      </c>
      <c r="AH108" s="76">
        <f>AG108-AE108</f>
        <v/>
      </c>
      <c r="AI108" s="77">
        <f>AH108/H108</f>
        <v/>
      </c>
      <c r="AJ108" s="78">
        <f>AH108/M108</f>
        <v/>
      </c>
      <c r="AK108" s="72">
        <f>(P108+R108+W108+Y108+Z108+M108+AL108)/(1-(N108+$H$4+(1-I108)*$H$3+$H$8+$H$11+AA108+AC108))</f>
        <v/>
      </c>
      <c r="AL108" s="72">
        <f>$H$12</f>
        <v/>
      </c>
      <c r="AM108" s="72">
        <f>H108*$H$11</f>
        <v/>
      </c>
    </row>
    <row r="109" ht="29" customHeight="1">
      <c r="A109" s="66" t="inlineStr">
        <is>
          <t>PETITFEE - Pink Vita Brightening Eye Patch [60ea] / Тканевые патчи для век увлажняющие</t>
        </is>
      </c>
      <c r="B109" s="67" t="n"/>
      <c r="C109" s="68" t="n"/>
      <c r="D109" s="111" t="n">
        <v>267</v>
      </c>
      <c r="E109" s="69" t="n"/>
      <c r="F109" s="69" t="n"/>
      <c r="G109" s="69" t="n"/>
      <c r="H109" s="69">
        <f>(1.25*M109+P109+R109+W109+Y109+Z109+AL109)/(1-N109-$H$8-$H$4-(1-I109)*$H$3-$H$11-AA109-AC109)</f>
        <v/>
      </c>
      <c r="I109" s="15" t="n">
        <v>0.45</v>
      </c>
      <c r="J109" s="16">
        <f>H109*(1-I109)</f>
        <v/>
      </c>
      <c r="K109" s="70" t="n">
        <v>486.69</v>
      </c>
      <c r="L109" s="71">
        <f>$H$5</f>
        <v/>
      </c>
      <c r="M109" s="19">
        <f>K109+L109</f>
        <v/>
      </c>
      <c r="N109" s="20" t="n">
        <v>0.47</v>
      </c>
      <c r="O109" s="72">
        <f>H109*N109</f>
        <v/>
      </c>
      <c r="P109" s="73" t="n">
        <v>67</v>
      </c>
      <c r="Q109" s="72">
        <f>H109*$H$8</f>
        <v/>
      </c>
      <c r="R109" s="73" t="n">
        <v>25</v>
      </c>
      <c r="S109" s="72">
        <f>H109*$H$4</f>
        <v/>
      </c>
      <c r="T109" s="72">
        <f>J109*$H$3</f>
        <v/>
      </c>
      <c r="U109" s="74" t="n">
        <v>0.9</v>
      </c>
      <c r="V109" s="73" t="n">
        <v>67</v>
      </c>
      <c r="W109" s="72">
        <f>V109*(1-U109)</f>
        <v/>
      </c>
      <c r="X109" s="75" t="n">
        <v>0.93</v>
      </c>
      <c r="Y109" s="72">
        <f>$H$6*$H$7*X109</f>
        <v/>
      </c>
      <c r="Z109" s="19">
        <f>X109*($H$9+$H$10)</f>
        <v/>
      </c>
      <c r="AA109" s="20" t="n">
        <v>0.07000000000000001</v>
      </c>
      <c r="AB109" s="72">
        <f>H109*AA109</f>
        <v/>
      </c>
      <c r="AC109" s="74" t="n">
        <v>0.08</v>
      </c>
      <c r="AD109" s="72">
        <f>H109*AC109</f>
        <v/>
      </c>
      <c r="AE109" s="72">
        <f>AB109+AD109</f>
        <v/>
      </c>
      <c r="AF109" s="25">
        <f>AE109/H109</f>
        <v/>
      </c>
      <c r="AG109" s="26">
        <f>H109-O109-P109-Q109-R109-S109-T109-W109-Y109-Z109-M109-AL109-AM109</f>
        <v/>
      </c>
      <c r="AH109" s="76">
        <f>AG109-AE109</f>
        <v/>
      </c>
      <c r="AI109" s="77">
        <f>AH109/H109</f>
        <v/>
      </c>
      <c r="AJ109" s="78">
        <f>AH109/M109</f>
        <v/>
      </c>
      <c r="AK109" s="72">
        <f>(P109+R109+W109+Y109+Z109+M109+AL109)/(1-(N109+$H$4+(1-I109)*$H$3+$H$8+$H$11+AA109+AC109))</f>
        <v/>
      </c>
      <c r="AL109" s="72">
        <f>$H$12</f>
        <v/>
      </c>
      <c r="AM109" s="72">
        <f>H109*$H$11</f>
        <v/>
      </c>
    </row>
    <row r="110" ht="29" customHeight="1">
      <c r="A110" s="66" t="inlineStr">
        <is>
          <t>PETITFEE - Black Pearl &amp; Gold Hydrogel Eye Patch [60ea] / Гидрогелевые патчи для глаз с черным жемчугом и золотом</t>
        </is>
      </c>
      <c r="B110" s="67" t="n"/>
      <c r="C110" s="68" t="n"/>
      <c r="D110" s="111" t="n">
        <v>909</v>
      </c>
      <c r="E110" s="69" t="n">
        <v>1780</v>
      </c>
      <c r="F110" s="69" t="n">
        <v>489</v>
      </c>
      <c r="G110" s="69" t="n">
        <v>16</v>
      </c>
      <c r="H110" s="69">
        <f>(1.25*M110+P110+R110+W110+Y110+Z110+AL110)/(1-N110-$H$8-$H$4-(1-I110)*$H$3-$H$11-AA110-AC110)</f>
        <v/>
      </c>
      <c r="I110" s="15" t="n">
        <v>0.45</v>
      </c>
      <c r="J110" s="16">
        <f>H110*(1-I110)</f>
        <v/>
      </c>
      <c r="K110" s="70" t="n">
        <v>387.67</v>
      </c>
      <c r="L110" s="71">
        <f>$H$5</f>
        <v/>
      </c>
      <c r="M110" s="19">
        <f>K110+L110</f>
        <v/>
      </c>
      <c r="N110" s="20" t="n">
        <v>0.47</v>
      </c>
      <c r="O110" s="72">
        <f>H110*N110</f>
        <v/>
      </c>
      <c r="P110" s="73" t="n">
        <v>67</v>
      </c>
      <c r="Q110" s="72">
        <f>H110*$H$8</f>
        <v/>
      </c>
      <c r="R110" s="73" t="n">
        <v>25</v>
      </c>
      <c r="S110" s="72">
        <f>H110*$H$4</f>
        <v/>
      </c>
      <c r="T110" s="72">
        <f>J110*$H$3</f>
        <v/>
      </c>
      <c r="U110" s="74" t="n">
        <v>0.9</v>
      </c>
      <c r="V110" s="73" t="n">
        <v>67</v>
      </c>
      <c r="W110" s="72">
        <f>V110*(1-U110)</f>
        <v/>
      </c>
      <c r="X110" s="75" t="n">
        <v>0.6</v>
      </c>
      <c r="Y110" s="72">
        <f>$H$6*$H$7*X110</f>
        <v/>
      </c>
      <c r="Z110" s="19">
        <f>X110*($H$9+$H$10)</f>
        <v/>
      </c>
      <c r="AA110" s="20" t="n">
        <v>0.07000000000000001</v>
      </c>
      <c r="AB110" s="72">
        <f>H110*AA110</f>
        <v/>
      </c>
      <c r="AC110" s="74" t="n">
        <v>0.08</v>
      </c>
      <c r="AD110" s="72">
        <f>H110*AC110</f>
        <v/>
      </c>
      <c r="AE110" s="72">
        <f>AB110+AD110</f>
        <v/>
      </c>
      <c r="AF110" s="25">
        <f>AE110/H110</f>
        <v/>
      </c>
      <c r="AG110" s="26">
        <f>H110-O110-P110-Q110-R110-S110-T110-W110-Y110-Z110-M110-AL110-AM110</f>
        <v/>
      </c>
      <c r="AH110" s="76">
        <f>AG110-AE110</f>
        <v/>
      </c>
      <c r="AI110" s="77">
        <f>AH110/H110</f>
        <v/>
      </c>
      <c r="AJ110" s="78">
        <f>AH110/M110</f>
        <v/>
      </c>
      <c r="AK110" s="72">
        <f>(P110+R110+W110+Y110+Z110+M110+AL110)/(1-(N110+$H$4+(1-I110)*$H$3+$H$8+$H$11+AA110+AC110))</f>
        <v/>
      </c>
      <c r="AL110" s="72">
        <f>$H$12</f>
        <v/>
      </c>
      <c r="AM110" s="72">
        <f>H110*$H$11</f>
        <v/>
      </c>
    </row>
    <row r="111" ht="29" customHeight="1">
      <c r="A111" s="66" t="inlineStr">
        <is>
          <t>PETITFEE - Agave Cooling Hydrogel Eye Patch [60ea] / Охлаждающие гидрогелевые патчи для глаз с экстрактом агавы</t>
        </is>
      </c>
      <c r="B111" s="67" t="n"/>
      <c r="C111" s="68" t="n"/>
      <c r="D111" s="111" t="n">
        <v>933</v>
      </c>
      <c r="E111" s="69" t="n">
        <v>1730</v>
      </c>
      <c r="F111" s="69" t="n">
        <v>568</v>
      </c>
      <c r="G111" s="69" t="n">
        <v>17</v>
      </c>
      <c r="H111" s="69">
        <f>(1.25*M111+P111+R111+W111+Y111+Z111+AL111)/(1-N111-$H$8-$H$4-(1-I111)*$H$3-$H$11-AA111-AC111)</f>
        <v/>
      </c>
      <c r="I111" s="15" t="n">
        <v>0.45</v>
      </c>
      <c r="J111" s="16">
        <f>H111*(1-I111)</f>
        <v/>
      </c>
      <c r="K111" s="70" t="n">
        <v>415.46</v>
      </c>
      <c r="L111" s="71">
        <f>$H$5</f>
        <v/>
      </c>
      <c r="M111" s="19">
        <f>K111+L111</f>
        <v/>
      </c>
      <c r="N111" s="20" t="n">
        <v>0.47</v>
      </c>
      <c r="O111" s="72">
        <f>H111*N111</f>
        <v/>
      </c>
      <c r="P111" s="73" t="n">
        <v>67</v>
      </c>
      <c r="Q111" s="72">
        <f>H111*$H$8</f>
        <v/>
      </c>
      <c r="R111" s="73" t="n">
        <v>25</v>
      </c>
      <c r="S111" s="72">
        <f>H111*$H$4</f>
        <v/>
      </c>
      <c r="T111" s="72">
        <f>J111*$H$3</f>
        <v/>
      </c>
      <c r="U111" s="74" t="n">
        <v>0.9</v>
      </c>
      <c r="V111" s="73" t="n">
        <v>67</v>
      </c>
      <c r="W111" s="72">
        <f>V111*(1-U111)</f>
        <v/>
      </c>
      <c r="X111" s="75" t="n">
        <v>0.6</v>
      </c>
      <c r="Y111" s="72">
        <f>$H$6*$H$7*X111</f>
        <v/>
      </c>
      <c r="Z111" s="19">
        <f>X111*($H$9+$H$10)</f>
        <v/>
      </c>
      <c r="AA111" s="20" t="n">
        <v>0.07000000000000001</v>
      </c>
      <c r="AB111" s="72">
        <f>H111*AA111</f>
        <v/>
      </c>
      <c r="AC111" s="74" t="n">
        <v>0.08</v>
      </c>
      <c r="AD111" s="72">
        <f>H111*AC111</f>
        <v/>
      </c>
      <c r="AE111" s="72">
        <f>AB111+AD111</f>
        <v/>
      </c>
      <c r="AF111" s="25">
        <f>AE111/H111</f>
        <v/>
      </c>
      <c r="AG111" s="26">
        <f>H111-O111-P111-Q111-R111-S111-T111-W111-Y111-Z111-M111-AL111-AM111</f>
        <v/>
      </c>
      <c r="AH111" s="76">
        <f>AG111-AE111</f>
        <v/>
      </c>
      <c r="AI111" s="77">
        <f>AH111/H111</f>
        <v/>
      </c>
      <c r="AJ111" s="78">
        <f>AH111/M111</f>
        <v/>
      </c>
      <c r="AK111" s="72">
        <f>(P111+R111+W111+Y111+Z111+M111+AL111)/(1-(N111+$H$4+(1-I111)*$H$3+$H$8+$H$11+AA111+AC111))</f>
        <v/>
      </c>
      <c r="AL111" s="72">
        <f>$H$12</f>
        <v/>
      </c>
      <c r="AM111" s="72">
        <f>H111*$H$11</f>
        <v/>
      </c>
    </row>
    <row r="112" ht="29" customHeight="1">
      <c r="A112" s="66" t="inlineStr">
        <is>
          <t>PETITFEE - Gold &amp; Snail Hydrogel Eye Patch [60ea] / Гидрогелевые патчи для глаз с золотом и улиткой</t>
        </is>
      </c>
      <c r="B112" s="67" t="n"/>
      <c r="C112" s="68" t="n"/>
      <c r="D112" s="111" t="n">
        <v>909</v>
      </c>
      <c r="E112" s="69" t="n">
        <v>1740</v>
      </c>
      <c r="F112" s="69" t="n">
        <v>150</v>
      </c>
      <c r="G112" s="69" t="n">
        <v>7</v>
      </c>
      <c r="H112" s="69">
        <f>(1.25*M112+P112+R112+W112+Y112+Z112+AL112)/(1-N112-$H$8-$H$4-(1-I112)*$H$3-$H$11-AA112-AC112)</f>
        <v/>
      </c>
      <c r="I112" s="15" t="n">
        <v>0.45</v>
      </c>
      <c r="J112" s="16">
        <f>H112*(1-I112)</f>
        <v/>
      </c>
      <c r="K112" s="70" t="n">
        <v>415.46</v>
      </c>
      <c r="L112" s="71">
        <f>$H$5</f>
        <v/>
      </c>
      <c r="M112" s="19">
        <f>K112+L112</f>
        <v/>
      </c>
      <c r="N112" s="20" t="n">
        <v>0.47</v>
      </c>
      <c r="O112" s="72">
        <f>H112*N112</f>
        <v/>
      </c>
      <c r="P112" s="73" t="n">
        <v>67</v>
      </c>
      <c r="Q112" s="72">
        <f>H112*$H$8</f>
        <v/>
      </c>
      <c r="R112" s="73" t="n">
        <v>25</v>
      </c>
      <c r="S112" s="72">
        <f>H112*$H$4</f>
        <v/>
      </c>
      <c r="T112" s="72">
        <f>J112*$H$3</f>
        <v/>
      </c>
      <c r="U112" s="74" t="n">
        <v>0.9</v>
      </c>
      <c r="V112" s="73" t="n">
        <v>67</v>
      </c>
      <c r="W112" s="72">
        <f>V112*(1-U112)</f>
        <v/>
      </c>
      <c r="X112" s="75" t="n">
        <v>0.6</v>
      </c>
      <c r="Y112" s="72">
        <f>$H$6*$H$7*X112</f>
        <v/>
      </c>
      <c r="Z112" s="19">
        <f>X112*($H$9+$H$10)</f>
        <v/>
      </c>
      <c r="AA112" s="20" t="n">
        <v>0.07000000000000001</v>
      </c>
      <c r="AB112" s="72">
        <f>H112*AA112</f>
        <v/>
      </c>
      <c r="AC112" s="74" t="n">
        <v>0.08</v>
      </c>
      <c r="AD112" s="72">
        <f>H112*AC112</f>
        <v/>
      </c>
      <c r="AE112" s="72">
        <f>AB112+AD112</f>
        <v/>
      </c>
      <c r="AF112" s="25">
        <f>AE112/H112</f>
        <v/>
      </c>
      <c r="AG112" s="26">
        <f>H112-O112-P112-Q112-R112-S112-T112-W112-Y112-Z112-M112-AL112-AM112</f>
        <v/>
      </c>
      <c r="AH112" s="76">
        <f>AG112-AE112</f>
        <v/>
      </c>
      <c r="AI112" s="77">
        <f>AH112/H112</f>
        <v/>
      </c>
      <c r="AJ112" s="78">
        <f>AH112/M112</f>
        <v/>
      </c>
      <c r="AK112" s="72">
        <f>(P112+R112+W112+Y112+Z112+M112+AL112)/(1-(N112+$H$4+(1-I112)*$H$3+$H$8+$H$11+AA112+AC112))</f>
        <v/>
      </c>
      <c r="AL112" s="72">
        <f>$H$12</f>
        <v/>
      </c>
      <c r="AM112" s="72">
        <f>H112*$H$11</f>
        <v/>
      </c>
    </row>
    <row r="113" ht="29" customHeight="1">
      <c r="A113" s="66" t="inlineStr">
        <is>
          <t>PETITFEE - Gold Hydrogel Eye Patch [60ea] / гидрогелевые патчи для глаз с золотом</t>
        </is>
      </c>
      <c r="B113" s="67" t="n"/>
      <c r="C113" s="68" t="n"/>
      <c r="D113" s="111" t="n">
        <v>700</v>
      </c>
      <c r="E113" s="69" t="n">
        <v>1930</v>
      </c>
      <c r="F113" s="69" t="n">
        <v>128</v>
      </c>
      <c r="G113" s="69" t="n">
        <v>2.2</v>
      </c>
      <c r="H113" s="69">
        <f>(1.25*M113+P113+R113+W113+Y113+Z113+AL113)/(1-N113-$H$8-$H$4-(1-I113)*$H$3-$H$11-AA113-AC113)</f>
        <v/>
      </c>
      <c r="I113" s="15" t="n">
        <v>0.45</v>
      </c>
      <c r="J113" s="16">
        <f>H113*(1-I113)</f>
        <v/>
      </c>
      <c r="K113" s="70" t="n">
        <v>415.46</v>
      </c>
      <c r="L113" s="71">
        <f>$H$5</f>
        <v/>
      </c>
      <c r="M113" s="19">
        <f>K113+L113</f>
        <v/>
      </c>
      <c r="N113" s="20" t="n">
        <v>0.47</v>
      </c>
      <c r="O113" s="72">
        <f>H113*N113</f>
        <v/>
      </c>
      <c r="P113" s="73" t="n">
        <v>67</v>
      </c>
      <c r="Q113" s="72">
        <f>H113*$H$8</f>
        <v/>
      </c>
      <c r="R113" s="73" t="n">
        <v>25</v>
      </c>
      <c r="S113" s="72">
        <f>H113*$H$4</f>
        <v/>
      </c>
      <c r="T113" s="72">
        <f>J113*$H$3</f>
        <v/>
      </c>
      <c r="U113" s="74" t="n">
        <v>0.9</v>
      </c>
      <c r="V113" s="73" t="n">
        <v>67</v>
      </c>
      <c r="W113" s="72">
        <f>V113*(1-U113)</f>
        <v/>
      </c>
      <c r="X113" s="75" t="n">
        <v>0.6</v>
      </c>
      <c r="Y113" s="72">
        <f>$H$6*$H$7*X113</f>
        <v/>
      </c>
      <c r="Z113" s="19">
        <f>X113*($H$9+$H$10)</f>
        <v/>
      </c>
      <c r="AA113" s="20" t="n">
        <v>0.07000000000000001</v>
      </c>
      <c r="AB113" s="72">
        <f>H113*AA113</f>
        <v/>
      </c>
      <c r="AC113" s="74" t="n">
        <v>0.08</v>
      </c>
      <c r="AD113" s="72">
        <f>H113*AC113</f>
        <v/>
      </c>
      <c r="AE113" s="72">
        <f>AB113+AD113</f>
        <v/>
      </c>
      <c r="AF113" s="25">
        <f>AE113/H113</f>
        <v/>
      </c>
      <c r="AG113" s="26">
        <f>H113-O113-P113-Q113-R113-S113-T113-W113-Y113-Z113-M113-AL113-AM113</f>
        <v/>
      </c>
      <c r="AH113" s="76">
        <f>AG113-AE113</f>
        <v/>
      </c>
      <c r="AI113" s="77">
        <f>AH113/H113</f>
        <v/>
      </c>
      <c r="AJ113" s="78">
        <f>AH113/M113</f>
        <v/>
      </c>
      <c r="AK113" s="72">
        <f>(P113+R113+W113+Y113+Z113+M113+AL113)/(1-(N113+$H$4+(1-I113)*$H$3+$H$8+$H$11+AA113+AC113))</f>
        <v/>
      </c>
      <c r="AL113" s="72">
        <f>$H$12</f>
        <v/>
      </c>
      <c r="AM113" s="72">
        <f>H113*$H$11</f>
        <v/>
      </c>
    </row>
    <row r="114" ht="29" customHeight="1">
      <c r="A114" s="79" t="inlineStr">
        <is>
          <t>PETITFEE - Black Pearl &amp; Gold Hydrogel Eye Patch [1 pairs]/ Гидрогелевые патчи для глаз с черным жемчугом и золотом 1 пара</t>
        </is>
      </c>
      <c r="B114" s="80" t="n"/>
      <c r="C114" s="80" t="n"/>
      <c r="D114" s="111" t="n">
        <v>320</v>
      </c>
      <c r="E114" s="81" t="n"/>
      <c r="F114" s="81" t="n"/>
      <c r="G114" s="81" t="n"/>
      <c r="H114" s="81" t="n"/>
      <c r="I114" s="32" t="n"/>
      <c r="J114" s="33" t="n"/>
      <c r="K114" s="82" t="n"/>
      <c r="L114" s="82" t="n"/>
      <c r="M114" s="35" t="n"/>
      <c r="N114" s="36" t="n"/>
      <c r="O114" s="81" t="n"/>
      <c r="P114" s="81" t="n"/>
      <c r="Q114" s="81" t="n"/>
      <c r="R114" s="81" t="n"/>
      <c r="S114" s="81" t="n"/>
      <c r="T114" s="81" t="n"/>
      <c r="U114" s="83" t="n"/>
      <c r="V114" s="81" t="n"/>
      <c r="W114" s="81" t="n"/>
      <c r="X114" s="84" t="n"/>
      <c r="Y114" s="81" t="n"/>
      <c r="Z114" s="35" t="n"/>
      <c r="AA114" s="36" t="n"/>
      <c r="AB114" s="81" t="n"/>
      <c r="AC114" s="83" t="n"/>
      <c r="AD114" s="81" t="n"/>
      <c r="AE114" s="81" t="n"/>
      <c r="AF114" s="39" t="n"/>
      <c r="AG114" s="40" t="n"/>
      <c r="AH114" s="81" t="n"/>
      <c r="AI114" s="83" t="n"/>
      <c r="AJ114" s="83" t="n"/>
      <c r="AK114" s="81" t="n"/>
      <c r="AL114" s="81" t="n"/>
      <c r="AM114" s="81" t="n"/>
    </row>
    <row r="115" ht="29" customHeight="1">
      <c r="A115" s="79" t="inlineStr">
        <is>
          <t>PETITFEE - Gold Hydrogel Eye Patch [1 Pairs] / гидрогелевые патчи для глаз с золотом 1 пара</t>
        </is>
      </c>
      <c r="B115" s="80" t="n"/>
      <c r="C115" s="80" t="n"/>
      <c r="D115" s="111" t="n">
        <v>428</v>
      </c>
      <c r="E115" s="81" t="n"/>
      <c r="F115" s="81" t="n"/>
      <c r="G115" s="81" t="n"/>
      <c r="H115" s="81" t="n"/>
      <c r="I115" s="32" t="n"/>
      <c r="J115" s="33" t="n"/>
      <c r="K115" s="82" t="n"/>
      <c r="L115" s="82" t="n"/>
      <c r="M115" s="35" t="n"/>
      <c r="N115" s="36" t="n"/>
      <c r="O115" s="81" t="n"/>
      <c r="P115" s="81" t="n"/>
      <c r="Q115" s="81" t="n"/>
      <c r="R115" s="81" t="n"/>
      <c r="S115" s="81" t="n"/>
      <c r="T115" s="81" t="n"/>
      <c r="U115" s="83" t="n"/>
      <c r="V115" s="81" t="n"/>
      <c r="W115" s="81" t="n"/>
      <c r="X115" s="84" t="n"/>
      <c r="Y115" s="81" t="n"/>
      <c r="Z115" s="35" t="n"/>
      <c r="AA115" s="36" t="n"/>
      <c r="AB115" s="81" t="n"/>
      <c r="AC115" s="83" t="n"/>
      <c r="AD115" s="81" t="n"/>
      <c r="AE115" s="81" t="n"/>
      <c r="AF115" s="39" t="n"/>
      <c r="AG115" s="40" t="n"/>
      <c r="AH115" s="81" t="n"/>
      <c r="AI115" s="83" t="n"/>
      <c r="AJ115" s="83" t="n"/>
      <c r="AK115" s="81" t="n"/>
      <c r="AL115" s="81" t="n"/>
      <c r="AM115" s="81" t="n"/>
    </row>
    <row r="116">
      <c r="A116" s="64" t="inlineStr">
        <is>
          <t>Косметика/PETITFEE/PETITFEE-FACEMASK</t>
        </is>
      </c>
      <c r="B116" s="65" t="n"/>
      <c r="C116" s="65" t="n"/>
      <c r="E116" s="65" t="n"/>
      <c r="F116" s="65" t="n"/>
      <c r="G116" s="65" t="n"/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65" t="n"/>
      <c r="U116" s="65" t="n"/>
      <c r="V116" s="65" t="n"/>
      <c r="W116" s="65" t="n"/>
      <c r="X116" s="65" t="n"/>
      <c r="Y116" s="65" t="n"/>
      <c r="Z116" s="65" t="n"/>
      <c r="AA116" s="65" t="n"/>
      <c r="AB116" s="65" t="n"/>
      <c r="AC116" s="65" t="n"/>
      <c r="AD116" s="65" t="n"/>
      <c r="AE116" s="65" t="n"/>
      <c r="AF116" s="65" t="n"/>
      <c r="AG116" s="65" t="n"/>
      <c r="AH116" s="65" t="n"/>
      <c r="AI116" s="65" t="n"/>
      <c r="AJ116" s="65" t="n"/>
      <c r="AK116" s="65" t="n"/>
      <c r="AL116" s="65" t="n"/>
      <c r="AM116" s="65" t="n"/>
    </row>
    <row r="117" ht="29" customHeight="1">
      <c r="A117" s="66" t="inlineStr">
        <is>
          <t>PETITFEE - Agave Cooling Hydrogel Face Mask [5pcs] / Охлаждающая гидрогелевая маска для лица с экстрактом агавы</t>
        </is>
      </c>
      <c r="B117" s="67" t="n"/>
      <c r="C117" s="68" t="n"/>
      <c r="D117" s="111" t="n">
        <v>951</v>
      </c>
      <c r="E117" s="69" t="n">
        <v>2480</v>
      </c>
      <c r="F117" s="69" t="n">
        <v>293</v>
      </c>
      <c r="G117" s="69" t="n">
        <v>21</v>
      </c>
      <c r="H117" s="69">
        <f>(1.25*M117+P117+R117+W117+Y117+Z117+AL117)/(1-N117-$H$8-$H$4-(1-I117)*$H$3-$H$11-AA117-AC117)</f>
        <v/>
      </c>
      <c r="I117" s="15" t="n">
        <v>0.45</v>
      </c>
      <c r="J117" s="16">
        <f>H117*(1-I117)</f>
        <v/>
      </c>
      <c r="K117" s="70" t="n">
        <v>486.41</v>
      </c>
      <c r="L117" s="71">
        <f>$H$5</f>
        <v/>
      </c>
      <c r="M117" s="19">
        <f>K117+L117</f>
        <v/>
      </c>
      <c r="N117" s="20" t="n">
        <v>0.47</v>
      </c>
      <c r="O117" s="72">
        <f>H117*N117</f>
        <v/>
      </c>
      <c r="P117" s="73" t="n">
        <v>72</v>
      </c>
      <c r="Q117" s="72">
        <f>H117*$H$8</f>
        <v/>
      </c>
      <c r="R117" s="73" t="n">
        <v>25</v>
      </c>
      <c r="S117" s="72">
        <f>H117*$H$4</f>
        <v/>
      </c>
      <c r="T117" s="72">
        <f>J117*$H$3</f>
        <v/>
      </c>
      <c r="U117" s="74" t="n">
        <v>0.9</v>
      </c>
      <c r="V117" s="73" t="n">
        <v>72</v>
      </c>
      <c r="W117" s="72">
        <f>V117*(1-U117)</f>
        <v/>
      </c>
      <c r="X117" s="75" t="n">
        <v>1.1</v>
      </c>
      <c r="Y117" s="72">
        <f>$H$6*$H$7*X117</f>
        <v/>
      </c>
      <c r="Z117" s="19">
        <f>X117*($H$9+$H$10)</f>
        <v/>
      </c>
      <c r="AA117" s="20" t="n">
        <v>0.07000000000000001</v>
      </c>
      <c r="AB117" s="72">
        <f>H117*AA117</f>
        <v/>
      </c>
      <c r="AC117" s="74" t="n">
        <v>0.08</v>
      </c>
      <c r="AD117" s="72">
        <f>H117*AC117</f>
        <v/>
      </c>
      <c r="AE117" s="72">
        <f>AB117+AD117</f>
        <v/>
      </c>
      <c r="AF117" s="25">
        <f>AE117/H117</f>
        <v/>
      </c>
      <c r="AG117" s="26">
        <f>H117-O117-P117-Q117-R117-S117-T117-W117-Y117-Z117-M117-AL117-AM117</f>
        <v/>
      </c>
      <c r="AH117" s="76">
        <f>AG117-AE117</f>
        <v/>
      </c>
      <c r="AI117" s="77">
        <f>AH117/H117</f>
        <v/>
      </c>
      <c r="AJ117" s="78">
        <f>AH117/M117</f>
        <v/>
      </c>
      <c r="AK117" s="72">
        <f>(P117+R117+W117+Y117+Z117+M117+AL117)/(1-(N117+$H$4+(1-I117)*$H$3+$H$8+$H$11+AA117+AC117))</f>
        <v/>
      </c>
      <c r="AL117" s="72">
        <f>$H$12</f>
        <v/>
      </c>
      <c r="AM117" s="72">
        <f>H117*$H$11</f>
        <v/>
      </c>
    </row>
    <row r="118" ht="29" customHeight="1">
      <c r="A118" s="66" t="inlineStr">
        <is>
          <t>PETITFEE - Gold Hydrogel Mask Pack [5pcs] / Гидрогелевая маска для лица с золотом</t>
        </is>
      </c>
      <c r="B118" s="67" t="n"/>
      <c r="C118" s="68" t="n"/>
      <c r="D118" s="111" t="n">
        <v>734</v>
      </c>
      <c r="E118" s="69" t="n">
        <v>2570</v>
      </c>
      <c r="F118" s="69" t="n">
        <v>121</v>
      </c>
      <c r="G118" s="69" t="n">
        <v>12</v>
      </c>
      <c r="H118" s="69">
        <f>(1.25*M118+P118+R118+W118+Y118+Z118+AL118)/(1-N118-$H$8-$H$4-(1-I118)*$H$3-$H$11-AA118-AC118)</f>
        <v/>
      </c>
      <c r="I118" s="15" t="n">
        <v>0.45</v>
      </c>
      <c r="J118" s="16">
        <f>H118*(1-I118)</f>
        <v/>
      </c>
      <c r="K118" s="70" t="n">
        <v>507.16</v>
      </c>
      <c r="L118" s="71">
        <f>$H$5</f>
        <v/>
      </c>
      <c r="M118" s="19">
        <f>K118+L118</f>
        <v/>
      </c>
      <c r="N118" s="20" t="n">
        <v>0.47</v>
      </c>
      <c r="O118" s="72">
        <f>H118*N118</f>
        <v/>
      </c>
      <c r="P118" s="73" t="n">
        <v>72</v>
      </c>
      <c r="Q118" s="72">
        <f>H118*$H$8</f>
        <v/>
      </c>
      <c r="R118" s="73" t="n">
        <v>25</v>
      </c>
      <c r="S118" s="72">
        <f>H118*$H$4</f>
        <v/>
      </c>
      <c r="T118" s="72">
        <f>J118*$H$3</f>
        <v/>
      </c>
      <c r="U118" s="74" t="n">
        <v>0.9</v>
      </c>
      <c r="V118" s="73" t="n">
        <v>72</v>
      </c>
      <c r="W118" s="72">
        <f>V118*(1-U118)</f>
        <v/>
      </c>
      <c r="X118" s="75" t="n">
        <v>1.1</v>
      </c>
      <c r="Y118" s="72">
        <f>$H$6*$H$7*X118</f>
        <v/>
      </c>
      <c r="Z118" s="19">
        <f>X118*($H$9+$H$10)</f>
        <v/>
      </c>
      <c r="AA118" s="20" t="n">
        <v>0.07000000000000001</v>
      </c>
      <c r="AB118" s="72">
        <f>H118*AA118</f>
        <v/>
      </c>
      <c r="AC118" s="74" t="n">
        <v>0.08</v>
      </c>
      <c r="AD118" s="72">
        <f>H118*AC118</f>
        <v/>
      </c>
      <c r="AE118" s="72">
        <f>AB118+AD118</f>
        <v/>
      </c>
      <c r="AF118" s="25">
        <f>AE118/H118</f>
        <v/>
      </c>
      <c r="AG118" s="26">
        <f>H118-O118-P118-Q118-R118-S118-T118-W118-Y118-Z118-M118-AL118-AM118</f>
        <v/>
      </c>
      <c r="AH118" s="76">
        <f>AG118-AE118</f>
        <v/>
      </c>
      <c r="AI118" s="77">
        <f>AH118/H118</f>
        <v/>
      </c>
      <c r="AJ118" s="78">
        <f>AH118/M118</f>
        <v/>
      </c>
      <c r="AK118" s="72">
        <f>(P118+R118+W118+Y118+Z118+M118+AL118)/(1-(N118+$H$4+(1-I118)*$H$3+$H$8+$H$11+AA118+AC118))</f>
        <v/>
      </c>
      <c r="AL118" s="72">
        <f>$H$12</f>
        <v/>
      </c>
      <c r="AM118" s="72">
        <f>H118*$H$11</f>
        <v/>
      </c>
    </row>
    <row r="119" ht="29" customHeight="1">
      <c r="A119" s="66" t="inlineStr">
        <is>
          <t>PETITFEE - Cacao Energizing Hydrogel Mask Pack [5pcs] / Тонизирующая гидрогелевая маска для лица с экстрактом какао</t>
        </is>
      </c>
      <c r="B119" s="67" t="n"/>
      <c r="C119" s="68" t="n"/>
      <c r="D119" s="111" t="n">
        <v>619</v>
      </c>
      <c r="E119" s="69" t="n">
        <v>2680</v>
      </c>
      <c r="F119" s="69" t="n">
        <v>38</v>
      </c>
      <c r="G119" s="69" t="n">
        <v>9.699999999999999</v>
      </c>
      <c r="H119" s="69">
        <f>(1.25*M119+P119+R119+W119+Y119+Z119+AL119)/(1-N119-$H$8-$H$4-(1-I119)*$H$3-$H$11-AA119-AC119)</f>
        <v/>
      </c>
      <c r="I119" s="15" t="n">
        <v>0.45</v>
      </c>
      <c r="J119" s="16">
        <f>H119*(1-I119)</f>
        <v/>
      </c>
      <c r="K119" s="70" t="n">
        <v>496.86</v>
      </c>
      <c r="L119" s="71">
        <f>$H$5</f>
        <v/>
      </c>
      <c r="M119" s="19">
        <f>K119+L119</f>
        <v/>
      </c>
      <c r="N119" s="20" t="n">
        <v>0.47</v>
      </c>
      <c r="O119" s="72">
        <f>H119*N119</f>
        <v/>
      </c>
      <c r="P119" s="73" t="n">
        <v>72</v>
      </c>
      <c r="Q119" s="72">
        <f>H119*$H$8</f>
        <v/>
      </c>
      <c r="R119" s="73" t="n">
        <v>25</v>
      </c>
      <c r="S119" s="72">
        <f>H119*$H$4</f>
        <v/>
      </c>
      <c r="T119" s="72">
        <f>J119*$H$3</f>
        <v/>
      </c>
      <c r="U119" s="74" t="n">
        <v>0.9</v>
      </c>
      <c r="V119" s="73" t="n">
        <v>72</v>
      </c>
      <c r="W119" s="72">
        <f>V119*(1-U119)</f>
        <v/>
      </c>
      <c r="X119" s="75" t="n">
        <v>1.1</v>
      </c>
      <c r="Y119" s="72">
        <f>$H$6*$H$7*X119</f>
        <v/>
      </c>
      <c r="Z119" s="19">
        <f>X119*($H$9+$H$10)</f>
        <v/>
      </c>
      <c r="AA119" s="20" t="n">
        <v>0.07000000000000001</v>
      </c>
      <c r="AB119" s="72">
        <f>H119*AA119</f>
        <v/>
      </c>
      <c r="AC119" s="74" t="n">
        <v>0.08</v>
      </c>
      <c r="AD119" s="72">
        <f>H119*AC119</f>
        <v/>
      </c>
      <c r="AE119" s="72">
        <f>AB119+AD119</f>
        <v/>
      </c>
      <c r="AF119" s="25">
        <f>AE119/H119</f>
        <v/>
      </c>
      <c r="AG119" s="26">
        <f>H119-O119-P119-Q119-R119-S119-T119-W119-Y119-Z119-M119-AL119-AM119</f>
        <v/>
      </c>
      <c r="AH119" s="76">
        <f>AG119-AE119</f>
        <v/>
      </c>
      <c r="AI119" s="77">
        <f>AH119/H119</f>
        <v/>
      </c>
      <c r="AJ119" s="78">
        <f>AH119/M119</f>
        <v/>
      </c>
      <c r="AK119" s="72">
        <f>(P119+R119+W119+Y119+Z119+M119+AL119)/(1-(N119+$H$4+(1-I119)*$H$3+$H$8+$H$11+AA119+AC119))</f>
        <v/>
      </c>
      <c r="AL119" s="72">
        <f>$H$12</f>
        <v/>
      </c>
      <c r="AM119" s="72">
        <f>H119*$H$11</f>
        <v/>
      </c>
    </row>
    <row r="120" ht="29" customHeight="1">
      <c r="A120" s="66" t="inlineStr">
        <is>
          <t>PETITFEE - Artichoke Soothing Hydrogel Face Mask [5pcs] / Смягчающая гидрогелевая маска для лица с экстрактом артишока</t>
        </is>
      </c>
      <c r="B120" s="67" t="n"/>
      <c r="C120" s="68" t="n"/>
      <c r="D120" s="111" t="n">
        <v>542</v>
      </c>
      <c r="E120" s="69" t="n">
        <v>2420</v>
      </c>
      <c r="F120" s="69" t="n">
        <v>409</v>
      </c>
      <c r="G120" s="69" t="n">
        <v>23</v>
      </c>
      <c r="H120" s="69">
        <f>(1.25*M120+P120+R120+W120+Y120+Z120+AL120)/(1-N120-$H$8-$H$4-(1-I120)*$H$3-$H$11-AA120-AC120)</f>
        <v/>
      </c>
      <c r="I120" s="15" t="n">
        <v>0.45</v>
      </c>
      <c r="J120" s="16">
        <f>H120*(1-I120)</f>
        <v/>
      </c>
      <c r="K120" s="70" t="n">
        <v>498.54</v>
      </c>
      <c r="L120" s="71">
        <f>$H$5</f>
        <v/>
      </c>
      <c r="M120" s="19">
        <f>K120+L120</f>
        <v/>
      </c>
      <c r="N120" s="20" t="n">
        <v>0.47</v>
      </c>
      <c r="O120" s="72">
        <f>H120*N120</f>
        <v/>
      </c>
      <c r="P120" s="73" t="n">
        <v>72</v>
      </c>
      <c r="Q120" s="72">
        <f>H120*$H$8</f>
        <v/>
      </c>
      <c r="R120" s="73" t="n">
        <v>25</v>
      </c>
      <c r="S120" s="72">
        <f>H120*$H$4</f>
        <v/>
      </c>
      <c r="T120" s="72">
        <f>J120*$H$3</f>
        <v/>
      </c>
      <c r="U120" s="74" t="n">
        <v>0.9</v>
      </c>
      <c r="V120" s="73" t="n">
        <v>72</v>
      </c>
      <c r="W120" s="72">
        <f>V120*(1-U120)</f>
        <v/>
      </c>
      <c r="X120" s="75" t="n">
        <v>1.1</v>
      </c>
      <c r="Y120" s="72">
        <f>$H$6*$H$7*X120</f>
        <v/>
      </c>
      <c r="Z120" s="19">
        <f>X120*($H$9+$H$10)</f>
        <v/>
      </c>
      <c r="AA120" s="20" t="n">
        <v>0.07000000000000001</v>
      </c>
      <c r="AB120" s="72">
        <f>H120*AA120</f>
        <v/>
      </c>
      <c r="AC120" s="74" t="n">
        <v>0.08</v>
      </c>
      <c r="AD120" s="72">
        <f>H120*AC120</f>
        <v/>
      </c>
      <c r="AE120" s="72">
        <f>AB120+AD120</f>
        <v/>
      </c>
      <c r="AF120" s="25">
        <f>AE120/H120</f>
        <v/>
      </c>
      <c r="AG120" s="26">
        <f>H120-O120-P120-Q120-R120-S120-T120-W120-Y120-Z120-M120-AL120-AM120</f>
        <v/>
      </c>
      <c r="AH120" s="76">
        <f>AG120-AE120</f>
        <v/>
      </c>
      <c r="AI120" s="77">
        <f>AH120/H120</f>
        <v/>
      </c>
      <c r="AJ120" s="78">
        <f>AH120/M120</f>
        <v/>
      </c>
      <c r="AK120" s="72">
        <f>(P120+R120+W120+Y120+Z120+M120+AL120)/(1-(N120+$H$4+(1-I120)*$H$3+$H$8+$H$11+AA120+AC120))</f>
        <v/>
      </c>
      <c r="AL120" s="72">
        <f>$H$12</f>
        <v/>
      </c>
      <c r="AM120" s="72">
        <f>H120*$H$11</f>
        <v/>
      </c>
    </row>
    <row r="121" ht="29" customHeight="1">
      <c r="A121" s="66" t="inlineStr">
        <is>
          <t>PETITFEE - Gold &amp; Snail Hydrogel Mask Pack [5pcs] / Гидрогелевая маска для лица с золотом и экстрактом улитки</t>
        </is>
      </c>
      <c r="B121" s="67" t="n"/>
      <c r="C121" s="68" t="n"/>
      <c r="D121" s="111" t="n">
        <v>453</v>
      </c>
      <c r="E121" s="69" t="n">
        <v>2280</v>
      </c>
      <c r="F121" s="69" t="n">
        <v>19</v>
      </c>
      <c r="G121" s="69" t="n">
        <v>8</v>
      </c>
      <c r="H121" s="69">
        <f>(1.25*M121+P121+R121+W121+Y121+Z121+AL121)/(1-N121-$H$8-$H$4-(1-I121)*$H$3-$H$11-AA121-AC121)</f>
        <v/>
      </c>
      <c r="I121" s="15" t="n">
        <v>0.45</v>
      </c>
      <c r="J121" s="16">
        <f>H121*(1-I121)</f>
        <v/>
      </c>
      <c r="K121" s="70" t="n">
        <v>478.17</v>
      </c>
      <c r="L121" s="71">
        <f>$H$5</f>
        <v/>
      </c>
      <c r="M121" s="19">
        <f>K121+L121</f>
        <v/>
      </c>
      <c r="N121" s="20" t="n">
        <v>0.47</v>
      </c>
      <c r="O121" s="72">
        <f>H121*N121</f>
        <v/>
      </c>
      <c r="P121" s="73" t="n">
        <v>72</v>
      </c>
      <c r="Q121" s="72">
        <f>H121*$H$8</f>
        <v/>
      </c>
      <c r="R121" s="73" t="n">
        <v>25</v>
      </c>
      <c r="S121" s="72">
        <f>H121*$H$4</f>
        <v/>
      </c>
      <c r="T121" s="72">
        <f>J121*$H$3</f>
        <v/>
      </c>
      <c r="U121" s="74" t="n">
        <v>0.9</v>
      </c>
      <c r="V121" s="73" t="n">
        <v>72</v>
      </c>
      <c r="W121" s="72">
        <f>V121*(1-U121)</f>
        <v/>
      </c>
      <c r="X121" s="75" t="n">
        <v>1.1</v>
      </c>
      <c r="Y121" s="72">
        <f>$H$6*$H$7*X121</f>
        <v/>
      </c>
      <c r="Z121" s="19">
        <f>X121*($H$9+$H$10)</f>
        <v/>
      </c>
      <c r="AA121" s="20" t="n">
        <v>0.07000000000000001</v>
      </c>
      <c r="AB121" s="72">
        <f>H121*AA121</f>
        <v/>
      </c>
      <c r="AC121" s="74" t="n">
        <v>0.08</v>
      </c>
      <c r="AD121" s="72">
        <f>H121*AC121</f>
        <v/>
      </c>
      <c r="AE121" s="72">
        <f>AB121+AD121</f>
        <v/>
      </c>
      <c r="AF121" s="25">
        <f>AE121/H121</f>
        <v/>
      </c>
      <c r="AG121" s="26">
        <f>H121-O121-P121-Q121-R121-S121-T121-W121-Y121-Z121-M121-AL121-AM121</f>
        <v/>
      </c>
      <c r="AH121" s="76">
        <f>AG121-AE121</f>
        <v/>
      </c>
      <c r="AI121" s="77">
        <f>AH121/H121</f>
        <v/>
      </c>
      <c r="AJ121" s="78">
        <f>AH121/M121</f>
        <v/>
      </c>
      <c r="AK121" s="72">
        <f>(P121+R121+W121+Y121+Z121+M121+AL121)/(1-(N121+$H$4+(1-I121)*$H$3+$H$8+$H$11+AA121+AC121))</f>
        <v/>
      </c>
      <c r="AL121" s="72">
        <f>$H$12</f>
        <v/>
      </c>
      <c r="AM121" s="72">
        <f>H121*$H$11</f>
        <v/>
      </c>
    </row>
    <row r="122" ht="29" customHeight="1">
      <c r="A122" s="66" t="inlineStr">
        <is>
          <t>PETITFEE - Black Pearl &amp; Gold Hydrogel Mask Pack [5pcs] / Гидрогелевая маска для лица с черным жемчугом и золотом</t>
        </is>
      </c>
      <c r="B122" s="67" t="n"/>
      <c r="C122" s="68" t="n"/>
      <c r="D122" s="111" t="n">
        <v>543</v>
      </c>
      <c r="E122" s="69" t="n">
        <v>2225</v>
      </c>
      <c r="F122" s="69" t="n">
        <v>156</v>
      </c>
      <c r="G122" s="69" t="n">
        <v>23</v>
      </c>
      <c r="H122" s="69">
        <f>(1.25*M122+P122+R122+W122+Y122+Z122+AL122)/(1-N122-$H$8-$H$4-(1-I122)*$H$3-$H$11-AA122-AC122)</f>
        <v/>
      </c>
      <c r="I122" s="15" t="n">
        <v>0.45</v>
      </c>
      <c r="J122" s="16">
        <f>H122*(1-I122)</f>
        <v/>
      </c>
      <c r="K122" s="70" t="n">
        <v>478.05</v>
      </c>
      <c r="L122" s="71">
        <f>$H$5</f>
        <v/>
      </c>
      <c r="M122" s="19">
        <f>K122+L122</f>
        <v/>
      </c>
      <c r="N122" s="20" t="n">
        <v>0.47</v>
      </c>
      <c r="O122" s="72">
        <f>H122*N122</f>
        <v/>
      </c>
      <c r="P122" s="73" t="n">
        <v>72</v>
      </c>
      <c r="Q122" s="72">
        <f>H122*$H$8</f>
        <v/>
      </c>
      <c r="R122" s="73" t="n">
        <v>25</v>
      </c>
      <c r="S122" s="72">
        <f>H122*$H$4</f>
        <v/>
      </c>
      <c r="T122" s="72">
        <f>J122*$H$3</f>
        <v/>
      </c>
      <c r="U122" s="74" t="n">
        <v>0.9</v>
      </c>
      <c r="V122" s="73" t="n">
        <v>72</v>
      </c>
      <c r="W122" s="72">
        <f>V122*(1-U122)</f>
        <v/>
      </c>
      <c r="X122" s="75" t="n">
        <v>1.1</v>
      </c>
      <c r="Y122" s="72">
        <f>$H$6*$H$7*X122</f>
        <v/>
      </c>
      <c r="Z122" s="19">
        <f>X122*($H$9+$H$10)</f>
        <v/>
      </c>
      <c r="AA122" s="20" t="n">
        <v>0.07000000000000001</v>
      </c>
      <c r="AB122" s="72">
        <f>H122*AA122</f>
        <v/>
      </c>
      <c r="AC122" s="74" t="n">
        <v>0.08</v>
      </c>
      <c r="AD122" s="72">
        <f>H122*AC122</f>
        <v/>
      </c>
      <c r="AE122" s="72">
        <f>AB122+AD122</f>
        <v/>
      </c>
      <c r="AF122" s="25">
        <f>AE122/H122</f>
        <v/>
      </c>
      <c r="AG122" s="26">
        <f>H122-O122-P122-Q122-R122-S122-T122-W122-Y122-Z122-M122-AL122-AM122</f>
        <v/>
      </c>
      <c r="AH122" s="76">
        <f>AG122-AE122</f>
        <v/>
      </c>
      <c r="AI122" s="77">
        <f>AH122/H122</f>
        <v/>
      </c>
      <c r="AJ122" s="78">
        <f>AH122/M122</f>
        <v/>
      </c>
      <c r="AK122" s="72">
        <f>(P122+R122+W122+Y122+Z122+M122+AL122)/(1-(N122+$H$4+(1-I122)*$H$3+$H$8+$H$11+AA122+AC122))</f>
        <v/>
      </c>
      <c r="AL122" s="72">
        <f>$H$12</f>
        <v/>
      </c>
      <c r="AM122" s="72">
        <f>H122*$H$11</f>
        <v/>
      </c>
    </row>
    <row r="123">
      <c r="A123" s="64" t="inlineStr">
        <is>
          <t>Косметика/ROUND LAB</t>
        </is>
      </c>
      <c r="B123" s="65" t="n"/>
      <c r="C123" s="65" t="n"/>
      <c r="E123" s="65" t="n"/>
      <c r="F123" s="65" t="n"/>
      <c r="G123" s="65" t="n"/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65" t="n"/>
      <c r="U123" s="65" t="n"/>
      <c r="V123" s="65" t="n"/>
      <c r="W123" s="65" t="n"/>
      <c r="X123" s="65" t="n"/>
      <c r="Y123" s="65" t="n"/>
      <c r="Z123" s="65" t="n"/>
      <c r="AA123" s="65" t="n"/>
      <c r="AB123" s="65" t="n"/>
      <c r="AC123" s="65" t="n"/>
      <c r="AD123" s="65" t="n"/>
      <c r="AE123" s="65" t="n"/>
      <c r="AF123" s="65" t="n"/>
      <c r="AG123" s="65" t="n"/>
      <c r="AH123" s="65" t="n"/>
      <c r="AI123" s="65" t="n"/>
      <c r="AJ123" s="65" t="n"/>
      <c r="AK123" s="65" t="n"/>
      <c r="AL123" s="65" t="n"/>
      <c r="AM123" s="65" t="n"/>
    </row>
    <row r="124">
      <c r="A124" s="66" t="inlineStr">
        <is>
          <t>ROUND LAB 1025 DOKDO CLEANSER_150ml</t>
        </is>
      </c>
      <c r="B124" s="67" t="n"/>
      <c r="C124" s="68" t="n"/>
      <c r="E124" s="69" t="n">
        <v>2335</v>
      </c>
      <c r="F124" s="69" t="n">
        <v>4000</v>
      </c>
      <c r="G124" s="69" t="n">
        <v>3</v>
      </c>
      <c r="H124" s="69">
        <f>(1.25*M124+P124+R124+W124+Y124+Z124+AL124)/(1-N124-$H$8-$H$4-(1-I124)*$H$3-$H$11-AA124-AC124)</f>
        <v/>
      </c>
      <c r="I124" s="15" t="n">
        <v>0.45</v>
      </c>
      <c r="J124" s="16">
        <f>H124*(1-I124)</f>
        <v/>
      </c>
      <c r="K124" s="70" t="n">
        <v>463.19</v>
      </c>
      <c r="L124" s="71">
        <f>$H$5</f>
        <v/>
      </c>
      <c r="M124" s="19">
        <f>K124+L124</f>
        <v/>
      </c>
      <c r="N124" s="20" t="n">
        <v>0.47</v>
      </c>
      <c r="O124" s="72">
        <f>H124*N124</f>
        <v/>
      </c>
      <c r="P124" s="73" t="n">
        <v>74</v>
      </c>
      <c r="Q124" s="72">
        <f>H124*$H$8</f>
        <v/>
      </c>
      <c r="R124" s="73" t="n">
        <v>25</v>
      </c>
      <c r="S124" s="72">
        <f>H124*$H$4</f>
        <v/>
      </c>
      <c r="T124" s="72">
        <f>J124*$H$3</f>
        <v/>
      </c>
      <c r="U124" s="74" t="n">
        <v>0.9</v>
      </c>
      <c r="V124" s="73" t="n">
        <v>74</v>
      </c>
      <c r="W124" s="72">
        <f>V124*(1-U124)</f>
        <v/>
      </c>
      <c r="X124" s="75" t="n">
        <v>1.28</v>
      </c>
      <c r="Y124" s="72">
        <f>$H$6*$H$7*X124</f>
        <v/>
      </c>
      <c r="Z124" s="19">
        <f>X124*($H$9+$H$10)</f>
        <v/>
      </c>
      <c r="AA124" s="20" t="n">
        <v>0.07000000000000001</v>
      </c>
      <c r="AB124" s="72">
        <f>H124*AA124</f>
        <v/>
      </c>
      <c r="AC124" s="74" t="n">
        <v>0.08</v>
      </c>
      <c r="AD124" s="72">
        <f>H124*AC124</f>
        <v/>
      </c>
      <c r="AE124" s="72">
        <f>AB124+AD124</f>
        <v/>
      </c>
      <c r="AF124" s="25">
        <f>AE124/H124</f>
        <v/>
      </c>
      <c r="AG124" s="26">
        <f>H124-O124-P124-Q124-R124-S124-T124-W124-Y124-Z124-M124-AL124-AM124</f>
        <v/>
      </c>
      <c r="AH124" s="76">
        <f>AG124-AE124</f>
        <v/>
      </c>
      <c r="AI124" s="77">
        <f>AH124/H124</f>
        <v/>
      </c>
      <c r="AJ124" s="78">
        <f>AH124/M124</f>
        <v/>
      </c>
      <c r="AK124" s="72">
        <f>(P124+R124+W124+Y124+Z124+M124+AL124)/(1-(N124+$H$4+(1-I124)*$H$3+$H$8+$H$11+AA124+AC124))</f>
        <v/>
      </c>
      <c r="AL124" s="72">
        <f>$H$12</f>
        <v/>
      </c>
      <c r="AM124" s="72">
        <f>H124*$H$11</f>
        <v/>
      </c>
    </row>
    <row r="125" ht="29" customHeight="1">
      <c r="A125" s="79" t="inlineStr">
        <is>
          <t>ROUND LAB BIRCH JUICE MOISTURIZING CREAM_80ml -Увлажняющий крем с березовым соком</t>
        </is>
      </c>
      <c r="B125" s="80" t="n"/>
      <c r="C125" s="80" t="n"/>
      <c r="D125" s="111" t="n">
        <v>260</v>
      </c>
      <c r="E125" s="81" t="n"/>
      <c r="F125" s="81" t="n"/>
      <c r="G125" s="81" t="n"/>
      <c r="H125" s="81" t="n"/>
      <c r="I125" s="32" t="n"/>
      <c r="J125" s="33" t="n"/>
      <c r="K125" s="82" t="n"/>
      <c r="L125" s="82" t="n"/>
      <c r="M125" s="35" t="n"/>
      <c r="N125" s="36" t="n"/>
      <c r="O125" s="81" t="n"/>
      <c r="P125" s="81" t="n"/>
      <c r="Q125" s="81" t="n"/>
      <c r="R125" s="81" t="n"/>
      <c r="S125" s="81" t="n"/>
      <c r="T125" s="81" t="n"/>
      <c r="U125" s="83" t="n"/>
      <c r="V125" s="81" t="n"/>
      <c r="W125" s="81" t="n"/>
      <c r="X125" s="84" t="n"/>
      <c r="Y125" s="81" t="n"/>
      <c r="Z125" s="35" t="n"/>
      <c r="AA125" s="36" t="n"/>
      <c r="AB125" s="81" t="n"/>
      <c r="AC125" s="83" t="n"/>
      <c r="AD125" s="81" t="n"/>
      <c r="AE125" s="81" t="n"/>
      <c r="AF125" s="39" t="n"/>
      <c r="AG125" s="40" t="n"/>
      <c r="AH125" s="81" t="n"/>
      <c r="AI125" s="83" t="n"/>
      <c r="AJ125" s="83" t="n"/>
      <c r="AK125" s="81" t="n"/>
      <c r="AL125" s="81" t="n"/>
      <c r="AM125" s="81" t="n"/>
    </row>
    <row r="126" ht="29" customHeight="1">
      <c r="A126" s="66" t="inlineStr">
        <is>
          <t>ROUND LAB MUGWORT CALMING CLEANSER_150ml - Очищающая пенка для умывания лица от прыщей и акне</t>
        </is>
      </c>
      <c r="B126" s="67" t="n"/>
      <c r="C126" s="68" t="n"/>
      <c r="E126" s="69" t="n"/>
      <c r="F126" s="69" t="n"/>
      <c r="G126" s="69" t="n"/>
      <c r="H126" s="69">
        <f>(1.25*M126+P126+R126+W126+Y126+Z126+AL126)/(1-N126-$H$8-$H$4-(1-I126)*$H$3-$H$11-AA126-AC126)</f>
        <v/>
      </c>
      <c r="I126" s="15" t="n">
        <v>0.45</v>
      </c>
      <c r="J126" s="16">
        <f>H126*(1-I126)</f>
        <v/>
      </c>
      <c r="K126" s="70" t="n">
        <v>512.3200000000001</v>
      </c>
      <c r="L126" s="71">
        <f>$H$5</f>
        <v/>
      </c>
      <c r="M126" s="19">
        <f>K126+L126</f>
        <v/>
      </c>
      <c r="N126" s="20" t="n">
        <v>0.47</v>
      </c>
      <c r="O126" s="72">
        <f>H126*N126</f>
        <v/>
      </c>
      <c r="P126" s="73" t="n">
        <v>67</v>
      </c>
      <c r="Q126" s="72">
        <f>H126*$H$8</f>
        <v/>
      </c>
      <c r="R126" s="73" t="n">
        <v>25</v>
      </c>
      <c r="S126" s="72">
        <f>H126*$H$4</f>
        <v/>
      </c>
      <c r="T126" s="72">
        <f>J126*$H$3</f>
        <v/>
      </c>
      <c r="U126" s="74" t="n">
        <v>0.9</v>
      </c>
      <c r="V126" s="73" t="n">
        <v>67</v>
      </c>
      <c r="W126" s="72">
        <f>V126*(1-U126)</f>
        <v/>
      </c>
      <c r="X126" s="75" t="n">
        <v>0.8</v>
      </c>
      <c r="Y126" s="72">
        <f>$H$6*$H$7*X126</f>
        <v/>
      </c>
      <c r="Z126" s="19">
        <f>X126*($H$9+$H$10)</f>
        <v/>
      </c>
      <c r="AA126" s="20" t="n">
        <v>0.07000000000000001</v>
      </c>
      <c r="AB126" s="72">
        <f>H126*AA126</f>
        <v/>
      </c>
      <c r="AC126" s="74" t="n">
        <v>0.08</v>
      </c>
      <c r="AD126" s="72">
        <f>H126*AC126</f>
        <v/>
      </c>
      <c r="AE126" s="72">
        <f>AB126+AD126</f>
        <v/>
      </c>
      <c r="AF126" s="25">
        <f>AE126/H126</f>
        <v/>
      </c>
      <c r="AG126" s="26">
        <f>H126-O126-P126-Q126-R126-S126-T126-W126-Y126-Z126-M126-AL126-AM126</f>
        <v/>
      </c>
      <c r="AH126" s="76">
        <f>AG126-AE126</f>
        <v/>
      </c>
      <c r="AI126" s="77">
        <f>AH126/H126</f>
        <v/>
      </c>
      <c r="AJ126" s="78">
        <f>AH126/M126</f>
        <v/>
      </c>
      <c r="AK126" s="72">
        <f>(P126+R126+W126+Y126+Z126+M126+AL126)/(1-(N126+$H$4+(1-I126)*$H$3+$H$8+$H$11+AA126+AC126))</f>
        <v/>
      </c>
      <c r="AL126" s="72">
        <f>$H$12</f>
        <v/>
      </c>
      <c r="AM126" s="72">
        <f>H126*$H$11</f>
        <v/>
      </c>
    </row>
    <row r="127" ht="29" customHeight="1">
      <c r="A127" s="79" t="inlineStr">
        <is>
          <t>ROUND LAB SOYBEAN PANTHENOL CREAM_80ml - Крем для лица с чёрной соей и пантенолом успокаивающий</t>
        </is>
      </c>
      <c r="B127" s="80" t="n"/>
      <c r="C127" s="80" t="n"/>
      <c r="D127" s="111" t="n">
        <v>150</v>
      </c>
      <c r="E127" s="81" t="n"/>
      <c r="F127" s="81" t="n"/>
      <c r="G127" s="81" t="n"/>
      <c r="H127" s="81" t="n"/>
      <c r="I127" s="32" t="n"/>
      <c r="J127" s="33" t="n"/>
      <c r="K127" s="82" t="n"/>
      <c r="L127" s="82" t="n"/>
      <c r="M127" s="35" t="n"/>
      <c r="N127" s="36" t="n"/>
      <c r="O127" s="81" t="n"/>
      <c r="P127" s="81" t="n"/>
      <c r="Q127" s="81" t="n"/>
      <c r="R127" s="81" t="n"/>
      <c r="S127" s="81" t="n"/>
      <c r="T127" s="81" t="n"/>
      <c r="U127" s="83" t="n"/>
      <c r="V127" s="81" t="n"/>
      <c r="W127" s="81" t="n"/>
      <c r="X127" s="84" t="n"/>
      <c r="Y127" s="81" t="n"/>
      <c r="Z127" s="35" t="n"/>
      <c r="AA127" s="36" t="n"/>
      <c r="AB127" s="81" t="n"/>
      <c r="AC127" s="83" t="n"/>
      <c r="AD127" s="81" t="n"/>
      <c r="AE127" s="81" t="n"/>
      <c r="AF127" s="39" t="n"/>
      <c r="AG127" s="40" t="n"/>
      <c r="AH127" s="81" t="n"/>
      <c r="AI127" s="83" t="n"/>
      <c r="AJ127" s="83" t="n"/>
      <c r="AK127" s="81" t="n"/>
      <c r="AL127" s="81" t="n"/>
      <c r="AM127" s="81" t="n"/>
    </row>
    <row r="128" ht="29" customHeight="1">
      <c r="A128" s="79" t="inlineStr">
        <is>
          <t>ROUND LAB PINE CALMING CICA AMPOULE_30ml - Сыворотка для жирной кожи лица увлажняющая с центеллой</t>
        </is>
      </c>
      <c r="B128" s="80" t="n"/>
      <c r="C128" s="80" t="n"/>
      <c r="D128" s="111" t="n">
        <v>37</v>
      </c>
      <c r="E128" s="81" t="n"/>
      <c r="F128" s="81" t="n"/>
      <c r="G128" s="81" t="n"/>
      <c r="H128" s="81" t="n"/>
      <c r="I128" s="32" t="n"/>
      <c r="J128" s="33" t="n"/>
      <c r="K128" s="82" t="n"/>
      <c r="L128" s="82" t="n"/>
      <c r="M128" s="35" t="n"/>
      <c r="N128" s="36" t="n"/>
      <c r="O128" s="81" t="n"/>
      <c r="P128" s="81" t="n"/>
      <c r="Q128" s="81" t="n"/>
      <c r="R128" s="81" t="n"/>
      <c r="S128" s="81" t="n"/>
      <c r="T128" s="81" t="n"/>
      <c r="U128" s="83" t="n"/>
      <c r="V128" s="81" t="n"/>
      <c r="W128" s="81" t="n"/>
      <c r="X128" s="84" t="n"/>
      <c r="Y128" s="81" t="n"/>
      <c r="Z128" s="35" t="n"/>
      <c r="AA128" s="36" t="n"/>
      <c r="AB128" s="81" t="n"/>
      <c r="AC128" s="83" t="n"/>
      <c r="AD128" s="81" t="n"/>
      <c r="AE128" s="81" t="n"/>
      <c r="AF128" s="39" t="n"/>
      <c r="AG128" s="40" t="n"/>
      <c r="AH128" s="81" t="n"/>
      <c r="AI128" s="83" t="n"/>
      <c r="AJ128" s="83" t="n"/>
      <c r="AK128" s="81" t="n"/>
      <c r="AL128" s="81" t="n"/>
      <c r="AM128" s="81" t="n"/>
    </row>
    <row r="129">
      <c r="A129" s="66" t="inlineStr">
        <is>
          <t>ROUND LAB 1025 DOKDO TONER_200ml</t>
        </is>
      </c>
      <c r="B129" s="85" t="n"/>
      <c r="C129" s="45" t="n"/>
      <c r="D129" s="111" t="n">
        <v>998</v>
      </c>
      <c r="E129" s="69" t="n">
        <v>3400</v>
      </c>
      <c r="F129" s="69" t="n">
        <v>260</v>
      </c>
      <c r="G129" s="69" t="n">
        <v>2</v>
      </c>
      <c r="H129" s="69">
        <f>(1.25*M129+P129+R129+W129+Y129+Z129+AL129)/(1-N129-$H$8-$H$4-(1-I129)*$H$3-$H$11-AA129-AC129)</f>
        <v/>
      </c>
      <c r="I129" s="15" t="n">
        <v>0.45</v>
      </c>
      <c r="J129" s="16">
        <f>H129*(1-I129)</f>
        <v/>
      </c>
      <c r="K129" s="70" t="n">
        <v>463.19</v>
      </c>
      <c r="L129" s="71">
        <f>$H$5</f>
        <v/>
      </c>
      <c r="M129" s="19">
        <f>K129+L129</f>
        <v/>
      </c>
      <c r="N129" s="20" t="n">
        <v>0.47</v>
      </c>
      <c r="O129" s="72">
        <f>H129*N129</f>
        <v/>
      </c>
      <c r="P129" s="73" t="n">
        <v>74</v>
      </c>
      <c r="Q129" s="72">
        <f>H129*$H$8</f>
        <v/>
      </c>
      <c r="R129" s="73" t="n">
        <v>25</v>
      </c>
      <c r="S129" s="72">
        <f>H129*$H$4</f>
        <v/>
      </c>
      <c r="T129" s="72">
        <f>J129*$H$3</f>
        <v/>
      </c>
      <c r="U129" s="74" t="n">
        <v>0.9</v>
      </c>
      <c r="V129" s="73" t="n">
        <v>74</v>
      </c>
      <c r="W129" s="72">
        <f>V129*(1-U129)</f>
        <v/>
      </c>
      <c r="X129" s="75" t="n">
        <v>1.28</v>
      </c>
      <c r="Y129" s="72">
        <f>$H$6*$H$7*X129</f>
        <v/>
      </c>
      <c r="Z129" s="19">
        <f>X129*($H$9+$H$10)</f>
        <v/>
      </c>
      <c r="AA129" s="20" t="n">
        <v>0.07000000000000001</v>
      </c>
      <c r="AB129" s="72">
        <f>H129*AA129</f>
        <v/>
      </c>
      <c r="AC129" s="74" t="n">
        <v>0.08</v>
      </c>
      <c r="AD129" s="72">
        <f>H129*AC129</f>
        <v/>
      </c>
      <c r="AE129" s="72">
        <f>AB129+AD129</f>
        <v/>
      </c>
      <c r="AF129" s="25">
        <f>AE129/H129</f>
        <v/>
      </c>
      <c r="AG129" s="26">
        <f>H129-O129-P129-Q129-R129-S129-T129-W129-Y129-Z129-M129-AL129-AM129</f>
        <v/>
      </c>
      <c r="AH129" s="76">
        <f>AG129-AE129</f>
        <v/>
      </c>
      <c r="AI129" s="77">
        <f>AH129/H129</f>
        <v/>
      </c>
      <c r="AJ129" s="78">
        <f>AH129/M129</f>
        <v/>
      </c>
      <c r="AK129" s="72">
        <f>(P129+R129+W129+Y129+Z129+M129+AL129)/(1-(N129+$H$4+(1-I129)*$H$3+$H$8+$H$11+AA129+AC129))</f>
        <v/>
      </c>
      <c r="AL129" s="72">
        <f>$H$12</f>
        <v/>
      </c>
      <c r="AM129" s="72">
        <f>H129*$H$11</f>
        <v/>
      </c>
    </row>
    <row r="130">
      <c r="A130" s="64" t="inlineStr">
        <is>
          <t>Косметика/SKIN1004</t>
        </is>
      </c>
      <c r="B130" s="65" t="n"/>
      <c r="C130" s="65" t="n"/>
      <c r="E130" s="65" t="n"/>
      <c r="F130" s="65" t="n"/>
      <c r="G130" s="65" t="n"/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65" t="n"/>
      <c r="U130" s="65" t="n"/>
      <c r="V130" s="65" t="n"/>
      <c r="W130" s="65" t="n"/>
      <c r="X130" s="65" t="n"/>
      <c r="Y130" s="65" t="n"/>
      <c r="Z130" s="65" t="n"/>
      <c r="AA130" s="65" t="n"/>
      <c r="AB130" s="65" t="n"/>
      <c r="AC130" s="65" t="n"/>
      <c r="AD130" s="65" t="n"/>
      <c r="AE130" s="65" t="n"/>
      <c r="AF130" s="65" t="n"/>
      <c r="AG130" s="65" t="n"/>
      <c r="AH130" s="65" t="n"/>
      <c r="AI130" s="65" t="n"/>
      <c r="AJ130" s="65" t="n"/>
      <c r="AK130" s="65" t="n"/>
      <c r="AL130" s="65" t="n"/>
      <c r="AM130" s="65" t="n"/>
    </row>
    <row r="131" ht="29" customHeight="1">
      <c r="A131" s="79" t="inlineStr">
        <is>
          <t>SKIN1004 - Madagascar Centella Ampoule [30ml] / Сыворотка для лица успокаивающая из экстракта центеллы.</t>
        </is>
      </c>
      <c r="B131" s="80" t="n"/>
      <c r="C131" s="80" t="n"/>
      <c r="D131" s="111" t="n">
        <v>30</v>
      </c>
      <c r="E131" s="81" t="n"/>
      <c r="F131" s="81" t="n"/>
      <c r="G131" s="81" t="n"/>
      <c r="H131" s="81" t="n"/>
      <c r="I131" s="32" t="n"/>
      <c r="J131" s="33" t="n"/>
      <c r="K131" s="82" t="n"/>
      <c r="L131" s="82" t="n"/>
      <c r="M131" s="35" t="n"/>
      <c r="N131" s="36" t="n"/>
      <c r="O131" s="81" t="n"/>
      <c r="P131" s="81" t="n"/>
      <c r="Q131" s="81" t="n"/>
      <c r="R131" s="81" t="n"/>
      <c r="S131" s="81" t="n"/>
      <c r="T131" s="81" t="n"/>
      <c r="U131" s="83" t="n"/>
      <c r="V131" s="81" t="n"/>
      <c r="W131" s="81" t="n"/>
      <c r="X131" s="84" t="n"/>
      <c r="Y131" s="81" t="n"/>
      <c r="Z131" s="35" t="n"/>
      <c r="AA131" s="36" t="n"/>
      <c r="AB131" s="81" t="n"/>
      <c r="AC131" s="83" t="n"/>
      <c r="AD131" s="81" t="n"/>
      <c r="AE131" s="81" t="n"/>
      <c r="AF131" s="39" t="n"/>
      <c r="AG131" s="40" t="n"/>
      <c r="AH131" s="81" t="n"/>
      <c r="AI131" s="83" t="n"/>
      <c r="AJ131" s="83" t="n"/>
      <c r="AK131" s="81" t="n"/>
      <c r="AL131" s="81" t="n"/>
      <c r="AM131" s="81" t="n"/>
    </row>
    <row r="132" ht="29" customHeight="1">
      <c r="A132" s="79" t="inlineStr">
        <is>
          <t>SKIN1004 - Madagascar Centella Hyalu-Cica Sleeping Pack [30ml] / Увлажняющая гиалуроновая ночная маска для сухой кожи</t>
        </is>
      </c>
      <c r="B132" s="80" t="n"/>
      <c r="C132" s="80" t="n"/>
      <c r="D132" s="111" t="n">
        <v>22</v>
      </c>
      <c r="E132" s="81" t="n"/>
      <c r="F132" s="81" t="n"/>
      <c r="G132" s="81" t="n"/>
      <c r="H132" s="81" t="n"/>
      <c r="I132" s="32" t="n"/>
      <c r="J132" s="33" t="n"/>
      <c r="K132" s="82" t="n"/>
      <c r="L132" s="82" t="n"/>
      <c r="M132" s="35" t="n"/>
      <c r="N132" s="36" t="n"/>
      <c r="O132" s="81" t="n"/>
      <c r="P132" s="81" t="n"/>
      <c r="Q132" s="81" t="n"/>
      <c r="R132" s="81" t="n"/>
      <c r="S132" s="81" t="n"/>
      <c r="T132" s="81" t="n"/>
      <c r="U132" s="83" t="n"/>
      <c r="V132" s="81" t="n"/>
      <c r="W132" s="81" t="n"/>
      <c r="X132" s="84" t="n"/>
      <c r="Y132" s="81" t="n"/>
      <c r="Z132" s="35" t="n"/>
      <c r="AA132" s="36" t="n"/>
      <c r="AB132" s="81" t="n"/>
      <c r="AC132" s="83" t="n"/>
      <c r="AD132" s="81" t="n"/>
      <c r="AE132" s="81" t="n"/>
      <c r="AF132" s="39" t="n"/>
      <c r="AG132" s="40" t="n"/>
      <c r="AH132" s="81" t="n"/>
      <c r="AI132" s="83" t="n"/>
      <c r="AJ132" s="83" t="n"/>
      <c r="AK132" s="81" t="n"/>
      <c r="AL132" s="81" t="n"/>
      <c r="AM132" s="81" t="n"/>
    </row>
    <row r="133">
      <c r="A133" s="64" t="inlineStr">
        <is>
          <t>Косметика/SOMEBYMI</t>
        </is>
      </c>
      <c r="B133" s="65" t="n"/>
      <c r="C133" s="65" t="n"/>
      <c r="E133" s="65" t="n"/>
      <c r="F133" s="65" t="n"/>
      <c r="G133" s="65" t="n"/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65" t="n"/>
      <c r="U133" s="65" t="n"/>
      <c r="V133" s="65" t="n"/>
      <c r="W133" s="65" t="n"/>
      <c r="X133" s="65" t="n"/>
      <c r="Y133" s="65" t="n"/>
      <c r="Z133" s="65" t="n"/>
      <c r="AA133" s="65" t="n"/>
      <c r="AB133" s="65" t="n"/>
      <c r="AC133" s="65" t="n"/>
      <c r="AD133" s="65" t="n"/>
      <c r="AE133" s="65" t="n"/>
      <c r="AF133" s="65" t="n"/>
      <c r="AG133" s="65" t="n"/>
      <c r="AH133" s="65" t="n"/>
      <c r="AI133" s="65" t="n"/>
      <c r="AJ133" s="65" t="n"/>
      <c r="AK133" s="65" t="n"/>
      <c r="AL133" s="65" t="n"/>
      <c r="AM133" s="65" t="n"/>
    </row>
    <row r="134" ht="29" customHeight="1">
      <c r="A134" s="79" t="inlineStr">
        <is>
          <t>SOME BY MI - AHA-BHA-PHA 30 Days Miracle Cleansing Bar [106g] / Мыло для проблемной кожи с aha bha кислотами</t>
        </is>
      </c>
      <c r="B134" s="80" t="n"/>
      <c r="C134" s="80" t="n"/>
      <c r="D134" s="111" t="n">
        <v>527</v>
      </c>
      <c r="E134" s="81" t="n"/>
      <c r="F134" s="81" t="n"/>
      <c r="G134" s="81" t="n"/>
      <c r="H134" s="81" t="n"/>
      <c r="I134" s="32" t="n"/>
      <c r="J134" s="33" t="n"/>
      <c r="K134" s="82" t="n"/>
      <c r="L134" s="82" t="n"/>
      <c r="M134" s="35" t="n"/>
      <c r="N134" s="36" t="n"/>
      <c r="O134" s="81" t="n"/>
      <c r="P134" s="81" t="n"/>
      <c r="Q134" s="81" t="n"/>
      <c r="R134" s="81" t="n"/>
      <c r="S134" s="81" t="n"/>
      <c r="T134" s="81" t="n"/>
      <c r="U134" s="83" t="n"/>
      <c r="V134" s="81" t="n"/>
      <c r="W134" s="81" t="n"/>
      <c r="X134" s="84" t="n"/>
      <c r="Y134" s="81" t="n"/>
      <c r="Z134" s="35" t="n"/>
      <c r="AA134" s="36" t="n"/>
      <c r="AB134" s="81" t="n"/>
      <c r="AC134" s="83" t="n"/>
      <c r="AD134" s="81" t="n"/>
      <c r="AE134" s="81" t="n"/>
      <c r="AF134" s="39" t="n"/>
      <c r="AG134" s="40" t="n"/>
      <c r="AH134" s="81" t="n"/>
      <c r="AI134" s="83" t="n"/>
      <c r="AJ134" s="83" t="n"/>
      <c r="AK134" s="81" t="n"/>
      <c r="AL134" s="81" t="n"/>
      <c r="AM134" s="81" t="n"/>
    </row>
    <row r="135" ht="29" customHeight="1">
      <c r="A135" s="79" t="inlineStr">
        <is>
          <t>SOME BY MI - AHA-BHA-PHA 30 Days Miracle Cream [60g] / Крем для лица</t>
        </is>
      </c>
      <c r="B135" s="80" t="n"/>
      <c r="C135" s="80" t="n"/>
      <c r="D135" s="111" t="n">
        <v>55</v>
      </c>
      <c r="E135" s="81" t="n"/>
      <c r="F135" s="81" t="n"/>
      <c r="G135" s="81" t="n"/>
      <c r="H135" s="81" t="n"/>
      <c r="I135" s="32" t="n"/>
      <c r="J135" s="33" t="n"/>
      <c r="K135" s="82" t="n"/>
      <c r="L135" s="82" t="n"/>
      <c r="M135" s="35" t="n"/>
      <c r="N135" s="36" t="n"/>
      <c r="O135" s="81" t="n"/>
      <c r="P135" s="81" t="n"/>
      <c r="Q135" s="81" t="n"/>
      <c r="R135" s="81" t="n"/>
      <c r="S135" s="81" t="n"/>
      <c r="T135" s="81" t="n"/>
      <c r="U135" s="83" t="n"/>
      <c r="V135" s="81" t="n"/>
      <c r="W135" s="81" t="n"/>
      <c r="X135" s="84" t="n"/>
      <c r="Y135" s="81" t="n"/>
      <c r="Z135" s="35" t="n"/>
      <c r="AA135" s="36" t="n"/>
      <c r="AB135" s="81" t="n"/>
      <c r="AC135" s="83" t="n"/>
      <c r="AD135" s="81" t="n"/>
      <c r="AE135" s="81" t="n"/>
      <c r="AF135" s="39" t="n"/>
      <c r="AG135" s="40" t="n"/>
      <c r="AH135" s="81" t="n"/>
      <c r="AI135" s="83" t="n"/>
      <c r="AJ135" s="83" t="n"/>
      <c r="AK135" s="81" t="n"/>
      <c r="AL135" s="81" t="n"/>
      <c r="AM135" s="81" t="n"/>
    </row>
    <row r="136">
      <c r="A136" s="64" t="inlineStr">
        <is>
          <t>Косметика/TheOrdinary</t>
        </is>
      </c>
      <c r="B136" s="65" t="n"/>
      <c r="C136" s="65" t="n"/>
      <c r="E136" s="65" t="n"/>
      <c r="F136" s="65" t="n"/>
      <c r="G136" s="65" t="n"/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65" t="n"/>
      <c r="U136" s="65" t="n"/>
      <c r="V136" s="65" t="n"/>
      <c r="W136" s="65" t="n"/>
      <c r="X136" s="65" t="n"/>
      <c r="Y136" s="65" t="n"/>
      <c r="Z136" s="65" t="n"/>
      <c r="AA136" s="65" t="n"/>
      <c r="AB136" s="65" t="n"/>
      <c r="AC136" s="65" t="n"/>
      <c r="AD136" s="65" t="n"/>
      <c r="AE136" s="65" t="n"/>
      <c r="AF136" s="65" t="n"/>
      <c r="AG136" s="65" t="n"/>
      <c r="AH136" s="65" t="n"/>
      <c r="AI136" s="65" t="n"/>
      <c r="AJ136" s="65" t="n"/>
      <c r="AK136" s="65" t="n"/>
      <c r="AL136" s="65" t="n"/>
      <c r="AM136" s="65" t="n"/>
    </row>
    <row r="137" ht="29" customHeight="1">
      <c r="A137" s="79" t="inlineStr">
        <is>
          <t>THE ORDINARY - Argireline Solution 10% [30ml] / Сыворотка для лица от прыщей и акне с ниацинамидом 10 %</t>
        </is>
      </c>
      <c r="B137" s="80" t="n"/>
      <c r="C137" s="80" t="n"/>
      <c r="D137" s="111" t="n">
        <v>117</v>
      </c>
      <c r="E137" s="81" t="n"/>
      <c r="F137" s="81" t="n"/>
      <c r="G137" s="81" t="n"/>
      <c r="H137" s="81" t="n"/>
      <c r="I137" s="32" t="n"/>
      <c r="J137" s="33" t="n"/>
      <c r="K137" s="82" t="n"/>
      <c r="L137" s="82" t="n"/>
      <c r="M137" s="35" t="n"/>
      <c r="N137" s="36" t="n"/>
      <c r="O137" s="81" t="n"/>
      <c r="P137" s="81" t="n"/>
      <c r="Q137" s="81" t="n"/>
      <c r="R137" s="81" t="n"/>
      <c r="S137" s="81" t="n"/>
      <c r="T137" s="81" t="n"/>
      <c r="U137" s="83" t="n"/>
      <c r="V137" s="81" t="n"/>
      <c r="W137" s="81" t="n"/>
      <c r="X137" s="84" t="n"/>
      <c r="Y137" s="81" t="n"/>
      <c r="Z137" s="35" t="n"/>
      <c r="AA137" s="36" t="n"/>
      <c r="AB137" s="81" t="n"/>
      <c r="AC137" s="83" t="n"/>
      <c r="AD137" s="81" t="n"/>
      <c r="AE137" s="81" t="n"/>
      <c r="AF137" s="39" t="n"/>
      <c r="AG137" s="40" t="n"/>
      <c r="AH137" s="81" t="n"/>
      <c r="AI137" s="83" t="n"/>
      <c r="AJ137" s="83" t="n"/>
      <c r="AK137" s="81" t="n"/>
      <c r="AL137" s="81" t="n"/>
      <c r="AM137" s="81" t="n"/>
    </row>
    <row r="138" ht="29" customHeight="1">
      <c r="A138" s="79" t="inlineStr">
        <is>
          <t>THE ORDINARY - Glycolic Acid 7% Toning Solution [KOR] [240ml] / Тоник с гликолевой кислотой 7%</t>
        </is>
      </c>
      <c r="B138" s="80" t="n"/>
      <c r="C138" s="80" t="n"/>
      <c r="D138" s="111" t="n">
        <v>32</v>
      </c>
      <c r="E138" s="81" t="n"/>
      <c r="F138" s="81" t="n"/>
      <c r="G138" s="81" t="n"/>
      <c r="H138" s="81" t="n"/>
      <c r="I138" s="32" t="n"/>
      <c r="J138" s="33" t="n"/>
      <c r="K138" s="82" t="n"/>
      <c r="L138" s="82" t="n"/>
      <c r="M138" s="35" t="n"/>
      <c r="N138" s="36" t="n"/>
      <c r="O138" s="81" t="n"/>
      <c r="P138" s="81" t="n"/>
      <c r="Q138" s="81" t="n"/>
      <c r="R138" s="81" t="n"/>
      <c r="S138" s="81" t="n"/>
      <c r="T138" s="81" t="n"/>
      <c r="U138" s="83" t="n"/>
      <c r="V138" s="81" t="n"/>
      <c r="W138" s="81" t="n"/>
      <c r="X138" s="84" t="n"/>
      <c r="Y138" s="81" t="n"/>
      <c r="Z138" s="35" t="n"/>
      <c r="AA138" s="36" t="n"/>
      <c r="AB138" s="81" t="n"/>
      <c r="AC138" s="83" t="n"/>
      <c r="AD138" s="81" t="n"/>
      <c r="AE138" s="81" t="n"/>
      <c r="AF138" s="39" t="n"/>
      <c r="AG138" s="40" t="n"/>
      <c r="AH138" s="81" t="n"/>
      <c r="AI138" s="83" t="n"/>
      <c r="AJ138" s="83" t="n"/>
      <c r="AK138" s="81" t="n"/>
      <c r="AL138" s="81" t="n"/>
      <c r="AM138" s="81" t="n"/>
    </row>
    <row r="139">
      <c r="A139" s="64" t="inlineStr">
        <is>
          <t>Косметика/CELIMAX</t>
        </is>
      </c>
      <c r="B139" s="65" t="n"/>
      <c r="C139" s="65" t="n"/>
      <c r="E139" s="65" t="n"/>
      <c r="F139" s="65" t="n"/>
      <c r="G139" s="65" t="n"/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65" t="n"/>
      <c r="U139" s="65" t="n"/>
      <c r="V139" s="65" t="n"/>
      <c r="W139" s="65" t="n"/>
      <c r="X139" s="65" t="n"/>
      <c r="Y139" s="65" t="n"/>
      <c r="Z139" s="65" t="n"/>
      <c r="AA139" s="65" t="n"/>
      <c r="AB139" s="65" t="n"/>
      <c r="AC139" s="65" t="n"/>
      <c r="AD139" s="65" t="n"/>
      <c r="AE139" s="65" t="n"/>
      <c r="AF139" s="65" t="n"/>
      <c r="AG139" s="65" t="n"/>
      <c r="AH139" s="65" t="n"/>
      <c r="AI139" s="65" t="n"/>
      <c r="AJ139" s="65" t="n"/>
      <c r="AK139" s="65" t="n"/>
      <c r="AL139" s="65" t="n"/>
      <c r="AM139" s="65" t="n"/>
    </row>
    <row r="140">
      <c r="A140" s="66" t="inlineStr">
        <is>
          <t>Celimax Dual Barrier Creamy Toner</t>
        </is>
      </c>
      <c r="B140" s="67" t="n"/>
      <c r="C140" s="68" t="n"/>
      <c r="E140" s="69" t="n">
        <v>2600</v>
      </c>
      <c r="F140" s="69" t="n">
        <v>5500</v>
      </c>
      <c r="G140" s="69" t="inlineStr">
        <is>
          <t>10-15</t>
        </is>
      </c>
      <c r="H140" s="69">
        <f>(1.25*M140+P140+R140+W140+Y140+Z140+AL140)/(1-N140-$H$8-$H$4-(1-I140)*$H$3-$H$11-AA140-AC140)</f>
        <v/>
      </c>
      <c r="I140" s="15" t="n">
        <v>0.45</v>
      </c>
      <c r="J140" s="16">
        <f>H140*(1-I140)</f>
        <v/>
      </c>
      <c r="K140" s="70" t="n">
        <v>663.86</v>
      </c>
      <c r="L140" s="71">
        <f>$H$5</f>
        <v/>
      </c>
      <c r="M140" s="19">
        <f>K140+L140</f>
        <v/>
      </c>
      <c r="N140" s="20" t="n">
        <v>0.47</v>
      </c>
      <c r="O140" s="72">
        <f>H140*N140</f>
        <v/>
      </c>
      <c r="P140" s="73" t="n">
        <v>67</v>
      </c>
      <c r="Q140" s="72">
        <f>H140*$H$8</f>
        <v/>
      </c>
      <c r="R140" s="73" t="n">
        <v>25</v>
      </c>
      <c r="S140" s="72">
        <f>H140*$H$4</f>
        <v/>
      </c>
      <c r="T140" s="72">
        <f>J140*$H$3</f>
        <v/>
      </c>
      <c r="U140" s="74" t="n">
        <v>0.9</v>
      </c>
      <c r="V140" s="73" t="n">
        <v>67</v>
      </c>
      <c r="W140" s="72">
        <f>V140*(1-U140)</f>
        <v/>
      </c>
      <c r="X140" s="75" t="n">
        <v>0.735</v>
      </c>
      <c r="Y140" s="72">
        <f>$H$6*$H$7*X140</f>
        <v/>
      </c>
      <c r="Z140" s="19">
        <f>X140*($H$9+$H$10)</f>
        <v/>
      </c>
      <c r="AA140" s="20" t="n">
        <v>0.07000000000000001</v>
      </c>
      <c r="AB140" s="72">
        <f>H140*AA140</f>
        <v/>
      </c>
      <c r="AC140" s="74" t="n">
        <v>0.08</v>
      </c>
      <c r="AD140" s="72">
        <f>H140*AC140</f>
        <v/>
      </c>
      <c r="AE140" s="72">
        <f>AB140+AD140</f>
        <v/>
      </c>
      <c r="AF140" s="25">
        <f>AE140/H140</f>
        <v/>
      </c>
      <c r="AG140" s="26">
        <f>H140-O140-P140-Q140-R140-S140-T140-W140-Y140-Z140-M140-AL140-AM140</f>
        <v/>
      </c>
      <c r="AH140" s="76">
        <f>AG140-AE140</f>
        <v/>
      </c>
      <c r="AI140" s="77">
        <f>AH140/H140</f>
        <v/>
      </c>
      <c r="AJ140" s="78">
        <f>AH140/M140</f>
        <v/>
      </c>
      <c r="AK140" s="72">
        <f>(P140+R140+W140+Y140+Z140+M140+AL140)/(1-(N140+$H$4+(1-I140)*$H$3+$H$8+$H$11+AA140+AC140))</f>
        <v/>
      </c>
      <c r="AL140" s="72">
        <f>$H$12</f>
        <v/>
      </c>
      <c r="AM140" s="72">
        <f>H140*$H$11</f>
        <v/>
      </c>
    </row>
    <row r="141" ht="29" customHeight="1">
      <c r="A141" s="66" t="inlineStr">
        <is>
          <t>CELIMAX THE VITA-A RETINAL SHOT TIGHTENING BOOSTER [15ml]/Подтягивающий бустер-крем с ретинолом для лица</t>
        </is>
      </c>
      <c r="B141" s="45" t="n"/>
      <c r="C141" s="68" t="n"/>
      <c r="E141" s="69" t="n">
        <v>2250</v>
      </c>
      <c r="F141" s="69" t="n">
        <v>3000</v>
      </c>
      <c r="G141" s="69" t="n">
        <v>13</v>
      </c>
      <c r="H141" s="69">
        <f>(1.25*M141+P141+R141+W141+Y141+Z141+AL141)/(1-N141-$H$8-$H$4-(1-I141)*$H$3-$H$11-AA141-AC141)</f>
        <v/>
      </c>
      <c r="I141" s="15" t="n">
        <v>0.45</v>
      </c>
      <c r="J141" s="16">
        <f>H141*(1-I141)</f>
        <v/>
      </c>
      <c r="K141" s="70" t="n">
        <v>512.1799999999999</v>
      </c>
      <c r="L141" s="71">
        <f>$H$5</f>
        <v/>
      </c>
      <c r="M141" s="19">
        <f>K141+L141</f>
        <v/>
      </c>
      <c r="N141" s="20" t="n">
        <v>0.47</v>
      </c>
      <c r="O141" s="72">
        <f>H141*N141</f>
        <v/>
      </c>
      <c r="P141" s="73" t="n">
        <v>56</v>
      </c>
      <c r="Q141" s="72">
        <f>H141*$H$8</f>
        <v/>
      </c>
      <c r="R141" s="73" t="n">
        <v>25</v>
      </c>
      <c r="S141" s="72">
        <f>H141*$H$4</f>
        <v/>
      </c>
      <c r="T141" s="72">
        <f>J141*$H$3</f>
        <v/>
      </c>
      <c r="U141" s="74" t="n">
        <v>0.9</v>
      </c>
      <c r="V141" s="73" t="n">
        <v>56</v>
      </c>
      <c r="W141" s="72">
        <f>V141*(1-U141)</f>
        <v/>
      </c>
      <c r="X141" s="75" t="n">
        <v>0.18</v>
      </c>
      <c r="Y141" s="72">
        <f>$H$6*$H$7*X141</f>
        <v/>
      </c>
      <c r="Z141" s="19">
        <f>X141*($H$9+$H$10)</f>
        <v/>
      </c>
      <c r="AA141" s="20" t="n">
        <v>0.07000000000000001</v>
      </c>
      <c r="AB141" s="72">
        <f>H141*AA141</f>
        <v/>
      </c>
      <c r="AC141" s="74" t="n">
        <v>0.08</v>
      </c>
      <c r="AD141" s="72">
        <f>H141*AC141</f>
        <v/>
      </c>
      <c r="AE141" s="72">
        <f>AB141+AD141</f>
        <v/>
      </c>
      <c r="AF141" s="25">
        <f>AE141/H141</f>
        <v/>
      </c>
      <c r="AG141" s="26">
        <f>H141-O141-P141-Q141-R141-S141-T141-W141-Y141-Z141-M141-AL141-AM141</f>
        <v/>
      </c>
      <c r="AH141" s="76">
        <f>AG141-AE141</f>
        <v/>
      </c>
      <c r="AI141" s="77">
        <f>AH141/H141</f>
        <v/>
      </c>
      <c r="AJ141" s="78">
        <f>AH141/M141</f>
        <v/>
      </c>
      <c r="AK141" s="72">
        <f>(P141+R141+W141+Y141+Z141+M141+AL141)/(1-(N141+$H$4+(1-I141)*$H$3+$H$8+$H$11+AA141+AC141))</f>
        <v/>
      </c>
      <c r="AL141" s="72">
        <f>$H$12</f>
        <v/>
      </c>
      <c r="AM141" s="72">
        <f>H141*$H$11</f>
        <v/>
      </c>
    </row>
    <row r="142" ht="29" customHeight="1">
      <c r="A142" s="66" t="inlineStr">
        <is>
          <t>CELIMAX THE VITA-A RETINOL SHOT TIGHTENING SERUM [30ml]/Сыворотка с ретинолом и микроиглами для лица</t>
        </is>
      </c>
      <c r="B142" s="45" t="n"/>
      <c r="C142" s="68" t="inlineStr">
        <is>
          <t>-</t>
        </is>
      </c>
      <c r="E142" s="69" t="n">
        <v>2450</v>
      </c>
      <c r="F142" s="69" t="n">
        <v>3500</v>
      </c>
      <c r="G142" s="69" t="n">
        <v>10</v>
      </c>
      <c r="H142" s="69">
        <f>(1.25*M142+P142+R142+W142+Y142+Z142+AL142)/(1-N142-$H$8-$H$4-(1-I142)*$H$3-$H$11-AA142-AC142)</f>
        <v/>
      </c>
      <c r="I142" s="15" t="n">
        <v>0.45</v>
      </c>
      <c r="J142" s="16">
        <f>H142*(1-I142)</f>
        <v/>
      </c>
      <c r="K142" s="70" t="n">
        <v>532.1</v>
      </c>
      <c r="L142" s="71">
        <f>$H$5</f>
        <v/>
      </c>
      <c r="M142" s="19">
        <f>K142+L142</f>
        <v/>
      </c>
      <c r="N142" s="20" t="n">
        <v>0.47</v>
      </c>
      <c r="O142" s="72">
        <f>H142*N142</f>
        <v/>
      </c>
      <c r="P142" s="73" t="n">
        <v>63</v>
      </c>
      <c r="Q142" s="72">
        <f>H142*$H$8</f>
        <v/>
      </c>
      <c r="R142" s="73" t="n">
        <v>25</v>
      </c>
      <c r="S142" s="72">
        <f>H142*$H$4</f>
        <v/>
      </c>
      <c r="T142" s="72">
        <f>J142*$H$3</f>
        <v/>
      </c>
      <c r="U142" s="74" t="n">
        <v>0.9</v>
      </c>
      <c r="V142" s="73" t="n">
        <v>63</v>
      </c>
      <c r="W142" s="72">
        <f>V142*(1-U142)</f>
        <v/>
      </c>
      <c r="X142" s="75" t="n">
        <v>0.38</v>
      </c>
      <c r="Y142" s="72">
        <f>$H$6*$H$7*X142</f>
        <v/>
      </c>
      <c r="Z142" s="19">
        <f>X142*($H$9+$H$10)</f>
        <v/>
      </c>
      <c r="AA142" s="20" t="n">
        <v>0.07000000000000001</v>
      </c>
      <c r="AB142" s="72">
        <f>H142*AA142</f>
        <v/>
      </c>
      <c r="AC142" s="74" t="n">
        <v>0.08</v>
      </c>
      <c r="AD142" s="72">
        <f>H142*AC142</f>
        <v/>
      </c>
      <c r="AE142" s="72">
        <f>AB142+AD142</f>
        <v/>
      </c>
      <c r="AF142" s="25">
        <f>AE142/H142</f>
        <v/>
      </c>
      <c r="AG142" s="26">
        <f>H142-O142-P142-Q142-R142-S142-T142-W142-Y142-Z142-M142-AL142-AM142</f>
        <v/>
      </c>
      <c r="AH142" s="76">
        <f>AG142-AE142</f>
        <v/>
      </c>
      <c r="AI142" s="77">
        <f>AH142/H142</f>
        <v/>
      </c>
      <c r="AJ142" s="78">
        <f>AH142/M142</f>
        <v/>
      </c>
      <c r="AK142" s="72">
        <f>(P142+R142+W142+Y142+Z142+M142+AL142)/(1-(N142+$H$4+(1-I142)*$H$3+$H$8+$H$11+AA142+AC142))</f>
        <v/>
      </c>
      <c r="AL142" s="72">
        <f>$H$12</f>
        <v/>
      </c>
      <c r="AM142" s="72">
        <f>H142*$H$11</f>
        <v/>
      </c>
    </row>
    <row r="143" ht="29" customHeight="1">
      <c r="A143" s="66" t="inlineStr">
        <is>
          <t>CELIMAX JI WOO GAE CICA BHA BLEMISH TONER PAD_10EA [30ml]/успокаивающие тонер-пэды</t>
        </is>
      </c>
      <c r="B143" s="45" t="n"/>
      <c r="C143" s="68" t="n"/>
      <c r="E143" s="69" t="n">
        <v>775</v>
      </c>
      <c r="F143" s="69" t="inlineStr">
        <is>
          <t>2 740</t>
        </is>
      </c>
      <c r="G143" s="69" t="n">
        <v>11</v>
      </c>
      <c r="H143" s="69">
        <f>(1.25*M143+P143+R143+W143+Y143+Z143+AL143)/(1-N143-$H$8-$H$4-(1-I143)*$H$3-$H$11-AA143-AC143)</f>
        <v/>
      </c>
      <c r="I143" s="15" t="n">
        <v>0.45</v>
      </c>
      <c r="J143" s="16">
        <f>H143*(1-I143)</f>
        <v/>
      </c>
      <c r="K143" s="70" t="n">
        <v>96.94</v>
      </c>
      <c r="L143" s="71">
        <f>$H$5</f>
        <v/>
      </c>
      <c r="M143" s="19">
        <f>K143+L143</f>
        <v/>
      </c>
      <c r="N143" s="20" t="n">
        <v>0.47</v>
      </c>
      <c r="O143" s="72">
        <f>H143*N143</f>
        <v/>
      </c>
      <c r="P143" s="73" t="n">
        <v>56</v>
      </c>
      <c r="Q143" s="72">
        <f>H143*$H$8</f>
        <v/>
      </c>
      <c r="R143" s="73" t="n">
        <v>25</v>
      </c>
      <c r="S143" s="72">
        <f>H143*$H$4</f>
        <v/>
      </c>
      <c r="T143" s="72">
        <f>J143*$H$3</f>
        <v/>
      </c>
      <c r="U143" s="74" t="n">
        <v>0.9</v>
      </c>
      <c r="V143" s="73" t="n">
        <v>56</v>
      </c>
      <c r="W143" s="72">
        <f>V143*(1-U143)</f>
        <v/>
      </c>
      <c r="X143" s="75" t="n">
        <v>0.14</v>
      </c>
      <c r="Y143" s="72">
        <f>$H$6*$H$7*X143</f>
        <v/>
      </c>
      <c r="Z143" s="19">
        <f>X143*($H$9+$H$10)</f>
        <v/>
      </c>
      <c r="AA143" s="20" t="n">
        <v>0.07000000000000001</v>
      </c>
      <c r="AB143" s="72">
        <f>H143*AA143</f>
        <v/>
      </c>
      <c r="AC143" s="74" t="n">
        <v>0.08</v>
      </c>
      <c r="AD143" s="72">
        <f>H143*AC143</f>
        <v/>
      </c>
      <c r="AE143" s="72">
        <f>AB143+AD143</f>
        <v/>
      </c>
      <c r="AF143" s="25">
        <f>AE143/H143</f>
        <v/>
      </c>
      <c r="AG143" s="26">
        <f>H143-O143-P143-Q143-R143-S143-T143-W143-Y143-Z143-M143-AL143-AM143</f>
        <v/>
      </c>
      <c r="AH143" s="76">
        <f>AG143-AE143</f>
        <v/>
      </c>
      <c r="AI143" s="77">
        <f>AH143/H143</f>
        <v/>
      </c>
      <c r="AJ143" s="78">
        <f>AH143/M143</f>
        <v/>
      </c>
      <c r="AK143" s="72">
        <f>(P143+R143+W143+Y143+Z143+M143+AL143)/(1-(N143+$H$4+(1-I143)*$H$3+$H$8+$H$11+AA143+AC143))</f>
        <v/>
      </c>
      <c r="AL143" s="72">
        <f>$H$12</f>
        <v/>
      </c>
      <c r="AM143" s="72">
        <f>H143*$H$11</f>
        <v/>
      </c>
    </row>
    <row r="144" ht="29" customHeight="1">
      <c r="A144" s="79" t="inlineStr">
        <is>
          <t>CELIMAX PORE+DARK SPOT BRIGHTENING CREAM [35ml]/Крем для выравнивания тона и рельефа кожи лица</t>
        </is>
      </c>
      <c r="B144" s="80" t="n"/>
      <c r="C144" s="80" t="n"/>
      <c r="D144" s="111" t="n">
        <v>99</v>
      </c>
      <c r="E144" s="81" t="n"/>
      <c r="F144" s="81" t="n"/>
      <c r="G144" s="81" t="n"/>
      <c r="H144" s="81" t="n"/>
      <c r="I144" s="32" t="n"/>
      <c r="J144" s="33" t="n"/>
      <c r="K144" s="82" t="n"/>
      <c r="L144" s="82" t="n"/>
      <c r="M144" s="35" t="n"/>
      <c r="N144" s="36" t="n"/>
      <c r="O144" s="81" t="n"/>
      <c r="P144" s="81" t="n"/>
      <c r="Q144" s="81" t="n"/>
      <c r="R144" s="81" t="n"/>
      <c r="S144" s="81" t="n"/>
      <c r="T144" s="81" t="n"/>
      <c r="U144" s="83" t="n"/>
      <c r="V144" s="81" t="n"/>
      <c r="W144" s="81" t="n"/>
      <c r="X144" s="84" t="n"/>
      <c r="Y144" s="81" t="n"/>
      <c r="Z144" s="35" t="n"/>
      <c r="AA144" s="36" t="n"/>
      <c r="AB144" s="81" t="n"/>
      <c r="AC144" s="83" t="n"/>
      <c r="AD144" s="81" t="n"/>
      <c r="AE144" s="81" t="n"/>
      <c r="AF144" s="39" t="n"/>
      <c r="AG144" s="40" t="n"/>
      <c r="AH144" s="81" t="n"/>
      <c r="AI144" s="83" t="n"/>
      <c r="AJ144" s="83" t="n"/>
      <c r="AK144" s="81" t="n"/>
      <c r="AL144" s="81" t="n"/>
      <c r="AM144" s="81" t="n"/>
    </row>
    <row r="145" ht="29" customHeight="1">
      <c r="A145" s="79" t="inlineStr">
        <is>
          <t>CELIMAX DUAL BARRIER SKIN WEARABLE CREAM [50ml]/Крем для восстановления защитного барьера кожи лица</t>
        </is>
      </c>
      <c r="B145" s="80" t="n"/>
      <c r="C145" s="80" t="n"/>
      <c r="D145" s="111" t="n">
        <v>446</v>
      </c>
      <c r="E145" s="81" t="n"/>
      <c r="F145" s="81" t="n"/>
      <c r="G145" s="81" t="n"/>
      <c r="H145" s="81" t="n"/>
      <c r="I145" s="32" t="n"/>
      <c r="J145" s="33" t="n"/>
      <c r="K145" s="82" t="n"/>
      <c r="L145" s="82" t="n"/>
      <c r="M145" s="35" t="n"/>
      <c r="N145" s="36" t="n"/>
      <c r="O145" s="81" t="n"/>
      <c r="P145" s="81" t="n"/>
      <c r="Q145" s="81" t="n"/>
      <c r="R145" s="81" t="n"/>
      <c r="S145" s="81" t="n"/>
      <c r="T145" s="81" t="n"/>
      <c r="U145" s="83" t="n"/>
      <c r="V145" s="81" t="n"/>
      <c r="W145" s="81" t="n"/>
      <c r="X145" s="84" t="n"/>
      <c r="Y145" s="81" t="n"/>
      <c r="Z145" s="35" t="n"/>
      <c r="AA145" s="36" t="n"/>
      <c r="AB145" s="81" t="n"/>
      <c r="AC145" s="83" t="n"/>
      <c r="AD145" s="81" t="n"/>
      <c r="AE145" s="81" t="n"/>
      <c r="AF145" s="39" t="n"/>
      <c r="AG145" s="40" t="n"/>
      <c r="AH145" s="81" t="n"/>
      <c r="AI145" s="83" t="n"/>
      <c r="AJ145" s="83" t="n"/>
      <c r="AK145" s="81" t="n"/>
      <c r="AL145" s="81" t="n"/>
      <c r="AM145" s="81" t="n"/>
    </row>
    <row r="146" ht="29" customHeight="1">
      <c r="A146" s="66" t="inlineStr">
        <is>
          <t>CELIMAX JI WOO GAE CICA BHA BLEMISH TONER PAD [170ml / 60pads]/Тонер-пэды от воспалений</t>
        </is>
      </c>
      <c r="B146" s="45" t="n"/>
      <c r="C146" s="68" t="n"/>
      <c r="E146" s="69" t="n">
        <v>3450</v>
      </c>
      <c r="F146" s="69" t="inlineStr">
        <is>
          <t>1 820</t>
        </is>
      </c>
      <c r="G146" s="69" t="n">
        <v>11</v>
      </c>
      <c r="H146" s="69">
        <f>(1.25*M146+P146+R146+W146+Y146+Z146+AL146)/(1-N146-$H$8-$H$4-(1-I146)*$H$3-$H$11-AA146-AC146)</f>
        <v/>
      </c>
      <c r="I146" s="15" t="n">
        <v>0.45</v>
      </c>
      <c r="J146" s="16">
        <f>H146*(1-I146)</f>
        <v/>
      </c>
      <c r="K146" s="70" t="n">
        <v>707.88</v>
      </c>
      <c r="L146" s="71">
        <f>$H$5</f>
        <v/>
      </c>
      <c r="M146" s="19">
        <f>K146+L146</f>
        <v/>
      </c>
      <c r="N146" s="20" t="n">
        <v>0.47</v>
      </c>
      <c r="O146" s="72">
        <f>H146*N146</f>
        <v/>
      </c>
      <c r="P146" s="73" t="n">
        <v>67</v>
      </c>
      <c r="Q146" s="72">
        <f>H146*$H$8</f>
        <v/>
      </c>
      <c r="R146" s="73" t="n">
        <v>25</v>
      </c>
      <c r="S146" s="72">
        <f>H146*$H$4</f>
        <v/>
      </c>
      <c r="T146" s="72">
        <f>J146*$H$3</f>
        <v/>
      </c>
      <c r="U146" s="74" t="n">
        <v>0.9</v>
      </c>
      <c r="V146" s="73" t="n">
        <v>67</v>
      </c>
      <c r="W146" s="72">
        <f>V146*(1-U146)</f>
        <v/>
      </c>
      <c r="X146" s="75" t="n">
        <v>0.96</v>
      </c>
      <c r="Y146" s="72">
        <f>$H$6*$H$7*X146</f>
        <v/>
      </c>
      <c r="Z146" s="19">
        <f>X146*($H$9+$H$10)</f>
        <v/>
      </c>
      <c r="AA146" s="20" t="n">
        <v>0.07000000000000001</v>
      </c>
      <c r="AB146" s="72">
        <f>H146*AA146</f>
        <v/>
      </c>
      <c r="AC146" s="74" t="n">
        <v>0.08</v>
      </c>
      <c r="AD146" s="72">
        <f>H146*AC146</f>
        <v/>
      </c>
      <c r="AE146" s="72">
        <f>AB146+AD146</f>
        <v/>
      </c>
      <c r="AF146" s="25">
        <f>AE146/H146</f>
        <v/>
      </c>
      <c r="AG146" s="26">
        <f>H146-O146-P146-Q146-R146-S146-T146-W146-Y146-Z146-M146-AL146-AM146</f>
        <v/>
      </c>
      <c r="AH146" s="76">
        <f>AG146-AE146</f>
        <v/>
      </c>
      <c r="AI146" s="77">
        <f>AH146/H146</f>
        <v/>
      </c>
      <c r="AJ146" s="78">
        <f>AH146/M146</f>
        <v/>
      </c>
      <c r="AK146" s="72">
        <f>(P146+R146+W146+Y146+Z146+M146+AL146)/(1-(N146+$H$4+(1-I146)*$H$3+$H$8+$H$11+AA146+AC146))</f>
        <v/>
      </c>
      <c r="AL146" s="72">
        <f>$H$12</f>
        <v/>
      </c>
      <c r="AM146" s="72">
        <f>H146*$H$11</f>
        <v/>
      </c>
    </row>
    <row r="147" ht="29" customHeight="1">
      <c r="A147" s="79" t="inlineStr">
        <is>
          <t>CELIMAX THE REAL NONI ENERGY AMPOULE_30ML (NEW) [30ml]/Восстанавливающая сыворотка с экстрактом нони для лица</t>
        </is>
      </c>
      <c r="B147" s="80" t="n"/>
      <c r="C147" s="80" t="n"/>
      <c r="D147" s="111" t="n">
        <v>62</v>
      </c>
      <c r="E147" s="81" t="n"/>
      <c r="F147" s="81" t="n"/>
      <c r="G147" s="81" t="n"/>
      <c r="H147" s="81" t="n"/>
      <c r="I147" s="32" t="n"/>
      <c r="J147" s="33" t="n"/>
      <c r="K147" s="82" t="n"/>
      <c r="L147" s="82" t="n"/>
      <c r="M147" s="35" t="n"/>
      <c r="N147" s="36" t="n"/>
      <c r="O147" s="81" t="n"/>
      <c r="P147" s="81" t="n"/>
      <c r="Q147" s="81" t="n"/>
      <c r="R147" s="81" t="n"/>
      <c r="S147" s="81" t="n"/>
      <c r="T147" s="81" t="n"/>
      <c r="U147" s="83" t="n"/>
      <c r="V147" s="81" t="n"/>
      <c r="W147" s="81" t="n"/>
      <c r="X147" s="84" t="n"/>
      <c r="Y147" s="81" t="n"/>
      <c r="Z147" s="35" t="n"/>
      <c r="AA147" s="36" t="n"/>
      <c r="AB147" s="81" t="n"/>
      <c r="AC147" s="83" t="n"/>
      <c r="AD147" s="81" t="n"/>
      <c r="AE147" s="81" t="n"/>
      <c r="AF147" s="39" t="n"/>
      <c r="AG147" s="40" t="n"/>
      <c r="AH147" s="81" t="n"/>
      <c r="AI147" s="83" t="n"/>
      <c r="AJ147" s="83" t="n"/>
      <c r="AK147" s="81" t="n"/>
      <c r="AL147" s="81" t="n"/>
      <c r="AM147" s="81" t="n"/>
    </row>
    <row r="148" ht="29" customHeight="1">
      <c r="A148" s="66" t="inlineStr">
        <is>
          <t>CELIMAX PORE+DARK SPOT BRIGHTENING PAD [100ml / 40pads]/Тонер-пэды для выравнивания тона и рельефа кожи</t>
        </is>
      </c>
      <c r="B148" s="45" t="n"/>
      <c r="C148" s="68" t="n"/>
      <c r="D148" s="111" t="n">
        <v>0</v>
      </c>
      <c r="E148" s="69" t="n">
        <v>2880</v>
      </c>
      <c r="F148" s="69" t="inlineStr">
        <is>
          <t>1 640</t>
        </is>
      </c>
      <c r="G148" s="69" t="n">
        <v>21</v>
      </c>
      <c r="H148" s="69">
        <f>(1.25*M148+P148+R148+W148+Y148+Z148+AL148)/(1-N148-$H$8-$H$4-(1-I148)*$H$3-$H$11-AA148-AC148)</f>
        <v/>
      </c>
      <c r="I148" s="15" t="n">
        <v>0.45</v>
      </c>
      <c r="J148" s="16">
        <f>H148*(1-I148)</f>
        <v/>
      </c>
      <c r="K148" s="70" t="n">
        <v>556.1799999999999</v>
      </c>
      <c r="L148" s="71">
        <f>$H$5</f>
        <v/>
      </c>
      <c r="M148" s="19">
        <f>K148+L148</f>
        <v/>
      </c>
      <c r="N148" s="20" t="n">
        <v>0.47</v>
      </c>
      <c r="O148" s="72">
        <f>H148*N148</f>
        <v/>
      </c>
      <c r="P148" s="73" t="n">
        <v>67</v>
      </c>
      <c r="Q148" s="72">
        <f>H148*$H$8</f>
        <v/>
      </c>
      <c r="R148" s="73" t="n">
        <v>25</v>
      </c>
      <c r="S148" s="72">
        <f>H148*$H$4</f>
        <v/>
      </c>
      <c r="T148" s="72">
        <f>J148*$H$3</f>
        <v/>
      </c>
      <c r="U148" s="74" t="n">
        <v>0.9</v>
      </c>
      <c r="V148" s="73" t="n">
        <v>67</v>
      </c>
      <c r="W148" s="72">
        <f>V148*(1-U148)</f>
        <v/>
      </c>
      <c r="X148" s="75" t="n">
        <v>0.57</v>
      </c>
      <c r="Y148" s="72">
        <f>$H$6*$H$7*X148</f>
        <v/>
      </c>
      <c r="Z148" s="19">
        <f>X148*($H$9+$H$10)</f>
        <v/>
      </c>
      <c r="AA148" s="20" t="n">
        <v>0.07000000000000001</v>
      </c>
      <c r="AB148" s="72">
        <f>H148*AA148</f>
        <v/>
      </c>
      <c r="AC148" s="74" t="n">
        <v>0.08</v>
      </c>
      <c r="AD148" s="72">
        <f>H148*AC148</f>
        <v/>
      </c>
      <c r="AE148" s="72">
        <f>AB148+AD148</f>
        <v/>
      </c>
      <c r="AF148" s="25">
        <f>AE148/H148</f>
        <v/>
      </c>
      <c r="AG148" s="26">
        <f>H148-O148-P148-Q148-R148-S148-T148-W148-Y148-Z148-M148-AL148-AM148</f>
        <v/>
      </c>
      <c r="AH148" s="76">
        <f>AG148-AE148</f>
        <v/>
      </c>
      <c r="AI148" s="77">
        <f>AH148/H148</f>
        <v/>
      </c>
      <c r="AJ148" s="78">
        <f>AH148/M148</f>
        <v/>
      </c>
      <c r="AK148" s="72">
        <f>(P148+R148+W148+Y148+Z148+M148+AL148)/(1-(N148+$H$4+(1-I148)*$H$3+$H$8+$H$11+AA148+AC148))</f>
        <v/>
      </c>
      <c r="AL148" s="72">
        <f>$H$12</f>
        <v/>
      </c>
      <c r="AM148" s="72">
        <f>H148*$H$11</f>
        <v/>
      </c>
    </row>
    <row r="149" ht="29" customHeight="1">
      <c r="A149" s="79" t="inlineStr">
        <is>
          <t>CELIMAX PORE+DARK SPOT BRIGHTENING SERUM_30ml [30ml]/Сыворотка для выравнивания тона и рельефа кожи лица</t>
        </is>
      </c>
      <c r="B149" s="80" t="n"/>
      <c r="C149" s="80" t="n"/>
      <c r="D149" s="111" t="n">
        <v>124</v>
      </c>
      <c r="E149" s="81" t="n"/>
      <c r="F149" s="81" t="n"/>
      <c r="G149" s="81" t="n"/>
      <c r="H149" s="81" t="n"/>
      <c r="I149" s="32" t="n"/>
      <c r="J149" s="33" t="n"/>
      <c r="K149" s="82" t="n"/>
      <c r="L149" s="82" t="n"/>
      <c r="M149" s="35" t="n"/>
      <c r="N149" s="36" t="n"/>
      <c r="O149" s="81" t="n"/>
      <c r="P149" s="81" t="n"/>
      <c r="Q149" s="81" t="n"/>
      <c r="R149" s="81" t="n"/>
      <c r="S149" s="81" t="n"/>
      <c r="T149" s="81" t="n"/>
      <c r="U149" s="83" t="n"/>
      <c r="V149" s="81" t="n"/>
      <c r="W149" s="81" t="n"/>
      <c r="X149" s="84" t="n"/>
      <c r="Y149" s="81" t="n"/>
      <c r="Z149" s="35" t="n"/>
      <c r="AA149" s="36" t="n"/>
      <c r="AB149" s="81" t="n"/>
      <c r="AC149" s="83" t="n"/>
      <c r="AD149" s="81" t="n"/>
      <c r="AE149" s="81" t="n"/>
      <c r="AF149" s="39" t="n"/>
      <c r="AG149" s="40" t="n"/>
      <c r="AH149" s="81" t="n"/>
      <c r="AI149" s="83" t="n"/>
      <c r="AJ149" s="83" t="n"/>
      <c r="AK149" s="81" t="n"/>
      <c r="AL149" s="81" t="n"/>
      <c r="AM149" s="81" t="n"/>
    </row>
    <row r="150" ht="29" customHeight="1">
      <c r="A150" s="79" t="inlineStr">
        <is>
          <t>CELIMAX THE REAL NONI MOISTURE BALANCING TONER (NEW) [150ml]/Восстанавливающий тонер с экстрактом нони</t>
        </is>
      </c>
      <c r="B150" s="80" t="n"/>
      <c r="C150" s="80" t="n"/>
      <c r="D150" s="111" t="n">
        <v>194</v>
      </c>
      <c r="E150" s="81" t="n"/>
      <c r="F150" s="81" t="n"/>
      <c r="G150" s="81" t="n"/>
      <c r="H150" s="81" t="n"/>
      <c r="I150" s="32" t="n"/>
      <c r="J150" s="33" t="n"/>
      <c r="K150" s="82" t="n"/>
      <c r="L150" s="82" t="n"/>
      <c r="M150" s="35" t="n"/>
      <c r="N150" s="36" t="n"/>
      <c r="O150" s="81" t="n"/>
      <c r="P150" s="81" t="n"/>
      <c r="Q150" s="81" t="n"/>
      <c r="R150" s="81" t="n"/>
      <c r="S150" s="81" t="n"/>
      <c r="T150" s="81" t="n"/>
      <c r="U150" s="83" t="n"/>
      <c r="V150" s="81" t="n"/>
      <c r="W150" s="81" t="n"/>
      <c r="X150" s="84" t="n"/>
      <c r="Y150" s="81" t="n"/>
      <c r="Z150" s="35" t="n"/>
      <c r="AA150" s="36" t="n"/>
      <c r="AB150" s="81" t="n"/>
      <c r="AC150" s="83" t="n"/>
      <c r="AD150" s="81" t="n"/>
      <c r="AE150" s="81" t="n"/>
      <c r="AF150" s="39" t="n"/>
      <c r="AG150" s="40" t="n"/>
      <c r="AH150" s="81" t="n"/>
      <c r="AI150" s="83" t="n"/>
      <c r="AJ150" s="83" t="n"/>
      <c r="AK150" s="81" t="n"/>
      <c r="AL150" s="81" t="n"/>
      <c r="AM150" s="81" t="n"/>
    </row>
    <row r="151">
      <c r="A151" s="64" t="inlineStr">
        <is>
          <t>Косметика/VT</t>
        </is>
      </c>
      <c r="B151" s="65" t="n"/>
      <c r="C151" s="65" t="n"/>
      <c r="E151" s="65" t="n"/>
      <c r="F151" s="65" t="n"/>
      <c r="G151" s="65" t="n"/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65" t="n"/>
      <c r="U151" s="65" t="n"/>
      <c r="V151" s="65" t="n"/>
      <c r="W151" s="65" t="n"/>
      <c r="X151" s="65" t="n"/>
      <c r="Y151" s="65" t="n"/>
      <c r="Z151" s="65" t="n"/>
      <c r="AA151" s="65" t="n"/>
      <c r="AB151" s="65" t="n"/>
      <c r="AC151" s="65" t="n"/>
      <c r="AD151" s="65" t="n"/>
      <c r="AE151" s="65" t="n"/>
      <c r="AF151" s="65" t="n"/>
      <c r="AG151" s="65" t="n"/>
      <c r="AH151" s="65" t="n"/>
      <c r="AI151" s="65" t="n"/>
      <c r="AJ151" s="65" t="n"/>
      <c r="AK151" s="65" t="n"/>
      <c r="AL151" s="65" t="n"/>
      <c r="AM151" s="65" t="n"/>
    </row>
    <row r="152">
      <c r="A152" s="66" t="inlineStr">
        <is>
          <t>VT PDRN ESSENCE 100 / Укрепляющая бустер-эссенция с ПДРН</t>
        </is>
      </c>
      <c r="B152" s="67" t="n"/>
      <c r="C152" s="68" t="n"/>
      <c r="E152" s="69" t="n">
        <v>6000</v>
      </c>
      <c r="F152" s="69" t="n">
        <v>500</v>
      </c>
      <c r="G152" s="69" t="n">
        <v>10</v>
      </c>
      <c r="H152" s="69">
        <f>(1.25*M152+P152+R152+W152+Y152+Z152+AL152)/(1-N152-$H$8-$H$4-(1-I152)*$H$3-$H$11-AA152-AC152)</f>
        <v/>
      </c>
      <c r="I152" s="15" t="n">
        <v>0.45</v>
      </c>
      <c r="J152" s="16">
        <f>H152*(1-I152)</f>
        <v/>
      </c>
      <c r="K152" s="70" t="n">
        <v>1335.95</v>
      </c>
      <c r="L152" s="71">
        <f>$H$5</f>
        <v/>
      </c>
      <c r="M152" s="19">
        <f>K152+L152</f>
        <v/>
      </c>
      <c r="N152" s="20" t="n">
        <v>0.47</v>
      </c>
      <c r="O152" s="72">
        <f>H152*N152</f>
        <v/>
      </c>
      <c r="P152" s="73" t="n">
        <v>63</v>
      </c>
      <c r="Q152" s="72">
        <f>H152*$H$8</f>
        <v/>
      </c>
      <c r="R152" s="73" t="n">
        <v>25</v>
      </c>
      <c r="S152" s="72">
        <f>H152*$H$4</f>
        <v/>
      </c>
      <c r="T152" s="72">
        <f>J152*$H$3</f>
        <v/>
      </c>
      <c r="U152" s="74" t="n">
        <v>0.9</v>
      </c>
      <c r="V152" s="73" t="n">
        <v>63</v>
      </c>
      <c r="W152" s="72">
        <f>V152*(1-U152)</f>
        <v/>
      </c>
      <c r="X152" s="75" t="n">
        <v>0.3</v>
      </c>
      <c r="Y152" s="72">
        <f>$H$6*$H$7*X152</f>
        <v/>
      </c>
      <c r="Z152" s="19">
        <f>X152*($H$9+$H$10)</f>
        <v/>
      </c>
      <c r="AA152" s="20" t="n">
        <v>0.07000000000000001</v>
      </c>
      <c r="AB152" s="72">
        <f>H152*AA152</f>
        <v/>
      </c>
      <c r="AC152" s="74" t="n">
        <v>0.08</v>
      </c>
      <c r="AD152" s="72">
        <f>H152*AC152</f>
        <v/>
      </c>
      <c r="AE152" s="72">
        <f>AB152+AD152</f>
        <v/>
      </c>
      <c r="AF152" s="25">
        <f>AE152/H152</f>
        <v/>
      </c>
      <c r="AG152" s="26">
        <f>H152-O152-P152-Q152-R152-S152-T152-W152-Y152-Z152-M152-AL152-AM152</f>
        <v/>
      </c>
      <c r="AH152" s="76">
        <f>AG152-AE152</f>
        <v/>
      </c>
      <c r="AI152" s="77">
        <f>AH152/H152</f>
        <v/>
      </c>
      <c r="AJ152" s="78">
        <f>AH152/M152</f>
        <v/>
      </c>
      <c r="AK152" s="72">
        <f>(P152+R152+W152+Y152+Z152+M152+AL152)/(1-(N152+$H$4+(1-I152)*$H$3+$H$8+$H$11+AA152+AC152))</f>
        <v/>
      </c>
      <c r="AL152" s="72">
        <f>$H$12</f>
        <v/>
      </c>
      <c r="AM152" s="72">
        <f>H152*$H$11</f>
        <v/>
      </c>
    </row>
    <row r="153">
      <c r="A153" s="66" t="inlineStr">
        <is>
          <t>VT REEDLE SHOT 100 / Бустер-сыворотка с микроиглами</t>
        </is>
      </c>
      <c r="B153" s="67" t="n"/>
      <c r="C153" s="68" t="n"/>
      <c r="D153" s="111" t="n">
        <v>543</v>
      </c>
      <c r="E153" s="69" t="n">
        <v>5900</v>
      </c>
      <c r="F153" s="69" t="n">
        <v>220</v>
      </c>
      <c r="G153" s="69" t="n">
        <v>11</v>
      </c>
      <c r="H153" s="69">
        <f>(1.25*M153+P153+R153+W153+Y153+Z153+AL153)/(1-N153-$H$8-$H$4-(1-I153)*$H$3-$H$11-AA153-AC153)</f>
        <v/>
      </c>
      <c r="I153" s="15" t="n">
        <v>0.45</v>
      </c>
      <c r="J153" s="16">
        <f>H153*(1-I153)</f>
        <v/>
      </c>
      <c r="K153" s="70" t="n">
        <v>974.04</v>
      </c>
      <c r="L153" s="71">
        <f>$H$5</f>
        <v/>
      </c>
      <c r="M153" s="19">
        <f>K153+L153</f>
        <v/>
      </c>
      <c r="N153" s="20" t="n">
        <v>0.47</v>
      </c>
      <c r="O153" s="72">
        <f>H153*N153</f>
        <v/>
      </c>
      <c r="P153" s="73" t="n">
        <v>63</v>
      </c>
      <c r="Q153" s="72">
        <f>H153*$H$8</f>
        <v/>
      </c>
      <c r="R153" s="73" t="n">
        <v>25</v>
      </c>
      <c r="S153" s="72">
        <f>H153*$H$4</f>
        <v/>
      </c>
      <c r="T153" s="72">
        <f>J153*$H$3</f>
        <v/>
      </c>
      <c r="U153" s="74" t="n">
        <v>0.9</v>
      </c>
      <c r="V153" s="73" t="n">
        <v>63</v>
      </c>
      <c r="W153" s="72">
        <f>V153*(1-U153)</f>
        <v/>
      </c>
      <c r="X153" s="75" t="n">
        <v>0.4</v>
      </c>
      <c r="Y153" s="72">
        <f>$H$6*$H$7*X153</f>
        <v/>
      </c>
      <c r="Z153" s="19">
        <f>X153*($H$9+$H$10)</f>
        <v/>
      </c>
      <c r="AA153" s="20" t="n">
        <v>0.07000000000000001</v>
      </c>
      <c r="AB153" s="72">
        <f>H153*AA153</f>
        <v/>
      </c>
      <c r="AC153" s="74" t="n">
        <v>0.08</v>
      </c>
      <c r="AD153" s="72">
        <f>H153*AC153</f>
        <v/>
      </c>
      <c r="AE153" s="72">
        <f>AB153+AD153</f>
        <v/>
      </c>
      <c r="AF153" s="25">
        <f>AE153/H153</f>
        <v/>
      </c>
      <c r="AG153" s="26">
        <f>H153-O153-P153-Q153-R153-S153-T153-W153-Y153-Z153-M153-AL153-AM153</f>
        <v/>
      </c>
      <c r="AH153" s="76">
        <f>AG153-AE153</f>
        <v/>
      </c>
      <c r="AI153" s="77">
        <f>AH153/H153</f>
        <v/>
      </c>
      <c r="AJ153" s="78">
        <f>AH153/M153</f>
        <v/>
      </c>
      <c r="AK153" s="72">
        <f>(P153+R153+W153+Y153+Z153+M153+AL153)/(1-(N153+$H$4+(1-I153)*$H$3+$H$8+$H$11+AA153+AC153))</f>
        <v/>
      </c>
      <c r="AL153" s="72">
        <f>$H$12</f>
        <v/>
      </c>
      <c r="AM153" s="72">
        <f>H153*$H$11</f>
        <v/>
      </c>
    </row>
    <row r="154">
      <c r="A154" s="79" t="inlineStr">
        <is>
          <t>Итого:</t>
        </is>
      </c>
      <c r="B154" s="80" t="n"/>
      <c r="C154" s="80" t="n"/>
      <c r="E154" s="81" t="n"/>
      <c r="F154" s="81" t="n"/>
      <c r="G154" s="81" t="n"/>
      <c r="H154" s="81" t="n"/>
      <c r="I154" s="32" t="n"/>
      <c r="J154" s="33" t="n"/>
      <c r="K154" s="82" t="n"/>
      <c r="L154" s="82" t="n"/>
      <c r="M154" s="35" t="n"/>
      <c r="N154" s="36" t="n"/>
      <c r="O154" s="81" t="n"/>
      <c r="P154" s="81" t="n"/>
      <c r="Q154" s="81" t="n"/>
      <c r="R154" s="81" t="n"/>
      <c r="S154" s="81" t="n"/>
      <c r="T154" s="81" t="n"/>
      <c r="U154" s="83" t="n"/>
      <c r="V154" s="81" t="n"/>
      <c r="W154" s="81" t="n"/>
      <c r="X154" s="84" t="n"/>
      <c r="Y154" s="81" t="n"/>
      <c r="Z154" s="35" t="n"/>
      <c r="AA154" s="36" t="n"/>
      <c r="AB154" s="81" t="n"/>
      <c r="AC154" s="83" t="n"/>
      <c r="AD154" s="81" t="n"/>
      <c r="AE154" s="81" t="n"/>
      <c r="AF154" s="39" t="n"/>
      <c r="AG154" s="40" t="n"/>
      <c r="AH154" s="81" t="n"/>
      <c r="AI154" s="83" t="n"/>
      <c r="AJ154" s="83" t="n"/>
      <c r="AK154" s="81" t="n"/>
      <c r="AL154" s="81" t="n"/>
      <c r="AM154" s="81" t="n"/>
    </row>
    <row r="155">
      <c r="A155" s="64" t="inlineStr">
        <is>
          <t>НЕ В ОСТАТКАХ (юнитка без строки в остатках)</t>
        </is>
      </c>
      <c r="B155" s="65" t="n"/>
      <c r="C155" s="65" t="n"/>
      <c r="E155" s="65" t="n"/>
      <c r="F155" s="65" t="n"/>
      <c r="G155" s="65" t="n"/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65" t="n"/>
      <c r="U155" s="65" t="n"/>
      <c r="V155" s="65" t="n"/>
      <c r="W155" s="65" t="n"/>
      <c r="X155" s="65" t="n"/>
      <c r="Y155" s="65" t="n"/>
      <c r="Z155" s="65" t="n"/>
      <c r="AA155" s="65" t="n"/>
      <c r="AB155" s="65" t="n"/>
      <c r="AC155" s="65" t="n"/>
      <c r="AD155" s="65" t="n"/>
      <c r="AE155" s="65" t="n"/>
      <c r="AF155" s="65" t="n"/>
      <c r="AG155" s="65" t="n"/>
      <c r="AH155" s="65" t="n"/>
      <c r="AI155" s="65" t="n"/>
      <c r="AJ155" s="65" t="n"/>
      <c r="AK155" s="65" t="n"/>
      <c r="AL155" s="65" t="n"/>
      <c r="AM155" s="65" t="n"/>
    </row>
    <row r="156">
      <c r="A156" s="86" t="inlineStr">
        <is>
          <t>1025 DOKDO BUBBLE FOAM_150ml</t>
        </is>
      </c>
      <c r="B156" s="87" t="n">
        <v>600</v>
      </c>
      <c r="C156" s="48" t="n"/>
      <c r="D156" s="111" t="n">
        <v>0</v>
      </c>
      <c r="E156" s="69" t="n">
        <v>2650</v>
      </c>
      <c r="F156" s="69" t="n">
        <v>20</v>
      </c>
      <c r="G156" s="69" t="n">
        <v>2</v>
      </c>
      <c r="H156" s="69">
        <f>(1.25*M156+P156+R156+W156+Y156+Z156+AL156)/(1-N156-$H$8-$H$4-(1-I156)*$H$3-$H$11-AA156-AC156)</f>
        <v/>
      </c>
      <c r="I156" s="15" t="n">
        <v>0.45</v>
      </c>
      <c r="J156" s="16">
        <f>H156*(1-I156)</f>
        <v/>
      </c>
      <c r="K156" s="70" t="n">
        <v>455</v>
      </c>
      <c r="L156" s="71">
        <f>$H$5</f>
        <v/>
      </c>
      <c r="M156" s="19">
        <f>K156+L156</f>
        <v/>
      </c>
      <c r="N156" s="20" t="n">
        <v>0.47</v>
      </c>
      <c r="O156" s="72">
        <f>H156*N156</f>
        <v/>
      </c>
      <c r="P156" s="73" t="n">
        <v>74</v>
      </c>
      <c r="Q156" s="72">
        <f>H156*$H$8</f>
        <v/>
      </c>
      <c r="R156" s="73" t="n">
        <v>25</v>
      </c>
      <c r="S156" s="72">
        <f>H156*$H$4</f>
        <v/>
      </c>
      <c r="T156" s="72">
        <f>J156*$H$3</f>
        <v/>
      </c>
      <c r="U156" s="74" t="n">
        <v>0.9</v>
      </c>
      <c r="V156" s="73" t="n">
        <v>74</v>
      </c>
      <c r="W156" s="72">
        <f>V156*(1-U156)</f>
        <v/>
      </c>
      <c r="X156" s="75" t="n">
        <v>1.28</v>
      </c>
      <c r="Y156" s="72">
        <f>$H$6*$H$7*X156</f>
        <v/>
      </c>
      <c r="Z156" s="19">
        <f>X156*($H$9+$H$10)</f>
        <v/>
      </c>
      <c r="AA156" s="20" t="n">
        <v>0.07000000000000001</v>
      </c>
      <c r="AB156" s="72">
        <f>H156*AA156</f>
        <v/>
      </c>
      <c r="AC156" s="74" t="n">
        <v>0.08</v>
      </c>
      <c r="AD156" s="72">
        <f>H156*AC156</f>
        <v/>
      </c>
      <c r="AE156" s="72">
        <f>AB156+AD156</f>
        <v/>
      </c>
      <c r="AF156" s="25">
        <f>AE156/H156</f>
        <v/>
      </c>
      <c r="AG156" s="26">
        <f>H156-O156-P156-Q156-R156-S156-T156-W156-Y156-Z156-M156-AL156-AM156</f>
        <v/>
      </c>
      <c r="AH156" s="76">
        <f>AG156-AE156</f>
        <v/>
      </c>
      <c r="AI156" s="77">
        <f>AH156/H156</f>
        <v/>
      </c>
      <c r="AJ156" s="78">
        <f>AH156/M156</f>
        <v/>
      </c>
      <c r="AK156" s="72">
        <f>(P156+R156+W156+Y156+Z156+M156+AL156)/(1-(N156+$H$4+(1-I156)*$H$3+$H$8+$H$11+AA156+AC156))</f>
        <v/>
      </c>
      <c r="AL156" s="72">
        <f>$H$12</f>
        <v/>
      </c>
      <c r="AM156" s="72">
        <f>H156*$H$11</f>
        <v/>
      </c>
    </row>
    <row r="157">
      <c r="A157" s="86" t="inlineStr">
        <is>
          <t>MEDICUBE PDRN PINK PEPTIDE SERUM 30ml</t>
        </is>
      </c>
      <c r="B157" s="87" t="n">
        <v>320</v>
      </c>
      <c r="C157" s="45" t="n"/>
      <c r="E157" s="69" t="n">
        <v>4880</v>
      </c>
      <c r="F157" s="69" t="n">
        <v>220</v>
      </c>
      <c r="G157" s="69" t="n">
        <v>10</v>
      </c>
      <c r="H157" s="69">
        <f>(1.25*M157+P157+R157+W157+Y157+Z157+AL157)/(1-N157-$H$8-$H$4-(1-I157)*$H$3-$H$11-AA157-AC157)</f>
        <v/>
      </c>
      <c r="I157" s="15" t="n">
        <v>0.45</v>
      </c>
      <c r="J157" s="16">
        <f>H157*(1-I157)</f>
        <v/>
      </c>
      <c r="K157" s="70" t="n">
        <v>674</v>
      </c>
      <c r="L157" s="71">
        <f>$H$5</f>
        <v/>
      </c>
      <c r="M157" s="19">
        <f>K157+L157</f>
        <v/>
      </c>
      <c r="N157" s="20" t="n">
        <v>0.47</v>
      </c>
      <c r="O157" s="72">
        <f>H157*N157</f>
        <v/>
      </c>
      <c r="P157" s="73" t="n">
        <v>63</v>
      </c>
      <c r="Q157" s="72">
        <f>H157*$H$8</f>
        <v/>
      </c>
      <c r="R157" s="73" t="n">
        <v>25</v>
      </c>
      <c r="S157" s="72">
        <f>H157*$H$4</f>
        <v/>
      </c>
      <c r="T157" s="72">
        <f>J157*$H$3</f>
        <v/>
      </c>
      <c r="U157" s="74" t="n">
        <v>0.9</v>
      </c>
      <c r="V157" s="73" t="n">
        <v>63</v>
      </c>
      <c r="W157" s="72">
        <f>V157*(1-U157)</f>
        <v/>
      </c>
      <c r="X157" s="75" t="n">
        <v>0.4</v>
      </c>
      <c r="Y157" s="72">
        <f>$H$6*$H$7*X157</f>
        <v/>
      </c>
      <c r="Z157" s="19">
        <f>X157*($H$9+$H$10)</f>
        <v/>
      </c>
      <c r="AA157" s="20" t="n">
        <v>0.07000000000000001</v>
      </c>
      <c r="AB157" s="72">
        <f>H157*AA157</f>
        <v/>
      </c>
      <c r="AC157" s="74" t="n">
        <v>0.08</v>
      </c>
      <c r="AD157" s="72">
        <f>H157*AC157</f>
        <v/>
      </c>
      <c r="AE157" s="72">
        <f>AB157+AD157</f>
        <v/>
      </c>
      <c r="AF157" s="25">
        <f>AE157/H157</f>
        <v/>
      </c>
      <c r="AG157" s="26">
        <f>H157-O157-P157-Q157-R157-S157-T157-W157-Y157-Z157-M157-AL157-AM157</f>
        <v/>
      </c>
      <c r="AH157" s="76">
        <f>AG157-AE157</f>
        <v/>
      </c>
      <c r="AI157" s="77">
        <f>AH157/H157</f>
        <v/>
      </c>
      <c r="AJ157" s="78">
        <f>AH157/M157</f>
        <v/>
      </c>
      <c r="AK157" s="72">
        <f>(P157+R157+W157+Y157+Z157+M157+AL157)/(1-(N157+$H$4+(1-I157)*$H$3+$H$8+$H$11+AA157+AC157))</f>
        <v/>
      </c>
      <c r="AL157" s="72">
        <f>$H$12</f>
        <v/>
      </c>
      <c r="AM157" s="72">
        <f>H157*$H$11</f>
        <v/>
      </c>
    </row>
    <row r="158">
      <c r="A158" s="86" t="inlineStr">
        <is>
          <t>MEDICUBE PDRN PINK EXOSOME SHOT SERUM 7500 30ml</t>
        </is>
      </c>
      <c r="B158" s="87" t="n">
        <v>400</v>
      </c>
      <c r="C158" s="49" t="n"/>
      <c r="E158" s="69" t="n">
        <v>5000</v>
      </c>
      <c r="F158" s="69" t="n">
        <v>60</v>
      </c>
      <c r="G158" s="69" t="n">
        <v>10</v>
      </c>
      <c r="H158" s="69">
        <f>(1.25*M158+P158+R158+W158+Y158+Z158+AL158)/(1-N158-$H$8-$H$4-(1-I158)*$H$3-$H$11-AA158-AC158)</f>
        <v/>
      </c>
      <c r="I158" s="15" t="n">
        <v>0.45</v>
      </c>
      <c r="J158" s="16">
        <f>H158*(1-I158)</f>
        <v/>
      </c>
      <c r="K158" s="70" t="n">
        <v>833</v>
      </c>
      <c r="L158" s="71">
        <f>$H$5</f>
        <v/>
      </c>
      <c r="M158" s="19">
        <f>K158+L158</f>
        <v/>
      </c>
      <c r="N158" s="20" t="n">
        <v>0.47</v>
      </c>
      <c r="O158" s="72">
        <f>H158*N158</f>
        <v/>
      </c>
      <c r="P158" s="73" t="n">
        <v>63</v>
      </c>
      <c r="Q158" s="72">
        <f>H158*$H$8</f>
        <v/>
      </c>
      <c r="R158" s="73" t="n">
        <v>25</v>
      </c>
      <c r="S158" s="72">
        <f>H158*$H$4</f>
        <v/>
      </c>
      <c r="T158" s="72">
        <f>J158*$H$3</f>
        <v/>
      </c>
      <c r="U158" s="74" t="n">
        <v>0.9</v>
      </c>
      <c r="V158" s="73" t="n">
        <v>63</v>
      </c>
      <c r="W158" s="72">
        <f>V158*(1-U158)</f>
        <v/>
      </c>
      <c r="X158" s="75" t="n">
        <v>0.4</v>
      </c>
      <c r="Y158" s="72">
        <f>$H$6*$H$7*X158</f>
        <v/>
      </c>
      <c r="Z158" s="19">
        <f>X158*($H$9+$H$10)</f>
        <v/>
      </c>
      <c r="AA158" s="20" t="n">
        <v>0.07000000000000001</v>
      </c>
      <c r="AB158" s="72">
        <f>H158*AA158</f>
        <v/>
      </c>
      <c r="AC158" s="74" t="n">
        <v>0.08</v>
      </c>
      <c r="AD158" s="72">
        <f>H158*AC158</f>
        <v/>
      </c>
      <c r="AE158" s="72">
        <f>AB158+AD158</f>
        <v/>
      </c>
      <c r="AF158" s="25">
        <f>AE158/H158</f>
        <v/>
      </c>
      <c r="AG158" s="26">
        <f>H158-O158-P158-Q158-R158-S158-T158-W158-Y158-Z158-M158-AL158-AM158</f>
        <v/>
      </c>
      <c r="AH158" s="76">
        <f>AG158-AE158</f>
        <v/>
      </c>
      <c r="AI158" s="77">
        <f>AH158/H158</f>
        <v/>
      </c>
      <c r="AJ158" s="78">
        <f>AH158/M158</f>
        <v/>
      </c>
      <c r="AK158" s="72">
        <f>(P158+R158+W158+Y158+Z158+M158+AL158)/(1-(N158+$H$4+(1-I158)*$H$3+$H$8+$H$11+AA158+AC158))</f>
        <v/>
      </c>
      <c r="AL158" s="72">
        <f>$H$12</f>
        <v/>
      </c>
      <c r="AM158" s="72">
        <f>H158*$H$11</f>
        <v/>
      </c>
    </row>
    <row r="159">
      <c r="A159" s="86" t="inlineStr">
        <is>
          <t>MEDICUBE PDRN PINK EXOSOME SHOT SERUM 2000 30ml</t>
        </is>
      </c>
      <c r="B159" s="87" t="n">
        <v>300</v>
      </c>
      <c r="C159" s="45" t="n"/>
      <c r="E159" s="69" t="n">
        <v>5150</v>
      </c>
      <c r="F159" s="69" t="n">
        <v>65</v>
      </c>
      <c r="G159" s="69" t="n">
        <v>5</v>
      </c>
      <c r="H159" s="69">
        <f>(1.25*M159+P159+R159+W159+Y159+Z159+AL159)/(1-N159-$H$8-$H$4-(1-I159)*$H$3-$H$11-AA159-AC159)</f>
        <v/>
      </c>
      <c r="I159" s="15" t="n">
        <v>0.45</v>
      </c>
      <c r="J159" s="16">
        <f>H159*(1-I159)</f>
        <v/>
      </c>
      <c r="K159" s="70" t="n">
        <v>757</v>
      </c>
      <c r="L159" s="71">
        <f>$H$5</f>
        <v/>
      </c>
      <c r="M159" s="19">
        <f>K159+L159</f>
        <v/>
      </c>
      <c r="N159" s="20" t="n">
        <v>0.47</v>
      </c>
      <c r="O159" s="72">
        <f>H159*N159</f>
        <v/>
      </c>
      <c r="P159" s="73" t="n">
        <v>63</v>
      </c>
      <c r="Q159" s="72">
        <f>H159*$H$8</f>
        <v/>
      </c>
      <c r="R159" s="73" t="n">
        <v>25</v>
      </c>
      <c r="S159" s="72">
        <f>H159*$H$4</f>
        <v/>
      </c>
      <c r="T159" s="72">
        <f>J159*$H$3</f>
        <v/>
      </c>
      <c r="U159" s="74" t="n">
        <v>0.9</v>
      </c>
      <c r="V159" s="73" t="n">
        <v>63</v>
      </c>
      <c r="W159" s="72">
        <f>V159*(1-U159)</f>
        <v/>
      </c>
      <c r="X159" s="75" t="n">
        <v>0.4</v>
      </c>
      <c r="Y159" s="72">
        <f>$H$6*$H$7*X159</f>
        <v/>
      </c>
      <c r="Z159" s="19">
        <f>X159*($H$9+$H$10)</f>
        <v/>
      </c>
      <c r="AA159" s="20" t="n">
        <v>0.07000000000000001</v>
      </c>
      <c r="AB159" s="72">
        <f>H159*AA159</f>
        <v/>
      </c>
      <c r="AC159" s="74" t="n">
        <v>0.08</v>
      </c>
      <c r="AD159" s="72">
        <f>H159*AC159</f>
        <v/>
      </c>
      <c r="AE159" s="72">
        <f>AB159+AD159</f>
        <v/>
      </c>
      <c r="AF159" s="25">
        <f>AE159/H159</f>
        <v/>
      </c>
      <c r="AG159" s="26">
        <f>H159-O159-P159-Q159-R159-S159-T159-W159-Y159-Z159-M159-AL159-AM159</f>
        <v/>
      </c>
      <c r="AH159" s="76">
        <f>AG159-AE159</f>
        <v/>
      </c>
      <c r="AI159" s="77">
        <f>AH159/H159</f>
        <v/>
      </c>
      <c r="AJ159" s="78">
        <f>AH159/M159</f>
        <v/>
      </c>
      <c r="AK159" s="72">
        <f>(P159+R159+W159+Y159+Z159+M159+AL159)/(1-(N159+$H$4+(1-I159)*$H$3+$H$8+$H$11+AA159+AC159))</f>
        <v/>
      </c>
      <c r="AL159" s="72">
        <f>$H$12</f>
        <v/>
      </c>
      <c r="AM159" s="72">
        <f>H159*$H$11</f>
        <v/>
      </c>
    </row>
    <row r="160">
      <c r="A160" s="86" t="inlineStr">
        <is>
          <t>MEDICUBE TXA NIACINAMIDE CAPSULE CREAM 55g</t>
        </is>
      </c>
      <c r="B160" s="87" t="n">
        <v>240</v>
      </c>
      <c r="C160" s="45" t="n"/>
      <c r="E160" s="69" t="n">
        <v>6900</v>
      </c>
      <c r="F160" s="69" t="n">
        <v>25</v>
      </c>
      <c r="G160" s="69" t="n">
        <v>0</v>
      </c>
      <c r="H160" s="69">
        <f>(1.25*M160+P160+R160+W160+Y160+Z160+AL160)/(1-N160-$H$8-$H$4-(1-I160)*$H$3-$H$11-AA160-AC160)</f>
        <v/>
      </c>
      <c r="I160" s="15" t="n">
        <v>0.45</v>
      </c>
      <c r="J160" s="16">
        <f>H160*(1-I160)</f>
        <v/>
      </c>
      <c r="K160" s="70" t="n">
        <v>922</v>
      </c>
      <c r="L160" s="71">
        <f>$H$5</f>
        <v/>
      </c>
      <c r="M160" s="19">
        <f>K160+L160</f>
        <v/>
      </c>
      <c r="N160" s="20" t="n">
        <v>0.47</v>
      </c>
      <c r="O160" s="72">
        <f>H160*N160</f>
        <v/>
      </c>
      <c r="P160" s="73" t="n">
        <v>63</v>
      </c>
      <c r="Q160" s="72">
        <f>H160*$H$8</f>
        <v/>
      </c>
      <c r="R160" s="73" t="n">
        <v>25</v>
      </c>
      <c r="S160" s="72">
        <f>H160*$H$4</f>
        <v/>
      </c>
      <c r="T160" s="72">
        <f>J160*$H$3</f>
        <v/>
      </c>
      <c r="U160" s="74" t="n">
        <v>0.9</v>
      </c>
      <c r="V160" s="73" t="n">
        <v>63</v>
      </c>
      <c r="W160" s="72">
        <f>V160*(1-U160)</f>
        <v/>
      </c>
      <c r="X160" s="75" t="n">
        <v>0.4</v>
      </c>
      <c r="Y160" s="72">
        <f>$H$6*$H$7*X160</f>
        <v/>
      </c>
      <c r="Z160" s="19">
        <f>X160*($H$9+$H$10)</f>
        <v/>
      </c>
      <c r="AA160" s="20" t="n">
        <v>0.07000000000000001</v>
      </c>
      <c r="AB160" s="72">
        <f>H160*AA160</f>
        <v/>
      </c>
      <c r="AC160" s="74" t="n">
        <v>0.08</v>
      </c>
      <c r="AD160" s="72">
        <f>H160*AC160</f>
        <v/>
      </c>
      <c r="AE160" s="72">
        <f>AB160+AD160</f>
        <v/>
      </c>
      <c r="AF160" s="25">
        <f>AE160/H160</f>
        <v/>
      </c>
      <c r="AG160" s="26">
        <f>H160-O160-P160-Q160-R160-S160-T160-W160-Y160-Z160-M160-AL160-AM160</f>
        <v/>
      </c>
      <c r="AH160" s="76">
        <f>AG160-AE160</f>
        <v/>
      </c>
      <c r="AI160" s="77">
        <f>AH160/H160</f>
        <v/>
      </c>
      <c r="AJ160" s="78">
        <f>AH160/M160</f>
        <v/>
      </c>
      <c r="AK160" s="72">
        <f>(P160+R160+W160+Y160+Z160+M160+AL160)/(1-(N160+$H$4+(1-I160)*$H$3+$H$8+$H$11+AA160+AC160))</f>
        <v/>
      </c>
      <c r="AL160" s="72">
        <f>$H$12</f>
        <v/>
      </c>
      <c r="AM160" s="72">
        <f>H160*$H$11</f>
        <v/>
      </c>
    </row>
    <row r="161">
      <c r="A161" s="86" t="inlineStr">
        <is>
          <t>MEDICUBE PDRN PINK COLLAGEN CAPSULE CREAM 55g</t>
        </is>
      </c>
      <c r="B161" s="87" t="n">
        <v>160</v>
      </c>
      <c r="C161" s="45" t="n"/>
      <c r="E161" s="69" t="n">
        <v>5270</v>
      </c>
      <c r="F161" s="69" t="n">
        <v>200</v>
      </c>
      <c r="G161" s="69" t="n">
        <v>17</v>
      </c>
      <c r="H161" s="69">
        <f>(1.25*M161+P161+R161+W161+Y161+Z161+AL161)/(1-N161-$H$8-$H$4-(1-I161)*$H$3-$H$11-AA161-AC161)</f>
        <v/>
      </c>
      <c r="I161" s="15" t="n">
        <v>0.45</v>
      </c>
      <c r="J161" s="16">
        <f>H161*(1-I161)</f>
        <v/>
      </c>
      <c r="K161" s="70" t="n">
        <v>1019</v>
      </c>
      <c r="L161" s="71">
        <f>$H$5</f>
        <v/>
      </c>
      <c r="M161" s="19">
        <f>K161+L161</f>
        <v/>
      </c>
      <c r="N161" s="20" t="n">
        <v>0.47</v>
      </c>
      <c r="O161" s="72">
        <f>H161*N161</f>
        <v/>
      </c>
      <c r="P161" s="73" t="n">
        <v>63</v>
      </c>
      <c r="Q161" s="72">
        <f>H161*$H$8</f>
        <v/>
      </c>
      <c r="R161" s="73" t="n">
        <v>25</v>
      </c>
      <c r="S161" s="72">
        <f>H161*$H$4</f>
        <v/>
      </c>
      <c r="T161" s="72">
        <f>J161*$H$3</f>
        <v/>
      </c>
      <c r="U161" s="74" t="n">
        <v>0.9</v>
      </c>
      <c r="V161" s="73" t="n">
        <v>63</v>
      </c>
      <c r="W161" s="72">
        <f>V161*(1-U161)</f>
        <v/>
      </c>
      <c r="X161" s="75" t="n">
        <v>0.4</v>
      </c>
      <c r="Y161" s="72">
        <f>$H$6*$H$7*X161</f>
        <v/>
      </c>
      <c r="Z161" s="19">
        <f>X161*($H$9+$H$10)</f>
        <v/>
      </c>
      <c r="AA161" s="20" t="n">
        <v>0.07000000000000001</v>
      </c>
      <c r="AB161" s="72">
        <f>H161*AA161</f>
        <v/>
      </c>
      <c r="AC161" s="74" t="n">
        <v>0.08</v>
      </c>
      <c r="AD161" s="72">
        <f>H161*AC161</f>
        <v/>
      </c>
      <c r="AE161" s="72">
        <f>AB161+AD161</f>
        <v/>
      </c>
      <c r="AF161" s="25">
        <f>AE161/H161</f>
        <v/>
      </c>
      <c r="AG161" s="26">
        <f>H161-O161-P161-Q161-R161-S161-T161-W161-Y161-Z161-M161-AL161-AM161</f>
        <v/>
      </c>
      <c r="AH161" s="76">
        <f>AG161-AE161</f>
        <v/>
      </c>
      <c r="AI161" s="77">
        <f>AH161/H161</f>
        <v/>
      </c>
      <c r="AJ161" s="78">
        <f>AH161/M161</f>
        <v/>
      </c>
      <c r="AK161" s="72">
        <f>(P161+R161+W161+Y161+Z161+M161+AL161)/(1-(N161+$H$4+(1-I161)*$H$3+$H$8+$H$11+AA161+AC161))</f>
        <v/>
      </c>
      <c r="AL161" s="72">
        <f>$H$12</f>
        <v/>
      </c>
      <c r="AM161" s="72">
        <f>H161*$H$11</f>
        <v/>
      </c>
    </row>
    <row r="162">
      <c r="A162" s="86" t="inlineStr">
        <is>
          <t>MEDICUBE PDRN PINK HYALURONIC MOISTURIZING CREAM 50ml</t>
        </is>
      </c>
      <c r="B162" s="87" t="n">
        <v>200</v>
      </c>
      <c r="C162" s="45" t="n"/>
      <c r="E162" s="69" t="n">
        <v>3450</v>
      </c>
      <c r="F162" s="69" t="n">
        <v>100</v>
      </c>
      <c r="G162" s="69" t="n">
        <v>10</v>
      </c>
      <c r="H162" s="69">
        <f>(1.25*M162+P162+R162+W162+Y162+Z162+AL162)/(1-N162-$H$8-$H$4-(1-I162)*$H$3-$H$11-AA162-AC162)</f>
        <v/>
      </c>
      <c r="I162" s="15" t="n">
        <v>0.45</v>
      </c>
      <c r="J162" s="16">
        <f>H162*(1-I162)</f>
        <v/>
      </c>
      <c r="K162" s="70" t="n">
        <v>670</v>
      </c>
      <c r="L162" s="71">
        <f>$H$5</f>
        <v/>
      </c>
      <c r="M162" s="19">
        <f>K162+L162</f>
        <v/>
      </c>
      <c r="N162" s="20" t="n">
        <v>0.47</v>
      </c>
      <c r="O162" s="72">
        <f>H162*N162</f>
        <v/>
      </c>
      <c r="P162" s="73" t="n">
        <v>63</v>
      </c>
      <c r="Q162" s="72">
        <f>H162*$H$8</f>
        <v/>
      </c>
      <c r="R162" s="73" t="n">
        <v>25</v>
      </c>
      <c r="S162" s="72">
        <f>H162*$H$4</f>
        <v/>
      </c>
      <c r="T162" s="72">
        <f>J162*$H$3</f>
        <v/>
      </c>
      <c r="U162" s="74" t="n">
        <v>0.9</v>
      </c>
      <c r="V162" s="73" t="n">
        <v>63</v>
      </c>
      <c r="W162" s="72">
        <f>V162*(1-U162)</f>
        <v/>
      </c>
      <c r="X162" s="75" t="n">
        <v>0.4</v>
      </c>
      <c r="Y162" s="72">
        <f>$H$6*$H$7*X162</f>
        <v/>
      </c>
      <c r="Z162" s="19">
        <f>X162*($H$9+$H$10)</f>
        <v/>
      </c>
      <c r="AA162" s="20" t="n">
        <v>0.07000000000000001</v>
      </c>
      <c r="AB162" s="72">
        <f>H162*AA162</f>
        <v/>
      </c>
      <c r="AC162" s="74" t="n">
        <v>0.08</v>
      </c>
      <c r="AD162" s="72">
        <f>H162*AC162</f>
        <v/>
      </c>
      <c r="AE162" s="72">
        <f>AB162+AD162</f>
        <v/>
      </c>
      <c r="AF162" s="25">
        <f>AE162/H162</f>
        <v/>
      </c>
      <c r="AG162" s="26">
        <f>H162-O162-P162-Q162-R162-S162-T162-W162-Y162-Z162-M162-AL162-AM162</f>
        <v/>
      </c>
      <c r="AH162" s="76">
        <f>AG162-AE162</f>
        <v/>
      </c>
      <c r="AI162" s="77">
        <f>AH162/H162</f>
        <v/>
      </c>
      <c r="AJ162" s="78">
        <f>AH162/M162</f>
        <v/>
      </c>
      <c r="AK162" s="72">
        <f>(P162+R162+W162+Y162+Z162+M162+AL162)/(1-(N162+$H$4+(1-I162)*$H$3+$H$8+$H$11+AA162+AC162))</f>
        <v/>
      </c>
      <c r="AL162" s="72">
        <f>$H$12</f>
        <v/>
      </c>
      <c r="AM162" s="72">
        <f>H162*$H$11</f>
        <v/>
      </c>
    </row>
    <row r="163">
      <c r="A163" s="86" t="inlineStr">
        <is>
          <t>[Derma Factory] PDRN 4% Ampoule</t>
        </is>
      </c>
      <c r="B163" s="87" t="n">
        <v>1530</v>
      </c>
      <c r="C163" s="45" t="n"/>
      <c r="D163" s="111" t="n">
        <v>0</v>
      </c>
      <c r="E163" s="69" t="n">
        <v>3350</v>
      </c>
      <c r="F163" s="69" t="n">
        <v>400</v>
      </c>
      <c r="G163" s="69" t="n">
        <v>13</v>
      </c>
      <c r="H163" s="69">
        <f>(1.25*M163+P163+R163+W163+Y163+Z163+AL163)/(1-N163-$H$8-$H$4-(1-I163)*$H$3-$H$11-AA163-AC163)</f>
        <v/>
      </c>
      <c r="I163" s="15" t="n">
        <v>0.45</v>
      </c>
      <c r="J163" s="16">
        <f>H163*(1-I163)</f>
        <v/>
      </c>
      <c r="K163" s="70" t="n">
        <v>407</v>
      </c>
      <c r="L163" s="71">
        <f>$H$5</f>
        <v/>
      </c>
      <c r="M163" s="19">
        <f>K163+L163</f>
        <v/>
      </c>
      <c r="N163" s="20" t="n">
        <v>0.47</v>
      </c>
      <c r="O163" s="72">
        <f>H163*N163</f>
        <v/>
      </c>
      <c r="P163" s="73" t="n">
        <v>63</v>
      </c>
      <c r="Q163" s="72">
        <f>H163*$H$8</f>
        <v/>
      </c>
      <c r="R163" s="73" t="n">
        <v>25</v>
      </c>
      <c r="S163" s="72">
        <f>H163*$H$4</f>
        <v/>
      </c>
      <c r="T163" s="72">
        <f>J163*$H$3</f>
        <v/>
      </c>
      <c r="U163" s="74" t="n">
        <v>0.9</v>
      </c>
      <c r="V163" s="73" t="n">
        <v>63</v>
      </c>
      <c r="W163" s="72">
        <f>V163*(1-U163)</f>
        <v/>
      </c>
      <c r="X163" s="75" t="n">
        <v>0.4</v>
      </c>
      <c r="Y163" s="72">
        <f>$H$6*$H$7*X163</f>
        <v/>
      </c>
      <c r="Z163" s="19">
        <f>X163*($H$9+$H$10)</f>
        <v/>
      </c>
      <c r="AA163" s="20" t="n">
        <v>0.07000000000000001</v>
      </c>
      <c r="AB163" s="72">
        <f>H163*AA163</f>
        <v/>
      </c>
      <c r="AC163" s="74" t="n">
        <v>0.08</v>
      </c>
      <c r="AD163" s="72">
        <f>H163*AC163</f>
        <v/>
      </c>
      <c r="AE163" s="72">
        <f>AB163+AD163</f>
        <v/>
      </c>
      <c r="AF163" s="25">
        <f>AE163/H163</f>
        <v/>
      </c>
      <c r="AG163" s="26">
        <f>H163-O163-P163-Q163-R163-S163-T163-W163-Y163-Z163-M163-AL163-AM163</f>
        <v/>
      </c>
      <c r="AH163" s="76">
        <f>AG163-AE163</f>
        <v/>
      </c>
      <c r="AI163" s="77">
        <f>AH163/H163</f>
        <v/>
      </c>
      <c r="AJ163" s="78">
        <f>AH163/M163</f>
        <v/>
      </c>
      <c r="AK163" s="72">
        <f>(P163+R163+W163+Y163+Z163+M163+AL163)/(1-(N163+$H$4+(1-I163)*$H$3+$H$8+$H$11+AA163+AC163))</f>
        <v/>
      </c>
      <c r="AL163" s="72">
        <f>$H$12</f>
        <v/>
      </c>
      <c r="AM163" s="72">
        <f>H163*$H$11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97"/>
  <sheetViews>
    <sheetView workbookViewId="0">
      <selection activeCell="D11" sqref="D11"/>
    </sheetView>
  </sheetViews>
  <sheetFormatPr baseColWidth="8" defaultRowHeight="14.5"/>
  <cols>
    <col width="56.08984375" customWidth="1" min="1" max="1"/>
  </cols>
  <sheetData>
    <row r="1" ht="15" customHeight="1" thickBot="1">
      <c r="A1" s="91" t="n"/>
      <c r="B1" s="91" t="n"/>
    </row>
    <row r="2" ht="15" customHeight="1" thickBot="1">
      <c r="A2" s="91" t="n"/>
      <c r="B2" s="91" t="n"/>
    </row>
    <row r="3" ht="15" customHeight="1" thickBot="1">
      <c r="A3" s="92" t="n"/>
      <c r="B3" s="93" t="n"/>
    </row>
    <row r="4" ht="15" customHeight="1" thickBot="1">
      <c r="A4" s="94" t="inlineStr">
        <is>
          <t>Наименование</t>
        </is>
      </c>
      <c r="B4" s="95" t="inlineStr">
        <is>
          <t>Остаток</t>
        </is>
      </c>
    </row>
    <row r="5" ht="15" customHeight="1" thickBot="1">
      <c r="A5" s="92" t="n"/>
      <c r="B5" s="96" t="n"/>
    </row>
    <row r="6" ht="22" customHeight="1" thickBot="1">
      <c r="A6" s="97" t="inlineStr">
        <is>
          <t>COSRX - Advanced Snail 96 Mucin Power Essence [100ml] / Высокоактивная эссенция для лица с 96% муцина улитки</t>
        </is>
      </c>
      <c r="B6" s="95" t="n">
        <v>0</v>
      </c>
    </row>
    <row r="7" ht="22" customHeight="1" thickBot="1">
      <c r="A7" s="97" t="inlineStr">
        <is>
          <t>COSRX - Salicylic Acid Daily Gentle Cleanser [150ml] / Пенка с салициловой кислотой для проблемной кожи</t>
        </is>
      </c>
      <c r="B7" s="95" t="n">
        <v>412</v>
      </c>
    </row>
    <row r="8" ht="15" customHeight="1" thickBot="1">
      <c r="A8" s="92" t="n"/>
      <c r="B8" s="95" t="n">
        <v>0</v>
      </c>
    </row>
    <row r="9" ht="15" customHeight="1" thickBot="1">
      <c r="A9" s="92" t="n"/>
      <c r="B9" s="95" t="n">
        <v>0</v>
      </c>
    </row>
    <row r="10" ht="22" customHeight="1" thickBot="1">
      <c r="A10" s="98" t="inlineStr">
        <is>
          <t>DEOPROCE - SNAIL RECOVERY CREAM [100g] / Крем восстанавливающий с муцином улитки</t>
        </is>
      </c>
      <c r="B10" s="95" t="n">
        <v>0</v>
      </c>
    </row>
    <row r="11" ht="15" customHeight="1" thickBot="1">
      <c r="A11" s="92" t="n"/>
      <c r="B11" s="95" t="n">
        <v>0</v>
      </c>
    </row>
    <row r="12" ht="15" customHeight="1" thickBot="1">
      <c r="A12" s="92" t="n"/>
      <c r="B12" s="95" t="n">
        <v>0</v>
      </c>
    </row>
    <row r="13" ht="22" customHeight="1" thickBot="1">
      <c r="A13" s="98" t="inlineStr">
        <is>
          <t>DEOPROCE RINSE - BLACK GARLIC INTENSME ENERGY [1000ml] / Бальзам от выпадения волос Чёрный чеснок</t>
        </is>
      </c>
      <c r="B13" s="95" t="n">
        <v>0</v>
      </c>
    </row>
    <row r="14" ht="15" customHeight="1" thickBot="1">
      <c r="A14" s="92" t="n"/>
      <c r="B14" s="95" t="n">
        <v>0</v>
      </c>
    </row>
    <row r="15" ht="15" customHeight="1" thickBot="1">
      <c r="A15" s="92" t="n"/>
      <c r="B15" s="95" t="n">
        <v>0</v>
      </c>
    </row>
    <row r="16" ht="22" customHeight="1" thickBot="1">
      <c r="A16" s="98" t="inlineStr">
        <is>
          <t>DEOPROCE SHAMPOO - ARGAN SILKY MOISTURE [1000ml] / Шампунь для волос с аргановым маслом</t>
        </is>
      </c>
      <c r="B16" s="95" t="n">
        <v>0</v>
      </c>
    </row>
    <row r="17" ht="22" customHeight="1" thickBot="1">
      <c r="A17" s="98" t="inlineStr">
        <is>
          <t>DEOPROCE SHAMPOO - BLACK GARLIC INTENSME ENERGY [600ml] мягкая упаковка Шампунь с черным чесноком против выпадения волос</t>
        </is>
      </c>
      <c r="B17" s="95" t="n">
        <v>72</v>
      </c>
    </row>
    <row r="18" ht="22" customHeight="1" thickBot="1">
      <c r="A18" s="98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8" s="95" t="n">
        <v>19</v>
      </c>
    </row>
    <row r="19" ht="22" customHeight="1" thickBot="1">
      <c r="A19" s="98" t="inlineStr">
        <is>
          <t>DEOPROCE SHAMPOO - BLACK GARLIC INTENSME ENERGY [200ml]/ Шампунь с черным чесноком против выпадения волос</t>
        </is>
      </c>
      <c r="B19" s="95" t="n">
        <v>370</v>
      </c>
    </row>
    <row r="20" ht="22" customHeight="1" thickBot="1">
      <c r="A20" s="98" t="inlineStr">
        <is>
          <t>DEOPROCE SHAMPOO - ARGAN SILKY MOISTURE [1000ml] / Шампунь для волос с аргановым маслом</t>
        </is>
      </c>
      <c r="B20" s="95" t="n">
        <v>0</v>
      </c>
    </row>
    <row r="21" ht="22" customHeight="1" thickBot="1">
      <c r="A21" s="98" t="inlineStr">
        <is>
          <t>DEOPROCE SHAMPOO - BLACK GARLIC INTENSME ENERGY [1000ml] / Шампунь с черным чесноком против выпадения волос</t>
        </is>
      </c>
      <c r="B21" s="95" t="n">
        <v>0</v>
      </c>
    </row>
    <row r="22" ht="15" customHeight="1" thickBot="1">
      <c r="A22" s="92" t="n"/>
      <c r="B22" s="95" t="n">
        <v>0</v>
      </c>
    </row>
    <row r="23" ht="15" customHeight="1" thickBot="1">
      <c r="A23" s="92" t="n"/>
      <c r="B23" s="95" t="n">
        <v>0</v>
      </c>
    </row>
    <row r="24" ht="15" customHeight="1" thickBot="1">
      <c r="A24" s="99" t="inlineStr">
        <is>
          <t>DEOPROCE SHAMPOO+BALSAM - BLACK GARLIC[2000ml]</t>
        </is>
      </c>
      <c r="B24" s="95" t="n">
        <v>447</v>
      </c>
    </row>
    <row r="25" ht="15" customHeight="1" thickBot="1">
      <c r="A25" s="92" t="n"/>
      <c r="B25" s="95" t="n">
        <v>0</v>
      </c>
    </row>
    <row r="26" ht="15" customHeight="1" thickBot="1">
      <c r="A26" s="92" t="n"/>
      <c r="B26" s="95" t="n">
        <v>0</v>
      </c>
    </row>
    <row r="27" ht="22" customHeight="1" thickBot="1">
      <c r="A27" s="97" t="inlineStr">
        <is>
          <t>DEOPROCE - AC CICA CALMING BOOSTING TONER [150ml] / Успокаивающий тонизирующий тонер</t>
        </is>
      </c>
      <c r="B27" s="95" t="n">
        <v>0</v>
      </c>
    </row>
    <row r="28" ht="22" customHeight="1" thickBot="1">
      <c r="A28" s="97" t="inlineStr">
        <is>
          <t>DEOPROCE - REAL FRESH VEGAN CALMING TONER [200ml] / Успокаивающий тоник для лица</t>
        </is>
      </c>
      <c r="B28" s="95" t="n">
        <v>0</v>
      </c>
    </row>
    <row r="29" ht="15" customHeight="1" thickBot="1">
      <c r="A29" s="92" t="n"/>
      <c r="B29" s="95" t="n">
        <v>0</v>
      </c>
    </row>
    <row r="30" ht="15" customHeight="1" thickBot="1">
      <c r="A30" s="92" t="n"/>
      <c r="B30" s="95" t="n">
        <v>0</v>
      </c>
    </row>
    <row r="31" ht="22" customHeight="1" thickBot="1">
      <c r="A31" s="97" t="inlineStr">
        <is>
          <t>DR. JART - Ctrl+A Teatreatment Moisturizer [50ml] / Увлажняющий лечебный крем для лица против акне</t>
        </is>
      </c>
      <c r="B31" s="95" t="n">
        <v>0</v>
      </c>
    </row>
    <row r="32" ht="22" customHeight="1" thickBot="1">
      <c r="A32" s="97" t="inlineStr">
        <is>
          <t>DR. JART - Ctrl+A Teatreatment Soothing Spot AI [15ml] / Корректор для лица против акне</t>
        </is>
      </c>
      <c r="B32" s="95" t="n">
        <v>0</v>
      </c>
    </row>
    <row r="33" ht="15" customHeight="1" thickBot="1">
      <c r="A33" s="97" t="inlineStr">
        <is>
          <t>DR. JART - Dermaclear Micro Foam [120ml] / Гель пенка для умывания лица</t>
        </is>
      </c>
      <c r="B33" s="95" t="n">
        <v>0</v>
      </c>
    </row>
    <row r="34" ht="22" customHeight="1" thickBot="1">
      <c r="A34" s="97" t="inlineStr">
        <is>
          <t>DR. JART - Ctrl+A Teatreatment Toner [120ml] / Тонер тоник для лица увлажняющий с чайным деревом</t>
        </is>
      </c>
      <c r="B34" s="95" t="n">
        <v>180</v>
      </c>
    </row>
    <row r="35" ht="22" customHeight="1" thickBot="1">
      <c r="A35" s="97" t="inlineStr">
        <is>
          <t>DR. JART - Cicapair Tiger Grass Color Correcting Treatment [50ml] / СС Крем корректор для лица</t>
        </is>
      </c>
      <c r="B35" s="95" t="n">
        <v>0</v>
      </c>
    </row>
    <row r="36" ht="15" customHeight="1" thickBot="1">
      <c r="A36" s="92" t="n"/>
      <c r="B36" s="95" t="n">
        <v>0</v>
      </c>
    </row>
    <row r="37" ht="15" customHeight="1" thickBot="1">
      <c r="A37" s="92" t="n"/>
      <c r="B37" s="95" t="n">
        <v>0</v>
      </c>
    </row>
    <row r="38" ht="22" customHeight="1" thickBot="1">
      <c r="A38" s="97" t="inlineStr">
        <is>
          <t>EKEL - Ampoule Toner Collagen [150ml] / Увлажняющий тоник для лица омолаживающий тонер</t>
        </is>
      </c>
      <c r="B38" s="95" t="n">
        <v>0</v>
      </c>
    </row>
    <row r="39" ht="15" customHeight="1" thickBot="1">
      <c r="A39" s="97" t="inlineStr">
        <is>
          <t>EKEL - Ampule Сream Сollagen [70ml] / Крем для лица ампульный с коллагеном</t>
        </is>
      </c>
      <c r="B39" s="95" t="n">
        <v>50</v>
      </c>
    </row>
    <row r="40" ht="15" customHeight="1" thickBot="1">
      <c r="A40" s="97" t="inlineStr">
        <is>
          <t>EKEL - Ampoule Cream Collagen [50ml] / Ампульный крем с коллагеном</t>
        </is>
      </c>
      <c r="B40" s="95" t="n">
        <v>0</v>
      </c>
    </row>
    <row r="41" ht="15" customHeight="1" thickBot="1">
      <c r="A41" s="92" t="n"/>
      <c r="B41" s="95" t="n">
        <v>0</v>
      </c>
    </row>
    <row r="42" ht="15" customHeight="1" thickBot="1">
      <c r="A42" s="92" t="n"/>
      <c r="B42" s="95" t="n">
        <v>0</v>
      </c>
    </row>
    <row r="43" ht="22" customHeight="1" thickBot="1">
      <c r="A43" s="97" t="inlineStr">
        <is>
          <t>ELIZAVECCA - 24K Gold Snail Cleansing Foam [180ml] / Золотая пенка умывалка для лица с улиткой</t>
        </is>
      </c>
      <c r="B43" s="95" t="n">
        <v>0</v>
      </c>
    </row>
    <row r="44" ht="22" customHeight="1" thickBot="1">
      <c r="A44" s="97" t="inlineStr">
        <is>
          <t>ELIZAVECCA - Aqua Hyaluronic Acid Water Drop Cream / Увлажняющий крем для лица с гиалуроновой кислотой</t>
        </is>
      </c>
      <c r="B44" s="95" t="n">
        <v>0</v>
      </c>
    </row>
    <row r="45" ht="22" customHeight="1" thickBot="1">
      <c r="A45" s="97" t="inlineStr">
        <is>
          <t>ELIZAVECCA - CER-100 Collagen Ceramide Coating Protein Treatment [100ml] / Коллагеновая маска для волос</t>
        </is>
      </c>
      <c r="B45" s="95" t="n">
        <v>453</v>
      </c>
    </row>
    <row r="46" ht="22" customHeight="1" thickBot="1">
      <c r="A46" s="97" t="inlineStr">
        <is>
          <t>ELIZAVECCA - Hell pore clean up aha fruit toner [ 200ml] / Пилинг-тоник с фруктовыми кислотами</t>
        </is>
      </c>
      <c r="B46" s="95" t="n">
        <v>0</v>
      </c>
    </row>
    <row r="47" ht="22" customHeight="1" thickBot="1">
      <c r="A47" s="97" t="inlineStr">
        <is>
          <t>ELIZAVECCA - Hell-Pore Control Hyaluronic Acid 97 / Сыворотка для лица с гиалуроновой кислотой 97%</t>
        </is>
      </c>
      <c r="B47" s="95" t="n">
        <v>0</v>
      </c>
    </row>
    <row r="48" ht="22" customHeight="1" thickBot="1">
      <c r="A48" s="97" t="inlineStr">
        <is>
          <t>ELIZAVECCA - Hell-Pore Galactomyces Pure Ample / Сыворотка для лица с экстрактом галактомисиса</t>
        </is>
      </c>
      <c r="B48" s="95" t="n">
        <v>50</v>
      </c>
    </row>
    <row r="49" ht="22" customHeight="1" thickBot="1">
      <c r="A49" s="97" t="inlineStr">
        <is>
          <t>ELIZAVECCA - Milky Piggy Carbonated Bubble Clay Pack / Глиняно-пузырьковая маска для лица - новая</t>
        </is>
      </c>
      <c r="B49" s="95" t="n">
        <v>0</v>
      </c>
    </row>
    <row r="50" ht="22" customHeight="1" thickBot="1">
      <c r="A50" s="97" t="inlineStr">
        <is>
          <t>ELIZAVECCA - Milky Piggy EGF elastic retinol [100ml] / Антивозрастной крем для лица с ретинолом и EGF</t>
        </is>
      </c>
      <c r="B50" s="95" t="n">
        <v>235</v>
      </c>
    </row>
    <row r="51" ht="22" customHeight="1" thickBot="1">
      <c r="A51" s="97" t="inlineStr">
        <is>
          <t>ELIZAVECCA - Milky Piggy Hell-Pore Clean Up Enzyme Powder Wash / Очищаемая энзимная пудра для умывания</t>
        </is>
      </c>
      <c r="B51" s="95" t="n">
        <v>0</v>
      </c>
    </row>
    <row r="52" ht="22" customHeight="1" thickBot="1">
      <c r="A52" s="97" t="inlineStr">
        <is>
          <t>ELIZAVECCA - Milky Piggy Hell-Pore Clean Up Enzyme Powder Wash / Очищаемая энзимная пудра для умывания</t>
        </is>
      </c>
      <c r="B52" s="95" t="n">
        <v>0</v>
      </c>
    </row>
    <row r="53" ht="22" customHeight="1" thickBot="1">
      <c r="A53" s="97" t="inlineStr">
        <is>
          <t>ELIZAVECCA - Natural 90% Olive Cleansing Oil / Очищающее гидрофильное масло с экстрактом оливы 90%</t>
        </is>
      </c>
      <c r="B53" s="95" t="n">
        <v>0</v>
      </c>
    </row>
    <row r="54" ht="15" customHeight="1" thickBot="1">
      <c r="A54" s="92" t="n"/>
      <c r="B54" s="95" t="n">
        <v>0</v>
      </c>
    </row>
    <row r="55" ht="15" customHeight="1" thickBot="1">
      <c r="A55" s="92" t="n"/>
      <c r="B55" s="95" t="n">
        <v>0</v>
      </c>
    </row>
    <row r="56" ht="22" customHeight="1" thickBot="1">
      <c r="A56" s="100" t="inlineStr">
        <is>
          <t>ENOUGH - Collagen Moisture Essential Cream [50ml] / Увлажняющий крем для лица с коллагеном</t>
        </is>
      </c>
      <c r="B56" s="95" t="inlineStr">
        <is>
          <t>8 266</t>
        </is>
      </c>
    </row>
    <row r="57" ht="22" customHeight="1" thickBot="1">
      <c r="A57" s="101" t="inlineStr">
        <is>
          <t>ENOUGH - Collagen Whitening Moisture Cream 3in1 [50g] / Антивозрастной отбеливающий крем с коллагеном</t>
        </is>
      </c>
      <c r="B57" s="95" t="n">
        <v>761</v>
      </c>
    </row>
    <row r="58" ht="22" customHeight="1" thickBot="1">
      <c r="A58" s="101" t="inlineStr">
        <is>
          <t>ENOUGH - Collagen Moisture Foundation [Tone 13] / Тональный крем для лица с коллагеном 13 тон</t>
        </is>
      </c>
      <c r="B58" s="95" t="inlineStr">
        <is>
          <t>1 089</t>
        </is>
      </c>
    </row>
    <row r="59" ht="22" customHeight="1" thickBot="1">
      <c r="A59" s="98" t="inlineStr">
        <is>
          <t>ENOUGH - Collagen Moisture Foundation [Tone 21] / Тональный крем для лица с коллагеном 21 тон</t>
        </is>
      </c>
      <c r="B59" s="95" t="inlineStr">
        <is>
          <t>2 275</t>
        </is>
      </c>
    </row>
    <row r="60" ht="22" customHeight="1" thickBot="1">
      <c r="A60" s="98" t="inlineStr">
        <is>
          <t>ENOUGH - Collagen Moisture Foundation [Tone 23] / Тональный крем для лица с коллагеном 23 тон</t>
        </is>
      </c>
      <c r="B60" s="95" t="n">
        <v>0</v>
      </c>
    </row>
    <row r="61" ht="22" customHeight="1" thickBot="1">
      <c r="A61" s="98" t="inlineStr">
        <is>
          <t>ENOUGH - Gold Snail Moisture Foundation [Tone 13] / Тональный крем с муцином улитки 13 тон</t>
        </is>
      </c>
      <c r="B61" s="95" t="n">
        <v>95</v>
      </c>
    </row>
    <row r="62" ht="22" customHeight="1" thickBot="1">
      <c r="A62" s="98" t="inlineStr">
        <is>
          <t>ENOUGH - Gold Snail Moisture Foundation [Tone 21] / Тональный крем с муцином улитки 21 тон</t>
        </is>
      </c>
      <c r="B62" s="95" t="n">
        <v>101</v>
      </c>
    </row>
    <row r="63" ht="22" customHeight="1" thickBot="1">
      <c r="A63" s="98" t="inlineStr">
        <is>
          <t>ENOUGH - Collagen 3in1 Whitening Moisture Foundation [Tone 13] / Тональный крем для лица с коллагеном 3в1 [13 тон]</t>
        </is>
      </c>
      <c r="B63" s="95" t="n">
        <v>247</v>
      </c>
    </row>
    <row r="64" ht="22" customHeight="1" thickBot="1">
      <c r="A64" s="98" t="inlineStr">
        <is>
          <t>ENOUGH - Collagen 3in1 Whitening Moisture Foundation [Tone 21] / Тональный крем для лица с коллагеном 3в1 [21 тон]</t>
        </is>
      </c>
      <c r="B64" s="95" t="n">
        <v>78</v>
      </c>
    </row>
    <row r="65" ht="22" customHeight="1" thickBot="1">
      <c r="A65" s="98" t="inlineStr">
        <is>
          <t>ENOUGH - Premium 8 Peptide Full Cover Perfect Foundation [Tone 13] / Тональный крем с пептидами 13 тон</t>
        </is>
      </c>
      <c r="B65" s="95" t="n">
        <v>463</v>
      </c>
    </row>
    <row r="66" ht="22" customHeight="1" thickBot="1">
      <c r="A66" s="98" t="inlineStr">
        <is>
          <t>ENOUGH - Premium 8 Peptide Full Cover Perfect Foundation [Tone 21] / Тональный крем с пептидами 21 тон</t>
        </is>
      </c>
      <c r="B66" s="95" t="n">
        <v>208</v>
      </c>
    </row>
    <row r="67" ht="22" customHeight="1" thickBot="1">
      <c r="A67" s="98" t="inlineStr">
        <is>
          <t>ENOUGH - Premium Rich Gold Double Wear Radiance Foundation [Tone 13] / Тональный крем с частичками золота 13 тон</t>
        </is>
      </c>
      <c r="B67" s="95" t="n">
        <v>0</v>
      </c>
    </row>
    <row r="68" ht="22" customHeight="1" thickBot="1">
      <c r="A68" s="98" t="inlineStr">
        <is>
          <t>ENOUGH - Premium Rich Gold Double Wear Radiance Foundation [Tone 21] / Тональный крем с частичками золота 21 тон</t>
        </is>
      </c>
      <c r="B68" s="95" t="n">
        <v>0</v>
      </c>
    </row>
    <row r="69" ht="22" customHeight="1" thickBot="1">
      <c r="A69" s="98" t="inlineStr">
        <is>
          <t>ENOUGH - Premium Ultra X10 Cover Up Collagen Foundation [Tone 13] / Тональный крем с коллагеном 13 тон</t>
        </is>
      </c>
      <c r="B69" s="95" t="n">
        <v>0</v>
      </c>
    </row>
    <row r="70" ht="22" customHeight="1" thickBot="1">
      <c r="A70" s="98" t="inlineStr">
        <is>
          <t>ENOUGH - Premium Ultra X10 Cover Up Collagen Foundation [Tone 21] / Тональный крем с коллагеном 21 тон</t>
        </is>
      </c>
      <c r="B70" s="95" t="n">
        <v>0</v>
      </c>
    </row>
    <row r="71" ht="15" customHeight="1" thickBot="1">
      <c r="A71" s="98" t="inlineStr">
        <is>
          <t>ENOUGH Collagen whitening cover tip concealer #01 [9g]/Консилер для лица</t>
        </is>
      </c>
      <c r="B71" s="95" t="n">
        <v>0</v>
      </c>
    </row>
    <row r="72" ht="22" customHeight="1" thickBot="1">
      <c r="A72" s="98" t="inlineStr">
        <is>
          <t>ENOUGH Collagen whitening cover tip concealer #01 [9g]/Консилер для лица (основная карточка) 4.5 рейтинг</t>
        </is>
      </c>
      <c r="B72" s="95" t="n">
        <v>593</v>
      </c>
    </row>
    <row r="73" ht="15" customHeight="1" thickBot="1">
      <c r="A73" s="98" t="inlineStr">
        <is>
          <t>ENOUGH Collagen whitening cover tip concealer #02 [9g]/Консилер для лица</t>
        </is>
      </c>
      <c r="B73" s="95" t="n">
        <v>0</v>
      </c>
    </row>
    <row r="74" ht="22" customHeight="1" thickBot="1">
      <c r="A74" s="98" t="inlineStr">
        <is>
          <t>ENOUGH Collagen whitening cover tip concealer #02 [9g]/Консилер для лица (основная карточка)</t>
        </is>
      </c>
      <c r="B74" s="95" t="n">
        <v>757</v>
      </c>
    </row>
    <row r="75" ht="15" customHeight="1" thickBot="1">
      <c r="A75" s="98" t="inlineStr">
        <is>
          <t>ENOUGH Collagen whitening cover tip concealer #03 [9g]/ Консилер для лица</t>
        </is>
      </c>
      <c r="B75" s="95" t="n">
        <v>0</v>
      </c>
    </row>
    <row r="76" ht="22" customHeight="1" thickBot="1">
      <c r="A76" s="98" t="inlineStr">
        <is>
          <t>ENOUGH Collagen whitening cover tip concealer #03 [9g]/ Консилер для лица (основаная карточка)</t>
        </is>
      </c>
      <c r="B76" s="95" t="n">
        <v>810</v>
      </c>
    </row>
    <row r="77" ht="22" customHeight="1" thickBot="1">
      <c r="A77" s="97" t="inlineStr">
        <is>
          <t>ENOUGH - Collagen 3in1 Sun Cream SPF50 PA+++ [50ml] / отбеливающий увлажняющий солнцезащитный крем 3в1</t>
        </is>
      </c>
      <c r="B77" s="95" t="n">
        <v>0</v>
      </c>
    </row>
    <row r="78" ht="22" customHeight="1" thickBot="1">
      <c r="A78" s="97" t="inlineStr">
        <is>
          <t>ENOUGH - Collagen Moisture BB Cream SPF47 PA+++ [50ml] / Увлажняющий BB крем с коллагеном</t>
        </is>
      </c>
      <c r="B78" s="95" t="n">
        <v>722</v>
      </c>
    </row>
    <row r="79" ht="22" customHeight="1" thickBot="1">
      <c r="A79" s="97" t="inlineStr">
        <is>
          <t>ENOUGH - Collagen Moisture BB Cream SPF47 PA+++ [50ml] / Увлажняющий BB крем с коллагеном</t>
        </is>
      </c>
      <c r="B79" s="95" t="n">
        <v>0</v>
      </c>
    </row>
    <row r="80" ht="22" customHeight="1" thickBot="1">
      <c r="A80" s="97" t="inlineStr">
        <is>
          <t>ENOUGH - Collagen Moisture Sun Cream SPF50+ PA++++ [50ml] / Увлажняющий солнцезащитный крем с коллагеном</t>
        </is>
      </c>
      <c r="B80" s="95" t="n">
        <v>0</v>
      </c>
    </row>
    <row r="81" ht="22" customHeight="1" thickBot="1">
      <c r="A81" s="97" t="inlineStr">
        <is>
          <t>ENOUGH - Collagen Moisture Sun Cream SPF50+ PA++++ [50ml] / Увлажняющий солнцезащитный крем с коллагеном</t>
        </is>
      </c>
      <c r="B81" s="95" t="n">
        <v>0</v>
      </c>
    </row>
    <row r="82" ht="15" customHeight="1" thickBot="1">
      <c r="A82" s="92" t="n"/>
      <c r="B82" s="95" t="n">
        <v>0</v>
      </c>
    </row>
    <row r="83" ht="15" customHeight="1" thickBot="1">
      <c r="A83" s="92" t="n"/>
      <c r="B83" s="95" t="n">
        <v>0</v>
      </c>
    </row>
    <row r="84" ht="22" customHeight="1" thickBot="1">
      <c r="A84" s="100" t="inlineStr">
        <is>
          <t>ETUDE - Baking Powder Crunch Pore Scrub [200ml] / Очищающий скраб для лица с содой</t>
        </is>
      </c>
      <c r="B84" s="95" t="inlineStr">
        <is>
          <t>7 910</t>
        </is>
      </c>
    </row>
    <row r="85" ht="22" customHeight="1" thickBot="1">
      <c r="A85" s="101" t="inlineStr">
        <is>
          <t>ETUDE - Baking Powder Pore Cleansing Foam [160ml] / Пенка для умывания с содой</t>
        </is>
      </c>
      <c r="B85" s="95" t="n">
        <v>0</v>
      </c>
    </row>
    <row r="86" ht="22" customHeight="1" thickBot="1">
      <c r="A86" s="98" t="inlineStr">
        <is>
          <t>ETUDE - Baking Powder BB Deep Cleansing Foam [160ml] / Пенка с содой для глубокого очищения и снятия макияжа</t>
        </is>
      </c>
      <c r="B86" s="95" t="n">
        <v>228</v>
      </c>
    </row>
    <row r="87" ht="22" customHeight="1" thickBot="1">
      <c r="A87" s="98" t="inlineStr">
        <is>
          <t>ETUDE - Baking Powder Crunch Pore Scrub [24*7ml] / Очищающий скраб для лица с содой</t>
        </is>
      </c>
      <c r="B87" s="95" t="n">
        <v>221</v>
      </c>
    </row>
    <row r="88" ht="22" customHeight="1" thickBot="1">
      <c r="A88" s="97" t="inlineStr">
        <is>
          <t>ETUDE - Baking Powder BB Deep Cleansing Foam [30ml] / Пенка с содой для глубокого очищения</t>
        </is>
      </c>
      <c r="B88" s="95" t="n">
        <v>0</v>
      </c>
    </row>
    <row r="89" ht="15" customHeight="1" thickBot="1">
      <c r="A89" s="92" t="n"/>
      <c r="B89" s="95" t="n">
        <v>0</v>
      </c>
    </row>
    <row r="90" ht="15" customHeight="1" thickBot="1">
      <c r="A90" s="92" t="n"/>
      <c r="B90" s="95" t="n">
        <v>0</v>
      </c>
    </row>
    <row r="91" ht="22" customHeight="1" thickBot="1">
      <c r="A91" s="100" t="inlineStr">
        <is>
          <t>FARMSTAY - Collagen &amp; Hyaluronic Acid All-In One Ampoule [250ml] / Сыворотка с коллагеном и гиалуроновой кислотой</t>
        </is>
      </c>
      <c r="B91" s="95" t="inlineStr">
        <is>
          <t>6 611</t>
        </is>
      </c>
    </row>
    <row r="92" ht="22" customHeight="1" thickBot="1">
      <c r="A92" s="100" t="inlineStr">
        <is>
          <t>FARMSTAY - Black Garlic Nourishing Shampoo [530ml] / Шампунь-кондиционер 2в1 с экстрактом черного чеснока</t>
        </is>
      </c>
      <c r="B92" s="95" t="inlineStr">
        <is>
          <t>3 360</t>
        </is>
      </c>
    </row>
    <row r="93" ht="22" customHeight="1" thickBot="1">
      <c r="A93" s="100" t="inlineStr">
        <is>
          <t>FARMSTAY - Gold Snail Premium Cream [50ml] / Омолаживающий крем с муцином улитки и коллоидным золотом</t>
        </is>
      </c>
      <c r="B93" s="95" t="inlineStr">
        <is>
          <t>1 104</t>
        </is>
      </c>
    </row>
    <row r="94" ht="22" customHeight="1" thickBot="1">
      <c r="A94" s="100" t="inlineStr">
        <is>
          <t>FARMSTAY - Escargot Noblesse Intensive Cream [50g] / Крем с муцином королевской улитки</t>
        </is>
      </c>
      <c r="B94" s="95" t="n">
        <v>964</v>
      </c>
    </row>
    <row r="95" ht="15" customHeight="1" thickBot="1">
      <c r="A95" s="101" t="inlineStr">
        <is>
          <t>FARMSTAY ESCARGOT NOBLESSE INTENSIVE AMPOULE/ сыворотка с улиткой</t>
        </is>
      </c>
      <c r="B95" s="95" t="inlineStr">
        <is>
          <t>1 021</t>
        </is>
      </c>
    </row>
    <row r="96" ht="22" customHeight="1" thickBot="1">
      <c r="A96" s="101" t="inlineStr">
        <is>
          <t>FARMSTAY - Argan Oil Complete Volume Up Shampoo &amp; Conditioner [530ml] / Шампунь-кондиционер с аргановым маслом</t>
        </is>
      </c>
      <c r="B96" s="95" t="inlineStr">
        <is>
          <t>2 535</t>
        </is>
      </c>
    </row>
    <row r="97" ht="22" customHeight="1" thickBot="1">
      <c r="A97" s="101" t="inlineStr">
        <is>
          <t>FARMSTAY - Collagen Water Full Shampoo &amp; Conditioner [530ml] / Шампунь-кондиционер 2в1 с коллагеном</t>
        </is>
      </c>
      <c r="B97" s="95" t="inlineStr">
        <is>
          <t>3 679</t>
        </is>
      </c>
    </row>
    <row r="98" ht="22" customHeight="1" thickBot="1">
      <c r="A98" s="101" t="inlineStr">
        <is>
          <t>FARMSTAY - Collagen Water Full Moist Rolling Eye Serum [25ml] / Сыворотка роллер для глаз</t>
        </is>
      </c>
      <c r="B98" s="95" t="n">
        <v>484</v>
      </c>
    </row>
    <row r="99" ht="22" customHeight="1" thickBot="1">
      <c r="A99" s="98" t="inlineStr">
        <is>
          <t>FARMSTAY - Collagen Water Full Moist Cream [100g] / Увлажняющий крем с коллагеном</t>
        </is>
      </c>
      <c r="B99" s="95" t="n">
        <v>287</v>
      </c>
    </row>
    <row r="100" ht="15" customHeight="1" thickBot="1">
      <c r="A100" s="98" t="inlineStr">
        <is>
          <t>FARMSTAY - Collagen Pure Cleansing Foam [180ml]/Пенка для умывания</t>
        </is>
      </c>
      <c r="B100" s="95" t="n">
        <v>515</v>
      </c>
    </row>
    <row r="101" ht="15" customHeight="1" thickBot="1">
      <c r="A101" s="92" t="n"/>
      <c r="B101" s="95" t="n">
        <v>0</v>
      </c>
    </row>
    <row r="102" ht="15" customHeight="1" thickBot="1">
      <c r="A102" s="92" t="n"/>
      <c r="B102" s="95" t="n">
        <v>0</v>
      </c>
    </row>
    <row r="103" ht="22" customHeight="1" thickBot="1">
      <c r="A103" s="101" t="inlineStr">
        <is>
          <t>HEIMISH - Artless Glow Base SPF50+ PA+++(Renew) [40ml] / База под макияж SPF50+ PA+++</t>
        </is>
      </c>
      <c r="B103" s="95" t="inlineStr">
        <is>
          <t>1 025</t>
        </is>
      </c>
    </row>
    <row r="104" ht="15" customHeight="1" thickBot="1">
      <c r="A104" s="97" t="inlineStr">
        <is>
          <t>HEIMISH - All Clean Balm [120ml] / Очищающий гидрофильный бальзам щербет</t>
        </is>
      </c>
      <c r="B104" s="95" t="n">
        <v>0</v>
      </c>
    </row>
    <row r="105" ht="22" customHeight="1" thickBot="1">
      <c r="A105" s="97" t="inlineStr">
        <is>
          <t>HEIMISH - All Clean Balm Mandarin [120ml] / Очищающий гидрофильный бальзам с мандарином</t>
        </is>
      </c>
      <c r="B105" s="95" t="n">
        <v>0</v>
      </c>
    </row>
    <row r="106" ht="22" customHeight="1" thickBot="1">
      <c r="A106" s="97" t="inlineStr">
        <is>
          <t>HEIMISH - All Clean Balm / Очищающий гидрофильный бальзам щербет МИНИ ВЕРСИЯ</t>
        </is>
      </c>
      <c r="B106" s="95" t="n">
        <v>400</v>
      </c>
    </row>
    <row r="107" ht="15" customHeight="1" thickBot="1">
      <c r="A107" s="102" t="n"/>
      <c r="B107" s="95" t="n">
        <v>0</v>
      </c>
    </row>
    <row r="108" ht="15" customHeight="1" thickBot="1">
      <c r="A108" s="92" t="n"/>
      <c r="B108" s="95" t="n">
        <v>0</v>
      </c>
    </row>
    <row r="109" ht="22" customHeight="1" thickBot="1">
      <c r="A109" s="101" t="inlineStr">
        <is>
          <t>I'm Sorry For My Skin - Age Capture Firming Enriched Cream / Увлажняющий капсульный крем</t>
        </is>
      </c>
      <c r="B109" s="95" t="n">
        <v>0</v>
      </c>
    </row>
    <row r="110" ht="22" customHeight="1" thickBot="1">
      <c r="A110" s="101" t="inlineStr">
        <is>
          <t>I'm Sorry For My Skin - Age Capture Skin Relief Cream / Увлажняющий капсульный крем</t>
        </is>
      </c>
      <c r="B110" s="95" t="n">
        <v>0</v>
      </c>
    </row>
    <row r="111" ht="22" customHeight="1" thickBot="1">
      <c r="A111" s="98" t="inlineStr">
        <is>
          <t>I'm Sorry For My Skin - Age Capture Hydrating Cream / Увлажняющий капсульный крем</t>
        </is>
      </c>
      <c r="B111" s="95" t="n">
        <v>0</v>
      </c>
    </row>
    <row r="112" ht="22" customHeight="1" thickBot="1">
      <c r="A112" s="98" t="inlineStr">
        <is>
          <t>I'm Sorry For My Skin - Age Capture Vitalizer Cream / Увлажняющий капсульный крем</t>
        </is>
      </c>
      <c r="B112" s="95" t="n">
        <v>0</v>
      </c>
    </row>
    <row r="113" ht="15" customHeight="1" thickBot="1">
      <c r="A113" s="92" t="n"/>
      <c r="B113" s="95" t="n">
        <v>0</v>
      </c>
    </row>
    <row r="114" ht="15" customHeight="1" thickBot="1">
      <c r="A114" s="92" t="n"/>
      <c r="B114" s="95" t="n">
        <v>0</v>
      </c>
    </row>
    <row r="115" ht="22" customHeight="1" thickBot="1">
      <c r="A115" s="97" t="inlineStr">
        <is>
          <t>ISNTREE - Chestnut AHA 8% Clear Essence [100ml] / Увлажняющая эссенция для глубокого очищения лица</t>
        </is>
      </c>
      <c r="B115" s="95" t="n">
        <v>0</v>
      </c>
    </row>
    <row r="116" ht="22" customHeight="1" thickBot="1">
      <c r="A116" s="97" t="inlineStr">
        <is>
          <t>ISNTREE - Chestnut AHA 8% Clear Essence Sample [20ml] / Увлажняющая эссенция для глубокого очищения лица</t>
        </is>
      </c>
      <c r="B116" s="95" t="n">
        <v>0</v>
      </c>
    </row>
    <row r="117" ht="22" customHeight="1" thickBot="1">
      <c r="A117" s="97" t="inlineStr">
        <is>
          <t>ISNTREE - Onion Newpair Gel Cream [50ml] / Успокаивающий крем от покраснений и акне прыщей с экстрактом лука Муана</t>
        </is>
      </c>
      <c r="B117" s="95" t="n">
        <v>0</v>
      </c>
    </row>
    <row r="118" ht="15" customHeight="1" thickBot="1">
      <c r="A118" s="92" t="n"/>
      <c r="B118" s="95" t="n">
        <v>0</v>
      </c>
    </row>
    <row r="119" ht="15" customHeight="1" thickBot="1">
      <c r="A119" s="92" t="n"/>
      <c r="B119" s="95" t="n">
        <v>0</v>
      </c>
    </row>
    <row r="120" ht="15" customHeight="1" thickBot="1">
      <c r="A120" s="101" t="inlineStr">
        <is>
          <t>JIGOTT - Snail Lifting Cream [70ml] / Крем для лица увлажняющий антивозрастной</t>
        </is>
      </c>
      <c r="B120" s="95" t="inlineStr">
        <is>
          <t>7 668</t>
        </is>
      </c>
    </row>
    <row r="121" ht="22" customHeight="1" thickBot="1">
      <c r="A121" s="101" t="inlineStr">
        <is>
          <t>JIGOTT - Snail Reparing Cream [100ml] / Крем для лица увлажняющий антивозрастной с муцином улитки</t>
        </is>
      </c>
      <c r="B121" s="95" t="inlineStr">
        <is>
          <t>1 241</t>
        </is>
      </c>
    </row>
    <row r="122" ht="22" customHeight="1" thickBot="1">
      <c r="A122" s="98" t="inlineStr">
        <is>
          <t>JIGOTT - Birds Nest Firming Cream [70ml] / Антивозрастной крем с экстрактом ласточкиного гнезда</t>
        </is>
      </c>
      <c r="B122" s="95" t="inlineStr">
        <is>
          <t>1 814</t>
        </is>
      </c>
    </row>
    <row r="123" ht="15" customHeight="1" thickBot="1">
      <c r="A123" s="98" t="inlineStr">
        <is>
          <t>JIGOTT - Collagen Healing Cream [100ml] / Крем для лица с коллагеном</t>
        </is>
      </c>
      <c r="B123" s="95" t="n">
        <v>0</v>
      </c>
    </row>
    <row r="124" ht="15" customHeight="1" thickBot="1">
      <c r="A124" s="92" t="n"/>
      <c r="B124" s="95" t="n">
        <v>0</v>
      </c>
    </row>
    <row r="125" ht="15" customHeight="1" thickBot="1">
      <c r="A125" s="92" t="n"/>
      <c r="B125" s="95" t="n">
        <v>0</v>
      </c>
    </row>
    <row r="126" ht="15" customHeight="1" thickBot="1">
      <c r="A126" s="101" t="inlineStr">
        <is>
          <t>JIGOTT - Ассорти набор масок [27ml х 15]</t>
        </is>
      </c>
      <c r="B126" s="95" t="inlineStr">
        <is>
          <t>1 350</t>
        </is>
      </c>
    </row>
    <row r="127" ht="15" customHeight="1" thickBot="1">
      <c r="A127" s="101" t="inlineStr">
        <is>
          <t>JIGOTT - Aloe Real Ampoule Mask [27ml] / Ампульная маска с экстрактом алое</t>
        </is>
      </c>
      <c r="B127" s="95" t="n">
        <v>0</v>
      </c>
    </row>
    <row r="128" ht="22" customHeight="1" thickBot="1">
      <c r="A128" s="101" t="inlineStr">
        <is>
          <t>JIGOTT - Black Snail Real Ampoule Mask [27ml] / Ампульная маска с экстрактом слизи черной улитки</t>
        </is>
      </c>
      <c r="B128" s="95" t="n">
        <v>0</v>
      </c>
    </row>
    <row r="129" ht="22" customHeight="1" thickBot="1">
      <c r="A129" s="101" t="inlineStr">
        <is>
          <t>JIGOTT - Camellia Real Ampoule Mask [27ml] / Ампульная маска с экстрактом камелии</t>
        </is>
      </c>
      <c r="B129" s="95" t="n">
        <v>0</v>
      </c>
    </row>
    <row r="130" ht="15" customHeight="1" thickBot="1">
      <c r="A130" s="101" t="inlineStr">
        <is>
          <t>JIGOTT - Caviar Real Ampoule Mask [27ml] / Ампульная маска с экстрактом икры</t>
        </is>
      </c>
      <c r="B130" s="95" t="n">
        <v>0</v>
      </c>
    </row>
    <row r="131" ht="15" customHeight="1" thickBot="1">
      <c r="A131" s="101" t="inlineStr">
        <is>
          <t>JIGOTT - Collagen Real Ampoule Mask [27ml] / Ампульная маска с коллагеном</t>
        </is>
      </c>
      <c r="B131" s="95" t="n">
        <v>0</v>
      </c>
    </row>
    <row r="132" ht="22" customHeight="1" thickBot="1">
      <c r="A132" s="101" t="inlineStr">
        <is>
          <t>JIGOTT - Cucumber Real Ampoule Mask [27ml] / Тканевая маска с экстрактом огурца</t>
        </is>
      </c>
      <c r="B132" s="95" t="n">
        <v>0</v>
      </c>
    </row>
    <row r="133" ht="22" customHeight="1" thickBot="1">
      <c r="A133" s="101" t="inlineStr">
        <is>
          <t>JIGOTT - Green Tea Real Ampoule Mask [27ml] / Ампульная маска с экстрактом зеленого чая</t>
        </is>
      </c>
      <c r="B133" s="95" t="n">
        <v>0</v>
      </c>
    </row>
    <row r="134" ht="15" customHeight="1" thickBot="1">
      <c r="A134" s="101" t="inlineStr">
        <is>
          <t>JIGOTT - Honey Real Ampoule Mask [27ml] / Ампульная маска с экстрактом меда</t>
        </is>
      </c>
      <c r="B134" s="95" t="n">
        <v>0</v>
      </c>
    </row>
    <row r="135" ht="22" customHeight="1" thickBot="1">
      <c r="A135" s="101" t="inlineStr">
        <is>
          <t>JIGOTT - Hyaluronic Acid Real Ampoule Mask [27ml] / Ампульная маска с гиалуроновой кислотой</t>
        </is>
      </c>
      <c r="B135" s="95" t="n">
        <v>0</v>
      </c>
    </row>
    <row r="136" ht="15" customHeight="1" thickBot="1">
      <c r="A136" s="101" t="inlineStr">
        <is>
          <t>JIGOTT - Lotus Real Ampoule Mask [27ml] / Ампульная маска с экстрактом лотоса</t>
        </is>
      </c>
      <c r="B136" s="95" t="n">
        <v>0</v>
      </c>
    </row>
    <row r="137" ht="15" customHeight="1" thickBot="1">
      <c r="A137" s="101" t="inlineStr">
        <is>
          <t>JIGOTT - Pearl Real Ampoule Mask [27ml] / ампульная маска для лица с жемчугом</t>
        </is>
      </c>
      <c r="B137" s="95" t="n">
        <v>0</v>
      </c>
    </row>
    <row r="138" ht="15" customHeight="1" thickBot="1">
      <c r="A138" s="101" t="inlineStr">
        <is>
          <t>JIGOTT - Placenta Real Ampoule Mask [27ml] / Ампульная маска с плацентой</t>
        </is>
      </c>
      <c r="B138" s="95" t="n">
        <v>0</v>
      </c>
    </row>
    <row r="139" ht="22" customHeight="1" thickBot="1">
      <c r="A139" s="101" t="inlineStr">
        <is>
          <t>JIGOTT - Pomegranate Real Ampoule Mask [27ml] / Ампульная маска с экстрактом граната</t>
        </is>
      </c>
      <c r="B139" s="95" t="n">
        <v>0</v>
      </c>
    </row>
    <row r="140" ht="22" customHeight="1" thickBot="1">
      <c r="A140" s="101" t="inlineStr">
        <is>
          <t>JIGOTT - Potato Real Ampoule Mask [27ml] / Ампульная маска с экстрактом картофеля</t>
        </is>
      </c>
      <c r="B140" s="95" t="n">
        <v>0</v>
      </c>
    </row>
    <row r="141" ht="22" customHeight="1" thickBot="1">
      <c r="A141" s="101" t="inlineStr">
        <is>
          <t>JIGOTT - Red Ginseng Real Ampoule Mask [27ml] / Ампульная маска с красным женьшенем</t>
        </is>
      </c>
      <c r="B141" s="95" t="n">
        <v>0</v>
      </c>
    </row>
    <row r="142" ht="15" customHeight="1" thickBot="1">
      <c r="A142" s="101" t="inlineStr">
        <is>
          <t>JIGOTT - Vitamin Real Ampoule Mask [27ml] / Ампульная маска с витаминами</t>
        </is>
      </c>
      <c r="B142" s="95" t="n">
        <v>0</v>
      </c>
    </row>
    <row r="143" ht="15" customHeight="1" thickBot="1">
      <c r="A143" s="92" t="n"/>
      <c r="B143" s="95" t="n">
        <v>0</v>
      </c>
    </row>
    <row r="144" ht="15" customHeight="1" thickBot="1">
      <c r="A144" s="92" t="n"/>
      <c r="B144" s="95" t="n">
        <v>0</v>
      </c>
    </row>
    <row r="145" ht="15" customHeight="1" thickBot="1">
      <c r="A145" s="101" t="inlineStr">
        <is>
          <t>JIGOTT - Ultimate Real Collagen Toner [300ml] / тонер с коллагеном антивозрастной</t>
        </is>
      </c>
      <c r="B145" s="95" t="inlineStr">
        <is>
          <t>1 296</t>
        </is>
      </c>
    </row>
    <row r="146" ht="15" customHeight="1" thickBot="1">
      <c r="A146" s="101" t="inlineStr">
        <is>
          <t>JIGOTT - Daily Real Cica Toner [300ml] / Тонер для лица с центеллой азиатской</t>
        </is>
      </c>
      <c r="B146" s="95" t="inlineStr">
        <is>
          <t>1 468</t>
        </is>
      </c>
    </row>
    <row r="147" ht="22" customHeight="1" thickBot="1">
      <c r="A147" s="98" t="inlineStr">
        <is>
          <t>JIGOTT - Aura Secret Hyaluronec Acid Toner [300ml] / Тонер с гиалуроновой кислотой антивозрастной</t>
        </is>
      </c>
      <c r="B147" s="95" t="n">
        <v>424</v>
      </c>
    </row>
    <row r="148" ht="22" customHeight="1" thickBot="1">
      <c r="A148" s="98" t="inlineStr">
        <is>
          <t>JIGOTT - Moisture Real Aloe Vera Toner [300ml] / Тонер для лица увлажняющий с экстрактом алоэ</t>
        </is>
      </c>
      <c r="B148" s="95" t="n">
        <v>356</v>
      </c>
    </row>
    <row r="149" ht="15" customHeight="1" thickBot="1">
      <c r="A149" s="92" t="n"/>
      <c r="B149" s="95" t="n">
        <v>0</v>
      </c>
    </row>
    <row r="150" ht="15" customHeight="1" thickBot="1">
      <c r="A150" s="92" t="n"/>
      <c r="B150" s="95" t="n">
        <v>0</v>
      </c>
    </row>
    <row r="151" ht="15" customHeight="1" thickBot="1">
      <c r="A151" s="101" t="inlineStr">
        <is>
          <t>JMSOLUTION - MASK PACK BLACK [30ml*10ea] - ассорти набор 10шт в упаковке</t>
        </is>
      </c>
      <c r="B151" s="95" t="inlineStr">
        <is>
          <t>1 039</t>
        </is>
      </c>
    </row>
    <row r="152" ht="15" customHeight="1" thickBot="1">
      <c r="A152" s="101" t="inlineStr">
        <is>
          <t>JMSOLUTION - MASK PACK BLACK [30ml*7ea] - ассорти набор из 7шт</t>
        </is>
      </c>
      <c r="B152" s="95" t="n">
        <v>0</v>
      </c>
    </row>
    <row r="153" ht="15" customHeight="1" thickBot="1">
      <c r="A153" s="101" t="inlineStr">
        <is>
          <t>JMSOLUTION - MASK PACK BLACK [30ml*5ea] - ассорти набор из 5шт</t>
        </is>
      </c>
      <c r="B153" s="95" t="n">
        <v>0</v>
      </c>
    </row>
    <row r="154" ht="15" customHeight="1" thickBot="1">
      <c r="A154" s="101" t="inlineStr">
        <is>
          <t>JMSOLUTION - MASK PACK BLACK [30ml*3ea] - ассорти набор из 3шт</t>
        </is>
      </c>
      <c r="B154" s="95" t="n">
        <v>0</v>
      </c>
    </row>
    <row r="155" ht="15" customHeight="1" thickBot="1">
      <c r="A155" s="101" t="inlineStr">
        <is>
          <t>JMSOLUTION - MASK PACK BLACK [30ml*6ea] - ассорти набор из 6шт</t>
        </is>
      </c>
      <c r="B155" s="95" t="n">
        <v>0</v>
      </c>
    </row>
    <row r="156" ht="15" customHeight="1" thickBot="1">
      <c r="A156" s="101" t="inlineStr">
        <is>
          <t>JMSOLUTION - MASK PACK BLACK [30ml*8ea] - ассорти набор из 8шт</t>
        </is>
      </c>
      <c r="B156" s="95" t="n">
        <v>0</v>
      </c>
    </row>
    <row r="157" ht="22" customHeight="1" thickBot="1">
      <c r="A157" s="101" t="inlineStr">
        <is>
          <t>JMSOLUTION - Active Astaxanthin Agecare Mask Prime [30ml*10ea] / Антиоксидантная маска с астаксантином</t>
        </is>
      </c>
      <c r="B157" s="95" t="n">
        <v>0</v>
      </c>
    </row>
    <row r="158" ht="22" customHeight="1" thickBot="1">
      <c r="A158" s="101" t="inlineStr">
        <is>
          <t>JMSOLUTION - Active Birds Nest Moisture Mask [30ml*10ea] / Ультратонкая тканевая маска с ласточкиным гнездом</t>
        </is>
      </c>
      <c r="B158" s="95" t="n">
        <v>0</v>
      </c>
    </row>
    <row r="159" ht="22" customHeight="1" thickBot="1">
      <c r="A159" s="101" t="inlineStr">
        <is>
          <t>JMSOLUTION ACTIVE BLACK CAVIAR MASK [30ml*10ea] / Ультратонкая тканевая маска с черной икрой</t>
        </is>
      </c>
      <c r="B159" s="95" t="n">
        <v>160</v>
      </c>
    </row>
    <row r="160" ht="22" customHeight="1" thickBot="1">
      <c r="A160" s="101" t="inlineStr">
        <is>
          <t>JMSOLUTION - Active Golden Caviar Nourishing Mask [30ml*10ea] / Ультратонкая тканевая маска с золотом и икрой</t>
        </is>
      </c>
      <c r="B160" s="95" t="n">
        <v>160</v>
      </c>
    </row>
    <row r="161" ht="22" customHeight="1" thickBot="1">
      <c r="A161" s="101" t="inlineStr">
        <is>
          <t>JMSOLUTION - Active Jellyfish Vital Mask [30ml*10ea] / Ультратонкая тканевая маска с экстрактом медузы</t>
        </is>
      </c>
      <c r="B161" s="95" t="n">
        <v>160</v>
      </c>
    </row>
    <row r="162" ht="22" customHeight="1" thickBot="1">
      <c r="A162" s="101" t="inlineStr">
        <is>
          <t>JMSOLUTION - Active Lotus Nourishing Mask Ultimate [30ml*10ea] / Питательная маска с экстрактом лотоса</t>
        </is>
      </c>
      <c r="B162" s="95" t="n">
        <v>0</v>
      </c>
    </row>
    <row r="163" ht="22" customHeight="1" thickBot="1">
      <c r="A163" s="101" t="inlineStr">
        <is>
          <t>JMSOLUTION - Active Pink Snail Brightening Mask [30ml*10ea] / Маска тканевая увлажняющая с улиткой</t>
        </is>
      </c>
      <c r="B163" s="95" t="n">
        <v>160</v>
      </c>
    </row>
    <row r="164" ht="22" customHeight="1" thickBot="1">
      <c r="A164" s="101" t="inlineStr">
        <is>
          <t>JMSOLUTION - Glory Aqua Idebenone Egg Mask Deluxe [30ml*10ea] / Тканевая маска с яйцом</t>
        </is>
      </c>
      <c r="B164" s="95" t="n">
        <v>0</v>
      </c>
    </row>
    <row r="165" ht="15" customHeight="1" thickBot="1">
      <c r="A165" s="101" t="inlineStr">
        <is>
          <t>JMSOLUTION GLORY AQUA FULLERENE MASK DELUXE</t>
        </is>
      </c>
      <c r="B165" s="95" t="n">
        <v>160</v>
      </c>
    </row>
    <row r="166" ht="15" customHeight="1" thickBot="1">
      <c r="A166" s="101" t="inlineStr">
        <is>
          <t>JMSOLUTION LACTO SACCHAROMYCES GOLDEN RICE MASK PLUS</t>
        </is>
      </c>
      <c r="B166" s="95" t="n">
        <v>160</v>
      </c>
    </row>
    <row r="167" ht="15" customHeight="1" thickBot="1">
      <c r="A167" s="101" t="inlineStr">
        <is>
          <t>JMSOLUTION - HONEY LUMINOUS ROYAL PROPOLIS MASK BLACK [30g*10ea]</t>
        </is>
      </c>
      <c r="B167" s="95" t="n">
        <v>0</v>
      </c>
    </row>
    <row r="168" ht="15" customHeight="1" thickBot="1">
      <c r="A168" s="101" t="inlineStr">
        <is>
          <t>JMSOLUTION PANTHELENE INTENSIVE BARRIER MASK</t>
        </is>
      </c>
      <c r="B168" s="95" t="n">
        <v>160</v>
      </c>
    </row>
    <row r="169" ht="22" customHeight="1" thickBot="1">
      <c r="A169" s="101" t="inlineStr">
        <is>
          <t>JMSOLUTION - The Natural Cordyceps Melitaris Mask Moisture [30ml*10ea] / Тканевая маска для лица с экстрактом кордицепса и комплексом аминокислот</t>
        </is>
      </c>
      <c r="B169" s="95" t="n">
        <v>160</v>
      </c>
    </row>
    <row r="170" ht="22" customHeight="1" thickBot="1">
      <c r="A170" s="101" t="inlineStr">
        <is>
          <t>JMSOLUTION - Water Luminous S.O.S. Ringer Mask Black [35ml*10ea] / Ультраувлажняющая тканевая маска</t>
        </is>
      </c>
      <c r="B170" s="95" t="n">
        <v>160</v>
      </c>
    </row>
    <row r="171" ht="15" customHeight="1" thickBot="1">
      <c r="A171" s="101" t="inlineStr">
        <is>
          <t>JMSOLUTION - WATER LUMINOUS SILKY COCOON MASK PLUS [35ml*10ea]</t>
        </is>
      </c>
      <c r="B171" s="95" t="n">
        <v>0</v>
      </c>
    </row>
    <row r="172" ht="15" customHeight="1" thickBot="1">
      <c r="A172" s="101" t="inlineStr">
        <is>
          <t>JMSOLUTION - WATER LUMINOUS S.O.S RINGER AMINO MASK PLUS Black</t>
        </is>
      </c>
      <c r="B172" s="95" t="n">
        <v>0</v>
      </c>
    </row>
    <row r="173" ht="22" customHeight="1" thickBot="1">
      <c r="A173" s="99" t="inlineStr">
        <is>
          <t>JMSOLUTION GREEN DEAR TIGER CICA MASK PURE 30ml*10ea / Регенерирующая маска для лица с центеллой</t>
        </is>
      </c>
      <c r="B173" s="95" t="n">
        <v>160</v>
      </c>
    </row>
    <row r="174" ht="15" customHeight="1" thickBot="1">
      <c r="A174" s="92" t="n"/>
      <c r="B174" s="95" t="n">
        <v>0</v>
      </c>
    </row>
    <row r="175" ht="15" customHeight="1" thickBot="1">
      <c r="A175" s="92" t="n"/>
      <c r="B175" s="95" t="n">
        <v>0</v>
      </c>
    </row>
    <row r="176" ht="15" customHeight="1" thickBot="1">
      <c r="A176" s="98" t="inlineStr">
        <is>
          <t>JMSOLUTION - MASK PACK DISNEY [30ml*10ea] - ассорти набор из 10шт</t>
        </is>
      </c>
      <c r="B176" s="95" t="n">
        <v>835</v>
      </c>
    </row>
    <row r="177" ht="15" customHeight="1" thickBot="1">
      <c r="A177" s="98" t="inlineStr">
        <is>
          <t>JMSOLUTION - MASK PACK DISNEY [30ml*9ea] - ассорти набор из 9шт</t>
        </is>
      </c>
      <c r="B177" s="95" t="n">
        <v>0</v>
      </c>
    </row>
    <row r="178" ht="15" customHeight="1" thickBot="1">
      <c r="A178" s="98" t="inlineStr">
        <is>
          <t>JMSOLUTION - MASK PACK DISNEY [30ml*6ea] - ассорти набор из 6шт</t>
        </is>
      </c>
      <c r="B178" s="95" t="n">
        <v>0</v>
      </c>
    </row>
    <row r="179" ht="22" customHeight="1" thickBot="1">
      <c r="A179" s="98" t="inlineStr">
        <is>
          <t>JMSOLUTION - Collection Moisture N.M.F. Mask [30ml*10ea] / Увлажняющая маска с аквасилом и пептидами</t>
        </is>
      </c>
      <c r="B179" s="95" t="n">
        <v>0</v>
      </c>
    </row>
    <row r="180" ht="22" customHeight="1" thickBot="1">
      <c r="A180" s="98" t="inlineStr">
        <is>
          <t>JMSOLUTION - Collection Nourishing Perilla Frutescens Mask [30ml*10ea] / Маска питательная для лица с экстрактом периллы</t>
        </is>
      </c>
      <c r="B180" s="95" t="n">
        <v>0</v>
      </c>
    </row>
    <row r="181" ht="22" customHeight="1" thickBot="1">
      <c r="A181" s="98" t="inlineStr">
        <is>
          <t>JMSOLUTION - Collection Vital Citrus Junos Mask [30ml*10ea] / Тканевая маска с экстрактом юдзу</t>
        </is>
      </c>
      <c r="B181" s="95" t="n">
        <v>0</v>
      </c>
    </row>
    <row r="182" ht="22" customHeight="1" thickBot="1">
      <c r="A182" s="98" t="inlineStr">
        <is>
          <t>JMSOLUTION - Collection Vital Retinol Mask [30ml*10ea] / Маска тканевая против пигментации кожи с ретинолом</t>
        </is>
      </c>
      <c r="B182" s="95" t="n">
        <v>0</v>
      </c>
    </row>
    <row r="183" ht="22" customHeight="1" thickBot="1">
      <c r="A183" s="98" t="inlineStr">
        <is>
          <t>JMSOLUTION - Collection Vital Vita C Mask [30ml*10ea] / Маска тканевая с витамином C</t>
        </is>
      </c>
      <c r="B183" s="95" t="n">
        <v>0</v>
      </c>
    </row>
    <row r="184" ht="22" customHeight="1" thickBot="1">
      <c r="A184" s="98" t="inlineStr">
        <is>
          <t>JMSOLUTION - Lacto Saccharomyces Golden Rice Mask Plus [30ml*10ea] / Маска с лактобактериями</t>
        </is>
      </c>
      <c r="B184" s="95" t="n">
        <v>0</v>
      </c>
    </row>
    <row r="185" ht="15" customHeight="1" thickBot="1">
      <c r="A185" s="98" t="inlineStr">
        <is>
          <t>JMSOLUTION SELFIE BARRIER HEARTLEAF MASK</t>
        </is>
      </c>
      <c r="B185" s="95" t="n">
        <v>0</v>
      </c>
    </row>
    <row r="186" ht="15" customHeight="1" thickBot="1">
      <c r="A186" s="98" t="inlineStr">
        <is>
          <t>JMSOLUTION SELFIE BARRIER CALENDULA MASK</t>
        </is>
      </c>
      <c r="B186" s="95" t="n">
        <v>0</v>
      </c>
    </row>
    <row r="187" ht="15" customHeight="1" thickBot="1">
      <c r="A187" s="98" t="inlineStr">
        <is>
          <t>JMSOLUTION SELFIE NOURISING PHYTO PLACENTA MASK</t>
        </is>
      </c>
      <c r="B187" s="95" t="n">
        <v>0</v>
      </c>
    </row>
    <row r="188" ht="15" customHeight="1" thickBot="1">
      <c r="A188" s="98" t="inlineStr">
        <is>
          <t>JMSOLUTION COLLECTION NOURISING CERAMIDE MASK</t>
        </is>
      </c>
      <c r="B188" s="95" t="n">
        <v>0</v>
      </c>
    </row>
    <row r="189" ht="22" customHeight="1" thickBot="1">
      <c r="A189" s="98" t="inlineStr">
        <is>
          <t>JMSOLUTION - Selfie Barrier Rose Of Jericho Mask [30ml*10ea] / Тканевая маска с экстрактом розы</t>
        </is>
      </c>
      <c r="B189" s="95" t="n">
        <v>0</v>
      </c>
    </row>
    <row r="190" ht="22" customHeight="1" thickBot="1">
      <c r="A190" s="98" t="inlineStr">
        <is>
          <t>JMSOLUTION - Selfie Barrier Tea Tree Mask [30ml*10ea] / Маска тканевая с чайным деревом</t>
        </is>
      </c>
      <c r="B190" s="95" t="n">
        <v>0</v>
      </c>
    </row>
    <row r="191" ht="22" customHeight="1" thickBot="1">
      <c r="A191" s="98" t="inlineStr">
        <is>
          <t>JMSOLUTION - Selfie Vital Rosehip Mask [30ml*10ea] / Тканевая маска с экстрактом шиповника</t>
        </is>
      </c>
      <c r="B191" s="95" t="n">
        <v>0</v>
      </c>
    </row>
    <row r="192" ht="22" customHeight="1" thickBot="1">
      <c r="A192" s="98" t="inlineStr">
        <is>
          <t>JMSOLUTION - Selfie Vital Vitamin Tree Fruit Mask [30ml*10ea] / Витаминизированная тканевая маска с облепихой</t>
        </is>
      </c>
      <c r="B192" s="95" t="n">
        <v>0</v>
      </c>
    </row>
    <row r="193" ht="15" customHeight="1" thickBot="1">
      <c r="A193" s="92" t="n"/>
      <c r="B193" s="95" t="n">
        <v>0</v>
      </c>
    </row>
    <row r="194" ht="15" customHeight="1" thickBot="1">
      <c r="A194" s="92" t="n"/>
      <c r="B194" s="95" t="n">
        <v>0</v>
      </c>
    </row>
    <row r="195" ht="22" customHeight="1" thickBot="1">
      <c r="A195" s="97" t="inlineStr">
        <is>
          <t>JMSOLUTION - Marine Luminous Pearl Deep Moisture Mask Pearl [1/2/3]*[10ea] / Тканевая маска для лица с жемчужной пудрой</t>
        </is>
      </c>
      <c r="B195" s="95" t="n">
        <v>0</v>
      </c>
    </row>
    <row r="196" ht="15" customHeight="1" thickBot="1">
      <c r="A196" s="92" t="n"/>
      <c r="B196" s="95" t="n">
        <v>0</v>
      </c>
    </row>
    <row r="197" ht="15" customHeight="1" thickBot="1">
      <c r="A197" s="92" t="n"/>
      <c r="B197" s="95" t="n">
        <v>0</v>
      </c>
    </row>
    <row r="198" ht="22" customHeight="1" thickBot="1">
      <c r="A198" s="97" t="inlineStr">
        <is>
          <t>LEBELAGE - Dr. Hyaluronic Derma Eye Cream [40ml] / Крем для глаз антивозрастной с гиалуроновой кислотой</t>
        </is>
      </c>
      <c r="B198" s="95" t="n">
        <v>0</v>
      </c>
    </row>
    <row r="199" ht="22" customHeight="1" thickBot="1">
      <c r="A199" s="97" t="inlineStr">
        <is>
          <t>LEBELAGE - Dr. Peptide Derma Eye Cream [40ml] / Крем для глаз антивозрастной с пептидами</t>
        </is>
      </c>
      <c r="B199" s="95" t="n">
        <v>410</v>
      </c>
    </row>
    <row r="200" ht="22" customHeight="1" thickBot="1">
      <c r="A200" s="97" t="inlineStr">
        <is>
          <t>LEBELAGE - Dr. Snail Derma Eye Cream [40ml] / Крем для глаз антивозрастной с улиточным муцином</t>
        </is>
      </c>
      <c r="B200" s="95" t="n">
        <v>0</v>
      </c>
    </row>
    <row r="201" ht="15" customHeight="1" thickBot="1">
      <c r="A201" s="92" t="n"/>
      <c r="B201" s="103" t="n">
        <v>0</v>
      </c>
    </row>
    <row r="202" ht="15" customHeight="1" thickBot="1">
      <c r="A202" s="92" t="n"/>
      <c r="B202" s="103" t="n">
        <v>0</v>
      </c>
    </row>
    <row r="203" ht="15" customHeight="1" thickBot="1">
      <c r="A203" s="99" t="inlineStr">
        <is>
          <t>LANEIGE LIP SLEEPING MASK-BERRY [3g]</t>
        </is>
      </c>
      <c r="B203" s="95" t="n">
        <v>341</v>
      </c>
    </row>
    <row r="204" ht="15" customHeight="1" thickBot="1">
      <c r="A204" s="92" t="n"/>
      <c r="B204" s="103" t="n">
        <v>0</v>
      </c>
    </row>
    <row r="205" ht="15" customHeight="1" thickBot="1">
      <c r="A205" s="92" t="n"/>
      <c r="B205" s="103" t="n">
        <v>0</v>
      </c>
    </row>
    <row r="206" ht="22" customHeight="1" thickBot="1">
      <c r="A206" s="100" t="inlineStr">
        <is>
          <t>MANYO - Bifida Biome Concentrate Cream [50ml] / Крем для лица омолаживающий антивозрастной</t>
        </is>
      </c>
      <c r="B206" s="95" t="n">
        <v>0</v>
      </c>
    </row>
    <row r="207" ht="22" customHeight="1" thickBot="1">
      <c r="A207" s="100" t="inlineStr">
        <is>
          <t>MANYO - Bifida Biome Complex Ampoule [50ml] / Антивозрастная сыворотка для лица</t>
        </is>
      </c>
      <c r="B207" s="95" t="inlineStr">
        <is>
          <t>1 473</t>
        </is>
      </c>
    </row>
    <row r="208" ht="22" customHeight="1" thickBot="1">
      <c r="A208" s="100" t="inlineStr">
        <is>
          <t>MANYO - Galac Whitening Vita Serum [50ml] / Осветляющая сыворотка с Витамином C</t>
        </is>
      </c>
      <c r="B208" s="95" t="n">
        <v>854</v>
      </c>
    </row>
    <row r="209" ht="22" customHeight="1" thickBot="1">
      <c r="A209" s="100" t="inlineStr">
        <is>
          <t>MANYO - Pure Aqua Peeling Gel [120ml] / Пилинг гель с кислотой PHA для сияния кожи</t>
        </is>
      </c>
      <c r="B209" s="95" t="n">
        <v>0</v>
      </c>
    </row>
    <row r="210" ht="22" customHeight="1" thickBot="1">
      <c r="A210" s="101" t="inlineStr">
        <is>
          <t>MANYO - Bifida Biome Ampoule Lotion [300ml] / Укрепляющий лосьон с бифидобактериями</t>
        </is>
      </c>
      <c r="B210" s="95" t="n">
        <v>756</v>
      </c>
    </row>
    <row r="211" ht="22" customHeight="1" thickBot="1">
      <c r="A211" s="101" t="inlineStr">
        <is>
          <t>MANYO - Pure Cleansing Oil [200ml] / Гидрофильное масло для глубокого очищения</t>
        </is>
      </c>
      <c r="B211" s="95" t="n">
        <v>243</v>
      </c>
    </row>
    <row r="212" ht="22" customHeight="1" thickBot="1">
      <c r="A212" s="101" t="inlineStr">
        <is>
          <t>MANYO - Bifida Biome Ampoule Toner [400ml] / Ампульный укрепляющий тонер с бифидобактериями</t>
        </is>
      </c>
      <c r="B212" s="95" t="n">
        <v>0</v>
      </c>
    </row>
    <row r="213" ht="22" customHeight="1" thickBot="1">
      <c r="A213" s="99" t="inlineStr">
        <is>
          <t>MANYO BIFIDA COMPLEX AMPOULE GEL CLEANSER [400ml] / Гель для умывания с бифидобактериями</t>
        </is>
      </c>
      <c r="B213" s="95" t="n">
        <v>814</v>
      </c>
    </row>
    <row r="214" ht="22" customHeight="1" thickBot="1">
      <c r="A214" s="99" t="inlineStr">
        <is>
          <t>MANYO BIFIDA INFUSION SHOT AMPOULE 1DX [50ml] / Сыворотка с микроиглами и пробиотиками</t>
        </is>
      </c>
      <c r="B214" s="95" t="n">
        <v>786</v>
      </c>
    </row>
    <row r="215" ht="15" customHeight="1" thickBot="1">
      <c r="A215" s="99" t="inlineStr">
        <is>
          <t>BIFIDA BIOME AMPOULE TONER 210ml/ тонер</t>
        </is>
      </c>
      <c r="B215" s="104" t="n">
        <v>0</v>
      </c>
    </row>
    <row r="216" ht="15" customHeight="1" thickBot="1">
      <c r="A216" s="92" t="n"/>
      <c r="B216" s="95" t="n">
        <v>0</v>
      </c>
    </row>
    <row r="217" ht="15" customHeight="1" thickBot="1">
      <c r="A217" s="92" t="n"/>
      <c r="B217" s="95" t="n">
        <v>0</v>
      </c>
    </row>
    <row r="218" ht="15" customHeight="1" thickBot="1">
      <c r="A218" s="97" t="inlineStr">
        <is>
          <t>MASIL - 8 Seconds Salon Hair Mask 350ml Set [350ml+8ml*2]</t>
        </is>
      </c>
      <c r="B218" s="95" t="n">
        <v>119</v>
      </c>
    </row>
    <row r="219" ht="15" customHeight="1" thickBot="1">
      <c r="A219" s="92" t="n"/>
      <c r="B219" s="95" t="n">
        <v>0</v>
      </c>
    </row>
    <row r="220" ht="22" customHeight="1" thickBot="1">
      <c r="A220" s="101" t="inlineStr">
        <is>
          <t>PETITFEE - Collagen &amp; CoQ10 Hydrogel Eye Patch [60ea] / Гидрогелевые патчи для глаз с коллагеном и коэнзимом Q10</t>
        </is>
      </c>
      <c r="B220" s="95" t="inlineStr">
        <is>
          <t>1 008</t>
        </is>
      </c>
    </row>
    <row r="221" ht="22" customHeight="1" thickBot="1">
      <c r="A221" s="101" t="inlineStr">
        <is>
          <t>PETITFEE - Bera Glucan Deep Firming Eye Patch [60ea] / Тканевые патчи для век увлажняющие</t>
        </is>
      </c>
      <c r="B221" s="95" t="n">
        <v>587</v>
      </c>
    </row>
    <row r="222" ht="22" customHeight="1" thickBot="1">
      <c r="A222" s="101" t="inlineStr">
        <is>
          <t>PETITFEE - Artichoke Soothing Hydrogel Eye Patch [60ea] / Смягчающие гидрогелевые патчи для глаз с экстрактом артишока</t>
        </is>
      </c>
      <c r="B222" s="95" t="n">
        <v>300</v>
      </c>
    </row>
    <row r="223" ht="15" customHeight="1" thickBot="1">
      <c r="A223" s="101" t="inlineStr">
        <is>
          <t>PETITFEE - Aura Quartz Hydrogel Eye Patch [60ea]</t>
        </is>
      </c>
      <c r="B223" s="95" t="n">
        <v>95</v>
      </c>
    </row>
    <row r="224" ht="22" customHeight="1" thickBot="1">
      <c r="A224" s="101" t="inlineStr">
        <is>
          <t>PETITFEE - Cacao Energizing Hydrogel Eye Patch [60ea] / Тонизирующие гидрогелевые патчи для глаз с экстрактом какао</t>
        </is>
      </c>
      <c r="B224" s="95" t="n">
        <v>713</v>
      </c>
    </row>
    <row r="225" ht="22" customHeight="1" thickBot="1">
      <c r="A225" s="101" t="inlineStr">
        <is>
          <t>PETITFEE - Chamomile Lightening Hydrogel Eye Patch [60ea] / Успокаивающие гидрогелевые патчи для глаз с экстрактом ромашки</t>
        </is>
      </c>
      <c r="B225" s="95" t="n">
        <v>288</v>
      </c>
    </row>
    <row r="226" ht="22" customHeight="1" thickBot="1">
      <c r="A226" s="101" t="inlineStr">
        <is>
          <t>PETITFEE - Gold &amp; EGF Hydrogel Eye &amp; Spot Patch [60ea]/ гидрогелевые патчи с золотом и EGF</t>
        </is>
      </c>
      <c r="B226" s="95" t="n">
        <v>72</v>
      </c>
    </row>
    <row r="227" ht="32" customHeight="1" thickBot="1">
      <c r="A227" s="101" t="inlineStr">
        <is>
          <t xml:space="preserve">
PETITFEE Black Pearl &amp; Gold Hydrogel Eye Patch/Gold Hydrogel Eye Patch (комплект из одинарных патчей)</t>
        </is>
      </c>
      <c r="B227" s="95" t="n">
        <v>0</v>
      </c>
    </row>
    <row r="228" ht="22" customHeight="1" thickBot="1">
      <c r="A228" s="101" t="inlineStr">
        <is>
          <t>PETITFEE - Pink Vita Brightening Eye Patch [60ea] / Тканевые патчи для век увлажняющие</t>
        </is>
      </c>
      <c r="B228" s="95" t="n">
        <v>267</v>
      </c>
    </row>
    <row r="229" ht="22" customHeight="1" thickBot="1">
      <c r="A229" s="98" t="inlineStr">
        <is>
          <t>PETITFEE - Black Pearl &amp; Gold Hydrogel Eye Patch [60ea] / Гидрогелевые патчи для глаз с черным жемчугом и золотом</t>
        </is>
      </c>
      <c r="B229" s="95" t="n">
        <v>909</v>
      </c>
    </row>
    <row r="230" ht="22" customHeight="1" thickBot="1">
      <c r="A230" s="98" t="inlineStr">
        <is>
          <t>PETITFEE - Agave Cooling Hydrogel Eye Patch [60ea] / Охлаждающие гидрогелевые патчи для глаз с экстрактом агавы</t>
        </is>
      </c>
      <c r="B230" s="95" t="n">
        <v>933</v>
      </c>
    </row>
    <row r="231" ht="22" customHeight="1" thickBot="1">
      <c r="A231" s="98" t="inlineStr">
        <is>
          <t>PETITFEE - Gold &amp; Snail Hydrogel Eye Patch [60ea] / Гидрогелевые патчи для глаз с золотом и улиткой</t>
        </is>
      </c>
      <c r="B231" s="95" t="n">
        <v>909</v>
      </c>
    </row>
    <row r="232" ht="22" customHeight="1" thickBot="1">
      <c r="A232" s="98" t="inlineStr">
        <is>
          <t>PETITFEE - Gold Hydrogel Eye Patch [60ea] / гидрогелевые патчи для глаз с золотом</t>
        </is>
      </c>
      <c r="B232" s="95" t="n">
        <v>700</v>
      </c>
    </row>
    <row r="233" ht="22" customHeight="1" thickBot="1">
      <c r="A233" s="97" t="inlineStr">
        <is>
          <t>PETITFEE - Black Pearl &amp; Gold Hydrogel Eye Patch [1 pairs]/ Гидрогелевые патчи для глаз с черным жемчугом и золотом 1 пара</t>
        </is>
      </c>
      <c r="B233" s="95" t="n">
        <v>320</v>
      </c>
    </row>
    <row r="234" ht="22" customHeight="1" thickBot="1">
      <c r="A234" s="97" t="inlineStr">
        <is>
          <t>PETITFEE - Gold Hydrogel Eye Patch [1 Pairs] / гидрогелевые патчи для глаз с золотом 1 пара</t>
        </is>
      </c>
      <c r="B234" s="95" t="n">
        <v>428</v>
      </c>
    </row>
    <row r="235" ht="15" customHeight="1" thickBot="1">
      <c r="A235" s="92" t="n"/>
      <c r="B235" s="95" t="n">
        <v>0</v>
      </c>
    </row>
    <row r="236" ht="15" customHeight="1" thickBot="1">
      <c r="A236" s="92" t="n"/>
      <c r="B236" s="95" t="n">
        <v>0</v>
      </c>
    </row>
    <row r="237" ht="22" customHeight="1" thickBot="1">
      <c r="A237" s="98" t="inlineStr">
        <is>
          <t>PETITFEE - Agave Cooling Hydrogel Face Mask [5pcs] / Охлаждающая гидрогелевая маска для лица с экстрактом агавы</t>
        </is>
      </c>
      <c r="B237" s="95" t="n">
        <v>951</v>
      </c>
    </row>
    <row r="238" ht="22" customHeight="1" thickBot="1">
      <c r="A238" s="98" t="inlineStr">
        <is>
          <t>PETITFEE - Gold Hydrogel Mask Pack [5pcs] / Гидрогелевая маска для лица с золотом</t>
        </is>
      </c>
      <c r="B238" s="95" t="n">
        <v>734</v>
      </c>
    </row>
    <row r="239" ht="22" customHeight="1" thickBot="1">
      <c r="A239" s="98" t="inlineStr">
        <is>
          <t>PETITFEE - Cacao Energizing Hydrogel Mask Pack [5pcs] / Тонизирующая гидрогелевая маска для лица с экстрактом какао</t>
        </is>
      </c>
      <c r="B239" s="95" t="n">
        <v>619</v>
      </c>
    </row>
    <row r="240" ht="22" customHeight="1" thickBot="1">
      <c r="A240" s="98" t="inlineStr">
        <is>
          <t>PETITFEE - Artichoke Soothing Hydrogel Face Mask [5pcs] / Смягчающая гидрогелевая маска для лица с экстрактом артишока</t>
        </is>
      </c>
      <c r="B240" s="95" t="n">
        <v>542</v>
      </c>
    </row>
    <row r="241" ht="22" customHeight="1" thickBot="1">
      <c r="A241" s="98" t="inlineStr">
        <is>
          <t>PETITFEE - Gold &amp; Snail Hydrogel Mask Pack [5pcs] / Гидрогелевая маска для лица с золотом и экстрактом улитки</t>
        </is>
      </c>
      <c r="B241" s="95" t="n">
        <v>453</v>
      </c>
    </row>
    <row r="242" ht="22" customHeight="1" thickBot="1">
      <c r="A242" s="101" t="inlineStr">
        <is>
          <t>PETITFEE - Black Pearl &amp; Gold Hydrogel Mask Pack [5pcs] / Гидрогелевая маска для лица с черным жемчугом и золотом</t>
        </is>
      </c>
      <c r="B242" s="95" t="n">
        <v>543</v>
      </c>
    </row>
    <row r="243" ht="22" customHeight="1" thickBot="1">
      <c r="A243" s="101" t="inlineStr">
        <is>
          <t>PETITFEE - Chamomile Lightening Hydrogel Mask Pack [5pcs] / Успокаивающая гидрогелевая маска для лица с экстрактом ромашки</t>
        </is>
      </c>
      <c r="B243" s="95" t="n">
        <v>0</v>
      </c>
    </row>
    <row r="244" ht="15" customHeight="1" thickBot="1">
      <c r="A244" s="101" t="inlineStr">
        <is>
          <t>PETITFEE - MASK 5 (блек, агава, какао, артишок, голд снейл)</t>
        </is>
      </c>
      <c r="B244" s="95" t="n">
        <v>0</v>
      </c>
    </row>
    <row r="245" ht="15" customHeight="1" thickBot="1">
      <c r="A245" s="101" t="inlineStr">
        <is>
          <t>PETITFEE - MASK 6 (блек, агава, какао, артишок, голд, ромашка)</t>
        </is>
      </c>
      <c r="B245" s="95" t="n">
        <v>0</v>
      </c>
    </row>
    <row r="246" ht="15" customHeight="1" thickBot="1">
      <c r="A246" s="101" t="inlineStr">
        <is>
          <t>PETITFEE - FACE MASK 7 (набор ассорти 7 видов по 1 шт)</t>
        </is>
      </c>
      <c r="B246" s="95" t="n">
        <v>0</v>
      </c>
    </row>
    <row r="247" ht="15" customHeight="1" thickBot="1">
      <c r="A247" s="92" t="n"/>
      <c r="B247" s="95" t="n">
        <v>0</v>
      </c>
    </row>
    <row r="248" ht="15" customHeight="1" thickBot="1">
      <c r="A248" s="92" t="n"/>
      <c r="B248" s="95" t="n">
        <v>0</v>
      </c>
    </row>
    <row r="249" ht="22" customHeight="1" thickBot="1">
      <c r="A249" s="100" t="inlineStr">
        <is>
          <t>ROUND LAB 1025 DOKDO CLEANSER_150ml - Увлажняющая пенка для умывания лица</t>
        </is>
      </c>
      <c r="B249" s="95" t="inlineStr">
        <is>
          <t>7 158</t>
        </is>
      </c>
    </row>
    <row r="250" ht="22" customHeight="1" thickBot="1">
      <c r="A250" s="98" t="inlineStr">
        <is>
          <t>ROUND LAB BIRCH JUICE MOISTURIZING CREAM_80ml -Увлажняющий крем с березовым соком</t>
        </is>
      </c>
      <c r="B250" s="95" t="n">
        <v>260</v>
      </c>
    </row>
    <row r="251" ht="22" customHeight="1" thickBot="1">
      <c r="A251" s="98" t="inlineStr">
        <is>
          <t>ROUND LAB BIRCH JUICE MOISTURIZING CLEANSER_150ml - Гель для умывания лица увлажняющий</t>
        </is>
      </c>
      <c r="B251" s="95" t="n">
        <v>0</v>
      </c>
    </row>
    <row r="252" ht="22" customHeight="1" thickBot="1">
      <c r="A252" s="98" t="inlineStr">
        <is>
          <t>ROUND LAB MUGWORT CALMING CLEANSER_150ml - Очищающая пенка для умывания лица от прыщей и акне</t>
        </is>
      </c>
      <c r="B252" s="95" t="inlineStr">
        <is>
          <t>1 422</t>
        </is>
      </c>
    </row>
    <row r="253" ht="22" customHeight="1" thickBot="1">
      <c r="A253" s="98" t="inlineStr">
        <is>
          <t>ROUND LAB SOYBEAN PANTHENOL CREAM_80ml - Крем для лица с чёрной соей и пантенолом успокаивающий</t>
        </is>
      </c>
      <c r="B253" s="95" t="n">
        <v>150</v>
      </c>
    </row>
    <row r="254" ht="22" customHeight="1" thickBot="1">
      <c r="A254" s="98" t="inlineStr">
        <is>
          <t>ROUND LAB VITA NIACINAMIDE DARK SPOT SERUM 30ml - Сыворотка для лица c витамином С и ниацинамидом</t>
        </is>
      </c>
      <c r="B254" s="95" t="n">
        <v>0</v>
      </c>
    </row>
    <row r="255" ht="22" customHeight="1" thickBot="1">
      <c r="A255" s="98" t="inlineStr">
        <is>
          <t>ROUND LAB MUGWORT CALMING TONER_300ml - Тоник для лица увлажняющий успокаивающий</t>
        </is>
      </c>
      <c r="B255" s="95" t="n">
        <v>0</v>
      </c>
    </row>
    <row r="256" ht="22" customHeight="1" thickBot="1">
      <c r="A256" s="98" t="inlineStr">
        <is>
          <t>ROUND LAB BIRCH JUICE MOISTURIZING SUNSCREEN_50ml - Солнцезащитный крем spf 50 для лица с спф</t>
        </is>
      </c>
      <c r="B256" s="95" t="n">
        <v>0</v>
      </c>
    </row>
    <row r="257" ht="22" customHeight="1" thickBot="1">
      <c r="A257" s="98" t="inlineStr">
        <is>
          <t>ROUND LAB PINE CALMING CICA AMPOULE_30ml - Сыворотка для жирной кожи лица увлажняющая с центеллой</t>
        </is>
      </c>
      <c r="B257" s="95" t="n">
        <v>37</v>
      </c>
    </row>
    <row r="258" ht="22" customHeight="1" thickBot="1">
      <c r="A258" s="98" t="inlineStr">
        <is>
          <t>ROUND LAB SOYBEAN CLEANSING OIL_200ml - Гидрофильное масло для лица для умывания</t>
        </is>
      </c>
      <c r="B258" s="95" t="n">
        <v>0</v>
      </c>
    </row>
    <row r="259" ht="22" customHeight="1" thickBot="1">
      <c r="A259" s="98" t="inlineStr">
        <is>
          <t>ROUND LAB MUGWORT CALMING SOOTHING GEL_150ml - Увлажняющий крем гель для лица и тела от воспалений</t>
        </is>
      </c>
      <c r="B259" s="95" t="n">
        <v>0</v>
      </c>
    </row>
    <row r="260" ht="22" customHeight="1" thickBot="1">
      <c r="A260" s="98" t="inlineStr">
        <is>
          <t>ROUND LAB VITA NIACINAMIDE DARK SPOT CREAM 50ml - Крем для лица с ниацинамидом от чёрных точек</t>
        </is>
      </c>
      <c r="B260" s="95" t="n">
        <v>0</v>
      </c>
    </row>
    <row r="261" ht="22" customHeight="1" thickBot="1">
      <c r="A261" s="105" t="inlineStr">
        <is>
          <t>ROUND LAB 1025 DOKDO TONER_200ml / Отшелушивающий тоник с морской водой</t>
        </is>
      </c>
      <c r="B261" s="95" t="n">
        <v>998</v>
      </c>
    </row>
    <row r="262" ht="15" customHeight="1" thickBot="1">
      <c r="A262" s="106" t="inlineStr">
        <is>
          <t>1025 DOKDO BUBBLE FOAM_150ml/пенка дозатор</t>
        </is>
      </c>
      <c r="B262" s="95" t="n">
        <v>0</v>
      </c>
    </row>
    <row r="263" ht="27" customHeight="1" thickBot="1">
      <c r="A263" s="106" t="inlineStr">
        <is>
          <t>PINE CALMING CICA CLEANSER_150ml/Пенка очищающая для лица от прыщей с сосной и кислотами</t>
        </is>
      </c>
      <c r="B263" s="95" t="n">
        <v>0</v>
      </c>
    </row>
    <row r="264" ht="27" customHeight="1" thickBot="1">
      <c r="A264" s="106" t="inlineStr">
        <is>
          <t>PINE CALMING CICA BODY WASH_400ml/Гель для душа от прыщей с кислотами,400 мл</t>
        </is>
      </c>
      <c r="B264" s="95" t="n">
        <v>0</v>
      </c>
    </row>
    <row r="265" ht="15" customHeight="1" thickBot="1">
      <c r="A265" s="106" t="inlineStr">
        <is>
          <t>PINE CALMING CICA CREAM PLUS_60ml</t>
        </is>
      </c>
      <c r="B265" s="95" t="n">
        <v>0</v>
      </c>
    </row>
    <row r="266" ht="27" customHeight="1" thickBot="1">
      <c r="A266" s="106" t="inlineStr">
        <is>
          <t>ROUND LAB CAMELLIA DEEP COLLAGEN FIRMING CREAM_50ml/Крем для лица увлажняющий для проблемной кожи с сосной</t>
        </is>
      </c>
      <c r="B266" s="95" t="n">
        <v>0</v>
      </c>
    </row>
    <row r="267" ht="15" customHeight="1" thickBot="1">
      <c r="A267" s="106" t="inlineStr">
        <is>
          <t>PINE CALMING CICA PAD_50pcs</t>
        </is>
      </c>
      <c r="B267" s="95" t="n">
        <v>0</v>
      </c>
    </row>
    <row r="268" ht="15" customHeight="1" thickBot="1">
      <c r="A268" s="106" t="inlineStr">
        <is>
          <t>SOYBEAN SERUM_50ml</t>
        </is>
      </c>
      <c r="B268" s="95" t="n">
        <v>0</v>
      </c>
    </row>
    <row r="269" ht="15" customHeight="1" thickBot="1">
      <c r="A269" s="106" t="inlineStr">
        <is>
          <t>ROUND LAB STICK POUCH KIT</t>
        </is>
      </c>
      <c r="B269" s="95" t="n">
        <v>0</v>
      </c>
    </row>
    <row r="270" ht="15" customHeight="1" thickBot="1">
      <c r="A270" s="106" t="inlineStr">
        <is>
          <t>1025 DOKDO CREAM_80ml</t>
        </is>
      </c>
      <c r="B270" s="95" t="n">
        <v>0</v>
      </c>
    </row>
    <row r="271" ht="15" customHeight="1" thickBot="1">
      <c r="A271" s="92" t="n"/>
      <c r="B271" s="95" t="n">
        <v>0</v>
      </c>
    </row>
    <row r="272" ht="15" customHeight="1" thickBot="1">
      <c r="A272" s="92" t="n"/>
      <c r="B272" s="95" t="n">
        <v>0</v>
      </c>
    </row>
    <row r="273" ht="15" customHeight="1" thickBot="1">
      <c r="A273" s="92" t="n"/>
      <c r="B273" s="95" t="n">
        <v>0</v>
      </c>
    </row>
    <row r="274" ht="22" customHeight="1" thickBot="1">
      <c r="A274" s="97" t="inlineStr">
        <is>
          <t>SKIN1004 - Madagascar Centella Ampoule [30ml] / Сыворотка для лица успокаивающая из экстракта центеллы.</t>
        </is>
      </c>
      <c r="B274" s="95" t="n">
        <v>30</v>
      </c>
    </row>
    <row r="275" ht="22" customHeight="1" thickBot="1">
      <c r="A275" s="97" t="inlineStr">
        <is>
          <t>SKIN1004 - Madagascar Centella Hyalu-Cica Sleeping Pack [30ml] / Увлажняющая гиалуроновая ночная маска для сухой кожи</t>
        </is>
      </c>
      <c r="B275" s="95" t="n">
        <v>22</v>
      </c>
    </row>
    <row r="276" ht="15" customHeight="1" thickBot="1">
      <c r="A276" s="106" t="inlineStr">
        <is>
          <t>SKIN1004 Madagascar Centella Ampoule 55ml</t>
        </is>
      </c>
      <c r="B276" s="95" t="n">
        <v>0</v>
      </c>
    </row>
    <row r="277" ht="27" customHeight="1" thickBot="1">
      <c r="A277" s="106" t="inlineStr">
        <is>
          <t>SKIN1004 Madagascar Centella Tone Brightening Capsule Ampoule 100ml</t>
        </is>
      </c>
      <c r="B277" s="95" t="n">
        <v>0</v>
      </c>
    </row>
    <row r="278" ht="15" customHeight="1" thickBot="1">
      <c r="A278" s="106" t="inlineStr">
        <is>
          <t>SKIN1004 Madagascar Centella Soothing Cream 75ml</t>
        </is>
      </c>
      <c r="B278" s="95" t="n">
        <v>0</v>
      </c>
    </row>
    <row r="279" ht="15" customHeight="1" thickBot="1">
      <c r="A279" s="92" t="n"/>
      <c r="B279" s="95" t="n">
        <v>0</v>
      </c>
    </row>
    <row r="280" ht="15" customHeight="1" thickBot="1">
      <c r="A280" s="92" t="n"/>
      <c r="B280" s="95" t="n">
        <v>0</v>
      </c>
    </row>
    <row r="281" ht="15" customHeight="1" thickBot="1">
      <c r="A281" s="92" t="n"/>
      <c r="B281" s="95" t="n">
        <v>0</v>
      </c>
    </row>
    <row r="282" ht="22" customHeight="1" thickBot="1">
      <c r="A282" s="97" t="inlineStr">
        <is>
          <t>SOME BY MI - AHA-BHA-PHA 30 Days Miracle Acne Clear Body Cleanser [400g] /Очищающий гель-пенка для тела от прыщей и воспалений 400g</t>
        </is>
      </c>
      <c r="B282" s="95" t="n">
        <v>0</v>
      </c>
    </row>
    <row r="283" ht="22" customHeight="1" thickBot="1">
      <c r="A283" s="97" t="inlineStr">
        <is>
          <t>SOME BY MI - AHA-BHA-PHA 30 Days Miracle Cleansing Bar [106g] / Мыло для проблемной кожи с aha bha кислотами</t>
        </is>
      </c>
      <c r="B283" s="95" t="n">
        <v>527</v>
      </c>
    </row>
    <row r="284" ht="15" customHeight="1" thickBot="1">
      <c r="A284" s="97" t="inlineStr">
        <is>
          <t>SOME BY MI - AHA-BHA-PHA 30 Days Miracle Cream [60g] / Крем для лица</t>
        </is>
      </c>
      <c r="B284" s="95" t="n">
        <v>55</v>
      </c>
    </row>
    <row r="285" ht="15" customHeight="1" thickBot="1">
      <c r="A285" s="92" t="n"/>
      <c r="B285" s="95" t="n">
        <v>0</v>
      </c>
    </row>
    <row r="286" ht="15" customHeight="1" thickBot="1">
      <c r="A286" s="92" t="n"/>
      <c r="B286" s="95" t="n">
        <v>0</v>
      </c>
    </row>
    <row r="287" ht="22" customHeight="1" thickBot="1">
      <c r="A287" s="97" t="inlineStr">
        <is>
          <t>THE ORDINARY - Argireline Solution 10% [30ml] / Сыворотка для лица от прыщей и акне с ниацинамидом 10 %</t>
        </is>
      </c>
      <c r="B287" s="95" t="n">
        <v>117</v>
      </c>
    </row>
    <row r="288" ht="22" customHeight="1" thickBot="1">
      <c r="A288" s="97" t="inlineStr">
        <is>
          <t>THE ORDINARY - Glycolic Acid 7% Toning Solution [KOR] [240ml] / Тоник с гликолевой кислотой 7%</t>
        </is>
      </c>
      <c r="B288" s="95" t="n">
        <v>32</v>
      </c>
    </row>
    <row r="289" ht="15" customHeight="1" thickBot="1">
      <c r="A289" s="92" t="n"/>
      <c r="B289" s="95" t="n">
        <v>0</v>
      </c>
    </row>
    <row r="290" ht="15" customHeight="1" thickBot="1">
      <c r="A290" s="92" t="n"/>
      <c r="B290" s="95" t="n">
        <v>0</v>
      </c>
    </row>
    <row r="291" ht="15" customHeight="1" thickBot="1">
      <c r="A291" s="100" t="inlineStr">
        <is>
          <t>Celimax Dual Barrier Creamy Toner, тонер 150 мл</t>
        </is>
      </c>
      <c r="B291" s="95" t="inlineStr">
        <is>
          <t>4 929</t>
        </is>
      </c>
    </row>
    <row r="292" ht="22" customHeight="1" thickBot="1">
      <c r="A292" s="105" t="inlineStr">
        <is>
          <t>CELIMAX THE VITA-A RETINAL SHOT TIGHTENING BOOSTER [15ml]/Подтягивающий бустер-крем с ретинолом для лица</t>
        </is>
      </c>
      <c r="B292" s="95" t="inlineStr">
        <is>
          <t>9 768</t>
        </is>
      </c>
    </row>
    <row r="293" ht="22" customHeight="1" thickBot="1">
      <c r="A293" s="100" t="inlineStr">
        <is>
          <t>CELIMAX THE VITA-A RETINOL SHOT TIGHTENING SERUM [30ml]/Сыворотка с ретинолом и микроиглами для лица</t>
        </is>
      </c>
      <c r="B293" s="95" t="inlineStr">
        <is>
          <t>3 564</t>
        </is>
      </c>
    </row>
    <row r="294" ht="22" customHeight="1" thickBot="1">
      <c r="A294" s="98" t="inlineStr">
        <is>
          <t>CELIMAX DUAL BARRIER TRIAL KIT [20ml+10ml]/набор для восстановления защитного барьера кожи лица (тонер , крем )</t>
        </is>
      </c>
      <c r="B294" s="95" t="n">
        <v>0</v>
      </c>
    </row>
    <row r="295" ht="32" customHeight="1" thickBot="1">
      <c r="A295" s="98" t="inlineStr">
        <is>
          <t>CELIMAX THE REAL NONI STARTER KIT (NEW) [30ml+10ml+10ml]/Восстанавливающий набор миниатюр с нони (Тоник, сыворотка, крем )</t>
        </is>
      </c>
      <c r="B295" s="95" t="n">
        <v>0</v>
      </c>
    </row>
    <row r="296" ht="22" customHeight="1" thickBot="1">
      <c r="A296" s="98" t="inlineStr">
        <is>
          <t>CELIMAX JI WOO GAE CICA BHA BLEMISH TONER PAD_10EA [30ml]/успокаивающие тонер-пэды</t>
        </is>
      </c>
      <c r="B296" s="95" t="inlineStr">
        <is>
          <t>1 696</t>
        </is>
      </c>
    </row>
    <row r="297" ht="22" customHeight="1" thickBot="1">
      <c r="A297" s="98" t="inlineStr">
        <is>
          <t>CELIMAX PORE+DARK SPOT BRIGHTENING SERUM_10ml [10ml]/Сыворотка для выравнивания тона и рельефа кожи лица</t>
        </is>
      </c>
      <c r="B297" s="95" t="n">
        <v>0</v>
      </c>
    </row>
    <row r="298" ht="22" customHeight="1" thickBot="1">
      <c r="A298" s="99" t="inlineStr">
        <is>
          <t>CELIMAX PORE+DARK SPOT BRIGHTENING CREAM [35ml]/Крем для выравнивания тона и рельефа кожи лица</t>
        </is>
      </c>
      <c r="B298" s="95" t="n">
        <v>99</v>
      </c>
    </row>
    <row r="299" ht="22" customHeight="1" thickBot="1">
      <c r="A299" s="99" t="inlineStr">
        <is>
          <t>CELIMAX DUAL BARRIER SKIN WEARABLE CREAM [50ml]/Крем для восстановления защитного барьера кожи лица</t>
        </is>
      </c>
      <c r="B299" s="95" t="n">
        <v>446</v>
      </c>
    </row>
    <row r="300" ht="22" customHeight="1" thickBot="1">
      <c r="A300" s="99" t="inlineStr">
        <is>
          <t>CELIMAX JI WOO GAE CICA BHA BLEMISH TONER PAD [170ml / 60pads]/Тонер-пэды от воспалений</t>
        </is>
      </c>
      <c r="B300" s="95" t="inlineStr">
        <is>
          <t>1 620</t>
        </is>
      </c>
    </row>
    <row r="301" ht="22" customHeight="1" thickBot="1">
      <c r="A301" s="99" t="inlineStr">
        <is>
          <t>CELIMAX THE REAL NONI ENERGY AMPOULE_30ML (NEW) [30ml]/Восстанавливающая сыворотка с экстрактом нони для лица</t>
        </is>
      </c>
      <c r="B301" s="95" t="n">
        <v>62</v>
      </c>
    </row>
    <row r="302" ht="22" customHeight="1" thickBot="1">
      <c r="A302" s="99" t="inlineStr">
        <is>
          <t>CELIMAX PORE+DARK SPOT BRIGHTENING PAD [100ml / 40pads]/Тонер-пэды для выравнивания тона и рельефа кожи</t>
        </is>
      </c>
      <c r="B302" s="95" t="inlineStr">
        <is>
          <t>1 795</t>
        </is>
      </c>
    </row>
    <row r="303" ht="22" customHeight="1" thickBot="1">
      <c r="A303" s="99" t="inlineStr">
        <is>
          <t>CELIMAX PORE+DARK SPOT BRIGHTENING SERUM_30ml [30ml]/Сыворотка для выравнивания тона и рельефа кожи лица</t>
        </is>
      </c>
      <c r="B303" s="95" t="n">
        <v>124</v>
      </c>
    </row>
    <row r="304" ht="22" customHeight="1" thickBot="1">
      <c r="A304" s="99" t="inlineStr">
        <is>
          <t>CELIMAX THE REAL NONI MOISTURE BALANCING TONER (NEW) [150ml]/Восстанавливающий тонер с экстрактом нони</t>
        </is>
      </c>
      <c r="B304" s="95" t="n">
        <v>194</v>
      </c>
    </row>
    <row r="305" ht="22" customHeight="1" thickBot="1">
      <c r="A305" s="99" t="inlineStr">
        <is>
          <t>CELIMAX JI WOO GAE HEARTLEAF BHA PEELING PAD 60PADS/Тонер пэды для лица,60 шт</t>
        </is>
      </c>
      <c r="B305" s="95" t="n">
        <v>0</v>
      </c>
    </row>
    <row r="306" ht="15" customHeight="1" thickBot="1">
      <c r="A306" s="99" t="inlineStr">
        <is>
          <t>CELIMAX THE REAL NONI ACNE BUBBLE CLEANSER 155ML/ пенка</t>
        </is>
      </c>
      <c r="B306" s="95" t="n">
        <v>0</v>
      </c>
    </row>
    <row r="307" ht="22" customHeight="1" thickBot="1">
      <c r="A307" s="99" t="inlineStr">
        <is>
          <t>CELIMAX DERMA NATURE FRESH BLACKHEAD JOJOBA CLEANSING OIL 150ML/ масло</t>
        </is>
      </c>
      <c r="B307" s="95" t="n">
        <v>0</v>
      </c>
    </row>
    <row r="308" ht="15" customHeight="1" thickBot="1">
      <c r="A308" s="99" t="inlineStr">
        <is>
          <t>CELIMAX THE REAL NONI CALMING GLOW PAD 50EA/ тонер пэды</t>
        </is>
      </c>
      <c r="B308" s="95" t="n">
        <v>0</v>
      </c>
    </row>
    <row r="309" ht="15" customHeight="1" thickBot="1">
      <c r="A309" s="99" t="inlineStr">
        <is>
          <t>CELIMAX THE REAL CICA SOOTHING CREAM 50ML/ крем</t>
        </is>
      </c>
      <c r="B309" s="95" t="n">
        <v>0</v>
      </c>
    </row>
    <row r="310" ht="15" customHeight="1" thickBot="1">
      <c r="A310" s="106" t="inlineStr">
        <is>
          <t>CELIMAX THE REAL CICA NIACINAMIDE AC CALMING SERUM 40ML</t>
        </is>
      </c>
      <c r="B310" s="95" t="n">
        <v>0</v>
      </c>
    </row>
    <row r="311" ht="15" customHeight="1" thickBot="1">
      <c r="A311" s="106" t="inlineStr">
        <is>
          <t>CELIMAX THE REAL NONI ENERGY REPAIR CREAM 50ML</t>
        </is>
      </c>
      <c r="B311" s="95" t="n">
        <v>0</v>
      </c>
    </row>
    <row r="312" ht="15" customHeight="1" thickBot="1">
      <c r="A312" s="106" t="inlineStr">
        <is>
          <t>CELIMAX OIL CONTROL MOISTURIZING CREAM 80ML</t>
        </is>
      </c>
      <c r="B312" s="95" t="n">
        <v>0</v>
      </c>
    </row>
    <row r="313" ht="15" customHeight="1" thickBot="1">
      <c r="A313" s="106" t="inlineStr">
        <is>
          <t>CELIMAX PORE+DARK SPOT BRIGHTENING KIT</t>
        </is>
      </c>
      <c r="B313" s="95" t="n">
        <v>0</v>
      </c>
    </row>
    <row r="314" ht="15" customHeight="1" thickBot="1">
      <c r="A314" s="106" t="inlineStr">
        <is>
          <t>CELIMAX ONE STEP BODY BRIGHTENING PAD 60PADS</t>
        </is>
      </c>
      <c r="B314" s="95" t="n">
        <v>0</v>
      </c>
    </row>
    <row r="315" ht="15" customHeight="1" thickBot="1">
      <c r="A315" s="106" t="inlineStr">
        <is>
          <t>CELIMAX JI WOO GAE CICA BHA ACNE FOAM CLEANSING 150ML</t>
        </is>
      </c>
      <c r="B315" s="95" t="n">
        <v>0</v>
      </c>
    </row>
    <row r="316" ht="15" customHeight="1" thickBot="1">
      <c r="A316" s="106" t="inlineStr">
        <is>
          <t>CELIMAX OIL CONTROL CAPSULE ESSENCE 30ML</t>
        </is>
      </c>
      <c r="B316" s="95" t="n">
        <v>0</v>
      </c>
    </row>
    <row r="317" ht="15" customHeight="1" thickBot="1">
      <c r="A317" s="106" t="inlineStr">
        <is>
          <t>CELIMAX JI WOO GAE ONE STEP MILD CLEANSING PAD 60PADS</t>
        </is>
      </c>
      <c r="B317" s="95" t="n">
        <v>0</v>
      </c>
    </row>
    <row r="318" ht="15" customHeight="1" thickBot="1">
      <c r="A318" s="106" t="inlineStr">
        <is>
          <t>CELIMAX DUAL BARRIER MILD GEL CLEANSER 200ML</t>
        </is>
      </c>
      <c r="B318" s="95" t="n">
        <v>0</v>
      </c>
    </row>
    <row r="319" ht="15" customHeight="1" thickBot="1">
      <c r="A319" s="106" t="inlineStr">
        <is>
          <t>CELIMAX THE REAL NONI REFRESH CLAY MASK 120G</t>
        </is>
      </c>
      <c r="B319" s="95" t="n">
        <v>0</v>
      </c>
    </row>
    <row r="320" ht="27" customHeight="1" thickBot="1">
      <c r="A320" s="106" t="inlineStr">
        <is>
          <t>CELIMAX DERMA NATURE GLUTATHIONE LONGLASTING TONE-UP CREAM 35ML</t>
        </is>
      </c>
      <c r="B320" s="95" t="n">
        <v>0</v>
      </c>
    </row>
    <row r="321" ht="27" customHeight="1" thickBot="1">
      <c r="A321" s="106" t="inlineStr">
        <is>
          <t>CELIMAX DERMA NATURE RELIEF MADECICA PH BALANCING FOAM CLEANSING 150ML</t>
        </is>
      </c>
      <c r="B321" s="95" t="n">
        <v>0</v>
      </c>
    </row>
    <row r="322" ht="15" customHeight="1" thickBot="1">
      <c r="A322" s="92" t="n"/>
      <c r="B322" s="95" t="n">
        <v>0</v>
      </c>
    </row>
    <row r="323" ht="15" customHeight="1" thickBot="1">
      <c r="A323" s="92" t="n"/>
      <c r="B323" s="95" t="n">
        <v>0</v>
      </c>
    </row>
    <row r="324" ht="15" customHeight="1" thickBot="1">
      <c r="A324" s="92" t="n"/>
      <c r="B324" s="95" t="n">
        <v>0</v>
      </c>
    </row>
    <row r="325" ht="15" customHeight="1" thickBot="1">
      <c r="A325" s="92" t="n"/>
      <c r="B325" s="95" t="n">
        <v>0</v>
      </c>
    </row>
    <row r="326" ht="22" customHeight="1" thickBot="1">
      <c r="A326" s="99" t="inlineStr">
        <is>
          <t>VT REEDLE SHOT LIFTING EYE CREAM / Массажный лифтинг-крем для век с микроиглами</t>
        </is>
      </c>
      <c r="B326" s="95" t="n">
        <v>0</v>
      </c>
    </row>
    <row r="327" ht="15" customHeight="1" thickBot="1">
      <c r="A327" s="99" t="inlineStr">
        <is>
          <t>VT PDRN ESSENCE 100 / Укрепляющая бустер-эссенция с ПДРН</t>
        </is>
      </c>
      <c r="B327" s="95" t="inlineStr">
        <is>
          <t>1 071</t>
        </is>
      </c>
    </row>
    <row r="328" ht="15" customHeight="1" thickBot="1">
      <c r="A328" s="99" t="inlineStr">
        <is>
          <t>VT REEDLE SHOT 100 / Бустер-сыворотка с микроиглами</t>
        </is>
      </c>
      <c r="B328" s="95" t="n">
        <v>543</v>
      </c>
    </row>
    <row r="329" ht="15" customHeight="1" thickBot="1">
      <c r="A329" s="99" t="inlineStr">
        <is>
          <t>VT REEDLE S LIP PLUMPER EXPERT</t>
        </is>
      </c>
      <c r="B329" s="95" t="n">
        <v>0</v>
      </c>
    </row>
    <row r="330" ht="15" customHeight="1" thickBot="1">
      <c r="A330" s="96" t="n"/>
      <c r="B330" s="107" t="n">
        <v>0</v>
      </c>
    </row>
    <row r="331" ht="15" customHeight="1" thickBot="1">
      <c r="A331" s="96" t="n"/>
      <c r="B331" s="108" t="n"/>
    </row>
    <row r="332" ht="15" customHeight="1" thickBot="1">
      <c r="A332" s="96" t="n"/>
      <c r="B332" s="107" t="n">
        <v>0</v>
      </c>
    </row>
    <row r="333" ht="27" customHeight="1" thickBot="1">
      <c r="A333" s="106" t="inlineStr">
        <is>
          <t>PDRN PINK PEPTIDE SERUM 30ml/Сыворотка-лифтинг с ПДРН и пептидами</t>
        </is>
      </c>
      <c r="B333" s="107" t="n">
        <v>0</v>
      </c>
    </row>
    <row r="334" ht="27" customHeight="1" thickBot="1">
      <c r="A334" s="106" t="inlineStr">
        <is>
          <t>PDRN PINK EXOSOME SHOT SERUM 7500 30ml/Сыворотка для лица от морщин с микроиглами 7500 и пдрн</t>
        </is>
      </c>
      <c r="B334" s="107" t="n">
        <v>0</v>
      </c>
    </row>
    <row r="335" ht="27" customHeight="1" thickBot="1">
      <c r="A335" s="106" t="inlineStr">
        <is>
          <t>PDRN PINK EXOSOME SHOT SERUM 2000 30ml/Сыворотка для лица от морщин с микроиглами 2000 и пдрн</t>
        </is>
      </c>
      <c r="B335" s="107" t="n">
        <v>0</v>
      </c>
    </row>
    <row r="336" ht="27" customHeight="1" thickBot="1">
      <c r="A336" s="106" t="inlineStr">
        <is>
          <t>EXOSOME CICA TONER 210ml/Тонер для лица увлажняющий от прыщей</t>
        </is>
      </c>
      <c r="B336" s="107" t="n">
        <v>0</v>
      </c>
    </row>
    <row r="337" ht="15" customHeight="1" thickBot="1">
      <c r="A337" s="106" t="inlineStr">
        <is>
          <t>TXA NIACINAMIDE CAPSULE CREAM 55g/капсульный крем для лица</t>
        </is>
      </c>
      <c r="B337" s="107" t="n">
        <v>0</v>
      </c>
    </row>
    <row r="338" ht="27" customHeight="1" thickBot="1">
      <c r="A338" s="106" t="inlineStr">
        <is>
          <t>PDRN PINK COLLAGEN CAPSULE CREAM 55g/капсульный крем для лица</t>
        </is>
      </c>
      <c r="B338" s="107" t="n">
        <v>0</v>
      </c>
    </row>
    <row r="339" ht="15" customHeight="1" thickBot="1">
      <c r="A339" s="106" t="inlineStr">
        <is>
          <t>PDRN PINK HYALURONIC MOISTURIZING CREAM 50ml/ крем для лица</t>
        </is>
      </c>
      <c r="B339" s="107" t="n">
        <v>0</v>
      </c>
    </row>
    <row r="340" ht="15" customHeight="1" thickBot="1">
      <c r="A340" s="96" t="n"/>
      <c r="B340" s="107" t="n">
        <v>0</v>
      </c>
    </row>
    <row r="341" ht="15" customHeight="1" thickBot="1">
      <c r="A341" s="96" t="n"/>
      <c r="B341" s="107" t="n">
        <v>0</v>
      </c>
    </row>
    <row r="342" ht="27" customHeight="1" thickBot="1">
      <c r="A342" s="106" t="inlineStr">
        <is>
          <t>[Derma Factory] PDRN 4% Ampoule/Интенсивная антивозрастная сыворотка для лица PDRN 4%, 30 мл</t>
        </is>
      </c>
      <c r="B342" s="107" t="n">
        <v>0</v>
      </c>
    </row>
    <row r="343" ht="27" customHeight="1" thickBot="1">
      <c r="A343" s="106" t="inlineStr">
        <is>
          <t>[Derma Factory] Tranexamic Acid 6% Cream/Осветляющий Крем от пигментации с Транексамовой Кислотой</t>
        </is>
      </c>
      <c r="B343" s="107" t="n">
        <v>0</v>
      </c>
    </row>
    <row r="344" ht="27" customHeight="1" thickBot="1">
      <c r="A344" s="106" t="inlineStr">
        <is>
          <t>[Derma Factory] Retinal 300ppm Cream/Крем для лица укрепляющий с ретиналем 300ppm</t>
        </is>
      </c>
      <c r="B344" s="107" t="n">
        <v>0</v>
      </c>
    </row>
    <row r="345" ht="27" customHeight="1" thickBot="1">
      <c r="A345" s="106" t="inlineStr">
        <is>
          <t>[Derma Factory] Niacin Tranexamic Acid 13% Serum/Сыворотка для лица осветляющая от пигментации</t>
        </is>
      </c>
      <c r="B345" s="107" t="n">
        <v>0</v>
      </c>
    </row>
    <row r="346" ht="27" customHeight="1" thickBot="1">
      <c r="A346" s="106" t="inlineStr">
        <is>
          <t>[Derma Factory] Niacinamide 20% Serum/Сыворотка с Ниацинамидом для лица от прыщей Niacinamide</t>
        </is>
      </c>
      <c r="B346" s="107" t="n">
        <v>0</v>
      </c>
    </row>
    <row r="347" ht="27" customHeight="1" thickBot="1">
      <c r="A347" s="106" t="inlineStr">
        <is>
          <t>[Derma Factory] Porphyrin 20% Ampoule stick/Антивозрастная сыворотка-стик для лица с волюфилином</t>
        </is>
      </c>
      <c r="B347" s="107" t="n">
        <v>0</v>
      </c>
    </row>
    <row r="348" ht="27" customHeight="1" thickBot="1">
      <c r="A348" s="106" t="inlineStr">
        <is>
          <t>[Derma Factory] Bakuchiol Spicule Cream/Крем для лица c Бакучиолом и Микроиглами от морщин</t>
        </is>
      </c>
      <c r="B348" s="107" t="n">
        <v>0</v>
      </c>
    </row>
    <row r="349" ht="27" customHeight="1" thickBot="1">
      <c r="A349" s="106" t="inlineStr">
        <is>
          <t>[Derma Factory] Adenosine 7500ppm Water Essence/Увлажняющий эссенция для лица с аденозином 7500 ppm</t>
        </is>
      </c>
      <c r="B349" s="107" t="n">
        <v>0</v>
      </c>
    </row>
    <row r="350" ht="27" customHeight="1" thickBot="1">
      <c r="A350" s="106" t="inlineStr">
        <is>
          <t>[Derma Factory] Matrixyl 15% + Argireline 2% Serum/Сыворотка с пептидами Матриксил 15% от морщин</t>
        </is>
      </c>
      <c r="B350" s="107" t="n">
        <v>0</v>
      </c>
    </row>
    <row r="351" ht="15" customHeight="1" thickBot="1">
      <c r="A351" s="96" t="n"/>
      <c r="B351" s="107" t="n">
        <v>0</v>
      </c>
    </row>
    <row r="352" ht="15" customHeight="1" thickBot="1">
      <c r="A352" s="109" t="inlineStr">
        <is>
          <t>Итого:</t>
        </is>
      </c>
      <c r="B352" s="95" t="inlineStr">
        <is>
          <t>122 074</t>
        </is>
      </c>
    </row>
    <row r="353" ht="15" customHeight="1" thickBot="1">
      <c r="A353" s="91" t="n"/>
      <c r="B353" s="91" t="n"/>
    </row>
    <row r="354" ht="15" customHeight="1" thickBot="1">
      <c r="A354" s="91" t="n"/>
      <c r="B354" s="91" t="n"/>
    </row>
    <row r="355" ht="15" customHeight="1" thickBot="1">
      <c r="A355" s="91" t="n"/>
      <c r="B355" s="91" t="n"/>
    </row>
    <row r="356" ht="15" customHeight="1" thickBot="1">
      <c r="A356" s="91" t="n"/>
      <c r="B356" s="91" t="n"/>
    </row>
    <row r="357" ht="15" customHeight="1" thickBot="1">
      <c r="A357" s="91" t="n"/>
      <c r="B357" s="91" t="n"/>
    </row>
    <row r="358" ht="15" customHeight="1" thickBot="1">
      <c r="A358" s="91" t="n"/>
      <c r="B358" s="91" t="n"/>
    </row>
    <row r="359" ht="15" customHeight="1" thickBot="1">
      <c r="A359" s="91" t="n"/>
      <c r="B359" s="91" t="n"/>
    </row>
    <row r="360" ht="15" customHeight="1" thickBot="1">
      <c r="A360" s="91" t="n"/>
      <c r="B360" s="91" t="n"/>
    </row>
    <row r="361" ht="15" customHeight="1" thickBot="1">
      <c r="A361" s="91" t="n"/>
      <c r="B361" s="91" t="n"/>
    </row>
    <row r="362" ht="15" customHeight="1" thickBot="1">
      <c r="A362" s="91" t="n"/>
      <c r="B362" s="91" t="n"/>
    </row>
    <row r="363" ht="15" customHeight="1" thickBot="1">
      <c r="A363" s="91" t="n"/>
      <c r="B363" s="91" t="n"/>
    </row>
    <row r="364" ht="15" customHeight="1" thickBot="1">
      <c r="A364" s="91" t="n"/>
      <c r="B364" s="91" t="n"/>
    </row>
    <row r="365" ht="15" customHeight="1" thickBot="1">
      <c r="A365" s="91" t="n"/>
      <c r="B365" s="91" t="n"/>
    </row>
    <row r="366" ht="15" customHeight="1" thickBot="1">
      <c r="A366" s="91" t="n"/>
      <c r="B366" s="91" t="n"/>
    </row>
    <row r="367" ht="15" customHeight="1" thickBot="1">
      <c r="A367" s="91" t="n"/>
      <c r="B367" s="91" t="n"/>
    </row>
    <row r="368" ht="15" customHeight="1" thickBot="1">
      <c r="A368" s="91" t="n"/>
      <c r="B368" s="91" t="n"/>
    </row>
    <row r="369" ht="15" customHeight="1" thickBot="1">
      <c r="A369" s="91" t="n"/>
      <c r="B369" s="91" t="n"/>
    </row>
    <row r="370" ht="15" customHeight="1" thickBot="1">
      <c r="A370" s="91" t="n"/>
      <c r="B370" s="91" t="n"/>
    </row>
    <row r="371" ht="15" customHeight="1" thickBot="1">
      <c r="A371" s="91" t="n"/>
      <c r="B371" s="91" t="n"/>
    </row>
    <row r="372" ht="15" customHeight="1" thickBot="1">
      <c r="A372" s="91" t="n"/>
      <c r="B372" s="91" t="n"/>
    </row>
    <row r="373" ht="15" customHeight="1" thickBot="1">
      <c r="A373" s="91" t="n"/>
      <c r="B373" s="91" t="n"/>
    </row>
    <row r="374" ht="15" customHeight="1" thickBot="1">
      <c r="A374" s="91" t="n"/>
      <c r="B374" s="91" t="n"/>
    </row>
    <row r="375" ht="15" customHeight="1" thickBot="1">
      <c r="A375" s="91" t="n"/>
      <c r="B375" s="91" t="n"/>
    </row>
    <row r="376" ht="15" customHeight="1" thickBot="1">
      <c r="A376" s="91" t="n"/>
      <c r="B376" s="91" t="n"/>
    </row>
    <row r="377" ht="15" customHeight="1" thickBot="1">
      <c r="A377" s="91" t="n"/>
      <c r="B377" s="91" t="n"/>
    </row>
    <row r="378" ht="15" customHeight="1" thickBot="1">
      <c r="A378" s="91" t="n"/>
      <c r="B378" s="91" t="n"/>
    </row>
    <row r="379" ht="15" customHeight="1" thickBot="1">
      <c r="A379" s="91" t="n"/>
      <c r="B379" s="91" t="n"/>
    </row>
    <row r="380" ht="15" customHeight="1" thickBot="1">
      <c r="A380" s="91" t="n"/>
      <c r="B380" s="91" t="n"/>
    </row>
    <row r="381" ht="15" customHeight="1" thickBot="1">
      <c r="A381" s="91" t="n"/>
      <c r="B381" s="91" t="n"/>
    </row>
    <row r="382" ht="15" customHeight="1" thickBot="1">
      <c r="A382" s="91" t="n"/>
      <c r="B382" s="91" t="n"/>
    </row>
    <row r="383" ht="15" customHeight="1" thickBot="1">
      <c r="A383" s="91" t="n"/>
      <c r="B383" s="91" t="n"/>
    </row>
    <row r="384" ht="15" customHeight="1" thickBot="1">
      <c r="A384" s="91" t="n"/>
      <c r="B384" s="91" t="n"/>
    </row>
    <row r="385" ht="15" customHeight="1" thickBot="1">
      <c r="A385" s="91" t="n"/>
      <c r="B385" s="91" t="n"/>
    </row>
    <row r="386" ht="15" customHeight="1" thickBot="1">
      <c r="A386" s="91" t="n"/>
      <c r="B386" s="91" t="n"/>
    </row>
    <row r="387" ht="15" customHeight="1" thickBot="1">
      <c r="A387" s="91" t="n"/>
      <c r="B387" s="91" t="n"/>
    </row>
    <row r="388" ht="15" customHeight="1" thickBot="1">
      <c r="A388" s="91" t="n"/>
      <c r="B388" s="91" t="n"/>
    </row>
    <row r="389" ht="15" customHeight="1" thickBot="1">
      <c r="A389" s="91" t="n"/>
      <c r="B389" s="91" t="n"/>
    </row>
    <row r="390" ht="15" customHeight="1" thickBot="1">
      <c r="A390" s="91" t="n"/>
      <c r="B390" s="91" t="n"/>
    </row>
    <row r="391" ht="15" customHeight="1" thickBot="1">
      <c r="A391" s="91" t="n"/>
      <c r="B391" s="91" t="n"/>
    </row>
    <row r="392" ht="15" customHeight="1" thickBot="1">
      <c r="A392" s="91" t="n"/>
      <c r="B392" s="91" t="n"/>
    </row>
    <row r="393" ht="15" customHeight="1" thickBot="1">
      <c r="A393" s="91" t="n"/>
      <c r="B393" s="91" t="n"/>
    </row>
    <row r="394" ht="15" customHeight="1" thickBot="1">
      <c r="A394" s="91" t="n"/>
      <c r="B394" s="91" t="n"/>
    </row>
    <row r="395" ht="15" customHeight="1" thickBot="1">
      <c r="A395" s="91" t="n"/>
      <c r="B395" s="91" t="n"/>
    </row>
    <row r="396" ht="15" customHeight="1" thickBot="1">
      <c r="A396" s="91" t="n"/>
      <c r="B396" s="91" t="n"/>
    </row>
    <row r="397" ht="15" customHeight="1" thickBot="1">
      <c r="A397" s="91" t="n"/>
      <c r="B397" s="91" t="n"/>
    </row>
    <row r="398" ht="15" customHeight="1" thickBot="1">
      <c r="A398" s="91" t="n"/>
      <c r="B398" s="91" t="n"/>
    </row>
    <row r="399" ht="15" customHeight="1" thickBot="1">
      <c r="A399" s="91" t="n"/>
      <c r="B399" s="91" t="n"/>
    </row>
    <row r="400" ht="15" customHeight="1" thickBot="1">
      <c r="A400" s="91" t="n"/>
      <c r="B400" s="91" t="n"/>
    </row>
    <row r="401" ht="15" customHeight="1" thickBot="1">
      <c r="A401" s="91" t="n"/>
      <c r="B401" s="91" t="n"/>
    </row>
    <row r="402" ht="15" customHeight="1" thickBot="1">
      <c r="A402" s="91" t="n"/>
      <c r="B402" s="91" t="n"/>
    </row>
    <row r="403" ht="15" customHeight="1" thickBot="1">
      <c r="A403" s="91" t="n"/>
      <c r="B403" s="91" t="n"/>
    </row>
    <row r="404" ht="15" customHeight="1" thickBot="1">
      <c r="A404" s="91" t="n"/>
      <c r="B404" s="91" t="n"/>
    </row>
    <row r="405" ht="15" customHeight="1" thickBot="1">
      <c r="A405" s="91" t="n"/>
      <c r="B405" s="91" t="n"/>
    </row>
    <row r="406" ht="15" customHeight="1" thickBot="1">
      <c r="A406" s="91" t="n"/>
      <c r="B406" s="91" t="n"/>
    </row>
    <row r="407" ht="15" customHeight="1" thickBot="1">
      <c r="A407" s="91" t="n"/>
      <c r="B407" s="91" t="n"/>
    </row>
    <row r="408" ht="15" customHeight="1" thickBot="1">
      <c r="A408" s="91" t="n"/>
      <c r="B408" s="91" t="n"/>
    </row>
    <row r="409" ht="15" customHeight="1" thickBot="1">
      <c r="A409" s="91" t="n"/>
      <c r="B409" s="91" t="n"/>
    </row>
    <row r="410" ht="15" customHeight="1" thickBot="1">
      <c r="A410" s="91" t="n"/>
      <c r="B410" s="91" t="n"/>
    </row>
    <row r="411" ht="15" customHeight="1" thickBot="1">
      <c r="A411" s="91" t="n"/>
      <c r="B411" s="91" t="n"/>
    </row>
    <row r="412" ht="15" customHeight="1" thickBot="1">
      <c r="A412" s="91" t="n"/>
      <c r="B412" s="91" t="n"/>
    </row>
    <row r="413" ht="15" customHeight="1" thickBot="1">
      <c r="A413" s="91" t="n"/>
      <c r="B413" s="91" t="n"/>
    </row>
    <row r="414" ht="15" customHeight="1" thickBot="1">
      <c r="A414" s="91" t="n"/>
      <c r="B414" s="91" t="n"/>
    </row>
    <row r="415" ht="15" customHeight="1" thickBot="1">
      <c r="A415" s="91" t="n"/>
      <c r="B415" s="91" t="n"/>
    </row>
    <row r="416" ht="15" customHeight="1" thickBot="1">
      <c r="A416" s="91" t="n"/>
      <c r="B416" s="91" t="n"/>
    </row>
    <row r="417" ht="15" customHeight="1" thickBot="1">
      <c r="A417" s="91" t="n"/>
      <c r="B417" s="91" t="n"/>
    </row>
    <row r="418" ht="15" customHeight="1" thickBot="1">
      <c r="A418" s="91" t="n"/>
      <c r="B418" s="91" t="n"/>
    </row>
    <row r="419" ht="15" customHeight="1" thickBot="1">
      <c r="A419" s="91" t="n"/>
      <c r="B419" s="91" t="n"/>
    </row>
    <row r="420" ht="15" customHeight="1" thickBot="1">
      <c r="A420" s="91" t="n"/>
      <c r="B420" s="91" t="n"/>
    </row>
    <row r="421" ht="15" customHeight="1" thickBot="1">
      <c r="A421" s="91" t="n"/>
      <c r="B421" s="91" t="n"/>
    </row>
    <row r="422" ht="15" customHeight="1" thickBot="1">
      <c r="A422" s="91" t="n"/>
      <c r="B422" s="91" t="n"/>
    </row>
    <row r="423" ht="15" customHeight="1" thickBot="1">
      <c r="A423" s="91" t="n"/>
      <c r="B423" s="91" t="n"/>
    </row>
    <row r="424" ht="15" customHeight="1" thickBot="1">
      <c r="A424" s="91" t="n"/>
      <c r="B424" s="91" t="n"/>
    </row>
    <row r="425" ht="15" customHeight="1" thickBot="1">
      <c r="A425" s="91" t="n"/>
      <c r="B425" s="91" t="n"/>
    </row>
    <row r="426" ht="15" customHeight="1" thickBot="1">
      <c r="A426" s="91" t="n"/>
      <c r="B426" s="91" t="n"/>
    </row>
    <row r="427" ht="15" customHeight="1" thickBot="1">
      <c r="A427" s="91" t="n"/>
      <c r="B427" s="91" t="n"/>
    </row>
    <row r="428" ht="15" customHeight="1" thickBot="1">
      <c r="A428" s="91" t="n"/>
      <c r="B428" s="91" t="n"/>
    </row>
    <row r="429" ht="15" customHeight="1" thickBot="1">
      <c r="A429" s="91" t="n"/>
      <c r="B429" s="91" t="n"/>
    </row>
    <row r="430" ht="15" customHeight="1" thickBot="1">
      <c r="A430" s="91" t="n"/>
      <c r="B430" s="91" t="n"/>
    </row>
    <row r="431" ht="15" customHeight="1" thickBot="1">
      <c r="A431" s="91" t="n"/>
      <c r="B431" s="91" t="n"/>
    </row>
    <row r="432" ht="15" customHeight="1" thickBot="1">
      <c r="A432" s="91" t="n"/>
      <c r="B432" s="91" t="n"/>
    </row>
    <row r="433" ht="15" customHeight="1" thickBot="1">
      <c r="A433" s="91" t="n"/>
      <c r="B433" s="91" t="n"/>
    </row>
    <row r="434" ht="15" customHeight="1" thickBot="1">
      <c r="A434" s="91" t="n"/>
      <c r="B434" s="91" t="n"/>
    </row>
    <row r="435" ht="15" customHeight="1" thickBot="1">
      <c r="A435" s="91" t="n"/>
      <c r="B435" s="91" t="n"/>
    </row>
    <row r="436" ht="15" customHeight="1" thickBot="1">
      <c r="A436" s="91" t="n"/>
      <c r="B436" s="91" t="n"/>
    </row>
    <row r="437" ht="15" customHeight="1" thickBot="1">
      <c r="A437" s="91" t="n"/>
      <c r="B437" s="91" t="n"/>
    </row>
    <row r="438" ht="15" customHeight="1" thickBot="1">
      <c r="A438" s="91" t="n"/>
      <c r="B438" s="91" t="n"/>
    </row>
    <row r="439" ht="15" customHeight="1" thickBot="1">
      <c r="A439" s="91" t="n"/>
      <c r="B439" s="91" t="n"/>
    </row>
    <row r="440" ht="15" customHeight="1" thickBot="1">
      <c r="A440" s="91" t="n"/>
      <c r="B440" s="91" t="n"/>
    </row>
    <row r="441" ht="15" customHeight="1" thickBot="1">
      <c r="A441" s="91" t="n"/>
      <c r="B441" s="91" t="n"/>
    </row>
    <row r="442" ht="15" customHeight="1" thickBot="1">
      <c r="A442" s="91" t="n"/>
      <c r="B442" s="91" t="n"/>
    </row>
    <row r="443" ht="15" customHeight="1" thickBot="1">
      <c r="A443" s="91" t="n"/>
      <c r="B443" s="91" t="n"/>
    </row>
    <row r="444" ht="15" customHeight="1" thickBot="1">
      <c r="A444" s="91" t="n"/>
      <c r="B444" s="91" t="n"/>
    </row>
    <row r="445" ht="15" customHeight="1" thickBot="1">
      <c r="A445" s="91" t="n"/>
      <c r="B445" s="91" t="n"/>
    </row>
    <row r="446" ht="15" customHeight="1" thickBot="1">
      <c r="A446" s="91" t="n"/>
      <c r="B446" s="91" t="n"/>
    </row>
    <row r="447" ht="15" customHeight="1" thickBot="1">
      <c r="A447" s="91" t="n"/>
      <c r="B447" s="91" t="n"/>
    </row>
    <row r="448" ht="15" customHeight="1" thickBot="1">
      <c r="A448" s="91" t="n"/>
      <c r="B448" s="91" t="n"/>
    </row>
    <row r="449" ht="15" customHeight="1" thickBot="1">
      <c r="A449" s="91" t="n"/>
      <c r="B449" s="91" t="n"/>
    </row>
    <row r="450" ht="15" customHeight="1" thickBot="1">
      <c r="A450" s="91" t="n"/>
      <c r="B450" s="91" t="n"/>
    </row>
    <row r="451" ht="15" customHeight="1" thickBot="1">
      <c r="A451" s="91" t="n"/>
      <c r="B451" s="91" t="n"/>
    </row>
    <row r="452" ht="15" customHeight="1" thickBot="1">
      <c r="A452" s="91" t="n"/>
      <c r="B452" s="91" t="n"/>
    </row>
    <row r="453" ht="15" customHeight="1" thickBot="1">
      <c r="A453" s="91" t="n"/>
      <c r="B453" s="91" t="n"/>
    </row>
    <row r="454" ht="15" customHeight="1" thickBot="1">
      <c r="A454" s="91" t="n"/>
      <c r="B454" s="91" t="n"/>
    </row>
    <row r="455" ht="15" customHeight="1" thickBot="1">
      <c r="A455" s="91" t="n"/>
      <c r="B455" s="91" t="n"/>
    </row>
    <row r="456" ht="15" customHeight="1" thickBot="1">
      <c r="A456" s="91" t="n"/>
      <c r="B456" s="91" t="n"/>
    </row>
    <row r="457" ht="15" customHeight="1" thickBot="1">
      <c r="A457" s="91" t="n"/>
      <c r="B457" s="91" t="n"/>
    </row>
    <row r="458" ht="15" customHeight="1" thickBot="1">
      <c r="A458" s="91" t="n"/>
      <c r="B458" s="91" t="n"/>
    </row>
    <row r="459" ht="15" customHeight="1" thickBot="1">
      <c r="A459" s="91" t="n"/>
      <c r="B459" s="91" t="n"/>
    </row>
    <row r="460" ht="15" customHeight="1" thickBot="1">
      <c r="A460" s="91" t="n"/>
      <c r="B460" s="91" t="n"/>
    </row>
    <row r="461" ht="15" customHeight="1" thickBot="1">
      <c r="A461" s="91" t="n"/>
      <c r="B461" s="91" t="n"/>
    </row>
    <row r="462" ht="15" customHeight="1" thickBot="1">
      <c r="A462" s="91" t="n"/>
      <c r="B462" s="91" t="n"/>
    </row>
    <row r="463" ht="15" customHeight="1" thickBot="1">
      <c r="A463" s="91" t="n"/>
      <c r="B463" s="91" t="n"/>
    </row>
    <row r="464" ht="15" customHeight="1" thickBot="1">
      <c r="A464" s="91" t="n"/>
      <c r="B464" s="91" t="n"/>
    </row>
    <row r="465" ht="15" customHeight="1" thickBot="1">
      <c r="A465" s="91" t="n"/>
      <c r="B465" s="91" t="n"/>
    </row>
    <row r="466" ht="15" customHeight="1" thickBot="1">
      <c r="A466" s="91" t="n"/>
      <c r="B466" s="91" t="n"/>
    </row>
    <row r="467" ht="15" customHeight="1" thickBot="1">
      <c r="A467" s="91" t="n"/>
      <c r="B467" s="91" t="n"/>
    </row>
    <row r="468" ht="15" customHeight="1" thickBot="1">
      <c r="A468" s="91" t="n"/>
      <c r="B468" s="91" t="n"/>
    </row>
    <row r="469" ht="15" customHeight="1" thickBot="1">
      <c r="A469" s="91" t="n"/>
      <c r="B469" s="91" t="n"/>
    </row>
    <row r="470" ht="15" customHeight="1" thickBot="1">
      <c r="A470" s="91" t="n"/>
      <c r="B470" s="91" t="n"/>
    </row>
    <row r="471" ht="15" customHeight="1" thickBot="1">
      <c r="A471" s="91" t="n"/>
      <c r="B471" s="91" t="n"/>
    </row>
    <row r="472" ht="15" customHeight="1" thickBot="1">
      <c r="A472" s="91" t="n"/>
      <c r="B472" s="91" t="n"/>
    </row>
    <row r="473" ht="15" customHeight="1" thickBot="1">
      <c r="A473" s="91" t="n"/>
      <c r="B473" s="91" t="n"/>
    </row>
    <row r="474" ht="15" customHeight="1" thickBot="1">
      <c r="A474" s="91" t="n"/>
      <c r="B474" s="91" t="n"/>
    </row>
    <row r="475" ht="15" customHeight="1" thickBot="1">
      <c r="A475" s="91" t="n"/>
      <c r="B475" s="91" t="n"/>
    </row>
    <row r="476" ht="15" customHeight="1" thickBot="1">
      <c r="A476" s="91" t="n"/>
      <c r="B476" s="91" t="n"/>
    </row>
    <row r="477" ht="15" customHeight="1" thickBot="1">
      <c r="A477" s="91" t="n"/>
      <c r="B477" s="91" t="n"/>
    </row>
    <row r="478" ht="15" customHeight="1" thickBot="1">
      <c r="A478" s="91" t="n"/>
      <c r="B478" s="91" t="n"/>
    </row>
    <row r="479" ht="15" customHeight="1" thickBot="1">
      <c r="A479" s="91" t="n"/>
      <c r="B479" s="91" t="n"/>
    </row>
    <row r="480" ht="15" customHeight="1" thickBot="1">
      <c r="A480" s="91" t="n"/>
      <c r="B480" s="91" t="n"/>
    </row>
    <row r="481" ht="15" customHeight="1" thickBot="1">
      <c r="A481" s="91" t="n"/>
      <c r="B481" s="91" t="n"/>
    </row>
    <row r="482" ht="15" customHeight="1" thickBot="1">
      <c r="A482" s="91" t="n"/>
      <c r="B482" s="91" t="n"/>
    </row>
    <row r="483" ht="15" customHeight="1" thickBot="1">
      <c r="A483" s="91" t="n"/>
      <c r="B483" s="91" t="n"/>
    </row>
    <row r="484" ht="15" customHeight="1" thickBot="1">
      <c r="A484" s="91" t="n"/>
      <c r="B484" s="91" t="n"/>
    </row>
    <row r="485" ht="15" customHeight="1" thickBot="1">
      <c r="A485" s="91" t="n"/>
      <c r="B485" s="91" t="n"/>
    </row>
    <row r="486" ht="15" customHeight="1" thickBot="1">
      <c r="A486" s="91" t="n"/>
      <c r="B486" s="91" t="n"/>
    </row>
    <row r="487" ht="15" customHeight="1" thickBot="1">
      <c r="A487" s="91" t="n"/>
      <c r="B487" s="91" t="n"/>
    </row>
    <row r="488" ht="15" customHeight="1" thickBot="1">
      <c r="A488" s="91" t="n"/>
      <c r="B488" s="91" t="n"/>
    </row>
    <row r="489" ht="15" customHeight="1" thickBot="1">
      <c r="A489" s="91" t="n"/>
      <c r="B489" s="91" t="n"/>
    </row>
    <row r="490" ht="15" customHeight="1" thickBot="1">
      <c r="A490" s="91" t="n"/>
      <c r="B490" s="91" t="n"/>
    </row>
    <row r="491" ht="15" customHeight="1" thickBot="1">
      <c r="A491" s="91" t="n"/>
      <c r="B491" s="91" t="n"/>
    </row>
    <row r="492" ht="15" customHeight="1" thickBot="1">
      <c r="A492" s="91" t="n"/>
      <c r="B492" s="91" t="n"/>
    </row>
    <row r="493" ht="15" customHeight="1" thickBot="1">
      <c r="A493" s="91" t="n"/>
      <c r="B493" s="91" t="n"/>
    </row>
    <row r="494" ht="15" customHeight="1" thickBot="1">
      <c r="A494" s="91" t="n"/>
      <c r="B494" s="91" t="n"/>
    </row>
    <row r="495" ht="15" customHeight="1" thickBot="1">
      <c r="A495" s="91" t="n"/>
      <c r="B495" s="91" t="n"/>
    </row>
    <row r="496" ht="15" customHeight="1" thickBot="1">
      <c r="A496" s="91" t="n"/>
      <c r="B496" s="91" t="n"/>
    </row>
    <row r="497" ht="15" customHeight="1" thickBot="1">
      <c r="A497" s="91" t="n"/>
      <c r="B497" s="91" t="n"/>
    </row>
    <row r="498" ht="15" customHeight="1" thickBot="1">
      <c r="A498" s="91" t="n"/>
      <c r="B498" s="91" t="n"/>
    </row>
    <row r="499" ht="15" customHeight="1" thickBot="1">
      <c r="A499" s="91" t="n"/>
      <c r="B499" s="91" t="n"/>
    </row>
    <row r="500" ht="15" customHeight="1" thickBot="1">
      <c r="A500" s="91" t="n"/>
      <c r="B500" s="91" t="n"/>
    </row>
    <row r="501" ht="15" customHeight="1" thickBot="1">
      <c r="A501" s="91" t="n"/>
      <c r="B501" s="91" t="n"/>
    </row>
    <row r="502" ht="15" customHeight="1" thickBot="1">
      <c r="A502" s="91" t="n"/>
      <c r="B502" s="91" t="n"/>
    </row>
    <row r="503" ht="15" customHeight="1" thickBot="1">
      <c r="A503" s="91" t="n"/>
      <c r="B503" s="91" t="n"/>
    </row>
    <row r="504" ht="15" customHeight="1" thickBot="1">
      <c r="A504" s="91" t="n"/>
      <c r="B504" s="91" t="n"/>
    </row>
    <row r="505" ht="15" customHeight="1" thickBot="1">
      <c r="A505" s="91" t="n"/>
      <c r="B505" s="91" t="n"/>
    </row>
    <row r="506" ht="15" customHeight="1" thickBot="1">
      <c r="A506" s="91" t="n"/>
      <c r="B506" s="91" t="n"/>
    </row>
    <row r="507" ht="15" customHeight="1" thickBot="1">
      <c r="A507" s="91" t="n"/>
      <c r="B507" s="91" t="n"/>
    </row>
    <row r="508" ht="15" customHeight="1" thickBot="1">
      <c r="A508" s="91" t="n"/>
      <c r="B508" s="91" t="n"/>
    </row>
    <row r="509" ht="15" customHeight="1" thickBot="1">
      <c r="A509" s="91" t="n"/>
      <c r="B509" s="91" t="n"/>
    </row>
    <row r="510" ht="15" customHeight="1" thickBot="1">
      <c r="A510" s="91" t="n"/>
      <c r="B510" s="91" t="n"/>
    </row>
    <row r="511" ht="15" customHeight="1" thickBot="1">
      <c r="A511" s="91" t="n"/>
      <c r="B511" s="91" t="n"/>
    </row>
    <row r="512" ht="15" customHeight="1" thickBot="1">
      <c r="A512" s="91" t="n"/>
      <c r="B512" s="91" t="n"/>
    </row>
    <row r="513" ht="15" customHeight="1" thickBot="1">
      <c r="A513" s="91" t="n"/>
      <c r="B513" s="91" t="n"/>
    </row>
    <row r="514" ht="15" customHeight="1" thickBot="1">
      <c r="A514" s="91" t="n"/>
      <c r="B514" s="91" t="n"/>
    </row>
    <row r="515" ht="15" customHeight="1" thickBot="1">
      <c r="A515" s="91" t="n"/>
      <c r="B515" s="91" t="n"/>
    </row>
    <row r="516" ht="15" customHeight="1" thickBot="1">
      <c r="A516" s="91" t="n"/>
      <c r="B516" s="91" t="n"/>
    </row>
    <row r="517" ht="15" customHeight="1" thickBot="1">
      <c r="A517" s="91" t="n"/>
      <c r="B517" s="91" t="n"/>
    </row>
    <row r="518" ht="15" customHeight="1" thickBot="1">
      <c r="A518" s="91" t="n"/>
      <c r="B518" s="91" t="n"/>
    </row>
    <row r="519" ht="15" customHeight="1" thickBot="1">
      <c r="A519" s="91" t="n"/>
      <c r="B519" s="91" t="n"/>
    </row>
    <row r="520" ht="15" customHeight="1" thickBot="1">
      <c r="A520" s="91" t="n"/>
      <c r="B520" s="91" t="n"/>
    </row>
    <row r="521" ht="15" customHeight="1" thickBot="1">
      <c r="A521" s="91" t="n"/>
      <c r="B521" s="91" t="n"/>
    </row>
    <row r="522" ht="15" customHeight="1" thickBot="1">
      <c r="A522" s="91" t="n"/>
      <c r="B522" s="91" t="n"/>
    </row>
    <row r="523" ht="15" customHeight="1" thickBot="1">
      <c r="A523" s="91" t="n"/>
      <c r="B523" s="91" t="n"/>
    </row>
    <row r="524" ht="15" customHeight="1" thickBot="1">
      <c r="A524" s="91" t="n"/>
      <c r="B524" s="91" t="n"/>
    </row>
    <row r="525" ht="15" customHeight="1" thickBot="1">
      <c r="A525" s="91" t="n"/>
      <c r="B525" s="91" t="n"/>
    </row>
    <row r="526" ht="15" customHeight="1" thickBot="1">
      <c r="A526" s="91" t="n"/>
      <c r="B526" s="91" t="n"/>
    </row>
    <row r="527" ht="15" customHeight="1" thickBot="1">
      <c r="A527" s="91" t="n"/>
      <c r="B527" s="91" t="n"/>
    </row>
    <row r="528" ht="15" customHeight="1" thickBot="1">
      <c r="A528" s="91" t="n"/>
      <c r="B528" s="91" t="n"/>
    </row>
    <row r="529" ht="15" customHeight="1" thickBot="1">
      <c r="A529" s="91" t="n"/>
      <c r="B529" s="91" t="n"/>
    </row>
    <row r="530" ht="15" customHeight="1" thickBot="1">
      <c r="A530" s="91" t="n"/>
      <c r="B530" s="91" t="n"/>
    </row>
    <row r="531" ht="15" customHeight="1" thickBot="1">
      <c r="A531" s="91" t="n"/>
      <c r="B531" s="91" t="n"/>
    </row>
    <row r="532" ht="15" customHeight="1" thickBot="1">
      <c r="A532" s="91" t="n"/>
      <c r="B532" s="91" t="n"/>
    </row>
    <row r="533" ht="15" customHeight="1" thickBot="1">
      <c r="A533" s="91" t="n"/>
      <c r="B533" s="91" t="n"/>
    </row>
    <row r="534" ht="15" customHeight="1" thickBot="1">
      <c r="A534" s="91" t="n"/>
      <c r="B534" s="91" t="n"/>
    </row>
    <row r="535" ht="15" customHeight="1" thickBot="1">
      <c r="A535" s="91" t="n"/>
      <c r="B535" s="91" t="n"/>
    </row>
    <row r="536" ht="15" customHeight="1" thickBot="1">
      <c r="A536" s="91" t="n"/>
      <c r="B536" s="91" t="n"/>
    </row>
    <row r="537" ht="15" customHeight="1" thickBot="1">
      <c r="A537" s="91" t="n"/>
      <c r="B537" s="91" t="n"/>
    </row>
    <row r="538" ht="15" customHeight="1" thickBot="1">
      <c r="A538" s="91" t="n"/>
      <c r="B538" s="91" t="n"/>
    </row>
    <row r="539" ht="15" customHeight="1" thickBot="1">
      <c r="A539" s="91" t="n"/>
      <c r="B539" s="91" t="n"/>
    </row>
    <row r="540" ht="15" customHeight="1" thickBot="1">
      <c r="A540" s="91" t="n"/>
      <c r="B540" s="91" t="n"/>
    </row>
    <row r="541" ht="15" customHeight="1" thickBot="1">
      <c r="A541" s="91" t="n"/>
      <c r="B541" s="91" t="n"/>
    </row>
    <row r="542" ht="15" customHeight="1" thickBot="1">
      <c r="A542" s="91" t="n"/>
      <c r="B542" s="91" t="n"/>
    </row>
    <row r="543" ht="15" customHeight="1" thickBot="1">
      <c r="A543" s="91" t="n"/>
      <c r="B543" s="91" t="n"/>
    </row>
    <row r="544" ht="15" customHeight="1" thickBot="1">
      <c r="A544" s="91" t="n"/>
      <c r="B544" s="91" t="n"/>
    </row>
    <row r="545" ht="15" customHeight="1" thickBot="1">
      <c r="A545" s="91" t="n"/>
      <c r="B545" s="91" t="n"/>
    </row>
    <row r="546" ht="15" customHeight="1" thickBot="1">
      <c r="A546" s="91" t="n"/>
      <c r="B546" s="91" t="n"/>
    </row>
    <row r="547" ht="15" customHeight="1" thickBot="1">
      <c r="A547" s="91" t="n"/>
      <c r="B547" s="91" t="n"/>
    </row>
    <row r="548" ht="15" customHeight="1" thickBot="1">
      <c r="A548" s="91" t="n"/>
      <c r="B548" s="91" t="n"/>
    </row>
    <row r="549" ht="15" customHeight="1" thickBot="1">
      <c r="A549" s="91" t="n"/>
      <c r="B549" s="91" t="n"/>
    </row>
    <row r="550" ht="15" customHeight="1" thickBot="1">
      <c r="A550" s="91" t="n"/>
      <c r="B550" s="91" t="n"/>
    </row>
    <row r="551" ht="15" customHeight="1" thickBot="1">
      <c r="A551" s="91" t="n"/>
      <c r="B551" s="91" t="n"/>
    </row>
    <row r="552" ht="15" customHeight="1" thickBot="1">
      <c r="A552" s="91" t="n"/>
      <c r="B552" s="91" t="n"/>
    </row>
    <row r="553" ht="15" customHeight="1" thickBot="1">
      <c r="A553" s="91" t="n"/>
      <c r="B553" s="91" t="n"/>
    </row>
    <row r="554" ht="15" customHeight="1" thickBot="1">
      <c r="A554" s="91" t="n"/>
      <c r="B554" s="91" t="n"/>
    </row>
    <row r="555" ht="15" customHeight="1" thickBot="1">
      <c r="A555" s="91" t="n"/>
      <c r="B555" s="91" t="n"/>
    </row>
    <row r="556" ht="15" customHeight="1" thickBot="1">
      <c r="A556" s="91" t="n"/>
      <c r="B556" s="91" t="n"/>
    </row>
    <row r="557" ht="15" customHeight="1" thickBot="1">
      <c r="A557" s="91" t="n"/>
      <c r="B557" s="91" t="n"/>
    </row>
    <row r="558" ht="15" customHeight="1" thickBot="1">
      <c r="A558" s="91" t="n"/>
      <c r="B558" s="91" t="n"/>
    </row>
    <row r="559" ht="15" customHeight="1" thickBot="1">
      <c r="A559" s="91" t="n"/>
      <c r="B559" s="91" t="n"/>
    </row>
    <row r="560" ht="15" customHeight="1" thickBot="1">
      <c r="A560" s="91" t="n"/>
      <c r="B560" s="91" t="n"/>
    </row>
    <row r="561" ht="15" customHeight="1" thickBot="1">
      <c r="A561" s="91" t="n"/>
      <c r="B561" s="91" t="n"/>
    </row>
    <row r="562" ht="15" customHeight="1" thickBot="1">
      <c r="A562" s="91" t="n"/>
      <c r="B562" s="91" t="n"/>
    </row>
    <row r="563" ht="15" customHeight="1" thickBot="1">
      <c r="A563" s="91" t="n"/>
      <c r="B563" s="91" t="n"/>
    </row>
    <row r="564" ht="15" customHeight="1" thickBot="1">
      <c r="A564" s="91" t="n"/>
      <c r="B564" s="91" t="n"/>
    </row>
    <row r="565" ht="15" customHeight="1" thickBot="1">
      <c r="A565" s="91" t="n"/>
      <c r="B565" s="91" t="n"/>
    </row>
    <row r="566" ht="15" customHeight="1" thickBot="1">
      <c r="A566" s="91" t="n"/>
      <c r="B566" s="91" t="n"/>
    </row>
    <row r="567" ht="15" customHeight="1" thickBot="1">
      <c r="A567" s="91" t="n"/>
      <c r="B567" s="91" t="n"/>
    </row>
    <row r="568" ht="15" customHeight="1" thickBot="1">
      <c r="A568" s="91" t="n"/>
      <c r="B568" s="91" t="n"/>
    </row>
    <row r="569" ht="15" customHeight="1" thickBot="1">
      <c r="A569" s="91" t="n"/>
      <c r="B569" s="91" t="n"/>
    </row>
    <row r="570" ht="15" customHeight="1" thickBot="1">
      <c r="A570" s="91" t="n"/>
      <c r="B570" s="91" t="n"/>
    </row>
    <row r="571" ht="15" customHeight="1" thickBot="1">
      <c r="A571" s="91" t="n"/>
      <c r="B571" s="91" t="n"/>
    </row>
    <row r="572" ht="15" customHeight="1" thickBot="1">
      <c r="A572" s="91" t="n"/>
      <c r="B572" s="91" t="n"/>
    </row>
    <row r="573" ht="15" customHeight="1" thickBot="1">
      <c r="A573" s="91" t="n"/>
      <c r="B573" s="91" t="n"/>
    </row>
    <row r="574" ht="15" customHeight="1" thickBot="1">
      <c r="A574" s="91" t="n"/>
      <c r="B574" s="91" t="n"/>
    </row>
    <row r="575" ht="15" customHeight="1" thickBot="1">
      <c r="A575" s="91" t="n"/>
      <c r="B575" s="91" t="n"/>
    </row>
    <row r="576" ht="15" customHeight="1" thickBot="1">
      <c r="A576" s="91" t="n"/>
      <c r="B576" s="91" t="n"/>
    </row>
    <row r="577" ht="15" customHeight="1" thickBot="1">
      <c r="A577" s="91" t="n"/>
      <c r="B577" s="91" t="n"/>
    </row>
    <row r="578" ht="15" customHeight="1" thickBot="1">
      <c r="A578" s="91" t="n"/>
      <c r="B578" s="91" t="n"/>
    </row>
    <row r="579" ht="15" customHeight="1" thickBot="1">
      <c r="A579" s="91" t="n"/>
      <c r="B579" s="91" t="n"/>
    </row>
    <row r="580" ht="15" customHeight="1" thickBot="1">
      <c r="A580" s="91" t="n"/>
      <c r="B580" s="91" t="n"/>
    </row>
    <row r="581" ht="15" customHeight="1" thickBot="1">
      <c r="A581" s="91" t="n"/>
      <c r="B581" s="91" t="n"/>
    </row>
    <row r="582" ht="15" customHeight="1" thickBot="1">
      <c r="A582" s="91" t="n"/>
      <c r="B582" s="91" t="n"/>
    </row>
    <row r="583" ht="15" customHeight="1" thickBot="1">
      <c r="A583" s="91" t="n"/>
      <c r="B583" s="91" t="n"/>
    </row>
    <row r="584" ht="15" customHeight="1" thickBot="1">
      <c r="A584" s="91" t="n"/>
      <c r="B584" s="91" t="n"/>
    </row>
    <row r="585" ht="15" customHeight="1" thickBot="1">
      <c r="A585" s="91" t="n"/>
      <c r="B585" s="91" t="n"/>
    </row>
    <row r="586" ht="15" customHeight="1" thickBot="1">
      <c r="A586" s="91" t="n"/>
      <c r="B586" s="91" t="n"/>
    </row>
    <row r="587" ht="15" customHeight="1" thickBot="1">
      <c r="A587" s="91" t="n"/>
      <c r="B587" s="91" t="n"/>
    </row>
    <row r="588" ht="15" customHeight="1" thickBot="1">
      <c r="A588" s="91" t="n"/>
      <c r="B588" s="91" t="n"/>
    </row>
    <row r="589" ht="15" customHeight="1" thickBot="1">
      <c r="A589" s="91" t="n"/>
      <c r="B589" s="91" t="n"/>
    </row>
    <row r="590" ht="15" customHeight="1" thickBot="1">
      <c r="A590" s="91" t="n"/>
      <c r="B590" s="91" t="n"/>
    </row>
    <row r="591" ht="15" customHeight="1" thickBot="1">
      <c r="A591" s="91" t="n"/>
      <c r="B591" s="91" t="n"/>
    </row>
    <row r="592" ht="15" customHeight="1" thickBot="1">
      <c r="A592" s="91" t="n"/>
      <c r="B592" s="91" t="n"/>
    </row>
    <row r="593" ht="15" customHeight="1" thickBot="1">
      <c r="A593" s="91" t="n"/>
      <c r="B593" s="91" t="n"/>
    </row>
    <row r="594" ht="15" customHeight="1" thickBot="1">
      <c r="A594" s="91" t="n"/>
      <c r="B594" s="91" t="n"/>
    </row>
    <row r="595" ht="15" customHeight="1" thickBot="1">
      <c r="A595" s="91" t="n"/>
      <c r="B595" s="91" t="n"/>
    </row>
    <row r="596" ht="15" customHeight="1" thickBot="1">
      <c r="A596" s="91" t="n"/>
      <c r="B596" s="91" t="n"/>
    </row>
    <row r="597" ht="15" customHeight="1" thickBot="1">
      <c r="A597" s="91" t="n"/>
      <c r="B597" s="91" t="n"/>
    </row>
    <row r="598" ht="15" customHeight="1" thickBot="1">
      <c r="A598" s="91" t="n"/>
      <c r="B598" s="91" t="n"/>
    </row>
    <row r="599" ht="15" customHeight="1" thickBot="1">
      <c r="A599" s="91" t="n"/>
      <c r="B599" s="91" t="n"/>
    </row>
    <row r="600" ht="15" customHeight="1" thickBot="1">
      <c r="A600" s="91" t="n"/>
      <c r="B600" s="91" t="n"/>
    </row>
    <row r="601" ht="15" customHeight="1" thickBot="1">
      <c r="A601" s="91" t="n"/>
      <c r="B601" s="91" t="n"/>
    </row>
    <row r="602" ht="15" customHeight="1" thickBot="1">
      <c r="A602" s="91" t="n"/>
      <c r="B602" s="91" t="n"/>
    </row>
    <row r="603" ht="15" customHeight="1" thickBot="1">
      <c r="A603" s="91" t="n"/>
      <c r="B603" s="91" t="n"/>
    </row>
    <row r="604" ht="15" customHeight="1" thickBot="1">
      <c r="A604" s="91" t="n"/>
      <c r="B604" s="91" t="n"/>
    </row>
    <row r="605" ht="15" customHeight="1" thickBot="1">
      <c r="A605" s="91" t="n"/>
      <c r="B605" s="91" t="n"/>
    </row>
    <row r="606" ht="15" customHeight="1" thickBot="1">
      <c r="A606" s="91" t="n"/>
      <c r="B606" s="91" t="n"/>
    </row>
    <row r="607" ht="15" customHeight="1" thickBot="1">
      <c r="A607" s="91" t="n"/>
      <c r="B607" s="91" t="n"/>
    </row>
    <row r="608" ht="15" customHeight="1" thickBot="1">
      <c r="A608" s="91" t="n"/>
      <c r="B608" s="91" t="n"/>
    </row>
    <row r="609" ht="15" customHeight="1" thickBot="1">
      <c r="A609" s="91" t="n"/>
      <c r="B609" s="91" t="n"/>
    </row>
    <row r="610" ht="15" customHeight="1" thickBot="1">
      <c r="A610" s="91" t="n"/>
      <c r="B610" s="91" t="n"/>
    </row>
    <row r="611" ht="15" customHeight="1" thickBot="1">
      <c r="A611" s="91" t="n"/>
      <c r="B611" s="91" t="n"/>
    </row>
    <row r="612" ht="15" customHeight="1" thickBot="1">
      <c r="A612" s="91" t="n"/>
      <c r="B612" s="91" t="n"/>
    </row>
    <row r="613" ht="15" customHeight="1" thickBot="1">
      <c r="A613" s="91" t="n"/>
      <c r="B613" s="91" t="n"/>
    </row>
    <row r="614" ht="15" customHeight="1" thickBot="1">
      <c r="A614" s="91" t="n"/>
      <c r="B614" s="91" t="n"/>
    </row>
    <row r="615" ht="15" customHeight="1" thickBot="1">
      <c r="A615" s="91" t="n"/>
      <c r="B615" s="91" t="n"/>
    </row>
    <row r="616" ht="15" customHeight="1" thickBot="1">
      <c r="A616" s="91" t="n"/>
      <c r="B616" s="91" t="n"/>
    </row>
    <row r="617" ht="15" customHeight="1" thickBot="1">
      <c r="A617" s="91" t="n"/>
      <c r="B617" s="91" t="n"/>
    </row>
    <row r="618" ht="15" customHeight="1" thickBot="1">
      <c r="A618" s="91" t="n"/>
      <c r="B618" s="91" t="n"/>
    </row>
    <row r="619" ht="15" customHeight="1" thickBot="1">
      <c r="A619" s="91" t="n"/>
      <c r="B619" s="91" t="n"/>
    </row>
    <row r="620" ht="15" customHeight="1" thickBot="1">
      <c r="A620" s="91" t="n"/>
      <c r="B620" s="91" t="n"/>
    </row>
    <row r="621" ht="15" customHeight="1" thickBot="1">
      <c r="A621" s="91" t="n"/>
      <c r="B621" s="91" t="n"/>
    </row>
    <row r="622" ht="15" customHeight="1" thickBot="1">
      <c r="A622" s="91" t="n"/>
      <c r="B622" s="91" t="n"/>
    </row>
    <row r="623" ht="15" customHeight="1" thickBot="1">
      <c r="A623" s="91" t="n"/>
      <c r="B623" s="91" t="n"/>
    </row>
    <row r="624" ht="15" customHeight="1" thickBot="1">
      <c r="A624" s="91" t="n"/>
      <c r="B624" s="91" t="n"/>
    </row>
    <row r="625" ht="15" customHeight="1" thickBot="1">
      <c r="A625" s="91" t="n"/>
      <c r="B625" s="91" t="n"/>
    </row>
    <row r="626" ht="15" customHeight="1" thickBot="1">
      <c r="A626" s="91" t="n"/>
      <c r="B626" s="91" t="n"/>
    </row>
    <row r="627" ht="15" customHeight="1" thickBot="1">
      <c r="A627" s="91" t="n"/>
      <c r="B627" s="91" t="n"/>
    </row>
    <row r="628" ht="15" customHeight="1" thickBot="1">
      <c r="A628" s="91" t="n"/>
      <c r="B628" s="91" t="n"/>
    </row>
    <row r="629" ht="15" customHeight="1" thickBot="1">
      <c r="A629" s="91" t="n"/>
      <c r="B629" s="91" t="n"/>
    </row>
    <row r="630" ht="15" customHeight="1" thickBot="1">
      <c r="A630" s="91" t="n"/>
      <c r="B630" s="91" t="n"/>
    </row>
    <row r="631" ht="15" customHeight="1" thickBot="1">
      <c r="A631" s="91" t="n"/>
      <c r="B631" s="91" t="n"/>
    </row>
    <row r="632" ht="15" customHeight="1" thickBot="1">
      <c r="A632" s="91" t="n"/>
      <c r="B632" s="91" t="n"/>
    </row>
    <row r="633" ht="15" customHeight="1" thickBot="1">
      <c r="A633" s="91" t="n"/>
      <c r="B633" s="91" t="n"/>
    </row>
    <row r="634" ht="15" customHeight="1" thickBot="1">
      <c r="A634" s="91" t="n"/>
      <c r="B634" s="91" t="n"/>
    </row>
    <row r="635" ht="15" customHeight="1" thickBot="1">
      <c r="A635" s="91" t="n"/>
      <c r="B635" s="91" t="n"/>
    </row>
    <row r="636" ht="15" customHeight="1" thickBot="1">
      <c r="A636" s="91" t="n"/>
      <c r="B636" s="91" t="n"/>
    </row>
    <row r="637" ht="15" customHeight="1" thickBot="1">
      <c r="A637" s="91" t="n"/>
      <c r="B637" s="91" t="n"/>
    </row>
    <row r="638" ht="15" customHeight="1" thickBot="1">
      <c r="A638" s="91" t="n"/>
      <c r="B638" s="91" t="n"/>
    </row>
    <row r="639" ht="15" customHeight="1" thickBot="1">
      <c r="A639" s="91" t="n"/>
      <c r="B639" s="91" t="n"/>
    </row>
    <row r="640" ht="15" customHeight="1" thickBot="1">
      <c r="A640" s="91" t="n"/>
      <c r="B640" s="91" t="n"/>
    </row>
    <row r="641" ht="15" customHeight="1" thickBot="1">
      <c r="A641" s="91" t="n"/>
      <c r="B641" s="91" t="n"/>
    </row>
    <row r="642" ht="15" customHeight="1" thickBot="1">
      <c r="A642" s="91" t="n"/>
      <c r="B642" s="91" t="n"/>
    </row>
    <row r="643" ht="15" customHeight="1" thickBot="1">
      <c r="A643" s="91" t="n"/>
      <c r="B643" s="91" t="n"/>
    </row>
    <row r="644" ht="15" customHeight="1" thickBot="1">
      <c r="A644" s="91" t="n"/>
      <c r="B644" s="91" t="n"/>
    </row>
    <row r="645" ht="15" customHeight="1" thickBot="1">
      <c r="A645" s="91" t="n"/>
      <c r="B645" s="91" t="n"/>
    </row>
    <row r="646" ht="15" customHeight="1" thickBot="1">
      <c r="A646" s="91" t="n"/>
      <c r="B646" s="91" t="n"/>
    </row>
    <row r="647" ht="15" customHeight="1" thickBot="1">
      <c r="A647" s="91" t="n"/>
      <c r="B647" s="91" t="n"/>
    </row>
    <row r="648" ht="15" customHeight="1" thickBot="1">
      <c r="A648" s="91" t="n"/>
      <c r="B648" s="91" t="n"/>
    </row>
    <row r="649" ht="15" customHeight="1" thickBot="1">
      <c r="A649" s="91" t="n"/>
      <c r="B649" s="91" t="n"/>
    </row>
    <row r="650" ht="15" customHeight="1" thickBot="1">
      <c r="A650" s="91" t="n"/>
      <c r="B650" s="91" t="n"/>
    </row>
    <row r="651" ht="15" customHeight="1" thickBot="1">
      <c r="A651" s="91" t="n"/>
      <c r="B651" s="91" t="n"/>
    </row>
    <row r="652" ht="15" customHeight="1" thickBot="1">
      <c r="A652" s="91" t="n"/>
      <c r="B652" s="91" t="n"/>
    </row>
    <row r="653" ht="15" customHeight="1" thickBot="1">
      <c r="A653" s="91" t="n"/>
      <c r="B653" s="91" t="n"/>
    </row>
    <row r="654" ht="15" customHeight="1" thickBot="1">
      <c r="A654" s="91" t="n"/>
      <c r="B654" s="91" t="n"/>
    </row>
    <row r="655" ht="15" customHeight="1" thickBot="1">
      <c r="A655" s="91" t="n"/>
      <c r="B655" s="91" t="n"/>
    </row>
    <row r="656" ht="15" customHeight="1" thickBot="1">
      <c r="A656" s="91" t="n"/>
      <c r="B656" s="91" t="n"/>
    </row>
    <row r="657" ht="15" customHeight="1" thickBot="1">
      <c r="A657" s="91" t="n"/>
      <c r="B657" s="91" t="n"/>
    </row>
    <row r="658" ht="15" customHeight="1" thickBot="1">
      <c r="A658" s="91" t="n"/>
      <c r="B658" s="91" t="n"/>
    </row>
    <row r="659" ht="15" customHeight="1" thickBot="1">
      <c r="A659" s="91" t="n"/>
      <c r="B659" s="91" t="n"/>
    </row>
    <row r="660" ht="15" customHeight="1" thickBot="1">
      <c r="A660" s="91" t="n"/>
      <c r="B660" s="91" t="n"/>
    </row>
    <row r="661" ht="15" customHeight="1" thickBot="1">
      <c r="A661" s="91" t="n"/>
      <c r="B661" s="91" t="n"/>
    </row>
    <row r="662" ht="15" customHeight="1" thickBot="1">
      <c r="A662" s="91" t="n"/>
      <c r="B662" s="91" t="n"/>
    </row>
    <row r="663" ht="15" customHeight="1" thickBot="1">
      <c r="A663" s="91" t="n"/>
      <c r="B663" s="91" t="n"/>
    </row>
    <row r="664" ht="15" customHeight="1" thickBot="1">
      <c r="A664" s="91" t="n"/>
      <c r="B664" s="91" t="n"/>
    </row>
    <row r="665" ht="15" customHeight="1" thickBot="1">
      <c r="A665" s="91" t="n"/>
      <c r="B665" s="91" t="n"/>
    </row>
    <row r="666" ht="15" customHeight="1" thickBot="1">
      <c r="A666" s="91" t="n"/>
      <c r="B666" s="91" t="n"/>
    </row>
    <row r="667" ht="15" customHeight="1" thickBot="1">
      <c r="A667" s="91" t="n"/>
      <c r="B667" s="91" t="n"/>
    </row>
    <row r="668" ht="15" customHeight="1" thickBot="1">
      <c r="A668" s="91" t="n"/>
      <c r="B668" s="91" t="n"/>
    </row>
    <row r="669" ht="15" customHeight="1" thickBot="1">
      <c r="A669" s="91" t="n"/>
      <c r="B669" s="91" t="n"/>
    </row>
    <row r="670" ht="15" customHeight="1" thickBot="1">
      <c r="A670" s="91" t="n"/>
      <c r="B670" s="91" t="n"/>
    </row>
    <row r="671" ht="15" customHeight="1" thickBot="1">
      <c r="A671" s="91" t="n"/>
      <c r="B671" s="91" t="n"/>
    </row>
    <row r="672" ht="15" customHeight="1" thickBot="1">
      <c r="A672" s="91" t="n"/>
      <c r="B672" s="91" t="n"/>
    </row>
    <row r="673" ht="15" customHeight="1" thickBot="1">
      <c r="A673" s="91" t="n"/>
      <c r="B673" s="91" t="n"/>
    </row>
    <row r="674" ht="15" customHeight="1" thickBot="1">
      <c r="A674" s="91" t="n"/>
      <c r="B674" s="91" t="n"/>
    </row>
    <row r="675" ht="15" customHeight="1" thickBot="1">
      <c r="A675" s="91" t="n"/>
      <c r="B675" s="91" t="n"/>
    </row>
    <row r="676" ht="15" customHeight="1" thickBot="1">
      <c r="A676" s="91" t="n"/>
      <c r="B676" s="91" t="n"/>
    </row>
    <row r="677" ht="15" customHeight="1" thickBot="1">
      <c r="A677" s="91" t="n"/>
      <c r="B677" s="91" t="n"/>
    </row>
    <row r="678" ht="15" customHeight="1" thickBot="1">
      <c r="A678" s="91" t="n"/>
      <c r="B678" s="91" t="n"/>
    </row>
    <row r="679" ht="15" customHeight="1" thickBot="1">
      <c r="A679" s="91" t="n"/>
      <c r="B679" s="91" t="n"/>
    </row>
    <row r="680" ht="15" customHeight="1" thickBot="1">
      <c r="A680" s="91" t="n"/>
      <c r="B680" s="91" t="n"/>
    </row>
    <row r="681" ht="15" customHeight="1" thickBot="1">
      <c r="A681" s="91" t="n"/>
      <c r="B681" s="91" t="n"/>
    </row>
    <row r="682" ht="15" customHeight="1" thickBot="1">
      <c r="A682" s="91" t="n"/>
      <c r="B682" s="91" t="n"/>
    </row>
    <row r="683" ht="15" customHeight="1" thickBot="1">
      <c r="A683" s="91" t="n"/>
      <c r="B683" s="91" t="n"/>
    </row>
    <row r="684" ht="15" customHeight="1" thickBot="1">
      <c r="A684" s="91" t="n"/>
      <c r="B684" s="91" t="n"/>
    </row>
    <row r="685" ht="15" customHeight="1" thickBot="1">
      <c r="A685" s="91" t="n"/>
      <c r="B685" s="91" t="n"/>
    </row>
    <row r="686" ht="15" customHeight="1" thickBot="1">
      <c r="A686" s="91" t="n"/>
      <c r="B686" s="91" t="n"/>
    </row>
    <row r="687" ht="15" customHeight="1" thickBot="1">
      <c r="A687" s="91" t="n"/>
      <c r="B687" s="91" t="n"/>
    </row>
    <row r="688" ht="15" customHeight="1" thickBot="1">
      <c r="A688" s="91" t="n"/>
      <c r="B688" s="91" t="n"/>
    </row>
    <row r="689" ht="15" customHeight="1" thickBot="1">
      <c r="A689" s="91" t="n"/>
      <c r="B689" s="91" t="n"/>
    </row>
    <row r="690" ht="15" customHeight="1" thickBot="1">
      <c r="A690" s="91" t="n"/>
      <c r="B690" s="91" t="n"/>
    </row>
    <row r="691" ht="15" customHeight="1" thickBot="1">
      <c r="A691" s="91" t="n"/>
      <c r="B691" s="91" t="n"/>
    </row>
    <row r="692" ht="15" customHeight="1" thickBot="1">
      <c r="A692" s="91" t="n"/>
      <c r="B692" s="91" t="n"/>
    </row>
    <row r="693" ht="15" customHeight="1" thickBot="1">
      <c r="A693" s="91" t="n"/>
      <c r="B693" s="91" t="n"/>
    </row>
    <row r="694" ht="15" customHeight="1" thickBot="1">
      <c r="A694" s="91" t="n"/>
      <c r="B694" s="91" t="n"/>
    </row>
    <row r="695" ht="15" customHeight="1" thickBot="1">
      <c r="A695" s="91" t="n"/>
      <c r="B695" s="91" t="n"/>
    </row>
    <row r="696" ht="15" customHeight="1" thickBot="1">
      <c r="A696" s="91" t="n"/>
      <c r="B696" s="91" t="n"/>
    </row>
    <row r="697" ht="15" customHeight="1" thickBot="1">
      <c r="A697" s="91" t="n"/>
      <c r="B697" s="91" t="n"/>
    </row>
    <row r="698" ht="15" customHeight="1" thickBot="1">
      <c r="A698" s="91" t="n"/>
      <c r="B698" s="91" t="n"/>
    </row>
    <row r="699" ht="15" customHeight="1" thickBot="1">
      <c r="A699" s="91" t="n"/>
      <c r="B699" s="91" t="n"/>
    </row>
    <row r="700" ht="15" customHeight="1" thickBot="1">
      <c r="A700" s="91" t="n"/>
      <c r="B700" s="91" t="n"/>
    </row>
    <row r="701" ht="15" customHeight="1" thickBot="1">
      <c r="A701" s="91" t="n"/>
      <c r="B701" s="91" t="n"/>
    </row>
    <row r="702" ht="15" customHeight="1" thickBot="1">
      <c r="A702" s="91" t="n"/>
      <c r="B702" s="91" t="n"/>
    </row>
    <row r="703" ht="15" customHeight="1" thickBot="1">
      <c r="A703" s="91" t="n"/>
      <c r="B703" s="91" t="n"/>
    </row>
    <row r="704" ht="15" customHeight="1" thickBot="1">
      <c r="A704" s="91" t="n"/>
      <c r="B704" s="91" t="n"/>
    </row>
    <row r="705" ht="15" customHeight="1" thickBot="1">
      <c r="A705" s="91" t="n"/>
      <c r="B705" s="91" t="n"/>
    </row>
    <row r="706" ht="15" customHeight="1" thickBot="1">
      <c r="A706" s="91" t="n"/>
      <c r="B706" s="91" t="n"/>
    </row>
    <row r="707" ht="15" customHeight="1" thickBot="1">
      <c r="A707" s="91" t="n"/>
      <c r="B707" s="91" t="n"/>
    </row>
    <row r="708" ht="15" customHeight="1" thickBot="1">
      <c r="A708" s="91" t="n"/>
      <c r="B708" s="91" t="n"/>
    </row>
    <row r="709" ht="15" customHeight="1" thickBot="1">
      <c r="A709" s="91" t="n"/>
      <c r="B709" s="91" t="n"/>
    </row>
    <row r="710" ht="15" customHeight="1" thickBot="1">
      <c r="A710" s="91" t="n"/>
      <c r="B710" s="91" t="n"/>
    </row>
    <row r="711" ht="15" customHeight="1" thickBot="1">
      <c r="A711" s="91" t="n"/>
      <c r="B711" s="91" t="n"/>
    </row>
    <row r="712" ht="15" customHeight="1" thickBot="1">
      <c r="A712" s="91" t="n"/>
      <c r="B712" s="91" t="n"/>
    </row>
    <row r="713" ht="15" customHeight="1" thickBot="1">
      <c r="A713" s="91" t="n"/>
      <c r="B713" s="91" t="n"/>
    </row>
    <row r="714" ht="15" customHeight="1" thickBot="1">
      <c r="A714" s="91" t="n"/>
      <c r="B714" s="91" t="n"/>
    </row>
    <row r="715" ht="15" customHeight="1" thickBot="1">
      <c r="A715" s="91" t="n"/>
      <c r="B715" s="91" t="n"/>
    </row>
    <row r="716" ht="15" customHeight="1" thickBot="1">
      <c r="A716" s="91" t="n"/>
      <c r="B716" s="91" t="n"/>
    </row>
    <row r="717" ht="15" customHeight="1" thickBot="1">
      <c r="A717" s="91" t="n"/>
      <c r="B717" s="91" t="n"/>
    </row>
    <row r="718" ht="15" customHeight="1" thickBot="1">
      <c r="A718" s="91" t="n"/>
      <c r="B718" s="91" t="n"/>
    </row>
    <row r="719" ht="15" customHeight="1" thickBot="1">
      <c r="A719" s="91" t="n"/>
      <c r="B719" s="91" t="n"/>
    </row>
    <row r="720" ht="15" customHeight="1" thickBot="1">
      <c r="A720" s="91" t="n"/>
      <c r="B720" s="91" t="n"/>
    </row>
    <row r="721" ht="15" customHeight="1" thickBot="1">
      <c r="A721" s="91" t="n"/>
      <c r="B721" s="91" t="n"/>
    </row>
    <row r="722" ht="15" customHeight="1" thickBot="1">
      <c r="A722" s="91" t="n"/>
      <c r="B722" s="91" t="n"/>
    </row>
    <row r="723" ht="15" customHeight="1" thickBot="1">
      <c r="A723" s="91" t="n"/>
      <c r="B723" s="91" t="n"/>
    </row>
    <row r="724" ht="15" customHeight="1" thickBot="1">
      <c r="A724" s="91" t="n"/>
      <c r="B724" s="91" t="n"/>
    </row>
    <row r="725" ht="15" customHeight="1" thickBot="1">
      <c r="A725" s="91" t="n"/>
      <c r="B725" s="91" t="n"/>
    </row>
    <row r="726" ht="15" customHeight="1" thickBot="1">
      <c r="A726" s="91" t="n"/>
      <c r="B726" s="91" t="n"/>
    </row>
    <row r="727" ht="15" customHeight="1" thickBot="1">
      <c r="A727" s="91" t="n"/>
      <c r="B727" s="91" t="n"/>
    </row>
    <row r="728" ht="15" customHeight="1" thickBot="1">
      <c r="A728" s="91" t="n"/>
      <c r="B728" s="91" t="n"/>
    </row>
    <row r="729" ht="15" customHeight="1" thickBot="1">
      <c r="A729" s="91" t="n"/>
      <c r="B729" s="91" t="n"/>
    </row>
    <row r="730" ht="15" customHeight="1" thickBot="1">
      <c r="A730" s="91" t="n"/>
      <c r="B730" s="91" t="n"/>
    </row>
    <row r="731" ht="15" customHeight="1" thickBot="1">
      <c r="A731" s="91" t="n"/>
      <c r="B731" s="91" t="n"/>
    </row>
    <row r="732" ht="15" customHeight="1" thickBot="1">
      <c r="A732" s="91" t="n"/>
      <c r="B732" s="91" t="n"/>
    </row>
    <row r="733" ht="15" customHeight="1" thickBot="1">
      <c r="A733" s="91" t="n"/>
      <c r="B733" s="91" t="n"/>
    </row>
    <row r="734" ht="15" customHeight="1" thickBot="1">
      <c r="A734" s="91" t="n"/>
      <c r="B734" s="91" t="n"/>
    </row>
    <row r="735" ht="15" customHeight="1" thickBot="1">
      <c r="A735" s="91" t="n"/>
      <c r="B735" s="91" t="n"/>
    </row>
    <row r="736" ht="15" customHeight="1" thickBot="1">
      <c r="A736" s="91" t="n"/>
      <c r="B736" s="91" t="n"/>
    </row>
    <row r="737" ht="15" customHeight="1" thickBot="1">
      <c r="A737" s="91" t="n"/>
      <c r="B737" s="91" t="n"/>
    </row>
    <row r="738" ht="15" customHeight="1" thickBot="1">
      <c r="A738" s="91" t="n"/>
      <c r="B738" s="91" t="n"/>
    </row>
    <row r="739" ht="15" customHeight="1" thickBot="1">
      <c r="A739" s="91" t="n"/>
      <c r="B739" s="91" t="n"/>
    </row>
    <row r="740" ht="15" customHeight="1" thickBot="1">
      <c r="A740" s="91" t="n"/>
      <c r="B740" s="91" t="n"/>
    </row>
    <row r="741" ht="15" customHeight="1" thickBot="1">
      <c r="A741" s="91" t="n"/>
      <c r="B741" s="91" t="n"/>
    </row>
    <row r="742" ht="15" customHeight="1" thickBot="1">
      <c r="A742" s="91" t="n"/>
      <c r="B742" s="91" t="n"/>
    </row>
    <row r="743" ht="15" customHeight="1" thickBot="1">
      <c r="A743" s="91" t="n"/>
      <c r="B743" s="91" t="n"/>
    </row>
    <row r="744" ht="15" customHeight="1" thickBot="1">
      <c r="A744" s="91" t="n"/>
      <c r="B744" s="91" t="n"/>
    </row>
    <row r="745" ht="15" customHeight="1" thickBot="1">
      <c r="A745" s="91" t="n"/>
      <c r="B745" s="91" t="n"/>
    </row>
    <row r="746" ht="15" customHeight="1" thickBot="1">
      <c r="A746" s="91" t="n"/>
      <c r="B746" s="91" t="n"/>
    </row>
    <row r="747" ht="15" customHeight="1" thickBot="1">
      <c r="A747" s="91" t="n"/>
      <c r="B747" s="91" t="n"/>
    </row>
    <row r="748" ht="15" customHeight="1" thickBot="1">
      <c r="A748" s="91" t="n"/>
      <c r="B748" s="91" t="n"/>
    </row>
    <row r="749" ht="15" customHeight="1" thickBot="1">
      <c r="A749" s="91" t="n"/>
      <c r="B749" s="91" t="n"/>
    </row>
    <row r="750" ht="15" customHeight="1" thickBot="1">
      <c r="A750" s="91" t="n"/>
      <c r="B750" s="91" t="n"/>
    </row>
    <row r="751" ht="15" customHeight="1" thickBot="1">
      <c r="A751" s="91" t="n"/>
      <c r="B751" s="91" t="n"/>
    </row>
    <row r="752" ht="15" customHeight="1" thickBot="1">
      <c r="A752" s="91" t="n"/>
      <c r="B752" s="91" t="n"/>
    </row>
    <row r="753" ht="15" customHeight="1" thickBot="1">
      <c r="A753" s="91" t="n"/>
      <c r="B753" s="91" t="n"/>
    </row>
    <row r="754" ht="15" customHeight="1" thickBot="1">
      <c r="A754" s="91" t="n"/>
      <c r="B754" s="91" t="n"/>
    </row>
    <row r="755" ht="15" customHeight="1" thickBot="1">
      <c r="A755" s="91" t="n"/>
      <c r="B755" s="91" t="n"/>
    </row>
    <row r="756" ht="15" customHeight="1" thickBot="1">
      <c r="A756" s="91" t="n"/>
      <c r="B756" s="91" t="n"/>
    </row>
    <row r="757" ht="15" customHeight="1" thickBot="1">
      <c r="A757" s="91" t="n"/>
      <c r="B757" s="91" t="n"/>
    </row>
    <row r="758" ht="15" customHeight="1" thickBot="1">
      <c r="A758" s="91" t="n"/>
      <c r="B758" s="91" t="n"/>
    </row>
    <row r="759" ht="15" customHeight="1" thickBot="1">
      <c r="A759" s="91" t="n"/>
      <c r="B759" s="91" t="n"/>
    </row>
    <row r="760" ht="15" customHeight="1" thickBot="1">
      <c r="A760" s="91" t="n"/>
      <c r="B760" s="91" t="n"/>
    </row>
    <row r="761" ht="15" customHeight="1" thickBot="1">
      <c r="A761" s="91" t="n"/>
      <c r="B761" s="91" t="n"/>
    </row>
    <row r="762" ht="15" customHeight="1" thickBot="1">
      <c r="A762" s="91" t="n"/>
      <c r="B762" s="91" t="n"/>
    </row>
    <row r="763" ht="15" customHeight="1" thickBot="1">
      <c r="A763" s="91" t="n"/>
      <c r="B763" s="91" t="n"/>
    </row>
    <row r="764" ht="15" customHeight="1" thickBot="1">
      <c r="A764" s="91" t="n"/>
      <c r="B764" s="91" t="n"/>
    </row>
    <row r="765" ht="15" customHeight="1" thickBot="1">
      <c r="A765" s="91" t="n"/>
      <c r="B765" s="91" t="n"/>
    </row>
    <row r="766" ht="15" customHeight="1" thickBot="1">
      <c r="A766" s="91" t="n"/>
      <c r="B766" s="91" t="n"/>
    </row>
    <row r="767" ht="15" customHeight="1" thickBot="1">
      <c r="A767" s="91" t="n"/>
      <c r="B767" s="91" t="n"/>
    </row>
    <row r="768" ht="15" customHeight="1" thickBot="1">
      <c r="A768" s="91" t="n"/>
      <c r="B768" s="91" t="n"/>
    </row>
    <row r="769" ht="15" customHeight="1" thickBot="1">
      <c r="A769" s="91" t="n"/>
      <c r="B769" s="91" t="n"/>
    </row>
    <row r="770" ht="15" customHeight="1" thickBot="1">
      <c r="A770" s="91" t="n"/>
      <c r="B770" s="91" t="n"/>
    </row>
    <row r="771" ht="15" customHeight="1" thickBot="1">
      <c r="A771" s="91" t="n"/>
      <c r="B771" s="91" t="n"/>
    </row>
    <row r="772" ht="15" customHeight="1" thickBot="1">
      <c r="A772" s="91" t="n"/>
      <c r="B772" s="91" t="n"/>
    </row>
    <row r="773" ht="15" customHeight="1" thickBot="1">
      <c r="A773" s="91" t="n"/>
      <c r="B773" s="91" t="n"/>
    </row>
    <row r="774" ht="15" customHeight="1" thickBot="1">
      <c r="A774" s="91" t="n"/>
      <c r="B774" s="91" t="n"/>
    </row>
    <row r="775" ht="15" customHeight="1" thickBot="1">
      <c r="A775" s="91" t="n"/>
      <c r="B775" s="91" t="n"/>
    </row>
    <row r="776" ht="15" customHeight="1" thickBot="1">
      <c r="A776" s="91" t="n"/>
      <c r="B776" s="91" t="n"/>
    </row>
    <row r="777" ht="15" customHeight="1" thickBot="1">
      <c r="A777" s="91" t="n"/>
      <c r="B777" s="91" t="n"/>
    </row>
    <row r="778" ht="15" customHeight="1" thickBot="1">
      <c r="A778" s="91" t="n"/>
      <c r="B778" s="91" t="n"/>
    </row>
    <row r="779" ht="15" customHeight="1" thickBot="1">
      <c r="A779" s="91" t="n"/>
      <c r="B779" s="91" t="n"/>
    </row>
    <row r="780" ht="15" customHeight="1" thickBot="1">
      <c r="A780" s="91" t="n"/>
      <c r="B780" s="91" t="n"/>
    </row>
    <row r="781" ht="15" customHeight="1" thickBot="1">
      <c r="A781" s="91" t="n"/>
      <c r="B781" s="91" t="n"/>
    </row>
    <row r="782" ht="15" customHeight="1" thickBot="1">
      <c r="A782" s="91" t="n"/>
      <c r="B782" s="91" t="n"/>
    </row>
    <row r="783" ht="15" customHeight="1" thickBot="1">
      <c r="A783" s="91" t="n"/>
      <c r="B783" s="91" t="n"/>
    </row>
    <row r="784" ht="15" customHeight="1" thickBot="1">
      <c r="A784" s="91" t="n"/>
      <c r="B784" s="91" t="n"/>
    </row>
    <row r="785" ht="15" customHeight="1" thickBot="1">
      <c r="A785" s="91" t="n"/>
      <c r="B785" s="91" t="n"/>
    </row>
    <row r="786" ht="15" customHeight="1" thickBot="1">
      <c r="A786" s="91" t="n"/>
      <c r="B786" s="91" t="n"/>
    </row>
    <row r="787" ht="15" customHeight="1" thickBot="1">
      <c r="A787" s="91" t="n"/>
      <c r="B787" s="91" t="n"/>
    </row>
    <row r="788" ht="15" customHeight="1" thickBot="1">
      <c r="A788" s="91" t="n"/>
      <c r="B788" s="91" t="n"/>
    </row>
    <row r="789" ht="15" customHeight="1" thickBot="1">
      <c r="A789" s="91" t="n"/>
      <c r="B789" s="91" t="n"/>
    </row>
    <row r="790" ht="15" customHeight="1" thickBot="1">
      <c r="A790" s="91" t="n"/>
      <c r="B790" s="91" t="n"/>
    </row>
    <row r="791" ht="15" customHeight="1" thickBot="1">
      <c r="A791" s="91" t="n"/>
      <c r="B791" s="91" t="n"/>
    </row>
    <row r="792" ht="15" customHeight="1" thickBot="1">
      <c r="A792" s="91" t="n"/>
      <c r="B792" s="91" t="n"/>
    </row>
    <row r="793" ht="15" customHeight="1" thickBot="1">
      <c r="A793" s="91" t="n"/>
      <c r="B793" s="91" t="n"/>
    </row>
    <row r="794" ht="15" customHeight="1" thickBot="1">
      <c r="A794" s="91" t="n"/>
      <c r="B794" s="91" t="n"/>
    </row>
    <row r="795" ht="15" customHeight="1" thickBot="1">
      <c r="A795" s="91" t="n"/>
      <c r="B795" s="91" t="n"/>
    </row>
    <row r="796" ht="15" customHeight="1" thickBot="1">
      <c r="A796" s="91" t="n"/>
      <c r="B796" s="91" t="n"/>
    </row>
    <row r="797" ht="15" customHeight="1" thickBot="1">
      <c r="A797" s="91" t="n"/>
      <c r="B797" s="91" t="n"/>
    </row>
    <row r="798" ht="15" customHeight="1" thickBot="1">
      <c r="A798" s="91" t="n"/>
      <c r="B798" s="91" t="n"/>
    </row>
    <row r="799" ht="15" customHeight="1" thickBot="1">
      <c r="A799" s="91" t="n"/>
      <c r="B799" s="91" t="n"/>
    </row>
    <row r="800" ht="15" customHeight="1" thickBot="1">
      <c r="A800" s="91" t="n"/>
      <c r="B800" s="91" t="n"/>
    </row>
    <row r="801" ht="15" customHeight="1" thickBot="1">
      <c r="A801" s="91" t="n"/>
      <c r="B801" s="91" t="n"/>
    </row>
    <row r="802" ht="15" customHeight="1" thickBot="1">
      <c r="A802" s="91" t="n"/>
      <c r="B802" s="91" t="n"/>
    </row>
    <row r="803" ht="15" customHeight="1" thickBot="1">
      <c r="A803" s="91" t="n"/>
      <c r="B803" s="91" t="n"/>
    </row>
    <row r="804" ht="15" customHeight="1" thickBot="1">
      <c r="A804" s="91" t="n"/>
      <c r="B804" s="91" t="n"/>
    </row>
    <row r="805" ht="15" customHeight="1" thickBot="1">
      <c r="A805" s="91" t="n"/>
      <c r="B805" s="91" t="n"/>
    </row>
    <row r="806" ht="15" customHeight="1" thickBot="1">
      <c r="A806" s="91" t="n"/>
      <c r="B806" s="91" t="n"/>
    </row>
    <row r="807" ht="15" customHeight="1" thickBot="1">
      <c r="A807" s="91" t="n"/>
      <c r="B807" s="91" t="n"/>
    </row>
    <row r="808" ht="15" customHeight="1" thickBot="1">
      <c r="A808" s="91" t="n"/>
      <c r="B808" s="91" t="n"/>
    </row>
    <row r="809" ht="15" customHeight="1" thickBot="1">
      <c r="A809" s="91" t="n"/>
      <c r="B809" s="91" t="n"/>
    </row>
    <row r="810" ht="15" customHeight="1" thickBot="1">
      <c r="A810" s="91" t="n"/>
      <c r="B810" s="91" t="n"/>
    </row>
    <row r="811" ht="15" customHeight="1" thickBot="1">
      <c r="A811" s="91" t="n"/>
      <c r="B811" s="91" t="n"/>
    </row>
    <row r="812" ht="15" customHeight="1" thickBot="1">
      <c r="A812" s="91" t="n"/>
      <c r="B812" s="91" t="n"/>
    </row>
    <row r="813" ht="15" customHeight="1" thickBot="1">
      <c r="A813" s="91" t="n"/>
      <c r="B813" s="91" t="n"/>
    </row>
    <row r="814" ht="15" customHeight="1" thickBot="1">
      <c r="A814" s="91" t="n"/>
      <c r="B814" s="91" t="n"/>
    </row>
    <row r="815" ht="15" customHeight="1" thickBot="1">
      <c r="A815" s="91" t="n"/>
      <c r="B815" s="91" t="n"/>
    </row>
    <row r="816" ht="15" customHeight="1" thickBot="1">
      <c r="A816" s="91" t="n"/>
      <c r="B816" s="91" t="n"/>
    </row>
    <row r="817" ht="15" customHeight="1" thickBot="1">
      <c r="A817" s="91" t="n"/>
      <c r="B817" s="91" t="n"/>
    </row>
    <row r="818" ht="15" customHeight="1" thickBot="1">
      <c r="A818" s="91" t="n"/>
      <c r="B818" s="91" t="n"/>
    </row>
    <row r="819" ht="15" customHeight="1" thickBot="1">
      <c r="A819" s="91" t="n"/>
      <c r="B819" s="91" t="n"/>
    </row>
    <row r="820" ht="15" customHeight="1" thickBot="1">
      <c r="A820" s="91" t="n"/>
      <c r="B820" s="91" t="n"/>
    </row>
    <row r="821" ht="15" customHeight="1" thickBot="1">
      <c r="A821" s="91" t="n"/>
      <c r="B821" s="91" t="n"/>
    </row>
    <row r="822" ht="15" customHeight="1" thickBot="1">
      <c r="A822" s="91" t="n"/>
      <c r="B822" s="91" t="n"/>
    </row>
    <row r="823" ht="15" customHeight="1" thickBot="1">
      <c r="A823" s="91" t="n"/>
      <c r="B823" s="91" t="n"/>
    </row>
    <row r="824" ht="15" customHeight="1" thickBot="1">
      <c r="A824" s="91" t="n"/>
      <c r="B824" s="91" t="n"/>
    </row>
    <row r="825" ht="15" customHeight="1" thickBot="1">
      <c r="A825" s="91" t="n"/>
      <c r="B825" s="91" t="n"/>
    </row>
    <row r="826" ht="15" customHeight="1" thickBot="1">
      <c r="A826" s="91" t="n"/>
      <c r="B826" s="91" t="n"/>
    </row>
    <row r="827" ht="15" customHeight="1" thickBot="1">
      <c r="A827" s="91" t="n"/>
      <c r="B827" s="91" t="n"/>
    </row>
    <row r="828" ht="15" customHeight="1" thickBot="1">
      <c r="A828" s="91" t="n"/>
      <c r="B828" s="91" t="n"/>
    </row>
    <row r="829" ht="15" customHeight="1" thickBot="1">
      <c r="A829" s="91" t="n"/>
      <c r="B829" s="91" t="n"/>
    </row>
    <row r="830" ht="15" customHeight="1" thickBot="1">
      <c r="A830" s="91" t="n"/>
      <c r="B830" s="91" t="n"/>
    </row>
    <row r="831" ht="15" customHeight="1" thickBot="1">
      <c r="A831" s="91" t="n"/>
      <c r="B831" s="91" t="n"/>
    </row>
    <row r="832" ht="15" customHeight="1" thickBot="1">
      <c r="A832" s="91" t="n"/>
      <c r="B832" s="91" t="n"/>
    </row>
    <row r="833" ht="15" customHeight="1" thickBot="1">
      <c r="A833" s="91" t="n"/>
      <c r="B833" s="91" t="n"/>
    </row>
    <row r="834" ht="15" customHeight="1" thickBot="1">
      <c r="A834" s="91" t="n"/>
      <c r="B834" s="91" t="n"/>
    </row>
    <row r="835" ht="15" customHeight="1" thickBot="1">
      <c r="A835" s="91" t="n"/>
      <c r="B835" s="91" t="n"/>
    </row>
    <row r="836" ht="15" customHeight="1" thickBot="1">
      <c r="A836" s="91" t="n"/>
      <c r="B836" s="91" t="n"/>
    </row>
    <row r="837" ht="15" customHeight="1" thickBot="1">
      <c r="A837" s="91" t="n"/>
      <c r="B837" s="91" t="n"/>
    </row>
    <row r="838" ht="15" customHeight="1" thickBot="1">
      <c r="A838" s="91" t="n"/>
      <c r="B838" s="91" t="n"/>
    </row>
    <row r="839" ht="15" customHeight="1" thickBot="1">
      <c r="A839" s="91" t="n"/>
      <c r="B839" s="91" t="n"/>
    </row>
    <row r="840" ht="15" customHeight="1" thickBot="1">
      <c r="A840" s="91" t="n"/>
      <c r="B840" s="91" t="n"/>
    </row>
    <row r="841" ht="15" customHeight="1" thickBot="1">
      <c r="A841" s="91" t="n"/>
      <c r="B841" s="91" t="n"/>
    </row>
    <row r="842" ht="15" customHeight="1" thickBot="1">
      <c r="A842" s="91" t="n"/>
      <c r="B842" s="91" t="n"/>
    </row>
    <row r="843" ht="15" customHeight="1" thickBot="1">
      <c r="A843" s="91" t="n"/>
      <c r="B843" s="91" t="n"/>
    </row>
    <row r="844" ht="15" customHeight="1" thickBot="1">
      <c r="A844" s="91" t="n"/>
      <c r="B844" s="91" t="n"/>
    </row>
    <row r="845" ht="15" customHeight="1" thickBot="1">
      <c r="A845" s="91" t="n"/>
      <c r="B845" s="91" t="n"/>
    </row>
    <row r="846" ht="15" customHeight="1" thickBot="1">
      <c r="A846" s="91" t="n"/>
      <c r="B846" s="91" t="n"/>
    </row>
    <row r="847" ht="15" customHeight="1" thickBot="1">
      <c r="A847" s="91" t="n"/>
      <c r="B847" s="91" t="n"/>
    </row>
    <row r="848" ht="15" customHeight="1" thickBot="1">
      <c r="A848" s="91" t="n"/>
      <c r="B848" s="91" t="n"/>
    </row>
    <row r="849" ht="15" customHeight="1" thickBot="1">
      <c r="A849" s="91" t="n"/>
      <c r="B849" s="91" t="n"/>
    </row>
    <row r="850" ht="15" customHeight="1" thickBot="1">
      <c r="A850" s="91" t="n"/>
      <c r="B850" s="91" t="n"/>
    </row>
    <row r="851" ht="15" customHeight="1" thickBot="1">
      <c r="A851" s="91" t="n"/>
      <c r="B851" s="91" t="n"/>
    </row>
    <row r="852" ht="15" customHeight="1" thickBot="1">
      <c r="A852" s="91" t="n"/>
      <c r="B852" s="91" t="n"/>
    </row>
    <row r="853" ht="15" customHeight="1" thickBot="1">
      <c r="A853" s="91" t="n"/>
      <c r="B853" s="91" t="n"/>
    </row>
    <row r="854" ht="15" customHeight="1" thickBot="1">
      <c r="A854" s="91" t="n"/>
      <c r="B854" s="91" t="n"/>
    </row>
    <row r="855" ht="15" customHeight="1" thickBot="1">
      <c r="A855" s="91" t="n"/>
      <c r="B855" s="91" t="n"/>
    </row>
    <row r="856" ht="15" customHeight="1" thickBot="1">
      <c r="A856" s="91" t="n"/>
      <c r="B856" s="91" t="n"/>
    </row>
    <row r="857" ht="15" customHeight="1" thickBot="1">
      <c r="A857" s="91" t="n"/>
      <c r="B857" s="91" t="n"/>
    </row>
    <row r="858" ht="15" customHeight="1" thickBot="1">
      <c r="A858" s="91" t="n"/>
      <c r="B858" s="91" t="n"/>
    </row>
    <row r="859" ht="15" customHeight="1" thickBot="1">
      <c r="A859" s="91" t="n"/>
      <c r="B859" s="91" t="n"/>
    </row>
    <row r="860" ht="15" customHeight="1" thickBot="1">
      <c r="A860" s="91" t="n"/>
      <c r="B860" s="91" t="n"/>
    </row>
    <row r="861" ht="15" customHeight="1" thickBot="1">
      <c r="A861" s="91" t="n"/>
      <c r="B861" s="91" t="n"/>
    </row>
    <row r="862" ht="15" customHeight="1" thickBot="1">
      <c r="A862" s="91" t="n"/>
      <c r="B862" s="91" t="n"/>
    </row>
    <row r="863" ht="15" customHeight="1" thickBot="1">
      <c r="A863" s="91" t="n"/>
      <c r="B863" s="91" t="n"/>
    </row>
    <row r="864" ht="15" customHeight="1" thickBot="1">
      <c r="A864" s="91" t="n"/>
      <c r="B864" s="91" t="n"/>
    </row>
    <row r="865" ht="15" customHeight="1" thickBot="1">
      <c r="A865" s="91" t="n"/>
      <c r="B865" s="91" t="n"/>
    </row>
    <row r="866" ht="15" customHeight="1" thickBot="1">
      <c r="A866" s="91" t="n"/>
      <c r="B866" s="91" t="n"/>
    </row>
    <row r="867" ht="15" customHeight="1" thickBot="1">
      <c r="A867" s="91" t="n"/>
      <c r="B867" s="91" t="n"/>
    </row>
    <row r="868" ht="15" customHeight="1" thickBot="1">
      <c r="A868" s="91" t="n"/>
      <c r="B868" s="91" t="n"/>
    </row>
    <row r="869" ht="15" customHeight="1" thickBot="1">
      <c r="A869" s="91" t="n"/>
      <c r="B869" s="91" t="n"/>
    </row>
    <row r="870" ht="15" customHeight="1" thickBot="1">
      <c r="A870" s="91" t="n"/>
      <c r="B870" s="91" t="n"/>
    </row>
    <row r="871" ht="15" customHeight="1" thickBot="1">
      <c r="A871" s="91" t="n"/>
      <c r="B871" s="91" t="n"/>
    </row>
    <row r="872" ht="15" customHeight="1" thickBot="1">
      <c r="A872" s="91" t="n"/>
      <c r="B872" s="91" t="n"/>
    </row>
    <row r="873" ht="15" customHeight="1" thickBot="1">
      <c r="A873" s="91" t="n"/>
      <c r="B873" s="91" t="n"/>
    </row>
    <row r="874" ht="15" customHeight="1" thickBot="1">
      <c r="A874" s="91" t="n"/>
      <c r="B874" s="91" t="n"/>
    </row>
    <row r="875" ht="15" customHeight="1" thickBot="1">
      <c r="A875" s="91" t="n"/>
      <c r="B875" s="91" t="n"/>
    </row>
    <row r="876" ht="15" customHeight="1" thickBot="1">
      <c r="A876" s="91" t="n"/>
      <c r="B876" s="91" t="n"/>
    </row>
    <row r="877" ht="15" customHeight="1" thickBot="1">
      <c r="A877" s="91" t="n"/>
      <c r="B877" s="91" t="n"/>
    </row>
    <row r="878" ht="15" customHeight="1" thickBot="1">
      <c r="A878" s="91" t="n"/>
      <c r="B878" s="91" t="n"/>
    </row>
    <row r="879" ht="15" customHeight="1" thickBot="1">
      <c r="A879" s="91" t="n"/>
      <c r="B879" s="91" t="n"/>
    </row>
    <row r="880" ht="15" customHeight="1" thickBot="1">
      <c r="A880" s="91" t="n"/>
      <c r="B880" s="91" t="n"/>
    </row>
    <row r="881" ht="15" customHeight="1" thickBot="1">
      <c r="A881" s="91" t="n"/>
      <c r="B881" s="91" t="n"/>
    </row>
    <row r="882" ht="15" customHeight="1" thickBot="1">
      <c r="A882" s="91" t="n"/>
      <c r="B882" s="91" t="n"/>
    </row>
    <row r="883" ht="15" customHeight="1" thickBot="1">
      <c r="A883" s="91" t="n"/>
      <c r="B883" s="91" t="n"/>
    </row>
    <row r="884" ht="15" customHeight="1" thickBot="1">
      <c r="A884" s="91" t="n"/>
      <c r="B884" s="91" t="n"/>
    </row>
    <row r="885" ht="15" customHeight="1" thickBot="1">
      <c r="A885" s="91" t="n"/>
      <c r="B885" s="91" t="n"/>
    </row>
    <row r="886" ht="15" customHeight="1" thickBot="1">
      <c r="A886" s="91" t="n"/>
      <c r="B886" s="91" t="n"/>
    </row>
    <row r="887" ht="15" customHeight="1" thickBot="1">
      <c r="A887" s="91" t="n"/>
      <c r="B887" s="91" t="n"/>
    </row>
    <row r="888" ht="15" customHeight="1" thickBot="1">
      <c r="A888" s="91" t="n"/>
      <c r="B888" s="91" t="n"/>
    </row>
    <row r="889" ht="15" customHeight="1" thickBot="1">
      <c r="A889" s="91" t="n"/>
      <c r="B889" s="91" t="n"/>
    </row>
    <row r="890" ht="15" customHeight="1" thickBot="1">
      <c r="A890" s="91" t="n"/>
      <c r="B890" s="91" t="n"/>
    </row>
    <row r="891" ht="15" customHeight="1" thickBot="1">
      <c r="A891" s="91" t="n"/>
      <c r="B891" s="91" t="n"/>
    </row>
    <row r="892" ht="15" customHeight="1" thickBot="1">
      <c r="A892" s="91" t="n"/>
      <c r="B892" s="91" t="n"/>
    </row>
    <row r="893" ht="15" customHeight="1" thickBot="1">
      <c r="A893" s="91" t="n"/>
      <c r="B893" s="91" t="n"/>
    </row>
    <row r="894" ht="15" customHeight="1" thickBot="1">
      <c r="A894" s="91" t="n"/>
      <c r="B894" s="91" t="n"/>
    </row>
    <row r="895" ht="15" customHeight="1" thickBot="1">
      <c r="A895" s="91" t="n"/>
      <c r="B895" s="91" t="n"/>
    </row>
    <row r="896" ht="15" customHeight="1" thickBot="1">
      <c r="A896" s="91" t="n"/>
      <c r="B896" s="91" t="n"/>
    </row>
    <row r="897" ht="15" customHeight="1" thickBot="1">
      <c r="A897" s="91" t="n"/>
      <c r="B897" s="91" t="n"/>
    </row>
    <row r="898" ht="15" customHeight="1" thickBot="1">
      <c r="A898" s="91" t="n"/>
      <c r="B898" s="91" t="n"/>
    </row>
    <row r="899" ht="15" customHeight="1" thickBot="1">
      <c r="A899" s="91" t="n"/>
      <c r="B899" s="91" t="n"/>
    </row>
    <row r="900" ht="15" customHeight="1" thickBot="1">
      <c r="A900" s="91" t="n"/>
      <c r="B900" s="91" t="n"/>
    </row>
    <row r="901" ht="15" customHeight="1" thickBot="1">
      <c r="A901" s="91" t="n"/>
      <c r="B901" s="91" t="n"/>
    </row>
    <row r="902" ht="15" customHeight="1" thickBot="1">
      <c r="A902" s="91" t="n"/>
      <c r="B902" s="91" t="n"/>
    </row>
    <row r="903" ht="15" customHeight="1" thickBot="1">
      <c r="A903" s="91" t="n"/>
      <c r="B903" s="91" t="n"/>
    </row>
    <row r="904" ht="15" customHeight="1" thickBot="1">
      <c r="A904" s="91" t="n"/>
      <c r="B904" s="91" t="n"/>
    </row>
    <row r="905" ht="15" customHeight="1" thickBot="1">
      <c r="A905" s="91" t="n"/>
      <c r="B905" s="91" t="n"/>
    </row>
    <row r="906" ht="15" customHeight="1" thickBot="1">
      <c r="A906" s="91" t="n"/>
      <c r="B906" s="91" t="n"/>
    </row>
    <row r="907" ht="15" customHeight="1" thickBot="1">
      <c r="A907" s="91" t="n"/>
      <c r="B907" s="91" t="n"/>
    </row>
    <row r="908" ht="15" customHeight="1" thickBot="1">
      <c r="A908" s="91" t="n"/>
      <c r="B908" s="91" t="n"/>
    </row>
    <row r="909" ht="15" customHeight="1" thickBot="1">
      <c r="A909" s="91" t="n"/>
      <c r="B909" s="91" t="n"/>
    </row>
    <row r="910" ht="15" customHeight="1" thickBot="1">
      <c r="A910" s="91" t="n"/>
      <c r="B910" s="91" t="n"/>
    </row>
    <row r="911" ht="15" customHeight="1" thickBot="1">
      <c r="A911" s="91" t="n"/>
      <c r="B911" s="91" t="n"/>
    </row>
    <row r="912" ht="15" customHeight="1" thickBot="1">
      <c r="A912" s="91" t="n"/>
      <c r="B912" s="91" t="n"/>
    </row>
    <row r="913" ht="15" customHeight="1" thickBot="1">
      <c r="A913" s="91" t="n"/>
      <c r="B913" s="91" t="n"/>
    </row>
    <row r="914" ht="15" customHeight="1" thickBot="1">
      <c r="A914" s="91" t="n"/>
      <c r="B914" s="91" t="n"/>
    </row>
    <row r="915" ht="15" customHeight="1" thickBot="1">
      <c r="A915" s="91" t="n"/>
      <c r="B915" s="91" t="n"/>
    </row>
    <row r="916" ht="15" customHeight="1" thickBot="1">
      <c r="A916" s="91" t="n"/>
      <c r="B916" s="91" t="n"/>
    </row>
    <row r="917" ht="15" customHeight="1" thickBot="1">
      <c r="A917" s="91" t="n"/>
      <c r="B917" s="91" t="n"/>
    </row>
    <row r="918" ht="15" customHeight="1" thickBot="1">
      <c r="A918" s="91" t="n"/>
      <c r="B918" s="91" t="n"/>
    </row>
    <row r="919" ht="15" customHeight="1" thickBot="1">
      <c r="A919" s="91" t="n"/>
      <c r="B919" s="91" t="n"/>
    </row>
    <row r="920" ht="15" customHeight="1" thickBot="1">
      <c r="A920" s="91" t="n"/>
      <c r="B920" s="91" t="n"/>
    </row>
    <row r="921" ht="15" customHeight="1" thickBot="1">
      <c r="A921" s="91" t="n"/>
      <c r="B921" s="91" t="n"/>
    </row>
    <row r="922" ht="15" customHeight="1" thickBot="1">
      <c r="A922" s="91" t="n"/>
      <c r="B922" s="91" t="n"/>
    </row>
    <row r="923" ht="15" customHeight="1" thickBot="1">
      <c r="A923" s="91" t="n"/>
      <c r="B923" s="91" t="n"/>
    </row>
    <row r="924" ht="15" customHeight="1" thickBot="1">
      <c r="A924" s="91" t="n"/>
      <c r="B924" s="91" t="n"/>
    </row>
    <row r="925" ht="15" customHeight="1" thickBot="1">
      <c r="A925" s="91" t="n"/>
      <c r="B925" s="91" t="n"/>
    </row>
    <row r="926" ht="15" customHeight="1" thickBot="1">
      <c r="A926" s="91" t="n"/>
      <c r="B926" s="91" t="n"/>
    </row>
    <row r="927" ht="15" customHeight="1" thickBot="1">
      <c r="A927" s="91" t="n"/>
      <c r="B927" s="91" t="n"/>
    </row>
    <row r="928" ht="15" customHeight="1" thickBot="1">
      <c r="A928" s="91" t="n"/>
      <c r="B928" s="91" t="n"/>
    </row>
    <row r="929" ht="15" customHeight="1" thickBot="1">
      <c r="A929" s="91" t="n"/>
      <c r="B929" s="91" t="n"/>
    </row>
    <row r="930" ht="15" customHeight="1" thickBot="1">
      <c r="A930" s="91" t="n"/>
      <c r="B930" s="91" t="n"/>
    </row>
    <row r="931" ht="15" customHeight="1" thickBot="1">
      <c r="A931" s="91" t="n"/>
      <c r="B931" s="91" t="n"/>
    </row>
    <row r="932" ht="15" customHeight="1" thickBot="1">
      <c r="A932" s="91" t="n"/>
      <c r="B932" s="91" t="n"/>
    </row>
    <row r="933" ht="15" customHeight="1" thickBot="1">
      <c r="A933" s="91" t="n"/>
      <c r="B933" s="91" t="n"/>
    </row>
    <row r="934" ht="15" customHeight="1" thickBot="1">
      <c r="A934" s="91" t="n"/>
      <c r="B934" s="91" t="n"/>
    </row>
    <row r="935" ht="15" customHeight="1" thickBot="1">
      <c r="A935" s="91" t="n"/>
      <c r="B935" s="91" t="n"/>
    </row>
    <row r="936" ht="15" customHeight="1" thickBot="1">
      <c r="A936" s="91" t="n"/>
      <c r="B936" s="91" t="n"/>
    </row>
    <row r="937" ht="15" customHeight="1" thickBot="1">
      <c r="A937" s="91" t="n"/>
      <c r="B937" s="91" t="n"/>
    </row>
    <row r="938" ht="15" customHeight="1" thickBot="1">
      <c r="A938" s="91" t="n"/>
      <c r="B938" s="91" t="n"/>
    </row>
    <row r="939" ht="15" customHeight="1" thickBot="1">
      <c r="A939" s="91" t="n"/>
      <c r="B939" s="91" t="n"/>
    </row>
    <row r="940" ht="15" customHeight="1" thickBot="1">
      <c r="A940" s="91" t="n"/>
      <c r="B940" s="91" t="n"/>
    </row>
    <row r="941" ht="15" customHeight="1" thickBot="1">
      <c r="A941" s="91" t="n"/>
      <c r="B941" s="91" t="n"/>
    </row>
    <row r="942" ht="15" customHeight="1" thickBot="1">
      <c r="A942" s="91" t="n"/>
      <c r="B942" s="91" t="n"/>
    </row>
    <row r="943" ht="15" customHeight="1" thickBot="1">
      <c r="A943" s="91" t="n"/>
      <c r="B943" s="91" t="n"/>
    </row>
    <row r="944" ht="15" customHeight="1" thickBot="1">
      <c r="A944" s="91" t="n"/>
      <c r="B944" s="91" t="n"/>
    </row>
    <row r="945" ht="15" customHeight="1" thickBot="1">
      <c r="A945" s="91" t="n"/>
      <c r="B945" s="91" t="n"/>
    </row>
    <row r="946" ht="15" customHeight="1" thickBot="1">
      <c r="A946" s="91" t="n"/>
      <c r="B946" s="91" t="n"/>
    </row>
    <row r="947" ht="15" customHeight="1" thickBot="1">
      <c r="A947" s="91" t="n"/>
      <c r="B947" s="91" t="n"/>
    </row>
    <row r="948" ht="15" customHeight="1" thickBot="1">
      <c r="A948" s="91" t="n"/>
      <c r="B948" s="91" t="n"/>
    </row>
    <row r="949" ht="15" customHeight="1" thickBot="1">
      <c r="A949" s="91" t="n"/>
      <c r="B949" s="91" t="n"/>
    </row>
    <row r="950" ht="15" customHeight="1" thickBot="1">
      <c r="A950" s="91" t="n"/>
      <c r="B950" s="91" t="n"/>
    </row>
    <row r="951" ht="15" customHeight="1" thickBot="1">
      <c r="A951" s="91" t="n"/>
      <c r="B951" s="91" t="n"/>
    </row>
    <row r="952" ht="15" customHeight="1" thickBot="1">
      <c r="A952" s="91" t="n"/>
      <c r="B952" s="91" t="n"/>
    </row>
    <row r="953" ht="15" customHeight="1" thickBot="1">
      <c r="A953" s="91" t="n"/>
      <c r="B953" s="91" t="n"/>
    </row>
    <row r="954" ht="15" customHeight="1" thickBot="1">
      <c r="A954" s="91" t="n"/>
      <c r="B954" s="91" t="n"/>
    </row>
    <row r="955" ht="15" customHeight="1" thickBot="1">
      <c r="A955" s="91" t="n"/>
      <c r="B955" s="91" t="n"/>
    </row>
    <row r="956" ht="15" customHeight="1" thickBot="1">
      <c r="A956" s="91" t="n"/>
      <c r="B956" s="91" t="n"/>
    </row>
    <row r="957" ht="15" customHeight="1" thickBot="1">
      <c r="A957" s="91" t="n"/>
      <c r="B957" s="91" t="n"/>
    </row>
    <row r="958" ht="15" customHeight="1" thickBot="1">
      <c r="A958" s="91" t="n"/>
      <c r="B958" s="91" t="n"/>
    </row>
    <row r="959" ht="15" customHeight="1" thickBot="1">
      <c r="A959" s="91" t="n"/>
      <c r="B959" s="91" t="n"/>
    </row>
    <row r="960" ht="15" customHeight="1" thickBot="1">
      <c r="A960" s="91" t="n"/>
      <c r="B960" s="91" t="n"/>
    </row>
    <row r="961" ht="15" customHeight="1" thickBot="1">
      <c r="A961" s="91" t="n"/>
      <c r="B961" s="91" t="n"/>
    </row>
    <row r="962" ht="15" customHeight="1" thickBot="1">
      <c r="A962" s="91" t="n"/>
      <c r="B962" s="91" t="n"/>
    </row>
    <row r="963" ht="15" customHeight="1" thickBot="1">
      <c r="A963" s="91" t="n"/>
      <c r="B963" s="91" t="n"/>
    </row>
    <row r="964" ht="15" customHeight="1" thickBot="1">
      <c r="A964" s="91" t="n"/>
      <c r="B964" s="91" t="n"/>
    </row>
    <row r="965" ht="15" customHeight="1" thickBot="1">
      <c r="A965" s="91" t="n"/>
      <c r="B965" s="91" t="n"/>
    </row>
    <row r="966" ht="15" customHeight="1" thickBot="1">
      <c r="A966" s="91" t="n"/>
      <c r="B966" s="91" t="n"/>
    </row>
    <row r="967" ht="15" customHeight="1" thickBot="1">
      <c r="A967" s="91" t="n"/>
      <c r="B967" s="91" t="n"/>
    </row>
    <row r="968" ht="15" customHeight="1" thickBot="1">
      <c r="A968" s="91" t="n"/>
      <c r="B968" s="91" t="n"/>
    </row>
    <row r="969" ht="15" customHeight="1" thickBot="1">
      <c r="A969" s="91" t="n"/>
      <c r="B969" s="91" t="n"/>
    </row>
    <row r="970" ht="15" customHeight="1" thickBot="1">
      <c r="A970" s="91" t="n"/>
      <c r="B970" s="91" t="n"/>
    </row>
    <row r="971" ht="15" customHeight="1" thickBot="1">
      <c r="A971" s="91" t="n"/>
      <c r="B971" s="91" t="n"/>
    </row>
    <row r="972" ht="15" customHeight="1" thickBot="1">
      <c r="A972" s="91" t="n"/>
      <c r="B972" s="91" t="n"/>
    </row>
    <row r="973" ht="15" customHeight="1" thickBot="1">
      <c r="A973" s="91" t="n"/>
      <c r="B973" s="91" t="n"/>
    </row>
    <row r="974" ht="15" customHeight="1" thickBot="1">
      <c r="A974" s="91" t="n"/>
      <c r="B974" s="91" t="n"/>
    </row>
    <row r="975" ht="15" customHeight="1" thickBot="1">
      <c r="A975" s="91" t="n"/>
      <c r="B975" s="91" t="n"/>
    </row>
    <row r="976" ht="15" customHeight="1" thickBot="1">
      <c r="A976" s="91" t="n"/>
      <c r="B976" s="91" t="n"/>
    </row>
    <row r="977" ht="15" customHeight="1" thickBot="1">
      <c r="A977" s="91" t="n"/>
      <c r="B977" s="91" t="n"/>
    </row>
    <row r="978" ht="15" customHeight="1" thickBot="1">
      <c r="A978" s="91" t="n"/>
      <c r="B978" s="91" t="n"/>
    </row>
    <row r="979" ht="15" customHeight="1" thickBot="1">
      <c r="A979" s="91" t="n"/>
      <c r="B979" s="91" t="n"/>
    </row>
    <row r="980" ht="15" customHeight="1" thickBot="1">
      <c r="A980" s="91" t="n"/>
      <c r="B980" s="91" t="n"/>
    </row>
    <row r="981" ht="15" customHeight="1" thickBot="1">
      <c r="A981" s="91" t="n"/>
      <c r="B981" s="91" t="n"/>
    </row>
    <row r="982" ht="15" customHeight="1" thickBot="1">
      <c r="A982" s="91" t="n"/>
      <c r="B982" s="91" t="n"/>
    </row>
    <row r="983" ht="15" customHeight="1" thickBot="1">
      <c r="A983" s="91" t="n"/>
      <c r="B983" s="91" t="n"/>
    </row>
    <row r="984" ht="15" customHeight="1" thickBot="1">
      <c r="A984" s="91" t="n"/>
      <c r="B984" s="91" t="n"/>
    </row>
    <row r="985" ht="15" customHeight="1" thickBot="1">
      <c r="A985" s="91" t="n"/>
      <c r="B985" s="91" t="n"/>
    </row>
    <row r="986" ht="15" customHeight="1" thickBot="1">
      <c r="A986" s="91" t="n"/>
      <c r="B986" s="91" t="n"/>
    </row>
    <row r="987" ht="15" customHeight="1" thickBot="1">
      <c r="A987" s="91" t="n"/>
      <c r="B987" s="91" t="n"/>
    </row>
    <row r="988" ht="15" customHeight="1" thickBot="1">
      <c r="A988" s="91" t="n"/>
      <c r="B988" s="91" t="n"/>
    </row>
    <row r="989" ht="15" customHeight="1" thickBot="1">
      <c r="A989" s="91" t="n"/>
      <c r="B989" s="91" t="n"/>
    </row>
    <row r="990" ht="15" customHeight="1" thickBot="1">
      <c r="A990" s="91" t="n"/>
      <c r="B990" s="91" t="n"/>
    </row>
    <row r="991" ht="15" customHeight="1" thickBot="1">
      <c r="A991" s="91" t="n"/>
      <c r="B991" s="91" t="n"/>
    </row>
    <row r="992" ht="15" customHeight="1" thickBot="1">
      <c r="A992" s="91" t="n"/>
      <c r="B992" s="91" t="n"/>
    </row>
    <row r="993" ht="15" customHeight="1" thickBot="1">
      <c r="A993" s="91" t="n"/>
      <c r="B993" s="91" t="n"/>
    </row>
    <row r="994" ht="15" customHeight="1" thickBot="1">
      <c r="A994" s="91" t="n"/>
      <c r="B994" s="91" t="n"/>
    </row>
    <row r="995" ht="15" customHeight="1" thickBot="1">
      <c r="A995" s="91" t="n"/>
      <c r="B995" s="91" t="n"/>
    </row>
    <row r="996" ht="15" customHeight="1" thickBot="1">
      <c r="A996" s="91" t="n"/>
      <c r="B996" s="91" t="n"/>
    </row>
    <row r="997" ht="15" customHeight="1" thickBot="1">
      <c r="A997" s="91" t="n"/>
      <c r="B997" s="9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2026-08-05T12:06:27Z</dcterms:created>
  <dcterms:modified xsi:type="dcterms:W3CDTF">2026-08-11T08:19:49Z</dcterms:modified>
  <cp:lastModifiedBy>PC</cp:lastModifiedBy>
</cp:coreProperties>
</file>
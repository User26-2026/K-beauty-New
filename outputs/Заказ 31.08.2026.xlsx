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'Лист1'!$A$1:$F$109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sz val="8"/>
    </font>
    <font>
      <name val="Arial"/>
      <charset val="204"/>
      <family val="2"/>
      <b val="1"/>
      <sz val="9"/>
    </font>
    <font>
      <name val="Calibri"/>
      <charset val="204"/>
      <family val="2"/>
      <sz val="11"/>
      <scheme val="minor"/>
    </font>
    <font>
      <name val="Arial"/>
      <charset val="204"/>
      <family val="2"/>
      <b val="1"/>
      <sz val="8"/>
    </font>
    <font>
      <name val="Arial"/>
      <charset val="204"/>
      <family val="2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C6EFCE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3" applyAlignment="1" pivotButton="0" quotePrefix="0" xfId="0">
      <alignment wrapText="1"/>
    </xf>
    <xf numFmtId="0" fontId="4" fillId="0" borderId="16" pivotButton="0" quotePrefix="0" xfId="0"/>
    <xf numFmtId="0" fontId="5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4" fillId="0" borderId="15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0" pivotButton="0" quotePrefix="0" xfId="0"/>
    <xf numFmtId="0" fontId="6" fillId="0" borderId="3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3" fillId="0" borderId="4" applyAlignment="1" pivotButton="0" quotePrefix="0" xfId="0">
      <alignment horizontal="center" wrapText="1"/>
    </xf>
    <xf numFmtId="1" fontId="3" fillId="0" borderId="4" applyAlignment="1" pivotButton="0" quotePrefix="0" xfId="0">
      <alignment horizontal="center" wrapText="1"/>
    </xf>
    <xf numFmtId="0" fontId="2" fillId="0" borderId="5" applyAlignment="1" pivotButton="0" quotePrefix="0" xfId="0">
      <alignment wrapText="1"/>
    </xf>
    <xf numFmtId="0" fontId="3" fillId="0" borderId="6" applyAlignment="1" pivotButton="0" quotePrefix="0" xfId="0">
      <alignment horizontal="center" wrapText="1"/>
    </xf>
    <xf numFmtId="1" fontId="3" fillId="0" borderId="6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1" fontId="3" fillId="0" borderId="10" applyAlignment="1" pivotButton="0" quotePrefix="0" xfId="0">
      <alignment horizontal="center" wrapText="1"/>
    </xf>
    <xf numFmtId="1" fontId="3" fillId="0" borderId="12" applyAlignment="1" pivotButton="0" quotePrefix="0" xfId="0">
      <alignment horizontal="center" wrapText="1"/>
    </xf>
    <xf numFmtId="1" fontId="3" fillId="0" borderId="14" applyAlignment="1" pivotButton="0" quotePrefix="0" xfId="0">
      <alignment horizontal="center" wrapText="1"/>
    </xf>
    <xf numFmtId="0" fontId="2" fillId="0" borderId="7" applyAlignment="1" pivotButton="0" quotePrefix="0" xfId="0">
      <alignment wrapText="1"/>
    </xf>
    <xf numFmtId="0" fontId="3" fillId="0" borderId="8" applyAlignment="1" pivotButton="0" quotePrefix="0" xfId="0">
      <alignment horizontal="center" wrapText="1"/>
    </xf>
    <xf numFmtId="1" fontId="3" fillId="0" borderId="8" applyAlignment="1" pivotButton="0" quotePrefix="0" xfId="0">
      <alignment horizontal="center" wrapText="1"/>
    </xf>
    <xf numFmtId="0" fontId="1" fillId="2" borderId="1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2" fillId="3" borderId="11" applyAlignment="1" pivotButton="0" quotePrefix="0" xfId="0">
      <alignment wrapText="1"/>
    </xf>
    <xf numFmtId="0" fontId="2" fillId="3" borderId="13" applyAlignment="1" pivotButton="0" quotePrefix="0" xfId="0">
      <alignment wrapText="1"/>
    </xf>
    <xf numFmtId="0" fontId="7" fillId="4" borderId="15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tabSelected="1" zoomScale="130" zoomScaleNormal="130" workbookViewId="0">
      <selection activeCell="A11" sqref="A11"/>
    </sheetView>
  </sheetViews>
  <sheetFormatPr baseColWidth="8" defaultRowHeight="14.5"/>
  <cols>
    <col width="106.1796875" customWidth="1" style="8" min="1" max="1"/>
    <col width="10.1796875" customWidth="1" style="8" min="2" max="2"/>
    <col width="8.7265625" customWidth="1" style="8" min="3" max="3"/>
    <col width="8.7265625" customWidth="1" style="5" min="4" max="4"/>
    <col width="8.7265625" customWidth="1" style="8" min="5" max="16384"/>
  </cols>
  <sheetData>
    <row r="1" ht="15" customHeight="1" thickBot="1">
      <c r="A1" s="3" t="inlineStr">
        <is>
          <t>Наименование</t>
        </is>
      </c>
      <c r="B1" s="4" t="inlineStr">
        <is>
          <t>Остаток</t>
        </is>
      </c>
      <c r="C1" s="4" t="inlineStr">
        <is>
          <t>C/c</t>
        </is>
      </c>
      <c r="E1" s="28" t="inlineStr">
        <is>
          <t>заказ</t>
        </is>
      </c>
      <c r="F1" s="7" t="n"/>
    </row>
    <row r="2" ht="15" customHeight="1" thickBot="1">
      <c r="A2" s="9" t="n"/>
      <c r="B2" s="10" t="n"/>
      <c r="C2" s="10" t="n"/>
      <c r="E2" s="7" t="n"/>
      <c r="F2" s="7" t="n"/>
    </row>
    <row r="3" ht="15" customHeight="1" thickBot="1">
      <c r="A3" s="11" t="inlineStr">
        <is>
          <t>DEOPROCE SHAMPOO - BLACK GARLIC INTENSME ENERGY [200ml]/ Шампунь с черным чесноком против выпадения волос</t>
        </is>
      </c>
      <c r="B3" s="12" t="n">
        <v>240</v>
      </c>
      <c r="C3" s="13" t="n">
        <v>166.243</v>
      </c>
      <c r="D3" s="5" t="n">
        <v>2028</v>
      </c>
      <c r="E3" s="7" t="n">
        <v>240</v>
      </c>
      <c r="F3" s="7">
        <f>C3*E3</f>
        <v/>
      </c>
    </row>
    <row r="4" ht="15" customHeight="1" thickBot="1">
      <c r="A4" s="11" t="inlineStr">
        <is>
          <t>DEOPROCE RINSE - BLACK GARLIC INTENSME ENERGY [1000ml] / Бальзам от выпадения волос Чёрный чеснок</t>
        </is>
      </c>
      <c r="B4" s="12" t="n">
        <v>400</v>
      </c>
      <c r="C4" s="13" t="n">
        <v>394.823</v>
      </c>
      <c r="D4" s="5" t="n">
        <v>2028</v>
      </c>
      <c r="E4" s="7" t="n">
        <v>400</v>
      </c>
      <c r="F4" s="7">
        <f>C4*E4</f>
        <v/>
      </c>
    </row>
    <row r="5" ht="15" customHeight="1" thickBot="1">
      <c r="A5" s="11" t="inlineStr">
        <is>
          <t>DEOPROCE SHAMPOO - BLACK GARLIC INTENSME ENERGY [1000ml]/ Шампунь с черным чесноком против выпадения волос</t>
        </is>
      </c>
      <c r="B5" s="12" t="n">
        <v>400</v>
      </c>
      <c r="C5" s="13" t="n">
        <v>404.712</v>
      </c>
      <c r="D5" s="5" t="n">
        <v>2028</v>
      </c>
      <c r="E5" s="7" t="n">
        <v>400</v>
      </c>
      <c r="F5" s="7">
        <f>C5*E5</f>
        <v/>
      </c>
    </row>
    <row r="6" ht="15" customHeight="1" thickBot="1">
      <c r="A6" s="11" t="inlineStr">
        <is>
          <t>ELIZAVECCA - CER-100 Collagen Ceramide Coating Protein Treatment [100ml] / Коллагеновая маска для волос</t>
        </is>
      </c>
      <c r="B6" s="12" t="n">
        <v>300</v>
      </c>
      <c r="C6" s="13" t="n">
        <v>266.453</v>
      </c>
      <c r="D6" s="5" t="n">
        <v>2028</v>
      </c>
      <c r="E6" s="7" t="n">
        <v>300</v>
      </c>
      <c r="F6" s="7">
        <f>C6*E6</f>
        <v/>
      </c>
    </row>
    <row r="7" ht="15" customHeight="1" thickBot="1">
      <c r="A7" s="11" t="inlineStr">
        <is>
          <t>ENOUGH - Collagen Moisture Essential Cream [50ml] / Увлажняющий крем для лица с коллагеном</t>
        </is>
      </c>
      <c r="B7" s="12" t="inlineStr">
        <is>
          <t>7 340</t>
        </is>
      </c>
      <c r="C7" s="13" t="n">
        <v>177.43</v>
      </c>
      <c r="D7" s="5" t="n">
        <v>2028</v>
      </c>
      <c r="E7" s="7" t="n"/>
      <c r="F7" s="7">
        <f>C7*E7</f>
        <v/>
      </c>
    </row>
    <row r="8" ht="15" customHeight="1" thickBot="1">
      <c r="A8" s="11" t="inlineStr">
        <is>
          <t>ENOUGH - Collagen Whitening Moisture Cream 3in1 [50g] / Антивозрастной отбеливающий крем с коллагеном</t>
        </is>
      </c>
      <c r="B8" s="12" t="n">
        <v>344</v>
      </c>
      <c r="C8" s="13" t="n">
        <v>202.268</v>
      </c>
      <c r="D8" s="5" t="n">
        <v>2028</v>
      </c>
      <c r="E8" s="7" t="n"/>
      <c r="F8" s="7">
        <f>C8*E8</f>
        <v/>
      </c>
    </row>
    <row r="9" ht="15" customHeight="1" thickBot="1">
      <c r="A9" s="11" t="inlineStr">
        <is>
          <t xml:space="preserve">ENOUGH Collagen whitening cover tip concealer #01 [9g]/Консилер для лица (основная карточка) </t>
        </is>
      </c>
      <c r="B9" s="12" t="n">
        <v>200</v>
      </c>
      <c r="C9" s="13" t="n">
        <v>201.564</v>
      </c>
      <c r="D9" s="5" t="n">
        <v>6.2027</v>
      </c>
      <c r="E9" s="7" t="n"/>
      <c r="F9" s="7">
        <f>C9*E9</f>
        <v/>
      </c>
    </row>
    <row r="10" ht="15" customHeight="1" thickBot="1">
      <c r="A10" s="11" t="inlineStr">
        <is>
          <t>ENOUGH Collagen whitening cover tip concealer #02 [9g]/Консилер для лица (основная карточка)</t>
        </is>
      </c>
      <c r="B10" s="12" t="n">
        <v>300</v>
      </c>
      <c r="C10" s="13" t="n">
        <v>201.564</v>
      </c>
      <c r="D10" s="5" t="n">
        <v>6.2027</v>
      </c>
      <c r="E10" s="7" t="n"/>
      <c r="F10" s="7">
        <f>C10*E10</f>
        <v/>
      </c>
    </row>
    <row r="11" ht="15" customHeight="1" thickBot="1">
      <c r="A11" s="11" t="inlineStr">
        <is>
          <t>ENOUGH Collagen whitening cover tip concealer #03 [9g]/ Консилер для лица (основаная карточка)</t>
        </is>
      </c>
      <c r="B11" s="12" t="n">
        <v>260</v>
      </c>
      <c r="C11" s="13" t="n">
        <v>201.564</v>
      </c>
      <c r="D11" s="5" t="n">
        <v>6.2027</v>
      </c>
      <c r="E11" s="7" t="n"/>
      <c r="F11" s="7">
        <f>C11*E11</f>
        <v/>
      </c>
    </row>
    <row r="12" ht="15" customHeight="1" thickBot="1">
      <c r="A12" s="11" t="inlineStr">
        <is>
          <t>ETUDE - Baking Powder Crunch Pore Scrub [200ml] / Очищающий скраб для лица с содой</t>
        </is>
      </c>
      <c r="B12" s="12" t="inlineStr">
        <is>
          <t>7 279</t>
        </is>
      </c>
      <c r="C12" s="13" t="n">
        <v>397.133</v>
      </c>
      <c r="D12" s="5" t="n">
        <v>2028</v>
      </c>
      <c r="E12" s="7" t="n">
        <v>1300</v>
      </c>
      <c r="F12" s="7">
        <f>C12*E12</f>
        <v/>
      </c>
    </row>
    <row r="13" ht="15" customHeight="1" thickBot="1">
      <c r="A13" s="11" t="inlineStr">
        <is>
          <t>FARMSTAY - Collagen &amp; Hyaluronic Acid All-In One Ampoule [250ml] / Сыворотка с коллагеном и гиалуроновой кислотой</t>
        </is>
      </c>
      <c r="B13" s="12" t="inlineStr">
        <is>
          <t>6 179</t>
        </is>
      </c>
      <c r="C13" s="13" t="n">
        <v>382.536</v>
      </c>
      <c r="D13" s="5" t="n">
        <v>2028</v>
      </c>
      <c r="E13" s="7" t="n"/>
      <c r="F13" s="7">
        <f>C13*E13</f>
        <v/>
      </c>
    </row>
    <row r="14" ht="15" customHeight="1" thickBot="1">
      <c r="A14" s="11" t="inlineStr">
        <is>
          <t>FARMSTAY - Black Garlic Nourishing Shampoo [530ml] / Шампунь-кондиционер 2в1 с экстрактом черного чеснока</t>
        </is>
      </c>
      <c r="B14" s="12" t="inlineStr">
        <is>
          <t>3 239</t>
        </is>
      </c>
      <c r="C14" s="13" t="n">
        <v>436.392</v>
      </c>
      <c r="D14" s="5" t="n">
        <v>2028</v>
      </c>
      <c r="E14" s="7" t="n">
        <v>1000</v>
      </c>
      <c r="F14" s="7">
        <f>C14*E14</f>
        <v/>
      </c>
    </row>
    <row r="15" ht="15" customHeight="1" thickBot="1">
      <c r="A15" s="11" t="inlineStr">
        <is>
          <t>FARMSTAY - Gold Snail Premium Cream [50ml] / Омолаживающий крем с муцином улитки и коллоидным золотом</t>
        </is>
      </c>
      <c r="B15" s="12" t="n">
        <v>900</v>
      </c>
      <c r="C15" s="13" t="n">
        <v>474.155</v>
      </c>
      <c r="D15" s="5" t="n">
        <v>2028</v>
      </c>
      <c r="E15" s="7" t="n"/>
      <c r="F15" s="7">
        <f>C15*E15</f>
        <v/>
      </c>
    </row>
    <row r="16" ht="15" customHeight="1" thickBot="1">
      <c r="A16" s="11" t="inlineStr">
        <is>
          <t>FARMSTAY - Escargot Noblesse Intensive Cream [50g] / Крем с муцином королевской улитки</t>
        </is>
      </c>
      <c r="B16" s="12" t="n">
        <v>860</v>
      </c>
      <c r="C16" s="13" t="n">
        <v>345.224</v>
      </c>
      <c r="D16" s="5" t="n">
        <v>2028</v>
      </c>
      <c r="E16" s="7" t="n"/>
      <c r="F16" s="7">
        <f>C16*E16</f>
        <v/>
      </c>
    </row>
    <row r="17" ht="15" customHeight="1" thickBot="1">
      <c r="A17" s="11" t="inlineStr">
        <is>
          <t>FARMSTAY ESCARGOT NOBLESSE INTENSIVE AMPOULE/ сыворотка с улиткой</t>
        </is>
      </c>
      <c r="B17" s="12" t="n">
        <v>901</v>
      </c>
      <c r="C17" s="13" t="n">
        <v>429.506</v>
      </c>
      <c r="D17" s="5" t="n">
        <v>2028</v>
      </c>
      <c r="E17" s="7" t="n"/>
      <c r="F17" s="7">
        <f>C17*E17</f>
        <v/>
      </c>
    </row>
    <row r="18" ht="15" customHeight="1" thickBot="1">
      <c r="A18" s="11" t="inlineStr">
        <is>
          <t>FARMSTAY - Argan Oil Complete Volume Up Shampoo &amp; Conditioner [530ml] / Шампунь-кондиционер с аргановым маслом</t>
        </is>
      </c>
      <c r="B18" s="12" t="inlineStr">
        <is>
          <t>2 435</t>
        </is>
      </c>
      <c r="C18" s="13" t="n">
        <v>440.836</v>
      </c>
      <c r="D18" s="5" t="n">
        <v>2028</v>
      </c>
      <c r="E18" s="7" t="n">
        <v>1000</v>
      </c>
      <c r="F18" s="7">
        <f>C18*E18</f>
        <v/>
      </c>
    </row>
    <row r="19" ht="15" customHeight="1" thickBot="1">
      <c r="A19" s="11" t="inlineStr">
        <is>
          <t>FARMSTAY - Collagen Water Full Shampoo &amp; Conditioner [530ml] / Шампунь-кондиционер 2в1 с коллагеном</t>
        </is>
      </c>
      <c r="B19" s="12" t="inlineStr">
        <is>
          <t>3 493</t>
        </is>
      </c>
      <c r="C19" s="13" t="n">
        <v>436.392</v>
      </c>
      <c r="D19" s="5" t="n">
        <v>2028</v>
      </c>
      <c r="E19" s="7" t="n">
        <v>1000</v>
      </c>
      <c r="F19" s="7">
        <f>C19*E19</f>
        <v/>
      </c>
    </row>
    <row r="20" ht="15" customHeight="1" thickBot="1">
      <c r="A20" s="11" t="inlineStr">
        <is>
          <t>FARMSTAY - Collagen Water Full Moist Rolling Eye Serum [25ml] / Сыворотка роллер для глаз</t>
        </is>
      </c>
      <c r="B20" s="12" t="n">
        <v>156</v>
      </c>
      <c r="C20" s="13" t="n">
        <v>254.903</v>
      </c>
      <c r="D20" s="5" t="n">
        <v>2028</v>
      </c>
      <c r="E20" s="7" t="n"/>
      <c r="F20" s="7">
        <f>C20*E20</f>
        <v/>
      </c>
    </row>
    <row r="21" ht="15" customHeight="1" thickBot="1">
      <c r="A21" s="11" t="inlineStr">
        <is>
          <t>FARMSTAY - Collagen Water Full Moist Cream [100g] / Увлажняющий крем с коллагеном</t>
        </is>
      </c>
      <c r="B21" s="12" t="n">
        <v>200</v>
      </c>
      <c r="C21" s="13" t="n">
        <v>532.862</v>
      </c>
      <c r="D21" s="5" t="n">
        <v>2028</v>
      </c>
      <c r="E21" s="7" t="n"/>
      <c r="F21" s="7">
        <f>C21*E21</f>
        <v/>
      </c>
    </row>
    <row r="22" ht="15" customHeight="1" thickBot="1">
      <c r="A22" s="11" t="inlineStr">
        <is>
          <t>FARMSTAY - Collagen Pure Cleansing Foam [180ml]/Пенка для умывания</t>
        </is>
      </c>
      <c r="B22" s="12" t="n">
        <v>300</v>
      </c>
      <c r="C22" s="13" t="n">
        <v>177.617</v>
      </c>
      <c r="D22" s="5" t="n">
        <v>2028</v>
      </c>
      <c r="E22" s="7" t="n"/>
      <c r="F22" s="7">
        <f>C22*E22</f>
        <v/>
      </c>
    </row>
    <row r="23" ht="15" customHeight="1" thickBot="1">
      <c r="A23" s="11" t="inlineStr">
        <is>
          <t>HEIMISH - Artless Glow Base SPF50+ PA+++(Renew) [40ml] / База под макияж SPF50+ PA+++</t>
        </is>
      </c>
      <c r="B23" s="12" t="n">
        <v>941</v>
      </c>
      <c r="C23" s="13" t="n">
        <v>847.528</v>
      </c>
      <c r="D23" s="5" t="n">
        <v>2028</v>
      </c>
      <c r="E23" s="7" t="n"/>
      <c r="F23" s="7">
        <f>C23*E23</f>
        <v/>
      </c>
    </row>
    <row r="24" ht="15" customHeight="1" thickBot="1">
      <c r="A24" s="11" t="inlineStr">
        <is>
          <t>JIGOTT - Snail Lifting Cream [70ml] / Крем для лица увлажняющий антивозрастной</t>
        </is>
      </c>
      <c r="B24" s="12" t="inlineStr">
        <is>
          <t>7 463</t>
        </is>
      </c>
      <c r="C24" s="13" t="n">
        <v>222.497</v>
      </c>
      <c r="D24" s="5" t="n">
        <v>2028</v>
      </c>
      <c r="E24" s="7" t="n"/>
      <c r="F24" s="7">
        <f>C24*E24</f>
        <v/>
      </c>
    </row>
    <row r="25" ht="15" customHeight="1" thickBot="1">
      <c r="A25" s="11" t="inlineStr">
        <is>
          <t>JIGOTT - Snail Reparing Cream [100ml] / Крем для лица увлажняющий антивозрастной с муцином улитки</t>
        </is>
      </c>
      <c r="B25" s="12" t="n">
        <v>500</v>
      </c>
      <c r="C25" s="13" t="n">
        <v>204.446</v>
      </c>
      <c r="D25" s="5" t="n">
        <v>2028</v>
      </c>
      <c r="E25" s="7" t="n"/>
      <c r="F25" s="7">
        <f>C25*E25</f>
        <v/>
      </c>
    </row>
    <row r="26" ht="15" customHeight="1" thickBot="1">
      <c r="A26" s="11" t="inlineStr">
        <is>
          <t>JIGOTT - Birds Nest Firming Cream [70ml] / Антивозрастной крем с экстрактом ласточкиного гнезда</t>
        </is>
      </c>
      <c r="B26" s="12" t="inlineStr">
        <is>
          <t>1 614</t>
        </is>
      </c>
      <c r="C26" s="13" t="n">
        <v>222.497</v>
      </c>
      <c r="D26" s="5" t="n">
        <v>2028</v>
      </c>
      <c r="E26" s="7" t="n"/>
      <c r="F26" s="7">
        <f>C26*E26</f>
        <v/>
      </c>
    </row>
    <row r="27" ht="15" customHeight="1" thickBot="1">
      <c r="A27" s="24" t="inlineStr">
        <is>
          <t>JIGOTT - Aloe Real Ampoule Mask [27ml] / Ампульная маска с экстрактом алое</t>
        </is>
      </c>
      <c r="B27" s="12" t="n">
        <v>1190</v>
      </c>
      <c r="C27" s="13" t="n">
        <v>25</v>
      </c>
      <c r="D27" s="5" t="n">
        <v>2028</v>
      </c>
      <c r="E27" s="7" t="n">
        <v>500</v>
      </c>
      <c r="F27" s="7">
        <f>C27*E27</f>
        <v/>
      </c>
    </row>
    <row r="28" ht="15" customHeight="1" thickBot="1">
      <c r="A28" s="1" t="inlineStr">
        <is>
          <t>JIGOTT - Black Snail Real Ampoule Mask [27ml] / Ампульная маска с экстрактом слизи черной улитки</t>
        </is>
      </c>
      <c r="B28" s="12" t="n">
        <v>1190</v>
      </c>
      <c r="C28" s="13" t="n">
        <v>25</v>
      </c>
      <c r="D28" s="5" t="n">
        <v>2028</v>
      </c>
      <c r="E28" s="7" t="n">
        <v>500</v>
      </c>
      <c r="F28" s="7">
        <f>C28*E28</f>
        <v/>
      </c>
    </row>
    <row r="29" ht="15" customHeight="1" thickBot="1">
      <c r="A29" s="1" t="inlineStr">
        <is>
          <t>JIGOTT - Camellia Real Ampoule Mask [27ml] / Ампульная маска с экстрактом камелии</t>
        </is>
      </c>
      <c r="B29" s="12" t="n">
        <v>1190</v>
      </c>
      <c r="C29" s="13" t="n">
        <v>25</v>
      </c>
      <c r="D29" s="5" t="n">
        <v>2028</v>
      </c>
      <c r="E29" s="7" t="n">
        <v>500</v>
      </c>
      <c r="F29" s="7">
        <f>C29*E29</f>
        <v/>
      </c>
    </row>
    <row r="30" ht="15" customHeight="1" thickBot="1">
      <c r="A30" s="1" t="inlineStr">
        <is>
          <t>JIGOTT - Caviar Real Ampoule Mask [27ml] / Ампульная маска с экстрактом икры</t>
        </is>
      </c>
      <c r="B30" s="12" t="n">
        <v>1190</v>
      </c>
      <c r="C30" s="13" t="n">
        <v>25</v>
      </c>
      <c r="D30" s="5" t="n">
        <v>2028</v>
      </c>
      <c r="E30" s="7" t="n">
        <v>500</v>
      </c>
      <c r="F30" s="7">
        <f>C30*E30</f>
        <v/>
      </c>
    </row>
    <row r="31" ht="15" customHeight="1" thickBot="1">
      <c r="A31" s="1" t="inlineStr">
        <is>
          <t>JIGOTT - Collagen Real Ampoule Mask [27ml] / Ампульная маска с коллагеном</t>
        </is>
      </c>
      <c r="B31" s="12" t="n">
        <v>1190</v>
      </c>
      <c r="C31" s="13" t="n">
        <v>25</v>
      </c>
      <c r="D31" s="5" t="n">
        <v>2028</v>
      </c>
      <c r="E31" s="7" t="n">
        <v>500</v>
      </c>
      <c r="F31" s="7">
        <f>C31*E31</f>
        <v/>
      </c>
    </row>
    <row r="32" ht="15" customHeight="1" thickBot="1">
      <c r="A32" s="1" t="inlineStr">
        <is>
          <t>JIGOTT - Cucumber Real Ampoule Mask [27ml] / Тканевая маска с экстрактом огурца</t>
        </is>
      </c>
      <c r="B32" s="12" t="n">
        <v>1190</v>
      </c>
      <c r="C32" s="13" t="n">
        <v>25</v>
      </c>
      <c r="D32" s="5" t="n">
        <v>2028</v>
      </c>
      <c r="E32" s="7" t="n">
        <v>500</v>
      </c>
      <c r="F32" s="7">
        <f>C32*E32</f>
        <v/>
      </c>
    </row>
    <row r="33" ht="15" customHeight="1" thickBot="1">
      <c r="A33" s="1" t="inlineStr">
        <is>
          <t>JIGOTT - Green Tea Real Ampoule Mask [27ml] / Ампульная маска с экстрактом зеленого чая</t>
        </is>
      </c>
      <c r="B33" s="12" t="n">
        <v>1190</v>
      </c>
      <c r="C33" s="13" t="n">
        <v>25</v>
      </c>
      <c r="D33" s="5" t="n">
        <v>2028</v>
      </c>
      <c r="E33" s="7" t="n">
        <v>500</v>
      </c>
      <c r="F33" s="7">
        <f>C33*E33</f>
        <v/>
      </c>
    </row>
    <row r="34" ht="15" customHeight="1" thickBot="1">
      <c r="A34" s="1" t="inlineStr">
        <is>
          <t>JIGOTT - Honey Real Ampoule Mask [27ml] / Ампульная маска с экстрактом меда</t>
        </is>
      </c>
      <c r="B34" s="12" t="n">
        <v>1190</v>
      </c>
      <c r="C34" s="13" t="n">
        <v>25</v>
      </c>
      <c r="D34" s="5" t="n">
        <v>2028</v>
      </c>
      <c r="E34" s="7" t="n">
        <v>500</v>
      </c>
      <c r="F34" s="7">
        <f>C34*E34</f>
        <v/>
      </c>
    </row>
    <row r="35" ht="15" customHeight="1" thickBot="1">
      <c r="A35" s="1" t="inlineStr">
        <is>
          <t>JIGOTT - Hyaluronic Acid Real Ampoule Mask [27ml] / Ампульная маска с гиалуроновой кислотой</t>
        </is>
      </c>
      <c r="B35" s="12" t="n">
        <v>1190</v>
      </c>
      <c r="C35" s="13" t="n">
        <v>25</v>
      </c>
      <c r="D35" s="5" t="n">
        <v>2028</v>
      </c>
      <c r="E35" s="7" t="n">
        <v>500</v>
      </c>
      <c r="F35" s="7">
        <f>C35*E35</f>
        <v/>
      </c>
    </row>
    <row r="36" ht="15" customHeight="1" thickBot="1">
      <c r="A36" s="1" t="inlineStr">
        <is>
          <t>JIGOTT - Lotus Real Ampoule Mask [27ml] / Ампульная маска с экстрактом лотоса</t>
        </is>
      </c>
      <c r="B36" s="12" t="n">
        <v>1190</v>
      </c>
      <c r="C36" s="13" t="n">
        <v>25</v>
      </c>
      <c r="D36" s="5" t="n">
        <v>2028</v>
      </c>
      <c r="E36" s="7" t="n">
        <v>500</v>
      </c>
      <c r="F36" s="7">
        <f>C36*E36</f>
        <v/>
      </c>
    </row>
    <row r="37" ht="15" customHeight="1" thickBot="1">
      <c r="A37" s="1" t="inlineStr">
        <is>
          <t>JIGOTT - Pearl Real Ampoule Mask [27ml] / ампульная маска для лица с жемчугом</t>
        </is>
      </c>
      <c r="B37" s="12" t="n">
        <v>1190</v>
      </c>
      <c r="C37" s="13" t="n">
        <v>25</v>
      </c>
      <c r="D37" s="5" t="n">
        <v>2028</v>
      </c>
      <c r="E37" s="7" t="n">
        <v>500</v>
      </c>
      <c r="F37" s="7">
        <f>C37*E37</f>
        <v/>
      </c>
    </row>
    <row r="38" ht="15" customHeight="1" thickBot="1">
      <c r="A38" s="1" t="inlineStr">
        <is>
          <t>JIGOTT - Placenta Real Ampoule Mask [27ml] / Ампульная маска с плацентой</t>
        </is>
      </c>
      <c r="B38" s="12" t="n">
        <v>1190</v>
      </c>
      <c r="C38" s="13" t="n">
        <v>25</v>
      </c>
      <c r="D38" s="5" t="n">
        <v>2028</v>
      </c>
      <c r="E38" s="7" t="n">
        <v>500</v>
      </c>
      <c r="F38" s="7">
        <f>C38*E38</f>
        <v/>
      </c>
    </row>
    <row r="39" ht="15" customHeight="1" thickBot="1">
      <c r="A39" s="1" t="inlineStr">
        <is>
          <t>JIGOTT - Pomegranate Real Ampoule Mask [27ml] / Ампульная маска с экстрактом граната</t>
        </is>
      </c>
      <c r="B39" s="12" t="n">
        <v>1190</v>
      </c>
      <c r="C39" s="13" t="n">
        <v>25</v>
      </c>
      <c r="D39" s="5" t="n">
        <v>2028</v>
      </c>
      <c r="E39" s="7" t="n">
        <v>500</v>
      </c>
      <c r="F39" s="7">
        <f>C39*E39</f>
        <v/>
      </c>
    </row>
    <row r="40" ht="15" customHeight="1" thickBot="1">
      <c r="A40" s="1" t="inlineStr">
        <is>
          <t>JIGOTT - Potato Real Ampoule Mask [27ml] / Ампульная маска с экстрактом картофеля</t>
        </is>
      </c>
      <c r="B40" s="12" t="n">
        <v>1190</v>
      </c>
      <c r="C40" s="13" t="n">
        <v>25</v>
      </c>
      <c r="D40" s="5" t="n">
        <v>2028</v>
      </c>
      <c r="E40" s="7" t="n">
        <v>500</v>
      </c>
      <c r="F40" s="7">
        <f>C40*E40</f>
        <v/>
      </c>
    </row>
    <row r="41" ht="15" customHeight="1" thickBot="1">
      <c r="A41" s="1" t="inlineStr">
        <is>
          <t>JIGOTT - Red Ginseng Real Ampoule Mask [27ml] / Ампульная маска с красным женьшенем</t>
        </is>
      </c>
      <c r="B41" s="12" t="n">
        <v>1190</v>
      </c>
      <c r="C41" s="13" t="n">
        <v>25</v>
      </c>
      <c r="D41" s="5" t="n">
        <v>2028</v>
      </c>
      <c r="E41" s="7" t="n">
        <v>500</v>
      </c>
      <c r="F41" s="7">
        <f>C41*E41</f>
        <v/>
      </c>
    </row>
    <row r="42" ht="15" customHeight="1" thickBot="1">
      <c r="A42" s="1" t="inlineStr">
        <is>
          <t>JIGOTT - Vitamin Real Ampoule Mask [27ml] / Ампульная маска с витаминами</t>
        </is>
      </c>
      <c r="B42" s="12" t="n">
        <v>1190</v>
      </c>
      <c r="C42" s="13" t="n">
        <v>25</v>
      </c>
      <c r="D42" s="5" t="n">
        <v>2028</v>
      </c>
      <c r="E42" s="7" t="n">
        <v>500</v>
      </c>
      <c r="F42" s="7">
        <f>C42*E42</f>
        <v/>
      </c>
    </row>
    <row r="43" ht="15" customHeight="1" thickBot="1">
      <c r="A43" s="11" t="inlineStr">
        <is>
          <t>JIGOTT - Ultimate Real Collagen Toner [300ml] / тонер с коллагеном антивозрастной</t>
        </is>
      </c>
      <c r="B43" s="12" t="n">
        <v>800</v>
      </c>
      <c r="C43" s="13" t="n">
        <v>291.896</v>
      </c>
      <c r="D43" s="5" t="n">
        <v>2028</v>
      </c>
      <c r="E43" s="7" t="n"/>
      <c r="F43" s="7">
        <f>C43*E43</f>
        <v/>
      </c>
    </row>
    <row r="44" ht="15" customHeight="1" thickBot="1">
      <c r="A44" s="11" t="inlineStr">
        <is>
          <t>JIGOTT - Daily Real Cica Toner [300ml] / Тонер для лица с центеллой азиатской</t>
        </is>
      </c>
      <c r="B44" s="12" t="n">
        <v>800</v>
      </c>
      <c r="C44" s="13" t="n">
        <v>291.896</v>
      </c>
      <c r="D44" s="5" t="n">
        <v>2028</v>
      </c>
      <c r="E44" s="7" t="n"/>
      <c r="F44" s="7">
        <f>C44*E44</f>
        <v/>
      </c>
    </row>
    <row r="45" ht="15" customHeight="1" thickBot="1">
      <c r="A45" s="14" t="inlineStr">
        <is>
          <t>JIGOTT - Moisture Real Aloe Vera Toner [300ml] / Тонер для лица увлажняющий с экстрактом алоэ</t>
        </is>
      </c>
      <c r="B45" s="15" t="n">
        <v>100</v>
      </c>
      <c r="C45" s="16" t="n">
        <v>291.896</v>
      </c>
      <c r="D45" s="5" t="n">
        <v>2028</v>
      </c>
      <c r="E45" s="7" t="n"/>
      <c r="F45" s="7">
        <f>C45*E45</f>
        <v/>
      </c>
    </row>
    <row r="46" ht="15" customHeight="1" thickBot="1">
      <c r="A46" s="25" t="inlineStr">
        <is>
          <t>JMSOLUTION ACTIVE BLACK CAVIAR MASK [30ml*10ea] / Ультратонкая тканевая маска с черной икрой</t>
        </is>
      </c>
      <c r="B46" s="17" t="n">
        <v>110</v>
      </c>
      <c r="C46" s="18" t="n">
        <v>376.497</v>
      </c>
      <c r="D46" s="5" t="n">
        <v>2028</v>
      </c>
      <c r="E46" s="7" t="n"/>
      <c r="F46" s="7">
        <f>C46*E46</f>
        <v/>
      </c>
    </row>
    <row r="47" ht="15" customHeight="1" thickBot="1">
      <c r="A47" s="26" t="inlineStr">
        <is>
          <t>JMSOLUTION - Active Golden Caviar Nourishing Mask [30ml*10ea] / Ультратонкая тканевая маска с золотом и икрой</t>
        </is>
      </c>
      <c r="B47" s="17" t="n">
        <v>110</v>
      </c>
      <c r="C47" s="19" t="n">
        <v>376.497</v>
      </c>
      <c r="D47" s="5" t="n">
        <v>2028</v>
      </c>
      <c r="E47" s="7" t="n"/>
      <c r="F47" s="7">
        <f>C47*E47</f>
        <v/>
      </c>
    </row>
    <row r="48" ht="15" customHeight="1" thickBot="1">
      <c r="A48" s="26" t="inlineStr">
        <is>
          <t>JMSOLUTION - Active Jellyfish Vital Mask [30ml*10ea] / Ультратонкая тканевая маска с экстрактом медузы</t>
        </is>
      </c>
      <c r="B48" s="17" t="n">
        <v>110</v>
      </c>
      <c r="C48" s="19" t="n">
        <v>376.497</v>
      </c>
      <c r="D48" s="5" t="n">
        <v>2028</v>
      </c>
      <c r="E48" s="7" t="n"/>
      <c r="F48" s="7">
        <f>C48*E48</f>
        <v/>
      </c>
    </row>
    <row r="49" ht="15" customHeight="1" thickBot="1">
      <c r="A49" s="26" t="inlineStr">
        <is>
          <t>JMSOLUTION - Active Birds Nest Moisture Mask [30ml*10ea] / Ультратонкая тканевая маска с ласточкиным гнездом</t>
        </is>
      </c>
      <c r="B49" s="17" t="n">
        <v>110</v>
      </c>
      <c r="C49" s="19" t="n">
        <v>376.497</v>
      </c>
      <c r="D49" s="5" t="n">
        <v>2028</v>
      </c>
      <c r="E49" s="7" t="n"/>
      <c r="F49" s="7">
        <f>C49*E49</f>
        <v/>
      </c>
    </row>
    <row r="50" ht="15" customHeight="1" thickBot="1">
      <c r="A50" s="26" t="inlineStr">
        <is>
          <t>JMSOLUTION GLORY AQUA FULLERENE MASK DELUXE</t>
        </is>
      </c>
      <c r="B50" s="17" t="n">
        <v>110</v>
      </c>
      <c r="C50" s="19" t="n">
        <v>495.385</v>
      </c>
      <c r="D50" s="5" t="n">
        <v>2028</v>
      </c>
      <c r="E50" s="7" t="n"/>
      <c r="F50" s="7">
        <f>C50*E50</f>
        <v/>
      </c>
    </row>
    <row r="51" ht="15" customHeight="1" thickBot="1">
      <c r="A51" s="26" t="inlineStr">
        <is>
          <t>JMSOLUTION  JMSOLUTION - Glory Aqua TOCOPHEROL VITAMIN C MASK PLUS [30ml*10ea] / Тканевая маска</t>
        </is>
      </c>
      <c r="B51" s="17" t="n">
        <v>110</v>
      </c>
      <c r="C51" s="19" t="n">
        <v>495.385</v>
      </c>
      <c r="D51" s="5" t="n">
        <v>2028</v>
      </c>
      <c r="E51" s="7" t="n"/>
      <c r="F51" s="7">
        <f>C51*E51</f>
        <v/>
      </c>
    </row>
    <row r="52" ht="15" customHeight="1" thickBot="1">
      <c r="A52" s="26" t="inlineStr">
        <is>
          <t>JMSOLUTION PANTHELENE INTENSIVE BARRIER MASK</t>
        </is>
      </c>
      <c r="B52" s="17" t="n">
        <v>110</v>
      </c>
      <c r="C52" s="19" t="n">
        <v>495.385</v>
      </c>
      <c r="D52" s="5" t="n">
        <v>2028</v>
      </c>
      <c r="E52" s="7" t="n"/>
      <c r="F52" s="7">
        <f>C52*E52</f>
        <v/>
      </c>
    </row>
    <row r="53" ht="15" customHeight="1" thickBot="1">
      <c r="A53" s="26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53" s="17" t="n">
        <v>110</v>
      </c>
      <c r="C53" s="19" t="n">
        <v>350.295</v>
      </c>
      <c r="D53" s="5" t="n">
        <v>2028</v>
      </c>
      <c r="E53" s="7" t="n"/>
      <c r="F53" s="7">
        <f>C53*E53</f>
        <v/>
      </c>
    </row>
    <row r="54" ht="15" customHeight="1" thickBot="1">
      <c r="A54" s="26" t="inlineStr">
        <is>
          <t>JMSOLUTION - Water Luminous S.O.S. Ringer Mask Black [35ml*10ea] / Ультраувлажняющая тканевая маска</t>
        </is>
      </c>
      <c r="B54" s="17" t="n">
        <v>110</v>
      </c>
      <c r="C54" s="19" t="n">
        <v>495.385</v>
      </c>
      <c r="D54" s="5" t="n">
        <v>2028</v>
      </c>
      <c r="E54" s="7" t="n"/>
      <c r="F54" s="7">
        <f>C54*E54</f>
        <v/>
      </c>
    </row>
    <row r="55" ht="15" customHeight="1" thickBot="1">
      <c r="A55" s="27" t="inlineStr">
        <is>
          <t>JMSOLUTION GREEN DEAR TIGER CICA MASK PURE 30ml*10ea / Регенерирующая маска для лица с центеллой</t>
        </is>
      </c>
      <c r="B55" s="17" t="n">
        <v>110</v>
      </c>
      <c r="C55" s="20" t="n">
        <v>376.497</v>
      </c>
      <c r="D55" s="5" t="n">
        <v>2028</v>
      </c>
      <c r="E55" s="7" t="n"/>
      <c r="F55" s="7">
        <f>C55*E55</f>
        <v/>
      </c>
    </row>
    <row r="56" ht="15" customHeight="1" thickBot="1">
      <c r="A56" s="21" t="inlineStr">
        <is>
          <t>JMSOLUTION - MASK PACK DISNEY [30ml*10ea] - ассорти набор из 10шт</t>
        </is>
      </c>
      <c r="B56" s="22" t="n">
        <v>832</v>
      </c>
      <c r="C56" s="23" t="n">
        <v>509.52</v>
      </c>
      <c r="D56" s="5" t="n">
        <v>2028</v>
      </c>
      <c r="E56" s="7" t="n"/>
      <c r="F56" s="7">
        <f>C56*E56</f>
        <v/>
      </c>
    </row>
    <row r="57" ht="15" customHeight="1" thickBot="1">
      <c r="A57" s="11" t="inlineStr">
        <is>
          <t>LEBELAGE - Dr. Peptide Derma Eye Cream [40ml] / Крем для глаз антивозрастной с пептидами</t>
        </is>
      </c>
      <c r="B57" s="12" t="n">
        <v>400</v>
      </c>
      <c r="C57" s="13" t="n">
        <v>118.965</v>
      </c>
      <c r="D57" s="5" t="inlineStr">
        <is>
          <t>02,2028</t>
        </is>
      </c>
      <c r="E57" s="7" t="n">
        <v>400</v>
      </c>
      <c r="F57" s="7">
        <f>C57*E57</f>
        <v/>
      </c>
    </row>
    <row r="58" ht="15" customHeight="1" thickBot="1">
      <c r="A58" s="11" t="inlineStr">
        <is>
          <t>MANYO - Bifida Biome Complex Ampoule [50ml] / Антивозрастная сыворотка для лица</t>
        </is>
      </c>
      <c r="B58" s="12" t="inlineStr">
        <is>
          <t>1 355</t>
        </is>
      </c>
      <c r="C58" s="13" t="n">
        <v>989.7579999999999</v>
      </c>
      <c r="D58" s="5" t="n">
        <v>2028</v>
      </c>
      <c r="E58" s="7" t="n">
        <v>600</v>
      </c>
      <c r="F58" s="7">
        <f>C58*E58</f>
        <v/>
      </c>
    </row>
    <row r="59" ht="15" customHeight="1" thickBot="1">
      <c r="A59" s="11" t="inlineStr">
        <is>
          <t>MANYO - Galac Whitening Vita Serum [50ml] / Осветляющая сыворотка с Витамином C</t>
        </is>
      </c>
      <c r="B59" s="12" t="n">
        <v>759</v>
      </c>
      <c r="C59" s="13" t="n">
        <v>711.513</v>
      </c>
      <c r="D59" s="5" t="n">
        <v>2028</v>
      </c>
      <c r="E59" s="7" t="n"/>
      <c r="F59" s="7">
        <f>C59*E59</f>
        <v/>
      </c>
    </row>
    <row r="60" ht="15" customHeight="1" thickBot="1">
      <c r="A60" s="11" t="inlineStr">
        <is>
          <t>MANYO - Bifida Biome Ampoule Lotion [300ml] / Укрепляющий лосьон с бифидобактериями</t>
        </is>
      </c>
      <c r="B60" s="12" t="n">
        <v>624</v>
      </c>
      <c r="C60" s="13" t="n">
        <v>808.874</v>
      </c>
      <c r="D60" s="5" t="n">
        <v>2028</v>
      </c>
      <c r="E60" s="7" t="n"/>
      <c r="F60" s="7">
        <f>C60*E60</f>
        <v/>
      </c>
    </row>
    <row r="61" ht="15" customHeight="1" thickBot="1">
      <c r="A61" s="11" t="inlineStr">
        <is>
          <t>MANYO - Pure Cleansing Oil [200ml] / Гидрофильное масло для глубокого очищения</t>
        </is>
      </c>
      <c r="B61" s="12" t="n">
        <v>80</v>
      </c>
      <c r="C61" s="13" t="n">
        <v>938.3</v>
      </c>
      <c r="D61" s="5" t="n">
        <v>2028</v>
      </c>
      <c r="E61" s="7" t="n"/>
      <c r="F61" s="7">
        <f>C61*E61</f>
        <v/>
      </c>
    </row>
    <row r="62" ht="15" customHeight="1" thickBot="1">
      <c r="A62" s="11" t="inlineStr">
        <is>
          <t>MANYO BIFIDA COMPLEX AMPOULE GEL CLEANSER [400ml] / Гель для умывания с бифидобактериями</t>
        </is>
      </c>
      <c r="B62" s="12" t="n">
        <v>650</v>
      </c>
      <c r="C62" s="13" t="n">
        <v>813.901</v>
      </c>
      <c r="D62" s="5" t="n">
        <v>2028</v>
      </c>
      <c r="E62" s="7" t="n">
        <v>400</v>
      </c>
      <c r="F62" s="7">
        <f>C62*E62</f>
        <v/>
      </c>
    </row>
    <row r="63" ht="15" customHeight="1" thickBot="1">
      <c r="A63" s="11" t="inlineStr">
        <is>
          <t>MANYO BIFIDA INFUSION SHOT AMPOULE 1DX [50ml] / Сыворотка с микроиглами и пробиотиками</t>
        </is>
      </c>
      <c r="B63" s="12" t="n">
        <v>614</v>
      </c>
      <c r="C63" s="13" t="n">
        <v>1096.425</v>
      </c>
      <c r="D63" s="5" t="n">
        <v>2028</v>
      </c>
      <c r="E63" s="7" t="n">
        <v>400</v>
      </c>
      <c r="F63" s="7">
        <f>C63*E63</f>
        <v/>
      </c>
    </row>
    <row r="64" ht="15" customHeight="1" thickBot="1">
      <c r="A64" s="11" t="inlineStr">
        <is>
          <t>PETITFEE - Collagen &amp; CoQ10 Hydrogel Eye Patch [60ea] / Гидрогелевые патчи для глаз с коллагеном и коэнзимом Q10</t>
        </is>
      </c>
      <c r="B64" s="12" t="n">
        <v>360</v>
      </c>
      <c r="C64" s="13" t="n">
        <v>423.555</v>
      </c>
      <c r="D64" s="5" t="n">
        <v>2028</v>
      </c>
      <c r="E64" s="7" t="n"/>
      <c r="F64" s="7">
        <f>C64*E64</f>
        <v/>
      </c>
    </row>
    <row r="65" ht="15" customHeight="1" thickBot="1">
      <c r="A65" s="11" t="inlineStr">
        <is>
          <t>PETITFEE - Bera Glucan Deep Firming Eye Patch [60ea] / Тканевые патчи для век увлажняющие</t>
        </is>
      </c>
      <c r="B65" s="12" t="n">
        <v>180</v>
      </c>
      <c r="C65" s="13" t="n">
        <v>535.359</v>
      </c>
      <c r="D65" s="5" t="n">
        <v>2028</v>
      </c>
      <c r="E65" s="7" t="n"/>
      <c r="F65" s="7">
        <f>C65*E65</f>
        <v/>
      </c>
    </row>
    <row r="66" ht="15" customHeight="1" thickBot="1">
      <c r="A66" s="11" t="inlineStr">
        <is>
          <t>PETITFEE - Artichoke Soothing Hydrogel Eye Patch [60ea] / Смягчающие гидрогелевые патчи для глаз с экстрактом артишока</t>
        </is>
      </c>
      <c r="B66" s="12" t="n">
        <v>156</v>
      </c>
      <c r="C66" s="13" t="n">
        <v>457.0059999999999</v>
      </c>
      <c r="D66" s="5" t="n">
        <v>2028</v>
      </c>
      <c r="E66" s="7" t="n"/>
      <c r="F66" s="7">
        <f>C66*E66</f>
        <v/>
      </c>
    </row>
    <row r="67" ht="15" customHeight="1" thickBot="1">
      <c r="A67" s="11" t="inlineStr">
        <is>
          <t>PETITFEE - Aura Quartz Hydrogel Eye Patch [60ea]</t>
        </is>
      </c>
      <c r="B67" s="12" t="n">
        <v>89</v>
      </c>
      <c r="C67" s="13" t="n">
        <v>650.419</v>
      </c>
      <c r="D67" s="5" t="n">
        <v>2028</v>
      </c>
      <c r="E67" s="7" t="n"/>
      <c r="F67" s="7">
        <f>C67*E67</f>
        <v/>
      </c>
    </row>
    <row r="68" ht="15" customHeight="1" thickBot="1">
      <c r="A68" s="11" t="inlineStr">
        <is>
          <t>PETITFEE - Cacao Energizing Hydrogel Eye Patch [60ea] / Тонизирующие гидрогелевые патчи для глаз с экстрактом какао</t>
        </is>
      </c>
      <c r="B68" s="12" t="n">
        <v>72</v>
      </c>
      <c r="C68" s="13" t="n">
        <v>457.0059999999999</v>
      </c>
      <c r="D68" s="5" t="n">
        <v>2028</v>
      </c>
      <c r="E68" s="7" t="n"/>
      <c r="F68" s="7">
        <f>C68*E68</f>
        <v/>
      </c>
    </row>
    <row r="69" ht="15" customHeight="1" thickBot="1">
      <c r="A69" s="11" t="inlineStr">
        <is>
          <t>PETITFEE - Chamomile Lightening Hydrogel Eye Patch [60ea] / Успокаивающие гидрогелевые патчи для глаз с экстрактом ромашки</t>
        </is>
      </c>
      <c r="B69" s="12" t="n">
        <v>0</v>
      </c>
      <c r="C69" s="13" t="n">
        <v>457.0059999999999</v>
      </c>
      <c r="D69" s="5" t="n">
        <v>2028</v>
      </c>
      <c r="E69" s="7" t="n"/>
      <c r="F69" s="7">
        <f>C69*E69</f>
        <v/>
      </c>
    </row>
    <row r="70" ht="15" customHeight="1" thickBot="1">
      <c r="A70" s="11" t="inlineStr">
        <is>
          <t>PETITFEE - Gold &amp; EGF Hydrogel Eye &amp; Spot Patch [60ea]/ гидрогелевые патчи с золотом и EGF</t>
        </is>
      </c>
      <c r="B70" s="12" t="n">
        <v>0</v>
      </c>
      <c r="C70" s="13" t="n">
        <v>423.555</v>
      </c>
      <c r="D70" s="5" t="n">
        <v>2028</v>
      </c>
      <c r="E70" s="7" t="n"/>
      <c r="F70" s="7">
        <f>C70*E70</f>
        <v/>
      </c>
    </row>
    <row r="71" ht="15" customHeight="1" thickBot="1">
      <c r="A71" s="11" t="inlineStr">
        <is>
          <t>PETITFEE - Pink Vita Brightening Eye Patch [60ea] / Тканевые патчи для век увлажняющие</t>
        </is>
      </c>
      <c r="B71" s="12" t="n">
        <v>117</v>
      </c>
      <c r="C71" s="13" t="n">
        <v>535.359</v>
      </c>
      <c r="D71" s="5" t="n">
        <v>2028</v>
      </c>
      <c r="E71" s="7" t="n"/>
      <c r="F71" s="7">
        <f>C71*E71</f>
        <v/>
      </c>
    </row>
    <row r="72" ht="15" customHeight="1" thickBot="1">
      <c r="A72" s="11" t="inlineStr">
        <is>
          <t>PETITFEE - Black Pearl &amp; Gold Hydrogel Eye Patch [60ea] / Гидрогелевые патчи для глаз с черным жемчугом и золотом</t>
        </is>
      </c>
      <c r="B72" s="12" t="n">
        <v>216</v>
      </c>
      <c r="C72" s="13" t="n">
        <v>426.437</v>
      </c>
      <c r="D72" s="5" t="n">
        <v>2028</v>
      </c>
      <c r="E72" s="7" t="n"/>
      <c r="F72" s="7">
        <f>C72*E72</f>
        <v/>
      </c>
    </row>
    <row r="73" ht="15" customHeight="1" thickBot="1">
      <c r="A73" s="11" t="inlineStr">
        <is>
          <t>PETITFEE - Agave Cooling Hydrogel Eye Patch [60ea] / Охлаждающие гидрогелевые патчи для глаз с экстрактом агавы</t>
        </is>
      </c>
      <c r="B73" s="12" t="n">
        <v>360</v>
      </c>
      <c r="C73" s="13" t="n">
        <v>457.0059999999999</v>
      </c>
      <c r="D73" s="5" t="n">
        <v>2028</v>
      </c>
      <c r="E73" s="7" t="n"/>
      <c r="F73" s="7">
        <f>C73*E73</f>
        <v/>
      </c>
    </row>
    <row r="74" ht="15" customHeight="1" thickBot="1">
      <c r="A74" s="11" t="inlineStr">
        <is>
          <t>PETITFEE - Gold &amp; Snail Hydrogel Eye Patch [60ea] / Гидрогелевые патчи для глаз с золотом и улиткой</t>
        </is>
      </c>
      <c r="B74" s="12" t="n">
        <v>144</v>
      </c>
      <c r="C74" s="13" t="n">
        <v>457.0059999999999</v>
      </c>
      <c r="D74" s="5" t="n">
        <v>2028</v>
      </c>
      <c r="E74" s="7" t="n"/>
      <c r="F74" s="7">
        <f>C74*E74</f>
        <v/>
      </c>
    </row>
    <row r="75" ht="15" customHeight="1" thickBot="1">
      <c r="A75" s="11" t="inlineStr">
        <is>
          <t>PETITFEE - Gold Hydrogel Eye Patch [60ea] / гидрогелевые патчи для глаз с золотом</t>
        </is>
      </c>
      <c r="B75" s="12" t="n">
        <v>405</v>
      </c>
      <c r="C75" s="13" t="n">
        <v>457.0059999999999</v>
      </c>
      <c r="D75" s="5" t="n">
        <v>2028</v>
      </c>
      <c r="E75" s="7" t="n"/>
      <c r="F75" s="7">
        <f>C75*E75</f>
        <v/>
      </c>
    </row>
    <row r="76" ht="15" customHeight="1" thickBot="1">
      <c r="A76" s="11" t="inlineStr">
        <is>
          <t>PETITFEE - Black Pearl &amp; Gold Hydrogel Eye Patch [1 pairs]/ Гидрогелевые патчи для глаз с черным жемчугом и золотом 1 пара</t>
        </is>
      </c>
      <c r="B76" s="12" t="n">
        <v>320</v>
      </c>
      <c r="C76" s="13" t="n">
        <v>78.36399999999999</v>
      </c>
      <c r="D76" s="5" t="n">
        <v>2028</v>
      </c>
      <c r="E76" s="7" t="n"/>
      <c r="F76" s="7">
        <f>C76*E76</f>
        <v/>
      </c>
    </row>
    <row r="77" ht="15" customHeight="1" thickBot="1">
      <c r="A77" s="11" t="inlineStr">
        <is>
          <t>PETITFEE - Gold Hydrogel Eye Patch [1 Pairs] / гидрогелевые патчи для глаз с золотом 1 пара</t>
        </is>
      </c>
      <c r="B77" s="12" t="n">
        <v>428</v>
      </c>
      <c r="C77" s="13" t="n">
        <v>78.36399999999999</v>
      </c>
      <c r="D77" s="5" t="n">
        <v>2028</v>
      </c>
      <c r="E77" s="7" t="n"/>
      <c r="F77" s="7">
        <f>C77*E77</f>
        <v/>
      </c>
    </row>
    <row r="78" ht="15" customHeight="1" thickBot="1">
      <c r="A78" s="11" t="inlineStr">
        <is>
          <t>PETITFEE - Agave Cooling Hydrogel Face Mask [5pcs] / Охлаждающая гидрогелевая маска для лица с экстрактом агавы</t>
        </is>
      </c>
      <c r="B78" s="12" t="n">
        <v>600</v>
      </c>
      <c r="C78" s="13" t="n">
        <v>535.051</v>
      </c>
      <c r="D78" s="5" t="n">
        <v>2028</v>
      </c>
      <c r="E78" s="7" t="n"/>
      <c r="F78" s="7">
        <f>C78*E78</f>
        <v/>
      </c>
    </row>
    <row r="79" ht="15" customHeight="1" thickBot="1">
      <c r="A79" s="11" t="inlineStr">
        <is>
          <t>PETITFEE - Gold Hydrogel Mask Pack [5pcs] / Гидрогелевая маска для лица с золотом</t>
        </is>
      </c>
      <c r="B79" s="12" t="n">
        <v>390</v>
      </c>
      <c r="C79" s="13" t="n">
        <v>557.876</v>
      </c>
      <c r="D79" s="5" t="n">
        <v>2028</v>
      </c>
      <c r="E79" s="7" t="n"/>
      <c r="F79" s="7">
        <f>C79*E79</f>
        <v/>
      </c>
    </row>
    <row r="80" ht="15" customHeight="1" thickBot="1">
      <c r="A80" s="11" t="inlineStr">
        <is>
          <t>PETITFEE - Cacao Energizing Hydrogel Mask Pack [5pcs] / Тонизирующая гидрогелевая маска для лица с экстрактом какао</t>
        </is>
      </c>
      <c r="B80" s="12" t="n">
        <v>90</v>
      </c>
      <c r="C80" s="13" t="n">
        <v>546.546</v>
      </c>
      <c r="D80" s="5" t="n">
        <v>2028</v>
      </c>
      <c r="E80" s="7" t="n"/>
      <c r="F80" s="7">
        <f>C80*E80</f>
        <v/>
      </c>
    </row>
    <row r="81" ht="15" customHeight="1" thickBot="1">
      <c r="A81" s="11" t="inlineStr">
        <is>
          <t>PETITFEE - Artichoke Soothing Hydrogel Face Mask [5pcs] / Смягчающая гидрогелевая маска для лица с экстрактом артишока</t>
        </is>
      </c>
      <c r="B81" s="12" t="n">
        <v>60</v>
      </c>
      <c r="C81" s="13" t="n">
        <v>548.394</v>
      </c>
      <c r="D81" s="5" t="n">
        <v>2028</v>
      </c>
      <c r="E81" s="7" t="n"/>
      <c r="F81" s="7">
        <f>C81*E81</f>
        <v/>
      </c>
    </row>
    <row r="82" ht="15" customHeight="1" thickBot="1">
      <c r="A82" s="11" t="inlineStr">
        <is>
          <t>PETITFEE - Gold &amp; Snail Hydrogel Mask Pack [5pcs] / Гидрогелевая маска для лица с золотом и экстрактом улитки</t>
        </is>
      </c>
      <c r="B82" s="12" t="n">
        <v>150</v>
      </c>
      <c r="C82" s="13" t="n">
        <v>525.987</v>
      </c>
      <c r="D82" s="5" t="n">
        <v>2028</v>
      </c>
      <c r="E82" s="7" t="n"/>
      <c r="F82" s="7">
        <f>C82*E82</f>
        <v/>
      </c>
    </row>
    <row r="83" ht="15" customHeight="1" thickBot="1">
      <c r="A83" s="11" t="inlineStr">
        <is>
          <t>PETITFEE - Black Pearl &amp; Gold Hydrogel Mask Pack [5pcs] / Гидрогелевая маска для лица с черным жемчугом и золотом</t>
        </is>
      </c>
      <c r="B83" s="12" t="n">
        <v>90</v>
      </c>
      <c r="C83" s="13" t="n">
        <v>525.855</v>
      </c>
      <c r="D83" s="5" t="n">
        <v>2028</v>
      </c>
      <c r="E83" s="7" t="n"/>
      <c r="F83" s="7">
        <f>C83*E83</f>
        <v/>
      </c>
    </row>
    <row r="84" ht="15" customHeight="1" thickBot="1">
      <c r="A84" s="11" t="inlineStr">
        <is>
          <t>ROUND LAB 1025 DOKDO CLEANSER_150ml - Увлажняющая пенка для умывания лица</t>
        </is>
      </c>
      <c r="B84" s="12" t="inlineStr">
        <is>
          <t>7 126</t>
        </is>
      </c>
      <c r="C84" s="13" t="n">
        <v>509.509</v>
      </c>
      <c r="D84" s="5" t="n">
        <v>2028</v>
      </c>
      <c r="E84" s="7" t="n">
        <v>2800</v>
      </c>
      <c r="F84" s="7">
        <f>C84*E84</f>
        <v/>
      </c>
    </row>
    <row r="85" ht="15" customHeight="1" thickBot="1">
      <c r="A85" s="11" t="inlineStr">
        <is>
          <t>ROUND LAB BIRCH JUICE MOISTURIZING CREAM_80ml -Увлажняющий крем с березовым соком</t>
        </is>
      </c>
      <c r="B85" s="12" t="n">
        <v>259</v>
      </c>
      <c r="C85" s="13" t="n">
        <v>1202.256</v>
      </c>
      <c r="D85" s="5" t="n">
        <v>2028</v>
      </c>
      <c r="E85" s="7" t="n"/>
      <c r="F85" s="7">
        <f>C85*E85</f>
        <v/>
      </c>
    </row>
    <row r="86" ht="15" customHeight="1" thickBot="1">
      <c r="A86" s="11" t="inlineStr">
        <is>
          <t>ROUND LAB MUGWORT CALMING CLEANSER_150ml - Очищающая пенка для умывания лица от прыщей и акне</t>
        </is>
      </c>
      <c r="B86" s="12" t="inlineStr">
        <is>
          <t>1 422</t>
        </is>
      </c>
      <c r="C86" s="13" t="n">
        <v>563.552</v>
      </c>
      <c r="D86" s="5" t="n">
        <v>2028</v>
      </c>
      <c r="E86" s="7" t="n">
        <v>800</v>
      </c>
      <c r="F86" s="7">
        <f>C86*E86</f>
        <v/>
      </c>
    </row>
    <row r="87" ht="15" customHeight="1" thickBot="1">
      <c r="A87" s="11" t="inlineStr">
        <is>
          <t>ROUND LAB PINE CALMING CICA AMPOULE_30ml - Сыворотка для жирной кожи лица увлажняющая с центеллой</t>
        </is>
      </c>
      <c r="B87" s="12" t="n">
        <v>32</v>
      </c>
      <c r="C87" s="13" t="n">
        <v>901.692</v>
      </c>
      <c r="D87" s="5" t="n">
        <v>2028</v>
      </c>
      <c r="E87" s="7" t="n"/>
      <c r="F87" s="7">
        <f>C87*E87</f>
        <v/>
      </c>
    </row>
    <row r="88" ht="15" customHeight="1" thickBot="1">
      <c r="A88" s="11" t="inlineStr">
        <is>
          <t>ROUND LAB 1025 DOKDO TONER_200ml / Отшелушивающий тоник с морской водой</t>
        </is>
      </c>
      <c r="B88" s="12" t="n">
        <v>966</v>
      </c>
      <c r="C88" s="13" t="n">
        <v>533.423</v>
      </c>
      <c r="D88" s="5" t="n">
        <v>2028</v>
      </c>
      <c r="E88" s="7" t="n">
        <v>800</v>
      </c>
      <c r="F88" s="7">
        <f>C88*E88</f>
        <v/>
      </c>
    </row>
    <row r="89" ht="15" customHeight="1" thickBot="1">
      <c r="A89" s="11" t="inlineStr">
        <is>
          <t>SKIN1004 - Madagascar Centella Ampoule [30ml] / Сыворотка для лица успокаивающая из экстракта центеллы.</t>
        </is>
      </c>
      <c r="B89" s="12" t="n">
        <v>30</v>
      </c>
      <c r="C89" s="13" t="n">
        <v>404.679</v>
      </c>
      <c r="D89" s="5" t="inlineStr">
        <is>
          <t>09,2028</t>
        </is>
      </c>
      <c r="E89" s="7" t="n"/>
      <c r="F89" s="7">
        <f>C89*E89</f>
        <v/>
      </c>
    </row>
    <row r="90" ht="15" customHeight="1" thickBot="1">
      <c r="A90" s="11" t="inlineStr">
        <is>
          <t>SOME BY MI - AHA-BHA-PHA 30 Days Miracle Cream [60g] / Крем для лица</t>
        </is>
      </c>
      <c r="B90" s="12" t="n">
        <v>55</v>
      </c>
      <c r="C90" s="13" t="n">
        <v>1162.92</v>
      </c>
      <c r="D90" s="5" t="inlineStr">
        <is>
          <t>12,2026</t>
        </is>
      </c>
      <c r="E90" s="7" t="n"/>
      <c r="F90" s="7">
        <f>C90*E90</f>
        <v/>
      </c>
    </row>
    <row r="91" ht="15" customHeight="1" thickBot="1">
      <c r="A91" s="11" t="inlineStr">
        <is>
          <t>THE ORDINARY - Glycolic Acid 7% Toning Solution [KOR] [240ml] / Тоник с гликолевой кислотой 7%</t>
        </is>
      </c>
      <c r="B91" s="12" t="n">
        <v>31</v>
      </c>
      <c r="C91" s="13" t="n">
        <v>930.039</v>
      </c>
      <c r="D91" s="5" t="inlineStr">
        <is>
          <t>12,2026</t>
        </is>
      </c>
      <c r="E91" s="7" t="n"/>
      <c r="F91" s="7">
        <f>C91*E91</f>
        <v/>
      </c>
    </row>
    <row r="92" ht="15" customHeight="1" thickBot="1">
      <c r="A92" s="11" t="inlineStr">
        <is>
          <t>Celimax Dual Barrier Creamy Toner, тонер 150 мл</t>
        </is>
      </c>
      <c r="B92" s="12" t="inlineStr">
        <is>
          <t>4 520</t>
        </is>
      </c>
      <c r="C92" s="13" t="n">
        <v>730.246</v>
      </c>
      <c r="D92" s="5" t="n">
        <v>2028</v>
      </c>
      <c r="E92" s="7" t="n"/>
      <c r="F92" s="7">
        <f>C92*E92</f>
        <v/>
      </c>
    </row>
    <row r="93" ht="15" customHeight="1" thickBot="1">
      <c r="A93" s="11" t="inlineStr">
        <is>
          <t>CELIMAX THE VITA-A RETINAL SHOT TIGHTENING BOOSTER [15ml]/Подтягивающий бустер-крем с ретинолом для лица</t>
        </is>
      </c>
      <c r="B93" s="12" t="inlineStr">
        <is>
          <t>9 493</t>
        </is>
      </c>
      <c r="C93" s="13" t="n">
        <v>563.3979999999999</v>
      </c>
      <c r="D93" s="5" t="n">
        <v>2028</v>
      </c>
      <c r="E93" s="7" t="n">
        <v>8200</v>
      </c>
      <c r="F93" s="7">
        <f>C93*E93</f>
        <v/>
      </c>
    </row>
    <row r="94" ht="15" customHeight="1" thickBot="1">
      <c r="A94" s="11" t="inlineStr">
        <is>
          <t>CELIMAX THE VITA-A RETINOL SHOT TIGHTENING SERUM [30ml]/Сыворотка с ретинолом и микроиглами для лица</t>
        </is>
      </c>
      <c r="B94" s="12" t="inlineStr">
        <is>
          <t>3 112</t>
        </is>
      </c>
      <c r="C94" s="13" t="n">
        <v>585.3100000000001</v>
      </c>
      <c r="D94" s="5" t="n">
        <v>2028</v>
      </c>
      <c r="E94" s="7" t="n">
        <v>1000</v>
      </c>
      <c r="F94" s="7">
        <f>C94*E94</f>
        <v/>
      </c>
    </row>
    <row r="95" ht="15" customHeight="1" thickBot="1">
      <c r="A95" s="11" t="inlineStr">
        <is>
          <t>CELIMAX JI WOO GAE CICA BHA BLEMISH TONER PAD_10EA [30ml]/успокаивающие тонер-пэды</t>
        </is>
      </c>
      <c r="B95" s="12" t="n">
        <v>1000</v>
      </c>
      <c r="C95" s="13" t="n">
        <v>106.634</v>
      </c>
      <c r="D95" s="5" t="n">
        <v>2028</v>
      </c>
      <c r="E95" s="7" t="n"/>
      <c r="F95" s="7">
        <f>C95*E95</f>
        <v/>
      </c>
    </row>
    <row r="96" ht="15" customHeight="1" thickBot="1">
      <c r="A96" s="11" t="inlineStr">
        <is>
          <t>CELIMAX PORE+DARK SPOT BRIGHTENING CREAM [35ml]/Крем для выравнивания тона и рельефа кожи лица</t>
        </is>
      </c>
      <c r="B96" s="12" t="n">
        <v>13</v>
      </c>
      <c r="C96" s="13" t="n">
        <v>685.7729999999999</v>
      </c>
      <c r="D96" s="5" t="n">
        <v>2028</v>
      </c>
      <c r="E96" s="7" t="n"/>
      <c r="F96" s="7">
        <f>C96*E96</f>
        <v/>
      </c>
    </row>
    <row r="97" ht="15" customHeight="1" thickBot="1">
      <c r="A97" s="11" t="inlineStr">
        <is>
          <t>CELIMAX DUAL BARRIER SKIN WEARABLE CREAM [50ml]/Крем для восстановления защитного барьера кожи лица</t>
        </is>
      </c>
      <c r="B97" s="12" t="n">
        <v>90</v>
      </c>
      <c r="C97" s="13" t="n">
        <v>950.521</v>
      </c>
      <c r="D97" s="5" t="n">
        <v>12.2027</v>
      </c>
      <c r="E97" s="7" t="n"/>
      <c r="F97" s="7">
        <f>C97*E97</f>
        <v/>
      </c>
    </row>
    <row r="98" ht="15" customHeight="1" thickBot="1">
      <c r="A98" s="11" t="inlineStr">
        <is>
          <t>CELIMAX JI WOO GAE CICA BHA BLEMISH TONER PAD [170ml / 60pads]/Тонер-пэды от воспалений</t>
        </is>
      </c>
      <c r="B98" s="12" t="inlineStr">
        <is>
          <t>1 500</t>
        </is>
      </c>
      <c r="C98" s="13" t="n">
        <v>778.668</v>
      </c>
      <c r="D98" s="5" t="n">
        <v>2028</v>
      </c>
      <c r="E98" s="7" t="n">
        <v>800</v>
      </c>
      <c r="F98" s="7">
        <f>C98*E98</f>
        <v/>
      </c>
    </row>
    <row r="99" ht="15" customHeight="1" thickBot="1">
      <c r="A99" s="11" t="inlineStr">
        <is>
          <t>CELIMAX THE REAL NONI ENERGY AMPOULE_30ML (NEW) [30ml]/Восстанавливающая сыворотка с экстрактом нони для лица</t>
        </is>
      </c>
      <c r="B99" s="12" t="n">
        <v>57</v>
      </c>
      <c r="C99" s="13" t="n">
        <v>840.213</v>
      </c>
      <c r="D99" s="5" t="n">
        <v>2028</v>
      </c>
      <c r="E99" s="7" t="n"/>
      <c r="F99" s="7">
        <f>C99*E99</f>
        <v/>
      </c>
    </row>
    <row r="100" ht="15" customHeight="1" thickBot="1">
      <c r="A100" s="11" t="inlineStr">
        <is>
          <t>CELIMAX PORE+DARK SPOT BRIGHTENING PAD [100ml / 40pads]/Тонер-пэды для выравнивания тона и рельефа кожи</t>
        </is>
      </c>
      <c r="B100" s="12" t="inlineStr">
        <is>
          <t>1 375</t>
        </is>
      </c>
      <c r="C100" s="13" t="n">
        <v>611.798</v>
      </c>
      <c r="D100" s="5" t="n">
        <v>2028</v>
      </c>
      <c r="E100" s="7" t="n">
        <v>900</v>
      </c>
      <c r="F100" s="7">
        <f>C100*E100</f>
        <v/>
      </c>
    </row>
    <row r="101" ht="15" customHeight="1" thickBot="1">
      <c r="A101" s="11" t="inlineStr">
        <is>
          <t>CELIMAX PORE+DARK SPOT BRIGHTENING SERUM_30ml [30ml]/Сыворотка для выравнивания тона и рельефа кожи лица</t>
        </is>
      </c>
      <c r="B101" s="12" t="n">
        <v>70</v>
      </c>
      <c r="C101" s="13" t="n">
        <v>756.3380000000001</v>
      </c>
      <c r="D101" s="5" t="n">
        <v>11.2027</v>
      </c>
      <c r="E101" s="7" t="n"/>
      <c r="F101" s="7">
        <f>C101*E101</f>
        <v/>
      </c>
    </row>
    <row r="102" ht="15" customHeight="1" thickBot="1">
      <c r="A102" s="11" t="inlineStr">
        <is>
          <t>CELIMAX THE REAL NONI MOISTURE BALANCING TONER (NEW) [150ml]/Восстанавливающий тонер с экстрактом нони</t>
        </is>
      </c>
      <c r="B102" s="12" t="n">
        <v>23</v>
      </c>
      <c r="C102" s="13" t="n">
        <v>791.538</v>
      </c>
      <c r="D102" s="5" t="n">
        <v>2028</v>
      </c>
      <c r="E102" s="7" t="n"/>
      <c r="F102" s="7">
        <f>C102*E102</f>
        <v/>
      </c>
    </row>
    <row r="103" ht="15" customHeight="1" thickBot="1">
      <c r="A103" s="11" t="inlineStr">
        <is>
          <t>VT PDRN ESSENCE 100 / Укрепляющая бустер-эссенция с ПДРН</t>
        </is>
      </c>
      <c r="B103" s="12" t="inlineStr">
        <is>
          <t>1 009</t>
        </is>
      </c>
      <c r="C103" s="13" t="n">
        <v>1469.545</v>
      </c>
      <c r="D103" s="5" t="n">
        <v>2028</v>
      </c>
      <c r="E103" s="7" t="n">
        <v>500</v>
      </c>
      <c r="F103" s="7">
        <f>C103*E103</f>
        <v/>
      </c>
    </row>
    <row r="104" ht="15" customHeight="1" thickBot="1">
      <c r="A104" s="11" t="inlineStr">
        <is>
          <t>VT REEDLE SHOT 100 / Бустер-сыворотка с микроиглами</t>
        </is>
      </c>
      <c r="B104" s="12" t="n">
        <v>397</v>
      </c>
      <c r="C104" s="13" t="n">
        <v>1071.444</v>
      </c>
      <c r="D104" s="5" t="n">
        <v>2028</v>
      </c>
      <c r="E104" s="7" t="n"/>
      <c r="F104" s="7">
        <f>C104*E104</f>
        <v/>
      </c>
    </row>
    <row r="105">
      <c r="F105" s="2">
        <f>SUM(F3:F104)</f>
        <v/>
      </c>
    </row>
  </sheetData>
  <autoFilter ref="A1:F109"/>
  <pageMargins left="0.7" right="0.7" top="0.75" bottom="0.75" header="0.3" footer="0.3"/>
  <pageSetup orientation="portrait" paperSize="257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2026-08-05T12:44:14Z</dcterms:created>
  <dcterms:modified xmlns:dcterms="http://purl.org/dc/terms/" xmlns:xsi="http://www.w3.org/2001/XMLSchema-instance" xsi:type="dcterms:W3CDTF">2026-09-06T10:16:35Z</dcterms:modified>
  <cp:lastModifiedBy>PC</cp:lastModifiedBy>
  <cp:lastPrinted>2026-08-25T13:43:14Z</cp:lastPrinted>
</cp:coreProperties>
</file>
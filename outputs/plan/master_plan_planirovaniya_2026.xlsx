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Мастер-план" sheetId="2" state="visible" r:id="rId2"/>
    <sheet name="Инструкци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</font>
    <font>
      <i val="1"/>
      <color rgb="00C00000"/>
      <sz val="9"/>
    </font>
    <font>
      <b val="1"/>
      <color rgb="00FFFFFF"/>
      <sz val="8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8" customWidth="1" min="4" max="4"/>
  </cols>
  <sheetData>
    <row r="1">
      <c r="A1" s="1" t="inlineStr">
        <is>
          <t>ПАРАМЕТРЫ ПЛАНИРОВАНИЯ</t>
        </is>
      </c>
    </row>
    <row r="3">
      <c r="A3" s="2" t="inlineStr">
        <is>
          <t>Категория</t>
        </is>
      </c>
      <c r="B3" s="2" t="inlineStr">
        <is>
          <t>Срок поставки, мес</t>
        </is>
      </c>
      <c r="C3" s="2" t="inlineStr">
        <is>
          <t>Буфер, мес</t>
        </is>
      </c>
      <c r="D3" s="2" t="inlineStr">
        <is>
          <t>Целевой запас, мес</t>
        </is>
      </c>
    </row>
    <row r="4">
      <c r="A4" t="inlineStr">
        <is>
          <t>косметика</t>
        </is>
      </c>
      <c r="B4" s="3" t="n">
        <v>2</v>
      </c>
      <c r="C4" s="3" t="n">
        <v>1</v>
      </c>
      <c r="D4" s="3" t="n">
        <v>4</v>
      </c>
    </row>
    <row r="5">
      <c r="A5" t="inlineStr">
        <is>
          <t>НГ/Деды Морозы</t>
        </is>
      </c>
      <c r="B5" s="3" t="n">
        <v>2</v>
      </c>
      <c r="C5" s="3" t="n">
        <v>0</v>
      </c>
      <c r="D5" s="3" t="n">
        <v>0</v>
      </c>
    </row>
    <row r="6">
      <c r="A6" t="inlineStr">
        <is>
          <t>электроника</t>
        </is>
      </c>
      <c r="B6" s="3" t="n">
        <v>2</v>
      </c>
      <c r="C6" s="3" t="n">
        <v>1</v>
      </c>
      <c r="D6" s="3" t="n">
        <v>3</v>
      </c>
    </row>
    <row r="8">
      <c r="A8" s="4" t="inlineStr">
        <is>
          <t>Жёлтое — редактируешь. Целевой запас: сколько месяцев держать. НГ — сезонный, закупка только под сезон.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1" customWidth="1" min="3" max="3"/>
    <col width="14" customWidth="1" min="4" max="4"/>
    <col width="14" customWidth="1" min="5" max="5"/>
    <col width="8" customWidth="1" min="6" max="6"/>
    <col width="14" customWidth="1" min="7" max="7"/>
    <col width="11" customWidth="1" min="8" max="8"/>
    <col width="11" customWidth="1" min="9" max="9"/>
    <col width="9" customWidth="1" min="10" max="10"/>
    <col width="8" customWidth="1" min="11" max="11"/>
    <col width="13" customWidth="1" min="12" max="12"/>
    <col width="12" customWidth="1" min="13" max="13"/>
    <col width="14" customWidth="1" min="14" max="14"/>
    <col width="13" customWidth="1" min="15" max="15"/>
    <col width="14" customWidth="1" min="16" max="16"/>
    <col width="12" customWidth="1" min="17" max="17"/>
    <col width="11" customWidth="1" min="18" max="18"/>
    <col width="14" customWidth="1" min="19" max="19"/>
    <col width="11" customWidth="1" min="20" max="20"/>
    <col width="11" customWidth="1" min="21" max="21"/>
  </cols>
  <sheetData>
    <row r="1">
      <c r="A1" s="5" t="inlineStr">
        <is>
          <t>Категория</t>
        </is>
      </c>
      <c r="B1" s="5" t="inlineStr">
        <is>
          <t>Товар</t>
        </is>
      </c>
      <c r="C1" s="5" t="inlineStr">
        <is>
          <t>Арт Коротич</t>
        </is>
      </c>
      <c r="D1" s="5" t="inlineStr">
        <is>
          <t>Арт Крона</t>
        </is>
      </c>
      <c r="E1" s="5" t="inlineStr">
        <is>
          <t>Баркод</t>
        </is>
      </c>
      <c r="F1" s="5" t="inlineStr">
        <is>
          <t>Себес ₽</t>
        </is>
      </c>
      <c r="G1" s="5" t="inlineStr">
        <is>
          <t>Остаток склад (пул)</t>
        </is>
      </c>
      <c r="H1" s="5" t="inlineStr">
        <is>
          <t>Ост WB Коротич</t>
        </is>
      </c>
      <c r="I1" s="5" t="inlineStr">
        <is>
          <t>Ост WB Крона</t>
        </is>
      </c>
      <c r="J1" s="5" t="inlineStr">
        <is>
          <t>Ост Ozon</t>
        </is>
      </c>
      <c r="K1" s="5" t="inlineStr">
        <is>
          <t>В пути</t>
        </is>
      </c>
      <c r="L1" s="5" t="inlineStr">
        <is>
          <t>Прод/мес Коротич WB</t>
        </is>
      </c>
      <c r="M1" s="5" t="inlineStr">
        <is>
          <t>Прод/мес Крона WB</t>
        </is>
      </c>
      <c r="N1" s="5" t="inlineStr">
        <is>
          <t>Прод/мес Коротич Ozon</t>
        </is>
      </c>
      <c r="O1" s="5" t="inlineStr">
        <is>
          <t>Прод/мес Крона Ozon</t>
        </is>
      </c>
      <c r="P1" s="5" t="inlineStr">
        <is>
          <t>Спрос ИТОГО/мес</t>
        </is>
      </c>
      <c r="Q1" s="5" t="inlineStr">
        <is>
          <t>Доступно всего</t>
        </is>
      </c>
      <c r="R1" s="5" t="inlineStr">
        <is>
          <t>Покрытие мес</t>
        </is>
      </c>
      <c r="S1" s="5" t="inlineStr">
        <is>
          <t>Целевой запас мес</t>
        </is>
      </c>
      <c r="T1" s="5" t="inlineStr">
        <is>
          <t>К заказу шт</t>
        </is>
      </c>
      <c r="U1" s="5" t="inlineStr">
        <is>
          <t>Статус</t>
        </is>
      </c>
    </row>
    <row r="2">
      <c r="A2" s="6" t="inlineStr">
        <is>
          <t>НГ/Деды Морозы</t>
        </is>
      </c>
      <c r="B2" s="6" t="inlineStr">
        <is>
          <t>Дед Мороз (№1) красный с подарком за спиной</t>
        </is>
      </c>
      <c r="C2" s="6" t="n">
        <v>48905926</v>
      </c>
      <c r="D2" s="6" t="inlineStr">
        <is>
          <t>535617707</t>
        </is>
      </c>
      <c r="E2" s="6" t="inlineStr"/>
      <c r="F2" s="6" t="n">
        <v>292</v>
      </c>
      <c r="G2" s="6" t="n">
        <v>2579</v>
      </c>
      <c r="H2" s="7" t="inlineStr"/>
      <c r="I2" s="7" t="inlineStr"/>
      <c r="J2" s="7" t="inlineStr"/>
      <c r="K2" s="7" t="inlineStr"/>
      <c r="L2" s="6" t="n">
        <v>0</v>
      </c>
      <c r="M2" s="7" t="inlineStr"/>
      <c r="N2" s="7" t="inlineStr"/>
      <c r="O2" s="7" t="inlineStr"/>
      <c r="P2" s="8">
        <f>SUM(L2:O2)</f>
        <v/>
      </c>
      <c r="Q2" s="8">
        <f>G2+H2+I2+J2+K2</f>
        <v/>
      </c>
      <c r="R2" s="8">
        <f>IF(P2=0,"",ROUND(Q2/P2,1))</f>
        <v/>
      </c>
      <c r="S2" s="6">
        <f>IFERROR(VLOOKUP(A2,Параметры!$A$4:$D$6,4,FALSE),0)</f>
        <v/>
      </c>
      <c r="T2" s="8">
        <f>IF(P2=0,0,MAX(0,ROUND(P2*(2+1)-Q2,0)))</f>
        <v/>
      </c>
      <c r="U2" s="8">
        <f>IF(P2=0,"нет продаж",IF(R2="","",IF(R2&lt;3,"ГОРИТ",IF(R2&gt;12,"затоварен","норм"))))</f>
        <v/>
      </c>
    </row>
    <row r="3">
      <c r="A3" s="6" t="inlineStr">
        <is>
          <t>НГ/Деды Морозы</t>
        </is>
      </c>
      <c r="B3" s="6" t="inlineStr">
        <is>
          <t>Дед Мороз (№10) серый</t>
        </is>
      </c>
      <c r="C3" s="6" t="n">
        <v>103431810</v>
      </c>
      <c r="D3" s="6" t="inlineStr">
        <is>
          <t>535622291</t>
        </is>
      </c>
      <c r="E3" s="6" t="inlineStr"/>
      <c r="F3" s="6" t="n">
        <v>292</v>
      </c>
      <c r="G3" s="6" t="n">
        <v>1444</v>
      </c>
      <c r="H3" s="7" t="inlineStr"/>
      <c r="I3" s="7" t="inlineStr"/>
      <c r="J3" s="7" t="inlineStr"/>
      <c r="K3" s="7" t="inlineStr"/>
      <c r="L3" s="6" t="n">
        <v>0</v>
      </c>
      <c r="M3" s="7" t="inlineStr"/>
      <c r="N3" s="7" t="inlineStr"/>
      <c r="O3" s="7" t="inlineStr"/>
      <c r="P3" s="8">
        <f>SUM(L3:O3)</f>
        <v/>
      </c>
      <c r="Q3" s="8">
        <f>G3+H3+I3+J3+K3</f>
        <v/>
      </c>
      <c r="R3" s="8">
        <f>IF(P3=0,"",ROUND(Q3/P3,1))</f>
        <v/>
      </c>
      <c r="S3" s="6">
        <f>IFERROR(VLOOKUP(A3,Параметры!$A$4:$D$6,4,FALSE),0)</f>
        <v/>
      </c>
      <c r="T3" s="8">
        <f>IF(P3=0,0,MAX(0,ROUND(P3*(2+1)-Q3,0)))</f>
        <v/>
      </c>
      <c r="U3" s="8">
        <f>IF(P3=0,"нет продаж",IF(R3="","",IF(R3&lt;3,"ГОРИТ",IF(R3&gt;12,"затоварен","норм"))))</f>
        <v/>
      </c>
    </row>
    <row r="4">
      <c r="A4" s="6" t="inlineStr">
        <is>
          <t>НГ/Деды Морозы</t>
        </is>
      </c>
      <c r="B4" s="6" t="inlineStr">
        <is>
          <t>Дед Мороз (№11) в клетку</t>
        </is>
      </c>
      <c r="C4" s="6" t="n">
        <v>104590122</v>
      </c>
      <c r="D4" s="6" t="inlineStr">
        <is>
          <t>535622293</t>
        </is>
      </c>
      <c r="E4" s="6" t="inlineStr"/>
      <c r="F4" s="6" t="n">
        <v>292</v>
      </c>
      <c r="G4" s="6" t="n">
        <v>5430</v>
      </c>
      <c r="H4" s="7" t="inlineStr"/>
      <c r="I4" s="7" t="inlineStr"/>
      <c r="J4" s="7" t="inlineStr"/>
      <c r="K4" s="7" t="inlineStr"/>
      <c r="L4" s="6" t="n">
        <v>0</v>
      </c>
      <c r="M4" s="7" t="inlineStr"/>
      <c r="N4" s="7" t="inlineStr"/>
      <c r="O4" s="7" t="inlineStr"/>
      <c r="P4" s="8">
        <f>SUM(L4:O4)</f>
        <v/>
      </c>
      <c r="Q4" s="8">
        <f>G4+H4+I4+J4+K4</f>
        <v/>
      </c>
      <c r="R4" s="8">
        <f>IF(P4=0,"",ROUND(Q4/P4,1))</f>
        <v/>
      </c>
      <c r="S4" s="6">
        <f>IFERROR(VLOOKUP(A4,Параметры!$A$4:$D$6,4,FALSE),0)</f>
        <v/>
      </c>
      <c r="T4" s="8">
        <f>IF(P4=0,0,MAX(0,ROUND(P4*(2+1)-Q4,0)))</f>
        <v/>
      </c>
      <c r="U4" s="8">
        <f>IF(P4=0,"нет продаж",IF(R4="","",IF(R4&lt;3,"ГОРИТ",IF(R4&gt;12,"затоварен","норм"))))</f>
        <v/>
      </c>
    </row>
    <row r="5">
      <c r="A5" s="6" t="inlineStr">
        <is>
          <t>НГ/Деды Морозы</t>
        </is>
      </c>
      <c r="B5" s="6" t="inlineStr">
        <is>
          <t>Дед Мороз (№11) 45см клетка</t>
        </is>
      </c>
      <c r="C5" s="6" t="n">
        <v>555134309</v>
      </c>
      <c r="D5" s="6" t="inlineStr"/>
      <c r="E5" s="6" t="inlineStr"/>
      <c r="F5" s="6" t="n">
        <v>452</v>
      </c>
      <c r="G5" s="6" t="n">
        <v>1920</v>
      </c>
      <c r="H5" s="7" t="inlineStr"/>
      <c r="I5" s="7" t="inlineStr"/>
      <c r="J5" s="7" t="inlineStr"/>
      <c r="K5" s="7" t="inlineStr"/>
      <c r="L5" s="6" t="n">
        <v>0</v>
      </c>
      <c r="M5" s="7" t="inlineStr"/>
      <c r="N5" s="7" t="inlineStr"/>
      <c r="O5" s="7" t="inlineStr"/>
      <c r="P5" s="8">
        <f>SUM(L5:O5)</f>
        <v/>
      </c>
      <c r="Q5" s="8">
        <f>G5+H5+I5+J5+K5</f>
        <v/>
      </c>
      <c r="R5" s="8">
        <f>IF(P5=0,"",ROUND(Q5/P5,1))</f>
        <v/>
      </c>
      <c r="S5" s="6">
        <f>IFERROR(VLOOKUP(A5,Параметры!$A$4:$D$6,4,FALSE),0)</f>
        <v/>
      </c>
      <c r="T5" s="8">
        <f>IF(P5=0,0,MAX(0,ROUND(P5*(2+1)-Q5,0)))</f>
        <v/>
      </c>
      <c r="U5" s="8">
        <f>IF(P5=0,"нет продаж",IF(R5="","",IF(R5&lt;3,"ГОРИТ",IF(R5&gt;12,"затоварен","норм"))))</f>
        <v/>
      </c>
    </row>
    <row r="6">
      <c r="A6" s="6" t="inlineStr">
        <is>
          <t>НГ/Деды Морозы</t>
        </is>
      </c>
      <c r="B6" s="6" t="inlineStr">
        <is>
          <t>Дед Мороз (№11) 50см клетка</t>
        </is>
      </c>
      <c r="C6" s="6" t="n">
        <v>555135716</v>
      </c>
      <c r="D6" s="6" t="inlineStr"/>
      <c r="E6" s="6" t="inlineStr"/>
      <c r="F6" s="6" t="n">
        <v>507</v>
      </c>
      <c r="G6" s="6" t="n">
        <v>30</v>
      </c>
      <c r="H6" s="7" t="inlineStr"/>
      <c r="I6" s="7" t="inlineStr"/>
      <c r="J6" s="7" t="inlineStr"/>
      <c r="K6" s="7" t="inlineStr"/>
      <c r="L6" s="6" t="n">
        <v>0</v>
      </c>
      <c r="M6" s="7" t="inlineStr"/>
      <c r="N6" s="7" t="inlineStr"/>
      <c r="O6" s="7" t="inlineStr"/>
      <c r="P6" s="8">
        <f>SUM(L6:O6)</f>
        <v/>
      </c>
      <c r="Q6" s="8">
        <f>G6+H6+I6+J6+K6</f>
        <v/>
      </c>
      <c r="R6" s="8">
        <f>IF(P6=0,"",ROUND(Q6/P6,1))</f>
        <v/>
      </c>
      <c r="S6" s="6">
        <f>IFERROR(VLOOKUP(A6,Параметры!$A$4:$D$6,4,FALSE),0)</f>
        <v/>
      </c>
      <c r="T6" s="8">
        <f>IF(P6=0,0,MAX(0,ROUND(P6*(2+1)-Q6,0)))</f>
        <v/>
      </c>
      <c r="U6" s="8">
        <f>IF(P6=0,"нет продаж",IF(R6="","",IF(R6&lt;3,"ГОРИТ",IF(R6&gt;12,"затоварен","норм"))))</f>
        <v/>
      </c>
    </row>
    <row r="7">
      <c r="A7" s="6" t="inlineStr">
        <is>
          <t>НГ/Деды Морозы</t>
        </is>
      </c>
      <c r="B7" s="6" t="inlineStr">
        <is>
          <t>Дед Мороз (№11) 85см клетка</t>
        </is>
      </c>
      <c r="C7" s="6" t="n">
        <v>555169767</v>
      </c>
      <c r="D7" s="6" t="inlineStr"/>
      <c r="E7" s="6" t="inlineStr"/>
      <c r="F7" s="6" t="n">
        <v>1157</v>
      </c>
      <c r="G7" s="6" t="n">
        <v>5</v>
      </c>
      <c r="H7" s="7" t="inlineStr"/>
      <c r="I7" s="7" t="inlineStr"/>
      <c r="J7" s="7" t="inlineStr"/>
      <c r="K7" s="7" t="inlineStr"/>
      <c r="L7" s="6" t="n">
        <v>0</v>
      </c>
      <c r="M7" s="7" t="inlineStr"/>
      <c r="N7" s="7" t="inlineStr"/>
      <c r="O7" s="7" t="inlineStr"/>
      <c r="P7" s="8">
        <f>SUM(L7:O7)</f>
        <v/>
      </c>
      <c r="Q7" s="8">
        <f>G7+H7+I7+J7+K7</f>
        <v/>
      </c>
      <c r="R7" s="8">
        <f>IF(P7=0,"",ROUND(Q7/P7,1))</f>
        <v/>
      </c>
      <c r="S7" s="6">
        <f>IFERROR(VLOOKUP(A7,Параметры!$A$4:$D$6,4,FALSE),0)</f>
        <v/>
      </c>
      <c r="T7" s="8">
        <f>IF(P7=0,0,MAX(0,ROUND(P7*(2+1)-Q7,0)))</f>
        <v/>
      </c>
      <c r="U7" s="8">
        <f>IF(P7=0,"нет продаж",IF(R7="","",IF(R7&lt;3,"ГОРИТ",IF(R7&gt;12,"затоварен","норм"))))</f>
        <v/>
      </c>
    </row>
    <row r="8">
      <c r="A8" s="6" t="inlineStr">
        <is>
          <t>НГ/Деды Морозы</t>
        </is>
      </c>
      <c r="B8" s="6" t="inlineStr">
        <is>
          <t>Дед Мороз (№12) белый лыжи белые боты</t>
        </is>
      </c>
      <c r="C8" s="6" t="n">
        <v>103441912</v>
      </c>
      <c r="D8" s="6" t="inlineStr">
        <is>
          <t>535622295</t>
        </is>
      </c>
      <c r="E8" s="6" t="inlineStr"/>
      <c r="F8" s="6" t="n">
        <v>292</v>
      </c>
      <c r="G8" s="6" t="n">
        <v>3904</v>
      </c>
      <c r="H8" s="7" t="inlineStr"/>
      <c r="I8" s="7" t="inlineStr"/>
      <c r="J8" s="7" t="inlineStr"/>
      <c r="K8" s="7" t="inlineStr"/>
      <c r="L8" s="6" t="n">
        <v>0</v>
      </c>
      <c r="M8" s="7" t="inlineStr"/>
      <c r="N8" s="7" t="inlineStr"/>
      <c r="O8" s="7" t="inlineStr"/>
      <c r="P8" s="8">
        <f>SUM(L8:O8)</f>
        <v/>
      </c>
      <c r="Q8" s="8">
        <f>G8+H8+I8+J8+K8</f>
        <v/>
      </c>
      <c r="R8" s="8">
        <f>IF(P8=0,"",ROUND(Q8/P8,1))</f>
        <v/>
      </c>
      <c r="S8" s="6">
        <f>IFERROR(VLOOKUP(A8,Параметры!$A$4:$D$6,4,FALSE),0)</f>
        <v/>
      </c>
      <c r="T8" s="8">
        <f>IF(P8=0,0,MAX(0,ROUND(P8*(2+1)-Q8,0)))</f>
        <v/>
      </c>
      <c r="U8" s="8">
        <f>IF(P8=0,"нет продаж",IF(R8="","",IF(R8&lt;3,"ГОРИТ",IF(R8&gt;12,"затоварен","норм"))))</f>
        <v/>
      </c>
    </row>
    <row r="9">
      <c r="A9" s="6" t="inlineStr">
        <is>
          <t>НГ/Деды Морозы</t>
        </is>
      </c>
      <c r="B9" s="6" t="inlineStr">
        <is>
          <t>Дед Мороз (№13) белый лыжи черные боты</t>
        </is>
      </c>
      <c r="C9" s="6" t="n">
        <v>103442522</v>
      </c>
      <c r="D9" s="6" t="inlineStr">
        <is>
          <t>535622301</t>
        </is>
      </c>
      <c r="E9" s="6" t="inlineStr"/>
      <c r="F9" s="6" t="n">
        <v>292</v>
      </c>
      <c r="G9" s="6" t="n">
        <v>996</v>
      </c>
      <c r="H9" s="7" t="inlineStr"/>
      <c r="I9" s="7" t="inlineStr"/>
      <c r="J9" s="7" t="inlineStr"/>
      <c r="K9" s="7" t="inlineStr"/>
      <c r="L9" s="6" t="n">
        <v>0</v>
      </c>
      <c r="M9" s="7" t="inlineStr"/>
      <c r="N9" s="7" t="inlineStr"/>
      <c r="O9" s="7" t="inlineStr"/>
      <c r="P9" s="8">
        <f>SUM(L9:O9)</f>
        <v/>
      </c>
      <c r="Q9" s="8">
        <f>G9+H9+I9+J9+K9</f>
        <v/>
      </c>
      <c r="R9" s="8">
        <f>IF(P9=0,"",ROUND(Q9/P9,1))</f>
        <v/>
      </c>
      <c r="S9" s="6">
        <f>IFERROR(VLOOKUP(A9,Параметры!$A$4:$D$6,4,FALSE),0)</f>
        <v/>
      </c>
      <c r="T9" s="8">
        <f>IF(P9=0,0,MAX(0,ROUND(P9*(2+1)-Q9,0)))</f>
        <v/>
      </c>
      <c r="U9" s="8">
        <f>IF(P9=0,"нет продаж",IF(R9="","",IF(R9&lt;3,"ГОРИТ",IF(R9&gt;12,"затоварен","норм"))))</f>
        <v/>
      </c>
    </row>
    <row r="10">
      <c r="A10" s="6" t="inlineStr">
        <is>
          <t>НГ/Деды Морозы</t>
        </is>
      </c>
      <c r="B10" s="6" t="inlineStr">
        <is>
          <t>Дед Мороз (№3) красный с мишкой</t>
        </is>
      </c>
      <c r="C10" s="6" t="n">
        <v>48906308</v>
      </c>
      <c r="D10" s="6" t="inlineStr">
        <is>
          <t>535622280</t>
        </is>
      </c>
      <c r="E10" s="6" t="inlineStr"/>
      <c r="F10" s="6" t="n">
        <v>292</v>
      </c>
      <c r="G10" s="6" t="n">
        <v>3506</v>
      </c>
      <c r="H10" s="7" t="inlineStr"/>
      <c r="I10" s="7" t="inlineStr"/>
      <c r="J10" s="7" t="inlineStr"/>
      <c r="K10" s="7" t="inlineStr"/>
      <c r="L10" s="6" t="n">
        <v>0</v>
      </c>
      <c r="M10" s="7" t="inlineStr"/>
      <c r="N10" s="7" t="inlineStr"/>
      <c r="O10" s="7" t="inlineStr"/>
      <c r="P10" s="8">
        <f>SUM(L10:O10)</f>
        <v/>
      </c>
      <c r="Q10" s="8">
        <f>G10+H10+I10+J10+K10</f>
        <v/>
      </c>
      <c r="R10" s="8">
        <f>IF(P10=0,"",ROUND(Q10/P10,1))</f>
        <v/>
      </c>
      <c r="S10" s="6">
        <f>IFERROR(VLOOKUP(A10,Параметры!$A$4:$D$6,4,FALSE),0)</f>
        <v/>
      </c>
      <c r="T10" s="8">
        <f>IF(P10=0,0,MAX(0,ROUND(P10*(2+1)-Q10,0)))</f>
        <v/>
      </c>
      <c r="U10" s="8">
        <f>IF(P10=0,"нет продаж",IF(R10="","",IF(R10&lt;3,"ГОРИТ",IF(R10&gt;12,"затоварен","норм"))))</f>
        <v/>
      </c>
    </row>
    <row r="11">
      <c r="A11" s="6" t="inlineStr">
        <is>
          <t>НГ/Деды Морозы</t>
        </is>
      </c>
      <c r="B11" s="6" t="inlineStr">
        <is>
          <t>Дед Мороз (№3) 45см с мишкой</t>
        </is>
      </c>
      <c r="C11" s="6" t="n">
        <v>555204573</v>
      </c>
      <c r="D11" s="6" t="inlineStr"/>
      <c r="E11" s="6" t="inlineStr"/>
      <c r="F11" s="6" t="n">
        <v>452</v>
      </c>
      <c r="G11" s="6" t="n">
        <v>1421</v>
      </c>
      <c r="H11" s="7" t="inlineStr"/>
      <c r="I11" s="7" t="inlineStr"/>
      <c r="J11" s="7" t="inlineStr"/>
      <c r="K11" s="7" t="inlineStr"/>
      <c r="L11" s="6" t="n">
        <v>0</v>
      </c>
      <c r="M11" s="7" t="inlineStr"/>
      <c r="N11" s="7" t="inlineStr"/>
      <c r="O11" s="7" t="inlineStr"/>
      <c r="P11" s="8">
        <f>SUM(L11:O11)</f>
        <v/>
      </c>
      <c r="Q11" s="8">
        <f>G11+H11+I11+J11+K11</f>
        <v/>
      </c>
      <c r="R11" s="8">
        <f>IF(P11=0,"",ROUND(Q11/P11,1))</f>
        <v/>
      </c>
      <c r="S11" s="6">
        <f>IFERROR(VLOOKUP(A11,Параметры!$A$4:$D$6,4,FALSE),0)</f>
        <v/>
      </c>
      <c r="T11" s="8">
        <f>IF(P11=0,0,MAX(0,ROUND(P11*(2+1)-Q11,0)))</f>
        <v/>
      </c>
      <c r="U11" s="8">
        <f>IF(P11=0,"нет продаж",IF(R11="","",IF(R11&lt;3,"ГОРИТ",IF(R11&gt;12,"затоварен","норм"))))</f>
        <v/>
      </c>
    </row>
    <row r="12">
      <c r="A12" s="6" t="inlineStr">
        <is>
          <t>НГ/Деды Морозы</t>
        </is>
      </c>
      <c r="B12" s="6" t="inlineStr">
        <is>
          <t>Дед Мороз (№3) 50см с мишкой</t>
        </is>
      </c>
      <c r="C12" s="6" t="n">
        <v>555208894</v>
      </c>
      <c r="D12" s="6" t="inlineStr"/>
      <c r="E12" s="6" t="inlineStr"/>
      <c r="F12" s="6" t="n">
        <v>507</v>
      </c>
      <c r="G12" s="6" t="n">
        <v>60</v>
      </c>
      <c r="H12" s="7" t="inlineStr"/>
      <c r="I12" s="7" t="inlineStr"/>
      <c r="J12" s="7" t="inlineStr"/>
      <c r="K12" s="7" t="inlineStr"/>
      <c r="L12" s="6" t="n">
        <v>0</v>
      </c>
      <c r="M12" s="7" t="inlineStr"/>
      <c r="N12" s="7" t="inlineStr"/>
      <c r="O12" s="7" t="inlineStr"/>
      <c r="P12" s="8">
        <f>SUM(L12:O12)</f>
        <v/>
      </c>
      <c r="Q12" s="8">
        <f>G12+H12+I12+J12+K12</f>
        <v/>
      </c>
      <c r="R12" s="8">
        <f>IF(P12=0,"",ROUND(Q12/P12,1))</f>
        <v/>
      </c>
      <c r="S12" s="6">
        <f>IFERROR(VLOOKUP(A12,Параметры!$A$4:$D$6,4,FALSE),0)</f>
        <v/>
      </c>
      <c r="T12" s="8">
        <f>IF(P12=0,0,MAX(0,ROUND(P12*(2+1)-Q12,0)))</f>
        <v/>
      </c>
      <c r="U12" s="8">
        <f>IF(P12=0,"нет продаж",IF(R12="","",IF(R12&lt;3,"ГОРИТ",IF(R12&gt;12,"затоварен","норм"))))</f>
        <v/>
      </c>
    </row>
    <row r="13">
      <c r="A13" s="6" t="inlineStr">
        <is>
          <t>НГ/Деды Морозы</t>
        </is>
      </c>
      <c r="B13" s="6" t="inlineStr">
        <is>
          <t>Дед Мороз (№5) красный с подарком в руке</t>
        </is>
      </c>
      <c r="C13" s="6" t="n">
        <v>48906952</v>
      </c>
      <c r="D13" s="6" t="inlineStr">
        <is>
          <t>535622285</t>
        </is>
      </c>
      <c r="E13" s="6" t="inlineStr"/>
      <c r="F13" s="6" t="n">
        <v>314</v>
      </c>
      <c r="G13" s="6" t="n">
        <v>4431</v>
      </c>
      <c r="H13" s="7" t="inlineStr"/>
      <c r="I13" s="7" t="inlineStr"/>
      <c r="J13" s="7" t="inlineStr"/>
      <c r="K13" s="7" t="inlineStr"/>
      <c r="L13" s="6" t="n">
        <v>0</v>
      </c>
      <c r="M13" s="7" t="inlineStr"/>
      <c r="N13" s="7" t="inlineStr"/>
      <c r="O13" s="7" t="inlineStr"/>
      <c r="P13" s="8">
        <f>SUM(L13:O13)</f>
        <v/>
      </c>
      <c r="Q13" s="8">
        <f>G13+H13+I13+J13+K13</f>
        <v/>
      </c>
      <c r="R13" s="8">
        <f>IF(P13=0,"",ROUND(Q13/P13,1))</f>
        <v/>
      </c>
      <c r="S13" s="6">
        <f>IFERROR(VLOOKUP(A13,Параметры!$A$4:$D$6,4,FALSE),0)</f>
        <v/>
      </c>
      <c r="T13" s="8">
        <f>IF(P13=0,0,MAX(0,ROUND(P13*(2+1)-Q13,0)))</f>
        <v/>
      </c>
      <c r="U13" s="8">
        <f>IF(P13=0,"нет продаж",IF(R13="","",IF(R13&lt;3,"ГОРИТ",IF(R13&gt;12,"затоварен","норм"))))</f>
        <v/>
      </c>
    </row>
    <row r="14">
      <c r="A14" s="6" t="inlineStr">
        <is>
          <t>НГ/Деды Морозы</t>
        </is>
      </c>
      <c r="B14" s="6" t="inlineStr">
        <is>
          <t>Дед Мороз (№5) 45см с подарком</t>
        </is>
      </c>
      <c r="C14" s="6" t="n">
        <v>555212357</v>
      </c>
      <c r="D14" s="6" t="inlineStr"/>
      <c r="E14" s="6" t="inlineStr"/>
      <c r="F14" s="6" t="n">
        <v>452</v>
      </c>
      <c r="G14" s="6" t="n">
        <v>1188</v>
      </c>
      <c r="H14" s="7" t="inlineStr"/>
      <c r="I14" s="7" t="inlineStr"/>
      <c r="J14" s="7" t="inlineStr"/>
      <c r="K14" s="7" t="inlineStr"/>
      <c r="L14" s="6" t="n">
        <v>0</v>
      </c>
      <c r="M14" s="7" t="inlineStr"/>
      <c r="N14" s="7" t="inlineStr"/>
      <c r="O14" s="7" t="inlineStr"/>
      <c r="P14" s="8">
        <f>SUM(L14:O14)</f>
        <v/>
      </c>
      <c r="Q14" s="8">
        <f>G14+H14+I14+J14+K14</f>
        <v/>
      </c>
      <c r="R14" s="8">
        <f>IF(P14=0,"",ROUND(Q14/P14,1))</f>
        <v/>
      </c>
      <c r="S14" s="6">
        <f>IFERROR(VLOOKUP(A14,Параметры!$A$4:$D$6,4,FALSE),0)</f>
        <v/>
      </c>
      <c r="T14" s="8">
        <f>IF(P14=0,0,MAX(0,ROUND(P14*(2+1)-Q14,0)))</f>
        <v/>
      </c>
      <c r="U14" s="8">
        <f>IF(P14=0,"нет продаж",IF(R14="","",IF(R14&lt;3,"ГОРИТ",IF(R14&gt;12,"затоварен","норм"))))</f>
        <v/>
      </c>
    </row>
    <row r="15">
      <c r="A15" s="6" t="inlineStr">
        <is>
          <t>НГ/Деды Морозы</t>
        </is>
      </c>
      <c r="B15" s="6" t="inlineStr">
        <is>
          <t>Дед Мороз (№5) 50см с подарком</t>
        </is>
      </c>
      <c r="C15" s="6" t="n">
        <v>555213580</v>
      </c>
      <c r="D15" s="6" t="inlineStr"/>
      <c r="E15" s="6" t="inlineStr"/>
      <c r="F15" s="6" t="n">
        <v>507</v>
      </c>
      <c r="G15" s="6" t="n">
        <v>200</v>
      </c>
      <c r="H15" s="7" t="inlineStr"/>
      <c r="I15" s="7" t="inlineStr"/>
      <c r="J15" s="7" t="inlineStr"/>
      <c r="K15" s="7" t="inlineStr"/>
      <c r="L15" s="6" t="n">
        <v>0</v>
      </c>
      <c r="M15" s="7" t="inlineStr"/>
      <c r="N15" s="7" t="inlineStr"/>
      <c r="O15" s="7" t="inlineStr"/>
      <c r="P15" s="8">
        <f>SUM(L15:O15)</f>
        <v/>
      </c>
      <c r="Q15" s="8">
        <f>G15+H15+I15+J15+K15</f>
        <v/>
      </c>
      <c r="R15" s="8">
        <f>IF(P15=0,"",ROUND(Q15/P15,1))</f>
        <v/>
      </c>
      <c r="S15" s="6">
        <f>IFERROR(VLOOKUP(A15,Параметры!$A$4:$D$6,4,FALSE),0)</f>
        <v/>
      </c>
      <c r="T15" s="8">
        <f>IF(P15=0,0,MAX(0,ROUND(P15*(2+1)-Q15,0)))</f>
        <v/>
      </c>
      <c r="U15" s="8">
        <f>IF(P15=0,"нет продаж",IF(R15="","",IF(R15&lt;3,"ГОРИТ",IF(R15&gt;12,"затоварен","норм"))))</f>
        <v/>
      </c>
    </row>
    <row r="16">
      <c r="A16" s="6" t="inlineStr">
        <is>
          <t>НГ/Деды Морозы</t>
        </is>
      </c>
      <c r="B16" s="6" t="inlineStr">
        <is>
          <t>Дед Мороз (№6) блестящий</t>
        </is>
      </c>
      <c r="C16" s="6" t="n">
        <v>48908708</v>
      </c>
      <c r="D16" s="6" t="inlineStr">
        <is>
          <t>535622287</t>
        </is>
      </c>
      <c r="E16" s="6" t="inlineStr"/>
      <c r="F16" s="6" t="n">
        <v>292</v>
      </c>
      <c r="G16" s="6" t="n">
        <v>1519</v>
      </c>
      <c r="H16" s="7" t="inlineStr"/>
      <c r="I16" s="7" t="inlineStr"/>
      <c r="J16" s="7" t="inlineStr"/>
      <c r="K16" s="7" t="inlineStr"/>
      <c r="L16" s="6" t="n">
        <v>0</v>
      </c>
      <c r="M16" s="7" t="inlineStr"/>
      <c r="N16" s="7" t="inlineStr"/>
      <c r="O16" s="7" t="inlineStr"/>
      <c r="P16" s="8">
        <f>SUM(L16:O16)</f>
        <v/>
      </c>
      <c r="Q16" s="8">
        <f>G16+H16+I16+J16+K16</f>
        <v/>
      </c>
      <c r="R16" s="8">
        <f>IF(P16=0,"",ROUND(Q16/P16,1))</f>
        <v/>
      </c>
      <c r="S16" s="6">
        <f>IFERROR(VLOOKUP(A16,Параметры!$A$4:$D$6,4,FALSE),0)</f>
        <v/>
      </c>
      <c r="T16" s="8">
        <f>IF(P16=0,0,MAX(0,ROUND(P16*(2+1)-Q16,0)))</f>
        <v/>
      </c>
      <c r="U16" s="8">
        <f>IF(P16=0,"нет продаж",IF(R16="","",IF(R16&lt;3,"ГОРИТ",IF(R16&gt;12,"затоварен","норм"))))</f>
        <v/>
      </c>
    </row>
    <row r="17">
      <c r="A17" s="6" t="inlineStr">
        <is>
          <t>НГ/Деды Морозы</t>
        </is>
      </c>
      <c r="B17" s="6" t="inlineStr">
        <is>
          <t>Дед Мороз (№9) красный рябь</t>
        </is>
      </c>
      <c r="C17" s="6" t="n">
        <v>103431353</v>
      </c>
      <c r="D17" s="6" t="inlineStr">
        <is>
          <t>535622289</t>
        </is>
      </c>
      <c r="E17" s="6" t="inlineStr"/>
      <c r="F17" s="6" t="n">
        <v>292</v>
      </c>
      <c r="G17" s="6" t="n">
        <v>1290</v>
      </c>
      <c r="H17" s="7" t="inlineStr"/>
      <c r="I17" s="7" t="inlineStr"/>
      <c r="J17" s="7" t="inlineStr"/>
      <c r="K17" s="7" t="inlineStr"/>
      <c r="L17" s="6" t="n">
        <v>0</v>
      </c>
      <c r="M17" s="7" t="inlineStr"/>
      <c r="N17" s="7" t="inlineStr"/>
      <c r="O17" s="7" t="inlineStr"/>
      <c r="P17" s="8">
        <f>SUM(L17:O17)</f>
        <v/>
      </c>
      <c r="Q17" s="8">
        <f>G17+H17+I17+J17+K17</f>
        <v/>
      </c>
      <c r="R17" s="8">
        <f>IF(P17=0,"",ROUND(Q17/P17,1))</f>
        <v/>
      </c>
      <c r="S17" s="6">
        <f>IFERROR(VLOOKUP(A17,Параметры!$A$4:$D$6,4,FALSE),0)</f>
        <v/>
      </c>
      <c r="T17" s="8">
        <f>IF(P17=0,0,MAX(0,ROUND(P17*(2+1)-Q17,0)))</f>
        <v/>
      </c>
      <c r="U17" s="8">
        <f>IF(P17=0,"нет продаж",IF(R17="","",IF(R17&lt;3,"ГОРИТ",IF(R17&gt;12,"затоварен","норм"))))</f>
        <v/>
      </c>
    </row>
    <row r="18">
      <c r="A18" s="6" t="inlineStr">
        <is>
          <t>НГ/Деды Морозы</t>
        </is>
      </c>
      <c r="B18" s="6" t="inlineStr">
        <is>
          <t>СГ-Белая с узорами</t>
        </is>
      </c>
      <c r="C18" s="6" t="n">
        <v>190314124</v>
      </c>
      <c r="D18" s="6" t="inlineStr"/>
      <c r="E18" s="6" t="inlineStr"/>
      <c r="F18" s="6" t="n">
        <v>304</v>
      </c>
      <c r="G18" s="6" t="n">
        <v>717</v>
      </c>
      <c r="H18" s="7" t="inlineStr"/>
      <c r="I18" s="7" t="inlineStr"/>
      <c r="J18" s="7" t="inlineStr"/>
      <c r="K18" s="7" t="inlineStr"/>
      <c r="L18" s="6" t="n">
        <v>0</v>
      </c>
      <c r="M18" s="7" t="inlineStr"/>
      <c r="N18" s="7" t="inlineStr"/>
      <c r="O18" s="7" t="inlineStr"/>
      <c r="P18" s="8">
        <f>SUM(L18:O18)</f>
        <v/>
      </c>
      <c r="Q18" s="8">
        <f>G18+H18+I18+J18+K18</f>
        <v/>
      </c>
      <c r="R18" s="8">
        <f>IF(P18=0,"",ROUND(Q18/P18,1))</f>
        <v/>
      </c>
      <c r="S18" s="6">
        <f>IFERROR(VLOOKUP(A18,Параметры!$A$4:$D$6,4,FALSE),0)</f>
        <v/>
      </c>
      <c r="T18" s="8">
        <f>IF(P18=0,0,MAX(0,ROUND(P18*(2+1)-Q18,0)))</f>
        <v/>
      </c>
      <c r="U18" s="8">
        <f>IF(P18=0,"нет продаж",IF(R18="","",IF(R18&lt;3,"ГОРИТ",IF(R18&gt;12,"затоварен","норм"))))</f>
        <v/>
      </c>
    </row>
    <row r="19">
      <c r="A19" s="6" t="inlineStr">
        <is>
          <t>НГ/Деды Морозы</t>
        </is>
      </c>
      <c r="B19" s="6" t="inlineStr">
        <is>
          <t>СГ-Красная</t>
        </is>
      </c>
      <c r="C19" s="6" t="n">
        <v>190314349</v>
      </c>
      <c r="D19" s="6" t="inlineStr"/>
      <c r="E19" s="6" t="inlineStr"/>
      <c r="F19" s="6" t="n">
        <v>304</v>
      </c>
      <c r="G19" s="6" t="n">
        <v>212</v>
      </c>
      <c r="H19" s="7" t="inlineStr"/>
      <c r="I19" s="7" t="inlineStr"/>
      <c r="J19" s="7" t="inlineStr"/>
      <c r="K19" s="7" t="inlineStr"/>
      <c r="L19" s="6" t="n">
        <v>0</v>
      </c>
      <c r="M19" s="7" t="inlineStr"/>
      <c r="N19" s="7" t="inlineStr"/>
      <c r="O19" s="7" t="inlineStr"/>
      <c r="P19" s="8">
        <f>SUM(L19:O19)</f>
        <v/>
      </c>
      <c r="Q19" s="8">
        <f>G19+H19+I19+J19+K19</f>
        <v/>
      </c>
      <c r="R19" s="8">
        <f>IF(P19=0,"",ROUND(Q19/P19,1))</f>
        <v/>
      </c>
      <c r="S19" s="6">
        <f>IFERROR(VLOOKUP(A19,Параметры!$A$4:$D$6,4,FALSE),0)</f>
        <v/>
      </c>
      <c r="T19" s="8">
        <f>IF(P19=0,0,MAX(0,ROUND(P19*(2+1)-Q19,0)))</f>
        <v/>
      </c>
      <c r="U19" s="8">
        <f>IF(P19=0,"нет продаж",IF(R19="","",IF(R19&lt;3,"ГОРИТ",IF(R19&gt;12,"затоварен","норм"))))</f>
        <v/>
      </c>
    </row>
    <row r="20">
      <c r="A20" s="6" t="inlineStr">
        <is>
          <t>косметика</t>
        </is>
      </c>
      <c r="B20" s="6" t="inlineStr">
        <is>
          <t>ENOUGH - Collagen Moisture Essential Cream [50ml] / Увлажняющий крем для лица с коллагеном</t>
        </is>
      </c>
      <c r="C20" s="6" t="n">
        <v>238415286</v>
      </c>
      <c r="D20" s="6" t="inlineStr"/>
      <c r="E20" s="6" t="inlineStr">
        <is>
          <t>20404410893540</t>
        </is>
      </c>
      <c r="F20" s="6" t="n">
        <v>161</v>
      </c>
      <c r="G20" s="6" t="n">
        <v>6400</v>
      </c>
      <c r="H20" s="7" t="inlineStr"/>
      <c r="I20" s="7" t="inlineStr"/>
      <c r="J20" s="7" t="inlineStr"/>
      <c r="K20" s="7" t="inlineStr"/>
      <c r="L20" s="6" t="n">
        <v>840.8</v>
      </c>
      <c r="M20" s="7" t="inlineStr"/>
      <c r="N20" s="7" t="inlineStr"/>
      <c r="O20" s="7" t="inlineStr"/>
      <c r="P20" s="8">
        <f>SUM(L20:O20)</f>
        <v/>
      </c>
      <c r="Q20" s="8">
        <f>G20+H20+I20+J20+K20</f>
        <v/>
      </c>
      <c r="R20" s="8">
        <f>IF(P20=0,"",ROUND(Q20/P20,1))</f>
        <v/>
      </c>
      <c r="S20" s="6">
        <f>IFERROR(VLOOKUP(A20,Параметры!$A$4:$D$6,4,FALSE),0)</f>
        <v/>
      </c>
      <c r="T20" s="8">
        <f>IF(P20=0,0,MAX(0,ROUND(P20*(2+1)-Q20,0)))</f>
        <v/>
      </c>
      <c r="U20" s="8">
        <f>IF(P20=0,"нет продаж",IF(R20="","",IF(R20&lt;3,"ГОРИТ",IF(R20&gt;12,"затоварен","норм"))))</f>
        <v/>
      </c>
    </row>
    <row r="21">
      <c r="A21" s="6" t="inlineStr">
        <is>
          <t>косметика</t>
        </is>
      </c>
      <c r="B21" s="6" t="inlineStr">
        <is>
          <t>Celimax Dual Barrier Creamy Toner, тонер 150 мл</t>
        </is>
      </c>
      <c r="C21" s="6" t="n">
        <v>868516027</v>
      </c>
      <c r="D21" s="6" t="inlineStr"/>
      <c r="E21" s="6" t="inlineStr">
        <is>
          <t>20494769231520</t>
        </is>
      </c>
      <c r="F21" s="6" t="n">
        <v>664</v>
      </c>
      <c r="G21" s="6" t="n">
        <v>15980</v>
      </c>
      <c r="H21" s="7" t="inlineStr"/>
      <c r="I21" s="7" t="inlineStr"/>
      <c r="J21" s="7" t="inlineStr"/>
      <c r="K21" s="7" t="inlineStr"/>
      <c r="L21" s="6" t="n">
        <v>462.7</v>
      </c>
      <c r="M21" s="7" t="inlineStr"/>
      <c r="N21" s="7" t="inlineStr"/>
      <c r="O21" s="7" t="inlineStr"/>
      <c r="P21" s="8">
        <f>SUM(L21:O21)</f>
        <v/>
      </c>
      <c r="Q21" s="8">
        <f>G21+H21+I21+J21+K21</f>
        <v/>
      </c>
      <c r="R21" s="8">
        <f>IF(P21=0,"",ROUND(Q21/P21,1))</f>
        <v/>
      </c>
      <c r="S21" s="6">
        <f>IFERROR(VLOOKUP(A21,Параметры!$A$4:$D$6,4,FALSE),0)</f>
        <v/>
      </c>
      <c r="T21" s="8">
        <f>IF(P21=0,0,MAX(0,ROUND(P21*(2+1)-Q21,0)))</f>
        <v/>
      </c>
      <c r="U21" s="8">
        <f>IF(P21=0,"нет продаж",IF(R21="","",IF(R21&lt;3,"ГОРИТ",IF(R21&gt;12,"затоварен","норм"))))</f>
        <v/>
      </c>
    </row>
    <row r="22">
      <c r="A22" s="6" t="inlineStr">
        <is>
          <t>косметика</t>
        </is>
      </c>
      <c r="B22" s="6" t="inlineStr">
        <is>
          <t>ROUND LAB 1025 DOKDO CLEANSER_150ml - Увлажняющая пенка для умывания лица</t>
        </is>
      </c>
      <c r="C22" s="6" t="n">
        <v>437154709</v>
      </c>
      <c r="D22" s="6" t="inlineStr"/>
      <c r="E22" s="6" t="inlineStr">
        <is>
          <t>20443216637880</t>
        </is>
      </c>
      <c r="F22" s="6" t="n">
        <v>463</v>
      </c>
      <c r="G22" s="6" t="n">
        <v>5499</v>
      </c>
      <c r="H22" s="7" t="inlineStr"/>
      <c r="I22" s="7" t="inlineStr"/>
      <c r="J22" s="7" t="inlineStr"/>
      <c r="K22" s="7" t="inlineStr"/>
      <c r="L22" s="6" t="n">
        <v>460.6</v>
      </c>
      <c r="M22" s="7" t="inlineStr"/>
      <c r="N22" s="7" t="inlineStr"/>
      <c r="O22" s="7" t="inlineStr"/>
      <c r="P22" s="8">
        <f>SUM(L22:O22)</f>
        <v/>
      </c>
      <c r="Q22" s="8">
        <f>G22+H22+I22+J22+K22</f>
        <v/>
      </c>
      <c r="R22" s="8">
        <f>IF(P22=0,"",ROUND(Q22/P22,1))</f>
        <v/>
      </c>
      <c r="S22" s="6">
        <f>IFERROR(VLOOKUP(A22,Параметры!$A$4:$D$6,4,FALSE),0)</f>
        <v/>
      </c>
      <c r="T22" s="8">
        <f>IF(P22=0,0,MAX(0,ROUND(P22*(2+1)-Q22,0)))</f>
        <v/>
      </c>
      <c r="U22" s="8">
        <f>IF(P22=0,"нет продаж",IF(R22="","",IF(R22&lt;3,"ГОРИТ",IF(R22&gt;12,"затоварен","норм"))))</f>
        <v/>
      </c>
    </row>
    <row r="23">
      <c r="A23" s="6" t="inlineStr">
        <is>
          <t>косметика</t>
        </is>
      </c>
      <c r="B23" s="6" t="inlineStr">
        <is>
          <t>JIGOTT - Snail Lifting Cream [70ml] / Крем для лица увлажняющий антивозрастной</t>
        </is>
      </c>
      <c r="C23" s="6" t="n">
        <v>207482718</v>
      </c>
      <c r="D23" s="6" t="inlineStr"/>
      <c r="E23" s="6" t="inlineStr">
        <is>
          <t>20394552183240</t>
        </is>
      </c>
      <c r="F23" s="6" t="n">
        <v>202</v>
      </c>
      <c r="G23" s="6" t="n">
        <v>7139</v>
      </c>
      <c r="H23" s="7" t="inlineStr"/>
      <c r="I23" s="7" t="inlineStr"/>
      <c r="J23" s="7" t="inlineStr"/>
      <c r="K23" s="7" t="inlineStr"/>
      <c r="L23" s="6" t="n">
        <v>299.8</v>
      </c>
      <c r="M23" s="7" t="inlineStr"/>
      <c r="N23" s="7" t="inlineStr"/>
      <c r="O23" s="7" t="inlineStr"/>
      <c r="P23" s="8">
        <f>SUM(L23:O23)</f>
        <v/>
      </c>
      <c r="Q23" s="8">
        <f>G23+H23+I23+J23+K23</f>
        <v/>
      </c>
      <c r="R23" s="8">
        <f>IF(P23=0,"",ROUND(Q23/P23,1))</f>
        <v/>
      </c>
      <c r="S23" s="6">
        <f>IFERROR(VLOOKUP(A23,Параметры!$A$4:$D$6,4,FALSE),0)</f>
        <v/>
      </c>
      <c r="T23" s="8">
        <f>IF(P23=0,0,MAX(0,ROUND(P23*(2+1)-Q23,0)))</f>
        <v/>
      </c>
      <c r="U23" s="8">
        <f>IF(P23=0,"нет продаж",IF(R23="","",IF(R23&lt;3,"ГОРИТ",IF(R23&gt;12,"затоварен","норм"))))</f>
        <v/>
      </c>
    </row>
    <row r="24">
      <c r="A24" s="6" t="inlineStr">
        <is>
          <t>косметика</t>
        </is>
      </c>
      <c r="B24" s="6" t="inlineStr">
        <is>
          <t>FARMSTAY - Collagen &amp; Hyaluronic Acid All-In One Ampoule [250ml] / Сыворотка с коллагеном и гиалуроновой кислотой</t>
        </is>
      </c>
      <c r="C24" s="6" t="n">
        <v>168956391</v>
      </c>
      <c r="D24" s="6" t="inlineStr"/>
      <c r="E24" s="6" t="inlineStr">
        <is>
          <t>20381577225110</t>
        </is>
      </c>
      <c r="F24" s="6" t="n">
        <v>348</v>
      </c>
      <c r="G24" s="6" t="n">
        <v>6067</v>
      </c>
      <c r="H24" s="7" t="inlineStr"/>
      <c r="I24" s="7" t="inlineStr"/>
      <c r="J24" s="7" t="inlineStr"/>
      <c r="K24" s="7" t="inlineStr"/>
      <c r="L24" s="6" t="n">
        <v>248.8</v>
      </c>
      <c r="M24" s="7" t="inlineStr"/>
      <c r="N24" s="7" t="inlineStr"/>
      <c r="O24" s="7" t="inlineStr"/>
      <c r="P24" s="8">
        <f>SUM(L24:O24)</f>
        <v/>
      </c>
      <c r="Q24" s="8">
        <f>G24+H24+I24+J24+K24</f>
        <v/>
      </c>
      <c r="R24" s="8">
        <f>IF(P24=0,"",ROUND(Q24/P24,1))</f>
        <v/>
      </c>
      <c r="S24" s="6">
        <f>IFERROR(VLOOKUP(A24,Параметры!$A$4:$D$6,4,FALSE),0)</f>
        <v/>
      </c>
      <c r="T24" s="8">
        <f>IF(P24=0,0,MAX(0,ROUND(P24*(2+1)-Q24,0)))</f>
        <v/>
      </c>
      <c r="U24" s="8">
        <f>IF(P24=0,"нет продаж",IF(R24="","",IF(R24&lt;3,"ГОРИТ",IF(R24&gt;12,"затоварен","норм"))))</f>
        <v/>
      </c>
    </row>
    <row r="25">
      <c r="A25" s="6" t="inlineStr">
        <is>
          <t>косметика</t>
        </is>
      </c>
      <c r="B25" s="6" t="inlineStr">
        <is>
          <t>PETITFEE - Gold &amp; Snail Hydrogel Eye Patch [60ea] / Гидрогелевые патчи для глаз с золотом и улиткой</t>
        </is>
      </c>
      <c r="C25" s="6" t="n">
        <v>179611207</v>
      </c>
      <c r="D25" s="6" t="inlineStr"/>
      <c r="E25" s="6" t="inlineStr">
        <is>
          <t>20387078660090</t>
        </is>
      </c>
      <c r="F25" s="6" t="n">
        <v>415</v>
      </c>
      <c r="G25" s="6" t="n">
        <v>608</v>
      </c>
      <c r="H25" s="7" t="inlineStr"/>
      <c r="I25" s="7" t="inlineStr"/>
      <c r="J25" s="7" t="inlineStr"/>
      <c r="K25" s="7" t="inlineStr"/>
      <c r="L25" s="6" t="n">
        <v>239</v>
      </c>
      <c r="M25" s="7" t="inlineStr"/>
      <c r="N25" s="7" t="inlineStr"/>
      <c r="O25" s="7" t="inlineStr"/>
      <c r="P25" s="8">
        <f>SUM(L25:O25)</f>
        <v/>
      </c>
      <c r="Q25" s="8">
        <f>G25+H25+I25+J25+K25</f>
        <v/>
      </c>
      <c r="R25" s="8">
        <f>IF(P25=0,"",ROUND(Q25/P25,1))</f>
        <v/>
      </c>
      <c r="S25" s="6">
        <f>IFERROR(VLOOKUP(A25,Параметры!$A$4:$D$6,4,FALSE),0)</f>
        <v/>
      </c>
      <c r="T25" s="8">
        <f>IF(P25=0,0,MAX(0,ROUND(P25*(2+1)-Q25,0)))</f>
        <v/>
      </c>
      <c r="U25" s="8">
        <f>IF(P25=0,"нет продаж",IF(R25="","",IF(R25&lt;3,"ГОРИТ",IF(R25&gt;12,"затоварен","норм"))))</f>
        <v/>
      </c>
    </row>
    <row r="26">
      <c r="A26" s="6" t="inlineStr">
        <is>
          <t>косметика</t>
        </is>
      </c>
      <c r="B26" s="6" t="inlineStr">
        <is>
          <t>FARMSTAY - Escargot Noblesse Intensive Cream [50g] / Крем с муцином королевской улитки</t>
        </is>
      </c>
      <c r="C26" s="6" t="n">
        <v>169076150</v>
      </c>
      <c r="D26" s="6" t="inlineStr"/>
      <c r="E26" s="6" t="inlineStr">
        <is>
          <t>20381610076800</t>
        </is>
      </c>
      <c r="F26" s="6" t="n">
        <v>314</v>
      </c>
      <c r="G26" s="6" t="n">
        <v>835</v>
      </c>
      <c r="H26" s="7" t="inlineStr"/>
      <c r="I26" s="7" t="inlineStr"/>
      <c r="J26" s="7" t="inlineStr"/>
      <c r="K26" s="7" t="inlineStr"/>
      <c r="L26" s="6" t="n">
        <v>232.5</v>
      </c>
      <c r="M26" s="7" t="inlineStr"/>
      <c r="N26" s="7" t="inlineStr"/>
      <c r="O26" s="7" t="inlineStr"/>
      <c r="P26" s="8">
        <f>SUM(L26:O26)</f>
        <v/>
      </c>
      <c r="Q26" s="8">
        <f>G26+H26+I26+J26+K26</f>
        <v/>
      </c>
      <c r="R26" s="8">
        <f>IF(P26=0,"",ROUND(Q26/P26,1))</f>
        <v/>
      </c>
      <c r="S26" s="6">
        <f>IFERROR(VLOOKUP(A26,Параметры!$A$4:$D$6,4,FALSE),0)</f>
        <v/>
      </c>
      <c r="T26" s="8">
        <f>IF(P26=0,0,MAX(0,ROUND(P26*(2+1)-Q26,0)))</f>
        <v/>
      </c>
      <c r="U26" s="8">
        <f>IF(P26=0,"нет продаж",IF(R26="","",IF(R26&lt;3,"ГОРИТ",IF(R26&gt;12,"затоварен","норм"))))</f>
        <v/>
      </c>
    </row>
    <row r="27">
      <c r="A27" s="6" t="inlineStr">
        <is>
          <t>косметика</t>
        </is>
      </c>
      <c r="B27" s="6" t="inlineStr">
        <is>
          <t>JIGOTT - Snail Reparing Cream [100ml] / Крем для лица увлажняющий антивозрастной с муцином улитки</t>
        </is>
      </c>
      <c r="C27" s="6" t="n">
        <v>207483179</v>
      </c>
      <c r="D27" s="6" t="inlineStr"/>
      <c r="E27" s="6" t="inlineStr">
        <is>
          <t>20394552220930</t>
        </is>
      </c>
      <c r="F27" s="6" t="n">
        <v>186</v>
      </c>
      <c r="G27" s="6" t="n">
        <v>777</v>
      </c>
      <c r="H27" s="7" t="inlineStr"/>
      <c r="I27" s="7" t="inlineStr"/>
      <c r="J27" s="7" t="inlineStr"/>
      <c r="K27" s="7" t="inlineStr"/>
      <c r="L27" s="6" t="n">
        <v>215.1</v>
      </c>
      <c r="M27" s="7" t="inlineStr"/>
      <c r="N27" s="7" t="inlineStr"/>
      <c r="O27" s="7" t="inlineStr"/>
      <c r="P27" s="8">
        <f>SUM(L27:O27)</f>
        <v/>
      </c>
      <c r="Q27" s="8">
        <f>G27+H27+I27+J27+K27</f>
        <v/>
      </c>
      <c r="R27" s="8">
        <f>IF(P27=0,"",ROUND(Q27/P27,1))</f>
        <v/>
      </c>
      <c r="S27" s="6">
        <f>IFERROR(VLOOKUP(A27,Параметры!$A$4:$D$6,4,FALSE),0)</f>
        <v/>
      </c>
      <c r="T27" s="8">
        <f>IF(P27=0,0,MAX(0,ROUND(P27*(2+1)-Q27,0)))</f>
        <v/>
      </c>
      <c r="U27" s="8">
        <f>IF(P27=0,"нет продаж",IF(R27="","",IF(R27&lt;3,"ГОРИТ",IF(R27&gt;12,"затоварен","норм"))))</f>
        <v/>
      </c>
    </row>
    <row r="28">
      <c r="A28" s="6" t="inlineStr">
        <is>
          <t>косметика</t>
        </is>
      </c>
      <c r="B28" s="6" t="inlineStr">
        <is>
          <t>PETITFEE - Black Pearl &amp; Gold Hydrogel Eye Patch [60ea] / Гидрогелевые патчи для глаз с черным жемчугом и золотом</t>
        </is>
      </c>
      <c r="C28" s="6" t="n">
        <v>151175880</v>
      </c>
      <c r="D28" s="6" t="inlineStr"/>
      <c r="E28" s="6" t="inlineStr">
        <is>
          <t>20375937346520</t>
        </is>
      </c>
      <c r="F28" s="6" t="n">
        <v>388</v>
      </c>
      <c r="G28" s="6" t="n">
        <v>549</v>
      </c>
      <c r="H28" s="7" t="inlineStr"/>
      <c r="I28" s="7" t="inlineStr"/>
      <c r="J28" s="7" t="inlineStr"/>
      <c r="K28" s="7" t="inlineStr"/>
      <c r="L28" s="6" t="n">
        <v>173.8</v>
      </c>
      <c r="M28" s="7" t="inlineStr"/>
      <c r="N28" s="7" t="inlineStr"/>
      <c r="O28" s="7" t="inlineStr"/>
      <c r="P28" s="8">
        <f>SUM(L28:O28)</f>
        <v/>
      </c>
      <c r="Q28" s="8">
        <f>G28+H28+I28+J28+K28</f>
        <v/>
      </c>
      <c r="R28" s="8">
        <f>IF(P28=0,"",ROUND(Q28/P28,1))</f>
        <v/>
      </c>
      <c r="S28" s="6">
        <f>IFERROR(VLOOKUP(A28,Параметры!$A$4:$D$6,4,FALSE),0)</f>
        <v/>
      </c>
      <c r="T28" s="8">
        <f>IF(P28=0,0,MAX(0,ROUND(P28*(2+1)-Q28,0)))</f>
        <v/>
      </c>
      <c r="U28" s="8">
        <f>IF(P28=0,"нет продаж",IF(R28="","",IF(R28&lt;3,"ГОРИТ",IF(R28&gt;12,"затоварен","норм"))))</f>
        <v/>
      </c>
    </row>
    <row r="29">
      <c r="A29" s="6" t="inlineStr">
        <is>
          <t>косметика</t>
        </is>
      </c>
      <c r="B29" s="6" t="inlineStr">
        <is>
          <t>FARMSTAY - Black Garlic Nourishing Shampoo [530ml] / Шампунь-кондиционер 2в1 с экстрактом черного чеснока</t>
        </is>
      </c>
      <c r="C29" s="6" t="n">
        <v>207472742</v>
      </c>
      <c r="D29" s="6" t="inlineStr"/>
      <c r="E29" s="6" t="inlineStr">
        <is>
          <t>20394551238880</t>
        </is>
      </c>
      <c r="F29" s="6" t="n">
        <v>397</v>
      </c>
      <c r="G29" s="6" t="n">
        <v>3200</v>
      </c>
      <c r="H29" s="7" t="inlineStr"/>
      <c r="I29" s="7" t="inlineStr"/>
      <c r="J29" s="7" t="inlineStr"/>
      <c r="K29" s="7" t="inlineStr"/>
      <c r="L29" s="6" t="n">
        <v>152.1</v>
      </c>
      <c r="M29" s="7" t="inlineStr"/>
      <c r="N29" s="7" t="inlineStr"/>
      <c r="O29" s="7" t="inlineStr"/>
      <c r="P29" s="8">
        <f>SUM(L29:O29)</f>
        <v/>
      </c>
      <c r="Q29" s="8">
        <f>G29+H29+I29+J29+K29</f>
        <v/>
      </c>
      <c r="R29" s="8">
        <f>IF(P29=0,"",ROUND(Q29/P29,1))</f>
        <v/>
      </c>
      <c r="S29" s="6">
        <f>IFERROR(VLOOKUP(A29,Параметры!$A$4:$D$6,4,FALSE),0)</f>
        <v/>
      </c>
      <c r="T29" s="8">
        <f>IF(P29=0,0,MAX(0,ROUND(P29*(2+1)-Q29,0)))</f>
        <v/>
      </c>
      <c r="U29" s="8">
        <f>IF(P29=0,"нет продаж",IF(R29="","",IF(R29&lt;3,"ГОРИТ",IF(R29&gt;12,"затоварен","норм"))))</f>
        <v/>
      </c>
    </row>
    <row r="30">
      <c r="A30" s="6" t="inlineStr">
        <is>
          <t>косметика</t>
        </is>
      </c>
      <c r="B30" s="6" t="inlineStr">
        <is>
          <t>PETITFEE - Agave Cooling Hydrogel Eye Patch [60ea] / Охлаждающие гидрогелевые патчи для глаз с экстрактом агавы</t>
        </is>
      </c>
      <c r="C30" s="6" t="n">
        <v>151175877</v>
      </c>
      <c r="D30" s="6" t="inlineStr"/>
      <c r="E30" s="6" t="inlineStr">
        <is>
          <t>20375937296890</t>
        </is>
      </c>
      <c r="F30" s="6" t="n">
        <v>415</v>
      </c>
      <c r="G30" s="6" t="n">
        <v>501</v>
      </c>
      <c r="H30" s="7" t="inlineStr"/>
      <c r="I30" s="7" t="inlineStr"/>
      <c r="J30" s="7" t="inlineStr"/>
      <c r="K30" s="7" t="inlineStr"/>
      <c r="L30" s="6" t="n">
        <v>148.8</v>
      </c>
      <c r="M30" s="7" t="inlineStr"/>
      <c r="N30" s="7" t="inlineStr"/>
      <c r="O30" s="7" t="inlineStr"/>
      <c r="P30" s="8">
        <f>SUM(L30:O30)</f>
        <v/>
      </c>
      <c r="Q30" s="8">
        <f>G30+H30+I30+J30+K30</f>
        <v/>
      </c>
      <c r="R30" s="8">
        <f>IF(P30=0,"",ROUND(Q30/P30,1))</f>
        <v/>
      </c>
      <c r="S30" s="6">
        <f>IFERROR(VLOOKUP(A30,Параметры!$A$4:$D$6,4,FALSE),0)</f>
        <v/>
      </c>
      <c r="T30" s="8">
        <f>IF(P30=0,0,MAX(0,ROUND(P30*(2+1)-Q30,0)))</f>
        <v/>
      </c>
      <c r="U30" s="8">
        <f>IF(P30=0,"нет продаж",IF(R30="","",IF(R30&lt;3,"ГОРИТ",IF(R30&gt;12,"затоварен","норм"))))</f>
        <v/>
      </c>
    </row>
    <row r="31">
      <c r="A31" s="6" t="inlineStr">
        <is>
          <t>косметика</t>
        </is>
      </c>
      <c r="B31" s="6" t="inlineStr">
        <is>
          <t>FARMSTAY - Argan Oil Complete Volume Up Shampoo &amp; Conditioner [530ml] / Шампунь-кондиционер с аргановым маслом</t>
        </is>
      </c>
      <c r="C31" s="6" t="n">
        <v>207476309</v>
      </c>
      <c r="D31" s="6" t="inlineStr"/>
      <c r="E31" s="6" t="inlineStr">
        <is>
          <t>20394551530900</t>
        </is>
      </c>
      <c r="F31" s="6" t="n">
        <v>401</v>
      </c>
      <c r="G31" s="6" t="n">
        <v>2298</v>
      </c>
      <c r="H31" s="7" t="inlineStr"/>
      <c r="I31" s="7" t="inlineStr"/>
      <c r="J31" s="7" t="inlineStr"/>
      <c r="K31" s="7" t="inlineStr"/>
      <c r="L31" s="6" t="n">
        <v>142.3</v>
      </c>
      <c r="M31" s="7" t="inlineStr"/>
      <c r="N31" s="7" t="inlineStr"/>
      <c r="O31" s="7" t="inlineStr"/>
      <c r="P31" s="8">
        <f>SUM(L31:O31)</f>
        <v/>
      </c>
      <c r="Q31" s="8">
        <f>G31+H31+I31+J31+K31</f>
        <v/>
      </c>
      <c r="R31" s="8">
        <f>IF(P31=0,"",ROUND(Q31/P31,1))</f>
        <v/>
      </c>
      <c r="S31" s="6">
        <f>IFERROR(VLOOKUP(A31,Параметры!$A$4:$D$6,4,FALSE),0)</f>
        <v/>
      </c>
      <c r="T31" s="8">
        <f>IF(P31=0,0,MAX(0,ROUND(P31*(2+1)-Q31,0)))</f>
        <v/>
      </c>
      <c r="U31" s="8">
        <f>IF(P31=0,"нет продаж",IF(R31="","",IF(R31&lt;3,"ГОРИТ",IF(R31&gt;12,"затоварен","норм"))))</f>
        <v/>
      </c>
    </row>
    <row r="32">
      <c r="A32" s="6" t="inlineStr">
        <is>
          <t>косметика</t>
        </is>
      </c>
      <c r="B32" s="6" t="inlineStr">
        <is>
          <t>ENOUGH - Premium 8 Peptide Full Cover Perfect Foundation [Tone 13] / Тональный крем с пептидами 13 тон</t>
        </is>
      </c>
      <c r="C32" s="6" t="n">
        <v>170198738</v>
      </c>
      <c r="D32" s="6" t="inlineStr"/>
      <c r="E32" s="6" t="inlineStr">
        <is>
          <t>20381995299250</t>
        </is>
      </c>
      <c r="F32" s="6" t="n">
        <v>336</v>
      </c>
      <c r="G32" s="6" t="n">
        <v>0</v>
      </c>
      <c r="H32" s="7" t="inlineStr"/>
      <c r="I32" s="7" t="inlineStr"/>
      <c r="J32" s="7" t="inlineStr"/>
      <c r="K32" s="7" t="inlineStr"/>
      <c r="L32" s="6" t="n">
        <v>135.8</v>
      </c>
      <c r="M32" s="7" t="inlineStr"/>
      <c r="N32" s="7" t="inlineStr"/>
      <c r="O32" s="7" t="inlineStr"/>
      <c r="P32" s="8">
        <f>SUM(L32:O32)</f>
        <v/>
      </c>
      <c r="Q32" s="8">
        <f>G32+H32+I32+J32+K32</f>
        <v/>
      </c>
      <c r="R32" s="8">
        <f>IF(P32=0,"",ROUND(Q32/P32,1))</f>
        <v/>
      </c>
      <c r="S32" s="6">
        <f>IFERROR(VLOOKUP(A32,Параметры!$A$4:$D$6,4,FALSE),0)</f>
        <v/>
      </c>
      <c r="T32" s="8">
        <f>IF(P32=0,0,MAX(0,ROUND(P32*(2+1)-Q32,0)))</f>
        <v/>
      </c>
      <c r="U32" s="8">
        <f>IF(P32=0,"нет продаж",IF(R32="","",IF(R32&lt;3,"ГОРИТ",IF(R32&gt;12,"затоварен","норм"))))</f>
        <v/>
      </c>
    </row>
    <row r="33">
      <c r="A33" s="6" t="inlineStr">
        <is>
          <t>косметика</t>
        </is>
      </c>
      <c r="B33" s="6" t="inlineStr">
        <is>
          <t>PETITFEE - Agave Cooling Hydrogel Face Mask [5pcs] / Охлаждающая гидрогелевая маска для лица с экстрактом агавы</t>
        </is>
      </c>
      <c r="C33" s="6" t="n">
        <v>226115324</v>
      </c>
      <c r="D33" s="6" t="inlineStr"/>
      <c r="E33" s="6" t="inlineStr">
        <is>
          <t>20398718853220</t>
        </is>
      </c>
      <c r="F33" s="6" t="n">
        <v>486</v>
      </c>
      <c r="G33" s="6" t="n">
        <v>741</v>
      </c>
      <c r="H33" s="7" t="inlineStr"/>
      <c r="I33" s="7" t="inlineStr"/>
      <c r="J33" s="7" t="inlineStr"/>
      <c r="K33" s="7" t="inlineStr"/>
      <c r="L33" s="6" t="n">
        <v>135.8</v>
      </c>
      <c r="M33" s="7" t="inlineStr"/>
      <c r="N33" s="7" t="inlineStr"/>
      <c r="O33" s="7" t="inlineStr"/>
      <c r="P33" s="8">
        <f>SUM(L33:O33)</f>
        <v/>
      </c>
      <c r="Q33" s="8">
        <f>G33+H33+I33+J33+K33</f>
        <v/>
      </c>
      <c r="R33" s="8">
        <f>IF(P33=0,"",ROUND(Q33/P33,1))</f>
        <v/>
      </c>
      <c r="S33" s="6">
        <f>IFERROR(VLOOKUP(A33,Параметры!$A$4:$D$6,4,FALSE),0)</f>
        <v/>
      </c>
      <c r="T33" s="8">
        <f>IF(P33=0,0,MAX(0,ROUND(P33*(2+1)-Q33,0)))</f>
        <v/>
      </c>
      <c r="U33" s="8">
        <f>IF(P33=0,"нет продаж",IF(R33="","",IF(R33&lt;3,"ГОРИТ",IF(R33&gt;12,"затоварен","норм"))))</f>
        <v/>
      </c>
    </row>
    <row r="34">
      <c r="A34" s="6" t="inlineStr">
        <is>
          <t>косметика</t>
        </is>
      </c>
      <c r="B34" s="6" t="inlineStr">
        <is>
          <t>ETUDE - Baking Powder BB Deep Cleansing Foam [160ml] / Пенка с содой для глубокого очищения и снятия макияжа</t>
        </is>
      </c>
      <c r="C34" s="6" t="n">
        <v>307073881</v>
      </c>
      <c r="D34" s="6" t="inlineStr"/>
      <c r="E34" s="6" t="inlineStr">
        <is>
          <t>20423581109300</t>
        </is>
      </c>
      <c r="F34" s="6" t="n">
        <v>293</v>
      </c>
      <c r="G34" s="6" t="n">
        <v>64</v>
      </c>
      <c r="H34" s="7" t="inlineStr"/>
      <c r="I34" s="7" t="inlineStr"/>
      <c r="J34" s="7" t="inlineStr"/>
      <c r="K34" s="7" t="inlineStr"/>
      <c r="L34" s="6" t="n">
        <v>132.5</v>
      </c>
      <c r="M34" s="7" t="inlineStr"/>
      <c r="N34" s="7" t="inlineStr"/>
      <c r="O34" s="7" t="inlineStr"/>
      <c r="P34" s="8">
        <f>SUM(L34:O34)</f>
        <v/>
      </c>
      <c r="Q34" s="8">
        <f>G34+H34+I34+J34+K34</f>
        <v/>
      </c>
      <c r="R34" s="8">
        <f>IF(P34=0,"",ROUND(Q34/P34,1))</f>
        <v/>
      </c>
      <c r="S34" s="6">
        <f>IFERROR(VLOOKUP(A34,Параметры!$A$4:$D$6,4,FALSE),0)</f>
        <v/>
      </c>
      <c r="T34" s="8">
        <f>IF(P34=0,0,MAX(0,ROUND(P34*(2+1)-Q34,0)))</f>
        <v/>
      </c>
      <c r="U34" s="8">
        <f>IF(P34=0,"нет продаж",IF(R34="","",IF(R34&lt;3,"ГОРИТ",IF(R34&gt;12,"затоварен","норм"))))</f>
        <v/>
      </c>
    </row>
    <row r="35">
      <c r="A35" s="6" t="inlineStr">
        <is>
          <t>косметика</t>
        </is>
      </c>
      <c r="B35" s="6" t="inlineStr">
        <is>
          <t>ENOUGH - Gold Snail Moisture Foundation [Tone 13] / Тональный крем с муцином улитки 13 тон</t>
        </is>
      </c>
      <c r="C35" s="6" t="n">
        <v>207796789</v>
      </c>
      <c r="D35" s="6" t="inlineStr"/>
      <c r="E35" s="6" t="inlineStr">
        <is>
          <t>20394592467050</t>
        </is>
      </c>
      <c r="F35" s="6" t="n">
        <v>246</v>
      </c>
      <c r="G35" s="6" t="n">
        <v>700</v>
      </c>
      <c r="H35" s="7" t="inlineStr"/>
      <c r="I35" s="7" t="inlineStr"/>
      <c r="J35" s="7" t="inlineStr"/>
      <c r="K35" s="7" t="inlineStr"/>
      <c r="L35" s="6" t="n">
        <v>131.4</v>
      </c>
      <c r="M35" s="7" t="inlineStr"/>
      <c r="N35" s="7" t="inlineStr"/>
      <c r="O35" s="7" t="inlineStr"/>
      <c r="P35" s="8">
        <f>SUM(L35:O35)</f>
        <v/>
      </c>
      <c r="Q35" s="8">
        <f>G35+H35+I35+J35+K35</f>
        <v/>
      </c>
      <c r="R35" s="8">
        <f>IF(P35=0,"",ROUND(Q35/P35,1))</f>
        <v/>
      </c>
      <c r="S35" s="6">
        <f>IFERROR(VLOOKUP(A35,Параметры!$A$4:$D$6,4,FALSE),0)</f>
        <v/>
      </c>
      <c r="T35" s="8">
        <f>IF(P35=0,0,MAX(0,ROUND(P35*(2+1)-Q35,0)))</f>
        <v/>
      </c>
      <c r="U35" s="8">
        <f>IF(P35=0,"нет продаж",IF(R35="","",IF(R35&lt;3,"ГОРИТ",IF(R35&gt;12,"затоварен","норм"))))</f>
        <v/>
      </c>
    </row>
    <row r="36">
      <c r="A36" s="6" t="inlineStr">
        <is>
          <t>косметика</t>
        </is>
      </c>
      <c r="B36" s="6" t="inlineStr">
        <is>
          <t>FARMSTAY - Collagen Water Full Shampoo &amp; Conditioner [530ml] / Шампунь-кондиционер 2в1 с коллагеном</t>
        </is>
      </c>
      <c r="C36" s="6" t="n">
        <v>207475898</v>
      </c>
      <c r="D36" s="6" t="inlineStr"/>
      <c r="E36" s="6" t="inlineStr">
        <is>
          <t>20394551500440</t>
        </is>
      </c>
      <c r="F36" s="6" t="n">
        <v>397</v>
      </c>
      <c r="G36" s="6" t="n">
        <v>3374</v>
      </c>
      <c r="H36" s="7" t="inlineStr"/>
      <c r="I36" s="7" t="inlineStr"/>
      <c r="J36" s="7" t="inlineStr"/>
      <c r="K36" s="7" t="inlineStr"/>
      <c r="L36" s="6" t="n">
        <v>116.2</v>
      </c>
      <c r="M36" s="7" t="inlineStr"/>
      <c r="N36" s="7" t="inlineStr"/>
      <c r="O36" s="7" t="inlineStr"/>
      <c r="P36" s="8">
        <f>SUM(L36:O36)</f>
        <v/>
      </c>
      <c r="Q36" s="8">
        <f>G36+H36+I36+J36+K36</f>
        <v/>
      </c>
      <c r="R36" s="8">
        <f>IF(P36=0,"",ROUND(Q36/P36,1))</f>
        <v/>
      </c>
      <c r="S36" s="6">
        <f>IFERROR(VLOOKUP(A36,Параметры!$A$4:$D$6,4,FALSE),0)</f>
        <v/>
      </c>
      <c r="T36" s="8">
        <f>IF(P36=0,0,MAX(0,ROUND(P36*(2+1)-Q36,0)))</f>
        <v/>
      </c>
      <c r="U36" s="8">
        <f>IF(P36=0,"нет продаж",IF(R36="","",IF(R36&lt;3,"ГОРИТ",IF(R36&gt;12,"затоварен","норм"))))</f>
        <v/>
      </c>
    </row>
    <row r="37">
      <c r="A37" s="6" t="inlineStr">
        <is>
          <t>косметика</t>
        </is>
      </c>
      <c r="B37" s="6" t="inlineStr">
        <is>
          <t>ENOUGH - Premium 8 Peptide Full Cover Perfect Foundation [Tone 21] / Тональный крем с пептидами 21 тон</t>
        </is>
      </c>
      <c r="C37" s="6" t="n">
        <v>170198337</v>
      </c>
      <c r="D37" s="6" t="inlineStr"/>
      <c r="E37" s="6" t="inlineStr">
        <is>
          <t>20381995187450</t>
        </is>
      </c>
      <c r="F37" s="6" t="n">
        <v>305</v>
      </c>
      <c r="G37" s="6" t="n">
        <v>23</v>
      </c>
      <c r="H37" s="7" t="inlineStr"/>
      <c r="I37" s="7" t="inlineStr"/>
      <c r="J37" s="7" t="inlineStr"/>
      <c r="K37" s="7" t="inlineStr"/>
      <c r="L37" s="6" t="n">
        <v>114.1</v>
      </c>
      <c r="M37" s="7" t="inlineStr"/>
      <c r="N37" s="7" t="inlineStr"/>
      <c r="O37" s="7" t="inlineStr"/>
      <c r="P37" s="8">
        <f>SUM(L37:O37)</f>
        <v/>
      </c>
      <c r="Q37" s="8">
        <f>G37+H37+I37+J37+K37</f>
        <v/>
      </c>
      <c r="R37" s="8">
        <f>IF(P37=0,"",ROUND(Q37/P37,1))</f>
        <v/>
      </c>
      <c r="S37" s="6">
        <f>IFERROR(VLOOKUP(A37,Параметры!$A$4:$D$6,4,FALSE),0)</f>
        <v/>
      </c>
      <c r="T37" s="8">
        <f>IF(P37=0,0,MAX(0,ROUND(P37*(2+1)-Q37,0)))</f>
        <v/>
      </c>
      <c r="U37" s="8">
        <f>IF(P37=0,"нет продаж",IF(R37="","",IF(R37&lt;3,"ГОРИТ",IF(R37&gt;12,"затоварен","норм"))))</f>
        <v/>
      </c>
    </row>
    <row r="38">
      <c r="A38" s="6" t="inlineStr">
        <is>
          <t>косметика</t>
        </is>
      </c>
      <c r="B38" s="6" t="inlineStr">
        <is>
          <t xml:space="preserve">FARMSTAY ESCARGOT NOBLESSE INTENSIVE AMPOULE/ сыворотка с улиткой </t>
        </is>
      </c>
      <c r="C38" s="6" t="n">
        <v>419630142</v>
      </c>
      <c r="D38" s="6" t="inlineStr"/>
      <c r="E38" s="6" t="inlineStr">
        <is>
          <t>20440290597600</t>
        </is>
      </c>
      <c r="F38" s="6" t="n">
        <v>390</v>
      </c>
      <c r="G38" s="6" t="n">
        <v>821</v>
      </c>
      <c r="H38" s="7" t="inlineStr"/>
      <c r="I38" s="7" t="inlineStr"/>
      <c r="J38" s="7" t="inlineStr"/>
      <c r="K38" s="7" t="inlineStr"/>
      <c r="L38" s="6" t="n">
        <v>113</v>
      </c>
      <c r="M38" s="7" t="inlineStr"/>
      <c r="N38" s="7" t="inlineStr"/>
      <c r="O38" s="7" t="inlineStr"/>
      <c r="P38" s="8">
        <f>SUM(L38:O38)</f>
        <v/>
      </c>
      <c r="Q38" s="8">
        <f>G38+H38+I38+J38+K38</f>
        <v/>
      </c>
      <c r="R38" s="8">
        <f>IF(P38=0,"",ROUND(Q38/P38,1))</f>
        <v/>
      </c>
      <c r="S38" s="6">
        <f>IFERROR(VLOOKUP(A38,Параметры!$A$4:$D$6,4,FALSE),0)</f>
        <v/>
      </c>
      <c r="T38" s="8">
        <f>IF(P38=0,0,MAX(0,ROUND(P38*(2+1)-Q38,0)))</f>
        <v/>
      </c>
      <c r="U38" s="8">
        <f>IF(P38=0,"нет продаж",IF(R38="","",IF(R38&lt;3,"ГОРИТ",IF(R38&gt;12,"затоварен","норм"))))</f>
        <v/>
      </c>
    </row>
    <row r="39">
      <c r="A39" s="6" t="inlineStr">
        <is>
          <t>косметика</t>
        </is>
      </c>
      <c r="B39" s="6" t="inlineStr">
        <is>
          <t>ENOUGH - Gold Snail Moisture Foundation [Tone 21] / Тональный крем с муцином улитки 21 тон</t>
        </is>
      </c>
      <c r="C39" s="6" t="n">
        <v>207796898</v>
      </c>
      <c r="D39" s="6" t="inlineStr"/>
      <c r="E39" s="6" t="inlineStr">
        <is>
          <t>20394592479000</t>
        </is>
      </c>
      <c r="F39" s="6" t="n">
        <v>271</v>
      </c>
      <c r="G39" s="6" t="n">
        <v>400</v>
      </c>
      <c r="H39" s="7" t="inlineStr"/>
      <c r="I39" s="7" t="inlineStr"/>
      <c r="J39" s="7" t="inlineStr"/>
      <c r="K39" s="7" t="inlineStr"/>
      <c r="L39" s="6" t="n">
        <v>109.7</v>
      </c>
      <c r="M39" s="7" t="inlineStr"/>
      <c r="N39" s="7" t="inlineStr"/>
      <c r="O39" s="7" t="inlineStr"/>
      <c r="P39" s="8">
        <f>SUM(L39:O39)</f>
        <v/>
      </c>
      <c r="Q39" s="8">
        <f>G39+H39+I39+J39+K39</f>
        <v/>
      </c>
      <c r="R39" s="8">
        <f>IF(P39=0,"",ROUND(Q39/P39,1))</f>
        <v/>
      </c>
      <c r="S39" s="6">
        <f>IFERROR(VLOOKUP(A39,Параметры!$A$4:$D$6,4,FALSE),0)</f>
        <v/>
      </c>
      <c r="T39" s="8">
        <f>IF(P39=0,0,MAX(0,ROUND(P39*(2+1)-Q39,0)))</f>
        <v/>
      </c>
      <c r="U39" s="8">
        <f>IF(P39=0,"нет продаж",IF(R39="","",IF(R39&lt;3,"ГОРИТ",IF(R39&gt;12,"затоварен","норм"))))</f>
        <v/>
      </c>
    </row>
    <row r="40">
      <c r="A40" s="6" t="inlineStr">
        <is>
          <t>косметика</t>
        </is>
      </c>
      <c r="B40" s="6" t="inlineStr">
        <is>
          <t>ENOUGH Collagen whitening cover tip concealer #01 [9g]/Консилер для лица (основная карточка) 4.5 рейтинг</t>
        </is>
      </c>
      <c r="C40" s="6" t="n">
        <v>212889025</v>
      </c>
      <c r="D40" s="6" t="inlineStr"/>
      <c r="E40" s="6" t="inlineStr">
        <is>
          <t>20395684364480</t>
        </is>
      </c>
      <c r="F40" s="6" t="n">
        <v>183</v>
      </c>
      <c r="G40" s="6" t="n">
        <v>352</v>
      </c>
      <c r="H40" s="7" t="inlineStr"/>
      <c r="I40" s="7" t="inlineStr"/>
      <c r="J40" s="7" t="inlineStr"/>
      <c r="K40" s="7" t="inlineStr"/>
      <c r="L40" s="6" t="n">
        <v>109.7</v>
      </c>
      <c r="M40" s="7" t="inlineStr"/>
      <c r="N40" s="7" t="inlineStr"/>
      <c r="O40" s="7" t="inlineStr"/>
      <c r="P40" s="8">
        <f>SUM(L40:O40)</f>
        <v/>
      </c>
      <c r="Q40" s="8">
        <f>G40+H40+I40+J40+K40</f>
        <v/>
      </c>
      <c r="R40" s="8">
        <f>IF(P40=0,"",ROUND(Q40/P40,1))</f>
        <v/>
      </c>
      <c r="S40" s="6">
        <f>IFERROR(VLOOKUP(A40,Параметры!$A$4:$D$6,4,FALSE),0)</f>
        <v/>
      </c>
      <c r="T40" s="8">
        <f>IF(P40=0,0,MAX(0,ROUND(P40*(2+1)-Q40,0)))</f>
        <v/>
      </c>
      <c r="U40" s="8">
        <f>IF(P40=0,"нет продаж",IF(R40="","",IF(R40&lt;3,"ГОРИТ",IF(R40&gt;12,"затоварен","норм"))))</f>
        <v/>
      </c>
    </row>
    <row r="41">
      <c r="A41" s="6" t="inlineStr">
        <is>
          <t>косметика</t>
        </is>
      </c>
      <c r="B41" s="6" t="inlineStr">
        <is>
          <t>ENOUGH - Collagen Moisture Foundation [Tone 13] / Тональный крем для лица с коллагеном 13 тон</t>
        </is>
      </c>
      <c r="C41" s="6" t="n">
        <v>150925321</v>
      </c>
      <c r="D41" s="6" t="inlineStr"/>
      <c r="E41" s="6" t="inlineStr">
        <is>
          <t>20375845249270</t>
        </is>
      </c>
      <c r="F41" s="6" t="n">
        <v>216</v>
      </c>
      <c r="G41" s="6" t="n">
        <v>53</v>
      </c>
      <c r="H41" s="7" t="inlineStr"/>
      <c r="I41" s="7" t="inlineStr"/>
      <c r="J41" s="7" t="inlineStr"/>
      <c r="K41" s="7" t="inlineStr"/>
      <c r="L41" s="6" t="n">
        <v>108.6</v>
      </c>
      <c r="M41" s="7" t="inlineStr"/>
      <c r="N41" s="7" t="inlineStr"/>
      <c r="O41" s="7" t="inlineStr"/>
      <c r="P41" s="8">
        <f>SUM(L41:O41)</f>
        <v/>
      </c>
      <c r="Q41" s="8">
        <f>G41+H41+I41+J41+K41</f>
        <v/>
      </c>
      <c r="R41" s="8">
        <f>IF(P41=0,"",ROUND(Q41/P41,1))</f>
        <v/>
      </c>
      <c r="S41" s="6">
        <f>IFERROR(VLOOKUP(A41,Параметры!$A$4:$D$6,4,FALSE),0)</f>
        <v/>
      </c>
      <c r="T41" s="8">
        <f>IF(P41=0,0,MAX(0,ROUND(P41*(2+1)-Q41,0)))</f>
        <v/>
      </c>
      <c r="U41" s="8">
        <f>IF(P41=0,"нет продаж",IF(R41="","",IF(R41&lt;3,"ГОРИТ",IF(R41&gt;12,"затоварен","норм"))))</f>
        <v/>
      </c>
    </row>
    <row r="42">
      <c r="A42" s="6" t="inlineStr">
        <is>
          <t>косметика</t>
        </is>
      </c>
      <c r="B42" s="6" t="inlineStr">
        <is>
          <t>ETUDE - Baking Powder Crunch Pore Scrub [200ml] / Очищающий скраб для лица с содой</t>
        </is>
      </c>
      <c r="C42" s="6" t="n">
        <v>151313163</v>
      </c>
      <c r="D42" s="6" t="inlineStr"/>
      <c r="E42" s="6" t="inlineStr">
        <is>
          <t>20375961309700</t>
        </is>
      </c>
      <c r="F42" s="6" t="n">
        <v>361</v>
      </c>
      <c r="G42" s="6" t="n">
        <v>7182</v>
      </c>
      <c r="H42" s="7" t="inlineStr"/>
      <c r="I42" s="7" t="inlineStr"/>
      <c r="J42" s="7" t="inlineStr"/>
      <c r="K42" s="7" t="inlineStr"/>
      <c r="L42" s="6" t="n">
        <v>103.2</v>
      </c>
      <c r="M42" s="7" t="inlineStr"/>
      <c r="N42" s="7" t="inlineStr"/>
      <c r="O42" s="7" t="inlineStr"/>
      <c r="P42" s="8">
        <f>SUM(L42:O42)</f>
        <v/>
      </c>
      <c r="Q42" s="8">
        <f>G42+H42+I42+J42+K42</f>
        <v/>
      </c>
      <c r="R42" s="8">
        <f>IF(P42=0,"",ROUND(Q42/P42,1))</f>
        <v/>
      </c>
      <c r="S42" s="6">
        <f>IFERROR(VLOOKUP(A42,Параметры!$A$4:$D$6,4,FALSE),0)</f>
        <v/>
      </c>
      <c r="T42" s="8">
        <f>IF(P42=0,0,MAX(0,ROUND(P42*(2+1)-Q42,0)))</f>
        <v/>
      </c>
      <c r="U42" s="8">
        <f>IF(P42=0,"нет продаж",IF(R42="","",IF(R42&lt;3,"ГОРИТ",IF(R42&gt;12,"затоварен","норм"))))</f>
        <v/>
      </c>
    </row>
    <row r="43">
      <c r="A43" s="6" t="inlineStr">
        <is>
          <t>косметика</t>
        </is>
      </c>
      <c r="B43" s="6" t="inlineStr">
        <is>
          <t>MANYO - Bifida Biome Ampoule Lotion [300ml] / Укрепляющий лосьон с бифидобактериями</t>
        </is>
      </c>
      <c r="C43" s="6" t="n">
        <v>198143251</v>
      </c>
      <c r="D43" s="6" t="inlineStr"/>
      <c r="E43" s="6" t="inlineStr">
        <is>
          <t>20392392545240</t>
        </is>
      </c>
      <c r="F43" s="6" t="n">
        <v>735</v>
      </c>
      <c r="G43" s="6" t="n">
        <v>490</v>
      </c>
      <c r="H43" s="7" t="inlineStr"/>
      <c r="I43" s="7" t="inlineStr"/>
      <c r="J43" s="7" t="inlineStr"/>
      <c r="K43" s="7" t="inlineStr"/>
      <c r="L43" s="6" t="n">
        <v>99.90000000000001</v>
      </c>
      <c r="M43" s="7" t="inlineStr"/>
      <c r="N43" s="7" t="inlineStr"/>
      <c r="O43" s="7" t="inlineStr"/>
      <c r="P43" s="8">
        <f>SUM(L43:O43)</f>
        <v/>
      </c>
      <c r="Q43" s="8">
        <f>G43+H43+I43+J43+K43</f>
        <v/>
      </c>
      <c r="R43" s="8">
        <f>IF(P43=0,"",ROUND(Q43/P43,1))</f>
        <v/>
      </c>
      <c r="S43" s="6">
        <f>IFERROR(VLOOKUP(A43,Параметры!$A$4:$D$6,4,FALSE),0)</f>
        <v/>
      </c>
      <c r="T43" s="8">
        <f>IF(P43=0,0,MAX(0,ROUND(P43*(2+1)-Q43,0)))</f>
        <v/>
      </c>
      <c r="U43" s="8">
        <f>IF(P43=0,"нет продаж",IF(R43="","",IF(R43&lt;3,"ГОРИТ",IF(R43&gt;12,"затоварен","норм"))))</f>
        <v/>
      </c>
    </row>
    <row r="44">
      <c r="A44" s="6" t="inlineStr">
        <is>
          <t>косметика</t>
        </is>
      </c>
      <c r="B44" s="6" t="inlineStr">
        <is>
          <t>FARMSTAY - Gold Snail Premium Cream [50ml] / Омолаживающий крем с муцином улитки и коллоидным золотом</t>
        </is>
      </c>
      <c r="C44" s="6" t="n">
        <v>207469760</v>
      </c>
      <c r="D44" s="6" t="inlineStr"/>
      <c r="E44" s="6" t="inlineStr">
        <is>
          <t>20394551067990</t>
        </is>
      </c>
      <c r="F44" s="6" t="n">
        <v>431</v>
      </c>
      <c r="G44" s="6" t="n">
        <v>852</v>
      </c>
      <c r="H44" s="7" t="inlineStr"/>
      <c r="I44" s="7" t="inlineStr"/>
      <c r="J44" s="7" t="inlineStr"/>
      <c r="K44" s="7" t="inlineStr"/>
      <c r="L44" s="6" t="n">
        <v>96.7</v>
      </c>
      <c r="M44" s="7" t="inlineStr"/>
      <c r="N44" s="7" t="inlineStr"/>
      <c r="O44" s="7" t="inlineStr"/>
      <c r="P44" s="8">
        <f>SUM(L44:O44)</f>
        <v/>
      </c>
      <c r="Q44" s="8">
        <f>G44+H44+I44+J44+K44</f>
        <v/>
      </c>
      <c r="R44" s="8">
        <f>IF(P44=0,"",ROUND(Q44/P44,1))</f>
        <v/>
      </c>
      <c r="S44" s="6">
        <f>IFERROR(VLOOKUP(A44,Параметры!$A$4:$D$6,4,FALSE),0)</f>
        <v/>
      </c>
      <c r="T44" s="8">
        <f>IF(P44=0,0,MAX(0,ROUND(P44*(2+1)-Q44,0)))</f>
        <v/>
      </c>
      <c r="U44" s="8">
        <f>IF(P44=0,"нет продаж",IF(R44="","",IF(R44&lt;3,"ГОРИТ",IF(R44&gt;12,"затоварен","норм"))))</f>
        <v/>
      </c>
    </row>
    <row r="45">
      <c r="A45" s="6" t="inlineStr">
        <is>
          <t>косметика</t>
        </is>
      </c>
      <c r="B45" s="6" t="inlineStr">
        <is>
          <t>ENOUGH - Collagen Whitening Moisture Cream 3in1 [50g] / Антивозрастной отбеливающий крем с коллагеном</t>
        </is>
      </c>
      <c r="C45" s="6" t="n">
        <v>238416010</v>
      </c>
      <c r="D45" s="6" t="inlineStr"/>
      <c r="E45" s="6" t="inlineStr">
        <is>
          <t>20404411001890</t>
        </is>
      </c>
      <c r="F45" s="6" t="n">
        <v>184</v>
      </c>
      <c r="G45" s="6" t="n">
        <v>254</v>
      </c>
      <c r="H45" s="7" t="inlineStr"/>
      <c r="I45" s="7" t="inlineStr"/>
      <c r="J45" s="7" t="inlineStr"/>
      <c r="K45" s="7" t="inlineStr"/>
      <c r="L45" s="6" t="n">
        <v>94.5</v>
      </c>
      <c r="M45" s="7" t="inlineStr"/>
      <c r="N45" s="7" t="inlineStr"/>
      <c r="O45" s="7" t="inlineStr"/>
      <c r="P45" s="8">
        <f>SUM(L45:O45)</f>
        <v/>
      </c>
      <c r="Q45" s="8">
        <f>G45+H45+I45+J45+K45</f>
        <v/>
      </c>
      <c r="R45" s="8">
        <f>IF(P45=0,"",ROUND(Q45/P45,1))</f>
        <v/>
      </c>
      <c r="S45" s="6">
        <f>IFERROR(VLOOKUP(A45,Параметры!$A$4:$D$6,4,FALSE),0)</f>
        <v/>
      </c>
      <c r="T45" s="8">
        <f>IF(P45=0,0,MAX(0,ROUND(P45*(2+1)-Q45,0)))</f>
        <v/>
      </c>
      <c r="U45" s="8">
        <f>IF(P45=0,"нет продаж",IF(R45="","",IF(R45&lt;3,"ГОРИТ",IF(R45&gt;12,"затоварен","норм"))))</f>
        <v/>
      </c>
    </row>
    <row r="46">
      <c r="A46" s="6" t="inlineStr">
        <is>
          <t>косметика</t>
        </is>
      </c>
      <c r="B46" s="6" t="inlineStr">
        <is>
          <t>PETITFEE - Cacao Energizing Hydrogel Mask Pack [5pcs] / Тонизирующая гидрогелевая маска для лица с экстрактом какао</t>
        </is>
      </c>
      <c r="C46" s="6" t="n">
        <v>226115248</v>
      </c>
      <c r="D46" s="6" t="inlineStr"/>
      <c r="E46" s="6" t="inlineStr">
        <is>
          <t>20398718335830</t>
        </is>
      </c>
      <c r="F46" s="6" t="n">
        <v>497</v>
      </c>
      <c r="G46" s="6" t="n">
        <v>399</v>
      </c>
      <c r="H46" s="7" t="inlineStr"/>
      <c r="I46" s="7" t="inlineStr"/>
      <c r="J46" s="7" t="inlineStr"/>
      <c r="K46" s="7" t="inlineStr"/>
      <c r="L46" s="6" t="n">
        <v>88</v>
      </c>
      <c r="M46" s="7" t="inlineStr"/>
      <c r="N46" s="7" t="inlineStr"/>
      <c r="O46" s="7" t="inlineStr"/>
      <c r="P46" s="8">
        <f>SUM(L46:O46)</f>
        <v/>
      </c>
      <c r="Q46" s="8">
        <f>G46+H46+I46+J46+K46</f>
        <v/>
      </c>
      <c r="R46" s="8">
        <f>IF(P46=0,"",ROUND(Q46/P46,1))</f>
        <v/>
      </c>
      <c r="S46" s="6">
        <f>IFERROR(VLOOKUP(A46,Параметры!$A$4:$D$6,4,FALSE),0)</f>
        <v/>
      </c>
      <c r="T46" s="8">
        <f>IF(P46=0,0,MAX(0,ROUND(P46*(2+1)-Q46,0)))</f>
        <v/>
      </c>
      <c r="U46" s="8">
        <f>IF(P46=0,"нет продаж",IF(R46="","",IF(R46&lt;3,"ГОРИТ",IF(R46&gt;12,"затоварен","норм"))))</f>
        <v/>
      </c>
    </row>
    <row r="47">
      <c r="A47" s="6" t="inlineStr">
        <is>
          <t>косметика</t>
        </is>
      </c>
      <c r="B47" s="6" t="inlineStr">
        <is>
          <t>CELIMAX THE VITA-A RETINOL SHOT TIGHTENING SERUM [30ml]/Сыворотка с ретинолом и микроиглами для лица</t>
        </is>
      </c>
      <c r="C47" s="6" t="n">
        <v>551465879</v>
      </c>
      <c r="D47" s="6" t="inlineStr"/>
      <c r="E47" s="6" t="inlineStr">
        <is>
          <t>20464055069500</t>
        </is>
      </c>
      <c r="F47" s="6" t="n">
        <v>532</v>
      </c>
      <c r="G47" s="6" t="n">
        <v>2217</v>
      </c>
      <c r="H47" s="7" t="inlineStr"/>
      <c r="I47" s="7" t="inlineStr"/>
      <c r="J47" s="7" t="inlineStr"/>
      <c r="K47" s="7" t="inlineStr"/>
      <c r="L47" s="6" t="n">
        <v>86.90000000000001</v>
      </c>
      <c r="M47" s="7" t="inlineStr"/>
      <c r="N47" s="7" t="inlineStr"/>
      <c r="O47" s="7" t="inlineStr"/>
      <c r="P47" s="8">
        <f>SUM(L47:O47)</f>
        <v/>
      </c>
      <c r="Q47" s="8">
        <f>G47+H47+I47+J47+K47</f>
        <v/>
      </c>
      <c r="R47" s="8">
        <f>IF(P47=0,"",ROUND(Q47/P47,1))</f>
        <v/>
      </c>
      <c r="S47" s="6">
        <f>IFERROR(VLOOKUP(A47,Параметры!$A$4:$D$6,4,FALSE),0)</f>
        <v/>
      </c>
      <c r="T47" s="8">
        <f>IF(P47=0,0,MAX(0,ROUND(P47*(2+1)-Q47,0)))</f>
        <v/>
      </c>
      <c r="U47" s="8">
        <f>IF(P47=0,"нет продаж",IF(R47="","",IF(R47&lt;3,"ГОРИТ",IF(R47&gt;12,"затоварен","норм"))))</f>
        <v/>
      </c>
    </row>
    <row r="48">
      <c r="A48" s="6" t="inlineStr">
        <is>
          <t>косметика</t>
        </is>
      </c>
      <c r="B48" s="6" t="inlineStr">
        <is>
          <t>ENOUGH - Collagen Moisture Foundation [Tone 21] / Тональный крем для лица с коллагеном 21 тон</t>
        </is>
      </c>
      <c r="C48" s="6" t="n">
        <v>150925322</v>
      </c>
      <c r="D48" s="6" t="inlineStr"/>
      <c r="E48" s="6" t="inlineStr">
        <is>
          <t>20375845248590</t>
        </is>
      </c>
      <c r="F48" s="6" t="n">
        <v>243</v>
      </c>
      <c r="G48" s="6" t="n">
        <v>198</v>
      </c>
      <c r="H48" s="7" t="inlineStr"/>
      <c r="I48" s="7" t="inlineStr"/>
      <c r="J48" s="7" t="inlineStr"/>
      <c r="K48" s="7" t="inlineStr"/>
      <c r="L48" s="6" t="n">
        <v>85.8</v>
      </c>
      <c r="M48" s="7" t="inlineStr"/>
      <c r="N48" s="7" t="inlineStr"/>
      <c r="O48" s="7" t="inlineStr"/>
      <c r="P48" s="8">
        <f>SUM(L48:O48)</f>
        <v/>
      </c>
      <c r="Q48" s="8">
        <f>G48+H48+I48+J48+K48</f>
        <v/>
      </c>
      <c r="R48" s="8">
        <f>IF(P48=0,"",ROUND(Q48/P48,1))</f>
        <v/>
      </c>
      <c r="S48" s="6">
        <f>IFERROR(VLOOKUP(A48,Параметры!$A$4:$D$6,4,FALSE),0)</f>
        <v/>
      </c>
      <c r="T48" s="8">
        <f>IF(P48=0,0,MAX(0,ROUND(P48*(2+1)-Q48,0)))</f>
        <v/>
      </c>
      <c r="U48" s="8">
        <f>IF(P48=0,"нет продаж",IF(R48="","",IF(R48&lt;3,"ГОРИТ",IF(R48&gt;12,"затоварен","норм"))))</f>
        <v/>
      </c>
    </row>
    <row r="49">
      <c r="A49" s="6" t="inlineStr">
        <is>
          <t>косметика</t>
        </is>
      </c>
      <c r="B49" s="6" t="inlineStr">
        <is>
          <t>PETITFEE - Black Pearl &amp; Gold Hydrogel Mask Pack [5pcs] / Гидрогелевая маска для лица с черным жемчугом и золотом</t>
        </is>
      </c>
      <c r="C49" s="6" t="n">
        <v>226115478</v>
      </c>
      <c r="D49" s="6" t="inlineStr"/>
      <c r="E49" s="6" t="inlineStr">
        <is>
          <t>20398718881180</t>
        </is>
      </c>
      <c r="F49" s="6" t="n">
        <v>478</v>
      </c>
      <c r="G49" s="6" t="n">
        <v>292</v>
      </c>
      <c r="H49" s="7" t="inlineStr"/>
      <c r="I49" s="7" t="inlineStr"/>
      <c r="J49" s="7" t="inlineStr"/>
      <c r="K49" s="7" t="inlineStr"/>
      <c r="L49" s="6" t="n">
        <v>85.8</v>
      </c>
      <c r="M49" s="7" t="inlineStr"/>
      <c r="N49" s="7" t="inlineStr"/>
      <c r="O49" s="7" t="inlineStr"/>
      <c r="P49" s="8">
        <f>SUM(L49:O49)</f>
        <v/>
      </c>
      <c r="Q49" s="8">
        <f>G49+H49+I49+J49+K49</f>
        <v/>
      </c>
      <c r="R49" s="8">
        <f>IF(P49=0,"",ROUND(Q49/P49,1))</f>
        <v/>
      </c>
      <c r="S49" s="6">
        <f>IFERROR(VLOOKUP(A49,Параметры!$A$4:$D$6,4,FALSE),0)</f>
        <v/>
      </c>
      <c r="T49" s="8">
        <f>IF(P49=0,0,MAX(0,ROUND(P49*(2+1)-Q49,0)))</f>
        <v/>
      </c>
      <c r="U49" s="8">
        <f>IF(P49=0,"нет продаж",IF(R49="","",IF(R49&lt;3,"ГОРИТ",IF(R49&gt;12,"затоварен","норм"))))</f>
        <v/>
      </c>
    </row>
    <row r="50">
      <c r="A50" s="6" t="inlineStr">
        <is>
          <t>косметика</t>
        </is>
      </c>
      <c r="B50" s="6" t="inlineStr">
        <is>
          <t>ENOUGH - Collagen 3in1 Whitening Moisture Foundation [Tone 13] / Тональный крем для лица с коллагеном 3в1 [13 тон]</t>
        </is>
      </c>
      <c r="C50" s="6" t="n">
        <v>151132051</v>
      </c>
      <c r="D50" s="6" t="inlineStr"/>
      <c r="E50" s="6" t="inlineStr">
        <is>
          <t>20375847265980</t>
        </is>
      </c>
      <c r="F50" s="6" t="n">
        <v>238</v>
      </c>
      <c r="G50" s="6" t="n">
        <v>0</v>
      </c>
      <c r="H50" s="7" t="inlineStr"/>
      <c r="I50" s="7" t="inlineStr"/>
      <c r="J50" s="7" t="inlineStr"/>
      <c r="K50" s="7" t="inlineStr"/>
      <c r="L50" s="6" t="n">
        <v>83.59999999999999</v>
      </c>
      <c r="M50" s="7" t="inlineStr"/>
      <c r="N50" s="7" t="inlineStr"/>
      <c r="O50" s="7" t="inlineStr"/>
      <c r="P50" s="8">
        <f>SUM(L50:O50)</f>
        <v/>
      </c>
      <c r="Q50" s="8">
        <f>G50+H50+I50+J50+K50</f>
        <v/>
      </c>
      <c r="R50" s="8">
        <f>IF(P50=0,"",ROUND(Q50/P50,1))</f>
        <v/>
      </c>
      <c r="S50" s="6">
        <f>IFERROR(VLOOKUP(A50,Параметры!$A$4:$D$6,4,FALSE),0)</f>
        <v/>
      </c>
      <c r="T50" s="8">
        <f>IF(P50=0,0,MAX(0,ROUND(P50*(2+1)-Q50,0)))</f>
        <v/>
      </c>
      <c r="U50" s="8">
        <f>IF(P50=0,"нет продаж",IF(R50="","",IF(R50&lt;3,"ГОРИТ",IF(R50&gt;12,"затоварен","норм"))))</f>
        <v/>
      </c>
    </row>
    <row r="51">
      <c r="A51" s="6" t="inlineStr">
        <is>
          <t>косметика</t>
        </is>
      </c>
      <c r="B51" s="6" t="inlineStr">
        <is>
          <t>EKEL - Ampule Сream Сollagen [70ml] / Крем для лица ампульный с коллагеном</t>
        </is>
      </c>
      <c r="C51" s="6" t="n">
        <v>208202076</v>
      </c>
      <c r="D51" s="6" t="inlineStr"/>
      <c r="E51" s="6" t="inlineStr">
        <is>
          <t>20394654760730</t>
        </is>
      </c>
      <c r="F51" s="6" t="n">
        <v>142</v>
      </c>
      <c r="G51" s="6" t="n">
        <v>0</v>
      </c>
      <c r="H51" s="7" t="inlineStr"/>
      <c r="I51" s="7" t="inlineStr"/>
      <c r="J51" s="7" t="inlineStr"/>
      <c r="K51" s="7" t="inlineStr"/>
      <c r="L51" s="6" t="n">
        <v>68.40000000000001</v>
      </c>
      <c r="M51" s="7" t="inlineStr"/>
      <c r="N51" s="7" t="inlineStr"/>
      <c r="O51" s="7" t="inlineStr"/>
      <c r="P51" s="8">
        <f>SUM(L51:O51)</f>
        <v/>
      </c>
      <c r="Q51" s="8">
        <f>G51+H51+I51+J51+K51</f>
        <v/>
      </c>
      <c r="R51" s="8">
        <f>IF(P51=0,"",ROUND(Q51/P51,1))</f>
        <v/>
      </c>
      <c r="S51" s="6">
        <f>IFERROR(VLOOKUP(A51,Параметры!$A$4:$D$6,4,FALSE),0)</f>
        <v/>
      </c>
      <c r="T51" s="8">
        <f>IF(P51=0,0,MAX(0,ROUND(P51*(2+1)-Q51,0)))</f>
        <v/>
      </c>
      <c r="U51" s="8">
        <f>IF(P51=0,"нет продаж",IF(R51="","",IF(R51&lt;3,"ГОРИТ",IF(R51&gt;12,"затоварен","норм"))))</f>
        <v/>
      </c>
    </row>
    <row r="52">
      <c r="A52" s="6" t="inlineStr">
        <is>
          <t>косметика</t>
        </is>
      </c>
      <c r="B52" s="6" t="inlineStr">
        <is>
          <t>ELIZAVECCA - CER-100 Collagen Ceramide Coating Protein Treatment [100ml] / Коллагеновая маска для волос</t>
        </is>
      </c>
      <c r="C52" s="6" t="n">
        <v>207796350</v>
      </c>
      <c r="D52" s="6" t="inlineStr"/>
      <c r="E52" s="6" t="inlineStr">
        <is>
          <t>20394592339720</t>
        </is>
      </c>
      <c r="F52" s="6" t="n">
        <v>242</v>
      </c>
      <c r="G52" s="6" t="n">
        <v>340</v>
      </c>
      <c r="H52" s="7" t="inlineStr"/>
      <c r="I52" s="7" t="inlineStr"/>
      <c r="J52" s="7" t="inlineStr"/>
      <c r="K52" s="7" t="inlineStr"/>
      <c r="L52" s="6" t="n">
        <v>61.9</v>
      </c>
      <c r="M52" s="7" t="inlineStr"/>
      <c r="N52" s="7" t="inlineStr"/>
      <c r="O52" s="7" t="inlineStr"/>
      <c r="P52" s="8">
        <f>SUM(L52:O52)</f>
        <v/>
      </c>
      <c r="Q52" s="8">
        <f>G52+H52+I52+J52+K52</f>
        <v/>
      </c>
      <c r="R52" s="8">
        <f>IF(P52=0,"",ROUND(Q52/P52,1))</f>
        <v/>
      </c>
      <c r="S52" s="6">
        <f>IFERROR(VLOOKUP(A52,Параметры!$A$4:$D$6,4,FALSE),0)</f>
        <v/>
      </c>
      <c r="T52" s="8">
        <f>IF(P52=0,0,MAX(0,ROUND(P52*(2+1)-Q52,0)))</f>
        <v/>
      </c>
      <c r="U52" s="8">
        <f>IF(P52=0,"нет продаж",IF(R52="","",IF(R52&lt;3,"ГОРИТ",IF(R52&gt;12,"затоварен","норм"))))</f>
        <v/>
      </c>
    </row>
    <row r="53">
      <c r="A53" s="6" t="inlineStr">
        <is>
          <t>косметика</t>
        </is>
      </c>
      <c r="B53" s="6" t="inlineStr">
        <is>
          <t>PETITFEE - Gold Hydrogel Mask Pack [5pcs] / Гидрогелевая маска для лица с золотом</t>
        </is>
      </c>
      <c r="C53" s="6" t="n">
        <v>226114935</v>
      </c>
      <c r="D53" s="6" t="inlineStr"/>
      <c r="E53" s="6" t="inlineStr">
        <is>
          <t>20398717786620</t>
        </is>
      </c>
      <c r="F53" s="6" t="n">
        <v>507</v>
      </c>
      <c r="G53" s="6" t="n">
        <v>529</v>
      </c>
      <c r="H53" s="7" t="inlineStr"/>
      <c r="I53" s="7" t="inlineStr"/>
      <c r="J53" s="7" t="inlineStr"/>
      <c r="K53" s="7" t="inlineStr"/>
      <c r="L53" s="6" t="n">
        <v>61.9</v>
      </c>
      <c r="M53" s="7" t="inlineStr"/>
      <c r="N53" s="7" t="inlineStr"/>
      <c r="O53" s="7" t="inlineStr"/>
      <c r="P53" s="8">
        <f>SUM(L53:O53)</f>
        <v/>
      </c>
      <c r="Q53" s="8">
        <f>G53+H53+I53+J53+K53</f>
        <v/>
      </c>
      <c r="R53" s="8">
        <f>IF(P53=0,"",ROUND(Q53/P53,1))</f>
        <v/>
      </c>
      <c r="S53" s="6">
        <f>IFERROR(VLOOKUP(A53,Параметры!$A$4:$D$6,4,FALSE),0)</f>
        <v/>
      </c>
      <c r="T53" s="8">
        <f>IF(P53=0,0,MAX(0,ROUND(P53*(2+1)-Q53,0)))</f>
        <v/>
      </c>
      <c r="U53" s="8">
        <f>IF(P53=0,"нет продаж",IF(R53="","",IF(R53&lt;3,"ГОРИТ",IF(R53&gt;12,"затоварен","норм"))))</f>
        <v/>
      </c>
    </row>
    <row r="54">
      <c r="A54" s="6" t="inlineStr">
        <is>
          <t>косметика</t>
        </is>
      </c>
      <c r="B54" s="6" t="inlineStr">
        <is>
          <t>HEIMISH - Artless Glow Base SPF50+ PA+++(Renew) [40ml] / База под макияж SPF50+ PA+++</t>
        </is>
      </c>
      <c r="C54" s="6" t="n">
        <v>207466866</v>
      </c>
      <c r="D54" s="6" t="inlineStr"/>
      <c r="E54" s="6" t="inlineStr">
        <is>
          <t>20394548529180</t>
        </is>
      </c>
      <c r="F54" s="6" t="n">
        <v>770</v>
      </c>
      <c r="G54" s="6" t="n">
        <v>930</v>
      </c>
      <c r="H54" s="7" t="inlineStr"/>
      <c r="I54" s="7" t="inlineStr"/>
      <c r="J54" s="7" t="inlineStr"/>
      <c r="K54" s="7" t="inlineStr"/>
      <c r="L54" s="6" t="n">
        <v>60.8</v>
      </c>
      <c r="M54" s="7" t="inlineStr"/>
      <c r="N54" s="7" t="inlineStr"/>
      <c r="O54" s="7" t="inlineStr"/>
      <c r="P54" s="8">
        <f>SUM(L54:O54)</f>
        <v/>
      </c>
      <c r="Q54" s="8">
        <f>G54+H54+I54+J54+K54</f>
        <v/>
      </c>
      <c r="R54" s="8">
        <f>IF(P54=0,"",ROUND(Q54/P54,1))</f>
        <v/>
      </c>
      <c r="S54" s="6">
        <f>IFERROR(VLOOKUP(A54,Параметры!$A$4:$D$6,4,FALSE),0)</f>
        <v/>
      </c>
      <c r="T54" s="8">
        <f>IF(P54=0,0,MAX(0,ROUND(P54*(2+1)-Q54,0)))</f>
        <v/>
      </c>
      <c r="U54" s="8">
        <f>IF(P54=0,"нет продаж",IF(R54="","",IF(R54&lt;3,"ГОРИТ",IF(R54&gt;12,"затоварен","норм"))))</f>
        <v/>
      </c>
    </row>
    <row r="55">
      <c r="A55" s="6" t="inlineStr">
        <is>
          <t>косметика</t>
        </is>
      </c>
      <c r="B55" s="6" t="inlineStr">
        <is>
          <t>LANEIGE LIP SLEEPING MASK-BERRY [3g]</t>
        </is>
      </c>
      <c r="C55" s="6" t="n">
        <v>868761530</v>
      </c>
      <c r="D55" s="6" t="inlineStr"/>
      <c r="E55" s="6" t="inlineStr">
        <is>
          <t>20494792967720</t>
        </is>
      </c>
      <c r="F55" s="6" t="n">
        <v>131</v>
      </c>
      <c r="G55" s="6" t="n">
        <v>226</v>
      </c>
      <c r="H55" s="7" t="inlineStr"/>
      <c r="I55" s="7" t="inlineStr"/>
      <c r="J55" s="7" t="inlineStr"/>
      <c r="K55" s="7" t="inlineStr"/>
      <c r="L55" s="6" t="n">
        <v>60.8</v>
      </c>
      <c r="M55" s="7" t="inlineStr"/>
      <c r="N55" s="7" t="inlineStr"/>
      <c r="O55" s="7" t="inlineStr"/>
      <c r="P55" s="8">
        <f>SUM(L55:O55)</f>
        <v/>
      </c>
      <c r="Q55" s="8">
        <f>G55+H55+I55+J55+K55</f>
        <v/>
      </c>
      <c r="R55" s="8">
        <f>IF(P55=0,"",ROUND(Q55/P55,1))</f>
        <v/>
      </c>
      <c r="S55" s="6">
        <f>IFERROR(VLOOKUP(A55,Параметры!$A$4:$D$6,4,FALSE),0)</f>
        <v/>
      </c>
      <c r="T55" s="8">
        <f>IF(P55=0,0,MAX(0,ROUND(P55*(2+1)-Q55,0)))</f>
        <v/>
      </c>
      <c r="U55" s="8">
        <f>IF(P55=0,"нет продаж",IF(R55="","",IF(R55&lt;3,"ГОРИТ",IF(R55&gt;12,"затоварен","норм"))))</f>
        <v/>
      </c>
    </row>
    <row r="56">
      <c r="A56" s="6" t="inlineStr">
        <is>
          <t>косметика</t>
        </is>
      </c>
      <c r="B56" s="6" t="inlineStr">
        <is>
          <t>MANYO - Galac Whitening Vita Serum [50ml] / Осветляющая сыворотка с Витамином C</t>
        </is>
      </c>
      <c r="C56" s="6" t="n">
        <v>198156472</v>
      </c>
      <c r="D56" s="6" t="inlineStr"/>
      <c r="E56" s="6" t="inlineStr">
        <is>
          <t>20392394950400</t>
        </is>
      </c>
      <c r="F56" s="6" t="n">
        <v>647</v>
      </c>
      <c r="G56" s="6" t="n">
        <v>639</v>
      </c>
      <c r="H56" s="7" t="inlineStr"/>
      <c r="I56" s="7" t="inlineStr"/>
      <c r="J56" s="7" t="inlineStr"/>
      <c r="K56" s="7" t="inlineStr"/>
      <c r="L56" s="6" t="n">
        <v>60.8</v>
      </c>
      <c r="M56" s="7" t="inlineStr"/>
      <c r="N56" s="7" t="inlineStr"/>
      <c r="O56" s="7" t="inlineStr"/>
      <c r="P56" s="8">
        <f>SUM(L56:O56)</f>
        <v/>
      </c>
      <c r="Q56" s="8">
        <f>G56+H56+I56+J56+K56</f>
        <v/>
      </c>
      <c r="R56" s="8">
        <f>IF(P56=0,"",ROUND(Q56/P56,1))</f>
        <v/>
      </c>
      <c r="S56" s="6">
        <f>IFERROR(VLOOKUP(A56,Параметры!$A$4:$D$6,4,FALSE),0)</f>
        <v/>
      </c>
      <c r="T56" s="8">
        <f>IF(P56=0,0,MAX(0,ROUND(P56*(2+1)-Q56,0)))</f>
        <v/>
      </c>
      <c r="U56" s="8">
        <f>IF(P56=0,"нет продаж",IF(R56="","",IF(R56&lt;3,"ГОРИТ",IF(R56&gt;12,"затоварен","норм"))))</f>
        <v/>
      </c>
    </row>
    <row r="57">
      <c r="A57" s="6" t="inlineStr">
        <is>
          <t>косметика</t>
        </is>
      </c>
      <c r="B57" s="6" t="inlineStr">
        <is>
          <t>PETITFEE - Artichoke Soothing Hydrogel Eye Patch [60ea] / Смягчающие гидрогелевые патчи для глаз с экстрактом артишока</t>
        </is>
      </c>
      <c r="C57" s="6" t="n">
        <v>179611278</v>
      </c>
      <c r="D57" s="6" t="inlineStr"/>
      <c r="E57" s="6" t="inlineStr">
        <is>
          <t>20387078743940</t>
        </is>
      </c>
      <c r="F57" s="6" t="n">
        <v>415</v>
      </c>
      <c r="G57" s="6" t="n">
        <v>156</v>
      </c>
      <c r="H57" s="7" t="inlineStr"/>
      <c r="I57" s="7" t="inlineStr"/>
      <c r="J57" s="7" t="inlineStr"/>
      <c r="K57" s="7" t="inlineStr"/>
      <c r="L57" s="6" t="n">
        <v>60.8</v>
      </c>
      <c r="M57" s="7" t="inlineStr"/>
      <c r="N57" s="7" t="inlineStr"/>
      <c r="O57" s="7" t="inlineStr"/>
      <c r="P57" s="8">
        <f>SUM(L57:O57)</f>
        <v/>
      </c>
      <c r="Q57" s="8">
        <f>G57+H57+I57+J57+K57</f>
        <v/>
      </c>
      <c r="R57" s="8">
        <f>IF(P57=0,"",ROUND(Q57/P57,1))</f>
        <v/>
      </c>
      <c r="S57" s="6">
        <f>IFERROR(VLOOKUP(A57,Параметры!$A$4:$D$6,4,FALSE),0)</f>
        <v/>
      </c>
      <c r="T57" s="8">
        <f>IF(P57=0,0,MAX(0,ROUND(P57*(2+1)-Q57,0)))</f>
        <v/>
      </c>
      <c r="U57" s="8">
        <f>IF(P57=0,"нет продаж",IF(R57="","",IF(R57&lt;3,"ГОРИТ",IF(R57&gt;12,"затоварен","норм"))))</f>
        <v/>
      </c>
    </row>
    <row r="58">
      <c r="A58" s="6" t="inlineStr">
        <is>
          <t>косметика</t>
        </is>
      </c>
      <c r="B58" s="6" t="inlineStr">
        <is>
          <t>JIGOTT - Birds Nest Firming Cream [70ml] / Антивозрастной крем с экстрактом ласточкиного гнезда</t>
        </is>
      </c>
      <c r="C58" s="6" t="n">
        <v>207483780</v>
      </c>
      <c r="D58" s="6" t="inlineStr"/>
      <c r="E58" s="6" t="inlineStr">
        <is>
          <t>20394552263740</t>
        </is>
      </c>
      <c r="F58" s="6" t="n">
        <v>202</v>
      </c>
      <c r="G58" s="6" t="n">
        <v>1598</v>
      </c>
      <c r="H58" s="7" t="inlineStr"/>
      <c r="I58" s="7" t="inlineStr"/>
      <c r="J58" s="7" t="inlineStr"/>
      <c r="K58" s="7" t="inlineStr"/>
      <c r="L58" s="6" t="n">
        <v>57.6</v>
      </c>
      <c r="M58" s="7" t="inlineStr"/>
      <c r="N58" s="7" t="inlineStr"/>
      <c r="O58" s="7" t="inlineStr"/>
      <c r="P58" s="8">
        <f>SUM(L58:O58)</f>
        <v/>
      </c>
      <c r="Q58" s="8">
        <f>G58+H58+I58+J58+K58</f>
        <v/>
      </c>
      <c r="R58" s="8">
        <f>IF(P58=0,"",ROUND(Q58/P58,1))</f>
        <v/>
      </c>
      <c r="S58" s="6">
        <f>IFERROR(VLOOKUP(A58,Параметры!$A$4:$D$6,4,FALSE),0)</f>
        <v/>
      </c>
      <c r="T58" s="8">
        <f>IF(P58=0,0,MAX(0,ROUND(P58*(2+1)-Q58,0)))</f>
        <v/>
      </c>
      <c r="U58" s="8">
        <f>IF(P58=0,"нет продаж",IF(R58="","",IF(R58&lt;3,"ГОРИТ",IF(R58&gt;12,"затоварен","норм"))))</f>
        <v/>
      </c>
    </row>
    <row r="59">
      <c r="A59" s="6" t="inlineStr">
        <is>
          <t>косметика</t>
        </is>
      </c>
      <c r="B59" s="6" t="inlineStr">
        <is>
          <t>JMSOLUTION - MASK PACK DISNEY [30ml*10ea]  - ассорти набор из 10шт</t>
        </is>
      </c>
      <c r="C59" s="6" t="n">
        <v>214964091</v>
      </c>
      <c r="D59" s="6" t="inlineStr"/>
      <c r="E59" s="6" t="inlineStr">
        <is>
          <t>20396103208170</t>
        </is>
      </c>
      <c r="F59" s="6" t="n">
        <v>463</v>
      </c>
      <c r="G59" s="6" t="n">
        <v>832</v>
      </c>
      <c r="H59" s="7" t="inlineStr"/>
      <c r="I59" s="7" t="inlineStr"/>
      <c r="J59" s="7" t="inlineStr"/>
      <c r="K59" s="7" t="inlineStr"/>
      <c r="L59" s="6" t="n">
        <v>56.5</v>
      </c>
      <c r="M59" s="7" t="inlineStr"/>
      <c r="N59" s="7" t="inlineStr"/>
      <c r="O59" s="7" t="inlineStr"/>
      <c r="P59" s="8">
        <f>SUM(L59:O59)</f>
        <v/>
      </c>
      <c r="Q59" s="8">
        <f>G59+H59+I59+J59+K59</f>
        <v/>
      </c>
      <c r="R59" s="8">
        <f>IF(P59=0,"",ROUND(Q59/P59,1))</f>
        <v/>
      </c>
      <c r="S59" s="6">
        <f>IFERROR(VLOOKUP(A59,Параметры!$A$4:$D$6,4,FALSE),0)</f>
        <v/>
      </c>
      <c r="T59" s="8">
        <f>IF(P59=0,0,MAX(0,ROUND(P59*(2+1)-Q59,0)))</f>
        <v/>
      </c>
      <c r="U59" s="8">
        <f>IF(P59=0,"нет продаж",IF(R59="","",IF(R59&lt;3,"ГОРИТ",IF(R59&gt;12,"затоварен","норм"))))</f>
        <v/>
      </c>
    </row>
    <row r="60">
      <c r="A60" s="6" t="inlineStr">
        <is>
          <t>косметика</t>
        </is>
      </c>
      <c r="B60" s="6" t="inlineStr">
        <is>
          <t>FARMSTAY - Collagen Water Full Moist Rolling Eye Serum [25ml] / Сыворотка роллер для глаз</t>
        </is>
      </c>
      <c r="C60" s="6" t="n">
        <v>212885914</v>
      </c>
      <c r="D60" s="6" t="inlineStr"/>
      <c r="E60" s="6" t="inlineStr">
        <is>
          <t>20395683768430</t>
        </is>
      </c>
      <c r="F60" s="6" t="n">
        <v>232</v>
      </c>
      <c r="G60" s="6" t="n">
        <v>156</v>
      </c>
      <c r="H60" s="7" t="inlineStr"/>
      <c r="I60" s="7" t="inlineStr"/>
      <c r="J60" s="7" t="inlineStr"/>
      <c r="K60" s="7" t="inlineStr"/>
      <c r="L60" s="6" t="n">
        <v>53.2</v>
      </c>
      <c r="M60" s="7" t="inlineStr"/>
      <c r="N60" s="7" t="inlineStr"/>
      <c r="O60" s="7" t="inlineStr"/>
      <c r="P60" s="8">
        <f>SUM(L60:O60)</f>
        <v/>
      </c>
      <c r="Q60" s="8">
        <f>G60+H60+I60+J60+K60</f>
        <v/>
      </c>
      <c r="R60" s="8">
        <f>IF(P60=0,"",ROUND(Q60/P60,1))</f>
        <v/>
      </c>
      <c r="S60" s="6">
        <f>IFERROR(VLOOKUP(A60,Параметры!$A$4:$D$6,4,FALSE),0)</f>
        <v/>
      </c>
      <c r="T60" s="8">
        <f>IF(P60=0,0,MAX(0,ROUND(P60*(2+1)-Q60,0)))</f>
        <v/>
      </c>
      <c r="U60" s="8">
        <f>IF(P60=0,"нет продаж",IF(R60="","",IF(R60&lt;3,"ГОРИТ",IF(R60&gt;12,"затоварен","норм"))))</f>
        <v/>
      </c>
    </row>
    <row r="61">
      <c r="A61" s="6" t="inlineStr">
        <is>
          <t>косметика</t>
        </is>
      </c>
      <c r="B61" s="6" t="inlineStr">
        <is>
          <t>FARMSTAY - Collagen Water Full Moist Cream [100g] / Увлажняющий крем с коллагеном</t>
        </is>
      </c>
      <c r="C61" s="6" t="n">
        <v>207477077</v>
      </c>
      <c r="D61" s="6" t="inlineStr"/>
      <c r="E61" s="6" t="inlineStr">
        <is>
          <t>20394551595280</t>
        </is>
      </c>
      <c r="F61" s="6" t="n">
        <v>484</v>
      </c>
      <c r="G61" s="6" t="n">
        <v>239</v>
      </c>
      <c r="H61" s="7" t="inlineStr"/>
      <c r="I61" s="7" t="inlineStr"/>
      <c r="J61" s="7" t="inlineStr"/>
      <c r="K61" s="7" t="inlineStr"/>
      <c r="L61" s="6" t="n">
        <v>53.2</v>
      </c>
      <c r="M61" s="7" t="inlineStr"/>
      <c r="N61" s="7" t="inlineStr"/>
      <c r="O61" s="7" t="inlineStr"/>
      <c r="P61" s="8">
        <f>SUM(L61:O61)</f>
        <v/>
      </c>
      <c r="Q61" s="8">
        <f>G61+H61+I61+J61+K61</f>
        <v/>
      </c>
      <c r="R61" s="8">
        <f>IF(P61=0,"",ROUND(Q61/P61,1))</f>
        <v/>
      </c>
      <c r="S61" s="6">
        <f>IFERROR(VLOOKUP(A61,Параметры!$A$4:$D$6,4,FALSE),0)</f>
        <v/>
      </c>
      <c r="T61" s="8">
        <f>IF(P61=0,0,MAX(0,ROUND(P61*(2+1)-Q61,0)))</f>
        <v/>
      </c>
      <c r="U61" s="8">
        <f>IF(P61=0,"нет продаж",IF(R61="","",IF(R61&lt;3,"ГОРИТ",IF(R61&gt;12,"затоварен","норм"))))</f>
        <v/>
      </c>
    </row>
    <row r="62">
      <c r="A62" s="6" t="inlineStr">
        <is>
          <t>косметика</t>
        </is>
      </c>
      <c r="B62" s="6" t="inlineStr">
        <is>
          <t>JMSOLUTION - MASK PACK BLACK [30ml*10ea] - ассорти набор 10шт в упаковке</t>
        </is>
      </c>
      <c r="C62" s="6" t="n">
        <v>214977901</v>
      </c>
      <c r="D62" s="6" t="inlineStr"/>
      <c r="E62" s="6" t="inlineStr">
        <is>
          <t>20396105658500</t>
        </is>
      </c>
      <c r="F62" s="6" t="n">
        <v>463</v>
      </c>
      <c r="G62" s="6" t="n">
        <v>980</v>
      </c>
      <c r="H62" s="7" t="inlineStr"/>
      <c r="I62" s="7" t="inlineStr"/>
      <c r="J62" s="7" t="inlineStr"/>
      <c r="K62" s="7" t="inlineStr"/>
      <c r="L62" s="6" t="n">
        <v>53.2</v>
      </c>
      <c r="M62" s="7" t="inlineStr"/>
      <c r="N62" s="7" t="inlineStr"/>
      <c r="O62" s="7" t="inlineStr"/>
      <c r="P62" s="8">
        <f>SUM(L62:O62)</f>
        <v/>
      </c>
      <c r="Q62" s="8">
        <f>G62+H62+I62+J62+K62</f>
        <v/>
      </c>
      <c r="R62" s="8">
        <f>IF(P62=0,"",ROUND(Q62/P62,1))</f>
        <v/>
      </c>
      <c r="S62" s="6">
        <f>IFERROR(VLOOKUP(A62,Параметры!$A$4:$D$6,4,FALSE),0)</f>
        <v/>
      </c>
      <c r="T62" s="8">
        <f>IF(P62=0,0,MAX(0,ROUND(P62*(2+1)-Q62,0)))</f>
        <v/>
      </c>
      <c r="U62" s="8">
        <f>IF(P62=0,"нет продаж",IF(R62="","",IF(R62&lt;3,"ГОРИТ",IF(R62&gt;12,"затоварен","норм"))))</f>
        <v/>
      </c>
    </row>
    <row r="63">
      <c r="A63" s="6" t="inlineStr">
        <is>
          <t>косметика</t>
        </is>
      </c>
      <c r="B63" s="6" t="inlineStr">
        <is>
          <t>ELIZAVECCA - Aqua Hyaluronic Acid Water Drop Cream / Увлажняющий крем для лица с гиалуроновой кислотой</t>
        </is>
      </c>
      <c r="C63" s="6" t="n">
        <v>207796563</v>
      </c>
      <c r="D63" s="6" t="inlineStr"/>
      <c r="E63" s="6" t="inlineStr">
        <is>
          <t>20394592417240</t>
        </is>
      </c>
      <c r="F63" s="6" t="n">
        <v>281</v>
      </c>
      <c r="G63" s="6" t="n">
        <v>0</v>
      </c>
      <c r="H63" s="7" t="inlineStr"/>
      <c r="I63" s="7" t="inlineStr"/>
      <c r="J63" s="7" t="inlineStr"/>
      <c r="K63" s="7" t="inlineStr"/>
      <c r="L63" s="6" t="n">
        <v>52.1</v>
      </c>
      <c r="M63" s="7" t="inlineStr"/>
      <c r="N63" s="7" t="inlineStr"/>
      <c r="O63" s="7" t="inlineStr"/>
      <c r="P63" s="8">
        <f>SUM(L63:O63)</f>
        <v/>
      </c>
      <c r="Q63" s="8">
        <f>G63+H63+I63+J63+K63</f>
        <v/>
      </c>
      <c r="R63" s="8">
        <f>IF(P63=0,"",ROUND(Q63/P63,1))</f>
        <v/>
      </c>
      <c r="S63" s="6">
        <f>IFERROR(VLOOKUP(A63,Параметры!$A$4:$D$6,4,FALSE),0)</f>
        <v/>
      </c>
      <c r="T63" s="8">
        <f>IF(P63=0,0,MAX(0,ROUND(P63*(2+1)-Q63,0)))</f>
        <v/>
      </c>
      <c r="U63" s="8">
        <f>IF(P63=0,"нет продаж",IF(R63="","",IF(R63&lt;3,"ГОРИТ",IF(R63&gt;12,"затоварен","норм"))))</f>
        <v/>
      </c>
    </row>
    <row r="64">
      <c r="A64" s="6" t="inlineStr">
        <is>
          <t>косметика</t>
        </is>
      </c>
      <c r="B64" s="6" t="inlineStr">
        <is>
          <t>DR. JART - Ctrl+A Teatreatment Toner [120ml] / Тонер тоник для лица увлажняющий с чайным деревом</t>
        </is>
      </c>
      <c r="C64" s="6" t="n">
        <v>199427475</v>
      </c>
      <c r="D64" s="6" t="inlineStr"/>
      <c r="E64" s="6" t="inlineStr">
        <is>
          <t>20392907511230</t>
        </is>
      </c>
      <c r="F64" s="6" t="n">
        <v>638</v>
      </c>
      <c r="G64" s="6" t="n">
        <v>1</v>
      </c>
      <c r="H64" s="7" t="inlineStr"/>
      <c r="I64" s="7" t="inlineStr"/>
      <c r="J64" s="7" t="inlineStr"/>
      <c r="K64" s="7" t="inlineStr"/>
      <c r="L64" s="6" t="n">
        <v>51.1</v>
      </c>
      <c r="M64" s="7" t="inlineStr"/>
      <c r="N64" s="7" t="inlineStr"/>
      <c r="O64" s="7" t="inlineStr"/>
      <c r="P64" s="8">
        <f>SUM(L64:O64)</f>
        <v/>
      </c>
      <c r="Q64" s="8">
        <f>G64+H64+I64+J64+K64</f>
        <v/>
      </c>
      <c r="R64" s="8">
        <f>IF(P64=0,"",ROUND(Q64/P64,1))</f>
        <v/>
      </c>
      <c r="S64" s="6">
        <f>IFERROR(VLOOKUP(A64,Параметры!$A$4:$D$6,4,FALSE),0)</f>
        <v/>
      </c>
      <c r="T64" s="8">
        <f>IF(P64=0,0,MAX(0,ROUND(P64*(2+1)-Q64,0)))</f>
        <v/>
      </c>
      <c r="U64" s="8">
        <f>IF(P64=0,"нет продаж",IF(R64="","",IF(R64&lt;3,"ГОРИТ",IF(R64&gt;12,"затоварен","норм"))))</f>
        <v/>
      </c>
    </row>
    <row r="65">
      <c r="A65" s="6" t="inlineStr">
        <is>
          <t>косметика</t>
        </is>
      </c>
      <c r="B65" s="6" t="inlineStr">
        <is>
          <t>PETITFEE - Bera Glucan Deep Firming Eye Patch [60ea] / Тканевые патчи для век увлажняющие</t>
        </is>
      </c>
      <c r="C65" s="6" t="n">
        <v>180988755</v>
      </c>
      <c r="D65" s="6" t="inlineStr"/>
      <c r="E65" s="6" t="inlineStr">
        <is>
          <t>20387545776990</t>
        </is>
      </c>
      <c r="F65" s="6" t="n">
        <v>487</v>
      </c>
      <c r="G65" s="6" t="n">
        <v>406</v>
      </c>
      <c r="H65" s="7" t="inlineStr"/>
      <c r="I65" s="7" t="inlineStr"/>
      <c r="J65" s="7" t="inlineStr"/>
      <c r="K65" s="7" t="inlineStr"/>
      <c r="L65" s="6" t="n">
        <v>43.4</v>
      </c>
      <c r="M65" s="7" t="inlineStr"/>
      <c r="N65" s="7" t="inlineStr"/>
      <c r="O65" s="7" t="inlineStr"/>
      <c r="P65" s="8">
        <f>SUM(L65:O65)</f>
        <v/>
      </c>
      <c r="Q65" s="8">
        <f>G65+H65+I65+J65+K65</f>
        <v/>
      </c>
      <c r="R65" s="8">
        <f>IF(P65=0,"",ROUND(Q65/P65,1))</f>
        <v/>
      </c>
      <c r="S65" s="6">
        <f>IFERROR(VLOOKUP(A65,Параметры!$A$4:$D$6,4,FALSE),0)</f>
        <v/>
      </c>
      <c r="T65" s="8">
        <f>IF(P65=0,0,MAX(0,ROUND(P65*(2+1)-Q65,0)))</f>
        <v/>
      </c>
      <c r="U65" s="8">
        <f>IF(P65=0,"нет продаж",IF(R65="","",IF(R65&lt;3,"ГОРИТ",IF(R65&gt;12,"затоварен","норм"))))</f>
        <v/>
      </c>
    </row>
    <row r="66">
      <c r="A66" s="6" t="inlineStr">
        <is>
          <t>косметика</t>
        </is>
      </c>
      <c r="B66" s="6" t="inlineStr">
        <is>
          <t>PETITFEE - MASK 6 (блек, агава, какао, артишок, голд, ромашка)</t>
        </is>
      </c>
      <c r="C66" s="6" t="n">
        <v>1175175447</v>
      </c>
      <c r="D66" s="6" t="inlineStr"/>
      <c r="E66" s="6" t="inlineStr">
        <is>
          <t>20524267374330</t>
        </is>
      </c>
      <c r="F66" s="6" t="n">
        <v>593</v>
      </c>
      <c r="G66" s="6" t="n">
        <v>106</v>
      </c>
      <c r="H66" s="7" t="inlineStr"/>
      <c r="I66" s="7" t="inlineStr"/>
      <c r="J66" s="7" t="inlineStr"/>
      <c r="K66" s="7" t="inlineStr"/>
      <c r="L66" s="6" t="n">
        <v>43.4</v>
      </c>
      <c r="M66" s="7" t="inlineStr"/>
      <c r="N66" s="7" t="inlineStr"/>
      <c r="O66" s="7" t="inlineStr"/>
      <c r="P66" s="8">
        <f>SUM(L66:O66)</f>
        <v/>
      </c>
      <c r="Q66" s="8">
        <f>G66+H66+I66+J66+K66</f>
        <v/>
      </c>
      <c r="R66" s="8">
        <f>IF(P66=0,"",ROUND(Q66/P66,1))</f>
        <v/>
      </c>
      <c r="S66" s="6">
        <f>IFERROR(VLOOKUP(A66,Параметры!$A$4:$D$6,4,FALSE),0)</f>
        <v/>
      </c>
      <c r="T66" s="8">
        <f>IF(P66=0,0,MAX(0,ROUND(P66*(2+1)-Q66,0)))</f>
        <v/>
      </c>
      <c r="U66" s="8">
        <f>IF(P66=0,"нет продаж",IF(R66="","",IF(R66&lt;3,"ГОРИТ",IF(R66&gt;12,"затоварен","норм"))))</f>
        <v/>
      </c>
    </row>
    <row r="67">
      <c r="A67" s="6" t="inlineStr">
        <is>
          <t>косметика</t>
        </is>
      </c>
      <c r="B67" s="6" t="inlineStr">
        <is>
          <t>ENOUGH Collagen whitening cover tip concealer #02 [9g]/Консилер для лица (основная карточка)</t>
        </is>
      </c>
      <c r="C67" s="6" t="n">
        <v>212889027</v>
      </c>
      <c r="D67" s="6" t="inlineStr"/>
      <c r="E67" s="6" t="inlineStr">
        <is>
          <t>20395684466450</t>
        </is>
      </c>
      <c r="F67" s="6" t="n">
        <v>183</v>
      </c>
      <c r="G67" s="6" t="n">
        <v>539</v>
      </c>
      <c r="H67" s="7" t="inlineStr"/>
      <c r="I67" s="7" t="inlineStr"/>
      <c r="J67" s="7" t="inlineStr"/>
      <c r="K67" s="7" t="inlineStr"/>
      <c r="L67" s="6" t="n">
        <v>42.4</v>
      </c>
      <c r="M67" s="7" t="inlineStr"/>
      <c r="N67" s="7" t="inlineStr"/>
      <c r="O67" s="7" t="inlineStr"/>
      <c r="P67" s="8">
        <f>SUM(L67:O67)</f>
        <v/>
      </c>
      <c r="Q67" s="8">
        <f>G67+H67+I67+J67+K67</f>
        <v/>
      </c>
      <c r="R67" s="8">
        <f>IF(P67=0,"",ROUND(Q67/P67,1))</f>
        <v/>
      </c>
      <c r="S67" s="6">
        <f>IFERROR(VLOOKUP(A67,Параметры!$A$4:$D$6,4,FALSE),0)</f>
        <v/>
      </c>
      <c r="T67" s="8">
        <f>IF(P67=0,0,MAX(0,ROUND(P67*(2+1)-Q67,0)))</f>
        <v/>
      </c>
      <c r="U67" s="8">
        <f>IF(P67=0,"нет продаж",IF(R67="","",IF(R67&lt;3,"ГОРИТ",IF(R67&gt;12,"затоварен","норм"))))</f>
        <v/>
      </c>
    </row>
    <row r="68">
      <c r="A68" s="6" t="inlineStr">
        <is>
          <t>косметика</t>
        </is>
      </c>
      <c r="B68" s="6" t="inlineStr">
        <is>
          <t>MANYO - Bifida Biome Complex Ampoule [50ml] / Антивозрастная сыворотка для лица</t>
        </is>
      </c>
      <c r="C68" s="6" t="n">
        <v>198147185</v>
      </c>
      <c r="D68" s="6" t="inlineStr"/>
      <c r="E68" s="6" t="inlineStr">
        <is>
          <t>20392392951450</t>
        </is>
      </c>
      <c r="F68" s="6" t="n">
        <v>900</v>
      </c>
      <c r="G68" s="6" t="n">
        <v>1246</v>
      </c>
      <c r="H68" s="7" t="inlineStr"/>
      <c r="I68" s="7" t="inlineStr"/>
      <c r="J68" s="7" t="inlineStr"/>
      <c r="K68" s="7" t="inlineStr"/>
      <c r="L68" s="6" t="n">
        <v>42.4</v>
      </c>
      <c r="M68" s="7" t="inlineStr"/>
      <c r="N68" s="7" t="inlineStr"/>
      <c r="O68" s="7" t="inlineStr"/>
      <c r="P68" s="8">
        <f>SUM(L68:O68)</f>
        <v/>
      </c>
      <c r="Q68" s="8">
        <f>G68+H68+I68+J68+K68</f>
        <v/>
      </c>
      <c r="R68" s="8">
        <f>IF(P68=0,"",ROUND(Q68/P68,1))</f>
        <v/>
      </c>
      <c r="S68" s="6">
        <f>IFERROR(VLOOKUP(A68,Параметры!$A$4:$D$6,4,FALSE),0)</f>
        <v/>
      </c>
      <c r="T68" s="8">
        <f>IF(P68=0,0,MAX(0,ROUND(P68*(2+1)-Q68,0)))</f>
        <v/>
      </c>
      <c r="U68" s="8">
        <f>IF(P68=0,"нет продаж",IF(R68="","",IF(R68&lt;3,"ГОРИТ",IF(R68&gt;12,"затоварен","норм"))))</f>
        <v/>
      </c>
    </row>
    <row r="69">
      <c r="A69" s="6" t="inlineStr">
        <is>
          <t>косметика</t>
        </is>
      </c>
      <c r="B69" s="6" t="inlineStr">
        <is>
          <t>PETITFEE - Gold Hydrogel Eye Patch [60ea] / гидрогелевые патчи для глаз с золотом</t>
        </is>
      </c>
      <c r="C69" s="6" t="n">
        <v>180711104</v>
      </c>
      <c r="D69" s="6" t="inlineStr"/>
      <c r="E69" s="6" t="inlineStr">
        <is>
          <t>20387461607170</t>
        </is>
      </c>
      <c r="F69" s="6" t="n">
        <v>415</v>
      </c>
      <c r="G69" s="6" t="n">
        <v>405</v>
      </c>
      <c r="H69" s="7" t="inlineStr"/>
      <c r="I69" s="7" t="inlineStr"/>
      <c r="J69" s="7" t="inlineStr"/>
      <c r="K69" s="7" t="inlineStr"/>
      <c r="L69" s="6" t="n">
        <v>39.1</v>
      </c>
      <c r="M69" s="7" t="inlineStr"/>
      <c r="N69" s="7" t="inlineStr"/>
      <c r="O69" s="7" t="inlineStr"/>
      <c r="P69" s="8">
        <f>SUM(L69:O69)</f>
        <v/>
      </c>
      <c r="Q69" s="8">
        <f>G69+H69+I69+J69+K69</f>
        <v/>
      </c>
      <c r="R69" s="8">
        <f>IF(P69=0,"",ROUND(Q69/P69,1))</f>
        <v/>
      </c>
      <c r="S69" s="6">
        <f>IFERROR(VLOOKUP(A69,Параметры!$A$4:$D$6,4,FALSE),0)</f>
        <v/>
      </c>
      <c r="T69" s="8">
        <f>IF(P69=0,0,MAX(0,ROUND(P69*(2+1)-Q69,0)))</f>
        <v/>
      </c>
      <c r="U69" s="8">
        <f>IF(P69=0,"нет продаж",IF(R69="","",IF(R69&lt;3,"ГОРИТ",IF(R69&gt;12,"затоварен","норм"))))</f>
        <v/>
      </c>
    </row>
    <row r="70">
      <c r="A70" s="6" t="inlineStr">
        <is>
          <t>косметика</t>
        </is>
      </c>
      <c r="B70" s="6" t="inlineStr">
        <is>
          <t>CELIMAX JI WOO GAE CICA BHA BLEMISH TONER PAD [170ml / 60pads]/Тонер-пэды от воспалений</t>
        </is>
      </c>
      <c r="C70" s="6" t="n">
        <v>551607905</v>
      </c>
      <c r="D70" s="6" t="inlineStr"/>
      <c r="E70" s="6" t="inlineStr">
        <is>
          <t>20464110663870</t>
        </is>
      </c>
      <c r="F70" s="6" t="n">
        <v>708</v>
      </c>
      <c r="G70" s="6" t="n">
        <v>1456</v>
      </c>
      <c r="H70" s="7" t="inlineStr"/>
      <c r="I70" s="7" t="inlineStr"/>
      <c r="J70" s="7" t="inlineStr"/>
      <c r="K70" s="7" t="inlineStr"/>
      <c r="L70" s="6" t="n">
        <v>39.1</v>
      </c>
      <c r="M70" s="7" t="inlineStr"/>
      <c r="N70" s="7" t="inlineStr"/>
      <c r="O70" s="7" t="inlineStr"/>
      <c r="P70" s="8">
        <f>SUM(L70:O70)</f>
        <v/>
      </c>
      <c r="Q70" s="8">
        <f>G70+H70+I70+J70+K70</f>
        <v/>
      </c>
      <c r="R70" s="8">
        <f>IF(P70=0,"",ROUND(Q70/P70,1))</f>
        <v/>
      </c>
      <c r="S70" s="6">
        <f>IFERROR(VLOOKUP(A70,Параметры!$A$4:$D$6,4,FALSE),0)</f>
        <v/>
      </c>
      <c r="T70" s="8">
        <f>IF(P70=0,0,MAX(0,ROUND(P70*(2+1)-Q70,0)))</f>
        <v/>
      </c>
      <c r="U70" s="8">
        <f>IF(P70=0,"нет продаж",IF(R70="","",IF(R70&lt;3,"ГОРИТ",IF(R70&gt;12,"затоварен","норм"))))</f>
        <v/>
      </c>
    </row>
    <row r="71">
      <c r="A71" s="6" t="inlineStr">
        <is>
          <t>косметика</t>
        </is>
      </c>
      <c r="B71" s="6" t="inlineStr">
        <is>
          <t>PETITFEE - Artichoke Soothing Hydrogel Face Mask [5pcs] / Смягчающая гидрогелевая маска для лица с экстрактом артишока</t>
        </is>
      </c>
      <c r="C71" s="6" t="n">
        <v>226114831</v>
      </c>
      <c r="D71" s="6" t="inlineStr"/>
      <c r="E71" s="6" t="inlineStr">
        <is>
          <t>20398717256110</t>
        </is>
      </c>
      <c r="F71" s="6" t="n">
        <v>499</v>
      </c>
      <c r="G71" s="6" t="n">
        <v>327</v>
      </c>
      <c r="H71" s="7" t="inlineStr"/>
      <c r="I71" s="7" t="inlineStr"/>
      <c r="J71" s="7" t="inlineStr"/>
      <c r="K71" s="7" t="inlineStr"/>
      <c r="L71" s="6" t="n">
        <v>36.9</v>
      </c>
      <c r="M71" s="7" t="inlineStr"/>
      <c r="N71" s="7" t="inlineStr"/>
      <c r="O71" s="7" t="inlineStr"/>
      <c r="P71" s="8">
        <f>SUM(L71:O71)</f>
        <v/>
      </c>
      <c r="Q71" s="8">
        <f>G71+H71+I71+J71+K71</f>
        <v/>
      </c>
      <c r="R71" s="8">
        <f>IF(P71=0,"",ROUND(Q71/P71,1))</f>
        <v/>
      </c>
      <c r="S71" s="6">
        <f>IFERROR(VLOOKUP(A71,Параметры!$A$4:$D$6,4,FALSE),0)</f>
        <v/>
      </c>
      <c r="T71" s="8">
        <f>IF(P71=0,0,MAX(0,ROUND(P71*(2+1)-Q71,0)))</f>
        <v/>
      </c>
      <c r="U71" s="8">
        <f>IF(P71=0,"нет продаж",IF(R71="","",IF(R71&lt;3,"ГОРИТ",IF(R71&gt;12,"затоварен","норм"))))</f>
        <v/>
      </c>
    </row>
    <row r="72">
      <c r="A72" s="6" t="inlineStr">
        <is>
          <t>косметика</t>
        </is>
      </c>
      <c r="B72" s="6" t="inlineStr">
        <is>
          <t xml:space="preserve">FARMSTAY - Collagen Pure Cleansing Foam [180ml]/Пенка для умывания </t>
        </is>
      </c>
      <c r="C72" s="6" t="n">
        <v>207476777</v>
      </c>
      <c r="D72" s="6" t="inlineStr"/>
      <c r="E72" s="6" t="inlineStr">
        <is>
          <t>20394551566570</t>
        </is>
      </c>
      <c r="F72" s="6" t="n">
        <v>161</v>
      </c>
      <c r="G72" s="6" t="n">
        <v>382</v>
      </c>
      <c r="H72" s="7" t="inlineStr"/>
      <c r="I72" s="7" t="inlineStr"/>
      <c r="J72" s="7" t="inlineStr"/>
      <c r="K72" s="7" t="inlineStr"/>
      <c r="L72" s="6" t="n">
        <v>35.8</v>
      </c>
      <c r="M72" s="7" t="inlineStr"/>
      <c r="N72" s="7" t="inlineStr"/>
      <c r="O72" s="7" t="inlineStr"/>
      <c r="P72" s="8">
        <f>SUM(L72:O72)</f>
        <v/>
      </c>
      <c r="Q72" s="8">
        <f>G72+H72+I72+J72+K72</f>
        <v/>
      </c>
      <c r="R72" s="8">
        <f>IF(P72=0,"",ROUND(Q72/P72,1))</f>
        <v/>
      </c>
      <c r="S72" s="6">
        <f>IFERROR(VLOOKUP(A72,Параметры!$A$4:$D$6,4,FALSE),0)</f>
        <v/>
      </c>
      <c r="T72" s="8">
        <f>IF(P72=0,0,MAX(0,ROUND(P72*(2+1)-Q72,0)))</f>
        <v/>
      </c>
      <c r="U72" s="8">
        <f>IF(P72=0,"нет продаж",IF(R72="","",IF(R72&lt;3,"ГОРИТ",IF(R72&gt;12,"затоварен","норм"))))</f>
        <v/>
      </c>
    </row>
    <row r="73">
      <c r="A73" s="6" t="inlineStr">
        <is>
          <t>косметика</t>
        </is>
      </c>
      <c r="B73" s="6" t="inlineStr">
        <is>
          <t>MANYO BIFIDA COMPLEX AMPOULE GEL CLEANSER [400ml] / Гель для умывания с бифидобактериями</t>
        </is>
      </c>
      <c r="C73" s="6" t="n">
        <v>868575374</v>
      </c>
      <c r="D73" s="6" t="inlineStr"/>
      <c r="E73" s="6" t="inlineStr">
        <is>
          <t>20494774384260</t>
        </is>
      </c>
      <c r="F73" s="6" t="n">
        <v>740</v>
      </c>
      <c r="G73" s="6" t="n">
        <v>477</v>
      </c>
      <c r="H73" s="7" t="inlineStr"/>
      <c r="I73" s="7" t="inlineStr"/>
      <c r="J73" s="7" t="inlineStr"/>
      <c r="K73" s="7" t="inlineStr"/>
      <c r="L73" s="6" t="n">
        <v>35.8</v>
      </c>
      <c r="M73" s="7" t="inlineStr"/>
      <c r="N73" s="7" t="inlineStr"/>
      <c r="O73" s="7" t="inlineStr"/>
      <c r="P73" s="8">
        <f>SUM(L73:O73)</f>
        <v/>
      </c>
      <c r="Q73" s="8">
        <f>G73+H73+I73+J73+K73</f>
        <v/>
      </c>
      <c r="R73" s="8">
        <f>IF(P73=0,"",ROUND(Q73/P73,1))</f>
        <v/>
      </c>
      <c r="S73" s="6">
        <f>IFERROR(VLOOKUP(A73,Параметры!$A$4:$D$6,4,FALSE),0)</f>
        <v/>
      </c>
      <c r="T73" s="8">
        <f>IF(P73=0,0,MAX(0,ROUND(P73*(2+1)-Q73,0)))</f>
        <v/>
      </c>
      <c r="U73" s="8">
        <f>IF(P73=0,"нет продаж",IF(R73="","",IF(R73&lt;3,"ГОРИТ",IF(R73&gt;12,"затоварен","норм"))))</f>
        <v/>
      </c>
    </row>
    <row r="74">
      <c r="A74" s="6" t="inlineStr">
        <is>
          <t>косметика</t>
        </is>
      </c>
      <c r="B74" s="6" t="inlineStr">
        <is>
          <t>JIGOTT - Collagen Healing Cream [100ml] / Крем для лица с коллагеном</t>
        </is>
      </c>
      <c r="C74" s="6" t="n">
        <v>212753217</v>
      </c>
      <c r="D74" s="6" t="inlineStr"/>
      <c r="E74" s="6" t="inlineStr">
        <is>
          <t>20395657726000</t>
        </is>
      </c>
      <c r="F74" s="6" t="n">
        <v>175</v>
      </c>
      <c r="G74" s="6" t="n">
        <v>0</v>
      </c>
      <c r="H74" s="7" t="inlineStr"/>
      <c r="I74" s="7" t="inlineStr"/>
      <c r="J74" s="7" t="inlineStr"/>
      <c r="K74" s="7" t="inlineStr"/>
      <c r="L74" s="6" t="n">
        <v>33.7</v>
      </c>
      <c r="M74" s="7" t="inlineStr"/>
      <c r="N74" s="7" t="inlineStr"/>
      <c r="O74" s="7" t="inlineStr"/>
      <c r="P74" s="8">
        <f>SUM(L74:O74)</f>
        <v/>
      </c>
      <c r="Q74" s="8">
        <f>G74+H74+I74+J74+K74</f>
        <v/>
      </c>
      <c r="R74" s="8">
        <f>IF(P74=0,"",ROUND(Q74/P74,1))</f>
        <v/>
      </c>
      <c r="S74" s="6">
        <f>IFERROR(VLOOKUP(A74,Параметры!$A$4:$D$6,4,FALSE),0)</f>
        <v/>
      </c>
      <c r="T74" s="8">
        <f>IF(P74=0,0,MAX(0,ROUND(P74*(2+1)-Q74,0)))</f>
        <v/>
      </c>
      <c r="U74" s="8">
        <f>IF(P74=0,"нет продаж",IF(R74="","",IF(R74&lt;3,"ГОРИТ",IF(R74&gt;12,"затоварен","норм"))))</f>
        <v/>
      </c>
    </row>
    <row r="75">
      <c r="A75" s="6" t="inlineStr">
        <is>
          <t>косметика</t>
        </is>
      </c>
      <c r="B75" s="6" t="inlineStr">
        <is>
          <t>ROUND LAB BIRCH JUICE MOISTURIZING CREAM_80ml -Увлажняющий крем  с березовым соком</t>
        </is>
      </c>
      <c r="C75" s="6" t="n">
        <v>437190353</v>
      </c>
      <c r="D75" s="6" t="inlineStr"/>
      <c r="E75" s="6" t="inlineStr">
        <is>
          <t>20443231009080</t>
        </is>
      </c>
      <c r="F75" s="6" t="n">
        <v>1093</v>
      </c>
      <c r="G75" s="6" t="n">
        <v>102</v>
      </c>
      <c r="H75" s="7" t="inlineStr"/>
      <c r="I75" s="7" t="inlineStr"/>
      <c r="J75" s="7" t="inlineStr"/>
      <c r="K75" s="7" t="inlineStr"/>
      <c r="L75" s="6" t="n">
        <v>33.7</v>
      </c>
      <c r="M75" s="7" t="inlineStr"/>
      <c r="N75" s="7" t="inlineStr"/>
      <c r="O75" s="7" t="inlineStr"/>
      <c r="P75" s="8">
        <f>SUM(L75:O75)</f>
        <v/>
      </c>
      <c r="Q75" s="8">
        <f>G75+H75+I75+J75+K75</f>
        <v/>
      </c>
      <c r="R75" s="8">
        <f>IF(P75=0,"",ROUND(Q75/P75,1))</f>
        <v/>
      </c>
      <c r="S75" s="6">
        <f>IFERROR(VLOOKUP(A75,Параметры!$A$4:$D$6,4,FALSE),0)</f>
        <v/>
      </c>
      <c r="T75" s="8">
        <f>IF(P75=0,0,MAX(0,ROUND(P75*(2+1)-Q75,0)))</f>
        <v/>
      </c>
      <c r="U75" s="8">
        <f>IF(P75=0,"нет продаж",IF(R75="","",IF(R75&lt;3,"ГОРИТ",IF(R75&gt;12,"затоварен","норм"))))</f>
        <v/>
      </c>
    </row>
    <row r="76">
      <c r="A76" s="6" t="inlineStr">
        <is>
          <t>косметика</t>
        </is>
      </c>
      <c r="B76" s="6" t="inlineStr">
        <is>
          <t>ROUND LAB MUGWORT CALMING CLEANSER_150ml - Очищающая пенка для умывания лица от прыщей и акне</t>
        </is>
      </c>
      <c r="C76" s="6" t="n">
        <v>437242640</v>
      </c>
      <c r="D76" s="6" t="inlineStr"/>
      <c r="E76" s="6" t="inlineStr">
        <is>
          <t>20443247061470</t>
        </is>
      </c>
      <c r="F76" s="6" t="n">
        <v>512</v>
      </c>
      <c r="G76" s="6" t="n">
        <v>1201</v>
      </c>
      <c r="H76" s="7" t="inlineStr"/>
      <c r="I76" s="7" t="inlineStr"/>
      <c r="J76" s="7" t="inlineStr"/>
      <c r="K76" s="7" t="inlineStr"/>
      <c r="L76" s="6" t="n">
        <v>31.5</v>
      </c>
      <c r="M76" s="7" t="inlineStr"/>
      <c r="N76" s="7" t="inlineStr"/>
      <c r="O76" s="7" t="inlineStr"/>
      <c r="P76" s="8">
        <f>SUM(L76:O76)</f>
        <v/>
      </c>
      <c r="Q76" s="8">
        <f>G76+H76+I76+J76+K76</f>
        <v/>
      </c>
      <c r="R76" s="8">
        <f>IF(P76=0,"",ROUND(Q76/P76,1))</f>
        <v/>
      </c>
      <c r="S76" s="6">
        <f>IFERROR(VLOOKUP(A76,Параметры!$A$4:$D$6,4,FALSE),0)</f>
        <v/>
      </c>
      <c r="T76" s="8">
        <f>IF(P76=0,0,MAX(0,ROUND(P76*(2+1)-Q76,0)))</f>
        <v/>
      </c>
      <c r="U76" s="8">
        <f>IF(P76=0,"нет продаж",IF(R76="","",IF(R76&lt;3,"ГОРИТ",IF(R76&gt;12,"затоварен","норм"))))</f>
        <v/>
      </c>
    </row>
    <row r="77">
      <c r="A77" s="6" t="inlineStr">
        <is>
          <t>косметика</t>
        </is>
      </c>
      <c r="B77" s="6" t="inlineStr">
        <is>
          <t>ENOUGH - Collagen Moisture BB Cream SPF47 PA+++ [50ml] / Увлажняющий BB крем с коллагеном</t>
        </is>
      </c>
      <c r="C77" s="6" t="n">
        <v>165002270</v>
      </c>
      <c r="D77" s="6" t="inlineStr"/>
      <c r="E77" s="6" t="inlineStr">
        <is>
          <t>20380160382720</t>
        </is>
      </c>
      <c r="F77" s="6" t="n">
        <v>189</v>
      </c>
      <c r="G77" s="6" t="n">
        <v>0</v>
      </c>
      <c r="H77" s="7" t="inlineStr"/>
      <c r="I77" s="7" t="inlineStr"/>
      <c r="J77" s="7" t="inlineStr"/>
      <c r="K77" s="7" t="inlineStr"/>
      <c r="L77" s="6" t="n">
        <v>29.3</v>
      </c>
      <c r="M77" s="7" t="inlineStr"/>
      <c r="N77" s="7" t="inlineStr"/>
      <c r="O77" s="7" t="inlineStr"/>
      <c r="P77" s="8">
        <f>SUM(L77:O77)</f>
        <v/>
      </c>
      <c r="Q77" s="8">
        <f>G77+H77+I77+J77+K77</f>
        <v/>
      </c>
      <c r="R77" s="8">
        <f>IF(P77=0,"",ROUND(Q77/P77,1))</f>
        <v/>
      </c>
      <c r="S77" s="6">
        <f>IFERROR(VLOOKUP(A77,Параметры!$A$4:$D$6,4,FALSE),0)</f>
        <v/>
      </c>
      <c r="T77" s="8">
        <f>IF(P77=0,0,MAX(0,ROUND(P77*(2+1)-Q77,0)))</f>
        <v/>
      </c>
      <c r="U77" s="8">
        <f>IF(P77=0,"нет продаж",IF(R77="","",IF(R77&lt;3,"ГОРИТ",IF(R77&gt;12,"затоварен","норм"))))</f>
        <v/>
      </c>
    </row>
    <row r="78">
      <c r="A78" s="6" t="inlineStr">
        <is>
          <t>косметика</t>
        </is>
      </c>
      <c r="B78" s="6" t="inlineStr">
        <is>
          <t>JIGOTT - Ассорти набор масок [27ml х 15]</t>
        </is>
      </c>
      <c r="C78" s="6" t="n">
        <v>255574453</v>
      </c>
      <c r="D78" s="6" t="inlineStr"/>
      <c r="E78" s="6" t="inlineStr">
        <is>
          <t>20410078804600</t>
        </is>
      </c>
      <c r="F78" s="6" t="n">
        <v>334</v>
      </c>
      <c r="G78" s="6" t="n">
        <v>1302</v>
      </c>
      <c r="H78" s="7" t="inlineStr"/>
      <c r="I78" s="7" t="inlineStr"/>
      <c r="J78" s="7" t="inlineStr"/>
      <c r="K78" s="7" t="inlineStr"/>
      <c r="L78" s="6" t="n">
        <v>29.3</v>
      </c>
      <c r="M78" s="7" t="inlineStr"/>
      <c r="N78" s="7" t="inlineStr"/>
      <c r="O78" s="7" t="inlineStr"/>
      <c r="P78" s="8">
        <f>SUM(L78:O78)</f>
        <v/>
      </c>
      <c r="Q78" s="8">
        <f>G78+H78+I78+J78+K78</f>
        <v/>
      </c>
      <c r="R78" s="8">
        <f>IF(P78=0,"",ROUND(Q78/P78,1))</f>
        <v/>
      </c>
      <c r="S78" s="6">
        <f>IFERROR(VLOOKUP(A78,Параметры!$A$4:$D$6,4,FALSE),0)</f>
        <v/>
      </c>
      <c r="T78" s="8">
        <f>IF(P78=0,0,MAX(0,ROUND(P78*(2+1)-Q78,0)))</f>
        <v/>
      </c>
      <c r="U78" s="8">
        <f>IF(P78=0,"нет продаж",IF(R78="","",IF(R78&lt;3,"ГОРИТ",IF(R78&gt;12,"затоварен","норм"))))</f>
        <v/>
      </c>
    </row>
    <row r="79">
      <c r="A79" s="6" t="inlineStr">
        <is>
          <t>косметика</t>
        </is>
      </c>
      <c r="B79" s="6" t="inlineStr">
        <is>
          <t>MANYO - Pure Cleansing Oil [200ml] / Гидрофильное масло для глубокого очищения</t>
        </is>
      </c>
      <c r="C79" s="6" t="n">
        <v>198156698</v>
      </c>
      <c r="D79" s="6" t="inlineStr"/>
      <c r="E79" s="6" t="inlineStr">
        <is>
          <t>20392395033250</t>
        </is>
      </c>
      <c r="F79" s="6" t="n">
        <v>853</v>
      </c>
      <c r="G79" s="6" t="n">
        <v>151</v>
      </c>
      <c r="H79" s="7" t="inlineStr"/>
      <c r="I79" s="7" t="inlineStr"/>
      <c r="J79" s="7" t="inlineStr"/>
      <c r="K79" s="7" t="inlineStr"/>
      <c r="L79" s="6" t="n">
        <v>29.3</v>
      </c>
      <c r="M79" s="7" t="inlineStr"/>
      <c r="N79" s="7" t="inlineStr"/>
      <c r="O79" s="7" t="inlineStr"/>
      <c r="P79" s="8">
        <f>SUM(L79:O79)</f>
        <v/>
      </c>
      <c r="Q79" s="8">
        <f>G79+H79+I79+J79+K79</f>
        <v/>
      </c>
      <c r="R79" s="8">
        <f>IF(P79=0,"",ROUND(Q79/P79,1))</f>
        <v/>
      </c>
      <c r="S79" s="6">
        <f>IFERROR(VLOOKUP(A79,Параметры!$A$4:$D$6,4,FALSE),0)</f>
        <v/>
      </c>
      <c r="T79" s="8">
        <f>IF(P79=0,0,MAX(0,ROUND(P79*(2+1)-Q79,0)))</f>
        <v/>
      </c>
      <c r="U79" s="8">
        <f>IF(P79=0,"нет продаж",IF(R79="","",IF(R79&lt;3,"ГОРИТ",IF(R79&gt;12,"затоварен","норм"))))</f>
        <v/>
      </c>
    </row>
    <row r="80">
      <c r="A80" s="6" t="inlineStr">
        <is>
          <t>косметика</t>
        </is>
      </c>
      <c r="B80" s="6" t="inlineStr">
        <is>
          <t>DEOPROCE SHAMPOO+BALSAM - BLACK GARLIC[2000ml]</t>
        </is>
      </c>
      <c r="C80" s="6" t="n">
        <v>214305722</v>
      </c>
      <c r="D80" s="6" t="inlineStr"/>
      <c r="E80" s="6" t="inlineStr">
        <is>
          <t>20395979683470</t>
        </is>
      </c>
      <c r="F80" s="6" t="n">
        <v>727</v>
      </c>
      <c r="G80" s="6" t="n">
        <v>395</v>
      </c>
      <c r="H80" s="7" t="inlineStr"/>
      <c r="I80" s="7" t="inlineStr"/>
      <c r="J80" s="7" t="inlineStr"/>
      <c r="K80" s="7" t="inlineStr"/>
      <c r="L80" s="6" t="n">
        <v>28.2</v>
      </c>
      <c r="M80" s="7" t="inlineStr"/>
      <c r="N80" s="7" t="inlineStr"/>
      <c r="O80" s="7" t="inlineStr"/>
      <c r="P80" s="8">
        <f>SUM(L80:O80)</f>
        <v/>
      </c>
      <c r="Q80" s="8">
        <f>G80+H80+I80+J80+K80</f>
        <v/>
      </c>
      <c r="R80" s="8">
        <f>IF(P80=0,"",ROUND(Q80/P80,1))</f>
        <v/>
      </c>
      <c r="S80" s="6">
        <f>IFERROR(VLOOKUP(A80,Параметры!$A$4:$D$6,4,FALSE),0)</f>
        <v/>
      </c>
      <c r="T80" s="8">
        <f>IF(P80=0,0,MAX(0,ROUND(P80*(2+1)-Q80,0)))</f>
        <v/>
      </c>
      <c r="U80" s="8">
        <f>IF(P80=0,"нет продаж",IF(R80="","",IF(R80&lt;3,"ГОРИТ",IF(R80&gt;12,"затоварен","норм"))))</f>
        <v/>
      </c>
    </row>
    <row r="81">
      <c r="A81" s="6" t="inlineStr">
        <is>
          <t>косметика</t>
        </is>
      </c>
      <c r="B81" s="6" t="inlineStr">
        <is>
          <t>ENOUGH - Collagen 3in1 Whitening Moisture Foundation [Tone 21] / Тональный крем для лица с коллагеном 3в1 [21 тон]</t>
        </is>
      </c>
      <c r="C81" s="6" t="n">
        <v>151132052</v>
      </c>
      <c r="D81" s="6" t="inlineStr"/>
      <c r="E81" s="6" t="inlineStr">
        <is>
          <t>20375845627210</t>
        </is>
      </c>
      <c r="F81" s="6" t="n">
        <v>223</v>
      </c>
      <c r="G81" s="6" t="n">
        <v>12</v>
      </c>
      <c r="H81" s="7" t="inlineStr"/>
      <c r="I81" s="7" t="inlineStr"/>
      <c r="J81" s="7" t="inlineStr"/>
      <c r="K81" s="7" t="inlineStr"/>
      <c r="L81" s="6" t="n">
        <v>28.2</v>
      </c>
      <c r="M81" s="7" t="inlineStr"/>
      <c r="N81" s="7" t="inlineStr"/>
      <c r="O81" s="7" t="inlineStr"/>
      <c r="P81" s="8">
        <f>SUM(L81:O81)</f>
        <v/>
      </c>
      <c r="Q81" s="8">
        <f>G81+H81+I81+J81+K81</f>
        <v/>
      </c>
      <c r="R81" s="8">
        <f>IF(P81=0,"",ROUND(Q81/P81,1))</f>
        <v/>
      </c>
      <c r="S81" s="6">
        <f>IFERROR(VLOOKUP(A81,Параметры!$A$4:$D$6,4,FALSE),0)</f>
        <v/>
      </c>
      <c r="T81" s="8">
        <f>IF(P81=0,0,MAX(0,ROUND(P81*(2+1)-Q81,0)))</f>
        <v/>
      </c>
      <c r="U81" s="8">
        <f>IF(P81=0,"нет продаж",IF(R81="","",IF(R81&lt;3,"ГОРИТ",IF(R81&gt;12,"затоварен","норм"))))</f>
        <v/>
      </c>
    </row>
    <row r="82">
      <c r="A82" s="6" t="inlineStr">
        <is>
          <t>косметика</t>
        </is>
      </c>
      <c r="B82" s="6" t="inlineStr">
        <is>
          <t>PETITFEE - Collagen &amp; CoQ10 Hydrogel Eye Patch [60ea] / Гидрогелевые патчи для глаз с коллагеном и коэнзимом Q10</t>
        </is>
      </c>
      <c r="C82" s="6" t="n">
        <v>179611231</v>
      </c>
      <c r="D82" s="6" t="inlineStr"/>
      <c r="E82" s="6" t="inlineStr">
        <is>
          <t>20387078721920</t>
        </is>
      </c>
      <c r="F82" s="6" t="n">
        <v>385</v>
      </c>
      <c r="G82" s="6" t="n">
        <v>641</v>
      </c>
      <c r="H82" s="7" t="inlineStr"/>
      <c r="I82" s="7" t="inlineStr"/>
      <c r="J82" s="7" t="inlineStr"/>
      <c r="K82" s="7" t="inlineStr"/>
      <c r="L82" s="6" t="n">
        <v>27.2</v>
      </c>
      <c r="M82" s="7" t="inlineStr"/>
      <c r="N82" s="7" t="inlineStr"/>
      <c r="O82" s="7" t="inlineStr"/>
      <c r="P82" s="8">
        <f>SUM(L82:O82)</f>
        <v/>
      </c>
      <c r="Q82" s="8">
        <f>G82+H82+I82+J82+K82</f>
        <v/>
      </c>
      <c r="R82" s="8">
        <f>IF(P82=0,"",ROUND(Q82/P82,1))</f>
        <v/>
      </c>
      <c r="S82" s="6">
        <f>IFERROR(VLOOKUP(A82,Параметры!$A$4:$D$6,4,FALSE),0)</f>
        <v/>
      </c>
      <c r="T82" s="8">
        <f>IF(P82=0,0,MAX(0,ROUND(P82*(2+1)-Q82,0)))</f>
        <v/>
      </c>
      <c r="U82" s="8">
        <f>IF(P82=0,"нет продаж",IF(R82="","",IF(R82&lt;3,"ГОРИТ",IF(R82&gt;12,"затоварен","норм"))))</f>
        <v/>
      </c>
    </row>
    <row r="83">
      <c r="A83" s="6" t="inlineStr">
        <is>
          <t>косметика</t>
        </is>
      </c>
      <c r="B83" s="6" t="inlineStr">
        <is>
          <t>CELIMAX PORE+DARK SPOT BRIGHTENING SERUM_10ml [10ml]/Сыворотка для выравнивания тона и рельефа кожи лица</t>
        </is>
      </c>
      <c r="C83" s="6" t="n">
        <v>551490295</v>
      </c>
      <c r="D83" s="6" t="inlineStr"/>
      <c r="E83" s="6" t="inlineStr">
        <is>
          <t>20464058057010</t>
        </is>
      </c>
      <c r="F83" s="6" t="n">
        <v>272</v>
      </c>
      <c r="G83" s="6" t="n">
        <v>0</v>
      </c>
      <c r="H83" s="7" t="inlineStr"/>
      <c r="I83" s="7" t="inlineStr"/>
      <c r="J83" s="7" t="inlineStr"/>
      <c r="K83" s="7" t="inlineStr"/>
      <c r="L83" s="6" t="n">
        <v>27.2</v>
      </c>
      <c r="M83" s="7" t="inlineStr"/>
      <c r="N83" s="7" t="inlineStr"/>
      <c r="O83" s="7" t="inlineStr"/>
      <c r="P83" s="8">
        <f>SUM(L83:O83)</f>
        <v/>
      </c>
      <c r="Q83" s="8">
        <f>G83+H83+I83+J83+K83</f>
        <v/>
      </c>
      <c r="R83" s="8">
        <f>IF(P83=0,"",ROUND(Q83/P83,1))</f>
        <v/>
      </c>
      <c r="S83" s="6">
        <f>IFERROR(VLOOKUP(A83,Параметры!$A$4:$D$6,4,FALSE),0)</f>
        <v/>
      </c>
      <c r="T83" s="8">
        <f>IF(P83=0,0,MAX(0,ROUND(P83*(2+1)-Q83,0)))</f>
        <v/>
      </c>
      <c r="U83" s="8">
        <f>IF(P83=0,"нет продаж",IF(R83="","",IF(R83&lt;3,"ГОРИТ",IF(R83&gt;12,"затоварен","норм"))))</f>
        <v/>
      </c>
    </row>
    <row r="84">
      <c r="A84" s="6" t="inlineStr">
        <is>
          <t>косметика</t>
        </is>
      </c>
      <c r="B84" s="6" t="inlineStr">
        <is>
          <t>JIGOTT - Daily Real Cica Toner [300ml] / Тонер для лица с центеллой азиатской</t>
        </is>
      </c>
      <c r="C84" s="6" t="n">
        <v>212757456</v>
      </c>
      <c r="D84" s="6" t="inlineStr"/>
      <c r="E84" s="6" t="inlineStr">
        <is>
          <t>20395658773500</t>
        </is>
      </c>
      <c r="F84" s="6" t="n">
        <v>265</v>
      </c>
      <c r="G84" s="6" t="n">
        <v>1185</v>
      </c>
      <c r="H84" s="7" t="inlineStr"/>
      <c r="I84" s="7" t="inlineStr"/>
      <c r="J84" s="7" t="inlineStr"/>
      <c r="K84" s="7" t="inlineStr"/>
      <c r="L84" s="6" t="n">
        <v>25</v>
      </c>
      <c r="M84" s="7" t="inlineStr"/>
      <c r="N84" s="7" t="inlineStr"/>
      <c r="O84" s="7" t="inlineStr"/>
      <c r="P84" s="8">
        <f>SUM(L84:O84)</f>
        <v/>
      </c>
      <c r="Q84" s="8">
        <f>G84+H84+I84+J84+K84</f>
        <v/>
      </c>
      <c r="R84" s="8">
        <f>IF(P84=0,"",ROUND(Q84/P84,1))</f>
        <v/>
      </c>
      <c r="S84" s="6">
        <f>IFERROR(VLOOKUP(A84,Параметры!$A$4:$D$6,4,FALSE),0)</f>
        <v/>
      </c>
      <c r="T84" s="8">
        <f>IF(P84=0,0,MAX(0,ROUND(P84*(2+1)-Q84,0)))</f>
        <v/>
      </c>
      <c r="U84" s="8">
        <f>IF(P84=0,"нет продаж",IF(R84="","",IF(R84&lt;3,"ГОРИТ",IF(R84&gt;12,"затоварен","норм"))))</f>
        <v/>
      </c>
    </row>
    <row r="85">
      <c r="A85" s="6" t="inlineStr">
        <is>
          <t>косметика</t>
        </is>
      </c>
      <c r="B85" s="6" t="inlineStr">
        <is>
          <t>CELIMAX THE VITA-A RETINAL SHOT TIGHTENING BOOSTER [15ml]/Подтягивающий бустер-крем с ретинолом для лица</t>
        </is>
      </c>
      <c r="C85" s="6" t="n">
        <v>551387355</v>
      </c>
      <c r="D85" s="6" t="inlineStr"/>
      <c r="E85" s="6" t="inlineStr">
        <is>
          <t>20464044914550</t>
        </is>
      </c>
      <c r="F85" s="6" t="n">
        <v>512</v>
      </c>
      <c r="G85" s="6" t="n">
        <v>8728</v>
      </c>
      <c r="H85" s="7" t="inlineStr"/>
      <c r="I85" s="7" t="inlineStr"/>
      <c r="J85" s="7" t="inlineStr"/>
      <c r="K85" s="7" t="inlineStr"/>
      <c r="L85" s="6" t="n">
        <v>25</v>
      </c>
      <c r="M85" s="7" t="inlineStr"/>
      <c r="N85" s="7" t="inlineStr"/>
      <c r="O85" s="7" t="inlineStr"/>
      <c r="P85" s="8">
        <f>SUM(L85:O85)</f>
        <v/>
      </c>
      <c r="Q85" s="8">
        <f>G85+H85+I85+J85+K85</f>
        <v/>
      </c>
      <c r="R85" s="8">
        <f>IF(P85=0,"",ROUND(Q85/P85,1))</f>
        <v/>
      </c>
      <c r="S85" s="6">
        <f>IFERROR(VLOOKUP(A85,Параметры!$A$4:$D$6,4,FALSE),0)</f>
        <v/>
      </c>
      <c r="T85" s="8">
        <f>IF(P85=0,0,MAX(0,ROUND(P85*(2+1)-Q85,0)))</f>
        <v/>
      </c>
      <c r="U85" s="8">
        <f>IF(P85=0,"нет продаж",IF(R85="","",IF(R85&lt;3,"ГОРИТ",IF(R85&gt;12,"затоварен","норм"))))</f>
        <v/>
      </c>
    </row>
    <row r="86">
      <c r="A86" s="6" t="inlineStr">
        <is>
          <t>косметика</t>
        </is>
      </c>
      <c r="B86" s="6" t="inlineStr">
        <is>
          <t>ETUDE - Baking Powder Crunch Pore Scrub [24*7ml] / Очищающий скраб для лица с содой</t>
        </is>
      </c>
      <c r="C86" s="6" t="n">
        <v>154160085</v>
      </c>
      <c r="D86" s="6" t="inlineStr"/>
      <c r="E86" s="6" t="inlineStr">
        <is>
          <t>20376491321040</t>
        </is>
      </c>
      <c r="F86" s="6" t="n">
        <v>390</v>
      </c>
      <c r="G86" s="6" t="n">
        <v>2</v>
      </c>
      <c r="H86" s="7" t="inlineStr"/>
      <c r="I86" s="7" t="inlineStr"/>
      <c r="J86" s="7" t="inlineStr"/>
      <c r="K86" s="7" t="inlineStr"/>
      <c r="L86" s="6" t="n">
        <v>20.6</v>
      </c>
      <c r="M86" s="7" t="inlineStr"/>
      <c r="N86" s="7" t="inlineStr"/>
      <c r="O86" s="7" t="inlineStr"/>
      <c r="P86" s="8">
        <f>SUM(L86:O86)</f>
        <v/>
      </c>
      <c r="Q86" s="8">
        <f>G86+H86+I86+J86+K86</f>
        <v/>
      </c>
      <c r="R86" s="8">
        <f>IF(P86=0,"",ROUND(Q86/P86,1))</f>
        <v/>
      </c>
      <c r="S86" s="6">
        <f>IFERROR(VLOOKUP(A86,Параметры!$A$4:$D$6,4,FALSE),0)</f>
        <v/>
      </c>
      <c r="T86" s="8">
        <f>IF(P86=0,0,MAX(0,ROUND(P86*(2+1)-Q86,0)))</f>
        <v/>
      </c>
      <c r="U86" s="8">
        <f>IF(P86=0,"нет продаж",IF(R86="","",IF(R86&lt;3,"ГОРИТ",IF(R86&gt;12,"затоварен","норм"))))</f>
        <v/>
      </c>
    </row>
    <row r="87">
      <c r="A87" s="6" t="inlineStr">
        <is>
          <t>косметика</t>
        </is>
      </c>
      <c r="B87" s="6" t="inlineStr">
        <is>
          <t>I'm Sorry For My Skin - Age Capture Vitalizer Cream / Увлажняющий капсульный крем</t>
        </is>
      </c>
      <c r="C87" s="6" t="n">
        <v>206126372</v>
      </c>
      <c r="D87" s="6" t="inlineStr"/>
      <c r="E87" s="6" t="inlineStr">
        <is>
          <t>20394285649530</t>
        </is>
      </c>
      <c r="F87" s="6" t="n">
        <v>573</v>
      </c>
      <c r="G87" s="6" t="n">
        <v>0</v>
      </c>
      <c r="H87" s="7" t="inlineStr"/>
      <c r="I87" s="7" t="inlineStr"/>
      <c r="J87" s="7" t="inlineStr"/>
      <c r="K87" s="7" t="inlineStr"/>
      <c r="L87" s="6" t="n">
        <v>20.6</v>
      </c>
      <c r="M87" s="7" t="inlineStr"/>
      <c r="N87" s="7" t="inlineStr"/>
      <c r="O87" s="7" t="inlineStr"/>
      <c r="P87" s="8">
        <f>SUM(L87:O87)</f>
        <v/>
      </c>
      <c r="Q87" s="8">
        <f>G87+H87+I87+J87+K87</f>
        <v/>
      </c>
      <c r="R87" s="8">
        <f>IF(P87=0,"",ROUND(Q87/P87,1))</f>
        <v/>
      </c>
      <c r="S87" s="6">
        <f>IFERROR(VLOOKUP(A87,Параметры!$A$4:$D$6,4,FALSE),0)</f>
        <v/>
      </c>
      <c r="T87" s="8">
        <f>IF(P87=0,0,MAX(0,ROUND(P87*(2+1)-Q87,0)))</f>
        <v/>
      </c>
      <c r="U87" s="8">
        <f>IF(P87=0,"нет продаж",IF(R87="","",IF(R87&lt;3,"ГОРИТ",IF(R87&gt;12,"затоварен","норм"))))</f>
        <v/>
      </c>
    </row>
    <row r="88">
      <c r="A88" s="6" t="inlineStr">
        <is>
          <t>косметика</t>
        </is>
      </c>
      <c r="B88" s="6" t="inlineStr">
        <is>
          <t>JIGOTT - Ultimate Real Collagen Toner [300ml] / тонер с коллагеном антивозрастной</t>
        </is>
      </c>
      <c r="C88" s="6" t="n">
        <v>212760119</v>
      </c>
      <c r="D88" s="6" t="inlineStr"/>
      <c r="E88" s="6" t="inlineStr">
        <is>
          <t>20395659235900</t>
        </is>
      </c>
      <c r="F88" s="6" t="n">
        <v>265</v>
      </c>
      <c r="G88" s="6" t="n">
        <v>1134</v>
      </c>
      <c r="H88" s="7" t="inlineStr"/>
      <c r="I88" s="7" t="inlineStr"/>
      <c r="J88" s="7" t="inlineStr"/>
      <c r="K88" s="7" t="inlineStr"/>
      <c r="L88" s="6" t="n">
        <v>20.6</v>
      </c>
      <c r="M88" s="7" t="inlineStr"/>
      <c r="N88" s="7" t="inlineStr"/>
      <c r="O88" s="7" t="inlineStr"/>
      <c r="P88" s="8">
        <f>SUM(L88:O88)</f>
        <v/>
      </c>
      <c r="Q88" s="8">
        <f>G88+H88+I88+J88+K88</f>
        <v/>
      </c>
      <c r="R88" s="8">
        <f>IF(P88=0,"",ROUND(Q88/P88,1))</f>
        <v/>
      </c>
      <c r="S88" s="6">
        <f>IFERROR(VLOOKUP(A88,Параметры!$A$4:$D$6,4,FALSE),0)</f>
        <v/>
      </c>
      <c r="T88" s="8">
        <f>IF(P88=0,0,MAX(0,ROUND(P88*(2+1)-Q88,0)))</f>
        <v/>
      </c>
      <c r="U88" s="8">
        <f>IF(P88=0,"нет продаж",IF(R88="","",IF(R88&lt;3,"ГОРИТ",IF(R88&gt;12,"затоварен","норм"))))</f>
        <v/>
      </c>
    </row>
    <row r="89">
      <c r="A89" s="6" t="inlineStr">
        <is>
          <t>косметика</t>
        </is>
      </c>
      <c r="B89" s="6" t="inlineStr">
        <is>
          <t>PETITFEE - Cacao Energizing Hydrogel Eye Patch [60ea] / Тонизирующие гидрогелевые патчи для глаз с экстрактом какао</t>
        </is>
      </c>
      <c r="C89" s="6" t="n">
        <v>179611304</v>
      </c>
      <c r="D89" s="6" t="inlineStr"/>
      <c r="E89" s="6" t="inlineStr">
        <is>
          <t>20387078770810</t>
        </is>
      </c>
      <c r="F89" s="6" t="n">
        <v>415</v>
      </c>
      <c r="G89" s="6" t="n">
        <v>144</v>
      </c>
      <c r="H89" s="7" t="inlineStr"/>
      <c r="I89" s="7" t="inlineStr"/>
      <c r="J89" s="7" t="inlineStr"/>
      <c r="K89" s="7" t="inlineStr"/>
      <c r="L89" s="6" t="n">
        <v>20.6</v>
      </c>
      <c r="M89" s="7" t="inlineStr"/>
      <c r="N89" s="7" t="inlineStr"/>
      <c r="O89" s="7" t="inlineStr"/>
      <c r="P89" s="8">
        <f>SUM(L89:O89)</f>
        <v/>
      </c>
      <c r="Q89" s="8">
        <f>G89+H89+I89+J89+K89</f>
        <v/>
      </c>
      <c r="R89" s="8">
        <f>IF(P89=0,"",ROUND(Q89/P89,1))</f>
        <v/>
      </c>
      <c r="S89" s="6">
        <f>IFERROR(VLOOKUP(A89,Параметры!$A$4:$D$6,4,FALSE),0)</f>
        <v/>
      </c>
      <c r="T89" s="8">
        <f>IF(P89=0,0,MAX(0,ROUND(P89*(2+1)-Q89,0)))</f>
        <v/>
      </c>
      <c r="U89" s="8">
        <f>IF(P89=0,"нет продаж",IF(R89="","",IF(R89&lt;3,"ГОРИТ",IF(R89&gt;12,"затоварен","норм"))))</f>
        <v/>
      </c>
    </row>
    <row r="90">
      <c r="A90" s="6" t="inlineStr">
        <is>
          <t>косметика</t>
        </is>
      </c>
      <c r="B90" s="6" t="inlineStr">
        <is>
          <t>PETITFEE - Pink Vita Brightening Eye Patch [60ea] / Тканевые патчи для век увлажняющие</t>
        </is>
      </c>
      <c r="C90" s="6" t="n">
        <v>180987509</v>
      </c>
      <c r="D90" s="6" t="inlineStr"/>
      <c r="E90" s="6" t="inlineStr">
        <is>
          <t>20387545597630</t>
        </is>
      </c>
      <c r="F90" s="6" t="n">
        <v>487</v>
      </c>
      <c r="G90" s="6" t="n">
        <v>202</v>
      </c>
      <c r="H90" s="7" t="inlineStr"/>
      <c r="I90" s="7" t="inlineStr"/>
      <c r="J90" s="7" t="inlineStr"/>
      <c r="K90" s="7" t="inlineStr"/>
      <c r="L90" s="6" t="n">
        <v>20.6</v>
      </c>
      <c r="M90" s="7" t="inlineStr"/>
      <c r="N90" s="7" t="inlineStr"/>
      <c r="O90" s="7" t="inlineStr"/>
      <c r="P90" s="8">
        <f>SUM(L90:O90)</f>
        <v/>
      </c>
      <c r="Q90" s="8">
        <f>G90+H90+I90+J90+K90</f>
        <v/>
      </c>
      <c r="R90" s="8">
        <f>IF(P90=0,"",ROUND(Q90/P90,1))</f>
        <v/>
      </c>
      <c r="S90" s="6">
        <f>IFERROR(VLOOKUP(A90,Параметры!$A$4:$D$6,4,FALSE),0)</f>
        <v/>
      </c>
      <c r="T90" s="8">
        <f>IF(P90=0,0,MAX(0,ROUND(P90*(2+1)-Q90,0)))</f>
        <v/>
      </c>
      <c r="U90" s="8">
        <f>IF(P90=0,"нет продаж",IF(R90="","",IF(R90&lt;3,"ГОРИТ",IF(R90&gt;12,"затоварен","норм"))))</f>
        <v/>
      </c>
    </row>
    <row r="91">
      <c r="A91" s="6" t="inlineStr">
        <is>
          <t>косметика</t>
        </is>
      </c>
      <c r="B91" s="6" t="inlineStr">
        <is>
          <t>DEOPROCE SHAMPOO - BLACK GARLIC INTENSME ENERGY [200ml]/ Шампунь с черным чесноком против выпадения волос</t>
        </is>
      </c>
      <c r="C91" s="6" t="n">
        <v>608841921</v>
      </c>
      <c r="D91" s="6" t="inlineStr"/>
      <c r="E91" s="6" t="inlineStr">
        <is>
          <t>20472150591480</t>
        </is>
      </c>
      <c r="F91" s="6" t="n">
        <v>151</v>
      </c>
      <c r="G91" s="6" t="n">
        <v>297</v>
      </c>
      <c r="H91" s="7" t="inlineStr"/>
      <c r="I91" s="7" t="inlineStr"/>
      <c r="J91" s="7" t="inlineStr"/>
      <c r="K91" s="7" t="inlineStr"/>
      <c r="L91" s="6" t="n">
        <v>18.5</v>
      </c>
      <c r="M91" s="7" t="inlineStr"/>
      <c r="N91" s="7" t="inlineStr"/>
      <c r="O91" s="7" t="inlineStr"/>
      <c r="P91" s="8">
        <f>SUM(L91:O91)</f>
        <v/>
      </c>
      <c r="Q91" s="8">
        <f>G91+H91+I91+J91+K91</f>
        <v/>
      </c>
      <c r="R91" s="8">
        <f>IF(P91=0,"",ROUND(Q91/P91,1))</f>
        <v/>
      </c>
      <c r="S91" s="6">
        <f>IFERROR(VLOOKUP(A91,Параметры!$A$4:$D$6,4,FALSE),0)</f>
        <v/>
      </c>
      <c r="T91" s="8">
        <f>IF(P91=0,0,MAX(0,ROUND(P91*(2+1)-Q91,0)))</f>
        <v/>
      </c>
      <c r="U91" s="8">
        <f>IF(P91=0,"нет продаж",IF(R91="","",IF(R91&lt;3,"ГОРИТ",IF(R91&gt;12,"затоварен","норм"))))</f>
        <v/>
      </c>
    </row>
    <row r="92">
      <c r="A92" s="6" t="inlineStr">
        <is>
          <t>косметика</t>
        </is>
      </c>
      <c r="B92" s="6" t="inlineStr">
        <is>
          <t>PETITFEE - Chamomile Lightening Hydrogel Eye Patch [60ea] / Успокаивающие гидрогелевые патчи для глаз с экстрактом ромашки</t>
        </is>
      </c>
      <c r="C92" s="6" t="n">
        <v>179611318</v>
      </c>
      <c r="D92" s="6" t="inlineStr"/>
      <c r="E92" s="6" t="inlineStr">
        <is>
          <t>20387078783780</t>
        </is>
      </c>
      <c r="F92" s="6" t="n">
        <v>415</v>
      </c>
      <c r="G92" s="6" t="n">
        <v>0</v>
      </c>
      <c r="H92" s="7" t="inlineStr"/>
      <c r="I92" s="7" t="inlineStr"/>
      <c r="J92" s="7" t="inlineStr"/>
      <c r="K92" s="7" t="inlineStr"/>
      <c r="L92" s="6" t="n">
        <v>18.5</v>
      </c>
      <c r="M92" s="7" t="inlineStr"/>
      <c r="N92" s="7" t="inlineStr"/>
      <c r="O92" s="7" t="inlineStr"/>
      <c r="P92" s="8">
        <f>SUM(L92:O92)</f>
        <v/>
      </c>
      <c r="Q92" s="8">
        <f>G92+H92+I92+J92+K92</f>
        <v/>
      </c>
      <c r="R92" s="8">
        <f>IF(P92=0,"",ROUND(Q92/P92,1))</f>
        <v/>
      </c>
      <c r="S92" s="6">
        <f>IFERROR(VLOOKUP(A92,Параметры!$A$4:$D$6,4,FALSE),0)</f>
        <v/>
      </c>
      <c r="T92" s="8">
        <f>IF(P92=0,0,MAX(0,ROUND(P92*(2+1)-Q92,0)))</f>
        <v/>
      </c>
      <c r="U92" s="8">
        <f>IF(P92=0,"нет продаж",IF(R92="","",IF(R92&lt;3,"ГОРИТ",IF(R92&gt;12,"затоварен","норм"))))</f>
        <v/>
      </c>
    </row>
    <row r="93">
      <c r="A93" s="6" t="inlineStr">
        <is>
          <t>косметика</t>
        </is>
      </c>
      <c r="B93" s="6" t="inlineStr">
        <is>
          <t>PETITFEE - Gold &amp; Snail Hydrogel Mask Pack [5pcs] / Гидрогелевая маска для лица с золотом и экстрактом улитки</t>
        </is>
      </c>
      <c r="C93" s="6" t="n">
        <v>226115141</v>
      </c>
      <c r="D93" s="6" t="inlineStr"/>
      <c r="E93" s="6" t="inlineStr">
        <is>
          <t>20398718316880</t>
        </is>
      </c>
      <c r="F93" s="6" t="n">
        <v>478</v>
      </c>
      <c r="G93" s="6" t="n">
        <v>273</v>
      </c>
      <c r="H93" s="7" t="inlineStr"/>
      <c r="I93" s="7" t="inlineStr"/>
      <c r="J93" s="7" t="inlineStr"/>
      <c r="K93" s="7" t="inlineStr"/>
      <c r="L93" s="6" t="n">
        <v>18.5</v>
      </c>
      <c r="M93" s="7" t="inlineStr"/>
      <c r="N93" s="7" t="inlineStr"/>
      <c r="O93" s="7" t="inlineStr"/>
      <c r="P93" s="8">
        <f>SUM(L93:O93)</f>
        <v/>
      </c>
      <c r="Q93" s="8">
        <f>G93+H93+I93+J93+K93</f>
        <v/>
      </c>
      <c r="R93" s="8">
        <f>IF(P93=0,"",ROUND(Q93/P93,1))</f>
        <v/>
      </c>
      <c r="S93" s="6">
        <f>IFERROR(VLOOKUP(A93,Параметры!$A$4:$D$6,4,FALSE),0)</f>
        <v/>
      </c>
      <c r="T93" s="8">
        <f>IF(P93=0,0,MAX(0,ROUND(P93*(2+1)-Q93,0)))</f>
        <v/>
      </c>
      <c r="U93" s="8">
        <f>IF(P93=0,"нет продаж",IF(R93="","",IF(R93&lt;3,"ГОРИТ",IF(R93&gt;12,"затоварен","норм"))))</f>
        <v/>
      </c>
    </row>
    <row r="94">
      <c r="A94" s="6" t="inlineStr">
        <is>
          <t>косметика</t>
        </is>
      </c>
      <c r="B94" s="6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94" s="6" t="n">
        <v>608624295</v>
      </c>
      <c r="D94" s="6" t="inlineStr"/>
      <c r="E94" s="6" t="inlineStr">
        <is>
          <t>20472108965020</t>
        </is>
      </c>
      <c r="F94" s="6" t="n">
        <v>315</v>
      </c>
      <c r="G94" s="6" t="n">
        <v>11</v>
      </c>
      <c r="H94" s="7" t="inlineStr"/>
      <c r="I94" s="7" t="inlineStr"/>
      <c r="J94" s="7" t="inlineStr"/>
      <c r="K94" s="7" t="inlineStr"/>
      <c r="L94" s="6" t="n">
        <v>17.4</v>
      </c>
      <c r="M94" s="7" t="inlineStr"/>
      <c r="N94" s="7" t="inlineStr"/>
      <c r="O94" s="7" t="inlineStr"/>
      <c r="P94" s="8">
        <f>SUM(L94:O94)</f>
        <v/>
      </c>
      <c r="Q94" s="8">
        <f>G94+H94+I94+J94+K94</f>
        <v/>
      </c>
      <c r="R94" s="8">
        <f>IF(P94=0,"",ROUND(Q94/P94,1))</f>
        <v/>
      </c>
      <c r="S94" s="6">
        <f>IFERROR(VLOOKUP(A94,Параметры!$A$4:$D$6,4,FALSE),0)</f>
        <v/>
      </c>
      <c r="T94" s="8">
        <f>IF(P94=0,0,MAX(0,ROUND(P94*(2+1)-Q94,0)))</f>
        <v/>
      </c>
      <c r="U94" s="8">
        <f>IF(P94=0,"нет продаж",IF(R94="","",IF(R94&lt;3,"ГОРИТ",IF(R94&gt;12,"затоварен","норм"))))</f>
        <v/>
      </c>
    </row>
    <row r="95">
      <c r="A95" s="6" t="inlineStr">
        <is>
          <t>косметика</t>
        </is>
      </c>
      <c r="B95" s="6" t="inlineStr">
        <is>
          <t>ENOUGH Collagen whitening cover tip concealer #03 [9g]/ Консилер для лица (основаная карточка)</t>
        </is>
      </c>
      <c r="C95" s="6" t="n">
        <v>212889028</v>
      </c>
      <c r="D95" s="6" t="inlineStr"/>
      <c r="E95" s="6" t="inlineStr">
        <is>
          <t>20395684494310</t>
        </is>
      </c>
      <c r="F95" s="6" t="n">
        <v>183</v>
      </c>
      <c r="G95" s="6" t="n">
        <v>694</v>
      </c>
      <c r="H95" s="7" t="inlineStr"/>
      <c r="I95" s="7" t="inlineStr"/>
      <c r="J95" s="7" t="inlineStr"/>
      <c r="K95" s="7" t="inlineStr"/>
      <c r="L95" s="6" t="n">
        <v>16.3</v>
      </c>
      <c r="M95" s="7" t="inlineStr"/>
      <c r="N95" s="7" t="inlineStr"/>
      <c r="O95" s="7" t="inlineStr"/>
      <c r="P95" s="8">
        <f>SUM(L95:O95)</f>
        <v/>
      </c>
      <c r="Q95" s="8">
        <f>G95+H95+I95+J95+K95</f>
        <v/>
      </c>
      <c r="R95" s="8">
        <f>IF(P95=0,"",ROUND(Q95/P95,1))</f>
        <v/>
      </c>
      <c r="S95" s="6">
        <f>IFERROR(VLOOKUP(A95,Параметры!$A$4:$D$6,4,FALSE),0)</f>
        <v/>
      </c>
      <c r="T95" s="8">
        <f>IF(P95=0,0,MAX(0,ROUND(P95*(2+1)-Q95,0)))</f>
        <v/>
      </c>
      <c r="U95" s="8">
        <f>IF(P95=0,"нет продаж",IF(R95="","",IF(R95&lt;3,"ГОРИТ",IF(R95&gt;12,"затоварен","норм"))))</f>
        <v/>
      </c>
    </row>
    <row r="96">
      <c r="A96" s="6" t="inlineStr">
        <is>
          <t>косметика</t>
        </is>
      </c>
      <c r="B96" s="6" t="inlineStr">
        <is>
          <t>ENOUGH - Collagen Moisture BB Cream SPF47 PA+++ [50ml] / Увлажняющий BB крем с коллагеном</t>
        </is>
      </c>
      <c r="C96" s="6" t="n">
        <v>238413828</v>
      </c>
      <c r="D96" s="6" t="inlineStr"/>
      <c r="E96" s="6" t="inlineStr">
        <is>
          <t>20404409633580</t>
        </is>
      </c>
      <c r="F96" s="6" t="n">
        <v>189</v>
      </c>
      <c r="G96" s="6" t="n">
        <v>687</v>
      </c>
      <c r="H96" s="7" t="inlineStr"/>
      <c r="I96" s="7" t="inlineStr"/>
      <c r="J96" s="7" t="inlineStr"/>
      <c r="K96" s="7" t="inlineStr"/>
      <c r="L96" s="6" t="n">
        <v>14.1</v>
      </c>
      <c r="M96" s="7" t="inlineStr"/>
      <c r="N96" s="7" t="inlineStr"/>
      <c r="O96" s="7" t="inlineStr"/>
      <c r="P96" s="8">
        <f>SUM(L96:O96)</f>
        <v/>
      </c>
      <c r="Q96" s="8">
        <f>G96+H96+I96+J96+K96</f>
        <v/>
      </c>
      <c r="R96" s="8">
        <f>IF(P96=0,"",ROUND(Q96/P96,1))</f>
        <v/>
      </c>
      <c r="S96" s="6">
        <f>IFERROR(VLOOKUP(A96,Параметры!$A$4:$D$6,4,FALSE),0)</f>
        <v/>
      </c>
      <c r="T96" s="8">
        <f>IF(P96=0,0,MAX(0,ROUND(P96*(2+1)-Q96,0)))</f>
        <v/>
      </c>
      <c r="U96" s="8">
        <f>IF(P96=0,"нет продаж",IF(R96="","",IF(R96&lt;3,"ГОРИТ",IF(R96&gt;12,"затоварен","норм"))))</f>
        <v/>
      </c>
    </row>
    <row r="97">
      <c r="A97" s="6" t="inlineStr">
        <is>
          <t>косметика</t>
        </is>
      </c>
      <c r="B97" s="6" t="inlineStr">
        <is>
          <t>COSRX - Salicylic Acid Daily Gentle Cleanser [150ml] / Пенка с салициловой кислотой для проблемной кожи</t>
        </is>
      </c>
      <c r="C97" s="6" t="n">
        <v>204258828</v>
      </c>
      <c r="D97" s="6" t="inlineStr"/>
      <c r="E97" s="6" t="inlineStr">
        <is>
          <t>20393993412180</t>
        </is>
      </c>
      <c r="F97" s="6" t="n">
        <v>344</v>
      </c>
      <c r="G97" s="6" t="n">
        <v>218</v>
      </c>
      <c r="H97" s="7" t="inlineStr"/>
      <c r="I97" s="7" t="inlineStr"/>
      <c r="J97" s="7" t="inlineStr"/>
      <c r="K97" s="7" t="inlineStr"/>
      <c r="L97" s="6" t="n">
        <v>13</v>
      </c>
      <c r="M97" s="7" t="inlineStr"/>
      <c r="N97" s="7" t="inlineStr"/>
      <c r="O97" s="7" t="inlineStr"/>
      <c r="P97" s="8">
        <f>SUM(L97:O97)</f>
        <v/>
      </c>
      <c r="Q97" s="8">
        <f>G97+H97+I97+J97+K97</f>
        <v/>
      </c>
      <c r="R97" s="8">
        <f>IF(P97=0,"",ROUND(Q97/P97,1))</f>
        <v/>
      </c>
      <c r="S97" s="6">
        <f>IFERROR(VLOOKUP(A97,Параметры!$A$4:$D$6,4,FALSE),0)</f>
        <v/>
      </c>
      <c r="T97" s="8">
        <f>IF(P97=0,0,MAX(0,ROUND(P97*(2+1)-Q97,0)))</f>
        <v/>
      </c>
      <c r="U97" s="8">
        <f>IF(P97=0,"нет продаж",IF(R97="","",IF(R97&lt;3,"ГОРИТ",IF(R97&gt;12,"затоварен","норм"))))</f>
        <v/>
      </c>
    </row>
    <row r="98">
      <c r="A98" s="6" t="inlineStr">
        <is>
          <t>косметика</t>
        </is>
      </c>
      <c r="B98" s="6" t="inlineStr">
        <is>
          <t>JIGOTT - Moisture Real Aloe Vera Toner [300ml] / Тонер для лица увлажняющий с экстрактом алоэ</t>
        </is>
      </c>
      <c r="C98" s="6" t="n">
        <v>212759698</v>
      </c>
      <c r="D98" s="6" t="inlineStr"/>
      <c r="E98" s="6" t="inlineStr">
        <is>
          <t>20395659071940</t>
        </is>
      </c>
      <c r="F98" s="6" t="n">
        <v>265</v>
      </c>
      <c r="G98" s="6" t="n">
        <v>202</v>
      </c>
      <c r="H98" s="7" t="inlineStr"/>
      <c r="I98" s="7" t="inlineStr"/>
      <c r="J98" s="7" t="inlineStr"/>
      <c r="K98" s="7" t="inlineStr"/>
      <c r="L98" s="6" t="n">
        <v>13</v>
      </c>
      <c r="M98" s="7" t="inlineStr"/>
      <c r="N98" s="7" t="inlineStr"/>
      <c r="O98" s="7" t="inlineStr"/>
      <c r="P98" s="8">
        <f>SUM(L98:O98)</f>
        <v/>
      </c>
      <c r="Q98" s="8">
        <f>G98+H98+I98+J98+K98</f>
        <v/>
      </c>
      <c r="R98" s="8">
        <f>IF(P98=0,"",ROUND(Q98/P98,1))</f>
        <v/>
      </c>
      <c r="S98" s="6">
        <f>IFERROR(VLOOKUP(A98,Параметры!$A$4:$D$6,4,FALSE),0)</f>
        <v/>
      </c>
      <c r="T98" s="8">
        <f>IF(P98=0,0,MAX(0,ROUND(P98*(2+1)-Q98,0)))</f>
        <v/>
      </c>
      <c r="U98" s="8">
        <f>IF(P98=0,"нет продаж",IF(R98="","",IF(R98&lt;3,"ГОРИТ",IF(R98&gt;12,"затоварен","норм"))))</f>
        <v/>
      </c>
    </row>
    <row r="99">
      <c r="A99" s="6" t="inlineStr">
        <is>
          <t>косметика</t>
        </is>
      </c>
      <c r="B99" s="6" t="inlineStr">
        <is>
          <t>DR. JART - Cicapair Tiger Grass Color Correcting Treatment [50ml] / СС Крем корректор для лица</t>
        </is>
      </c>
      <c r="C99" s="6" t="n">
        <v>212719009</v>
      </c>
      <c r="D99" s="6" t="inlineStr"/>
      <c r="E99" s="6" t="inlineStr">
        <is>
          <t>20395650722050</t>
        </is>
      </c>
      <c r="F99" s="6" t="n">
        <v>1450</v>
      </c>
      <c r="G99" s="6" t="n">
        <v>0</v>
      </c>
      <c r="H99" s="7" t="inlineStr"/>
      <c r="I99" s="7" t="inlineStr"/>
      <c r="J99" s="7" t="inlineStr"/>
      <c r="K99" s="7" t="inlineStr"/>
      <c r="L99" s="6" t="n">
        <v>11.9</v>
      </c>
      <c r="M99" s="7" t="inlineStr"/>
      <c r="N99" s="7" t="inlineStr"/>
      <c r="O99" s="7" t="inlineStr"/>
      <c r="P99" s="8">
        <f>SUM(L99:O99)</f>
        <v/>
      </c>
      <c r="Q99" s="8">
        <f>G99+H99+I99+J99+K99</f>
        <v/>
      </c>
      <c r="R99" s="8">
        <f>IF(P99=0,"",ROUND(Q99/P99,1))</f>
        <v/>
      </c>
      <c r="S99" s="6">
        <f>IFERROR(VLOOKUP(A99,Параметры!$A$4:$D$6,4,FALSE),0)</f>
        <v/>
      </c>
      <c r="T99" s="8">
        <f>IF(P99=0,0,MAX(0,ROUND(P99*(2+1)-Q99,0)))</f>
        <v/>
      </c>
      <c r="U99" s="8">
        <f>IF(P99=0,"нет продаж",IF(R99="","",IF(R99&lt;3,"ГОРИТ",IF(R99&gt;12,"затоварен","норм"))))</f>
        <v/>
      </c>
    </row>
    <row r="100">
      <c r="A100" s="6" t="inlineStr">
        <is>
          <t>косметика</t>
        </is>
      </c>
      <c r="B100" s="6" t="inlineStr">
        <is>
          <t>JIGOTT - Aura Secret Hyaluronec Acid Toner [300ml] / Тонер с гиалуроновой кислотой антивозрастной</t>
        </is>
      </c>
      <c r="C100" s="6" t="n">
        <v>212883090</v>
      </c>
      <c r="D100" s="6" t="inlineStr"/>
      <c r="E100" s="6" t="inlineStr">
        <is>
          <t>20395682940550</t>
        </is>
      </c>
      <c r="F100" s="6" t="n">
        <v>265</v>
      </c>
      <c r="G100" s="6" t="n">
        <v>222</v>
      </c>
      <c r="H100" s="7" t="inlineStr"/>
      <c r="I100" s="7" t="inlineStr"/>
      <c r="J100" s="7" t="inlineStr"/>
      <c r="K100" s="7" t="inlineStr"/>
      <c r="L100" s="6" t="n">
        <v>10.9</v>
      </c>
      <c r="M100" s="7" t="inlineStr"/>
      <c r="N100" s="7" t="inlineStr"/>
      <c r="O100" s="7" t="inlineStr"/>
      <c r="P100" s="8">
        <f>SUM(L100:O100)</f>
        <v/>
      </c>
      <c r="Q100" s="8">
        <f>G100+H100+I100+J100+K100</f>
        <v/>
      </c>
      <c r="R100" s="8">
        <f>IF(P100=0,"",ROUND(Q100/P100,1))</f>
        <v/>
      </c>
      <c r="S100" s="6">
        <f>IFERROR(VLOOKUP(A100,Параметры!$A$4:$D$6,4,FALSE),0)</f>
        <v/>
      </c>
      <c r="T100" s="8">
        <f>IF(P100=0,0,MAX(0,ROUND(P100*(2+1)-Q100,0)))</f>
        <v/>
      </c>
      <c r="U100" s="8">
        <f>IF(P100=0,"нет продаж",IF(R100="","",IF(R100&lt;3,"ГОРИТ",IF(R100&gt;12,"затоварен","норм"))))</f>
        <v/>
      </c>
    </row>
    <row r="101">
      <c r="A101" s="6" t="inlineStr">
        <is>
          <t>косметика</t>
        </is>
      </c>
      <c r="B101" s="6" t="inlineStr">
        <is>
          <t>PETITFEE - Aura Quartz Hydrogel Eye Patch [60ea]</t>
        </is>
      </c>
      <c r="C101" s="6" t="n">
        <v>180992464</v>
      </c>
      <c r="D101" s="6" t="inlineStr"/>
      <c r="E101" s="6" t="inlineStr">
        <is>
          <t>20387546119730</t>
        </is>
      </c>
      <c r="F101" s="6" t="n">
        <v>591</v>
      </c>
      <c r="G101" s="6" t="n">
        <v>89</v>
      </c>
      <c r="H101" s="7" t="inlineStr"/>
      <c r="I101" s="7" t="inlineStr"/>
      <c r="J101" s="7" t="inlineStr"/>
      <c r="K101" s="7" t="inlineStr"/>
      <c r="L101" s="6" t="n">
        <v>10.9</v>
      </c>
      <c r="M101" s="7" t="inlineStr"/>
      <c r="N101" s="7" t="inlineStr"/>
      <c r="O101" s="7" t="inlineStr"/>
      <c r="P101" s="8">
        <f>SUM(L101:O101)</f>
        <v/>
      </c>
      <c r="Q101" s="8">
        <f>G101+H101+I101+J101+K101</f>
        <v/>
      </c>
      <c r="R101" s="8">
        <f>IF(P101=0,"",ROUND(Q101/P101,1))</f>
        <v/>
      </c>
      <c r="S101" s="6">
        <f>IFERROR(VLOOKUP(A101,Параметры!$A$4:$D$6,4,FALSE),0)</f>
        <v/>
      </c>
      <c r="T101" s="8">
        <f>IF(P101=0,0,MAX(0,ROUND(P101*(2+1)-Q101,0)))</f>
        <v/>
      </c>
      <c r="U101" s="8">
        <f>IF(P101=0,"нет продаж",IF(R101="","",IF(R101&lt;3,"ГОРИТ",IF(R101&gt;12,"затоварен","норм"))))</f>
        <v/>
      </c>
    </row>
    <row r="102">
      <c r="A102" s="6" t="inlineStr">
        <is>
          <t>косметика</t>
        </is>
      </c>
      <c r="B102" s="6" t="inlineStr">
        <is>
          <t>ELIZAVECCA - Hell pore clean up aha fruit toner [ 200ml] / Пилинг-тоник с фруктовыми кислотами</t>
        </is>
      </c>
      <c r="C102" s="6" t="n">
        <v>206057411</v>
      </c>
      <c r="D102" s="6" t="inlineStr"/>
      <c r="E102" s="6" t="inlineStr">
        <is>
          <t>20394264170530</t>
        </is>
      </c>
      <c r="F102" s="6" t="n">
        <v>328</v>
      </c>
      <c r="G102" s="6" t="n">
        <v>0</v>
      </c>
      <c r="H102" s="7" t="inlineStr"/>
      <c r="I102" s="7" t="inlineStr"/>
      <c r="J102" s="7" t="inlineStr"/>
      <c r="K102" s="7" t="inlineStr"/>
      <c r="L102" s="6" t="n">
        <v>9.800000000000001</v>
      </c>
      <c r="M102" s="7" t="inlineStr"/>
      <c r="N102" s="7" t="inlineStr"/>
      <c r="O102" s="7" t="inlineStr"/>
      <c r="P102" s="8">
        <f>SUM(L102:O102)</f>
        <v/>
      </c>
      <c r="Q102" s="8">
        <f>G102+H102+I102+J102+K102</f>
        <v/>
      </c>
      <c r="R102" s="8">
        <f>IF(P102=0,"",ROUND(Q102/P102,1))</f>
        <v/>
      </c>
      <c r="S102" s="6">
        <f>IFERROR(VLOOKUP(A102,Параметры!$A$4:$D$6,4,FALSE),0)</f>
        <v/>
      </c>
      <c r="T102" s="8">
        <f>IF(P102=0,0,MAX(0,ROUND(P102*(2+1)-Q102,0)))</f>
        <v/>
      </c>
      <c r="U102" s="8">
        <f>IF(P102=0,"нет продаж",IF(R102="","",IF(R102&lt;3,"ГОРИТ",IF(R102&gt;12,"затоварен","норм"))))</f>
        <v/>
      </c>
    </row>
    <row r="103">
      <c r="A103" s="6" t="inlineStr">
        <is>
          <t>косметика</t>
        </is>
      </c>
      <c r="B103" s="6" t="inlineStr">
        <is>
          <t>JMSOLUTION - Marine Luminous Pearl Deep Moisture Mask Pearl [1/2/3]*[10ea] / Тканевая маска для лица с жемчужной пудрой</t>
        </is>
      </c>
      <c r="C103" s="6" t="n">
        <v>236825103</v>
      </c>
      <c r="D103" s="6" t="inlineStr"/>
      <c r="E103" s="6" t="inlineStr">
        <is>
          <t>20403285537630</t>
        </is>
      </c>
      <c r="F103" s="6" t="n">
        <v>368</v>
      </c>
      <c r="G103" s="6" t="n">
        <v>0</v>
      </c>
      <c r="H103" s="7" t="inlineStr"/>
      <c r="I103" s="7" t="inlineStr"/>
      <c r="J103" s="7" t="inlineStr"/>
      <c r="K103" s="7" t="inlineStr"/>
      <c r="L103" s="6" t="n">
        <v>8.699999999999999</v>
      </c>
      <c r="M103" s="7" t="inlineStr"/>
      <c r="N103" s="7" t="inlineStr"/>
      <c r="O103" s="7" t="inlineStr"/>
      <c r="P103" s="8">
        <f>SUM(L103:O103)</f>
        <v/>
      </c>
      <c r="Q103" s="8">
        <f>G103+H103+I103+J103+K103</f>
        <v/>
      </c>
      <c r="R103" s="8">
        <f>IF(P103=0,"",ROUND(Q103/P103,1))</f>
        <v/>
      </c>
      <c r="S103" s="6">
        <f>IFERROR(VLOOKUP(A103,Параметры!$A$4:$D$6,4,FALSE),0)</f>
        <v/>
      </c>
      <c r="T103" s="8">
        <f>IF(P103=0,0,MAX(0,ROUND(P103*(2+1)-Q103,0)))</f>
        <v/>
      </c>
      <c r="U103" s="8">
        <f>IF(P103=0,"нет продаж",IF(R103="","",IF(R103&lt;3,"ГОРИТ",IF(R103&gt;12,"затоварен","норм"))))</f>
        <v/>
      </c>
    </row>
    <row r="104">
      <c r="A104" s="6" t="inlineStr">
        <is>
          <t>косметика</t>
        </is>
      </c>
      <c r="B104" s="6" t="inlineStr">
        <is>
          <t>MASIL - 8 Seconds Salon Hair Mask 350ml Set [350ml+8ml*2]</t>
        </is>
      </c>
      <c r="C104" s="6" t="n">
        <v>183030830</v>
      </c>
      <c r="D104" s="6" t="inlineStr"/>
      <c r="E104" s="6" t="inlineStr">
        <is>
          <t>20388107508820</t>
        </is>
      </c>
      <c r="F104" s="6" t="n">
        <v>669</v>
      </c>
      <c r="G104" s="6" t="n">
        <v>105</v>
      </c>
      <c r="H104" s="7" t="inlineStr"/>
      <c r="I104" s="7" t="inlineStr"/>
      <c r="J104" s="7" t="inlineStr"/>
      <c r="K104" s="7" t="inlineStr"/>
      <c r="L104" s="6" t="n">
        <v>8.699999999999999</v>
      </c>
      <c r="M104" s="7" t="inlineStr"/>
      <c r="N104" s="7" t="inlineStr"/>
      <c r="O104" s="7" t="inlineStr"/>
      <c r="P104" s="8">
        <f>SUM(L104:O104)</f>
        <v/>
      </c>
      <c r="Q104" s="8">
        <f>G104+H104+I104+J104+K104</f>
        <v/>
      </c>
      <c r="R104" s="8">
        <f>IF(P104=0,"",ROUND(Q104/P104,1))</f>
        <v/>
      </c>
      <c r="S104" s="6">
        <f>IFERROR(VLOOKUP(A104,Параметры!$A$4:$D$6,4,FALSE),0)</f>
        <v/>
      </c>
      <c r="T104" s="8">
        <f>IF(P104=0,0,MAX(0,ROUND(P104*(2+1)-Q104,0)))</f>
        <v/>
      </c>
      <c r="U104" s="8">
        <f>IF(P104=0,"нет продаж",IF(R104="","",IF(R104&lt;3,"ГОРИТ",IF(R104&gt;12,"затоварен","норм"))))</f>
        <v/>
      </c>
    </row>
    <row r="105">
      <c r="A105" s="6" t="inlineStr">
        <is>
          <t>косметика</t>
        </is>
      </c>
      <c r="B105" s="6" t="inlineStr">
        <is>
          <t>THE ORDINARY - Argireline Solution 10% [30ml] / Сыворотка для лица от прыщей и акне с ниацинамидом 10 %</t>
        </is>
      </c>
      <c r="C105" s="6" t="n">
        <v>214312385</v>
      </c>
      <c r="D105" s="6" t="inlineStr"/>
      <c r="E105" s="6" t="inlineStr">
        <is>
          <t>20395981542750</t>
        </is>
      </c>
      <c r="F105" s="6" t="n">
        <v>722</v>
      </c>
      <c r="G105" s="6" t="n">
        <v>115</v>
      </c>
      <c r="H105" s="7" t="inlineStr"/>
      <c r="I105" s="7" t="inlineStr"/>
      <c r="J105" s="7" t="inlineStr"/>
      <c r="K105" s="7" t="inlineStr"/>
      <c r="L105" s="6" t="n">
        <v>8.699999999999999</v>
      </c>
      <c r="M105" s="7" t="inlineStr"/>
      <c r="N105" s="7" t="inlineStr"/>
      <c r="O105" s="7" t="inlineStr"/>
      <c r="P105" s="8">
        <f>SUM(L105:O105)</f>
        <v/>
      </c>
      <c r="Q105" s="8">
        <f>G105+H105+I105+J105+K105</f>
        <v/>
      </c>
      <c r="R105" s="8">
        <f>IF(P105=0,"",ROUND(Q105/P105,1))</f>
        <v/>
      </c>
      <c r="S105" s="6">
        <f>IFERROR(VLOOKUP(A105,Параметры!$A$4:$D$6,4,FALSE),0)</f>
        <v/>
      </c>
      <c r="T105" s="8">
        <f>IF(P105=0,0,MAX(0,ROUND(P105*(2+1)-Q105,0)))</f>
        <v/>
      </c>
      <c r="U105" s="8">
        <f>IF(P105=0,"нет продаж",IF(R105="","",IF(R105&lt;3,"ГОРИТ",IF(R105&gt;12,"затоварен","норм"))))</f>
        <v/>
      </c>
    </row>
    <row r="106">
      <c r="A106" s="6" t="inlineStr">
        <is>
          <t>косметика</t>
        </is>
      </c>
      <c r="B106" s="6" t="inlineStr">
        <is>
          <t>ENOUGH - Premium Rich Gold Double Wear Radiance Foundation [Tone 13] / Тональный крем с частичками золота 13 тон</t>
        </is>
      </c>
      <c r="C106" s="6" t="n">
        <v>170198180</v>
      </c>
      <c r="D106" s="6" t="inlineStr"/>
      <c r="E106" s="6" t="inlineStr">
        <is>
          <t>20381995170900</t>
        </is>
      </c>
      <c r="F106" s="6" t="n">
        <v>270</v>
      </c>
      <c r="G106" s="6" t="n">
        <v>200</v>
      </c>
      <c r="H106" s="7" t="inlineStr"/>
      <c r="I106" s="7" t="inlineStr"/>
      <c r="J106" s="7" t="inlineStr"/>
      <c r="K106" s="7" t="inlineStr"/>
      <c r="L106" s="6" t="n">
        <v>7.6</v>
      </c>
      <c r="M106" s="7" t="inlineStr"/>
      <c r="N106" s="7" t="inlineStr"/>
      <c r="O106" s="7" t="inlineStr"/>
      <c r="P106" s="8">
        <f>SUM(L106:O106)</f>
        <v/>
      </c>
      <c r="Q106" s="8">
        <f>G106+H106+I106+J106+K106</f>
        <v/>
      </c>
      <c r="R106" s="8">
        <f>IF(P106=0,"",ROUND(Q106/P106,1))</f>
        <v/>
      </c>
      <c r="S106" s="6">
        <f>IFERROR(VLOOKUP(A106,Параметры!$A$4:$D$6,4,FALSE),0)</f>
        <v/>
      </c>
      <c r="T106" s="8">
        <f>IF(P106=0,0,MAX(0,ROUND(P106*(2+1)-Q106,0)))</f>
        <v/>
      </c>
      <c r="U106" s="8">
        <f>IF(P106=0,"нет продаж",IF(R106="","",IF(R106&lt;3,"ГОРИТ",IF(R106&gt;12,"затоварен","норм"))))</f>
        <v/>
      </c>
    </row>
    <row r="107">
      <c r="A107" s="6" t="inlineStr">
        <is>
          <t>косметика</t>
        </is>
      </c>
      <c r="B107" s="6" t="inlineStr">
        <is>
          <t>LEBELAGE - Dr. Peptide Derma Eye Cream [40ml] / Крем для глаз антивозрастной с пептидами</t>
        </is>
      </c>
      <c r="C107" s="6" t="n">
        <v>210575566</v>
      </c>
      <c r="D107" s="6" t="inlineStr"/>
      <c r="E107" s="6" t="inlineStr">
        <is>
          <t>20395146397560</t>
        </is>
      </c>
      <c r="F107" s="6" t="n">
        <v>108</v>
      </c>
      <c r="G107" s="6" t="n">
        <v>353</v>
      </c>
      <c r="H107" s="7" t="inlineStr"/>
      <c r="I107" s="7" t="inlineStr"/>
      <c r="J107" s="7" t="inlineStr"/>
      <c r="K107" s="7" t="inlineStr"/>
      <c r="L107" s="6" t="n">
        <v>7.6</v>
      </c>
      <c r="M107" s="7" t="inlineStr"/>
      <c r="N107" s="7" t="inlineStr"/>
      <c r="O107" s="7" t="inlineStr"/>
      <c r="P107" s="8">
        <f>SUM(L107:O107)</f>
        <v/>
      </c>
      <c r="Q107" s="8">
        <f>G107+H107+I107+J107+K107</f>
        <v/>
      </c>
      <c r="R107" s="8">
        <f>IF(P107=0,"",ROUND(Q107/P107,1))</f>
        <v/>
      </c>
      <c r="S107" s="6">
        <f>IFERROR(VLOOKUP(A107,Параметры!$A$4:$D$6,4,FALSE),0)</f>
        <v/>
      </c>
      <c r="T107" s="8">
        <f>IF(P107=0,0,MAX(0,ROUND(P107*(2+1)-Q107,0)))</f>
        <v/>
      </c>
      <c r="U107" s="8">
        <f>IF(P107=0,"нет продаж",IF(R107="","",IF(R107&lt;3,"ГОРИТ",IF(R107&gt;12,"затоварен","норм"))))</f>
        <v/>
      </c>
    </row>
    <row r="108">
      <c r="A108" s="6" t="inlineStr">
        <is>
          <t>косметика</t>
        </is>
      </c>
      <c r="B108" s="6" t="inlineStr">
        <is>
          <t>ROUND LAB PINE CALMING CICA AMPOULE_30ml - Сыворотка для жирной кожи лица увлажняющая с центеллой</t>
        </is>
      </c>
      <c r="C108" s="6" t="n">
        <v>437776835</v>
      </c>
      <c r="D108" s="6" t="inlineStr"/>
      <c r="E108" s="6" t="inlineStr">
        <is>
          <t>20443363441910</t>
        </is>
      </c>
      <c r="F108" s="6" t="n">
        <v>820</v>
      </c>
      <c r="G108" s="6" t="n">
        <v>5</v>
      </c>
      <c r="H108" s="7" t="inlineStr"/>
      <c r="I108" s="7" t="inlineStr"/>
      <c r="J108" s="7" t="inlineStr"/>
      <c r="K108" s="7" t="inlineStr"/>
      <c r="L108" s="6" t="n">
        <v>7.6</v>
      </c>
      <c r="M108" s="7" t="inlineStr"/>
      <c r="N108" s="7" t="inlineStr"/>
      <c r="O108" s="7" t="inlineStr"/>
      <c r="P108" s="8">
        <f>SUM(L108:O108)</f>
        <v/>
      </c>
      <c r="Q108" s="8">
        <f>G108+H108+I108+J108+K108</f>
        <v/>
      </c>
      <c r="R108" s="8">
        <f>IF(P108=0,"",ROUND(Q108/P108,1))</f>
        <v/>
      </c>
      <c r="S108" s="6">
        <f>IFERROR(VLOOKUP(A108,Параметры!$A$4:$D$6,4,FALSE),0)</f>
        <v/>
      </c>
      <c r="T108" s="8">
        <f>IF(P108=0,0,MAX(0,ROUND(P108*(2+1)-Q108,0)))</f>
        <v/>
      </c>
      <c r="U108" s="8">
        <f>IF(P108=0,"нет продаж",IF(R108="","",IF(R108&lt;3,"ГОРИТ",IF(R108&gt;12,"затоварен","норм"))))</f>
        <v/>
      </c>
    </row>
    <row r="109">
      <c r="A109" s="6" t="inlineStr">
        <is>
          <t>косметика</t>
        </is>
      </c>
      <c r="B109" s="6" t="inlineStr">
        <is>
          <t>ISNTREE - Chestnut AHA 8% Clear Essence Sample [20ml] / Увлажняющая эссенция для глубокого очищения лица</t>
        </is>
      </c>
      <c r="C109" s="6" t="n">
        <v>207818000</v>
      </c>
      <c r="D109" s="6" t="inlineStr"/>
      <c r="E109" s="6" t="inlineStr">
        <is>
          <t>20394594523660</t>
        </is>
      </c>
      <c r="F109" s="6" t="n">
        <v>99</v>
      </c>
      <c r="G109" s="6" t="n">
        <v>0</v>
      </c>
      <c r="H109" s="7" t="inlineStr"/>
      <c r="I109" s="7" t="inlineStr"/>
      <c r="J109" s="7" t="inlineStr"/>
      <c r="K109" s="7" t="inlineStr"/>
      <c r="L109" s="6" t="n">
        <v>6.5</v>
      </c>
      <c r="M109" s="7" t="inlineStr"/>
      <c r="N109" s="7" t="inlineStr"/>
      <c r="O109" s="7" t="inlineStr"/>
      <c r="P109" s="8">
        <f>SUM(L109:O109)</f>
        <v/>
      </c>
      <c r="Q109" s="8">
        <f>G109+H109+I109+J109+K109</f>
        <v/>
      </c>
      <c r="R109" s="8">
        <f>IF(P109=0,"",ROUND(Q109/P109,1))</f>
        <v/>
      </c>
      <c r="S109" s="6">
        <f>IFERROR(VLOOKUP(A109,Параметры!$A$4:$D$6,4,FALSE),0)</f>
        <v/>
      </c>
      <c r="T109" s="8">
        <f>IF(P109=0,0,MAX(0,ROUND(P109*(2+1)-Q109,0)))</f>
        <v/>
      </c>
      <c r="U109" s="8">
        <f>IF(P109=0,"нет продаж",IF(R109="","",IF(R109&lt;3,"ГОРИТ",IF(R109&gt;12,"затоварен","норм"))))</f>
        <v/>
      </c>
    </row>
    <row r="110">
      <c r="A110" s="6" t="inlineStr">
        <is>
          <t>косметика</t>
        </is>
      </c>
      <c r="B110" s="6" t="inlineStr">
        <is>
          <t>LEBELAGE - Dr. Hyaluronic Derma Eye Cream [40ml] / Крем для глаз антивозрастной с гиалуроновой кислотой</t>
        </is>
      </c>
      <c r="C110" s="6" t="n">
        <v>207818642</v>
      </c>
      <c r="D110" s="6" t="inlineStr"/>
      <c r="E110" s="6" t="inlineStr">
        <is>
          <t>20394594634780</t>
        </is>
      </c>
      <c r="F110" s="6" t="n">
        <v>108</v>
      </c>
      <c r="G110" s="6" t="n">
        <v>0</v>
      </c>
      <c r="H110" s="7" t="inlineStr"/>
      <c r="I110" s="7" t="inlineStr"/>
      <c r="J110" s="7" t="inlineStr"/>
      <c r="K110" s="7" t="inlineStr"/>
      <c r="L110" s="6" t="n">
        <v>6.5</v>
      </c>
      <c r="M110" s="7" t="inlineStr"/>
      <c r="N110" s="7" t="inlineStr"/>
      <c r="O110" s="7" t="inlineStr"/>
      <c r="P110" s="8">
        <f>SUM(L110:O110)</f>
        <v/>
      </c>
      <c r="Q110" s="8">
        <f>G110+H110+I110+J110+K110</f>
        <v/>
      </c>
      <c r="R110" s="8">
        <f>IF(P110=0,"",ROUND(Q110/P110,1))</f>
        <v/>
      </c>
      <c r="S110" s="6">
        <f>IFERROR(VLOOKUP(A110,Параметры!$A$4:$D$6,4,FALSE),0)</f>
        <v/>
      </c>
      <c r="T110" s="8">
        <f>IF(P110=0,0,MAX(0,ROUND(P110*(2+1)-Q110,0)))</f>
        <v/>
      </c>
      <c r="U110" s="8">
        <f>IF(P110=0,"нет продаж",IF(R110="","",IF(R110&lt;3,"ГОРИТ",IF(R110&gt;12,"затоварен","норм"))))</f>
        <v/>
      </c>
    </row>
    <row r="111">
      <c r="A111" s="6" t="inlineStr">
        <is>
          <t>косметика</t>
        </is>
      </c>
      <c r="B111" s="6" t="inlineStr">
        <is>
          <t>PETITFEE - MASK 5 (блек, агава, какао, артишок, голд снейл)</t>
        </is>
      </c>
      <c r="C111" s="6" t="n">
        <v>1177994944</v>
      </c>
      <c r="D111" s="6" t="inlineStr"/>
      <c r="E111" s="6" t="inlineStr">
        <is>
          <t>20524682984730</t>
        </is>
      </c>
      <c r="F111" s="6" t="n">
        <v>488</v>
      </c>
      <c r="G111" s="6" t="n">
        <v>100</v>
      </c>
      <c r="H111" s="7" t="inlineStr"/>
      <c r="I111" s="7" t="inlineStr"/>
      <c r="J111" s="7" t="inlineStr"/>
      <c r="K111" s="7" t="inlineStr"/>
      <c r="L111" s="6" t="n">
        <v>6.5</v>
      </c>
      <c r="M111" s="7" t="inlineStr"/>
      <c r="N111" s="7" t="inlineStr"/>
      <c r="O111" s="7" t="inlineStr"/>
      <c r="P111" s="8">
        <f>SUM(L111:O111)</f>
        <v/>
      </c>
      <c r="Q111" s="8">
        <f>G111+H111+I111+J111+K111</f>
        <v/>
      </c>
      <c r="R111" s="8">
        <f>IF(P111=0,"",ROUND(Q111/P111,1))</f>
        <v/>
      </c>
      <c r="S111" s="6">
        <f>IFERROR(VLOOKUP(A111,Параметры!$A$4:$D$6,4,FALSE),0)</f>
        <v/>
      </c>
      <c r="T111" s="8">
        <f>IF(P111=0,0,MAX(0,ROUND(P111*(2+1)-Q111,0)))</f>
        <v/>
      </c>
      <c r="U111" s="8">
        <f>IF(P111=0,"нет продаж",IF(R111="","",IF(R111&lt;3,"ГОРИТ",IF(R111&gt;12,"затоварен","норм"))))</f>
        <v/>
      </c>
    </row>
    <row r="112">
      <c r="A112" s="6" t="inlineStr">
        <is>
          <t>косметика</t>
        </is>
      </c>
      <c r="B112" s="6" t="inlineStr">
        <is>
          <t>ENOUGH - Premium Rich Gold Double Wear Radiance Foundation [Tone 21] / Тональный крем с частичками золота 21 тон</t>
        </is>
      </c>
      <c r="C112" s="6" t="n">
        <v>170198109</v>
      </c>
      <c r="D112" s="6" t="inlineStr"/>
      <c r="E112" s="6" t="inlineStr">
        <is>
          <t>20381995122000</t>
        </is>
      </c>
      <c r="F112" s="6" t="n">
        <v>270</v>
      </c>
      <c r="G112" s="6" t="n">
        <v>400</v>
      </c>
      <c r="H112" s="7" t="inlineStr"/>
      <c r="I112" s="7" t="inlineStr"/>
      <c r="J112" s="7" t="inlineStr"/>
      <c r="K112" s="7" t="inlineStr"/>
      <c r="L112" s="6" t="n">
        <v>5.4</v>
      </c>
      <c r="M112" s="7" t="inlineStr"/>
      <c r="N112" s="7" t="inlineStr"/>
      <c r="O112" s="7" t="inlineStr"/>
      <c r="P112" s="8">
        <f>SUM(L112:O112)</f>
        <v/>
      </c>
      <c r="Q112" s="8">
        <f>G112+H112+I112+J112+K112</f>
        <v/>
      </c>
      <c r="R112" s="8">
        <f>IF(P112=0,"",ROUND(Q112/P112,1))</f>
        <v/>
      </c>
      <c r="S112" s="6">
        <f>IFERROR(VLOOKUP(A112,Параметры!$A$4:$D$6,4,FALSE),0)</f>
        <v/>
      </c>
      <c r="T112" s="8">
        <f>IF(P112=0,0,MAX(0,ROUND(P112*(2+1)-Q112,0)))</f>
        <v/>
      </c>
      <c r="U112" s="8">
        <f>IF(P112=0,"нет продаж",IF(R112="","",IF(R112&lt;3,"ГОРИТ",IF(R112&gt;12,"затоварен","норм"))))</f>
        <v/>
      </c>
    </row>
    <row r="113">
      <c r="A113" s="6" t="inlineStr">
        <is>
          <t>косметика</t>
        </is>
      </c>
      <c r="B113" s="6" t="inlineStr">
        <is>
          <t>ENOUGH - Premium Ultra X10 Cover Up Collagen Foundation [Tone 13] / Тональный крем с коллагеном 13 тон</t>
        </is>
      </c>
      <c r="C113" s="6" t="n">
        <v>170198835</v>
      </c>
      <c r="D113" s="6" t="inlineStr"/>
      <c r="E113" s="6" t="inlineStr">
        <is>
          <t>20381995322460</t>
        </is>
      </c>
      <c r="F113" s="6" t="n">
        <v>315</v>
      </c>
      <c r="G113" s="6" t="n">
        <v>1000</v>
      </c>
      <c r="H113" s="7" t="inlineStr"/>
      <c r="I113" s="7" t="inlineStr"/>
      <c r="J113" s="7" t="inlineStr"/>
      <c r="K113" s="7" t="inlineStr"/>
      <c r="L113" s="6" t="n">
        <v>5.4</v>
      </c>
      <c r="M113" s="7" t="inlineStr"/>
      <c r="N113" s="7" t="inlineStr"/>
      <c r="O113" s="7" t="inlineStr"/>
      <c r="P113" s="8">
        <f>SUM(L113:O113)</f>
        <v/>
      </c>
      <c r="Q113" s="8">
        <f>G113+H113+I113+J113+K113</f>
        <v/>
      </c>
      <c r="R113" s="8">
        <f>IF(P113=0,"",ROUND(Q113/P113,1))</f>
        <v/>
      </c>
      <c r="S113" s="6">
        <f>IFERROR(VLOOKUP(A113,Параметры!$A$4:$D$6,4,FALSE),0)</f>
        <v/>
      </c>
      <c r="T113" s="8">
        <f>IF(P113=0,0,MAX(0,ROUND(P113*(2+1)-Q113,0)))</f>
        <v/>
      </c>
      <c r="U113" s="8">
        <f>IF(P113=0,"нет продаж",IF(R113="","",IF(R113&lt;3,"ГОРИТ",IF(R113&gt;12,"затоварен","норм"))))</f>
        <v/>
      </c>
    </row>
    <row r="114">
      <c r="A114" s="6" t="inlineStr">
        <is>
          <t>косметика</t>
        </is>
      </c>
      <c r="B114" s="6" t="inlineStr">
        <is>
          <t>PETITFEE - Gold &amp; EGF Hydrogel Eye &amp; Spot Patch [60ea]/ гидрогелевые патчи с золотом и EGF</t>
        </is>
      </c>
      <c r="C114" s="6" t="n">
        <v>180711041</v>
      </c>
      <c r="D114" s="6" t="inlineStr"/>
      <c r="E114" s="6" t="inlineStr">
        <is>
          <t>20387461465440</t>
        </is>
      </c>
      <c r="F114" s="6" t="n">
        <v>385</v>
      </c>
      <c r="G114" s="6" t="n">
        <v>0</v>
      </c>
      <c r="H114" s="7" t="inlineStr"/>
      <c r="I114" s="7" t="inlineStr"/>
      <c r="J114" s="7" t="inlineStr"/>
      <c r="K114" s="7" t="inlineStr"/>
      <c r="L114" s="6" t="n">
        <v>5.4</v>
      </c>
      <c r="M114" s="7" t="inlineStr"/>
      <c r="N114" s="7" t="inlineStr"/>
      <c r="O114" s="7" t="inlineStr"/>
      <c r="P114" s="8">
        <f>SUM(L114:O114)</f>
        <v/>
      </c>
      <c r="Q114" s="8">
        <f>G114+H114+I114+J114+K114</f>
        <v/>
      </c>
      <c r="R114" s="8">
        <f>IF(P114=0,"",ROUND(Q114/P114,1))</f>
        <v/>
      </c>
      <c r="S114" s="6">
        <f>IFERROR(VLOOKUP(A114,Параметры!$A$4:$D$6,4,FALSE),0)</f>
        <v/>
      </c>
      <c r="T114" s="8">
        <f>IF(P114=0,0,MAX(0,ROUND(P114*(2+1)-Q114,0)))</f>
        <v/>
      </c>
      <c r="U114" s="8">
        <f>IF(P114=0,"нет продаж",IF(R114="","",IF(R114&lt;3,"ГОРИТ",IF(R114&gt;12,"затоварен","норм"))))</f>
        <v/>
      </c>
    </row>
    <row r="115">
      <c r="A115" s="6" t="inlineStr">
        <is>
          <t>косметика</t>
        </is>
      </c>
      <c r="B115" s="6" t="inlineStr">
        <is>
          <t>DEOPROCE SHAMPOO - BLACK GARLIC INTENSME ENERGY [600ml] мягкая упаковка Шампунь с черным чесноком против выпадения волос</t>
        </is>
      </c>
      <c r="C115" s="6" t="n">
        <v>608837066</v>
      </c>
      <c r="D115" s="6" t="inlineStr"/>
      <c r="E115" s="6" t="inlineStr">
        <is>
          <t>20472149345830</t>
        </is>
      </c>
      <c r="F115" s="6" t="n">
        <v>270</v>
      </c>
      <c r="G115" s="6" t="n">
        <v>59</v>
      </c>
      <c r="H115" s="7" t="inlineStr"/>
      <c r="I115" s="7" t="inlineStr"/>
      <c r="J115" s="7" t="inlineStr"/>
      <c r="K115" s="7" t="inlineStr"/>
      <c r="L115" s="6" t="n">
        <v>4.3</v>
      </c>
      <c r="M115" s="7" t="inlineStr"/>
      <c r="N115" s="7" t="inlineStr"/>
      <c r="O115" s="7" t="inlineStr"/>
      <c r="P115" s="8">
        <f>SUM(L115:O115)</f>
        <v/>
      </c>
      <c r="Q115" s="8">
        <f>G115+H115+I115+J115+K115</f>
        <v/>
      </c>
      <c r="R115" s="8">
        <f>IF(P115=0,"",ROUND(Q115/P115,1))</f>
        <v/>
      </c>
      <c r="S115" s="6">
        <f>IFERROR(VLOOKUP(A115,Параметры!$A$4:$D$6,4,FALSE),0)</f>
        <v/>
      </c>
      <c r="T115" s="8">
        <f>IF(P115=0,0,MAX(0,ROUND(P115*(2+1)-Q115,0)))</f>
        <v/>
      </c>
      <c r="U115" s="8">
        <f>IF(P115=0,"нет продаж",IF(R115="","",IF(R115&lt;3,"ГОРИТ",IF(R115&gt;12,"затоварен","норм"))))</f>
        <v/>
      </c>
    </row>
    <row r="116">
      <c r="A116" s="6" t="inlineStr">
        <is>
          <t>косметика</t>
        </is>
      </c>
      <c r="B116" s="6" t="inlineStr">
        <is>
          <t>ROUND LAB SOYBEAN CLEANSING OIL_200ml - Гидрофильное масло для лица для умывания</t>
        </is>
      </c>
      <c r="C116" s="6" t="n">
        <v>437850261</v>
      </c>
      <c r="D116" s="6" t="inlineStr"/>
      <c r="E116" s="6" t="inlineStr">
        <is>
          <t>20443371517430</t>
        </is>
      </c>
      <c r="F116" s="6" t="n">
        <v>765</v>
      </c>
      <c r="G116" s="6" t="n">
        <v>0</v>
      </c>
      <c r="H116" s="7" t="inlineStr"/>
      <c r="I116" s="7" t="inlineStr"/>
      <c r="J116" s="7" t="inlineStr"/>
      <c r="K116" s="7" t="inlineStr"/>
      <c r="L116" s="6" t="n">
        <v>4.3</v>
      </c>
      <c r="M116" s="7" t="inlineStr"/>
      <c r="N116" s="7" t="inlineStr"/>
      <c r="O116" s="7" t="inlineStr"/>
      <c r="P116" s="8">
        <f>SUM(L116:O116)</f>
        <v/>
      </c>
      <c r="Q116" s="8">
        <f>G116+H116+I116+J116+K116</f>
        <v/>
      </c>
      <c r="R116" s="8">
        <f>IF(P116=0,"",ROUND(Q116/P116,1))</f>
        <v/>
      </c>
      <c r="S116" s="6">
        <f>IFERROR(VLOOKUP(A116,Параметры!$A$4:$D$6,4,FALSE),0)</f>
        <v/>
      </c>
      <c r="T116" s="8">
        <f>IF(P116=0,0,MAX(0,ROUND(P116*(2+1)-Q116,0)))</f>
        <v/>
      </c>
      <c r="U116" s="8">
        <f>IF(P116=0,"нет продаж",IF(R116="","",IF(R116&lt;3,"ГОРИТ",IF(R116&gt;12,"затоварен","норм"))))</f>
        <v/>
      </c>
    </row>
    <row r="117">
      <c r="A117" s="6" t="inlineStr">
        <is>
          <t>косметика</t>
        </is>
      </c>
      <c r="B117" s="6" t="inlineStr">
        <is>
          <t>THE ORDINARY - Glycolic Acid 7% Toning Solution [KOR] [240ml] / Тоник с гликолевой кислотой 7%</t>
        </is>
      </c>
      <c r="C117" s="6" t="n">
        <v>247275092</v>
      </c>
      <c r="D117" s="6" t="inlineStr"/>
      <c r="E117" s="6" t="inlineStr">
        <is>
          <t>20407740974770</t>
        </is>
      </c>
      <c r="F117" s="6" t="n">
        <v>845</v>
      </c>
      <c r="G117" s="6" t="n">
        <v>25</v>
      </c>
      <c r="H117" s="7" t="inlineStr"/>
      <c r="I117" s="7" t="inlineStr"/>
      <c r="J117" s="7" t="inlineStr"/>
      <c r="K117" s="7" t="inlineStr"/>
      <c r="L117" s="6" t="n">
        <v>4.3</v>
      </c>
      <c r="M117" s="7" t="inlineStr"/>
      <c r="N117" s="7" t="inlineStr"/>
      <c r="O117" s="7" t="inlineStr"/>
      <c r="P117" s="8">
        <f>SUM(L117:O117)</f>
        <v/>
      </c>
      <c r="Q117" s="8">
        <f>G117+H117+I117+J117+K117</f>
        <v/>
      </c>
      <c r="R117" s="8">
        <f>IF(P117=0,"",ROUND(Q117/P117,1))</f>
        <v/>
      </c>
      <c r="S117" s="6">
        <f>IFERROR(VLOOKUP(A117,Параметры!$A$4:$D$6,4,FALSE),0)</f>
        <v/>
      </c>
      <c r="T117" s="8">
        <f>IF(P117=0,0,MAX(0,ROUND(P117*(2+1)-Q117,0)))</f>
        <v/>
      </c>
      <c r="U117" s="8">
        <f>IF(P117=0,"нет продаж",IF(R117="","",IF(R117&lt;3,"ГОРИТ",IF(R117&gt;12,"затоварен","норм"))))</f>
        <v/>
      </c>
    </row>
    <row r="118">
      <c r="A118" s="6" t="inlineStr">
        <is>
          <t>косметика</t>
        </is>
      </c>
      <c r="B118" s="6" t="inlineStr">
        <is>
          <t>CELIMAX DUAL BARRIER SKIN WEARABLE CREAM [50ml]/Крем для восстановления защитного барьера кожи лица</t>
        </is>
      </c>
      <c r="C118" s="6" t="n">
        <v>551392965</v>
      </c>
      <c r="D118" s="6" t="inlineStr"/>
      <c r="E118" s="6" t="inlineStr">
        <is>
          <t>20464045835630</t>
        </is>
      </c>
      <c r="F118" s="6" t="n">
        <v>864</v>
      </c>
      <c r="G118" s="6" t="n">
        <v>353</v>
      </c>
      <c r="H118" s="7" t="inlineStr"/>
      <c r="I118" s="7" t="inlineStr"/>
      <c r="J118" s="7" t="inlineStr"/>
      <c r="K118" s="7" t="inlineStr"/>
      <c r="L118" s="6" t="n">
        <v>4.3</v>
      </c>
      <c r="M118" s="7" t="inlineStr"/>
      <c r="N118" s="7" t="inlineStr"/>
      <c r="O118" s="7" t="inlineStr"/>
      <c r="P118" s="8">
        <f>SUM(L118:O118)</f>
        <v/>
      </c>
      <c r="Q118" s="8">
        <f>G118+H118+I118+J118+K118</f>
        <v/>
      </c>
      <c r="R118" s="8">
        <f>IF(P118=0,"",ROUND(Q118/P118,1))</f>
        <v/>
      </c>
      <c r="S118" s="6">
        <f>IFERROR(VLOOKUP(A118,Параметры!$A$4:$D$6,4,FALSE),0)</f>
        <v/>
      </c>
      <c r="T118" s="8">
        <f>IF(P118=0,0,MAX(0,ROUND(P118*(2+1)-Q118,0)))</f>
        <v/>
      </c>
      <c r="U118" s="8">
        <f>IF(P118=0,"нет продаж",IF(R118="","",IF(R118&lt;3,"ГОРИТ",IF(R118&gt;12,"затоварен","норм"))))</f>
        <v/>
      </c>
    </row>
    <row r="119">
      <c r="A119" s="6" t="inlineStr">
        <is>
          <t>косметика</t>
        </is>
      </c>
      <c r="B119" s="6" t="inlineStr">
        <is>
          <t>VT PDRN ESSENCE 100 / Укрепляющая бустер-эссенция с ПДРН</t>
        </is>
      </c>
      <c r="C119" s="6" t="n">
        <v>1119249556</v>
      </c>
      <c r="D119" s="6" t="inlineStr"/>
      <c r="E119" s="6" t="inlineStr">
        <is>
          <t>88034630042860</t>
        </is>
      </c>
      <c r="F119" s="6" t="n">
        <v>1336</v>
      </c>
      <c r="G119" s="6" t="n">
        <v>1008</v>
      </c>
      <c r="H119" s="7" t="inlineStr"/>
      <c r="I119" s="7" t="inlineStr"/>
      <c r="J119" s="7" t="inlineStr"/>
      <c r="K119" s="7" t="inlineStr"/>
      <c r="L119" s="6" t="n">
        <v>4.3</v>
      </c>
      <c r="M119" s="7" t="inlineStr"/>
      <c r="N119" s="7" t="inlineStr"/>
      <c r="O119" s="7" t="inlineStr"/>
      <c r="P119" s="8">
        <f>SUM(L119:O119)</f>
        <v/>
      </c>
      <c r="Q119" s="8">
        <f>G119+H119+I119+J119+K119</f>
        <v/>
      </c>
      <c r="R119" s="8">
        <f>IF(P119=0,"",ROUND(Q119/P119,1))</f>
        <v/>
      </c>
      <c r="S119" s="6">
        <f>IFERROR(VLOOKUP(A119,Параметры!$A$4:$D$6,4,FALSE),0)</f>
        <v/>
      </c>
      <c r="T119" s="8">
        <f>IF(P119=0,0,MAX(0,ROUND(P119*(2+1)-Q119,0)))</f>
        <v/>
      </c>
      <c r="U119" s="8">
        <f>IF(P119=0,"нет продаж",IF(R119="","",IF(R119&lt;3,"ГОРИТ",IF(R119&gt;12,"затоварен","норм"))))</f>
        <v/>
      </c>
    </row>
    <row r="120">
      <c r="A120" s="6" t="inlineStr">
        <is>
          <t>косметика</t>
        </is>
      </c>
      <c r="B120" s="6" t="inlineStr">
        <is>
          <t>DEOPROCE - SNAIL RECOVERY CREAM [100g] / Крем восстанавливающий с муцином улитки</t>
        </is>
      </c>
      <c r="C120" s="6" t="n">
        <v>214304883</v>
      </c>
      <c r="D120" s="6" t="inlineStr"/>
      <c r="E120" s="6" t="inlineStr">
        <is>
          <t>20395979516080</t>
        </is>
      </c>
      <c r="F120" s="6" t="n">
        <v>595</v>
      </c>
      <c r="G120" s="6" t="n">
        <v>0</v>
      </c>
      <c r="H120" s="7" t="inlineStr"/>
      <c r="I120" s="7" t="inlineStr"/>
      <c r="J120" s="7" t="inlineStr"/>
      <c r="K120" s="7" t="inlineStr"/>
      <c r="L120" s="6" t="n">
        <v>3.3</v>
      </c>
      <c r="M120" s="7" t="inlineStr"/>
      <c r="N120" s="7" t="inlineStr"/>
      <c r="O120" s="7" t="inlineStr"/>
      <c r="P120" s="8">
        <f>SUM(L120:O120)</f>
        <v/>
      </c>
      <c r="Q120" s="8">
        <f>G120+H120+I120+J120+K120</f>
        <v/>
      </c>
      <c r="R120" s="8">
        <f>IF(P120=0,"",ROUND(Q120/P120,1))</f>
        <v/>
      </c>
      <c r="S120" s="6">
        <f>IFERROR(VLOOKUP(A120,Параметры!$A$4:$D$6,4,FALSE),0)</f>
        <v/>
      </c>
      <c r="T120" s="8">
        <f>IF(P120=0,0,MAX(0,ROUND(P120*(2+1)-Q120,0)))</f>
        <v/>
      </c>
      <c r="U120" s="8">
        <f>IF(P120=0,"нет продаж",IF(R120="","",IF(R120&lt;3,"ГОРИТ",IF(R120&gt;12,"затоварен","норм"))))</f>
        <v/>
      </c>
    </row>
    <row r="121">
      <c r="A121" s="6" t="inlineStr">
        <is>
          <t>косметика</t>
        </is>
      </c>
      <c r="B121" s="6" t="inlineStr">
        <is>
          <t>ENOUGH - Premium Ultra X10 Cover Up Collagen Foundation [Tone 21] / Тональный крем с коллагеном 21 тон</t>
        </is>
      </c>
      <c r="C121" s="6" t="n">
        <v>170198876</v>
      </c>
      <c r="D121" s="6" t="inlineStr"/>
      <c r="E121" s="6" t="inlineStr">
        <is>
          <t>20381995497940</t>
        </is>
      </c>
      <c r="F121" s="6" t="n">
        <v>315</v>
      </c>
      <c r="G121" s="6" t="n">
        <v>0</v>
      </c>
      <c r="H121" s="7" t="inlineStr"/>
      <c r="I121" s="7" t="inlineStr"/>
      <c r="J121" s="7" t="inlineStr"/>
      <c r="K121" s="7" t="inlineStr"/>
      <c r="L121" s="6" t="n">
        <v>3.3</v>
      </c>
      <c r="M121" s="7" t="inlineStr"/>
      <c r="N121" s="7" t="inlineStr"/>
      <c r="O121" s="7" t="inlineStr"/>
      <c r="P121" s="8">
        <f>SUM(L121:O121)</f>
        <v/>
      </c>
      <c r="Q121" s="8">
        <f>G121+H121+I121+J121+K121</f>
        <v/>
      </c>
      <c r="R121" s="8">
        <f>IF(P121=0,"",ROUND(Q121/P121,1))</f>
        <v/>
      </c>
      <c r="S121" s="6">
        <f>IFERROR(VLOOKUP(A121,Параметры!$A$4:$D$6,4,FALSE),0)</f>
        <v/>
      </c>
      <c r="T121" s="8">
        <f>IF(P121=0,0,MAX(0,ROUND(P121*(2+1)-Q121,0)))</f>
        <v/>
      </c>
      <c r="U121" s="8">
        <f>IF(P121=0,"нет продаж",IF(R121="","",IF(R121&lt;3,"ГОРИТ",IF(R121&gt;12,"затоварен","норм"))))</f>
        <v/>
      </c>
    </row>
    <row r="122">
      <c r="A122" s="6" t="inlineStr">
        <is>
          <t>косметика</t>
        </is>
      </c>
      <c r="B122" s="6" t="inlineStr">
        <is>
          <t>HEIMISH - All Clean Balm Mandarin [120ml] / Очищающий гидрофильный бальзам с мандарином</t>
        </is>
      </c>
      <c r="C122" s="6" t="n">
        <v>207465786</v>
      </c>
      <c r="D122" s="6" t="inlineStr"/>
      <c r="E122" s="6" t="inlineStr">
        <is>
          <t>20394548460610</t>
        </is>
      </c>
      <c r="F122" s="6" t="n">
        <v>686</v>
      </c>
      <c r="G122" s="6" t="n">
        <v>0</v>
      </c>
      <c r="H122" s="7" t="inlineStr"/>
      <c r="I122" s="7" t="inlineStr"/>
      <c r="J122" s="7" t="inlineStr"/>
      <c r="K122" s="7" t="inlineStr"/>
      <c r="L122" s="6" t="n">
        <v>3.3</v>
      </c>
      <c r="M122" s="7" t="inlineStr"/>
      <c r="N122" s="7" t="inlineStr"/>
      <c r="O122" s="7" t="inlineStr"/>
      <c r="P122" s="8">
        <f>SUM(L122:O122)</f>
        <v/>
      </c>
      <c r="Q122" s="8">
        <f>G122+H122+I122+J122+K122</f>
        <v/>
      </c>
      <c r="R122" s="8">
        <f>IF(P122=0,"",ROUND(Q122/P122,1))</f>
        <v/>
      </c>
      <c r="S122" s="6">
        <f>IFERROR(VLOOKUP(A122,Параметры!$A$4:$D$6,4,FALSE),0)</f>
        <v/>
      </c>
      <c r="T122" s="8">
        <f>IF(P122=0,0,MAX(0,ROUND(P122*(2+1)-Q122,0)))</f>
        <v/>
      </c>
      <c r="U122" s="8">
        <f>IF(P122=0,"нет продаж",IF(R122="","",IF(R122&lt;3,"ГОРИТ",IF(R122&gt;12,"затоварен","норм"))))</f>
        <v/>
      </c>
    </row>
    <row r="123">
      <c r="A123" s="6" t="inlineStr">
        <is>
          <t>косметика</t>
        </is>
      </c>
      <c r="B123" s="6" t="inlineStr">
        <is>
          <t xml:space="preserve">        
PETITFEE Black Pearl &amp; Gold Hydrogel Eye Patch/Gold Hydrogel Eye Patch (комплект из одинарных патчей)</t>
        </is>
      </c>
      <c r="C123" s="6" t="n">
        <v>340752919</v>
      </c>
      <c r="D123" s="6" t="inlineStr"/>
      <c r="E123" s="6" t="inlineStr">
        <is>
          <t>20429865159920</t>
        </is>
      </c>
      <c r="F123" s="6" t="n">
        <v>142</v>
      </c>
      <c r="G123" s="6" t="n">
        <v>0</v>
      </c>
      <c r="H123" s="7" t="inlineStr"/>
      <c r="I123" s="7" t="inlineStr"/>
      <c r="J123" s="7" t="inlineStr"/>
      <c r="K123" s="7" t="inlineStr"/>
      <c r="L123" s="6" t="n">
        <v>3.3</v>
      </c>
      <c r="M123" s="7" t="inlineStr"/>
      <c r="N123" s="7" t="inlineStr"/>
      <c r="O123" s="7" t="inlineStr"/>
      <c r="P123" s="8">
        <f>SUM(L123:O123)</f>
        <v/>
      </c>
      <c r="Q123" s="8">
        <f>G123+H123+I123+J123+K123</f>
        <v/>
      </c>
      <c r="R123" s="8">
        <f>IF(P123=0,"",ROUND(Q123/P123,1))</f>
        <v/>
      </c>
      <c r="S123" s="6">
        <f>IFERROR(VLOOKUP(A123,Параметры!$A$4:$D$6,4,FALSE),0)</f>
        <v/>
      </c>
      <c r="T123" s="8">
        <f>IF(P123=0,0,MAX(0,ROUND(P123*(2+1)-Q123,0)))</f>
        <v/>
      </c>
      <c r="U123" s="8">
        <f>IF(P123=0,"нет продаж",IF(R123="","",IF(R123&lt;3,"ГОРИТ",IF(R123&gt;12,"затоварен","норм"))))</f>
        <v/>
      </c>
    </row>
    <row r="124">
      <c r="A124" s="6" t="inlineStr">
        <is>
          <t>косметика</t>
        </is>
      </c>
      <c r="B124" s="6" t="inlineStr">
        <is>
          <t>SKIN1004 - Madagascar Centella Hyalu-Cica Sleeping Pack [30ml] / Увлажняющая гиалуроновая ночная маска для сухой кожи</t>
        </is>
      </c>
      <c r="C124" s="6" t="n">
        <v>214312149</v>
      </c>
      <c r="D124" s="6" t="inlineStr"/>
      <c r="E124" s="6" t="inlineStr">
        <is>
          <t>20395981469970</t>
        </is>
      </c>
      <c r="F124" s="6" t="n">
        <v>294</v>
      </c>
      <c r="G124" s="6" t="n">
        <v>22</v>
      </c>
      <c r="H124" s="7" t="inlineStr"/>
      <c r="I124" s="7" t="inlineStr"/>
      <c r="J124" s="7" t="inlineStr"/>
      <c r="K124" s="7" t="inlineStr"/>
      <c r="L124" s="6" t="n">
        <v>3.3</v>
      </c>
      <c r="M124" s="7" t="inlineStr"/>
      <c r="N124" s="7" t="inlineStr"/>
      <c r="O124" s="7" t="inlineStr"/>
      <c r="P124" s="8">
        <f>SUM(L124:O124)</f>
        <v/>
      </c>
      <c r="Q124" s="8">
        <f>G124+H124+I124+J124+K124</f>
        <v/>
      </c>
      <c r="R124" s="8">
        <f>IF(P124=0,"",ROUND(Q124/P124,1))</f>
        <v/>
      </c>
      <c r="S124" s="6">
        <f>IFERROR(VLOOKUP(A124,Параметры!$A$4:$D$6,4,FALSE),0)</f>
        <v/>
      </c>
      <c r="T124" s="8">
        <f>IF(P124=0,0,MAX(0,ROUND(P124*(2+1)-Q124,0)))</f>
        <v/>
      </c>
      <c r="U124" s="8">
        <f>IF(P124=0,"нет продаж",IF(R124="","",IF(R124&lt;3,"ГОРИТ",IF(R124&gt;12,"затоварен","норм"))))</f>
        <v/>
      </c>
    </row>
    <row r="125">
      <c r="A125" s="6" t="inlineStr">
        <is>
          <t>косметика</t>
        </is>
      </c>
      <c r="B125" s="6" t="inlineStr">
        <is>
          <t>SOME BY MI - AHA-BHA-PHA 30 Days Miracle Cleansing Bar [106g] / Мыло для проблемной кожи с aha bha кислотами</t>
        </is>
      </c>
      <c r="C125" s="6" t="n">
        <v>248928046</v>
      </c>
      <c r="D125" s="6" t="inlineStr"/>
      <c r="E125" s="6" t="inlineStr">
        <is>
          <t>20408212430000</t>
        </is>
      </c>
      <c r="F125" s="6" t="n">
        <v>550</v>
      </c>
      <c r="G125" s="6" t="n">
        <v>525</v>
      </c>
      <c r="H125" s="7" t="inlineStr"/>
      <c r="I125" s="7" t="inlineStr"/>
      <c r="J125" s="7" t="inlineStr"/>
      <c r="K125" s="7" t="inlineStr"/>
      <c r="L125" s="6" t="n">
        <v>3.3</v>
      </c>
      <c r="M125" s="7" t="inlineStr"/>
      <c r="N125" s="7" t="inlineStr"/>
      <c r="O125" s="7" t="inlineStr"/>
      <c r="P125" s="8">
        <f>SUM(L125:O125)</f>
        <v/>
      </c>
      <c r="Q125" s="8">
        <f>G125+H125+I125+J125+K125</f>
        <v/>
      </c>
      <c r="R125" s="8">
        <f>IF(P125=0,"",ROUND(Q125/P125,1))</f>
        <v/>
      </c>
      <c r="S125" s="6">
        <f>IFERROR(VLOOKUP(A125,Параметры!$A$4:$D$6,4,FALSE),0)</f>
        <v/>
      </c>
      <c r="T125" s="8">
        <f>IF(P125=0,0,MAX(0,ROUND(P125*(2+1)-Q125,0)))</f>
        <v/>
      </c>
      <c r="U125" s="8">
        <f>IF(P125=0,"нет продаж",IF(R125="","",IF(R125&lt;3,"ГОРИТ",IF(R125&gt;12,"затоварен","норм"))))</f>
        <v/>
      </c>
    </row>
    <row r="126">
      <c r="A126" s="6" t="inlineStr">
        <is>
          <t>косметика</t>
        </is>
      </c>
      <c r="B126" s="6" t="inlineStr">
        <is>
          <t>CELIMAX JI WOO GAE CICA BHA BLEMISH TONER PAD_10EA [30ml]/успокаивающие тонер-пэды</t>
        </is>
      </c>
      <c r="C126" s="6" t="n">
        <v>551600265</v>
      </c>
      <c r="D126" s="6" t="inlineStr"/>
      <c r="E126" s="6" t="inlineStr">
        <is>
          <t>20464108982620</t>
        </is>
      </c>
      <c r="F126" s="6" t="n">
        <v>97</v>
      </c>
      <c r="G126" s="6" t="n">
        <v>1296</v>
      </c>
      <c r="H126" s="7" t="inlineStr"/>
      <c r="I126" s="7" t="inlineStr"/>
      <c r="J126" s="7" t="inlineStr"/>
      <c r="K126" s="7" t="inlineStr"/>
      <c r="L126" s="6" t="n">
        <v>3.3</v>
      </c>
      <c r="M126" s="7" t="inlineStr"/>
      <c r="N126" s="7" t="inlineStr"/>
      <c r="O126" s="7" t="inlineStr"/>
      <c r="P126" s="8">
        <f>SUM(L126:O126)</f>
        <v/>
      </c>
      <c r="Q126" s="8">
        <f>G126+H126+I126+J126+K126</f>
        <v/>
      </c>
      <c r="R126" s="8">
        <f>IF(P126=0,"",ROUND(Q126/P126,1))</f>
        <v/>
      </c>
      <c r="S126" s="6">
        <f>IFERROR(VLOOKUP(A126,Параметры!$A$4:$D$6,4,FALSE),0)</f>
        <v/>
      </c>
      <c r="T126" s="8">
        <f>IF(P126=0,0,MAX(0,ROUND(P126*(2+1)-Q126,0)))</f>
        <v/>
      </c>
      <c r="U126" s="8">
        <f>IF(P126=0,"нет продаж",IF(R126="","",IF(R126&lt;3,"ГОРИТ",IF(R126&gt;12,"затоварен","норм"))))</f>
        <v/>
      </c>
    </row>
    <row r="127">
      <c r="A127" s="6" t="inlineStr">
        <is>
          <t>косметика</t>
        </is>
      </c>
      <c r="B127" s="6" t="inlineStr">
        <is>
          <t>CELIMAX THE REAL NONI MOISTURE BALANCING TONER (NEW) [150ml]/Восстанавливающий тонер с экстрактом нони</t>
        </is>
      </c>
      <c r="C127" s="6" t="n">
        <v>551518955</v>
      </c>
      <c r="D127" s="6" t="inlineStr"/>
      <c r="E127" s="6" t="inlineStr">
        <is>
          <t>20464065263220</t>
        </is>
      </c>
      <c r="F127" s="6" t="n">
        <v>720</v>
      </c>
      <c r="G127" s="6" t="n">
        <v>24</v>
      </c>
      <c r="H127" s="7" t="inlineStr"/>
      <c r="I127" s="7" t="inlineStr"/>
      <c r="J127" s="7" t="inlineStr"/>
      <c r="K127" s="7" t="inlineStr"/>
      <c r="L127" s="6" t="n">
        <v>3.3</v>
      </c>
      <c r="M127" s="7" t="inlineStr"/>
      <c r="N127" s="7" t="inlineStr"/>
      <c r="O127" s="7" t="inlineStr"/>
      <c r="P127" s="8">
        <f>SUM(L127:O127)</f>
        <v/>
      </c>
      <c r="Q127" s="8">
        <f>G127+H127+I127+J127+K127</f>
        <v/>
      </c>
      <c r="R127" s="8">
        <f>IF(P127=0,"",ROUND(Q127/P127,1))</f>
        <v/>
      </c>
      <c r="S127" s="6">
        <f>IFERROR(VLOOKUP(A127,Параметры!$A$4:$D$6,4,FALSE),0)</f>
        <v/>
      </c>
      <c r="T127" s="8">
        <f>IF(P127=0,0,MAX(0,ROUND(P127*(2+1)-Q127,0)))</f>
        <v/>
      </c>
      <c r="U127" s="8">
        <f>IF(P127=0,"нет продаж",IF(R127="","",IF(R127&lt;3,"ГОРИТ",IF(R127&gt;12,"затоварен","норм"))))</f>
        <v/>
      </c>
    </row>
    <row r="128">
      <c r="A128" s="6" t="inlineStr">
        <is>
          <t>косметика</t>
        </is>
      </c>
      <c r="B128" s="6" t="inlineStr">
        <is>
          <t>ELIZAVECCA - 24K Gold Snail Cleansing Foam [180ml] / Золотая пенка умывалка для лица с улиткой</t>
        </is>
      </c>
      <c r="C128" s="6" t="n">
        <v>190159348</v>
      </c>
      <c r="D128" s="6" t="inlineStr"/>
      <c r="E128" s="6" t="inlineStr">
        <is>
          <t>20389999073120</t>
        </is>
      </c>
      <c r="F128" s="6" t="n">
        <v>283</v>
      </c>
      <c r="G128" s="6" t="n">
        <v>0</v>
      </c>
      <c r="H128" s="7" t="inlineStr"/>
      <c r="I128" s="7" t="inlineStr"/>
      <c r="J128" s="7" t="inlineStr"/>
      <c r="K128" s="7" t="inlineStr"/>
      <c r="L128" s="6" t="n">
        <v>2.2</v>
      </c>
      <c r="M128" s="7" t="inlineStr"/>
      <c r="N128" s="7" t="inlineStr"/>
      <c r="O128" s="7" t="inlineStr"/>
      <c r="P128" s="8">
        <f>SUM(L128:O128)</f>
        <v/>
      </c>
      <c r="Q128" s="8">
        <f>G128+H128+I128+J128+K128</f>
        <v/>
      </c>
      <c r="R128" s="8">
        <f>IF(P128=0,"",ROUND(Q128/P128,1))</f>
        <v/>
      </c>
      <c r="S128" s="6">
        <f>IFERROR(VLOOKUP(A128,Параметры!$A$4:$D$6,4,FALSE),0)</f>
        <v/>
      </c>
      <c r="T128" s="8">
        <f>IF(P128=0,0,MAX(0,ROUND(P128*(2+1)-Q128,0)))</f>
        <v/>
      </c>
      <c r="U128" s="8">
        <f>IF(P128=0,"нет продаж",IF(R128="","",IF(R128&lt;3,"ГОРИТ",IF(R128&gt;12,"затоварен","норм"))))</f>
        <v/>
      </c>
    </row>
    <row r="129">
      <c r="A129" s="6" t="inlineStr">
        <is>
          <t>косметика</t>
        </is>
      </c>
      <c r="B129" s="6" t="inlineStr">
        <is>
          <t>MANYO BIFIDA INFUSION SHOT AMPOULE 1DX [50ml] / Сыворотка с микроиглами и пробиотиками</t>
        </is>
      </c>
      <c r="C129" s="6" t="n">
        <v>868700077</v>
      </c>
      <c r="D129" s="6" t="inlineStr"/>
      <c r="E129" s="6" t="inlineStr">
        <is>
          <t>20494786120300</t>
        </is>
      </c>
      <c r="F129" s="6" t="n">
        <v>997</v>
      </c>
      <c r="G129" s="6" t="n">
        <v>603</v>
      </c>
      <c r="H129" s="7" t="inlineStr"/>
      <c r="I129" s="7" t="inlineStr"/>
      <c r="J129" s="7" t="inlineStr"/>
      <c r="K129" s="7" t="inlineStr"/>
      <c r="L129" s="6" t="n">
        <v>2.2</v>
      </c>
      <c r="M129" s="7" t="inlineStr"/>
      <c r="N129" s="7" t="inlineStr"/>
      <c r="O129" s="7" t="inlineStr"/>
      <c r="P129" s="8">
        <f>SUM(L129:O129)</f>
        <v/>
      </c>
      <c r="Q129" s="8">
        <f>G129+H129+I129+J129+K129</f>
        <v/>
      </c>
      <c r="R129" s="8">
        <f>IF(P129=0,"",ROUND(Q129/P129,1))</f>
        <v/>
      </c>
      <c r="S129" s="6">
        <f>IFERROR(VLOOKUP(A129,Параметры!$A$4:$D$6,4,FALSE),0)</f>
        <v/>
      </c>
      <c r="T129" s="8">
        <f>IF(P129=0,0,MAX(0,ROUND(P129*(2+1)-Q129,0)))</f>
        <v/>
      </c>
      <c r="U129" s="8">
        <f>IF(P129=0,"нет продаж",IF(R129="","",IF(R129&lt;3,"ГОРИТ",IF(R129&gt;12,"затоварен","норм"))))</f>
        <v/>
      </c>
    </row>
    <row r="130">
      <c r="A130" s="6" t="inlineStr">
        <is>
          <t>косметика</t>
        </is>
      </c>
      <c r="B130" s="6" t="inlineStr">
        <is>
          <t>ROUND LAB VITA NIACINAMIDE DARK SPOT CREAM 50ml - Крем для лица с ниацинамидом от чёрных точек</t>
        </is>
      </c>
      <c r="C130" s="6" t="n">
        <v>1123574113</v>
      </c>
      <c r="D130" s="6" t="inlineStr"/>
      <c r="E130" s="6" t="inlineStr"/>
      <c r="F130" s="6" t="n">
        <v>1025</v>
      </c>
      <c r="G130" s="6" t="n">
        <v>0</v>
      </c>
      <c r="H130" s="7" t="inlineStr"/>
      <c r="I130" s="7" t="inlineStr"/>
      <c r="J130" s="7" t="inlineStr"/>
      <c r="K130" s="7" t="inlineStr"/>
      <c r="L130" s="6" t="n">
        <v>2.2</v>
      </c>
      <c r="M130" s="7" t="inlineStr"/>
      <c r="N130" s="7" t="inlineStr"/>
      <c r="O130" s="7" t="inlineStr"/>
      <c r="P130" s="8">
        <f>SUM(L130:O130)</f>
        <v/>
      </c>
      <c r="Q130" s="8">
        <f>G130+H130+I130+J130+K130</f>
        <v/>
      </c>
      <c r="R130" s="8">
        <f>IF(P130=0,"",ROUND(Q130/P130,1))</f>
        <v/>
      </c>
      <c r="S130" s="6">
        <f>IFERROR(VLOOKUP(A130,Параметры!$A$4:$D$6,4,FALSE),0)</f>
        <v/>
      </c>
      <c r="T130" s="8">
        <f>IF(P130=0,0,MAX(0,ROUND(P130*(2+1)-Q130,0)))</f>
        <v/>
      </c>
      <c r="U130" s="8">
        <f>IF(P130=0,"нет продаж",IF(R130="","",IF(R130&lt;3,"ГОРИТ",IF(R130&gt;12,"затоварен","норм"))))</f>
        <v/>
      </c>
    </row>
    <row r="131">
      <c r="A131" s="6" t="inlineStr">
        <is>
          <t>косметика</t>
        </is>
      </c>
      <c r="B131" s="6" t="inlineStr">
        <is>
          <t>SKIN1004 - Madagascar Centella Ampoule [30ml] / Сыворотка для лица успокаивающая из экстракта центеллы.</t>
        </is>
      </c>
      <c r="C131" s="6" t="n">
        <v>214311963</v>
      </c>
      <c r="D131" s="6" t="inlineStr"/>
      <c r="E131" s="6" t="inlineStr">
        <is>
          <t>20395981417940</t>
        </is>
      </c>
      <c r="F131" s="6" t="n">
        <v>368</v>
      </c>
      <c r="G131" s="6" t="n">
        <v>30</v>
      </c>
      <c r="H131" s="7" t="inlineStr"/>
      <c r="I131" s="7" t="inlineStr"/>
      <c r="J131" s="7" t="inlineStr"/>
      <c r="K131" s="7" t="inlineStr"/>
      <c r="L131" s="6" t="n">
        <v>2.2</v>
      </c>
      <c r="M131" s="7" t="inlineStr"/>
      <c r="N131" s="7" t="inlineStr"/>
      <c r="O131" s="7" t="inlineStr"/>
      <c r="P131" s="8">
        <f>SUM(L131:O131)</f>
        <v/>
      </c>
      <c r="Q131" s="8">
        <f>G131+H131+I131+J131+K131</f>
        <v/>
      </c>
      <c r="R131" s="8">
        <f>IF(P131=0,"",ROUND(Q131/P131,1))</f>
        <v/>
      </c>
      <c r="S131" s="6">
        <f>IFERROR(VLOOKUP(A131,Параметры!$A$4:$D$6,4,FALSE),0)</f>
        <v/>
      </c>
      <c r="T131" s="8">
        <f>IF(P131=0,0,MAX(0,ROUND(P131*(2+1)-Q131,0)))</f>
        <v/>
      </c>
      <c r="U131" s="8">
        <f>IF(P131=0,"нет продаж",IF(R131="","",IF(R131&lt;3,"ГОРИТ",IF(R131&gt;12,"затоварен","норм"))))</f>
        <v/>
      </c>
    </row>
    <row r="132">
      <c r="A132" s="6" t="inlineStr">
        <is>
          <t>косметика</t>
        </is>
      </c>
      <c r="B132" s="6" t="inlineStr">
        <is>
          <t>CELIMAX THE REAL NONI STARTER KIT (NEW) [30ml+10ml+10ml]/Восстанавливающий набор миниатюр с нони (Тоник, сыворотка, крем )</t>
        </is>
      </c>
      <c r="C132" s="6" t="n">
        <v>551616449</v>
      </c>
      <c r="D132" s="6" t="inlineStr"/>
      <c r="E132" s="6" t="inlineStr">
        <is>
          <t>20464112148180</t>
        </is>
      </c>
      <c r="F132" s="6" t="n">
        <v>634</v>
      </c>
      <c r="G132" s="6" t="n">
        <v>0</v>
      </c>
      <c r="H132" s="7" t="inlineStr"/>
      <c r="I132" s="7" t="inlineStr"/>
      <c r="J132" s="7" t="inlineStr"/>
      <c r="K132" s="7" t="inlineStr"/>
      <c r="L132" s="6" t="n">
        <v>2.2</v>
      </c>
      <c r="M132" s="7" t="inlineStr"/>
      <c r="N132" s="7" t="inlineStr"/>
      <c r="O132" s="7" t="inlineStr"/>
      <c r="P132" s="8">
        <f>SUM(L132:O132)</f>
        <v/>
      </c>
      <c r="Q132" s="8">
        <f>G132+H132+I132+J132+K132</f>
        <v/>
      </c>
      <c r="R132" s="8">
        <f>IF(P132=0,"",ROUND(Q132/P132,1))</f>
        <v/>
      </c>
      <c r="S132" s="6">
        <f>IFERROR(VLOOKUP(A132,Параметры!$A$4:$D$6,4,FALSE),0)</f>
        <v/>
      </c>
      <c r="T132" s="8">
        <f>IF(P132=0,0,MAX(0,ROUND(P132*(2+1)-Q132,0)))</f>
        <v/>
      </c>
      <c r="U132" s="8">
        <f>IF(P132=0,"нет продаж",IF(R132="","",IF(R132&lt;3,"ГОРИТ",IF(R132&gt;12,"затоварен","норм"))))</f>
        <v/>
      </c>
    </row>
    <row r="133">
      <c r="A133" s="6" t="inlineStr">
        <is>
          <t>косметика</t>
        </is>
      </c>
      <c r="B133" s="6" t="inlineStr">
        <is>
          <t>CELIMAX PORE+DARK SPOT BRIGHTENING PAD [100ml / 40pads]/Тонер-пэды для выравнивания тона и рельефа кожи</t>
        </is>
      </c>
      <c r="C133" s="6" t="n">
        <v>551540924</v>
      </c>
      <c r="D133" s="6" t="inlineStr"/>
      <c r="E133" s="6" t="inlineStr">
        <is>
          <t>20464072454990</t>
        </is>
      </c>
      <c r="F133" s="6" t="n">
        <v>556</v>
      </c>
      <c r="G133" s="6" t="n">
        <v>1375</v>
      </c>
      <c r="H133" s="7" t="inlineStr"/>
      <c r="I133" s="7" t="inlineStr"/>
      <c r="J133" s="7" t="inlineStr"/>
      <c r="K133" s="7" t="inlineStr"/>
      <c r="L133" s="6" t="n">
        <v>2.2</v>
      </c>
      <c r="M133" s="7" t="inlineStr"/>
      <c r="N133" s="7" t="inlineStr"/>
      <c r="O133" s="7" t="inlineStr"/>
      <c r="P133" s="8">
        <f>SUM(L133:O133)</f>
        <v/>
      </c>
      <c r="Q133" s="8">
        <f>G133+H133+I133+J133+K133</f>
        <v/>
      </c>
      <c r="R133" s="8">
        <f>IF(P133=0,"",ROUND(Q133/P133,1))</f>
        <v/>
      </c>
      <c r="S133" s="6">
        <f>IFERROR(VLOOKUP(A133,Параметры!$A$4:$D$6,4,FALSE),0)</f>
        <v/>
      </c>
      <c r="T133" s="8">
        <f>IF(P133=0,0,MAX(0,ROUND(P133*(2+1)-Q133,0)))</f>
        <v/>
      </c>
      <c r="U133" s="8">
        <f>IF(P133=0,"нет продаж",IF(R133="","",IF(R133&lt;3,"ГОРИТ",IF(R133&gt;12,"затоварен","норм"))))</f>
        <v/>
      </c>
    </row>
    <row r="134">
      <c r="A134" s="6" t="inlineStr">
        <is>
          <t>косметика</t>
        </is>
      </c>
      <c r="B134" s="6" t="inlineStr">
        <is>
          <t>CELIMAX PORE+DARK SPOT BRIGHTENING SERUM_30ml [30ml]/Сыворотка для выравнивания тона и рельефа кожи лица</t>
        </is>
      </c>
      <c r="C134" s="6" t="n">
        <v>551482493</v>
      </c>
      <c r="D134" s="6" t="inlineStr"/>
      <c r="E134" s="6" t="inlineStr">
        <is>
          <t>20464057080190</t>
        </is>
      </c>
      <c r="F134" s="6" t="n">
        <v>688</v>
      </c>
      <c r="G134" s="6" t="n">
        <v>77</v>
      </c>
      <c r="H134" s="7" t="inlineStr"/>
      <c r="I134" s="7" t="inlineStr"/>
      <c r="J134" s="7" t="inlineStr"/>
      <c r="K134" s="7" t="inlineStr"/>
      <c r="L134" s="6" t="n">
        <v>2.2</v>
      </c>
      <c r="M134" s="7" t="inlineStr"/>
      <c r="N134" s="7" t="inlineStr"/>
      <c r="O134" s="7" t="inlineStr"/>
      <c r="P134" s="8">
        <f>SUM(L134:O134)</f>
        <v/>
      </c>
      <c r="Q134" s="8">
        <f>G134+H134+I134+J134+K134</f>
        <v/>
      </c>
      <c r="R134" s="8">
        <f>IF(P134=0,"",ROUND(Q134/P134,1))</f>
        <v/>
      </c>
      <c r="S134" s="6">
        <f>IFERROR(VLOOKUP(A134,Параметры!$A$4:$D$6,4,FALSE),0)</f>
        <v/>
      </c>
      <c r="T134" s="8">
        <f>IF(P134=0,0,MAX(0,ROUND(P134*(2+1)-Q134,0)))</f>
        <v/>
      </c>
      <c r="U134" s="8">
        <f>IF(P134=0,"нет продаж",IF(R134="","",IF(R134&lt;3,"ГОРИТ",IF(R134&gt;12,"затоварен","норм"))))</f>
        <v/>
      </c>
    </row>
    <row r="135">
      <c r="A135" s="6" t="inlineStr">
        <is>
          <t>косметика</t>
        </is>
      </c>
      <c r="B135" s="6" t="inlineStr">
        <is>
          <t>ELIZAVECCA - Hell-Pore Galactomyces Pure Ample / Сыворотка для лица с экстрактом галактомисиса</t>
        </is>
      </c>
      <c r="C135" s="6" t="n">
        <v>206058262</v>
      </c>
      <c r="D135" s="6" t="inlineStr"/>
      <c r="E135" s="6" t="inlineStr">
        <is>
          <t>20394264354840</t>
        </is>
      </c>
      <c r="F135" s="6" t="n">
        <v>448</v>
      </c>
      <c r="G135" s="6" t="n">
        <v>50</v>
      </c>
      <c r="H135" s="7" t="inlineStr"/>
      <c r="I135" s="7" t="inlineStr"/>
      <c r="J135" s="7" t="inlineStr"/>
      <c r="K135" s="7" t="inlineStr"/>
      <c r="L135" s="6" t="n">
        <v>1.1</v>
      </c>
      <c r="M135" s="7" t="inlineStr"/>
      <c r="N135" s="7" t="inlineStr"/>
      <c r="O135" s="7" t="inlineStr"/>
      <c r="P135" s="8">
        <f>SUM(L135:O135)</f>
        <v/>
      </c>
      <c r="Q135" s="8">
        <f>G135+H135+I135+J135+K135</f>
        <v/>
      </c>
      <c r="R135" s="8">
        <f>IF(P135=0,"",ROUND(Q135/P135,1))</f>
        <v/>
      </c>
      <c r="S135" s="6">
        <f>IFERROR(VLOOKUP(A135,Параметры!$A$4:$D$6,4,FALSE),0)</f>
        <v/>
      </c>
      <c r="T135" s="8">
        <f>IF(P135=0,0,MAX(0,ROUND(P135*(2+1)-Q135,0)))</f>
        <v/>
      </c>
      <c r="U135" s="8">
        <f>IF(P135=0,"нет продаж",IF(R135="","",IF(R135&lt;3,"ГОРИТ",IF(R135&gt;12,"затоварен","норм"))))</f>
        <v/>
      </c>
    </row>
    <row r="136">
      <c r="A136" s="6" t="inlineStr">
        <is>
          <t>косметика</t>
        </is>
      </c>
      <c r="B136" s="6" t="inlineStr">
        <is>
          <t>ENOUGH - Collagen 3in1 Sun Cream SPF50 PA+++ [50ml] / отбеливающий увлажняющий солнцезащитный крем 3в1</t>
        </is>
      </c>
      <c r="C136" s="6" t="n">
        <v>238358954</v>
      </c>
      <c r="D136" s="6" t="inlineStr"/>
      <c r="E136" s="6" t="inlineStr">
        <is>
          <t>20404396861450</t>
        </is>
      </c>
      <c r="F136" s="6" t="n">
        <v>203</v>
      </c>
      <c r="G136" s="6" t="n">
        <v>0</v>
      </c>
      <c r="H136" s="7" t="inlineStr"/>
      <c r="I136" s="7" t="inlineStr"/>
      <c r="J136" s="7" t="inlineStr"/>
      <c r="K136" s="7" t="inlineStr"/>
      <c r="L136" s="6" t="n">
        <v>1.1</v>
      </c>
      <c r="M136" s="7" t="inlineStr"/>
      <c r="N136" s="7" t="inlineStr"/>
      <c r="O136" s="7" t="inlineStr"/>
      <c r="P136" s="8">
        <f>SUM(L136:O136)</f>
        <v/>
      </c>
      <c r="Q136" s="8">
        <f>G136+H136+I136+J136+K136</f>
        <v/>
      </c>
      <c r="R136" s="8">
        <f>IF(P136=0,"",ROUND(Q136/P136,1))</f>
        <v/>
      </c>
      <c r="S136" s="6">
        <f>IFERROR(VLOOKUP(A136,Параметры!$A$4:$D$6,4,FALSE),0)</f>
        <v/>
      </c>
      <c r="T136" s="8">
        <f>IF(P136=0,0,MAX(0,ROUND(P136*(2+1)-Q136,0)))</f>
        <v/>
      </c>
      <c r="U136" s="8">
        <f>IF(P136=0,"нет продаж",IF(R136="","",IF(R136&lt;3,"ГОРИТ",IF(R136&gt;12,"затоварен","норм"))))</f>
        <v/>
      </c>
    </row>
    <row r="137">
      <c r="A137" s="6" t="inlineStr">
        <is>
          <t>косметика</t>
        </is>
      </c>
      <c r="B137" s="6" t="inlineStr">
        <is>
          <t>ETUDE - Baking Powder Pore Cleansing Foam [160ml] / Пенка для умывания с содой</t>
        </is>
      </c>
      <c r="C137" s="6" t="n">
        <v>169198316</v>
      </c>
      <c r="D137" s="6" t="inlineStr"/>
      <c r="E137" s="6" t="inlineStr"/>
      <c r="F137" s="6" t="n">
        <v>260</v>
      </c>
      <c r="G137" s="6" t="n">
        <v>0</v>
      </c>
      <c r="H137" s="7" t="inlineStr"/>
      <c r="I137" s="7" t="inlineStr"/>
      <c r="J137" s="7" t="inlineStr"/>
      <c r="K137" s="7" t="inlineStr"/>
      <c r="L137" s="6" t="n">
        <v>1.1</v>
      </c>
      <c r="M137" s="7" t="inlineStr"/>
      <c r="N137" s="7" t="inlineStr"/>
      <c r="O137" s="7" t="inlineStr"/>
      <c r="P137" s="8">
        <f>SUM(L137:O137)</f>
        <v/>
      </c>
      <c r="Q137" s="8">
        <f>G137+H137+I137+J137+K137</f>
        <v/>
      </c>
      <c r="R137" s="8">
        <f>IF(P137=0,"",ROUND(Q137/P137,1))</f>
        <v/>
      </c>
      <c r="S137" s="6">
        <f>IFERROR(VLOOKUP(A137,Параметры!$A$4:$D$6,4,FALSE),0)</f>
        <v/>
      </c>
      <c r="T137" s="8">
        <f>IF(P137=0,0,MAX(0,ROUND(P137*(2+1)-Q137,0)))</f>
        <v/>
      </c>
      <c r="U137" s="8">
        <f>IF(P137=0,"нет продаж",IF(R137="","",IF(R137&lt;3,"ГОРИТ",IF(R137&gt;12,"затоварен","норм"))))</f>
        <v/>
      </c>
    </row>
    <row r="138">
      <c r="A138" s="6" t="inlineStr">
        <is>
          <t>косметика</t>
        </is>
      </c>
      <c r="B138" s="6" t="inlineStr">
        <is>
          <t>ETUDE - Baking Powder BB Deep Cleansing Foam [30ml] / Пенка с содой для глубокого очищения</t>
        </is>
      </c>
      <c r="C138" s="6" t="n">
        <v>154159632</v>
      </c>
      <c r="D138" s="6" t="inlineStr"/>
      <c r="E138" s="6" t="inlineStr">
        <is>
          <t>20376491299750</t>
        </is>
      </c>
      <c r="F138" s="6" t="n">
        <v>92</v>
      </c>
      <c r="G138" s="6" t="n">
        <v>0</v>
      </c>
      <c r="H138" s="7" t="inlineStr"/>
      <c r="I138" s="7" t="inlineStr"/>
      <c r="J138" s="7" t="inlineStr"/>
      <c r="K138" s="7" t="inlineStr"/>
      <c r="L138" s="6" t="n">
        <v>1.1</v>
      </c>
      <c r="M138" s="7" t="inlineStr"/>
      <c r="N138" s="7" t="inlineStr"/>
      <c r="O138" s="7" t="inlineStr"/>
      <c r="P138" s="8">
        <f>SUM(L138:O138)</f>
        <v/>
      </c>
      <c r="Q138" s="8">
        <f>G138+H138+I138+J138+K138</f>
        <v/>
      </c>
      <c r="R138" s="8">
        <f>IF(P138=0,"",ROUND(Q138/P138,1))</f>
        <v/>
      </c>
      <c r="S138" s="6">
        <f>IFERROR(VLOOKUP(A138,Параметры!$A$4:$D$6,4,FALSE),0)</f>
        <v/>
      </c>
      <c r="T138" s="8">
        <f>IF(P138=0,0,MAX(0,ROUND(P138*(2+1)-Q138,0)))</f>
        <v/>
      </c>
      <c r="U138" s="8">
        <f>IF(P138=0,"нет продаж",IF(R138="","",IF(R138&lt;3,"ГОРИТ",IF(R138&gt;12,"затоварен","норм"))))</f>
        <v/>
      </c>
    </row>
    <row r="139">
      <c r="A139" s="6" t="inlineStr">
        <is>
          <t>косметика</t>
        </is>
      </c>
      <c r="B139" s="6" t="inlineStr">
        <is>
          <t>PETITFEE - FACE MASK 7  (набор ассорти 7 видов по 1 шт)</t>
        </is>
      </c>
      <c r="C139" s="6" t="n">
        <v>1177994945</v>
      </c>
      <c r="D139" s="6" t="inlineStr"/>
      <c r="E139" s="6" t="inlineStr">
        <is>
          <t>20524684720880</t>
        </is>
      </c>
      <c r="F139" s="6" t="n">
        <v>689</v>
      </c>
      <c r="G139" s="6" t="n">
        <v>0</v>
      </c>
      <c r="H139" s="7" t="inlineStr"/>
      <c r="I139" s="7" t="inlineStr"/>
      <c r="J139" s="7" t="inlineStr"/>
      <c r="K139" s="7" t="inlineStr"/>
      <c r="L139" s="6" t="n">
        <v>1.1</v>
      </c>
      <c r="M139" s="7" t="inlineStr"/>
      <c r="N139" s="7" t="inlineStr"/>
      <c r="O139" s="7" t="inlineStr"/>
      <c r="P139" s="8">
        <f>SUM(L139:O139)</f>
        <v/>
      </c>
      <c r="Q139" s="8">
        <f>G139+H139+I139+J139+K139</f>
        <v/>
      </c>
      <c r="R139" s="8">
        <f>IF(P139=0,"",ROUND(Q139/P139,1))</f>
        <v/>
      </c>
      <c r="S139" s="6">
        <f>IFERROR(VLOOKUP(A139,Параметры!$A$4:$D$6,4,FALSE),0)</f>
        <v/>
      </c>
      <c r="T139" s="8">
        <f>IF(P139=0,0,MAX(0,ROUND(P139*(2+1)-Q139,0)))</f>
        <v/>
      </c>
      <c r="U139" s="8">
        <f>IF(P139=0,"нет продаж",IF(R139="","",IF(R139&lt;3,"ГОРИТ",IF(R139&gt;12,"затоварен","норм"))))</f>
        <v/>
      </c>
    </row>
    <row r="140">
      <c r="A140" s="6" t="inlineStr">
        <is>
          <t>косметика</t>
        </is>
      </c>
      <c r="B140" s="6" t="inlineStr">
        <is>
          <t>ROUND LAB BIRCH JUICE MOISTURIZING SUNSCREEN_50ml - Солнцезащитный крем spf 50 для лица с спф</t>
        </is>
      </c>
      <c r="C140" s="6" t="n">
        <v>437231408</v>
      </c>
      <c r="D140" s="6" t="inlineStr"/>
      <c r="E140" s="6" t="inlineStr"/>
      <c r="F140" s="6" t="n">
        <v>854</v>
      </c>
      <c r="G140" s="6" t="n">
        <v>0</v>
      </c>
      <c r="H140" s="7" t="inlineStr"/>
      <c r="I140" s="7" t="inlineStr"/>
      <c r="J140" s="7" t="inlineStr"/>
      <c r="K140" s="7" t="inlineStr"/>
      <c r="L140" s="6" t="n">
        <v>1.1</v>
      </c>
      <c r="M140" s="7" t="inlineStr"/>
      <c r="N140" s="7" t="inlineStr"/>
      <c r="O140" s="7" t="inlineStr"/>
      <c r="P140" s="8">
        <f>SUM(L140:O140)</f>
        <v/>
      </c>
      <c r="Q140" s="8">
        <f>G140+H140+I140+J140+K140</f>
        <v/>
      </c>
      <c r="R140" s="8">
        <f>IF(P140=0,"",ROUND(Q140/P140,1))</f>
        <v/>
      </c>
      <c r="S140" s="6">
        <f>IFERROR(VLOOKUP(A140,Параметры!$A$4:$D$6,4,FALSE),0)</f>
        <v/>
      </c>
      <c r="T140" s="8">
        <f>IF(P140=0,0,MAX(0,ROUND(P140*(2+1)-Q140,0)))</f>
        <v/>
      </c>
      <c r="U140" s="8">
        <f>IF(P140=0,"нет продаж",IF(R140="","",IF(R140&lt;3,"ГОРИТ",IF(R140&gt;12,"затоварен","норм"))))</f>
        <v/>
      </c>
    </row>
    <row r="141">
      <c r="A141" s="6" t="inlineStr">
        <is>
          <t>косметика</t>
        </is>
      </c>
      <c r="B141" s="6" t="inlineStr">
        <is>
          <t>CELIMAX PORE+DARK SPOT BRIGHTENING CREAM [35ml]/Крем для выравнивания тона и рельефа кожи лица</t>
        </is>
      </c>
      <c r="C141" s="6" t="n">
        <v>551447345</v>
      </c>
      <c r="D141" s="6" t="inlineStr"/>
      <c r="E141" s="6" t="inlineStr">
        <is>
          <t>20464052792740</t>
        </is>
      </c>
      <c r="F141" s="6" t="n">
        <v>623</v>
      </c>
      <c r="G141" s="6" t="n">
        <v>13</v>
      </c>
      <c r="H141" s="7" t="inlineStr"/>
      <c r="I141" s="7" t="inlineStr"/>
      <c r="J141" s="7" t="inlineStr"/>
      <c r="K141" s="7" t="inlineStr"/>
      <c r="L141" s="6" t="n">
        <v>1.1</v>
      </c>
      <c r="M141" s="7" t="inlineStr"/>
      <c r="N141" s="7" t="inlineStr"/>
      <c r="O141" s="7" t="inlineStr"/>
      <c r="P141" s="8">
        <f>SUM(L141:O141)</f>
        <v/>
      </c>
      <c r="Q141" s="8">
        <f>G141+H141+I141+J141+K141</f>
        <v/>
      </c>
      <c r="R141" s="8">
        <f>IF(P141=0,"",ROUND(Q141/P141,1))</f>
        <v/>
      </c>
      <c r="S141" s="6">
        <f>IFERROR(VLOOKUP(A141,Параметры!$A$4:$D$6,4,FALSE),0)</f>
        <v/>
      </c>
      <c r="T141" s="8">
        <f>IF(P141=0,0,MAX(0,ROUND(P141*(2+1)-Q141,0)))</f>
        <v/>
      </c>
      <c r="U141" s="8">
        <f>IF(P141=0,"нет продаж",IF(R141="","",IF(R141&lt;3,"ГОРИТ",IF(R141&gt;12,"затоварен","норм"))))</f>
        <v/>
      </c>
    </row>
    <row r="142">
      <c r="A142" s="6" t="inlineStr">
        <is>
          <t>косметика</t>
        </is>
      </c>
      <c r="B142" s="6" t="inlineStr">
        <is>
          <t>CELIMAX THE REAL NONI ENERGY AMPOULE_30ML (NEW) [30ml]/Восстанавливающая сыворотка с экстрактом нони для лица</t>
        </is>
      </c>
      <c r="C142" s="6" t="n">
        <v>551472457</v>
      </c>
      <c r="D142" s="6" t="inlineStr"/>
      <c r="E142" s="6" t="inlineStr">
        <is>
          <t>20464056039250</t>
        </is>
      </c>
      <c r="F142" s="6" t="n">
        <v>764</v>
      </c>
      <c r="G142" s="6" t="n">
        <v>35</v>
      </c>
      <c r="H142" s="7" t="inlineStr"/>
      <c r="I142" s="7" t="inlineStr"/>
      <c r="J142" s="7" t="inlineStr"/>
      <c r="K142" s="7" t="inlineStr"/>
      <c r="L142" s="6" t="n">
        <v>1.1</v>
      </c>
      <c r="M142" s="7" t="inlineStr"/>
      <c r="N142" s="7" t="inlineStr"/>
      <c r="O142" s="7" t="inlineStr"/>
      <c r="P142" s="8">
        <f>SUM(L142:O142)</f>
        <v/>
      </c>
      <c r="Q142" s="8">
        <f>G142+H142+I142+J142+K142</f>
        <v/>
      </c>
      <c r="R142" s="8">
        <f>IF(P142=0,"",ROUND(Q142/P142,1))</f>
        <v/>
      </c>
      <c r="S142" s="6">
        <f>IFERROR(VLOOKUP(A142,Параметры!$A$4:$D$6,4,FALSE),0)</f>
        <v/>
      </c>
      <c r="T142" s="8">
        <f>IF(P142=0,0,MAX(0,ROUND(P142*(2+1)-Q142,0)))</f>
        <v/>
      </c>
      <c r="U142" s="8">
        <f>IF(P142=0,"нет продаж",IF(R142="","",IF(R142&lt;3,"ГОРИТ",IF(R142&gt;12,"затоварен","норм"))))</f>
        <v/>
      </c>
    </row>
    <row r="143">
      <c r="A143" s="6" t="inlineStr">
        <is>
          <t>косметика</t>
        </is>
      </c>
      <c r="B143" s="6" t="inlineStr">
        <is>
          <t>VT REEDLE SHOT 100 / Бустер-сыворотка с микроиглами</t>
        </is>
      </c>
      <c r="C143" s="6" t="n">
        <v>1123494802</v>
      </c>
      <c r="D143" s="6" t="inlineStr"/>
      <c r="E143" s="6" t="inlineStr">
        <is>
          <t>88096956783630</t>
        </is>
      </c>
      <c r="F143" s="6" t="n">
        <v>974</v>
      </c>
      <c r="G143" s="6" t="n">
        <v>397</v>
      </c>
      <c r="H143" s="7" t="inlineStr"/>
      <c r="I143" s="7" t="inlineStr"/>
      <c r="J143" s="7" t="inlineStr"/>
      <c r="K143" s="7" t="inlineStr"/>
      <c r="L143" s="6" t="n">
        <v>1.1</v>
      </c>
      <c r="M143" s="7" t="inlineStr"/>
      <c r="N143" s="7" t="inlineStr"/>
      <c r="O143" s="7" t="inlineStr"/>
      <c r="P143" s="8">
        <f>SUM(L143:O143)</f>
        <v/>
      </c>
      <c r="Q143" s="8">
        <f>G143+H143+I143+J143+K143</f>
        <v/>
      </c>
      <c r="R143" s="8">
        <f>IF(P143=0,"",ROUND(Q143/P143,1))</f>
        <v/>
      </c>
      <c r="S143" s="6">
        <f>IFERROR(VLOOKUP(A143,Параметры!$A$4:$D$6,4,FALSE),0)</f>
        <v/>
      </c>
      <c r="T143" s="8">
        <f>IF(P143=0,0,MAX(0,ROUND(P143*(2+1)-Q143,0)))</f>
        <v/>
      </c>
      <c r="U143" s="8">
        <f>IF(P143=0,"нет продаж",IF(R143="","",IF(R143&lt;3,"ГОРИТ",IF(R143&gt;12,"затоварен","норм"))))</f>
        <v/>
      </c>
    </row>
    <row r="144">
      <c r="A144" s="6" t="inlineStr">
        <is>
          <t>косметика</t>
        </is>
      </c>
      <c r="B144" s="6" t="inlineStr">
        <is>
          <t>COSRX - Advanced Snail 96 Mucin Power Essence [100ml] / Высокоактивная эссенция для лица с 96% муцина улитки</t>
        </is>
      </c>
      <c r="C144" s="6" t="n">
        <v>207481251</v>
      </c>
      <c r="D144" s="6" t="inlineStr"/>
      <c r="E144" s="6" t="inlineStr">
        <is>
          <t>20394552047920</t>
        </is>
      </c>
      <c r="F144" s="6" t="n">
        <v>757</v>
      </c>
      <c r="G144" s="6" t="n">
        <v>0</v>
      </c>
      <c r="H144" s="7" t="inlineStr"/>
      <c r="I144" s="7" t="inlineStr"/>
      <c r="J144" s="7" t="inlineStr"/>
      <c r="K144" s="7" t="inlineStr"/>
      <c r="L144" s="6" t="n">
        <v>0</v>
      </c>
      <c r="M144" s="7" t="inlineStr"/>
      <c r="N144" s="7" t="inlineStr"/>
      <c r="O144" s="7" t="inlineStr"/>
      <c r="P144" s="8">
        <f>SUM(L144:O144)</f>
        <v/>
      </c>
      <c r="Q144" s="8">
        <f>G144+H144+I144+J144+K144</f>
        <v/>
      </c>
      <c r="R144" s="8">
        <f>IF(P144=0,"",ROUND(Q144/P144,1))</f>
        <v/>
      </c>
      <c r="S144" s="6">
        <f>IFERROR(VLOOKUP(A144,Параметры!$A$4:$D$6,4,FALSE),0)</f>
        <v/>
      </c>
      <c r="T144" s="8">
        <f>IF(P144=0,0,MAX(0,ROUND(P144*(2+1)-Q144,0)))</f>
        <v/>
      </c>
      <c r="U144" s="8">
        <f>IF(P144=0,"нет продаж",IF(R144="","",IF(R144&lt;3,"ГОРИТ",IF(R144&gt;12,"затоварен","норм"))))</f>
        <v/>
      </c>
    </row>
    <row r="145">
      <c r="A145" s="6" t="inlineStr">
        <is>
          <t>косметика</t>
        </is>
      </c>
      <c r="B145" s="6" t="inlineStr">
        <is>
          <t>DEOPROCE RINSE - BLACK GARLIC INTENSME ENERGY [1000ml] / Бальзам от выпадения волос Чёрный чеснок</t>
        </is>
      </c>
      <c r="C145" s="6" t="n">
        <v>214305584</v>
      </c>
      <c r="D145" s="6" t="inlineStr"/>
      <c r="E145" s="6" t="inlineStr"/>
      <c r="F145" s="6" t="n">
        <v>359</v>
      </c>
      <c r="G145" s="6" t="n">
        <v>0</v>
      </c>
      <c r="H145" s="7" t="inlineStr"/>
      <c r="I145" s="7" t="inlineStr"/>
      <c r="J145" s="7" t="inlineStr"/>
      <c r="K145" s="7" t="inlineStr"/>
      <c r="L145" s="6" t="n">
        <v>0</v>
      </c>
      <c r="M145" s="7" t="inlineStr"/>
      <c r="N145" s="7" t="inlineStr"/>
      <c r="O145" s="7" t="inlineStr"/>
      <c r="P145" s="8">
        <f>SUM(L145:O145)</f>
        <v/>
      </c>
      <c r="Q145" s="8">
        <f>G145+H145+I145+J145+K145</f>
        <v/>
      </c>
      <c r="R145" s="8">
        <f>IF(P145=0,"",ROUND(Q145/P145,1))</f>
        <v/>
      </c>
      <c r="S145" s="6">
        <f>IFERROR(VLOOKUP(A145,Параметры!$A$4:$D$6,4,FALSE),0)</f>
        <v/>
      </c>
      <c r="T145" s="8">
        <f>IF(P145=0,0,MAX(0,ROUND(P145*(2+1)-Q145,0)))</f>
        <v/>
      </c>
      <c r="U145" s="8">
        <f>IF(P145=0,"нет продаж",IF(R145="","",IF(R145&lt;3,"ГОРИТ",IF(R145&gt;12,"затоварен","норм"))))</f>
        <v/>
      </c>
    </row>
    <row r="146">
      <c r="A146" s="6" t="inlineStr">
        <is>
          <t>косметика</t>
        </is>
      </c>
      <c r="B146" s="6" t="inlineStr">
        <is>
          <t>DEOPROCE SHAMPOO - ARGAN SILKY MOISTURE [1000ml] / Шампунь для волос с аргановым маслом</t>
        </is>
      </c>
      <c r="C146" s="6" t="n">
        <v>214305705</v>
      </c>
      <c r="D146" s="6" t="inlineStr"/>
      <c r="E146" s="6" t="inlineStr"/>
      <c r="F146" s="6" t="n">
        <v>368</v>
      </c>
      <c r="G146" s="6" t="n">
        <v>0</v>
      </c>
      <c r="H146" s="7" t="inlineStr"/>
      <c r="I146" s="7" t="inlineStr"/>
      <c r="J146" s="7" t="inlineStr"/>
      <c r="K146" s="7" t="inlineStr"/>
      <c r="L146" s="6" t="n">
        <v>0</v>
      </c>
      <c r="M146" s="7" t="inlineStr"/>
      <c r="N146" s="7" t="inlineStr"/>
      <c r="O146" s="7" t="inlineStr"/>
      <c r="P146" s="8">
        <f>SUM(L146:O146)</f>
        <v/>
      </c>
      <c r="Q146" s="8">
        <f>G146+H146+I146+J146+K146</f>
        <v/>
      </c>
      <c r="R146" s="8">
        <f>IF(P146=0,"",ROUND(Q146/P146,1))</f>
        <v/>
      </c>
      <c r="S146" s="6">
        <f>IFERROR(VLOOKUP(A146,Параметры!$A$4:$D$6,4,FALSE),0)</f>
        <v/>
      </c>
      <c r="T146" s="8">
        <f>IF(P146=0,0,MAX(0,ROUND(P146*(2+1)-Q146,0)))</f>
        <v/>
      </c>
      <c r="U146" s="8">
        <f>IF(P146=0,"нет продаж",IF(R146="","",IF(R146&lt;3,"ГОРИТ",IF(R146&gt;12,"затоварен","норм"))))</f>
        <v/>
      </c>
    </row>
    <row r="147">
      <c r="A147" s="6" t="inlineStr">
        <is>
          <t>косметика</t>
        </is>
      </c>
      <c r="B147" s="6" t="inlineStr">
        <is>
          <t>DEOPROCE SHAMPOO - ARGAN SILKY MOISTURE [1000ml] / Шампунь для волос с аргановым маслом</t>
        </is>
      </c>
      <c r="C147" s="6" t="n">
        <v>307087534</v>
      </c>
      <c r="D147" s="6" t="inlineStr"/>
      <c r="E147" s="6" t="inlineStr"/>
      <c r="F147" s="6" t="n">
        <v>368</v>
      </c>
      <c r="G147" s="6" t="n">
        <v>0</v>
      </c>
      <c r="H147" s="7" t="inlineStr"/>
      <c r="I147" s="7" t="inlineStr"/>
      <c r="J147" s="7" t="inlineStr"/>
      <c r="K147" s="7" t="inlineStr"/>
      <c r="L147" s="6" t="n">
        <v>0</v>
      </c>
      <c r="M147" s="7" t="inlineStr"/>
      <c r="N147" s="7" t="inlineStr"/>
      <c r="O147" s="7" t="inlineStr"/>
      <c r="P147" s="8">
        <f>SUM(L147:O147)</f>
        <v/>
      </c>
      <c r="Q147" s="8">
        <f>G147+H147+I147+J147+K147</f>
        <v/>
      </c>
      <c r="R147" s="8">
        <f>IF(P147=0,"",ROUND(Q147/P147,1))</f>
        <v/>
      </c>
      <c r="S147" s="6">
        <f>IFERROR(VLOOKUP(A147,Параметры!$A$4:$D$6,4,FALSE),0)</f>
        <v/>
      </c>
      <c r="T147" s="8">
        <f>IF(P147=0,0,MAX(0,ROUND(P147*(2+1)-Q147,0)))</f>
        <v/>
      </c>
      <c r="U147" s="8">
        <f>IF(P147=0,"нет продаж",IF(R147="","",IF(R147&lt;3,"ГОРИТ",IF(R147&gt;12,"затоварен","норм"))))</f>
        <v/>
      </c>
    </row>
    <row r="148">
      <c r="A148" s="6" t="inlineStr">
        <is>
          <t>косметика</t>
        </is>
      </c>
      <c r="B148" s="6" t="inlineStr">
        <is>
          <t>DEOPROCE - AC CICA CALMING BOOSTING TONER [150ml] / Успокаивающий тонизирующий тонер</t>
        </is>
      </c>
      <c r="C148" s="6" t="n">
        <v>214301052</v>
      </c>
      <c r="D148" s="6" t="inlineStr"/>
      <c r="E148" s="6" t="inlineStr"/>
      <c r="F148" s="6" t="n">
        <v>293</v>
      </c>
      <c r="G148" s="6" t="n">
        <v>0</v>
      </c>
      <c r="H148" s="7" t="inlineStr"/>
      <c r="I148" s="7" t="inlineStr"/>
      <c r="J148" s="7" t="inlineStr"/>
      <c r="K148" s="7" t="inlineStr"/>
      <c r="L148" s="6" t="n">
        <v>0</v>
      </c>
      <c r="M148" s="7" t="inlineStr"/>
      <c r="N148" s="7" t="inlineStr"/>
      <c r="O148" s="7" t="inlineStr"/>
      <c r="P148" s="8">
        <f>SUM(L148:O148)</f>
        <v/>
      </c>
      <c r="Q148" s="8">
        <f>G148+H148+I148+J148+K148</f>
        <v/>
      </c>
      <c r="R148" s="8">
        <f>IF(P148=0,"",ROUND(Q148/P148,1))</f>
        <v/>
      </c>
      <c r="S148" s="6">
        <f>IFERROR(VLOOKUP(A148,Параметры!$A$4:$D$6,4,FALSE),0)</f>
        <v/>
      </c>
      <c r="T148" s="8">
        <f>IF(P148=0,0,MAX(0,ROUND(P148*(2+1)-Q148,0)))</f>
        <v/>
      </c>
      <c r="U148" s="8">
        <f>IF(P148=0,"нет продаж",IF(R148="","",IF(R148&lt;3,"ГОРИТ",IF(R148&gt;12,"затоварен","норм"))))</f>
        <v/>
      </c>
    </row>
    <row r="149">
      <c r="A149" s="6" t="inlineStr">
        <is>
          <t>косметика</t>
        </is>
      </c>
      <c r="B149" s="6" t="inlineStr">
        <is>
          <t>DEOPROCE - REAL FRESH VEGAN CALMING TONER [200ml] / Успокаивающий тоник для лица</t>
        </is>
      </c>
      <c r="C149" s="6" t="n">
        <v>214304289</v>
      </c>
      <c r="D149" s="6" t="inlineStr"/>
      <c r="E149" s="6" t="inlineStr"/>
      <c r="F149" s="6" t="n">
        <v>268</v>
      </c>
      <c r="G149" s="6" t="n">
        <v>0</v>
      </c>
      <c r="H149" s="7" t="inlineStr"/>
      <c r="I149" s="7" t="inlineStr"/>
      <c r="J149" s="7" t="inlineStr"/>
      <c r="K149" s="7" t="inlineStr"/>
      <c r="L149" s="6" t="n">
        <v>0</v>
      </c>
      <c r="M149" s="7" t="inlineStr"/>
      <c r="N149" s="7" t="inlineStr"/>
      <c r="O149" s="7" t="inlineStr"/>
      <c r="P149" s="8">
        <f>SUM(L149:O149)</f>
        <v/>
      </c>
      <c r="Q149" s="8">
        <f>G149+H149+I149+J149+K149</f>
        <v/>
      </c>
      <c r="R149" s="8">
        <f>IF(P149=0,"",ROUND(Q149/P149,1))</f>
        <v/>
      </c>
      <c r="S149" s="6">
        <f>IFERROR(VLOOKUP(A149,Параметры!$A$4:$D$6,4,FALSE),0)</f>
        <v/>
      </c>
      <c r="T149" s="8">
        <f>IF(P149=0,0,MAX(0,ROUND(P149*(2+1)-Q149,0)))</f>
        <v/>
      </c>
      <c r="U149" s="8">
        <f>IF(P149=0,"нет продаж",IF(R149="","",IF(R149&lt;3,"ГОРИТ",IF(R149&gt;12,"затоварен","норм"))))</f>
        <v/>
      </c>
    </row>
    <row r="150">
      <c r="A150" s="6" t="inlineStr">
        <is>
          <t>косметика</t>
        </is>
      </c>
      <c r="B150" s="6" t="inlineStr">
        <is>
          <t>DR. JART - Ctrl+A Teatreatment Moisturizer [50ml] / Увлажняющий лечебный крем для лица против акне</t>
        </is>
      </c>
      <c r="C150" s="6" t="n">
        <v>199426060</v>
      </c>
      <c r="D150" s="6" t="inlineStr"/>
      <c r="E150" s="6" t="inlineStr"/>
      <c r="F150" s="6" t="n">
        <v>928</v>
      </c>
      <c r="G150" s="6" t="n">
        <v>0</v>
      </c>
      <c r="H150" s="7" t="inlineStr"/>
      <c r="I150" s="7" t="inlineStr"/>
      <c r="J150" s="7" t="inlineStr"/>
      <c r="K150" s="7" t="inlineStr"/>
      <c r="L150" s="6" t="n">
        <v>0</v>
      </c>
      <c r="M150" s="7" t="inlineStr"/>
      <c r="N150" s="7" t="inlineStr"/>
      <c r="O150" s="7" t="inlineStr"/>
      <c r="P150" s="8">
        <f>SUM(L150:O150)</f>
        <v/>
      </c>
      <c r="Q150" s="8">
        <f>G150+H150+I150+J150+K150</f>
        <v/>
      </c>
      <c r="R150" s="8">
        <f>IF(P150=0,"",ROUND(Q150/P150,1))</f>
        <v/>
      </c>
      <c r="S150" s="6">
        <f>IFERROR(VLOOKUP(A150,Параметры!$A$4:$D$6,4,FALSE),0)</f>
        <v/>
      </c>
      <c r="T150" s="8">
        <f>IF(P150=0,0,MAX(0,ROUND(P150*(2+1)-Q150,0)))</f>
        <v/>
      </c>
      <c r="U150" s="8">
        <f>IF(P150=0,"нет продаж",IF(R150="","",IF(R150&lt;3,"ГОРИТ",IF(R150&gt;12,"затоварен","норм"))))</f>
        <v/>
      </c>
    </row>
    <row r="151">
      <c r="A151" s="6" t="inlineStr">
        <is>
          <t>косметика</t>
        </is>
      </c>
      <c r="B151" s="6" t="inlineStr">
        <is>
          <t>DR. JART - Ctrl+A Teatreatment Soothing Spot AI [15ml] / Корректор для лица против акне</t>
        </is>
      </c>
      <c r="C151" s="6" t="n">
        <v>199425671</v>
      </c>
      <c r="D151" s="6" t="inlineStr"/>
      <c r="E151" s="6" t="inlineStr"/>
      <c r="F151" s="6" t="n">
        <v>667</v>
      </c>
      <c r="G151" s="6" t="n">
        <v>0</v>
      </c>
      <c r="H151" s="7" t="inlineStr"/>
      <c r="I151" s="7" t="inlineStr"/>
      <c r="J151" s="7" t="inlineStr"/>
      <c r="K151" s="7" t="inlineStr"/>
      <c r="L151" s="6" t="n">
        <v>0</v>
      </c>
      <c r="M151" s="7" t="inlineStr"/>
      <c r="N151" s="7" t="inlineStr"/>
      <c r="O151" s="7" t="inlineStr"/>
      <c r="P151" s="8">
        <f>SUM(L151:O151)</f>
        <v/>
      </c>
      <c r="Q151" s="8">
        <f>G151+H151+I151+J151+K151</f>
        <v/>
      </c>
      <c r="R151" s="8">
        <f>IF(P151=0,"",ROUND(Q151/P151,1))</f>
        <v/>
      </c>
      <c r="S151" s="6">
        <f>IFERROR(VLOOKUP(A151,Параметры!$A$4:$D$6,4,FALSE),0)</f>
        <v/>
      </c>
      <c r="T151" s="8">
        <f>IF(P151=0,0,MAX(0,ROUND(P151*(2+1)-Q151,0)))</f>
        <v/>
      </c>
      <c r="U151" s="8">
        <f>IF(P151=0,"нет продаж",IF(R151="","",IF(R151&lt;3,"ГОРИТ",IF(R151&gt;12,"затоварен","норм"))))</f>
        <v/>
      </c>
    </row>
    <row r="152">
      <c r="A152" s="6" t="inlineStr">
        <is>
          <t>косметика</t>
        </is>
      </c>
      <c r="B152" s="6" t="inlineStr">
        <is>
          <t>DR. JART - Dermaclear Micro Foam [120ml] / Гель пенка для умывания лица</t>
        </is>
      </c>
      <c r="C152" s="6" t="n">
        <v>199367159</v>
      </c>
      <c r="D152" s="6" t="inlineStr"/>
      <c r="E152" s="6" t="inlineStr"/>
      <c r="F152" s="6" t="n">
        <v>690</v>
      </c>
      <c r="G152" s="6" t="n">
        <v>0</v>
      </c>
      <c r="H152" s="7" t="inlineStr"/>
      <c r="I152" s="7" t="inlineStr"/>
      <c r="J152" s="7" t="inlineStr"/>
      <c r="K152" s="7" t="inlineStr"/>
      <c r="L152" s="6" t="n">
        <v>0</v>
      </c>
      <c r="M152" s="7" t="inlineStr"/>
      <c r="N152" s="7" t="inlineStr"/>
      <c r="O152" s="7" t="inlineStr"/>
      <c r="P152" s="8">
        <f>SUM(L152:O152)</f>
        <v/>
      </c>
      <c r="Q152" s="8">
        <f>G152+H152+I152+J152+K152</f>
        <v/>
      </c>
      <c r="R152" s="8">
        <f>IF(P152=0,"",ROUND(Q152/P152,1))</f>
        <v/>
      </c>
      <c r="S152" s="6">
        <f>IFERROR(VLOOKUP(A152,Параметры!$A$4:$D$6,4,FALSE),0)</f>
        <v/>
      </c>
      <c r="T152" s="8">
        <f>IF(P152=0,0,MAX(0,ROUND(P152*(2+1)-Q152,0)))</f>
        <v/>
      </c>
      <c r="U152" s="8">
        <f>IF(P152=0,"нет продаж",IF(R152="","",IF(R152&lt;3,"ГОРИТ",IF(R152&gt;12,"затоварен","норм"))))</f>
        <v/>
      </c>
    </row>
    <row r="153">
      <c r="A153" s="6" t="inlineStr">
        <is>
          <t>косметика</t>
        </is>
      </c>
      <c r="B153" s="6" t="inlineStr">
        <is>
          <t>EKEL - Ampoule Toner Collagen [150ml] / Увлажняющий тоник для лица омолаживающий тонер</t>
        </is>
      </c>
      <c r="C153" s="6" t="n">
        <v>190160197</v>
      </c>
      <c r="D153" s="6" t="inlineStr"/>
      <c r="E153" s="6" t="inlineStr"/>
      <c r="F153" s="6" t="n">
        <v>234</v>
      </c>
      <c r="G153" s="6" t="n">
        <v>0</v>
      </c>
      <c r="H153" s="7" t="inlineStr"/>
      <c r="I153" s="7" t="inlineStr"/>
      <c r="J153" s="7" t="inlineStr"/>
      <c r="K153" s="7" t="inlineStr"/>
      <c r="L153" s="6" t="n">
        <v>0</v>
      </c>
      <c r="M153" s="7" t="inlineStr"/>
      <c r="N153" s="7" t="inlineStr"/>
      <c r="O153" s="7" t="inlineStr"/>
      <c r="P153" s="8">
        <f>SUM(L153:O153)</f>
        <v/>
      </c>
      <c r="Q153" s="8">
        <f>G153+H153+I153+J153+K153</f>
        <v/>
      </c>
      <c r="R153" s="8">
        <f>IF(P153=0,"",ROUND(Q153/P153,1))</f>
        <v/>
      </c>
      <c r="S153" s="6">
        <f>IFERROR(VLOOKUP(A153,Параметры!$A$4:$D$6,4,FALSE),0)</f>
        <v/>
      </c>
      <c r="T153" s="8">
        <f>IF(P153=0,0,MAX(0,ROUND(P153*(2+1)-Q153,0)))</f>
        <v/>
      </c>
      <c r="U153" s="8">
        <f>IF(P153=0,"нет продаж",IF(R153="","",IF(R153&lt;3,"ГОРИТ",IF(R153&gt;12,"затоварен","норм"))))</f>
        <v/>
      </c>
    </row>
    <row r="154">
      <c r="A154" s="6" t="inlineStr">
        <is>
          <t>косметика</t>
        </is>
      </c>
      <c r="B154" s="6" t="inlineStr">
        <is>
          <t>EKEL - Ampoule Cream Collagen [50ml] / Ампульный крем с коллагеном</t>
        </is>
      </c>
      <c r="C154" s="6" t="n">
        <v>207479264</v>
      </c>
      <c r="D154" s="6" t="inlineStr"/>
      <c r="E154" s="6" t="inlineStr"/>
      <c r="F154" s="6" t="n">
        <v>219</v>
      </c>
      <c r="G154" s="6" t="n">
        <v>0</v>
      </c>
      <c r="H154" s="7" t="inlineStr"/>
      <c r="I154" s="7" t="inlineStr"/>
      <c r="J154" s="7" t="inlineStr"/>
      <c r="K154" s="7" t="inlineStr"/>
      <c r="L154" s="6" t="n">
        <v>0</v>
      </c>
      <c r="M154" s="7" t="inlineStr"/>
      <c r="N154" s="7" t="inlineStr"/>
      <c r="O154" s="7" t="inlineStr"/>
      <c r="P154" s="8">
        <f>SUM(L154:O154)</f>
        <v/>
      </c>
      <c r="Q154" s="8">
        <f>G154+H154+I154+J154+K154</f>
        <v/>
      </c>
      <c r="R154" s="8">
        <f>IF(P154=0,"",ROUND(Q154/P154,1))</f>
        <v/>
      </c>
      <c r="S154" s="6">
        <f>IFERROR(VLOOKUP(A154,Параметры!$A$4:$D$6,4,FALSE),0)</f>
        <v/>
      </c>
      <c r="T154" s="8">
        <f>IF(P154=0,0,MAX(0,ROUND(P154*(2+1)-Q154,0)))</f>
        <v/>
      </c>
      <c r="U154" s="8">
        <f>IF(P154=0,"нет продаж",IF(R154="","",IF(R154&lt;3,"ГОРИТ",IF(R154&gt;12,"затоварен","норм"))))</f>
        <v/>
      </c>
    </row>
    <row r="155">
      <c r="A155" s="6" t="inlineStr">
        <is>
          <t>косметика</t>
        </is>
      </c>
      <c r="B155" s="6" t="inlineStr">
        <is>
          <t>ELIZAVECCA - Hell-Pore Control Hyaluronic Acid 97 / Сыворотка для лица с гиалуроновой кислотой 97%</t>
        </is>
      </c>
      <c r="C155" s="6" t="n">
        <v>154163936</v>
      </c>
      <c r="D155" s="6" t="inlineStr"/>
      <c r="E155" s="6" t="inlineStr">
        <is>
          <t>20376491905480</t>
        </is>
      </c>
      <c r="F155" s="6" t="n">
        <v>379</v>
      </c>
      <c r="G155" s="6" t="n">
        <v>0</v>
      </c>
      <c r="H155" s="7" t="inlineStr"/>
      <c r="I155" s="7" t="inlineStr"/>
      <c r="J155" s="7" t="inlineStr"/>
      <c r="K155" s="7" t="inlineStr"/>
      <c r="L155" s="6" t="n">
        <v>0</v>
      </c>
      <c r="M155" s="7" t="inlineStr"/>
      <c r="N155" s="7" t="inlineStr"/>
      <c r="O155" s="7" t="inlineStr"/>
      <c r="P155" s="8">
        <f>SUM(L155:O155)</f>
        <v/>
      </c>
      <c r="Q155" s="8">
        <f>G155+H155+I155+J155+K155</f>
        <v/>
      </c>
      <c r="R155" s="8">
        <f>IF(P155=0,"",ROUND(Q155/P155,1))</f>
        <v/>
      </c>
      <c r="S155" s="6">
        <f>IFERROR(VLOOKUP(A155,Параметры!$A$4:$D$6,4,FALSE),0)</f>
        <v/>
      </c>
      <c r="T155" s="8">
        <f>IF(P155=0,0,MAX(0,ROUND(P155*(2+1)-Q155,0)))</f>
        <v/>
      </c>
      <c r="U155" s="8">
        <f>IF(P155=0,"нет продаж",IF(R155="","",IF(R155&lt;3,"ГОРИТ",IF(R155&gt;12,"затоварен","норм"))))</f>
        <v/>
      </c>
    </row>
    <row r="156">
      <c r="A156" s="6" t="inlineStr">
        <is>
          <t>косметика</t>
        </is>
      </c>
      <c r="B156" s="6" t="inlineStr">
        <is>
          <t>ELIZAVECCA - Milky Piggy Carbonated Bubble Clay Pack / Глиняно-пузырьковая маска для лица - новая</t>
        </is>
      </c>
      <c r="C156" s="6" t="n">
        <v>307071318</v>
      </c>
      <c r="D156" s="6" t="inlineStr"/>
      <c r="E156" s="6" t="inlineStr"/>
      <c r="F156" s="6" t="n">
        <v>512</v>
      </c>
      <c r="G156" s="6" t="n">
        <v>0</v>
      </c>
      <c r="H156" s="7" t="inlineStr"/>
      <c r="I156" s="7" t="inlineStr"/>
      <c r="J156" s="7" t="inlineStr"/>
      <c r="K156" s="7" t="inlineStr"/>
      <c r="L156" s="6" t="n">
        <v>0</v>
      </c>
      <c r="M156" s="7" t="inlineStr"/>
      <c r="N156" s="7" t="inlineStr"/>
      <c r="O156" s="7" t="inlineStr"/>
      <c r="P156" s="8">
        <f>SUM(L156:O156)</f>
        <v/>
      </c>
      <c r="Q156" s="8">
        <f>G156+H156+I156+J156+K156</f>
        <v/>
      </c>
      <c r="R156" s="8">
        <f>IF(P156=0,"",ROUND(Q156/P156,1))</f>
        <v/>
      </c>
      <c r="S156" s="6">
        <f>IFERROR(VLOOKUP(A156,Параметры!$A$4:$D$6,4,FALSE),0)</f>
        <v/>
      </c>
      <c r="T156" s="8">
        <f>IF(P156=0,0,MAX(0,ROUND(P156*(2+1)-Q156,0)))</f>
        <v/>
      </c>
      <c r="U156" s="8">
        <f>IF(P156=0,"нет продаж",IF(R156="","",IF(R156&lt;3,"ГОРИТ",IF(R156&gt;12,"затоварен","норм"))))</f>
        <v/>
      </c>
    </row>
    <row r="157">
      <c r="A157" s="6" t="inlineStr">
        <is>
          <t>косметика</t>
        </is>
      </c>
      <c r="B157" s="6" t="inlineStr">
        <is>
          <t>ELIZAVECCA - Milky Piggy Hell-Pore Clean Up Enzyme Powder Wash / Очищаемая энзимная пудра для умывания</t>
        </is>
      </c>
      <c r="C157" s="6" t="n">
        <v>207795785</v>
      </c>
      <c r="D157" s="6" t="inlineStr"/>
      <c r="E157" s="6" t="inlineStr"/>
      <c r="F157" s="6" t="n">
        <v>532</v>
      </c>
      <c r="G157" s="6" t="n">
        <v>0</v>
      </c>
      <c r="H157" s="7" t="inlineStr"/>
      <c r="I157" s="7" t="inlineStr"/>
      <c r="J157" s="7" t="inlineStr"/>
      <c r="K157" s="7" t="inlineStr"/>
      <c r="L157" s="6" t="n">
        <v>0</v>
      </c>
      <c r="M157" s="7" t="inlineStr"/>
      <c r="N157" s="7" t="inlineStr"/>
      <c r="O157" s="7" t="inlineStr"/>
      <c r="P157" s="8">
        <f>SUM(L157:O157)</f>
        <v/>
      </c>
      <c r="Q157" s="8">
        <f>G157+H157+I157+J157+K157</f>
        <v/>
      </c>
      <c r="R157" s="8">
        <f>IF(P157=0,"",ROUND(Q157/P157,1))</f>
        <v/>
      </c>
      <c r="S157" s="6">
        <f>IFERROR(VLOOKUP(A157,Параметры!$A$4:$D$6,4,FALSE),0)</f>
        <v/>
      </c>
      <c r="T157" s="8">
        <f>IF(P157=0,0,MAX(0,ROUND(P157*(2+1)-Q157,0)))</f>
        <v/>
      </c>
      <c r="U157" s="8">
        <f>IF(P157=0,"нет продаж",IF(R157="","",IF(R157&lt;3,"ГОРИТ",IF(R157&gt;12,"затоварен","норм"))))</f>
        <v/>
      </c>
    </row>
    <row r="158">
      <c r="A158" s="6" t="inlineStr">
        <is>
          <t>косметика</t>
        </is>
      </c>
      <c r="B158" s="6" t="inlineStr">
        <is>
          <t>ELIZAVECCA - Milky Piggy Hell-Pore Clean Up Enzyme Powder Wash / Очищаемая энзимная пудра для умывания</t>
        </is>
      </c>
      <c r="C158" s="6" t="n">
        <v>333321028</v>
      </c>
      <c r="D158" s="6" t="inlineStr"/>
      <c r="E158" s="6" t="inlineStr"/>
      <c r="F158" s="6" t="n">
        <v>532</v>
      </c>
      <c r="G158" s="6" t="n">
        <v>0</v>
      </c>
      <c r="H158" s="7" t="inlineStr"/>
      <c r="I158" s="7" t="inlineStr"/>
      <c r="J158" s="7" t="inlineStr"/>
      <c r="K158" s="7" t="inlineStr"/>
      <c r="L158" s="6" t="n">
        <v>0</v>
      </c>
      <c r="M158" s="7" t="inlineStr"/>
      <c r="N158" s="7" t="inlineStr"/>
      <c r="O158" s="7" t="inlineStr"/>
      <c r="P158" s="8">
        <f>SUM(L158:O158)</f>
        <v/>
      </c>
      <c r="Q158" s="8">
        <f>G158+H158+I158+J158+K158</f>
        <v/>
      </c>
      <c r="R158" s="8">
        <f>IF(P158=0,"",ROUND(Q158/P158,1))</f>
        <v/>
      </c>
      <c r="S158" s="6">
        <f>IFERROR(VLOOKUP(A158,Параметры!$A$4:$D$6,4,FALSE),0)</f>
        <v/>
      </c>
      <c r="T158" s="8">
        <f>IF(P158=0,0,MAX(0,ROUND(P158*(2+1)-Q158,0)))</f>
        <v/>
      </c>
      <c r="U158" s="8">
        <f>IF(P158=0,"нет продаж",IF(R158="","",IF(R158&lt;3,"ГОРИТ",IF(R158&gt;12,"затоварен","норм"))))</f>
        <v/>
      </c>
    </row>
    <row r="159">
      <c r="A159" s="6" t="inlineStr">
        <is>
          <t>косметика</t>
        </is>
      </c>
      <c r="B159" s="6" t="inlineStr">
        <is>
          <t>ELIZAVECCA - Natural 90% Olive Cleansing Oil / Очищающее гидрофильное масло с экстрактом оливы 90%</t>
        </is>
      </c>
      <c r="C159" s="6" t="n">
        <v>207796439</v>
      </c>
      <c r="D159" s="6" t="inlineStr"/>
      <c r="E159" s="6" t="inlineStr"/>
      <c r="F159" s="6" t="n">
        <v>672</v>
      </c>
      <c r="G159" s="6" t="n">
        <v>0</v>
      </c>
      <c r="H159" s="7" t="inlineStr"/>
      <c r="I159" s="7" t="inlineStr"/>
      <c r="J159" s="7" t="inlineStr"/>
      <c r="K159" s="7" t="inlineStr"/>
      <c r="L159" s="6" t="n">
        <v>0</v>
      </c>
      <c r="M159" s="7" t="inlineStr"/>
      <c r="N159" s="7" t="inlineStr"/>
      <c r="O159" s="7" t="inlineStr"/>
      <c r="P159" s="8">
        <f>SUM(L159:O159)</f>
        <v/>
      </c>
      <c r="Q159" s="8">
        <f>G159+H159+I159+J159+K159</f>
        <v/>
      </c>
      <c r="R159" s="8">
        <f>IF(P159=0,"",ROUND(Q159/P159,1))</f>
        <v/>
      </c>
      <c r="S159" s="6">
        <f>IFERROR(VLOOKUP(A159,Параметры!$A$4:$D$6,4,FALSE),0)</f>
        <v/>
      </c>
      <c r="T159" s="8">
        <f>IF(P159=0,0,MAX(0,ROUND(P159*(2+1)-Q159,0)))</f>
        <v/>
      </c>
      <c r="U159" s="8">
        <f>IF(P159=0,"нет продаж",IF(R159="","",IF(R159&lt;3,"ГОРИТ",IF(R159&gt;12,"затоварен","норм"))))</f>
        <v/>
      </c>
    </row>
    <row r="160">
      <c r="A160" s="6" t="inlineStr">
        <is>
          <t>косметика</t>
        </is>
      </c>
      <c r="B160" s="6" t="inlineStr">
        <is>
          <t>ENOUGH - Collagen Moisture Foundation [Tone 23] / Тональный крем для лица с коллагеном 23 тон</t>
        </is>
      </c>
      <c r="C160" s="6" t="n">
        <v>611747838</v>
      </c>
      <c r="D160" s="6" t="inlineStr"/>
      <c r="E160" s="6" t="inlineStr">
        <is>
          <t>20472339198130</t>
        </is>
      </c>
      <c r="F160" s="6" t="n">
        <v>243</v>
      </c>
      <c r="G160" s="6" t="n">
        <v>0</v>
      </c>
      <c r="H160" s="7" t="inlineStr"/>
      <c r="I160" s="7" t="inlineStr"/>
      <c r="J160" s="7" t="inlineStr"/>
      <c r="K160" s="7" t="inlineStr"/>
      <c r="L160" s="6" t="n">
        <v>0</v>
      </c>
      <c r="M160" s="7" t="inlineStr"/>
      <c r="N160" s="7" t="inlineStr"/>
      <c r="O160" s="7" t="inlineStr"/>
      <c r="P160" s="8">
        <f>SUM(L160:O160)</f>
        <v/>
      </c>
      <c r="Q160" s="8">
        <f>G160+H160+I160+J160+K160</f>
        <v/>
      </c>
      <c r="R160" s="8">
        <f>IF(P160=0,"",ROUND(Q160/P160,1))</f>
        <v/>
      </c>
      <c r="S160" s="6">
        <f>IFERROR(VLOOKUP(A160,Параметры!$A$4:$D$6,4,FALSE),0)</f>
        <v/>
      </c>
      <c r="T160" s="8">
        <f>IF(P160=0,0,MAX(0,ROUND(P160*(2+1)-Q160,0)))</f>
        <v/>
      </c>
      <c r="U160" s="8">
        <f>IF(P160=0,"нет продаж",IF(R160="","",IF(R160&lt;3,"ГОРИТ",IF(R160&gt;12,"затоварен","норм"))))</f>
        <v/>
      </c>
    </row>
    <row r="161">
      <c r="A161" s="6" t="inlineStr">
        <is>
          <t>косметика</t>
        </is>
      </c>
      <c r="B161" s="6" t="inlineStr">
        <is>
          <t>ENOUGH Collagen whitening cover tip concealer #01 [9g]/Консилер для лица</t>
        </is>
      </c>
      <c r="C161" s="6" t="n">
        <v>611717011</v>
      </c>
      <c r="D161" s="6" t="inlineStr"/>
      <c r="E161" s="6" t="inlineStr"/>
      <c r="F161" s="6" t="n">
        <v>183</v>
      </c>
      <c r="G161" s="6" t="n">
        <v>0</v>
      </c>
      <c r="H161" s="7" t="inlineStr"/>
      <c r="I161" s="7" t="inlineStr"/>
      <c r="J161" s="7" t="inlineStr"/>
      <c r="K161" s="7" t="inlineStr"/>
      <c r="L161" s="6" t="n">
        <v>0</v>
      </c>
      <c r="M161" s="7" t="inlineStr"/>
      <c r="N161" s="7" t="inlineStr"/>
      <c r="O161" s="7" t="inlineStr"/>
      <c r="P161" s="8">
        <f>SUM(L161:O161)</f>
        <v/>
      </c>
      <c r="Q161" s="8">
        <f>G161+H161+I161+J161+K161</f>
        <v/>
      </c>
      <c r="R161" s="8">
        <f>IF(P161=0,"",ROUND(Q161/P161,1))</f>
        <v/>
      </c>
      <c r="S161" s="6">
        <f>IFERROR(VLOOKUP(A161,Параметры!$A$4:$D$6,4,FALSE),0)</f>
        <v/>
      </c>
      <c r="T161" s="8">
        <f>IF(P161=0,0,MAX(0,ROUND(P161*(2+1)-Q161,0)))</f>
        <v/>
      </c>
      <c r="U161" s="8">
        <f>IF(P161=0,"нет продаж",IF(R161="","",IF(R161&lt;3,"ГОРИТ",IF(R161&gt;12,"затоварен","норм"))))</f>
        <v/>
      </c>
    </row>
    <row r="162">
      <c r="A162" s="6" t="inlineStr">
        <is>
          <t>косметика</t>
        </is>
      </c>
      <c r="B162" s="6" t="inlineStr">
        <is>
          <t>ENOUGH Collagen whitening cover tip concealer #02 [9g]/Консилер для лица</t>
        </is>
      </c>
      <c r="C162" s="6" t="n">
        <v>611744611</v>
      </c>
      <c r="D162" s="6" t="inlineStr"/>
      <c r="E162" s="6" t="inlineStr">
        <is>
          <t>20472338599350</t>
        </is>
      </c>
      <c r="F162" s="6" t="n">
        <v>183</v>
      </c>
      <c r="G162" s="6" t="n">
        <v>0</v>
      </c>
      <c r="H162" s="7" t="inlineStr"/>
      <c r="I162" s="7" t="inlineStr"/>
      <c r="J162" s="7" t="inlineStr"/>
      <c r="K162" s="7" t="inlineStr"/>
      <c r="L162" s="6" t="n">
        <v>0</v>
      </c>
      <c r="M162" s="7" t="inlineStr"/>
      <c r="N162" s="7" t="inlineStr"/>
      <c r="O162" s="7" t="inlineStr"/>
      <c r="P162" s="8">
        <f>SUM(L162:O162)</f>
        <v/>
      </c>
      <c r="Q162" s="8">
        <f>G162+H162+I162+J162+K162</f>
        <v/>
      </c>
      <c r="R162" s="8">
        <f>IF(P162=0,"",ROUND(Q162/P162,1))</f>
        <v/>
      </c>
      <c r="S162" s="6">
        <f>IFERROR(VLOOKUP(A162,Параметры!$A$4:$D$6,4,FALSE),0)</f>
        <v/>
      </c>
      <c r="T162" s="8">
        <f>IF(P162=0,0,MAX(0,ROUND(P162*(2+1)-Q162,0)))</f>
        <v/>
      </c>
      <c r="U162" s="8">
        <f>IF(P162=0,"нет продаж",IF(R162="","",IF(R162&lt;3,"ГОРИТ",IF(R162&gt;12,"затоварен","норм"))))</f>
        <v/>
      </c>
    </row>
    <row r="163">
      <c r="A163" s="6" t="inlineStr">
        <is>
          <t>косметика</t>
        </is>
      </c>
      <c r="B163" s="6" t="inlineStr">
        <is>
          <t>ENOUGH Collagen whitening cover tip concealer #03 [9g]/ Консилер для лица</t>
        </is>
      </c>
      <c r="C163" s="6" t="n">
        <v>611745490</v>
      </c>
      <c r="D163" s="6" t="inlineStr"/>
      <c r="E163" s="6" t="inlineStr">
        <is>
          <t>20472338772360</t>
        </is>
      </c>
      <c r="F163" s="6" t="n">
        <v>183</v>
      </c>
      <c r="G163" s="6" t="n">
        <v>0</v>
      </c>
      <c r="H163" s="7" t="inlineStr"/>
      <c r="I163" s="7" t="inlineStr"/>
      <c r="J163" s="7" t="inlineStr"/>
      <c r="K163" s="7" t="inlineStr"/>
      <c r="L163" s="6" t="n">
        <v>0</v>
      </c>
      <c r="M163" s="7" t="inlineStr"/>
      <c r="N163" s="7" t="inlineStr"/>
      <c r="O163" s="7" t="inlineStr"/>
      <c r="P163" s="8">
        <f>SUM(L163:O163)</f>
        <v/>
      </c>
      <c r="Q163" s="8">
        <f>G163+H163+I163+J163+K163</f>
        <v/>
      </c>
      <c r="R163" s="8">
        <f>IF(P163=0,"",ROUND(Q163/P163,1))</f>
        <v/>
      </c>
      <c r="S163" s="6">
        <f>IFERROR(VLOOKUP(A163,Параметры!$A$4:$D$6,4,FALSE),0)</f>
        <v/>
      </c>
      <c r="T163" s="8">
        <f>IF(P163=0,0,MAX(0,ROUND(P163*(2+1)-Q163,0)))</f>
        <v/>
      </c>
      <c r="U163" s="8">
        <f>IF(P163=0,"нет продаж",IF(R163="","",IF(R163&lt;3,"ГОРИТ",IF(R163&gt;12,"затоварен","норм"))))</f>
        <v/>
      </c>
    </row>
    <row r="164">
      <c r="A164" s="6" t="inlineStr">
        <is>
          <t>косметика</t>
        </is>
      </c>
      <c r="B164" s="6" t="inlineStr">
        <is>
          <t>ENOUGH - Collagen Moisture Sun Cream SPF50+ PA++++ [50ml] / Увлажняющий солнцезащитный крем с коллагеном</t>
        </is>
      </c>
      <c r="C164" s="6" t="n">
        <v>333318356</v>
      </c>
      <c r="D164" s="6" t="inlineStr"/>
      <c r="E164" s="6" t="inlineStr">
        <is>
          <t>20428613130710</t>
        </is>
      </c>
      <c r="F164" s="6" t="n">
        <v>181</v>
      </c>
      <c r="G164" s="6" t="n">
        <v>0</v>
      </c>
      <c r="H164" s="7" t="inlineStr"/>
      <c r="I164" s="7" t="inlineStr"/>
      <c r="J164" s="7" t="inlineStr"/>
      <c r="K164" s="7" t="inlineStr"/>
      <c r="L164" s="6" t="n">
        <v>0</v>
      </c>
      <c r="M164" s="7" t="inlineStr"/>
      <c r="N164" s="7" t="inlineStr"/>
      <c r="O164" s="7" t="inlineStr"/>
      <c r="P164" s="8">
        <f>SUM(L164:O164)</f>
        <v/>
      </c>
      <c r="Q164" s="8">
        <f>G164+H164+I164+J164+K164</f>
        <v/>
      </c>
      <c r="R164" s="8">
        <f>IF(P164=0,"",ROUND(Q164/P164,1))</f>
        <v/>
      </c>
      <c r="S164" s="6">
        <f>IFERROR(VLOOKUP(A164,Параметры!$A$4:$D$6,4,FALSE),0)</f>
        <v/>
      </c>
      <c r="T164" s="8">
        <f>IF(P164=0,0,MAX(0,ROUND(P164*(2+1)-Q164,0)))</f>
        <v/>
      </c>
      <c r="U164" s="8">
        <f>IF(P164=0,"нет продаж",IF(R164="","",IF(R164&lt;3,"ГОРИТ",IF(R164&gt;12,"затоварен","норм"))))</f>
        <v/>
      </c>
    </row>
    <row r="165">
      <c r="A165" s="6" t="inlineStr">
        <is>
          <t>косметика</t>
        </is>
      </c>
      <c r="B165" s="6" t="inlineStr">
        <is>
          <t>ENOUGH - Collagen Moisture Sun Cream SPF50+ PA++++ [50ml] / Увлажняющий солнцезащитный крем с коллагеном</t>
        </is>
      </c>
      <c r="C165" s="6" t="n">
        <v>333319980</v>
      </c>
      <c r="D165" s="6" t="inlineStr"/>
      <c r="E165" s="6" t="inlineStr">
        <is>
          <t>20428613301390</t>
        </is>
      </c>
      <c r="F165" s="6" t="n">
        <v>181</v>
      </c>
      <c r="G165" s="6" t="n">
        <v>0</v>
      </c>
      <c r="H165" s="7" t="inlineStr"/>
      <c r="I165" s="7" t="inlineStr"/>
      <c r="J165" s="7" t="inlineStr"/>
      <c r="K165" s="7" t="inlineStr"/>
      <c r="L165" s="6" t="n">
        <v>0</v>
      </c>
      <c r="M165" s="7" t="inlineStr"/>
      <c r="N165" s="7" t="inlineStr"/>
      <c r="O165" s="7" t="inlineStr"/>
      <c r="P165" s="8">
        <f>SUM(L165:O165)</f>
        <v/>
      </c>
      <c r="Q165" s="8">
        <f>G165+H165+I165+J165+K165</f>
        <v/>
      </c>
      <c r="R165" s="8">
        <f>IF(P165=0,"",ROUND(Q165/P165,1))</f>
        <v/>
      </c>
      <c r="S165" s="6">
        <f>IFERROR(VLOOKUP(A165,Параметры!$A$4:$D$6,4,FALSE),0)</f>
        <v/>
      </c>
      <c r="T165" s="8">
        <f>IF(P165=0,0,MAX(0,ROUND(P165*(2+1)-Q165,0)))</f>
        <v/>
      </c>
      <c r="U165" s="8">
        <f>IF(P165=0,"нет продаж",IF(R165="","",IF(R165&lt;3,"ГОРИТ",IF(R165&gt;12,"затоварен","норм"))))</f>
        <v/>
      </c>
    </row>
    <row r="166">
      <c r="A166" s="6" t="inlineStr">
        <is>
          <t>косметика</t>
        </is>
      </c>
      <c r="B166" s="6" t="inlineStr">
        <is>
          <t>HEIMISH - All Clean Balm [120ml] / Очищающий гидрофильный бальзам щербет</t>
        </is>
      </c>
      <c r="C166" s="6" t="n">
        <v>207464799</v>
      </c>
      <c r="D166" s="6" t="inlineStr"/>
      <c r="E166" s="6" t="inlineStr">
        <is>
          <t>20394548206650</t>
        </is>
      </c>
      <c r="F166" s="6" t="n">
        <v>686</v>
      </c>
      <c r="G166" s="6" t="n">
        <v>0</v>
      </c>
      <c r="H166" s="7" t="inlineStr"/>
      <c r="I166" s="7" t="inlineStr"/>
      <c r="J166" s="7" t="inlineStr"/>
      <c r="K166" s="7" t="inlineStr"/>
      <c r="L166" s="6" t="n">
        <v>0</v>
      </c>
      <c r="M166" s="7" t="inlineStr"/>
      <c r="N166" s="7" t="inlineStr"/>
      <c r="O166" s="7" t="inlineStr"/>
      <c r="P166" s="8">
        <f>SUM(L166:O166)</f>
        <v/>
      </c>
      <c r="Q166" s="8">
        <f>G166+H166+I166+J166+K166</f>
        <v/>
      </c>
      <c r="R166" s="8">
        <f>IF(P166=0,"",ROUND(Q166/P166,1))</f>
        <v/>
      </c>
      <c r="S166" s="6">
        <f>IFERROR(VLOOKUP(A166,Параметры!$A$4:$D$6,4,FALSE),0)</f>
        <v/>
      </c>
      <c r="T166" s="8">
        <f>IF(P166=0,0,MAX(0,ROUND(P166*(2+1)-Q166,0)))</f>
        <v/>
      </c>
      <c r="U166" s="8">
        <f>IF(P166=0,"нет продаж",IF(R166="","",IF(R166&lt;3,"ГОРИТ",IF(R166&gt;12,"затоварен","норм"))))</f>
        <v/>
      </c>
    </row>
    <row r="167">
      <c r="A167" s="6" t="inlineStr">
        <is>
          <t>косметика</t>
        </is>
      </c>
      <c r="B167" s="6" t="inlineStr">
        <is>
          <t>I'm Sorry For My Skin - Age Capture Firming Enriched Cream / Увлажняющий капсульный крем</t>
        </is>
      </c>
      <c r="C167" s="6" t="n">
        <v>206122859</v>
      </c>
      <c r="D167" s="6" t="inlineStr"/>
      <c r="E167" s="6" t="inlineStr"/>
      <c r="F167" s="6" t="n">
        <v>573</v>
      </c>
      <c r="G167" s="6" t="n">
        <v>0</v>
      </c>
      <c r="H167" s="7" t="inlineStr"/>
      <c r="I167" s="7" t="inlineStr"/>
      <c r="J167" s="7" t="inlineStr"/>
      <c r="K167" s="7" t="inlineStr"/>
      <c r="L167" s="6" t="n">
        <v>0</v>
      </c>
      <c r="M167" s="7" t="inlineStr"/>
      <c r="N167" s="7" t="inlineStr"/>
      <c r="O167" s="7" t="inlineStr"/>
      <c r="P167" s="8">
        <f>SUM(L167:O167)</f>
        <v/>
      </c>
      <c r="Q167" s="8">
        <f>G167+H167+I167+J167+K167</f>
        <v/>
      </c>
      <c r="R167" s="8">
        <f>IF(P167=0,"",ROUND(Q167/P167,1))</f>
        <v/>
      </c>
      <c r="S167" s="6">
        <f>IFERROR(VLOOKUP(A167,Параметры!$A$4:$D$6,4,FALSE),0)</f>
        <v/>
      </c>
      <c r="T167" s="8">
        <f>IF(P167=0,0,MAX(0,ROUND(P167*(2+1)-Q167,0)))</f>
        <v/>
      </c>
      <c r="U167" s="8">
        <f>IF(P167=0,"нет продаж",IF(R167="","",IF(R167&lt;3,"ГОРИТ",IF(R167&gt;12,"затоварен","норм"))))</f>
        <v/>
      </c>
    </row>
    <row r="168">
      <c r="A168" s="6" t="inlineStr">
        <is>
          <t>косметика</t>
        </is>
      </c>
      <c r="B168" s="6" t="inlineStr">
        <is>
          <t>I'm Sorry For My Skin - Age Capture Skin Relief Cream / Увлажняющий капсульный крем</t>
        </is>
      </c>
      <c r="C168" s="6" t="n">
        <v>206125905</v>
      </c>
      <c r="D168" s="6" t="inlineStr"/>
      <c r="E168" s="6" t="inlineStr"/>
      <c r="F168" s="6" t="n">
        <v>616</v>
      </c>
      <c r="G168" s="6" t="n">
        <v>0</v>
      </c>
      <c r="H168" s="7" t="inlineStr"/>
      <c r="I168" s="7" t="inlineStr"/>
      <c r="J168" s="7" t="inlineStr"/>
      <c r="K168" s="7" t="inlineStr"/>
      <c r="L168" s="6" t="n">
        <v>0</v>
      </c>
      <c r="M168" s="7" t="inlineStr"/>
      <c r="N168" s="7" t="inlineStr"/>
      <c r="O168" s="7" t="inlineStr"/>
      <c r="P168" s="8">
        <f>SUM(L168:O168)</f>
        <v/>
      </c>
      <c r="Q168" s="8">
        <f>G168+H168+I168+J168+K168</f>
        <v/>
      </c>
      <c r="R168" s="8">
        <f>IF(P168=0,"",ROUND(Q168/P168,1))</f>
        <v/>
      </c>
      <c r="S168" s="6">
        <f>IFERROR(VLOOKUP(A168,Параметры!$A$4:$D$6,4,FALSE),0)</f>
        <v/>
      </c>
      <c r="T168" s="8">
        <f>IF(P168=0,0,MAX(0,ROUND(P168*(2+1)-Q168,0)))</f>
        <v/>
      </c>
      <c r="U168" s="8">
        <f>IF(P168=0,"нет продаж",IF(R168="","",IF(R168&lt;3,"ГОРИТ",IF(R168&gt;12,"затоварен","норм"))))</f>
        <v/>
      </c>
    </row>
    <row r="169">
      <c r="A169" s="6" t="inlineStr">
        <is>
          <t>косметика</t>
        </is>
      </c>
      <c r="B169" s="6" t="inlineStr">
        <is>
          <t>I'm Sorry For My Skin - Age Capture Hydrating Cream / Увлажняющий капсульный крем</t>
        </is>
      </c>
      <c r="C169" s="6" t="n">
        <v>206135397</v>
      </c>
      <c r="D169" s="6" t="inlineStr"/>
      <c r="E169" s="6" t="inlineStr"/>
      <c r="F169" s="6" t="n">
        <v>616</v>
      </c>
      <c r="G169" s="6" t="n">
        <v>0</v>
      </c>
      <c r="H169" s="7" t="inlineStr"/>
      <c r="I169" s="7" t="inlineStr"/>
      <c r="J169" s="7" t="inlineStr"/>
      <c r="K169" s="7" t="inlineStr"/>
      <c r="L169" s="6" t="n">
        <v>0</v>
      </c>
      <c r="M169" s="7" t="inlineStr"/>
      <c r="N169" s="7" t="inlineStr"/>
      <c r="O169" s="7" t="inlineStr"/>
      <c r="P169" s="8">
        <f>SUM(L169:O169)</f>
        <v/>
      </c>
      <c r="Q169" s="8">
        <f>G169+H169+I169+J169+K169</f>
        <v/>
      </c>
      <c r="R169" s="8">
        <f>IF(P169=0,"",ROUND(Q169/P169,1))</f>
        <v/>
      </c>
      <c r="S169" s="6">
        <f>IFERROR(VLOOKUP(A169,Параметры!$A$4:$D$6,4,FALSE),0)</f>
        <v/>
      </c>
      <c r="T169" s="8">
        <f>IF(P169=0,0,MAX(0,ROUND(P169*(2+1)-Q169,0)))</f>
        <v/>
      </c>
      <c r="U169" s="8">
        <f>IF(P169=0,"нет продаж",IF(R169="","",IF(R169&lt;3,"ГОРИТ",IF(R169&gt;12,"затоварен","норм"))))</f>
        <v/>
      </c>
    </row>
    <row r="170">
      <c r="A170" s="6" t="inlineStr">
        <is>
          <t>косметика</t>
        </is>
      </c>
      <c r="B170" s="6" t="inlineStr">
        <is>
          <t>ISNTREE - Chestnut AHA 8% Clear Essence [100ml] / Увлажняющая эссенция для глубокого очищения лица</t>
        </is>
      </c>
      <c r="C170" s="6" t="n">
        <v>207817787</v>
      </c>
      <c r="D170" s="6" t="inlineStr"/>
      <c r="E170" s="6" t="inlineStr">
        <is>
          <t>20394594503310</t>
        </is>
      </c>
      <c r="F170" s="6" t="n">
        <v>540</v>
      </c>
      <c r="G170" s="6" t="n">
        <v>0</v>
      </c>
      <c r="H170" s="7" t="inlineStr"/>
      <c r="I170" s="7" t="inlineStr"/>
      <c r="J170" s="7" t="inlineStr"/>
      <c r="K170" s="7" t="inlineStr"/>
      <c r="L170" s="6" t="n">
        <v>0</v>
      </c>
      <c r="M170" s="7" t="inlineStr"/>
      <c r="N170" s="7" t="inlineStr"/>
      <c r="O170" s="7" t="inlineStr"/>
      <c r="P170" s="8">
        <f>SUM(L170:O170)</f>
        <v/>
      </c>
      <c r="Q170" s="8">
        <f>G170+H170+I170+J170+K170</f>
        <v/>
      </c>
      <c r="R170" s="8">
        <f>IF(P170=0,"",ROUND(Q170/P170,1))</f>
        <v/>
      </c>
      <c r="S170" s="6">
        <f>IFERROR(VLOOKUP(A170,Параметры!$A$4:$D$6,4,FALSE),0)</f>
        <v/>
      </c>
      <c r="T170" s="8">
        <f>IF(P170=0,0,MAX(0,ROUND(P170*(2+1)-Q170,0)))</f>
        <v/>
      </c>
      <c r="U170" s="8">
        <f>IF(P170=0,"нет продаж",IF(R170="","",IF(R170&lt;3,"ГОРИТ",IF(R170&gt;12,"затоварен","норм"))))</f>
        <v/>
      </c>
    </row>
    <row r="171">
      <c r="A171" s="6" t="inlineStr">
        <is>
          <t>косметика</t>
        </is>
      </c>
      <c r="B171" s="6" t="inlineStr">
        <is>
          <t>ISNTREE - Onion Newpair Gel Cream [50ml] / Успокаивающий крем от покраснений и акне прыщей с экстрактом лука Муана</t>
        </is>
      </c>
      <c r="C171" s="6" t="n">
        <v>212720615</v>
      </c>
      <c r="D171" s="6" t="inlineStr"/>
      <c r="E171" s="6" t="inlineStr">
        <is>
          <t>20395650974820</t>
        </is>
      </c>
      <c r="F171" s="6" t="n">
        <v>1073</v>
      </c>
      <c r="G171" s="6" t="n">
        <v>0</v>
      </c>
      <c r="H171" s="7" t="inlineStr"/>
      <c r="I171" s="7" t="inlineStr"/>
      <c r="J171" s="7" t="inlineStr"/>
      <c r="K171" s="7" t="inlineStr"/>
      <c r="L171" s="6" t="n">
        <v>0</v>
      </c>
      <c r="M171" s="7" t="inlineStr"/>
      <c r="N171" s="7" t="inlineStr"/>
      <c r="O171" s="7" t="inlineStr"/>
      <c r="P171" s="8">
        <f>SUM(L171:O171)</f>
        <v/>
      </c>
      <c r="Q171" s="8">
        <f>G171+H171+I171+J171+K171</f>
        <v/>
      </c>
      <c r="R171" s="8">
        <f>IF(P171=0,"",ROUND(Q171/P171,1))</f>
        <v/>
      </c>
      <c r="S171" s="6">
        <f>IFERROR(VLOOKUP(A171,Параметры!$A$4:$D$6,4,FALSE),0)</f>
        <v/>
      </c>
      <c r="T171" s="8">
        <f>IF(P171=0,0,MAX(0,ROUND(P171*(2+1)-Q171,0)))</f>
        <v/>
      </c>
      <c r="U171" s="8">
        <f>IF(P171=0,"нет продаж",IF(R171="","",IF(R171&lt;3,"ГОРИТ",IF(R171&gt;12,"затоварен","норм"))))</f>
        <v/>
      </c>
    </row>
    <row r="172">
      <c r="A172" s="6" t="inlineStr">
        <is>
          <t>косметика</t>
        </is>
      </c>
      <c r="B172" s="6" t="inlineStr">
        <is>
          <t>JMSOLUTION - MASK PACK BLACK [30ml*7ea]  - ассорти набор из 7шт</t>
        </is>
      </c>
      <c r="C172" s="6" t="n">
        <v>276234188</v>
      </c>
      <c r="D172" s="6" t="inlineStr"/>
      <c r="E172" s="6" t="inlineStr"/>
      <c r="F172" s="6" t="n">
        <v>266</v>
      </c>
      <c r="G172" s="6" t="n">
        <v>0</v>
      </c>
      <c r="H172" s="7" t="inlineStr"/>
      <c r="I172" s="7" t="inlineStr"/>
      <c r="J172" s="7" t="inlineStr"/>
      <c r="K172" s="7" t="inlineStr"/>
      <c r="L172" s="6" t="n">
        <v>0</v>
      </c>
      <c r="M172" s="7" t="inlineStr"/>
      <c r="N172" s="7" t="inlineStr"/>
      <c r="O172" s="7" t="inlineStr"/>
      <c r="P172" s="8">
        <f>SUM(L172:O172)</f>
        <v/>
      </c>
      <c r="Q172" s="8">
        <f>G172+H172+I172+J172+K172</f>
        <v/>
      </c>
      <c r="R172" s="8">
        <f>IF(P172=0,"",ROUND(Q172/P172,1))</f>
        <v/>
      </c>
      <c r="S172" s="6">
        <f>IFERROR(VLOOKUP(A172,Параметры!$A$4:$D$6,4,FALSE),0)</f>
        <v/>
      </c>
      <c r="T172" s="8">
        <f>IF(P172=0,0,MAX(0,ROUND(P172*(2+1)-Q172,0)))</f>
        <v/>
      </c>
      <c r="U172" s="8">
        <f>IF(P172=0,"нет продаж",IF(R172="","",IF(R172&lt;3,"ГОРИТ",IF(R172&gt;12,"затоварен","норм"))))</f>
        <v/>
      </c>
    </row>
    <row r="173">
      <c r="A173" s="6" t="inlineStr">
        <is>
          <t>косметика</t>
        </is>
      </c>
      <c r="B173" s="6" t="inlineStr">
        <is>
          <t>JMSOLUTION - MASK PACK BLACK [30ml*5ea]  - ассорти набор из 5шт</t>
        </is>
      </c>
      <c r="C173" s="6" t="n">
        <v>276234187</v>
      </c>
      <c r="D173" s="6" t="inlineStr"/>
      <c r="E173" s="6" t="inlineStr"/>
      <c r="F173" s="6" t="n">
        <v>187</v>
      </c>
      <c r="G173" s="6" t="n">
        <v>0</v>
      </c>
      <c r="H173" s="7" t="inlineStr"/>
      <c r="I173" s="7" t="inlineStr"/>
      <c r="J173" s="7" t="inlineStr"/>
      <c r="K173" s="7" t="inlineStr"/>
      <c r="L173" s="6" t="n">
        <v>0</v>
      </c>
      <c r="M173" s="7" t="inlineStr"/>
      <c r="N173" s="7" t="inlineStr"/>
      <c r="O173" s="7" t="inlineStr"/>
      <c r="P173" s="8">
        <f>SUM(L173:O173)</f>
        <v/>
      </c>
      <c r="Q173" s="8">
        <f>G173+H173+I173+J173+K173</f>
        <v/>
      </c>
      <c r="R173" s="8">
        <f>IF(P173=0,"",ROUND(Q173/P173,1))</f>
        <v/>
      </c>
      <c r="S173" s="6">
        <f>IFERROR(VLOOKUP(A173,Параметры!$A$4:$D$6,4,FALSE),0)</f>
        <v/>
      </c>
      <c r="T173" s="8">
        <f>IF(P173=0,0,MAX(0,ROUND(P173*(2+1)-Q173,0)))</f>
        <v/>
      </c>
      <c r="U173" s="8">
        <f>IF(P173=0,"нет продаж",IF(R173="","",IF(R173&lt;3,"ГОРИТ",IF(R173&gt;12,"затоварен","норм"))))</f>
        <v/>
      </c>
    </row>
    <row r="174">
      <c r="A174" s="6" t="inlineStr">
        <is>
          <t>косметика</t>
        </is>
      </c>
      <c r="B174" s="6" t="inlineStr">
        <is>
          <t>JMSOLUTION - MASK PACK BLACK [30ml*3ea]  - ассорти набор из 3шт</t>
        </is>
      </c>
      <c r="C174" s="6" t="n">
        <v>333259568</v>
      </c>
      <c r="D174" s="6" t="inlineStr"/>
      <c r="E174" s="6" t="inlineStr"/>
      <c r="F174" s="6" t="n">
        <v>122</v>
      </c>
      <c r="G174" s="6" t="n">
        <v>0</v>
      </c>
      <c r="H174" s="7" t="inlineStr"/>
      <c r="I174" s="7" t="inlineStr"/>
      <c r="J174" s="7" t="inlineStr"/>
      <c r="K174" s="7" t="inlineStr"/>
      <c r="L174" s="6" t="n">
        <v>0</v>
      </c>
      <c r="M174" s="7" t="inlineStr"/>
      <c r="N174" s="7" t="inlineStr"/>
      <c r="O174" s="7" t="inlineStr"/>
      <c r="P174" s="8">
        <f>SUM(L174:O174)</f>
        <v/>
      </c>
      <c r="Q174" s="8">
        <f>G174+H174+I174+J174+K174</f>
        <v/>
      </c>
      <c r="R174" s="8">
        <f>IF(P174=0,"",ROUND(Q174/P174,1))</f>
        <v/>
      </c>
      <c r="S174" s="6">
        <f>IFERROR(VLOOKUP(A174,Параметры!$A$4:$D$6,4,FALSE),0)</f>
        <v/>
      </c>
      <c r="T174" s="8">
        <f>IF(P174=0,0,MAX(0,ROUND(P174*(2+1)-Q174,0)))</f>
        <v/>
      </c>
      <c r="U174" s="8">
        <f>IF(P174=0,"нет продаж",IF(R174="","",IF(R174&lt;3,"ГОРИТ",IF(R174&gt;12,"затоварен","норм"))))</f>
        <v/>
      </c>
    </row>
    <row r="175">
      <c r="A175" s="6" t="inlineStr">
        <is>
          <t>косметика</t>
        </is>
      </c>
      <c r="B175" s="6" t="inlineStr">
        <is>
          <t>JMSOLUTION - MASK PACK BLACK [30ml*6ea]  - ассорти набор из 6шт</t>
        </is>
      </c>
      <c r="C175" s="6" t="n">
        <v>333259565</v>
      </c>
      <c r="D175" s="6" t="inlineStr"/>
      <c r="E175" s="6" t="inlineStr"/>
      <c r="F175" s="6" t="n">
        <v>232</v>
      </c>
      <c r="G175" s="6" t="n">
        <v>0</v>
      </c>
      <c r="H175" s="7" t="inlineStr"/>
      <c r="I175" s="7" t="inlineStr"/>
      <c r="J175" s="7" t="inlineStr"/>
      <c r="K175" s="7" t="inlineStr"/>
      <c r="L175" s="6" t="n">
        <v>0</v>
      </c>
      <c r="M175" s="7" t="inlineStr"/>
      <c r="N175" s="7" t="inlineStr"/>
      <c r="O175" s="7" t="inlineStr"/>
      <c r="P175" s="8">
        <f>SUM(L175:O175)</f>
        <v/>
      </c>
      <c r="Q175" s="8">
        <f>G175+H175+I175+J175+K175</f>
        <v/>
      </c>
      <c r="R175" s="8">
        <f>IF(P175=0,"",ROUND(Q175/P175,1))</f>
        <v/>
      </c>
      <c r="S175" s="6">
        <f>IFERROR(VLOOKUP(A175,Параметры!$A$4:$D$6,4,FALSE),0)</f>
        <v/>
      </c>
      <c r="T175" s="8">
        <f>IF(P175=0,0,MAX(0,ROUND(P175*(2+1)-Q175,0)))</f>
        <v/>
      </c>
      <c r="U175" s="8">
        <f>IF(P175=0,"нет продаж",IF(R175="","",IF(R175&lt;3,"ГОРИТ",IF(R175&gt;12,"затоварен","норм"))))</f>
        <v/>
      </c>
    </row>
    <row r="176">
      <c r="A176" s="6" t="inlineStr">
        <is>
          <t>косметика</t>
        </is>
      </c>
      <c r="B176" s="6" t="inlineStr">
        <is>
          <t>JMSOLUTION - MASK PACK BLACK [30ml*8ea]  - ассорти набор из 8шт</t>
        </is>
      </c>
      <c r="C176" s="6" t="n">
        <v>333259566</v>
      </c>
      <c r="D176" s="6" t="inlineStr"/>
      <c r="E176" s="6" t="inlineStr"/>
      <c r="F176" s="6" t="n">
        <v>328</v>
      </c>
      <c r="G176" s="6" t="n">
        <v>0</v>
      </c>
      <c r="H176" s="7" t="inlineStr"/>
      <c r="I176" s="7" t="inlineStr"/>
      <c r="J176" s="7" t="inlineStr"/>
      <c r="K176" s="7" t="inlineStr"/>
      <c r="L176" s="6" t="n">
        <v>0</v>
      </c>
      <c r="M176" s="7" t="inlineStr"/>
      <c r="N176" s="7" t="inlineStr"/>
      <c r="O176" s="7" t="inlineStr"/>
      <c r="P176" s="8">
        <f>SUM(L176:O176)</f>
        <v/>
      </c>
      <c r="Q176" s="8">
        <f>G176+H176+I176+J176+K176</f>
        <v/>
      </c>
      <c r="R176" s="8">
        <f>IF(P176=0,"",ROUND(Q176/P176,1))</f>
        <v/>
      </c>
      <c r="S176" s="6">
        <f>IFERROR(VLOOKUP(A176,Параметры!$A$4:$D$6,4,FALSE),0)</f>
        <v/>
      </c>
      <c r="T176" s="8">
        <f>IF(P176=0,0,MAX(0,ROUND(P176*(2+1)-Q176,0)))</f>
        <v/>
      </c>
      <c r="U176" s="8">
        <f>IF(P176=0,"нет продаж",IF(R176="","",IF(R176&lt;3,"ГОРИТ",IF(R176&gt;12,"затоварен","норм"))))</f>
        <v/>
      </c>
    </row>
    <row r="177">
      <c r="A177" s="6" t="inlineStr">
        <is>
          <t>косметика</t>
        </is>
      </c>
      <c r="B177" s="6" t="inlineStr">
        <is>
          <t>JMSOLUTION - MASK PACK DISNEY [30ml*9ea]  - ассорти набор из 9шт</t>
        </is>
      </c>
      <c r="C177" s="6" t="n">
        <v>308308562</v>
      </c>
      <c r="D177" s="6" t="inlineStr"/>
      <c r="E177" s="6" t="inlineStr"/>
      <c r="F177" s="6" t="n">
        <v>427</v>
      </c>
      <c r="G177" s="6" t="n">
        <v>0</v>
      </c>
      <c r="H177" s="7" t="inlineStr"/>
      <c r="I177" s="7" t="inlineStr"/>
      <c r="J177" s="7" t="inlineStr"/>
      <c r="K177" s="7" t="inlineStr"/>
      <c r="L177" s="6" t="n">
        <v>0</v>
      </c>
      <c r="M177" s="7" t="inlineStr"/>
      <c r="N177" s="7" t="inlineStr"/>
      <c r="O177" s="7" t="inlineStr"/>
      <c r="P177" s="8">
        <f>SUM(L177:O177)</f>
        <v/>
      </c>
      <c r="Q177" s="8">
        <f>G177+H177+I177+J177+K177</f>
        <v/>
      </c>
      <c r="R177" s="8">
        <f>IF(P177=0,"",ROUND(Q177/P177,1))</f>
        <v/>
      </c>
      <c r="S177" s="6">
        <f>IFERROR(VLOOKUP(A177,Параметры!$A$4:$D$6,4,FALSE),0)</f>
        <v/>
      </c>
      <c r="T177" s="8">
        <f>IF(P177=0,0,MAX(0,ROUND(P177*(2+1)-Q177,0)))</f>
        <v/>
      </c>
      <c r="U177" s="8">
        <f>IF(P177=0,"нет продаж",IF(R177="","",IF(R177&lt;3,"ГОРИТ",IF(R177&gt;12,"затоварен","норм"))))</f>
        <v/>
      </c>
    </row>
    <row r="178">
      <c r="A178" s="6" t="inlineStr">
        <is>
          <t>косметика</t>
        </is>
      </c>
      <c r="B178" s="6" t="inlineStr">
        <is>
          <t>JMSOLUTION - MASK PACK DISNEY [30ml*6ea]  - ассорти набор из 6шт</t>
        </is>
      </c>
      <c r="C178" s="6" t="n">
        <v>316109394</v>
      </c>
      <c r="D178" s="6" t="inlineStr"/>
      <c r="E178" s="6" t="inlineStr"/>
      <c r="F178" s="6" t="n">
        <v>284</v>
      </c>
      <c r="G178" s="6" t="n">
        <v>0</v>
      </c>
      <c r="H178" s="7" t="inlineStr"/>
      <c r="I178" s="7" t="inlineStr"/>
      <c r="J178" s="7" t="inlineStr"/>
      <c r="K178" s="7" t="inlineStr"/>
      <c r="L178" s="6" t="n">
        <v>0</v>
      </c>
      <c r="M178" s="7" t="inlineStr"/>
      <c r="N178" s="7" t="inlineStr"/>
      <c r="O178" s="7" t="inlineStr"/>
      <c r="P178" s="8">
        <f>SUM(L178:O178)</f>
        <v/>
      </c>
      <c r="Q178" s="8">
        <f>G178+H178+I178+J178+K178</f>
        <v/>
      </c>
      <c r="R178" s="8">
        <f>IF(P178=0,"",ROUND(Q178/P178,1))</f>
        <v/>
      </c>
      <c r="S178" s="6">
        <f>IFERROR(VLOOKUP(A178,Параметры!$A$4:$D$6,4,FALSE),0)</f>
        <v/>
      </c>
      <c r="T178" s="8">
        <f>IF(P178=0,0,MAX(0,ROUND(P178*(2+1)-Q178,0)))</f>
        <v/>
      </c>
      <c r="U178" s="8">
        <f>IF(P178=0,"нет продаж",IF(R178="","",IF(R178&lt;3,"ГОРИТ",IF(R178&gt;12,"затоварен","норм"))))</f>
        <v/>
      </c>
    </row>
    <row r="179">
      <c r="A179" s="6" t="inlineStr">
        <is>
          <t>косметика</t>
        </is>
      </c>
      <c r="B179" s="6" t="inlineStr">
        <is>
          <t>JMSOLUTION - Lacto Saccharomyces Golden Rice Mask Plus [30ml*10ea] / Маска с лактобактериями</t>
        </is>
      </c>
      <c r="C179" s="6" t="n">
        <v>333718186</v>
      </c>
      <c r="D179" s="6" t="inlineStr"/>
      <c r="E179" s="6" t="inlineStr"/>
      <c r="F179" s="6" t="n">
        <v>450</v>
      </c>
      <c r="G179" s="6" t="n">
        <v>0</v>
      </c>
      <c r="H179" s="7" t="inlineStr"/>
      <c r="I179" s="7" t="inlineStr"/>
      <c r="J179" s="7" t="inlineStr"/>
      <c r="K179" s="7" t="inlineStr"/>
      <c r="L179" s="6" t="n">
        <v>0</v>
      </c>
      <c r="M179" s="7" t="inlineStr"/>
      <c r="N179" s="7" t="inlineStr"/>
      <c r="O179" s="7" t="inlineStr"/>
      <c r="P179" s="8">
        <f>SUM(L179:O179)</f>
        <v/>
      </c>
      <c r="Q179" s="8">
        <f>G179+H179+I179+J179+K179</f>
        <v/>
      </c>
      <c r="R179" s="8">
        <f>IF(P179=0,"",ROUND(Q179/P179,1))</f>
        <v/>
      </c>
      <c r="S179" s="6">
        <f>IFERROR(VLOOKUP(A179,Параметры!$A$4:$D$6,4,FALSE),0)</f>
        <v/>
      </c>
      <c r="T179" s="8">
        <f>IF(P179=0,0,MAX(0,ROUND(P179*(2+1)-Q179,0)))</f>
        <v/>
      </c>
      <c r="U179" s="8">
        <f>IF(P179=0,"нет продаж",IF(R179="","",IF(R179&lt;3,"ГОРИТ",IF(R179&gt;12,"затоварен","норм"))))</f>
        <v/>
      </c>
    </row>
    <row r="180">
      <c r="A180" s="6" t="inlineStr">
        <is>
          <t>косметика</t>
        </is>
      </c>
      <c r="B180" s="6" t="inlineStr">
        <is>
          <t>LEBELAGE - Dr. Snail Derma Eye Cream [40ml] / Крем для глаз антивозрастной с улиточным муцином</t>
        </is>
      </c>
      <c r="C180" s="6" t="n">
        <v>210579932</v>
      </c>
      <c r="D180" s="6" t="inlineStr"/>
      <c r="E180" s="6" t="inlineStr"/>
      <c r="F180" s="6" t="n">
        <v>108</v>
      </c>
      <c r="G180" s="6" t="n">
        <v>0</v>
      </c>
      <c r="H180" s="7" t="inlineStr"/>
      <c r="I180" s="7" t="inlineStr"/>
      <c r="J180" s="7" t="inlineStr"/>
      <c r="K180" s="7" t="inlineStr"/>
      <c r="L180" s="6" t="n">
        <v>0</v>
      </c>
      <c r="M180" s="7" t="inlineStr"/>
      <c r="N180" s="7" t="inlineStr"/>
      <c r="O180" s="7" t="inlineStr"/>
      <c r="P180" s="8">
        <f>SUM(L180:O180)</f>
        <v/>
      </c>
      <c r="Q180" s="8">
        <f>G180+H180+I180+J180+K180</f>
        <v/>
      </c>
      <c r="R180" s="8">
        <f>IF(P180=0,"",ROUND(Q180/P180,1))</f>
        <v/>
      </c>
      <c r="S180" s="6">
        <f>IFERROR(VLOOKUP(A180,Параметры!$A$4:$D$6,4,FALSE),0)</f>
        <v/>
      </c>
      <c r="T180" s="8">
        <f>IF(P180=0,0,MAX(0,ROUND(P180*(2+1)-Q180,0)))</f>
        <v/>
      </c>
      <c r="U180" s="8">
        <f>IF(P180=0,"нет продаж",IF(R180="","",IF(R180&lt;3,"ГОРИТ",IF(R180&gt;12,"затоварен","норм"))))</f>
        <v/>
      </c>
    </row>
    <row r="181">
      <c r="A181" s="6" t="inlineStr">
        <is>
          <t>косметика</t>
        </is>
      </c>
      <c r="B181" s="6" t="inlineStr">
        <is>
          <t>MANYO - Bifida Biome Concentrate Cream [50ml] / Крем для лица омолаживающий антивозрастной</t>
        </is>
      </c>
      <c r="C181" s="6" t="n">
        <v>198148122</v>
      </c>
      <c r="D181" s="6" t="inlineStr"/>
      <c r="E181" s="6" t="inlineStr"/>
      <c r="F181" s="6" t="n">
        <v>1417</v>
      </c>
      <c r="G181" s="6" t="n">
        <v>0</v>
      </c>
      <c r="H181" s="7" t="inlineStr"/>
      <c r="I181" s="7" t="inlineStr"/>
      <c r="J181" s="7" t="inlineStr"/>
      <c r="K181" s="7" t="inlineStr"/>
      <c r="L181" s="6" t="n">
        <v>0</v>
      </c>
      <c r="M181" s="7" t="inlineStr"/>
      <c r="N181" s="7" t="inlineStr"/>
      <c r="O181" s="7" t="inlineStr"/>
      <c r="P181" s="8">
        <f>SUM(L181:O181)</f>
        <v/>
      </c>
      <c r="Q181" s="8">
        <f>G181+H181+I181+J181+K181</f>
        <v/>
      </c>
      <c r="R181" s="8">
        <f>IF(P181=0,"",ROUND(Q181/P181,1))</f>
        <v/>
      </c>
      <c r="S181" s="6">
        <f>IFERROR(VLOOKUP(A181,Параметры!$A$4:$D$6,4,FALSE),0)</f>
        <v/>
      </c>
      <c r="T181" s="8">
        <f>IF(P181=0,0,MAX(0,ROUND(P181*(2+1)-Q181,0)))</f>
        <v/>
      </c>
      <c r="U181" s="8">
        <f>IF(P181=0,"нет продаж",IF(R181="","",IF(R181&lt;3,"ГОРИТ",IF(R181&gt;12,"затоварен","норм"))))</f>
        <v/>
      </c>
    </row>
    <row r="182">
      <c r="A182" s="6" t="inlineStr">
        <is>
          <t>косметика</t>
        </is>
      </c>
      <c r="B182" s="6" t="inlineStr">
        <is>
          <t>MANYO - Pure Aqua Peeling Gel [120ml] / Пилинг гель с кислотой PHA для сияния кожи</t>
        </is>
      </c>
      <c r="C182" s="6" t="n">
        <v>198156358</v>
      </c>
      <c r="D182" s="6" t="inlineStr"/>
      <c r="E182" s="6" t="inlineStr">
        <is>
          <t>20392394897110</t>
        </is>
      </c>
      <c r="F182" s="6" t="n">
        <v>414</v>
      </c>
      <c r="G182" s="6" t="n">
        <v>0</v>
      </c>
      <c r="H182" s="7" t="inlineStr"/>
      <c r="I182" s="7" t="inlineStr"/>
      <c r="J182" s="7" t="inlineStr"/>
      <c r="K182" s="7" t="inlineStr"/>
      <c r="L182" s="6" t="n">
        <v>0</v>
      </c>
      <c r="M182" s="7" t="inlineStr"/>
      <c r="N182" s="7" t="inlineStr"/>
      <c r="O182" s="7" t="inlineStr"/>
      <c r="P182" s="8">
        <f>SUM(L182:O182)</f>
        <v/>
      </c>
      <c r="Q182" s="8">
        <f>G182+H182+I182+J182+K182</f>
        <v/>
      </c>
      <c r="R182" s="8">
        <f>IF(P182=0,"",ROUND(Q182/P182,1))</f>
        <v/>
      </c>
      <c r="S182" s="6">
        <f>IFERROR(VLOOKUP(A182,Параметры!$A$4:$D$6,4,FALSE),0)</f>
        <v/>
      </c>
      <c r="T182" s="8">
        <f>IF(P182=0,0,MAX(0,ROUND(P182*(2+1)-Q182,0)))</f>
        <v/>
      </c>
      <c r="U182" s="8">
        <f>IF(P182=0,"нет продаж",IF(R182="","",IF(R182&lt;3,"ГОРИТ",IF(R182&gt;12,"затоварен","норм"))))</f>
        <v/>
      </c>
    </row>
    <row r="183">
      <c r="A183" s="6" t="inlineStr">
        <is>
          <t>косметика</t>
        </is>
      </c>
      <c r="B183" s="6" t="inlineStr">
        <is>
          <t>MANYO - Bifida Biome Ampoule Toner [400ml] / Ампульный укрепляющий тонер с бифидобактериями</t>
        </is>
      </c>
      <c r="C183" s="6" t="n">
        <v>205054338</v>
      </c>
      <c r="D183" s="6" t="inlineStr"/>
      <c r="E183" s="6" t="inlineStr">
        <is>
          <t>20394100018170</t>
        </is>
      </c>
      <c r="F183" s="6" t="n">
        <v>735</v>
      </c>
      <c r="G183" s="6" t="n">
        <v>0</v>
      </c>
      <c r="H183" s="7" t="inlineStr"/>
      <c r="I183" s="7" t="inlineStr"/>
      <c r="J183" s="7" t="inlineStr"/>
      <c r="K183" s="7" t="inlineStr"/>
      <c r="L183" s="6" t="n">
        <v>0</v>
      </c>
      <c r="M183" s="7" t="inlineStr"/>
      <c r="N183" s="7" t="inlineStr"/>
      <c r="O183" s="7" t="inlineStr"/>
      <c r="P183" s="8">
        <f>SUM(L183:O183)</f>
        <v/>
      </c>
      <c r="Q183" s="8">
        <f>G183+H183+I183+J183+K183</f>
        <v/>
      </c>
      <c r="R183" s="8">
        <f>IF(P183=0,"",ROUND(Q183/P183,1))</f>
        <v/>
      </c>
      <c r="S183" s="6">
        <f>IFERROR(VLOOKUP(A183,Параметры!$A$4:$D$6,4,FALSE),0)</f>
        <v/>
      </c>
      <c r="T183" s="8">
        <f>IF(P183=0,0,MAX(0,ROUND(P183*(2+1)-Q183,0)))</f>
        <v/>
      </c>
      <c r="U183" s="8">
        <f>IF(P183=0,"нет продаж",IF(R183="","",IF(R183&lt;3,"ГОРИТ",IF(R183&gt;12,"затоварен","норм"))))</f>
        <v/>
      </c>
    </row>
    <row r="184">
      <c r="A184" s="6" t="inlineStr">
        <is>
          <t>косметика</t>
        </is>
      </c>
      <c r="B184" s="6" t="inlineStr">
        <is>
          <t>PETITFEE - Chamomile Lightening Hydrogel Mask Pack [5pcs] / Успокаивающая гидрогелевая маска для лица с экстрактом ромашки</t>
        </is>
      </c>
      <c r="C184" s="6" t="n">
        <v>226117746</v>
      </c>
      <c r="D184" s="6" t="inlineStr"/>
      <c r="E184" s="6" t="inlineStr"/>
      <c r="F184" s="6" t="n">
        <v>497</v>
      </c>
      <c r="G184" s="6" t="n">
        <v>0</v>
      </c>
      <c r="H184" s="7" t="inlineStr"/>
      <c r="I184" s="7" t="inlineStr"/>
      <c r="J184" s="7" t="inlineStr"/>
      <c r="K184" s="7" t="inlineStr"/>
      <c r="L184" s="6" t="n">
        <v>0</v>
      </c>
      <c r="M184" s="7" t="inlineStr"/>
      <c r="N184" s="7" t="inlineStr"/>
      <c r="O184" s="7" t="inlineStr"/>
      <c r="P184" s="8">
        <f>SUM(L184:O184)</f>
        <v/>
      </c>
      <c r="Q184" s="8">
        <f>G184+H184+I184+J184+K184</f>
        <v/>
      </c>
      <c r="R184" s="8">
        <f>IF(P184=0,"",ROUND(Q184/P184,1))</f>
        <v/>
      </c>
      <c r="S184" s="6">
        <f>IFERROR(VLOOKUP(A184,Параметры!$A$4:$D$6,4,FALSE),0)</f>
        <v/>
      </c>
      <c r="T184" s="8">
        <f>IF(P184=0,0,MAX(0,ROUND(P184*(2+1)-Q184,0)))</f>
        <v/>
      </c>
      <c r="U184" s="8">
        <f>IF(P184=0,"нет продаж",IF(R184="","",IF(R184&lt;3,"ГОРИТ",IF(R184&gt;12,"затоварен","норм"))))</f>
        <v/>
      </c>
    </row>
    <row r="185">
      <c r="A185" s="6" t="inlineStr">
        <is>
          <t>косметика</t>
        </is>
      </c>
      <c r="B185" s="6" t="inlineStr">
        <is>
          <t>ROUND LAB BIRCH JUICE MOISTURIZING CLEANSER_150ml - Гель для умывания лица увлажняющий</t>
        </is>
      </c>
      <c r="C185" s="6" t="n">
        <v>437203627</v>
      </c>
      <c r="D185" s="6" t="inlineStr"/>
      <c r="E185" s="6" t="inlineStr"/>
      <c r="F185" s="6" t="n">
        <v>512</v>
      </c>
      <c r="G185" s="6" t="n">
        <v>0</v>
      </c>
      <c r="H185" s="7" t="inlineStr"/>
      <c r="I185" s="7" t="inlineStr"/>
      <c r="J185" s="7" t="inlineStr"/>
      <c r="K185" s="7" t="inlineStr"/>
      <c r="L185" s="6" t="n">
        <v>0</v>
      </c>
      <c r="M185" s="7" t="inlineStr"/>
      <c r="N185" s="7" t="inlineStr"/>
      <c r="O185" s="7" t="inlineStr"/>
      <c r="P185" s="8">
        <f>SUM(L185:O185)</f>
        <v/>
      </c>
      <c r="Q185" s="8">
        <f>G185+H185+I185+J185+K185</f>
        <v/>
      </c>
      <c r="R185" s="8">
        <f>IF(P185=0,"",ROUND(Q185/P185,1))</f>
        <v/>
      </c>
      <c r="S185" s="6">
        <f>IFERROR(VLOOKUP(A185,Параметры!$A$4:$D$6,4,FALSE),0)</f>
        <v/>
      </c>
      <c r="T185" s="8">
        <f>IF(P185=0,0,MAX(0,ROUND(P185*(2+1)-Q185,0)))</f>
        <v/>
      </c>
      <c r="U185" s="8">
        <f>IF(P185=0,"нет продаж",IF(R185="","",IF(R185&lt;3,"ГОРИТ",IF(R185&gt;12,"затоварен","норм"))))</f>
        <v/>
      </c>
    </row>
    <row r="186">
      <c r="A186" s="6" t="inlineStr">
        <is>
          <t>косметика</t>
        </is>
      </c>
      <c r="B186" s="6" t="inlineStr">
        <is>
          <t>ROUND LAB VITA NIACINAMIDE DARK SPOT SERUM 30ml - Сыворотка для лица c витамином С и ниацинамидом</t>
        </is>
      </c>
      <c r="C186" s="6" t="n">
        <v>437797551</v>
      </c>
      <c r="D186" s="6" t="inlineStr"/>
      <c r="E186" s="6" t="inlineStr">
        <is>
          <t>20443365609800</t>
        </is>
      </c>
      <c r="F186" s="6" t="n">
        <v>957</v>
      </c>
      <c r="G186" s="6" t="n">
        <v>0</v>
      </c>
      <c r="H186" s="7" t="inlineStr"/>
      <c r="I186" s="7" t="inlineStr"/>
      <c r="J186" s="7" t="inlineStr"/>
      <c r="K186" s="7" t="inlineStr"/>
      <c r="L186" s="6" t="n">
        <v>0</v>
      </c>
      <c r="M186" s="7" t="inlineStr"/>
      <c r="N186" s="7" t="inlineStr"/>
      <c r="O186" s="7" t="inlineStr"/>
      <c r="P186" s="8">
        <f>SUM(L186:O186)</f>
        <v/>
      </c>
      <c r="Q186" s="8">
        <f>G186+H186+I186+J186+K186</f>
        <v/>
      </c>
      <c r="R186" s="8">
        <f>IF(P186=0,"",ROUND(Q186/P186,1))</f>
        <v/>
      </c>
      <c r="S186" s="6">
        <f>IFERROR(VLOOKUP(A186,Параметры!$A$4:$D$6,4,FALSE),0)</f>
        <v/>
      </c>
      <c r="T186" s="8">
        <f>IF(P186=0,0,MAX(0,ROUND(P186*(2+1)-Q186,0)))</f>
        <v/>
      </c>
      <c r="U186" s="8">
        <f>IF(P186=0,"нет продаж",IF(R186="","",IF(R186&lt;3,"ГОРИТ",IF(R186&gt;12,"затоварен","норм"))))</f>
        <v/>
      </c>
    </row>
    <row r="187">
      <c r="A187" s="6" t="inlineStr">
        <is>
          <t>косметика</t>
        </is>
      </c>
      <c r="B187" s="6" t="inlineStr">
        <is>
          <t>ROUND LAB MUGWORT CALMING TONER_300ml - Тоник для лица увлажняющий успокаивающий</t>
        </is>
      </c>
      <c r="C187" s="6" t="n">
        <v>437238521</v>
      </c>
      <c r="D187" s="6" t="inlineStr"/>
      <c r="E187" s="6" t="inlineStr"/>
      <c r="F187" s="6" t="n">
        <v>820</v>
      </c>
      <c r="G187" s="6" t="n">
        <v>0</v>
      </c>
      <c r="H187" s="7" t="inlineStr"/>
      <c r="I187" s="7" t="inlineStr"/>
      <c r="J187" s="7" t="inlineStr"/>
      <c r="K187" s="7" t="inlineStr"/>
      <c r="L187" s="6" t="n">
        <v>0</v>
      </c>
      <c r="M187" s="7" t="inlineStr"/>
      <c r="N187" s="7" t="inlineStr"/>
      <c r="O187" s="7" t="inlineStr"/>
      <c r="P187" s="8">
        <f>SUM(L187:O187)</f>
        <v/>
      </c>
      <c r="Q187" s="8">
        <f>G187+H187+I187+J187+K187</f>
        <v/>
      </c>
      <c r="R187" s="8">
        <f>IF(P187=0,"",ROUND(Q187/P187,1))</f>
        <v/>
      </c>
      <c r="S187" s="6">
        <f>IFERROR(VLOOKUP(A187,Параметры!$A$4:$D$6,4,FALSE),0)</f>
        <v/>
      </c>
      <c r="T187" s="8">
        <f>IF(P187=0,0,MAX(0,ROUND(P187*(2+1)-Q187,0)))</f>
        <v/>
      </c>
      <c r="U187" s="8">
        <f>IF(P187=0,"нет продаж",IF(R187="","",IF(R187&lt;3,"ГОРИТ",IF(R187&gt;12,"затоварен","норм"))))</f>
        <v/>
      </c>
    </row>
    <row r="188">
      <c r="A188" s="6" t="inlineStr">
        <is>
          <t>косметика</t>
        </is>
      </c>
      <c r="B188" s="6" t="inlineStr">
        <is>
          <t>ROUND LAB MUGWORT CALMING SOOTHING GEL_150ml - Увлажняющий крем гель для лица и тела от воспалений</t>
        </is>
      </c>
      <c r="C188" s="6" t="n">
        <v>437248870</v>
      </c>
      <c r="D188" s="6" t="inlineStr"/>
      <c r="E188" s="6" t="inlineStr"/>
      <c r="F188" s="6" t="n">
        <v>622</v>
      </c>
      <c r="G188" s="6" t="n">
        <v>0</v>
      </c>
      <c r="H188" s="7" t="inlineStr"/>
      <c r="I188" s="7" t="inlineStr"/>
      <c r="J188" s="7" t="inlineStr"/>
      <c r="K188" s="7" t="inlineStr"/>
      <c r="L188" s="6" t="n">
        <v>0</v>
      </c>
      <c r="M188" s="7" t="inlineStr"/>
      <c r="N188" s="7" t="inlineStr"/>
      <c r="O188" s="7" t="inlineStr"/>
      <c r="P188" s="8">
        <f>SUM(L188:O188)</f>
        <v/>
      </c>
      <c r="Q188" s="8">
        <f>G188+H188+I188+J188+K188</f>
        <v/>
      </c>
      <c r="R188" s="8">
        <f>IF(P188=0,"",ROUND(Q188/P188,1))</f>
        <v/>
      </c>
      <c r="S188" s="6">
        <f>IFERROR(VLOOKUP(A188,Параметры!$A$4:$D$6,4,FALSE),0)</f>
        <v/>
      </c>
      <c r="T188" s="8">
        <f>IF(P188=0,0,MAX(0,ROUND(P188*(2+1)-Q188,0)))</f>
        <v/>
      </c>
      <c r="U188" s="8">
        <f>IF(P188=0,"нет продаж",IF(R188="","",IF(R188&lt;3,"ГОРИТ",IF(R188&gt;12,"затоварен","норм"))))</f>
        <v/>
      </c>
    </row>
    <row r="189">
      <c r="A189" s="6" t="inlineStr">
        <is>
          <t>косметика</t>
        </is>
      </c>
      <c r="B189" s="6" t="inlineStr">
        <is>
          <t>SOME BY MI - AHA-BHA-PHA 30 Days Miracle Acne Clear Body Cleanser [400g] /Очищающий гель-пенка для тела от прыщей и воспалений 400g</t>
        </is>
      </c>
      <c r="C189" s="6" t="n">
        <v>248928555</v>
      </c>
      <c r="D189" s="6" t="inlineStr"/>
      <c r="E189" s="6" t="inlineStr"/>
      <c r="F189" s="6" t="n">
        <v>984</v>
      </c>
      <c r="G189" s="6" t="n">
        <v>0</v>
      </c>
      <c r="H189" s="7" t="inlineStr"/>
      <c r="I189" s="7" t="inlineStr"/>
      <c r="J189" s="7" t="inlineStr"/>
      <c r="K189" s="7" t="inlineStr"/>
      <c r="L189" s="6" t="n">
        <v>0</v>
      </c>
      <c r="M189" s="7" t="inlineStr"/>
      <c r="N189" s="7" t="inlineStr"/>
      <c r="O189" s="7" t="inlineStr"/>
      <c r="P189" s="8">
        <f>SUM(L189:O189)</f>
        <v/>
      </c>
      <c r="Q189" s="8">
        <f>G189+H189+I189+J189+K189</f>
        <v/>
      </c>
      <c r="R189" s="8">
        <f>IF(P189=0,"",ROUND(Q189/P189,1))</f>
        <v/>
      </c>
      <c r="S189" s="6">
        <f>IFERROR(VLOOKUP(A189,Параметры!$A$4:$D$6,4,FALSE),0)</f>
        <v/>
      </c>
      <c r="T189" s="8">
        <f>IF(P189=0,0,MAX(0,ROUND(P189*(2+1)-Q189,0)))</f>
        <v/>
      </c>
      <c r="U189" s="8">
        <f>IF(P189=0,"нет продаж",IF(R189="","",IF(R189&lt;3,"ГОРИТ",IF(R189&gt;12,"затоварен","норм"))))</f>
        <v/>
      </c>
    </row>
    <row r="190">
      <c r="A190" s="6" t="inlineStr">
        <is>
          <t>косметика</t>
        </is>
      </c>
      <c r="B190" s="6" t="inlineStr">
        <is>
          <t>SOME BY MI - AHA-BHA-PHA 30 Days Miracle Cream [60g] /  Крем для лица</t>
        </is>
      </c>
      <c r="C190" s="6" t="n">
        <v>248929125</v>
      </c>
      <c r="D190" s="6" t="inlineStr"/>
      <c r="E190" s="6" t="inlineStr">
        <is>
          <t>20408212598890</t>
        </is>
      </c>
      <c r="F190" s="6" t="n">
        <v>1057</v>
      </c>
      <c r="G190" s="6" t="n">
        <v>55</v>
      </c>
      <c r="H190" s="7" t="inlineStr"/>
      <c r="I190" s="7" t="inlineStr"/>
      <c r="J190" s="7" t="inlineStr"/>
      <c r="K190" s="7" t="inlineStr"/>
      <c r="L190" s="6" t="n">
        <v>0</v>
      </c>
      <c r="M190" s="7" t="inlineStr"/>
      <c r="N190" s="7" t="inlineStr"/>
      <c r="O190" s="7" t="inlineStr"/>
      <c r="P190" s="8">
        <f>SUM(L190:O190)</f>
        <v/>
      </c>
      <c r="Q190" s="8">
        <f>G190+H190+I190+J190+K190</f>
        <v/>
      </c>
      <c r="R190" s="8">
        <f>IF(P190=0,"",ROUND(Q190/P190,1))</f>
        <v/>
      </c>
      <c r="S190" s="6">
        <f>IFERROR(VLOOKUP(A190,Параметры!$A$4:$D$6,4,FALSE),0)</f>
        <v/>
      </c>
      <c r="T190" s="8">
        <f>IF(P190=0,0,MAX(0,ROUND(P190*(2+1)-Q190,0)))</f>
        <v/>
      </c>
      <c r="U190" s="8">
        <f>IF(P190=0,"нет продаж",IF(R190="","",IF(R190&lt;3,"ГОРИТ",IF(R190&gt;12,"затоварен","норм"))))</f>
        <v/>
      </c>
    </row>
    <row r="191">
      <c r="A191" s="6" t="inlineStr">
        <is>
          <t>косметика</t>
        </is>
      </c>
      <c r="B191" s="6" t="inlineStr">
        <is>
          <t>CELIMAX DUAL BARRIER TRIAL KIT [20ml+10ml]/набор для восстановления защитного барьера кожи лица (тонер , крем )</t>
        </is>
      </c>
      <c r="C191" s="6" t="n">
        <v>551626041</v>
      </c>
      <c r="D191" s="6" t="inlineStr"/>
      <c r="E191" s="6" t="inlineStr"/>
      <c r="F191" s="6" t="n">
        <v>485</v>
      </c>
      <c r="G191" s="6" t="n">
        <v>0</v>
      </c>
      <c r="H191" s="7" t="inlineStr"/>
      <c r="I191" s="7" t="inlineStr"/>
      <c r="J191" s="7" t="inlineStr"/>
      <c r="K191" s="7" t="inlineStr"/>
      <c r="L191" s="6" t="n">
        <v>0</v>
      </c>
      <c r="M191" s="7" t="inlineStr"/>
      <c r="N191" s="7" t="inlineStr"/>
      <c r="O191" s="7" t="inlineStr"/>
      <c r="P191" s="8">
        <f>SUM(L191:O191)</f>
        <v/>
      </c>
      <c r="Q191" s="8">
        <f>G191+H191+I191+J191+K191</f>
        <v/>
      </c>
      <c r="R191" s="8">
        <f>IF(P191=0,"",ROUND(Q191/P191,1))</f>
        <v/>
      </c>
      <c r="S191" s="6">
        <f>IFERROR(VLOOKUP(A191,Параметры!$A$4:$D$6,4,FALSE),0)</f>
        <v/>
      </c>
      <c r="T191" s="8">
        <f>IF(P191=0,0,MAX(0,ROUND(P191*(2+1)-Q191,0)))</f>
        <v/>
      </c>
      <c r="U191" s="8">
        <f>IF(P191=0,"нет продаж",IF(R191="","",IF(R191&lt;3,"ГОРИТ",IF(R191&gt;12,"затоварен","норм"))))</f>
        <v/>
      </c>
    </row>
    <row r="192">
      <c r="A192" s="6" t="inlineStr">
        <is>
          <t>электроника</t>
        </is>
      </c>
      <c r="B192" s="6" t="inlineStr">
        <is>
          <t>Рация UV-82 (1 штука)</t>
        </is>
      </c>
      <c r="C192" s="6" t="n">
        <v>208208674</v>
      </c>
      <c r="D192" s="6" t="inlineStr">
        <is>
          <t>208324187</t>
        </is>
      </c>
      <c r="E192" s="6" t="inlineStr"/>
      <c r="F192" s="6" t="n">
        <v>1386</v>
      </c>
      <c r="G192" s="6" t="n">
        <v>297</v>
      </c>
      <c r="H192" s="7" t="inlineStr"/>
      <c r="I192" s="7" t="inlineStr"/>
      <c r="J192" s="7" t="inlineStr"/>
      <c r="K192" s="7" t="inlineStr"/>
      <c r="L192" s="6" t="n">
        <v>8.699999999999999</v>
      </c>
      <c r="M192" s="7" t="inlineStr"/>
      <c r="N192" s="7" t="inlineStr"/>
      <c r="O192" s="7" t="inlineStr"/>
      <c r="P192" s="8">
        <f>SUM(L192:O192)</f>
        <v/>
      </c>
      <c r="Q192" s="8">
        <f>G192+H192+I192+J192+K192</f>
        <v/>
      </c>
      <c r="R192" s="8">
        <f>IF(P192=0,"",ROUND(Q192/P192,1))</f>
        <v/>
      </c>
      <c r="S192" s="6">
        <f>IFERROR(VLOOKUP(A192,Параметры!$A$4:$D$6,4,FALSE),0)</f>
        <v/>
      </c>
      <c r="T192" s="8">
        <f>IF(P192=0,0,MAX(0,ROUND(P192*(2+1)-Q192,0)))</f>
        <v/>
      </c>
      <c r="U192" s="8">
        <f>IF(P192=0,"нет продаж",IF(R192="","",IF(R192&lt;3,"ГОРИТ",IF(R192&gt;12,"затоварен","норм"))))</f>
        <v/>
      </c>
    </row>
    <row r="193">
      <c r="A193" s="6" t="inlineStr">
        <is>
          <t>электроника</t>
        </is>
      </c>
      <c r="B193" s="6" t="inlineStr">
        <is>
          <t>Робот мойщик окон sBot w300 (приход 1 апреля)</t>
        </is>
      </c>
      <c r="C193" s="6" t="n">
        <v>176944957</v>
      </c>
      <c r="D193" s="6" t="inlineStr">
        <is>
          <t>182676277</t>
        </is>
      </c>
      <c r="E193" s="6" t="inlineStr"/>
      <c r="F193" s="6" t="n">
        <v>3366</v>
      </c>
      <c r="G193" s="6" t="n">
        <v>540</v>
      </c>
      <c r="H193" s="7" t="inlineStr"/>
      <c r="I193" s="7" t="inlineStr"/>
      <c r="J193" s="7" t="inlineStr"/>
      <c r="K193" s="7" t="inlineStr"/>
      <c r="L193" s="6" t="n">
        <v>3.3</v>
      </c>
      <c r="M193" s="7" t="inlineStr"/>
      <c r="N193" s="7" t="inlineStr"/>
      <c r="O193" s="7" t="inlineStr"/>
      <c r="P193" s="8">
        <f>SUM(L193:O193)</f>
        <v/>
      </c>
      <c r="Q193" s="8">
        <f>G193+H193+I193+J193+K193</f>
        <v/>
      </c>
      <c r="R193" s="8">
        <f>IF(P193=0,"",ROUND(Q193/P193,1))</f>
        <v/>
      </c>
      <c r="S193" s="6">
        <f>IFERROR(VLOOKUP(A193,Параметры!$A$4:$D$6,4,FALSE),0)</f>
        <v/>
      </c>
      <c r="T193" s="8">
        <f>IF(P193=0,0,MAX(0,ROUND(P193*(2+1)-Q193,0)))</f>
        <v/>
      </c>
      <c r="U193" s="8">
        <f>IF(P193=0,"нет продаж",IF(R193="","",IF(R193&lt;3,"ГОРИТ",IF(R193&gt;12,"затоварен","норм"))))</f>
        <v/>
      </c>
    </row>
    <row r="194">
      <c r="A194" s="6" t="inlineStr">
        <is>
          <t>электроника</t>
        </is>
      </c>
      <c r="B194" s="6" t="inlineStr">
        <is>
          <t>Скалер для зубов ультразвуковой (ирригатор)</t>
        </is>
      </c>
      <c r="C194" s="6" t="n">
        <v>180852804</v>
      </c>
      <c r="D194" s="6" t="inlineStr">
        <is>
          <t>183603636</t>
        </is>
      </c>
      <c r="E194" s="6" t="inlineStr"/>
      <c r="F194" s="6" t="n">
        <v>972</v>
      </c>
      <c r="G194" s="6" t="n">
        <v>618</v>
      </c>
      <c r="H194" s="7" t="inlineStr"/>
      <c r="I194" s="7" t="inlineStr"/>
      <c r="J194" s="7" t="inlineStr"/>
      <c r="K194" s="7" t="inlineStr"/>
      <c r="L194" s="6" t="n">
        <v>3.3</v>
      </c>
      <c r="M194" s="7" t="inlineStr"/>
      <c r="N194" s="7" t="inlineStr"/>
      <c r="O194" s="7" t="inlineStr"/>
      <c r="P194" s="8">
        <f>SUM(L194:O194)</f>
        <v/>
      </c>
      <c r="Q194" s="8">
        <f>G194+H194+I194+J194+K194</f>
        <v/>
      </c>
      <c r="R194" s="8">
        <f>IF(P194=0,"",ROUND(Q194/P194,1))</f>
        <v/>
      </c>
      <c r="S194" s="6">
        <f>IFERROR(VLOOKUP(A194,Параметры!$A$4:$D$6,4,FALSE),0)</f>
        <v/>
      </c>
      <c r="T194" s="8">
        <f>IF(P194=0,0,MAX(0,ROUND(P194*(2+1)-Q194,0)))</f>
        <v/>
      </c>
      <c r="U194" s="8">
        <f>IF(P194=0,"нет продаж",IF(R194="","",IF(R194&lt;3,"ГОРИТ",IF(R194&gt;12,"затоварен","норм"))))</f>
        <v/>
      </c>
    </row>
    <row r="195">
      <c r="A195" s="6" t="inlineStr">
        <is>
          <t>электроника</t>
        </is>
      </c>
      <c r="B195" s="6" t="inlineStr">
        <is>
          <t>Видеокамера 4G (новая карточка)</t>
        </is>
      </c>
      <c r="C195" s="6" t="n">
        <v>663654300</v>
      </c>
      <c r="D195" s="6" t="inlineStr"/>
      <c r="E195" s="6" t="inlineStr"/>
      <c r="F195" s="6" t="n">
        <v>2049</v>
      </c>
      <c r="G195" s="6" t="n">
        <v>98</v>
      </c>
      <c r="H195" s="7" t="inlineStr"/>
      <c r="I195" s="7" t="inlineStr"/>
      <c r="J195" s="7" t="inlineStr"/>
      <c r="K195" s="7" t="inlineStr"/>
      <c r="L195" s="6" t="n">
        <v>1.1</v>
      </c>
      <c r="M195" s="7" t="inlineStr"/>
      <c r="N195" s="7" t="inlineStr"/>
      <c r="O195" s="7" t="inlineStr"/>
      <c r="P195" s="8">
        <f>SUM(L195:O195)</f>
        <v/>
      </c>
      <c r="Q195" s="8">
        <f>G195+H195+I195+J195+K195</f>
        <v/>
      </c>
      <c r="R195" s="8">
        <f>IF(P195=0,"",ROUND(Q195/P195,1))</f>
        <v/>
      </c>
      <c r="S195" s="6">
        <f>IFERROR(VLOOKUP(A195,Параметры!$A$4:$D$6,4,FALSE),0)</f>
        <v/>
      </c>
      <c r="T195" s="8">
        <f>IF(P195=0,0,MAX(0,ROUND(P195*(2+1)-Q195,0)))</f>
        <v/>
      </c>
      <c r="U195" s="8">
        <f>IF(P195=0,"нет продаж",IF(R195="","",IF(R195&lt;3,"ГОРИТ",IF(R195&gt;12,"затоварен","норм"))))</f>
        <v/>
      </c>
    </row>
    <row r="196">
      <c r="A196" s="6" t="inlineStr">
        <is>
          <t>электроника</t>
        </is>
      </c>
      <c r="B196" s="6" t="inlineStr">
        <is>
          <t>Удлинитель для гирлянд 3 метра</t>
        </is>
      </c>
      <c r="C196" s="6" t="n">
        <v>260389580</v>
      </c>
      <c r="D196" s="6" t="inlineStr"/>
      <c r="E196" s="6" t="inlineStr"/>
      <c r="F196" s="6" t="n">
        <v>26</v>
      </c>
      <c r="G196" s="6" t="n">
        <v>3000</v>
      </c>
      <c r="H196" s="7" t="inlineStr"/>
      <c r="I196" s="7" t="inlineStr"/>
      <c r="J196" s="7" t="inlineStr"/>
      <c r="K196" s="7" t="inlineStr"/>
      <c r="L196" s="6" t="n">
        <v>0</v>
      </c>
      <c r="M196" s="7" t="inlineStr"/>
      <c r="N196" s="7" t="inlineStr"/>
      <c r="O196" s="7" t="inlineStr"/>
      <c r="P196" s="8">
        <f>SUM(L196:O196)</f>
        <v/>
      </c>
      <c r="Q196" s="8">
        <f>G196+H196+I196+J196+K196</f>
        <v/>
      </c>
      <c r="R196" s="8">
        <f>IF(P196=0,"",ROUND(Q196/P196,1))</f>
        <v/>
      </c>
      <c r="S196" s="6">
        <f>IFERROR(VLOOKUP(A196,Параметры!$A$4:$D$6,4,FALSE),0)</f>
        <v/>
      </c>
      <c r="T196" s="8">
        <f>IF(P196=0,0,MAX(0,ROUND(P196*(2+1)-Q196,0)))</f>
        <v/>
      </c>
      <c r="U196" s="8">
        <f>IF(P196=0,"нет продаж",IF(R196="","",IF(R196&lt;3,"ГОРИТ",IF(R196&gt;12,"затоварен","норм"))))</f>
        <v/>
      </c>
    </row>
    <row r="197">
      <c r="A197" s="6" t="inlineStr">
        <is>
          <t>электроника</t>
        </is>
      </c>
      <c r="B197" s="6" t="inlineStr">
        <is>
          <t>Лампа белая [26 см]</t>
        </is>
      </c>
      <c r="C197" s="6" t="n">
        <v>198620596</v>
      </c>
      <c r="D197" s="6" t="inlineStr">
        <is>
          <t>208557521</t>
        </is>
      </c>
      <c r="E197" s="6" t="inlineStr"/>
      <c r="F197" s="6" t="n">
        <v>452</v>
      </c>
      <c r="G197" s="6" t="n">
        <v>598</v>
      </c>
      <c r="H197" s="7" t="inlineStr"/>
      <c r="I197" s="7" t="inlineStr"/>
      <c r="J197" s="7" t="inlineStr"/>
      <c r="K197" s="7" t="inlineStr"/>
      <c r="L197" s="6" t="n">
        <v>0</v>
      </c>
      <c r="M197" s="7" t="inlineStr"/>
      <c r="N197" s="7" t="inlineStr"/>
      <c r="O197" s="7" t="inlineStr"/>
      <c r="P197" s="8">
        <f>SUM(L197:O197)</f>
        <v/>
      </c>
      <c r="Q197" s="8">
        <f>G197+H197+I197+J197+K197</f>
        <v/>
      </c>
      <c r="R197" s="8">
        <f>IF(P197=0,"",ROUND(Q197/P197,1))</f>
        <v/>
      </c>
      <c r="S197" s="6">
        <f>IFERROR(VLOOKUP(A197,Параметры!$A$4:$D$6,4,FALSE),0)</f>
        <v/>
      </c>
      <c r="T197" s="8">
        <f>IF(P197=0,0,MAX(0,ROUND(P197*(2+1)-Q197,0)))</f>
        <v/>
      </c>
      <c r="U197" s="8">
        <f>IF(P197=0,"нет продаж",IF(R197="","",IF(R197&lt;3,"ГОРИТ",IF(R197&gt;12,"затоварен","норм"))))</f>
        <v/>
      </c>
    </row>
    <row r="198">
      <c r="A198" s="6" t="inlineStr">
        <is>
          <t>электроника</t>
        </is>
      </c>
      <c r="B198" s="6" t="inlineStr">
        <is>
          <t>Триммер золотой</t>
        </is>
      </c>
      <c r="C198" s="6" t="n">
        <v>315688951</v>
      </c>
      <c r="D198" s="6" t="inlineStr">
        <is>
          <t>220235129</t>
        </is>
      </c>
      <c r="E198" s="6" t="inlineStr"/>
      <c r="F198" s="6" t="n">
        <v>263</v>
      </c>
      <c r="G198" s="6" t="n">
        <v>50</v>
      </c>
      <c r="H198" s="7" t="inlineStr"/>
      <c r="I198" s="7" t="inlineStr"/>
      <c r="J198" s="7" t="inlineStr"/>
      <c r="K198" s="7" t="inlineStr"/>
      <c r="L198" s="6" t="n">
        <v>0</v>
      </c>
      <c r="M198" s="7" t="inlineStr"/>
      <c r="N198" s="7" t="inlineStr"/>
      <c r="O198" s="7" t="inlineStr"/>
      <c r="P198" s="8">
        <f>SUM(L198:O198)</f>
        <v/>
      </c>
      <c r="Q198" s="8">
        <f>G198+H198+I198+J198+K198</f>
        <v/>
      </c>
      <c r="R198" s="8">
        <f>IF(P198=0,"",ROUND(Q198/P198,1))</f>
        <v/>
      </c>
      <c r="S198" s="6">
        <f>IFERROR(VLOOKUP(A198,Параметры!$A$4:$D$6,4,FALSE),0)</f>
        <v/>
      </c>
      <c r="T198" s="8">
        <f>IF(P198=0,0,MAX(0,ROUND(P198*(2+1)-Q198,0)))</f>
        <v/>
      </c>
      <c r="U198" s="8">
        <f>IF(P198=0,"нет продаж",IF(R198="","",IF(R198&lt;3,"ГОРИТ",IF(R198&gt;12,"затоварен","норм"))))</f>
        <v/>
      </c>
    </row>
    <row r="199">
      <c r="A199" s="6" t="inlineStr">
        <is>
          <t>электроника</t>
        </is>
      </c>
      <c r="B199" s="6" t="inlineStr">
        <is>
          <t>Триммер черный</t>
        </is>
      </c>
      <c r="C199" s="6" t="n">
        <v>180852837</v>
      </c>
      <c r="D199" s="6" t="inlineStr">
        <is>
          <t>220235210</t>
        </is>
      </c>
      <c r="E199" s="6" t="inlineStr"/>
      <c r="F199" s="6" t="n">
        <v>1056</v>
      </c>
      <c r="G199" s="6" t="n">
        <v>83</v>
      </c>
      <c r="H199" s="7" t="inlineStr"/>
      <c r="I199" s="7" t="inlineStr"/>
      <c r="J199" s="7" t="inlineStr"/>
      <c r="K199" s="7" t="inlineStr"/>
      <c r="L199" s="6" t="n">
        <v>0</v>
      </c>
      <c r="M199" s="7" t="inlineStr"/>
      <c r="N199" s="7" t="inlineStr"/>
      <c r="O199" s="7" t="inlineStr"/>
      <c r="P199" s="8">
        <f>SUM(L199:O199)</f>
        <v/>
      </c>
      <c r="Q199" s="8">
        <f>G199+H199+I199+J199+K199</f>
        <v/>
      </c>
      <c r="R199" s="8">
        <f>IF(P199=0,"",ROUND(Q199/P199,1))</f>
        <v/>
      </c>
      <c r="S199" s="6">
        <f>IFERROR(VLOOKUP(A199,Параметры!$A$4:$D$6,4,FALSE),0)</f>
        <v/>
      </c>
      <c r="T199" s="8">
        <f>IF(P199=0,0,MAX(0,ROUND(P199*(2+1)-Q199,0)))</f>
        <v/>
      </c>
      <c r="U199" s="8">
        <f>IF(P199=0,"нет продаж",IF(R199="","",IF(R199&lt;3,"ГОРИТ",IF(R199&gt;12,"затоварен","норм"))))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МАСТЕР-ФАЙЛ ПЛАНИРОВАНИЯ — как пользоваться</t>
        </is>
      </c>
    </row>
    <row r="2">
      <c r="A2" t="inlineStr"/>
    </row>
    <row r="3">
      <c r="A3" t="inlineStr">
        <is>
          <t>1 строка = 1 физический товар (по баркоду/себестоимости). Склад общий на оба магазина.</t>
        </is>
      </c>
    </row>
    <row r="4">
      <c r="A4" t="inlineStr">
        <is>
          <t>Жёлтые колонки — заполняешь выгрузками; зелёные считаются сами.</t>
        </is>
      </c>
    </row>
    <row r="5">
      <c r="A5" t="inlineStr"/>
    </row>
    <row r="6">
      <c r="A6" t="inlineStr">
        <is>
          <t>Что заполнить:</t>
        </is>
      </c>
    </row>
    <row r="7">
      <c r="A7" t="inlineStr">
        <is>
          <t>- Ост WB Коротич/Крона, Ост Ozon, В пути — из остатков каналов.</t>
        </is>
      </c>
    </row>
    <row r="8">
      <c r="A8" t="inlineStr">
        <is>
          <t>- Прод/мес Коротич WB — уже заполнено (Ракета 31.08-27.09). Крона WB, Коротич Ozon, Крона Ozon — из выгрузок.</t>
        </is>
      </c>
    </row>
    <row r="9">
      <c r="A9" t="inlineStr"/>
    </row>
    <row r="10">
      <c r="A10" t="inlineStr">
        <is>
          <t>Считается само:</t>
        </is>
      </c>
    </row>
    <row r="11">
      <c r="A11" t="inlineStr">
        <is>
          <t>- Спрос ИТОГО/мес = сумма продаж по 4 витринам.</t>
        </is>
      </c>
    </row>
    <row r="12">
      <c r="A12" t="inlineStr">
        <is>
          <t>- Доступно = склад+FBO+Ozon+пути.</t>
        </is>
      </c>
    </row>
    <row r="13">
      <c r="A13" t="inlineStr">
        <is>
          <t>- Покрытие мес = доступно / спрос.</t>
        </is>
      </c>
    </row>
    <row r="14">
      <c r="A14" t="inlineStr">
        <is>
          <t>- К заказу = спрос×(срок поставки+буфер) − доступно (параметры по категории).</t>
        </is>
      </c>
    </row>
    <row r="15">
      <c r="A15" t="inlineStr">
        <is>
          <t>- Статус: ГОРИТ (&lt;3 мес), норм, затоварен (&gt;12 мес), нет продаж.</t>
        </is>
      </c>
    </row>
    <row r="16">
      <c r="A16" t="inlineStr"/>
    </row>
    <row r="17">
      <c r="A17" t="inlineStr">
        <is>
          <t>Категория НГ/Деды Морозы: закупка только под сезон (целевой запас 0 вне сезона), продажи в основном Ozon.</t>
        </is>
      </c>
    </row>
    <row r="18">
      <c r="A18" t="inlineStr">
        <is>
          <t>Электроника: в основном распродажа неликвида, точечно Рация/Скалер.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2026-09-30T00:01:14Z</dcterms:created>
  <dcterms:modified xsi:type="dcterms:W3CDTF">2026-09-30T00:01:14Z</dcterms:modified>
</cp:coreProperties>
</file>
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Косметика сезон" sheetId="2" state="visible" r:id="rId2"/>
    <sheet name="Электроника" sheetId="3" state="visible" r:id="rId3"/>
    <sheet name="Деды Мороз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b val="1"/>
      <sz val="12"/>
    </font>
    <font>
      <i val="1"/>
      <color rgb="00808080"/>
      <sz val="9"/>
    </font>
    <font>
      <b val="1"/>
      <color rgb="00FFFFFF"/>
    </font>
    <font>
      <b val="1"/>
      <color rgb="001F4E78"/>
    </font>
    <font>
      <b val="1"/>
    </font>
    <font>
      <b val="1"/>
      <color rgb="00C00000"/>
      <sz val="13"/>
    </font>
    <font>
      <b val="1"/>
      <i val="1"/>
      <color rgb="00C00000"/>
    </font>
    <font>
      <b val="1"/>
      <color rgb="00375623"/>
      <sz val="13"/>
    </font>
    <font>
      <b val="1"/>
      <color rgb="001F4E78"/>
      <sz val="14"/>
    </font>
    <font>
      <i val="1"/>
      <color rgb="00C00000"/>
      <sz val="10"/>
    </font>
    <font>
      <b val="1"/>
      <color rgb="00C00000"/>
    </font>
  </fonts>
  <fills count="1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0" fillId="0" borderId="1" pivotButton="0" quotePrefix="0" xfId="0"/>
    <xf numFmtId="0" fontId="3" fillId="9" borderId="0" pivotButton="0" quotePrefix="0" xfId="0"/>
    <xf numFmtId="3" fontId="3" fillId="9" borderId="0" pivotButton="0" quotePrefix="0" xfId="0"/>
    <xf numFmtId="0" fontId="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2" fontId="3" fillId="2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3" fontId="7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3" fontId="0" fillId="7" borderId="1" pivotButton="0" quotePrefix="0" xfId="0"/>
    <xf numFmtId="0" fontId="0" fillId="8" borderId="1" pivotButton="0" quotePrefix="0" xfId="0"/>
    <xf numFmtId="3" fontId="0" fillId="8" borderId="1" pivotButton="0" quotePrefix="0" xfId="0"/>
    <xf numFmtId="0" fontId="0" fillId="9" borderId="0" pivotButton="0" quotePrefix="0" xfId="0"/>
    <xf numFmtId="0" fontId="8" fillId="0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7" fillId="9" borderId="0" pivotButton="0" quotePrefix="0" xfId="0"/>
    <xf numFmtId="3" fontId="7" fillId="9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11" borderId="1" applyAlignment="1" pivotButton="0" quotePrefix="0" xfId="0">
      <alignment horizontal="center" vertical="center" wrapText="1"/>
    </xf>
    <xf numFmtId="0" fontId="0" fillId="12" borderId="1" pivotButton="0" quotePrefix="0" xfId="0"/>
    <xf numFmtId="3" fontId="0" fillId="12" borderId="1" pivotButton="0" quotePrefix="0" xfId="0"/>
    <xf numFmtId="0" fontId="5" fillId="10" borderId="1" applyAlignment="1" pivotButton="0" quotePrefix="0" xfId="0">
      <alignment horizontal="center" wrapText="1"/>
    </xf>
    <xf numFmtId="0" fontId="13" fillId="13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ДАШБОРД — СЕЗОННЫЙ ПЛАН ОКТ-ДЕК 2026 (Коротич)</t>
        </is>
      </c>
    </row>
    <row r="2">
      <c r="A2" s="2" t="inlineStr">
        <is>
          <t>База — факт окт-ноя-дек 2025. Коэффициент на листе «Косметика сезон». Сегодня 01.10.2026.</t>
        </is>
      </c>
    </row>
    <row r="4">
      <c r="A4" s="3" t="inlineStr">
        <is>
          <t>Группа</t>
        </is>
      </c>
      <c r="B4" s="3" t="inlineStr">
        <is>
          <t>Остаток шт</t>
        </is>
      </c>
      <c r="C4" s="3" t="inlineStr">
        <is>
          <t>Спрос сезон шт</t>
        </is>
      </c>
      <c r="D4" s="3" t="inlineStr">
        <is>
          <t>Прибыль сезон ₽</t>
        </is>
      </c>
      <c r="E4" s="3" t="inlineStr">
        <is>
          <t>Закуп к пику шт</t>
        </is>
      </c>
    </row>
    <row r="5">
      <c r="A5" s="4" t="inlineStr">
        <is>
          <t>КОСМЕТИКА</t>
        </is>
      </c>
      <c r="B5" s="5">
        <f>'Косметика сезон'!C155</f>
        <v/>
      </c>
      <c r="C5" s="5">
        <f>'Косметика сезон'!G155</f>
        <v/>
      </c>
      <c r="D5" s="5">
        <f>'Косметика сезон'!I155</f>
        <v/>
      </c>
      <c r="E5" s="5">
        <f>'Косметика сезон'!J155</f>
        <v/>
      </c>
    </row>
    <row r="6">
      <c r="A6" s="4" t="inlineStr">
        <is>
          <t>ДЕДЫ МОРОЗЫ (склад+контейнер)</t>
        </is>
      </c>
      <c r="B6" s="5" t="n">
        <v>43543</v>
      </c>
      <c r="C6" s="5" t="n">
        <v>43543</v>
      </c>
      <c r="D6" s="5" t="n">
        <v>70844461</v>
      </c>
      <c r="E6" s="5" t="n">
        <v>15240050</v>
      </c>
    </row>
    <row r="7">
      <c r="A7" s="4" t="inlineStr">
        <is>
          <t>ЭЛЕКТРОНИКА (распродажа)</t>
        </is>
      </c>
      <c r="B7" s="5" t="n">
        <v>19</v>
      </c>
      <c r="C7" s="5" t="n">
        <v>19</v>
      </c>
      <c r="D7" s="5" t="n">
        <v>0</v>
      </c>
      <c r="E7" s="5" t="n">
        <v>0</v>
      </c>
    </row>
    <row r="8">
      <c r="A8" s="6" t="inlineStr">
        <is>
          <t>ИТОГО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</row>
    <row r="10">
      <c r="A10" s="8">
        <f>CONCATENATE("ИТОГО ПРИБЫЛЬ ЗА СЕЗОН ОКТ-ДЕК: ",TEXT(D8/1000000,"0.00")," млн ₽")</f>
        <v/>
      </c>
    </row>
    <row r="11">
      <c r="A11" s="9" t="inlineStr">
        <is>
          <t>Сезонность 2025: окт 17,9к → ноя 26,9к → дек 55,1к. Деды Морозы: склад 30 852 (сейчас) + контейнер 12 691 (к декабрю) = 43 543 шт.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9" customWidth="1" min="3" max="3"/>
    <col width="8" customWidth="1" min="4" max="4"/>
    <col width="8" customWidth="1" min="5" max="5"/>
    <col width="8" customWidth="1" min="6" max="6"/>
    <col width="16" customWidth="1" min="7" max="7"/>
    <col width="9" customWidth="1" min="8" max="8"/>
    <col width="14" customWidth="1" min="9" max="9"/>
    <col width="13" customWidth="1" min="10" max="10"/>
    <col width="18" customWidth="1" min="11" max="11"/>
  </cols>
  <sheetData>
    <row r="1">
      <c r="A1" s="8" t="inlineStr">
        <is>
          <t>КОСМЕТИКА — СЕЗОННЫЙ ПЛАН ОКТ-ДЕК 2026 (на базе факта окт-дек 2025)</t>
        </is>
      </c>
    </row>
    <row r="2">
      <c r="A2" s="10" t="inlineStr">
        <is>
          <t>Коэффициент роста к 2025 →</t>
        </is>
      </c>
      <c r="B2" s="11" t="n">
        <v>1</v>
      </c>
      <c r="C2" s="2" t="inlineStr">
        <is>
          <t>← меняй (1,0=как 2025; 1,2=+20%). Спрос сезон = (окт+ноя+дек)×коэф. ЗАКУП = сколько не хватает сверх остатка.</t>
        </is>
      </c>
    </row>
    <row r="4">
      <c r="A4" s="3" t="inlineStr">
        <is>
          <t>Наименование</t>
        </is>
      </c>
      <c r="B4" s="3" t="inlineStr">
        <is>
          <t>Артикул ВБ</t>
        </is>
      </c>
      <c r="C4" s="3" t="inlineStr">
        <is>
          <t>Остаток шт</t>
        </is>
      </c>
      <c r="D4" s="3" t="inlineStr">
        <is>
          <t>Окт-25</t>
        </is>
      </c>
      <c r="E4" s="3" t="inlineStr">
        <is>
          <t>Ноя-25</t>
        </is>
      </c>
      <c r="F4" s="3" t="inlineStr">
        <is>
          <t>Дек-25</t>
        </is>
      </c>
      <c r="G4" s="3" t="inlineStr">
        <is>
          <t>Спрос сезон (×коэф)</t>
        </is>
      </c>
      <c r="H4" s="3" t="inlineStr">
        <is>
          <t>Маржа ₽/ед</t>
        </is>
      </c>
      <c r="I4" s="3" t="inlineStr">
        <is>
          <t>Прибыль сезон ₽</t>
        </is>
      </c>
      <c r="J4" s="3" t="inlineStr">
        <is>
          <t>ЗАКУП к пику шт</t>
        </is>
      </c>
      <c r="K4" s="3" t="inlineStr">
        <is>
          <t>Приоритет</t>
        </is>
      </c>
    </row>
    <row r="5">
      <c r="A5" s="12" t="inlineStr">
        <is>
          <t>Косметика/COSRX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14" t="inlineStr">
        <is>
          <t>COSRX - Salicylic Acid Daily Gentle Cleanser [150ml] / Пенка с салициловой кислотой для проблемной кожи</t>
        </is>
      </c>
      <c r="B6" s="14" t="n">
        <v>204258828</v>
      </c>
      <c r="C6" s="5" t="n">
        <v>218</v>
      </c>
      <c r="D6" s="5" t="n">
        <v>16</v>
      </c>
      <c r="E6" s="5" t="n">
        <v>42</v>
      </c>
      <c r="F6" s="5" t="n">
        <v>63</v>
      </c>
      <c r="G6" s="5">
        <f>ROUND((D6+E6+F6)*$B$2,0)</f>
        <v/>
      </c>
      <c r="H6" s="5" t="n">
        <v>141</v>
      </c>
      <c r="I6" s="5">
        <f>G6*H6</f>
        <v/>
      </c>
      <c r="J6" s="5">
        <f>MAX(0,G6-C6)</f>
        <v/>
      </c>
      <c r="K6" s="14" t="inlineStr">
        <is>
          <t>Рабочий</t>
        </is>
      </c>
    </row>
    <row r="7">
      <c r="A7" s="15" t="inlineStr">
        <is>
          <t>ИТОГО COSRX</t>
        </is>
      </c>
      <c r="B7" s="16" t="n"/>
      <c r="C7" s="17">
        <f>SUM(C6:C6)</f>
        <v/>
      </c>
      <c r="D7" s="17">
        <f>SUM(D6:D6)</f>
        <v/>
      </c>
      <c r="E7" s="17">
        <f>SUM(E6:E6)</f>
        <v/>
      </c>
      <c r="F7" s="17">
        <f>SUM(F6:F6)</f>
        <v/>
      </c>
      <c r="G7" s="17">
        <f>SUM(G6:G6)</f>
        <v/>
      </c>
      <c r="H7" s="16" t="n"/>
      <c r="I7" s="17">
        <f>SUM(I6:I6)</f>
        <v/>
      </c>
      <c r="J7" s="17">
        <f>SUM(J6:J6)</f>
        <v/>
      </c>
      <c r="K7" s="16" t="n"/>
    </row>
    <row r="8">
      <c r="A8" s="12" t="inlineStr">
        <is>
          <t>Косметика/DEOPROCE/DEOPROCE-SHAMPOO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4" t="inlineStr">
        <is>
          <t>DEOPROCE SHAMPOO - BLACK GARLIC INTENSME ENERGY [600ml] мягкая упаковка Шампунь с черным чесноком против выпадения волос</t>
        </is>
      </c>
      <c r="B9" s="14" t="n">
        <v>608837066</v>
      </c>
      <c r="C9" s="5" t="n">
        <v>59</v>
      </c>
      <c r="D9" s="5" t="n">
        <v>0</v>
      </c>
      <c r="E9" s="5" t="n">
        <v>0</v>
      </c>
      <c r="F9" s="5" t="n">
        <v>4</v>
      </c>
      <c r="G9" s="5">
        <f>ROUND((D9+E9+F9)*$B$2,0)</f>
        <v/>
      </c>
      <c r="H9" s="5" t="n">
        <v>229</v>
      </c>
      <c r="I9" s="5">
        <f>G9*H9</f>
        <v/>
      </c>
      <c r="J9" s="5">
        <f>MAX(0,G9-C9)</f>
        <v/>
      </c>
      <c r="K9" s="14" t="inlineStr">
        <is>
          <t>Рабочий</t>
        </is>
      </c>
    </row>
    <row r="10">
      <c r="A10" s="1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0" s="14" t="n">
        <v>608624295</v>
      </c>
      <c r="C10" s="5" t="n">
        <v>11</v>
      </c>
      <c r="D10" s="5" t="n">
        <v>0</v>
      </c>
      <c r="E10" s="5" t="n">
        <v>0</v>
      </c>
      <c r="F10" s="5" t="n">
        <v>3</v>
      </c>
      <c r="G10" s="5">
        <f>ROUND((D10+E10+F10)*$B$2,0)</f>
        <v/>
      </c>
      <c r="H10" s="5" t="n">
        <v>160</v>
      </c>
      <c r="I10" s="5">
        <f>G10*H10</f>
        <v/>
      </c>
      <c r="J10" s="5">
        <f>MAX(0,G10-C10)</f>
        <v/>
      </c>
      <c r="K10" s="14" t="inlineStr">
        <is>
          <t>Рабочий</t>
        </is>
      </c>
    </row>
    <row r="11">
      <c r="A11" s="14" t="inlineStr">
        <is>
          <t>DEOPROCE SHAMPOO - BLACK GARLIC INTENSME ENERGY [200ml]/ Шампунь с черным чесноком против выпадения волос</t>
        </is>
      </c>
      <c r="B11" s="14" t="n">
        <v>608841921</v>
      </c>
      <c r="C11" s="5" t="n">
        <v>297</v>
      </c>
      <c r="D11" s="5" t="n">
        <v>0</v>
      </c>
      <c r="E11" s="5" t="n">
        <v>0</v>
      </c>
      <c r="F11" s="5" t="n">
        <v>5</v>
      </c>
      <c r="G11" s="5">
        <f>ROUND((D11+E11+F11)*$B$2,0)</f>
        <v/>
      </c>
      <c r="H11" s="5" t="n">
        <v>176</v>
      </c>
      <c r="I11" s="5">
        <f>G11*H11</f>
        <v/>
      </c>
      <c r="J11" s="5">
        <f>MAX(0,G11-C11)</f>
        <v/>
      </c>
      <c r="K11" s="14" t="inlineStr">
        <is>
          <t>Рабочий</t>
        </is>
      </c>
    </row>
    <row r="12">
      <c r="A12" s="15" t="inlineStr">
        <is>
          <t>ИТОГО DEOPROCE/DEOPROCE-SHAMPOO</t>
        </is>
      </c>
      <c r="B12" s="16" t="n"/>
      <c r="C12" s="17">
        <f>SUM(C9:C11)</f>
        <v/>
      </c>
      <c r="D12" s="17">
        <f>SUM(D9:D11)</f>
        <v/>
      </c>
      <c r="E12" s="17">
        <f>SUM(E9:E11)</f>
        <v/>
      </c>
      <c r="F12" s="17">
        <f>SUM(F9:F11)</f>
        <v/>
      </c>
      <c r="G12" s="17">
        <f>SUM(G9:G11)</f>
        <v/>
      </c>
      <c r="H12" s="16" t="n"/>
      <c r="I12" s="17">
        <f>SUM(I9:I11)</f>
        <v/>
      </c>
      <c r="J12" s="17">
        <f>SUM(J9:J11)</f>
        <v/>
      </c>
      <c r="K12" s="16" t="n"/>
    </row>
    <row r="13">
      <c r="A13" s="12" t="inlineStr">
        <is>
          <t>Косметика/DEOPROCE/НАБОР ШАМПУНЬ+БАЛЬЗАМ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4" t="inlineStr">
        <is>
          <t>DEOPROCE SHAMPOO+BALSAM - BLACK GARLIC[2000ml]</t>
        </is>
      </c>
      <c r="B14" s="14" t="n">
        <v>214305722</v>
      </c>
      <c r="C14" s="5" t="n">
        <v>395</v>
      </c>
      <c r="D14" s="5" t="n">
        <v>0</v>
      </c>
      <c r="E14" s="5" t="n">
        <v>7</v>
      </c>
      <c r="F14" s="5" t="n">
        <v>55</v>
      </c>
      <c r="G14" s="5">
        <f>ROUND((D14+E14+F14)*$B$2,0)</f>
        <v/>
      </c>
      <c r="H14" s="5" t="n">
        <v>354</v>
      </c>
      <c r="I14" s="5">
        <f>G14*H14</f>
        <v/>
      </c>
      <c r="J14" s="5">
        <f>MAX(0,G14-C14)</f>
        <v/>
      </c>
      <c r="K14" s="14" t="inlineStr">
        <is>
          <t>Рабочий</t>
        </is>
      </c>
    </row>
    <row r="15">
      <c r="A15" s="15" t="inlineStr">
        <is>
          <t>ИТОГО DEOPROCE/НАБОР ШАМПУНЬ+БАЛЬЗАМ</t>
        </is>
      </c>
      <c r="B15" s="16" t="n"/>
      <c r="C15" s="17">
        <f>SUM(C14:C14)</f>
        <v/>
      </c>
      <c r="D15" s="17">
        <f>SUM(D14:D14)</f>
        <v/>
      </c>
      <c r="E15" s="17">
        <f>SUM(E14:E14)</f>
        <v/>
      </c>
      <c r="F15" s="17">
        <f>SUM(F14:F14)</f>
        <v/>
      </c>
      <c r="G15" s="17">
        <f>SUM(G14:G14)</f>
        <v/>
      </c>
      <c r="H15" s="16" t="n"/>
      <c r="I15" s="17">
        <f>SUM(I14:I14)</f>
        <v/>
      </c>
      <c r="J15" s="17">
        <f>SUM(J14:J14)</f>
        <v/>
      </c>
      <c r="K15" s="16" t="n"/>
    </row>
    <row r="16">
      <c r="A16" s="12" t="inlineStr">
        <is>
          <t>Косметика/ELIZAVECCA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4" t="inlineStr">
        <is>
          <t>ELIZAVECCA - CER-100 Collagen Ceramide Coating Protein Treatment [100ml] / Коллагеновая маска для волос</t>
        </is>
      </c>
      <c r="B17" s="14" t="n">
        <v>207796350</v>
      </c>
      <c r="C17" s="5" t="n">
        <v>340</v>
      </c>
      <c r="D17" s="5" t="n">
        <v>12</v>
      </c>
      <c r="E17" s="5" t="n">
        <v>14</v>
      </c>
      <c r="F17" s="5" t="n">
        <v>13</v>
      </c>
      <c r="G17" s="5">
        <f>ROUND((D17+E17+F17)*$B$2,0)</f>
        <v/>
      </c>
      <c r="H17" s="5" t="n">
        <v>129</v>
      </c>
      <c r="I17" s="5">
        <f>G17*H17</f>
        <v/>
      </c>
      <c r="J17" s="5">
        <f>MAX(0,G17-C17)</f>
        <v/>
      </c>
      <c r="K17" s="14" t="inlineStr">
        <is>
          <t>Рабочий</t>
        </is>
      </c>
    </row>
    <row r="18">
      <c r="A18" s="14" t="inlineStr">
        <is>
          <t>ELIZAVECCA - Hell-Pore Galactomyces Pure Ample / Сыворотка для лица с экстрактом галактомисиса</t>
        </is>
      </c>
      <c r="B18" s="14" t="n">
        <v>206058262</v>
      </c>
      <c r="C18" s="5" t="n">
        <v>50</v>
      </c>
      <c r="D18" s="5" t="n">
        <v>3</v>
      </c>
      <c r="E18" s="5" t="n">
        <v>3</v>
      </c>
      <c r="F18" s="5" t="n">
        <v>2</v>
      </c>
      <c r="G18" s="5">
        <f>ROUND((D18+E18+F18)*$B$2,0)</f>
        <v/>
      </c>
      <c r="H18" s="5" t="n">
        <v>242</v>
      </c>
      <c r="I18" s="5">
        <f>G18*H18</f>
        <v/>
      </c>
      <c r="J18" s="5">
        <f>MAX(0,G18-C18)</f>
        <v/>
      </c>
      <c r="K18" s="14" t="inlineStr">
        <is>
          <t>Рабочий</t>
        </is>
      </c>
    </row>
    <row r="19">
      <c r="A19" s="15" t="inlineStr">
        <is>
          <t>ИТОГО ELIZAVECCA</t>
        </is>
      </c>
      <c r="B19" s="16" t="n"/>
      <c r="C19" s="17">
        <f>SUM(C17:C18)</f>
        <v/>
      </c>
      <c r="D19" s="17">
        <f>SUM(D17:D18)</f>
        <v/>
      </c>
      <c r="E19" s="17">
        <f>SUM(E17:E18)</f>
        <v/>
      </c>
      <c r="F19" s="17">
        <f>SUM(F17:F18)</f>
        <v/>
      </c>
      <c r="G19" s="17">
        <f>SUM(G17:G18)</f>
        <v/>
      </c>
      <c r="H19" s="16" t="n"/>
      <c r="I19" s="17">
        <f>SUM(I17:I18)</f>
        <v/>
      </c>
      <c r="J19" s="17">
        <f>SUM(J17:J18)</f>
        <v/>
      </c>
      <c r="K19" s="16" t="n"/>
    </row>
    <row r="20">
      <c r="A20" s="12" t="inlineStr">
        <is>
          <t>Косметика/ENOUGH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8" t="inlineStr">
        <is>
          <t>ENOUGH - Collagen Moisture Essential Cream [50ml] / Увлажняющий крем для лица с коллагеном</t>
        </is>
      </c>
      <c r="B21" s="18" t="n">
        <v>238415286</v>
      </c>
      <c r="C21" s="19" t="n">
        <v>6400</v>
      </c>
      <c r="D21" s="19" t="n">
        <v>2026</v>
      </c>
      <c r="E21" s="19" t="n">
        <v>2054</v>
      </c>
      <c r="F21" s="19" t="n">
        <v>1815</v>
      </c>
      <c r="G21" s="19">
        <f>ROUND((D21+E21+F21)*$B$2,0)</f>
        <v/>
      </c>
      <c r="H21" s="19" t="n">
        <v>156</v>
      </c>
      <c r="I21" s="5">
        <f>G21*H21</f>
        <v/>
      </c>
      <c r="J21" s="5">
        <f>MAX(0,G21-C21)</f>
        <v/>
      </c>
      <c r="K21" s="14" t="inlineStr">
        <is>
          <t>★ Драйвер сезона</t>
        </is>
      </c>
    </row>
    <row r="22">
      <c r="A22" s="18" t="inlineStr">
        <is>
          <t>ENOUGH - Collagen Whitening Moisture Cream 3in1 [50g] / Антивозрастной отбеливающий крем с коллагеном</t>
        </is>
      </c>
      <c r="B22" s="18" t="n">
        <v>238416010</v>
      </c>
      <c r="C22" s="19" t="n">
        <v>254</v>
      </c>
      <c r="D22" s="19" t="n">
        <v>285</v>
      </c>
      <c r="E22" s="19" t="n">
        <v>301</v>
      </c>
      <c r="F22" s="19" t="n">
        <v>341</v>
      </c>
      <c r="G22" s="19">
        <f>ROUND((D22+E22+F22)*$B$2,0)</f>
        <v/>
      </c>
      <c r="H22" s="19" t="n">
        <v>68</v>
      </c>
      <c r="I22" s="5">
        <f>G22*H22</f>
        <v/>
      </c>
      <c r="J22" s="20">
        <f>MAX(0,G22-C22)</f>
        <v/>
      </c>
      <c r="K22" s="14" t="inlineStr">
        <is>
          <t>ЗАКУПИТЬ — дефицит</t>
        </is>
      </c>
    </row>
    <row r="23">
      <c r="A23" s="14" t="inlineStr">
        <is>
          <t>ENOUGH - Collagen Moisture Foundation [Tone 13] / Тональный крем для лица с коллагеном 13 тон</t>
        </is>
      </c>
      <c r="B23" s="14" t="n">
        <v>150925321</v>
      </c>
      <c r="C23" s="5" t="n">
        <v>53</v>
      </c>
      <c r="D23" s="5" t="n">
        <v>263</v>
      </c>
      <c r="E23" s="5" t="n">
        <v>317</v>
      </c>
      <c r="F23" s="5" t="n">
        <v>207</v>
      </c>
      <c r="G23" s="5">
        <f>ROUND((D23+E23+F23)*$B$2,0)</f>
        <v/>
      </c>
      <c r="H23" s="5" t="n">
        <v>221</v>
      </c>
      <c r="I23" s="5">
        <f>G23*H23</f>
        <v/>
      </c>
      <c r="J23" s="20">
        <f>MAX(0,G23-C23)</f>
        <v/>
      </c>
      <c r="K23" s="14" t="inlineStr">
        <is>
          <t>ЗАКУПИТЬ — дефицит</t>
        </is>
      </c>
    </row>
    <row r="24">
      <c r="A24" s="14" t="inlineStr">
        <is>
          <t>ENOUGH - Collagen Moisture Foundation [Tone 21] / Тональный крем для лица с коллагеном 21 тон</t>
        </is>
      </c>
      <c r="B24" s="14" t="n">
        <v>150925322</v>
      </c>
      <c r="C24" s="5" t="n">
        <v>198</v>
      </c>
      <c r="D24" s="5" t="n">
        <v>92</v>
      </c>
      <c r="E24" s="5" t="n">
        <v>101</v>
      </c>
      <c r="F24" s="5" t="n">
        <v>165</v>
      </c>
      <c r="G24" s="5">
        <f>ROUND((D24+E24+F24)*$B$2,0)</f>
        <v/>
      </c>
      <c r="H24" s="5" t="n">
        <v>195</v>
      </c>
      <c r="I24" s="5">
        <f>G24*H24</f>
        <v/>
      </c>
      <c r="J24" s="20">
        <f>MAX(0,G24-C24)</f>
        <v/>
      </c>
      <c r="K24" s="14" t="inlineStr">
        <is>
          <t>ЗАКУПИТЬ — дефицит</t>
        </is>
      </c>
    </row>
    <row r="25">
      <c r="A25" s="14" t="inlineStr">
        <is>
          <t>ENOUGH - Premium Rich Gold Double Wear Radiance Foundation [Tone 21] / Тональный крем с частичками золота 21 тон</t>
        </is>
      </c>
      <c r="B25" s="14" t="n">
        <v>170198109</v>
      </c>
      <c r="C25" s="5" t="n">
        <v>400</v>
      </c>
      <c r="D25" s="5" t="n">
        <v>63</v>
      </c>
      <c r="E25" s="5" t="n">
        <v>63</v>
      </c>
      <c r="F25" s="5" t="n">
        <v>58</v>
      </c>
      <c r="G25" s="5">
        <f>ROUND((D25+E25+F25)*$B$2,0)</f>
        <v/>
      </c>
      <c r="H25" s="5" t="n">
        <v>114</v>
      </c>
      <c r="I25" s="5">
        <f>G25*H25</f>
        <v/>
      </c>
      <c r="J25" s="5">
        <f>MAX(0,G25-C25)</f>
        <v/>
      </c>
      <c r="K25" s="14" t="inlineStr">
        <is>
          <t>Рабочий</t>
        </is>
      </c>
    </row>
    <row r="26">
      <c r="A26" s="14" t="inlineStr">
        <is>
          <t>ENOUGH - Collagen Moisture BB Cream SPF47 PA+++ [50ml] / Увлажняющий BB крем с коллагеном</t>
        </is>
      </c>
      <c r="B26" s="14" t="n">
        <v>238413828</v>
      </c>
      <c r="C26" s="5" t="n">
        <v>687</v>
      </c>
      <c r="D26" s="5" t="n">
        <v>62</v>
      </c>
      <c r="E26" s="5" t="n">
        <v>34</v>
      </c>
      <c r="F26" s="5" t="n">
        <v>54</v>
      </c>
      <c r="G26" s="5">
        <f>ROUND((D26+E26+F26)*$B$2,0)</f>
        <v/>
      </c>
      <c r="H26" s="5" t="n">
        <v>69</v>
      </c>
      <c r="I26" s="5">
        <f>G26*H26</f>
        <v/>
      </c>
      <c r="J26" s="5">
        <f>MAX(0,G26-C26)</f>
        <v/>
      </c>
      <c r="K26" s="14" t="inlineStr">
        <is>
          <t>Рабочий</t>
        </is>
      </c>
    </row>
    <row r="27">
      <c r="A27" s="18" t="inlineStr">
        <is>
          <t>ENOUGH - Gold Snail Moisture Foundation [Tone 13] / Тональный крем с муцином улитки 13 тон</t>
        </is>
      </c>
      <c r="B27" s="18" t="n">
        <v>207796789</v>
      </c>
      <c r="C27" s="19" t="n">
        <v>700</v>
      </c>
      <c r="D27" s="19" t="n">
        <v>52</v>
      </c>
      <c r="E27" s="19" t="n">
        <v>320</v>
      </c>
      <c r="F27" s="19" t="n">
        <v>454</v>
      </c>
      <c r="G27" s="19">
        <f>ROUND((D27+E27+F27)*$B$2,0)</f>
        <v/>
      </c>
      <c r="H27" s="19" t="n">
        <v>137</v>
      </c>
      <c r="I27" s="5">
        <f>G27*H27</f>
        <v/>
      </c>
      <c r="J27" s="20">
        <f>MAX(0,G27-C27)</f>
        <v/>
      </c>
      <c r="K27" s="14" t="inlineStr">
        <is>
          <t>ЗАКУПИТЬ — дефицит</t>
        </is>
      </c>
    </row>
    <row r="28">
      <c r="A28" s="14" t="inlineStr">
        <is>
          <t>ENOUGH - Gold Snail Moisture Foundation [Tone 21] / Тональный крем с муцином улитки 21 тон</t>
        </is>
      </c>
      <c r="B28" s="14" t="n">
        <v>207796898</v>
      </c>
      <c r="C28" s="5" t="n">
        <v>400</v>
      </c>
      <c r="D28" s="5" t="n">
        <v>35</v>
      </c>
      <c r="E28" s="5" t="n">
        <v>228</v>
      </c>
      <c r="F28" s="5" t="n">
        <v>229</v>
      </c>
      <c r="G28" s="5">
        <f>ROUND((D28+E28+F28)*$B$2,0)</f>
        <v/>
      </c>
      <c r="H28" s="5" t="n">
        <v>104</v>
      </c>
      <c r="I28" s="5">
        <f>G28*H28</f>
        <v/>
      </c>
      <c r="J28" s="20">
        <f>MAX(0,G28-C28)</f>
        <v/>
      </c>
      <c r="K28" s="14" t="inlineStr">
        <is>
          <t>ЗАКУПИТЬ — дефицит</t>
        </is>
      </c>
    </row>
    <row r="29">
      <c r="A29" s="14" t="inlineStr">
        <is>
          <t>ENOUGH - Collagen 3in1 Whitening Moisture Foundation [Tone 21] / Тональный крем для лица с коллагеном 3в1 [21 тон]</t>
        </is>
      </c>
      <c r="B29" s="14" t="n">
        <v>151132052</v>
      </c>
      <c r="C29" s="5" t="n">
        <v>12</v>
      </c>
      <c r="D29" s="5" t="n">
        <v>35</v>
      </c>
      <c r="E29" s="5" t="n">
        <v>32</v>
      </c>
      <c r="F29" s="5" t="n">
        <v>39</v>
      </c>
      <c r="G29" s="5">
        <f>ROUND((D29+E29+F29)*$B$2,0)</f>
        <v/>
      </c>
      <c r="H29" s="5" t="n">
        <v>149</v>
      </c>
      <c r="I29" s="5">
        <f>G29*H29</f>
        <v/>
      </c>
      <c r="J29" s="20">
        <f>MAX(0,G29-C29)</f>
        <v/>
      </c>
      <c r="K29" s="14" t="inlineStr">
        <is>
          <t>ЗАКУПИТЬ — дефицит</t>
        </is>
      </c>
    </row>
    <row r="30">
      <c r="A30" s="14" t="inlineStr">
        <is>
          <t>ENOUGH - Premium Rich Gold Double Wear Radiance Foundation [Tone 13] / Тональный крем с частичками золота 13 тон</t>
        </is>
      </c>
      <c r="B30" s="14" t="n">
        <v>170198180</v>
      </c>
      <c r="C30" s="5" t="n">
        <v>200</v>
      </c>
      <c r="D30" s="5" t="n">
        <v>24</v>
      </c>
      <c r="E30" s="5" t="n">
        <v>68</v>
      </c>
      <c r="F30" s="5" t="n">
        <v>73</v>
      </c>
      <c r="G30" s="5">
        <f>ROUND((D30+E30+F30)*$B$2,0)</f>
        <v/>
      </c>
      <c r="H30" s="5" t="n">
        <v>116</v>
      </c>
      <c r="I30" s="5">
        <f>G30*H30</f>
        <v/>
      </c>
      <c r="J30" s="5">
        <f>MAX(0,G30-C30)</f>
        <v/>
      </c>
      <c r="K30" s="14" t="inlineStr">
        <is>
          <t>Рабочий</t>
        </is>
      </c>
    </row>
    <row r="31">
      <c r="A31" s="14" t="inlineStr">
        <is>
          <t>ENOUGH - Premium Ultra X10 Cover Up Collagen Foundation [Tone 13] / Тональный крем с коллагеном 13 тон</t>
        </is>
      </c>
      <c r="B31" s="14" t="n">
        <v>170198835</v>
      </c>
      <c r="C31" s="5" t="n">
        <v>1000</v>
      </c>
      <c r="D31" s="5" t="n">
        <v>10</v>
      </c>
      <c r="E31" s="5" t="n">
        <v>42</v>
      </c>
      <c r="F31" s="5" t="n">
        <v>63</v>
      </c>
      <c r="G31" s="5">
        <f>ROUND((D31+E31+F31)*$B$2,0)</f>
        <v/>
      </c>
      <c r="H31" s="5" t="n">
        <v>95</v>
      </c>
      <c r="I31" s="5">
        <f>G31*H31</f>
        <v/>
      </c>
      <c r="J31" s="5">
        <f>MAX(0,G31-C31)</f>
        <v/>
      </c>
      <c r="K31" s="14" t="inlineStr">
        <is>
          <t>Рабочий</t>
        </is>
      </c>
    </row>
    <row r="32">
      <c r="A32" s="14" t="inlineStr">
        <is>
          <t>ENOUGH - Premium 8 Peptide Full Cover Perfect Foundation [Tone 21] / Тональный крем с пептидами 21 тон</t>
        </is>
      </c>
      <c r="B32" s="14" t="n">
        <v>170198337</v>
      </c>
      <c r="C32" s="5" t="n">
        <v>23</v>
      </c>
      <c r="D32" s="5" t="n">
        <v>0</v>
      </c>
      <c r="E32" s="5" t="n">
        <v>26</v>
      </c>
      <c r="F32" s="5" t="n">
        <v>55</v>
      </c>
      <c r="G32" s="5">
        <f>ROUND((D32+E32+F32)*$B$2,0)</f>
        <v/>
      </c>
      <c r="H32" s="5" t="n">
        <v>203</v>
      </c>
      <c r="I32" s="5">
        <f>G32*H32</f>
        <v/>
      </c>
      <c r="J32" s="20">
        <f>MAX(0,G32-C32)</f>
        <v/>
      </c>
      <c r="K32" s="14" t="inlineStr">
        <is>
          <t>ЗАКУПИТЬ — дефицит</t>
        </is>
      </c>
    </row>
    <row r="33">
      <c r="A33" s="14" t="inlineStr">
        <is>
          <t>ENOUGH Collagen whitening cover tip concealer #01 [9g]/Консилер для лица (основная карточка) 4.5 рейтинг</t>
        </is>
      </c>
      <c r="B33" s="14" t="n">
        <v>212889025</v>
      </c>
      <c r="C33" s="5" t="n">
        <v>352</v>
      </c>
      <c r="D33" s="5" t="n">
        <v>0</v>
      </c>
      <c r="E33" s="5" t="n">
        <v>0</v>
      </c>
      <c r="F33" s="5" t="n">
        <v>2</v>
      </c>
      <c r="G33" s="5">
        <f>ROUND((D33+E33+F33)*$B$2,0)</f>
        <v/>
      </c>
      <c r="H33" s="5" t="n">
        <v>270</v>
      </c>
      <c r="I33" s="5">
        <f>G33*H33</f>
        <v/>
      </c>
      <c r="J33" s="5">
        <f>MAX(0,G33-C33)</f>
        <v/>
      </c>
      <c r="K33" s="14" t="inlineStr">
        <is>
          <t>Рабочий</t>
        </is>
      </c>
    </row>
    <row r="34">
      <c r="A34" s="14" t="inlineStr">
        <is>
          <t>ENOUGH Collagen whitening cover tip concealer #02 [9g]/Консилер для лица (основная карточка)</t>
        </is>
      </c>
      <c r="B34" s="14" t="n">
        <v>212889027</v>
      </c>
      <c r="C34" s="5" t="n">
        <v>539</v>
      </c>
      <c r="D34" s="5" t="n">
        <v>0</v>
      </c>
      <c r="E34" s="5" t="n">
        <v>0</v>
      </c>
      <c r="F34" s="5" t="n">
        <v>1</v>
      </c>
      <c r="G34" s="5">
        <f>ROUND((D34+E34+F34)*$B$2,0)</f>
        <v/>
      </c>
      <c r="H34" s="5" t="n">
        <v>269</v>
      </c>
      <c r="I34" s="5">
        <f>G34*H34</f>
        <v/>
      </c>
      <c r="J34" s="5">
        <f>MAX(0,G34-C34)</f>
        <v/>
      </c>
      <c r="K34" s="14" t="inlineStr">
        <is>
          <t>Рабочий</t>
        </is>
      </c>
    </row>
    <row r="35">
      <c r="A35" s="14" t="inlineStr">
        <is>
          <t>ENOUGH Collagen whitening cover tip concealer #03 [9g]/ Консилер для лица (основаная карточка)</t>
        </is>
      </c>
      <c r="B35" s="14" t="n">
        <v>212889028</v>
      </c>
      <c r="C35" s="5" t="n">
        <v>694</v>
      </c>
      <c r="D35" s="5" t="n">
        <v>0</v>
      </c>
      <c r="E35" s="5" t="n">
        <v>0</v>
      </c>
      <c r="F35" s="5" t="n">
        <v>1</v>
      </c>
      <c r="G35" s="5">
        <f>ROUND((D35+E35+F35)*$B$2,0)</f>
        <v/>
      </c>
      <c r="H35" s="5" t="n">
        <v>252</v>
      </c>
      <c r="I35" s="5">
        <f>G35*H35</f>
        <v/>
      </c>
      <c r="J35" s="5">
        <f>MAX(0,G35-C35)</f>
        <v/>
      </c>
      <c r="K35" s="14" t="inlineStr">
        <is>
          <t>Рабочий</t>
        </is>
      </c>
    </row>
    <row r="36">
      <c r="A36" s="15" t="inlineStr">
        <is>
          <t>ИТОГО ENOUGH</t>
        </is>
      </c>
      <c r="B36" s="16" t="n"/>
      <c r="C36" s="17">
        <f>SUM(C21:C35)</f>
        <v/>
      </c>
      <c r="D36" s="17">
        <f>SUM(D21:D35)</f>
        <v/>
      </c>
      <c r="E36" s="17">
        <f>SUM(E21:E35)</f>
        <v/>
      </c>
      <c r="F36" s="17">
        <f>SUM(F21:F35)</f>
        <v/>
      </c>
      <c r="G36" s="17">
        <f>SUM(G21:G35)</f>
        <v/>
      </c>
      <c r="H36" s="16" t="n"/>
      <c r="I36" s="17">
        <f>SUM(I21:I35)</f>
        <v/>
      </c>
      <c r="J36" s="17">
        <f>SUM(J21:J35)</f>
        <v/>
      </c>
      <c r="K36" s="16" t="n"/>
    </row>
    <row r="37">
      <c r="A37" s="12" t="inlineStr">
        <is>
          <t>Косметика/ETUDEHOUSE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8" t="inlineStr">
        <is>
          <t>ETUDE - Baking Powder Crunch Pore Scrub [200ml] / Очищающий скраб для лица с содой</t>
        </is>
      </c>
      <c r="B38" s="18" t="n">
        <v>151313163</v>
      </c>
      <c r="C38" s="19" t="n">
        <v>7182</v>
      </c>
      <c r="D38" s="19" t="n">
        <v>727</v>
      </c>
      <c r="E38" s="19" t="n">
        <v>1364</v>
      </c>
      <c r="F38" s="19" t="n">
        <v>1049</v>
      </c>
      <c r="G38" s="19">
        <f>ROUND((D38+E38+F38)*$B$2,0)</f>
        <v/>
      </c>
      <c r="H38" s="19" t="n">
        <v>211</v>
      </c>
      <c r="I38" s="5">
        <f>G38*H38</f>
        <v/>
      </c>
      <c r="J38" s="5">
        <f>MAX(0,G38-C38)</f>
        <v/>
      </c>
      <c r="K38" s="14" t="inlineStr">
        <is>
          <t>★ Драйвер сезона</t>
        </is>
      </c>
    </row>
    <row r="39">
      <c r="A39" s="14" t="inlineStr">
        <is>
          <t>ETUDE - Baking Powder Crunch Pore Scrub [24*7ml] / Очищающий скраб для лица с содой</t>
        </is>
      </c>
      <c r="B39" s="14" t="n">
        <v>154160085</v>
      </c>
      <c r="C39" s="5" t="n">
        <v>2</v>
      </c>
      <c r="D39" s="5" t="n">
        <v>62</v>
      </c>
      <c r="E39" s="5" t="n">
        <v>68</v>
      </c>
      <c r="F39" s="5" t="n">
        <v>63</v>
      </c>
      <c r="G39" s="5">
        <f>ROUND((D39+E39+F39)*$B$2,0)</f>
        <v/>
      </c>
      <c r="H39" s="5" t="n">
        <v>117</v>
      </c>
      <c r="I39" s="5">
        <f>G39*H39</f>
        <v/>
      </c>
      <c r="J39" s="20">
        <f>MAX(0,G39-C39)</f>
        <v/>
      </c>
      <c r="K39" s="14" t="inlineStr">
        <is>
          <t>ЗАКУПИТЬ — дефицит</t>
        </is>
      </c>
    </row>
    <row r="40">
      <c r="A40" s="14" t="inlineStr">
        <is>
          <t>ETUDE - Baking Powder BB Deep Cleansing Foam [160ml] / Пенка с содой для глубокого очищения и снятия макияжа</t>
        </is>
      </c>
      <c r="B40" s="14" t="n">
        <v>307073881</v>
      </c>
      <c r="C40" s="5" t="n">
        <v>64</v>
      </c>
      <c r="D40" s="5" t="n">
        <v>28</v>
      </c>
      <c r="E40" s="5" t="n">
        <v>48</v>
      </c>
      <c r="F40" s="5" t="n">
        <v>67</v>
      </c>
      <c r="G40" s="5">
        <f>ROUND((D40+E40+F40)*$B$2,0)</f>
        <v/>
      </c>
      <c r="H40" s="5" t="n">
        <v>146</v>
      </c>
      <c r="I40" s="5">
        <f>G40*H40</f>
        <v/>
      </c>
      <c r="J40" s="20">
        <f>MAX(0,G40-C40)</f>
        <v/>
      </c>
      <c r="K40" s="14" t="inlineStr">
        <is>
          <t>ЗАКУПИТЬ — дефицит</t>
        </is>
      </c>
    </row>
    <row r="41">
      <c r="A41" s="15" t="inlineStr">
        <is>
          <t>ИТОГО ETUDEHOUSE</t>
        </is>
      </c>
      <c r="B41" s="16" t="n"/>
      <c r="C41" s="17">
        <f>SUM(C38:C40)</f>
        <v/>
      </c>
      <c r="D41" s="17">
        <f>SUM(D38:D40)</f>
        <v/>
      </c>
      <c r="E41" s="17">
        <f>SUM(E38:E40)</f>
        <v/>
      </c>
      <c r="F41" s="17">
        <f>SUM(F38:F40)</f>
        <v/>
      </c>
      <c r="G41" s="17">
        <f>SUM(G38:G40)</f>
        <v/>
      </c>
      <c r="H41" s="16" t="n"/>
      <c r="I41" s="17">
        <f>SUM(I38:I40)</f>
        <v/>
      </c>
      <c r="J41" s="17">
        <f>SUM(J38:J40)</f>
        <v/>
      </c>
      <c r="K41" s="16" t="n"/>
    </row>
    <row r="42">
      <c r="A42" s="12" t="inlineStr">
        <is>
          <t>Косметика/FARMSTAY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8" t="inlineStr">
        <is>
          <t>FARMSTAY - Collagen &amp; Hyaluronic Acid All-In One Ampoule [250ml] / Сыворотка с коллагеном и гиалуроновой кислотой</t>
        </is>
      </c>
      <c r="B43" s="18" t="n">
        <v>168956391</v>
      </c>
      <c r="C43" s="19" t="n">
        <v>6067</v>
      </c>
      <c r="D43" s="19" t="n">
        <v>1807</v>
      </c>
      <c r="E43" s="19" t="n">
        <v>1905</v>
      </c>
      <c r="F43" s="19" t="n">
        <v>1691</v>
      </c>
      <c r="G43" s="19">
        <f>ROUND((D43+E43+F43)*$B$2,0)</f>
        <v/>
      </c>
      <c r="H43" s="19" t="n">
        <v>208</v>
      </c>
      <c r="I43" s="5">
        <f>G43*H43</f>
        <v/>
      </c>
      <c r="J43" s="5">
        <f>MAX(0,G43-C43)</f>
        <v/>
      </c>
      <c r="K43" s="14" t="inlineStr">
        <is>
          <t>★ Драйвер сезона</t>
        </is>
      </c>
    </row>
    <row r="44">
      <c r="A44" s="18" t="inlineStr">
        <is>
          <t>FARMSTAY - Black Garlic Nourishing Shampoo [530ml] / Шампунь-кондиционер 2в1 с экстрактом черного чеснока</t>
        </is>
      </c>
      <c r="B44" s="18" t="n">
        <v>207472742</v>
      </c>
      <c r="C44" s="19" t="n">
        <v>3200</v>
      </c>
      <c r="D44" s="19" t="n">
        <v>1125</v>
      </c>
      <c r="E44" s="19" t="n">
        <v>375</v>
      </c>
      <c r="F44" s="19" t="n">
        <v>1046</v>
      </c>
      <c r="G44" s="19">
        <f>ROUND((D44+E44+F44)*$B$2,0)</f>
        <v/>
      </c>
      <c r="H44" s="19" t="n">
        <v>175</v>
      </c>
      <c r="I44" s="5">
        <f>G44*H44</f>
        <v/>
      </c>
      <c r="J44" s="5">
        <f>MAX(0,G44-C44)</f>
        <v/>
      </c>
      <c r="K44" s="14" t="inlineStr">
        <is>
          <t>★ Драйвер сезона</t>
        </is>
      </c>
    </row>
    <row r="45">
      <c r="A45" s="18" t="inlineStr">
        <is>
          <t>FARMSTAY - Escargot Noblesse Intensive Cream [50g] / Крем с муцином королевской улитки</t>
        </is>
      </c>
      <c r="B45" s="18" t="n">
        <v>169076150</v>
      </c>
      <c r="C45" s="19" t="n">
        <v>835</v>
      </c>
      <c r="D45" s="19" t="n">
        <v>474</v>
      </c>
      <c r="E45" s="19" t="n">
        <v>1048</v>
      </c>
      <c r="F45" s="19" t="n">
        <v>1714</v>
      </c>
      <c r="G45" s="19">
        <f>ROUND((D45+E45+F45)*$B$2,0)</f>
        <v/>
      </c>
      <c r="H45" s="19" t="n">
        <v>133</v>
      </c>
      <c r="I45" s="5">
        <f>G45*H45</f>
        <v/>
      </c>
      <c r="J45" s="20">
        <f>MAX(0,G45-C45)</f>
        <v/>
      </c>
      <c r="K45" s="14" t="inlineStr">
        <is>
          <t>ЗАКУПИТЬ — дефицит</t>
        </is>
      </c>
    </row>
    <row r="46">
      <c r="A46" s="18" t="inlineStr">
        <is>
          <t>FARMSTAY - Gold Snail Premium Cream [50ml] / Омолаживающий крем с муцином улитки и коллоидным золотом</t>
        </is>
      </c>
      <c r="B46" s="18" t="n">
        <v>207469760</v>
      </c>
      <c r="C46" s="19" t="n">
        <v>852</v>
      </c>
      <c r="D46" s="19" t="n">
        <v>460</v>
      </c>
      <c r="E46" s="19" t="n">
        <v>1065</v>
      </c>
      <c r="F46" s="19" t="n">
        <v>1532</v>
      </c>
      <c r="G46" s="19">
        <f>ROUND((D46+E46+F46)*$B$2,0)</f>
        <v/>
      </c>
      <c r="H46" s="19" t="n">
        <v>396</v>
      </c>
      <c r="I46" s="5">
        <f>G46*H46</f>
        <v/>
      </c>
      <c r="J46" s="20">
        <f>MAX(0,G46-C46)</f>
        <v/>
      </c>
      <c r="K46" s="14" t="inlineStr">
        <is>
          <t>ЗАКУПИТЬ — дефицит</t>
        </is>
      </c>
    </row>
    <row r="47">
      <c r="A47" s="18" t="inlineStr">
        <is>
          <t>FARMSTAY ESCARGOT NOBLESSE INTENSIVE AMPOULE/ сыворотка с улиткой</t>
        </is>
      </c>
      <c r="B47" s="18" t="n">
        <v>419630142</v>
      </c>
      <c r="C47" s="19" t="n">
        <v>821</v>
      </c>
      <c r="D47" s="19" t="n">
        <v>158</v>
      </c>
      <c r="E47" s="19" t="n">
        <v>368</v>
      </c>
      <c r="F47" s="19" t="n">
        <v>357</v>
      </c>
      <c r="G47" s="19">
        <f>ROUND((D47+E47+F47)*$B$2,0)</f>
        <v/>
      </c>
      <c r="H47" s="19" t="n">
        <v>117</v>
      </c>
      <c r="I47" s="5">
        <f>G47*H47</f>
        <v/>
      </c>
      <c r="J47" s="20">
        <f>MAX(0,G47-C47)</f>
        <v/>
      </c>
      <c r="K47" s="14" t="inlineStr">
        <is>
          <t>ЗАКУПИТЬ — дефицит</t>
        </is>
      </c>
    </row>
    <row r="48">
      <c r="A48" s="14" t="inlineStr">
        <is>
          <t>FARMSTAY - Collagen Water Full Shampoo &amp; Conditioner [530ml] / Шампунь-кондиционер 2в1 с коллагеном</t>
        </is>
      </c>
      <c r="B48" s="14" t="n">
        <v>207475898</v>
      </c>
      <c r="C48" s="5" t="n">
        <v>3374</v>
      </c>
      <c r="D48" s="5" t="n">
        <v>134</v>
      </c>
      <c r="E48" s="5" t="n">
        <v>240</v>
      </c>
      <c r="F48" s="5" t="n">
        <v>130</v>
      </c>
      <c r="G48" s="5">
        <f>ROUND((D48+E48+F48)*$B$2,0)</f>
        <v/>
      </c>
      <c r="H48" s="5" t="n">
        <v>179</v>
      </c>
      <c r="I48" s="5">
        <f>G48*H48</f>
        <v/>
      </c>
      <c r="J48" s="5">
        <f>MAX(0,G48-C48)</f>
        <v/>
      </c>
      <c r="K48" s="14" t="inlineStr">
        <is>
          <t>Рабочий</t>
        </is>
      </c>
    </row>
    <row r="49">
      <c r="A49" s="14" t="inlineStr">
        <is>
          <t>FARMSTAY - Collagen Water Full Moist Rolling Eye Serum [25ml] / Сыворотка роллер для глаз</t>
        </is>
      </c>
      <c r="B49" s="14" t="n">
        <v>212885914</v>
      </c>
      <c r="C49" s="5" t="n">
        <v>156</v>
      </c>
      <c r="D49" s="5" t="n">
        <v>124</v>
      </c>
      <c r="E49" s="5" t="n">
        <v>158</v>
      </c>
      <c r="F49" s="5" t="n">
        <v>172</v>
      </c>
      <c r="G49" s="5">
        <f>ROUND((D49+E49+F49)*$B$2,0)</f>
        <v/>
      </c>
      <c r="H49" s="5" t="n">
        <v>151</v>
      </c>
      <c r="I49" s="5">
        <f>G49*H49</f>
        <v/>
      </c>
      <c r="J49" s="20">
        <f>MAX(0,G49-C49)</f>
        <v/>
      </c>
      <c r="K49" s="14" t="inlineStr">
        <is>
          <t>ЗАКУПИТЬ — дефицит</t>
        </is>
      </c>
    </row>
    <row r="50">
      <c r="A50" s="14" t="inlineStr">
        <is>
          <t>FARMSTAY - Argan Oil Complete Volume Up Shampoo &amp; Conditioner [530ml] / Шампунь-кондиционер с аргановым маслом</t>
        </is>
      </c>
      <c r="B50" s="14" t="n">
        <v>207476309</v>
      </c>
      <c r="C50" s="5" t="n">
        <v>2298</v>
      </c>
      <c r="D50" s="5" t="n">
        <v>85</v>
      </c>
      <c r="E50" s="5" t="n">
        <v>232</v>
      </c>
      <c r="F50" s="5" t="n">
        <v>217</v>
      </c>
      <c r="G50" s="5">
        <f>ROUND((D50+E50+F50)*$B$2,0)</f>
        <v/>
      </c>
      <c r="H50" s="5" t="n">
        <v>172</v>
      </c>
      <c r="I50" s="5">
        <f>G50*H50</f>
        <v/>
      </c>
      <c r="J50" s="5">
        <f>MAX(0,G50-C50)</f>
        <v/>
      </c>
      <c r="K50" s="14" t="inlineStr">
        <is>
          <t>Рабочий</t>
        </is>
      </c>
    </row>
    <row r="51">
      <c r="A51" s="14" t="inlineStr">
        <is>
          <t>FARMSTAY - Collagen Water Full Moist Cream [100g] / Увлажняющий крем с коллагеном</t>
        </is>
      </c>
      <c r="B51" s="14" t="n">
        <v>207477077</v>
      </c>
      <c r="C51" s="5" t="n">
        <v>239</v>
      </c>
      <c r="D51" s="5" t="n">
        <v>64</v>
      </c>
      <c r="E51" s="5" t="n">
        <v>90</v>
      </c>
      <c r="F51" s="5" t="n">
        <v>114</v>
      </c>
      <c r="G51" s="5">
        <f>ROUND((D51+E51+F51)*$B$2,0)</f>
        <v/>
      </c>
      <c r="H51" s="5" t="n">
        <v>271</v>
      </c>
      <c r="I51" s="5">
        <f>G51*H51</f>
        <v/>
      </c>
      <c r="J51" s="20">
        <f>MAX(0,G51-C51)</f>
        <v/>
      </c>
      <c r="K51" s="14" t="inlineStr">
        <is>
          <t>ЗАКУПИТЬ — дефицит</t>
        </is>
      </c>
    </row>
    <row r="52">
      <c r="A52" s="14" t="inlineStr">
        <is>
          <t>FARMSTAY - Collagen Pure Cleansing Foam [180ml]/Пенка для умывания</t>
        </is>
      </c>
      <c r="B52" s="14" t="n">
        <v>207476777</v>
      </c>
      <c r="C52" s="5" t="n">
        <v>382</v>
      </c>
      <c r="D52" s="5" t="n">
        <v>33</v>
      </c>
      <c r="E52" s="5" t="n">
        <v>41</v>
      </c>
      <c r="F52" s="5" t="n">
        <v>27</v>
      </c>
      <c r="G52" s="5">
        <f>ROUND((D52+E52+F52)*$B$2,0)</f>
        <v/>
      </c>
      <c r="H52" s="5" t="n">
        <v>152</v>
      </c>
      <c r="I52" s="5">
        <f>G52*H52</f>
        <v/>
      </c>
      <c r="J52" s="5">
        <f>MAX(0,G52-C52)</f>
        <v/>
      </c>
      <c r="K52" s="14" t="inlineStr">
        <is>
          <t>Рабочий</t>
        </is>
      </c>
    </row>
    <row r="53">
      <c r="A53" s="15" t="inlineStr">
        <is>
          <t>ИТОГО FARMSTAY</t>
        </is>
      </c>
      <c r="B53" s="16" t="n"/>
      <c r="C53" s="17">
        <f>SUM(C43:C52)</f>
        <v/>
      </c>
      <c r="D53" s="17">
        <f>SUM(D43:D52)</f>
        <v/>
      </c>
      <c r="E53" s="17">
        <f>SUM(E43:E52)</f>
        <v/>
      </c>
      <c r="F53" s="17">
        <f>SUM(F43:F52)</f>
        <v/>
      </c>
      <c r="G53" s="17">
        <f>SUM(G43:G52)</f>
        <v/>
      </c>
      <c r="H53" s="16" t="n"/>
      <c r="I53" s="17">
        <f>SUM(I43:I52)</f>
        <v/>
      </c>
      <c r="J53" s="17">
        <f>SUM(J43:J52)</f>
        <v/>
      </c>
      <c r="K53" s="16" t="n"/>
    </row>
    <row r="54">
      <c r="A54" s="12" t="inlineStr">
        <is>
          <t>Косметика/HEIMISH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4" t="inlineStr">
        <is>
          <t>HEIMISH - Artless Glow Base SPF50+ PA+++(Renew) [40ml] / База под макияж SPF50+ PA+++</t>
        </is>
      </c>
      <c r="B55" s="14" t="n">
        <v>207466866</v>
      </c>
      <c r="C55" s="5" t="n">
        <v>930</v>
      </c>
      <c r="D55" s="5" t="n">
        <v>9</v>
      </c>
      <c r="E55" s="5" t="n">
        <v>56</v>
      </c>
      <c r="F55" s="5" t="n">
        <v>286</v>
      </c>
      <c r="G55" s="5">
        <f>ROUND((D55+E55+F55)*$B$2,0)</f>
        <v/>
      </c>
      <c r="H55" s="5" t="n">
        <v>231</v>
      </c>
      <c r="I55" s="5">
        <f>G55*H55</f>
        <v/>
      </c>
      <c r="J55" s="5">
        <f>MAX(0,G55-C55)</f>
        <v/>
      </c>
      <c r="K55" s="14" t="inlineStr">
        <is>
          <t>Рабочий</t>
        </is>
      </c>
    </row>
    <row r="56">
      <c r="A56" s="15" t="inlineStr">
        <is>
          <t>ИТОГО HEIMISH</t>
        </is>
      </c>
      <c r="B56" s="16" t="n"/>
      <c r="C56" s="17">
        <f>SUM(C55:C55)</f>
        <v/>
      </c>
      <c r="D56" s="17">
        <f>SUM(D55:D55)</f>
        <v/>
      </c>
      <c r="E56" s="17">
        <f>SUM(E55:E55)</f>
        <v/>
      </c>
      <c r="F56" s="17">
        <f>SUM(F55:F55)</f>
        <v/>
      </c>
      <c r="G56" s="17">
        <f>SUM(G55:G55)</f>
        <v/>
      </c>
      <c r="H56" s="16" t="n"/>
      <c r="I56" s="17">
        <f>SUM(I55:I55)</f>
        <v/>
      </c>
      <c r="J56" s="17">
        <f>SUM(J55:J55)</f>
        <v/>
      </c>
      <c r="K56" s="16" t="n"/>
    </row>
    <row r="57">
      <c r="A57" s="12" t="inlineStr">
        <is>
          <t>Косметика/JIGOTT/JIGOTT-CREAM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18" t="inlineStr">
        <is>
          <t>JIGOTT - Snail Lifting Cream [70ml] / Крем для лица увлажняющий антивозрастной</t>
        </is>
      </c>
      <c r="B58" s="18" t="n">
        <v>207482718</v>
      </c>
      <c r="C58" s="19" t="n">
        <v>7139</v>
      </c>
      <c r="D58" s="19" t="n">
        <v>681</v>
      </c>
      <c r="E58" s="19" t="n">
        <v>1191</v>
      </c>
      <c r="F58" s="19" t="n">
        <v>1538</v>
      </c>
      <c r="G58" s="19">
        <f>ROUND((D58+E58+F58)*$B$2,0)</f>
        <v/>
      </c>
      <c r="H58" s="19" t="n">
        <v>118</v>
      </c>
      <c r="I58" s="5">
        <f>G58*H58</f>
        <v/>
      </c>
      <c r="J58" s="5">
        <f>MAX(0,G58-C58)</f>
        <v/>
      </c>
      <c r="K58" s="14" t="inlineStr">
        <is>
          <t>★ Драйвер сезона</t>
        </is>
      </c>
    </row>
    <row r="59">
      <c r="A59" s="18" t="inlineStr">
        <is>
          <t>JIGOTT - Snail Reparing Cream [100ml] / Крем для лица увлажняющий антивозрастной с муцином улитки</t>
        </is>
      </c>
      <c r="B59" s="18" t="n">
        <v>207483179</v>
      </c>
      <c r="C59" s="19" t="n">
        <v>777</v>
      </c>
      <c r="D59" s="19" t="n">
        <v>217</v>
      </c>
      <c r="E59" s="19" t="n">
        <v>281</v>
      </c>
      <c r="F59" s="19" t="n">
        <v>662</v>
      </c>
      <c r="G59" s="19">
        <f>ROUND((D59+E59+F59)*$B$2,0)</f>
        <v/>
      </c>
      <c r="H59" s="19" t="n">
        <v>72</v>
      </c>
      <c r="I59" s="5">
        <f>G59*H59</f>
        <v/>
      </c>
      <c r="J59" s="20">
        <f>MAX(0,G59-C59)</f>
        <v/>
      </c>
      <c r="K59" s="14" t="inlineStr">
        <is>
          <t>ЗАКУПИТЬ — дефицит</t>
        </is>
      </c>
    </row>
    <row r="60">
      <c r="A60" s="14" t="inlineStr">
        <is>
          <t>JIGOTT - Birds Nest Firming Cream [70ml] / Антивозрастной крем с экстрактом ласточкиного гнезда</t>
        </is>
      </c>
      <c r="B60" s="14" t="n">
        <v>207483780</v>
      </c>
      <c r="C60" s="5" t="n">
        <v>1598</v>
      </c>
      <c r="D60" s="5" t="n">
        <v>152</v>
      </c>
      <c r="E60" s="5" t="n">
        <v>208</v>
      </c>
      <c r="F60" s="5" t="n">
        <v>392</v>
      </c>
      <c r="G60" s="5">
        <f>ROUND((D60+E60+F60)*$B$2,0)</f>
        <v/>
      </c>
      <c r="H60" s="5" t="n">
        <v>123</v>
      </c>
      <c r="I60" s="5">
        <f>G60*H60</f>
        <v/>
      </c>
      <c r="J60" s="5">
        <f>MAX(0,G60-C60)</f>
        <v/>
      </c>
      <c r="K60" s="14" t="inlineStr">
        <is>
          <t>Рабочий</t>
        </is>
      </c>
    </row>
    <row r="61">
      <c r="A61" s="15" t="inlineStr">
        <is>
          <t>ИТОГО JIGOTT/JIGOTT-CREAM</t>
        </is>
      </c>
      <c r="B61" s="16" t="n"/>
      <c r="C61" s="17">
        <f>SUM(C58:C60)</f>
        <v/>
      </c>
      <c r="D61" s="17">
        <f>SUM(D58:D60)</f>
        <v/>
      </c>
      <c r="E61" s="17">
        <f>SUM(E58:E60)</f>
        <v/>
      </c>
      <c r="F61" s="17">
        <f>SUM(F58:F60)</f>
        <v/>
      </c>
      <c r="G61" s="17">
        <f>SUM(G58:G60)</f>
        <v/>
      </c>
      <c r="H61" s="16" t="n"/>
      <c r="I61" s="17">
        <f>SUM(I58:I60)</f>
        <v/>
      </c>
      <c r="J61" s="17">
        <f>SUM(J58:J60)</f>
        <v/>
      </c>
      <c r="K61" s="16" t="n"/>
    </row>
    <row r="62">
      <c r="A62" s="12" t="inlineStr">
        <is>
          <t>Косметика/JIGOTT/JIGOTT-MASK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8" t="inlineStr">
        <is>
          <t>JIGOTT - Ассорти набор масок [27ml х 15]</t>
        </is>
      </c>
      <c r="B63" s="18" t="n">
        <v>255574453</v>
      </c>
      <c r="C63" s="19" t="n">
        <v>1302</v>
      </c>
      <c r="D63" s="19" t="n">
        <v>240</v>
      </c>
      <c r="E63" s="19" t="n">
        <v>343</v>
      </c>
      <c r="F63" s="19" t="n">
        <v>589</v>
      </c>
      <c r="G63" s="19">
        <f>ROUND((D63+E63+F63)*$B$2,0)</f>
        <v/>
      </c>
      <c r="H63" s="19" t="n">
        <v>154</v>
      </c>
      <c r="I63" s="5">
        <f>G63*H63</f>
        <v/>
      </c>
      <c r="J63" s="5">
        <f>MAX(0,G63-C63)</f>
        <v/>
      </c>
      <c r="K63" s="14" t="inlineStr">
        <is>
          <t>★ Драйвер сезона</t>
        </is>
      </c>
    </row>
    <row r="64">
      <c r="A64" s="15" t="inlineStr">
        <is>
          <t>ИТОГО JIGOTT/JIGOTT-MASK</t>
        </is>
      </c>
      <c r="B64" s="16" t="n"/>
      <c r="C64" s="17">
        <f>SUM(C63:C63)</f>
        <v/>
      </c>
      <c r="D64" s="17">
        <f>SUM(D63:D63)</f>
        <v/>
      </c>
      <c r="E64" s="17">
        <f>SUM(E63:E63)</f>
        <v/>
      </c>
      <c r="F64" s="17">
        <f>SUM(F63:F63)</f>
        <v/>
      </c>
      <c r="G64" s="17">
        <f>SUM(G63:G63)</f>
        <v/>
      </c>
      <c r="H64" s="16" t="n"/>
      <c r="I64" s="17">
        <f>SUM(I63:I63)</f>
        <v/>
      </c>
      <c r="J64" s="17">
        <f>SUM(J63:J63)</f>
        <v/>
      </c>
      <c r="K64" s="16" t="n"/>
    </row>
    <row r="65">
      <c r="A65" s="12" t="inlineStr">
        <is>
          <t>Косметика/JIGOTT/JIGOTT-TONER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>
      <c r="A66" s="18" t="inlineStr">
        <is>
          <t>JIGOTT - Ultimate Real Collagen Toner [300ml] / тонер с коллагеном антивозрастной</t>
        </is>
      </c>
      <c r="B66" s="18" t="n">
        <v>212760119</v>
      </c>
      <c r="C66" s="19" t="n">
        <v>1134</v>
      </c>
      <c r="D66" s="19" t="n">
        <v>405</v>
      </c>
      <c r="E66" s="19" t="n">
        <v>509</v>
      </c>
      <c r="F66" s="19" t="n">
        <v>317</v>
      </c>
      <c r="G66" s="19">
        <f>ROUND((D66+E66+F66)*$B$2,0)</f>
        <v/>
      </c>
      <c r="H66" s="19" t="n">
        <v>157</v>
      </c>
      <c r="I66" s="5">
        <f>G66*H66</f>
        <v/>
      </c>
      <c r="J66" s="20">
        <f>MAX(0,G66-C66)</f>
        <v/>
      </c>
      <c r="K66" s="14" t="inlineStr">
        <is>
          <t>ЗАКУПИТЬ — дефицит</t>
        </is>
      </c>
    </row>
    <row r="67">
      <c r="A67" s="18" t="inlineStr">
        <is>
          <t>JIGOTT - Daily Real Cica Toner [300ml] / Тонер для лица с центеллой азиатской</t>
        </is>
      </c>
      <c r="B67" s="18" t="n">
        <v>212757456</v>
      </c>
      <c r="C67" s="19" t="n">
        <v>1185</v>
      </c>
      <c r="D67" s="19" t="n">
        <v>280</v>
      </c>
      <c r="E67" s="19" t="n">
        <v>511</v>
      </c>
      <c r="F67" s="19" t="n">
        <v>393</v>
      </c>
      <c r="G67" s="19">
        <f>ROUND((D67+E67+F67)*$B$2,0)</f>
        <v/>
      </c>
      <c r="H67" s="19" t="n">
        <v>112</v>
      </c>
      <c r="I67" s="5">
        <f>G67*H67</f>
        <v/>
      </c>
      <c r="J67" s="5">
        <f>MAX(0,G67-C67)</f>
        <v/>
      </c>
      <c r="K67" s="14" t="inlineStr">
        <is>
          <t>★ Драйвер сезона</t>
        </is>
      </c>
    </row>
    <row r="68">
      <c r="A68" s="14" t="inlineStr">
        <is>
          <t>JIGOTT - Moisture Real Aloe Vera Toner [300ml] / Тонер для лица увлажняющий с экстрактом алоэ</t>
        </is>
      </c>
      <c r="B68" s="14" t="n">
        <v>212759698</v>
      </c>
      <c r="C68" s="5" t="n">
        <v>202</v>
      </c>
      <c r="D68" s="5" t="n">
        <v>128</v>
      </c>
      <c r="E68" s="5" t="n">
        <v>134</v>
      </c>
      <c r="F68" s="5" t="n">
        <v>155</v>
      </c>
      <c r="G68" s="5">
        <f>ROUND((D68+E68+F68)*$B$2,0)</f>
        <v/>
      </c>
      <c r="H68" s="5" t="n">
        <v>94</v>
      </c>
      <c r="I68" s="5">
        <f>G68*H68</f>
        <v/>
      </c>
      <c r="J68" s="20">
        <f>MAX(0,G68-C68)</f>
        <v/>
      </c>
      <c r="K68" s="14" t="inlineStr">
        <is>
          <t>ЗАКУПИТЬ — дефицит</t>
        </is>
      </c>
    </row>
    <row r="69">
      <c r="A69" s="14" t="inlineStr">
        <is>
          <t>JIGOTT - Aura Secret Hyaluronec Acid Toner [300ml] / Тонер с гиалуроновой кислотой антивозрастной</t>
        </is>
      </c>
      <c r="B69" s="14" t="n">
        <v>212883090</v>
      </c>
      <c r="C69" s="5" t="n">
        <v>222</v>
      </c>
      <c r="D69" s="5" t="n">
        <v>112</v>
      </c>
      <c r="E69" s="5" t="n">
        <v>176</v>
      </c>
      <c r="F69" s="5" t="n">
        <v>110</v>
      </c>
      <c r="G69" s="5">
        <f>ROUND((D69+E69+F69)*$B$2,0)</f>
        <v/>
      </c>
      <c r="H69" s="5" t="n">
        <v>165</v>
      </c>
      <c r="I69" s="5">
        <f>G69*H69</f>
        <v/>
      </c>
      <c r="J69" s="20">
        <f>MAX(0,G69-C69)</f>
        <v/>
      </c>
      <c r="K69" s="14" t="inlineStr">
        <is>
          <t>ЗАКУПИТЬ — дефицит</t>
        </is>
      </c>
    </row>
    <row r="70">
      <c r="A70" s="15" t="inlineStr">
        <is>
          <t>ИТОГО JIGOTT/JIGOTT-TONER</t>
        </is>
      </c>
      <c r="B70" s="16" t="n"/>
      <c r="C70" s="17">
        <f>SUM(C66:C69)</f>
        <v/>
      </c>
      <c r="D70" s="17">
        <f>SUM(D66:D69)</f>
        <v/>
      </c>
      <c r="E70" s="17">
        <f>SUM(E66:E69)</f>
        <v/>
      </c>
      <c r="F70" s="17">
        <f>SUM(F66:F69)</f>
        <v/>
      </c>
      <c r="G70" s="17">
        <f>SUM(G66:G69)</f>
        <v/>
      </c>
      <c r="H70" s="16" t="n"/>
      <c r="I70" s="17">
        <f>SUM(I66:I69)</f>
        <v/>
      </c>
      <c r="J70" s="17">
        <f>SUM(J66:J69)</f>
        <v/>
      </c>
      <c r="K70" s="16" t="n"/>
    </row>
    <row r="71">
      <c r="A71" s="12" t="inlineStr">
        <is>
          <t>Косметика/JMSOLUTION/JM-MASKPACKBLACK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14" t="inlineStr">
        <is>
          <t>JMSOLUTION - MASK PACK BLACK [30ml*10ea] - ассорти набор 10шт в упаковке</t>
        </is>
      </c>
      <c r="B72" s="14" t="n">
        <v>214977901</v>
      </c>
      <c r="C72" s="5" t="n">
        <v>980</v>
      </c>
      <c r="D72" s="5" t="n">
        <v>164</v>
      </c>
      <c r="E72" s="5" t="n">
        <v>181</v>
      </c>
      <c r="F72" s="5" t="n">
        <v>54</v>
      </c>
      <c r="G72" s="5">
        <f>ROUND((D72+E72+F72)*$B$2,0)</f>
        <v/>
      </c>
      <c r="H72" s="5" t="n">
        <v>175</v>
      </c>
      <c r="I72" s="5">
        <f>G72*H72</f>
        <v/>
      </c>
      <c r="J72" s="5">
        <f>MAX(0,G72-C72)</f>
        <v/>
      </c>
      <c r="K72" s="14" t="inlineStr">
        <is>
          <t>Рабочий</t>
        </is>
      </c>
    </row>
    <row r="73">
      <c r="A73" s="15" t="inlineStr">
        <is>
          <t>ИТОГО JMSOLUTION/JM-MASKPACKBLACK</t>
        </is>
      </c>
      <c r="B73" s="16" t="n"/>
      <c r="C73" s="17">
        <f>SUM(C72:C72)</f>
        <v/>
      </c>
      <c r="D73" s="17">
        <f>SUM(D72:D72)</f>
        <v/>
      </c>
      <c r="E73" s="17">
        <f>SUM(E72:E72)</f>
        <v/>
      </c>
      <c r="F73" s="17">
        <f>SUM(F72:F72)</f>
        <v/>
      </c>
      <c r="G73" s="17">
        <f>SUM(G72:G72)</f>
        <v/>
      </c>
      <c r="H73" s="16" t="n"/>
      <c r="I73" s="17">
        <f>SUM(I72:I72)</f>
        <v/>
      </c>
      <c r="J73" s="17">
        <f>SUM(J72:J72)</f>
        <v/>
      </c>
      <c r="K73" s="16" t="n"/>
    </row>
    <row r="74">
      <c r="A74" s="12" t="inlineStr">
        <is>
          <t>Косметика/JMSOLUTION/JM-MASKPACKDISNEY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21" t="inlineStr">
        <is>
          <t>JMSOLUTION - MASK PACK DISNEY [30ml*10ea] - ассорти набор из 10шт</t>
        </is>
      </c>
      <c r="B75" s="21" t="n">
        <v>214964091</v>
      </c>
      <c r="C75" s="22" t="n">
        <v>832</v>
      </c>
      <c r="D75" s="22" t="n">
        <v>0</v>
      </c>
      <c r="E75" s="22" t="n">
        <v>0</v>
      </c>
      <c r="F75" s="22" t="n">
        <v>0</v>
      </c>
      <c r="G75" s="22">
        <f>ROUND((D75+E75+F75)*$B$2,0)</f>
        <v/>
      </c>
      <c r="H75" s="22" t="n">
        <v>318</v>
      </c>
      <c r="I75" s="22">
        <f>G75*H75</f>
        <v/>
      </c>
      <c r="J75" s="22">
        <f>MAX(0,G75-C75)</f>
        <v/>
      </c>
      <c r="K75" s="21" t="inlineStr">
        <is>
          <t>Нет истории</t>
        </is>
      </c>
    </row>
    <row r="76">
      <c r="A76" s="15" t="inlineStr">
        <is>
          <t>ИТОГО JMSOLUTION/JM-MASKPACKDISNEY</t>
        </is>
      </c>
      <c r="B76" s="16" t="n"/>
      <c r="C76" s="17">
        <f>SUM(C75:C75)</f>
        <v/>
      </c>
      <c r="D76" s="17">
        <f>SUM(D75:D75)</f>
        <v/>
      </c>
      <c r="E76" s="17">
        <f>SUM(E75:E75)</f>
        <v/>
      </c>
      <c r="F76" s="17">
        <f>SUM(F75:F75)</f>
        <v/>
      </c>
      <c r="G76" s="17">
        <f>SUM(G75:G75)</f>
        <v/>
      </c>
      <c r="H76" s="16" t="n"/>
      <c r="I76" s="17">
        <f>SUM(I75:I75)</f>
        <v/>
      </c>
      <c r="J76" s="17">
        <f>SUM(J75:J75)</f>
        <v/>
      </c>
      <c r="K76" s="16" t="n"/>
    </row>
    <row r="77">
      <c r="A77" s="12" t="inlineStr">
        <is>
          <t>Косметика/LEBELAGE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>
      <c r="A78" s="14" t="inlineStr">
        <is>
          <t>LEBELAGE - Dr. Peptide Derma Eye Cream [40ml] / Крем для глаз антивозрастной с пептидами</t>
        </is>
      </c>
      <c r="B78" s="14" t="n">
        <v>210575566</v>
      </c>
      <c r="C78" s="5" t="n">
        <v>353</v>
      </c>
      <c r="D78" s="5" t="n">
        <v>15</v>
      </c>
      <c r="E78" s="5" t="n">
        <v>30</v>
      </c>
      <c r="F78" s="5" t="n">
        <v>31</v>
      </c>
      <c r="G78" s="5">
        <f>ROUND((D78+E78+F78)*$B$2,0)</f>
        <v/>
      </c>
      <c r="H78" s="5" t="n">
        <v>155</v>
      </c>
      <c r="I78" s="5">
        <f>G78*H78</f>
        <v/>
      </c>
      <c r="J78" s="5">
        <f>MAX(0,G78-C78)</f>
        <v/>
      </c>
      <c r="K78" s="14" t="inlineStr">
        <is>
          <t>Рабочий</t>
        </is>
      </c>
    </row>
    <row r="79">
      <c r="A79" s="15" t="inlineStr">
        <is>
          <t>ИТОГО LEBELAGE</t>
        </is>
      </c>
      <c r="B79" s="16" t="n"/>
      <c r="C79" s="17">
        <f>SUM(C78:C78)</f>
        <v/>
      </c>
      <c r="D79" s="17">
        <f>SUM(D78:D78)</f>
        <v/>
      </c>
      <c r="E79" s="17">
        <f>SUM(E78:E78)</f>
        <v/>
      </c>
      <c r="F79" s="17">
        <f>SUM(F78:F78)</f>
        <v/>
      </c>
      <c r="G79" s="17">
        <f>SUM(G78:G78)</f>
        <v/>
      </c>
      <c r="H79" s="16" t="n"/>
      <c r="I79" s="17">
        <f>SUM(I78:I78)</f>
        <v/>
      </c>
      <c r="J79" s="17">
        <f>SUM(J78:J78)</f>
        <v/>
      </c>
      <c r="K79" s="16" t="n"/>
    </row>
    <row r="80">
      <c r="A80" s="12" t="inlineStr">
        <is>
          <t>Косметика/LANEIGE</t>
        </is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s="21" t="inlineStr">
        <is>
          <t>LANEIGE LIP SLEEPING MASK-BERRY [3g]</t>
        </is>
      </c>
      <c r="B81" s="21" t="n">
        <v>868761530</v>
      </c>
      <c r="C81" s="22" t="n">
        <v>226</v>
      </c>
      <c r="D81" s="22" t="n">
        <v>0</v>
      </c>
      <c r="E81" s="22" t="n">
        <v>0</v>
      </c>
      <c r="F81" s="22" t="n">
        <v>0</v>
      </c>
      <c r="G81" s="22">
        <f>ROUND((D81+E81+F81)*$B$2,0)</f>
        <v/>
      </c>
      <c r="H81" s="22" t="n">
        <v>139</v>
      </c>
      <c r="I81" s="22">
        <f>G81*H81</f>
        <v/>
      </c>
      <c r="J81" s="22">
        <f>MAX(0,G81-C81)</f>
        <v/>
      </c>
      <c r="K81" s="21" t="inlineStr">
        <is>
          <t>Нет истории</t>
        </is>
      </c>
    </row>
    <row r="82">
      <c r="A82" s="15" t="inlineStr">
        <is>
          <t>ИТОГО LANEIGE</t>
        </is>
      </c>
      <c r="B82" s="16" t="n"/>
      <c r="C82" s="17">
        <f>SUM(C81:C81)</f>
        <v/>
      </c>
      <c r="D82" s="17">
        <f>SUM(D81:D81)</f>
        <v/>
      </c>
      <c r="E82" s="17">
        <f>SUM(E81:E81)</f>
        <v/>
      </c>
      <c r="F82" s="17">
        <f>SUM(F81:F81)</f>
        <v/>
      </c>
      <c r="G82" s="17">
        <f>SUM(G81:G81)</f>
        <v/>
      </c>
      <c r="H82" s="16" t="n"/>
      <c r="I82" s="17">
        <f>SUM(I81:I81)</f>
        <v/>
      </c>
      <c r="J82" s="17">
        <f>SUM(J81:J81)</f>
        <v/>
      </c>
      <c r="K82" s="16" t="n"/>
    </row>
    <row r="83">
      <c r="A83" s="12" t="inlineStr">
        <is>
          <t>Косметика/MANYO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>
      <c r="A84" s="14" t="inlineStr">
        <is>
          <t>MANYO - Bifida Biome Complex Ampoule [50ml] / Антивозрастная сыворотка для лица</t>
        </is>
      </c>
      <c r="B84" s="14" t="n">
        <v>198147185</v>
      </c>
      <c r="C84" s="5" t="n">
        <v>1246</v>
      </c>
      <c r="D84" s="5" t="n">
        <v>206</v>
      </c>
      <c r="E84" s="5" t="n">
        <v>266</v>
      </c>
      <c r="F84" s="5" t="n">
        <v>71</v>
      </c>
      <c r="G84" s="5">
        <f>ROUND((D84+E84+F84)*$B$2,0)</f>
        <v/>
      </c>
      <c r="H84" s="5" t="n">
        <v>759</v>
      </c>
      <c r="I84" s="5">
        <f>G84*H84</f>
        <v/>
      </c>
      <c r="J84" s="5">
        <f>MAX(0,G84-C84)</f>
        <v/>
      </c>
      <c r="K84" s="14" t="inlineStr">
        <is>
          <t>Рабочий</t>
        </is>
      </c>
    </row>
    <row r="85">
      <c r="A85" s="14" t="inlineStr">
        <is>
          <t>MANYO - Galac Whitening Vita Serum [50ml] / Осветляющая сыворотка с Витамином C</t>
        </is>
      </c>
      <c r="B85" s="14" t="n">
        <v>198156472</v>
      </c>
      <c r="C85" s="5" t="n">
        <v>639</v>
      </c>
      <c r="D85" s="5" t="n">
        <v>179</v>
      </c>
      <c r="E85" s="5" t="n">
        <v>200</v>
      </c>
      <c r="F85" s="5" t="n">
        <v>216</v>
      </c>
      <c r="G85" s="5">
        <f>ROUND((D85+E85+F85)*$B$2,0)</f>
        <v/>
      </c>
      <c r="H85" s="5" t="n">
        <v>444</v>
      </c>
      <c r="I85" s="5">
        <f>G85*H85</f>
        <v/>
      </c>
      <c r="J85" s="5">
        <f>MAX(0,G85-C85)</f>
        <v/>
      </c>
      <c r="K85" s="14" t="inlineStr">
        <is>
          <t>Рабочий</t>
        </is>
      </c>
    </row>
    <row r="86">
      <c r="A86" s="14" t="inlineStr">
        <is>
          <t>MANYO - Bifida Biome Ampoule Lotion [300ml] / Укрепляющий лосьон с бифидобактериями</t>
        </is>
      </c>
      <c r="B86" s="14" t="n">
        <v>198143251</v>
      </c>
      <c r="C86" s="5" t="n">
        <v>490</v>
      </c>
      <c r="D86" s="5" t="n">
        <v>62</v>
      </c>
      <c r="E86" s="5" t="n">
        <v>118</v>
      </c>
      <c r="F86" s="5" t="n">
        <v>175</v>
      </c>
      <c r="G86" s="5">
        <f>ROUND((D86+E86+F86)*$B$2,0)</f>
        <v/>
      </c>
      <c r="H86" s="5" t="n">
        <v>221</v>
      </c>
      <c r="I86" s="5">
        <f>G86*H86</f>
        <v/>
      </c>
      <c r="J86" s="5">
        <f>MAX(0,G86-C86)</f>
        <v/>
      </c>
      <c r="K86" s="14" t="inlineStr">
        <is>
          <t>Рабочий</t>
        </is>
      </c>
    </row>
    <row r="87">
      <c r="A87" s="14" t="inlineStr">
        <is>
          <t>MANYO - Pure Cleansing Oil [200ml] / Гидрофильное масло для глубокого очищения</t>
        </is>
      </c>
      <c r="B87" s="14" t="n">
        <v>198156698</v>
      </c>
      <c r="C87" s="5" t="n">
        <v>151</v>
      </c>
      <c r="D87" s="5" t="n">
        <v>50</v>
      </c>
      <c r="E87" s="5" t="n">
        <v>62</v>
      </c>
      <c r="F87" s="5" t="n">
        <v>111</v>
      </c>
      <c r="G87" s="5">
        <f>ROUND((D87+E87+F87)*$B$2,0)</f>
        <v/>
      </c>
      <c r="H87" s="5" t="n">
        <v>606</v>
      </c>
      <c r="I87" s="5">
        <f>G87*H87</f>
        <v/>
      </c>
      <c r="J87" s="20">
        <f>MAX(0,G87-C87)</f>
        <v/>
      </c>
      <c r="K87" s="14" t="inlineStr">
        <is>
          <t>ЗАКУПИТЬ — дефицит</t>
        </is>
      </c>
    </row>
    <row r="88">
      <c r="A88" s="21" t="inlineStr">
        <is>
          <t>MANYO BIFIDA COMPLEX AMPOULE GEL CLEANSER [400ml] / Гель для умывания с бифидобактериями</t>
        </is>
      </c>
      <c r="B88" s="21" t="n">
        <v>868575374</v>
      </c>
      <c r="C88" s="22" t="n">
        <v>477</v>
      </c>
      <c r="D88" s="22" t="n">
        <v>0</v>
      </c>
      <c r="E88" s="22" t="n">
        <v>0</v>
      </c>
      <c r="F88" s="22" t="n">
        <v>0</v>
      </c>
      <c r="G88" s="22">
        <f>ROUND((D88+E88+F88)*$B$2,0)</f>
        <v/>
      </c>
      <c r="H88" s="22" t="n">
        <v>542</v>
      </c>
      <c r="I88" s="22">
        <f>G88*H88</f>
        <v/>
      </c>
      <c r="J88" s="22">
        <f>MAX(0,G88-C88)</f>
        <v/>
      </c>
      <c r="K88" s="21" t="inlineStr">
        <is>
          <t>Нет истории</t>
        </is>
      </c>
    </row>
    <row r="89">
      <c r="A89" s="21" t="inlineStr">
        <is>
          <t>MANYO BIFIDA INFUSION SHOT AMPOULE 1DX [50ml] / Сыворотка с микроиглами и пробиотиками</t>
        </is>
      </c>
      <c r="B89" s="21" t="n">
        <v>868700077</v>
      </c>
      <c r="C89" s="22" t="n">
        <v>603</v>
      </c>
      <c r="D89" s="22" t="n">
        <v>0</v>
      </c>
      <c r="E89" s="22" t="n">
        <v>0</v>
      </c>
      <c r="F89" s="22" t="n">
        <v>0</v>
      </c>
      <c r="G89" s="22">
        <f>ROUND((D89+E89+F89)*$B$2,0)</f>
        <v/>
      </c>
      <c r="H89" s="22" t="n">
        <v>690</v>
      </c>
      <c r="I89" s="22">
        <f>G89*H89</f>
        <v/>
      </c>
      <c r="J89" s="22">
        <f>MAX(0,G89-C89)</f>
        <v/>
      </c>
      <c r="K89" s="21" t="inlineStr">
        <is>
          <t>Нет истории</t>
        </is>
      </c>
    </row>
    <row r="90">
      <c r="A90" s="15" t="inlineStr">
        <is>
          <t>ИТОГО MANYO</t>
        </is>
      </c>
      <c r="B90" s="16" t="n"/>
      <c r="C90" s="17">
        <f>SUM(C84:C89)</f>
        <v/>
      </c>
      <c r="D90" s="17">
        <f>SUM(D84:D89)</f>
        <v/>
      </c>
      <c r="E90" s="17">
        <f>SUM(E84:E89)</f>
        <v/>
      </c>
      <c r="F90" s="17">
        <f>SUM(F84:F89)</f>
        <v/>
      </c>
      <c r="G90" s="17">
        <f>SUM(G84:G89)</f>
        <v/>
      </c>
      <c r="H90" s="16" t="n"/>
      <c r="I90" s="17">
        <f>SUM(I84:I89)</f>
        <v/>
      </c>
      <c r="J90" s="17">
        <f>SUM(J84:J89)</f>
        <v/>
      </c>
      <c r="K90" s="16" t="n"/>
    </row>
    <row r="91">
      <c r="A91" s="12" t="inlineStr">
        <is>
          <t>Косметика/MASIL</t>
        </is>
      </c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14" t="inlineStr">
        <is>
          <t>MASIL - 8 Seconds Salon Hair Mask 350ml Set [350ml+8ml*2]</t>
        </is>
      </c>
      <c r="B92" s="14" t="n">
        <v>183030830</v>
      </c>
      <c r="C92" s="5" t="n">
        <v>105</v>
      </c>
      <c r="D92" s="5" t="n">
        <v>25</v>
      </c>
      <c r="E92" s="5" t="n">
        <v>10</v>
      </c>
      <c r="F92" s="5" t="n">
        <v>16</v>
      </c>
      <c r="G92" s="5">
        <f>ROUND((D92+E92+F92)*$B$2,0)</f>
        <v/>
      </c>
      <c r="H92" s="5" t="n">
        <v>201</v>
      </c>
      <c r="I92" s="5">
        <f>G92*H92</f>
        <v/>
      </c>
      <c r="J92" s="5">
        <f>MAX(0,G92-C92)</f>
        <v/>
      </c>
      <c r="K92" s="14" t="inlineStr">
        <is>
          <t>Рабочий</t>
        </is>
      </c>
    </row>
    <row r="93">
      <c r="A93" s="15" t="inlineStr">
        <is>
          <t>ИТОГО MASIL</t>
        </is>
      </c>
      <c r="B93" s="16" t="n"/>
      <c r="C93" s="17">
        <f>SUM(C92:C92)</f>
        <v/>
      </c>
      <c r="D93" s="17">
        <f>SUM(D92:D92)</f>
        <v/>
      </c>
      <c r="E93" s="17">
        <f>SUM(E92:E92)</f>
        <v/>
      </c>
      <c r="F93" s="17">
        <f>SUM(F92:F92)</f>
        <v/>
      </c>
      <c r="G93" s="17">
        <f>SUM(G92:G92)</f>
        <v/>
      </c>
      <c r="H93" s="16" t="n"/>
      <c r="I93" s="17">
        <f>SUM(I92:I92)</f>
        <v/>
      </c>
      <c r="J93" s="17">
        <f>SUM(J92:J92)</f>
        <v/>
      </c>
      <c r="K93" s="16" t="n"/>
    </row>
    <row r="94">
      <c r="A94" s="12" t="inlineStr">
        <is>
          <t>Косметика/PETITFEE/PETITFEE-EYEPATCH</t>
        </is>
      </c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>
      <c r="A95" s="18" t="inlineStr">
        <is>
          <t>PETITFEE - Gold &amp; Snail Hydrogel Eye Patch [60ea] / Гидрогелевые патчи для глаз с золотом и улиткой</t>
        </is>
      </c>
      <c r="B95" s="18" t="n">
        <v>179611207</v>
      </c>
      <c r="C95" s="19" t="n">
        <v>608</v>
      </c>
      <c r="D95" s="19" t="n">
        <v>42</v>
      </c>
      <c r="E95" s="19" t="n">
        <v>367</v>
      </c>
      <c r="F95" s="19" t="n">
        <v>500</v>
      </c>
      <c r="G95" s="19">
        <f>ROUND((D95+E95+F95)*$B$2,0)</f>
        <v/>
      </c>
      <c r="H95" s="19" t="n">
        <v>125</v>
      </c>
      <c r="I95" s="5">
        <f>G95*H95</f>
        <v/>
      </c>
      <c r="J95" s="20">
        <f>MAX(0,G95-C95)</f>
        <v/>
      </c>
      <c r="K95" s="14" t="inlineStr">
        <is>
          <t>ЗАКУПИТЬ — дефицит</t>
        </is>
      </c>
    </row>
    <row r="96">
      <c r="A96" s="14" t="inlineStr">
        <is>
          <t>PETITFEE - Black Pearl &amp; Gold Hydrogel Eye Patch [60ea] / Гидрогелевые патчи для глаз с черным жемчугом и золотом</t>
        </is>
      </c>
      <c r="B96" s="14" t="n">
        <v>151175880</v>
      </c>
      <c r="C96" s="5" t="n">
        <v>549</v>
      </c>
      <c r="D96" s="5" t="n">
        <v>39</v>
      </c>
      <c r="E96" s="5" t="n">
        <v>122</v>
      </c>
      <c r="F96" s="5" t="n">
        <v>576</v>
      </c>
      <c r="G96" s="5">
        <f>ROUND((D96+E96+F96)*$B$2,0)</f>
        <v/>
      </c>
      <c r="H96" s="5" t="n">
        <v>116</v>
      </c>
      <c r="I96" s="5">
        <f>G96*H96</f>
        <v/>
      </c>
      <c r="J96" s="20">
        <f>MAX(0,G96-C96)</f>
        <v/>
      </c>
      <c r="K96" s="14" t="inlineStr">
        <is>
          <t>ЗАКУПИТЬ — дефицит</t>
        </is>
      </c>
    </row>
    <row r="97">
      <c r="A97" s="14" t="inlineStr">
        <is>
          <t>PETITFEE - Agave Cooling Hydrogel Eye Patch [60ea] / Охлаждающие гидрогелевые патчи для глаз с экстрактом агавы</t>
        </is>
      </c>
      <c r="B97" s="14" t="n">
        <v>151175877</v>
      </c>
      <c r="C97" s="5" t="n">
        <v>501</v>
      </c>
      <c r="D97" s="5" t="n">
        <v>35</v>
      </c>
      <c r="E97" s="5" t="n">
        <v>101</v>
      </c>
      <c r="F97" s="5" t="n">
        <v>210</v>
      </c>
      <c r="G97" s="5">
        <f>ROUND((D97+E97+F97)*$B$2,0)</f>
        <v/>
      </c>
      <c r="H97" s="5" t="n">
        <v>125</v>
      </c>
      <c r="I97" s="5">
        <f>G97*H97</f>
        <v/>
      </c>
      <c r="J97" s="5">
        <f>MAX(0,G97-C97)</f>
        <v/>
      </c>
      <c r="K97" s="14" t="inlineStr">
        <is>
          <t>Рабочий</t>
        </is>
      </c>
    </row>
    <row r="98">
      <c r="A98" s="14" t="inlineStr">
        <is>
          <t>PETITFEE - Gold Hydrogel Eye Patch [60ea] / гидрогелевые патчи для глаз с золотом</t>
        </is>
      </c>
      <c r="B98" s="14" t="n">
        <v>180711104</v>
      </c>
      <c r="C98" s="5" t="n">
        <v>405</v>
      </c>
      <c r="D98" s="5" t="n">
        <v>33</v>
      </c>
      <c r="E98" s="5" t="n">
        <v>66</v>
      </c>
      <c r="F98" s="5" t="n">
        <v>248</v>
      </c>
      <c r="G98" s="5">
        <f>ROUND((D98+E98+F98)*$B$2,0)</f>
        <v/>
      </c>
      <c r="H98" s="5" t="n">
        <v>151</v>
      </c>
      <c r="I98" s="5">
        <f>G98*H98</f>
        <v/>
      </c>
      <c r="J98" s="5">
        <f>MAX(0,G98-C98)</f>
        <v/>
      </c>
      <c r="K98" s="14" t="inlineStr">
        <is>
          <t>Рабочий</t>
        </is>
      </c>
    </row>
    <row r="99">
      <c r="A99" s="14" t="inlineStr">
        <is>
          <t>PETITFEE - Aura Quartz Hydrogel Eye Patch [60ea]</t>
        </is>
      </c>
      <c r="B99" s="14" t="n">
        <v>180992464</v>
      </c>
      <c r="C99" s="5" t="n">
        <v>89</v>
      </c>
      <c r="D99" s="5" t="n">
        <v>28</v>
      </c>
      <c r="E99" s="5" t="n">
        <v>24</v>
      </c>
      <c r="F99" s="5" t="n">
        <v>33</v>
      </c>
      <c r="G99" s="5">
        <f>ROUND((D99+E99+F99)*$B$2,0)</f>
        <v/>
      </c>
      <c r="H99" s="5" t="n">
        <v>177</v>
      </c>
      <c r="I99" s="5">
        <f>G99*H99</f>
        <v/>
      </c>
      <c r="J99" s="5">
        <f>MAX(0,G99-C99)</f>
        <v/>
      </c>
      <c r="K99" s="14" t="inlineStr">
        <is>
          <t>Рабочий</t>
        </is>
      </c>
    </row>
    <row r="100">
      <c r="A100" s="14" t="inlineStr">
        <is>
          <t>PETITFEE - Cacao Energizing Hydrogel Eye Patch [60ea] / Тонизирующие гидрогелевые патчи для глаз с экстрактом какао</t>
        </is>
      </c>
      <c r="B100" s="14" t="n">
        <v>179611304</v>
      </c>
      <c r="C100" s="5" t="n">
        <v>144</v>
      </c>
      <c r="D100" s="5" t="n">
        <v>28</v>
      </c>
      <c r="E100" s="5" t="n">
        <v>52</v>
      </c>
      <c r="F100" s="5" t="n">
        <v>49</v>
      </c>
      <c r="G100" s="5">
        <f>ROUND((D100+E100+F100)*$B$2,0)</f>
        <v/>
      </c>
      <c r="H100" s="5" t="n">
        <v>135</v>
      </c>
      <c r="I100" s="5">
        <f>G100*H100</f>
        <v/>
      </c>
      <c r="J100" s="5">
        <f>MAX(0,G100-C100)</f>
        <v/>
      </c>
      <c r="K100" s="14" t="inlineStr">
        <is>
          <t>Рабочий</t>
        </is>
      </c>
    </row>
    <row r="101">
      <c r="A101" s="14" t="inlineStr">
        <is>
          <t>PETITFEE - Bera Glucan Deep Firming Eye Patch [60ea] / Тканевые патчи для век увлажняющие</t>
        </is>
      </c>
      <c r="B101" s="14" t="n">
        <v>180988755</v>
      </c>
      <c r="C101" s="5" t="n">
        <v>406</v>
      </c>
      <c r="D101" s="5" t="n">
        <v>15</v>
      </c>
      <c r="E101" s="5" t="n">
        <v>19</v>
      </c>
      <c r="F101" s="5" t="n">
        <v>59</v>
      </c>
      <c r="G101" s="5">
        <f>ROUND((D101+E101+F101)*$B$2,0)</f>
        <v/>
      </c>
      <c r="H101" s="5" t="n">
        <v>146</v>
      </c>
      <c r="I101" s="5">
        <f>G101*H101</f>
        <v/>
      </c>
      <c r="J101" s="5">
        <f>MAX(0,G101-C101)</f>
        <v/>
      </c>
      <c r="K101" s="14" t="inlineStr">
        <is>
          <t>Рабочий</t>
        </is>
      </c>
    </row>
    <row r="102">
      <c r="A102" s="14" t="inlineStr">
        <is>
          <t>PETITFEE - Collagen &amp; CoQ10 Hydrogel Eye Patch [60ea] / Гидрогелевые патчи для глаз с коллагеном и коэнзимом Q10</t>
        </is>
      </c>
      <c r="B102" s="14" t="n">
        <v>179611231</v>
      </c>
      <c r="C102" s="5" t="n">
        <v>641</v>
      </c>
      <c r="D102" s="5" t="n">
        <v>11</v>
      </c>
      <c r="E102" s="5" t="n">
        <v>147</v>
      </c>
      <c r="F102" s="5" t="n">
        <v>352</v>
      </c>
      <c r="G102" s="5">
        <f>ROUND((D102+E102+F102)*$B$2,0)</f>
        <v/>
      </c>
      <c r="H102" s="5" t="n">
        <v>178</v>
      </c>
      <c r="I102" s="5">
        <f>G102*H102</f>
        <v/>
      </c>
      <c r="J102" s="5">
        <f>MAX(0,G102-C102)</f>
        <v/>
      </c>
      <c r="K102" s="14" t="inlineStr">
        <is>
          <t>Рабочий</t>
        </is>
      </c>
    </row>
    <row r="103">
      <c r="A103" s="14" t="inlineStr">
        <is>
          <t>PETITFEE - Pink Vita Brightening Eye Patch [60ea] / Тканевые патчи для век увлажняющие</t>
        </is>
      </c>
      <c r="B103" s="14" t="n">
        <v>180987509</v>
      </c>
      <c r="C103" s="5" t="n">
        <v>202</v>
      </c>
      <c r="D103" s="5" t="n">
        <v>10</v>
      </c>
      <c r="E103" s="5" t="n">
        <v>21</v>
      </c>
      <c r="F103" s="5" t="n">
        <v>30</v>
      </c>
      <c r="G103" s="5">
        <f>ROUND((D103+E103+F103)*$B$2,0)</f>
        <v/>
      </c>
      <c r="H103" s="5" t="n">
        <v>146</v>
      </c>
      <c r="I103" s="5">
        <f>G103*H103</f>
        <v/>
      </c>
      <c r="J103" s="5">
        <f>MAX(0,G103-C103)</f>
        <v/>
      </c>
      <c r="K103" s="14" t="inlineStr">
        <is>
          <t>Рабочий</t>
        </is>
      </c>
    </row>
    <row r="104">
      <c r="A104" s="14" t="inlineStr">
        <is>
          <t>PETITFEE - Artichoke Soothing Hydrogel Eye Patch [60ea] / Смягчающие гидрогелевые патчи для глаз с экстрактом артишока</t>
        </is>
      </c>
      <c r="B104" s="14" t="n">
        <v>179611278</v>
      </c>
      <c r="C104" s="5" t="n">
        <v>156</v>
      </c>
      <c r="D104" s="5" t="n">
        <v>7</v>
      </c>
      <c r="E104" s="5" t="n">
        <v>19</v>
      </c>
      <c r="F104" s="5" t="n">
        <v>29</v>
      </c>
      <c r="G104" s="5">
        <f>ROUND((D104+E104+F104)*$B$2,0)</f>
        <v/>
      </c>
      <c r="H104" s="5" t="n">
        <v>125</v>
      </c>
      <c r="I104" s="5">
        <f>G104*H104</f>
        <v/>
      </c>
      <c r="J104" s="5">
        <f>MAX(0,G104-C104)</f>
        <v/>
      </c>
      <c r="K104" s="14" t="inlineStr">
        <is>
          <t>Рабочий</t>
        </is>
      </c>
    </row>
    <row r="105">
      <c r="A105" s="21" t="inlineStr">
        <is>
          <t>PETITFEE - Black Pearl &amp; Gold Hydrogel Eye Patch [1 pairs]/ Гидрогелевые патчи для глаз с черным жемчугом и золотом 1 пара</t>
        </is>
      </c>
      <c r="B105" s="21" t="inlineStr"/>
      <c r="C105" s="22" t="n">
        <v>320</v>
      </c>
      <c r="D105" s="22" t="n">
        <v>0</v>
      </c>
      <c r="E105" s="22" t="n">
        <v>0</v>
      </c>
      <c r="F105" s="22" t="n">
        <v>0</v>
      </c>
      <c r="G105" s="22">
        <f>ROUND((D105+E105+F105)*$B$2,0)</f>
        <v/>
      </c>
      <c r="H105" s="22" t="n">
        <v>21</v>
      </c>
      <c r="I105" s="22">
        <f>G105*H105</f>
        <v/>
      </c>
      <c r="J105" s="22">
        <f>MAX(0,G105-C105)</f>
        <v/>
      </c>
      <c r="K105" s="21" t="inlineStr">
        <is>
          <t>Нет истории</t>
        </is>
      </c>
    </row>
    <row r="106">
      <c r="A106" s="21" t="inlineStr">
        <is>
          <t>PETITFEE - Gold Hydrogel Eye Patch [1 Pairs] / гидрогелевые патчи для глаз с золотом 1 пара</t>
        </is>
      </c>
      <c r="B106" s="21" t="inlineStr"/>
      <c r="C106" s="22" t="n">
        <v>428</v>
      </c>
      <c r="D106" s="22" t="n">
        <v>0</v>
      </c>
      <c r="E106" s="22" t="n">
        <v>0</v>
      </c>
      <c r="F106" s="22" t="n">
        <v>0</v>
      </c>
      <c r="G106" s="22">
        <f>ROUND((D106+E106+F106)*$B$2,0)</f>
        <v/>
      </c>
      <c r="H106" s="22" t="n">
        <v>21</v>
      </c>
      <c r="I106" s="22">
        <f>G106*H106</f>
        <v/>
      </c>
      <c r="J106" s="22">
        <f>MAX(0,G106-C106)</f>
        <v/>
      </c>
      <c r="K106" s="21" t="inlineStr">
        <is>
          <t>Нет истории</t>
        </is>
      </c>
    </row>
    <row r="107">
      <c r="A107" s="15" t="inlineStr">
        <is>
          <t>ИТОГО PETITFEE/PETITFEE-EYEPATCH</t>
        </is>
      </c>
      <c r="B107" s="16" t="n"/>
      <c r="C107" s="17">
        <f>SUM(C95:C106)</f>
        <v/>
      </c>
      <c r="D107" s="17">
        <f>SUM(D95:D106)</f>
        <v/>
      </c>
      <c r="E107" s="17">
        <f>SUM(E95:E106)</f>
        <v/>
      </c>
      <c r="F107" s="17">
        <f>SUM(F95:F106)</f>
        <v/>
      </c>
      <c r="G107" s="17">
        <f>SUM(G95:G106)</f>
        <v/>
      </c>
      <c r="H107" s="16" t="n"/>
      <c r="I107" s="17">
        <f>SUM(I95:I106)</f>
        <v/>
      </c>
      <c r="J107" s="17">
        <f>SUM(J95:J106)</f>
        <v/>
      </c>
      <c r="K107" s="16" t="n"/>
    </row>
    <row r="108">
      <c r="A108" s="12" t="inlineStr">
        <is>
          <t>Косметика/PETITFEE/PETITFEE-FACEMASK</t>
        </is>
      </c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A109" s="14" t="inlineStr">
        <is>
          <t>PETITFEE - Agave Cooling Hydrogel Face Mask [5pcs] / Охлаждающая гидрогелевая маска для лица с экстрактом агавы</t>
        </is>
      </c>
      <c r="B109" s="14" t="n">
        <v>226115324</v>
      </c>
      <c r="C109" s="5" t="n">
        <v>741</v>
      </c>
      <c r="D109" s="5" t="n">
        <v>52</v>
      </c>
      <c r="E109" s="5" t="n">
        <v>165</v>
      </c>
      <c r="F109" s="5" t="n">
        <v>250</v>
      </c>
      <c r="G109" s="5">
        <f>ROUND((D109+E109+F109)*$B$2,0)</f>
        <v/>
      </c>
      <c r="H109" s="5" t="n">
        <v>146</v>
      </c>
      <c r="I109" s="5">
        <f>G109*H109</f>
        <v/>
      </c>
      <c r="J109" s="5">
        <f>MAX(0,G109-C109)</f>
        <v/>
      </c>
      <c r="K109" s="14" t="inlineStr">
        <is>
          <t>Рабочий</t>
        </is>
      </c>
    </row>
    <row r="110">
      <c r="A110" s="14" t="inlineStr">
        <is>
          <t>PETITFEE - Artichoke Soothing Hydrogel Face Mask [5pcs] / Смягчающая гидрогелевая маска для лица с экстрактом артишока</t>
        </is>
      </c>
      <c r="B110" s="14" t="n">
        <v>226114831</v>
      </c>
      <c r="C110" s="5" t="n">
        <v>327</v>
      </c>
      <c r="D110" s="5" t="n">
        <v>40</v>
      </c>
      <c r="E110" s="5" t="n">
        <v>48</v>
      </c>
      <c r="F110" s="5" t="n">
        <v>114</v>
      </c>
      <c r="G110" s="5">
        <f>ROUND((D110+E110+F110)*$B$2,0)</f>
        <v/>
      </c>
      <c r="H110" s="5" t="n">
        <v>243</v>
      </c>
      <c r="I110" s="5">
        <f>G110*H110</f>
        <v/>
      </c>
      <c r="J110" s="5">
        <f>MAX(0,G110-C110)</f>
        <v/>
      </c>
      <c r="K110" s="14" t="inlineStr">
        <is>
          <t>Рабочий</t>
        </is>
      </c>
    </row>
    <row r="111">
      <c r="A111" s="14" t="inlineStr">
        <is>
          <t>PETITFEE - Gold Hydrogel Mask Pack [5pcs] / Гидрогелевая маска для лица с золотом</t>
        </is>
      </c>
      <c r="B111" s="14" t="n">
        <v>226114935</v>
      </c>
      <c r="C111" s="5" t="n">
        <v>529</v>
      </c>
      <c r="D111" s="5" t="n">
        <v>39</v>
      </c>
      <c r="E111" s="5" t="n">
        <v>78</v>
      </c>
      <c r="F111" s="5" t="n">
        <v>190</v>
      </c>
      <c r="G111" s="5">
        <f>ROUND((D111+E111+F111)*$B$2,0)</f>
        <v/>
      </c>
      <c r="H111" s="5" t="n">
        <v>152</v>
      </c>
      <c r="I111" s="5">
        <f>G111*H111</f>
        <v/>
      </c>
      <c r="J111" s="5">
        <f>MAX(0,G111-C111)</f>
        <v/>
      </c>
      <c r="K111" s="14" t="inlineStr">
        <is>
          <t>Рабочий</t>
        </is>
      </c>
    </row>
    <row r="112">
      <c r="A112" s="14" t="inlineStr">
        <is>
          <t>PETITFEE - Cacao Energizing Hydrogel Mask Pack [5pcs] / Тонизирующая гидрогелевая маска для лица с экстрактом какао</t>
        </is>
      </c>
      <c r="B112" s="14" t="n">
        <v>226115248</v>
      </c>
      <c r="C112" s="5" t="n">
        <v>399</v>
      </c>
      <c r="D112" s="5" t="n">
        <v>27</v>
      </c>
      <c r="E112" s="5" t="n">
        <v>89</v>
      </c>
      <c r="F112" s="5" t="n">
        <v>119</v>
      </c>
      <c r="G112" s="5">
        <f>ROUND((D112+E112+F112)*$B$2,0)</f>
        <v/>
      </c>
      <c r="H112" s="5" t="n">
        <v>149</v>
      </c>
      <c r="I112" s="5">
        <f>G112*H112</f>
        <v/>
      </c>
      <c r="J112" s="5">
        <f>MAX(0,G112-C112)</f>
        <v/>
      </c>
      <c r="K112" s="14" t="inlineStr">
        <is>
          <t>Рабочий</t>
        </is>
      </c>
    </row>
    <row r="113">
      <c r="A113" s="14" t="inlineStr">
        <is>
          <t>PETITFEE - Gold &amp; Snail Hydrogel Mask Pack [5pcs] / Гидрогелевая маска для лица с золотом и экстрактом улитки</t>
        </is>
      </c>
      <c r="B113" s="14" t="n">
        <v>226115141</v>
      </c>
      <c r="C113" s="5" t="n">
        <v>273</v>
      </c>
      <c r="D113" s="5" t="n">
        <v>26</v>
      </c>
      <c r="E113" s="5" t="n">
        <v>33</v>
      </c>
      <c r="F113" s="5" t="n">
        <v>99</v>
      </c>
      <c r="G113" s="5">
        <f>ROUND((D113+E113+F113)*$B$2,0)</f>
        <v/>
      </c>
      <c r="H113" s="5" t="n">
        <v>143</v>
      </c>
      <c r="I113" s="5">
        <f>G113*H113</f>
        <v/>
      </c>
      <c r="J113" s="5">
        <f>MAX(0,G113-C113)</f>
        <v/>
      </c>
      <c r="K113" s="14" t="inlineStr">
        <is>
          <t>Рабочий</t>
        </is>
      </c>
    </row>
    <row r="114">
      <c r="A114" s="14" t="inlineStr">
        <is>
          <t>PETITFEE - Black Pearl &amp; Gold Hydrogel Mask Pack [5pcs] / Гидрогелевая маска для лица с черным жемчугом и золотом</t>
        </is>
      </c>
      <c r="B114" s="14" t="n">
        <v>226115478</v>
      </c>
      <c r="C114" s="5" t="n">
        <v>292</v>
      </c>
      <c r="D114" s="5" t="n">
        <v>21</v>
      </c>
      <c r="E114" s="5" t="n">
        <v>43</v>
      </c>
      <c r="F114" s="5" t="n">
        <v>101</v>
      </c>
      <c r="G114" s="5">
        <f>ROUND((D114+E114+F114)*$B$2,0)</f>
        <v/>
      </c>
      <c r="H114" s="5" t="n">
        <v>143</v>
      </c>
      <c r="I114" s="5">
        <f>G114*H114</f>
        <v/>
      </c>
      <c r="J114" s="5">
        <f>MAX(0,G114-C114)</f>
        <v/>
      </c>
      <c r="K114" s="14" t="inlineStr">
        <is>
          <t>Рабочий</t>
        </is>
      </c>
    </row>
    <row r="115">
      <c r="A115" s="21" t="inlineStr">
        <is>
          <t>PETITFEE - MASK 5 (блек, агава, какао, артишок, голд снейл)</t>
        </is>
      </c>
      <c r="B115" s="21" t="n">
        <v>1177994944</v>
      </c>
      <c r="C115" s="22" t="n">
        <v>100</v>
      </c>
      <c r="D115" s="22" t="n">
        <v>0</v>
      </c>
      <c r="E115" s="22" t="n">
        <v>0</v>
      </c>
      <c r="F115" s="22" t="n">
        <v>0</v>
      </c>
      <c r="G115" s="22">
        <f>ROUND((D115+E115+F115)*$B$2,0)</f>
        <v/>
      </c>
      <c r="H115" s="22" t="n">
        <v>146</v>
      </c>
      <c r="I115" s="22">
        <f>G115*H115</f>
        <v/>
      </c>
      <c r="J115" s="22">
        <f>MAX(0,G115-C115)</f>
        <v/>
      </c>
      <c r="K115" s="21" t="inlineStr">
        <is>
          <t>Нет истории</t>
        </is>
      </c>
    </row>
    <row r="116">
      <c r="A116" s="21" t="inlineStr">
        <is>
          <t>PETITFEE - MASK 6 (блек, агава, какао, артишок, голд, ромашка)</t>
        </is>
      </c>
      <c r="B116" s="21" t="n">
        <v>1175175447</v>
      </c>
      <c r="C116" s="22" t="n">
        <v>106</v>
      </c>
      <c r="D116" s="22" t="n">
        <v>0</v>
      </c>
      <c r="E116" s="22" t="n">
        <v>0</v>
      </c>
      <c r="F116" s="22" t="n">
        <v>0</v>
      </c>
      <c r="G116" s="22">
        <f>ROUND((D116+E116+F116)*$B$2,0)</f>
        <v/>
      </c>
      <c r="H116" s="22" t="n">
        <v>178</v>
      </c>
      <c r="I116" s="22">
        <f>G116*H116</f>
        <v/>
      </c>
      <c r="J116" s="22">
        <f>MAX(0,G116-C116)</f>
        <v/>
      </c>
      <c r="K116" s="21" t="inlineStr">
        <is>
          <t>Нет истории</t>
        </is>
      </c>
    </row>
    <row r="117">
      <c r="A117" s="15" t="inlineStr">
        <is>
          <t>ИТОГО PETITFEE/PETITFEE-FACEMASK</t>
        </is>
      </c>
      <c r="B117" s="16" t="n"/>
      <c r="C117" s="17">
        <f>SUM(C109:C116)</f>
        <v/>
      </c>
      <c r="D117" s="17">
        <f>SUM(D109:D116)</f>
        <v/>
      </c>
      <c r="E117" s="17">
        <f>SUM(E109:E116)</f>
        <v/>
      </c>
      <c r="F117" s="17">
        <f>SUM(F109:F116)</f>
        <v/>
      </c>
      <c r="G117" s="17">
        <f>SUM(G109:G116)</f>
        <v/>
      </c>
      <c r="H117" s="16" t="n"/>
      <c r="I117" s="17">
        <f>SUM(I109:I116)</f>
        <v/>
      </c>
      <c r="J117" s="17">
        <f>SUM(J109:J116)</f>
        <v/>
      </c>
      <c r="K117" s="16" t="n"/>
    </row>
    <row r="118">
      <c r="A118" s="12" t="inlineStr">
        <is>
          <t>Косметика/ROUND LAB</t>
        </is>
      </c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A119" s="18" t="inlineStr">
        <is>
          <t>ROUND LAB 1025 DOKDO CLEANSER_150ml - Увлажняющая пенка для умывания лица</t>
        </is>
      </c>
      <c r="B119" s="18" t="n">
        <v>437154709</v>
      </c>
      <c r="C119" s="19" t="n">
        <v>5499</v>
      </c>
      <c r="D119" s="19" t="n">
        <v>964</v>
      </c>
      <c r="E119" s="19" t="n">
        <v>842</v>
      </c>
      <c r="F119" s="19" t="n">
        <v>259</v>
      </c>
      <c r="G119" s="19">
        <f>ROUND((D119+E119+F119)*$B$2,0)</f>
        <v/>
      </c>
      <c r="H119" s="19" t="n">
        <v>139</v>
      </c>
      <c r="I119" s="5">
        <f>G119*H119</f>
        <v/>
      </c>
      <c r="J119" s="5">
        <f>MAX(0,G119-C119)</f>
        <v/>
      </c>
      <c r="K119" s="14" t="inlineStr">
        <is>
          <t>★ Драйвер сезона</t>
        </is>
      </c>
    </row>
    <row r="120">
      <c r="A120" s="14" t="inlineStr">
        <is>
          <t>ROUND LAB BIRCH JUICE MOISTURIZING CREAM_80ml -Увлажняющий крем с березовым соком</t>
        </is>
      </c>
      <c r="B120" s="14" t="n">
        <v>437190353</v>
      </c>
      <c r="C120" s="5" t="n">
        <v>102</v>
      </c>
      <c r="D120" s="5" t="n">
        <v>137</v>
      </c>
      <c r="E120" s="5" t="n">
        <v>138</v>
      </c>
      <c r="F120" s="5" t="n">
        <v>239</v>
      </c>
      <c r="G120" s="5">
        <f>ROUND((D120+E120+F120)*$B$2,0)</f>
        <v/>
      </c>
      <c r="H120" s="5" t="n">
        <v>328</v>
      </c>
      <c r="I120" s="5">
        <f>G120*H120</f>
        <v/>
      </c>
      <c r="J120" s="20">
        <f>MAX(0,G120-C120)</f>
        <v/>
      </c>
      <c r="K120" s="14" t="inlineStr">
        <is>
          <t>ЗАКУПИТЬ — дефицит</t>
        </is>
      </c>
    </row>
    <row r="121">
      <c r="A121" s="14" t="inlineStr">
        <is>
          <t>ROUND LAB MUGWORT CALMING CLEANSER_150ml - Очищающая пенка для умывания лица от прыщей и акне</t>
        </is>
      </c>
      <c r="B121" s="14" t="n">
        <v>437242640</v>
      </c>
      <c r="C121" s="5" t="n">
        <v>1201</v>
      </c>
      <c r="D121" s="5" t="n">
        <v>45</v>
      </c>
      <c r="E121" s="5" t="n">
        <v>146</v>
      </c>
      <c r="F121" s="5" t="n">
        <v>191</v>
      </c>
      <c r="G121" s="5">
        <f>ROUND((D121+E121+F121)*$B$2,0)</f>
        <v/>
      </c>
      <c r="H121" s="5" t="n">
        <v>239</v>
      </c>
      <c r="I121" s="5">
        <f>G121*H121</f>
        <v/>
      </c>
      <c r="J121" s="5">
        <f>MAX(0,G121-C121)</f>
        <v/>
      </c>
      <c r="K121" s="14" t="inlineStr">
        <is>
          <t>Рабочий</t>
        </is>
      </c>
    </row>
    <row r="122">
      <c r="A122" s="14" t="inlineStr">
        <is>
          <t>ROUND LAB PINE CALMING CICA AMPOULE_30ml - Сыворотка для жирной кожи лица увлажняющая с центеллой</t>
        </is>
      </c>
      <c r="B122" s="14" t="n">
        <v>437776835</v>
      </c>
      <c r="C122" s="5" t="n">
        <v>5</v>
      </c>
      <c r="D122" s="5" t="n">
        <v>4</v>
      </c>
      <c r="E122" s="5" t="n">
        <v>13</v>
      </c>
      <c r="F122" s="5" t="n">
        <v>54</v>
      </c>
      <c r="G122" s="5">
        <f>ROUND((D122+E122+F122)*$B$2,0)</f>
        <v/>
      </c>
      <c r="H122" s="5" t="n">
        <v>246</v>
      </c>
      <c r="I122" s="5">
        <f>G122*H122</f>
        <v/>
      </c>
      <c r="J122" s="20">
        <f>MAX(0,G122-C122)</f>
        <v/>
      </c>
      <c r="K122" s="14" t="inlineStr">
        <is>
          <t>ЗАКУПИТЬ — дефицит</t>
        </is>
      </c>
    </row>
    <row r="123">
      <c r="A123" s="21" t="inlineStr">
        <is>
          <t>ROUND LAB 1025 DOKDO TONER_200ml / Отшелушивающий тоник с морской водой</t>
        </is>
      </c>
      <c r="B123" s="21" t="n">
        <v>1123574113</v>
      </c>
      <c r="C123" s="22" t="n">
        <v>802</v>
      </c>
      <c r="D123" s="22" t="n">
        <v>0</v>
      </c>
      <c r="E123" s="22" t="n">
        <v>0</v>
      </c>
      <c r="F123" s="22" t="n">
        <v>0</v>
      </c>
      <c r="G123" s="22">
        <f>ROUND((D123+E123+F123)*$B$2,0)</f>
        <v/>
      </c>
      <c r="H123" s="22" t="n">
        <v>369</v>
      </c>
      <c r="I123" s="22">
        <f>G123*H123</f>
        <v/>
      </c>
      <c r="J123" s="22">
        <f>MAX(0,G123-C123)</f>
        <v/>
      </c>
      <c r="K123" s="21" t="inlineStr">
        <is>
          <t>Нет истории</t>
        </is>
      </c>
    </row>
    <row r="124">
      <c r="A124" s="15" t="inlineStr">
        <is>
          <t>ИТОГО ROUND LAB</t>
        </is>
      </c>
      <c r="B124" s="16" t="n"/>
      <c r="C124" s="17">
        <f>SUM(C119:C123)</f>
        <v/>
      </c>
      <c r="D124" s="17">
        <f>SUM(D119:D123)</f>
        <v/>
      </c>
      <c r="E124" s="17">
        <f>SUM(E119:E123)</f>
        <v/>
      </c>
      <c r="F124" s="17">
        <f>SUM(F119:F123)</f>
        <v/>
      </c>
      <c r="G124" s="17">
        <f>SUM(G119:G123)</f>
        <v/>
      </c>
      <c r="H124" s="16" t="n"/>
      <c r="I124" s="17">
        <f>SUM(I119:I123)</f>
        <v/>
      </c>
      <c r="J124" s="17">
        <f>SUM(J119:J123)</f>
        <v/>
      </c>
      <c r="K124" s="16" t="n"/>
    </row>
    <row r="125">
      <c r="A125" s="12" t="inlineStr">
        <is>
          <t>Косметика/SKIN1004</t>
        </is>
      </c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>
      <c r="A126" s="14" t="inlineStr">
        <is>
          <t>SKIN1004 - Madagascar Centella Hyalu-Cica Sleeping Pack [30ml] / Увлажняющая гиалуроновая ночная маска для сухой кожи</t>
        </is>
      </c>
      <c r="B126" s="14" t="n">
        <v>214312149</v>
      </c>
      <c r="C126" s="5" t="n">
        <v>22</v>
      </c>
      <c r="D126" s="5" t="n">
        <v>19</v>
      </c>
      <c r="E126" s="5" t="n">
        <v>10</v>
      </c>
      <c r="F126" s="5" t="n">
        <v>6</v>
      </c>
      <c r="G126" s="5">
        <f>ROUND((D126+E126+F126)*$B$2,0)</f>
        <v/>
      </c>
      <c r="H126" s="5" t="n">
        <v>267</v>
      </c>
      <c r="I126" s="5">
        <f>G126*H126</f>
        <v/>
      </c>
      <c r="J126" s="20">
        <f>MAX(0,G126-C126)</f>
        <v/>
      </c>
      <c r="K126" s="14" t="inlineStr">
        <is>
          <t>ЗАКУПИТЬ — дефицит</t>
        </is>
      </c>
    </row>
    <row r="127">
      <c r="A127" s="14" t="inlineStr">
        <is>
          <t>SKIN1004 - Madagascar Centella Ampoule [30ml] / Сыворотка для лица успокаивающая из экстракта центеллы.</t>
        </is>
      </c>
      <c r="B127" s="14" t="n">
        <v>214311963</v>
      </c>
      <c r="C127" s="5" t="n">
        <v>30</v>
      </c>
      <c r="D127" s="5" t="n">
        <v>7</v>
      </c>
      <c r="E127" s="5" t="n">
        <v>7</v>
      </c>
      <c r="F127" s="5" t="n">
        <v>11</v>
      </c>
      <c r="G127" s="5">
        <f>ROUND((D127+E127+F127)*$B$2,0)</f>
        <v/>
      </c>
      <c r="H127" s="5" t="n">
        <v>444</v>
      </c>
      <c r="I127" s="5">
        <f>G127*H127</f>
        <v/>
      </c>
      <c r="J127" s="5">
        <f>MAX(0,G127-C127)</f>
        <v/>
      </c>
      <c r="K127" s="14" t="inlineStr">
        <is>
          <t>Рабочий</t>
        </is>
      </c>
    </row>
    <row r="128">
      <c r="A128" s="15" t="inlineStr">
        <is>
          <t>ИТОГО SKIN1004</t>
        </is>
      </c>
      <c r="B128" s="16" t="n"/>
      <c r="C128" s="17">
        <f>SUM(C126:C127)</f>
        <v/>
      </c>
      <c r="D128" s="17">
        <f>SUM(D126:D127)</f>
        <v/>
      </c>
      <c r="E128" s="17">
        <f>SUM(E126:E127)</f>
        <v/>
      </c>
      <c r="F128" s="17">
        <f>SUM(F126:F127)</f>
        <v/>
      </c>
      <c r="G128" s="17">
        <f>SUM(G126:G127)</f>
        <v/>
      </c>
      <c r="H128" s="16" t="n"/>
      <c r="I128" s="17">
        <f>SUM(I126:I127)</f>
        <v/>
      </c>
      <c r="J128" s="17">
        <f>SUM(J126:J127)</f>
        <v/>
      </c>
      <c r="K128" s="16" t="n"/>
    </row>
    <row r="129">
      <c r="A129" s="12" t="inlineStr">
        <is>
          <t>Косметика/SOMEBYMI</t>
        </is>
      </c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>
      <c r="A130" s="14" t="inlineStr">
        <is>
          <t>SOME BY MI - AHA-BHA-PHA 30 Days Miracle Cream [60g] / Крем для лица</t>
        </is>
      </c>
      <c r="B130" s="14" t="n">
        <v>248929125</v>
      </c>
      <c r="C130" s="5" t="n">
        <v>55</v>
      </c>
      <c r="D130" s="5" t="n">
        <v>24</v>
      </c>
      <c r="E130" s="5" t="n">
        <v>17</v>
      </c>
      <c r="F130" s="5" t="n">
        <v>9</v>
      </c>
      <c r="G130" s="5">
        <f>ROUND((D130+E130+F130)*$B$2,0)</f>
        <v/>
      </c>
      <c r="H130" s="5" t="n">
        <v>317</v>
      </c>
      <c r="I130" s="5">
        <f>G130*H130</f>
        <v/>
      </c>
      <c r="J130" s="5">
        <f>MAX(0,G130-C130)</f>
        <v/>
      </c>
      <c r="K130" s="14" t="inlineStr">
        <is>
          <t>Рабочий</t>
        </is>
      </c>
    </row>
    <row r="131">
      <c r="A131" s="14" t="inlineStr">
        <is>
          <t>SOME BY MI - AHA-BHA-PHA 30 Days Miracle Cleansing Bar [106g] / Мыло для проблемной кожи с aha bha кислотами</t>
        </is>
      </c>
      <c r="B131" s="14" t="n">
        <v>248928046</v>
      </c>
      <c r="C131" s="5" t="n">
        <v>525</v>
      </c>
      <c r="D131" s="5" t="n">
        <v>11</v>
      </c>
      <c r="E131" s="5" t="n">
        <v>11</v>
      </c>
      <c r="F131" s="5" t="n">
        <v>4</v>
      </c>
      <c r="G131" s="5">
        <f>ROUND((D131+E131+F131)*$B$2,0)</f>
        <v/>
      </c>
      <c r="H131" s="5" t="n">
        <v>165</v>
      </c>
      <c r="I131" s="5">
        <f>G131*H131</f>
        <v/>
      </c>
      <c r="J131" s="5">
        <f>MAX(0,G131-C131)</f>
        <v/>
      </c>
      <c r="K131" s="14" t="inlineStr">
        <is>
          <t>Рабочий</t>
        </is>
      </c>
    </row>
    <row r="132">
      <c r="A132" s="15" t="inlineStr">
        <is>
          <t>ИТОГО SOMEBYMI</t>
        </is>
      </c>
      <c r="B132" s="16" t="n"/>
      <c r="C132" s="17">
        <f>SUM(C130:C131)</f>
        <v/>
      </c>
      <c r="D132" s="17">
        <f>SUM(D130:D131)</f>
        <v/>
      </c>
      <c r="E132" s="17">
        <f>SUM(E130:E131)</f>
        <v/>
      </c>
      <c r="F132" s="17">
        <f>SUM(F130:F131)</f>
        <v/>
      </c>
      <c r="G132" s="17">
        <f>SUM(G130:G131)</f>
        <v/>
      </c>
      <c r="H132" s="16" t="n"/>
      <c r="I132" s="17">
        <f>SUM(I130:I131)</f>
        <v/>
      </c>
      <c r="J132" s="17">
        <f>SUM(J130:J131)</f>
        <v/>
      </c>
      <c r="K132" s="16" t="n"/>
    </row>
    <row r="133">
      <c r="A133" s="12" t="inlineStr">
        <is>
          <t>Косметика/TheOrdinary</t>
        </is>
      </c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>
      <c r="A134" s="14" t="inlineStr">
        <is>
          <t>THE ORDINARY - Argireline Solution 10% [30ml] / Сыворотка для лица от прыщей и акне с ниацинамидом 10 %</t>
        </is>
      </c>
      <c r="B134" s="14" t="n">
        <v>214312385</v>
      </c>
      <c r="C134" s="5" t="n">
        <v>115</v>
      </c>
      <c r="D134" s="5" t="n">
        <v>13</v>
      </c>
      <c r="E134" s="5" t="n">
        <v>13</v>
      </c>
      <c r="F134" s="5" t="n">
        <v>24</v>
      </c>
      <c r="G134" s="5">
        <f>ROUND((D134+E134+F134)*$B$2,0)</f>
        <v/>
      </c>
      <c r="H134" s="5" t="n">
        <v>217</v>
      </c>
      <c r="I134" s="5">
        <f>G134*H134</f>
        <v/>
      </c>
      <c r="J134" s="5">
        <f>MAX(0,G134-C134)</f>
        <v/>
      </c>
      <c r="K134" s="14" t="inlineStr">
        <is>
          <t>Рабочий</t>
        </is>
      </c>
    </row>
    <row r="135">
      <c r="A135" s="14" t="inlineStr">
        <is>
          <t>THE ORDINARY - Glycolic Acid 7% Toning Solution [KOR] [240ml] / Тоник с гликолевой кислотой 7%</t>
        </is>
      </c>
      <c r="B135" s="14" t="n">
        <v>247275092</v>
      </c>
      <c r="C135" s="5" t="n">
        <v>25</v>
      </c>
      <c r="D135" s="5" t="n">
        <v>8</v>
      </c>
      <c r="E135" s="5" t="n">
        <v>5</v>
      </c>
      <c r="F135" s="5" t="n">
        <v>4</v>
      </c>
      <c r="G135" s="5">
        <f>ROUND((D135+E135+F135)*$B$2,0)</f>
        <v/>
      </c>
      <c r="H135" s="5" t="n">
        <v>278</v>
      </c>
      <c r="I135" s="5">
        <f>G135*H135</f>
        <v/>
      </c>
      <c r="J135" s="5">
        <f>MAX(0,G135-C135)</f>
        <v/>
      </c>
      <c r="K135" s="14" t="inlineStr">
        <is>
          <t>Рабочий</t>
        </is>
      </c>
    </row>
    <row r="136">
      <c r="A136" s="15" t="inlineStr">
        <is>
          <t>ИТОГО TheOrdinary</t>
        </is>
      </c>
      <c r="B136" s="16" t="n"/>
      <c r="C136" s="17">
        <f>SUM(C134:C135)</f>
        <v/>
      </c>
      <c r="D136" s="17">
        <f>SUM(D134:D135)</f>
        <v/>
      </c>
      <c r="E136" s="17">
        <f>SUM(E134:E135)</f>
        <v/>
      </c>
      <c r="F136" s="17">
        <f>SUM(F134:F135)</f>
        <v/>
      </c>
      <c r="G136" s="17">
        <f>SUM(G134:G135)</f>
        <v/>
      </c>
      <c r="H136" s="16" t="n"/>
      <c r="I136" s="17">
        <f>SUM(I134:I135)</f>
        <v/>
      </c>
      <c r="J136" s="17">
        <f>SUM(J134:J135)</f>
        <v/>
      </c>
      <c r="K136" s="16" t="n"/>
    </row>
    <row r="137">
      <c r="A137" s="12" t="inlineStr">
        <is>
          <t>Косметика/CELIMAX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>
      <c r="A138" s="14" t="inlineStr">
        <is>
          <t>CELIMAX THE VITA-A RETINAL SHOT TIGHTENING BOOSTER [15ml]/Подтягивающий бустер-крем с ретинолом для лица</t>
        </is>
      </c>
      <c r="B138" s="14" t="n">
        <v>551387355</v>
      </c>
      <c r="C138" s="5" t="n">
        <v>8728</v>
      </c>
      <c r="D138" s="5" t="n">
        <v>8</v>
      </c>
      <c r="E138" s="5" t="n">
        <v>126</v>
      </c>
      <c r="F138" s="5" t="n">
        <v>633</v>
      </c>
      <c r="G138" s="5">
        <f>ROUND((D138+E138+F138)*$B$2,0)</f>
        <v/>
      </c>
      <c r="H138" s="5" t="n">
        <v>154</v>
      </c>
      <c r="I138" s="5">
        <f>G138*H138</f>
        <v/>
      </c>
      <c r="J138" s="5">
        <f>MAX(0,G138-C138)</f>
        <v/>
      </c>
      <c r="K138" s="14" t="inlineStr">
        <is>
          <t>Рабочий</t>
        </is>
      </c>
    </row>
    <row r="139">
      <c r="A139" s="14" t="inlineStr">
        <is>
          <t>CELIMAX JI WOO GAE CICA BHA BLEMISH TONER PAD_10EA [30ml]/успокаивающие тонер-пэды</t>
        </is>
      </c>
      <c r="B139" s="14" t="n">
        <v>551600265</v>
      </c>
      <c r="C139" s="5" t="n">
        <v>1296</v>
      </c>
      <c r="D139" s="5" t="n">
        <v>5</v>
      </c>
      <c r="E139" s="5" t="n">
        <v>52</v>
      </c>
      <c r="F139" s="5" t="n">
        <v>90</v>
      </c>
      <c r="G139" s="5">
        <f>ROUND((D139+E139+F139)*$B$2,0)</f>
        <v/>
      </c>
      <c r="H139" s="5" t="n">
        <v>105</v>
      </c>
      <c r="I139" s="5">
        <f>G139*H139</f>
        <v/>
      </c>
      <c r="J139" s="5">
        <f>MAX(0,G139-C139)</f>
        <v/>
      </c>
      <c r="K139" s="14" t="inlineStr">
        <is>
          <t>Рабочий</t>
        </is>
      </c>
    </row>
    <row r="140">
      <c r="A140" s="14" t="inlineStr">
        <is>
          <t>CELIMAX THE VITA-A RETINOL SHOT TIGHTENING SERUM [30ml]/Сыворотка с ретинолом и микроиглами для лица</t>
        </is>
      </c>
      <c r="B140" s="14" t="n">
        <v>551465879</v>
      </c>
      <c r="C140" s="5" t="n">
        <v>2217</v>
      </c>
      <c r="D140" s="5" t="n">
        <v>2</v>
      </c>
      <c r="E140" s="5" t="n">
        <v>59</v>
      </c>
      <c r="F140" s="5" t="n">
        <v>185</v>
      </c>
      <c r="G140" s="5">
        <f>ROUND((D140+E140+F140)*$B$2,0)</f>
        <v/>
      </c>
      <c r="H140" s="5" t="n">
        <v>291</v>
      </c>
      <c r="I140" s="5">
        <f>G140*H140</f>
        <v/>
      </c>
      <c r="J140" s="5">
        <f>MAX(0,G140-C140)</f>
        <v/>
      </c>
      <c r="K140" s="14" t="inlineStr">
        <is>
          <t>Рабочий</t>
        </is>
      </c>
    </row>
    <row r="141">
      <c r="A141" s="21" t="inlineStr">
        <is>
          <t>Celimax Dual Barrier Creamy Toner, тонер 150 мл</t>
        </is>
      </c>
      <c r="B141" s="21" t="n">
        <v>868516027</v>
      </c>
      <c r="C141" s="22" t="n">
        <v>15980</v>
      </c>
      <c r="D141" s="22" t="n">
        <v>0</v>
      </c>
      <c r="E141" s="22" t="n">
        <v>0</v>
      </c>
      <c r="F141" s="22" t="n">
        <v>0</v>
      </c>
      <c r="G141" s="22">
        <f>ROUND((D141+E141+F141)*$B$2,0)</f>
        <v/>
      </c>
      <c r="H141" s="22" t="n">
        <v>199</v>
      </c>
      <c r="I141" s="22">
        <f>G141*H141</f>
        <v/>
      </c>
      <c r="J141" s="22">
        <f>MAX(0,G141-C141)</f>
        <v/>
      </c>
      <c r="K141" s="21" t="inlineStr">
        <is>
          <t>Нет истории</t>
        </is>
      </c>
    </row>
    <row r="142">
      <c r="A142" s="14" t="inlineStr">
        <is>
          <t>CELIMAX PORE+DARK SPOT BRIGHTENING CREAM [35ml]/Крем для выравнивания тона и рельефа кожи лица</t>
        </is>
      </c>
      <c r="B142" s="14" t="n">
        <v>551447345</v>
      </c>
      <c r="C142" s="5" t="n">
        <v>13</v>
      </c>
      <c r="D142" s="5" t="n">
        <v>0</v>
      </c>
      <c r="E142" s="5" t="n">
        <v>42</v>
      </c>
      <c r="F142" s="5" t="n">
        <v>1</v>
      </c>
      <c r="G142" s="5">
        <f>ROUND((D142+E142+F142)*$B$2,0)</f>
        <v/>
      </c>
      <c r="H142" s="5" t="n">
        <v>463</v>
      </c>
      <c r="I142" s="5">
        <f>G142*H142</f>
        <v/>
      </c>
      <c r="J142" s="20">
        <f>MAX(0,G142-C142)</f>
        <v/>
      </c>
      <c r="K142" s="14" t="inlineStr">
        <is>
          <t>ЗАКУПИТЬ — дефицит</t>
        </is>
      </c>
    </row>
    <row r="143">
      <c r="A143" s="14" t="inlineStr">
        <is>
          <t>CELIMAX DUAL BARRIER SKIN WEARABLE CREAM [50ml]/Крем для восстановления защитного барьера кожи лица</t>
        </is>
      </c>
      <c r="B143" s="14" t="n">
        <v>551392965</v>
      </c>
      <c r="C143" s="5" t="n">
        <v>353</v>
      </c>
      <c r="D143" s="5" t="n">
        <v>0</v>
      </c>
      <c r="E143" s="5" t="n">
        <v>33</v>
      </c>
      <c r="F143" s="5" t="n">
        <v>7</v>
      </c>
      <c r="G143" s="5">
        <f>ROUND((D143+E143+F143)*$B$2,0)</f>
        <v/>
      </c>
      <c r="H143" s="5" t="n">
        <v>259</v>
      </c>
      <c r="I143" s="5">
        <f>G143*H143</f>
        <v/>
      </c>
      <c r="J143" s="5">
        <f>MAX(0,G143-C143)</f>
        <v/>
      </c>
      <c r="K143" s="14" t="inlineStr">
        <is>
          <t>Рабочий</t>
        </is>
      </c>
    </row>
    <row r="144">
      <c r="A144" s="14" t="inlineStr">
        <is>
          <t>CELIMAX JI WOO GAE CICA BHA BLEMISH TONER PAD [170ml / 60pads]/Тонер-пэды от воспалений</t>
        </is>
      </c>
      <c r="B144" s="14" t="n">
        <v>551607905</v>
      </c>
      <c r="C144" s="5" t="n">
        <v>1456</v>
      </c>
      <c r="D144" s="5" t="n">
        <v>0</v>
      </c>
      <c r="E144" s="5" t="n">
        <v>39</v>
      </c>
      <c r="F144" s="5" t="n">
        <v>8</v>
      </c>
      <c r="G144" s="5">
        <f>ROUND((D144+E144+F144)*$B$2,0)</f>
        <v/>
      </c>
      <c r="H144" s="5" t="n">
        <v>212</v>
      </c>
      <c r="I144" s="5">
        <f>G144*H144</f>
        <v/>
      </c>
      <c r="J144" s="5">
        <f>MAX(0,G144-C144)</f>
        <v/>
      </c>
      <c r="K144" s="14" t="inlineStr">
        <is>
          <t>Рабочий</t>
        </is>
      </c>
    </row>
    <row r="145">
      <c r="A145" s="14" t="inlineStr">
        <is>
          <t>CELIMAX THE REAL NONI ENERGY AMPOULE_30ML (NEW) [30ml]/Восстанавливающая сыворотка с экстрактом нони для лица</t>
        </is>
      </c>
      <c r="B145" s="14" t="n">
        <v>551472457</v>
      </c>
      <c r="C145" s="5" t="n">
        <v>35</v>
      </c>
      <c r="D145" s="5" t="n">
        <v>0</v>
      </c>
      <c r="E145" s="5" t="n">
        <v>41</v>
      </c>
      <c r="F145" s="5" t="n">
        <v>12</v>
      </c>
      <c r="G145" s="5">
        <f>ROUND((D145+E145+F145)*$B$2,0)</f>
        <v/>
      </c>
      <c r="H145" s="5" t="n">
        <v>229</v>
      </c>
      <c r="I145" s="5">
        <f>G145*H145</f>
        <v/>
      </c>
      <c r="J145" s="20">
        <f>MAX(0,G145-C145)</f>
        <v/>
      </c>
      <c r="K145" s="14" t="inlineStr">
        <is>
          <t>ЗАКУПИТЬ — дефицит</t>
        </is>
      </c>
    </row>
    <row r="146">
      <c r="A146" s="14" t="inlineStr">
        <is>
          <t>CELIMAX PORE+DARK SPOT BRIGHTENING PAD [100ml / 40pads]/Тонер-пэды для выравнивания тона и рельефа кожи</t>
        </is>
      </c>
      <c r="B146" s="14" t="n">
        <v>551540924</v>
      </c>
      <c r="C146" s="5" t="n">
        <v>1375</v>
      </c>
      <c r="D146" s="5" t="n">
        <v>0</v>
      </c>
      <c r="E146" s="5" t="n">
        <v>39</v>
      </c>
      <c r="F146" s="5" t="n">
        <v>5</v>
      </c>
      <c r="G146" s="5">
        <f>ROUND((D146+E146+F146)*$B$2,0)</f>
        <v/>
      </c>
      <c r="H146" s="5" t="n">
        <v>255</v>
      </c>
      <c r="I146" s="5">
        <f>G146*H146</f>
        <v/>
      </c>
      <c r="J146" s="5">
        <f>MAX(0,G146-C146)</f>
        <v/>
      </c>
      <c r="K146" s="14" t="inlineStr">
        <is>
          <t>Рабочий</t>
        </is>
      </c>
    </row>
    <row r="147">
      <c r="A147" s="14" t="inlineStr">
        <is>
          <t>CELIMAX PORE+DARK SPOT BRIGHTENING SERUM_30ml [30ml]/Сыворотка для выравнивания тона и рельефа кожи лица</t>
        </is>
      </c>
      <c r="B147" s="14" t="n">
        <v>551482493</v>
      </c>
      <c r="C147" s="5" t="n">
        <v>77</v>
      </c>
      <c r="D147" s="5" t="n">
        <v>0</v>
      </c>
      <c r="E147" s="5" t="n">
        <v>28</v>
      </c>
      <c r="F147" s="5" t="n">
        <v>9</v>
      </c>
      <c r="G147" s="5">
        <f>ROUND((D147+E147+F147)*$B$2,0)</f>
        <v/>
      </c>
      <c r="H147" s="5" t="n">
        <v>308</v>
      </c>
      <c r="I147" s="5">
        <f>G147*H147</f>
        <v/>
      </c>
      <c r="J147" s="5">
        <f>MAX(0,G147-C147)</f>
        <v/>
      </c>
      <c r="K147" s="14" t="inlineStr">
        <is>
          <t>Рабочий</t>
        </is>
      </c>
    </row>
    <row r="148">
      <c r="A148" s="14" t="inlineStr">
        <is>
          <t>CELIMAX THE REAL NONI MOISTURE BALANCING TONER (NEW) [150ml]/Восстанавливающий тонер с экстрактом нони</t>
        </is>
      </c>
      <c r="B148" s="14" t="n">
        <v>551518955</v>
      </c>
      <c r="C148" s="5" t="n">
        <v>24</v>
      </c>
      <c r="D148" s="5" t="n">
        <v>0</v>
      </c>
      <c r="E148" s="5" t="n">
        <v>30</v>
      </c>
      <c r="F148" s="5" t="n">
        <v>4</v>
      </c>
      <c r="G148" s="5">
        <f>ROUND((D148+E148+F148)*$B$2,0)</f>
        <v/>
      </c>
      <c r="H148" s="5" t="n">
        <v>216</v>
      </c>
      <c r="I148" s="5">
        <f>G148*H148</f>
        <v/>
      </c>
      <c r="J148" s="20">
        <f>MAX(0,G148-C148)</f>
        <v/>
      </c>
      <c r="K148" s="14" t="inlineStr">
        <is>
          <t>ЗАКУПИТЬ — дефицит</t>
        </is>
      </c>
    </row>
    <row r="149">
      <c r="A149" s="15" t="inlineStr">
        <is>
          <t>ИТОГО CELIMAX</t>
        </is>
      </c>
      <c r="B149" s="16" t="n"/>
      <c r="C149" s="17">
        <f>SUM(C138:C148)</f>
        <v/>
      </c>
      <c r="D149" s="17">
        <f>SUM(D138:D148)</f>
        <v/>
      </c>
      <c r="E149" s="17">
        <f>SUM(E138:E148)</f>
        <v/>
      </c>
      <c r="F149" s="17">
        <f>SUM(F138:F148)</f>
        <v/>
      </c>
      <c r="G149" s="17">
        <f>SUM(G138:G148)</f>
        <v/>
      </c>
      <c r="H149" s="16" t="n"/>
      <c r="I149" s="17">
        <f>SUM(I138:I148)</f>
        <v/>
      </c>
      <c r="J149" s="17">
        <f>SUM(J138:J148)</f>
        <v/>
      </c>
      <c r="K149" s="16" t="n"/>
    </row>
    <row r="150">
      <c r="A150" s="12" t="inlineStr">
        <is>
          <t>Косметика/VT</t>
        </is>
      </c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A151" s="21" t="inlineStr">
        <is>
          <t>VT PDRN ESSENCE 100 / Укрепляющая бустер-эссенция с ПДРН</t>
        </is>
      </c>
      <c r="B151" s="21" t="n">
        <v>1119249556</v>
      </c>
      <c r="C151" s="22" t="n">
        <v>1008</v>
      </c>
      <c r="D151" s="22" t="n">
        <v>0</v>
      </c>
      <c r="E151" s="22" t="n">
        <v>0</v>
      </c>
      <c r="F151" s="22" t="n">
        <v>0</v>
      </c>
      <c r="G151" s="22">
        <f>ROUND((D151+E151+F151)*$B$2,0)</f>
        <v/>
      </c>
      <c r="H151" s="22" t="n">
        <v>401</v>
      </c>
      <c r="I151" s="22">
        <f>G151*H151</f>
        <v/>
      </c>
      <c r="J151" s="22">
        <f>MAX(0,G151-C151)</f>
        <v/>
      </c>
      <c r="K151" s="21" t="inlineStr">
        <is>
          <t>Нет истории</t>
        </is>
      </c>
    </row>
    <row r="152">
      <c r="A152" s="21" t="inlineStr">
        <is>
          <t>VT REEDLE SHOT 100 / Бустер-сыворотка с микроиглами</t>
        </is>
      </c>
      <c r="B152" s="21" t="n">
        <v>1123494802</v>
      </c>
      <c r="C152" s="22" t="n">
        <v>397</v>
      </c>
      <c r="D152" s="22" t="n">
        <v>0</v>
      </c>
      <c r="E152" s="22" t="n">
        <v>0</v>
      </c>
      <c r="F152" s="22" t="n">
        <v>0</v>
      </c>
      <c r="G152" s="22">
        <f>ROUND((D152+E152+F152)*$B$2,0)</f>
        <v/>
      </c>
      <c r="H152" s="22" t="n">
        <v>292</v>
      </c>
      <c r="I152" s="22">
        <f>G152*H152</f>
        <v/>
      </c>
      <c r="J152" s="22">
        <f>MAX(0,G152-C152)</f>
        <v/>
      </c>
      <c r="K152" s="21" t="inlineStr">
        <is>
          <t>Нет истории</t>
        </is>
      </c>
    </row>
    <row r="153">
      <c r="A153" s="15" t="inlineStr">
        <is>
          <t>ИТОГО VT</t>
        </is>
      </c>
      <c r="B153" s="16" t="n"/>
      <c r="C153" s="17">
        <f>SUM(C151:C152)</f>
        <v/>
      </c>
      <c r="D153" s="17">
        <f>SUM(D151:D152)</f>
        <v/>
      </c>
      <c r="E153" s="17">
        <f>SUM(E151:E152)</f>
        <v/>
      </c>
      <c r="F153" s="17">
        <f>SUM(F151:F152)</f>
        <v/>
      </c>
      <c r="G153" s="17">
        <f>SUM(G151:G152)</f>
        <v/>
      </c>
      <c r="H153" s="16" t="n"/>
      <c r="I153" s="17">
        <f>SUM(I151:I152)</f>
        <v/>
      </c>
      <c r="J153" s="17">
        <f>SUM(J151:J152)</f>
        <v/>
      </c>
      <c r="K153" s="16" t="n"/>
    </row>
    <row r="155">
      <c r="A155" s="6" t="inlineStr">
        <is>
          <t>ИТОГО КОСМЕТИКА СЕЗОН</t>
        </is>
      </c>
      <c r="B155" s="23" t="n"/>
      <c r="C155" s="7">
        <f>C7+C12+C15+C19+C36+C41+C53+C56+C61+C64+C70+C73+C76+C79+C82+C90+C93+C107+C117+C124+C128+C132+C136+C149+C153</f>
        <v/>
      </c>
      <c r="D155" s="7">
        <f>D7+D12+D15+D19+D36+D41+D53+D56+D61+D64+D70+D73+D76+D79+D82+D90+D93+D107+D117+D124+D128+D132+D136+D149+D153</f>
        <v/>
      </c>
      <c r="E155" s="7">
        <f>E7+E12+E15+E19+E36+E41+E53+E56+E61+E64+E70+E73+E76+E79+E82+E90+E93+E107+E117+E124+E128+E132+E136+E149+E153</f>
        <v/>
      </c>
      <c r="F155" s="7">
        <f>F7+F12+F15+F19+F36+F41+F53+F56+F61+F64+F70+F73+F76+F79+F82+F90+F93+F107+F117+F124+F128+F132+F136+F149+F153</f>
        <v/>
      </c>
      <c r="G155" s="7">
        <f>G7+G12+G15+G19+G36+G41+G53+G56+G61+G64+G70+G73+G76+G79+G82+G90+G93+G107+G117+G124+G128+G132+G136+G149+G153</f>
        <v/>
      </c>
      <c r="H155" s="23" t="n"/>
      <c r="I155" s="7">
        <f>I7+I12+I15+I19+I36+I41+I53+I56+I61+I64+I70+I73+I76+I79+I82+I90+I93+I107+I117+I124+I128+I132+I136+I149+I153</f>
        <v/>
      </c>
      <c r="J155" s="7">
        <f>J7+J12+J15+J19+J36+J41+J53+J56+J61+J64+J70+J73+J76+J79+J82+J90+J93+J107+J117+J124+J128+J132+J136+J149+J153</f>
        <v/>
      </c>
      <c r="K155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5" customWidth="1" min="5" max="5"/>
    <col width="8" customWidth="1" min="6" max="6"/>
    <col width="10" customWidth="1" min="7" max="7"/>
    <col width="28" customWidth="1" min="8" max="8"/>
  </cols>
  <sheetData>
    <row r="1">
      <c r="A1" s="29" t="inlineStr">
        <is>
          <t>ЭЛЕКТРОНИКА — РАСПРОДАЖА</t>
        </is>
      </c>
    </row>
    <row r="4">
      <c r="A4" s="30" t="inlineStr">
        <is>
          <t>Артикул ВБ</t>
        </is>
      </c>
      <c r="B4" s="30" t="inlineStr">
        <is>
          <t>Товар</t>
        </is>
      </c>
      <c r="C4" s="30" t="inlineStr">
        <is>
          <t>Себес ₽</t>
        </is>
      </c>
      <c r="D4" s="30" t="inlineStr">
        <is>
          <t>Цена ₽</t>
        </is>
      </c>
      <c r="E4" s="30" t="inlineStr">
        <is>
          <t>Маржа ₽/ед</t>
        </is>
      </c>
      <c r="F4" s="30" t="inlineStr">
        <is>
          <t>ROI %</t>
        </is>
      </c>
      <c r="G4" s="30" t="inlineStr">
        <is>
          <t>Остаток WB</t>
        </is>
      </c>
      <c r="H4" s="30" t="inlineStr">
        <is>
          <t>Решение</t>
        </is>
      </c>
    </row>
    <row r="5">
      <c r="A5" s="14" t="n">
        <v>208208674</v>
      </c>
      <c r="B5" s="14" t="inlineStr">
        <is>
          <t>Рация BAOFENG</t>
        </is>
      </c>
      <c r="C5" s="5" t="n">
        <v>1386</v>
      </c>
      <c r="D5" s="5" t="n">
        <v>3032</v>
      </c>
      <c r="E5" s="5" t="n">
        <v>111</v>
      </c>
      <c r="F5" s="14" t="n">
        <v>8</v>
      </c>
      <c r="G5" s="14" t="n">
        <v>17</v>
      </c>
      <c r="H5" s="14" t="inlineStr">
        <is>
          <t>Распродать</t>
        </is>
      </c>
    </row>
    <row r="6">
      <c r="A6" s="31" t="n">
        <v>174668134</v>
      </c>
      <c r="B6" s="31" t="inlineStr">
        <is>
          <t>Перкуссионный массажёр</t>
        </is>
      </c>
      <c r="C6" s="32" t="n">
        <v>531</v>
      </c>
      <c r="D6" s="32" t="n">
        <v>934</v>
      </c>
      <c r="E6" s="32" t="n">
        <v>-192</v>
      </c>
      <c r="F6" s="31" t="n">
        <v>-36</v>
      </c>
      <c r="G6" s="31" t="n">
        <v>1</v>
      </c>
      <c r="H6" s="31" t="inlineStr">
        <is>
          <t>НЕ продаём (убыток)</t>
        </is>
      </c>
    </row>
    <row r="7">
      <c r="A7" s="14" t="n">
        <v>315688951</v>
      </c>
      <c r="B7" s="14" t="inlineStr">
        <is>
          <t>Триммер</t>
        </is>
      </c>
      <c r="C7" s="5" t="n">
        <v>263</v>
      </c>
      <c r="D7" s="5" t="n">
        <v>848</v>
      </c>
      <c r="E7" s="5" t="n">
        <v>92</v>
      </c>
      <c r="F7" s="14" t="n">
        <v>35</v>
      </c>
      <c r="G7" s="14" t="n">
        <v>1</v>
      </c>
      <c r="H7" s="14" t="inlineStr">
        <is>
          <t>Распродать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1" customWidth="1" min="4" max="4"/>
    <col width="13" customWidth="1" min="5" max="5"/>
    <col width="13" customWidth="1" min="6" max="6"/>
    <col width="10" customWidth="1" min="7" max="7"/>
    <col width="14" customWidth="1" min="8" max="8"/>
  </cols>
  <sheetData>
    <row r="1">
      <c r="A1" s="24" t="inlineStr">
        <is>
          <t>ДЕДЫ МОРОЗЫ — РЕАЛЬНЫЕ ОСТАТКИ (склад + контейнер)</t>
        </is>
      </c>
    </row>
    <row r="2">
      <c r="A2" s="2" t="inlineStr">
        <is>
          <t>Прибыль 350 ₽/шт. Склад продаём сейчас, контейнер (40HQ) придёт к декабрю. Цель — распродать всё к НГ.</t>
        </is>
      </c>
    </row>
    <row r="4">
      <c r="A4" s="33" t="inlineStr">
        <is>
          <t>Артикул/код</t>
        </is>
      </c>
      <c r="B4" s="33" t="inlineStr">
        <is>
          <t>Наименование</t>
        </is>
      </c>
      <c r="C4" s="33" t="inlineStr">
        <is>
          <t>Себес ₽</t>
        </is>
      </c>
      <c r="D4" s="33" t="inlineStr">
        <is>
          <t>Остаток шт</t>
        </is>
      </c>
      <c r="E4" s="33" t="inlineStr">
        <is>
          <t>Цена до СПП ₽</t>
        </is>
      </c>
      <c r="F4" s="33" t="inlineStr">
        <is>
          <t>Цена с СПП ₽</t>
        </is>
      </c>
      <c r="G4" s="33" t="inlineStr">
        <is>
          <t>Маржа ₽/ед</t>
        </is>
      </c>
      <c r="H4" s="33" t="inlineStr">
        <is>
          <t>Прибыль ₽</t>
        </is>
      </c>
    </row>
    <row r="5">
      <c r="A5" s="34" t="inlineStr">
        <is>
          <t>▶ НА СКЛАДЕ (сейчас)</t>
        </is>
      </c>
      <c r="B5" s="35" t="n"/>
      <c r="C5" s="35" t="n"/>
      <c r="D5" s="35" t="n"/>
      <c r="E5" s="35" t="n"/>
      <c r="F5" s="35" t="n"/>
      <c r="G5" s="35" t="n"/>
      <c r="H5" s="35" t="n"/>
    </row>
    <row r="6">
      <c r="A6" s="14" t="inlineStr">
        <is>
          <t>48905926</t>
        </is>
      </c>
      <c r="B6" s="14" t="inlineStr">
        <is>
          <t>Дед Мороз (№1) красный с подарком за спиной</t>
        </is>
      </c>
      <c r="C6" s="5" t="n">
        <v>292</v>
      </c>
      <c r="D6" s="5" t="n">
        <v>2579</v>
      </c>
      <c r="E6" s="5" t="n">
        <v>2059</v>
      </c>
      <c r="F6" s="5" t="n">
        <v>1342</v>
      </c>
      <c r="G6" s="5" t="n">
        <v>350</v>
      </c>
      <c r="H6" s="5" t="n">
        <v>902650</v>
      </c>
    </row>
    <row r="7">
      <c r="A7" s="14" t="inlineStr">
        <is>
          <t>103431810</t>
        </is>
      </c>
      <c r="B7" s="14" t="inlineStr">
        <is>
          <t>Дед Мороз (№10) серый</t>
        </is>
      </c>
      <c r="C7" s="5" t="n">
        <v>292</v>
      </c>
      <c r="D7" s="5" t="n">
        <v>1444</v>
      </c>
      <c r="E7" s="5" t="n">
        <v>2059</v>
      </c>
      <c r="F7" s="5" t="n">
        <v>1342</v>
      </c>
      <c r="G7" s="5" t="n">
        <v>350</v>
      </c>
      <c r="H7" s="5" t="n">
        <v>505400</v>
      </c>
    </row>
    <row r="8">
      <c r="A8" s="14" t="inlineStr">
        <is>
          <t>104590122</t>
        </is>
      </c>
      <c r="B8" s="14" t="inlineStr">
        <is>
          <t>Дед Мороз (№11) в клетку</t>
        </is>
      </c>
      <c r="C8" s="5" t="n">
        <v>292</v>
      </c>
      <c r="D8" s="5" t="n">
        <v>5430</v>
      </c>
      <c r="E8" s="5" t="n">
        <v>2059</v>
      </c>
      <c r="F8" s="5" t="n">
        <v>1342</v>
      </c>
      <c r="G8" s="5" t="n">
        <v>350</v>
      </c>
      <c r="H8" s="5" t="n">
        <v>1900500</v>
      </c>
    </row>
    <row r="9">
      <c r="A9" s="14" t="inlineStr">
        <is>
          <t>555134309</t>
        </is>
      </c>
      <c r="B9" s="14" t="inlineStr">
        <is>
          <t>Дед Мороз (№11) 45см клетка</t>
        </is>
      </c>
      <c r="C9" s="5" t="n">
        <v>452</v>
      </c>
      <c r="D9" s="5" t="n">
        <v>1920</v>
      </c>
      <c r="E9" s="5" t="n">
        <v>2711</v>
      </c>
      <c r="F9" s="5" t="n">
        <v>1767</v>
      </c>
      <c r="G9" s="5" t="n">
        <v>350</v>
      </c>
      <c r="H9" s="5" t="n">
        <v>672000</v>
      </c>
    </row>
    <row r="10">
      <c r="A10" s="14" t="inlineStr">
        <is>
          <t>555135716</t>
        </is>
      </c>
      <c r="B10" s="14" t="inlineStr">
        <is>
          <t>Дед Мороз (№11) 50см клетка</t>
        </is>
      </c>
      <c r="C10" s="5" t="n">
        <v>507</v>
      </c>
      <c r="D10" s="5" t="n">
        <v>30</v>
      </c>
      <c r="E10" s="5" t="n">
        <v>2824</v>
      </c>
      <c r="F10" s="5" t="n">
        <v>1842</v>
      </c>
      <c r="G10" s="5" t="n">
        <v>350</v>
      </c>
      <c r="H10" s="5" t="n">
        <v>10500</v>
      </c>
    </row>
    <row r="11">
      <c r="A11" s="14" t="inlineStr">
        <is>
          <t>555169767</t>
        </is>
      </c>
      <c r="B11" s="14" t="inlineStr">
        <is>
          <t>Дед Мороз (№11) 85см клетка</t>
        </is>
      </c>
      <c r="C11" s="5" t="n">
        <v>1157</v>
      </c>
      <c r="D11" s="5" t="n">
        <v>5</v>
      </c>
      <c r="E11" s="5" t="n">
        <v>5143</v>
      </c>
      <c r="F11" s="5" t="n">
        <v>3353</v>
      </c>
      <c r="G11" s="5" t="n">
        <v>350</v>
      </c>
      <c r="H11" s="5" t="n">
        <v>1750</v>
      </c>
    </row>
    <row r="12">
      <c r="A12" s="14" t="inlineStr">
        <is>
          <t>103441912</t>
        </is>
      </c>
      <c r="B12" s="14" t="inlineStr">
        <is>
          <t>Дед Мороз (№12) белый лыжи белые боты</t>
        </is>
      </c>
      <c r="C12" s="5" t="n">
        <v>292</v>
      </c>
      <c r="D12" s="5" t="n">
        <v>3904</v>
      </c>
      <c r="E12" s="5" t="n">
        <v>2059</v>
      </c>
      <c r="F12" s="5" t="n">
        <v>1342</v>
      </c>
      <c r="G12" s="5" t="n">
        <v>350</v>
      </c>
      <c r="H12" s="5" t="n">
        <v>1366400</v>
      </c>
    </row>
    <row r="13">
      <c r="A13" s="14" t="inlineStr">
        <is>
          <t>103442522</t>
        </is>
      </c>
      <c r="B13" s="14" t="inlineStr">
        <is>
          <t>Дед Мороз (№13) белый лыжи черные боты</t>
        </is>
      </c>
      <c r="C13" s="5" t="n">
        <v>292</v>
      </c>
      <c r="D13" s="5" t="n">
        <v>996</v>
      </c>
      <c r="E13" s="5" t="n">
        <v>2059</v>
      </c>
      <c r="F13" s="5" t="n">
        <v>1342</v>
      </c>
      <c r="G13" s="5" t="n">
        <v>350</v>
      </c>
      <c r="H13" s="5" t="n">
        <v>348600</v>
      </c>
    </row>
    <row r="14">
      <c r="A14" s="14" t="inlineStr">
        <is>
          <t>48906308</t>
        </is>
      </c>
      <c r="B14" s="14" t="inlineStr">
        <is>
          <t>Дед Мороз (№3) красный с мишкой</t>
        </is>
      </c>
      <c r="C14" s="5" t="n">
        <v>292</v>
      </c>
      <c r="D14" s="5" t="n">
        <v>3506</v>
      </c>
      <c r="E14" s="5" t="n">
        <v>2059</v>
      </c>
      <c r="F14" s="5" t="n">
        <v>1342</v>
      </c>
      <c r="G14" s="5" t="n">
        <v>350</v>
      </c>
      <c r="H14" s="5" t="n">
        <v>1227100</v>
      </c>
    </row>
    <row r="15">
      <c r="A15" s="14" t="inlineStr">
        <is>
          <t>555204573</t>
        </is>
      </c>
      <c r="B15" s="14" t="inlineStr">
        <is>
          <t>Дед Мороз (№3) 45см с мишкой</t>
        </is>
      </c>
      <c r="C15" s="5" t="n">
        <v>452</v>
      </c>
      <c r="D15" s="5" t="n">
        <v>1421</v>
      </c>
      <c r="E15" s="5" t="n">
        <v>2711</v>
      </c>
      <c r="F15" s="5" t="n">
        <v>1767</v>
      </c>
      <c r="G15" s="5" t="n">
        <v>350</v>
      </c>
      <c r="H15" s="5" t="n">
        <v>497350</v>
      </c>
    </row>
    <row r="16">
      <c r="A16" s="14" t="inlineStr">
        <is>
          <t>555208894</t>
        </is>
      </c>
      <c r="B16" s="14" t="inlineStr">
        <is>
          <t>Дед Мороз (№3) 50см с мишкой</t>
        </is>
      </c>
      <c r="C16" s="5" t="n">
        <v>507</v>
      </c>
      <c r="D16" s="5" t="n">
        <v>60</v>
      </c>
      <c r="E16" s="5" t="n">
        <v>2824</v>
      </c>
      <c r="F16" s="5" t="n">
        <v>1842</v>
      </c>
      <c r="G16" s="5" t="n">
        <v>350</v>
      </c>
      <c r="H16" s="5" t="n">
        <v>21000</v>
      </c>
    </row>
    <row r="17">
      <c r="A17" s="14" t="inlineStr">
        <is>
          <t>48906952</t>
        </is>
      </c>
      <c r="B17" s="14" t="inlineStr">
        <is>
          <t>Дед Мороз (№5) красный с подарком в руке</t>
        </is>
      </c>
      <c r="C17" s="5" t="n">
        <v>314</v>
      </c>
      <c r="D17" s="5" t="n">
        <v>4431</v>
      </c>
      <c r="E17" s="5" t="n">
        <v>2106</v>
      </c>
      <c r="F17" s="5" t="n">
        <v>1373</v>
      </c>
      <c r="G17" s="5" t="n">
        <v>350</v>
      </c>
      <c r="H17" s="5" t="n">
        <v>1550850</v>
      </c>
    </row>
    <row r="18">
      <c r="A18" s="14" t="inlineStr">
        <is>
          <t>555212357</t>
        </is>
      </c>
      <c r="B18" s="14" t="inlineStr">
        <is>
          <t>Дед Мороз (№5) 45см с подарком</t>
        </is>
      </c>
      <c r="C18" s="5" t="n">
        <v>452</v>
      </c>
      <c r="D18" s="5" t="n">
        <v>1188</v>
      </c>
      <c r="E18" s="5" t="n">
        <v>2711</v>
      </c>
      <c r="F18" s="5" t="n">
        <v>1767</v>
      </c>
      <c r="G18" s="5" t="n">
        <v>350</v>
      </c>
      <c r="H18" s="5" t="n">
        <v>415800</v>
      </c>
    </row>
    <row r="19">
      <c r="A19" s="14" t="inlineStr">
        <is>
          <t>555213580</t>
        </is>
      </c>
      <c r="B19" s="14" t="inlineStr">
        <is>
          <t>Дед Мороз (№5) 50см с подарком</t>
        </is>
      </c>
      <c r="C19" s="5" t="n">
        <v>507</v>
      </c>
      <c r="D19" s="5" t="n">
        <v>200</v>
      </c>
      <c r="E19" s="5" t="n">
        <v>2824</v>
      </c>
      <c r="F19" s="5" t="n">
        <v>1842</v>
      </c>
      <c r="G19" s="5" t="n">
        <v>350</v>
      </c>
      <c r="H19" s="5" t="n">
        <v>70000</v>
      </c>
    </row>
    <row r="20">
      <c r="A20" s="14" t="inlineStr">
        <is>
          <t>48908708</t>
        </is>
      </c>
      <c r="B20" s="14" t="inlineStr">
        <is>
          <t>Дед Мороз (№6) блестящий</t>
        </is>
      </c>
      <c r="C20" s="5" t="n">
        <v>292</v>
      </c>
      <c r="D20" s="5" t="n">
        <v>1519</v>
      </c>
      <c r="E20" s="5" t="n">
        <v>2059</v>
      </c>
      <c r="F20" s="5" t="n">
        <v>1342</v>
      </c>
      <c r="G20" s="5" t="n">
        <v>350</v>
      </c>
      <c r="H20" s="5" t="n">
        <v>531650</v>
      </c>
    </row>
    <row r="21">
      <c r="A21" s="14" t="inlineStr">
        <is>
          <t>103431353</t>
        </is>
      </c>
      <c r="B21" s="14" t="inlineStr">
        <is>
          <t>Дед Мороз (№9) красный рябь</t>
        </is>
      </c>
      <c r="C21" s="5" t="n">
        <v>292</v>
      </c>
      <c r="D21" s="5" t="n">
        <v>1290</v>
      </c>
      <c r="E21" s="5" t="n">
        <v>2059</v>
      </c>
      <c r="F21" s="5" t="n">
        <v>1342</v>
      </c>
      <c r="G21" s="5" t="n">
        <v>350</v>
      </c>
      <c r="H21" s="5" t="n">
        <v>451500</v>
      </c>
    </row>
    <row r="22">
      <c r="A22" s="14" t="inlineStr">
        <is>
          <t>190314124</t>
        </is>
      </c>
      <c r="B22" s="14" t="inlineStr">
        <is>
          <t>СГ-Белая с узорами</t>
        </is>
      </c>
      <c r="C22" s="5" t="n">
        <v>304</v>
      </c>
      <c r="D22" s="5" t="n">
        <v>717</v>
      </c>
      <c r="E22" s="5" t="n">
        <v>2084</v>
      </c>
      <c r="F22" s="5" t="n">
        <v>1359</v>
      </c>
      <c r="G22" s="5" t="n">
        <v>350</v>
      </c>
      <c r="H22" s="5" t="n">
        <v>250950</v>
      </c>
    </row>
    <row r="23">
      <c r="A23" s="14" t="inlineStr">
        <is>
          <t>190314349</t>
        </is>
      </c>
      <c r="B23" s="14" t="inlineStr">
        <is>
          <t>СГ-Красная</t>
        </is>
      </c>
      <c r="C23" s="5" t="n">
        <v>304</v>
      </c>
      <c r="D23" s="5" t="n">
        <v>212</v>
      </c>
      <c r="E23" s="5" t="n">
        <v>2084</v>
      </c>
      <c r="F23" s="5" t="n">
        <v>1359</v>
      </c>
      <c r="G23" s="5" t="n">
        <v>350</v>
      </c>
      <c r="H23" s="5" t="n">
        <v>74200</v>
      </c>
    </row>
    <row r="24">
      <c r="A24" s="15" t="inlineStr">
        <is>
          <t>Итого склад</t>
        </is>
      </c>
      <c r="B24" s="16" t="n"/>
      <c r="C24" s="16" t="n"/>
      <c r="D24" s="17" t="n">
        <v>30852</v>
      </c>
      <c r="E24" s="16" t="n"/>
      <c r="F24" s="16" t="n"/>
      <c r="G24" s="16" t="n"/>
      <c r="H24" s="17" t="n">
        <v>10798200</v>
      </c>
    </row>
    <row r="26">
      <c r="A26" s="12" t="inlineStr">
        <is>
          <t>▶ КОНТЕЙНЕР 40HQ в пути (к декабрю)</t>
        </is>
      </c>
      <c r="B26" s="13" t="n"/>
      <c r="C26" s="13" t="n"/>
      <c r="D26" s="13" t="n"/>
      <c r="E26" s="13" t="n"/>
      <c r="F26" s="13" t="n"/>
      <c r="G26" s="13" t="n"/>
      <c r="H26" s="13" t="n"/>
    </row>
    <row r="27">
      <c r="A27" s="14" t="inlineStr">
        <is>
          <t>дм-3</t>
        </is>
      </c>
      <c r="B27" s="14" t="inlineStr">
        <is>
          <t>35CM</t>
        </is>
      </c>
      <c r="C27" s="5" t="n">
        <v>292</v>
      </c>
      <c r="D27" s="5" t="n">
        <v>5070</v>
      </c>
      <c r="E27" s="5" t="n">
        <v>2060</v>
      </c>
      <c r="F27" s="5" t="n">
        <v>1343</v>
      </c>
      <c r="G27" s="5" t="n">
        <v>350</v>
      </c>
      <c r="H27" s="5" t="n">
        <v>1774500</v>
      </c>
    </row>
    <row r="28">
      <c r="A28" s="14" t="inlineStr">
        <is>
          <t>дм-3B</t>
        </is>
      </c>
      <c r="B28" s="14" t="inlineStr">
        <is>
          <t>50CM</t>
        </is>
      </c>
      <c r="C28" s="5" t="n">
        <v>507</v>
      </c>
      <c r="D28" s="5" t="n">
        <v>672</v>
      </c>
      <c r="E28" s="5" t="n">
        <v>2825</v>
      </c>
      <c r="F28" s="5" t="n">
        <v>1842</v>
      </c>
      <c r="G28" s="5" t="n">
        <v>350</v>
      </c>
      <c r="H28" s="5" t="n">
        <v>235200</v>
      </c>
    </row>
    <row r="29">
      <c r="A29" s="14" t="inlineStr">
        <is>
          <t>дм-3C</t>
        </is>
      </c>
      <c r="B29" s="14" t="inlineStr">
        <is>
          <t>65CM</t>
        </is>
      </c>
      <c r="C29" s="5" t="n">
        <v>841</v>
      </c>
      <c r="D29" s="5" t="n">
        <v>156</v>
      </c>
      <c r="E29" s="5" t="n">
        <v>3882</v>
      </c>
      <c r="F29" s="5" t="n">
        <v>2531</v>
      </c>
      <c r="G29" s="5" t="n">
        <v>350</v>
      </c>
      <c r="H29" s="5" t="n">
        <v>54600</v>
      </c>
    </row>
    <row r="30">
      <c r="A30" s="14" t="inlineStr">
        <is>
          <t>дм-7</t>
        </is>
      </c>
      <c r="B30" s="14" t="inlineStr">
        <is>
          <t>35CM</t>
        </is>
      </c>
      <c r="C30" s="5" t="n">
        <v>292</v>
      </c>
      <c r="D30" s="5" t="n">
        <v>930</v>
      </c>
      <c r="E30" s="5" t="n">
        <v>2060</v>
      </c>
      <c r="F30" s="5" t="n">
        <v>1343</v>
      </c>
      <c r="G30" s="5" t="n">
        <v>350</v>
      </c>
      <c r="H30" s="5" t="n">
        <v>325500</v>
      </c>
    </row>
    <row r="31">
      <c r="A31" s="14" t="inlineStr">
        <is>
          <t>дм-5</t>
        </is>
      </c>
      <c r="B31" s="14" t="inlineStr">
        <is>
          <t>35CM</t>
        </is>
      </c>
      <c r="C31" s="5" t="n">
        <v>292</v>
      </c>
      <c r="D31" s="5" t="n">
        <v>1200</v>
      </c>
      <c r="E31" s="5" t="n">
        <v>2060</v>
      </c>
      <c r="F31" s="5" t="n">
        <v>1343</v>
      </c>
      <c r="G31" s="5" t="n">
        <v>350</v>
      </c>
      <c r="H31" s="5" t="n">
        <v>420000</v>
      </c>
    </row>
    <row r="32">
      <c r="A32" s="14" t="inlineStr">
        <is>
          <t>дм-5B</t>
        </is>
      </c>
      <c r="B32" s="14" t="inlineStr">
        <is>
          <t>50CM</t>
        </is>
      </c>
      <c r="C32" s="5" t="n">
        <v>507</v>
      </c>
      <c r="D32" s="5" t="n">
        <v>444</v>
      </c>
      <c r="E32" s="5" t="n">
        <v>2825</v>
      </c>
      <c r="F32" s="5" t="n">
        <v>1842</v>
      </c>
      <c r="G32" s="5" t="n">
        <v>350</v>
      </c>
      <c r="H32" s="5" t="n">
        <v>155400</v>
      </c>
    </row>
    <row r="33">
      <c r="A33" s="14" t="inlineStr">
        <is>
          <t>дм-8B</t>
        </is>
      </c>
      <c r="B33" s="14" t="inlineStr">
        <is>
          <t>50CM</t>
        </is>
      </c>
      <c r="C33" s="5" t="n">
        <v>507</v>
      </c>
      <c r="D33" s="5" t="n">
        <v>576</v>
      </c>
      <c r="E33" s="5" t="n">
        <v>2825</v>
      </c>
      <c r="F33" s="5" t="n">
        <v>1842</v>
      </c>
      <c r="G33" s="5" t="n">
        <v>350</v>
      </c>
      <c r="H33" s="5" t="n">
        <v>201600</v>
      </c>
    </row>
    <row r="34">
      <c r="A34" s="14" t="inlineStr">
        <is>
          <t>дм-2</t>
        </is>
      </c>
      <c r="B34" s="14" t="inlineStr">
        <is>
          <t>35CM</t>
        </is>
      </c>
      <c r="C34" s="5" t="n">
        <v>292</v>
      </c>
      <c r="D34" s="5" t="n">
        <v>990</v>
      </c>
      <c r="E34" s="5" t="n">
        <v>2060</v>
      </c>
      <c r="F34" s="5" t="n">
        <v>1343</v>
      </c>
      <c r="G34" s="5" t="n">
        <v>350</v>
      </c>
      <c r="H34" s="5" t="n">
        <v>346500</v>
      </c>
    </row>
    <row r="35">
      <c r="A35" s="14" t="inlineStr">
        <is>
          <t>дм-10</t>
        </is>
      </c>
      <c r="B35" s="14" t="inlineStr">
        <is>
          <t>35CM</t>
        </is>
      </c>
      <c r="C35" s="5" t="n">
        <v>292</v>
      </c>
      <c r="D35" s="5" t="n">
        <v>930</v>
      </c>
      <c r="E35" s="5" t="n">
        <v>2060</v>
      </c>
      <c r="F35" s="5" t="n">
        <v>1343</v>
      </c>
      <c r="G35" s="5" t="n">
        <v>350</v>
      </c>
      <c r="H35" s="5" t="n">
        <v>325500</v>
      </c>
    </row>
    <row r="36">
      <c r="A36" s="14" t="inlineStr">
        <is>
          <t>дм-15</t>
        </is>
      </c>
      <c r="B36" s="14" t="inlineStr">
        <is>
          <t>35CM</t>
        </is>
      </c>
      <c r="C36" s="5" t="n">
        <v>292</v>
      </c>
      <c r="D36" s="5" t="n">
        <v>210</v>
      </c>
      <c r="E36" s="5" t="n">
        <v>2060</v>
      </c>
      <c r="F36" s="5" t="n">
        <v>1343</v>
      </c>
      <c r="G36" s="5" t="n">
        <v>350</v>
      </c>
      <c r="H36" s="5" t="n">
        <v>73500</v>
      </c>
    </row>
    <row r="37">
      <c r="A37" s="14" t="inlineStr">
        <is>
          <t>СГ-1</t>
        </is>
      </c>
      <c r="B37" s="14" t="inlineStr">
        <is>
          <t>СГ-Белая с узорами</t>
        </is>
      </c>
      <c r="C37" s="5" t="n">
        <v>304</v>
      </c>
      <c r="D37" s="5" t="n">
        <v>780</v>
      </c>
      <c r="E37" s="5" t="n">
        <v>2085</v>
      </c>
      <c r="F37" s="5" t="n">
        <v>1359</v>
      </c>
      <c r="G37" s="5" t="n">
        <v>350</v>
      </c>
      <c r="H37" s="5" t="n">
        <v>273000</v>
      </c>
    </row>
    <row r="38">
      <c r="A38" s="14" t="inlineStr">
        <is>
          <t>СГ-2</t>
        </is>
      </c>
      <c r="B38" s="14" t="inlineStr">
        <is>
          <t>СГ-Красная</t>
        </is>
      </c>
      <c r="C38" s="5" t="n">
        <v>304</v>
      </c>
      <c r="D38" s="5" t="n">
        <v>510</v>
      </c>
      <c r="E38" s="5" t="n">
        <v>2085</v>
      </c>
      <c r="F38" s="5" t="n">
        <v>1359</v>
      </c>
      <c r="G38" s="5" t="n">
        <v>350</v>
      </c>
      <c r="H38" s="5" t="n">
        <v>178500</v>
      </c>
    </row>
    <row r="39">
      <c r="A39" s="14" t="inlineStr">
        <is>
          <t>Объём, м³</t>
        </is>
      </c>
      <c r="B39" s="14" t="inlineStr">
        <is>
          <t>None</t>
        </is>
      </c>
      <c r="C39" s="5" t="n">
        <v>292</v>
      </c>
      <c r="D39" s="5" t="n">
        <v>52</v>
      </c>
      <c r="E39" s="5" t="n">
        <v>2060</v>
      </c>
      <c r="F39" s="5" t="n">
        <v>1343</v>
      </c>
      <c r="G39" s="5" t="n">
        <v>350</v>
      </c>
      <c r="H39" s="5" t="n">
        <v>18200</v>
      </c>
    </row>
    <row r="40">
      <c r="A40" s="14" t="inlineStr">
        <is>
          <t>Вес брутто, т</t>
        </is>
      </c>
      <c r="B40" s="14" t="inlineStr">
        <is>
          <t>None</t>
        </is>
      </c>
      <c r="C40" s="5" t="n">
        <v>292</v>
      </c>
      <c r="D40" s="5" t="n">
        <v>3</v>
      </c>
      <c r="E40" s="5" t="n">
        <v>2060</v>
      </c>
      <c r="F40" s="5" t="n">
        <v>1343</v>
      </c>
      <c r="G40" s="5" t="n">
        <v>350</v>
      </c>
      <c r="H40" s="5" t="n">
        <v>1050</v>
      </c>
    </row>
    <row r="41">
      <c r="A41" s="14" t="inlineStr">
        <is>
          <t>Вместимость 40HQ, м³ (ориент.)</t>
        </is>
      </c>
      <c r="B41" s="14" t="inlineStr">
        <is>
          <t>None</t>
        </is>
      </c>
      <c r="C41" s="5" t="n">
        <v>292</v>
      </c>
      <c r="D41" s="5" t="n">
        <v>76</v>
      </c>
      <c r="E41" s="5" t="n">
        <v>2060</v>
      </c>
      <c r="F41" s="5" t="n">
        <v>1343</v>
      </c>
      <c r="G41" s="5" t="n">
        <v>350</v>
      </c>
      <c r="H41" s="5" t="n">
        <v>26600</v>
      </c>
    </row>
    <row r="42">
      <c r="A42" s="14" t="inlineStr">
        <is>
          <t>Загрузка по объёму, %</t>
        </is>
      </c>
      <c r="B42" s="14" t="inlineStr">
        <is>
          <t>None</t>
        </is>
      </c>
      <c r="C42" s="5" t="n">
        <v>292</v>
      </c>
      <c r="D42" s="5" t="n">
        <v>68</v>
      </c>
      <c r="E42" s="5" t="n">
        <v>2060</v>
      </c>
      <c r="F42" s="5" t="n">
        <v>1343</v>
      </c>
      <c r="G42" s="5" t="n">
        <v>350</v>
      </c>
      <c r="H42" s="5" t="n">
        <v>23800</v>
      </c>
    </row>
    <row r="43">
      <c r="A43" s="14" t="inlineStr">
        <is>
          <t>Свободно, м³</t>
        </is>
      </c>
      <c r="B43" s="14" t="inlineStr">
        <is>
          <t>None</t>
        </is>
      </c>
      <c r="C43" s="5" t="n">
        <v>292</v>
      </c>
      <c r="D43" s="5" t="n">
        <v>24</v>
      </c>
      <c r="E43" s="5" t="n">
        <v>2060</v>
      </c>
      <c r="F43" s="5" t="n">
        <v>1343</v>
      </c>
      <c r="G43" s="5" t="n">
        <v>350</v>
      </c>
      <c r="H43" s="5" t="n">
        <v>8400</v>
      </c>
    </row>
    <row r="44">
      <c r="A44" s="15" t="inlineStr">
        <is>
          <t>Итого контейнер</t>
        </is>
      </c>
      <c r="B44" s="16" t="n"/>
      <c r="C44" s="16" t="n"/>
      <c r="D44" s="17" t="n">
        <v>12691</v>
      </c>
      <c r="E44" s="16" t="n"/>
      <c r="F44" s="16" t="n"/>
      <c r="G44" s="16" t="n"/>
      <c r="H44" s="17" t="n">
        <v>4441850</v>
      </c>
    </row>
    <row r="46">
      <c r="A46" s="6" t="inlineStr">
        <is>
          <t>ИТОГО ДЕДЫ МОРОЗЫ</t>
        </is>
      </c>
      <c r="B46" s="23" t="n"/>
      <c r="C46" s="23" t="n"/>
      <c r="D46" s="7" t="n">
        <v>43543</v>
      </c>
      <c r="E46" s="23" t="n"/>
      <c r="F46" s="23" t="n"/>
      <c r="G46" s="23" t="n"/>
      <c r="H46" s="7" t="n">
        <v>15240050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2026-10-01T18:57:48Z</dcterms:created>
  <dcterms:modified xsi:type="dcterms:W3CDTF">2026-10-01T20:17:20Z</dcterms:modified>
</cp:coreProperties>
</file>
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АШБОРД" sheetId="1" state="visible" r:id="rId1"/>
    <sheet name="Косметика по брендам" sheetId="2" state="visible" r:id="rId2"/>
    <sheet name="Деды Морозы" sheetId="3" state="visible" r:id="rId3"/>
    <sheet name="Электрони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sz val="10"/>
    </font>
    <font>
      <b val="1"/>
      <sz val="12"/>
    </font>
    <font>
      <i val="1"/>
      <color rgb="00808080"/>
      <sz val="9"/>
    </font>
    <font>
      <b val="1"/>
      <color rgb="00FFFFFF"/>
    </font>
    <font>
      <b val="1"/>
      <color rgb="001F4E78"/>
    </font>
    <font>
      <b val="1"/>
    </font>
    <font>
      <b val="1"/>
      <color rgb="00C00000"/>
      <sz val="13"/>
    </font>
    <font>
      <b val="1"/>
      <i val="1"/>
      <color rgb="00C00000"/>
    </font>
    <font>
      <b val="1"/>
      <color rgb="00375623"/>
      <sz val="13"/>
    </font>
    <font>
      <b val="1"/>
      <i val="1"/>
      <color rgb="00375623"/>
    </font>
    <font>
      <b val="1"/>
      <color rgb="001F4E78"/>
      <sz val="14"/>
    </font>
    <font>
      <i val="1"/>
      <color rgb="00C00000"/>
      <sz val="10"/>
    </font>
    <font>
      <color rgb="00808080"/>
      <sz val="10"/>
    </font>
  </fonts>
  <fills count="12">
    <fill>
      <patternFill/>
    </fill>
    <fill>
      <patternFill patternType="gray125"/>
    </fill>
    <fill>
      <patternFill patternType="solid">
        <fgColor rgb="00FFD966"/>
      </patternFill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C6E0B4"/>
      </patternFill>
    </fill>
    <fill>
      <patternFill patternType="solid">
        <fgColor rgb="00C00000"/>
      </patternFill>
    </fill>
    <fill>
      <patternFill patternType="solid">
        <fgColor rgb="00375623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3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4" borderId="1" pivotButton="0" quotePrefix="0" xfId="0"/>
    <xf numFmtId="0" fontId="0" fillId="4" borderId="1" pivotButton="0" quotePrefix="0" xfId="0"/>
    <xf numFmtId="0" fontId="0" fillId="0" borderId="1" pivotButton="0" quotePrefix="0" xfId="0"/>
    <xf numFmtId="3" fontId="0" fillId="0" borderId="1" pivotButton="0" quotePrefix="0" xfId="0"/>
    <xf numFmtId="0" fontId="7" fillId="5" borderId="1" pivotButton="0" quotePrefix="0" xfId="0"/>
    <xf numFmtId="0" fontId="0" fillId="5" borderId="1" pivotButton="0" quotePrefix="0" xfId="0"/>
    <xf numFmtId="3" fontId="7" fillId="5" borderId="1" pivotButton="0" quotePrefix="0" xfId="0"/>
    <xf numFmtId="0" fontId="0" fillId="6" borderId="1" pivotButton="0" quotePrefix="0" xfId="0"/>
    <xf numFmtId="3" fontId="0" fillId="6" borderId="1" pivotButton="0" quotePrefix="0" xfId="0"/>
    <xf numFmtId="0" fontId="0" fillId="7" borderId="1" pivotButton="0" quotePrefix="0" xfId="0"/>
    <xf numFmtId="3" fontId="0" fillId="7" borderId="1" pivotButton="0" quotePrefix="0" xfId="0"/>
    <xf numFmtId="0" fontId="3" fillId="8" borderId="0" pivotButton="0" quotePrefix="0" xfId="0"/>
    <xf numFmtId="0" fontId="0" fillId="8" borderId="0" pivotButton="0" quotePrefix="0" xfId="0"/>
    <xf numFmtId="3" fontId="3" fillId="8" borderId="0" pivotButton="0" quotePrefix="0" xfId="0"/>
    <xf numFmtId="0" fontId="12" fillId="0" borderId="0" pivotButton="0" quotePrefix="0" xfId="0"/>
    <xf numFmtId="0" fontId="7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8" fillId="0" borderId="0" pivotButton="0" quotePrefix="0" xfId="0"/>
    <xf numFmtId="0" fontId="5" fillId="9" borderId="1" applyAlignment="1" pivotButton="0" quotePrefix="0" xfId="0">
      <alignment horizontal="center" vertical="center" wrapText="1"/>
    </xf>
    <xf numFmtId="0" fontId="7" fillId="8" borderId="0" pivotButton="0" quotePrefix="0" xfId="0"/>
    <xf numFmtId="3" fontId="7" fillId="8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5" fillId="10" borderId="1" applyAlignment="1" pivotButton="0" quotePrefix="0" xfId="0">
      <alignment horizontal="center" vertical="center" wrapText="1"/>
    </xf>
    <xf numFmtId="0" fontId="0" fillId="11" borderId="1" pivotButton="0" quotePrefix="0" xfId="0"/>
    <xf numFmtId="3" fontId="0" fillId="11" borderId="1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6" customWidth="1" min="3" max="3"/>
    <col width="16" customWidth="1" min="4" max="4"/>
    <col width="18" customWidth="1" min="5" max="5"/>
  </cols>
  <sheetData>
    <row r="1">
      <c r="A1" s="20" t="inlineStr">
        <is>
          <t>ДАШБОРД — ПЛАН ОКТЯБРЬ 2026 (Коротич)</t>
        </is>
      </c>
    </row>
    <row r="2">
      <c r="A2" s="4" t="inlineStr">
        <is>
          <t>База — факт окт-2025 (колонка в листе Косметика). Коэффициент роста меняется там. Сегодня 01.10.2026.</t>
        </is>
      </c>
    </row>
    <row r="4">
      <c r="A4" s="5" t="inlineStr">
        <is>
          <t>Группа</t>
        </is>
      </c>
      <c r="B4" s="5" t="inlineStr">
        <is>
          <t>Остаток шт</t>
        </is>
      </c>
      <c r="C4" s="5" t="inlineStr">
        <is>
          <t>План окт шт</t>
        </is>
      </c>
      <c r="D4" s="5" t="inlineStr">
        <is>
          <t>План выручка ₽</t>
        </is>
      </c>
      <c r="E4" s="5" t="inlineStr">
        <is>
          <t>План прибыль ₽</t>
        </is>
      </c>
    </row>
    <row r="5">
      <c r="A5" s="21" t="inlineStr">
        <is>
          <t>КОСМЕТИКА</t>
        </is>
      </c>
      <c r="B5" s="9">
        <f>'Косметика по брендам'!C156</f>
        <v/>
      </c>
      <c r="C5" s="9">
        <f>'Косметика по брендам'!E156</f>
        <v/>
      </c>
      <c r="D5" s="9">
        <f>'Косметика по брендам'!I156</f>
        <v/>
      </c>
      <c r="E5" s="9">
        <f>'Косметика по брендам'!H156</f>
        <v/>
      </c>
    </row>
    <row r="6">
      <c r="A6" s="21" t="inlineStr">
        <is>
          <t>ДЕДЫ МОРОЗЫ (старт сезона)</t>
        </is>
      </c>
      <c r="B6" s="9" t="n">
        <v>8246</v>
      </c>
      <c r="C6" s="9" t="n">
        <v>1237</v>
      </c>
      <c r="D6" s="9" t="n">
        <v>1660054</v>
      </c>
      <c r="E6" s="9" t="n">
        <v>432950</v>
      </c>
    </row>
    <row r="7">
      <c r="A7" s="21" t="inlineStr">
        <is>
          <t>ЭЛЕКТРОНИКА (распродажа)</t>
        </is>
      </c>
      <c r="B7" s="9" t="n">
        <v>19</v>
      </c>
      <c r="C7" s="9" t="n">
        <v>19</v>
      </c>
      <c r="D7" s="9" t="n">
        <v>0</v>
      </c>
      <c r="E7" s="9" t="n">
        <v>0</v>
      </c>
    </row>
    <row r="8">
      <c r="A8" s="17" t="inlineStr">
        <is>
          <t>ИТОГО</t>
        </is>
      </c>
      <c r="B8" s="18" t="n"/>
      <c r="C8" s="19">
        <f>SUM(C5:C7)</f>
        <v/>
      </c>
      <c r="D8" s="19">
        <f>SUM(D5:D7)</f>
        <v/>
      </c>
      <c r="E8" s="19">
        <f>SUM(E5:E7)</f>
        <v/>
      </c>
    </row>
    <row r="10">
      <c r="A10" s="1">
        <f>CONCATENATE("ИТОГО ПЛАН ПРИБЫЛИ ОКТЯБРЬ: ",TEXT(E8/1000000,"0.00")," млн ₽")</f>
        <v/>
      </c>
    </row>
    <row r="11">
      <c r="A11" s="22" t="inlineStr">
        <is>
          <t>Сезонность факт прошлого года: окт 17,9к → ноя 26,9к → дек 55,1к шт. Главный рост — ноябрь-декабрь.</t>
        </is>
      </c>
    </row>
    <row r="13">
      <c r="A13" s="23" t="inlineStr">
        <is>
          <t>Как пользоваться: на листе «Косметика» измени жёлтую ячейку коэффициента (B2) — весь план и прибыль пересчитаются.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9" customWidth="1" min="3" max="3"/>
    <col width="14" customWidth="1" min="4" max="4"/>
    <col width="15" customWidth="1" min="5" max="5"/>
    <col width="11" customWidth="1" min="6" max="6"/>
    <col width="9" customWidth="1" min="7" max="7"/>
    <col width="13" customWidth="1" min="8" max="8"/>
    <col width="13" customWidth="1" min="9" max="9"/>
    <col width="20" customWidth="1" min="10" max="10"/>
  </cols>
  <sheetData>
    <row r="1">
      <c r="A1" s="1" t="inlineStr">
        <is>
          <t>КОСМЕТИКА — ПЛАН ОКТЯБРЬ 2026 НА БАЗЕ ФАКТА ОКТЯБРЯ 2025</t>
        </is>
      </c>
    </row>
    <row r="2">
      <c r="A2" s="2" t="inlineStr">
        <is>
          <t>Коэффициент роста к окт-2025 →</t>
        </is>
      </c>
      <c r="B2" s="3" t="n">
        <v>1</v>
      </c>
      <c r="C2" s="4" t="inlineStr">
        <is>
          <t>← меняй эту ячейку (1,0 = как в окт-2025; 1,2 = +20%; 0,8 = осторожно). План и прибыль пересчитаются.</t>
        </is>
      </c>
    </row>
    <row r="3">
      <c r="A3" s="4" t="inlineStr">
        <is>
          <t>ПЛАН окт-2026 = МИН(остаток; Окт-2025 × коэффициент). Маржа — при цене под ROI≥30%.</t>
        </is>
      </c>
    </row>
    <row r="5">
      <c r="A5" s="5" t="inlineStr">
        <is>
          <t>Наименование</t>
        </is>
      </c>
      <c r="B5" s="5" t="inlineStr">
        <is>
          <t>Артикул ВБ</t>
        </is>
      </c>
      <c r="C5" s="5" t="inlineStr">
        <is>
          <t>Остаток шт</t>
        </is>
      </c>
      <c r="D5" s="5" t="inlineStr">
        <is>
          <t>Окт-2025 факт шт</t>
        </is>
      </c>
      <c r="E5" s="5" t="inlineStr">
        <is>
          <t>ПЛАН окт-2026 шт</t>
        </is>
      </c>
      <c r="F5" s="5" t="inlineStr">
        <is>
          <t>Цена с СПП ₽</t>
        </is>
      </c>
      <c r="G5" s="5" t="inlineStr">
        <is>
          <t>Маржа ₽/ед</t>
        </is>
      </c>
      <c r="H5" s="5" t="inlineStr">
        <is>
          <t>План выручка ₽</t>
        </is>
      </c>
      <c r="I5" s="5" t="inlineStr">
        <is>
          <t>План прибыль ₽</t>
        </is>
      </c>
      <c r="J5" s="5" t="inlineStr">
        <is>
          <t>Приоритет</t>
        </is>
      </c>
    </row>
    <row r="6">
      <c r="A6" s="6" t="inlineStr">
        <is>
          <t>Косметика/COSRX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</row>
    <row r="7">
      <c r="A7" s="8" t="inlineStr">
        <is>
          <t>COSRX - Salicylic Acid Daily Gentle Cleanser [150ml] / Пенка с салициловой кислотой для проблемной кожи</t>
        </is>
      </c>
      <c r="B7" s="8" t="n">
        <v>204258828</v>
      </c>
      <c r="C7" s="9" t="n">
        <v>218</v>
      </c>
      <c r="D7" s="9" t="n">
        <v>16</v>
      </c>
      <c r="E7" s="9">
        <f>MIN(C7,ROUND(D7*$B$2,0))</f>
        <v/>
      </c>
      <c r="F7" s="9" t="n">
        <v>925</v>
      </c>
      <c r="G7" s="9" t="n">
        <v>141</v>
      </c>
      <c r="H7" s="9">
        <f>E7*F7</f>
        <v/>
      </c>
      <c r="I7" s="9">
        <f>E7*G7</f>
        <v/>
      </c>
      <c r="J7" s="8" t="inlineStr">
        <is>
          <t>Рабочий</t>
        </is>
      </c>
    </row>
    <row r="8">
      <c r="A8" s="10" t="inlineStr">
        <is>
          <t>ИТОГО COSRX</t>
        </is>
      </c>
      <c r="B8" s="11" t="n"/>
      <c r="C8" s="12">
        <f>SUM(C7:C7)</f>
        <v/>
      </c>
      <c r="D8" s="12">
        <f>SUM(D7:D7)</f>
        <v/>
      </c>
      <c r="E8" s="12">
        <f>SUM(E7:E7)</f>
        <v/>
      </c>
      <c r="F8" s="11" t="n"/>
      <c r="G8" s="11" t="n"/>
      <c r="H8" s="12">
        <f>SUM(H7:H7)</f>
        <v/>
      </c>
      <c r="I8" s="12">
        <f>SUM(I7:I7)</f>
        <v/>
      </c>
      <c r="J8" s="11" t="n"/>
    </row>
    <row r="9">
      <c r="A9" s="6" t="inlineStr">
        <is>
          <t>Косметика/DEOPROCE/DEOPROCE-SHAMPOO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</row>
    <row r="10">
      <c r="A10" s="13" t="inlineStr">
        <is>
          <t>DEOPROCE SHAMPOO - BLACK GARLIC INTENSME ENERGY [600ml] мягкая упаковка Шампунь с черным чесноком против выпадения волос</t>
        </is>
      </c>
      <c r="B10" s="13" t="n">
        <v>608837066</v>
      </c>
      <c r="C10" s="14" t="n">
        <v>59</v>
      </c>
      <c r="D10" s="14" t="n">
        <v>0</v>
      </c>
      <c r="E10" s="14">
        <f>MIN(C10,ROUND(D10*$B$2,0))</f>
        <v/>
      </c>
      <c r="F10" s="14" t="n">
        <v>924</v>
      </c>
      <c r="G10" s="14" t="n">
        <v>229</v>
      </c>
      <c r="H10" s="14">
        <f>E10*F10</f>
        <v/>
      </c>
      <c r="I10" s="14">
        <f>E10*G10</f>
        <v/>
      </c>
      <c r="J10" s="13" t="inlineStr">
        <is>
          <t>Нет истории — разогнать</t>
        </is>
      </c>
    </row>
    <row r="11">
      <c r="A11" s="13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B11" s="13" t="n">
        <v>608624295</v>
      </c>
      <c r="C11" s="14" t="n">
        <v>11</v>
      </c>
      <c r="D11" s="14" t="n">
        <v>0</v>
      </c>
      <c r="E11" s="14">
        <f>MIN(C11,ROUND(D11*$B$2,0))</f>
        <v/>
      </c>
      <c r="F11" s="14" t="n">
        <v>925</v>
      </c>
      <c r="G11" s="14" t="n">
        <v>160</v>
      </c>
      <c r="H11" s="14">
        <f>E11*F11</f>
        <v/>
      </c>
      <c r="I11" s="14">
        <f>E11*G11</f>
        <v/>
      </c>
      <c r="J11" s="13" t="inlineStr">
        <is>
          <t>Нет истории — разогнать</t>
        </is>
      </c>
    </row>
    <row r="12">
      <c r="A12" s="13" t="inlineStr">
        <is>
          <t>DEOPROCE SHAMPOO - BLACK GARLIC INTENSME ENERGY [200ml]/ Шампунь с черным чесноком против выпадения волос</t>
        </is>
      </c>
      <c r="B12" s="13" t="n">
        <v>608841921</v>
      </c>
      <c r="C12" s="14" t="n">
        <v>297</v>
      </c>
      <c r="D12" s="14" t="n">
        <v>0</v>
      </c>
      <c r="E12" s="14">
        <f>MIN(C12,ROUND(D12*$B$2,0))</f>
        <v/>
      </c>
      <c r="F12" s="14" t="n">
        <v>613</v>
      </c>
      <c r="G12" s="14" t="n">
        <v>176</v>
      </c>
      <c r="H12" s="14">
        <f>E12*F12</f>
        <v/>
      </c>
      <c r="I12" s="14">
        <f>E12*G12</f>
        <v/>
      </c>
      <c r="J12" s="13" t="inlineStr">
        <is>
          <t>Нет истории — разогнать</t>
        </is>
      </c>
    </row>
    <row r="13">
      <c r="A13" s="10" t="inlineStr">
        <is>
          <t>ИТОГО DEOPROCE/DEOPROCE-SHAMPOO</t>
        </is>
      </c>
      <c r="B13" s="11" t="n"/>
      <c r="C13" s="12">
        <f>SUM(C10:C12)</f>
        <v/>
      </c>
      <c r="D13" s="12">
        <f>SUM(D10:D12)</f>
        <v/>
      </c>
      <c r="E13" s="12">
        <f>SUM(E10:E12)</f>
        <v/>
      </c>
      <c r="F13" s="11" t="n"/>
      <c r="G13" s="11" t="n"/>
      <c r="H13" s="12">
        <f>SUM(H10:H12)</f>
        <v/>
      </c>
      <c r="I13" s="12">
        <f>SUM(I10:I12)</f>
        <v/>
      </c>
      <c r="J13" s="11" t="n"/>
    </row>
    <row r="14">
      <c r="A14" s="6" t="inlineStr">
        <is>
          <t>Косметика/DEOPROCE/НАБОР ШАМПУНЬ+БАЛЬЗАМ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</row>
    <row r="15">
      <c r="A15" s="13" t="inlineStr">
        <is>
          <t>DEOPROCE SHAMPOO+BALSAM - BLACK GARLIC[2000ml]</t>
        </is>
      </c>
      <c r="B15" s="13" t="n">
        <v>214305722</v>
      </c>
      <c r="C15" s="14" t="n">
        <v>395</v>
      </c>
      <c r="D15" s="14" t="n">
        <v>0</v>
      </c>
      <c r="E15" s="14">
        <f>MIN(C15,ROUND(D15*$B$2,0))</f>
        <v/>
      </c>
      <c r="F15" s="14" t="n">
        <v>1964</v>
      </c>
      <c r="G15" s="14" t="n">
        <v>354</v>
      </c>
      <c r="H15" s="14">
        <f>E15*F15</f>
        <v/>
      </c>
      <c r="I15" s="14">
        <f>E15*G15</f>
        <v/>
      </c>
      <c r="J15" s="13" t="inlineStr">
        <is>
          <t>Нет истории — разогнать</t>
        </is>
      </c>
    </row>
    <row r="16">
      <c r="A16" s="10" t="inlineStr">
        <is>
          <t>ИТОГО DEOPROCE/НАБОР ШАМПУНЬ+БАЛЬЗАМ</t>
        </is>
      </c>
      <c r="B16" s="11" t="n"/>
      <c r="C16" s="12">
        <f>SUM(C15:C15)</f>
        <v/>
      </c>
      <c r="D16" s="12">
        <f>SUM(D15:D15)</f>
        <v/>
      </c>
      <c r="E16" s="12">
        <f>SUM(E15:E15)</f>
        <v/>
      </c>
      <c r="F16" s="11" t="n"/>
      <c r="G16" s="11" t="n"/>
      <c r="H16" s="12">
        <f>SUM(H15:H15)</f>
        <v/>
      </c>
      <c r="I16" s="12">
        <f>SUM(I15:I15)</f>
        <v/>
      </c>
      <c r="J16" s="11" t="n"/>
    </row>
    <row r="17">
      <c r="A17" s="6" t="inlineStr">
        <is>
          <t>Косметика/ELIZAVECCA</t>
        </is>
      </c>
      <c r="B17" s="7" t="n"/>
      <c r="C17" s="7" t="n"/>
      <c r="D17" s="7" t="n"/>
      <c r="E17" s="7" t="n"/>
      <c r="F17" s="7" t="n"/>
      <c r="G17" s="7" t="n"/>
      <c r="H17" s="7" t="n"/>
      <c r="I17" s="7" t="n"/>
      <c r="J17" s="7" t="n"/>
    </row>
    <row r="18">
      <c r="A18" s="8" t="inlineStr">
        <is>
          <t>ELIZAVECCA - CER-100 Collagen Ceramide Coating Protein Treatment [100ml] / Коллагеновая маска для волос</t>
        </is>
      </c>
      <c r="B18" s="8" t="n">
        <v>207796350</v>
      </c>
      <c r="C18" s="9" t="n">
        <v>340</v>
      </c>
      <c r="D18" s="9" t="n">
        <v>12</v>
      </c>
      <c r="E18" s="9">
        <f>MIN(C18,ROUND(D18*$B$2,0))</f>
        <v/>
      </c>
      <c r="F18" s="9" t="n">
        <v>717</v>
      </c>
      <c r="G18" s="9" t="n">
        <v>129</v>
      </c>
      <c r="H18" s="9">
        <f>E18*F18</f>
        <v/>
      </c>
      <c r="I18" s="9">
        <f>E18*G18</f>
        <v/>
      </c>
      <c r="J18" s="8" t="inlineStr">
        <is>
          <t>Рабочий</t>
        </is>
      </c>
    </row>
    <row r="19">
      <c r="A19" s="8" t="inlineStr">
        <is>
          <t>ELIZAVECCA - Hell-Pore Galactomyces Pure Ample / Сыворотка для лица с экстрактом галактомисиса</t>
        </is>
      </c>
      <c r="B19" s="8" t="n">
        <v>206058262</v>
      </c>
      <c r="C19" s="9" t="n">
        <v>50</v>
      </c>
      <c r="D19" s="9" t="n">
        <v>3</v>
      </c>
      <c r="E19" s="9">
        <f>MIN(C19,ROUND(D19*$B$2,0))</f>
        <v/>
      </c>
      <c r="F19" s="9" t="n">
        <v>1235</v>
      </c>
      <c r="G19" s="9" t="n">
        <v>242</v>
      </c>
      <c r="H19" s="9">
        <f>E19*F19</f>
        <v/>
      </c>
      <c r="I19" s="9">
        <f>E19*G19</f>
        <v/>
      </c>
      <c r="J19" s="8" t="inlineStr">
        <is>
          <t>Рабочий</t>
        </is>
      </c>
    </row>
    <row r="20">
      <c r="A20" s="10" t="inlineStr">
        <is>
          <t>ИТОГО ELIZAVECCA</t>
        </is>
      </c>
      <c r="B20" s="11" t="n"/>
      <c r="C20" s="12">
        <f>SUM(C18:C19)</f>
        <v/>
      </c>
      <c r="D20" s="12">
        <f>SUM(D18:D19)</f>
        <v/>
      </c>
      <c r="E20" s="12">
        <f>SUM(E18:E19)</f>
        <v/>
      </c>
      <c r="F20" s="11" t="n"/>
      <c r="G20" s="11" t="n"/>
      <c r="H20" s="12">
        <f>SUM(H18:H19)</f>
        <v/>
      </c>
      <c r="I20" s="12">
        <f>SUM(I18:I19)</f>
        <v/>
      </c>
      <c r="J20" s="11" t="n"/>
    </row>
    <row r="21">
      <c r="A21" s="6" t="inlineStr">
        <is>
          <t>Косметика/ENOUGH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</row>
    <row r="22">
      <c r="A22" s="15" t="inlineStr">
        <is>
          <t>ENOUGH - Collagen Moisture Essential Cream [50ml] / Увлажняющий крем для лица с коллагеном</t>
        </is>
      </c>
      <c r="B22" s="15" t="n">
        <v>238415286</v>
      </c>
      <c r="C22" s="16" t="n">
        <v>6400</v>
      </c>
      <c r="D22" s="16" t="n">
        <v>2026</v>
      </c>
      <c r="E22" s="16">
        <f>MIN(C22,ROUND(D22*$B$2,0))</f>
        <v/>
      </c>
      <c r="F22" s="16" t="n">
        <v>614</v>
      </c>
      <c r="G22" s="16" t="n">
        <v>156</v>
      </c>
      <c r="H22" s="16">
        <f>E22*F22</f>
        <v/>
      </c>
      <c r="I22" s="16">
        <f>E22*G22</f>
        <v/>
      </c>
      <c r="J22" s="15" t="inlineStr">
        <is>
          <t>★ Драйвер</t>
        </is>
      </c>
    </row>
    <row r="23">
      <c r="A23" s="8" t="inlineStr">
        <is>
          <t>ENOUGH - Collagen Whitening Moisture Cream 3in1 [50g] / Антивозрастной отбеливающий крем с коллагеном</t>
        </is>
      </c>
      <c r="B23" s="8" t="n">
        <v>238416010</v>
      </c>
      <c r="C23" s="9" t="n">
        <v>254</v>
      </c>
      <c r="D23" s="9" t="n">
        <v>285</v>
      </c>
      <c r="E23" s="9">
        <f>MIN(C23,ROUND(D23*$B$2,0))</f>
        <v/>
      </c>
      <c r="F23" s="9" t="n">
        <v>510</v>
      </c>
      <c r="G23" s="9" t="n">
        <v>68</v>
      </c>
      <c r="H23" s="9">
        <f>E23*F23</f>
        <v/>
      </c>
      <c r="I23" s="9">
        <f>E23*G23</f>
        <v/>
      </c>
      <c r="J23" s="8" t="inlineStr">
        <is>
          <t>Ограничено остатком</t>
        </is>
      </c>
    </row>
    <row r="24">
      <c r="A24" s="8" t="inlineStr">
        <is>
          <t>ENOUGH - Collagen Moisture Foundation [Tone 13] / Тональный крем для лица с коллагеном 13 тон</t>
        </is>
      </c>
      <c r="B24" s="8" t="n">
        <v>150925321</v>
      </c>
      <c r="C24" s="9" t="n">
        <v>53</v>
      </c>
      <c r="D24" s="9" t="n">
        <v>263</v>
      </c>
      <c r="E24" s="9">
        <f>MIN(C24,ROUND(D24*$B$2,0))</f>
        <v/>
      </c>
      <c r="F24" s="9" t="n">
        <v>822</v>
      </c>
      <c r="G24" s="9" t="n">
        <v>221</v>
      </c>
      <c r="H24" s="9">
        <f>E24*F24</f>
        <v/>
      </c>
      <c r="I24" s="9">
        <f>E24*G24</f>
        <v/>
      </c>
      <c r="J24" s="8" t="inlineStr">
        <is>
          <t>Ограничено остатком</t>
        </is>
      </c>
    </row>
    <row r="25">
      <c r="A25" s="8" t="inlineStr">
        <is>
          <t>ENOUGH - Collagen Moisture Foundation [Tone 21] / Тональный крем для лица с коллагеном 21 тон</t>
        </is>
      </c>
      <c r="B25" s="8" t="n">
        <v>150925322</v>
      </c>
      <c r="C25" s="9" t="n">
        <v>198</v>
      </c>
      <c r="D25" s="9" t="n">
        <v>92</v>
      </c>
      <c r="E25" s="9">
        <f>MIN(C25,ROUND(D25*$B$2,0))</f>
        <v/>
      </c>
      <c r="F25" s="9" t="n">
        <v>822</v>
      </c>
      <c r="G25" s="9" t="n">
        <v>195</v>
      </c>
      <c r="H25" s="9">
        <f>E25*F25</f>
        <v/>
      </c>
      <c r="I25" s="9">
        <f>E25*G25</f>
        <v/>
      </c>
      <c r="J25" s="8" t="inlineStr">
        <is>
          <t>Рабочий</t>
        </is>
      </c>
    </row>
    <row r="26">
      <c r="A26" s="8" t="inlineStr">
        <is>
          <t>ENOUGH - Premium Rich Gold Double Wear Radiance Foundation [Tone 21] / Тональный крем с частичками золота 21 тон</t>
        </is>
      </c>
      <c r="B26" s="8" t="n">
        <v>170198109</v>
      </c>
      <c r="C26" s="9" t="n">
        <v>400</v>
      </c>
      <c r="D26" s="9" t="n">
        <v>63</v>
      </c>
      <c r="E26" s="9">
        <f>MIN(C26,ROUND(D26*$B$2,0))</f>
        <v/>
      </c>
      <c r="F26" s="9" t="n">
        <v>718</v>
      </c>
      <c r="G26" s="9" t="n">
        <v>114</v>
      </c>
      <c r="H26" s="9">
        <f>E26*F26</f>
        <v/>
      </c>
      <c r="I26" s="9">
        <f>E26*G26</f>
        <v/>
      </c>
      <c r="J26" s="8" t="inlineStr">
        <is>
          <t>Рабочий</t>
        </is>
      </c>
    </row>
    <row r="27">
      <c r="A27" s="8" t="inlineStr">
        <is>
          <t>ENOUGH - Collagen Moisture BB Cream SPF47 PA+++ [50ml] / Увлажняющий BB крем с коллагеном</t>
        </is>
      </c>
      <c r="B27" s="8" t="n">
        <v>238413828</v>
      </c>
      <c r="C27" s="9" t="n">
        <v>687</v>
      </c>
      <c r="D27" s="9" t="n">
        <v>62</v>
      </c>
      <c r="E27" s="9">
        <f>MIN(C27,ROUND(D27*$B$2,0))</f>
        <v/>
      </c>
      <c r="F27" s="9" t="n">
        <v>527</v>
      </c>
      <c r="G27" s="9" t="n">
        <v>69</v>
      </c>
      <c r="H27" s="9">
        <f>E27*F27</f>
        <v/>
      </c>
      <c r="I27" s="9">
        <f>E27*G27</f>
        <v/>
      </c>
      <c r="J27" s="8" t="inlineStr">
        <is>
          <t>Рабочий</t>
        </is>
      </c>
    </row>
    <row r="28">
      <c r="A28" s="8" t="inlineStr">
        <is>
          <t>ENOUGH - Gold Snail Moisture Foundation [Tone 13] / Тональный крем с муцином улитки 13 тон</t>
        </is>
      </c>
      <c r="B28" s="8" t="n">
        <v>207796789</v>
      </c>
      <c r="C28" s="9" t="n">
        <v>700</v>
      </c>
      <c r="D28" s="9" t="n">
        <v>52</v>
      </c>
      <c r="E28" s="9">
        <f>MIN(C28,ROUND(D28*$B$2,0))</f>
        <v/>
      </c>
      <c r="F28" s="9" t="n">
        <v>717</v>
      </c>
      <c r="G28" s="9" t="n">
        <v>137</v>
      </c>
      <c r="H28" s="9">
        <f>E28*F28</f>
        <v/>
      </c>
      <c r="I28" s="9">
        <f>E28*G28</f>
        <v/>
      </c>
      <c r="J28" s="8" t="inlineStr">
        <is>
          <t>Рабочий</t>
        </is>
      </c>
    </row>
    <row r="29">
      <c r="A29" s="8" t="inlineStr">
        <is>
          <t>ENOUGH - Gold Snail Moisture Foundation [Tone 21] / Тональный крем с муцином улитки 21 тон</t>
        </is>
      </c>
      <c r="B29" s="8" t="n">
        <v>207796898</v>
      </c>
      <c r="C29" s="9" t="n">
        <v>400</v>
      </c>
      <c r="D29" s="9" t="n">
        <v>35</v>
      </c>
      <c r="E29" s="9">
        <f>MIN(C29,ROUND(D29*$B$2,0))</f>
        <v/>
      </c>
      <c r="F29" s="9" t="n">
        <v>718</v>
      </c>
      <c r="G29" s="9" t="n">
        <v>104</v>
      </c>
      <c r="H29" s="9">
        <f>E29*F29</f>
        <v/>
      </c>
      <c r="I29" s="9">
        <f>E29*G29</f>
        <v/>
      </c>
      <c r="J29" s="8" t="inlineStr">
        <is>
          <t>Рабочий</t>
        </is>
      </c>
    </row>
    <row r="30">
      <c r="A30" s="8" t="inlineStr">
        <is>
          <t>ENOUGH - Collagen 3in1 Whitening Moisture Foundation [Tone 21] / Тональный крем для лица с коллагеном 3в1 [21 тон]</t>
        </is>
      </c>
      <c r="B30" s="8" t="n">
        <v>151132052</v>
      </c>
      <c r="C30" s="9" t="n">
        <v>12</v>
      </c>
      <c r="D30" s="9" t="n">
        <v>35</v>
      </c>
      <c r="E30" s="9">
        <f>MIN(C30,ROUND(D30*$B$2,0))</f>
        <v/>
      </c>
      <c r="F30" s="9" t="n">
        <v>718</v>
      </c>
      <c r="G30" s="9" t="n">
        <v>149</v>
      </c>
      <c r="H30" s="9">
        <f>E30*F30</f>
        <v/>
      </c>
      <c r="I30" s="9">
        <f>E30*G30</f>
        <v/>
      </c>
      <c r="J30" s="8" t="inlineStr">
        <is>
          <t>Ограничено остатком</t>
        </is>
      </c>
    </row>
    <row r="31">
      <c r="A31" s="8" t="inlineStr">
        <is>
          <t>ENOUGH - Premium Rich Gold Double Wear Radiance Foundation [Tone 13] / Тональный крем с частичками золота 13 тон</t>
        </is>
      </c>
      <c r="B31" s="8" t="n">
        <v>170198180</v>
      </c>
      <c r="C31" s="9" t="n">
        <v>200</v>
      </c>
      <c r="D31" s="9" t="n">
        <v>24</v>
      </c>
      <c r="E31" s="9">
        <f>MIN(C31,ROUND(D31*$B$2,0))</f>
        <v/>
      </c>
      <c r="F31" s="9" t="n">
        <v>718</v>
      </c>
      <c r="G31" s="9" t="n">
        <v>116</v>
      </c>
      <c r="H31" s="9">
        <f>E31*F31</f>
        <v/>
      </c>
      <c r="I31" s="9">
        <f>E31*G31</f>
        <v/>
      </c>
      <c r="J31" s="8" t="inlineStr">
        <is>
          <t>Рабочий</t>
        </is>
      </c>
    </row>
    <row r="32">
      <c r="A32" s="8" t="inlineStr">
        <is>
          <t>ENOUGH - Premium Ultra X10 Cover Up Collagen Foundation [Tone 13] / Тональный крем с коллагеном 13 тон</t>
        </is>
      </c>
      <c r="B32" s="8" t="n">
        <v>170198835</v>
      </c>
      <c r="C32" s="9" t="n">
        <v>1000</v>
      </c>
      <c r="D32" s="9" t="n">
        <v>10</v>
      </c>
      <c r="E32" s="9">
        <f>MIN(C32,ROUND(D32*$B$2,0))</f>
        <v/>
      </c>
      <c r="F32" s="9" t="n">
        <v>776</v>
      </c>
      <c r="G32" s="9" t="n">
        <v>95</v>
      </c>
      <c r="H32" s="9">
        <f>E32*F32</f>
        <v/>
      </c>
      <c r="I32" s="9">
        <f>E32*G32</f>
        <v/>
      </c>
      <c r="J32" s="8" t="inlineStr">
        <is>
          <t>Рабочий</t>
        </is>
      </c>
    </row>
    <row r="33">
      <c r="A33" s="13" t="inlineStr">
        <is>
          <t>ENOUGH - Premium 8 Peptide Full Cover Perfect Foundation [Tone 21] / Тональный крем с пептидами 21 тон</t>
        </is>
      </c>
      <c r="B33" s="13" t="n">
        <v>170198337</v>
      </c>
      <c r="C33" s="14" t="n">
        <v>23</v>
      </c>
      <c r="D33" s="14" t="n">
        <v>0</v>
      </c>
      <c r="E33" s="14">
        <f>MIN(C33,ROUND(D33*$B$2,0))</f>
        <v/>
      </c>
      <c r="F33" s="14" t="n">
        <v>924</v>
      </c>
      <c r="G33" s="14" t="n">
        <v>203</v>
      </c>
      <c r="H33" s="14">
        <f>E33*F33</f>
        <v/>
      </c>
      <c r="I33" s="14">
        <f>E33*G33</f>
        <v/>
      </c>
      <c r="J33" s="13" t="inlineStr">
        <is>
          <t>Нет истории — разогнать</t>
        </is>
      </c>
    </row>
    <row r="34">
      <c r="A34" s="13" t="inlineStr">
        <is>
          <t>ENOUGH Collagen whitening cover tip concealer #01 [9g]/Консилер для лица (основная карточка) 4.5 рейтинг</t>
        </is>
      </c>
      <c r="B34" s="13" t="n">
        <v>212889025</v>
      </c>
      <c r="C34" s="14" t="n">
        <v>352</v>
      </c>
      <c r="D34" s="14" t="n">
        <v>0</v>
      </c>
      <c r="E34" s="14">
        <f>MIN(C34,ROUND(D34*$B$2,0))</f>
        <v/>
      </c>
      <c r="F34" s="14" t="n">
        <v>822</v>
      </c>
      <c r="G34" s="14" t="n">
        <v>270</v>
      </c>
      <c r="H34" s="14">
        <f>E34*F34</f>
        <v/>
      </c>
      <c r="I34" s="14">
        <f>E34*G34</f>
        <v/>
      </c>
      <c r="J34" s="13" t="inlineStr">
        <is>
          <t>Нет истории — разогнать</t>
        </is>
      </c>
    </row>
    <row r="35">
      <c r="A35" s="13" t="inlineStr">
        <is>
          <t>ENOUGH Collagen whitening cover tip concealer #02 [9g]/Консилер для лица (основная карточка)</t>
        </is>
      </c>
      <c r="B35" s="13" t="n">
        <v>212889027</v>
      </c>
      <c r="C35" s="14" t="n">
        <v>539</v>
      </c>
      <c r="D35" s="14" t="n">
        <v>0</v>
      </c>
      <c r="E35" s="14">
        <f>MIN(C35,ROUND(D35*$B$2,0))</f>
        <v/>
      </c>
      <c r="F35" s="14" t="n">
        <v>822</v>
      </c>
      <c r="G35" s="14" t="n">
        <v>269</v>
      </c>
      <c r="H35" s="14">
        <f>E35*F35</f>
        <v/>
      </c>
      <c r="I35" s="14">
        <f>E35*G35</f>
        <v/>
      </c>
      <c r="J35" s="13" t="inlineStr">
        <is>
          <t>Нет истории — разогнать</t>
        </is>
      </c>
    </row>
    <row r="36">
      <c r="A36" s="13" t="inlineStr">
        <is>
          <t>ENOUGH Collagen whitening cover tip concealer #03 [9g]/ Консилер для лица (основаная карточка)</t>
        </is>
      </c>
      <c r="B36" s="13" t="n">
        <v>212889028</v>
      </c>
      <c r="C36" s="14" t="n">
        <v>694</v>
      </c>
      <c r="D36" s="14" t="n">
        <v>0</v>
      </c>
      <c r="E36" s="14">
        <f>MIN(C36,ROUND(D36*$B$2,0))</f>
        <v/>
      </c>
      <c r="F36" s="14" t="n">
        <v>822</v>
      </c>
      <c r="G36" s="14" t="n">
        <v>252</v>
      </c>
      <c r="H36" s="14">
        <f>E36*F36</f>
        <v/>
      </c>
      <c r="I36" s="14">
        <f>E36*G36</f>
        <v/>
      </c>
      <c r="J36" s="13" t="inlineStr">
        <is>
          <t>Нет истории — разогнать</t>
        </is>
      </c>
    </row>
    <row r="37">
      <c r="A37" s="10" t="inlineStr">
        <is>
          <t>ИТОГО ENOUGH</t>
        </is>
      </c>
      <c r="B37" s="11" t="n"/>
      <c r="C37" s="12">
        <f>SUM(C22:C36)</f>
        <v/>
      </c>
      <c r="D37" s="12">
        <f>SUM(D22:D36)</f>
        <v/>
      </c>
      <c r="E37" s="12">
        <f>SUM(E22:E36)</f>
        <v/>
      </c>
      <c r="F37" s="11" t="n"/>
      <c r="G37" s="11" t="n"/>
      <c r="H37" s="12">
        <f>SUM(H22:H36)</f>
        <v/>
      </c>
      <c r="I37" s="12">
        <f>SUM(I22:I36)</f>
        <v/>
      </c>
      <c r="J37" s="11" t="n"/>
    </row>
    <row r="38">
      <c r="A38" s="6" t="inlineStr">
        <is>
          <t>Косметика/ETUDEHOUSE</t>
        </is>
      </c>
      <c r="B38" s="7" t="n"/>
      <c r="C38" s="7" t="n"/>
      <c r="D38" s="7" t="n"/>
      <c r="E38" s="7" t="n"/>
      <c r="F38" s="7" t="n"/>
      <c r="G38" s="7" t="n"/>
      <c r="H38" s="7" t="n"/>
      <c r="I38" s="7" t="n"/>
      <c r="J38" s="7" t="n"/>
    </row>
    <row r="39">
      <c r="A39" s="15" t="inlineStr">
        <is>
          <t>ETUDE - Baking Powder Crunch Pore Scrub [200ml] / Очищающий скраб для лица с содой</t>
        </is>
      </c>
      <c r="B39" s="15" t="n">
        <v>151313163</v>
      </c>
      <c r="C39" s="16" t="n">
        <v>7182</v>
      </c>
      <c r="D39" s="16" t="n">
        <v>727</v>
      </c>
      <c r="E39" s="16">
        <f>MIN(C39,ROUND(D39*$B$2,0))</f>
        <v/>
      </c>
      <c r="F39" s="16" t="n">
        <v>1029</v>
      </c>
      <c r="G39" s="16" t="n">
        <v>211</v>
      </c>
      <c r="H39" s="16">
        <f>E39*F39</f>
        <v/>
      </c>
      <c r="I39" s="16">
        <f>E39*G39</f>
        <v/>
      </c>
      <c r="J39" s="15" t="inlineStr">
        <is>
          <t>★ Драйвер</t>
        </is>
      </c>
    </row>
    <row r="40">
      <c r="A40" s="8" t="inlineStr">
        <is>
          <t>ETUDE - Baking Powder Crunch Pore Scrub [24*7ml] / Очищающий скраб для лица с содой</t>
        </is>
      </c>
      <c r="B40" s="8" t="n">
        <v>154160085</v>
      </c>
      <c r="C40" s="9" t="n">
        <v>2</v>
      </c>
      <c r="D40" s="9" t="n">
        <v>62</v>
      </c>
      <c r="E40" s="9">
        <f>MIN(C40,ROUND(D40*$B$2,0))</f>
        <v/>
      </c>
      <c r="F40" s="9" t="n">
        <v>986</v>
      </c>
      <c r="G40" s="9" t="n">
        <v>117</v>
      </c>
      <c r="H40" s="9">
        <f>E40*F40</f>
        <v/>
      </c>
      <c r="I40" s="9">
        <f>E40*G40</f>
        <v/>
      </c>
      <c r="J40" s="8" t="inlineStr">
        <is>
          <t>Ограничено остатком</t>
        </is>
      </c>
    </row>
    <row r="41">
      <c r="A41" s="8" t="inlineStr">
        <is>
          <t>ETUDE - Baking Powder BB Deep Cleansing Foam [160ml] / Пенка с содой для глубокого очищения и снятия макияжа</t>
        </is>
      </c>
      <c r="B41" s="8" t="n">
        <v>307073881</v>
      </c>
      <c r="C41" s="9" t="n">
        <v>64</v>
      </c>
      <c r="D41" s="9" t="n">
        <v>28</v>
      </c>
      <c r="E41" s="9">
        <f>MIN(C41,ROUND(D41*$B$2,0))</f>
        <v/>
      </c>
      <c r="F41" s="9" t="n">
        <v>821</v>
      </c>
      <c r="G41" s="9" t="n">
        <v>146</v>
      </c>
      <c r="H41" s="9">
        <f>E41*F41</f>
        <v/>
      </c>
      <c r="I41" s="9">
        <f>E41*G41</f>
        <v/>
      </c>
      <c r="J41" s="8" t="inlineStr">
        <is>
          <t>Рабочий</t>
        </is>
      </c>
    </row>
    <row r="42">
      <c r="A42" s="10" t="inlineStr">
        <is>
          <t>ИТОГО ETUDEHOUSE</t>
        </is>
      </c>
      <c r="B42" s="11" t="n"/>
      <c r="C42" s="12">
        <f>SUM(C39:C41)</f>
        <v/>
      </c>
      <c r="D42" s="12">
        <f>SUM(D39:D41)</f>
        <v/>
      </c>
      <c r="E42" s="12">
        <f>SUM(E39:E41)</f>
        <v/>
      </c>
      <c r="F42" s="11" t="n"/>
      <c r="G42" s="11" t="n"/>
      <c r="H42" s="12">
        <f>SUM(H39:H41)</f>
        <v/>
      </c>
      <c r="I42" s="12">
        <f>SUM(I39:I41)</f>
        <v/>
      </c>
      <c r="J42" s="11" t="n"/>
    </row>
    <row r="43">
      <c r="A43" s="6" t="inlineStr">
        <is>
          <t>Косметика/FARMSTAY</t>
        </is>
      </c>
      <c r="B43" s="7" t="n"/>
      <c r="C43" s="7" t="n"/>
      <c r="D43" s="7" t="n"/>
      <c r="E43" s="7" t="n"/>
      <c r="F43" s="7" t="n"/>
      <c r="G43" s="7" t="n"/>
      <c r="H43" s="7" t="n"/>
      <c r="I43" s="7" t="n"/>
      <c r="J43" s="7" t="n"/>
    </row>
    <row r="44">
      <c r="A44" s="15" t="inlineStr">
        <is>
          <t>FARMSTAY - Collagen &amp; Hyaluronic Acid All-In One Ampoule [250ml] / Сыворотка с коллагеном и гиалуроновой кислотой</t>
        </is>
      </c>
      <c r="B44" s="15" t="n">
        <v>168956391</v>
      </c>
      <c r="C44" s="16" t="n">
        <v>6067</v>
      </c>
      <c r="D44" s="16" t="n">
        <v>1807</v>
      </c>
      <c r="E44" s="16">
        <f>MIN(C44,ROUND(D44*$B$2,0))</f>
        <v/>
      </c>
      <c r="F44" s="16" t="n">
        <v>1011</v>
      </c>
      <c r="G44" s="16" t="n">
        <v>208</v>
      </c>
      <c r="H44" s="16">
        <f>E44*F44</f>
        <v/>
      </c>
      <c r="I44" s="16">
        <f>E44*G44</f>
        <v/>
      </c>
      <c r="J44" s="15" t="inlineStr">
        <is>
          <t>★ Драйвер</t>
        </is>
      </c>
    </row>
    <row r="45">
      <c r="A45" s="15" t="inlineStr">
        <is>
          <t>FARMSTAY - Black Garlic Nourishing Shampoo [530ml] / Шампунь-кондиционер 2в1 с экстрактом черного чеснока</t>
        </is>
      </c>
      <c r="B45" s="15" t="n">
        <v>207472742</v>
      </c>
      <c r="C45" s="16" t="n">
        <v>3200</v>
      </c>
      <c r="D45" s="16" t="n">
        <v>1125</v>
      </c>
      <c r="E45" s="16">
        <f>MIN(C45,ROUND(D45*$B$2,0))</f>
        <v/>
      </c>
      <c r="F45" s="16" t="n">
        <v>1081</v>
      </c>
      <c r="G45" s="16" t="n">
        <v>175</v>
      </c>
      <c r="H45" s="16">
        <f>E45*F45</f>
        <v/>
      </c>
      <c r="I45" s="16">
        <f>E45*G45</f>
        <v/>
      </c>
      <c r="J45" s="15" t="inlineStr">
        <is>
          <t>★ Драйвер</t>
        </is>
      </c>
    </row>
    <row r="46">
      <c r="A46" s="15" t="inlineStr">
        <is>
          <t>FARMSTAY - Escargot Noblesse Intensive Cream [50g] / Крем с муцином королевской улитки</t>
        </is>
      </c>
      <c r="B46" s="15" t="n">
        <v>169076150</v>
      </c>
      <c r="C46" s="16" t="n">
        <v>835</v>
      </c>
      <c r="D46" s="16" t="n">
        <v>474</v>
      </c>
      <c r="E46" s="16">
        <f>MIN(C46,ROUND(D46*$B$2,0))</f>
        <v/>
      </c>
      <c r="F46" s="16" t="n">
        <v>822</v>
      </c>
      <c r="G46" s="16" t="n">
        <v>133</v>
      </c>
      <c r="H46" s="16">
        <f>E46*F46</f>
        <v/>
      </c>
      <c r="I46" s="16">
        <f>E46*G46</f>
        <v/>
      </c>
      <c r="J46" s="15" t="inlineStr">
        <is>
          <t>★ Драйвер</t>
        </is>
      </c>
    </row>
    <row r="47">
      <c r="A47" s="15" t="inlineStr">
        <is>
          <t>FARMSTAY - Gold Snail Premium Cream [50ml] / Омолаживающий крем с муцином улитки и коллоидным золотом</t>
        </is>
      </c>
      <c r="B47" s="15" t="n">
        <v>207469760</v>
      </c>
      <c r="C47" s="16" t="n">
        <v>852</v>
      </c>
      <c r="D47" s="16" t="n">
        <v>460</v>
      </c>
      <c r="E47" s="16">
        <f>MIN(C47,ROUND(D47*$B$2,0))</f>
        <v/>
      </c>
      <c r="F47" s="16" t="n">
        <v>1445</v>
      </c>
      <c r="G47" s="16" t="n">
        <v>396</v>
      </c>
      <c r="H47" s="16">
        <f>E47*F47</f>
        <v/>
      </c>
      <c r="I47" s="16">
        <f>E47*G47</f>
        <v/>
      </c>
      <c r="J47" s="15" t="inlineStr">
        <is>
          <t>★ Драйвер</t>
        </is>
      </c>
    </row>
    <row r="48">
      <c r="A48" s="8" t="inlineStr">
        <is>
          <t>FARMSTAY ESCARGOT NOBLESSE INTENSIVE AMPOULE/ сыворотка с улиткой</t>
        </is>
      </c>
      <c r="B48" s="8" t="n">
        <v>419630142</v>
      </c>
      <c r="C48" s="9" t="n">
        <v>821</v>
      </c>
      <c r="D48" s="9" t="n">
        <v>158</v>
      </c>
      <c r="E48" s="9">
        <f>MIN(C48,ROUND(D48*$B$2,0))</f>
        <v/>
      </c>
      <c r="F48" s="9" t="n">
        <v>936</v>
      </c>
      <c r="G48" s="9" t="n">
        <v>117</v>
      </c>
      <c r="H48" s="9">
        <f>E48*F48</f>
        <v/>
      </c>
      <c r="I48" s="9">
        <f>E48*G48</f>
        <v/>
      </c>
      <c r="J48" s="8" t="inlineStr">
        <is>
          <t>Рабочий</t>
        </is>
      </c>
    </row>
    <row r="49">
      <c r="A49" s="8" t="inlineStr">
        <is>
          <t>FARMSTAY - Collagen Water Full Shampoo &amp; Conditioner [530ml] / Шампунь-кондиционер 2в1 с коллагеном</t>
        </is>
      </c>
      <c r="B49" s="8" t="n">
        <v>207475898</v>
      </c>
      <c r="C49" s="9" t="n">
        <v>3374</v>
      </c>
      <c r="D49" s="9" t="n">
        <v>134</v>
      </c>
      <c r="E49" s="9">
        <f>MIN(C49,ROUND(D49*$B$2,0))</f>
        <v/>
      </c>
      <c r="F49" s="9" t="n">
        <v>1029</v>
      </c>
      <c r="G49" s="9" t="n">
        <v>179</v>
      </c>
      <c r="H49" s="9">
        <f>E49*F49</f>
        <v/>
      </c>
      <c r="I49" s="9">
        <f>E49*G49</f>
        <v/>
      </c>
      <c r="J49" s="8" t="inlineStr">
        <is>
          <t>Рабочий</t>
        </is>
      </c>
    </row>
    <row r="50">
      <c r="A50" s="8" t="inlineStr">
        <is>
          <t>FARMSTAY - Collagen Water Full Moist Rolling Eye Serum [25ml] / Сыворотка роллер для глаз</t>
        </is>
      </c>
      <c r="B50" s="8" t="n">
        <v>212885914</v>
      </c>
      <c r="C50" s="9" t="n">
        <v>156</v>
      </c>
      <c r="D50" s="9" t="n">
        <v>124</v>
      </c>
      <c r="E50" s="9">
        <f>MIN(C50,ROUND(D50*$B$2,0))</f>
        <v/>
      </c>
      <c r="F50" s="9" t="n">
        <v>718</v>
      </c>
      <c r="G50" s="9" t="n">
        <v>151</v>
      </c>
      <c r="H50" s="9">
        <f>E50*F50</f>
        <v/>
      </c>
      <c r="I50" s="9">
        <f>E50*G50</f>
        <v/>
      </c>
      <c r="J50" s="8" t="inlineStr">
        <is>
          <t>Рабочий</t>
        </is>
      </c>
    </row>
    <row r="51">
      <c r="A51" s="8" t="inlineStr">
        <is>
          <t>FARMSTAY - Argan Oil Complete Volume Up Shampoo &amp; Conditioner [530ml] / Шампунь-кондиционер с аргановым маслом</t>
        </is>
      </c>
      <c r="B51" s="8" t="n">
        <v>207476309</v>
      </c>
      <c r="C51" s="9" t="n">
        <v>2298</v>
      </c>
      <c r="D51" s="9" t="n">
        <v>85</v>
      </c>
      <c r="E51" s="9">
        <f>MIN(C51,ROUND(D51*$B$2,0))</f>
        <v/>
      </c>
      <c r="F51" s="9" t="n">
        <v>1029</v>
      </c>
      <c r="G51" s="9" t="n">
        <v>172</v>
      </c>
      <c r="H51" s="9">
        <f>E51*F51</f>
        <v/>
      </c>
      <c r="I51" s="9">
        <f>E51*G51</f>
        <v/>
      </c>
      <c r="J51" s="8" t="inlineStr">
        <is>
          <t>Рабочий</t>
        </is>
      </c>
    </row>
    <row r="52">
      <c r="A52" s="8" t="inlineStr">
        <is>
          <t>FARMSTAY - Collagen Water Full Moist Cream [100g] / Увлажняющий крем с коллагеном</t>
        </is>
      </c>
      <c r="B52" s="8" t="n">
        <v>207477077</v>
      </c>
      <c r="C52" s="9" t="n">
        <v>239</v>
      </c>
      <c r="D52" s="9" t="n">
        <v>64</v>
      </c>
      <c r="E52" s="9">
        <f>MIN(C52,ROUND(D52*$B$2,0))</f>
        <v/>
      </c>
      <c r="F52" s="9" t="n">
        <v>1341</v>
      </c>
      <c r="G52" s="9" t="n">
        <v>271</v>
      </c>
      <c r="H52" s="9">
        <f>E52*F52</f>
        <v/>
      </c>
      <c r="I52" s="9">
        <f>E52*G52</f>
        <v/>
      </c>
      <c r="J52" s="8" t="inlineStr">
        <is>
          <t>Рабочий</t>
        </is>
      </c>
    </row>
    <row r="53">
      <c r="A53" s="8" t="inlineStr">
        <is>
          <t>FARMSTAY - Collagen Pure Cleansing Foam [180ml]/Пенка для умывания</t>
        </is>
      </c>
      <c r="B53" s="8" t="n">
        <v>207476777</v>
      </c>
      <c r="C53" s="9" t="n">
        <v>382</v>
      </c>
      <c r="D53" s="9" t="n">
        <v>33</v>
      </c>
      <c r="E53" s="9">
        <f>MIN(C53,ROUND(D53*$B$2,0))</f>
        <v/>
      </c>
      <c r="F53" s="9" t="n">
        <v>613</v>
      </c>
      <c r="G53" s="9" t="n">
        <v>152</v>
      </c>
      <c r="H53" s="9">
        <f>E53*F53</f>
        <v/>
      </c>
      <c r="I53" s="9">
        <f>E53*G53</f>
        <v/>
      </c>
      <c r="J53" s="8" t="inlineStr">
        <is>
          <t>Рабочий</t>
        </is>
      </c>
    </row>
    <row r="54">
      <c r="A54" s="10" t="inlineStr">
        <is>
          <t>ИТОГО FARMSTAY</t>
        </is>
      </c>
      <c r="B54" s="11" t="n"/>
      <c r="C54" s="12">
        <f>SUM(C44:C53)</f>
        <v/>
      </c>
      <c r="D54" s="12">
        <f>SUM(D44:D53)</f>
        <v/>
      </c>
      <c r="E54" s="12">
        <f>SUM(E44:E53)</f>
        <v/>
      </c>
      <c r="F54" s="11" t="n"/>
      <c r="G54" s="11" t="n"/>
      <c r="H54" s="12">
        <f>SUM(H44:H53)</f>
        <v/>
      </c>
      <c r="I54" s="12">
        <f>SUM(I44:I53)</f>
        <v/>
      </c>
      <c r="J54" s="11" t="n"/>
    </row>
    <row r="55">
      <c r="A55" s="6" t="inlineStr">
        <is>
          <t>Косметика/HEIMISH</t>
        </is>
      </c>
      <c r="B55" s="7" t="n"/>
      <c r="C55" s="7" t="n"/>
      <c r="D55" s="7" t="n"/>
      <c r="E55" s="7" t="n"/>
      <c r="F55" s="7" t="n"/>
      <c r="G55" s="7" t="n"/>
      <c r="H55" s="7" t="n"/>
      <c r="I55" s="7" t="n"/>
      <c r="J55" s="7" t="n"/>
    </row>
    <row r="56">
      <c r="A56" s="8" t="inlineStr">
        <is>
          <t>HEIMISH - Artless Glow Base SPF50+ PA+++(Renew) [40ml] / База под макияж SPF50+ PA+++</t>
        </is>
      </c>
      <c r="B56" s="8" t="n">
        <v>207466866</v>
      </c>
      <c r="C56" s="9" t="n">
        <v>930</v>
      </c>
      <c r="D56" s="9" t="n">
        <v>9</v>
      </c>
      <c r="E56" s="9">
        <f>MIN(C56,ROUND(D56*$B$2,0))</f>
        <v/>
      </c>
      <c r="F56" s="9" t="n">
        <v>1775</v>
      </c>
      <c r="G56" s="9" t="n">
        <v>231</v>
      </c>
      <c r="H56" s="9">
        <f>E56*F56</f>
        <v/>
      </c>
      <c r="I56" s="9">
        <f>E56*G56</f>
        <v/>
      </c>
      <c r="J56" s="8" t="inlineStr">
        <is>
          <t>Рабочий</t>
        </is>
      </c>
    </row>
    <row r="57">
      <c r="A57" s="10" t="inlineStr">
        <is>
          <t>ИТОГО HEIMISH</t>
        </is>
      </c>
      <c r="B57" s="11" t="n"/>
      <c r="C57" s="12">
        <f>SUM(C56:C56)</f>
        <v/>
      </c>
      <c r="D57" s="12">
        <f>SUM(D56:D56)</f>
        <v/>
      </c>
      <c r="E57" s="12">
        <f>SUM(E56:E56)</f>
        <v/>
      </c>
      <c r="F57" s="11" t="n"/>
      <c r="G57" s="11" t="n"/>
      <c r="H57" s="12">
        <f>SUM(H56:H56)</f>
        <v/>
      </c>
      <c r="I57" s="12">
        <f>SUM(I56:I56)</f>
        <v/>
      </c>
      <c r="J57" s="11" t="n"/>
    </row>
    <row r="58">
      <c r="A58" s="6" t="inlineStr">
        <is>
          <t>Косметика/JIGOTT/JIGOTT-CREAM</t>
        </is>
      </c>
      <c r="B58" s="7" t="n"/>
      <c r="C58" s="7" t="n"/>
      <c r="D58" s="7" t="n"/>
      <c r="E58" s="7" t="n"/>
      <c r="F58" s="7" t="n"/>
      <c r="G58" s="7" t="n"/>
      <c r="H58" s="7" t="n"/>
      <c r="I58" s="7" t="n"/>
      <c r="J58" s="7" t="n"/>
    </row>
    <row r="59">
      <c r="A59" s="15" t="inlineStr">
        <is>
          <t>JIGOTT - Snail Lifting Cream [70ml] / Крем для лица увлажняющий антивозрастной</t>
        </is>
      </c>
      <c r="B59" s="15" t="n">
        <v>207482718</v>
      </c>
      <c r="C59" s="16" t="n">
        <v>7139</v>
      </c>
      <c r="D59" s="16" t="n">
        <v>681</v>
      </c>
      <c r="E59" s="16">
        <f>MIN(C59,ROUND(D59*$B$2,0))</f>
        <v/>
      </c>
      <c r="F59" s="16" t="n">
        <v>614</v>
      </c>
      <c r="G59" s="16" t="n">
        <v>118</v>
      </c>
      <c r="H59" s="16">
        <f>E59*F59</f>
        <v/>
      </c>
      <c r="I59" s="16">
        <f>E59*G59</f>
        <v/>
      </c>
      <c r="J59" s="15" t="inlineStr">
        <is>
          <t>★ Драйвер</t>
        </is>
      </c>
    </row>
    <row r="60">
      <c r="A60" s="8" t="inlineStr">
        <is>
          <t>JIGOTT - Snail Reparing Cream [100ml] / Крем для лица увлажняющий антивозрастной с муцином улитки</t>
        </is>
      </c>
      <c r="B60" s="8" t="n">
        <v>207483179</v>
      </c>
      <c r="C60" s="9" t="n">
        <v>777</v>
      </c>
      <c r="D60" s="9" t="n">
        <v>217</v>
      </c>
      <c r="E60" s="9">
        <f>MIN(C60,ROUND(D60*$B$2,0))</f>
        <v/>
      </c>
      <c r="F60" s="9" t="n">
        <v>510</v>
      </c>
      <c r="G60" s="9" t="n">
        <v>72</v>
      </c>
      <c r="H60" s="9">
        <f>E60*F60</f>
        <v/>
      </c>
      <c r="I60" s="9">
        <f>E60*G60</f>
        <v/>
      </c>
      <c r="J60" s="8" t="inlineStr">
        <is>
          <t>Рабочий</t>
        </is>
      </c>
    </row>
    <row r="61">
      <c r="A61" s="8" t="inlineStr">
        <is>
          <t>JIGOTT - Birds Nest Firming Cream [70ml] / Антивозрастной крем с экстрактом ласточкиного гнезда</t>
        </is>
      </c>
      <c r="B61" s="8" t="n">
        <v>207483780</v>
      </c>
      <c r="C61" s="9" t="n">
        <v>1598</v>
      </c>
      <c r="D61" s="9" t="n">
        <v>152</v>
      </c>
      <c r="E61" s="9">
        <f>MIN(C61,ROUND(D61*$B$2,0))</f>
        <v/>
      </c>
      <c r="F61" s="9" t="n">
        <v>613</v>
      </c>
      <c r="G61" s="9" t="n">
        <v>123</v>
      </c>
      <c r="H61" s="9">
        <f>E61*F61</f>
        <v/>
      </c>
      <c r="I61" s="9">
        <f>E61*G61</f>
        <v/>
      </c>
      <c r="J61" s="8" t="inlineStr">
        <is>
          <t>Рабочий</t>
        </is>
      </c>
    </row>
    <row r="62">
      <c r="A62" s="10" t="inlineStr">
        <is>
          <t>ИТОГО JIGOTT/JIGOTT-CREAM</t>
        </is>
      </c>
      <c r="B62" s="11" t="n"/>
      <c r="C62" s="12">
        <f>SUM(C59:C61)</f>
        <v/>
      </c>
      <c r="D62" s="12">
        <f>SUM(D59:D61)</f>
        <v/>
      </c>
      <c r="E62" s="12">
        <f>SUM(E59:E61)</f>
        <v/>
      </c>
      <c r="F62" s="11" t="n"/>
      <c r="G62" s="11" t="n"/>
      <c r="H62" s="12">
        <f>SUM(H59:H61)</f>
        <v/>
      </c>
      <c r="I62" s="12">
        <f>SUM(I59:I61)</f>
        <v/>
      </c>
      <c r="J62" s="11" t="n"/>
    </row>
    <row r="63">
      <c r="A63" s="6" t="inlineStr">
        <is>
          <t>Косметика/JIGOTT/JIGOTT-MASK</t>
        </is>
      </c>
      <c r="B63" s="7" t="n"/>
      <c r="C63" s="7" t="n"/>
      <c r="D63" s="7" t="n"/>
      <c r="E63" s="7" t="n"/>
      <c r="F63" s="7" t="n"/>
      <c r="G63" s="7" t="n"/>
      <c r="H63" s="7" t="n"/>
      <c r="I63" s="7" t="n"/>
      <c r="J63" s="7" t="n"/>
    </row>
    <row r="64">
      <c r="A64" s="8" t="inlineStr">
        <is>
          <t>JIGOTT - Ассорти набор масок [27ml х 15]</t>
        </is>
      </c>
      <c r="B64" s="8" t="n">
        <v>255574453</v>
      </c>
      <c r="C64" s="9" t="n">
        <v>1302</v>
      </c>
      <c r="D64" s="9" t="n">
        <v>240</v>
      </c>
      <c r="E64" s="9">
        <f>MIN(C64,ROUND(D64*$B$2,0))</f>
        <v/>
      </c>
      <c r="F64" s="9" t="n">
        <v>925</v>
      </c>
      <c r="G64" s="9" t="n">
        <v>154</v>
      </c>
      <c r="H64" s="9">
        <f>E64*F64</f>
        <v/>
      </c>
      <c r="I64" s="9">
        <f>E64*G64</f>
        <v/>
      </c>
      <c r="J64" s="8" t="inlineStr">
        <is>
          <t>Рабочий</t>
        </is>
      </c>
    </row>
    <row r="65">
      <c r="A65" s="10" t="inlineStr">
        <is>
          <t>ИТОГО JIGOTT/JIGOTT-MASK</t>
        </is>
      </c>
      <c r="B65" s="11" t="n"/>
      <c r="C65" s="12">
        <f>SUM(C64:C64)</f>
        <v/>
      </c>
      <c r="D65" s="12">
        <f>SUM(D64:D64)</f>
        <v/>
      </c>
      <c r="E65" s="12">
        <f>SUM(E64:E64)</f>
        <v/>
      </c>
      <c r="F65" s="11" t="n"/>
      <c r="G65" s="11" t="n"/>
      <c r="H65" s="12">
        <f>SUM(H64:H64)</f>
        <v/>
      </c>
      <c r="I65" s="12">
        <f>SUM(I64:I64)</f>
        <v/>
      </c>
      <c r="J65" s="11" t="n"/>
    </row>
    <row r="66">
      <c r="A66" s="6" t="inlineStr">
        <is>
          <t>Косметика/JIGOTT/JIGOTT-TONER</t>
        </is>
      </c>
      <c r="B66" s="7" t="n"/>
      <c r="C66" s="7" t="n"/>
      <c r="D66" s="7" t="n"/>
      <c r="E66" s="7" t="n"/>
      <c r="F66" s="7" t="n"/>
      <c r="G66" s="7" t="n"/>
      <c r="H66" s="7" t="n"/>
      <c r="I66" s="7" t="n"/>
      <c r="J66" s="7" t="n"/>
    </row>
    <row r="67">
      <c r="A67" s="15" t="inlineStr">
        <is>
          <t>JIGOTT - Ultimate Real Collagen Toner [300ml] / тонер с коллагеном антивозрастной</t>
        </is>
      </c>
      <c r="B67" s="15" t="n">
        <v>212760119</v>
      </c>
      <c r="C67" s="16" t="n">
        <v>1134</v>
      </c>
      <c r="D67" s="16" t="n">
        <v>405</v>
      </c>
      <c r="E67" s="16">
        <f>MIN(C67,ROUND(D67*$B$2,0))</f>
        <v/>
      </c>
      <c r="F67" s="16" t="n">
        <v>821</v>
      </c>
      <c r="G67" s="16" t="n">
        <v>157</v>
      </c>
      <c r="H67" s="16">
        <f>E67*F67</f>
        <v/>
      </c>
      <c r="I67" s="16">
        <f>E67*G67</f>
        <v/>
      </c>
      <c r="J67" s="15" t="inlineStr">
        <is>
          <t>★ Драйвер</t>
        </is>
      </c>
    </row>
    <row r="68">
      <c r="A68" s="8" t="inlineStr">
        <is>
          <t>JIGOTT - Daily Real Cica Toner [300ml] / Тонер для лица с центеллой азиатской</t>
        </is>
      </c>
      <c r="B68" s="8" t="n">
        <v>212757456</v>
      </c>
      <c r="C68" s="9" t="n">
        <v>1185</v>
      </c>
      <c r="D68" s="9" t="n">
        <v>280</v>
      </c>
      <c r="E68" s="9">
        <f>MIN(C68,ROUND(D68*$B$2,0))</f>
        <v/>
      </c>
      <c r="F68" s="9" t="n">
        <v>821</v>
      </c>
      <c r="G68" s="9" t="n">
        <v>112</v>
      </c>
      <c r="H68" s="9">
        <f>E68*F68</f>
        <v/>
      </c>
      <c r="I68" s="9">
        <f>E68*G68</f>
        <v/>
      </c>
      <c r="J68" s="8" t="inlineStr">
        <is>
          <t>Рабочий</t>
        </is>
      </c>
    </row>
    <row r="69">
      <c r="A69" s="8" t="inlineStr">
        <is>
          <t>JIGOTT - Moisture Real Aloe Vera Toner [300ml] / Тонер для лица увлажняющий с экстрактом алоэ</t>
        </is>
      </c>
      <c r="B69" s="8" t="n">
        <v>212759698</v>
      </c>
      <c r="C69" s="9" t="n">
        <v>202</v>
      </c>
      <c r="D69" s="9" t="n">
        <v>128</v>
      </c>
      <c r="E69" s="9">
        <f>MIN(C69,ROUND(D69*$B$2,0))</f>
        <v/>
      </c>
      <c r="F69" s="9" t="n">
        <v>717</v>
      </c>
      <c r="G69" s="9" t="n">
        <v>94</v>
      </c>
      <c r="H69" s="9">
        <f>E69*F69</f>
        <v/>
      </c>
      <c r="I69" s="9">
        <f>E69*G69</f>
        <v/>
      </c>
      <c r="J69" s="8" t="inlineStr">
        <is>
          <t>Рабочий</t>
        </is>
      </c>
    </row>
    <row r="70">
      <c r="A70" s="8" t="inlineStr">
        <is>
          <t>JIGOTT - Aura Secret Hyaluronec Acid Toner [300ml] / Тонер с гиалуроновой кислотой антивозрастной</t>
        </is>
      </c>
      <c r="B70" s="8" t="n">
        <v>212883090</v>
      </c>
      <c r="C70" s="9" t="n">
        <v>222</v>
      </c>
      <c r="D70" s="9" t="n">
        <v>112</v>
      </c>
      <c r="E70" s="9">
        <f>MIN(C70,ROUND(D70*$B$2,0))</f>
        <v/>
      </c>
      <c r="F70" s="9" t="n">
        <v>821</v>
      </c>
      <c r="G70" s="9" t="n">
        <v>165</v>
      </c>
      <c r="H70" s="9">
        <f>E70*F70</f>
        <v/>
      </c>
      <c r="I70" s="9">
        <f>E70*G70</f>
        <v/>
      </c>
      <c r="J70" s="8" t="inlineStr">
        <is>
          <t>Рабочий</t>
        </is>
      </c>
    </row>
    <row r="71">
      <c r="A71" s="10" t="inlineStr">
        <is>
          <t>ИТОГО JIGOTT/JIGOTT-TONER</t>
        </is>
      </c>
      <c r="B71" s="11" t="n"/>
      <c r="C71" s="12">
        <f>SUM(C67:C70)</f>
        <v/>
      </c>
      <c r="D71" s="12">
        <f>SUM(D67:D70)</f>
        <v/>
      </c>
      <c r="E71" s="12">
        <f>SUM(E67:E70)</f>
        <v/>
      </c>
      <c r="F71" s="11" t="n"/>
      <c r="G71" s="11" t="n"/>
      <c r="H71" s="12">
        <f>SUM(H67:H70)</f>
        <v/>
      </c>
      <c r="I71" s="12">
        <f>SUM(I67:I70)</f>
        <v/>
      </c>
      <c r="J71" s="11" t="n"/>
    </row>
    <row r="72">
      <c r="A72" s="6" t="inlineStr">
        <is>
          <t>Косметика/JMSOLUTION/JM-MASKPACKBLACK</t>
        </is>
      </c>
      <c r="B72" s="7" t="n"/>
      <c r="C72" s="7" t="n"/>
      <c r="D72" s="7" t="n"/>
      <c r="E72" s="7" t="n"/>
      <c r="F72" s="7" t="n"/>
      <c r="G72" s="7" t="n"/>
      <c r="H72" s="7" t="n"/>
      <c r="I72" s="7" t="n"/>
      <c r="J72" s="7" t="n"/>
    </row>
    <row r="73">
      <c r="A73" s="8" t="inlineStr">
        <is>
          <t>JMSOLUTION - MASK PACK BLACK [30ml*10ea] - ассорти набор 10шт в упаковке</t>
        </is>
      </c>
      <c r="B73" s="8" t="n">
        <v>214977901</v>
      </c>
      <c r="C73" s="9" t="n">
        <v>980</v>
      </c>
      <c r="D73" s="9" t="n">
        <v>164</v>
      </c>
      <c r="E73" s="9">
        <f>MIN(C73,ROUND(D73*$B$2,0))</f>
        <v/>
      </c>
      <c r="F73" s="9" t="n">
        <v>1133</v>
      </c>
      <c r="G73" s="9" t="n">
        <v>175</v>
      </c>
      <c r="H73" s="9">
        <f>E73*F73</f>
        <v/>
      </c>
      <c r="I73" s="9">
        <f>E73*G73</f>
        <v/>
      </c>
      <c r="J73" s="8" t="inlineStr">
        <is>
          <t>Рабочий</t>
        </is>
      </c>
    </row>
    <row r="74">
      <c r="A74" s="10" t="inlineStr">
        <is>
          <t>ИТОГО JMSOLUTION/JM-MASKPACKBLACK</t>
        </is>
      </c>
      <c r="B74" s="11" t="n"/>
      <c r="C74" s="12">
        <f>SUM(C73:C73)</f>
        <v/>
      </c>
      <c r="D74" s="12">
        <f>SUM(D73:D73)</f>
        <v/>
      </c>
      <c r="E74" s="12">
        <f>SUM(E73:E73)</f>
        <v/>
      </c>
      <c r="F74" s="11" t="n"/>
      <c r="G74" s="11" t="n"/>
      <c r="H74" s="12">
        <f>SUM(H73:H73)</f>
        <v/>
      </c>
      <c r="I74" s="12">
        <f>SUM(I73:I73)</f>
        <v/>
      </c>
      <c r="J74" s="11" t="n"/>
    </row>
    <row r="75">
      <c r="A75" s="6" t="inlineStr">
        <is>
          <t>Косметика/JMSOLUTION/JM-MASKPACKDISNEY</t>
        </is>
      </c>
      <c r="B75" s="7" t="n"/>
      <c r="C75" s="7" t="n"/>
      <c r="D75" s="7" t="n"/>
      <c r="E75" s="7" t="n"/>
      <c r="F75" s="7" t="n"/>
      <c r="G75" s="7" t="n"/>
      <c r="H75" s="7" t="n"/>
      <c r="I75" s="7" t="n"/>
      <c r="J75" s="7" t="n"/>
    </row>
    <row r="76">
      <c r="A76" s="13" t="inlineStr">
        <is>
          <t>JMSOLUTION - MASK PACK DISNEY [30ml*10ea] - ассорти набор из 10шт</t>
        </is>
      </c>
      <c r="B76" s="13" t="n">
        <v>214964091</v>
      </c>
      <c r="C76" s="14" t="n">
        <v>832</v>
      </c>
      <c r="D76" s="14" t="n">
        <v>0</v>
      </c>
      <c r="E76" s="14">
        <f>MIN(C76,ROUND(D76*$B$2,0))</f>
        <v/>
      </c>
      <c r="F76" s="14" t="n">
        <v>1341</v>
      </c>
      <c r="G76" s="14" t="n">
        <v>318</v>
      </c>
      <c r="H76" s="14">
        <f>E76*F76</f>
        <v/>
      </c>
      <c r="I76" s="14">
        <f>E76*G76</f>
        <v/>
      </c>
      <c r="J76" s="13" t="inlineStr">
        <is>
          <t>Нет истории — разогнать</t>
        </is>
      </c>
    </row>
    <row r="77">
      <c r="A77" s="10" t="inlineStr">
        <is>
          <t>ИТОГО JMSOLUTION/JM-MASKPACKDISNEY</t>
        </is>
      </c>
      <c r="B77" s="11" t="n"/>
      <c r="C77" s="12">
        <f>SUM(C76:C76)</f>
        <v/>
      </c>
      <c r="D77" s="12">
        <f>SUM(D76:D76)</f>
        <v/>
      </c>
      <c r="E77" s="12">
        <f>SUM(E76:E76)</f>
        <v/>
      </c>
      <c r="F77" s="11" t="n"/>
      <c r="G77" s="11" t="n"/>
      <c r="H77" s="12">
        <f>SUM(H76:H76)</f>
        <v/>
      </c>
      <c r="I77" s="12">
        <f>SUM(I76:I76)</f>
        <v/>
      </c>
      <c r="J77" s="11" t="n"/>
    </row>
    <row r="78">
      <c r="A78" s="6" t="inlineStr">
        <is>
          <t>Косметика/LEBELAGE</t>
        </is>
      </c>
      <c r="B78" s="7" t="n"/>
      <c r="C78" s="7" t="n"/>
      <c r="D78" s="7" t="n"/>
      <c r="E78" s="7" t="n"/>
      <c r="F78" s="7" t="n"/>
      <c r="G78" s="7" t="n"/>
      <c r="H78" s="7" t="n"/>
      <c r="I78" s="7" t="n"/>
      <c r="J78" s="7" t="n"/>
    </row>
    <row r="79">
      <c r="A79" s="8" t="inlineStr">
        <is>
          <t>LEBELAGE - Dr. Peptide Derma Eye Cream [40ml] / Крем для глаз антивозрастной с пептидами</t>
        </is>
      </c>
      <c r="B79" s="8" t="n">
        <v>210575566</v>
      </c>
      <c r="C79" s="9" t="n">
        <v>353</v>
      </c>
      <c r="D79" s="9" t="n">
        <v>15</v>
      </c>
      <c r="E79" s="9">
        <f>MIN(C79,ROUND(D79*$B$2,0))</f>
        <v/>
      </c>
      <c r="F79" s="9" t="n">
        <v>510</v>
      </c>
      <c r="G79" s="9" t="n">
        <v>155</v>
      </c>
      <c r="H79" s="9">
        <f>E79*F79</f>
        <v/>
      </c>
      <c r="I79" s="9">
        <f>E79*G79</f>
        <v/>
      </c>
      <c r="J79" s="8" t="inlineStr">
        <is>
          <t>Рабочий</t>
        </is>
      </c>
    </row>
    <row r="80">
      <c r="A80" s="10" t="inlineStr">
        <is>
          <t>ИТОГО LEBELAGE</t>
        </is>
      </c>
      <c r="B80" s="11" t="n"/>
      <c r="C80" s="12">
        <f>SUM(C79:C79)</f>
        <v/>
      </c>
      <c r="D80" s="12">
        <f>SUM(D79:D79)</f>
        <v/>
      </c>
      <c r="E80" s="12">
        <f>SUM(E79:E79)</f>
        <v/>
      </c>
      <c r="F80" s="11" t="n"/>
      <c r="G80" s="11" t="n"/>
      <c r="H80" s="12">
        <f>SUM(H79:H79)</f>
        <v/>
      </c>
      <c r="I80" s="12">
        <f>SUM(I79:I79)</f>
        <v/>
      </c>
      <c r="J80" s="11" t="n"/>
    </row>
    <row r="81">
      <c r="A81" s="6" t="inlineStr">
        <is>
          <t>Косметика/LANEIGE</t>
        </is>
      </c>
      <c r="B81" s="7" t="n"/>
      <c r="C81" s="7" t="n"/>
      <c r="D81" s="7" t="n"/>
      <c r="E81" s="7" t="n"/>
      <c r="F81" s="7" t="n"/>
      <c r="G81" s="7" t="n"/>
      <c r="H81" s="7" t="n"/>
      <c r="I81" s="7" t="n"/>
      <c r="J81" s="7" t="n"/>
    </row>
    <row r="82">
      <c r="A82" s="13" t="inlineStr">
        <is>
          <t>LANEIGE LIP SLEEPING MASK-BERRY [3g]</t>
        </is>
      </c>
      <c r="B82" s="13" t="n">
        <v>868761530</v>
      </c>
      <c r="C82" s="14" t="n">
        <v>226</v>
      </c>
      <c r="D82" s="14" t="n">
        <v>0</v>
      </c>
      <c r="E82" s="14">
        <f>MIN(C82,ROUND(D82*$B$2,0))</f>
        <v/>
      </c>
      <c r="F82" s="14" t="n">
        <v>509</v>
      </c>
      <c r="G82" s="14" t="n">
        <v>139</v>
      </c>
      <c r="H82" s="14">
        <f>E82*F82</f>
        <v/>
      </c>
      <c r="I82" s="14">
        <f>E82*G82</f>
        <v/>
      </c>
      <c r="J82" s="13" t="inlineStr">
        <is>
          <t>Нет истории — разогнать</t>
        </is>
      </c>
    </row>
    <row r="83">
      <c r="A83" s="10" t="inlineStr">
        <is>
          <t>ИТОГО LANEIGE</t>
        </is>
      </c>
      <c r="B83" s="11" t="n"/>
      <c r="C83" s="12">
        <f>SUM(C82:C82)</f>
        <v/>
      </c>
      <c r="D83" s="12">
        <f>SUM(D82:D82)</f>
        <v/>
      </c>
      <c r="E83" s="12">
        <f>SUM(E82:E82)</f>
        <v/>
      </c>
      <c r="F83" s="11" t="n"/>
      <c r="G83" s="11" t="n"/>
      <c r="H83" s="12">
        <f>SUM(H82:H82)</f>
        <v/>
      </c>
      <c r="I83" s="12">
        <f>SUM(I82:I82)</f>
        <v/>
      </c>
      <c r="J83" s="11" t="n"/>
    </row>
    <row r="84">
      <c r="A84" s="6" t="inlineStr">
        <is>
          <t>Косметика/MANYO</t>
        </is>
      </c>
      <c r="B84" s="7" t="n"/>
      <c r="C84" s="7" t="n"/>
      <c r="D84" s="7" t="n"/>
      <c r="E84" s="7" t="n"/>
      <c r="F84" s="7" t="n"/>
      <c r="G84" s="7" t="n"/>
      <c r="H84" s="7" t="n"/>
      <c r="I84" s="7" t="n"/>
      <c r="J84" s="7" t="n"/>
    </row>
    <row r="85">
      <c r="A85" s="8" t="inlineStr">
        <is>
          <t>MANYO - Bifida Biome Complex Ampoule [50ml] / Антивозрастная сыворотка для лица</t>
        </is>
      </c>
      <c r="B85" s="8" t="n">
        <v>198147185</v>
      </c>
      <c r="C85" s="9" t="n">
        <v>1246</v>
      </c>
      <c r="D85" s="9" t="n">
        <v>206</v>
      </c>
      <c r="E85" s="9">
        <f>MIN(C85,ROUND(D85*$B$2,0))</f>
        <v/>
      </c>
      <c r="F85" s="9" t="n">
        <v>2795</v>
      </c>
      <c r="G85" s="9" t="n">
        <v>759</v>
      </c>
      <c r="H85" s="9">
        <f>E85*F85</f>
        <v/>
      </c>
      <c r="I85" s="9">
        <f>E85*G85</f>
        <v/>
      </c>
      <c r="J85" s="8" t="inlineStr">
        <is>
          <t>Рабочий</t>
        </is>
      </c>
    </row>
    <row r="86">
      <c r="A86" s="8" t="inlineStr">
        <is>
          <t>MANYO - Galac Whitening Vita Serum [50ml] / Осветляющая сыворотка с Витамином C</t>
        </is>
      </c>
      <c r="B86" s="8" t="n">
        <v>198156472</v>
      </c>
      <c r="C86" s="9" t="n">
        <v>639</v>
      </c>
      <c r="D86" s="9" t="n">
        <v>179</v>
      </c>
      <c r="E86" s="9">
        <f>MIN(C86,ROUND(D86*$B$2,0))</f>
        <v/>
      </c>
      <c r="F86" s="9" t="n">
        <v>1860</v>
      </c>
      <c r="G86" s="9" t="n">
        <v>444</v>
      </c>
      <c r="H86" s="9">
        <f>E86*F86</f>
        <v/>
      </c>
      <c r="I86" s="9">
        <f>E86*G86</f>
        <v/>
      </c>
      <c r="J86" s="8" t="inlineStr">
        <is>
          <t>Рабочий</t>
        </is>
      </c>
    </row>
    <row r="87">
      <c r="A87" s="8" t="inlineStr">
        <is>
          <t>MANYO - Bifida Biome Ampoule Lotion [300ml] / Укрепляющий лосьон с бифидобактериями</t>
        </is>
      </c>
      <c r="B87" s="8" t="n">
        <v>198143251</v>
      </c>
      <c r="C87" s="9" t="n">
        <v>490</v>
      </c>
      <c r="D87" s="9" t="n">
        <v>62</v>
      </c>
      <c r="E87" s="9">
        <f>MIN(C87,ROUND(D87*$B$2,0))</f>
        <v/>
      </c>
      <c r="F87" s="9" t="n">
        <v>1667</v>
      </c>
      <c r="G87" s="9" t="n">
        <v>221</v>
      </c>
      <c r="H87" s="9">
        <f>E87*F87</f>
        <v/>
      </c>
      <c r="I87" s="9">
        <f>E87*G87</f>
        <v/>
      </c>
      <c r="J87" s="8" t="inlineStr">
        <is>
          <t>Рабочий</t>
        </is>
      </c>
    </row>
    <row r="88">
      <c r="A88" s="8" t="inlineStr">
        <is>
          <t>MANYO - Pure Cleansing Oil [200ml] / Гидрофильное масло для глубокого очищения</t>
        </is>
      </c>
      <c r="B88" s="8" t="n">
        <v>198156698</v>
      </c>
      <c r="C88" s="9" t="n">
        <v>151</v>
      </c>
      <c r="D88" s="9" t="n">
        <v>50</v>
      </c>
      <c r="E88" s="9">
        <f>MIN(C88,ROUND(D88*$B$2,0))</f>
        <v/>
      </c>
      <c r="F88" s="9" t="n">
        <v>2483</v>
      </c>
      <c r="G88" s="9" t="n">
        <v>606</v>
      </c>
      <c r="H88" s="9">
        <f>E88*F88</f>
        <v/>
      </c>
      <c r="I88" s="9">
        <f>E88*G88</f>
        <v/>
      </c>
      <c r="J88" s="8" t="inlineStr">
        <is>
          <t>Рабочий</t>
        </is>
      </c>
    </row>
    <row r="89">
      <c r="A89" s="13" t="inlineStr">
        <is>
          <t>MANYO BIFIDA COMPLEX AMPOULE GEL CLEANSER [400ml] / Гель для умывания с бифидобактериями</t>
        </is>
      </c>
      <c r="B89" s="13" t="n">
        <v>868575374</v>
      </c>
      <c r="C89" s="14" t="n">
        <v>477</v>
      </c>
      <c r="D89" s="14" t="n">
        <v>0</v>
      </c>
      <c r="E89" s="14">
        <f>MIN(C89,ROUND(D89*$B$2,0))</f>
        <v/>
      </c>
      <c r="F89" s="14" t="n">
        <v>2276</v>
      </c>
      <c r="G89" s="14" t="n">
        <v>542</v>
      </c>
      <c r="H89" s="14">
        <f>E89*F89</f>
        <v/>
      </c>
      <c r="I89" s="14">
        <f>E89*G89</f>
        <v/>
      </c>
      <c r="J89" s="13" t="inlineStr">
        <is>
          <t>Нет истории — разогнать</t>
        </is>
      </c>
    </row>
    <row r="90">
      <c r="A90" s="13" t="inlineStr">
        <is>
          <t>MANYO BIFIDA INFUSION SHOT AMPOULE 1DX [50ml] / Сыворотка с микроиглами и пробиотиками</t>
        </is>
      </c>
      <c r="B90" s="13" t="n">
        <v>868700077</v>
      </c>
      <c r="C90" s="14" t="n">
        <v>603</v>
      </c>
      <c r="D90" s="14" t="n">
        <v>0</v>
      </c>
      <c r="E90" s="14">
        <f>MIN(C90,ROUND(D90*$B$2,0))</f>
        <v/>
      </c>
      <c r="F90" s="14" t="n">
        <v>3004</v>
      </c>
      <c r="G90" s="14" t="n">
        <v>690</v>
      </c>
      <c r="H90" s="14">
        <f>E90*F90</f>
        <v/>
      </c>
      <c r="I90" s="14">
        <f>E90*G90</f>
        <v/>
      </c>
      <c r="J90" s="13" t="inlineStr">
        <is>
          <t>Нет истории — разогнать</t>
        </is>
      </c>
    </row>
    <row r="91">
      <c r="A91" s="10" t="inlineStr">
        <is>
          <t>ИТОГО MANYO</t>
        </is>
      </c>
      <c r="B91" s="11" t="n"/>
      <c r="C91" s="12">
        <f>SUM(C85:C90)</f>
        <v/>
      </c>
      <c r="D91" s="12">
        <f>SUM(D85:D90)</f>
        <v/>
      </c>
      <c r="E91" s="12">
        <f>SUM(E85:E90)</f>
        <v/>
      </c>
      <c r="F91" s="11" t="n"/>
      <c r="G91" s="11" t="n"/>
      <c r="H91" s="12">
        <f>SUM(H85:H90)</f>
        <v/>
      </c>
      <c r="I91" s="12">
        <f>SUM(I85:I90)</f>
        <v/>
      </c>
      <c r="J91" s="11" t="n"/>
    </row>
    <row r="92">
      <c r="A92" s="6" t="inlineStr">
        <is>
          <t>Косметика/MASIL</t>
        </is>
      </c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</row>
    <row r="93">
      <c r="A93" s="8" t="inlineStr">
        <is>
          <t>MASIL - 8 Seconds Salon Hair Mask 350ml Set [350ml+8ml*2]</t>
        </is>
      </c>
      <c r="B93" s="8" t="n">
        <v>183030830</v>
      </c>
      <c r="C93" s="9" t="n">
        <v>105</v>
      </c>
      <c r="D93" s="9" t="n">
        <v>25</v>
      </c>
      <c r="E93" s="9">
        <f>MIN(C93,ROUND(D93*$B$2,0))</f>
        <v/>
      </c>
      <c r="F93" s="9" t="n">
        <v>1609</v>
      </c>
      <c r="G93" s="9" t="n">
        <v>201</v>
      </c>
      <c r="H93" s="9">
        <f>E93*F93</f>
        <v/>
      </c>
      <c r="I93" s="9">
        <f>E93*G93</f>
        <v/>
      </c>
      <c r="J93" s="8" t="inlineStr">
        <is>
          <t>Рабочий</t>
        </is>
      </c>
    </row>
    <row r="94">
      <c r="A94" s="10" t="inlineStr">
        <is>
          <t>ИТОГО MASIL</t>
        </is>
      </c>
      <c r="B94" s="11" t="n"/>
      <c r="C94" s="12">
        <f>SUM(C93:C93)</f>
        <v/>
      </c>
      <c r="D94" s="12">
        <f>SUM(D93:D93)</f>
        <v/>
      </c>
      <c r="E94" s="12">
        <f>SUM(E93:E93)</f>
        <v/>
      </c>
      <c r="F94" s="11" t="n"/>
      <c r="G94" s="11" t="n"/>
      <c r="H94" s="12">
        <f>SUM(H93:H93)</f>
        <v/>
      </c>
      <c r="I94" s="12">
        <f>SUM(I93:I93)</f>
        <v/>
      </c>
      <c r="J94" s="11" t="n"/>
    </row>
    <row r="95">
      <c r="A95" s="6" t="inlineStr">
        <is>
          <t>Косметика/PETITFEE/PETITFEE-EYEPATCH</t>
        </is>
      </c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</row>
    <row r="96">
      <c r="A96" s="8" t="inlineStr">
        <is>
          <t>PETITFEE - Gold &amp; Snail Hydrogel Eye Patch [60ea] / Гидрогелевые патчи для глаз с золотом и улиткой</t>
        </is>
      </c>
      <c r="B96" s="8" t="n">
        <v>179611207</v>
      </c>
      <c r="C96" s="9" t="n">
        <v>608</v>
      </c>
      <c r="D96" s="9" t="n">
        <v>42</v>
      </c>
      <c r="E96" s="9">
        <f>MIN(C96,ROUND(D96*$B$2,0))</f>
        <v/>
      </c>
      <c r="F96" s="9" t="n">
        <v>991</v>
      </c>
      <c r="G96" s="9" t="n">
        <v>125</v>
      </c>
      <c r="H96" s="9">
        <f>E96*F96</f>
        <v/>
      </c>
      <c r="I96" s="9">
        <f>E96*G96</f>
        <v/>
      </c>
      <c r="J96" s="8" t="inlineStr">
        <is>
          <t>Рабочий</t>
        </is>
      </c>
    </row>
    <row r="97">
      <c r="A97" s="8" t="inlineStr">
        <is>
          <t>PETITFEE - Black Pearl &amp; Gold Hydrogel Eye Patch [60ea] / Гидрогелевые патчи для глаз с черным жемчугом и золотом</t>
        </is>
      </c>
      <c r="B97" s="8" t="n">
        <v>151175880</v>
      </c>
      <c r="C97" s="9" t="n">
        <v>549</v>
      </c>
      <c r="D97" s="9" t="n">
        <v>39</v>
      </c>
      <c r="E97" s="9">
        <f>MIN(C97,ROUND(D97*$B$2,0))</f>
        <v/>
      </c>
      <c r="F97" s="9" t="n">
        <v>939</v>
      </c>
      <c r="G97" s="9" t="n">
        <v>116</v>
      </c>
      <c r="H97" s="9">
        <f>E97*F97</f>
        <v/>
      </c>
      <c r="I97" s="9">
        <f>E97*G97</f>
        <v/>
      </c>
      <c r="J97" s="8" t="inlineStr">
        <is>
          <t>Рабочий</t>
        </is>
      </c>
    </row>
    <row r="98">
      <c r="A98" s="8" t="inlineStr">
        <is>
          <t>PETITFEE - Agave Cooling Hydrogel Eye Patch [60ea] / Охлаждающие гидрогелевые патчи для глаз с экстрактом агавы</t>
        </is>
      </c>
      <c r="B98" s="8" t="n">
        <v>151175877</v>
      </c>
      <c r="C98" s="9" t="n">
        <v>501</v>
      </c>
      <c r="D98" s="9" t="n">
        <v>35</v>
      </c>
      <c r="E98" s="9">
        <f>MIN(C98,ROUND(D98*$B$2,0))</f>
        <v/>
      </c>
      <c r="F98" s="9" t="n">
        <v>993</v>
      </c>
      <c r="G98" s="9" t="n">
        <v>125</v>
      </c>
      <c r="H98" s="9">
        <f>E98*F98</f>
        <v/>
      </c>
      <c r="I98" s="9">
        <f>E98*G98</f>
        <v/>
      </c>
      <c r="J98" s="8" t="inlineStr">
        <is>
          <t>Рабочий</t>
        </is>
      </c>
    </row>
    <row r="99">
      <c r="A99" s="8" t="inlineStr">
        <is>
          <t>PETITFEE - Gold Hydrogel Eye Patch [60ea] / гидрогелевые патчи для глаз с золотом</t>
        </is>
      </c>
      <c r="B99" s="8" t="n">
        <v>180711104</v>
      </c>
      <c r="C99" s="9" t="n">
        <v>405</v>
      </c>
      <c r="D99" s="9" t="n">
        <v>33</v>
      </c>
      <c r="E99" s="9">
        <f>MIN(C99,ROUND(D99*$B$2,0))</f>
        <v/>
      </c>
      <c r="F99" s="9" t="n">
        <v>1029</v>
      </c>
      <c r="G99" s="9" t="n">
        <v>151</v>
      </c>
      <c r="H99" s="9">
        <f>E99*F99</f>
        <v/>
      </c>
      <c r="I99" s="9">
        <f>E99*G99</f>
        <v/>
      </c>
      <c r="J99" s="8" t="inlineStr">
        <is>
          <t>Рабочий</t>
        </is>
      </c>
    </row>
    <row r="100">
      <c r="A100" s="8" t="inlineStr">
        <is>
          <t>PETITFEE - Aura Quartz Hydrogel Eye Patch [60ea]</t>
        </is>
      </c>
      <c r="B100" s="8" t="n">
        <v>180992464</v>
      </c>
      <c r="C100" s="9" t="n">
        <v>89</v>
      </c>
      <c r="D100" s="9" t="n">
        <v>28</v>
      </c>
      <c r="E100" s="9">
        <f>MIN(C100,ROUND(D100*$B$2,0))</f>
        <v/>
      </c>
      <c r="F100" s="9" t="n">
        <v>1394</v>
      </c>
      <c r="G100" s="9" t="n">
        <v>177</v>
      </c>
      <c r="H100" s="9">
        <f>E100*F100</f>
        <v/>
      </c>
      <c r="I100" s="9">
        <f>E100*G100</f>
        <v/>
      </c>
      <c r="J100" s="8" t="inlineStr">
        <is>
          <t>Рабочий</t>
        </is>
      </c>
    </row>
    <row r="101">
      <c r="A101" s="8" t="inlineStr">
        <is>
          <t>PETITFEE - Cacao Energizing Hydrogel Eye Patch [60ea] / Тонизирующие гидрогелевые патчи для глаз с экстрактом какао</t>
        </is>
      </c>
      <c r="B101" s="8" t="n">
        <v>179611304</v>
      </c>
      <c r="C101" s="9" t="n">
        <v>144</v>
      </c>
      <c r="D101" s="9" t="n">
        <v>28</v>
      </c>
      <c r="E101" s="9">
        <f>MIN(C101,ROUND(D101*$B$2,0))</f>
        <v/>
      </c>
      <c r="F101" s="9" t="n">
        <v>1029</v>
      </c>
      <c r="G101" s="9" t="n">
        <v>135</v>
      </c>
      <c r="H101" s="9">
        <f>E101*F101</f>
        <v/>
      </c>
      <c r="I101" s="9">
        <f>E101*G101</f>
        <v/>
      </c>
      <c r="J101" s="8" t="inlineStr">
        <is>
          <t>Рабочий</t>
        </is>
      </c>
    </row>
    <row r="102">
      <c r="A102" s="8" t="inlineStr">
        <is>
          <t>PETITFEE - Bera Glucan Deep Firming Eye Patch [60ea] / Тканевые патчи для век увлажняющие</t>
        </is>
      </c>
      <c r="B102" s="8" t="n">
        <v>180988755</v>
      </c>
      <c r="C102" s="9" t="n">
        <v>406</v>
      </c>
      <c r="D102" s="9" t="n">
        <v>15</v>
      </c>
      <c r="E102" s="9">
        <f>MIN(C102,ROUND(D102*$B$2,0))</f>
        <v/>
      </c>
      <c r="F102" s="9" t="n">
        <v>1164</v>
      </c>
      <c r="G102" s="9" t="n">
        <v>146</v>
      </c>
      <c r="H102" s="9">
        <f>E102*F102</f>
        <v/>
      </c>
      <c r="I102" s="9">
        <f>E102*G102</f>
        <v/>
      </c>
      <c r="J102" s="8" t="inlineStr">
        <is>
          <t>Рабочий</t>
        </is>
      </c>
    </row>
    <row r="103">
      <c r="A103" s="8" t="inlineStr">
        <is>
          <t>PETITFEE - Collagen &amp; CoQ10 Hydrogel Eye Patch [60ea] / Гидрогелевые патчи для глаз с коллагеном и коэнзимом Q10</t>
        </is>
      </c>
      <c r="B103" s="8" t="n">
        <v>179611231</v>
      </c>
      <c r="C103" s="9" t="n">
        <v>641</v>
      </c>
      <c r="D103" s="9" t="n">
        <v>11</v>
      </c>
      <c r="E103" s="9">
        <f>MIN(C103,ROUND(D103*$B$2,0))</f>
        <v/>
      </c>
      <c r="F103" s="9" t="n">
        <v>1029</v>
      </c>
      <c r="G103" s="9" t="n">
        <v>178</v>
      </c>
      <c r="H103" s="9">
        <f>E103*F103</f>
        <v/>
      </c>
      <c r="I103" s="9">
        <f>E103*G103</f>
        <v/>
      </c>
      <c r="J103" s="8" t="inlineStr">
        <is>
          <t>Рабочий</t>
        </is>
      </c>
    </row>
    <row r="104">
      <c r="A104" s="8" t="inlineStr">
        <is>
          <t>PETITFEE - Pink Vita Brightening Eye Patch [60ea] / Тканевые патчи для век увлажняющие</t>
        </is>
      </c>
      <c r="B104" s="8" t="n">
        <v>180987509</v>
      </c>
      <c r="C104" s="9" t="n">
        <v>202</v>
      </c>
      <c r="D104" s="9" t="n">
        <v>10</v>
      </c>
      <c r="E104" s="9">
        <f>MIN(C104,ROUND(D104*$B$2,0))</f>
        <v/>
      </c>
      <c r="F104" s="9" t="n">
        <v>1146</v>
      </c>
      <c r="G104" s="9" t="n">
        <v>146</v>
      </c>
      <c r="H104" s="9">
        <f>E104*F104</f>
        <v/>
      </c>
      <c r="I104" s="9">
        <f>E104*G104</f>
        <v/>
      </c>
      <c r="J104" s="8" t="inlineStr">
        <is>
          <t>Рабочий</t>
        </is>
      </c>
    </row>
    <row r="105">
      <c r="A105" s="8" t="inlineStr">
        <is>
          <t>PETITFEE - Artichoke Soothing Hydrogel Eye Patch [60ea] / Смягчающие гидрогелевые патчи для глаз с экстрактом артишока</t>
        </is>
      </c>
      <c r="B105" s="8" t="n">
        <v>179611278</v>
      </c>
      <c r="C105" s="9" t="n">
        <v>156</v>
      </c>
      <c r="D105" s="9" t="n">
        <v>7</v>
      </c>
      <c r="E105" s="9">
        <f>MIN(C105,ROUND(D105*$B$2,0))</f>
        <v/>
      </c>
      <c r="F105" s="9" t="n">
        <v>990</v>
      </c>
      <c r="G105" s="9" t="n">
        <v>125</v>
      </c>
      <c r="H105" s="9">
        <f>E105*F105</f>
        <v/>
      </c>
      <c r="I105" s="9">
        <f>E105*G105</f>
        <v/>
      </c>
      <c r="J105" s="8" t="inlineStr">
        <is>
          <t>Рабочий</t>
        </is>
      </c>
    </row>
    <row r="106">
      <c r="A106" s="13" t="inlineStr">
        <is>
          <t>PETITFEE - Black Pearl &amp; Gold Hydrogel Eye Patch [1 pairs]/ Гидрогелевые патчи для глаз с черным жемчугом и золотом 1 пара</t>
        </is>
      </c>
      <c r="B106" s="13" t="inlineStr"/>
      <c r="C106" s="14" t="n">
        <v>320</v>
      </c>
      <c r="D106" s="14" t="n">
        <v>0</v>
      </c>
      <c r="E106" s="14">
        <f>MIN(C106,ROUND(D106*$B$2,0))</f>
        <v/>
      </c>
      <c r="F106" s="14" t="n">
        <v>262</v>
      </c>
      <c r="G106" s="14" t="n">
        <v>21</v>
      </c>
      <c r="H106" s="14">
        <f>E106*F106</f>
        <v/>
      </c>
      <c r="I106" s="14">
        <f>E106*G106</f>
        <v/>
      </c>
      <c r="J106" s="13" t="inlineStr">
        <is>
          <t>Нет истории — разогнать</t>
        </is>
      </c>
    </row>
    <row r="107">
      <c r="A107" s="13" t="inlineStr">
        <is>
          <t>PETITFEE - Gold Hydrogel Eye Patch [1 Pairs] / гидрогелевые патчи для глаз с золотом 1 пара</t>
        </is>
      </c>
      <c r="B107" s="13" t="inlineStr"/>
      <c r="C107" s="14" t="n">
        <v>428</v>
      </c>
      <c r="D107" s="14" t="n">
        <v>0</v>
      </c>
      <c r="E107" s="14">
        <f>MIN(C107,ROUND(D107*$B$2,0))</f>
        <v/>
      </c>
      <c r="F107" s="14" t="n">
        <v>262</v>
      </c>
      <c r="G107" s="14" t="n">
        <v>21</v>
      </c>
      <c r="H107" s="14">
        <f>E107*F107</f>
        <v/>
      </c>
      <c r="I107" s="14">
        <f>E107*G107</f>
        <v/>
      </c>
      <c r="J107" s="13" t="inlineStr">
        <is>
          <t>Нет истории — разогнать</t>
        </is>
      </c>
    </row>
    <row r="108">
      <c r="A108" s="10" t="inlineStr">
        <is>
          <t>ИТОГО PETITFEE/PETITFEE-EYEPATCH</t>
        </is>
      </c>
      <c r="B108" s="11" t="n"/>
      <c r="C108" s="12">
        <f>SUM(C96:C107)</f>
        <v/>
      </c>
      <c r="D108" s="12">
        <f>SUM(D96:D107)</f>
        <v/>
      </c>
      <c r="E108" s="12">
        <f>SUM(E96:E107)</f>
        <v/>
      </c>
      <c r="F108" s="11" t="n"/>
      <c r="G108" s="11" t="n"/>
      <c r="H108" s="12">
        <f>SUM(H96:H107)</f>
        <v/>
      </c>
      <c r="I108" s="12">
        <f>SUM(I96:I107)</f>
        <v/>
      </c>
      <c r="J108" s="11" t="n"/>
    </row>
    <row r="109">
      <c r="A109" s="6" t="inlineStr">
        <is>
          <t>Косметика/PETITFEE/PETITFEE-FACEMASK</t>
        </is>
      </c>
      <c r="B109" s="7" t="n"/>
      <c r="C109" s="7" t="n"/>
      <c r="D109" s="7" t="n"/>
      <c r="E109" s="7" t="n"/>
      <c r="F109" s="7" t="n"/>
      <c r="G109" s="7" t="n"/>
      <c r="H109" s="7" t="n"/>
      <c r="I109" s="7" t="n"/>
      <c r="J109" s="7" t="n"/>
    </row>
    <row r="110">
      <c r="A110" s="8" t="inlineStr">
        <is>
          <t>PETITFEE - Agave Cooling Hydrogel Face Mask [5pcs] / Охлаждающая гидрогелевая маска для лица с экстрактом агавы</t>
        </is>
      </c>
      <c r="B110" s="8" t="n">
        <v>226115324</v>
      </c>
      <c r="C110" s="9" t="n">
        <v>741</v>
      </c>
      <c r="D110" s="9" t="n">
        <v>52</v>
      </c>
      <c r="E110" s="9">
        <f>MIN(C110,ROUND(D110*$B$2,0))</f>
        <v/>
      </c>
      <c r="F110" s="9" t="n">
        <v>1193</v>
      </c>
      <c r="G110" s="9" t="n">
        <v>146</v>
      </c>
      <c r="H110" s="9">
        <f>E110*F110</f>
        <v/>
      </c>
      <c r="I110" s="9">
        <f>E110*G110</f>
        <v/>
      </c>
      <c r="J110" s="8" t="inlineStr">
        <is>
          <t>Рабочий</t>
        </is>
      </c>
    </row>
    <row r="111">
      <c r="A111" s="8" t="inlineStr">
        <is>
          <t>PETITFEE - Artichoke Soothing Hydrogel Face Mask [5pcs] / Смягчающая гидрогелевая маска для лица с экстрактом артишока</t>
        </is>
      </c>
      <c r="B111" s="8" t="n">
        <v>226114831</v>
      </c>
      <c r="C111" s="9" t="n">
        <v>327</v>
      </c>
      <c r="D111" s="9" t="n">
        <v>40</v>
      </c>
      <c r="E111" s="9">
        <f>MIN(C111,ROUND(D111*$B$2,0))</f>
        <v/>
      </c>
      <c r="F111" s="9" t="n">
        <v>1341</v>
      </c>
      <c r="G111" s="9" t="n">
        <v>243</v>
      </c>
      <c r="H111" s="9">
        <f>E111*F111</f>
        <v/>
      </c>
      <c r="I111" s="9">
        <f>E111*G111</f>
        <v/>
      </c>
      <c r="J111" s="8" t="inlineStr">
        <is>
          <t>Рабочий</t>
        </is>
      </c>
    </row>
    <row r="112">
      <c r="A112" s="8" t="inlineStr">
        <is>
          <t>PETITFEE - Gold Hydrogel Mask Pack [5pcs] / Гидрогелевая маска для лица с золотом</t>
        </is>
      </c>
      <c r="B112" s="8" t="n">
        <v>226114935</v>
      </c>
      <c r="C112" s="9" t="n">
        <v>529</v>
      </c>
      <c r="D112" s="9" t="n">
        <v>39</v>
      </c>
      <c r="E112" s="9">
        <f>MIN(C112,ROUND(D112*$B$2,0))</f>
        <v/>
      </c>
      <c r="F112" s="9" t="n">
        <v>1202</v>
      </c>
      <c r="G112" s="9" t="n">
        <v>152</v>
      </c>
      <c r="H112" s="9">
        <f>E112*F112</f>
        <v/>
      </c>
      <c r="I112" s="9">
        <f>E112*G112</f>
        <v/>
      </c>
      <c r="J112" s="8" t="inlineStr">
        <is>
          <t>Рабочий</t>
        </is>
      </c>
    </row>
    <row r="113">
      <c r="A113" s="8" t="inlineStr">
        <is>
          <t>PETITFEE - Cacao Energizing Hydrogel Mask Pack [5pcs] / Тонизирующая гидрогелевая маска для лица с экстрактом какао</t>
        </is>
      </c>
      <c r="B113" s="8" t="n">
        <v>226115248</v>
      </c>
      <c r="C113" s="9" t="n">
        <v>399</v>
      </c>
      <c r="D113" s="9" t="n">
        <v>27</v>
      </c>
      <c r="E113" s="9">
        <f>MIN(C113,ROUND(D113*$B$2,0))</f>
        <v/>
      </c>
      <c r="F113" s="9" t="n">
        <v>1159</v>
      </c>
      <c r="G113" s="9" t="n">
        <v>149</v>
      </c>
      <c r="H113" s="9">
        <f>E113*F113</f>
        <v/>
      </c>
      <c r="I113" s="9">
        <f>E113*G113</f>
        <v/>
      </c>
      <c r="J113" s="8" t="inlineStr">
        <is>
          <t>Рабочий</t>
        </is>
      </c>
    </row>
    <row r="114">
      <c r="A114" s="8" t="inlineStr">
        <is>
          <t>PETITFEE - Gold &amp; Snail Hydrogel Mask Pack [5pcs] / Гидрогелевая маска для лица с золотом и экстрактом улитки</t>
        </is>
      </c>
      <c r="B114" s="8" t="n">
        <v>226115141</v>
      </c>
      <c r="C114" s="9" t="n">
        <v>273</v>
      </c>
      <c r="D114" s="9" t="n">
        <v>26</v>
      </c>
      <c r="E114" s="9">
        <f>MIN(C114,ROUND(D114*$B$2,0))</f>
        <v/>
      </c>
      <c r="F114" s="9" t="n">
        <v>1148</v>
      </c>
      <c r="G114" s="9" t="n">
        <v>143</v>
      </c>
      <c r="H114" s="9">
        <f>E114*F114</f>
        <v/>
      </c>
      <c r="I114" s="9">
        <f>E114*G114</f>
        <v/>
      </c>
      <c r="J114" s="8" t="inlineStr">
        <is>
          <t>Рабочий</t>
        </is>
      </c>
    </row>
    <row r="115">
      <c r="A115" s="8" t="inlineStr">
        <is>
          <t>PETITFEE - Black Pearl &amp; Gold Hydrogel Mask Pack [5pcs] / Гидрогелевая маска для лица с черным жемчугом и золотом</t>
        </is>
      </c>
      <c r="B115" s="8" t="n">
        <v>226115478</v>
      </c>
      <c r="C115" s="9" t="n">
        <v>292</v>
      </c>
      <c r="D115" s="9" t="n">
        <v>21</v>
      </c>
      <c r="E115" s="9">
        <f>MIN(C115,ROUND(D115*$B$2,0))</f>
        <v/>
      </c>
      <c r="F115" s="9" t="n">
        <v>1130</v>
      </c>
      <c r="G115" s="9" t="n">
        <v>143</v>
      </c>
      <c r="H115" s="9">
        <f>E115*F115</f>
        <v/>
      </c>
      <c r="I115" s="9">
        <f>E115*G115</f>
        <v/>
      </c>
      <c r="J115" s="8" t="inlineStr">
        <is>
          <t>Рабочий</t>
        </is>
      </c>
    </row>
    <row r="116">
      <c r="A116" s="13" t="inlineStr">
        <is>
          <t>PETITFEE - MASK 5 (блек, агава, какао, артишок, голд снейл)</t>
        </is>
      </c>
      <c r="B116" s="13" t="n">
        <v>1177994944</v>
      </c>
      <c r="C116" s="14" t="n">
        <v>100</v>
      </c>
      <c r="D116" s="14" t="n">
        <v>0</v>
      </c>
      <c r="E116" s="14">
        <f>MIN(C116,ROUND(D116*$B$2,0))</f>
        <v/>
      </c>
      <c r="F116" s="14" t="n">
        <v>1164</v>
      </c>
      <c r="G116" s="14" t="n">
        <v>146</v>
      </c>
      <c r="H116" s="14">
        <f>E116*F116</f>
        <v/>
      </c>
      <c r="I116" s="14">
        <f>E116*G116</f>
        <v/>
      </c>
      <c r="J116" s="13" t="inlineStr">
        <is>
          <t>Нет истории — разогнать</t>
        </is>
      </c>
    </row>
    <row r="117">
      <c r="A117" s="13" t="inlineStr">
        <is>
          <t>PETITFEE - MASK 6 (блек, агава, какао, артишок, голд, ромашка)</t>
        </is>
      </c>
      <c r="B117" s="13" t="n">
        <v>1175175447</v>
      </c>
      <c r="C117" s="14" t="n">
        <v>106</v>
      </c>
      <c r="D117" s="14" t="n">
        <v>0</v>
      </c>
      <c r="E117" s="14">
        <f>MIN(C117,ROUND(D117*$B$2,0))</f>
        <v/>
      </c>
      <c r="F117" s="14" t="n">
        <v>1376</v>
      </c>
      <c r="G117" s="14" t="n">
        <v>178</v>
      </c>
      <c r="H117" s="14">
        <f>E117*F117</f>
        <v/>
      </c>
      <c r="I117" s="14">
        <f>E117*G117</f>
        <v/>
      </c>
      <c r="J117" s="13" t="inlineStr">
        <is>
          <t>Нет истории — разогнать</t>
        </is>
      </c>
    </row>
    <row r="118">
      <c r="A118" s="10" t="inlineStr">
        <is>
          <t>ИТОГО PETITFEE/PETITFEE-FACEMASK</t>
        </is>
      </c>
      <c r="B118" s="11" t="n"/>
      <c r="C118" s="12">
        <f>SUM(C110:C117)</f>
        <v/>
      </c>
      <c r="D118" s="12">
        <f>SUM(D110:D117)</f>
        <v/>
      </c>
      <c r="E118" s="12">
        <f>SUM(E110:E117)</f>
        <v/>
      </c>
      <c r="F118" s="11" t="n"/>
      <c r="G118" s="11" t="n"/>
      <c r="H118" s="12">
        <f>SUM(H110:H117)</f>
        <v/>
      </c>
      <c r="I118" s="12">
        <f>SUM(I110:I117)</f>
        <v/>
      </c>
      <c r="J118" s="11" t="n"/>
    </row>
    <row r="119">
      <c r="A119" s="6" t="inlineStr">
        <is>
          <t>Косметика/ROUND LAB</t>
        </is>
      </c>
      <c r="B119" s="7" t="n"/>
      <c r="C119" s="7" t="n"/>
      <c r="D119" s="7" t="n"/>
      <c r="E119" s="7" t="n"/>
      <c r="F119" s="7" t="n"/>
      <c r="G119" s="7" t="n"/>
      <c r="H119" s="7" t="n"/>
      <c r="I119" s="7" t="n"/>
      <c r="J119" s="7" t="n"/>
    </row>
    <row r="120">
      <c r="A120" s="15" t="inlineStr">
        <is>
          <t>ROUND LAB 1025 DOKDO CLEANSER_150ml - Увлажняющая пенка для умывания лица</t>
        </is>
      </c>
      <c r="B120" s="15" t="n">
        <v>437154709</v>
      </c>
      <c r="C120" s="16" t="n">
        <v>5499</v>
      </c>
      <c r="D120" s="16" t="n">
        <v>964</v>
      </c>
      <c r="E120" s="16">
        <f>MIN(C120,ROUND(D120*$B$2,0))</f>
        <v/>
      </c>
      <c r="F120" s="16" t="n">
        <v>1178</v>
      </c>
      <c r="G120" s="16" t="n">
        <v>139</v>
      </c>
      <c r="H120" s="16">
        <f>E120*F120</f>
        <v/>
      </c>
      <c r="I120" s="16">
        <f>E120*G120</f>
        <v/>
      </c>
      <c r="J120" s="15" t="inlineStr">
        <is>
          <t>★ Драйвер</t>
        </is>
      </c>
    </row>
    <row r="121">
      <c r="A121" s="8" t="inlineStr">
        <is>
          <t>ROUND LAB BIRCH JUICE MOISTURIZING CREAM_80ml -Увлажняющий крем с березовым соком</t>
        </is>
      </c>
      <c r="B121" s="8" t="n">
        <v>437190353</v>
      </c>
      <c r="C121" s="9" t="n">
        <v>102</v>
      </c>
      <c r="D121" s="9" t="n">
        <v>137</v>
      </c>
      <c r="E121" s="9">
        <f>MIN(C121,ROUND(D121*$B$2,0))</f>
        <v/>
      </c>
      <c r="F121" s="9" t="n">
        <v>2469</v>
      </c>
      <c r="G121" s="9" t="n">
        <v>328</v>
      </c>
      <c r="H121" s="9">
        <f>E121*F121</f>
        <v/>
      </c>
      <c r="I121" s="9">
        <f>E121*G121</f>
        <v/>
      </c>
      <c r="J121" s="8" t="inlineStr">
        <is>
          <t>Ограничено остатком</t>
        </is>
      </c>
    </row>
    <row r="122">
      <c r="A122" s="8" t="inlineStr">
        <is>
          <t>ROUND LAB MUGWORT CALMING CLEANSER_150ml - Очищающая пенка для умывания лица от прыщей и акне</t>
        </is>
      </c>
      <c r="B122" s="8" t="n">
        <v>437242640</v>
      </c>
      <c r="C122" s="9" t="n">
        <v>1201</v>
      </c>
      <c r="D122" s="9" t="n">
        <v>45</v>
      </c>
      <c r="E122" s="9">
        <f>MIN(C122,ROUND(D122*$B$2,0))</f>
        <v/>
      </c>
      <c r="F122" s="9" t="n">
        <v>1341</v>
      </c>
      <c r="G122" s="9" t="n">
        <v>239</v>
      </c>
      <c r="H122" s="9">
        <f>E122*F122</f>
        <v/>
      </c>
      <c r="I122" s="9">
        <f>E122*G122</f>
        <v/>
      </c>
      <c r="J122" s="8" t="inlineStr">
        <is>
          <t>Рабочий</t>
        </is>
      </c>
    </row>
    <row r="123">
      <c r="A123" s="8" t="inlineStr">
        <is>
          <t>ROUND LAB PINE CALMING CICA AMPOULE_30ml - Сыворотка для жирной кожи лица увлажняющая с центеллой</t>
        </is>
      </c>
      <c r="B123" s="8" t="n">
        <v>437776835</v>
      </c>
      <c r="C123" s="9" t="n">
        <v>5</v>
      </c>
      <c r="D123" s="9" t="n">
        <v>4</v>
      </c>
      <c r="E123" s="9">
        <f>MIN(C123,ROUND(D123*$B$2,0))</f>
        <v/>
      </c>
      <c r="F123" s="9" t="n">
        <v>1890</v>
      </c>
      <c r="G123" s="9" t="n">
        <v>246</v>
      </c>
      <c r="H123" s="9">
        <f>E123*F123</f>
        <v/>
      </c>
      <c r="I123" s="9">
        <f>E123*G123</f>
        <v/>
      </c>
      <c r="J123" s="8" t="inlineStr">
        <is>
          <t>Рабочий</t>
        </is>
      </c>
    </row>
    <row r="124">
      <c r="A124" s="13" t="inlineStr">
        <is>
          <t>ROUND LAB 1025 DOKDO TONER_200ml / Отшелушивающий тоник с морской водой</t>
        </is>
      </c>
      <c r="B124" s="13" t="n">
        <v>1123574113</v>
      </c>
      <c r="C124" s="14" t="n">
        <v>802</v>
      </c>
      <c r="D124" s="14" t="n">
        <v>0</v>
      </c>
      <c r="E124" s="14">
        <f>MIN(C124,ROUND(D124*$B$2,0))</f>
        <v/>
      </c>
      <c r="F124" s="14" t="n">
        <v>1509</v>
      </c>
      <c r="G124" s="14" t="n">
        <v>369</v>
      </c>
      <c r="H124" s="14">
        <f>E124*F124</f>
        <v/>
      </c>
      <c r="I124" s="14">
        <f>E124*G124</f>
        <v/>
      </c>
      <c r="J124" s="13" t="inlineStr">
        <is>
          <t>Нет истории — разогнать</t>
        </is>
      </c>
    </row>
    <row r="125">
      <c r="A125" s="10" t="inlineStr">
        <is>
          <t>ИТОГО ROUND LAB</t>
        </is>
      </c>
      <c r="B125" s="11" t="n"/>
      <c r="C125" s="12">
        <f>SUM(C120:C124)</f>
        <v/>
      </c>
      <c r="D125" s="12">
        <f>SUM(D120:D124)</f>
        <v/>
      </c>
      <c r="E125" s="12">
        <f>SUM(E120:E124)</f>
        <v/>
      </c>
      <c r="F125" s="11" t="n"/>
      <c r="G125" s="11" t="n"/>
      <c r="H125" s="12">
        <f>SUM(H120:H124)</f>
        <v/>
      </c>
      <c r="I125" s="12">
        <f>SUM(I120:I124)</f>
        <v/>
      </c>
      <c r="J125" s="11" t="n"/>
    </row>
    <row r="126">
      <c r="A126" s="6" t="inlineStr">
        <is>
          <t>Косметика/SKIN1004</t>
        </is>
      </c>
      <c r="B126" s="7" t="n"/>
      <c r="C126" s="7" t="n"/>
      <c r="D126" s="7" t="n"/>
      <c r="E126" s="7" t="n"/>
      <c r="F126" s="7" t="n"/>
      <c r="G126" s="7" t="n"/>
      <c r="H126" s="7" t="n"/>
      <c r="I126" s="7" t="n"/>
      <c r="J126" s="7" t="n"/>
    </row>
    <row r="127">
      <c r="A127" s="8" t="inlineStr">
        <is>
          <t>SKIN1004 - Madagascar Centella Hyalu-Cica Sleeping Pack [30ml] / Увлажняющая гиалуроновая ночная маска для сухой кожи</t>
        </is>
      </c>
      <c r="B127" s="8" t="n">
        <v>214312149</v>
      </c>
      <c r="C127" s="9" t="n">
        <v>22</v>
      </c>
      <c r="D127" s="9" t="n">
        <v>19</v>
      </c>
      <c r="E127" s="9">
        <f>MIN(C127,ROUND(D127*$B$2,0))</f>
        <v/>
      </c>
      <c r="F127" s="9" t="n">
        <v>1029</v>
      </c>
      <c r="G127" s="9" t="n">
        <v>267</v>
      </c>
      <c r="H127" s="9">
        <f>E127*F127</f>
        <v/>
      </c>
      <c r="I127" s="9">
        <f>E127*G127</f>
        <v/>
      </c>
      <c r="J127" s="8" t="inlineStr">
        <is>
          <t>Рабочий</t>
        </is>
      </c>
    </row>
    <row r="128">
      <c r="A128" s="8" t="inlineStr">
        <is>
          <t>SKIN1004 - Madagascar Centella Ampoule [30ml] / Сыворотка для лица успокаивающая из экстракта центеллы.</t>
        </is>
      </c>
      <c r="B128" s="8" t="n">
        <v>214311963</v>
      </c>
      <c r="C128" s="9" t="n">
        <v>30</v>
      </c>
      <c r="D128" s="9" t="n">
        <v>7</v>
      </c>
      <c r="E128" s="9">
        <f>MIN(C128,ROUND(D128*$B$2,0))</f>
        <v/>
      </c>
      <c r="F128" s="9" t="n">
        <v>1445</v>
      </c>
      <c r="G128" s="9" t="n">
        <v>444</v>
      </c>
      <c r="H128" s="9">
        <f>E128*F128</f>
        <v/>
      </c>
      <c r="I128" s="9">
        <f>E128*G128</f>
        <v/>
      </c>
      <c r="J128" s="8" t="inlineStr">
        <is>
          <t>Рабочий</t>
        </is>
      </c>
    </row>
    <row r="129">
      <c r="A129" s="10" t="inlineStr">
        <is>
          <t>ИТОГО SKIN1004</t>
        </is>
      </c>
      <c r="B129" s="11" t="n"/>
      <c r="C129" s="12">
        <f>SUM(C127:C128)</f>
        <v/>
      </c>
      <c r="D129" s="12">
        <f>SUM(D127:D128)</f>
        <v/>
      </c>
      <c r="E129" s="12">
        <f>SUM(E127:E128)</f>
        <v/>
      </c>
      <c r="F129" s="11" t="n"/>
      <c r="G129" s="11" t="n"/>
      <c r="H129" s="12">
        <f>SUM(H127:H128)</f>
        <v/>
      </c>
      <c r="I129" s="12">
        <f>SUM(I127:I128)</f>
        <v/>
      </c>
      <c r="J129" s="11" t="n"/>
    </row>
    <row r="130">
      <c r="A130" s="6" t="inlineStr">
        <is>
          <t>Косметика/SOMEBYMI</t>
        </is>
      </c>
      <c r="B130" s="7" t="n"/>
      <c r="C130" s="7" t="n"/>
      <c r="D130" s="7" t="n"/>
      <c r="E130" s="7" t="n"/>
      <c r="F130" s="7" t="n"/>
      <c r="G130" s="7" t="n"/>
      <c r="H130" s="7" t="n"/>
      <c r="I130" s="7" t="n"/>
      <c r="J130" s="7" t="n"/>
    </row>
    <row r="131">
      <c r="A131" s="8" t="inlineStr">
        <is>
          <t>SOME BY MI - AHA-BHA-PHA 30 Days Miracle Cream [60g] / Крем для лица</t>
        </is>
      </c>
      <c r="B131" s="8" t="n">
        <v>248929125</v>
      </c>
      <c r="C131" s="9" t="n">
        <v>55</v>
      </c>
      <c r="D131" s="9" t="n">
        <v>24</v>
      </c>
      <c r="E131" s="9">
        <f>MIN(C131,ROUND(D131*$B$2,0))</f>
        <v/>
      </c>
      <c r="F131" s="9" t="n">
        <v>2382</v>
      </c>
      <c r="G131" s="9" t="n">
        <v>317</v>
      </c>
      <c r="H131" s="9">
        <f>E131*F131</f>
        <v/>
      </c>
      <c r="I131" s="9">
        <f>E131*G131</f>
        <v/>
      </c>
      <c r="J131" s="8" t="inlineStr">
        <is>
          <t>Рабочий</t>
        </is>
      </c>
    </row>
    <row r="132">
      <c r="A132" s="8" t="inlineStr">
        <is>
          <t>SOME BY MI - AHA-BHA-PHA 30 Days Miracle Cleansing Bar [106g] / Мыло для проблемной кожи с aha bha кислотами</t>
        </is>
      </c>
      <c r="B132" s="8" t="n">
        <v>248928046</v>
      </c>
      <c r="C132" s="9" t="n">
        <v>525</v>
      </c>
      <c r="D132" s="9" t="n">
        <v>11</v>
      </c>
      <c r="E132" s="9">
        <f>MIN(C132,ROUND(D132*$B$2,0))</f>
        <v/>
      </c>
      <c r="F132" s="9" t="n">
        <v>1287</v>
      </c>
      <c r="G132" s="9" t="n">
        <v>165</v>
      </c>
      <c r="H132" s="9">
        <f>E132*F132</f>
        <v/>
      </c>
      <c r="I132" s="9">
        <f>E132*G132</f>
        <v/>
      </c>
      <c r="J132" s="8" t="inlineStr">
        <is>
          <t>Рабочий</t>
        </is>
      </c>
    </row>
    <row r="133">
      <c r="A133" s="10" t="inlineStr">
        <is>
          <t>ИТОГО SOMEBYMI</t>
        </is>
      </c>
      <c r="B133" s="11" t="n"/>
      <c r="C133" s="12">
        <f>SUM(C131:C132)</f>
        <v/>
      </c>
      <c r="D133" s="12">
        <f>SUM(D131:D132)</f>
        <v/>
      </c>
      <c r="E133" s="12">
        <f>SUM(E131:E132)</f>
        <v/>
      </c>
      <c r="F133" s="11" t="n"/>
      <c r="G133" s="11" t="n"/>
      <c r="H133" s="12">
        <f>SUM(H131:H132)</f>
        <v/>
      </c>
      <c r="I133" s="12">
        <f>SUM(I131:I132)</f>
        <v/>
      </c>
      <c r="J133" s="11" t="n"/>
    </row>
    <row r="134">
      <c r="A134" s="6" t="inlineStr">
        <is>
          <t>Косметика/TheOrdinary</t>
        </is>
      </c>
      <c r="B134" s="7" t="n"/>
      <c r="C134" s="7" t="n"/>
      <c r="D134" s="7" t="n"/>
      <c r="E134" s="7" t="n"/>
      <c r="F134" s="7" t="n"/>
      <c r="G134" s="7" t="n"/>
      <c r="H134" s="7" t="n"/>
      <c r="I134" s="7" t="n"/>
      <c r="J134" s="7" t="n"/>
    </row>
    <row r="135">
      <c r="A135" s="8" t="inlineStr">
        <is>
          <t>THE ORDINARY - Argireline Solution 10% [30ml] / Сыворотка для лица от прыщей и акне с ниацинамидом 10 %</t>
        </is>
      </c>
      <c r="B135" s="8" t="n">
        <v>214312385</v>
      </c>
      <c r="C135" s="9" t="n">
        <v>115</v>
      </c>
      <c r="D135" s="9" t="n">
        <v>13</v>
      </c>
      <c r="E135" s="9">
        <f>MIN(C135,ROUND(D135*$B$2,0))</f>
        <v/>
      </c>
      <c r="F135" s="9" t="n">
        <v>1637</v>
      </c>
      <c r="G135" s="9" t="n">
        <v>217</v>
      </c>
      <c r="H135" s="9">
        <f>E135*F135</f>
        <v/>
      </c>
      <c r="I135" s="9">
        <f>E135*G135</f>
        <v/>
      </c>
      <c r="J135" s="8" t="inlineStr">
        <is>
          <t>Рабочий</t>
        </is>
      </c>
    </row>
    <row r="136">
      <c r="A136" s="8" t="inlineStr">
        <is>
          <t>THE ORDINARY - Glycolic Acid 7% Toning Solution [KOR] [240ml] / Тоник с гликолевой кислотой 7%</t>
        </is>
      </c>
      <c r="B136" s="8" t="n">
        <v>247275092</v>
      </c>
      <c r="C136" s="9" t="n">
        <v>25</v>
      </c>
      <c r="D136" s="9" t="n">
        <v>8</v>
      </c>
      <c r="E136" s="9">
        <f>MIN(C136,ROUND(D136*$B$2,0))</f>
        <v/>
      </c>
      <c r="F136" s="9" t="n">
        <v>1964</v>
      </c>
      <c r="G136" s="9" t="n">
        <v>278</v>
      </c>
      <c r="H136" s="9">
        <f>E136*F136</f>
        <v/>
      </c>
      <c r="I136" s="9">
        <f>E136*G136</f>
        <v/>
      </c>
      <c r="J136" s="8" t="inlineStr">
        <is>
          <t>Рабочий</t>
        </is>
      </c>
    </row>
    <row r="137">
      <c r="A137" s="10" t="inlineStr">
        <is>
          <t>ИТОГО TheOrdinary</t>
        </is>
      </c>
      <c r="B137" s="11" t="n"/>
      <c r="C137" s="12">
        <f>SUM(C135:C136)</f>
        <v/>
      </c>
      <c r="D137" s="12">
        <f>SUM(D135:D136)</f>
        <v/>
      </c>
      <c r="E137" s="12">
        <f>SUM(E135:E136)</f>
        <v/>
      </c>
      <c r="F137" s="11" t="n"/>
      <c r="G137" s="11" t="n"/>
      <c r="H137" s="12">
        <f>SUM(H135:H136)</f>
        <v/>
      </c>
      <c r="I137" s="12">
        <f>SUM(I135:I136)</f>
        <v/>
      </c>
      <c r="J137" s="11" t="n"/>
    </row>
    <row r="138">
      <c r="A138" s="6" t="inlineStr">
        <is>
          <t>Косметика/CELIMAX</t>
        </is>
      </c>
      <c r="B138" s="7" t="n"/>
      <c r="C138" s="7" t="n"/>
      <c r="D138" s="7" t="n"/>
      <c r="E138" s="7" t="n"/>
      <c r="F138" s="7" t="n"/>
      <c r="G138" s="7" t="n"/>
      <c r="H138" s="7" t="n"/>
      <c r="I138" s="7" t="n"/>
      <c r="J138" s="7" t="n"/>
    </row>
    <row r="139">
      <c r="A139" s="8" t="inlineStr">
        <is>
          <t>CELIMAX THE VITA-A RETINAL SHOT TIGHTENING BOOSTER [15ml]/Подтягивающий бустер-крем с ретинолом для лица</t>
        </is>
      </c>
      <c r="B139" s="8" t="n">
        <v>551387355</v>
      </c>
      <c r="C139" s="9" t="n">
        <v>8728</v>
      </c>
      <c r="D139" s="9" t="n">
        <v>8</v>
      </c>
      <c r="E139" s="9">
        <f>MIN(C139,ROUND(D139*$B$2,0))</f>
        <v/>
      </c>
      <c r="F139" s="9" t="n">
        <v>1187</v>
      </c>
      <c r="G139" s="9" t="n">
        <v>154</v>
      </c>
      <c r="H139" s="9">
        <f>E139*F139</f>
        <v/>
      </c>
      <c r="I139" s="9">
        <f>E139*G139</f>
        <v/>
      </c>
      <c r="J139" s="8" t="inlineStr">
        <is>
          <t>Рабочий</t>
        </is>
      </c>
    </row>
    <row r="140">
      <c r="A140" s="8" t="inlineStr">
        <is>
          <t>CELIMAX JI WOO GAE CICA BHA BLEMISH TONER PAD_10EA [30ml]/успокаивающие тонер-пэды</t>
        </is>
      </c>
      <c r="B140" s="8" t="n">
        <v>551600265</v>
      </c>
      <c r="C140" s="9" t="n">
        <v>1296</v>
      </c>
      <c r="D140" s="9" t="n">
        <v>5</v>
      </c>
      <c r="E140" s="9">
        <f>MIN(C140,ROUND(D140*$B$2,0))</f>
        <v/>
      </c>
      <c r="F140" s="9" t="n">
        <v>406</v>
      </c>
      <c r="G140" s="9" t="n">
        <v>105</v>
      </c>
      <c r="H140" s="9">
        <f>E140*F140</f>
        <v/>
      </c>
      <c r="I140" s="9">
        <f>E140*G140</f>
        <v/>
      </c>
      <c r="J140" s="8" t="inlineStr">
        <is>
          <t>Рабочий</t>
        </is>
      </c>
    </row>
    <row r="141">
      <c r="A141" s="8" t="inlineStr">
        <is>
          <t>CELIMAX THE VITA-A RETINOL SHOT TIGHTENING SERUM [30ml]/Сыворотка с ретинолом и микроиглами для лица</t>
        </is>
      </c>
      <c r="B141" s="8" t="n">
        <v>551465879</v>
      </c>
      <c r="C141" s="9" t="n">
        <v>2217</v>
      </c>
      <c r="D141" s="9" t="n">
        <v>2</v>
      </c>
      <c r="E141" s="9">
        <f>MIN(C141,ROUND(D141*$B$2,0))</f>
        <v/>
      </c>
      <c r="F141" s="9" t="n">
        <v>1445</v>
      </c>
      <c r="G141" s="9" t="n">
        <v>291</v>
      </c>
      <c r="H141" s="9">
        <f>E141*F141</f>
        <v/>
      </c>
      <c r="I141" s="9">
        <f>E141*G141</f>
        <v/>
      </c>
      <c r="J141" s="8" t="inlineStr">
        <is>
          <t>Рабочий</t>
        </is>
      </c>
    </row>
    <row r="142">
      <c r="A142" s="13" t="inlineStr">
        <is>
          <t>Celimax Dual Barrier Creamy Toner, тонер 150 мл</t>
        </is>
      </c>
      <c r="B142" s="13" t="n">
        <v>868516027</v>
      </c>
      <c r="C142" s="14" t="n">
        <v>15980</v>
      </c>
      <c r="D142" s="14" t="n">
        <v>0</v>
      </c>
      <c r="E142" s="14">
        <f>MIN(C142,ROUND(D142*$B$2,0))</f>
        <v/>
      </c>
      <c r="F142" s="14" t="n">
        <v>1586</v>
      </c>
      <c r="G142" s="14" t="n">
        <v>199</v>
      </c>
      <c r="H142" s="14">
        <f>E142*F142</f>
        <v/>
      </c>
      <c r="I142" s="14">
        <f>E142*G142</f>
        <v/>
      </c>
      <c r="J142" s="13" t="inlineStr">
        <is>
          <t>Нет истории — разогнать</t>
        </is>
      </c>
    </row>
    <row r="143">
      <c r="A143" s="13" t="inlineStr">
        <is>
          <t>CELIMAX PORE+DARK SPOT BRIGHTENING CREAM [35ml]/Крем для выравнивания тона и рельефа кожи лица</t>
        </is>
      </c>
      <c r="B143" s="13" t="n">
        <v>551447345</v>
      </c>
      <c r="C143" s="14" t="n">
        <v>13</v>
      </c>
      <c r="D143" s="14" t="n">
        <v>0</v>
      </c>
      <c r="E143" s="14">
        <f>MIN(C143,ROUND(D143*$B$2,0))</f>
        <v/>
      </c>
      <c r="F143" s="14" t="n">
        <v>1860</v>
      </c>
      <c r="G143" s="14" t="n">
        <v>463</v>
      </c>
      <c r="H143" s="14">
        <f>E143*F143</f>
        <v/>
      </c>
      <c r="I143" s="14">
        <f>E143*G143</f>
        <v/>
      </c>
      <c r="J143" s="13" t="inlineStr">
        <is>
          <t>Нет истории — разогнать</t>
        </is>
      </c>
    </row>
    <row r="144">
      <c r="A144" s="13" t="inlineStr">
        <is>
          <t>CELIMAX DUAL BARRIER SKIN WEARABLE CREAM [50ml]/Крем для восстановления защитного барьера кожи лица</t>
        </is>
      </c>
      <c r="B144" s="13" t="n">
        <v>551392965</v>
      </c>
      <c r="C144" s="14" t="n">
        <v>353</v>
      </c>
      <c r="D144" s="14" t="n">
        <v>0</v>
      </c>
      <c r="E144" s="14">
        <f>MIN(C144,ROUND(D144*$B$2,0))</f>
        <v/>
      </c>
      <c r="F144" s="14" t="n">
        <v>1967</v>
      </c>
      <c r="G144" s="14" t="n">
        <v>259</v>
      </c>
      <c r="H144" s="14">
        <f>E144*F144</f>
        <v/>
      </c>
      <c r="I144" s="14">
        <f>E144*G144</f>
        <v/>
      </c>
      <c r="J144" s="13" t="inlineStr">
        <is>
          <t>Нет истории — разогнать</t>
        </is>
      </c>
    </row>
    <row r="145">
      <c r="A145" s="13" t="inlineStr">
        <is>
          <t>CELIMAX JI WOO GAE CICA BHA BLEMISH TONER PAD [170ml / 60pads]/Тонер-пэды от воспалений</t>
        </is>
      </c>
      <c r="B145" s="13" t="n">
        <v>551607905</v>
      </c>
      <c r="C145" s="14" t="n">
        <v>1456</v>
      </c>
      <c r="D145" s="14" t="n">
        <v>0</v>
      </c>
      <c r="E145" s="14">
        <f>MIN(C145,ROUND(D145*$B$2,0))</f>
        <v/>
      </c>
      <c r="F145" s="14" t="n">
        <v>1620</v>
      </c>
      <c r="G145" s="14" t="n">
        <v>212</v>
      </c>
      <c r="H145" s="14">
        <f>E145*F145</f>
        <v/>
      </c>
      <c r="I145" s="14">
        <f>E145*G145</f>
        <v/>
      </c>
      <c r="J145" s="13" t="inlineStr">
        <is>
          <t>Нет истории — разогнать</t>
        </is>
      </c>
    </row>
    <row r="146">
      <c r="A146" s="13" t="inlineStr">
        <is>
          <t>CELIMAX THE REAL NONI ENERGY AMPOULE_30ML (NEW) [30ml]/Восстанавливающая сыворотка с экстрактом нони для лица</t>
        </is>
      </c>
      <c r="B146" s="13" t="n">
        <v>551472457</v>
      </c>
      <c r="C146" s="14" t="n">
        <v>35</v>
      </c>
      <c r="D146" s="14" t="n">
        <v>0</v>
      </c>
      <c r="E146" s="14">
        <f>MIN(C146,ROUND(D146*$B$2,0))</f>
        <v/>
      </c>
      <c r="F146" s="14" t="n">
        <v>1761</v>
      </c>
      <c r="G146" s="14" t="n">
        <v>229</v>
      </c>
      <c r="H146" s="14">
        <f>E146*F146</f>
        <v/>
      </c>
      <c r="I146" s="14">
        <f>E146*G146</f>
        <v/>
      </c>
      <c r="J146" s="13" t="inlineStr">
        <is>
          <t>Нет истории — разогнать</t>
        </is>
      </c>
    </row>
    <row r="147">
      <c r="A147" s="13" t="inlineStr">
        <is>
          <t>CELIMAX PORE+DARK SPOT BRIGHTENING PAD [100ml / 40pads]/Тонер-пэды для выравнивания тона и рельефа кожи</t>
        </is>
      </c>
      <c r="B147" s="13" t="n">
        <v>551540924</v>
      </c>
      <c r="C147" s="14" t="n">
        <v>1375</v>
      </c>
      <c r="D147" s="14" t="n">
        <v>0</v>
      </c>
      <c r="E147" s="14">
        <f>MIN(C147,ROUND(D147*$B$2,0))</f>
        <v/>
      </c>
      <c r="F147" s="14" t="n">
        <v>1445</v>
      </c>
      <c r="G147" s="14" t="n">
        <v>255</v>
      </c>
      <c r="H147" s="14">
        <f>E147*F147</f>
        <v/>
      </c>
      <c r="I147" s="14">
        <f>E147*G147</f>
        <v/>
      </c>
      <c r="J147" s="13" t="inlineStr">
        <is>
          <t>Нет истории — разогнать</t>
        </is>
      </c>
    </row>
    <row r="148">
      <c r="A148" s="13" t="inlineStr">
        <is>
          <t>CELIMAX PORE+DARK SPOT BRIGHTENING SERUM_30ml [30ml]/Сыворотка для выравнивания тона и рельефа кожи лица</t>
        </is>
      </c>
      <c r="B148" s="13" t="n">
        <v>551482493</v>
      </c>
      <c r="C148" s="14" t="n">
        <v>77</v>
      </c>
      <c r="D148" s="14" t="n">
        <v>0</v>
      </c>
      <c r="E148" s="14">
        <f>MIN(C148,ROUND(D148*$B$2,0))</f>
        <v/>
      </c>
      <c r="F148" s="14" t="n">
        <v>1757</v>
      </c>
      <c r="G148" s="14" t="n">
        <v>308</v>
      </c>
      <c r="H148" s="14">
        <f>E148*F148</f>
        <v/>
      </c>
      <c r="I148" s="14">
        <f>E148*G148</f>
        <v/>
      </c>
      <c r="J148" s="13" t="inlineStr">
        <is>
          <t>Нет истории — разогнать</t>
        </is>
      </c>
    </row>
    <row r="149">
      <c r="A149" s="13" t="inlineStr">
        <is>
          <t>CELIMAX THE REAL NONI MOISTURE BALANCING TONER (NEW) [150ml]/Восстанавливающий тонер с экстрактом нони</t>
        </is>
      </c>
      <c r="B149" s="13" t="n">
        <v>551518955</v>
      </c>
      <c r="C149" s="14" t="n">
        <v>24</v>
      </c>
      <c r="D149" s="14" t="n">
        <v>0</v>
      </c>
      <c r="E149" s="14">
        <f>MIN(C149,ROUND(D149*$B$2,0))</f>
        <v/>
      </c>
      <c r="F149" s="14" t="n">
        <v>1678</v>
      </c>
      <c r="G149" s="14" t="n">
        <v>216</v>
      </c>
      <c r="H149" s="14">
        <f>E149*F149</f>
        <v/>
      </c>
      <c r="I149" s="14">
        <f>E149*G149</f>
        <v/>
      </c>
      <c r="J149" s="13" t="inlineStr">
        <is>
          <t>Нет истории — разогнать</t>
        </is>
      </c>
    </row>
    <row r="150">
      <c r="A150" s="10" t="inlineStr">
        <is>
          <t>ИТОГО CELIMAX</t>
        </is>
      </c>
      <c r="B150" s="11" t="n"/>
      <c r="C150" s="12">
        <f>SUM(C139:C149)</f>
        <v/>
      </c>
      <c r="D150" s="12">
        <f>SUM(D139:D149)</f>
        <v/>
      </c>
      <c r="E150" s="12">
        <f>SUM(E139:E149)</f>
        <v/>
      </c>
      <c r="F150" s="11" t="n"/>
      <c r="G150" s="11" t="n"/>
      <c r="H150" s="12">
        <f>SUM(H139:H149)</f>
        <v/>
      </c>
      <c r="I150" s="12">
        <f>SUM(I139:I149)</f>
        <v/>
      </c>
      <c r="J150" s="11" t="n"/>
    </row>
    <row r="151">
      <c r="A151" s="6" t="inlineStr">
        <is>
          <t>Косметика/VT</t>
        </is>
      </c>
      <c r="B151" s="7" t="n"/>
      <c r="C151" s="7" t="n"/>
      <c r="D151" s="7" t="n"/>
      <c r="E151" s="7" t="n"/>
      <c r="F151" s="7" t="n"/>
      <c r="G151" s="7" t="n"/>
      <c r="H151" s="7" t="n"/>
      <c r="I151" s="7" t="n"/>
      <c r="J151" s="7" t="n"/>
    </row>
    <row r="152">
      <c r="A152" s="13" t="inlineStr">
        <is>
          <t>VT PDRN ESSENCE 100 / Укрепляющая бустер-эссенция с ПДРН</t>
        </is>
      </c>
      <c r="B152" s="13" t="n">
        <v>1119249556</v>
      </c>
      <c r="C152" s="14" t="n">
        <v>1008</v>
      </c>
      <c r="D152" s="14" t="n">
        <v>0</v>
      </c>
      <c r="E152" s="14">
        <f>MIN(C152,ROUND(D152*$B$2,0))</f>
        <v/>
      </c>
      <c r="F152" s="14" t="n">
        <v>2964</v>
      </c>
      <c r="G152" s="14" t="n">
        <v>401</v>
      </c>
      <c r="H152" s="14">
        <f>E152*F152</f>
        <v/>
      </c>
      <c r="I152" s="14">
        <f>E152*G152</f>
        <v/>
      </c>
      <c r="J152" s="13" t="inlineStr">
        <is>
          <t>Нет истории — разогнать</t>
        </is>
      </c>
    </row>
    <row r="153">
      <c r="A153" s="13" t="inlineStr">
        <is>
          <t>VT REEDLE SHOT 100 / Бустер-сыворотка с микроиглами</t>
        </is>
      </c>
      <c r="B153" s="13" t="n">
        <v>1123494802</v>
      </c>
      <c r="C153" s="14" t="n">
        <v>397</v>
      </c>
      <c r="D153" s="14" t="n">
        <v>0</v>
      </c>
      <c r="E153" s="14">
        <f>MIN(C153,ROUND(D153*$B$2,0))</f>
        <v/>
      </c>
      <c r="F153" s="14" t="n">
        <v>2148</v>
      </c>
      <c r="G153" s="14" t="n">
        <v>292</v>
      </c>
      <c r="H153" s="14">
        <f>E153*F153</f>
        <v/>
      </c>
      <c r="I153" s="14">
        <f>E153*G153</f>
        <v/>
      </c>
      <c r="J153" s="13" t="inlineStr">
        <is>
          <t>Нет истории — разогнать</t>
        </is>
      </c>
    </row>
    <row r="154">
      <c r="A154" s="10" t="inlineStr">
        <is>
          <t>ИТОГО VT</t>
        </is>
      </c>
      <c r="B154" s="11" t="n"/>
      <c r="C154" s="12">
        <f>SUM(C152:C153)</f>
        <v/>
      </c>
      <c r="D154" s="12">
        <f>SUM(D152:D153)</f>
        <v/>
      </c>
      <c r="E154" s="12">
        <f>SUM(E152:E153)</f>
        <v/>
      </c>
      <c r="F154" s="11" t="n"/>
      <c r="G154" s="11" t="n"/>
      <c r="H154" s="12">
        <f>SUM(H152:H153)</f>
        <v/>
      </c>
      <c r="I154" s="12">
        <f>SUM(I152:I153)</f>
        <v/>
      </c>
      <c r="J154" s="11" t="n"/>
    </row>
    <row r="156">
      <c r="A156" s="17" t="inlineStr">
        <is>
          <t>ИТОГО КОСМЕТИКА</t>
        </is>
      </c>
      <c r="B156" s="18" t="n"/>
      <c r="C156" s="19">
        <f>C8+C13+C16+C20+C37+C42+C54+C57+C62+C65+C71+C74+C77+C80+C83+C91+C94+C108+C118+C125+C129+C133+C137+C150+C154</f>
        <v/>
      </c>
      <c r="D156" s="19">
        <f>D8+D13+D16+D20+D37+D42+D54+D57+D62+D65+D71+D74+D77+D80+D83+D91+D94+D108+D118+D125+D129+D133+D137+D150+D154</f>
        <v/>
      </c>
      <c r="E156" s="19">
        <f>E8+E13+E16+E20+E37+E42+E54+E57+E62+E65+E71+E74+E77+E80+E83+E91+E94+E108+E118+E125+E129+E133+E137+E150+E154</f>
        <v/>
      </c>
      <c r="F156" s="18" t="n"/>
      <c r="G156" s="18" t="n"/>
      <c r="H156" s="19">
        <f>H8+H13+H16+H20+H37+H42+H54+H57+H62+H65+H71+H74+H77+H80+H83+H91+H94+H108+H118+H125+H129+H133+H137+H150+H154</f>
        <v/>
      </c>
      <c r="I156" s="19">
        <f>I8+I13+I16+I20+I37+I42+I54+I57+I62+I65+I71+I74+I77+I80+I83+I91+I94+I108+I118+I125+I129+I133+I137+I150+I154</f>
        <v/>
      </c>
      <c r="J156" s="18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1" customWidth="1" min="3" max="3"/>
    <col width="11" customWidth="1" min="4" max="4"/>
    <col width="12" customWidth="1" min="5" max="5"/>
    <col width="12" customWidth="1" min="6" max="6"/>
    <col width="10" customWidth="1" min="7" max="7"/>
    <col width="8" customWidth="1" min="8" max="8"/>
    <col width="10" customWidth="1" min="9" max="9"/>
    <col width="13" customWidth="1" min="10" max="10"/>
  </cols>
  <sheetData>
    <row r="1">
      <c r="A1" s="24" t="inlineStr">
        <is>
          <t>ДЕДЫ МОРОЗЫ — ПЛАН ОКТЯБРЬ (отдельно)</t>
        </is>
      </c>
    </row>
    <row r="2">
      <c r="A2" s="4" t="inlineStr">
        <is>
          <t>Прибыль 350 ₽/шт. Комиссия 38,5%, налог 1%, логистика по SKU, ДРР 10%. Октябрь — старт (15% остатка), пик ноя-дек. Цену 10 000 ₽ снизить до рыночной (колонка «Цена с СПП»).</t>
        </is>
      </c>
    </row>
    <row r="4">
      <c r="A4" s="25" t="inlineStr">
        <is>
          <t>Артикул ВБ</t>
        </is>
      </c>
      <c r="B4" s="25" t="inlineStr">
        <is>
          <t>Себес ₽(+ФФ)</t>
        </is>
      </c>
      <c r="C4" s="25" t="inlineStr">
        <is>
          <t>Логистика ₽</t>
        </is>
      </c>
      <c r="D4" s="25" t="inlineStr">
        <is>
          <t>Остаток WB</t>
        </is>
      </c>
      <c r="E4" s="25" t="inlineStr">
        <is>
          <t>Цена до СПП ₽</t>
        </is>
      </c>
      <c r="F4" s="25" t="inlineStr">
        <is>
          <t>Цена с СПП ₽</t>
        </is>
      </c>
      <c r="G4" s="25" t="inlineStr">
        <is>
          <t>Маржа ₽/ед</t>
        </is>
      </c>
      <c r="H4" s="25" t="inlineStr">
        <is>
          <t>ROI %</t>
        </is>
      </c>
      <c r="I4" s="25" t="inlineStr">
        <is>
          <t>ПЛАН окт шт</t>
        </is>
      </c>
      <c r="J4" s="25" t="inlineStr">
        <is>
          <t>План прибыль ₽</t>
        </is>
      </c>
    </row>
    <row r="5">
      <c r="A5" s="8" t="n">
        <v>48905926</v>
      </c>
      <c r="B5" s="9" t="n">
        <v>352</v>
      </c>
      <c r="C5" s="9" t="n">
        <v>279</v>
      </c>
      <c r="D5" s="9" t="n">
        <v>496</v>
      </c>
      <c r="E5" s="9" t="n">
        <v>2058</v>
      </c>
      <c r="F5" s="9" t="n">
        <v>1342</v>
      </c>
      <c r="G5" s="9" t="n">
        <v>350</v>
      </c>
      <c r="H5" s="8" t="n">
        <v>100</v>
      </c>
      <c r="I5" s="8" t="n">
        <v>74</v>
      </c>
      <c r="J5" s="9" t="n">
        <v>25900</v>
      </c>
    </row>
    <row r="6">
      <c r="A6" s="8" t="n">
        <v>48906308</v>
      </c>
      <c r="B6" s="9" t="n">
        <v>352</v>
      </c>
      <c r="C6" s="9" t="n">
        <v>279</v>
      </c>
      <c r="D6" s="9" t="n">
        <v>500</v>
      </c>
      <c r="E6" s="9" t="n">
        <v>2058</v>
      </c>
      <c r="F6" s="9" t="n">
        <v>1342</v>
      </c>
      <c r="G6" s="9" t="n">
        <v>350</v>
      </c>
      <c r="H6" s="8" t="n">
        <v>100</v>
      </c>
      <c r="I6" s="8" t="n">
        <v>75</v>
      </c>
      <c r="J6" s="9" t="n">
        <v>26250</v>
      </c>
    </row>
    <row r="7">
      <c r="A7" s="8" t="n">
        <v>48906952</v>
      </c>
      <c r="B7" s="9" t="n">
        <v>374</v>
      </c>
      <c r="C7" s="9" t="n">
        <v>279</v>
      </c>
      <c r="D7" s="9" t="n">
        <v>500</v>
      </c>
      <c r="E7" s="9" t="n">
        <v>2105</v>
      </c>
      <c r="F7" s="9" t="n">
        <v>1373</v>
      </c>
      <c r="G7" s="9" t="n">
        <v>350</v>
      </c>
      <c r="H7" s="8" t="n">
        <v>94</v>
      </c>
      <c r="I7" s="8" t="n">
        <v>75</v>
      </c>
      <c r="J7" s="9" t="n">
        <v>26250</v>
      </c>
    </row>
    <row r="8">
      <c r="A8" s="8" t="n">
        <v>48908708</v>
      </c>
      <c r="B8" s="9" t="n">
        <v>352</v>
      </c>
      <c r="C8" s="9" t="n">
        <v>279</v>
      </c>
      <c r="D8" s="9" t="n">
        <v>500</v>
      </c>
      <c r="E8" s="9" t="n">
        <v>2058</v>
      </c>
      <c r="F8" s="9" t="n">
        <v>1342</v>
      </c>
      <c r="G8" s="9" t="n">
        <v>350</v>
      </c>
      <c r="H8" s="8" t="n">
        <v>100</v>
      </c>
      <c r="I8" s="8" t="n">
        <v>75</v>
      </c>
      <c r="J8" s="9" t="n">
        <v>26250</v>
      </c>
    </row>
    <row r="9">
      <c r="A9" s="8" t="n">
        <v>103431353</v>
      </c>
      <c r="B9" s="9" t="n">
        <v>352</v>
      </c>
      <c r="C9" s="9" t="n">
        <v>279</v>
      </c>
      <c r="D9" s="9" t="n">
        <v>500</v>
      </c>
      <c r="E9" s="9" t="n">
        <v>2058</v>
      </c>
      <c r="F9" s="9" t="n">
        <v>1342</v>
      </c>
      <c r="G9" s="9" t="n">
        <v>350</v>
      </c>
      <c r="H9" s="8" t="n">
        <v>100</v>
      </c>
      <c r="I9" s="8" t="n">
        <v>75</v>
      </c>
      <c r="J9" s="9" t="n">
        <v>26250</v>
      </c>
    </row>
    <row r="10">
      <c r="A10" s="8" t="n">
        <v>103431810</v>
      </c>
      <c r="B10" s="9" t="n">
        <v>352</v>
      </c>
      <c r="C10" s="9" t="n">
        <v>279</v>
      </c>
      <c r="D10" s="9" t="n">
        <v>500</v>
      </c>
      <c r="E10" s="9" t="n">
        <v>2058</v>
      </c>
      <c r="F10" s="9" t="n">
        <v>1342</v>
      </c>
      <c r="G10" s="9" t="n">
        <v>350</v>
      </c>
      <c r="H10" s="8" t="n">
        <v>100</v>
      </c>
      <c r="I10" s="8" t="n">
        <v>75</v>
      </c>
      <c r="J10" s="9" t="n">
        <v>26250</v>
      </c>
    </row>
    <row r="11">
      <c r="A11" s="8" t="n">
        <v>103441912</v>
      </c>
      <c r="B11" s="9" t="n">
        <v>352</v>
      </c>
      <c r="C11" s="9" t="n">
        <v>279</v>
      </c>
      <c r="D11" s="9" t="n">
        <v>500</v>
      </c>
      <c r="E11" s="9" t="n">
        <v>2058</v>
      </c>
      <c r="F11" s="9" t="n">
        <v>1342</v>
      </c>
      <c r="G11" s="9" t="n">
        <v>350</v>
      </c>
      <c r="H11" s="8" t="n">
        <v>100</v>
      </c>
      <c r="I11" s="8" t="n">
        <v>75</v>
      </c>
      <c r="J11" s="9" t="n">
        <v>26250</v>
      </c>
    </row>
    <row r="12">
      <c r="A12" s="8" t="n">
        <v>104590122</v>
      </c>
      <c r="B12" s="9" t="n">
        <v>352</v>
      </c>
      <c r="C12" s="9" t="n">
        <v>279</v>
      </c>
      <c r="D12" s="9" t="n">
        <v>500</v>
      </c>
      <c r="E12" s="9" t="n">
        <v>2058</v>
      </c>
      <c r="F12" s="9" t="n">
        <v>1342</v>
      </c>
      <c r="G12" s="9" t="n">
        <v>350</v>
      </c>
      <c r="H12" s="8" t="n">
        <v>100</v>
      </c>
      <c r="I12" s="8" t="n">
        <v>75</v>
      </c>
      <c r="J12" s="9" t="n">
        <v>26250</v>
      </c>
    </row>
    <row r="13">
      <c r="A13" s="8" t="n">
        <v>555213580</v>
      </c>
      <c r="B13" s="9" t="n">
        <v>567</v>
      </c>
      <c r="C13" s="9" t="n">
        <v>428</v>
      </c>
      <c r="D13" s="9" t="n">
        <v>500</v>
      </c>
      <c r="E13" s="9" t="n">
        <v>2821</v>
      </c>
      <c r="F13" s="9" t="n">
        <v>1839</v>
      </c>
      <c r="G13" s="9" t="n">
        <v>350</v>
      </c>
      <c r="H13" s="8" t="n">
        <v>62</v>
      </c>
      <c r="I13" s="8" t="n">
        <v>75</v>
      </c>
      <c r="J13" s="9" t="n">
        <v>26250</v>
      </c>
    </row>
    <row r="14">
      <c r="A14" s="8" t="n">
        <v>190314011</v>
      </c>
      <c r="B14" s="9" t="n">
        <v>369</v>
      </c>
      <c r="C14" s="9" t="n">
        <v>215</v>
      </c>
      <c r="D14" s="9" t="n">
        <v>500</v>
      </c>
      <c r="E14" s="9" t="n">
        <v>1958</v>
      </c>
      <c r="F14" s="9" t="n">
        <v>1277</v>
      </c>
      <c r="G14" s="9" t="n">
        <v>350</v>
      </c>
      <c r="H14" s="8" t="n">
        <v>95</v>
      </c>
      <c r="I14" s="8" t="n">
        <v>75</v>
      </c>
      <c r="J14" s="9" t="n">
        <v>26250</v>
      </c>
    </row>
    <row r="15">
      <c r="A15" s="8" t="n">
        <v>190314349</v>
      </c>
      <c r="B15" s="9" t="n">
        <v>364</v>
      </c>
      <c r="C15" s="9" t="n">
        <v>194</v>
      </c>
      <c r="D15" s="9" t="n">
        <v>500</v>
      </c>
      <c r="E15" s="9" t="n">
        <v>1904</v>
      </c>
      <c r="F15" s="9" t="n">
        <v>1241</v>
      </c>
      <c r="G15" s="9" t="n">
        <v>350</v>
      </c>
      <c r="H15" s="8" t="n">
        <v>96</v>
      </c>
      <c r="I15" s="8" t="n">
        <v>75</v>
      </c>
      <c r="J15" s="9" t="n">
        <v>26250</v>
      </c>
    </row>
    <row r="16">
      <c r="A16" s="8" t="n">
        <v>555208894</v>
      </c>
      <c r="B16" s="9" t="n">
        <v>567</v>
      </c>
      <c r="C16" s="9" t="n">
        <v>596</v>
      </c>
      <c r="D16" s="9" t="n">
        <v>500</v>
      </c>
      <c r="E16" s="9" t="n">
        <v>3172</v>
      </c>
      <c r="F16" s="9" t="n">
        <v>2068</v>
      </c>
      <c r="G16" s="9" t="n">
        <v>350</v>
      </c>
      <c r="H16" s="8" t="n">
        <v>62</v>
      </c>
      <c r="I16" s="8" t="n">
        <v>75</v>
      </c>
      <c r="J16" s="9" t="n">
        <v>26250</v>
      </c>
    </row>
    <row r="17">
      <c r="A17" s="8" t="n">
        <v>555134309</v>
      </c>
      <c r="B17" s="9" t="n">
        <v>512</v>
      </c>
      <c r="C17" s="9" t="n">
        <v>309</v>
      </c>
      <c r="D17" s="9" t="n">
        <v>500</v>
      </c>
      <c r="E17" s="9" t="n">
        <v>2457</v>
      </c>
      <c r="F17" s="9" t="n">
        <v>1602</v>
      </c>
      <c r="G17" s="9" t="n">
        <v>350</v>
      </c>
      <c r="H17" s="8" t="n">
        <v>68</v>
      </c>
      <c r="I17" s="8" t="n">
        <v>75</v>
      </c>
      <c r="J17" s="9" t="n">
        <v>26250</v>
      </c>
    </row>
    <row r="18">
      <c r="A18" s="8" t="n">
        <v>555135716</v>
      </c>
      <c r="B18" s="9" t="n">
        <v>567</v>
      </c>
      <c r="C18" s="9" t="n">
        <v>596</v>
      </c>
      <c r="D18" s="9" t="n">
        <v>500</v>
      </c>
      <c r="E18" s="9" t="n">
        <v>3172</v>
      </c>
      <c r="F18" s="9" t="n">
        <v>2068</v>
      </c>
      <c r="G18" s="9" t="n">
        <v>350</v>
      </c>
      <c r="H18" s="8" t="n">
        <v>62</v>
      </c>
      <c r="I18" s="8" t="n">
        <v>75</v>
      </c>
      <c r="J18" s="9" t="n">
        <v>26250</v>
      </c>
    </row>
    <row r="19">
      <c r="A19" s="8" t="n">
        <v>555151552</v>
      </c>
      <c r="B19" s="9" t="n">
        <v>901</v>
      </c>
      <c r="C19" s="9" t="n">
        <v>885</v>
      </c>
      <c r="D19" s="9" t="n">
        <v>250</v>
      </c>
      <c r="E19" s="9" t="n">
        <v>4479</v>
      </c>
      <c r="F19" s="9" t="n">
        <v>2921</v>
      </c>
      <c r="G19" s="9" t="n">
        <v>350</v>
      </c>
      <c r="H19" s="8" t="n">
        <v>39</v>
      </c>
      <c r="I19" s="8" t="n">
        <v>38</v>
      </c>
      <c r="J19" s="9" t="n">
        <v>13300</v>
      </c>
    </row>
    <row r="20">
      <c r="A20" s="8" t="n">
        <v>555204573</v>
      </c>
      <c r="B20" s="9" t="n">
        <v>512</v>
      </c>
      <c r="C20" s="9" t="n">
        <v>430</v>
      </c>
      <c r="D20" s="9" t="n">
        <v>500</v>
      </c>
      <c r="E20" s="9" t="n">
        <v>2710</v>
      </c>
      <c r="F20" s="9" t="n">
        <v>1767</v>
      </c>
      <c r="G20" s="9" t="n">
        <v>350</v>
      </c>
      <c r="H20" s="8" t="n">
        <v>68</v>
      </c>
      <c r="I20" s="8" t="n">
        <v>75</v>
      </c>
      <c r="J20" s="9" t="n">
        <v>26250</v>
      </c>
    </row>
    <row r="21">
      <c r="A21" s="8" t="n">
        <v>555212357</v>
      </c>
      <c r="B21" s="9" t="n">
        <v>512</v>
      </c>
      <c r="C21" s="9" t="n">
        <v>309</v>
      </c>
      <c r="D21" s="9" t="n">
        <v>500</v>
      </c>
      <c r="E21" s="9" t="n">
        <v>2457</v>
      </c>
      <c r="F21" s="9" t="n">
        <v>1602</v>
      </c>
      <c r="G21" s="9" t="n">
        <v>350</v>
      </c>
      <c r="H21" s="8" t="n">
        <v>68</v>
      </c>
      <c r="I21" s="8" t="n">
        <v>75</v>
      </c>
      <c r="J21" s="9" t="n">
        <v>26250</v>
      </c>
    </row>
    <row r="22">
      <c r="A22" s="26" t="inlineStr">
        <is>
          <t>ИТОГО ДЕДЫ МОРОЗЫ</t>
        </is>
      </c>
      <c r="B22" s="18" t="n"/>
      <c r="C22" s="18" t="n"/>
      <c r="D22" s="27" t="n">
        <v>8246</v>
      </c>
      <c r="E22" s="18" t="n"/>
      <c r="F22" s="18" t="n"/>
      <c r="G22" s="18" t="n"/>
      <c r="H22" s="18" t="n"/>
      <c r="I22" s="27" t="n">
        <v>1237</v>
      </c>
      <c r="J22" s="27" t="n">
        <v>432950</v>
      </c>
    </row>
    <row r="24">
      <c r="A24" s="28" t="inlineStr">
        <is>
          <t>Остаток WB 8,246 шт (+ ~43 000 склад/контейнер). Окт 1,237 шт → 433 тыс ₽. Пик ноя-дек: весь остаток WB ≈ 2.89 млн ₽.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0" customWidth="1" min="3" max="3"/>
    <col width="10" customWidth="1" min="4" max="4"/>
    <col width="15" customWidth="1" min="5" max="5"/>
    <col width="8" customWidth="1" min="6" max="6"/>
    <col width="10" customWidth="1" min="7" max="7"/>
    <col width="28" customWidth="1" min="8" max="8"/>
  </cols>
  <sheetData>
    <row r="1">
      <c r="A1" s="29" t="inlineStr">
        <is>
          <t>ЭЛЕКТРОНИКА — РАСПРОДАЖА (отдельно)</t>
        </is>
      </c>
    </row>
    <row r="4">
      <c r="A4" s="30" t="inlineStr">
        <is>
          <t>Артикул ВБ</t>
        </is>
      </c>
      <c r="B4" s="30" t="inlineStr">
        <is>
          <t>Товар</t>
        </is>
      </c>
      <c r="C4" s="30" t="inlineStr">
        <is>
          <t>Себес ₽</t>
        </is>
      </c>
      <c r="D4" s="30" t="inlineStr">
        <is>
          <t>Цена ₽</t>
        </is>
      </c>
      <c r="E4" s="30" t="inlineStr">
        <is>
          <t>Маржа ₽/ед</t>
        </is>
      </c>
      <c r="F4" s="30" t="inlineStr">
        <is>
          <t>ROI %</t>
        </is>
      </c>
      <c r="G4" s="30" t="inlineStr">
        <is>
          <t>Остаток WB</t>
        </is>
      </c>
      <c r="H4" s="30" t="inlineStr">
        <is>
          <t>Решение</t>
        </is>
      </c>
    </row>
    <row r="5">
      <c r="A5" s="8" t="n">
        <v>208208674</v>
      </c>
      <c r="B5" s="8" t="inlineStr">
        <is>
          <t>Рация BAOFENG</t>
        </is>
      </c>
      <c r="C5" s="9" t="n">
        <v>1386</v>
      </c>
      <c r="D5" s="9" t="n">
        <v>3032</v>
      </c>
      <c r="E5" s="9" t="n">
        <v>111</v>
      </c>
      <c r="F5" s="8" t="n">
        <v>8</v>
      </c>
      <c r="G5" s="8" t="n">
        <v>17</v>
      </c>
      <c r="H5" s="8" t="inlineStr">
        <is>
          <t>Распродать (маржа тонкая)</t>
        </is>
      </c>
    </row>
    <row r="6">
      <c r="A6" s="31" t="n">
        <v>174668134</v>
      </c>
      <c r="B6" s="31" t="inlineStr">
        <is>
          <t>Перкуссионный массажёр</t>
        </is>
      </c>
      <c r="C6" s="32" t="n">
        <v>531</v>
      </c>
      <c r="D6" s="32" t="n">
        <v>934</v>
      </c>
      <c r="E6" s="32" t="n">
        <v>-192</v>
      </c>
      <c r="F6" s="31" t="n">
        <v>-36</v>
      </c>
      <c r="G6" s="31" t="n">
        <v>1</v>
      </c>
      <c r="H6" s="31" t="inlineStr">
        <is>
          <t>НЕ продаём (убыток) — списать</t>
        </is>
      </c>
    </row>
    <row r="7">
      <c r="A7" s="8" t="n">
        <v>315688951</v>
      </c>
      <c r="B7" s="8" t="inlineStr">
        <is>
          <t>Триммер для бороды</t>
        </is>
      </c>
      <c r="C7" s="9" t="n">
        <v>263</v>
      </c>
      <c r="D7" s="9" t="n">
        <v>848</v>
      </c>
      <c r="E7" s="9" t="n">
        <v>92</v>
      </c>
      <c r="F7" s="8" t="n">
        <v>35</v>
      </c>
      <c r="G7" s="8" t="n">
        <v>1</v>
      </c>
      <c r="H7" s="8" t="inlineStr">
        <is>
          <t>Распродать (ROI ок)</t>
        </is>
      </c>
    </row>
    <row r="9">
      <c r="A9" s="33" t="inlineStr">
        <is>
          <t>Электронику выводим из матрицы. Роботы — считать к сезону март-2027.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2026-10-01T18:05:32Z</dcterms:created>
  <dcterms:modified xsi:type="dcterms:W3CDTF">2026-10-01T18:06:17Z</dcterms:modified>
</cp:coreProperties>
</file>
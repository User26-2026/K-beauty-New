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прода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4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</cols>
  <sheetData>
    <row r="1">
      <c r="A1" s="1" t="inlineStr">
        <is>
          <t>Множитель магазинов</t>
        </is>
      </c>
      <c r="B1" s="2" t="n">
        <v>1</v>
      </c>
    </row>
    <row r="2">
      <c r="A2" s="3" t="inlineStr">
        <is>
          <t>Бренд</t>
        </is>
      </c>
      <c r="B2" s="3" t="inlineStr">
        <is>
          <t>Артикул</t>
        </is>
      </c>
      <c r="C2" s="3" t="inlineStr">
        <is>
          <t>Название</t>
        </is>
      </c>
      <c r="D2" s="3" t="inlineStr">
        <is>
          <t>Авг26</t>
        </is>
      </c>
      <c r="E2" s="3" t="inlineStr">
        <is>
          <t>Сен26</t>
        </is>
      </c>
      <c r="F2" s="3" t="inlineStr">
        <is>
          <t>Окт26</t>
        </is>
      </c>
      <c r="G2" s="3" t="inlineStr">
        <is>
          <t>Ноя26</t>
        </is>
      </c>
      <c r="H2" s="3" t="inlineStr">
        <is>
          <t>Дек26</t>
        </is>
      </c>
      <c r="I2" s="3" t="inlineStr">
        <is>
          <t>Янв27</t>
        </is>
      </c>
      <c r="J2" s="3" t="inlineStr">
        <is>
          <t>Фев27</t>
        </is>
      </c>
      <c r="K2" s="3" t="inlineStr">
        <is>
          <t>Мар27</t>
        </is>
      </c>
      <c r="L2" s="3" t="inlineStr">
        <is>
          <t>Итого 8 мес</t>
        </is>
      </c>
    </row>
    <row r="3">
      <c r="A3" t="inlineStr">
        <is>
          <t>CELIMAX</t>
        </is>
      </c>
      <c r="B3" t="inlineStr">
        <is>
          <t>868516027</t>
        </is>
      </c>
      <c r="C3" t="inlineStr">
        <is>
          <t>Celimax Dual Barrier Creamy Toner</t>
        </is>
      </c>
      <c r="D3">
        <f>ROUND(2499*$B$1,0)</f>
        <v/>
      </c>
      <c r="E3">
        <f>ROUND(2024*$B$1,0)</f>
        <v/>
      </c>
      <c r="F3">
        <f>ROUND(2024*$B$1,0)</f>
        <v/>
      </c>
      <c r="G3">
        <f>ROUND(2024*$B$1,0)</f>
        <v/>
      </c>
      <c r="H3">
        <f>ROUND(2457*$B$1,0)</f>
        <v/>
      </c>
      <c r="I3">
        <f>ROUND(2520*$B$1,0)</f>
        <v/>
      </c>
      <c r="J3">
        <f>ROUND(2047*$B$1,0)</f>
        <v/>
      </c>
      <c r="K3">
        <f>ROUND(2220*$B$1,0)</f>
        <v/>
      </c>
      <c r="L3">
        <f>SUM(D3:K3)</f>
        <v/>
      </c>
    </row>
    <row r="4">
      <c r="A4" t="inlineStr">
        <is>
          <t>CELIMAX</t>
        </is>
      </c>
      <c r="B4" t="inlineStr">
        <is>
          <t>551465879</t>
        </is>
      </c>
      <c r="C4" t="inlineStr">
        <is>
          <t>CELIMAX THE VITA-A RETINOL SHOT TIGHTENING SERUM [30ml]</t>
        </is>
      </c>
      <c r="D4">
        <f>ROUND(549*$B$1,0)</f>
        <v/>
      </c>
      <c r="E4">
        <f>ROUND(445*$B$1,0)</f>
        <v/>
      </c>
      <c r="F4">
        <f>ROUND(445*$B$1,0)</f>
        <v/>
      </c>
      <c r="G4">
        <f>ROUND(445*$B$1,0)</f>
        <v/>
      </c>
      <c r="H4">
        <f>ROUND(540*$B$1,0)</f>
        <v/>
      </c>
      <c r="I4">
        <f>ROUND(554*$B$1,0)</f>
        <v/>
      </c>
      <c r="J4">
        <f>ROUND(450*$B$1,0)</f>
        <v/>
      </c>
      <c r="K4">
        <f>ROUND(488*$B$1,0)</f>
        <v/>
      </c>
      <c r="L4">
        <f>SUM(D4:K4)</f>
        <v/>
      </c>
    </row>
    <row r="5">
      <c r="A5" t="inlineStr">
        <is>
          <t>CELIMAX</t>
        </is>
      </c>
      <c r="B5" t="inlineStr">
        <is>
          <t>551607905</t>
        </is>
      </c>
      <c r="C5" t="inlineStr">
        <is>
          <t xml:space="preserve">CELIMAX JI WOO GAE CICA BHA BLEMISH TONER PAD [170ml / </t>
        </is>
      </c>
      <c r="D5">
        <f>ROUND(197*$B$1,0)</f>
        <v/>
      </c>
      <c r="E5">
        <f>ROUND(159*$B$1,0)</f>
        <v/>
      </c>
      <c r="F5">
        <f>ROUND(159*$B$1,0)</f>
        <v/>
      </c>
      <c r="G5">
        <f>ROUND(159*$B$1,0)</f>
        <v/>
      </c>
      <c r="H5">
        <f>ROUND(193*$B$1,0)</f>
        <v/>
      </c>
      <c r="I5">
        <f>ROUND(198*$B$1,0)</f>
        <v/>
      </c>
      <c r="J5">
        <f>ROUND(161*$B$1,0)</f>
        <v/>
      </c>
      <c r="K5">
        <f>ROUND(175*$B$1,0)</f>
        <v/>
      </c>
      <c r="L5">
        <f>SUM(D5:K5)</f>
        <v/>
      </c>
    </row>
    <row r="6">
      <c r="A6" t="inlineStr">
        <is>
          <t>CELIMAX</t>
        </is>
      </c>
      <c r="B6" t="inlineStr">
        <is>
          <t>551540924</t>
        </is>
      </c>
      <c r="C6" t="inlineStr">
        <is>
          <t>CELIMAX PORE+DARK SPOT BRIGHTENING PAD [100ml / 40pads]</t>
        </is>
      </c>
      <c r="D6">
        <f>ROUND(168*$B$1,0)</f>
        <v/>
      </c>
      <c r="E6">
        <f>ROUND(136*$B$1,0)</f>
        <v/>
      </c>
      <c r="F6">
        <f>ROUND(136*$B$1,0)</f>
        <v/>
      </c>
      <c r="G6">
        <f>ROUND(136*$B$1,0)</f>
        <v/>
      </c>
      <c r="H6">
        <f>ROUND(165*$B$1,0)</f>
        <v/>
      </c>
      <c r="I6">
        <f>ROUND(170*$B$1,0)</f>
        <v/>
      </c>
      <c r="J6">
        <f>ROUND(138*$B$1,0)</f>
        <v/>
      </c>
      <c r="K6">
        <f>ROUND(149*$B$1,0)</f>
        <v/>
      </c>
      <c r="L6">
        <f>SUM(D6:K6)</f>
        <v/>
      </c>
    </row>
    <row r="7">
      <c r="A7" t="inlineStr">
        <is>
          <t>CELIMAX</t>
        </is>
      </c>
      <c r="B7" t="inlineStr">
        <is>
          <t>551616449</t>
        </is>
      </c>
      <c r="C7" t="inlineStr">
        <is>
          <t>CELIMAX THE REAL NONI STARTER KIT (NEW) [30ml+10ml+10ml</t>
        </is>
      </c>
      <c r="D7">
        <f>ROUND(49*$B$1,0)</f>
        <v/>
      </c>
      <c r="E7">
        <f>ROUND(40*$B$1,0)</f>
        <v/>
      </c>
      <c r="F7">
        <f>ROUND(40*$B$1,0)</f>
        <v/>
      </c>
      <c r="G7">
        <f>ROUND(40*$B$1,0)</f>
        <v/>
      </c>
      <c r="H7">
        <f>ROUND(48*$B$1,0)</f>
        <v/>
      </c>
      <c r="I7">
        <f>ROUND(50*$B$1,0)</f>
        <v/>
      </c>
      <c r="J7">
        <f>ROUND(40*$B$1,0)</f>
        <v/>
      </c>
      <c r="K7">
        <f>ROUND(44*$B$1,0)</f>
        <v/>
      </c>
      <c r="L7">
        <f>SUM(D7:K7)</f>
        <v/>
      </c>
    </row>
    <row r="8">
      <c r="A8" t="inlineStr">
        <is>
          <t>CELIMAX</t>
        </is>
      </c>
      <c r="B8" t="inlineStr">
        <is>
          <t>551387355</t>
        </is>
      </c>
      <c r="C8" t="inlineStr">
        <is>
          <t>CELIMAX THE VITA-A RETINAL SHOT TIGHTENING BOOSTER [15m</t>
        </is>
      </c>
      <c r="D8">
        <f>ROUND(37*$B$1,0)</f>
        <v/>
      </c>
      <c r="E8">
        <f>ROUND(30*$B$1,0)</f>
        <v/>
      </c>
      <c r="F8">
        <f>ROUND(30*$B$1,0)</f>
        <v/>
      </c>
      <c r="G8">
        <f>ROUND(30*$B$1,0)</f>
        <v/>
      </c>
      <c r="H8">
        <f>ROUND(37*$B$1,0)</f>
        <v/>
      </c>
      <c r="I8">
        <f>ROUND(38*$B$1,0)</f>
        <v/>
      </c>
      <c r="J8">
        <f>ROUND(31*$B$1,0)</f>
        <v/>
      </c>
      <c r="K8">
        <f>ROUND(33*$B$1,0)</f>
        <v/>
      </c>
      <c r="L8">
        <f>SUM(D8:K8)</f>
        <v/>
      </c>
    </row>
    <row r="9">
      <c r="A9" t="inlineStr">
        <is>
          <t>CELIMAX</t>
        </is>
      </c>
      <c r="B9" t="inlineStr">
        <is>
          <t>551490295</t>
        </is>
      </c>
      <c r="C9" t="inlineStr">
        <is>
          <t>CELIMAX PORE+DARK SPOT BRIGHTENING SERUM_10ml [10ml]</t>
        </is>
      </c>
      <c r="D9">
        <f>ROUND(15*$B$1,0)</f>
        <v/>
      </c>
      <c r="E9">
        <f>ROUND(12*$B$1,0)</f>
        <v/>
      </c>
      <c r="F9">
        <f>ROUND(12*$B$1,0)</f>
        <v/>
      </c>
      <c r="G9">
        <f>ROUND(12*$B$1,0)</f>
        <v/>
      </c>
      <c r="H9">
        <f>ROUND(15*$B$1,0)</f>
        <v/>
      </c>
      <c r="I9">
        <f>ROUND(15*$B$1,0)</f>
        <v/>
      </c>
      <c r="J9">
        <f>ROUND(12*$B$1,0)</f>
        <v/>
      </c>
      <c r="K9">
        <f>ROUND(13*$B$1,0)</f>
        <v/>
      </c>
      <c r="L9">
        <f>SUM(D9:K9)</f>
        <v/>
      </c>
    </row>
    <row r="10">
      <c r="A10" t="inlineStr">
        <is>
          <t>CELIMAX</t>
        </is>
      </c>
      <c r="B10" t="inlineStr">
        <is>
          <t>551472457</t>
        </is>
      </c>
      <c r="C10" t="inlineStr">
        <is>
          <t>CELIMAX THE REAL NONI ENERGY AMPOULE_30ML (NEW) [30ml]</t>
        </is>
      </c>
      <c r="D10">
        <f>ROUND(14*$B$1,0)</f>
        <v/>
      </c>
      <c r="E10">
        <f>ROUND(11*$B$1,0)</f>
        <v/>
      </c>
      <c r="F10">
        <f>ROUND(11*$B$1,0)</f>
        <v/>
      </c>
      <c r="G10">
        <f>ROUND(11*$B$1,0)</f>
        <v/>
      </c>
      <c r="H10">
        <f>ROUND(14*$B$1,0)</f>
        <v/>
      </c>
      <c r="I10">
        <f>ROUND(14*$B$1,0)</f>
        <v/>
      </c>
      <c r="J10">
        <f>ROUND(11*$B$1,0)</f>
        <v/>
      </c>
      <c r="K10">
        <f>ROUND(12*$B$1,0)</f>
        <v/>
      </c>
      <c r="L10">
        <f>SUM(D10:K10)</f>
        <v/>
      </c>
    </row>
    <row r="11">
      <c r="A11" t="inlineStr">
        <is>
          <t>CELIMAX</t>
        </is>
      </c>
      <c r="B11" t="inlineStr">
        <is>
          <t>551600265</t>
        </is>
      </c>
      <c r="C11" t="inlineStr">
        <is>
          <t>CELIMAX JI WOO GAE CICA BHA BLEMISH TONER PAD_10EA [30m</t>
        </is>
      </c>
      <c r="D11">
        <f>ROUND(11*$B$1,0)</f>
        <v/>
      </c>
      <c r="E11">
        <f>ROUND(9*$B$1,0)</f>
        <v/>
      </c>
      <c r="F11">
        <f>ROUND(9*$B$1,0)</f>
        <v/>
      </c>
      <c r="G11">
        <f>ROUND(9*$B$1,0)</f>
        <v/>
      </c>
      <c r="H11">
        <f>ROUND(11*$B$1,0)</f>
        <v/>
      </c>
      <c r="I11">
        <f>ROUND(11*$B$1,0)</f>
        <v/>
      </c>
      <c r="J11">
        <f>ROUND(9*$B$1,0)</f>
        <v/>
      </c>
      <c r="K11">
        <f>ROUND(10*$B$1,0)</f>
        <v/>
      </c>
      <c r="L11">
        <f>SUM(D11:K11)</f>
        <v/>
      </c>
    </row>
    <row r="12">
      <c r="A12" t="inlineStr">
        <is>
          <t>CELIMAX</t>
        </is>
      </c>
      <c r="B12" t="inlineStr">
        <is>
          <t>551447345</t>
        </is>
      </c>
      <c r="C12" t="inlineStr">
        <is>
          <t>CELIMAX PORE+DARK SPOT BRIGHTENING CREAM [35ml]</t>
        </is>
      </c>
      <c r="D12">
        <f>ROUND(10*$B$1,0)</f>
        <v/>
      </c>
      <c r="E12">
        <f>ROUND(8*$B$1,0)</f>
        <v/>
      </c>
      <c r="F12">
        <f>ROUND(8*$B$1,0)</f>
        <v/>
      </c>
      <c r="G12">
        <f>ROUND(8*$B$1,0)</f>
        <v/>
      </c>
      <c r="H12">
        <f>ROUND(10*$B$1,0)</f>
        <v/>
      </c>
      <c r="I12">
        <f>ROUND(10*$B$1,0)</f>
        <v/>
      </c>
      <c r="J12">
        <f>ROUND(8*$B$1,0)</f>
        <v/>
      </c>
      <c r="K12">
        <f>ROUND(9*$B$1,0)</f>
        <v/>
      </c>
      <c r="L12">
        <f>SUM(D12:K12)</f>
        <v/>
      </c>
    </row>
    <row r="13">
      <c r="A13" t="inlineStr">
        <is>
          <t>CELIMAX</t>
        </is>
      </c>
      <c r="B13" t="inlineStr">
        <is>
          <t>551482493</t>
        </is>
      </c>
      <c r="C13" t="inlineStr">
        <is>
          <t>CELIMAX PORE+DARK SPOT BRIGHTENING SERUM_30ml [30ml]</t>
        </is>
      </c>
      <c r="D13">
        <f>ROUND(9*$B$1,0)</f>
        <v/>
      </c>
      <c r="E13">
        <f>ROUND(7*$B$1,0)</f>
        <v/>
      </c>
      <c r="F13">
        <f>ROUND(7*$B$1,0)</f>
        <v/>
      </c>
      <c r="G13">
        <f>ROUND(7*$B$1,0)</f>
        <v/>
      </c>
      <c r="H13">
        <f>ROUND(9*$B$1,0)</f>
        <v/>
      </c>
      <c r="I13">
        <f>ROUND(9*$B$1,0)</f>
        <v/>
      </c>
      <c r="J13">
        <f>ROUND(7*$B$1,0)</f>
        <v/>
      </c>
      <c r="K13">
        <f>ROUND(8*$B$1,0)</f>
        <v/>
      </c>
      <c r="L13">
        <f>SUM(D13:K13)</f>
        <v/>
      </c>
    </row>
    <row r="14">
      <c r="A14" t="inlineStr">
        <is>
          <t>CELIMAX</t>
        </is>
      </c>
      <c r="B14" t="inlineStr">
        <is>
          <t>551392965</t>
        </is>
      </c>
      <c r="C14" t="inlineStr">
        <is>
          <t>CELIMAX DUAL BARRIER SKIN WEARABLE CREAM [50ml]</t>
        </is>
      </c>
      <c r="D14">
        <f>ROUND(8*$B$1,0)</f>
        <v/>
      </c>
      <c r="E14">
        <f>ROUND(6*$B$1,0)</f>
        <v/>
      </c>
      <c r="F14">
        <f>ROUND(6*$B$1,0)</f>
        <v/>
      </c>
      <c r="G14">
        <f>ROUND(6*$B$1,0)</f>
        <v/>
      </c>
      <c r="H14">
        <f>ROUND(8*$B$1,0)</f>
        <v/>
      </c>
      <c r="I14">
        <f>ROUND(8*$B$1,0)</f>
        <v/>
      </c>
      <c r="J14">
        <f>ROUND(6*$B$1,0)</f>
        <v/>
      </c>
      <c r="K14">
        <f>ROUND(7*$B$1,0)</f>
        <v/>
      </c>
      <c r="L14">
        <f>SUM(D14:K14)</f>
        <v/>
      </c>
    </row>
    <row r="15">
      <c r="A15" t="inlineStr">
        <is>
          <t>COSRX</t>
        </is>
      </c>
      <c r="B15" t="inlineStr">
        <is>
          <t>207481714</t>
        </is>
      </c>
      <c r="C15" t="inlineStr">
        <is>
          <t>COSRX AHA/BHA Clarifying Treatment Toner [150ml]</t>
        </is>
      </c>
      <c r="D15">
        <f>ROUND(92*$B$1,0)</f>
        <v/>
      </c>
      <c r="E15">
        <f>ROUND(75*$B$1,0)</f>
        <v/>
      </c>
      <c r="F15">
        <f>ROUND(75*$B$1,0)</f>
        <v/>
      </c>
      <c r="G15">
        <f>ROUND(75*$B$1,0)</f>
        <v/>
      </c>
      <c r="H15">
        <f>ROUND(91*$B$1,0)</f>
        <v/>
      </c>
      <c r="I15">
        <f>ROUND(93*$B$1,0)</f>
        <v/>
      </c>
      <c r="J15">
        <f>ROUND(76*$B$1,0)</f>
        <v/>
      </c>
      <c r="K15">
        <f>ROUND(82*$B$1,0)</f>
        <v/>
      </c>
      <c r="L15">
        <f>SUM(D15:K15)</f>
        <v/>
      </c>
    </row>
    <row r="16">
      <c r="A16" t="inlineStr">
        <is>
          <t>COSRX</t>
        </is>
      </c>
      <c r="B16" t="inlineStr">
        <is>
          <t>204258828</t>
        </is>
      </c>
      <c r="C16" t="inlineStr">
        <is>
          <t>COSRX_Salicylic_Acid_Cleanser</t>
        </is>
      </c>
      <c r="D16">
        <f>ROUND(69*$B$1,0)</f>
        <v/>
      </c>
      <c r="E16">
        <f>ROUND(56*$B$1,0)</f>
        <v/>
      </c>
      <c r="F16">
        <f>ROUND(56*$B$1,0)</f>
        <v/>
      </c>
      <c r="G16">
        <f>ROUND(56*$B$1,0)</f>
        <v/>
      </c>
      <c r="H16">
        <f>ROUND(68*$B$1,0)</f>
        <v/>
      </c>
      <c r="I16">
        <f>ROUND(69*$B$1,0)</f>
        <v/>
      </c>
      <c r="J16">
        <f>ROUND(56*$B$1,0)</f>
        <v/>
      </c>
      <c r="K16">
        <f>ROUND(61*$B$1,0)</f>
        <v/>
      </c>
      <c r="L16">
        <f>SUM(D16:K16)</f>
        <v/>
      </c>
    </row>
    <row r="17">
      <c r="A17" t="inlineStr">
        <is>
          <t>COSRX</t>
        </is>
      </c>
      <c r="B17" t="inlineStr">
        <is>
          <t>207481251</t>
        </is>
      </c>
      <c r="C17" t="inlineStr">
        <is>
          <t>COSRX Advanced Snail 96 Mucin Power Essence [100ml]</t>
        </is>
      </c>
      <c r="D17">
        <f>ROUND(66*$B$1,0)</f>
        <v/>
      </c>
      <c r="E17">
        <f>ROUND(54*$B$1,0)</f>
        <v/>
      </c>
      <c r="F17">
        <f>ROUND(54*$B$1,0)</f>
        <v/>
      </c>
      <c r="G17">
        <f>ROUND(54*$B$1,0)</f>
        <v/>
      </c>
      <c r="H17">
        <f>ROUND(65*$B$1,0)</f>
        <v/>
      </c>
      <c r="I17">
        <f>ROUND(67*$B$1,0)</f>
        <v/>
      </c>
      <c r="J17">
        <f>ROUND(54*$B$1,0)</f>
        <v/>
      </c>
      <c r="K17">
        <f>ROUND(59*$B$1,0)</f>
        <v/>
      </c>
      <c r="L17">
        <f>SUM(D17:K17)</f>
        <v/>
      </c>
    </row>
    <row r="18">
      <c r="A18" t="inlineStr">
        <is>
          <t>DEOPROCE</t>
        </is>
      </c>
      <c r="B18" t="inlineStr">
        <is>
          <t>214305722</t>
        </is>
      </c>
      <c r="C18" t="inlineStr">
        <is>
          <t>DEOPROCE SHAMPOO+BALSAM - BLACK GARLIC[2000ml]</t>
        </is>
      </c>
      <c r="D18">
        <f>ROUND(161*$B$1,0)</f>
        <v/>
      </c>
      <c r="E18">
        <f>ROUND(130*$B$1,0)</f>
        <v/>
      </c>
      <c r="F18">
        <f>ROUND(130*$B$1,0)</f>
        <v/>
      </c>
      <c r="G18">
        <f>ROUND(130*$B$1,0)</f>
        <v/>
      </c>
      <c r="H18">
        <f>ROUND(158*$B$1,0)</f>
        <v/>
      </c>
      <c r="I18">
        <f>ROUND(162*$B$1,0)</f>
        <v/>
      </c>
      <c r="J18">
        <f>ROUND(132*$B$1,0)</f>
        <v/>
      </c>
      <c r="K18">
        <f>ROUND(143*$B$1,0)</f>
        <v/>
      </c>
      <c r="L18">
        <f>SUM(D18:K18)</f>
        <v/>
      </c>
    </row>
    <row r="19">
      <c r="A19" t="inlineStr">
        <is>
          <t>DEOPROCE</t>
        </is>
      </c>
      <c r="B19" t="inlineStr">
        <is>
          <t>214305705</t>
        </is>
      </c>
      <c r="C19" t="inlineStr">
        <is>
          <t>DEOPROCE SHAMPOO - ARGAN SILKY MOISTURE [1000ml]</t>
        </is>
      </c>
      <c r="D19">
        <f>ROUND(120*$B$1,0)</f>
        <v/>
      </c>
      <c r="E19">
        <f>ROUND(97*$B$1,0)</f>
        <v/>
      </c>
      <c r="F19">
        <f>ROUND(97*$B$1,0)</f>
        <v/>
      </c>
      <c r="G19">
        <f>ROUND(97*$B$1,0)</f>
        <v/>
      </c>
      <c r="H19">
        <f>ROUND(118*$B$1,0)</f>
        <v/>
      </c>
      <c r="I19">
        <f>ROUND(121*$B$1,0)</f>
        <v/>
      </c>
      <c r="J19">
        <f>ROUND(98*$B$1,0)</f>
        <v/>
      </c>
      <c r="K19">
        <f>ROUND(107*$B$1,0)</f>
        <v/>
      </c>
      <c r="L19">
        <f>SUM(D19:K19)</f>
        <v/>
      </c>
    </row>
    <row r="20">
      <c r="A20" t="inlineStr">
        <is>
          <t>DEOPROCE</t>
        </is>
      </c>
      <c r="B20" t="inlineStr">
        <is>
          <t>608841921</t>
        </is>
      </c>
      <c r="C20" t="inlineStr">
        <is>
          <t>DEOPROCE SHAMPOO - BLACK GARLIC[200ml]</t>
        </is>
      </c>
      <c r="D20">
        <f>ROUND(83*$B$1,0)</f>
        <v/>
      </c>
      <c r="E20">
        <f>ROUND(67*$B$1,0)</f>
        <v/>
      </c>
      <c r="F20">
        <f>ROUND(67*$B$1,0)</f>
        <v/>
      </c>
      <c r="G20">
        <f>ROUND(67*$B$1,0)</f>
        <v/>
      </c>
      <c r="H20">
        <f>ROUND(81*$B$1,0)</f>
        <v/>
      </c>
      <c r="I20">
        <f>ROUND(84*$B$1,0)</f>
        <v/>
      </c>
      <c r="J20">
        <f>ROUND(68*$B$1,0)</f>
        <v/>
      </c>
      <c r="K20">
        <f>ROUND(74*$B$1,0)</f>
        <v/>
      </c>
      <c r="L20">
        <f>SUM(D20:K20)</f>
        <v/>
      </c>
    </row>
    <row r="21">
      <c r="A21" t="inlineStr">
        <is>
          <t>DEOPROCE</t>
        </is>
      </c>
      <c r="B21" t="inlineStr">
        <is>
          <t>608837066</t>
        </is>
      </c>
      <c r="C21" t="inlineStr">
        <is>
          <t>DEOPROCE SHAMPOO - BLACK GARLIC[600ml] без колпачка</t>
        </is>
      </c>
      <c r="D21">
        <f>ROUND(57*$B$1,0)</f>
        <v/>
      </c>
      <c r="E21">
        <f>ROUND(46*$B$1,0)</f>
        <v/>
      </c>
      <c r="F21">
        <f>ROUND(46*$B$1,0)</f>
        <v/>
      </c>
      <c r="G21">
        <f>ROUND(46*$B$1,0)</f>
        <v/>
      </c>
      <c r="H21">
        <f>ROUND(56*$B$1,0)</f>
        <v/>
      </c>
      <c r="I21">
        <f>ROUND(57*$B$1,0)</f>
        <v/>
      </c>
      <c r="J21">
        <f>ROUND(46*$B$1,0)</f>
        <v/>
      </c>
      <c r="K21">
        <f>ROUND(50*$B$1,0)</f>
        <v/>
      </c>
      <c r="L21">
        <f>SUM(D21:K21)</f>
        <v/>
      </c>
    </row>
    <row r="22">
      <c r="A22" t="inlineStr">
        <is>
          <t>DEOPROCE</t>
        </is>
      </c>
      <c r="B22" t="inlineStr">
        <is>
          <t>608624295</t>
        </is>
      </c>
      <c r="C22" t="inlineStr">
        <is>
          <t>DEOPROCE SHAMPOO - BLACK GARLIC[600ml] с колпачком</t>
        </is>
      </c>
      <c r="D22">
        <f>ROUND(44*$B$1,0)</f>
        <v/>
      </c>
      <c r="E22">
        <f>ROUND(36*$B$1,0)</f>
        <v/>
      </c>
      <c r="F22">
        <f>ROUND(36*$B$1,0)</f>
        <v/>
      </c>
      <c r="G22">
        <f>ROUND(36*$B$1,0)</f>
        <v/>
      </c>
      <c r="H22">
        <f>ROUND(43*$B$1,0)</f>
        <v/>
      </c>
      <c r="I22">
        <f>ROUND(44*$B$1,0)</f>
        <v/>
      </c>
      <c r="J22">
        <f>ROUND(36*$B$1,0)</f>
        <v/>
      </c>
      <c r="K22">
        <f>ROUND(39*$B$1,0)</f>
        <v/>
      </c>
      <c r="L22">
        <f>SUM(D22:K22)</f>
        <v/>
      </c>
    </row>
    <row r="23">
      <c r="A23" t="inlineStr">
        <is>
          <t>DEOPROCE</t>
        </is>
      </c>
      <c r="B23" t="inlineStr">
        <is>
          <t>214304883</t>
        </is>
      </c>
      <c r="C23" t="inlineStr">
        <is>
          <t>DEOPROCE - SNAIL RECOVERY CREAM [100g]</t>
        </is>
      </c>
      <c r="D23">
        <f>ROUND(34*$B$1,0)</f>
        <v/>
      </c>
      <c r="E23">
        <f>ROUND(28*$B$1,0)</f>
        <v/>
      </c>
      <c r="F23">
        <f>ROUND(28*$B$1,0)</f>
        <v/>
      </c>
      <c r="G23">
        <f>ROUND(28*$B$1,0)</f>
        <v/>
      </c>
      <c r="H23">
        <f>ROUND(34*$B$1,0)</f>
        <v/>
      </c>
      <c r="I23">
        <f>ROUND(35*$B$1,0)</f>
        <v/>
      </c>
      <c r="J23">
        <f>ROUND(28*$B$1,0)</f>
        <v/>
      </c>
      <c r="K23">
        <f>ROUND(31*$B$1,0)</f>
        <v/>
      </c>
      <c r="L23">
        <f>SUM(D23:K23)</f>
        <v/>
      </c>
    </row>
    <row r="24">
      <c r="A24" t="inlineStr">
        <is>
          <t>DEOPROCE</t>
        </is>
      </c>
      <c r="B24" t="inlineStr">
        <is>
          <t>214304289</t>
        </is>
      </c>
      <c r="C24" t="inlineStr">
        <is>
          <t>DEOPROCE - REAL FRESH VEGAN CALMING TONER [200ml]</t>
        </is>
      </c>
      <c r="D24">
        <f>ROUND(7*$B$1,0)</f>
        <v/>
      </c>
      <c r="E24">
        <f>ROUND(6*$B$1,0)</f>
        <v/>
      </c>
      <c r="F24">
        <f>ROUND(6*$B$1,0)</f>
        <v/>
      </c>
      <c r="G24">
        <f>ROUND(6*$B$1,0)</f>
        <v/>
      </c>
      <c r="H24">
        <f>ROUND(7*$B$1,0)</f>
        <v/>
      </c>
      <c r="I24">
        <f>ROUND(8*$B$1,0)</f>
        <v/>
      </c>
      <c r="J24">
        <f>ROUND(6*$B$1,0)</f>
        <v/>
      </c>
      <c r="K24">
        <f>ROUND(7*$B$1,0)</f>
        <v/>
      </c>
      <c r="L24">
        <f>SUM(D24:K24)</f>
        <v/>
      </c>
    </row>
    <row r="25">
      <c r="A25" t="inlineStr">
        <is>
          <t>DR. JART</t>
        </is>
      </c>
      <c r="B25" t="inlineStr">
        <is>
          <t>199425671</t>
        </is>
      </c>
      <c r="C25" t="inlineStr">
        <is>
          <t>Dr.Jart_Teatreatment_Soothing_Spot</t>
        </is>
      </c>
      <c r="D25">
        <f>ROUND(71*$B$1,0)</f>
        <v/>
      </c>
      <c r="E25">
        <f>ROUND(57*$B$1,0)</f>
        <v/>
      </c>
      <c r="F25">
        <f>ROUND(57*$B$1,0)</f>
        <v/>
      </c>
      <c r="G25">
        <f>ROUND(57*$B$1,0)</f>
        <v/>
      </c>
      <c r="H25">
        <f>ROUND(70*$B$1,0)</f>
        <v/>
      </c>
      <c r="I25">
        <f>ROUND(71*$B$1,0)</f>
        <v/>
      </c>
      <c r="J25">
        <f>ROUND(58*$B$1,0)</f>
        <v/>
      </c>
      <c r="K25">
        <f>ROUND(63*$B$1,0)</f>
        <v/>
      </c>
      <c r="L25">
        <f>SUM(D25:K25)</f>
        <v/>
      </c>
    </row>
    <row r="26">
      <c r="A26" t="inlineStr">
        <is>
          <t>DR. JART</t>
        </is>
      </c>
      <c r="B26" t="inlineStr">
        <is>
          <t>199367159</t>
        </is>
      </c>
      <c r="C26" t="inlineStr">
        <is>
          <t>Dr.Jart_Dermaclear_Micro_Foam</t>
        </is>
      </c>
      <c r="D26">
        <f>ROUND(37*$B$1,0)</f>
        <v/>
      </c>
      <c r="E26">
        <f>ROUND(30*$B$1,0)</f>
        <v/>
      </c>
      <c r="F26">
        <f>ROUND(30*$B$1,0)</f>
        <v/>
      </c>
      <c r="G26">
        <f>ROUND(30*$B$1,0)</f>
        <v/>
      </c>
      <c r="H26">
        <f>ROUND(36*$B$1,0)</f>
        <v/>
      </c>
      <c r="I26">
        <f>ROUND(37*$B$1,0)</f>
        <v/>
      </c>
      <c r="J26">
        <f>ROUND(30*$B$1,0)</f>
        <v/>
      </c>
      <c r="K26">
        <f>ROUND(32*$B$1,0)</f>
        <v/>
      </c>
      <c r="L26">
        <f>SUM(D26:K26)</f>
        <v/>
      </c>
    </row>
    <row r="27">
      <c r="A27" t="inlineStr">
        <is>
          <t>DR. JART</t>
        </is>
      </c>
      <c r="B27" t="inlineStr">
        <is>
          <t>212719009</t>
        </is>
      </c>
      <c r="C27" t="inlineStr">
        <is>
          <t>DR. JART - Cicapair Tiger Grass Color Correcting Treatm</t>
        </is>
      </c>
      <c r="D27">
        <f>ROUND(17*$B$1,0)</f>
        <v/>
      </c>
      <c r="E27">
        <f>ROUND(14*$B$1,0)</f>
        <v/>
      </c>
      <c r="F27">
        <f>ROUND(14*$B$1,0)</f>
        <v/>
      </c>
      <c r="G27">
        <f>ROUND(14*$B$1,0)</f>
        <v/>
      </c>
      <c r="H27">
        <f>ROUND(17*$B$1,0)</f>
        <v/>
      </c>
      <c r="I27">
        <f>ROUND(17*$B$1,0)</f>
        <v/>
      </c>
      <c r="J27">
        <f>ROUND(14*$B$1,0)</f>
        <v/>
      </c>
      <c r="K27">
        <f>ROUND(15*$B$1,0)</f>
        <v/>
      </c>
      <c r="L27">
        <f>SUM(D27:K27)</f>
        <v/>
      </c>
    </row>
    <row r="28">
      <c r="A28" t="inlineStr">
        <is>
          <t>EKEL</t>
        </is>
      </c>
      <c r="B28" t="inlineStr">
        <is>
          <t>207479264</t>
        </is>
      </c>
      <c r="C28" t="inlineStr">
        <is>
          <t>EKEL Ampoule Cream Collagen [50ml]</t>
        </is>
      </c>
      <c r="D28">
        <f>ROUND(197*$B$1,0)</f>
        <v/>
      </c>
      <c r="E28">
        <f>ROUND(160*$B$1,0)</f>
        <v/>
      </c>
      <c r="F28">
        <f>ROUND(160*$B$1,0)</f>
        <v/>
      </c>
      <c r="G28">
        <f>ROUND(160*$B$1,0)</f>
        <v/>
      </c>
      <c r="H28">
        <f>ROUND(194*$B$1,0)</f>
        <v/>
      </c>
      <c r="I28">
        <f>ROUND(199*$B$1,0)</f>
        <v/>
      </c>
      <c r="J28">
        <f>ROUND(162*$B$1,0)</f>
        <v/>
      </c>
      <c r="K28">
        <f>ROUND(175*$B$1,0)</f>
        <v/>
      </c>
      <c r="L28">
        <f>SUM(D28:K28)</f>
        <v/>
      </c>
    </row>
    <row r="29">
      <c r="A29" t="inlineStr">
        <is>
          <t>EKEL</t>
        </is>
      </c>
      <c r="B29" t="inlineStr">
        <is>
          <t>190160197</t>
        </is>
      </c>
      <c r="C29" t="inlineStr">
        <is>
          <t>EKEL Ampoule Toner Collagen 150ml</t>
        </is>
      </c>
      <c r="D29">
        <f>ROUND(168*$B$1,0)</f>
        <v/>
      </c>
      <c r="E29">
        <f>ROUND(136*$B$1,0)</f>
        <v/>
      </c>
      <c r="F29">
        <f>ROUND(136*$B$1,0)</f>
        <v/>
      </c>
      <c r="G29">
        <f>ROUND(136*$B$1,0)</f>
        <v/>
      </c>
      <c r="H29">
        <f>ROUND(165*$B$1,0)</f>
        <v/>
      </c>
      <c r="I29">
        <f>ROUND(169*$B$1,0)</f>
        <v/>
      </c>
      <c r="J29">
        <f>ROUND(137*$B$1,0)</f>
        <v/>
      </c>
      <c r="K29">
        <f>ROUND(149*$B$1,0)</f>
        <v/>
      </c>
      <c r="L29">
        <f>SUM(D29:K29)</f>
        <v/>
      </c>
    </row>
    <row r="30">
      <c r="A30" t="inlineStr">
        <is>
          <t>EKEL</t>
        </is>
      </c>
      <c r="B30" t="inlineStr">
        <is>
          <t>208202076</t>
        </is>
      </c>
      <c r="C30" t="inlineStr">
        <is>
          <t>EKEL Ampule Сream Сollagen [70ml]</t>
        </is>
      </c>
      <c r="D30">
        <f>ROUND(157*$B$1,0)</f>
        <v/>
      </c>
      <c r="E30">
        <f>ROUND(127*$B$1,0)</f>
        <v/>
      </c>
      <c r="F30">
        <f>ROUND(127*$B$1,0)</f>
        <v/>
      </c>
      <c r="G30">
        <f>ROUND(127*$B$1,0)</f>
        <v/>
      </c>
      <c r="H30">
        <f>ROUND(154*$B$1,0)</f>
        <v/>
      </c>
      <c r="I30">
        <f>ROUND(158*$B$1,0)</f>
        <v/>
      </c>
      <c r="J30">
        <f>ROUND(128*$B$1,0)</f>
        <v/>
      </c>
      <c r="K30">
        <f>ROUND(139*$B$1,0)</f>
        <v/>
      </c>
      <c r="L30">
        <f>SUM(D30:K30)</f>
        <v/>
      </c>
    </row>
    <row r="31">
      <c r="A31" t="inlineStr">
        <is>
          <t>ELIZAVECCA</t>
        </is>
      </c>
      <c r="B31" t="inlineStr">
        <is>
          <t>207796439</t>
        </is>
      </c>
      <c r="C31" t="inlineStr">
        <is>
          <t>ELIZAVECCA - Natural 90% Olive Cleansing Oil</t>
        </is>
      </c>
      <c r="D31">
        <f>ROUND(196*$B$1,0)</f>
        <v/>
      </c>
      <c r="E31">
        <f>ROUND(159*$B$1,0)</f>
        <v/>
      </c>
      <c r="F31">
        <f>ROUND(159*$B$1,0)</f>
        <v/>
      </c>
      <c r="G31">
        <f>ROUND(159*$B$1,0)</f>
        <v/>
      </c>
      <c r="H31">
        <f>ROUND(192*$B$1,0)</f>
        <v/>
      </c>
      <c r="I31">
        <f>ROUND(197*$B$1,0)</f>
        <v/>
      </c>
      <c r="J31">
        <f>ROUND(160*$B$1,0)</f>
        <v/>
      </c>
      <c r="K31">
        <f>ROUND(174*$B$1,0)</f>
        <v/>
      </c>
      <c r="L31">
        <f>SUM(D31:K31)</f>
        <v/>
      </c>
    </row>
    <row r="32">
      <c r="A32" t="inlineStr">
        <is>
          <t>ELIZAVECCA</t>
        </is>
      </c>
      <c r="B32" t="inlineStr">
        <is>
          <t>207796563</t>
        </is>
      </c>
      <c r="C32" t="inlineStr">
        <is>
          <t>ELIZAVECCA - Aqua Hyaluronic Acid Water Drop Cream</t>
        </is>
      </c>
      <c r="D32">
        <f>ROUND(159*$B$1,0)</f>
        <v/>
      </c>
      <c r="E32">
        <f>ROUND(129*$B$1,0)</f>
        <v/>
      </c>
      <c r="F32">
        <f>ROUND(129*$B$1,0)</f>
        <v/>
      </c>
      <c r="G32">
        <f>ROUND(129*$B$1,0)</f>
        <v/>
      </c>
      <c r="H32">
        <f>ROUND(156*$B$1,0)</f>
        <v/>
      </c>
      <c r="I32">
        <f>ROUND(160*$B$1,0)</f>
        <v/>
      </c>
      <c r="J32">
        <f>ROUND(130*$B$1,0)</f>
        <v/>
      </c>
      <c r="K32">
        <f>ROUND(141*$B$1,0)</f>
        <v/>
      </c>
      <c r="L32">
        <f>SUM(D32:K32)</f>
        <v/>
      </c>
    </row>
    <row r="33">
      <c r="A33" t="inlineStr">
        <is>
          <t>ELIZAVECCA</t>
        </is>
      </c>
      <c r="B33" t="inlineStr">
        <is>
          <t>154163936</t>
        </is>
      </c>
      <c r="C33" t="inlineStr">
        <is>
          <t>Elizavecca Hell-Pore Control Hyaluronic Acid 97%</t>
        </is>
      </c>
      <c r="D33">
        <f>ROUND(159*$B$1,0)</f>
        <v/>
      </c>
      <c r="E33">
        <f>ROUND(129*$B$1,0)</f>
        <v/>
      </c>
      <c r="F33">
        <f>ROUND(129*$B$1,0)</f>
        <v/>
      </c>
      <c r="G33">
        <f>ROUND(129*$B$1,0)</f>
        <v/>
      </c>
      <c r="H33">
        <f>ROUND(156*$B$1,0)</f>
        <v/>
      </c>
      <c r="I33">
        <f>ROUND(160*$B$1,0)</f>
        <v/>
      </c>
      <c r="J33">
        <f>ROUND(130*$B$1,0)</f>
        <v/>
      </c>
      <c r="K33">
        <f>ROUND(141*$B$1,0)</f>
        <v/>
      </c>
      <c r="L33">
        <f>SUM(D33:K33)</f>
        <v/>
      </c>
    </row>
    <row r="34">
      <c r="A34" t="inlineStr">
        <is>
          <t>ELIZAVECCA</t>
        </is>
      </c>
      <c r="B34" t="inlineStr">
        <is>
          <t>206057411</t>
        </is>
      </c>
      <c r="C34" t="inlineStr">
        <is>
          <t>ELIZAVECCA_fruit_toner</t>
        </is>
      </c>
      <c r="D34">
        <f>ROUND(153*$B$1,0)</f>
        <v/>
      </c>
      <c r="E34">
        <f>ROUND(124*$B$1,0)</f>
        <v/>
      </c>
      <c r="F34">
        <f>ROUND(124*$B$1,0)</f>
        <v/>
      </c>
      <c r="G34">
        <f>ROUND(124*$B$1,0)</f>
        <v/>
      </c>
      <c r="H34">
        <f>ROUND(151*$B$1,0)</f>
        <v/>
      </c>
      <c r="I34">
        <f>ROUND(155*$B$1,0)</f>
        <v/>
      </c>
      <c r="J34">
        <f>ROUND(126*$B$1,0)</f>
        <v/>
      </c>
      <c r="K34">
        <f>ROUND(136*$B$1,0)</f>
        <v/>
      </c>
      <c r="L34">
        <f>SUM(D34:K34)</f>
        <v/>
      </c>
    </row>
    <row r="35">
      <c r="A35" t="inlineStr">
        <is>
          <t>ELIZAVECCA</t>
        </is>
      </c>
      <c r="B35" t="inlineStr">
        <is>
          <t>190159348</t>
        </is>
      </c>
      <c r="C35" t="inlineStr">
        <is>
          <t>Elizavecca 24k gold snail Cleansing Foam 180ml</t>
        </is>
      </c>
      <c r="D35">
        <f>ROUND(140*$B$1,0)</f>
        <v/>
      </c>
      <c r="E35">
        <f>ROUND(114*$B$1,0)</f>
        <v/>
      </c>
      <c r="F35">
        <f>ROUND(114*$B$1,0)</f>
        <v/>
      </c>
      <c r="G35">
        <f>ROUND(114*$B$1,0)</f>
        <v/>
      </c>
      <c r="H35">
        <f>ROUND(138*$B$1,0)</f>
        <v/>
      </c>
      <c r="I35">
        <f>ROUND(141*$B$1,0)</f>
        <v/>
      </c>
      <c r="J35">
        <f>ROUND(115*$B$1,0)</f>
        <v/>
      </c>
      <c r="K35">
        <f>ROUND(125*$B$1,0)</f>
        <v/>
      </c>
      <c r="L35">
        <f>SUM(D35:K35)</f>
        <v/>
      </c>
    </row>
    <row r="36">
      <c r="A36" t="inlineStr">
        <is>
          <t>ELIZAVECCA</t>
        </is>
      </c>
      <c r="B36" t="inlineStr">
        <is>
          <t>207796350</t>
        </is>
      </c>
      <c r="C36" t="inlineStr">
        <is>
          <t>ELIZAVECCA - CER-100  [100ml]</t>
        </is>
      </c>
      <c r="D36">
        <f>ROUND(33*$B$1,0)</f>
        <v/>
      </c>
      <c r="E36">
        <f>ROUND(26*$B$1,0)</f>
        <v/>
      </c>
      <c r="F36">
        <f>ROUND(26*$B$1,0)</f>
        <v/>
      </c>
      <c r="G36">
        <f>ROUND(26*$B$1,0)</f>
        <v/>
      </c>
      <c r="H36">
        <f>ROUND(32*$B$1,0)</f>
        <v/>
      </c>
      <c r="I36">
        <f>ROUND(33*$B$1,0)</f>
        <v/>
      </c>
      <c r="J36">
        <f>ROUND(27*$B$1,0)</f>
        <v/>
      </c>
      <c r="K36">
        <f>ROUND(29*$B$1,0)</f>
        <v/>
      </c>
      <c r="L36">
        <f>SUM(D36:K36)</f>
        <v/>
      </c>
    </row>
    <row r="37">
      <c r="A37" t="inlineStr">
        <is>
          <t>ELIZAVECCA</t>
        </is>
      </c>
      <c r="B37" t="inlineStr">
        <is>
          <t>307071318</t>
        </is>
      </c>
      <c r="C37" t="inlineStr">
        <is>
          <t>Elizavecca Milky Piggy Carbonated Bubble Clay Mask N</t>
        </is>
      </c>
      <c r="D37">
        <f>ROUND(19*$B$1,0)</f>
        <v/>
      </c>
      <c r="E37">
        <f>ROUND(15*$B$1,0)</f>
        <v/>
      </c>
      <c r="F37">
        <f>ROUND(15*$B$1,0)</f>
        <v/>
      </c>
      <c r="G37">
        <f>ROUND(15*$B$1,0)</f>
        <v/>
      </c>
      <c r="H37">
        <f>ROUND(19*$B$1,0)</f>
        <v/>
      </c>
      <c r="I37">
        <f>ROUND(19*$B$1,0)</f>
        <v/>
      </c>
      <c r="J37">
        <f>ROUND(16*$B$1,0)</f>
        <v/>
      </c>
      <c r="K37">
        <f>ROUND(17*$B$1,0)</f>
        <v/>
      </c>
      <c r="L37">
        <f>SUM(D37:K37)</f>
        <v/>
      </c>
    </row>
    <row r="38">
      <c r="A38" t="inlineStr">
        <is>
          <t>ELIZAVECCA</t>
        </is>
      </c>
      <c r="B38" t="inlineStr">
        <is>
          <t>190160008</t>
        </is>
      </c>
      <c r="C38" t="inlineStr">
        <is>
          <t>Elizavecca Milky Piggy EGF elastic retinol [100ml]</t>
        </is>
      </c>
      <c r="D38">
        <f>ROUND(10*$B$1,0)</f>
        <v/>
      </c>
      <c r="E38">
        <f>ROUND(8*$B$1,0)</f>
        <v/>
      </c>
      <c r="F38">
        <f>ROUND(8*$B$1,0)</f>
        <v/>
      </c>
      <c r="G38">
        <f>ROUND(8*$B$1,0)</f>
        <v/>
      </c>
      <c r="H38">
        <f>ROUND(10*$B$1,0)</f>
        <v/>
      </c>
      <c r="I38">
        <f>ROUND(10*$B$1,0)</f>
        <v/>
      </c>
      <c r="J38">
        <f>ROUND(8*$B$1,0)</f>
        <v/>
      </c>
      <c r="K38">
        <f>ROUND(9*$B$1,0)</f>
        <v/>
      </c>
      <c r="L38">
        <f>SUM(D38:K38)</f>
        <v/>
      </c>
    </row>
    <row r="39">
      <c r="A39" t="inlineStr">
        <is>
          <t>ENOUGH</t>
        </is>
      </c>
      <c r="B39" t="inlineStr">
        <is>
          <t>238415286</t>
        </is>
      </c>
      <c r="C39" t="inlineStr">
        <is>
          <t>ENOUGH - Collagen Moisture Essential Cream [50ml] N</t>
        </is>
      </c>
      <c r="D39">
        <f>ROUND(2426*$B$1,0)</f>
        <v/>
      </c>
      <c r="E39">
        <f>ROUND(1965*$B$1,0)</f>
        <v/>
      </c>
      <c r="F39">
        <f>ROUND(1965*$B$1,0)</f>
        <v/>
      </c>
      <c r="G39">
        <f>ROUND(1965*$B$1,0)</f>
        <v/>
      </c>
      <c r="H39">
        <f>ROUND(2385*$B$1,0)</f>
        <v/>
      </c>
      <c r="I39">
        <f>ROUND(2446*$B$1,0)</f>
        <v/>
      </c>
      <c r="J39">
        <f>ROUND(1987*$B$1,0)</f>
        <v/>
      </c>
      <c r="K39">
        <f>ROUND(2155*$B$1,0)</f>
        <v/>
      </c>
      <c r="L39">
        <f>SUM(D39:K39)</f>
        <v/>
      </c>
    </row>
    <row r="40">
      <c r="A40" t="inlineStr">
        <is>
          <t>ENOUGH</t>
        </is>
      </c>
      <c r="B40" t="inlineStr">
        <is>
          <t>238358954</t>
        </is>
      </c>
      <c r="C40" t="inlineStr">
        <is>
          <t>ENOUGH - Collagen 3in1 Sun Cream SPF50 PA++ [50ml] N</t>
        </is>
      </c>
      <c r="D40">
        <f>ROUND(980*$B$1,0)</f>
        <v/>
      </c>
      <c r="E40">
        <f>ROUND(794*$B$1,0)</f>
        <v/>
      </c>
      <c r="F40">
        <f>ROUND(794*$B$1,0)</f>
        <v/>
      </c>
      <c r="G40">
        <f>ROUND(794*$B$1,0)</f>
        <v/>
      </c>
      <c r="H40">
        <f>ROUND(964*$B$1,0)</f>
        <v/>
      </c>
      <c r="I40">
        <f>ROUND(988*$B$1,0)</f>
        <v/>
      </c>
      <c r="J40">
        <f>ROUND(803*$B$1,0)</f>
        <v/>
      </c>
      <c r="K40">
        <f>ROUND(871*$B$1,0)</f>
        <v/>
      </c>
      <c r="L40">
        <f>SUM(D40:K40)</f>
        <v/>
      </c>
    </row>
    <row r="41">
      <c r="A41" t="inlineStr">
        <is>
          <t>ENOUGH</t>
        </is>
      </c>
      <c r="B41" t="inlineStr">
        <is>
          <t>238358009</t>
        </is>
      </c>
      <c r="C41" t="inlineStr">
        <is>
          <t>ENOUGH - Collagen Moisture Sun Cream SPF50+ PA++++ [50m</t>
        </is>
      </c>
      <c r="D41">
        <f>ROUND(730*$B$1,0)</f>
        <v/>
      </c>
      <c r="E41">
        <f>ROUND(592*$B$1,0)</f>
        <v/>
      </c>
      <c r="F41">
        <f>ROUND(592*$B$1,0)</f>
        <v/>
      </c>
      <c r="G41">
        <f>ROUND(592*$B$1,0)</f>
        <v/>
      </c>
      <c r="H41">
        <f>ROUND(718*$B$1,0)</f>
        <v/>
      </c>
      <c r="I41">
        <f>ROUND(736*$B$1,0)</f>
        <v/>
      </c>
      <c r="J41">
        <f>ROUND(598*$B$1,0)</f>
        <v/>
      </c>
      <c r="K41">
        <f>ROUND(649*$B$1,0)</f>
        <v/>
      </c>
      <c r="L41">
        <f>SUM(D41:K41)</f>
        <v/>
      </c>
    </row>
    <row r="42">
      <c r="A42" t="inlineStr">
        <is>
          <t>ENOUGH</t>
        </is>
      </c>
      <c r="B42" t="inlineStr">
        <is>
          <t>207796789</t>
        </is>
      </c>
      <c r="C42" t="inlineStr">
        <is>
          <t>ENOUGH - Gold Snail Moisture Foundation [Tone 13]</t>
        </is>
      </c>
      <c r="D42">
        <f>ROUND(442*$B$1,0)</f>
        <v/>
      </c>
      <c r="E42">
        <f>ROUND(358*$B$1,0)</f>
        <v/>
      </c>
      <c r="F42">
        <f>ROUND(358*$B$1,0)</f>
        <v/>
      </c>
      <c r="G42">
        <f>ROUND(358*$B$1,0)</f>
        <v/>
      </c>
      <c r="H42">
        <f>ROUND(435*$B$1,0)</f>
        <v/>
      </c>
      <c r="I42">
        <f>ROUND(446*$B$1,0)</f>
        <v/>
      </c>
      <c r="J42">
        <f>ROUND(362*$B$1,0)</f>
        <v/>
      </c>
      <c r="K42">
        <f>ROUND(393*$B$1,0)</f>
        <v/>
      </c>
      <c r="L42">
        <f>SUM(D42:K42)</f>
        <v/>
      </c>
    </row>
    <row r="43">
      <c r="A43" t="inlineStr">
        <is>
          <t>ENOUGH</t>
        </is>
      </c>
      <c r="B43" t="inlineStr">
        <is>
          <t>333318356</t>
        </is>
      </c>
      <c r="C43" t="inlineStr">
        <is>
          <t>ENOUGH - Collagen Moisture Sun Cream SPF50+ PA++++ [50m</t>
        </is>
      </c>
      <c r="D43">
        <f>ROUND(307*$B$1,0)</f>
        <v/>
      </c>
      <c r="E43">
        <f>ROUND(249*$B$1,0)</f>
        <v/>
      </c>
      <c r="F43">
        <f>ROUND(249*$B$1,0)</f>
        <v/>
      </c>
      <c r="G43">
        <f>ROUND(249*$B$1,0)</f>
        <v/>
      </c>
      <c r="H43">
        <f>ROUND(302*$B$1,0)</f>
        <v/>
      </c>
      <c r="I43">
        <f>ROUND(310*$B$1,0)</f>
        <v/>
      </c>
      <c r="J43">
        <f>ROUND(252*$B$1,0)</f>
        <v/>
      </c>
      <c r="K43">
        <f>ROUND(273*$B$1,0)</f>
        <v/>
      </c>
      <c r="L43">
        <f>SUM(D43:K43)</f>
        <v/>
      </c>
    </row>
    <row r="44">
      <c r="A44" t="inlineStr">
        <is>
          <t>ENOUGH</t>
        </is>
      </c>
      <c r="B44" t="inlineStr">
        <is>
          <t>170198835</t>
        </is>
      </c>
      <c r="C44" t="inlineStr">
        <is>
          <t>Enough Collagen Foundation Cover Up Ultra X10 13 тон</t>
        </is>
      </c>
      <c r="D44">
        <f>ROUND(307*$B$1,0)</f>
        <v/>
      </c>
      <c r="E44">
        <f>ROUND(249*$B$1,0)</f>
        <v/>
      </c>
      <c r="F44">
        <f>ROUND(249*$B$1,0)</f>
        <v/>
      </c>
      <c r="G44">
        <f>ROUND(249*$B$1,0)</f>
        <v/>
      </c>
      <c r="H44">
        <f>ROUND(302*$B$1,0)</f>
        <v/>
      </c>
      <c r="I44">
        <f>ROUND(310*$B$1,0)</f>
        <v/>
      </c>
      <c r="J44">
        <f>ROUND(252*$B$1,0)</f>
        <v/>
      </c>
      <c r="K44">
        <f>ROUND(273*$B$1,0)</f>
        <v/>
      </c>
      <c r="L44">
        <f>SUM(D44:K44)</f>
        <v/>
      </c>
    </row>
    <row r="45">
      <c r="A45" t="inlineStr">
        <is>
          <t>ENOUGH</t>
        </is>
      </c>
      <c r="B45" t="inlineStr">
        <is>
          <t>207796898</t>
        </is>
      </c>
      <c r="C45" t="inlineStr">
        <is>
          <t>ENOUGH - Gold Snail Moisture Foundation [Tone 21]</t>
        </is>
      </c>
      <c r="D45">
        <f>ROUND(307*$B$1,0)</f>
        <v/>
      </c>
      <c r="E45">
        <f>ROUND(248*$B$1,0)</f>
        <v/>
      </c>
      <c r="F45">
        <f>ROUND(248*$B$1,0)</f>
        <v/>
      </c>
      <c r="G45">
        <f>ROUND(248*$B$1,0)</f>
        <v/>
      </c>
      <c r="H45">
        <f>ROUND(302*$B$1,0)</f>
        <v/>
      </c>
      <c r="I45">
        <f>ROUND(309*$B$1,0)</f>
        <v/>
      </c>
      <c r="J45">
        <f>ROUND(251*$B$1,0)</f>
        <v/>
      </c>
      <c r="K45">
        <f>ROUND(272*$B$1,0)</f>
        <v/>
      </c>
      <c r="L45">
        <f>SUM(D45:K45)</f>
        <v/>
      </c>
    </row>
    <row r="46">
      <c r="A46" t="inlineStr">
        <is>
          <t>ENOUGH</t>
        </is>
      </c>
      <c r="B46" t="inlineStr">
        <is>
          <t>238416010</t>
        </is>
      </c>
      <c r="C46" t="inlineStr">
        <is>
          <t>Enough Collagen Whitening Moisture Cream 3in1 50 N</t>
        </is>
      </c>
      <c r="D46">
        <f>ROUND(191*$B$1,0)</f>
        <v/>
      </c>
      <c r="E46">
        <f>ROUND(155*$B$1,0)</f>
        <v/>
      </c>
      <c r="F46">
        <f>ROUND(155*$B$1,0)</f>
        <v/>
      </c>
      <c r="G46">
        <f>ROUND(155*$B$1,0)</f>
        <v/>
      </c>
      <c r="H46">
        <f>ROUND(188*$B$1,0)</f>
        <v/>
      </c>
      <c r="I46">
        <f>ROUND(193*$B$1,0)</f>
        <v/>
      </c>
      <c r="J46">
        <f>ROUND(157*$B$1,0)</f>
        <v/>
      </c>
      <c r="K46">
        <f>ROUND(170*$B$1,0)</f>
        <v/>
      </c>
      <c r="L46">
        <f>SUM(D46:K46)</f>
        <v/>
      </c>
    </row>
    <row r="47">
      <c r="A47" t="inlineStr">
        <is>
          <t>ENOUGH</t>
        </is>
      </c>
      <c r="B47" t="inlineStr">
        <is>
          <t>170198180</t>
        </is>
      </c>
      <c r="C47" t="inlineStr">
        <is>
          <t>Enough Rich Gold Double Wea Radiance Foundation 13 тон</t>
        </is>
      </c>
      <c r="D47">
        <f>ROUND(156*$B$1,0)</f>
        <v/>
      </c>
      <c r="E47">
        <f>ROUND(126*$B$1,0)</f>
        <v/>
      </c>
      <c r="F47">
        <f>ROUND(126*$B$1,0)</f>
        <v/>
      </c>
      <c r="G47">
        <f>ROUND(126*$B$1,0)</f>
        <v/>
      </c>
      <c r="H47">
        <f>ROUND(153*$B$1,0)</f>
        <v/>
      </c>
      <c r="I47">
        <f>ROUND(157*$B$1,0)</f>
        <v/>
      </c>
      <c r="J47">
        <f>ROUND(128*$B$1,0)</f>
        <v/>
      </c>
      <c r="K47">
        <f>ROUND(139*$B$1,0)</f>
        <v/>
      </c>
      <c r="L47">
        <f>SUM(D47:K47)</f>
        <v/>
      </c>
    </row>
    <row r="48">
      <c r="A48" t="inlineStr">
        <is>
          <t>ENOUGH</t>
        </is>
      </c>
      <c r="B48" t="inlineStr">
        <is>
          <t>170198876</t>
        </is>
      </c>
      <c r="C48" t="inlineStr">
        <is>
          <t>Enough Collagen Foundation Cover Up Ultra X10 21 тон</t>
        </is>
      </c>
      <c r="D48">
        <f>ROUND(122*$B$1,0)</f>
        <v/>
      </c>
      <c r="E48">
        <f>ROUND(99*$B$1,0)</f>
        <v/>
      </c>
      <c r="F48">
        <f>ROUND(99*$B$1,0)</f>
        <v/>
      </c>
      <c r="G48">
        <f>ROUND(99*$B$1,0)</f>
        <v/>
      </c>
      <c r="H48">
        <f>ROUND(120*$B$1,0)</f>
        <v/>
      </c>
      <c r="I48">
        <f>ROUND(123*$B$1,0)</f>
        <v/>
      </c>
      <c r="J48">
        <f>ROUND(100*$B$1,0)</f>
        <v/>
      </c>
      <c r="K48">
        <f>ROUND(108*$B$1,0)</f>
        <v/>
      </c>
      <c r="L48">
        <f>SUM(D48:K48)</f>
        <v/>
      </c>
    </row>
    <row r="49">
      <c r="A49" t="inlineStr">
        <is>
          <t>ENOUGH</t>
        </is>
      </c>
      <c r="B49" t="inlineStr">
        <is>
          <t>170198738</t>
        </is>
      </c>
      <c r="C49" t="inlineStr">
        <is>
          <t>Enough 8 Peptide Full Cover Perfect Foundation 13 тон</t>
        </is>
      </c>
      <c r="D49">
        <f>ROUND(112*$B$1,0)</f>
        <v/>
      </c>
      <c r="E49">
        <f>ROUND(90*$B$1,0)</f>
        <v/>
      </c>
      <c r="F49">
        <f>ROUND(90*$B$1,0)</f>
        <v/>
      </c>
      <c r="G49">
        <f>ROUND(90*$B$1,0)</f>
        <v/>
      </c>
      <c r="H49">
        <f>ROUND(110*$B$1,0)</f>
        <v/>
      </c>
      <c r="I49">
        <f>ROUND(112*$B$1,0)</f>
        <v/>
      </c>
      <c r="J49">
        <f>ROUND(91*$B$1,0)</f>
        <v/>
      </c>
      <c r="K49">
        <f>ROUND(99*$B$1,0)</f>
        <v/>
      </c>
      <c r="L49">
        <f>SUM(D49:K49)</f>
        <v/>
      </c>
    </row>
    <row r="50">
      <c r="A50" t="inlineStr">
        <is>
          <t>ENOUGH</t>
        </is>
      </c>
      <c r="B50" t="inlineStr">
        <is>
          <t>170198109</t>
        </is>
      </c>
      <c r="C50" t="inlineStr">
        <is>
          <t>Enough Rich Gold Double Wea Radiance Foundation 21 тон</t>
        </is>
      </c>
      <c r="D50">
        <f>ROUND(106*$B$1,0)</f>
        <v/>
      </c>
      <c r="E50">
        <f>ROUND(86*$B$1,0)</f>
        <v/>
      </c>
      <c r="F50">
        <f>ROUND(86*$B$1,0)</f>
        <v/>
      </c>
      <c r="G50">
        <f>ROUND(86*$B$1,0)</f>
        <v/>
      </c>
      <c r="H50">
        <f>ROUND(104*$B$1,0)</f>
        <v/>
      </c>
      <c r="I50">
        <f>ROUND(107*$B$1,0)</f>
        <v/>
      </c>
      <c r="J50">
        <f>ROUND(87*$B$1,0)</f>
        <v/>
      </c>
      <c r="K50">
        <f>ROUND(94*$B$1,0)</f>
        <v/>
      </c>
      <c r="L50">
        <f>SUM(D50:K50)</f>
        <v/>
      </c>
    </row>
    <row r="51">
      <c r="A51" t="inlineStr">
        <is>
          <t>ENOUGH</t>
        </is>
      </c>
      <c r="B51" t="inlineStr">
        <is>
          <t>170198337</t>
        </is>
      </c>
      <c r="C51" t="inlineStr">
        <is>
          <t>Enough 8 Peptide Full Cover Perfect Foundation 21 тон</t>
        </is>
      </c>
      <c r="D51">
        <f>ROUND(105*$B$1,0)</f>
        <v/>
      </c>
      <c r="E51">
        <f>ROUND(85*$B$1,0)</f>
        <v/>
      </c>
      <c r="F51">
        <f>ROUND(85*$B$1,0)</f>
        <v/>
      </c>
      <c r="G51">
        <f>ROUND(85*$B$1,0)</f>
        <v/>
      </c>
      <c r="H51">
        <f>ROUND(103*$B$1,0)</f>
        <v/>
      </c>
      <c r="I51">
        <f>ROUND(105*$B$1,0)</f>
        <v/>
      </c>
      <c r="J51">
        <f>ROUND(86*$B$1,0)</f>
        <v/>
      </c>
      <c r="K51">
        <f>ROUND(93*$B$1,0)</f>
        <v/>
      </c>
      <c r="L51">
        <f>SUM(D51:K51)</f>
        <v/>
      </c>
    </row>
    <row r="52">
      <c r="A52" t="inlineStr">
        <is>
          <t>ENOUGH</t>
        </is>
      </c>
      <c r="B52" t="inlineStr">
        <is>
          <t>150925322</t>
        </is>
      </c>
      <c r="C52" t="inlineStr">
        <is>
          <t>Collagen_Enough_Moisture_Foundation_21</t>
        </is>
      </c>
      <c r="D52">
        <f>ROUND(104*$B$1,0)</f>
        <v/>
      </c>
      <c r="E52">
        <f>ROUND(84*$B$1,0)</f>
        <v/>
      </c>
      <c r="F52">
        <f>ROUND(84*$B$1,0)</f>
        <v/>
      </c>
      <c r="G52">
        <f>ROUND(84*$B$1,0)</f>
        <v/>
      </c>
      <c r="H52">
        <f>ROUND(102*$B$1,0)</f>
        <v/>
      </c>
      <c r="I52">
        <f>ROUND(105*$B$1,0)</f>
        <v/>
      </c>
      <c r="J52">
        <f>ROUND(85*$B$1,0)</f>
        <v/>
      </c>
      <c r="K52">
        <f>ROUND(93*$B$1,0)</f>
        <v/>
      </c>
      <c r="L52">
        <f>SUM(D52:K52)</f>
        <v/>
      </c>
    </row>
    <row r="53">
      <c r="A53" t="inlineStr">
        <is>
          <t>ENOUGH</t>
        </is>
      </c>
      <c r="B53" t="inlineStr">
        <is>
          <t>151132051</t>
        </is>
      </c>
      <c r="C53" t="inlineStr">
        <is>
          <t>ENOUGH COLLAGEN 3IN1 13</t>
        </is>
      </c>
      <c r="D53">
        <f>ROUND(103*$B$1,0)</f>
        <v/>
      </c>
      <c r="E53">
        <f>ROUND(83*$B$1,0)</f>
        <v/>
      </c>
      <c r="F53">
        <f>ROUND(83*$B$1,0)</f>
        <v/>
      </c>
      <c r="G53">
        <f>ROUND(83*$B$1,0)</f>
        <v/>
      </c>
      <c r="H53">
        <f>ROUND(101*$B$1,0)</f>
        <v/>
      </c>
      <c r="I53">
        <f>ROUND(104*$B$1,0)</f>
        <v/>
      </c>
      <c r="J53">
        <f>ROUND(84*$B$1,0)</f>
        <v/>
      </c>
      <c r="K53">
        <f>ROUND(91*$B$1,0)</f>
        <v/>
      </c>
      <c r="L53">
        <f>SUM(D53:K53)</f>
        <v/>
      </c>
    </row>
    <row r="54">
      <c r="A54" t="inlineStr">
        <is>
          <t>ENOUGH</t>
        </is>
      </c>
      <c r="B54" t="inlineStr">
        <is>
          <t>150925321</t>
        </is>
      </c>
      <c r="C54" t="inlineStr">
        <is>
          <t>Collagen_Enough_Moisture_Foundation_13</t>
        </is>
      </c>
      <c r="D54">
        <f>ROUND(102*$B$1,0)</f>
        <v/>
      </c>
      <c r="E54">
        <f>ROUND(82*$B$1,0)</f>
        <v/>
      </c>
      <c r="F54">
        <f>ROUND(82*$B$1,0)</f>
        <v/>
      </c>
      <c r="G54">
        <f>ROUND(82*$B$1,0)</f>
        <v/>
      </c>
      <c r="H54">
        <f>ROUND(100*$B$1,0)</f>
        <v/>
      </c>
      <c r="I54">
        <f>ROUND(103*$B$1,0)</f>
        <v/>
      </c>
      <c r="J54">
        <f>ROUND(83*$B$1,0)</f>
        <v/>
      </c>
      <c r="K54">
        <f>ROUND(90*$B$1,0)</f>
        <v/>
      </c>
      <c r="L54">
        <f>SUM(D54:K54)</f>
        <v/>
      </c>
    </row>
    <row r="55">
      <c r="A55" t="inlineStr">
        <is>
          <t>ENOUGH</t>
        </is>
      </c>
      <c r="B55" t="inlineStr">
        <is>
          <t>238413828</t>
        </is>
      </c>
      <c r="C55" t="inlineStr">
        <is>
          <t>ENOUGH collagen moisture BB Cream SPF47 PA+++ N</t>
        </is>
      </c>
      <c r="D55">
        <f>ROUND(101*$B$1,0)</f>
        <v/>
      </c>
      <c r="E55">
        <f>ROUND(82*$B$1,0)</f>
        <v/>
      </c>
      <c r="F55">
        <f>ROUND(82*$B$1,0)</f>
        <v/>
      </c>
      <c r="G55">
        <f>ROUND(82*$B$1,0)</f>
        <v/>
      </c>
      <c r="H55">
        <f>ROUND(99*$B$1,0)</f>
        <v/>
      </c>
      <c r="I55">
        <f>ROUND(102*$B$1,0)</f>
        <v/>
      </c>
      <c r="J55">
        <f>ROUND(82*$B$1,0)</f>
        <v/>
      </c>
      <c r="K55">
        <f>ROUND(89*$B$1,0)</f>
        <v/>
      </c>
      <c r="L55">
        <f>SUM(D55:K55)</f>
        <v/>
      </c>
    </row>
    <row r="56">
      <c r="A56" t="inlineStr">
        <is>
          <t>ENOUGH</t>
        </is>
      </c>
      <c r="B56" t="inlineStr">
        <is>
          <t>212889027</t>
        </is>
      </c>
      <c r="C56" t="inlineStr">
        <is>
          <t>Enoughcollagenwhiteningcovertip</t>
        </is>
      </c>
      <c r="D56">
        <f>ROUND(78*$B$1,0)</f>
        <v/>
      </c>
      <c r="E56">
        <f>ROUND(63*$B$1,0)</f>
        <v/>
      </c>
      <c r="F56">
        <f>ROUND(63*$B$1,0)</f>
        <v/>
      </c>
      <c r="G56">
        <f>ROUND(63*$B$1,0)</f>
        <v/>
      </c>
      <c r="H56">
        <f>ROUND(77*$B$1,0)</f>
        <v/>
      </c>
      <c r="I56">
        <f>ROUND(79*$B$1,0)</f>
        <v/>
      </c>
      <c r="J56">
        <f>ROUND(64*$B$1,0)</f>
        <v/>
      </c>
      <c r="K56">
        <f>ROUND(69*$B$1,0)</f>
        <v/>
      </c>
      <c r="L56">
        <f>SUM(D56:K56)</f>
        <v/>
      </c>
    </row>
    <row r="57">
      <c r="A57" t="inlineStr">
        <is>
          <t>ENOUGH</t>
        </is>
      </c>
      <c r="B57" t="inlineStr">
        <is>
          <t>212889025</t>
        </is>
      </c>
      <c r="C57" t="inlineStr">
        <is>
          <t>Enoughcollagenwhiteningcovertip01</t>
        </is>
      </c>
      <c r="D57">
        <f>ROUND(75*$B$1,0)</f>
        <v/>
      </c>
      <c r="E57">
        <f>ROUND(61*$B$1,0)</f>
        <v/>
      </c>
      <c r="F57">
        <f>ROUND(61*$B$1,0)</f>
        <v/>
      </c>
      <c r="G57">
        <f>ROUND(61*$B$1,0)</f>
        <v/>
      </c>
      <c r="H57">
        <f>ROUND(74*$B$1,0)</f>
        <v/>
      </c>
      <c r="I57">
        <f>ROUND(76*$B$1,0)</f>
        <v/>
      </c>
      <c r="J57">
        <f>ROUND(62*$B$1,0)</f>
        <v/>
      </c>
      <c r="K57">
        <f>ROUND(67*$B$1,0)</f>
        <v/>
      </c>
      <c r="L57">
        <f>SUM(D57:K57)</f>
        <v/>
      </c>
    </row>
    <row r="58">
      <c r="A58" t="inlineStr">
        <is>
          <t>ENOUGH</t>
        </is>
      </c>
      <c r="B58" t="inlineStr">
        <is>
          <t>165002270</t>
        </is>
      </c>
      <c r="C58" t="inlineStr">
        <is>
          <t>ENOUGH collagen moisture BB Cream SPF47 PA+++ BB</t>
        </is>
      </c>
      <c r="D58">
        <f>ROUND(70*$B$1,0)</f>
        <v/>
      </c>
      <c r="E58">
        <f>ROUND(56*$B$1,0)</f>
        <v/>
      </c>
      <c r="F58">
        <f>ROUND(56*$B$1,0)</f>
        <v/>
      </c>
      <c r="G58">
        <f>ROUND(56*$B$1,0)</f>
        <v/>
      </c>
      <c r="H58">
        <f>ROUND(68*$B$1,0)</f>
        <v/>
      </c>
      <c r="I58">
        <f>ROUND(70*$B$1,0)</f>
        <v/>
      </c>
      <c r="J58">
        <f>ROUND(57*$B$1,0)</f>
        <v/>
      </c>
      <c r="K58">
        <f>ROUND(62*$B$1,0)</f>
        <v/>
      </c>
      <c r="L58">
        <f>SUM(D58:K58)</f>
        <v/>
      </c>
    </row>
    <row r="59">
      <c r="A59" t="inlineStr">
        <is>
          <t>ENOUGH</t>
        </is>
      </c>
      <c r="B59" t="inlineStr">
        <is>
          <t>212889028</t>
        </is>
      </c>
      <c r="C59" t="inlineStr">
        <is>
          <t>Enoughcollagenwhiteningcovertip03</t>
        </is>
      </c>
      <c r="D59">
        <f>ROUND(54*$B$1,0)</f>
        <v/>
      </c>
      <c r="E59">
        <f>ROUND(43*$B$1,0)</f>
        <v/>
      </c>
      <c r="F59">
        <f>ROUND(43*$B$1,0)</f>
        <v/>
      </c>
      <c r="G59">
        <f>ROUND(43*$B$1,0)</f>
        <v/>
      </c>
      <c r="H59">
        <f>ROUND(53*$B$1,0)</f>
        <v/>
      </c>
      <c r="I59">
        <f>ROUND(54*$B$1,0)</f>
        <v/>
      </c>
      <c r="J59">
        <f>ROUND(44*$B$1,0)</f>
        <v/>
      </c>
      <c r="K59">
        <f>ROUND(48*$B$1,0)</f>
        <v/>
      </c>
      <c r="L59">
        <f>SUM(D59:K59)</f>
        <v/>
      </c>
    </row>
    <row r="60">
      <c r="A60" t="inlineStr">
        <is>
          <t>ENOUGH</t>
        </is>
      </c>
      <c r="B60" t="inlineStr">
        <is>
          <t>611747838</t>
        </is>
      </c>
      <c r="C60" t="inlineStr">
        <is>
          <t>Collagen_Enough_Moisture_Foundation_23</t>
        </is>
      </c>
      <c r="D60">
        <f>ROUND(41*$B$1,0)</f>
        <v/>
      </c>
      <c r="E60">
        <f>ROUND(33*$B$1,0)</f>
        <v/>
      </c>
      <c r="F60">
        <f>ROUND(33*$B$1,0)</f>
        <v/>
      </c>
      <c r="G60">
        <f>ROUND(33*$B$1,0)</f>
        <v/>
      </c>
      <c r="H60">
        <f>ROUND(40*$B$1,0)</f>
        <v/>
      </c>
      <c r="I60">
        <f>ROUND(41*$B$1,0)</f>
        <v/>
      </c>
      <c r="J60">
        <f>ROUND(34*$B$1,0)</f>
        <v/>
      </c>
      <c r="K60">
        <f>ROUND(36*$B$1,0)</f>
        <v/>
      </c>
      <c r="L60">
        <f>SUM(D60:K60)</f>
        <v/>
      </c>
    </row>
    <row r="61">
      <c r="A61" t="inlineStr">
        <is>
          <t>ENOUGH</t>
        </is>
      </c>
      <c r="B61" t="inlineStr">
        <is>
          <t>151132052</t>
        </is>
      </c>
      <c r="C61" t="inlineStr">
        <is>
          <t>ENOUGH COLLAGEN 3IN1 21</t>
        </is>
      </c>
      <c r="D61">
        <f>ROUND(39*$B$1,0)</f>
        <v/>
      </c>
      <c r="E61">
        <f>ROUND(31*$B$1,0)</f>
        <v/>
      </c>
      <c r="F61">
        <f>ROUND(31*$B$1,0)</f>
        <v/>
      </c>
      <c r="G61">
        <f>ROUND(31*$B$1,0)</f>
        <v/>
      </c>
      <c r="H61">
        <f>ROUND(38*$B$1,0)</f>
        <v/>
      </c>
      <c r="I61">
        <f>ROUND(39*$B$1,0)</f>
        <v/>
      </c>
      <c r="J61">
        <f>ROUND(32*$B$1,0)</f>
        <v/>
      </c>
      <c r="K61">
        <f>ROUND(35*$B$1,0)</f>
        <v/>
      </c>
      <c r="L61">
        <f>SUM(D61:K61)</f>
        <v/>
      </c>
    </row>
    <row r="62">
      <c r="A62" t="inlineStr">
        <is>
          <t>ENOUGH</t>
        </is>
      </c>
      <c r="B62" t="inlineStr">
        <is>
          <t>149197341</t>
        </is>
      </c>
      <c r="C62" t="inlineStr">
        <is>
          <t>ENOUGH - Collagen Moisture Essential Cream [50ml] N 1</t>
        </is>
      </c>
      <c r="D62">
        <f>ROUND(11*$B$1,0)</f>
        <v/>
      </c>
      <c r="E62">
        <f>ROUND(9*$B$1,0)</f>
        <v/>
      </c>
      <c r="F62">
        <f>ROUND(9*$B$1,0)</f>
        <v/>
      </c>
      <c r="G62">
        <f>ROUND(9*$B$1,0)</f>
        <v/>
      </c>
      <c r="H62">
        <f>ROUND(11*$B$1,0)</f>
        <v/>
      </c>
      <c r="I62">
        <f>ROUND(11*$B$1,0)</f>
        <v/>
      </c>
      <c r="J62">
        <f>ROUND(9*$B$1,0)</f>
        <v/>
      </c>
      <c r="K62">
        <f>ROUND(9*$B$1,0)</f>
        <v/>
      </c>
      <c r="L62">
        <f>SUM(D62:K62)</f>
        <v/>
      </c>
    </row>
    <row r="63">
      <c r="A63" t="inlineStr">
        <is>
          <t>ENOUGH</t>
        </is>
      </c>
      <c r="B63" t="inlineStr">
        <is>
          <t>611717011</t>
        </is>
      </c>
      <c r="C63" t="inlineStr">
        <is>
          <t>ENOUGH Collagen whitening cover tip concealer #01</t>
        </is>
      </c>
      <c r="D63">
        <f>ROUND(10*$B$1,0)</f>
        <v/>
      </c>
      <c r="E63">
        <f>ROUND(8*$B$1,0)</f>
        <v/>
      </c>
      <c r="F63">
        <f>ROUND(8*$B$1,0)</f>
        <v/>
      </c>
      <c r="G63">
        <f>ROUND(8*$B$1,0)</f>
        <v/>
      </c>
      <c r="H63">
        <f>ROUND(10*$B$1,0)</f>
        <v/>
      </c>
      <c r="I63">
        <f>ROUND(10*$B$1,0)</f>
        <v/>
      </c>
      <c r="J63">
        <f>ROUND(8*$B$1,0)</f>
        <v/>
      </c>
      <c r="K63">
        <f>ROUND(9*$B$1,0)</f>
        <v/>
      </c>
      <c r="L63">
        <f>SUM(D63:K63)</f>
        <v/>
      </c>
    </row>
    <row r="64">
      <c r="A64" t="inlineStr">
        <is>
          <t>ENOUGH</t>
        </is>
      </c>
      <c r="B64" t="inlineStr">
        <is>
          <t>611744611</t>
        </is>
      </c>
      <c r="C64" t="inlineStr">
        <is>
          <t>ENOUGH Collagen whitening cover tip concealer #02</t>
        </is>
      </c>
      <c r="D64">
        <f>ROUND(8*$B$1,0)</f>
        <v/>
      </c>
      <c r="E64">
        <f>ROUND(6*$B$1,0)</f>
        <v/>
      </c>
      <c r="F64">
        <f>ROUND(6*$B$1,0)</f>
        <v/>
      </c>
      <c r="G64">
        <f>ROUND(6*$B$1,0)</f>
        <v/>
      </c>
      <c r="H64">
        <f>ROUND(8*$B$1,0)</f>
        <v/>
      </c>
      <c r="I64">
        <f>ROUND(8*$B$1,0)</f>
        <v/>
      </c>
      <c r="J64">
        <f>ROUND(6*$B$1,0)</f>
        <v/>
      </c>
      <c r="K64">
        <f>ROUND(7*$B$1,0)</f>
        <v/>
      </c>
      <c r="L64">
        <f>SUM(D64:K64)</f>
        <v/>
      </c>
    </row>
    <row r="65">
      <c r="A65" t="inlineStr">
        <is>
          <t>ETUDE</t>
        </is>
      </c>
      <c r="B65" t="inlineStr">
        <is>
          <t>151313163</t>
        </is>
      </c>
      <c r="C65" t="inlineStr">
        <is>
          <t>Etude Baking Powder Crunch Pore Scrub</t>
        </is>
      </c>
      <c r="D65">
        <f>ROUND(1572*$B$1,0)</f>
        <v/>
      </c>
      <c r="E65">
        <f>ROUND(1273*$B$1,0)</f>
        <v/>
      </c>
      <c r="F65">
        <f>ROUND(1273*$B$1,0)</f>
        <v/>
      </c>
      <c r="G65">
        <f>ROUND(1273*$B$1,0)</f>
        <v/>
      </c>
      <c r="H65">
        <f>ROUND(1545*$B$1,0)</f>
        <v/>
      </c>
      <c r="I65">
        <f>ROUND(1585*$B$1,0)</f>
        <v/>
      </c>
      <c r="J65">
        <f>ROUND(1287*$B$1,0)</f>
        <v/>
      </c>
      <c r="K65">
        <f>ROUND(1396*$B$1,0)</f>
        <v/>
      </c>
      <c r="L65">
        <f>SUM(D65:K65)</f>
        <v/>
      </c>
    </row>
    <row r="66">
      <c r="A66" t="inlineStr">
        <is>
          <t>ETUDE</t>
        </is>
      </c>
      <c r="B66" t="inlineStr">
        <is>
          <t>169198316</t>
        </is>
      </c>
      <c r="C66" t="inlineStr">
        <is>
          <t>Etude House Baking Powder Pore Cleansing Foam 160 ml бе</t>
        </is>
      </c>
      <c r="D66">
        <f>ROUND(282*$B$1,0)</f>
        <v/>
      </c>
      <c r="E66">
        <f>ROUND(228*$B$1,0)</f>
        <v/>
      </c>
      <c r="F66">
        <f>ROUND(228*$B$1,0)</f>
        <v/>
      </c>
      <c r="G66">
        <f>ROUND(228*$B$1,0)</f>
        <v/>
      </c>
      <c r="H66">
        <f>ROUND(277*$B$1,0)</f>
        <v/>
      </c>
      <c r="I66">
        <f>ROUND(284*$B$1,0)</f>
        <v/>
      </c>
      <c r="J66">
        <f>ROUND(231*$B$1,0)</f>
        <v/>
      </c>
      <c r="K66">
        <f>ROUND(250*$B$1,0)</f>
        <v/>
      </c>
      <c r="L66">
        <f>SUM(D66:K66)</f>
        <v/>
      </c>
    </row>
    <row r="67">
      <c r="A67" t="inlineStr">
        <is>
          <t>ETUDE</t>
        </is>
      </c>
      <c r="B67" t="inlineStr">
        <is>
          <t>307073881</t>
        </is>
      </c>
      <c r="C67" t="inlineStr">
        <is>
          <t>ETUDE Baking Powder BB Deep Cleansing Foam 160 мл N</t>
        </is>
      </c>
      <c r="D67">
        <f>ROUND(242*$B$1,0)</f>
        <v/>
      </c>
      <c r="E67">
        <f>ROUND(196*$B$1,0)</f>
        <v/>
      </c>
      <c r="F67">
        <f>ROUND(196*$B$1,0)</f>
        <v/>
      </c>
      <c r="G67">
        <f>ROUND(196*$B$1,0)</f>
        <v/>
      </c>
      <c r="H67">
        <f>ROUND(237*$B$1,0)</f>
        <v/>
      </c>
      <c r="I67">
        <f>ROUND(244*$B$1,0)</f>
        <v/>
      </c>
      <c r="J67">
        <f>ROUND(198*$B$1,0)</f>
        <v/>
      </c>
      <c r="K67">
        <f>ROUND(215*$B$1,0)</f>
        <v/>
      </c>
      <c r="L67">
        <f>SUM(D67:K67)</f>
        <v/>
      </c>
    </row>
    <row r="68">
      <c r="A68" t="inlineStr">
        <is>
          <t>ETUDE</t>
        </is>
      </c>
      <c r="B68" t="inlineStr">
        <is>
          <t>154160085</t>
        </is>
      </c>
      <c r="C68" t="inlineStr">
        <is>
          <t>Etude Baking Powder Crunch Pore Scrub треугольники 30</t>
        </is>
      </c>
      <c r="D68">
        <f>ROUND(106*$B$1,0)</f>
        <v/>
      </c>
      <c r="E68">
        <f>ROUND(86*$B$1,0)</f>
        <v/>
      </c>
      <c r="F68">
        <f>ROUND(86*$B$1,0)</f>
        <v/>
      </c>
      <c r="G68">
        <f>ROUND(86*$B$1,0)</f>
        <v/>
      </c>
      <c r="H68">
        <f>ROUND(104*$B$1,0)</f>
        <v/>
      </c>
      <c r="I68">
        <f>ROUND(107*$B$1,0)</f>
        <v/>
      </c>
      <c r="J68">
        <f>ROUND(87*$B$1,0)</f>
        <v/>
      </c>
      <c r="K68">
        <f>ROUND(94*$B$1,0)</f>
        <v/>
      </c>
      <c r="L68">
        <f>SUM(D68:K68)</f>
        <v/>
      </c>
    </row>
    <row r="69">
      <c r="A69" t="inlineStr">
        <is>
          <t>ETUDE</t>
        </is>
      </c>
      <c r="B69" t="inlineStr">
        <is>
          <t>149971127</t>
        </is>
      </c>
      <c r="C69" t="inlineStr">
        <is>
          <t>Etude Baking Powder Crunch Pore Scrub 1</t>
        </is>
      </c>
      <c r="D69">
        <f>ROUND(13*$B$1,0)</f>
        <v/>
      </c>
      <c r="E69">
        <f>ROUND(11*$B$1,0)</f>
        <v/>
      </c>
      <c r="F69">
        <f>ROUND(11*$B$1,0)</f>
        <v/>
      </c>
      <c r="G69">
        <f>ROUND(11*$B$1,0)</f>
        <v/>
      </c>
      <c r="H69">
        <f>ROUND(13*$B$1,0)</f>
        <v/>
      </c>
      <c r="I69">
        <f>ROUND(13*$B$1,0)</f>
        <v/>
      </c>
      <c r="J69">
        <f>ROUND(11*$B$1,0)</f>
        <v/>
      </c>
      <c r="K69">
        <f>ROUND(12*$B$1,0)</f>
        <v/>
      </c>
      <c r="L69">
        <f>SUM(D69:K69)</f>
        <v/>
      </c>
    </row>
    <row r="70">
      <c r="A70" t="inlineStr">
        <is>
          <t>FARMSTAY</t>
        </is>
      </c>
      <c r="B70" t="inlineStr">
        <is>
          <t>168956391</t>
        </is>
      </c>
      <c r="C70" t="inlineStr">
        <is>
          <t>FARMSTAY COLLAGEN&amp;HYALURONIC ACID ALL-IN ONE AMPOULE</t>
        </is>
      </c>
      <c r="D70">
        <f>ROUND(2528*$B$1,0)</f>
        <v/>
      </c>
      <c r="E70">
        <f>ROUND(2047*$B$1,0)</f>
        <v/>
      </c>
      <c r="F70">
        <f>ROUND(2047*$B$1,0)</f>
        <v/>
      </c>
      <c r="G70">
        <f>ROUND(2047*$B$1,0)</f>
        <v/>
      </c>
      <c r="H70">
        <f>ROUND(2485*$B$1,0)</f>
        <v/>
      </c>
      <c r="I70">
        <f>ROUND(2549*$B$1,0)</f>
        <v/>
      </c>
      <c r="J70">
        <f>ROUND(2070*$B$1,0)</f>
        <v/>
      </c>
      <c r="K70">
        <f>ROUND(2246*$B$1,0)</f>
        <v/>
      </c>
      <c r="L70">
        <f>SUM(D70:K70)</f>
        <v/>
      </c>
    </row>
    <row r="71">
      <c r="A71" t="inlineStr">
        <is>
          <t>FARMSTAY</t>
        </is>
      </c>
      <c r="B71" t="inlineStr">
        <is>
          <t>207472742</t>
        </is>
      </c>
      <c r="C71" t="inlineStr">
        <is>
          <t>FARMSTAY - Black Garlic Nourishing Shampoo [530ml]</t>
        </is>
      </c>
      <c r="D71">
        <f>ROUND(1789*$B$1,0)</f>
        <v/>
      </c>
      <c r="E71">
        <f>ROUND(1449*$B$1,0)</f>
        <v/>
      </c>
      <c r="F71">
        <f>ROUND(1449*$B$1,0)</f>
        <v/>
      </c>
      <c r="G71">
        <f>ROUND(1449*$B$1,0)</f>
        <v/>
      </c>
      <c r="H71">
        <f>ROUND(1758*$B$1,0)</f>
        <v/>
      </c>
      <c r="I71">
        <f>ROUND(1803*$B$1,0)</f>
        <v/>
      </c>
      <c r="J71">
        <f>ROUND(1465*$B$1,0)</f>
        <v/>
      </c>
      <c r="K71">
        <f>ROUND(1589*$B$1,0)</f>
        <v/>
      </c>
      <c r="L71">
        <f>SUM(D71:K71)</f>
        <v/>
      </c>
    </row>
    <row r="72">
      <c r="A72" t="inlineStr">
        <is>
          <t>FARMSTAY</t>
        </is>
      </c>
      <c r="B72" t="inlineStr">
        <is>
          <t>207476309</t>
        </is>
      </c>
      <c r="C72" t="inlineStr">
        <is>
          <t>FARMSTAY Argan Oil Complete Volume Up Shampoo &amp; Conditi</t>
        </is>
      </c>
      <c r="D72">
        <f>ROUND(568*$B$1,0)</f>
        <v/>
      </c>
      <c r="E72">
        <f>ROUND(460*$B$1,0)</f>
        <v/>
      </c>
      <c r="F72">
        <f>ROUND(460*$B$1,0)</f>
        <v/>
      </c>
      <c r="G72">
        <f>ROUND(460*$B$1,0)</f>
        <v/>
      </c>
      <c r="H72">
        <f>ROUND(558*$B$1,0)</f>
        <v/>
      </c>
      <c r="I72">
        <f>ROUND(572*$B$1,0)</f>
        <v/>
      </c>
      <c r="J72">
        <f>ROUND(465*$B$1,0)</f>
        <v/>
      </c>
      <c r="K72">
        <f>ROUND(504*$B$1,0)</f>
        <v/>
      </c>
      <c r="L72">
        <f>SUM(D72:K72)</f>
        <v/>
      </c>
    </row>
    <row r="73">
      <c r="A73" t="inlineStr">
        <is>
          <t>FARMSTAY</t>
        </is>
      </c>
      <c r="B73" t="inlineStr">
        <is>
          <t>169076150</t>
        </is>
      </c>
      <c r="C73" t="inlineStr">
        <is>
          <t>FARMSTAY ESCARGOT NOBLESSE INTENSIVE CREAM</t>
        </is>
      </c>
      <c r="D73">
        <f>ROUND(516*$B$1,0)</f>
        <v/>
      </c>
      <c r="E73">
        <f>ROUND(418*$B$1,0)</f>
        <v/>
      </c>
      <c r="F73">
        <f>ROUND(418*$B$1,0)</f>
        <v/>
      </c>
      <c r="G73">
        <f>ROUND(418*$B$1,0)</f>
        <v/>
      </c>
      <c r="H73">
        <f>ROUND(507*$B$1,0)</f>
        <v/>
      </c>
      <c r="I73">
        <f>ROUND(520*$B$1,0)</f>
        <v/>
      </c>
      <c r="J73">
        <f>ROUND(422*$B$1,0)</f>
        <v/>
      </c>
      <c r="K73">
        <f>ROUND(458*$B$1,0)</f>
        <v/>
      </c>
      <c r="L73">
        <f>SUM(D73:K73)</f>
        <v/>
      </c>
    </row>
    <row r="74">
      <c r="A74" t="inlineStr">
        <is>
          <t>FARMSTAY</t>
        </is>
      </c>
      <c r="B74" t="inlineStr">
        <is>
          <t>207469760</t>
        </is>
      </c>
      <c r="C74" t="inlineStr">
        <is>
          <t>FARMSTAY - Gold Snail Premium Cream [50ml]</t>
        </is>
      </c>
      <c r="D74">
        <f>ROUND(504*$B$1,0)</f>
        <v/>
      </c>
      <c r="E74">
        <f>ROUND(408*$B$1,0)</f>
        <v/>
      </c>
      <c r="F74">
        <f>ROUND(408*$B$1,0)</f>
        <v/>
      </c>
      <c r="G74">
        <f>ROUND(408*$B$1,0)</f>
        <v/>
      </c>
      <c r="H74">
        <f>ROUND(495*$B$1,0)</f>
        <v/>
      </c>
      <c r="I74">
        <f>ROUND(508*$B$1,0)</f>
        <v/>
      </c>
      <c r="J74">
        <f>ROUND(413*$B$1,0)</f>
        <v/>
      </c>
      <c r="K74">
        <f>ROUND(447*$B$1,0)</f>
        <v/>
      </c>
      <c r="L74">
        <f>SUM(D74:K74)</f>
        <v/>
      </c>
    </row>
    <row r="75">
      <c r="A75" t="inlineStr">
        <is>
          <t>FARMSTAY</t>
        </is>
      </c>
      <c r="B75" t="inlineStr">
        <is>
          <t>207475898</t>
        </is>
      </c>
      <c r="C75" t="inlineStr">
        <is>
          <t>FARMSTAY - Collagen Water Full Shampoo &amp; Conditioner [5</t>
        </is>
      </c>
      <c r="D75">
        <f>ROUND(401*$B$1,0)</f>
        <v/>
      </c>
      <c r="E75">
        <f>ROUND(325*$B$1,0)</f>
        <v/>
      </c>
      <c r="F75">
        <f>ROUND(325*$B$1,0)</f>
        <v/>
      </c>
      <c r="G75">
        <f>ROUND(325*$B$1,0)</f>
        <v/>
      </c>
      <c r="H75">
        <f>ROUND(395*$B$1,0)</f>
        <v/>
      </c>
      <c r="I75">
        <f>ROUND(405*$B$1,0)</f>
        <v/>
      </c>
      <c r="J75">
        <f>ROUND(329*$B$1,0)</f>
        <v/>
      </c>
      <c r="K75">
        <f>ROUND(357*$B$1,0)</f>
        <v/>
      </c>
      <c r="L75">
        <f>SUM(D75:K75)</f>
        <v/>
      </c>
    </row>
    <row r="76">
      <c r="A76" t="inlineStr">
        <is>
          <t>FARMSTAY</t>
        </is>
      </c>
      <c r="B76" t="inlineStr">
        <is>
          <t>419630142</t>
        </is>
      </c>
      <c r="C76" t="inlineStr">
        <is>
          <t>FARMSTAY ESCARGOT NOBLESSE INTENSIVE AMPOULE</t>
        </is>
      </c>
      <c r="D76">
        <f>ROUND(219*$B$1,0)</f>
        <v/>
      </c>
      <c r="E76">
        <f>ROUND(177*$B$1,0)</f>
        <v/>
      </c>
      <c r="F76">
        <f>ROUND(177*$B$1,0)</f>
        <v/>
      </c>
      <c r="G76">
        <f>ROUND(177*$B$1,0)</f>
        <v/>
      </c>
      <c r="H76">
        <f>ROUND(215*$B$1,0)</f>
        <v/>
      </c>
      <c r="I76">
        <f>ROUND(220*$B$1,0)</f>
        <v/>
      </c>
      <c r="J76">
        <f>ROUND(179*$B$1,0)</f>
        <v/>
      </c>
      <c r="K76">
        <f>ROUND(194*$B$1,0)</f>
        <v/>
      </c>
      <c r="L76">
        <f>SUM(D76:K76)</f>
        <v/>
      </c>
    </row>
    <row r="77">
      <c r="A77" t="inlineStr">
        <is>
          <t>FARMSTAY</t>
        </is>
      </c>
      <c r="B77" t="inlineStr">
        <is>
          <t>207477077</t>
        </is>
      </c>
      <c r="C77" t="inlineStr">
        <is>
          <t>FARMSTAY - Collagen Water Full Moist Cream [100g]</t>
        </is>
      </c>
      <c r="D77">
        <f>ROUND(217*$B$1,0)</f>
        <v/>
      </c>
      <c r="E77">
        <f>ROUND(176*$B$1,0)</f>
        <v/>
      </c>
      <c r="F77">
        <f>ROUND(176*$B$1,0)</f>
        <v/>
      </c>
      <c r="G77">
        <f>ROUND(176*$B$1,0)</f>
        <v/>
      </c>
      <c r="H77">
        <f>ROUND(213*$B$1,0)</f>
        <v/>
      </c>
      <c r="I77">
        <f>ROUND(219*$B$1,0)</f>
        <v/>
      </c>
      <c r="J77">
        <f>ROUND(178*$B$1,0)</f>
        <v/>
      </c>
      <c r="K77">
        <f>ROUND(193*$B$1,0)</f>
        <v/>
      </c>
      <c r="L77">
        <f>SUM(D77:K77)</f>
        <v/>
      </c>
    </row>
    <row r="78">
      <c r="A78" t="inlineStr">
        <is>
          <t>FARMSTAY</t>
        </is>
      </c>
      <c r="B78" t="inlineStr">
        <is>
          <t>212885914</t>
        </is>
      </c>
      <c r="C78" t="inlineStr">
        <is>
          <t xml:space="preserve">FARMSTAY - Collagen Water Full Moist Rolling Eye Serum </t>
        </is>
      </c>
      <c r="D78">
        <f>ROUND(105*$B$1,0)</f>
        <v/>
      </c>
      <c r="E78">
        <f>ROUND(85*$B$1,0)</f>
        <v/>
      </c>
      <c r="F78">
        <f>ROUND(85*$B$1,0)</f>
        <v/>
      </c>
      <c r="G78">
        <f>ROUND(85*$B$1,0)</f>
        <v/>
      </c>
      <c r="H78">
        <f>ROUND(103*$B$1,0)</f>
        <v/>
      </c>
      <c r="I78">
        <f>ROUND(105*$B$1,0)</f>
        <v/>
      </c>
      <c r="J78">
        <f>ROUND(86*$B$1,0)</f>
        <v/>
      </c>
      <c r="K78">
        <f>ROUND(93*$B$1,0)</f>
        <v/>
      </c>
      <c r="L78">
        <f>SUM(D78:K78)</f>
        <v/>
      </c>
    </row>
    <row r="79">
      <c r="A79" t="inlineStr">
        <is>
          <t>FARMSTAY</t>
        </is>
      </c>
      <c r="B79" t="inlineStr">
        <is>
          <t>207476777</t>
        </is>
      </c>
      <c r="C79" t="inlineStr">
        <is>
          <t>FARMSTAY - Collagen Pure Cleansing Foam [180ml]</t>
        </is>
      </c>
      <c r="D79">
        <f>ROUND(101*$B$1,0)</f>
        <v/>
      </c>
      <c r="E79">
        <f>ROUND(82*$B$1,0)</f>
        <v/>
      </c>
      <c r="F79">
        <f>ROUND(82*$B$1,0)</f>
        <v/>
      </c>
      <c r="G79">
        <f>ROUND(82*$B$1,0)</f>
        <v/>
      </c>
      <c r="H79">
        <f>ROUND(100*$B$1,0)</f>
        <v/>
      </c>
      <c r="I79">
        <f>ROUND(102*$B$1,0)</f>
        <v/>
      </c>
      <c r="J79">
        <f>ROUND(83*$B$1,0)</f>
        <v/>
      </c>
      <c r="K79">
        <f>ROUND(90*$B$1,0)</f>
        <v/>
      </c>
      <c r="L79">
        <f>SUM(D79:K79)</f>
        <v/>
      </c>
    </row>
    <row r="80">
      <c r="A80" t="inlineStr">
        <is>
          <t>FARMSTAY</t>
        </is>
      </c>
      <c r="B80" t="inlineStr">
        <is>
          <t>208710540</t>
        </is>
      </c>
      <c r="C80" t="inlineStr">
        <is>
          <t>FARMSTAY Argan Oil Complete Volume Up Shampoo &amp; Conditi</t>
        </is>
      </c>
      <c r="D80">
        <f>ROUND(14*$B$1,0)</f>
        <v/>
      </c>
      <c r="E80">
        <f>ROUND(12*$B$1,0)</f>
        <v/>
      </c>
      <c r="F80">
        <f>ROUND(12*$B$1,0)</f>
        <v/>
      </c>
      <c r="G80">
        <f>ROUND(12*$B$1,0)</f>
        <v/>
      </c>
      <c r="H80">
        <f>ROUND(14*$B$1,0)</f>
        <v/>
      </c>
      <c r="I80">
        <f>ROUND(15*$B$1,0)</f>
        <v/>
      </c>
      <c r="J80">
        <f>ROUND(12*$B$1,0)</f>
        <v/>
      </c>
      <c r="K80">
        <f>ROUND(13*$B$1,0)</f>
        <v/>
      </c>
      <c r="L80">
        <f>SUM(D80:K80)</f>
        <v/>
      </c>
    </row>
    <row r="81">
      <c r="A81" t="inlineStr">
        <is>
          <t>FARMSTAY</t>
        </is>
      </c>
      <c r="B81" t="inlineStr">
        <is>
          <t>710417367</t>
        </is>
      </c>
      <c r="C81" t="inlineStr">
        <is>
          <t>FARMSTAY - Black Garlic Nourishing Shampoo [530ml] 11</t>
        </is>
      </c>
      <c r="D81">
        <f>ROUND(12*$B$1,0)</f>
        <v/>
      </c>
      <c r="E81">
        <f>ROUND(10*$B$1,0)</f>
        <v/>
      </c>
      <c r="F81">
        <f>ROUND(10*$B$1,0)</f>
        <v/>
      </c>
      <c r="G81">
        <f>ROUND(10*$B$1,0)</f>
        <v/>
      </c>
      <c r="H81">
        <f>ROUND(12*$B$1,0)</f>
        <v/>
      </c>
      <c r="I81">
        <f>ROUND(12*$B$1,0)</f>
        <v/>
      </c>
      <c r="J81">
        <f>ROUND(10*$B$1,0)</f>
        <v/>
      </c>
      <c r="K81">
        <f>ROUND(11*$B$1,0)</f>
        <v/>
      </c>
      <c r="L81">
        <f>SUM(D81:K81)</f>
        <v/>
      </c>
    </row>
    <row r="82">
      <c r="A82" t="inlineStr">
        <is>
          <t>FARMSTAY</t>
        </is>
      </c>
      <c r="B82" t="inlineStr">
        <is>
          <t>168958606</t>
        </is>
      </c>
      <c r="C82" t="inlineStr">
        <is>
          <t>FARMSTAY COLLAGEN&amp;HYALURONIC ACID ALL-IN ONE AMPOULE 1</t>
        </is>
      </c>
      <c r="D82">
        <f>ROUND(12*$B$1,0)</f>
        <v/>
      </c>
      <c r="E82">
        <f>ROUND(10*$B$1,0)</f>
        <v/>
      </c>
      <c r="F82">
        <f>ROUND(10*$B$1,0)</f>
        <v/>
      </c>
      <c r="G82">
        <f>ROUND(10*$B$1,0)</f>
        <v/>
      </c>
      <c r="H82">
        <f>ROUND(12*$B$1,0)</f>
        <v/>
      </c>
      <c r="I82">
        <f>ROUND(12*$B$1,0)</f>
        <v/>
      </c>
      <c r="J82">
        <f>ROUND(10*$B$1,0)</f>
        <v/>
      </c>
      <c r="K82">
        <f>ROUND(11*$B$1,0)</f>
        <v/>
      </c>
      <c r="L82">
        <f>SUM(D82:K82)</f>
        <v/>
      </c>
    </row>
    <row r="83">
      <c r="A83" t="inlineStr">
        <is>
          <t>FARMSTAY</t>
        </is>
      </c>
      <c r="B83" t="inlineStr">
        <is>
          <t>208708607</t>
        </is>
      </c>
      <c r="C83" t="inlineStr">
        <is>
          <t>FARMSTAY - Collagen Water Full Shampoo &amp; Conditioner [5</t>
        </is>
      </c>
      <c r="D83">
        <f>ROUND(12*$B$1,0)</f>
        <v/>
      </c>
      <c r="E83">
        <f>ROUND(9*$B$1,0)</f>
        <v/>
      </c>
      <c r="F83">
        <f>ROUND(9*$B$1,0)</f>
        <v/>
      </c>
      <c r="G83">
        <f>ROUND(9*$B$1,0)</f>
        <v/>
      </c>
      <c r="H83">
        <f>ROUND(11*$B$1,0)</f>
        <v/>
      </c>
      <c r="I83">
        <f>ROUND(12*$B$1,0)</f>
        <v/>
      </c>
      <c r="J83">
        <f>ROUND(10*$B$1,0)</f>
        <v/>
      </c>
      <c r="K83">
        <f>ROUND(10*$B$1,0)</f>
        <v/>
      </c>
      <c r="L83">
        <f>SUM(D83:K83)</f>
        <v/>
      </c>
    </row>
    <row r="84">
      <c r="A84" t="inlineStr">
        <is>
          <t>HEIMISH</t>
        </is>
      </c>
      <c r="B84" t="inlineStr">
        <is>
          <t>207466866</t>
        </is>
      </c>
      <c r="C84" t="inlineStr">
        <is>
          <t>HEIMISH - Artless Glow Base SPF50+ [40ml]</t>
        </is>
      </c>
      <c r="D84">
        <f>ROUND(443*$B$1,0)</f>
        <v/>
      </c>
      <c r="E84">
        <f>ROUND(359*$B$1,0)</f>
        <v/>
      </c>
      <c r="F84">
        <f>ROUND(359*$B$1,0)</f>
        <v/>
      </c>
      <c r="G84">
        <f>ROUND(359*$B$1,0)</f>
        <v/>
      </c>
      <c r="H84">
        <f>ROUND(436*$B$1,0)</f>
        <v/>
      </c>
      <c r="I84">
        <f>ROUND(447*$B$1,0)</f>
        <v/>
      </c>
      <c r="J84">
        <f>ROUND(363*$B$1,0)</f>
        <v/>
      </c>
      <c r="K84">
        <f>ROUND(394*$B$1,0)</f>
        <v/>
      </c>
      <c r="L84">
        <f>SUM(D84:K84)</f>
        <v/>
      </c>
    </row>
    <row r="85">
      <c r="A85" t="inlineStr">
        <is>
          <t>HEIMISH</t>
        </is>
      </c>
      <c r="B85" t="inlineStr">
        <is>
          <t>207464799</t>
        </is>
      </c>
      <c r="C85" t="inlineStr">
        <is>
          <t>HEIMISH - All Clean Balm [120ml]</t>
        </is>
      </c>
      <c r="D85">
        <f>ROUND(301*$B$1,0)</f>
        <v/>
      </c>
      <c r="E85">
        <f>ROUND(244*$B$1,0)</f>
        <v/>
      </c>
      <c r="F85">
        <f>ROUND(244*$B$1,0)</f>
        <v/>
      </c>
      <c r="G85">
        <f>ROUND(244*$B$1,0)</f>
        <v/>
      </c>
      <c r="H85">
        <f>ROUND(296*$B$1,0)</f>
        <v/>
      </c>
      <c r="I85">
        <f>ROUND(303*$B$1,0)</f>
        <v/>
      </c>
      <c r="J85">
        <f>ROUND(246*$B$1,0)</f>
        <v/>
      </c>
      <c r="K85">
        <f>ROUND(267*$B$1,0)</f>
        <v/>
      </c>
      <c r="L85">
        <f>SUM(D85:K85)</f>
        <v/>
      </c>
    </row>
    <row r="86">
      <c r="A86" t="inlineStr">
        <is>
          <t>HEIMISH</t>
        </is>
      </c>
      <c r="B86" t="inlineStr">
        <is>
          <t>207465786</t>
        </is>
      </c>
      <c r="C86" t="inlineStr">
        <is>
          <t>HEIMISH - All Clean Balm Mandarin [120ml]</t>
        </is>
      </c>
      <c r="D86">
        <f>ROUND(92*$B$1,0)</f>
        <v/>
      </c>
      <c r="E86">
        <f>ROUND(75*$B$1,0)</f>
        <v/>
      </c>
      <c r="F86">
        <f>ROUND(75*$B$1,0)</f>
        <v/>
      </c>
      <c r="G86">
        <f>ROUND(75*$B$1,0)</f>
        <v/>
      </c>
      <c r="H86">
        <f>ROUND(91*$B$1,0)</f>
        <v/>
      </c>
      <c r="I86">
        <f>ROUND(93*$B$1,0)</f>
        <v/>
      </c>
      <c r="J86">
        <f>ROUND(76*$B$1,0)</f>
        <v/>
      </c>
      <c r="K86">
        <f>ROUND(82*$B$1,0)</f>
        <v/>
      </c>
      <c r="L86">
        <f>SUM(D86:K86)</f>
        <v/>
      </c>
    </row>
    <row r="87">
      <c r="A87" t="inlineStr">
        <is>
          <t>I'M SORRY FOR MY SKIN</t>
        </is>
      </c>
      <c r="B87" t="inlineStr">
        <is>
          <t>206135397</t>
        </is>
      </c>
      <c r="C87" t="inlineStr">
        <is>
          <t>I'm Sorry For My Skin Age Capture Hydrating</t>
        </is>
      </c>
      <c r="D87">
        <f>ROUND(131*$B$1,0)</f>
        <v/>
      </c>
      <c r="E87">
        <f>ROUND(106*$B$1,0)</f>
        <v/>
      </c>
      <c r="F87">
        <f>ROUND(106*$B$1,0)</f>
        <v/>
      </c>
      <c r="G87">
        <f>ROUND(106*$B$1,0)</f>
        <v/>
      </c>
      <c r="H87">
        <f>ROUND(129*$B$1,0)</f>
        <v/>
      </c>
      <c r="I87">
        <f>ROUND(132*$B$1,0)</f>
        <v/>
      </c>
      <c r="J87">
        <f>ROUND(107*$B$1,0)</f>
        <v/>
      </c>
      <c r="K87">
        <f>ROUND(116*$B$1,0)</f>
        <v/>
      </c>
      <c r="L87">
        <f>SUM(D87:K87)</f>
        <v/>
      </c>
    </row>
    <row r="88">
      <c r="A88" t="inlineStr">
        <is>
          <t>I'M SORRY FOR MY SKIN</t>
        </is>
      </c>
      <c r="B88" t="inlineStr">
        <is>
          <t>206126372</t>
        </is>
      </c>
      <c r="C88" t="inlineStr">
        <is>
          <t>I'm Sorry for My Skin Крем Age Capture Vitalizer</t>
        </is>
      </c>
      <c r="D88">
        <f>ROUND(74*$B$1,0)</f>
        <v/>
      </c>
      <c r="E88">
        <f>ROUND(60*$B$1,0)</f>
        <v/>
      </c>
      <c r="F88">
        <f>ROUND(60*$B$1,0)</f>
        <v/>
      </c>
      <c r="G88">
        <f>ROUND(60*$B$1,0)</f>
        <v/>
      </c>
      <c r="H88">
        <f>ROUND(73*$B$1,0)</f>
        <v/>
      </c>
      <c r="I88">
        <f>ROUND(75*$B$1,0)</f>
        <v/>
      </c>
      <c r="J88">
        <f>ROUND(61*$B$1,0)</f>
        <v/>
      </c>
      <c r="K88">
        <f>ROUND(66*$B$1,0)</f>
        <v/>
      </c>
      <c r="L88">
        <f>SUM(D88:K88)</f>
        <v/>
      </c>
    </row>
    <row r="89">
      <c r="A89" t="inlineStr">
        <is>
          <t>I'M SORRY FOR MY SKIN</t>
        </is>
      </c>
      <c r="B89" t="inlineStr">
        <is>
          <t>206122859</t>
        </is>
      </c>
      <c r="C89" t="inlineStr">
        <is>
          <t>I'm Sorry for My Skin Age Крем Capture Firming Enriched</t>
        </is>
      </c>
      <c r="D89">
        <f>ROUND(65*$B$1,0)</f>
        <v/>
      </c>
      <c r="E89">
        <f>ROUND(52*$B$1,0)</f>
        <v/>
      </c>
      <c r="F89">
        <f>ROUND(52*$B$1,0)</f>
        <v/>
      </c>
      <c r="G89">
        <f>ROUND(52*$B$1,0)</f>
        <v/>
      </c>
      <c r="H89">
        <f>ROUND(64*$B$1,0)</f>
        <v/>
      </c>
      <c r="I89">
        <f>ROUND(65*$B$1,0)</f>
        <v/>
      </c>
      <c r="J89">
        <f>ROUND(53*$B$1,0)</f>
        <v/>
      </c>
      <c r="K89">
        <f>ROUND(58*$B$1,0)</f>
        <v/>
      </c>
      <c r="L89">
        <f>SUM(D89:K89)</f>
        <v/>
      </c>
    </row>
    <row r="90">
      <c r="A90" t="inlineStr">
        <is>
          <t>ISNTREE</t>
        </is>
      </c>
      <c r="B90" t="inlineStr">
        <is>
          <t>207818000</t>
        </is>
      </c>
      <c r="C90" t="inlineStr">
        <is>
          <t>ISNTREE - Chestnut AHA 8% Clear Essence Sample [20ml]</t>
        </is>
      </c>
      <c r="D90">
        <f>ROUND(25*$B$1,0)</f>
        <v/>
      </c>
      <c r="E90">
        <f>ROUND(20*$B$1,0)</f>
        <v/>
      </c>
      <c r="F90">
        <f>ROUND(20*$B$1,0)</f>
        <v/>
      </c>
      <c r="G90">
        <f>ROUND(20*$B$1,0)</f>
        <v/>
      </c>
      <c r="H90">
        <f>ROUND(24*$B$1,0)</f>
        <v/>
      </c>
      <c r="I90">
        <f>ROUND(25*$B$1,0)</f>
        <v/>
      </c>
      <c r="J90">
        <f>ROUND(20*$B$1,0)</f>
        <v/>
      </c>
      <c r="K90">
        <f>ROUND(22*$B$1,0)</f>
        <v/>
      </c>
      <c r="L90">
        <f>SUM(D90:K90)</f>
        <v/>
      </c>
    </row>
    <row r="91">
      <c r="A91" t="inlineStr">
        <is>
          <t>JIGOTT</t>
        </is>
      </c>
      <c r="B91" t="inlineStr">
        <is>
          <t>207482718</t>
        </is>
      </c>
      <c r="C91" t="inlineStr">
        <is>
          <t>JIGOTT - Snail Lifting Cream [70ml]</t>
        </is>
      </c>
      <c r="D91">
        <f>ROUND(1453*$B$1,0)</f>
        <v/>
      </c>
      <c r="E91">
        <f>ROUND(1177*$B$1,0)</f>
        <v/>
      </c>
      <c r="F91">
        <f>ROUND(1177*$B$1,0)</f>
        <v/>
      </c>
      <c r="G91">
        <f>ROUND(1177*$B$1,0)</f>
        <v/>
      </c>
      <c r="H91">
        <f>ROUND(1429*$B$1,0)</f>
        <v/>
      </c>
      <c r="I91">
        <f>ROUND(1465*$B$1,0)</f>
        <v/>
      </c>
      <c r="J91">
        <f>ROUND(1191*$B$1,0)</f>
        <v/>
      </c>
      <c r="K91">
        <f>ROUND(1291*$B$1,0)</f>
        <v/>
      </c>
      <c r="L91">
        <f>SUM(D91:K91)</f>
        <v/>
      </c>
    </row>
    <row r="92">
      <c r="A92" t="inlineStr">
        <is>
          <t>JIGOTT</t>
        </is>
      </c>
      <c r="B92" t="inlineStr">
        <is>
          <t>207483179</t>
        </is>
      </c>
      <c r="C92" t="inlineStr">
        <is>
          <t>JIGOTT - Snail Reparing Cream [100ml]</t>
        </is>
      </c>
      <c r="D92">
        <f>ROUND(218*$B$1,0)</f>
        <v/>
      </c>
      <c r="E92">
        <f>ROUND(176*$B$1,0)</f>
        <v/>
      </c>
      <c r="F92">
        <f>ROUND(176*$B$1,0)</f>
        <v/>
      </c>
      <c r="G92">
        <f>ROUND(176*$B$1,0)</f>
        <v/>
      </c>
      <c r="H92">
        <f>ROUND(214*$B$1,0)</f>
        <v/>
      </c>
      <c r="I92">
        <f>ROUND(220*$B$1,0)</f>
        <v/>
      </c>
      <c r="J92">
        <f>ROUND(178*$B$1,0)</f>
        <v/>
      </c>
      <c r="K92">
        <f>ROUND(193*$B$1,0)</f>
        <v/>
      </c>
      <c r="L92">
        <f>SUM(D92:K92)</f>
        <v/>
      </c>
    </row>
    <row r="93">
      <c r="A93" t="inlineStr">
        <is>
          <t>JIGOTT</t>
        </is>
      </c>
      <c r="B93" t="inlineStr">
        <is>
          <t>207483780</t>
        </is>
      </c>
      <c r="C93" t="inlineStr">
        <is>
          <t>JIGOTT - Birds Nest Firming Cream [70ml]</t>
        </is>
      </c>
      <c r="D93">
        <f>ROUND(193*$B$1,0)</f>
        <v/>
      </c>
      <c r="E93">
        <f>ROUND(156*$B$1,0)</f>
        <v/>
      </c>
      <c r="F93">
        <f>ROUND(156*$B$1,0)</f>
        <v/>
      </c>
      <c r="G93">
        <f>ROUND(156*$B$1,0)</f>
        <v/>
      </c>
      <c r="H93">
        <f>ROUND(189*$B$1,0)</f>
        <v/>
      </c>
      <c r="I93">
        <f>ROUND(194*$B$1,0)</f>
        <v/>
      </c>
      <c r="J93">
        <f>ROUND(158*$B$1,0)</f>
        <v/>
      </c>
      <c r="K93">
        <f>ROUND(171*$B$1,0)</f>
        <v/>
      </c>
      <c r="L93">
        <f>SUM(D93:K93)</f>
        <v/>
      </c>
    </row>
    <row r="94">
      <c r="A94" t="inlineStr">
        <is>
          <t>JIGOTT</t>
        </is>
      </c>
      <c r="B94" t="inlineStr">
        <is>
          <t>212759698</t>
        </is>
      </c>
      <c r="C94" t="inlineStr">
        <is>
          <t>JIGOTT - Moisture Real Aloe Vera Toner [300ml]</t>
        </is>
      </c>
      <c r="D94">
        <f>ROUND(166*$B$1,0)</f>
        <v/>
      </c>
      <c r="E94">
        <f>ROUND(134*$B$1,0)</f>
        <v/>
      </c>
      <c r="F94">
        <f>ROUND(134*$B$1,0)</f>
        <v/>
      </c>
      <c r="G94">
        <f>ROUND(134*$B$1,0)</f>
        <v/>
      </c>
      <c r="H94">
        <f>ROUND(163*$B$1,0)</f>
        <v/>
      </c>
      <c r="I94">
        <f>ROUND(167*$B$1,0)</f>
        <v/>
      </c>
      <c r="J94">
        <f>ROUND(136*$B$1,0)</f>
        <v/>
      </c>
      <c r="K94">
        <f>ROUND(147*$B$1,0)</f>
        <v/>
      </c>
      <c r="L94">
        <f>SUM(D94:K94)</f>
        <v/>
      </c>
    </row>
    <row r="95">
      <c r="A95" t="inlineStr">
        <is>
          <t>JIGOTT</t>
        </is>
      </c>
      <c r="B95" t="inlineStr">
        <is>
          <t>212760119</t>
        </is>
      </c>
      <c r="C95" t="inlineStr">
        <is>
          <t>JIGOTT - Ultimate Real Collagen Toner [300ml]</t>
        </is>
      </c>
      <c r="D95">
        <f>ROUND(104*$B$1,0)</f>
        <v/>
      </c>
      <c r="E95">
        <f>ROUND(84*$B$1,0)</f>
        <v/>
      </c>
      <c r="F95">
        <f>ROUND(84*$B$1,0)</f>
        <v/>
      </c>
      <c r="G95">
        <f>ROUND(84*$B$1,0)</f>
        <v/>
      </c>
      <c r="H95">
        <f>ROUND(102*$B$1,0)</f>
        <v/>
      </c>
      <c r="I95">
        <f>ROUND(105*$B$1,0)</f>
        <v/>
      </c>
      <c r="J95">
        <f>ROUND(85*$B$1,0)</f>
        <v/>
      </c>
      <c r="K95">
        <f>ROUND(92*$B$1,0)</f>
        <v/>
      </c>
      <c r="L95">
        <f>SUM(D95:K95)</f>
        <v/>
      </c>
    </row>
    <row r="96">
      <c r="A96" t="inlineStr">
        <is>
          <t>JIGOTT</t>
        </is>
      </c>
      <c r="B96" t="inlineStr">
        <is>
          <t>212757456</t>
        </is>
      </c>
      <c r="C96" t="inlineStr">
        <is>
          <t>JIGOTT - Daily Real Cica Toner [300ml]</t>
        </is>
      </c>
      <c r="D96">
        <f>ROUND(97*$B$1,0)</f>
        <v/>
      </c>
      <c r="E96">
        <f>ROUND(78*$B$1,0)</f>
        <v/>
      </c>
      <c r="F96">
        <f>ROUND(78*$B$1,0)</f>
        <v/>
      </c>
      <c r="G96">
        <f>ROUND(78*$B$1,0)</f>
        <v/>
      </c>
      <c r="H96">
        <f>ROUND(95*$B$1,0)</f>
        <v/>
      </c>
      <c r="I96">
        <f>ROUND(97*$B$1,0)</f>
        <v/>
      </c>
      <c r="J96">
        <f>ROUND(79*$B$1,0)</f>
        <v/>
      </c>
      <c r="K96">
        <f>ROUND(86*$B$1,0)</f>
        <v/>
      </c>
      <c r="L96">
        <f>SUM(D96:K96)</f>
        <v/>
      </c>
    </row>
    <row r="97">
      <c r="A97" t="inlineStr">
        <is>
          <t>JIGOTT</t>
        </is>
      </c>
      <c r="B97" t="inlineStr">
        <is>
          <t>212883090</t>
        </is>
      </c>
      <c r="C97" t="inlineStr">
        <is>
          <t>JIGOTT - Aura Secret Hyaluronec Acid Toner [300ml]</t>
        </is>
      </c>
      <c r="D97">
        <f>ROUND(90*$B$1,0)</f>
        <v/>
      </c>
      <c r="E97">
        <f>ROUND(73*$B$1,0)</f>
        <v/>
      </c>
      <c r="F97">
        <f>ROUND(73*$B$1,0)</f>
        <v/>
      </c>
      <c r="G97">
        <f>ROUND(73*$B$1,0)</f>
        <v/>
      </c>
      <c r="H97">
        <f>ROUND(88*$B$1,0)</f>
        <v/>
      </c>
      <c r="I97">
        <f>ROUND(90*$B$1,0)</f>
        <v/>
      </c>
      <c r="J97">
        <f>ROUND(73*$B$1,0)</f>
        <v/>
      </c>
      <c r="K97">
        <f>ROUND(80*$B$1,0)</f>
        <v/>
      </c>
      <c r="L97">
        <f>SUM(D97:K97)</f>
        <v/>
      </c>
    </row>
    <row r="98">
      <c r="A98" t="inlineStr">
        <is>
          <t>JIGOTT</t>
        </is>
      </c>
      <c r="B98" t="inlineStr">
        <is>
          <t>212753217</t>
        </is>
      </c>
      <c r="C98" t="inlineStr">
        <is>
          <t>JIGOTT - Collagen Healing Cream [100ml]</t>
        </is>
      </c>
      <c r="D98">
        <f>ROUND(70*$B$1,0)</f>
        <v/>
      </c>
      <c r="E98">
        <f>ROUND(57*$B$1,0)</f>
        <v/>
      </c>
      <c r="F98">
        <f>ROUND(57*$B$1,0)</f>
        <v/>
      </c>
      <c r="G98">
        <f>ROUND(57*$B$1,0)</f>
        <v/>
      </c>
      <c r="H98">
        <f>ROUND(69*$B$1,0)</f>
        <v/>
      </c>
      <c r="I98">
        <f>ROUND(71*$B$1,0)</f>
        <v/>
      </c>
      <c r="J98">
        <f>ROUND(57*$B$1,0)</f>
        <v/>
      </c>
      <c r="K98">
        <f>ROUND(62*$B$1,0)</f>
        <v/>
      </c>
      <c r="L98">
        <f>SUM(D98:K98)</f>
        <v/>
      </c>
    </row>
    <row r="99">
      <c r="A99" t="inlineStr">
        <is>
          <t>JIGOTT</t>
        </is>
      </c>
      <c r="B99" t="inlineStr">
        <is>
          <t>255574453</t>
        </is>
      </c>
      <c r="C99" t="inlineStr">
        <is>
          <t>JIGOTT - MASK 15</t>
        </is>
      </c>
      <c r="D99">
        <f>ROUND(27*$B$1,0)</f>
        <v/>
      </c>
      <c r="E99">
        <f>ROUND(22*$B$1,0)</f>
        <v/>
      </c>
      <c r="F99">
        <f>ROUND(22*$B$1,0)</f>
        <v/>
      </c>
      <c r="G99">
        <f>ROUND(22*$B$1,0)</f>
        <v/>
      </c>
      <c r="H99">
        <f>ROUND(26*$B$1,0)</f>
        <v/>
      </c>
      <c r="I99">
        <f>ROUND(27*$B$1,0)</f>
        <v/>
      </c>
      <c r="J99">
        <f>ROUND(22*$B$1,0)</f>
        <v/>
      </c>
      <c r="K99">
        <f>ROUND(24*$B$1,0)</f>
        <v/>
      </c>
      <c r="L99">
        <f>SUM(D99:K99)</f>
        <v/>
      </c>
    </row>
    <row r="100">
      <c r="A100" t="inlineStr">
        <is>
          <t>JMSOLUTION</t>
        </is>
      </c>
      <c r="B100" t="inlineStr">
        <is>
          <t>214964091</t>
        </is>
      </c>
      <c r="C100" t="inlineStr">
        <is>
          <t>JMSOLUTION - Mask Pack Disney</t>
        </is>
      </c>
      <c r="D100">
        <f>ROUND(194*$B$1,0)</f>
        <v/>
      </c>
      <c r="E100">
        <f>ROUND(157*$B$1,0)</f>
        <v/>
      </c>
      <c r="F100">
        <f>ROUND(157*$B$1,0)</f>
        <v/>
      </c>
      <c r="G100">
        <f>ROUND(157*$B$1,0)</f>
        <v/>
      </c>
      <c r="H100">
        <f>ROUND(191*$B$1,0)</f>
        <v/>
      </c>
      <c r="I100">
        <f>ROUND(196*$B$1,0)</f>
        <v/>
      </c>
      <c r="J100">
        <f>ROUND(159*$B$1,0)</f>
        <v/>
      </c>
      <c r="K100">
        <f>ROUND(172*$B$1,0)</f>
        <v/>
      </c>
      <c r="L100">
        <f>SUM(D100:K100)</f>
        <v/>
      </c>
    </row>
    <row r="101">
      <c r="A101" t="inlineStr">
        <is>
          <t>JMSOLUTION</t>
        </is>
      </c>
      <c r="B101" t="inlineStr">
        <is>
          <t>214977901</t>
        </is>
      </c>
      <c r="C101" t="inlineStr">
        <is>
          <t>JMSOLUTION - Mask Pack Black</t>
        </is>
      </c>
      <c r="D101">
        <f>ROUND(115*$B$1,0)</f>
        <v/>
      </c>
      <c r="E101">
        <f>ROUND(93*$B$1,0)</f>
        <v/>
      </c>
      <c r="F101">
        <f>ROUND(93*$B$1,0)</f>
        <v/>
      </c>
      <c r="G101">
        <f>ROUND(93*$B$1,0)</f>
        <v/>
      </c>
      <c r="H101">
        <f>ROUND(113*$B$1,0)</f>
        <v/>
      </c>
      <c r="I101">
        <f>ROUND(116*$B$1,0)</f>
        <v/>
      </c>
      <c r="J101">
        <f>ROUND(94*$B$1,0)</f>
        <v/>
      </c>
      <c r="K101">
        <f>ROUND(102*$B$1,0)</f>
        <v/>
      </c>
      <c r="L101">
        <f>SUM(D101:K101)</f>
        <v/>
      </c>
    </row>
    <row r="102">
      <c r="A102" t="inlineStr">
        <is>
          <t>JMSOLUTION</t>
        </is>
      </c>
      <c r="B102" t="inlineStr">
        <is>
          <t>236825103</t>
        </is>
      </c>
      <c r="C102" t="inlineStr">
        <is>
          <t>JMSOLUTION-Marine Luminous Pearl Deep Moisture Mask Pea</t>
        </is>
      </c>
      <c r="D102">
        <f>ROUND(13*$B$1,0)</f>
        <v/>
      </c>
      <c r="E102">
        <f>ROUND(10*$B$1,0)</f>
        <v/>
      </c>
      <c r="F102">
        <f>ROUND(10*$B$1,0)</f>
        <v/>
      </c>
      <c r="G102">
        <f>ROUND(10*$B$1,0)</f>
        <v/>
      </c>
      <c r="H102">
        <f>ROUND(12*$B$1,0)</f>
        <v/>
      </c>
      <c r="I102">
        <f>ROUND(13*$B$1,0)</f>
        <v/>
      </c>
      <c r="J102">
        <f>ROUND(10*$B$1,0)</f>
        <v/>
      </c>
      <c r="K102">
        <f>ROUND(11*$B$1,0)</f>
        <v/>
      </c>
      <c r="L102">
        <f>SUM(D102:K102)</f>
        <v/>
      </c>
    </row>
    <row r="103">
      <c r="A103" t="inlineStr">
        <is>
          <t>JMSOLUTION</t>
        </is>
      </c>
      <c r="B103" t="inlineStr">
        <is>
          <t>212717820</t>
        </is>
      </c>
      <c r="C103" t="inlineStr">
        <is>
          <t>JMSOLUTION - Prime Gold Eye Patch [60ea]</t>
        </is>
      </c>
      <c r="D103">
        <f>ROUND(12*$B$1,0)</f>
        <v/>
      </c>
      <c r="E103">
        <f>ROUND(10*$B$1,0)</f>
        <v/>
      </c>
      <c r="F103">
        <f>ROUND(10*$B$1,0)</f>
        <v/>
      </c>
      <c r="G103">
        <f>ROUND(10*$B$1,0)</f>
        <v/>
      </c>
      <c r="H103">
        <f>ROUND(12*$B$1,0)</f>
        <v/>
      </c>
      <c r="I103">
        <f>ROUND(12*$B$1,0)</f>
        <v/>
      </c>
      <c r="J103">
        <f>ROUND(10*$B$1,0)</f>
        <v/>
      </c>
      <c r="K103">
        <f>ROUND(11*$B$1,0)</f>
        <v/>
      </c>
      <c r="L103">
        <f>SUM(D103:K103)</f>
        <v/>
      </c>
    </row>
    <row r="104">
      <c r="A104" t="inlineStr">
        <is>
          <t>JMSOLUTION</t>
        </is>
      </c>
      <c r="B104" t="inlineStr">
        <is>
          <t>333259566</t>
        </is>
      </c>
      <c r="C104" t="inlineStr">
        <is>
          <t>JMSOLUTION - Mask Pack Black [8pcs]</t>
        </is>
      </c>
      <c r="D104">
        <f>ROUND(8*$B$1,0)</f>
        <v/>
      </c>
      <c r="E104">
        <f>ROUND(6*$B$1,0)</f>
        <v/>
      </c>
      <c r="F104">
        <f>ROUND(6*$B$1,0)</f>
        <v/>
      </c>
      <c r="G104">
        <f>ROUND(6*$B$1,0)</f>
        <v/>
      </c>
      <c r="H104">
        <f>ROUND(8*$B$1,0)</f>
        <v/>
      </c>
      <c r="I104">
        <f>ROUND(8*$B$1,0)</f>
        <v/>
      </c>
      <c r="J104">
        <f>ROUND(6*$B$1,0)</f>
        <v/>
      </c>
      <c r="K104">
        <f>ROUND(7*$B$1,0)</f>
        <v/>
      </c>
      <c r="L104">
        <f>SUM(D104:K104)</f>
        <v/>
      </c>
    </row>
    <row r="105">
      <c r="A105" t="inlineStr">
        <is>
          <t>JMSOLUTION</t>
        </is>
      </c>
      <c r="B105" t="inlineStr">
        <is>
          <t>212713617</t>
        </is>
      </c>
      <c r="C105" t="inlineStr">
        <is>
          <t>JMSOLUTION - Black Cocoon Home Esthetic Eye Patch [60ea</t>
        </is>
      </c>
      <c r="D105">
        <f>ROUND(8*$B$1,0)</f>
        <v/>
      </c>
      <c r="E105">
        <f>ROUND(6*$B$1,0)</f>
        <v/>
      </c>
      <c r="F105">
        <f>ROUND(6*$B$1,0)</f>
        <v/>
      </c>
      <c r="G105">
        <f>ROUND(6*$B$1,0)</f>
        <v/>
      </c>
      <c r="H105">
        <f>ROUND(8*$B$1,0)</f>
        <v/>
      </c>
      <c r="I105">
        <f>ROUND(8*$B$1,0)</f>
        <v/>
      </c>
      <c r="J105">
        <f>ROUND(6*$B$1,0)</f>
        <v/>
      </c>
      <c r="K105">
        <f>ROUND(7*$B$1,0)</f>
        <v/>
      </c>
      <c r="L105">
        <f>SUM(D105:K105)</f>
        <v/>
      </c>
    </row>
    <row r="106">
      <c r="A106" t="inlineStr">
        <is>
          <t>LANEIGE</t>
        </is>
      </c>
      <c r="B106" t="inlineStr">
        <is>
          <t>868761530</t>
        </is>
      </c>
      <c r="C106" t="inlineStr">
        <is>
          <t>LANEIGE LIP SLEEPING MASK-BERRY [3g]</t>
        </is>
      </c>
      <c r="D106">
        <f>ROUND(93*$B$1,0)</f>
        <v/>
      </c>
      <c r="E106">
        <f>ROUND(76*$B$1,0)</f>
        <v/>
      </c>
      <c r="F106">
        <f>ROUND(76*$B$1,0)</f>
        <v/>
      </c>
      <c r="G106">
        <f>ROUND(76*$B$1,0)</f>
        <v/>
      </c>
      <c r="H106">
        <f>ROUND(92*$B$1,0)</f>
        <v/>
      </c>
      <c r="I106">
        <f>ROUND(94*$B$1,0)</f>
        <v/>
      </c>
      <c r="J106">
        <f>ROUND(76*$B$1,0)</f>
        <v/>
      </c>
      <c r="K106">
        <f>ROUND(83*$B$1,0)</f>
        <v/>
      </c>
      <c r="L106">
        <f>SUM(D106:K106)</f>
        <v/>
      </c>
    </row>
    <row r="107">
      <c r="A107" t="inlineStr">
        <is>
          <t>LEBELAGE</t>
        </is>
      </c>
      <c r="B107" t="inlineStr">
        <is>
          <t>238359400</t>
        </is>
      </c>
      <c r="C107" t="inlineStr">
        <is>
          <t>LEBELAGE - High Protection Extreme Sun Cream SPF50+ PA+</t>
        </is>
      </c>
      <c r="D107">
        <f>ROUND(541*$B$1,0)</f>
        <v/>
      </c>
      <c r="E107">
        <f>ROUND(438*$B$1,0)</f>
        <v/>
      </c>
      <c r="F107">
        <f>ROUND(438*$B$1,0)</f>
        <v/>
      </c>
      <c r="G107">
        <f>ROUND(438*$B$1,0)</f>
        <v/>
      </c>
      <c r="H107">
        <f>ROUND(532*$B$1,0)</f>
        <v/>
      </c>
      <c r="I107">
        <f>ROUND(546*$B$1,0)</f>
        <v/>
      </c>
      <c r="J107">
        <f>ROUND(443*$B$1,0)</f>
        <v/>
      </c>
      <c r="K107">
        <f>ROUND(481*$B$1,0)</f>
        <v/>
      </c>
      <c r="L107">
        <f>SUM(D107:K107)</f>
        <v/>
      </c>
    </row>
    <row r="108">
      <c r="A108" t="inlineStr">
        <is>
          <t>LEBELAGE</t>
        </is>
      </c>
      <c r="B108" t="inlineStr">
        <is>
          <t>238359757</t>
        </is>
      </c>
      <c r="C108" t="inlineStr">
        <is>
          <t>LEBELAGE - High Protection Long Lasting Sun Cream SPF50</t>
        </is>
      </c>
      <c r="D108">
        <f>ROUND(479*$B$1,0)</f>
        <v/>
      </c>
      <c r="E108">
        <f>ROUND(388*$B$1,0)</f>
        <v/>
      </c>
      <c r="F108">
        <f>ROUND(388*$B$1,0)</f>
        <v/>
      </c>
      <c r="G108">
        <f>ROUND(388*$B$1,0)</f>
        <v/>
      </c>
      <c r="H108">
        <f>ROUND(471*$B$1,0)</f>
        <v/>
      </c>
      <c r="I108">
        <f>ROUND(483*$B$1,0)</f>
        <v/>
      </c>
      <c r="J108">
        <f>ROUND(392*$B$1,0)</f>
        <v/>
      </c>
      <c r="K108">
        <f>ROUND(425*$B$1,0)</f>
        <v/>
      </c>
      <c r="L108">
        <f>SUM(D108:K108)</f>
        <v/>
      </c>
    </row>
    <row r="109">
      <c r="A109" t="inlineStr">
        <is>
          <t>LEBELAGE</t>
        </is>
      </c>
      <c r="B109" t="inlineStr">
        <is>
          <t>210579932</t>
        </is>
      </c>
      <c r="C109" t="inlineStr">
        <is>
          <t>LEBELAGE - Dr. Snail Derma Eye Cream [40ml]</t>
        </is>
      </c>
      <c r="D109">
        <f>ROUND(89*$B$1,0)</f>
        <v/>
      </c>
      <c r="E109">
        <f>ROUND(72*$B$1,0)</f>
        <v/>
      </c>
      <c r="F109">
        <f>ROUND(72*$B$1,0)</f>
        <v/>
      </c>
      <c r="G109">
        <f>ROUND(72*$B$1,0)</f>
        <v/>
      </c>
      <c r="H109">
        <f>ROUND(88*$B$1,0)</f>
        <v/>
      </c>
      <c r="I109">
        <f>ROUND(90*$B$1,0)</f>
        <v/>
      </c>
      <c r="J109">
        <f>ROUND(73*$B$1,0)</f>
        <v/>
      </c>
      <c r="K109">
        <f>ROUND(79*$B$1,0)</f>
        <v/>
      </c>
      <c r="L109">
        <f>SUM(D109:K109)</f>
        <v/>
      </c>
    </row>
    <row r="110">
      <c r="A110" t="inlineStr">
        <is>
          <t>LEBELAGE</t>
        </is>
      </c>
      <c r="B110" t="inlineStr">
        <is>
          <t>207818642</t>
        </is>
      </c>
      <c r="C110" t="inlineStr">
        <is>
          <t>LEBELAGE - Dr. Hyaluronic Derma Eye Cream [40ml]</t>
        </is>
      </c>
      <c r="D110">
        <f>ROUND(38*$B$1,0)</f>
        <v/>
      </c>
      <c r="E110">
        <f>ROUND(31*$B$1,0)</f>
        <v/>
      </c>
      <c r="F110">
        <f>ROUND(31*$B$1,0)</f>
        <v/>
      </c>
      <c r="G110">
        <f>ROUND(31*$B$1,0)</f>
        <v/>
      </c>
      <c r="H110">
        <f>ROUND(38*$B$1,0)</f>
        <v/>
      </c>
      <c r="I110">
        <f>ROUND(39*$B$1,0)</f>
        <v/>
      </c>
      <c r="J110">
        <f>ROUND(31*$B$1,0)</f>
        <v/>
      </c>
      <c r="K110">
        <f>ROUND(34*$B$1,0)</f>
        <v/>
      </c>
      <c r="L110">
        <f>SUM(D110:K110)</f>
        <v/>
      </c>
    </row>
    <row r="111">
      <c r="A111" t="inlineStr">
        <is>
          <t>LEBELAGE</t>
        </is>
      </c>
      <c r="B111" t="inlineStr">
        <is>
          <t>165008074</t>
        </is>
      </c>
      <c r="C111" t="inlineStr">
        <is>
          <t>LEBELAGE - High Protection Daily No Sebum Sun Cream SPF</t>
        </is>
      </c>
      <c r="D111">
        <f>ROUND(33*$B$1,0)</f>
        <v/>
      </c>
      <c r="E111">
        <f>ROUND(27*$B$1,0)</f>
        <v/>
      </c>
      <c r="F111">
        <f>ROUND(27*$B$1,0)</f>
        <v/>
      </c>
      <c r="G111">
        <f>ROUND(27*$B$1,0)</f>
        <v/>
      </c>
      <c r="H111">
        <f>ROUND(33*$B$1,0)</f>
        <v/>
      </c>
      <c r="I111">
        <f>ROUND(34*$B$1,0)</f>
        <v/>
      </c>
      <c r="J111">
        <f>ROUND(27*$B$1,0)</f>
        <v/>
      </c>
      <c r="K111">
        <f>ROUND(30*$B$1,0)</f>
        <v/>
      </c>
      <c r="L111">
        <f>SUM(D111:K111)</f>
        <v/>
      </c>
    </row>
    <row r="112">
      <c r="A112" t="inlineStr">
        <is>
          <t>LEBELAGE</t>
        </is>
      </c>
      <c r="B112" t="inlineStr">
        <is>
          <t>210575566</t>
        </is>
      </c>
      <c r="C112" t="inlineStr">
        <is>
          <t>LEBELAGE - Dr. Peptide Derma Eye Cream [40ml]</t>
        </is>
      </c>
      <c r="D112">
        <f>ROUND(33*$B$1,0)</f>
        <v/>
      </c>
      <c r="E112">
        <f>ROUND(27*$B$1,0)</f>
        <v/>
      </c>
      <c r="F112">
        <f>ROUND(27*$B$1,0)</f>
        <v/>
      </c>
      <c r="G112">
        <f>ROUND(27*$B$1,0)</f>
        <v/>
      </c>
      <c r="H112">
        <f>ROUND(32*$B$1,0)</f>
        <v/>
      </c>
      <c r="I112">
        <f>ROUND(33*$B$1,0)</f>
        <v/>
      </c>
      <c r="J112">
        <f>ROUND(27*$B$1,0)</f>
        <v/>
      </c>
      <c r="K112">
        <f>ROUND(29*$B$1,0)</f>
        <v/>
      </c>
      <c r="L112">
        <f>SUM(D112:K112)</f>
        <v/>
      </c>
    </row>
    <row r="113">
      <c r="A113" t="inlineStr">
        <is>
          <t>LEBELAGE</t>
        </is>
      </c>
      <c r="B113" t="inlineStr">
        <is>
          <t>165008162</t>
        </is>
      </c>
      <c r="C113" t="inlineStr">
        <is>
          <t>LEBELAGE - High Protection Extreme Sun Cream SPF50+ PA+</t>
        </is>
      </c>
      <c r="D113">
        <f>ROUND(20*$B$1,0)</f>
        <v/>
      </c>
      <c r="E113">
        <f>ROUND(16*$B$1,0)</f>
        <v/>
      </c>
      <c r="F113">
        <f>ROUND(16*$B$1,0)</f>
        <v/>
      </c>
      <c r="G113">
        <f>ROUND(16*$B$1,0)</f>
        <v/>
      </c>
      <c r="H113">
        <f>ROUND(20*$B$1,0)</f>
        <v/>
      </c>
      <c r="I113">
        <f>ROUND(20*$B$1,0)</f>
        <v/>
      </c>
      <c r="J113">
        <f>ROUND(16*$B$1,0)</f>
        <v/>
      </c>
      <c r="K113">
        <f>ROUND(18*$B$1,0)</f>
        <v/>
      </c>
      <c r="L113">
        <f>SUM(D113:K113)</f>
        <v/>
      </c>
    </row>
    <row r="114">
      <c r="A114" t="inlineStr">
        <is>
          <t>MANYO</t>
        </is>
      </c>
      <c r="B114" t="inlineStr">
        <is>
          <t>205054338</t>
        </is>
      </c>
      <c r="C114" t="inlineStr">
        <is>
          <t>manyo_bifida_biome_toner</t>
        </is>
      </c>
      <c r="D114">
        <f>ROUND(332*$B$1,0)</f>
        <v/>
      </c>
      <c r="E114">
        <f>ROUND(269*$B$1,0)</f>
        <v/>
      </c>
      <c r="F114">
        <f>ROUND(269*$B$1,0)</f>
        <v/>
      </c>
      <c r="G114">
        <f>ROUND(269*$B$1,0)</f>
        <v/>
      </c>
      <c r="H114">
        <f>ROUND(326*$B$1,0)</f>
        <v/>
      </c>
      <c r="I114">
        <f>ROUND(334*$B$1,0)</f>
        <v/>
      </c>
      <c r="J114">
        <f>ROUND(272*$B$1,0)</f>
        <v/>
      </c>
      <c r="K114">
        <f>ROUND(295*$B$1,0)</f>
        <v/>
      </c>
      <c r="L114">
        <f>SUM(D114:K114)</f>
        <v/>
      </c>
    </row>
    <row r="115">
      <c r="A115" t="inlineStr">
        <is>
          <t>MANYO</t>
        </is>
      </c>
      <c r="B115" t="inlineStr">
        <is>
          <t>198156472</t>
        </is>
      </c>
      <c r="C115" t="inlineStr">
        <is>
          <t>Manyo_Galac_Vita_Serum</t>
        </is>
      </c>
      <c r="D115">
        <f>ROUND(261*$B$1,0)</f>
        <v/>
      </c>
      <c r="E115">
        <f>ROUND(212*$B$1,0)</f>
        <v/>
      </c>
      <c r="F115">
        <f>ROUND(212*$B$1,0)</f>
        <v/>
      </c>
      <c r="G115">
        <f>ROUND(212*$B$1,0)</f>
        <v/>
      </c>
      <c r="H115">
        <f>ROUND(257*$B$1,0)</f>
        <v/>
      </c>
      <c r="I115">
        <f>ROUND(264*$B$1,0)</f>
        <v/>
      </c>
      <c r="J115">
        <f>ROUND(214*$B$1,0)</f>
        <v/>
      </c>
      <c r="K115">
        <f>ROUND(232*$B$1,0)</f>
        <v/>
      </c>
      <c r="L115">
        <f>SUM(D115:K115)</f>
        <v/>
      </c>
    </row>
    <row r="116">
      <c r="A116" t="inlineStr">
        <is>
          <t>MANYO</t>
        </is>
      </c>
      <c r="B116" t="inlineStr">
        <is>
          <t>198156698</t>
        </is>
      </c>
      <c r="C116" t="inlineStr">
        <is>
          <t>Manyo_Pure_Cleansing_Oil</t>
        </is>
      </c>
      <c r="D116">
        <f>ROUND(190*$B$1,0)</f>
        <v/>
      </c>
      <c r="E116">
        <f>ROUND(154*$B$1,0)</f>
        <v/>
      </c>
      <c r="F116">
        <f>ROUND(154*$B$1,0)</f>
        <v/>
      </c>
      <c r="G116">
        <f>ROUND(154*$B$1,0)</f>
        <v/>
      </c>
      <c r="H116">
        <f>ROUND(186*$B$1,0)</f>
        <v/>
      </c>
      <c r="I116">
        <f>ROUND(191*$B$1,0)</f>
        <v/>
      </c>
      <c r="J116">
        <f>ROUND(155*$B$1,0)</f>
        <v/>
      </c>
      <c r="K116">
        <f>ROUND(168*$B$1,0)</f>
        <v/>
      </c>
      <c r="L116">
        <f>SUM(D116:K116)</f>
        <v/>
      </c>
    </row>
    <row r="117">
      <c r="A117" t="inlineStr">
        <is>
          <t>MANYO</t>
        </is>
      </c>
      <c r="B117" t="inlineStr">
        <is>
          <t>198147185</t>
        </is>
      </c>
      <c r="C117" t="inlineStr">
        <is>
          <t>Manyo_Complex_Ampoule</t>
        </is>
      </c>
      <c r="D117">
        <f>ROUND(180*$B$1,0)</f>
        <v/>
      </c>
      <c r="E117">
        <f>ROUND(146*$B$1,0)</f>
        <v/>
      </c>
      <c r="F117">
        <f>ROUND(146*$B$1,0)</f>
        <v/>
      </c>
      <c r="G117">
        <f>ROUND(146*$B$1,0)</f>
        <v/>
      </c>
      <c r="H117">
        <f>ROUND(177*$B$1,0)</f>
        <v/>
      </c>
      <c r="I117">
        <f>ROUND(182*$B$1,0)</f>
        <v/>
      </c>
      <c r="J117">
        <f>ROUND(148*$B$1,0)</f>
        <v/>
      </c>
      <c r="K117">
        <f>ROUND(160*$B$1,0)</f>
        <v/>
      </c>
      <c r="L117">
        <f>SUM(D117:K117)</f>
        <v/>
      </c>
    </row>
    <row r="118">
      <c r="A118" t="inlineStr">
        <is>
          <t>MANYO</t>
        </is>
      </c>
      <c r="B118" t="inlineStr">
        <is>
          <t>198143251</t>
        </is>
      </c>
      <c r="C118" t="inlineStr">
        <is>
          <t>Manyo_Ampoule_Lotion</t>
        </is>
      </c>
      <c r="D118">
        <f>ROUND(55*$B$1,0)</f>
        <v/>
      </c>
      <c r="E118">
        <f>ROUND(45*$B$1,0)</f>
        <v/>
      </c>
      <c r="F118">
        <f>ROUND(45*$B$1,0)</f>
        <v/>
      </c>
      <c r="G118">
        <f>ROUND(45*$B$1,0)</f>
        <v/>
      </c>
      <c r="H118">
        <f>ROUND(54*$B$1,0)</f>
        <v/>
      </c>
      <c r="I118">
        <f>ROUND(56*$B$1,0)</f>
        <v/>
      </c>
      <c r="J118">
        <f>ROUND(45*$B$1,0)</f>
        <v/>
      </c>
      <c r="K118">
        <f>ROUND(49*$B$1,0)</f>
        <v/>
      </c>
      <c r="L118">
        <f>SUM(D118:K118)</f>
        <v/>
      </c>
    </row>
    <row r="119">
      <c r="A119" t="inlineStr">
        <is>
          <t>MANYO</t>
        </is>
      </c>
      <c r="B119" t="inlineStr">
        <is>
          <t>868575374</t>
        </is>
      </c>
      <c r="C119" t="inlineStr">
        <is>
          <t>MANYO BIFIDA COMPLEX AMPOULE GEL CLEANSER [400ml]</t>
        </is>
      </c>
      <c r="D119">
        <f>ROUND(41*$B$1,0)</f>
        <v/>
      </c>
      <c r="E119">
        <f>ROUND(34*$B$1,0)</f>
        <v/>
      </c>
      <c r="F119">
        <f>ROUND(34*$B$1,0)</f>
        <v/>
      </c>
      <c r="G119">
        <f>ROUND(34*$B$1,0)</f>
        <v/>
      </c>
      <c r="H119">
        <f>ROUND(41*$B$1,0)</f>
        <v/>
      </c>
      <c r="I119">
        <f>ROUND(42*$B$1,0)</f>
        <v/>
      </c>
      <c r="J119">
        <f>ROUND(34*$B$1,0)</f>
        <v/>
      </c>
      <c r="K119">
        <f>ROUND(37*$B$1,0)</f>
        <v/>
      </c>
      <c r="L119">
        <f>SUM(D119:K119)</f>
        <v/>
      </c>
    </row>
    <row r="120">
      <c r="A120" t="inlineStr">
        <is>
          <t>MANYO</t>
        </is>
      </c>
      <c r="B120" t="inlineStr">
        <is>
          <t>868700077</t>
        </is>
      </c>
      <c r="C120" t="inlineStr">
        <is>
          <t>MANYO BIFIDA INFUSION SHOT AMPOULE 1DX [50ml]</t>
        </is>
      </c>
      <c r="D120">
        <f>ROUND(36*$B$1,0)</f>
        <v/>
      </c>
      <c r="E120">
        <f>ROUND(29*$B$1,0)</f>
        <v/>
      </c>
      <c r="F120">
        <f>ROUND(29*$B$1,0)</f>
        <v/>
      </c>
      <c r="G120">
        <f>ROUND(29*$B$1,0)</f>
        <v/>
      </c>
      <c r="H120">
        <f>ROUND(36*$B$1,0)</f>
        <v/>
      </c>
      <c r="I120">
        <f>ROUND(37*$B$1,0)</f>
        <v/>
      </c>
      <c r="J120">
        <f>ROUND(30*$B$1,0)</f>
        <v/>
      </c>
      <c r="K120">
        <f>ROUND(32*$B$1,0)</f>
        <v/>
      </c>
      <c r="L120">
        <f>SUM(D120:K120)</f>
        <v/>
      </c>
    </row>
    <row r="121">
      <c r="A121" t="inlineStr">
        <is>
          <t>PETITFEE</t>
        </is>
      </c>
      <c r="B121" t="inlineStr">
        <is>
          <t>151175877</t>
        </is>
      </c>
      <c r="C121" t="inlineStr">
        <is>
          <t>Petitfee Agave Cooling Hydrogel Eye Mask</t>
        </is>
      </c>
      <c r="D121">
        <f>ROUND(250*$B$1,0)</f>
        <v/>
      </c>
      <c r="E121">
        <f>ROUND(202*$B$1,0)</f>
        <v/>
      </c>
      <c r="F121">
        <f>ROUND(202*$B$1,0)</f>
        <v/>
      </c>
      <c r="G121">
        <f>ROUND(202*$B$1,0)</f>
        <v/>
      </c>
      <c r="H121">
        <f>ROUND(246*$B$1,0)</f>
        <v/>
      </c>
      <c r="I121">
        <f>ROUND(252*$B$1,0)</f>
        <v/>
      </c>
      <c r="J121">
        <f>ROUND(205*$B$1,0)</f>
        <v/>
      </c>
      <c r="K121">
        <f>ROUND(222*$B$1,0)</f>
        <v/>
      </c>
      <c r="L121">
        <f>SUM(D121:K121)</f>
        <v/>
      </c>
    </row>
    <row r="122">
      <c r="A122" t="inlineStr">
        <is>
          <t>PETITFEE</t>
        </is>
      </c>
      <c r="B122" t="inlineStr">
        <is>
          <t>151175880</t>
        </is>
      </c>
      <c r="C122" t="inlineStr">
        <is>
          <t>Petitfee Black Pearl &amp; Gold hydrogel Eye Patch</t>
        </is>
      </c>
      <c r="D122">
        <f>ROUND(205*$B$1,0)</f>
        <v/>
      </c>
      <c r="E122">
        <f>ROUND(166*$B$1,0)</f>
        <v/>
      </c>
      <c r="F122">
        <f>ROUND(166*$B$1,0)</f>
        <v/>
      </c>
      <c r="G122">
        <f>ROUND(166*$B$1,0)</f>
        <v/>
      </c>
      <c r="H122">
        <f>ROUND(201*$B$1,0)</f>
        <v/>
      </c>
      <c r="I122">
        <f>ROUND(206*$B$1,0)</f>
        <v/>
      </c>
      <c r="J122">
        <f>ROUND(168*$B$1,0)</f>
        <v/>
      </c>
      <c r="K122">
        <f>ROUND(182*$B$1,0)</f>
        <v/>
      </c>
      <c r="L122">
        <f>SUM(D122:K122)</f>
        <v/>
      </c>
    </row>
    <row r="123">
      <c r="A123" t="inlineStr">
        <is>
          <t>PETITFEE</t>
        </is>
      </c>
      <c r="B123" t="inlineStr">
        <is>
          <t>226115324</t>
        </is>
      </c>
      <c r="C123" t="inlineStr">
        <is>
          <t>PETITFEE - Agave Cooling Hydrogel Face Mask [5pcs]</t>
        </is>
      </c>
      <c r="D123">
        <f>ROUND(190*$B$1,0)</f>
        <v/>
      </c>
      <c r="E123">
        <f>ROUND(154*$B$1,0)</f>
        <v/>
      </c>
      <c r="F123">
        <f>ROUND(154*$B$1,0)</f>
        <v/>
      </c>
      <c r="G123">
        <f>ROUND(154*$B$1,0)</f>
        <v/>
      </c>
      <c r="H123">
        <f>ROUND(187*$B$1,0)</f>
        <v/>
      </c>
      <c r="I123">
        <f>ROUND(192*$B$1,0)</f>
        <v/>
      </c>
      <c r="J123">
        <f>ROUND(156*$B$1,0)</f>
        <v/>
      </c>
      <c r="K123">
        <f>ROUND(169*$B$1,0)</f>
        <v/>
      </c>
      <c r="L123">
        <f>SUM(D123:K123)</f>
        <v/>
      </c>
    </row>
    <row r="124">
      <c r="A124" t="inlineStr">
        <is>
          <t>PETITFEE</t>
        </is>
      </c>
      <c r="B124" t="inlineStr">
        <is>
          <t>226114935</t>
        </is>
      </c>
      <c r="C124" t="inlineStr">
        <is>
          <t>PETITFEE - Gold Hydrogel Mask Pack [5pcs]</t>
        </is>
      </c>
      <c r="D124">
        <f>ROUND(161*$B$1,0)</f>
        <v/>
      </c>
      <c r="E124">
        <f>ROUND(130*$B$1,0)</f>
        <v/>
      </c>
      <c r="F124">
        <f>ROUND(130*$B$1,0)</f>
        <v/>
      </c>
      <c r="G124">
        <f>ROUND(130*$B$1,0)</f>
        <v/>
      </c>
      <c r="H124">
        <f>ROUND(158*$B$1,0)</f>
        <v/>
      </c>
      <c r="I124">
        <f>ROUND(162*$B$1,0)</f>
        <v/>
      </c>
      <c r="J124">
        <f>ROUND(132*$B$1,0)</f>
        <v/>
      </c>
      <c r="K124">
        <f>ROUND(143*$B$1,0)</f>
        <v/>
      </c>
      <c r="L124">
        <f>SUM(D124:K124)</f>
        <v/>
      </c>
    </row>
    <row r="125">
      <c r="A125" t="inlineStr">
        <is>
          <t>PETITFEE</t>
        </is>
      </c>
      <c r="B125" t="inlineStr">
        <is>
          <t>179611278</t>
        </is>
      </c>
      <c r="C125" t="inlineStr">
        <is>
          <t>Petitfee Artichoke Soothing Hydrogel Eye Mask</t>
        </is>
      </c>
      <c r="D125">
        <f>ROUND(146*$B$1,0)</f>
        <v/>
      </c>
      <c r="E125">
        <f>ROUND(118*$B$1,0)</f>
        <v/>
      </c>
      <c r="F125">
        <f>ROUND(118*$B$1,0)</f>
        <v/>
      </c>
      <c r="G125">
        <f>ROUND(118*$B$1,0)</f>
        <v/>
      </c>
      <c r="H125">
        <f>ROUND(144*$B$1,0)</f>
        <v/>
      </c>
      <c r="I125">
        <f>ROUND(147*$B$1,0)</f>
        <v/>
      </c>
      <c r="J125">
        <f>ROUND(120*$B$1,0)</f>
        <v/>
      </c>
      <c r="K125">
        <f>ROUND(130*$B$1,0)</f>
        <v/>
      </c>
      <c r="L125">
        <f>SUM(D125:K125)</f>
        <v/>
      </c>
    </row>
    <row r="126">
      <c r="A126" t="inlineStr">
        <is>
          <t>PETITFEE</t>
        </is>
      </c>
      <c r="B126" t="inlineStr">
        <is>
          <t>226115141</t>
        </is>
      </c>
      <c r="C126" t="inlineStr">
        <is>
          <t>PETITFEE - Gold &amp; Snail Hydrogel Mask Pack [5pcs]</t>
        </is>
      </c>
      <c r="D126">
        <f>ROUND(145*$B$1,0)</f>
        <v/>
      </c>
      <c r="E126">
        <f>ROUND(118*$B$1,0)</f>
        <v/>
      </c>
      <c r="F126">
        <f>ROUND(118*$B$1,0)</f>
        <v/>
      </c>
      <c r="G126">
        <f>ROUND(118*$B$1,0)</f>
        <v/>
      </c>
      <c r="H126">
        <f>ROUND(143*$B$1,0)</f>
        <v/>
      </c>
      <c r="I126">
        <f>ROUND(147*$B$1,0)</f>
        <v/>
      </c>
      <c r="J126">
        <f>ROUND(119*$B$1,0)</f>
        <v/>
      </c>
      <c r="K126">
        <f>ROUND(129*$B$1,0)</f>
        <v/>
      </c>
      <c r="L126">
        <f>SUM(D126:K126)</f>
        <v/>
      </c>
    </row>
    <row r="127">
      <c r="A127" t="inlineStr">
        <is>
          <t>PETITFEE</t>
        </is>
      </c>
      <c r="B127" t="inlineStr">
        <is>
          <t>226117746</t>
        </is>
      </c>
      <c r="C127" t="inlineStr">
        <is>
          <t>PETITFEE - Chamomile Lightening Hydrogel Mask Pack [5pc</t>
        </is>
      </c>
      <c r="D127">
        <f>ROUND(126*$B$1,0)</f>
        <v/>
      </c>
      <c r="E127">
        <f>ROUND(102*$B$1,0)</f>
        <v/>
      </c>
      <c r="F127">
        <f>ROUND(102*$B$1,0)</f>
        <v/>
      </c>
      <c r="G127">
        <f>ROUND(102*$B$1,0)</f>
        <v/>
      </c>
      <c r="H127">
        <f>ROUND(124*$B$1,0)</f>
        <v/>
      </c>
      <c r="I127">
        <f>ROUND(127*$B$1,0)</f>
        <v/>
      </c>
      <c r="J127">
        <f>ROUND(103*$B$1,0)</f>
        <v/>
      </c>
      <c r="K127">
        <f>ROUND(112*$B$1,0)</f>
        <v/>
      </c>
      <c r="L127">
        <f>SUM(D127:K127)</f>
        <v/>
      </c>
    </row>
    <row r="128">
      <c r="A128" t="inlineStr">
        <is>
          <t>PETITFEE</t>
        </is>
      </c>
      <c r="B128" t="inlineStr">
        <is>
          <t>226115248</t>
        </is>
      </c>
      <c r="C128" t="inlineStr">
        <is>
          <t>PETITFEE - Cacao Energizing Hydrogel Mask Pack [5pcs]</t>
        </is>
      </c>
      <c r="D128">
        <f>ROUND(123*$B$1,0)</f>
        <v/>
      </c>
      <c r="E128">
        <f>ROUND(100*$B$1,0)</f>
        <v/>
      </c>
      <c r="F128">
        <f>ROUND(100*$B$1,0)</f>
        <v/>
      </c>
      <c r="G128">
        <f>ROUND(100*$B$1,0)</f>
        <v/>
      </c>
      <c r="H128">
        <f>ROUND(121*$B$1,0)</f>
        <v/>
      </c>
      <c r="I128">
        <f>ROUND(124*$B$1,0)</f>
        <v/>
      </c>
      <c r="J128">
        <f>ROUND(101*$B$1,0)</f>
        <v/>
      </c>
      <c r="K128">
        <f>ROUND(109*$B$1,0)</f>
        <v/>
      </c>
      <c r="L128">
        <f>SUM(D128:K128)</f>
        <v/>
      </c>
    </row>
    <row r="129">
      <c r="A129" t="inlineStr">
        <is>
          <t>PETITFEE</t>
        </is>
      </c>
      <c r="B129" t="inlineStr">
        <is>
          <t>179611207</t>
        </is>
      </c>
      <c r="C129" t="inlineStr">
        <is>
          <t>Petitfee GOLD &amp; SNAIL HYDROGEL EYE PATCH</t>
        </is>
      </c>
      <c r="D129">
        <f>ROUND(122*$B$1,0)</f>
        <v/>
      </c>
      <c r="E129">
        <f>ROUND(99*$B$1,0)</f>
        <v/>
      </c>
      <c r="F129">
        <f>ROUND(99*$B$1,0)</f>
        <v/>
      </c>
      <c r="G129">
        <f>ROUND(99*$B$1,0)</f>
        <v/>
      </c>
      <c r="H129">
        <f>ROUND(120*$B$1,0)</f>
        <v/>
      </c>
      <c r="I129">
        <f>ROUND(123*$B$1,0)</f>
        <v/>
      </c>
      <c r="J129">
        <f>ROUND(100*$B$1,0)</f>
        <v/>
      </c>
      <c r="K129">
        <f>ROUND(109*$B$1,0)</f>
        <v/>
      </c>
      <c r="L129">
        <f>SUM(D129:K129)</f>
        <v/>
      </c>
    </row>
    <row r="130">
      <c r="A130" t="inlineStr">
        <is>
          <t>PETITFEE</t>
        </is>
      </c>
      <c r="B130" t="inlineStr">
        <is>
          <t>226115478</t>
        </is>
      </c>
      <c r="C130" t="inlineStr">
        <is>
          <t>PETITFEE - Black Pearl &amp; Gold Hydrogel Mask Pack [5pcs]</t>
        </is>
      </c>
      <c r="D130">
        <f>ROUND(103*$B$1,0)</f>
        <v/>
      </c>
      <c r="E130">
        <f>ROUND(84*$B$1,0)</f>
        <v/>
      </c>
      <c r="F130">
        <f>ROUND(84*$B$1,0)</f>
        <v/>
      </c>
      <c r="G130">
        <f>ROUND(84*$B$1,0)</f>
        <v/>
      </c>
      <c r="H130">
        <f>ROUND(102*$B$1,0)</f>
        <v/>
      </c>
      <c r="I130">
        <f>ROUND(104*$B$1,0)</f>
        <v/>
      </c>
      <c r="J130">
        <f>ROUND(85*$B$1,0)</f>
        <v/>
      </c>
      <c r="K130">
        <f>ROUND(92*$B$1,0)</f>
        <v/>
      </c>
      <c r="L130">
        <f>SUM(D130:K130)</f>
        <v/>
      </c>
    </row>
    <row r="131">
      <c r="A131" t="inlineStr">
        <is>
          <t>PETITFEE</t>
        </is>
      </c>
      <c r="B131" t="inlineStr">
        <is>
          <t>180988755</t>
        </is>
      </c>
      <c r="C131" t="inlineStr">
        <is>
          <t>Petitfee B-Glucan Deep Firming Eye Mask</t>
        </is>
      </c>
      <c r="D131">
        <f>ROUND(93*$B$1,0)</f>
        <v/>
      </c>
      <c r="E131">
        <f>ROUND(75*$B$1,0)</f>
        <v/>
      </c>
      <c r="F131">
        <f>ROUND(75*$B$1,0)</f>
        <v/>
      </c>
      <c r="G131">
        <f>ROUND(75*$B$1,0)</f>
        <v/>
      </c>
      <c r="H131">
        <f>ROUND(92*$B$1,0)</f>
        <v/>
      </c>
      <c r="I131">
        <f>ROUND(94*$B$1,0)</f>
        <v/>
      </c>
      <c r="J131">
        <f>ROUND(76*$B$1,0)</f>
        <v/>
      </c>
      <c r="K131">
        <f>ROUND(83*$B$1,0)</f>
        <v/>
      </c>
      <c r="L131">
        <f>SUM(D131:K131)</f>
        <v/>
      </c>
    </row>
    <row r="132">
      <c r="A132" t="inlineStr">
        <is>
          <t>PETITFEE</t>
        </is>
      </c>
      <c r="B132" t="inlineStr">
        <is>
          <t>226114831</t>
        </is>
      </c>
      <c r="C132" t="inlineStr">
        <is>
          <t>PETITFEE - Artichoke Soothing Hydrogel Face Mask [5pcs]</t>
        </is>
      </c>
      <c r="D132">
        <f>ROUND(91*$B$1,0)</f>
        <v/>
      </c>
      <c r="E132">
        <f>ROUND(74*$B$1,0)</f>
        <v/>
      </c>
      <c r="F132">
        <f>ROUND(74*$B$1,0)</f>
        <v/>
      </c>
      <c r="G132">
        <f>ROUND(74*$B$1,0)</f>
        <v/>
      </c>
      <c r="H132">
        <f>ROUND(90*$B$1,0)</f>
        <v/>
      </c>
      <c r="I132">
        <f>ROUND(92*$B$1,0)</f>
        <v/>
      </c>
      <c r="J132">
        <f>ROUND(75*$B$1,0)</f>
        <v/>
      </c>
      <c r="K132">
        <f>ROUND(81*$B$1,0)</f>
        <v/>
      </c>
      <c r="L132">
        <f>SUM(D132:K132)</f>
        <v/>
      </c>
    </row>
    <row r="133">
      <c r="A133" t="inlineStr">
        <is>
          <t>PETITFEE</t>
        </is>
      </c>
      <c r="B133" t="inlineStr">
        <is>
          <t>179611318</t>
        </is>
      </c>
      <c r="C133" t="inlineStr">
        <is>
          <t>Petitfee Chamomile Lightening Hydrogel Eye Mask</t>
        </is>
      </c>
      <c r="D133">
        <f>ROUND(84*$B$1,0)</f>
        <v/>
      </c>
      <c r="E133">
        <f>ROUND(68*$B$1,0)</f>
        <v/>
      </c>
      <c r="F133">
        <f>ROUND(68*$B$1,0)</f>
        <v/>
      </c>
      <c r="G133">
        <f>ROUND(68*$B$1,0)</f>
        <v/>
      </c>
      <c r="H133">
        <f>ROUND(83*$B$1,0)</f>
        <v/>
      </c>
      <c r="I133">
        <f>ROUND(85*$B$1,0)</f>
        <v/>
      </c>
      <c r="J133">
        <f>ROUND(69*$B$1,0)</f>
        <v/>
      </c>
      <c r="K133">
        <f>ROUND(75*$B$1,0)</f>
        <v/>
      </c>
      <c r="L133">
        <f>SUM(D133:K133)</f>
        <v/>
      </c>
    </row>
    <row r="134">
      <c r="A134" t="inlineStr">
        <is>
          <t>PETITFEE</t>
        </is>
      </c>
      <c r="B134" t="inlineStr">
        <is>
          <t>180711104</t>
        </is>
      </c>
      <c r="C134" t="inlineStr">
        <is>
          <t>Petitfee GOLD</t>
        </is>
      </c>
      <c r="D134">
        <f>ROUND(81*$B$1,0)</f>
        <v/>
      </c>
      <c r="E134">
        <f>ROUND(66*$B$1,0)</f>
        <v/>
      </c>
      <c r="F134">
        <f>ROUND(66*$B$1,0)</f>
        <v/>
      </c>
      <c r="G134">
        <f>ROUND(66*$B$1,0)</f>
        <v/>
      </c>
      <c r="H134">
        <f>ROUND(80*$B$1,0)</f>
        <v/>
      </c>
      <c r="I134">
        <f>ROUND(82*$B$1,0)</f>
        <v/>
      </c>
      <c r="J134">
        <f>ROUND(66*$B$1,0)</f>
        <v/>
      </c>
      <c r="K134">
        <f>ROUND(72*$B$1,0)</f>
        <v/>
      </c>
      <c r="L134">
        <f>SUM(D134:K134)</f>
        <v/>
      </c>
    </row>
    <row r="135">
      <c r="A135" t="inlineStr">
        <is>
          <t>PETITFEE</t>
        </is>
      </c>
      <c r="B135" t="inlineStr">
        <is>
          <t>179611231</t>
        </is>
      </c>
      <c r="C135" t="inlineStr">
        <is>
          <t>Petitfee 98% Collagen &amp; CoQ10 Hydro Gel Eye Patch</t>
        </is>
      </c>
      <c r="D135">
        <f>ROUND(44*$B$1,0)</f>
        <v/>
      </c>
      <c r="E135">
        <f>ROUND(35*$B$1,0)</f>
        <v/>
      </c>
      <c r="F135">
        <f>ROUND(35*$B$1,0)</f>
        <v/>
      </c>
      <c r="G135">
        <f>ROUND(35*$B$1,0)</f>
        <v/>
      </c>
      <c r="H135">
        <f>ROUND(43*$B$1,0)</f>
        <v/>
      </c>
      <c r="I135">
        <f>ROUND(44*$B$1,0)</f>
        <v/>
      </c>
      <c r="J135">
        <f>ROUND(36*$B$1,0)</f>
        <v/>
      </c>
      <c r="K135">
        <f>ROUND(39*$B$1,0)</f>
        <v/>
      </c>
      <c r="L135">
        <f>SUM(D135:K135)</f>
        <v/>
      </c>
    </row>
    <row r="136">
      <c r="A136" t="inlineStr">
        <is>
          <t>PETITFEE</t>
        </is>
      </c>
      <c r="B136" t="inlineStr">
        <is>
          <t>180987509</t>
        </is>
      </c>
      <c r="C136" t="inlineStr">
        <is>
          <t>Petitfee Pink Vita Brightening Eye Mask</t>
        </is>
      </c>
      <c r="D136">
        <f>ROUND(27*$B$1,0)</f>
        <v/>
      </c>
      <c r="E136">
        <f>ROUND(22*$B$1,0)</f>
        <v/>
      </c>
      <c r="F136">
        <f>ROUND(22*$B$1,0)</f>
        <v/>
      </c>
      <c r="G136">
        <f>ROUND(22*$B$1,0)</f>
        <v/>
      </c>
      <c r="H136">
        <f>ROUND(26*$B$1,0)</f>
        <v/>
      </c>
      <c r="I136">
        <f>ROUND(27*$B$1,0)</f>
        <v/>
      </c>
      <c r="J136">
        <f>ROUND(22*$B$1,0)</f>
        <v/>
      </c>
      <c r="K136">
        <f>ROUND(24*$B$1,0)</f>
        <v/>
      </c>
      <c r="L136">
        <f>SUM(D136:K136)</f>
        <v/>
      </c>
    </row>
    <row r="137">
      <c r="A137" t="inlineStr">
        <is>
          <t>PETITFEE</t>
        </is>
      </c>
      <c r="B137" t="inlineStr">
        <is>
          <t>180711041</t>
        </is>
      </c>
      <c r="C137" t="inlineStr">
        <is>
          <t>Petitfee EGF</t>
        </is>
      </c>
      <c r="D137">
        <f>ROUND(26*$B$1,0)</f>
        <v/>
      </c>
      <c r="E137">
        <f>ROUND(21*$B$1,0)</f>
        <v/>
      </c>
      <c r="F137">
        <f>ROUND(21*$B$1,0)</f>
        <v/>
      </c>
      <c r="G137">
        <f>ROUND(21*$B$1,0)</f>
        <v/>
      </c>
      <c r="H137">
        <f>ROUND(25*$B$1,0)</f>
        <v/>
      </c>
      <c r="I137">
        <f>ROUND(26*$B$1,0)</f>
        <v/>
      </c>
      <c r="J137">
        <f>ROUND(21*$B$1,0)</f>
        <v/>
      </c>
      <c r="K137">
        <f>ROUND(23*$B$1,0)</f>
        <v/>
      </c>
      <c r="L137">
        <f>SUM(D137:K137)</f>
        <v/>
      </c>
    </row>
    <row r="138">
      <c r="A138" t="inlineStr">
        <is>
          <t>PETITFEE</t>
        </is>
      </c>
      <c r="B138" t="inlineStr">
        <is>
          <t>180992464</t>
        </is>
      </c>
      <c r="C138" t="inlineStr">
        <is>
          <t>PETITFEE Aura Quartz Hydrogel Eye Mask Pure Opal</t>
        </is>
      </c>
      <c r="D138">
        <f>ROUND(24*$B$1,0)</f>
        <v/>
      </c>
      <c r="E138">
        <f>ROUND(19*$B$1,0)</f>
        <v/>
      </c>
      <c r="F138">
        <f>ROUND(19*$B$1,0)</f>
        <v/>
      </c>
      <c r="G138">
        <f>ROUND(19*$B$1,0)</f>
        <v/>
      </c>
      <c r="H138">
        <f>ROUND(23*$B$1,0)</f>
        <v/>
      </c>
      <c r="I138">
        <f>ROUND(24*$B$1,0)</f>
        <v/>
      </c>
      <c r="J138">
        <f>ROUND(19*$B$1,0)</f>
        <v/>
      </c>
      <c r="K138">
        <f>ROUND(21*$B$1,0)</f>
        <v/>
      </c>
      <c r="L138">
        <f>SUM(D138:K138)</f>
        <v/>
      </c>
    </row>
    <row r="139">
      <c r="A139" t="inlineStr">
        <is>
          <t>PETITFEE</t>
        </is>
      </c>
      <c r="B139" t="inlineStr">
        <is>
          <t>664171647</t>
        </is>
      </c>
      <c r="C139" t="inlineStr">
        <is>
          <t>PETITFEE - MASK 6</t>
        </is>
      </c>
      <c r="D139">
        <f>ROUND(16*$B$1,0)</f>
        <v/>
      </c>
      <c r="E139">
        <f>ROUND(13*$B$1,0)</f>
        <v/>
      </c>
      <c r="F139">
        <f>ROUND(13*$B$1,0)</f>
        <v/>
      </c>
      <c r="G139">
        <f>ROUND(13*$B$1,0)</f>
        <v/>
      </c>
      <c r="H139">
        <f>ROUND(16*$B$1,0)</f>
        <v/>
      </c>
      <c r="I139">
        <f>ROUND(17*$B$1,0)</f>
        <v/>
      </c>
      <c r="J139">
        <f>ROUND(14*$B$1,0)</f>
        <v/>
      </c>
      <c r="K139">
        <f>ROUND(15*$B$1,0)</f>
        <v/>
      </c>
      <c r="L139">
        <f>SUM(D139:K139)</f>
        <v/>
      </c>
    </row>
    <row r="140">
      <c r="A140" t="inlineStr">
        <is>
          <t>PETITFEE</t>
        </is>
      </c>
      <c r="B140" t="inlineStr">
        <is>
          <t>179611304</t>
        </is>
      </c>
      <c r="C140" t="inlineStr">
        <is>
          <t>Petitfee Cacao Energizing Hydrogel Eye Patch</t>
        </is>
      </c>
      <c r="D140">
        <f>ROUND(16*$B$1,0)</f>
        <v/>
      </c>
      <c r="E140">
        <f>ROUND(13*$B$1,0)</f>
        <v/>
      </c>
      <c r="F140">
        <f>ROUND(13*$B$1,0)</f>
        <v/>
      </c>
      <c r="G140">
        <f>ROUND(13*$B$1,0)</f>
        <v/>
      </c>
      <c r="H140">
        <f>ROUND(16*$B$1,0)</f>
        <v/>
      </c>
      <c r="I140">
        <f>ROUND(16*$B$1,0)</f>
        <v/>
      </c>
      <c r="J140">
        <f>ROUND(13*$B$1,0)</f>
        <v/>
      </c>
      <c r="K140">
        <f>ROUND(15*$B$1,0)</f>
        <v/>
      </c>
      <c r="L140">
        <f>SUM(D140:K140)</f>
        <v/>
      </c>
    </row>
    <row r="141">
      <c r="A141" t="inlineStr">
        <is>
          <t>PETITFEE</t>
        </is>
      </c>
      <c r="B141" t="inlineStr">
        <is>
          <t>664171648</t>
        </is>
      </c>
      <c r="C141" t="inlineStr">
        <is>
          <t>PETITFEE - MASK 5</t>
        </is>
      </c>
      <c r="D141">
        <f>ROUND(12*$B$1,0)</f>
        <v/>
      </c>
      <c r="E141">
        <f>ROUND(9*$B$1,0)</f>
        <v/>
      </c>
      <c r="F141">
        <f>ROUND(9*$B$1,0)</f>
        <v/>
      </c>
      <c r="G141">
        <f>ROUND(9*$B$1,0)</f>
        <v/>
      </c>
      <c r="H141">
        <f>ROUND(11*$B$1,0)</f>
        <v/>
      </c>
      <c r="I141">
        <f>ROUND(12*$B$1,0)</f>
        <v/>
      </c>
      <c r="J141">
        <f>ROUND(10*$B$1,0)</f>
        <v/>
      </c>
      <c r="K141">
        <f>ROUND(10*$B$1,0)</f>
        <v/>
      </c>
      <c r="L141">
        <f>SUM(D141:K141)</f>
        <v/>
      </c>
    </row>
    <row r="142">
      <c r="A142" t="inlineStr">
        <is>
          <t>PETITFEE</t>
        </is>
      </c>
      <c r="B142" t="inlineStr">
        <is>
          <t>340752919</t>
        </is>
      </c>
      <c r="C142" t="inlineStr">
        <is>
          <t>PETITFEE Black Pearl &amp; Gold Hydrogel Eye Patch/Gold Hyd</t>
        </is>
      </c>
      <c r="D142">
        <f>ROUND(8*$B$1,0)</f>
        <v/>
      </c>
      <c r="E142">
        <f>ROUND(6*$B$1,0)</f>
        <v/>
      </c>
      <c r="F142">
        <f>ROUND(6*$B$1,0)</f>
        <v/>
      </c>
      <c r="G142">
        <f>ROUND(6*$B$1,0)</f>
        <v/>
      </c>
      <c r="H142">
        <f>ROUND(8*$B$1,0)</f>
        <v/>
      </c>
      <c r="I142">
        <f>ROUND(8*$B$1,0)</f>
        <v/>
      </c>
      <c r="J142">
        <f>ROUND(6*$B$1,0)</f>
        <v/>
      </c>
      <c r="K142">
        <f>ROUND(7*$B$1,0)</f>
        <v/>
      </c>
      <c r="L142">
        <f>SUM(D142:K142)</f>
        <v/>
      </c>
    </row>
    <row r="143">
      <c r="A143" t="inlineStr">
        <is>
          <t>ROUND LAB</t>
        </is>
      </c>
      <c r="B143" t="inlineStr">
        <is>
          <t>437154709</t>
        </is>
      </c>
      <c r="C143" t="inlineStr">
        <is>
          <t>ROUND LAB 1025 DOKDO CLEANSER_150ml</t>
        </is>
      </c>
      <c r="D143">
        <f>ROUND(2508*$B$1,0)</f>
        <v/>
      </c>
      <c r="E143">
        <f>ROUND(2031*$B$1,0)</f>
        <v/>
      </c>
      <c r="F143">
        <f>ROUND(2031*$B$1,0)</f>
        <v/>
      </c>
      <c r="G143">
        <f>ROUND(2031*$B$1,0)</f>
        <v/>
      </c>
      <c r="H143">
        <f>ROUND(2466*$B$1,0)</f>
        <v/>
      </c>
      <c r="I143">
        <f>ROUND(2529*$B$1,0)</f>
        <v/>
      </c>
      <c r="J143">
        <f>ROUND(2054*$B$1,0)</f>
        <v/>
      </c>
      <c r="K143">
        <f>ROUND(2228*$B$1,0)</f>
        <v/>
      </c>
      <c r="L143">
        <f>SUM(D143:K143)</f>
        <v/>
      </c>
    </row>
    <row r="144">
      <c r="A144" t="inlineStr">
        <is>
          <t>ROUND LAB</t>
        </is>
      </c>
      <c r="B144" t="inlineStr">
        <is>
          <t>437231408</t>
        </is>
      </c>
      <c r="C144" t="inlineStr">
        <is>
          <t>ROUND LAB BIRCH JUICE MOISTURIZING SUNSCREEN_50ml</t>
        </is>
      </c>
      <c r="D144">
        <f>ROUND(478*$B$1,0)</f>
        <v/>
      </c>
      <c r="E144">
        <f>ROUND(387*$B$1,0)</f>
        <v/>
      </c>
      <c r="F144">
        <f>ROUND(387*$B$1,0)</f>
        <v/>
      </c>
      <c r="G144">
        <f>ROUND(387*$B$1,0)</f>
        <v/>
      </c>
      <c r="H144">
        <f>ROUND(470*$B$1,0)</f>
        <v/>
      </c>
      <c r="I144">
        <f>ROUND(482*$B$1,0)</f>
        <v/>
      </c>
      <c r="J144">
        <f>ROUND(391*$B$1,0)</f>
        <v/>
      </c>
      <c r="K144">
        <f>ROUND(424*$B$1,0)</f>
        <v/>
      </c>
      <c r="L144">
        <f>SUM(D144:K144)</f>
        <v/>
      </c>
    </row>
    <row r="145">
      <c r="A145" t="inlineStr">
        <is>
          <t>ROUND LAB</t>
        </is>
      </c>
      <c r="B145" t="inlineStr">
        <is>
          <t>437845041</t>
        </is>
      </c>
      <c r="C145" t="inlineStr">
        <is>
          <t>ROUND LAB VITA NIACINAMIDE DARK SPOT CREAM 50ml</t>
        </is>
      </c>
      <c r="D145">
        <f>ROUND(111*$B$1,0)</f>
        <v/>
      </c>
      <c r="E145">
        <f>ROUND(90*$B$1,0)</f>
        <v/>
      </c>
      <c r="F145">
        <f>ROUND(90*$B$1,0)</f>
        <v/>
      </c>
      <c r="G145">
        <f>ROUND(90*$B$1,0)</f>
        <v/>
      </c>
      <c r="H145">
        <f>ROUND(109*$B$1,0)</f>
        <v/>
      </c>
      <c r="I145">
        <f>ROUND(111*$B$1,0)</f>
        <v/>
      </c>
      <c r="J145">
        <f>ROUND(91*$B$1,0)</f>
        <v/>
      </c>
      <c r="K145">
        <f>ROUND(98*$B$1,0)</f>
        <v/>
      </c>
      <c r="L145">
        <f>SUM(D145:K145)</f>
        <v/>
      </c>
    </row>
    <row r="146">
      <c r="A146" t="inlineStr">
        <is>
          <t>ROUND LAB</t>
        </is>
      </c>
      <c r="B146" t="inlineStr">
        <is>
          <t>437242640</t>
        </is>
      </c>
      <c r="C146" t="inlineStr">
        <is>
          <t>ROUND LAB MUGWORT CALMING CLEANSER_150ml</t>
        </is>
      </c>
      <c r="D146">
        <f>ROUND(104*$B$1,0)</f>
        <v/>
      </c>
      <c r="E146">
        <f>ROUND(84*$B$1,0)</f>
        <v/>
      </c>
      <c r="F146">
        <f>ROUND(84*$B$1,0)</f>
        <v/>
      </c>
      <c r="G146">
        <f>ROUND(84*$B$1,0)</f>
        <v/>
      </c>
      <c r="H146">
        <f>ROUND(102*$B$1,0)</f>
        <v/>
      </c>
      <c r="I146">
        <f>ROUND(105*$B$1,0)</f>
        <v/>
      </c>
      <c r="J146">
        <f>ROUND(85*$B$1,0)</f>
        <v/>
      </c>
      <c r="K146">
        <f>ROUND(93*$B$1,0)</f>
        <v/>
      </c>
      <c r="L146">
        <f>SUM(D146:K146)</f>
        <v/>
      </c>
    </row>
    <row r="147">
      <c r="A147" t="inlineStr">
        <is>
          <t>ROUND LAB</t>
        </is>
      </c>
      <c r="B147" t="inlineStr">
        <is>
          <t>437797551</t>
        </is>
      </c>
      <c r="C147" t="inlineStr">
        <is>
          <t>ROUND LAB VITA NIACINAMIDE DARK SPOT SERUM 30ml</t>
        </is>
      </c>
      <c r="D147">
        <f>ROUND(81*$B$1,0)</f>
        <v/>
      </c>
      <c r="E147">
        <f>ROUND(66*$B$1,0)</f>
        <v/>
      </c>
      <c r="F147">
        <f>ROUND(66*$B$1,0)</f>
        <v/>
      </c>
      <c r="G147">
        <f>ROUND(66*$B$1,0)</f>
        <v/>
      </c>
      <c r="H147">
        <f>ROUND(80*$B$1,0)</f>
        <v/>
      </c>
      <c r="I147">
        <f>ROUND(82*$B$1,0)</f>
        <v/>
      </c>
      <c r="J147">
        <f>ROUND(67*$B$1,0)</f>
        <v/>
      </c>
      <c r="K147">
        <f>ROUND(72*$B$1,0)</f>
        <v/>
      </c>
      <c r="L147">
        <f>SUM(D147:K147)</f>
        <v/>
      </c>
    </row>
    <row r="148">
      <c r="A148" t="inlineStr">
        <is>
          <t>ROUND LAB</t>
        </is>
      </c>
      <c r="B148" t="inlineStr">
        <is>
          <t>437776835</t>
        </is>
      </c>
      <c r="C148" t="inlineStr">
        <is>
          <t>ROUND LAB PINE CALMING CICA AMPOULE_30ml</t>
        </is>
      </c>
      <c r="D148">
        <f>ROUND(60*$B$1,0)</f>
        <v/>
      </c>
      <c r="E148">
        <f>ROUND(49*$B$1,0)</f>
        <v/>
      </c>
      <c r="F148">
        <f>ROUND(49*$B$1,0)</f>
        <v/>
      </c>
      <c r="G148">
        <f>ROUND(49*$B$1,0)</f>
        <v/>
      </c>
      <c r="H148">
        <f>ROUND(59*$B$1,0)</f>
        <v/>
      </c>
      <c r="I148">
        <f>ROUND(61*$B$1,0)</f>
        <v/>
      </c>
      <c r="J148">
        <f>ROUND(49*$B$1,0)</f>
        <v/>
      </c>
      <c r="K148">
        <f>ROUND(53*$B$1,0)</f>
        <v/>
      </c>
      <c r="L148">
        <f>SUM(D148:K148)</f>
        <v/>
      </c>
    </row>
    <row r="149">
      <c r="A149" t="inlineStr">
        <is>
          <t>ROUND LAB</t>
        </is>
      </c>
      <c r="B149" t="inlineStr">
        <is>
          <t>437203627</t>
        </is>
      </c>
      <c r="C149" t="inlineStr">
        <is>
          <t>ROUND LAB BIRCH JUICE MOISTURIZING CLEANSER_150ml</t>
        </is>
      </c>
      <c r="D149">
        <f>ROUND(59*$B$1,0)</f>
        <v/>
      </c>
      <c r="E149">
        <f>ROUND(48*$B$1,0)</f>
        <v/>
      </c>
      <c r="F149">
        <f>ROUND(48*$B$1,0)</f>
        <v/>
      </c>
      <c r="G149">
        <f>ROUND(48*$B$1,0)</f>
        <v/>
      </c>
      <c r="H149">
        <f>ROUND(58*$B$1,0)</f>
        <v/>
      </c>
      <c r="I149">
        <f>ROUND(60*$B$1,0)</f>
        <v/>
      </c>
      <c r="J149">
        <f>ROUND(48*$B$1,0)</f>
        <v/>
      </c>
      <c r="K149">
        <f>ROUND(52*$B$1,0)</f>
        <v/>
      </c>
      <c r="L149">
        <f>SUM(D149:K149)</f>
        <v/>
      </c>
    </row>
    <row r="150">
      <c r="A150" t="inlineStr">
        <is>
          <t>ROUND LAB</t>
        </is>
      </c>
      <c r="B150" t="inlineStr">
        <is>
          <t>437248870</t>
        </is>
      </c>
      <c r="C150" t="inlineStr">
        <is>
          <t>ROUND LAB MUGWORT CALMING SOOTHING GEL_150ml</t>
        </is>
      </c>
      <c r="D150">
        <f>ROUND(41*$B$1,0)</f>
        <v/>
      </c>
      <c r="E150">
        <f>ROUND(33*$B$1,0)</f>
        <v/>
      </c>
      <c r="F150">
        <f>ROUND(33*$B$1,0)</f>
        <v/>
      </c>
      <c r="G150">
        <f>ROUND(33*$B$1,0)</f>
        <v/>
      </c>
      <c r="H150">
        <f>ROUND(40*$B$1,0)</f>
        <v/>
      </c>
      <c r="I150">
        <f>ROUND(41*$B$1,0)</f>
        <v/>
      </c>
      <c r="J150">
        <f>ROUND(33*$B$1,0)</f>
        <v/>
      </c>
      <c r="K150">
        <f>ROUND(36*$B$1,0)</f>
        <v/>
      </c>
      <c r="L150">
        <f>SUM(D150:K150)</f>
        <v/>
      </c>
    </row>
    <row r="151">
      <c r="A151" t="inlineStr">
        <is>
          <t>ROUND LAB</t>
        </is>
      </c>
      <c r="B151" t="inlineStr">
        <is>
          <t>437190353</t>
        </is>
      </c>
      <c r="C151" t="inlineStr">
        <is>
          <t>ROUND LAB BIRCH JUICE MOISTURIZING CREAM_80ml</t>
        </is>
      </c>
      <c r="D151">
        <f>ROUND(36*$B$1,0)</f>
        <v/>
      </c>
      <c r="E151">
        <f>ROUND(30*$B$1,0)</f>
        <v/>
      </c>
      <c r="F151">
        <f>ROUND(30*$B$1,0)</f>
        <v/>
      </c>
      <c r="G151">
        <f>ROUND(30*$B$1,0)</f>
        <v/>
      </c>
      <c r="H151">
        <f>ROUND(36*$B$1,0)</f>
        <v/>
      </c>
      <c r="I151">
        <f>ROUND(37*$B$1,0)</f>
        <v/>
      </c>
      <c r="J151">
        <f>ROUND(30*$B$1,0)</f>
        <v/>
      </c>
      <c r="K151">
        <f>ROUND(32*$B$1,0)</f>
        <v/>
      </c>
      <c r="L151">
        <f>SUM(D151:K151)</f>
        <v/>
      </c>
    </row>
    <row r="152">
      <c r="A152" t="inlineStr">
        <is>
          <t>ROUND LAB</t>
        </is>
      </c>
      <c r="B152" t="inlineStr">
        <is>
          <t>437254254</t>
        </is>
      </c>
      <c r="C152" t="inlineStr">
        <is>
          <t>ROUND LAB SOYBEAN PANTHENOL CREAM_80ml</t>
        </is>
      </c>
      <c r="D152">
        <f>ROUND(33*$B$1,0)</f>
        <v/>
      </c>
      <c r="E152">
        <f>ROUND(27*$B$1,0)</f>
        <v/>
      </c>
      <c r="F152">
        <f>ROUND(27*$B$1,0)</f>
        <v/>
      </c>
      <c r="G152">
        <f>ROUND(27*$B$1,0)</f>
        <v/>
      </c>
      <c r="H152">
        <f>ROUND(32*$B$1,0)</f>
        <v/>
      </c>
      <c r="I152">
        <f>ROUND(33*$B$1,0)</f>
        <v/>
      </c>
      <c r="J152">
        <f>ROUND(27*$B$1,0)</f>
        <v/>
      </c>
      <c r="K152">
        <f>ROUND(29*$B$1,0)</f>
        <v/>
      </c>
      <c r="L152">
        <f>SUM(D152:K152)</f>
        <v/>
      </c>
    </row>
    <row r="153">
      <c r="A153" t="inlineStr">
        <is>
          <t>ROUND LAB</t>
        </is>
      </c>
      <c r="B153" t="inlineStr">
        <is>
          <t>437850261</t>
        </is>
      </c>
      <c r="C153" t="inlineStr">
        <is>
          <t>ROUND LAB SOYBEAN CLEANSING OIL_200ml</t>
        </is>
      </c>
      <c r="D153">
        <f>ROUND(28*$B$1,0)</f>
        <v/>
      </c>
      <c r="E153">
        <f>ROUND(22*$B$1,0)</f>
        <v/>
      </c>
      <c r="F153">
        <f>ROUND(22*$B$1,0)</f>
        <v/>
      </c>
      <c r="G153">
        <f>ROUND(22*$B$1,0)</f>
        <v/>
      </c>
      <c r="H153">
        <f>ROUND(27*$B$1,0)</f>
        <v/>
      </c>
      <c r="I153">
        <f>ROUND(28*$B$1,0)</f>
        <v/>
      </c>
      <c r="J153">
        <f>ROUND(23*$B$1,0)</f>
        <v/>
      </c>
      <c r="K153">
        <f>ROUND(25*$B$1,0)</f>
        <v/>
      </c>
      <c r="L153">
        <f>SUM(D153:K153)</f>
        <v/>
      </c>
    </row>
    <row r="154">
      <c r="A154" t="inlineStr">
        <is>
          <t>SKIN1004</t>
        </is>
      </c>
      <c r="B154" t="inlineStr">
        <is>
          <t>214311963</t>
        </is>
      </c>
      <c r="C154" t="inlineStr">
        <is>
          <t>SKIN1004 - Madagascar Centella Ampoule [30ml]</t>
        </is>
      </c>
      <c r="D154">
        <f>ROUND(21*$B$1,0)</f>
        <v/>
      </c>
      <c r="E154">
        <f>ROUND(17*$B$1,0)</f>
        <v/>
      </c>
      <c r="F154">
        <f>ROUND(17*$B$1,0)</f>
        <v/>
      </c>
      <c r="G154">
        <f>ROUND(17*$B$1,0)</f>
        <v/>
      </c>
      <c r="H154">
        <f>ROUND(21*$B$1,0)</f>
        <v/>
      </c>
      <c r="I154">
        <f>ROUND(21*$B$1,0)</f>
        <v/>
      </c>
      <c r="J154">
        <f>ROUND(17*$B$1,0)</f>
        <v/>
      </c>
      <c r="K154">
        <f>ROUND(19*$B$1,0)</f>
        <v/>
      </c>
      <c r="L154">
        <f>SUM(D154:K154)</f>
        <v/>
      </c>
    </row>
    <row r="155">
      <c r="A155" t="inlineStr">
        <is>
          <t>SKIN1004</t>
        </is>
      </c>
      <c r="B155" t="inlineStr">
        <is>
          <t>214312149</t>
        </is>
      </c>
      <c r="C155" t="inlineStr">
        <is>
          <t>SKIN1004 - Madagascar Centella Hyalu-Cica Sleeping Pack</t>
        </is>
      </c>
      <c r="D155">
        <f>ROUND(6*$B$1,0)</f>
        <v/>
      </c>
      <c r="E155">
        <f>ROUND(5*$B$1,0)</f>
        <v/>
      </c>
      <c r="F155">
        <f>ROUND(5*$B$1,0)</f>
        <v/>
      </c>
      <c r="G155">
        <f>ROUND(5*$B$1,0)</f>
        <v/>
      </c>
      <c r="H155">
        <f>ROUND(6*$B$1,0)</f>
        <v/>
      </c>
      <c r="I155">
        <f>ROUND(6*$B$1,0)</f>
        <v/>
      </c>
      <c r="J155">
        <f>ROUND(5*$B$1,0)</f>
        <v/>
      </c>
      <c r="K155">
        <f>ROUND(6*$B$1,0)</f>
        <v/>
      </c>
      <c r="L155">
        <f>SUM(D155:K155)</f>
        <v/>
      </c>
    </row>
    <row r="156">
      <c r="A156" t="inlineStr">
        <is>
          <t>SOME BY MI</t>
        </is>
      </c>
      <c r="B156" t="inlineStr">
        <is>
          <t>248928555</t>
        </is>
      </c>
      <c r="C156" t="inlineStr">
        <is>
          <t>SOME BY MI - AHA-BHA-PHA 30 Days Miracle Acne Clear Bod</t>
        </is>
      </c>
      <c r="D156">
        <f>ROUND(14*$B$1,0)</f>
        <v/>
      </c>
      <c r="E156">
        <f>ROUND(11*$B$1,0)</f>
        <v/>
      </c>
      <c r="F156">
        <f>ROUND(11*$B$1,0)</f>
        <v/>
      </c>
      <c r="G156">
        <f>ROUND(11*$B$1,0)</f>
        <v/>
      </c>
      <c r="H156">
        <f>ROUND(14*$B$1,0)</f>
        <v/>
      </c>
      <c r="I156">
        <f>ROUND(14*$B$1,0)</f>
        <v/>
      </c>
      <c r="J156">
        <f>ROUND(12*$B$1,0)</f>
        <v/>
      </c>
      <c r="K156">
        <f>ROUND(12*$B$1,0)</f>
        <v/>
      </c>
      <c r="L156">
        <f>SUM(D156:K156)</f>
        <v/>
      </c>
    </row>
    <row r="157">
      <c r="A157" t="inlineStr">
        <is>
          <t>SOME BY MI</t>
        </is>
      </c>
      <c r="B157" t="inlineStr">
        <is>
          <t>248929125</t>
        </is>
      </c>
      <c r="C157" t="inlineStr">
        <is>
          <t>SOME BY MI - AHA-BHA-PHA 30 Days Miracle Cream [60g]</t>
        </is>
      </c>
      <c r="D157">
        <f>ROUND(9*$B$1,0)</f>
        <v/>
      </c>
      <c r="E157">
        <f>ROUND(7*$B$1,0)</f>
        <v/>
      </c>
      <c r="F157">
        <f>ROUND(7*$B$1,0)</f>
        <v/>
      </c>
      <c r="G157">
        <f>ROUND(7*$B$1,0)</f>
        <v/>
      </c>
      <c r="H157">
        <f>ROUND(9*$B$1,0)</f>
        <v/>
      </c>
      <c r="I157">
        <f>ROUND(9*$B$1,0)</f>
        <v/>
      </c>
      <c r="J157">
        <f>ROUND(7*$B$1,0)</f>
        <v/>
      </c>
      <c r="K157">
        <f>ROUND(8*$B$1,0)</f>
        <v/>
      </c>
      <c r="L157">
        <f>SUM(D157:K157)</f>
        <v/>
      </c>
    </row>
    <row r="158">
      <c r="A158" t="inlineStr">
        <is>
          <t>THE ORDINARY</t>
        </is>
      </c>
      <c r="B158" t="inlineStr">
        <is>
          <t>214312385</t>
        </is>
      </c>
      <c r="C158" t="inlineStr">
        <is>
          <t>THE ORDINARY - Argireline Solution 10% [30ml]</t>
        </is>
      </c>
      <c r="D158">
        <f>ROUND(30*$B$1,0)</f>
        <v/>
      </c>
      <c r="E158">
        <f>ROUND(25*$B$1,0)</f>
        <v/>
      </c>
      <c r="F158">
        <f>ROUND(25*$B$1,0)</f>
        <v/>
      </c>
      <c r="G158">
        <f>ROUND(25*$B$1,0)</f>
        <v/>
      </c>
      <c r="H158">
        <f>ROUND(30*$B$1,0)</f>
        <v/>
      </c>
      <c r="I158">
        <f>ROUND(31*$B$1,0)</f>
        <v/>
      </c>
      <c r="J158">
        <f>ROUND(25*$B$1,0)</f>
        <v/>
      </c>
      <c r="K158">
        <f>ROUND(27*$B$1,0)</f>
        <v/>
      </c>
      <c r="L158">
        <f>SUM(D158:K158)</f>
        <v/>
      </c>
    </row>
    <row r="159">
      <c r="A159" t="inlineStr">
        <is>
          <t>THE ORDINARY</t>
        </is>
      </c>
      <c r="B159" t="inlineStr">
        <is>
          <t>247275092</t>
        </is>
      </c>
      <c r="C159" t="inlineStr">
        <is>
          <t>THE ORDINARY - Glycolic Acid 7% Toning Solution[KOR] [2</t>
        </is>
      </c>
      <c r="D159">
        <f>ROUND(9*$B$1,0)</f>
        <v/>
      </c>
      <c r="E159">
        <f>ROUND(8*$B$1,0)</f>
        <v/>
      </c>
      <c r="F159">
        <f>ROUND(8*$B$1,0)</f>
        <v/>
      </c>
      <c r="G159">
        <f>ROUND(8*$B$1,0)</f>
        <v/>
      </c>
      <c r="H159">
        <f>ROUND(9*$B$1,0)</f>
        <v/>
      </c>
      <c r="I159">
        <f>ROUND(9*$B$1,0)</f>
        <v/>
      </c>
      <c r="J159">
        <f>ROUND(8*$B$1,0)</f>
        <v/>
      </c>
      <c r="K159">
        <f>ROUND(8*$B$1,0)</f>
        <v/>
      </c>
      <c r="L159">
        <f>SUM(D159:K159)</f>
        <v/>
      </c>
    </row>
    <row r="160">
      <c r="A160" t="inlineStr">
        <is>
          <t>ПРОЧЕЕ</t>
        </is>
      </c>
      <c r="B160" t="inlineStr">
        <is>
          <t>214312837</t>
        </is>
      </c>
      <c r="C160" t="inlineStr">
        <is>
          <t>THE SAEM Saemmul Perfect Curling Mascara [8ml]</t>
        </is>
      </c>
      <c r="D160">
        <f>ROUND(172*$B$1,0)</f>
        <v/>
      </c>
      <c r="E160">
        <f>ROUND(139*$B$1,0)</f>
        <v/>
      </c>
      <c r="F160">
        <f>ROUND(139*$B$1,0)</f>
        <v/>
      </c>
      <c r="G160">
        <f>ROUND(139*$B$1,0)</f>
        <v/>
      </c>
      <c r="H160">
        <f>ROUND(169*$B$1,0)</f>
        <v/>
      </c>
      <c r="I160">
        <f>ROUND(173*$B$1,0)</f>
        <v/>
      </c>
      <c r="J160">
        <f>ROUND(141*$B$1,0)</f>
        <v/>
      </c>
      <c r="K160">
        <f>ROUND(153*$B$1,0)</f>
        <v/>
      </c>
      <c r="L160">
        <f>SUM(D160:K160)</f>
        <v/>
      </c>
    </row>
    <row r="161">
      <c r="A161" t="inlineStr">
        <is>
          <t>ПРОЧЕЕ</t>
        </is>
      </c>
      <c r="B161" t="inlineStr">
        <is>
          <t>154159632</t>
        </is>
      </c>
      <c r="C161" t="inlineStr">
        <is>
          <t>Baking Powder BB Deep Cleansing Foam 3в1 30</t>
        </is>
      </c>
      <c r="D161">
        <f>ROUND(120*$B$1,0)</f>
        <v/>
      </c>
      <c r="E161">
        <f>ROUND(97*$B$1,0)</f>
        <v/>
      </c>
      <c r="F161">
        <f>ROUND(97*$B$1,0)</f>
        <v/>
      </c>
      <c r="G161">
        <f>ROUND(97*$B$1,0)</f>
        <v/>
      </c>
      <c r="H161">
        <f>ROUND(118*$B$1,0)</f>
        <v/>
      </c>
      <c r="I161">
        <f>ROUND(121*$B$1,0)</f>
        <v/>
      </c>
      <c r="J161">
        <f>ROUND(98*$B$1,0)</f>
        <v/>
      </c>
      <c r="K161">
        <f>ROUND(107*$B$1,0)</f>
        <v/>
      </c>
      <c r="L161">
        <f>SUM(D161:K161)</f>
        <v/>
      </c>
    </row>
    <row r="162">
      <c r="A162" t="inlineStr">
        <is>
          <t>ПРОЧЕЕ</t>
        </is>
      </c>
      <c r="B162" t="inlineStr">
        <is>
          <t>183030830</t>
        </is>
      </c>
      <c r="C162" t="inlineStr">
        <is>
          <t>HairSet/350/8*2</t>
        </is>
      </c>
      <c r="D162">
        <f>ROUND(30*$B$1,0)</f>
        <v/>
      </c>
      <c r="E162">
        <f>ROUND(24*$B$1,0)</f>
        <v/>
      </c>
      <c r="F162">
        <f>ROUND(24*$B$1,0)</f>
        <v/>
      </c>
      <c r="G162">
        <f>ROUND(24*$B$1,0)</f>
        <v/>
      </c>
      <c r="H162">
        <f>ROUND(29*$B$1,0)</f>
        <v/>
      </c>
      <c r="I162">
        <f>ROUND(30*$B$1,0)</f>
        <v/>
      </c>
      <c r="J162">
        <f>ROUND(24*$B$1,0)</f>
        <v/>
      </c>
      <c r="K162">
        <f>ROUND(26*$B$1,0)</f>
        <v/>
      </c>
      <c r="L162">
        <f>SUM(D162:K162)</f>
        <v/>
      </c>
    </row>
    <row r="163">
      <c r="A163" t="inlineStr">
        <is>
          <t>ПРОЧЕЕ</t>
        </is>
      </c>
      <c r="B163" t="inlineStr">
        <is>
          <t>663654300</t>
        </is>
      </c>
      <c r="C163" t="inlineStr">
        <is>
          <t>videokamera4gneww</t>
        </is>
      </c>
      <c r="D163">
        <f>ROUND(7*$B$1,0)</f>
        <v/>
      </c>
      <c r="E163">
        <f>ROUND(6*$B$1,0)</f>
        <v/>
      </c>
      <c r="F163">
        <f>ROUND(6*$B$1,0)</f>
        <v/>
      </c>
      <c r="G163">
        <f>ROUND(6*$B$1,0)</f>
        <v/>
      </c>
      <c r="H163">
        <f>ROUND(7*$B$1,0)</f>
        <v/>
      </c>
      <c r="I163">
        <f>ROUND(7*$B$1,0)</f>
        <v/>
      </c>
      <c r="J163">
        <f>ROUND(6*$B$1,0)</f>
        <v/>
      </c>
      <c r="K163">
        <f>ROUND(7*$B$1,0)</f>
        <v/>
      </c>
      <c r="L163">
        <f>SUM(D163:K163)</f>
        <v/>
      </c>
    </row>
    <row r="164">
      <c r="C164" s="1" t="inlineStr">
        <is>
          <t>ИТОГО</t>
        </is>
      </c>
      <c r="D164" s="1">
        <f>SUM(D3:D163)</f>
        <v/>
      </c>
      <c r="E164" s="1">
        <f>SUM(E3:E163)</f>
        <v/>
      </c>
      <c r="F164" s="1">
        <f>SUM(F3:F163)</f>
        <v/>
      </c>
      <c r="G164" s="1">
        <f>SUM(G3:G163)</f>
        <v/>
      </c>
      <c r="H164" s="1">
        <f>SUM(H3:H163)</f>
        <v/>
      </c>
      <c r="I164" s="1">
        <f>SUM(I3:I163)</f>
        <v/>
      </c>
      <c r="J164" s="1">
        <f>SUM(J3:J163)</f>
        <v/>
      </c>
      <c r="K164" s="1">
        <f>SUM(K3:K163)</f>
        <v/>
      </c>
      <c r="L164" s="1">
        <f>SUM(L3:L163)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2026-07-14T14:58:24Z</dcterms:created>
  <dcterms:modified xsi:type="dcterms:W3CDTF">2026-07-14T14:58:24Z</dcterms:modified>
</cp:coreProperties>
</file>
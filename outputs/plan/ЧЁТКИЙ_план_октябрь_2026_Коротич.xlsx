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  <sheet name="Косметика октябрь" sheetId="2" state="visible" r:id="rId2"/>
    <sheet name="Электроника" sheetId="3" state="visible" r:id="rId3"/>
    <sheet name="Деды Морозы октябр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sz val="12"/>
    </font>
    <font>
      <i val="1"/>
      <color rgb="00808080"/>
      <sz val="9"/>
    </font>
    <font>
      <b val="1"/>
      <color rgb="00FFFFFF"/>
    </font>
    <font>
      <b val="1"/>
      <color rgb="001F4E78"/>
    </font>
    <font>
      <b val="1"/>
      <color rgb="00375623"/>
      <sz val="12"/>
    </font>
    <font>
      <b val="1"/>
      <color rgb="00C00000"/>
      <sz val="13"/>
    </font>
    <font>
      <b val="1"/>
      <color rgb="001F4E78"/>
      <sz val="13"/>
    </font>
    <font>
      <i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375623"/>
      </patternFill>
    </fill>
    <fill>
      <patternFill patternType="solid">
        <fgColor rgb="00FFC7C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1" pivotButton="0" quotePrefix="0" xfId="0"/>
    <xf numFmtId="0" fontId="3" fillId="7" borderId="0" pivotButton="0" quotePrefix="0" xfId="0"/>
    <xf numFmtId="3" fontId="3" fillId="7" borderId="0" pivotButton="0" quotePrefix="0" xfId="0"/>
    <xf numFmtId="0" fontId="9" fillId="0" borderId="0" pivotButton="0" quotePrefix="0" xfId="0"/>
    <xf numFmtId="0" fontId="10" fillId="0" borderId="0" pivotButton="0" quotePrefix="0" xfId="0"/>
    <xf numFmtId="3" fontId="3" fillId="2" borderId="1" pivotButton="0" quotePrefix="0" xfId="0"/>
    <xf numFmtId="0" fontId="6" fillId="4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  <xf numFmtId="0" fontId="0" fillId="5" borderId="1" pivotButton="0" quotePrefix="0" xfId="0"/>
    <xf numFmtId="3" fontId="2" fillId="5" borderId="1" pivotButton="0" quotePrefix="0" xfId="0"/>
    <xf numFmtId="0" fontId="0" fillId="6" borderId="1" pivotButton="0" quotePrefix="0" xfId="0"/>
    <xf numFmtId="3" fontId="0" fillId="6" borderId="1" pivotButton="0" quotePrefix="0" xfId="0"/>
    <xf numFmtId="0" fontId="0" fillId="7" borderId="0" pivotButton="0" quotePrefix="0" xfId="0"/>
    <xf numFmtId="0" fontId="7" fillId="0" borderId="0" pivotButton="0" quotePrefix="0" xfId="0"/>
    <xf numFmtId="0" fontId="5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3" fontId="0" fillId="9" borderId="1" pivotButton="0" quotePrefix="0" xfId="0"/>
    <xf numFmtId="0" fontId="8" fillId="0" borderId="0" pivotButton="0" quotePrefix="0" xfId="0"/>
    <xf numFmtId="0" fontId="5" fillId="10" borderId="1" applyAlignment="1" pivotButton="0" quotePrefix="0" xfId="0">
      <alignment horizontal="center" vertical="center" wrapText="1"/>
    </xf>
    <xf numFmtId="0" fontId="2" fillId="7" borderId="0" pivotButton="0" quotePrefix="0" xfId="0"/>
    <xf numFmtId="3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6" customWidth="1" min="4" max="4"/>
  </cols>
  <sheetData>
    <row r="1">
      <c r="A1" s="1" t="inlineStr">
        <is>
          <t>ДАШБОРД — ПЛАН ОКТЯБРЬ 2026 (ЦЕЛЕВОЙ, с рекламой)</t>
        </is>
      </c>
    </row>
    <row r="2">
      <c r="A2" s="2" t="inlineStr">
        <is>
          <t>База = макс(окт-2025; июнь-2026); целевой минимум 500 шт/поз при рекламе+отзывах. 01.10.2026.</t>
        </is>
      </c>
    </row>
    <row r="4">
      <c r="A4" s="3" t="inlineStr">
        <is>
          <t>Группа</t>
        </is>
      </c>
      <c r="B4" s="3" t="inlineStr">
        <is>
          <t>План окт шт</t>
        </is>
      </c>
      <c r="C4" s="3" t="inlineStr">
        <is>
          <t>План выручка ₽</t>
        </is>
      </c>
      <c r="D4" s="3" t="inlineStr">
        <is>
          <t>План прибыль ₽</t>
        </is>
      </c>
    </row>
    <row r="5">
      <c r="A5" s="4" t="inlineStr">
        <is>
          <t>КОСМЕТИКА</t>
        </is>
      </c>
      <c r="B5" s="5">
        <f>'Косметика октябрь'!G155</f>
        <v/>
      </c>
      <c r="C5" s="5">
        <f>'Косметика октябрь'!J155</f>
        <v/>
      </c>
      <c r="D5" s="5">
        <f>'Косметика октябрь'!K155</f>
        <v/>
      </c>
    </row>
    <row r="6">
      <c r="A6" s="4" t="inlineStr">
        <is>
          <t>ДЕДЫ МОРОЗЫ (старт)</t>
        </is>
      </c>
      <c r="B6" s="5" t="n">
        <v>6170</v>
      </c>
      <c r="C6" s="5" t="n">
        <v>8286310</v>
      </c>
      <c r="D6" s="5" t="n">
        <v>2159500</v>
      </c>
    </row>
    <row r="7">
      <c r="A7" s="4" t="inlineStr">
        <is>
          <t>ЭЛЕКТРОНИКА (распродажа)</t>
        </is>
      </c>
      <c r="B7" s="5" t="n">
        <v>0</v>
      </c>
      <c r="C7" s="5" t="n">
        <v>0</v>
      </c>
      <c r="D7" s="5" t="n">
        <v>0</v>
      </c>
    </row>
    <row r="8">
      <c r="A8" s="6" t="inlineStr">
        <is>
          <t>ИТОГО ОКТЯБРЬ</t>
        </is>
      </c>
      <c r="B8" s="7">
        <f>SUM(B5:B7)</f>
        <v/>
      </c>
      <c r="C8" s="7">
        <f>SUM(C5:C7)</f>
        <v/>
      </c>
      <c r="D8" s="7">
        <f>SUM(D5:D7)</f>
        <v/>
      </c>
    </row>
    <row r="10">
      <c r="A10" s="8">
        <f>CONCATENATE("ПЛАН ПРИБЫЛИ ОКТЯБРЬ (целевой): ",TEXT(D8/1000000,"0.00")," млн ₽")</f>
        <v/>
      </c>
    </row>
    <row r="11">
      <c r="A11" s="9" t="inlineStr">
        <is>
          <t>Целевой план требует рекламы+отзывов на каждую позицию (мин 500/мес). Без этого база даёт ~4,5 млн; с раскачкой — ~8,7 млн.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7" customWidth="1" min="4" max="4"/>
    <col width="7" customWidth="1" min="5" max="5"/>
    <col width="9" customWidth="1" min="6" max="6"/>
    <col width="13" customWidth="1" min="7" max="7"/>
    <col width="11" customWidth="1" min="8" max="8"/>
    <col width="9" customWidth="1" min="9" max="9"/>
    <col width="13" customWidth="1" min="10" max="10"/>
    <col width="13" customWidth="1" min="11" max="11"/>
    <col width="16" customWidth="1" min="12" max="12"/>
  </cols>
  <sheetData>
    <row r="1">
      <c r="A1" s="1" t="inlineStr">
        <is>
          <t>ПЛАН ПРОДАЖ ОКТЯБРЬ 2026 — ЦЕЛЕВОЙ (с рекламой и отзывами)</t>
        </is>
      </c>
    </row>
    <row r="2">
      <c r="A2" s="4" t="inlineStr">
        <is>
          <t>Мин/поз →</t>
        </is>
      </c>
      <c r="B2" s="10" t="n">
        <v>500</v>
      </c>
      <c r="C2" s="2" t="inlineStr">
        <is>
          <t>← целевой минимум продаж на позицию при запуске рекламы+отзывов. ЦЕЛЕВОЙ план = МИН(остаток; МАКС(база; этот минимум)). База = макс(окт-2025; июнь-2026).</t>
        </is>
      </c>
    </row>
    <row r="4">
      <c r="A4" s="3" t="inlineStr">
        <is>
          <t>Наименование</t>
        </is>
      </c>
      <c r="B4" s="3" t="inlineStr">
        <is>
          <t>Артикул ВБ</t>
        </is>
      </c>
      <c r="C4" s="3" t="inlineStr">
        <is>
          <t>Остаток шт</t>
        </is>
      </c>
      <c r="D4" s="3" t="inlineStr">
        <is>
          <t>Окт-25</t>
        </is>
      </c>
      <c r="E4" s="3" t="inlineStr">
        <is>
          <t>Июнь-26</t>
        </is>
      </c>
      <c r="F4" s="3" t="inlineStr">
        <is>
          <t>База (макс)</t>
        </is>
      </c>
      <c r="G4" s="3" t="inlineStr">
        <is>
          <t>ЦЕЛЕВОЙ план шт</t>
        </is>
      </c>
      <c r="H4" s="3" t="inlineStr">
        <is>
          <t>Цена с СПП ₽</t>
        </is>
      </c>
      <c r="I4" s="3" t="inlineStr">
        <is>
          <t>Маржа ₽/ед</t>
        </is>
      </c>
      <c r="J4" s="3" t="inlineStr">
        <is>
          <t>План выручка ₽</t>
        </is>
      </c>
      <c r="K4" s="3" t="inlineStr">
        <is>
          <t>План прибыль ₽</t>
        </is>
      </c>
      <c r="L4" s="3" t="inlineStr">
        <is>
          <t>Приоритет</t>
        </is>
      </c>
    </row>
    <row r="5">
      <c r="A5" s="11" t="inlineStr">
        <is>
          <t>Косметика/COSRX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3" t="inlineStr">
        <is>
          <t>COSRX - Salicylic Acid Daily Gentle Cleanser [150ml] / Пенка с салициловой кислотой для проблемной кожи</t>
        </is>
      </c>
      <c r="B6" s="13" t="n">
        <v>204258828</v>
      </c>
      <c r="C6" s="5" t="n">
        <v>218</v>
      </c>
      <c r="D6" s="5" t="n">
        <v>16</v>
      </c>
      <c r="E6" s="5" t="n">
        <v>42</v>
      </c>
      <c r="F6" s="5">
        <f>MAX(D6,E6)</f>
        <v/>
      </c>
      <c r="G6" s="5">
        <f>MIN(C6,MAX(F6,$B$2))</f>
        <v/>
      </c>
      <c r="H6" s="5" t="n">
        <v>925</v>
      </c>
      <c r="I6" s="5" t="n">
        <v>141</v>
      </c>
      <c r="J6" s="5">
        <f>G6*H6</f>
        <v/>
      </c>
      <c r="K6" s="5">
        <f>G6*I6</f>
        <v/>
      </c>
      <c r="L6" s="13" t="inlineStr">
        <is>
          <t>Разогнать рекламой+отзывы</t>
        </is>
      </c>
    </row>
    <row r="7">
      <c r="A7" s="14" t="inlineStr">
        <is>
          <t>ИТОГО COSRX</t>
        </is>
      </c>
      <c r="B7" s="15" t="n"/>
      <c r="C7" s="16">
        <f>SUM(C6:C6)</f>
        <v/>
      </c>
      <c r="D7" s="15" t="n"/>
      <c r="E7" s="15" t="n"/>
      <c r="F7" s="15" t="n"/>
      <c r="G7" s="16">
        <f>SUM(G6:G6)</f>
        <v/>
      </c>
      <c r="H7" s="15" t="n"/>
      <c r="I7" s="15" t="n"/>
      <c r="J7" s="16">
        <f>SUM(J6:J6)</f>
        <v/>
      </c>
      <c r="K7" s="16">
        <f>SUM(K6:K6)</f>
        <v/>
      </c>
      <c r="L7" s="15" t="n"/>
    </row>
    <row r="8">
      <c r="A8" s="11" t="inlineStr">
        <is>
          <t>Косметика/DEOPROCE/DEOPROCE-SHAMPOO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</row>
    <row r="9">
      <c r="A9" s="13" t="inlineStr">
        <is>
          <t>DEOPROCE SHAMPOO - BLACK GARLIC INTENSME ENERGY [200ml]/ Шампунь с черным чесноком против выпадения волос</t>
        </is>
      </c>
      <c r="B9" s="13" t="n">
        <v>608841921</v>
      </c>
      <c r="C9" s="5" t="n">
        <v>297</v>
      </c>
      <c r="D9" s="5" t="n">
        <v>0</v>
      </c>
      <c r="E9" s="5" t="n">
        <v>62</v>
      </c>
      <c r="F9" s="5">
        <f>MAX(D9,E9)</f>
        <v/>
      </c>
      <c r="G9" s="5">
        <f>MIN(C9,MAX(F9,$B$2))</f>
        <v/>
      </c>
      <c r="H9" s="5" t="n">
        <v>613</v>
      </c>
      <c r="I9" s="5" t="n">
        <v>176</v>
      </c>
      <c r="J9" s="5">
        <f>G9*H9</f>
        <v/>
      </c>
      <c r="K9" s="5">
        <f>G9*I9</f>
        <v/>
      </c>
      <c r="L9" s="13" t="inlineStr">
        <is>
          <t>Разогнать рекламой+отзывы</t>
        </is>
      </c>
    </row>
    <row r="10">
      <c r="A10" s="13" t="inlineStr">
        <is>
          <t>DEOPROCE SHAMPOO - BLACK GARLIC INTENSME ENERGY [600ml] мягкая упаковка Шампунь с черным чесноком против выпадения волос</t>
        </is>
      </c>
      <c r="B10" s="13" t="n">
        <v>608837066</v>
      </c>
      <c r="C10" s="5" t="n">
        <v>59</v>
      </c>
      <c r="D10" s="5" t="n">
        <v>0</v>
      </c>
      <c r="E10" s="5" t="n">
        <v>38</v>
      </c>
      <c r="F10" s="5">
        <f>MAX(D10,E10)</f>
        <v/>
      </c>
      <c r="G10" s="5">
        <f>MIN(C10,MAX(F10,$B$2))</f>
        <v/>
      </c>
      <c r="H10" s="5" t="n">
        <v>924</v>
      </c>
      <c r="I10" s="5" t="n">
        <v>229</v>
      </c>
      <c r="J10" s="5">
        <f>G10*H10</f>
        <v/>
      </c>
      <c r="K10" s="5">
        <f>G10*I10</f>
        <v/>
      </c>
      <c r="L10" s="13" t="inlineStr">
        <is>
          <t>Разогнать рекламой+отзывы</t>
        </is>
      </c>
    </row>
    <row r="11">
      <c r="A11" s="13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11" s="13" t="n">
        <v>608624295</v>
      </c>
      <c r="C11" s="5" t="n">
        <v>11</v>
      </c>
      <c r="D11" s="5" t="n">
        <v>0</v>
      </c>
      <c r="E11" s="5" t="n">
        <v>37</v>
      </c>
      <c r="F11" s="5">
        <f>MAX(D11,E11)</f>
        <v/>
      </c>
      <c r="G11" s="5">
        <f>MIN(C11,MAX(F11,$B$2))</f>
        <v/>
      </c>
      <c r="H11" s="5" t="n">
        <v>925</v>
      </c>
      <c r="I11" s="5" t="n">
        <v>160</v>
      </c>
      <c r="J11" s="5">
        <f>G11*H11</f>
        <v/>
      </c>
      <c r="K11" s="5">
        <f>G11*I11</f>
        <v/>
      </c>
      <c r="L11" s="13" t="inlineStr">
        <is>
          <t>Разогнать рекламой+отзывы</t>
        </is>
      </c>
    </row>
    <row r="12">
      <c r="A12" s="14" t="inlineStr">
        <is>
          <t>ИТОГО DEOPROCE/DEOPROCE-SHAMPOO</t>
        </is>
      </c>
      <c r="B12" s="15" t="n"/>
      <c r="C12" s="16">
        <f>SUM(C9:C11)</f>
        <v/>
      </c>
      <c r="D12" s="15" t="n"/>
      <c r="E12" s="15" t="n"/>
      <c r="F12" s="15" t="n"/>
      <c r="G12" s="16">
        <f>SUM(G9:G11)</f>
        <v/>
      </c>
      <c r="H12" s="15" t="n"/>
      <c r="I12" s="15" t="n"/>
      <c r="J12" s="16">
        <f>SUM(J9:J11)</f>
        <v/>
      </c>
      <c r="K12" s="16">
        <f>SUM(K9:K11)</f>
        <v/>
      </c>
      <c r="L12" s="15" t="n"/>
    </row>
    <row r="13">
      <c r="A13" s="11" t="inlineStr">
        <is>
          <t>Косметика/DEOPROCE/НАБОР ШАМПУНЬ+БАЛЬЗАМ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>
      <c r="A14" s="13" t="inlineStr">
        <is>
          <t>DEOPROCE SHAMPOO+BALSAM - BLACK GARLIC[2000ml]</t>
        </is>
      </c>
      <c r="B14" s="13" t="n">
        <v>214305722</v>
      </c>
      <c r="C14" s="5" t="n">
        <v>395</v>
      </c>
      <c r="D14" s="5" t="n">
        <v>0</v>
      </c>
      <c r="E14" s="5" t="n">
        <v>99</v>
      </c>
      <c r="F14" s="5">
        <f>MAX(D14,E14)</f>
        <v/>
      </c>
      <c r="G14" s="5">
        <f>MIN(C14,MAX(F14,$B$2))</f>
        <v/>
      </c>
      <c r="H14" s="5" t="n">
        <v>1964</v>
      </c>
      <c r="I14" s="5" t="n">
        <v>354</v>
      </c>
      <c r="J14" s="5">
        <f>G14*H14</f>
        <v/>
      </c>
      <c r="K14" s="5">
        <f>G14*I14</f>
        <v/>
      </c>
      <c r="L14" s="13" t="inlineStr">
        <is>
          <t>Разогнать рекламой+отзывы</t>
        </is>
      </c>
    </row>
    <row r="15">
      <c r="A15" s="14" t="inlineStr">
        <is>
          <t>ИТОГО DEOPROCE/НАБОР ШАМПУНЬ+БАЛЬЗАМ</t>
        </is>
      </c>
      <c r="B15" s="15" t="n"/>
      <c r="C15" s="16">
        <f>SUM(C14:C14)</f>
        <v/>
      </c>
      <c r="D15" s="15" t="n"/>
      <c r="E15" s="15" t="n"/>
      <c r="F15" s="15" t="n"/>
      <c r="G15" s="16">
        <f>SUM(G14:G14)</f>
        <v/>
      </c>
      <c r="H15" s="15" t="n"/>
      <c r="I15" s="15" t="n"/>
      <c r="J15" s="16">
        <f>SUM(J14:J14)</f>
        <v/>
      </c>
      <c r="K15" s="16">
        <f>SUM(K14:K14)</f>
        <v/>
      </c>
      <c r="L15" s="15" t="n"/>
    </row>
    <row r="16">
      <c r="A16" s="11" t="inlineStr">
        <is>
          <t>Косметика/ELIZAVECCA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3" t="inlineStr">
        <is>
          <t>ELIZAVECCA - CER-100 Collagen Ceramide Coating Protein Treatment [100ml] / Коллагеновая маска для волос</t>
        </is>
      </c>
      <c r="B17" s="13" t="n">
        <v>207796350</v>
      </c>
      <c r="C17" s="5" t="n">
        <v>340</v>
      </c>
      <c r="D17" s="5" t="n">
        <v>12</v>
      </c>
      <c r="E17" s="5" t="n">
        <v>37</v>
      </c>
      <c r="F17" s="5">
        <f>MAX(D17,E17)</f>
        <v/>
      </c>
      <c r="G17" s="5">
        <f>MIN(C17,MAX(F17,$B$2))</f>
        <v/>
      </c>
      <c r="H17" s="5" t="n">
        <v>717</v>
      </c>
      <c r="I17" s="5" t="n">
        <v>129</v>
      </c>
      <c r="J17" s="5">
        <f>G17*H17</f>
        <v/>
      </c>
      <c r="K17" s="5">
        <f>G17*I17</f>
        <v/>
      </c>
      <c r="L17" s="13" t="inlineStr">
        <is>
          <t>Разогнать рекламой+отзывы</t>
        </is>
      </c>
    </row>
    <row r="18">
      <c r="A18" s="13" t="inlineStr">
        <is>
          <t>ELIZAVECCA - Hell-Pore Galactomyces Pure Ample / Сыворотка для лица с экстрактом галактомисиса</t>
        </is>
      </c>
      <c r="B18" s="13" t="n">
        <v>206058262</v>
      </c>
      <c r="C18" s="5" t="n">
        <v>50</v>
      </c>
      <c r="D18" s="5" t="n">
        <v>3</v>
      </c>
      <c r="E18" s="5" t="n">
        <v>4</v>
      </c>
      <c r="F18" s="5">
        <f>MAX(D18,E18)</f>
        <v/>
      </c>
      <c r="G18" s="5">
        <f>MIN(C18,MAX(F18,$B$2))</f>
        <v/>
      </c>
      <c r="H18" s="5" t="n">
        <v>1235</v>
      </c>
      <c r="I18" s="5" t="n">
        <v>242</v>
      </c>
      <c r="J18" s="5">
        <f>G18*H18</f>
        <v/>
      </c>
      <c r="K18" s="5">
        <f>G18*I18</f>
        <v/>
      </c>
      <c r="L18" s="13" t="inlineStr">
        <is>
          <t>Разогнать рекламой+отзывы</t>
        </is>
      </c>
    </row>
    <row r="19">
      <c r="A19" s="14" t="inlineStr">
        <is>
          <t>ИТОГО ELIZAVECCA</t>
        </is>
      </c>
      <c r="B19" s="15" t="n"/>
      <c r="C19" s="16">
        <f>SUM(C17:C18)</f>
        <v/>
      </c>
      <c r="D19" s="15" t="n"/>
      <c r="E19" s="15" t="n"/>
      <c r="F19" s="15" t="n"/>
      <c r="G19" s="16">
        <f>SUM(G17:G18)</f>
        <v/>
      </c>
      <c r="H19" s="15" t="n"/>
      <c r="I19" s="15" t="n"/>
      <c r="J19" s="16">
        <f>SUM(J17:J18)</f>
        <v/>
      </c>
      <c r="K19" s="16">
        <f>SUM(K17:K18)</f>
        <v/>
      </c>
      <c r="L19" s="15" t="n"/>
    </row>
    <row r="20">
      <c r="A20" s="11" t="inlineStr">
        <is>
          <t>Косметика/ENOUGH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7" t="inlineStr">
        <is>
          <t>ENOUGH - Collagen Moisture Essential Cream [50ml] / Увлажняющий крем для лица с коллагеном</t>
        </is>
      </c>
      <c r="B21" s="17" t="n">
        <v>238415286</v>
      </c>
      <c r="C21" s="18" t="n">
        <v>6400</v>
      </c>
      <c r="D21" s="18" t="n">
        <v>2026</v>
      </c>
      <c r="E21" s="18" t="n">
        <v>1139</v>
      </c>
      <c r="F21" s="18">
        <f>MAX(D21,E21)</f>
        <v/>
      </c>
      <c r="G21" s="18">
        <f>MIN(C21,MAX(F21,$B$2))</f>
        <v/>
      </c>
      <c r="H21" s="18" t="n">
        <v>614</v>
      </c>
      <c r="I21" s="18" t="n">
        <v>156</v>
      </c>
      <c r="J21" s="18">
        <f>G21*H21</f>
        <v/>
      </c>
      <c r="K21" s="18">
        <f>G21*I21</f>
        <v/>
      </c>
      <c r="L21" s="13" t="inlineStr">
        <is>
          <t>★ Драйвер</t>
        </is>
      </c>
    </row>
    <row r="22">
      <c r="A22" s="17" t="inlineStr">
        <is>
          <t>ENOUGH - Collagen Moisture Foundation [Tone 13] / Тональный крем для лица с коллагеном 13 тон</t>
        </is>
      </c>
      <c r="B22" s="17" t="n">
        <v>150925321</v>
      </c>
      <c r="C22" s="18" t="n">
        <v>53</v>
      </c>
      <c r="D22" s="18" t="n">
        <v>263</v>
      </c>
      <c r="E22" s="18" t="n">
        <v>582</v>
      </c>
      <c r="F22" s="18">
        <f>MAX(D22,E22)</f>
        <v/>
      </c>
      <c r="G22" s="18">
        <f>MIN(C22,MAX(F22,$B$2))</f>
        <v/>
      </c>
      <c r="H22" s="18" t="n">
        <v>822</v>
      </c>
      <c r="I22" s="18" t="n">
        <v>221</v>
      </c>
      <c r="J22" s="18">
        <f>G22*H22</f>
        <v/>
      </c>
      <c r="K22" s="18">
        <f>G22*I22</f>
        <v/>
      </c>
      <c r="L22" s="13" t="inlineStr">
        <is>
          <t>★ Драйвер</t>
        </is>
      </c>
    </row>
    <row r="23">
      <c r="A23" s="17" t="inlineStr">
        <is>
          <t>ENOUGH - Gold Snail Moisture Foundation [Tone 13] / Тональный крем с муцином улитки 13 тон</t>
        </is>
      </c>
      <c r="B23" s="17" t="n">
        <v>207796789</v>
      </c>
      <c r="C23" s="18" t="n">
        <v>700</v>
      </c>
      <c r="D23" s="18" t="n">
        <v>52</v>
      </c>
      <c r="E23" s="18" t="n">
        <v>340</v>
      </c>
      <c r="F23" s="18">
        <f>MAX(D23,E23)</f>
        <v/>
      </c>
      <c r="G23" s="18">
        <f>MIN(C23,MAX(F23,$B$2))</f>
        <v/>
      </c>
      <c r="H23" s="18" t="n">
        <v>717</v>
      </c>
      <c r="I23" s="18" t="n">
        <v>137</v>
      </c>
      <c r="J23" s="18">
        <f>G23*H23</f>
        <v/>
      </c>
      <c r="K23" s="18">
        <f>G23*I23</f>
        <v/>
      </c>
      <c r="L23" s="13" t="inlineStr">
        <is>
          <t>★ Драйвер</t>
        </is>
      </c>
    </row>
    <row r="24">
      <c r="A24" s="13" t="inlineStr">
        <is>
          <t>ENOUGH - Premium 8 Peptide Full Cover Perfect Foundation [Tone 21] / Тональный крем с пептидами 21 тон</t>
        </is>
      </c>
      <c r="B24" s="13" t="n">
        <v>170198337</v>
      </c>
      <c r="C24" s="5" t="n">
        <v>23</v>
      </c>
      <c r="D24" s="5" t="n">
        <v>0</v>
      </c>
      <c r="E24" s="5" t="n">
        <v>288</v>
      </c>
      <c r="F24" s="5">
        <f>MAX(D24,E24)</f>
        <v/>
      </c>
      <c r="G24" s="5">
        <f>MIN(C24,MAX(F24,$B$2))</f>
        <v/>
      </c>
      <c r="H24" s="5" t="n">
        <v>924</v>
      </c>
      <c r="I24" s="5" t="n">
        <v>203</v>
      </c>
      <c r="J24" s="5">
        <f>G24*H24</f>
        <v/>
      </c>
      <c r="K24" s="5">
        <f>G24*I24</f>
        <v/>
      </c>
      <c r="L24" s="13" t="inlineStr">
        <is>
          <t>Рабочий</t>
        </is>
      </c>
    </row>
    <row r="25">
      <c r="A25" s="13" t="inlineStr">
        <is>
          <t>ENOUGH - Collagen Whitening Moisture Cream 3in1 [50g] / Антивозрастной отбеливающий крем с коллагеном</t>
        </is>
      </c>
      <c r="B25" s="13" t="n">
        <v>238416010</v>
      </c>
      <c r="C25" s="5" t="n">
        <v>254</v>
      </c>
      <c r="D25" s="5" t="n">
        <v>285</v>
      </c>
      <c r="E25" s="5" t="n">
        <v>131</v>
      </c>
      <c r="F25" s="5">
        <f>MAX(D25,E25)</f>
        <v/>
      </c>
      <c r="G25" s="5">
        <f>MIN(C25,MAX(F25,$B$2))</f>
        <v/>
      </c>
      <c r="H25" s="5" t="n">
        <v>510</v>
      </c>
      <c r="I25" s="5" t="n">
        <v>68</v>
      </c>
      <c r="J25" s="5">
        <f>G25*H25</f>
        <v/>
      </c>
      <c r="K25" s="5">
        <f>G25*I25</f>
        <v/>
      </c>
      <c r="L25" s="13" t="inlineStr">
        <is>
          <t>Рабочий</t>
        </is>
      </c>
    </row>
    <row r="26">
      <c r="A26" s="13" t="inlineStr">
        <is>
          <t>ENOUGH - Premium Rich Gold Double Wear Radiance Foundation [Tone 21] / Тональный крем с частичками золота 21 тон</t>
        </is>
      </c>
      <c r="B26" s="13" t="n">
        <v>170198109</v>
      </c>
      <c r="C26" s="5" t="n">
        <v>400</v>
      </c>
      <c r="D26" s="5" t="n">
        <v>63</v>
      </c>
      <c r="E26" s="5" t="n">
        <v>166</v>
      </c>
      <c r="F26" s="5">
        <f>MAX(D26,E26)</f>
        <v/>
      </c>
      <c r="G26" s="5">
        <f>MIN(C26,MAX(F26,$B$2))</f>
        <v/>
      </c>
      <c r="H26" s="5" t="n">
        <v>718</v>
      </c>
      <c r="I26" s="5" t="n">
        <v>114</v>
      </c>
      <c r="J26" s="5">
        <f>G26*H26</f>
        <v/>
      </c>
      <c r="K26" s="5">
        <f>G26*I26</f>
        <v/>
      </c>
      <c r="L26" s="13" t="inlineStr">
        <is>
          <t>Рабочий</t>
        </is>
      </c>
    </row>
    <row r="27">
      <c r="A27" s="13" t="inlineStr">
        <is>
          <t>ENOUGH Collagen whitening cover tip concealer #01 [9g]/Консилер для лица (основная карточка) 4.5 рейтинг</t>
        </is>
      </c>
      <c r="B27" s="13" t="n">
        <v>212889025</v>
      </c>
      <c r="C27" s="5" t="n">
        <v>352</v>
      </c>
      <c r="D27" s="5" t="n">
        <v>0</v>
      </c>
      <c r="E27" s="5" t="n">
        <v>156</v>
      </c>
      <c r="F27" s="5">
        <f>MAX(D27,E27)</f>
        <v/>
      </c>
      <c r="G27" s="5">
        <f>MIN(C27,MAX(F27,$B$2))</f>
        <v/>
      </c>
      <c r="H27" s="5" t="n">
        <v>822</v>
      </c>
      <c r="I27" s="5" t="n">
        <v>270</v>
      </c>
      <c r="J27" s="5">
        <f>G27*H27</f>
        <v/>
      </c>
      <c r="K27" s="5">
        <f>G27*I27</f>
        <v/>
      </c>
      <c r="L27" s="13" t="inlineStr">
        <is>
          <t>Рабочий</t>
        </is>
      </c>
    </row>
    <row r="28">
      <c r="A28" s="13" t="inlineStr">
        <is>
          <t>ENOUGH - Premium Rich Gold Double Wear Radiance Foundation [Tone 13] / Тональный крем с частичками золота 13 тон</t>
        </is>
      </c>
      <c r="B28" s="13" t="n">
        <v>170198180</v>
      </c>
      <c r="C28" s="5" t="n">
        <v>200</v>
      </c>
      <c r="D28" s="5" t="n">
        <v>24</v>
      </c>
      <c r="E28" s="5" t="n">
        <v>150</v>
      </c>
      <c r="F28" s="5">
        <f>MAX(D28,E28)</f>
        <v/>
      </c>
      <c r="G28" s="5">
        <f>MIN(C28,MAX(F28,$B$2))</f>
        <v/>
      </c>
      <c r="H28" s="5" t="n">
        <v>718</v>
      </c>
      <c r="I28" s="5" t="n">
        <v>116</v>
      </c>
      <c r="J28" s="5">
        <f>G28*H28</f>
        <v/>
      </c>
      <c r="K28" s="5">
        <f>G28*I28</f>
        <v/>
      </c>
      <c r="L28" s="13" t="inlineStr">
        <is>
          <t>Рабочий</t>
        </is>
      </c>
    </row>
    <row r="29">
      <c r="A29" s="13" t="inlineStr">
        <is>
          <t>ENOUGH - Collagen Moisture Foundation [Tone 21] / Тональный крем для лица с коллагеном 21 тон</t>
        </is>
      </c>
      <c r="B29" s="13" t="n">
        <v>150925322</v>
      </c>
      <c r="C29" s="5" t="n">
        <v>198</v>
      </c>
      <c r="D29" s="5" t="n">
        <v>92</v>
      </c>
      <c r="E29" s="5" t="n">
        <v>138</v>
      </c>
      <c r="F29" s="5">
        <f>MAX(D29,E29)</f>
        <v/>
      </c>
      <c r="G29" s="5">
        <f>MIN(C29,MAX(F29,$B$2))</f>
        <v/>
      </c>
      <c r="H29" s="5" t="n">
        <v>822</v>
      </c>
      <c r="I29" s="5" t="n">
        <v>195</v>
      </c>
      <c r="J29" s="5">
        <f>G29*H29</f>
        <v/>
      </c>
      <c r="K29" s="5">
        <f>G29*I29</f>
        <v/>
      </c>
      <c r="L29" s="13" t="inlineStr">
        <is>
          <t>Рабочий</t>
        </is>
      </c>
    </row>
    <row r="30">
      <c r="A30" s="13" t="inlineStr">
        <is>
          <t>ENOUGH - Gold Snail Moisture Foundation [Tone 21] / Тональный крем с муцином улитки 21 тон</t>
        </is>
      </c>
      <c r="B30" s="13" t="n">
        <v>207796898</v>
      </c>
      <c r="C30" s="5" t="n">
        <v>400</v>
      </c>
      <c r="D30" s="5" t="n">
        <v>35</v>
      </c>
      <c r="E30" s="5" t="n">
        <v>137</v>
      </c>
      <c r="F30" s="5">
        <f>MAX(D30,E30)</f>
        <v/>
      </c>
      <c r="G30" s="5">
        <f>MIN(C30,MAX(F30,$B$2))</f>
        <v/>
      </c>
      <c r="H30" s="5" t="n">
        <v>718</v>
      </c>
      <c r="I30" s="5" t="n">
        <v>104</v>
      </c>
      <c r="J30" s="5">
        <f>G30*H30</f>
        <v/>
      </c>
      <c r="K30" s="5">
        <f>G30*I30</f>
        <v/>
      </c>
      <c r="L30" s="13" t="inlineStr">
        <is>
          <t>Рабочий</t>
        </is>
      </c>
    </row>
    <row r="31">
      <c r="A31" s="13" t="inlineStr">
        <is>
          <t>ENOUGH - Collagen Moisture BB Cream SPF47 PA+++ [50ml] / Увлажняющий BB крем с коллагеном</t>
        </is>
      </c>
      <c r="B31" s="13" t="n">
        <v>238413828</v>
      </c>
      <c r="C31" s="5" t="n">
        <v>687</v>
      </c>
      <c r="D31" s="5" t="n">
        <v>62</v>
      </c>
      <c r="E31" s="5" t="n">
        <v>86</v>
      </c>
      <c r="F31" s="5">
        <f>MAX(D31,E31)</f>
        <v/>
      </c>
      <c r="G31" s="5">
        <f>MIN(C31,MAX(F31,$B$2))</f>
        <v/>
      </c>
      <c r="H31" s="5" t="n">
        <v>527</v>
      </c>
      <c r="I31" s="5" t="n">
        <v>69</v>
      </c>
      <c r="J31" s="5">
        <f>G31*H31</f>
        <v/>
      </c>
      <c r="K31" s="5">
        <f>G31*I31</f>
        <v/>
      </c>
      <c r="L31" s="13" t="inlineStr">
        <is>
          <t>Разогнать рекламой+отзывы</t>
        </is>
      </c>
    </row>
    <row r="32">
      <c r="A32" s="13" t="inlineStr">
        <is>
          <t>ENOUGH Collagen whitening cover tip concealer #02 [9g]/Консилер для лица (основная карточка)</t>
        </is>
      </c>
      <c r="B32" s="13" t="n">
        <v>212889027</v>
      </c>
      <c r="C32" s="5" t="n">
        <v>539</v>
      </c>
      <c r="D32" s="5" t="n">
        <v>0</v>
      </c>
      <c r="E32" s="5" t="n">
        <v>78</v>
      </c>
      <c r="F32" s="5">
        <f>MAX(D32,E32)</f>
        <v/>
      </c>
      <c r="G32" s="5">
        <f>MIN(C32,MAX(F32,$B$2))</f>
        <v/>
      </c>
      <c r="H32" s="5" t="n">
        <v>822</v>
      </c>
      <c r="I32" s="5" t="n">
        <v>269</v>
      </c>
      <c r="J32" s="5">
        <f>G32*H32</f>
        <v/>
      </c>
      <c r="K32" s="5">
        <f>G32*I32</f>
        <v/>
      </c>
      <c r="L32" s="13" t="inlineStr">
        <is>
          <t>Разогнать рекламой+отзывы</t>
        </is>
      </c>
    </row>
    <row r="33">
      <c r="A33" s="13" t="inlineStr">
        <is>
          <t>ENOUGH Collagen whitening cover tip concealer #03 [9g]/ Консилер для лица (основаная карточка)</t>
        </is>
      </c>
      <c r="B33" s="13" t="n">
        <v>212889028</v>
      </c>
      <c r="C33" s="5" t="n">
        <v>694</v>
      </c>
      <c r="D33" s="5" t="n">
        <v>0</v>
      </c>
      <c r="E33" s="5" t="n">
        <v>50</v>
      </c>
      <c r="F33" s="5">
        <f>MAX(D33,E33)</f>
        <v/>
      </c>
      <c r="G33" s="5">
        <f>MIN(C33,MAX(F33,$B$2))</f>
        <v/>
      </c>
      <c r="H33" s="5" t="n">
        <v>822</v>
      </c>
      <c r="I33" s="5" t="n">
        <v>252</v>
      </c>
      <c r="J33" s="5">
        <f>G33*H33</f>
        <v/>
      </c>
      <c r="K33" s="5">
        <f>G33*I33</f>
        <v/>
      </c>
      <c r="L33" s="13" t="inlineStr">
        <is>
          <t>Разогнать рекламой+отзывы</t>
        </is>
      </c>
    </row>
    <row r="34">
      <c r="A34" s="13" t="inlineStr">
        <is>
          <t>ENOUGH - Collagen 3in1 Whitening Moisture Foundation [Tone 21] / Тональный крем для лица с коллагеном 3в1 [21 тон]</t>
        </is>
      </c>
      <c r="B34" s="13" t="n">
        <v>151132052</v>
      </c>
      <c r="C34" s="5" t="n">
        <v>12</v>
      </c>
      <c r="D34" s="5" t="n">
        <v>35</v>
      </c>
      <c r="E34" s="5" t="n">
        <v>40</v>
      </c>
      <c r="F34" s="5">
        <f>MAX(D34,E34)</f>
        <v/>
      </c>
      <c r="G34" s="5">
        <f>MIN(C34,MAX(F34,$B$2))</f>
        <v/>
      </c>
      <c r="H34" s="5" t="n">
        <v>718</v>
      </c>
      <c r="I34" s="5" t="n">
        <v>149</v>
      </c>
      <c r="J34" s="5">
        <f>G34*H34</f>
        <v/>
      </c>
      <c r="K34" s="5">
        <f>G34*I34</f>
        <v/>
      </c>
      <c r="L34" s="13" t="inlineStr">
        <is>
          <t>Разогнать рекламой+отзывы</t>
        </is>
      </c>
    </row>
    <row r="35">
      <c r="A35" s="13" t="inlineStr">
        <is>
          <t>ENOUGH - Premium Ultra X10 Cover Up Collagen Foundation [Tone 13] / Тональный крем с коллагеном 13 тон</t>
        </is>
      </c>
      <c r="B35" s="13" t="n">
        <v>170198835</v>
      </c>
      <c r="C35" s="5" t="n">
        <v>1000</v>
      </c>
      <c r="D35" s="5" t="n">
        <v>10</v>
      </c>
      <c r="E35" s="5" t="n">
        <v>2</v>
      </c>
      <c r="F35" s="5">
        <f>MAX(D35,E35)</f>
        <v/>
      </c>
      <c r="G35" s="5">
        <f>MIN(C35,MAX(F35,$B$2))</f>
        <v/>
      </c>
      <c r="H35" s="5" t="n">
        <v>776</v>
      </c>
      <c r="I35" s="5" t="n">
        <v>95</v>
      </c>
      <c r="J35" s="5">
        <f>G35*H35</f>
        <v/>
      </c>
      <c r="K35" s="5">
        <f>G35*I35</f>
        <v/>
      </c>
      <c r="L35" s="13" t="inlineStr">
        <is>
          <t>Разогнать рекламой+отзывы</t>
        </is>
      </c>
    </row>
    <row r="36">
      <c r="A36" s="14" t="inlineStr">
        <is>
          <t>ИТОГО ENOUGH</t>
        </is>
      </c>
      <c r="B36" s="15" t="n"/>
      <c r="C36" s="16">
        <f>SUM(C21:C35)</f>
        <v/>
      </c>
      <c r="D36" s="15" t="n"/>
      <c r="E36" s="15" t="n"/>
      <c r="F36" s="15" t="n"/>
      <c r="G36" s="16">
        <f>SUM(G21:G35)</f>
        <v/>
      </c>
      <c r="H36" s="15" t="n"/>
      <c r="I36" s="15" t="n"/>
      <c r="J36" s="16">
        <f>SUM(J21:J35)</f>
        <v/>
      </c>
      <c r="K36" s="16">
        <f>SUM(K21:K35)</f>
        <v/>
      </c>
      <c r="L36" s="15" t="n"/>
    </row>
    <row r="37">
      <c r="A37" s="11" t="inlineStr">
        <is>
          <t>Косметика/ETUDEHOUSE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7" t="inlineStr">
        <is>
          <t>ETUDE - Baking Powder Crunch Pore Scrub [200ml] / Очищающий скраб для лица с содой</t>
        </is>
      </c>
      <c r="B38" s="17" t="n">
        <v>151313163</v>
      </c>
      <c r="C38" s="18" t="n">
        <v>7182</v>
      </c>
      <c r="D38" s="18" t="n">
        <v>727</v>
      </c>
      <c r="E38" s="18" t="n">
        <v>725</v>
      </c>
      <c r="F38" s="18">
        <f>MAX(D38,E38)</f>
        <v/>
      </c>
      <c r="G38" s="18">
        <f>MIN(C38,MAX(F38,$B$2))</f>
        <v/>
      </c>
      <c r="H38" s="18" t="n">
        <v>1029</v>
      </c>
      <c r="I38" s="18" t="n">
        <v>211</v>
      </c>
      <c r="J38" s="18">
        <f>G38*H38</f>
        <v/>
      </c>
      <c r="K38" s="18">
        <f>G38*I38</f>
        <v/>
      </c>
      <c r="L38" s="13" t="inlineStr">
        <is>
          <t>★ Драйвер</t>
        </is>
      </c>
    </row>
    <row r="39">
      <c r="A39" s="13" t="inlineStr">
        <is>
          <t>ETUDE - Baking Powder Crunch Pore Scrub [24*7ml] / Очищающий скраб для лица с содой</t>
        </is>
      </c>
      <c r="B39" s="13" t="n">
        <v>154160085</v>
      </c>
      <c r="C39" s="5" t="n">
        <v>2</v>
      </c>
      <c r="D39" s="5" t="n">
        <v>62</v>
      </c>
      <c r="E39" s="5" t="n">
        <v>63</v>
      </c>
      <c r="F39" s="5">
        <f>MAX(D39,E39)</f>
        <v/>
      </c>
      <c r="G39" s="5">
        <f>MIN(C39,MAX(F39,$B$2))</f>
        <v/>
      </c>
      <c r="H39" s="5" t="n">
        <v>986</v>
      </c>
      <c r="I39" s="5" t="n">
        <v>117</v>
      </c>
      <c r="J39" s="5">
        <f>G39*H39</f>
        <v/>
      </c>
      <c r="K39" s="5">
        <f>G39*I39</f>
        <v/>
      </c>
      <c r="L39" s="13" t="inlineStr">
        <is>
          <t>Разогнать рекламой+отзывы</t>
        </is>
      </c>
    </row>
    <row r="40">
      <c r="A40" s="13" t="inlineStr">
        <is>
          <t>ETUDE - Baking Powder BB Deep Cleansing Foam [160ml] / Пенка с содой для глубокого очищения и снятия макияжа</t>
        </is>
      </c>
      <c r="B40" s="13" t="n">
        <v>307073881</v>
      </c>
      <c r="C40" s="5" t="n">
        <v>64</v>
      </c>
      <c r="D40" s="5" t="n">
        <v>28</v>
      </c>
      <c r="E40" s="5" t="n">
        <v>41</v>
      </c>
      <c r="F40" s="5">
        <f>MAX(D40,E40)</f>
        <v/>
      </c>
      <c r="G40" s="5">
        <f>MIN(C40,MAX(F40,$B$2))</f>
        <v/>
      </c>
      <c r="H40" s="5" t="n">
        <v>821</v>
      </c>
      <c r="I40" s="5" t="n">
        <v>146</v>
      </c>
      <c r="J40" s="5">
        <f>G40*H40</f>
        <v/>
      </c>
      <c r="K40" s="5">
        <f>G40*I40</f>
        <v/>
      </c>
      <c r="L40" s="13" t="inlineStr">
        <is>
          <t>Разогнать рекламой+отзывы</t>
        </is>
      </c>
    </row>
    <row r="41">
      <c r="A41" s="14" t="inlineStr">
        <is>
          <t>ИТОГО ETUDEHOUSE</t>
        </is>
      </c>
      <c r="B41" s="15" t="n"/>
      <c r="C41" s="16">
        <f>SUM(C38:C40)</f>
        <v/>
      </c>
      <c r="D41" s="15" t="n"/>
      <c r="E41" s="15" t="n"/>
      <c r="F41" s="15" t="n"/>
      <c r="G41" s="16">
        <f>SUM(G38:G40)</f>
        <v/>
      </c>
      <c r="H41" s="15" t="n"/>
      <c r="I41" s="15" t="n"/>
      <c r="J41" s="16">
        <f>SUM(J38:J40)</f>
        <v/>
      </c>
      <c r="K41" s="16">
        <f>SUM(K38:K40)</f>
        <v/>
      </c>
      <c r="L41" s="15" t="n"/>
    </row>
    <row r="42">
      <c r="A42" s="11" t="inlineStr">
        <is>
          <t>Косметика/FARMSTAY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7" t="inlineStr">
        <is>
          <t>FARMSTAY - Collagen &amp; Hyaluronic Acid All-In One Ampoule [250ml] / Сыворотка с коллагеном и гиалуроновой кислотой</t>
        </is>
      </c>
      <c r="B43" s="17" t="n">
        <v>168956391</v>
      </c>
      <c r="C43" s="18" t="n">
        <v>6067</v>
      </c>
      <c r="D43" s="18" t="n">
        <v>1807</v>
      </c>
      <c r="E43" s="18" t="n">
        <v>1852</v>
      </c>
      <c r="F43" s="18">
        <f>MAX(D43,E43)</f>
        <v/>
      </c>
      <c r="G43" s="18">
        <f>MIN(C43,MAX(F43,$B$2))</f>
        <v/>
      </c>
      <c r="H43" s="18" t="n">
        <v>1011</v>
      </c>
      <c r="I43" s="18" t="n">
        <v>208</v>
      </c>
      <c r="J43" s="18">
        <f>G43*H43</f>
        <v/>
      </c>
      <c r="K43" s="18">
        <f>G43*I43</f>
        <v/>
      </c>
      <c r="L43" s="13" t="inlineStr">
        <is>
          <t>★ Драйвер</t>
        </is>
      </c>
    </row>
    <row r="44">
      <c r="A44" s="17" t="inlineStr">
        <is>
          <t>FARMSTAY - Black Garlic Nourishing Shampoo [530ml] / Шампунь-кондиционер 2в1 с экстрактом черного чеснока</t>
        </is>
      </c>
      <c r="B44" s="17" t="n">
        <v>207472742</v>
      </c>
      <c r="C44" s="18" t="n">
        <v>3200</v>
      </c>
      <c r="D44" s="18" t="n">
        <v>1125</v>
      </c>
      <c r="E44" s="18" t="n">
        <v>999</v>
      </c>
      <c r="F44" s="18">
        <f>MAX(D44,E44)</f>
        <v/>
      </c>
      <c r="G44" s="18">
        <f>MIN(C44,MAX(F44,$B$2))</f>
        <v/>
      </c>
      <c r="H44" s="18" t="n">
        <v>1081</v>
      </c>
      <c r="I44" s="18" t="n">
        <v>175</v>
      </c>
      <c r="J44" s="18">
        <f>G44*H44</f>
        <v/>
      </c>
      <c r="K44" s="18">
        <f>G44*I44</f>
        <v/>
      </c>
      <c r="L44" s="13" t="inlineStr">
        <is>
          <t>★ Драйвер</t>
        </is>
      </c>
    </row>
    <row r="45">
      <c r="A45" s="17" t="inlineStr">
        <is>
          <t>FARMSTAY - Escargot Noblesse Intensive Cream [50g] / Крем с муцином королевской улитки</t>
        </is>
      </c>
      <c r="B45" s="17" t="n">
        <v>169076150</v>
      </c>
      <c r="C45" s="18" t="n">
        <v>835</v>
      </c>
      <c r="D45" s="18" t="n">
        <v>474</v>
      </c>
      <c r="E45" s="18" t="n">
        <v>551</v>
      </c>
      <c r="F45" s="18">
        <f>MAX(D45,E45)</f>
        <v/>
      </c>
      <c r="G45" s="18">
        <f>MIN(C45,MAX(F45,$B$2))</f>
        <v/>
      </c>
      <c r="H45" s="18" t="n">
        <v>822</v>
      </c>
      <c r="I45" s="18" t="n">
        <v>133</v>
      </c>
      <c r="J45" s="18">
        <f>G45*H45</f>
        <v/>
      </c>
      <c r="K45" s="18">
        <f>G45*I45</f>
        <v/>
      </c>
      <c r="L45" s="13" t="inlineStr">
        <is>
          <t>★ Драйвер</t>
        </is>
      </c>
    </row>
    <row r="46">
      <c r="A46" s="17" t="inlineStr">
        <is>
          <t>FARMSTAY - Gold Snail Premium Cream [50ml] / Омолаживающий крем с муцином улитки и коллоидным золотом</t>
        </is>
      </c>
      <c r="B46" s="17" t="n">
        <v>207469760</v>
      </c>
      <c r="C46" s="18" t="n">
        <v>852</v>
      </c>
      <c r="D46" s="18" t="n">
        <v>460</v>
      </c>
      <c r="E46" s="18" t="n">
        <v>519</v>
      </c>
      <c r="F46" s="18">
        <f>MAX(D46,E46)</f>
        <v/>
      </c>
      <c r="G46" s="18">
        <f>MIN(C46,MAX(F46,$B$2))</f>
        <v/>
      </c>
      <c r="H46" s="18" t="n">
        <v>1445</v>
      </c>
      <c r="I46" s="18" t="n">
        <v>396</v>
      </c>
      <c r="J46" s="18">
        <f>G46*H46</f>
        <v/>
      </c>
      <c r="K46" s="18">
        <f>G46*I46</f>
        <v/>
      </c>
      <c r="L46" s="13" t="inlineStr">
        <is>
          <t>★ Драйвер</t>
        </is>
      </c>
    </row>
    <row r="47">
      <c r="A47" s="17" t="inlineStr">
        <is>
          <t>FARMSTAY - Argan Oil Complete Volume Up Shampoo &amp; Conditioner [530ml] / Шампунь-кондиционер с аргановым маслом</t>
        </is>
      </c>
      <c r="B47" s="17" t="n">
        <v>207476309</v>
      </c>
      <c r="C47" s="18" t="n">
        <v>2298</v>
      </c>
      <c r="D47" s="18" t="n">
        <v>85</v>
      </c>
      <c r="E47" s="18" t="n">
        <v>437</v>
      </c>
      <c r="F47" s="18">
        <f>MAX(D47,E47)</f>
        <v/>
      </c>
      <c r="G47" s="18">
        <f>MIN(C47,MAX(F47,$B$2))</f>
        <v/>
      </c>
      <c r="H47" s="18" t="n">
        <v>1029</v>
      </c>
      <c r="I47" s="18" t="n">
        <v>172</v>
      </c>
      <c r="J47" s="18">
        <f>G47*H47</f>
        <v/>
      </c>
      <c r="K47" s="18">
        <f>G47*I47</f>
        <v/>
      </c>
      <c r="L47" s="13" t="inlineStr">
        <is>
          <t>★ Драйвер</t>
        </is>
      </c>
    </row>
    <row r="48">
      <c r="A48" s="17" t="inlineStr">
        <is>
          <t>FARMSTAY - Collagen Water Full Shampoo &amp; Conditioner [530ml] / Шампунь-кондиционер 2в1 с коллагеном</t>
        </is>
      </c>
      <c r="B48" s="17" t="n">
        <v>207475898</v>
      </c>
      <c r="C48" s="18" t="n">
        <v>3374</v>
      </c>
      <c r="D48" s="18" t="n">
        <v>134</v>
      </c>
      <c r="E48" s="18" t="n">
        <v>349</v>
      </c>
      <c r="F48" s="18">
        <f>MAX(D48,E48)</f>
        <v/>
      </c>
      <c r="G48" s="18">
        <f>MIN(C48,MAX(F48,$B$2))</f>
        <v/>
      </c>
      <c r="H48" s="18" t="n">
        <v>1029</v>
      </c>
      <c r="I48" s="18" t="n">
        <v>179</v>
      </c>
      <c r="J48" s="18">
        <f>G48*H48</f>
        <v/>
      </c>
      <c r="K48" s="18">
        <f>G48*I48</f>
        <v/>
      </c>
      <c r="L48" s="13" t="inlineStr">
        <is>
          <t>★ Драйвер</t>
        </is>
      </c>
    </row>
    <row r="49">
      <c r="A49" s="13" t="inlineStr">
        <is>
          <t>FARMSTAY ESCARGOT NOBLESSE INTENSIVE AMPOULE/ сыворотка с улиткой</t>
        </is>
      </c>
      <c r="B49" s="13" t="n">
        <v>419630142</v>
      </c>
      <c r="C49" s="5" t="n">
        <v>821</v>
      </c>
      <c r="D49" s="5" t="n">
        <v>158</v>
      </c>
      <c r="E49" s="5" t="n">
        <v>219</v>
      </c>
      <c r="F49" s="5">
        <f>MAX(D49,E49)</f>
        <v/>
      </c>
      <c r="G49" s="5">
        <f>MIN(C49,MAX(F49,$B$2))</f>
        <v/>
      </c>
      <c r="H49" s="5" t="n">
        <v>936</v>
      </c>
      <c r="I49" s="5" t="n">
        <v>117</v>
      </c>
      <c r="J49" s="5">
        <f>G49*H49</f>
        <v/>
      </c>
      <c r="K49" s="5">
        <f>G49*I49</f>
        <v/>
      </c>
      <c r="L49" s="13" t="inlineStr">
        <is>
          <t>Рабочий</t>
        </is>
      </c>
    </row>
    <row r="50">
      <c r="A50" s="13" t="inlineStr">
        <is>
          <t>FARMSTAY - Collagen Water Full Moist Cream [100g] / Увлажняющий крем с коллагеном</t>
        </is>
      </c>
      <c r="B50" s="13" t="n">
        <v>207477077</v>
      </c>
      <c r="C50" s="5" t="n">
        <v>239</v>
      </c>
      <c r="D50" s="5" t="n">
        <v>64</v>
      </c>
      <c r="E50" s="5" t="n">
        <v>196</v>
      </c>
      <c r="F50" s="5">
        <f>MAX(D50,E50)</f>
        <v/>
      </c>
      <c r="G50" s="5">
        <f>MIN(C50,MAX(F50,$B$2))</f>
        <v/>
      </c>
      <c r="H50" s="5" t="n">
        <v>1341</v>
      </c>
      <c r="I50" s="5" t="n">
        <v>271</v>
      </c>
      <c r="J50" s="5">
        <f>G50*H50</f>
        <v/>
      </c>
      <c r="K50" s="5">
        <f>G50*I50</f>
        <v/>
      </c>
      <c r="L50" s="13" t="inlineStr">
        <is>
          <t>Рабочий</t>
        </is>
      </c>
    </row>
    <row r="51">
      <c r="A51" s="13" t="inlineStr">
        <is>
          <t>FARMSTAY - Collagen Water Full Moist Rolling Eye Serum [25ml] / Сыворотка роллер для глаз</t>
        </is>
      </c>
      <c r="B51" s="13" t="n">
        <v>212885914</v>
      </c>
      <c r="C51" s="5" t="n">
        <v>156</v>
      </c>
      <c r="D51" s="5" t="n">
        <v>124</v>
      </c>
      <c r="E51" s="5" t="n">
        <v>77</v>
      </c>
      <c r="F51" s="5">
        <f>MAX(D51,E51)</f>
        <v/>
      </c>
      <c r="G51" s="5">
        <f>MIN(C51,MAX(F51,$B$2))</f>
        <v/>
      </c>
      <c r="H51" s="5" t="n">
        <v>718</v>
      </c>
      <c r="I51" s="5" t="n">
        <v>151</v>
      </c>
      <c r="J51" s="5">
        <f>G51*H51</f>
        <v/>
      </c>
      <c r="K51" s="5">
        <f>G51*I51</f>
        <v/>
      </c>
      <c r="L51" s="13" t="inlineStr">
        <is>
          <t>Рабочий</t>
        </is>
      </c>
    </row>
    <row r="52">
      <c r="A52" s="13" t="inlineStr">
        <is>
          <t>FARMSTAY - Collagen Pure Cleansing Foam [180ml]/Пенка для умывания</t>
        </is>
      </c>
      <c r="B52" s="13" t="n">
        <v>207476777</v>
      </c>
      <c r="C52" s="5" t="n">
        <v>382</v>
      </c>
      <c r="D52" s="5" t="n">
        <v>33</v>
      </c>
      <c r="E52" s="5" t="n">
        <v>46</v>
      </c>
      <c r="F52" s="5">
        <f>MAX(D52,E52)</f>
        <v/>
      </c>
      <c r="G52" s="5">
        <f>MIN(C52,MAX(F52,$B$2))</f>
        <v/>
      </c>
      <c r="H52" s="5" t="n">
        <v>613</v>
      </c>
      <c r="I52" s="5" t="n">
        <v>152</v>
      </c>
      <c r="J52" s="5">
        <f>G52*H52</f>
        <v/>
      </c>
      <c r="K52" s="5">
        <f>G52*I52</f>
        <v/>
      </c>
      <c r="L52" s="13" t="inlineStr">
        <is>
          <t>Разогнать рекламой+отзывы</t>
        </is>
      </c>
    </row>
    <row r="53">
      <c r="A53" s="14" t="inlineStr">
        <is>
          <t>ИТОГО FARMSTAY</t>
        </is>
      </c>
      <c r="B53" s="15" t="n"/>
      <c r="C53" s="16">
        <f>SUM(C43:C52)</f>
        <v/>
      </c>
      <c r="D53" s="15" t="n"/>
      <c r="E53" s="15" t="n"/>
      <c r="F53" s="15" t="n"/>
      <c r="G53" s="16">
        <f>SUM(G43:G52)</f>
        <v/>
      </c>
      <c r="H53" s="15" t="n"/>
      <c r="I53" s="15" t="n"/>
      <c r="J53" s="16">
        <f>SUM(J43:J52)</f>
        <v/>
      </c>
      <c r="K53" s="16">
        <f>SUM(K43:K52)</f>
        <v/>
      </c>
      <c r="L53" s="15" t="n"/>
    </row>
    <row r="54">
      <c r="A54" s="11" t="inlineStr">
        <is>
          <t>Косметика/HEIMISH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>
      <c r="A55" s="13" t="inlineStr">
        <is>
          <t>HEIMISH - Artless Glow Base SPF50+ PA+++(Renew) [40ml] / База под макияж SPF50+ PA+++</t>
        </is>
      </c>
      <c r="B55" s="13" t="n">
        <v>207466866</v>
      </c>
      <c r="C55" s="5" t="n">
        <v>930</v>
      </c>
      <c r="D55" s="5" t="n">
        <v>9</v>
      </c>
      <c r="E55" s="5" t="n">
        <v>200</v>
      </c>
      <c r="F55" s="5">
        <f>MAX(D55,E55)</f>
        <v/>
      </c>
      <c r="G55" s="5">
        <f>MIN(C55,MAX(F55,$B$2))</f>
        <v/>
      </c>
      <c r="H55" s="5" t="n">
        <v>1775</v>
      </c>
      <c r="I55" s="5" t="n">
        <v>231</v>
      </c>
      <c r="J55" s="5">
        <f>G55*H55</f>
        <v/>
      </c>
      <c r="K55" s="5">
        <f>G55*I55</f>
        <v/>
      </c>
      <c r="L55" s="13" t="inlineStr">
        <is>
          <t>Рабочий</t>
        </is>
      </c>
    </row>
    <row r="56">
      <c r="A56" s="14" t="inlineStr">
        <is>
          <t>ИТОГО HEIMISH</t>
        </is>
      </c>
      <c r="B56" s="15" t="n"/>
      <c r="C56" s="16">
        <f>SUM(C55:C55)</f>
        <v/>
      </c>
      <c r="D56" s="15" t="n"/>
      <c r="E56" s="15" t="n"/>
      <c r="F56" s="15" t="n"/>
      <c r="G56" s="16">
        <f>SUM(G55:G55)</f>
        <v/>
      </c>
      <c r="H56" s="15" t="n"/>
      <c r="I56" s="15" t="n"/>
      <c r="J56" s="16">
        <f>SUM(J55:J55)</f>
        <v/>
      </c>
      <c r="K56" s="16">
        <f>SUM(K55:K55)</f>
        <v/>
      </c>
      <c r="L56" s="15" t="n"/>
    </row>
    <row r="57">
      <c r="A57" s="11" t="inlineStr">
        <is>
          <t>Косметика/JIGOTT/JIGOTT-CREAM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7" t="inlineStr">
        <is>
          <t>JIGOTT - Snail Lifting Cream [70ml] / Крем для лица увлажняющий антивозрастной</t>
        </is>
      </c>
      <c r="B58" s="17" t="n">
        <v>207482718</v>
      </c>
      <c r="C58" s="18" t="n">
        <v>7139</v>
      </c>
      <c r="D58" s="18" t="n">
        <v>681</v>
      </c>
      <c r="E58" s="18" t="n">
        <v>555</v>
      </c>
      <c r="F58" s="18">
        <f>MAX(D58,E58)</f>
        <v/>
      </c>
      <c r="G58" s="18">
        <f>MIN(C58,MAX(F58,$B$2))</f>
        <v/>
      </c>
      <c r="H58" s="18" t="n">
        <v>614</v>
      </c>
      <c r="I58" s="18" t="n">
        <v>118</v>
      </c>
      <c r="J58" s="18">
        <f>G58*H58</f>
        <v/>
      </c>
      <c r="K58" s="18">
        <f>G58*I58</f>
        <v/>
      </c>
      <c r="L58" s="13" t="inlineStr">
        <is>
          <t>★ Драйвер</t>
        </is>
      </c>
    </row>
    <row r="59">
      <c r="A59" s="13" t="inlineStr">
        <is>
          <t>JIGOTT - Snail Reparing Cream [100ml] / Крем для лица увлажняющий антивозрастной с муцином улитки</t>
        </is>
      </c>
      <c r="B59" s="13" t="n">
        <v>207483179</v>
      </c>
      <c r="C59" s="5" t="n">
        <v>777</v>
      </c>
      <c r="D59" s="5" t="n">
        <v>217</v>
      </c>
      <c r="E59" s="5" t="n">
        <v>202</v>
      </c>
      <c r="F59" s="5">
        <f>MAX(D59,E59)</f>
        <v/>
      </c>
      <c r="G59" s="5">
        <f>MIN(C59,MAX(F59,$B$2))</f>
        <v/>
      </c>
      <c r="H59" s="5" t="n">
        <v>510</v>
      </c>
      <c r="I59" s="5" t="n">
        <v>72</v>
      </c>
      <c r="J59" s="5">
        <f>G59*H59</f>
        <v/>
      </c>
      <c r="K59" s="5">
        <f>G59*I59</f>
        <v/>
      </c>
      <c r="L59" s="13" t="inlineStr">
        <is>
          <t>Рабочий</t>
        </is>
      </c>
    </row>
    <row r="60">
      <c r="A60" s="13" t="inlineStr">
        <is>
          <t>JIGOTT - Birds Nest Firming Cream [70ml] / Антивозрастной крем с экстрактом ласточкиного гнезда</t>
        </is>
      </c>
      <c r="B60" s="13" t="n">
        <v>207483780</v>
      </c>
      <c r="C60" s="5" t="n">
        <v>1598</v>
      </c>
      <c r="D60" s="5" t="n">
        <v>152</v>
      </c>
      <c r="E60" s="5" t="n">
        <v>94</v>
      </c>
      <c r="F60" s="5">
        <f>MAX(D60,E60)</f>
        <v/>
      </c>
      <c r="G60" s="5">
        <f>MIN(C60,MAX(F60,$B$2))</f>
        <v/>
      </c>
      <c r="H60" s="5" t="n">
        <v>613</v>
      </c>
      <c r="I60" s="5" t="n">
        <v>123</v>
      </c>
      <c r="J60" s="5">
        <f>G60*H60</f>
        <v/>
      </c>
      <c r="K60" s="5">
        <f>G60*I60</f>
        <v/>
      </c>
      <c r="L60" s="13" t="inlineStr">
        <is>
          <t>Рабочий</t>
        </is>
      </c>
    </row>
    <row r="61">
      <c r="A61" s="14" t="inlineStr">
        <is>
          <t>ИТОГО JIGOTT/JIGOTT-CREAM</t>
        </is>
      </c>
      <c r="B61" s="15" t="n"/>
      <c r="C61" s="16">
        <f>SUM(C58:C60)</f>
        <v/>
      </c>
      <c r="D61" s="15" t="n"/>
      <c r="E61" s="15" t="n"/>
      <c r="F61" s="15" t="n"/>
      <c r="G61" s="16">
        <f>SUM(G58:G60)</f>
        <v/>
      </c>
      <c r="H61" s="15" t="n"/>
      <c r="I61" s="15" t="n"/>
      <c r="J61" s="16">
        <f>SUM(J58:J60)</f>
        <v/>
      </c>
      <c r="K61" s="16">
        <f>SUM(K58:K60)</f>
        <v/>
      </c>
      <c r="L61" s="15" t="n"/>
    </row>
    <row r="62">
      <c r="A62" s="11" t="inlineStr">
        <is>
          <t>Косметика/JIGOTT/JIGOTT-MASK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>
      <c r="A63" s="13" t="inlineStr">
        <is>
          <t>JIGOTT - Ассорти набор масок [27ml х 15]</t>
        </is>
      </c>
      <c r="B63" s="13" t="n">
        <v>255574453</v>
      </c>
      <c r="C63" s="5" t="n">
        <v>1302</v>
      </c>
      <c r="D63" s="5" t="n">
        <v>240</v>
      </c>
      <c r="E63" s="5" t="n">
        <v>23</v>
      </c>
      <c r="F63" s="5">
        <f>MAX(D63,E63)</f>
        <v/>
      </c>
      <c r="G63" s="5">
        <f>MIN(C63,MAX(F63,$B$2))</f>
        <v/>
      </c>
      <c r="H63" s="5" t="n">
        <v>925</v>
      </c>
      <c r="I63" s="5" t="n">
        <v>154</v>
      </c>
      <c r="J63" s="5">
        <f>G63*H63</f>
        <v/>
      </c>
      <c r="K63" s="5">
        <f>G63*I63</f>
        <v/>
      </c>
      <c r="L63" s="13" t="inlineStr">
        <is>
          <t>Рабочий</t>
        </is>
      </c>
    </row>
    <row r="64">
      <c r="A64" s="14" t="inlineStr">
        <is>
          <t>ИТОГО JIGOTT/JIGOTT-MASK</t>
        </is>
      </c>
      <c r="B64" s="15" t="n"/>
      <c r="C64" s="16">
        <f>SUM(C63:C63)</f>
        <v/>
      </c>
      <c r="D64" s="15" t="n"/>
      <c r="E64" s="15" t="n"/>
      <c r="F64" s="15" t="n"/>
      <c r="G64" s="16">
        <f>SUM(G63:G63)</f>
        <v/>
      </c>
      <c r="H64" s="15" t="n"/>
      <c r="I64" s="15" t="n"/>
      <c r="J64" s="16">
        <f>SUM(J63:J63)</f>
        <v/>
      </c>
      <c r="K64" s="16">
        <f>SUM(K63:K63)</f>
        <v/>
      </c>
      <c r="L64" s="15" t="n"/>
    </row>
    <row r="65">
      <c r="A65" s="11" t="inlineStr">
        <is>
          <t>Косметика/JIGOTT/JIGOTT-TONER</t>
        </is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>
      <c r="A66" s="17" t="inlineStr">
        <is>
          <t>JIGOTT - Ultimate Real Collagen Toner [300ml] / тонер с коллагеном антивозрастной</t>
        </is>
      </c>
      <c r="B66" s="17" t="n">
        <v>212760119</v>
      </c>
      <c r="C66" s="18" t="n">
        <v>1134</v>
      </c>
      <c r="D66" s="18" t="n">
        <v>405</v>
      </c>
      <c r="E66" s="18" t="n">
        <v>109</v>
      </c>
      <c r="F66" s="18">
        <f>MAX(D66,E66)</f>
        <v/>
      </c>
      <c r="G66" s="18">
        <f>MIN(C66,MAX(F66,$B$2))</f>
        <v/>
      </c>
      <c r="H66" s="18" t="n">
        <v>821</v>
      </c>
      <c r="I66" s="18" t="n">
        <v>157</v>
      </c>
      <c r="J66" s="18">
        <f>G66*H66</f>
        <v/>
      </c>
      <c r="K66" s="18">
        <f>G66*I66</f>
        <v/>
      </c>
      <c r="L66" s="13" t="inlineStr">
        <is>
          <t>★ Драйвер</t>
        </is>
      </c>
    </row>
    <row r="67">
      <c r="A67" s="13" t="inlineStr">
        <is>
          <t>JIGOTT - Daily Real Cica Toner [300ml] / Тонер для лица с центеллой азиатской</t>
        </is>
      </c>
      <c r="B67" s="13" t="n">
        <v>212757456</v>
      </c>
      <c r="C67" s="5" t="n">
        <v>1185</v>
      </c>
      <c r="D67" s="5" t="n">
        <v>280</v>
      </c>
      <c r="E67" s="5" t="n">
        <v>191</v>
      </c>
      <c r="F67" s="5">
        <f>MAX(D67,E67)</f>
        <v/>
      </c>
      <c r="G67" s="5">
        <f>MIN(C67,MAX(F67,$B$2))</f>
        <v/>
      </c>
      <c r="H67" s="5" t="n">
        <v>821</v>
      </c>
      <c r="I67" s="5" t="n">
        <v>112</v>
      </c>
      <c r="J67" s="5">
        <f>G67*H67</f>
        <v/>
      </c>
      <c r="K67" s="5">
        <f>G67*I67</f>
        <v/>
      </c>
      <c r="L67" s="13" t="inlineStr">
        <is>
          <t>Рабочий</t>
        </is>
      </c>
    </row>
    <row r="68">
      <c r="A68" s="13" t="inlineStr">
        <is>
          <t>JIGOTT - Moisture Real Aloe Vera Toner [300ml] / Тонер для лица увлажняющий с экстрактом алоэ</t>
        </is>
      </c>
      <c r="B68" s="13" t="n">
        <v>212759698</v>
      </c>
      <c r="C68" s="5" t="n">
        <v>202</v>
      </c>
      <c r="D68" s="5" t="n">
        <v>128</v>
      </c>
      <c r="E68" s="5" t="n">
        <v>47</v>
      </c>
      <c r="F68" s="5">
        <f>MAX(D68,E68)</f>
        <v/>
      </c>
      <c r="G68" s="5">
        <f>MIN(C68,MAX(F68,$B$2))</f>
        <v/>
      </c>
      <c r="H68" s="5" t="n">
        <v>717</v>
      </c>
      <c r="I68" s="5" t="n">
        <v>94</v>
      </c>
      <c r="J68" s="5">
        <f>G68*H68</f>
        <v/>
      </c>
      <c r="K68" s="5">
        <f>G68*I68</f>
        <v/>
      </c>
      <c r="L68" s="13" t="inlineStr">
        <is>
          <t>Рабочий</t>
        </is>
      </c>
    </row>
    <row r="69">
      <c r="A69" s="13" t="inlineStr">
        <is>
          <t>JIGOTT - Aura Secret Hyaluronec Acid Toner [300ml] / Тонер с гиалуроновой кислотой антивозрастной</t>
        </is>
      </c>
      <c r="B69" s="13" t="n">
        <v>212883090</v>
      </c>
      <c r="C69" s="5" t="n">
        <v>222</v>
      </c>
      <c r="D69" s="5" t="n">
        <v>112</v>
      </c>
      <c r="E69" s="5" t="n">
        <v>50</v>
      </c>
      <c r="F69" s="5">
        <f>MAX(D69,E69)</f>
        <v/>
      </c>
      <c r="G69" s="5">
        <f>MIN(C69,MAX(F69,$B$2))</f>
        <v/>
      </c>
      <c r="H69" s="5" t="n">
        <v>821</v>
      </c>
      <c r="I69" s="5" t="n">
        <v>165</v>
      </c>
      <c r="J69" s="5">
        <f>G69*H69</f>
        <v/>
      </c>
      <c r="K69" s="5">
        <f>G69*I69</f>
        <v/>
      </c>
      <c r="L69" s="13" t="inlineStr">
        <is>
          <t>Рабочий</t>
        </is>
      </c>
    </row>
    <row r="70">
      <c r="A70" s="14" t="inlineStr">
        <is>
          <t>ИТОГО JIGOTT/JIGOTT-TONER</t>
        </is>
      </c>
      <c r="B70" s="15" t="n"/>
      <c r="C70" s="16">
        <f>SUM(C66:C69)</f>
        <v/>
      </c>
      <c r="D70" s="15" t="n"/>
      <c r="E70" s="15" t="n"/>
      <c r="F70" s="15" t="n"/>
      <c r="G70" s="16">
        <f>SUM(G66:G69)</f>
        <v/>
      </c>
      <c r="H70" s="15" t="n"/>
      <c r="I70" s="15" t="n"/>
      <c r="J70" s="16">
        <f>SUM(J66:J69)</f>
        <v/>
      </c>
      <c r="K70" s="16">
        <f>SUM(K66:K69)</f>
        <v/>
      </c>
      <c r="L70" s="15" t="n"/>
    </row>
    <row r="71">
      <c r="A71" s="11" t="inlineStr">
        <is>
          <t>Косметика/JMSOLUTION/JM-MASKPACKBLACK</t>
        </is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</row>
    <row r="72">
      <c r="A72" s="13" t="inlineStr">
        <is>
          <t>JMSOLUTION - MASK PACK BLACK [30ml*10ea] - ассорти набор 10шт в упаковке</t>
        </is>
      </c>
      <c r="B72" s="13" t="n">
        <v>214977901</v>
      </c>
      <c r="C72" s="5" t="n">
        <v>980</v>
      </c>
      <c r="D72" s="5" t="n">
        <v>164</v>
      </c>
      <c r="E72" s="5" t="n">
        <v>27</v>
      </c>
      <c r="F72" s="5">
        <f>MAX(D72,E72)</f>
        <v/>
      </c>
      <c r="G72" s="5">
        <f>MIN(C72,MAX(F72,$B$2))</f>
        <v/>
      </c>
      <c r="H72" s="5" t="n">
        <v>1133</v>
      </c>
      <c r="I72" s="5" t="n">
        <v>175</v>
      </c>
      <c r="J72" s="5">
        <f>G72*H72</f>
        <v/>
      </c>
      <c r="K72" s="5">
        <f>G72*I72</f>
        <v/>
      </c>
      <c r="L72" s="13" t="inlineStr">
        <is>
          <t>Рабочий</t>
        </is>
      </c>
    </row>
    <row r="73">
      <c r="A73" s="14" t="inlineStr">
        <is>
          <t>ИТОГО JMSOLUTION/JM-MASKPACKBLACK</t>
        </is>
      </c>
      <c r="B73" s="15" t="n"/>
      <c r="C73" s="16">
        <f>SUM(C72:C72)</f>
        <v/>
      </c>
      <c r="D73" s="15" t="n"/>
      <c r="E73" s="15" t="n"/>
      <c r="F73" s="15" t="n"/>
      <c r="G73" s="16">
        <f>SUM(G72:G72)</f>
        <v/>
      </c>
      <c r="H73" s="15" t="n"/>
      <c r="I73" s="15" t="n"/>
      <c r="J73" s="16">
        <f>SUM(J72:J72)</f>
        <v/>
      </c>
      <c r="K73" s="16">
        <f>SUM(K72:K72)</f>
        <v/>
      </c>
      <c r="L73" s="15" t="n"/>
    </row>
    <row r="74">
      <c r="A74" s="11" t="inlineStr">
        <is>
          <t>Косметика/JMSOLUTION/JM-MASKPACKDISNEY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>
      <c r="A75" s="13" t="inlineStr">
        <is>
          <t>JMSOLUTION - MASK PACK DISNEY [30ml*10ea] - ассорти набор из 10шт</t>
        </is>
      </c>
      <c r="B75" s="13" t="n">
        <v>214964091</v>
      </c>
      <c r="C75" s="5" t="n">
        <v>832</v>
      </c>
      <c r="D75" s="5" t="n">
        <v>0</v>
      </c>
      <c r="E75" s="5" t="n">
        <v>170</v>
      </c>
      <c r="F75" s="5">
        <f>MAX(D75,E75)</f>
        <v/>
      </c>
      <c r="G75" s="5">
        <f>MIN(C75,MAX(F75,$B$2))</f>
        <v/>
      </c>
      <c r="H75" s="5" t="n">
        <v>1341</v>
      </c>
      <c r="I75" s="5" t="n">
        <v>318</v>
      </c>
      <c r="J75" s="5">
        <f>G75*H75</f>
        <v/>
      </c>
      <c r="K75" s="5">
        <f>G75*I75</f>
        <v/>
      </c>
      <c r="L75" s="13" t="inlineStr">
        <is>
          <t>Рабочий</t>
        </is>
      </c>
    </row>
    <row r="76">
      <c r="A76" s="14" t="inlineStr">
        <is>
          <t>ИТОГО JMSOLUTION/JM-MASKPACKDISNEY</t>
        </is>
      </c>
      <c r="B76" s="15" t="n"/>
      <c r="C76" s="16">
        <f>SUM(C75:C75)</f>
        <v/>
      </c>
      <c r="D76" s="15" t="n"/>
      <c r="E76" s="15" t="n"/>
      <c r="F76" s="15" t="n"/>
      <c r="G76" s="16">
        <f>SUM(G75:G75)</f>
        <v/>
      </c>
      <c r="H76" s="15" t="n"/>
      <c r="I76" s="15" t="n"/>
      <c r="J76" s="16">
        <f>SUM(J75:J75)</f>
        <v/>
      </c>
      <c r="K76" s="16">
        <f>SUM(K75:K75)</f>
        <v/>
      </c>
      <c r="L76" s="15" t="n"/>
    </row>
    <row r="77">
      <c r="A77" s="11" t="inlineStr">
        <is>
          <t>Косметика/LEBELAGE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3" t="inlineStr">
        <is>
          <t>LEBELAGE - Dr. Peptide Derma Eye Cream [40ml] / Крем для глаз антивозрастной с пептидами</t>
        </is>
      </c>
      <c r="B78" s="13" t="n">
        <v>210575566</v>
      </c>
      <c r="C78" s="5" t="n">
        <v>353</v>
      </c>
      <c r="D78" s="5" t="n">
        <v>15</v>
      </c>
      <c r="E78" s="5" t="n">
        <v>20</v>
      </c>
      <c r="F78" s="5">
        <f>MAX(D78,E78)</f>
        <v/>
      </c>
      <c r="G78" s="5">
        <f>MIN(C78,MAX(F78,$B$2))</f>
        <v/>
      </c>
      <c r="H78" s="5" t="n">
        <v>510</v>
      </c>
      <c r="I78" s="5" t="n">
        <v>155</v>
      </c>
      <c r="J78" s="5">
        <f>G78*H78</f>
        <v/>
      </c>
      <c r="K78" s="5">
        <f>G78*I78</f>
        <v/>
      </c>
      <c r="L78" s="13" t="inlineStr">
        <is>
          <t>Разогнать рекламой+отзывы</t>
        </is>
      </c>
    </row>
    <row r="79">
      <c r="A79" s="14" t="inlineStr">
        <is>
          <t>ИТОГО LEBELAGE</t>
        </is>
      </c>
      <c r="B79" s="15" t="n"/>
      <c r="C79" s="16">
        <f>SUM(C78:C78)</f>
        <v/>
      </c>
      <c r="D79" s="15" t="n"/>
      <c r="E79" s="15" t="n"/>
      <c r="F79" s="15" t="n"/>
      <c r="G79" s="16">
        <f>SUM(G78:G78)</f>
        <v/>
      </c>
      <c r="H79" s="15" t="n"/>
      <c r="I79" s="15" t="n"/>
      <c r="J79" s="16">
        <f>SUM(J78:J78)</f>
        <v/>
      </c>
      <c r="K79" s="16">
        <f>SUM(K78:K78)</f>
        <v/>
      </c>
      <c r="L79" s="15" t="n"/>
    </row>
    <row r="80">
      <c r="A80" s="11" t="inlineStr">
        <is>
          <t>Косметика/LANEIGE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</row>
    <row r="81">
      <c r="A81" s="13" t="inlineStr">
        <is>
          <t>LANEIGE LIP SLEEPING MASK-BERRY [3g]</t>
        </is>
      </c>
      <c r="B81" s="13" t="n">
        <v>868761530</v>
      </c>
      <c r="C81" s="5" t="n">
        <v>226</v>
      </c>
      <c r="D81" s="5" t="n">
        <v>0</v>
      </c>
      <c r="E81" s="5" t="n">
        <v>220</v>
      </c>
      <c r="F81" s="5">
        <f>MAX(D81,E81)</f>
        <v/>
      </c>
      <c r="G81" s="5">
        <f>MIN(C81,MAX(F81,$B$2))</f>
        <v/>
      </c>
      <c r="H81" s="5" t="n">
        <v>509</v>
      </c>
      <c r="I81" s="5" t="n">
        <v>139</v>
      </c>
      <c r="J81" s="5">
        <f>G81*H81</f>
        <v/>
      </c>
      <c r="K81" s="5">
        <f>G81*I81</f>
        <v/>
      </c>
      <c r="L81" s="13" t="inlineStr">
        <is>
          <t>Рабочий</t>
        </is>
      </c>
    </row>
    <row r="82">
      <c r="A82" s="14" t="inlineStr">
        <is>
          <t>ИТОГО LANEIGE</t>
        </is>
      </c>
      <c r="B82" s="15" t="n"/>
      <c r="C82" s="16">
        <f>SUM(C81:C81)</f>
        <v/>
      </c>
      <c r="D82" s="15" t="n"/>
      <c r="E82" s="15" t="n"/>
      <c r="F82" s="15" t="n"/>
      <c r="G82" s="16">
        <f>SUM(G81:G81)</f>
        <v/>
      </c>
      <c r="H82" s="15" t="n"/>
      <c r="I82" s="15" t="n"/>
      <c r="J82" s="16">
        <f>SUM(J81:J81)</f>
        <v/>
      </c>
      <c r="K82" s="16">
        <f>SUM(K81:K81)</f>
        <v/>
      </c>
      <c r="L82" s="15" t="n"/>
    </row>
    <row r="83">
      <c r="A83" s="11" t="inlineStr">
        <is>
          <t>Косметика/MANYO</t>
        </is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</row>
    <row r="84">
      <c r="A84" s="13" t="inlineStr">
        <is>
          <t>MANYO - Bifida Biome Complex Ampoule [50ml] / Антивозрастная сыворотка для лица</t>
        </is>
      </c>
      <c r="B84" s="13" t="n">
        <v>198147185</v>
      </c>
      <c r="C84" s="5" t="n">
        <v>1246</v>
      </c>
      <c r="D84" s="5" t="n">
        <v>206</v>
      </c>
      <c r="E84" s="5" t="n">
        <v>142</v>
      </c>
      <c r="F84" s="5">
        <f>MAX(D84,E84)</f>
        <v/>
      </c>
      <c r="G84" s="5">
        <f>MIN(C84,MAX(F84,$B$2))</f>
        <v/>
      </c>
      <c r="H84" s="5" t="n">
        <v>2795</v>
      </c>
      <c r="I84" s="5" t="n">
        <v>759</v>
      </c>
      <c r="J84" s="5">
        <f>G84*H84</f>
        <v/>
      </c>
      <c r="K84" s="5">
        <f>G84*I84</f>
        <v/>
      </c>
      <c r="L84" s="13" t="inlineStr">
        <is>
          <t>Рабочий</t>
        </is>
      </c>
    </row>
    <row r="85">
      <c r="A85" s="13" t="inlineStr">
        <is>
          <t>MANYO - Galac Whitening Vita Serum [50ml] / Осветляющая сыворотка с Витамином C</t>
        </is>
      </c>
      <c r="B85" s="13" t="n">
        <v>198156472</v>
      </c>
      <c r="C85" s="5" t="n">
        <v>639</v>
      </c>
      <c r="D85" s="5" t="n">
        <v>179</v>
      </c>
      <c r="E85" s="5" t="n">
        <v>199</v>
      </c>
      <c r="F85" s="5">
        <f>MAX(D85,E85)</f>
        <v/>
      </c>
      <c r="G85" s="5">
        <f>MIN(C85,MAX(F85,$B$2))</f>
        <v/>
      </c>
      <c r="H85" s="5" t="n">
        <v>1860</v>
      </c>
      <c r="I85" s="5" t="n">
        <v>444</v>
      </c>
      <c r="J85" s="5">
        <f>G85*H85</f>
        <v/>
      </c>
      <c r="K85" s="5">
        <f>G85*I85</f>
        <v/>
      </c>
      <c r="L85" s="13" t="inlineStr">
        <is>
          <t>Рабочий</t>
        </is>
      </c>
    </row>
    <row r="86">
      <c r="A86" s="13" t="inlineStr">
        <is>
          <t>MANYO - Bifida Biome Ampoule Lotion [300ml] / Укрепляющий лосьон с бифидобактериями</t>
        </is>
      </c>
      <c r="B86" s="13" t="n">
        <v>198143251</v>
      </c>
      <c r="C86" s="5" t="n">
        <v>490</v>
      </c>
      <c r="D86" s="5" t="n">
        <v>62</v>
      </c>
      <c r="E86" s="5" t="n">
        <v>109</v>
      </c>
      <c r="F86" s="5">
        <f>MAX(D86,E86)</f>
        <v/>
      </c>
      <c r="G86" s="5">
        <f>MIN(C86,MAX(F86,$B$2))</f>
        <v/>
      </c>
      <c r="H86" s="5" t="n">
        <v>1667</v>
      </c>
      <c r="I86" s="5" t="n">
        <v>221</v>
      </c>
      <c r="J86" s="5">
        <f>G86*H86</f>
        <v/>
      </c>
      <c r="K86" s="5">
        <f>G86*I86</f>
        <v/>
      </c>
      <c r="L86" s="13" t="inlineStr">
        <is>
          <t>Рабочий</t>
        </is>
      </c>
    </row>
    <row r="87">
      <c r="A87" s="13" t="inlineStr">
        <is>
          <t>MANYO - Pure Cleansing Oil [200ml] / Гидрофильное масло для глубокого очищения</t>
        </is>
      </c>
      <c r="B87" s="13" t="n">
        <v>198156698</v>
      </c>
      <c r="C87" s="5" t="n">
        <v>151</v>
      </c>
      <c r="D87" s="5" t="n">
        <v>50</v>
      </c>
      <c r="E87" s="5" t="n">
        <v>91</v>
      </c>
      <c r="F87" s="5">
        <f>MAX(D87,E87)</f>
        <v/>
      </c>
      <c r="G87" s="5">
        <f>MIN(C87,MAX(F87,$B$2))</f>
        <v/>
      </c>
      <c r="H87" s="5" t="n">
        <v>2483</v>
      </c>
      <c r="I87" s="5" t="n">
        <v>606</v>
      </c>
      <c r="J87" s="5">
        <f>G87*H87</f>
        <v/>
      </c>
      <c r="K87" s="5">
        <f>G87*I87</f>
        <v/>
      </c>
      <c r="L87" s="13" t="inlineStr">
        <is>
          <t>Разогнать рекламой+отзывы</t>
        </is>
      </c>
    </row>
    <row r="88">
      <c r="A88" s="13" t="inlineStr">
        <is>
          <t>MANYO BIFIDA COMPLEX AMPOULE GEL CLEANSER [400ml] / Гель для умывания с бифидобактериями</t>
        </is>
      </c>
      <c r="B88" s="13" t="n">
        <v>868575374</v>
      </c>
      <c r="C88" s="5" t="n">
        <v>477</v>
      </c>
      <c r="D88" s="5" t="n">
        <v>0</v>
      </c>
      <c r="E88" s="5" t="n">
        <v>87</v>
      </c>
      <c r="F88" s="5">
        <f>MAX(D88,E88)</f>
        <v/>
      </c>
      <c r="G88" s="5">
        <f>MIN(C88,MAX(F88,$B$2))</f>
        <v/>
      </c>
      <c r="H88" s="5" t="n">
        <v>2276</v>
      </c>
      <c r="I88" s="5" t="n">
        <v>542</v>
      </c>
      <c r="J88" s="5">
        <f>G88*H88</f>
        <v/>
      </c>
      <c r="K88" s="5">
        <f>G88*I88</f>
        <v/>
      </c>
      <c r="L88" s="13" t="inlineStr">
        <is>
          <t>Разогнать рекламой+отзывы</t>
        </is>
      </c>
    </row>
    <row r="89">
      <c r="A89" s="13" t="inlineStr">
        <is>
          <t>MANYO BIFIDA INFUSION SHOT AMPOULE 1DX [50ml] / Сыворотка с микроиглами и пробиотиками</t>
        </is>
      </c>
      <c r="B89" s="13" t="n">
        <v>868700077</v>
      </c>
      <c r="C89" s="5" t="n">
        <v>603</v>
      </c>
      <c r="D89" s="5" t="n">
        <v>0</v>
      </c>
      <c r="E89" s="5" t="n">
        <v>40</v>
      </c>
      <c r="F89" s="5">
        <f>MAX(D89,E89)</f>
        <v/>
      </c>
      <c r="G89" s="5">
        <f>MIN(C89,MAX(F89,$B$2))</f>
        <v/>
      </c>
      <c r="H89" s="5" t="n">
        <v>3004</v>
      </c>
      <c r="I89" s="5" t="n">
        <v>690</v>
      </c>
      <c r="J89" s="5">
        <f>G89*H89</f>
        <v/>
      </c>
      <c r="K89" s="5">
        <f>G89*I89</f>
        <v/>
      </c>
      <c r="L89" s="13" t="inlineStr">
        <is>
          <t>Разогнать рекламой+отзывы</t>
        </is>
      </c>
    </row>
    <row r="90">
      <c r="A90" s="14" t="inlineStr">
        <is>
          <t>ИТОГО MANYO</t>
        </is>
      </c>
      <c r="B90" s="15" t="n"/>
      <c r="C90" s="16">
        <f>SUM(C84:C89)</f>
        <v/>
      </c>
      <c r="D90" s="15" t="n"/>
      <c r="E90" s="15" t="n"/>
      <c r="F90" s="15" t="n"/>
      <c r="G90" s="16">
        <f>SUM(G84:G89)</f>
        <v/>
      </c>
      <c r="H90" s="15" t="n"/>
      <c r="I90" s="15" t="n"/>
      <c r="J90" s="16">
        <f>SUM(J84:J89)</f>
        <v/>
      </c>
      <c r="K90" s="16">
        <f>SUM(K84:K89)</f>
        <v/>
      </c>
      <c r="L90" s="15" t="n"/>
    </row>
    <row r="91">
      <c r="A91" s="11" t="inlineStr">
        <is>
          <t>Косметика/MASIL</t>
        </is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</row>
    <row r="92">
      <c r="A92" s="13" t="inlineStr">
        <is>
          <t>MASIL - 8 Seconds Salon Hair Mask 350ml Set [350ml+8ml*2]</t>
        </is>
      </c>
      <c r="B92" s="13" t="n">
        <v>183030830</v>
      </c>
      <c r="C92" s="5" t="n">
        <v>105</v>
      </c>
      <c r="D92" s="5" t="n">
        <v>25</v>
      </c>
      <c r="E92" s="5" t="n">
        <v>7</v>
      </c>
      <c r="F92" s="5">
        <f>MAX(D92,E92)</f>
        <v/>
      </c>
      <c r="G92" s="5">
        <f>MIN(C92,MAX(F92,$B$2))</f>
        <v/>
      </c>
      <c r="H92" s="5" t="n">
        <v>1609</v>
      </c>
      <c r="I92" s="5" t="n">
        <v>201</v>
      </c>
      <c r="J92" s="5">
        <f>G92*H92</f>
        <v/>
      </c>
      <c r="K92" s="5">
        <f>G92*I92</f>
        <v/>
      </c>
      <c r="L92" s="13" t="inlineStr">
        <is>
          <t>Разогнать рекламой+отзывы</t>
        </is>
      </c>
    </row>
    <row r="93">
      <c r="A93" s="14" t="inlineStr">
        <is>
          <t>ИТОГО MASIL</t>
        </is>
      </c>
      <c r="B93" s="15" t="n"/>
      <c r="C93" s="16">
        <f>SUM(C92:C92)</f>
        <v/>
      </c>
      <c r="D93" s="15" t="n"/>
      <c r="E93" s="15" t="n"/>
      <c r="F93" s="15" t="n"/>
      <c r="G93" s="16">
        <f>SUM(G92:G92)</f>
        <v/>
      </c>
      <c r="H93" s="15" t="n"/>
      <c r="I93" s="15" t="n"/>
      <c r="J93" s="16">
        <f>SUM(J92:J92)</f>
        <v/>
      </c>
      <c r="K93" s="16">
        <f>SUM(K92:K92)</f>
        <v/>
      </c>
      <c r="L93" s="15" t="n"/>
    </row>
    <row r="94">
      <c r="A94" s="11" t="inlineStr">
        <is>
          <t>Косметика/PETITFEE/PETITFEE-EYEPATCH</t>
        </is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</row>
    <row r="95">
      <c r="A95" s="13" t="inlineStr">
        <is>
          <t>PETITFEE - Black Pearl &amp; Gold Hydrogel Eye Patch [60ea] / Гидрогелевые патчи для глаз с черным жемчугом и золотом</t>
        </is>
      </c>
      <c r="B95" s="13" t="n">
        <v>151175880</v>
      </c>
      <c r="C95" s="5" t="n">
        <v>549</v>
      </c>
      <c r="D95" s="5" t="n">
        <v>39</v>
      </c>
      <c r="E95" s="5" t="n">
        <v>191</v>
      </c>
      <c r="F95" s="5">
        <f>MAX(D95,E95)</f>
        <v/>
      </c>
      <c r="G95" s="5">
        <f>MIN(C95,MAX(F95,$B$2))</f>
        <v/>
      </c>
      <c r="H95" s="5" t="n">
        <v>939</v>
      </c>
      <c r="I95" s="5" t="n">
        <v>116</v>
      </c>
      <c r="J95" s="5">
        <f>G95*H95</f>
        <v/>
      </c>
      <c r="K95" s="5">
        <f>G95*I95</f>
        <v/>
      </c>
      <c r="L95" s="13" t="inlineStr">
        <is>
          <t>Рабочий</t>
        </is>
      </c>
    </row>
    <row r="96">
      <c r="A96" s="13" t="inlineStr">
        <is>
          <t>PETITFEE - Agave Cooling Hydrogel Eye Patch [60ea] / Охлаждающие гидрогелевые патчи для глаз с экстрактом агавы</t>
        </is>
      </c>
      <c r="B96" s="13" t="n">
        <v>151175877</v>
      </c>
      <c r="C96" s="5" t="n">
        <v>501</v>
      </c>
      <c r="D96" s="5" t="n">
        <v>35</v>
      </c>
      <c r="E96" s="5" t="n">
        <v>145</v>
      </c>
      <c r="F96" s="5">
        <f>MAX(D96,E96)</f>
        <v/>
      </c>
      <c r="G96" s="5">
        <f>MIN(C96,MAX(F96,$B$2))</f>
        <v/>
      </c>
      <c r="H96" s="5" t="n">
        <v>993</v>
      </c>
      <c r="I96" s="5" t="n">
        <v>125</v>
      </c>
      <c r="J96" s="5">
        <f>G96*H96</f>
        <v/>
      </c>
      <c r="K96" s="5">
        <f>G96*I96</f>
        <v/>
      </c>
      <c r="L96" s="13" t="inlineStr">
        <is>
          <t>Рабочий</t>
        </is>
      </c>
    </row>
    <row r="97">
      <c r="A97" s="13" t="inlineStr">
        <is>
          <t>PETITFEE - Gold &amp; Snail Hydrogel Eye Patch [60ea] / Гидрогелевые патчи для глаз с золотом и улиткой</t>
        </is>
      </c>
      <c r="B97" s="13" t="n">
        <v>179611207</v>
      </c>
      <c r="C97" s="5" t="n">
        <v>608</v>
      </c>
      <c r="D97" s="5" t="n">
        <v>42</v>
      </c>
      <c r="E97" s="5" t="n">
        <v>59</v>
      </c>
      <c r="F97" s="5">
        <f>MAX(D97,E97)</f>
        <v/>
      </c>
      <c r="G97" s="5">
        <f>MIN(C97,MAX(F97,$B$2))</f>
        <v/>
      </c>
      <c r="H97" s="5" t="n">
        <v>991</v>
      </c>
      <c r="I97" s="5" t="n">
        <v>125</v>
      </c>
      <c r="J97" s="5">
        <f>G97*H97</f>
        <v/>
      </c>
      <c r="K97" s="5">
        <f>G97*I97</f>
        <v/>
      </c>
      <c r="L97" s="13" t="inlineStr">
        <is>
          <t>Разогнать рекламой+отзывы</t>
        </is>
      </c>
    </row>
    <row r="98">
      <c r="A98" s="13" t="inlineStr">
        <is>
          <t>PETITFEE - Artichoke Soothing Hydrogel Eye Patch [60ea] / Смягчающие гидрогелевые патчи для глаз с экстрактом артишока</t>
        </is>
      </c>
      <c r="B98" s="13" t="n">
        <v>179611278</v>
      </c>
      <c r="C98" s="5" t="n">
        <v>156</v>
      </c>
      <c r="D98" s="5" t="n">
        <v>7</v>
      </c>
      <c r="E98" s="5" t="n">
        <v>49</v>
      </c>
      <c r="F98" s="5">
        <f>MAX(D98,E98)</f>
        <v/>
      </c>
      <c r="G98" s="5">
        <f>MIN(C98,MAX(F98,$B$2))</f>
        <v/>
      </c>
      <c r="H98" s="5" t="n">
        <v>990</v>
      </c>
      <c r="I98" s="5" t="n">
        <v>125</v>
      </c>
      <c r="J98" s="5">
        <f>G98*H98</f>
        <v/>
      </c>
      <c r="K98" s="5">
        <f>G98*I98</f>
        <v/>
      </c>
      <c r="L98" s="13" t="inlineStr">
        <is>
          <t>Разогнать рекламой+отзывы</t>
        </is>
      </c>
    </row>
    <row r="99">
      <c r="A99" s="13" t="inlineStr">
        <is>
          <t>PETITFEE - Bera Glucan Deep Firming Eye Patch [60ea] / Тканевые патчи для век увлажняющие</t>
        </is>
      </c>
      <c r="B99" s="13" t="n">
        <v>180988755</v>
      </c>
      <c r="C99" s="5" t="n">
        <v>406</v>
      </c>
      <c r="D99" s="5" t="n">
        <v>15</v>
      </c>
      <c r="E99" s="5" t="n">
        <v>48</v>
      </c>
      <c r="F99" s="5">
        <f>MAX(D99,E99)</f>
        <v/>
      </c>
      <c r="G99" s="5">
        <f>MIN(C99,MAX(F99,$B$2))</f>
        <v/>
      </c>
      <c r="H99" s="5" t="n">
        <v>1164</v>
      </c>
      <c r="I99" s="5" t="n">
        <v>146</v>
      </c>
      <c r="J99" s="5">
        <f>G99*H99</f>
        <v/>
      </c>
      <c r="K99" s="5">
        <f>G99*I99</f>
        <v/>
      </c>
      <c r="L99" s="13" t="inlineStr">
        <is>
          <t>Разогнать рекламой+отзывы</t>
        </is>
      </c>
    </row>
    <row r="100">
      <c r="A100" s="13" t="inlineStr">
        <is>
          <t>PETITFEE - Gold Hydrogel Eye Patch [60ea] / гидрогелевые патчи для глаз с золотом</t>
        </is>
      </c>
      <c r="B100" s="13" t="n">
        <v>180711104</v>
      </c>
      <c r="C100" s="5" t="n">
        <v>405</v>
      </c>
      <c r="D100" s="5" t="n">
        <v>33</v>
      </c>
      <c r="E100" s="5" t="n">
        <v>36</v>
      </c>
      <c r="F100" s="5">
        <f>MAX(D100,E100)</f>
        <v/>
      </c>
      <c r="G100" s="5">
        <f>MIN(C100,MAX(F100,$B$2))</f>
        <v/>
      </c>
      <c r="H100" s="5" t="n">
        <v>1029</v>
      </c>
      <c r="I100" s="5" t="n">
        <v>151</v>
      </c>
      <c r="J100" s="5">
        <f>G100*H100</f>
        <v/>
      </c>
      <c r="K100" s="5">
        <f>G100*I100</f>
        <v/>
      </c>
      <c r="L100" s="13" t="inlineStr">
        <is>
          <t>Разогнать рекламой+отзывы</t>
        </is>
      </c>
    </row>
    <row r="101">
      <c r="A101" s="13" t="inlineStr">
        <is>
          <t>PETITFEE - Aura Quartz Hydrogel Eye Patch [60ea]</t>
        </is>
      </c>
      <c r="B101" s="13" t="n">
        <v>180992464</v>
      </c>
      <c r="C101" s="5" t="n">
        <v>89</v>
      </c>
      <c r="D101" s="5" t="n">
        <v>28</v>
      </c>
      <c r="E101" s="5" t="n">
        <v>17</v>
      </c>
      <c r="F101" s="5">
        <f>MAX(D101,E101)</f>
        <v/>
      </c>
      <c r="G101" s="5">
        <f>MIN(C101,MAX(F101,$B$2))</f>
        <v/>
      </c>
      <c r="H101" s="5" t="n">
        <v>1394</v>
      </c>
      <c r="I101" s="5" t="n">
        <v>177</v>
      </c>
      <c r="J101" s="5">
        <f>G101*H101</f>
        <v/>
      </c>
      <c r="K101" s="5">
        <f>G101*I101</f>
        <v/>
      </c>
      <c r="L101" s="13" t="inlineStr">
        <is>
          <t>Разогнать рекламой+отзывы</t>
        </is>
      </c>
    </row>
    <row r="102">
      <c r="A102" s="13" t="inlineStr">
        <is>
          <t>PETITFEE - Cacao Energizing Hydrogel Eye Patch [60ea] / Тонизирующие гидрогелевые патчи для глаз с экстрактом какао</t>
        </is>
      </c>
      <c r="B102" s="13" t="n">
        <v>179611304</v>
      </c>
      <c r="C102" s="5" t="n">
        <v>144</v>
      </c>
      <c r="D102" s="5" t="n">
        <v>28</v>
      </c>
      <c r="E102" s="5" t="n">
        <v>23</v>
      </c>
      <c r="F102" s="5">
        <f>MAX(D102,E102)</f>
        <v/>
      </c>
      <c r="G102" s="5">
        <f>MIN(C102,MAX(F102,$B$2))</f>
        <v/>
      </c>
      <c r="H102" s="5" t="n">
        <v>1029</v>
      </c>
      <c r="I102" s="5" t="n">
        <v>135</v>
      </c>
      <c r="J102" s="5">
        <f>G102*H102</f>
        <v/>
      </c>
      <c r="K102" s="5">
        <f>G102*I102</f>
        <v/>
      </c>
      <c r="L102" s="13" t="inlineStr">
        <is>
          <t>Разогнать рекламой+отзывы</t>
        </is>
      </c>
    </row>
    <row r="103">
      <c r="A103" s="13" t="inlineStr">
        <is>
          <t>PETITFEE - Collagen &amp; CoQ10 Hydrogel Eye Patch [60ea] / Гидрогелевые патчи для глаз с коллагеном и коэнзимом Q10</t>
        </is>
      </c>
      <c r="B103" s="13" t="n">
        <v>179611231</v>
      </c>
      <c r="C103" s="5" t="n">
        <v>641</v>
      </c>
      <c r="D103" s="5" t="n">
        <v>11</v>
      </c>
      <c r="E103" s="5" t="n">
        <v>27</v>
      </c>
      <c r="F103" s="5">
        <f>MAX(D103,E103)</f>
        <v/>
      </c>
      <c r="G103" s="5">
        <f>MIN(C103,MAX(F103,$B$2))</f>
        <v/>
      </c>
      <c r="H103" s="5" t="n">
        <v>1029</v>
      </c>
      <c r="I103" s="5" t="n">
        <v>178</v>
      </c>
      <c r="J103" s="5">
        <f>G103*H103</f>
        <v/>
      </c>
      <c r="K103" s="5">
        <f>G103*I103</f>
        <v/>
      </c>
      <c r="L103" s="13" t="inlineStr">
        <is>
          <t>Разогнать рекламой+отзывы</t>
        </is>
      </c>
    </row>
    <row r="104">
      <c r="A104" s="13" t="inlineStr">
        <is>
          <t>PETITFEE - Pink Vita Brightening Eye Patch [60ea] / Тканевые патчи для век увлажняющие</t>
        </is>
      </c>
      <c r="B104" s="13" t="n">
        <v>180987509</v>
      </c>
      <c r="C104" s="5" t="n">
        <v>202</v>
      </c>
      <c r="D104" s="5" t="n">
        <v>10</v>
      </c>
      <c r="E104" s="5" t="n">
        <v>16</v>
      </c>
      <c r="F104" s="5">
        <f>MAX(D104,E104)</f>
        <v/>
      </c>
      <c r="G104" s="5">
        <f>MIN(C104,MAX(F104,$B$2))</f>
        <v/>
      </c>
      <c r="H104" s="5" t="n">
        <v>1146</v>
      </c>
      <c r="I104" s="5" t="n">
        <v>146</v>
      </c>
      <c r="J104" s="5">
        <f>G104*H104</f>
        <v/>
      </c>
      <c r="K104" s="5">
        <f>G104*I104</f>
        <v/>
      </c>
      <c r="L104" s="13" t="inlineStr">
        <is>
          <t>Разогнать рекламой+отзывы</t>
        </is>
      </c>
    </row>
    <row r="105">
      <c r="A105" s="13" t="inlineStr">
        <is>
          <t>PETITFEE - Black Pearl &amp; Gold Hydrogel Eye Patch [1 pairs]/ Гидрогелевые патчи для глаз с черным жемчугом и золотом 1 пара</t>
        </is>
      </c>
      <c r="B105" s="13" t="inlineStr"/>
      <c r="C105" s="5" t="n">
        <v>320</v>
      </c>
      <c r="D105" s="5" t="n">
        <v>0</v>
      </c>
      <c r="E105" s="5" t="n">
        <v>0</v>
      </c>
      <c r="F105" s="5">
        <f>MAX(D105,E105)</f>
        <v/>
      </c>
      <c r="G105" s="5">
        <f>MIN(C105,MAX(F105,$B$2))</f>
        <v/>
      </c>
      <c r="H105" s="5" t="n">
        <v>262</v>
      </c>
      <c r="I105" s="5" t="n">
        <v>21</v>
      </c>
      <c r="J105" s="5">
        <f>G105*H105</f>
        <v/>
      </c>
      <c r="K105" s="5">
        <f>G105*I105</f>
        <v/>
      </c>
      <c r="L105" s="13" t="inlineStr">
        <is>
          <t>Разогнать рекламой+отзывы</t>
        </is>
      </c>
    </row>
    <row r="106">
      <c r="A106" s="13" t="inlineStr">
        <is>
          <t>PETITFEE - Gold Hydrogel Eye Patch [1 Pairs] / гидрогелевые патчи для глаз с золотом 1 пара</t>
        </is>
      </c>
      <c r="B106" s="13" t="inlineStr"/>
      <c r="C106" s="5" t="n">
        <v>428</v>
      </c>
      <c r="D106" s="5" t="n">
        <v>0</v>
      </c>
      <c r="E106" s="5" t="n">
        <v>0</v>
      </c>
      <c r="F106" s="5">
        <f>MAX(D106,E106)</f>
        <v/>
      </c>
      <c r="G106" s="5">
        <f>MIN(C106,MAX(F106,$B$2))</f>
        <v/>
      </c>
      <c r="H106" s="5" t="n">
        <v>262</v>
      </c>
      <c r="I106" s="5" t="n">
        <v>21</v>
      </c>
      <c r="J106" s="5">
        <f>G106*H106</f>
        <v/>
      </c>
      <c r="K106" s="5">
        <f>G106*I106</f>
        <v/>
      </c>
      <c r="L106" s="13" t="inlineStr">
        <is>
          <t>Разогнать рекламой+отзывы</t>
        </is>
      </c>
    </row>
    <row r="107">
      <c r="A107" s="14" t="inlineStr">
        <is>
          <t>ИТОГО PETITFEE/PETITFEE-EYEPATCH</t>
        </is>
      </c>
      <c r="B107" s="15" t="n"/>
      <c r="C107" s="16">
        <f>SUM(C95:C106)</f>
        <v/>
      </c>
      <c r="D107" s="15" t="n"/>
      <c r="E107" s="15" t="n"/>
      <c r="F107" s="15" t="n"/>
      <c r="G107" s="16">
        <f>SUM(G95:G106)</f>
        <v/>
      </c>
      <c r="H107" s="15" t="n"/>
      <c r="I107" s="15" t="n"/>
      <c r="J107" s="16">
        <f>SUM(J95:J106)</f>
        <v/>
      </c>
      <c r="K107" s="16">
        <f>SUM(K95:K106)</f>
        <v/>
      </c>
      <c r="L107" s="15" t="n"/>
    </row>
    <row r="108">
      <c r="A108" s="11" t="inlineStr">
        <is>
          <t>Косметика/PETITFEE/PETITFEE-FACEMASK</t>
        </is>
      </c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</row>
    <row r="109">
      <c r="A109" s="13" t="inlineStr">
        <is>
          <t>PETITFEE - Gold &amp; Snail Hydrogel Mask Pack [5pcs] / Гидрогелевая маска для лица с золотом и экстрактом улитки</t>
        </is>
      </c>
      <c r="B109" s="13" t="n">
        <v>226115141</v>
      </c>
      <c r="C109" s="5" t="n">
        <v>273</v>
      </c>
      <c r="D109" s="5" t="n">
        <v>26</v>
      </c>
      <c r="E109" s="5" t="n">
        <v>87</v>
      </c>
      <c r="F109" s="5">
        <f>MAX(D109,E109)</f>
        <v/>
      </c>
      <c r="G109" s="5">
        <f>MIN(C109,MAX(F109,$B$2))</f>
        <v/>
      </c>
      <c r="H109" s="5" t="n">
        <v>1148</v>
      </c>
      <c r="I109" s="5" t="n">
        <v>143</v>
      </c>
      <c r="J109" s="5">
        <f>G109*H109</f>
        <v/>
      </c>
      <c r="K109" s="5">
        <f>G109*I109</f>
        <v/>
      </c>
      <c r="L109" s="13" t="inlineStr">
        <is>
          <t>Разогнать рекламой+отзывы</t>
        </is>
      </c>
    </row>
    <row r="110">
      <c r="A110" s="13" t="inlineStr">
        <is>
          <t>PETITFEE - Agave Cooling Hydrogel Face Mask [5pcs] / Охлаждающая гидрогелевая маска для лица с экстрактом агавы</t>
        </is>
      </c>
      <c r="B110" s="13" t="n">
        <v>226115324</v>
      </c>
      <c r="C110" s="5" t="n">
        <v>741</v>
      </c>
      <c r="D110" s="5" t="n">
        <v>52</v>
      </c>
      <c r="E110" s="5" t="n">
        <v>55</v>
      </c>
      <c r="F110" s="5">
        <f>MAX(D110,E110)</f>
        <v/>
      </c>
      <c r="G110" s="5">
        <f>MIN(C110,MAX(F110,$B$2))</f>
        <v/>
      </c>
      <c r="H110" s="5" t="n">
        <v>1193</v>
      </c>
      <c r="I110" s="5" t="n">
        <v>146</v>
      </c>
      <c r="J110" s="5">
        <f>G110*H110</f>
        <v/>
      </c>
      <c r="K110" s="5">
        <f>G110*I110</f>
        <v/>
      </c>
      <c r="L110" s="13" t="inlineStr">
        <is>
          <t>Разогнать рекламой+отзывы</t>
        </is>
      </c>
    </row>
    <row r="111">
      <c r="A111" s="13" t="inlineStr">
        <is>
          <t>PETITFEE - Artichoke Soothing Hydrogel Face Mask [5pcs] / Смягчающая гидрогелевая маска для лица с экстрактом артишока</t>
        </is>
      </c>
      <c r="B111" s="13" t="n">
        <v>226114831</v>
      </c>
      <c r="C111" s="5" t="n">
        <v>327</v>
      </c>
      <c r="D111" s="5" t="n">
        <v>40</v>
      </c>
      <c r="E111" s="5" t="n">
        <v>28</v>
      </c>
      <c r="F111" s="5">
        <f>MAX(D111,E111)</f>
        <v/>
      </c>
      <c r="G111" s="5">
        <f>MIN(C111,MAX(F111,$B$2))</f>
        <v/>
      </c>
      <c r="H111" s="5" t="n">
        <v>1341</v>
      </c>
      <c r="I111" s="5" t="n">
        <v>243</v>
      </c>
      <c r="J111" s="5">
        <f>G111*H111</f>
        <v/>
      </c>
      <c r="K111" s="5">
        <f>G111*I111</f>
        <v/>
      </c>
      <c r="L111" s="13" t="inlineStr">
        <is>
          <t>Разогнать рекламой+отзывы</t>
        </is>
      </c>
    </row>
    <row r="112">
      <c r="A112" s="13" t="inlineStr">
        <is>
          <t>PETITFEE - Gold Hydrogel Mask Pack [5pcs] / Гидрогелевая маска для лица с золотом</t>
        </is>
      </c>
      <c r="B112" s="13" t="n">
        <v>226114935</v>
      </c>
      <c r="C112" s="5" t="n">
        <v>529</v>
      </c>
      <c r="D112" s="5" t="n">
        <v>39</v>
      </c>
      <c r="E112" s="5" t="n">
        <v>31</v>
      </c>
      <c r="F112" s="5">
        <f>MAX(D112,E112)</f>
        <v/>
      </c>
      <c r="G112" s="5">
        <f>MIN(C112,MAX(F112,$B$2))</f>
        <v/>
      </c>
      <c r="H112" s="5" t="n">
        <v>1202</v>
      </c>
      <c r="I112" s="5" t="n">
        <v>152</v>
      </c>
      <c r="J112" s="5">
        <f>G112*H112</f>
        <v/>
      </c>
      <c r="K112" s="5">
        <f>G112*I112</f>
        <v/>
      </c>
      <c r="L112" s="13" t="inlineStr">
        <is>
          <t>Разогнать рекламой+отзывы</t>
        </is>
      </c>
    </row>
    <row r="113">
      <c r="A113" s="13" t="inlineStr">
        <is>
          <t>PETITFEE - Black Pearl &amp; Gold Hydrogel Mask Pack [5pcs] / Гидрогелевая маска для лица с черным жемчугом и золотом</t>
        </is>
      </c>
      <c r="B113" s="13" t="n">
        <v>226115478</v>
      </c>
      <c r="C113" s="5" t="n">
        <v>292</v>
      </c>
      <c r="D113" s="5" t="n">
        <v>21</v>
      </c>
      <c r="E113" s="5" t="n">
        <v>29</v>
      </c>
      <c r="F113" s="5">
        <f>MAX(D113,E113)</f>
        <v/>
      </c>
      <c r="G113" s="5">
        <f>MIN(C113,MAX(F113,$B$2))</f>
        <v/>
      </c>
      <c r="H113" s="5" t="n">
        <v>1130</v>
      </c>
      <c r="I113" s="5" t="n">
        <v>143</v>
      </c>
      <c r="J113" s="5">
        <f>G113*H113</f>
        <v/>
      </c>
      <c r="K113" s="5">
        <f>G113*I113</f>
        <v/>
      </c>
      <c r="L113" s="13" t="inlineStr">
        <is>
          <t>Разогнать рекламой+отзывы</t>
        </is>
      </c>
    </row>
    <row r="114">
      <c r="A114" s="13" t="inlineStr">
        <is>
          <t>PETITFEE - Cacao Energizing Hydrogel Mask Pack [5pcs] / Тонизирующая гидрогелевая маска для лица с экстрактом какао</t>
        </is>
      </c>
      <c r="B114" s="13" t="n">
        <v>226115248</v>
      </c>
      <c r="C114" s="5" t="n">
        <v>399</v>
      </c>
      <c r="D114" s="5" t="n">
        <v>27</v>
      </c>
      <c r="E114" s="5" t="n">
        <v>28</v>
      </c>
      <c r="F114" s="5">
        <f>MAX(D114,E114)</f>
        <v/>
      </c>
      <c r="G114" s="5">
        <f>MIN(C114,MAX(F114,$B$2))</f>
        <v/>
      </c>
      <c r="H114" s="5" t="n">
        <v>1159</v>
      </c>
      <c r="I114" s="5" t="n">
        <v>149</v>
      </c>
      <c r="J114" s="5">
        <f>G114*H114</f>
        <v/>
      </c>
      <c r="K114" s="5">
        <f>G114*I114</f>
        <v/>
      </c>
      <c r="L114" s="13" t="inlineStr">
        <is>
          <t>Разогнать рекламой+отзывы</t>
        </is>
      </c>
    </row>
    <row r="115">
      <c r="A115" s="13" t="inlineStr">
        <is>
          <t>PETITFEE - MASK 6 (блек, агава, какао, артишок, голд, ромашка)</t>
        </is>
      </c>
      <c r="B115" s="13" t="n">
        <v>1175175447</v>
      </c>
      <c r="C115" s="5" t="n">
        <v>106</v>
      </c>
      <c r="D115" s="5" t="n">
        <v>0</v>
      </c>
      <c r="E115" s="5" t="n">
        <v>9</v>
      </c>
      <c r="F115" s="5">
        <f>MAX(D115,E115)</f>
        <v/>
      </c>
      <c r="G115" s="5">
        <f>MIN(C115,MAX(F115,$B$2))</f>
        <v/>
      </c>
      <c r="H115" s="5" t="n">
        <v>1376</v>
      </c>
      <c r="I115" s="5" t="n">
        <v>178</v>
      </c>
      <c r="J115" s="5">
        <f>G115*H115</f>
        <v/>
      </c>
      <c r="K115" s="5">
        <f>G115*I115</f>
        <v/>
      </c>
      <c r="L115" s="13" t="inlineStr">
        <is>
          <t>Разогнать рекламой+отзывы</t>
        </is>
      </c>
    </row>
    <row r="116">
      <c r="A116" s="13" t="inlineStr">
        <is>
          <t>PETITFEE - MASK 5 (блек, агава, какао, артишок, голд снейл)</t>
        </is>
      </c>
      <c r="B116" s="13" t="n">
        <v>1177994944</v>
      </c>
      <c r="C116" s="5" t="n">
        <v>100</v>
      </c>
      <c r="D116" s="5" t="n">
        <v>0</v>
      </c>
      <c r="E116" s="5" t="n">
        <v>0</v>
      </c>
      <c r="F116" s="5">
        <f>MAX(D116,E116)</f>
        <v/>
      </c>
      <c r="G116" s="5">
        <f>MIN(C116,MAX(F116,$B$2))</f>
        <v/>
      </c>
      <c r="H116" s="5" t="n">
        <v>1164</v>
      </c>
      <c r="I116" s="5" t="n">
        <v>146</v>
      </c>
      <c r="J116" s="5">
        <f>G116*H116</f>
        <v/>
      </c>
      <c r="K116" s="5">
        <f>G116*I116</f>
        <v/>
      </c>
      <c r="L116" s="13" t="inlineStr">
        <is>
          <t>Разогнать рекламой+отзывы</t>
        </is>
      </c>
    </row>
    <row r="117">
      <c r="A117" s="14" t="inlineStr">
        <is>
          <t>ИТОГО PETITFEE/PETITFEE-FACEMASK</t>
        </is>
      </c>
      <c r="B117" s="15" t="n"/>
      <c r="C117" s="16">
        <f>SUM(C109:C116)</f>
        <v/>
      </c>
      <c r="D117" s="15" t="n"/>
      <c r="E117" s="15" t="n"/>
      <c r="F117" s="15" t="n"/>
      <c r="G117" s="16">
        <f>SUM(G109:G116)</f>
        <v/>
      </c>
      <c r="H117" s="15" t="n"/>
      <c r="I117" s="15" t="n"/>
      <c r="J117" s="16">
        <f>SUM(J109:J116)</f>
        <v/>
      </c>
      <c r="K117" s="16">
        <f>SUM(K109:K116)</f>
        <v/>
      </c>
      <c r="L117" s="15" t="n"/>
    </row>
    <row r="118">
      <c r="A118" s="11" t="inlineStr">
        <is>
          <t>Косметика/ROUND LAB</t>
        </is>
      </c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</row>
    <row r="119">
      <c r="A119" s="17" t="inlineStr">
        <is>
          <t>ROUND LAB 1025 DOKDO CLEANSER_150ml - Увлажняющая пенка для умывания лица</t>
        </is>
      </c>
      <c r="B119" s="17" t="n">
        <v>437154709</v>
      </c>
      <c r="C119" s="18" t="n">
        <v>5499</v>
      </c>
      <c r="D119" s="18" t="n">
        <v>964</v>
      </c>
      <c r="E119" s="18" t="n">
        <v>3940</v>
      </c>
      <c r="F119" s="18">
        <f>MAX(D119,E119)</f>
        <v/>
      </c>
      <c r="G119" s="18">
        <f>MIN(C119,MAX(F119,$B$2))</f>
        <v/>
      </c>
      <c r="H119" s="18" t="n">
        <v>1178</v>
      </c>
      <c r="I119" s="18" t="n">
        <v>139</v>
      </c>
      <c r="J119" s="18">
        <f>G119*H119</f>
        <v/>
      </c>
      <c r="K119" s="18">
        <f>G119*I119</f>
        <v/>
      </c>
      <c r="L119" s="13" t="inlineStr">
        <is>
          <t>★ Драйвер</t>
        </is>
      </c>
    </row>
    <row r="120">
      <c r="A120" s="17" t="inlineStr">
        <is>
          <t>ROUND LAB MUGWORT CALMING CLEANSER_150ml - Очищающая пенка для умывания лица от прыщей и акне</t>
        </is>
      </c>
      <c r="B120" s="17" t="n">
        <v>437242640</v>
      </c>
      <c r="C120" s="18" t="n">
        <v>1201</v>
      </c>
      <c r="D120" s="18" t="n">
        <v>45</v>
      </c>
      <c r="E120" s="18" t="n">
        <v>330</v>
      </c>
      <c r="F120" s="18">
        <f>MAX(D120,E120)</f>
        <v/>
      </c>
      <c r="G120" s="18">
        <f>MIN(C120,MAX(F120,$B$2))</f>
        <v/>
      </c>
      <c r="H120" s="18" t="n">
        <v>1341</v>
      </c>
      <c r="I120" s="18" t="n">
        <v>239</v>
      </c>
      <c r="J120" s="18">
        <f>G120*H120</f>
        <v/>
      </c>
      <c r="K120" s="18">
        <f>G120*I120</f>
        <v/>
      </c>
      <c r="L120" s="13" t="inlineStr">
        <is>
          <t>★ Драйвер</t>
        </is>
      </c>
    </row>
    <row r="121">
      <c r="A121" s="13" t="inlineStr">
        <is>
          <t>ROUND LAB BIRCH JUICE MOISTURIZING CREAM_80ml -Увлажняющий крем с березовым соком</t>
        </is>
      </c>
      <c r="B121" s="13" t="n">
        <v>437190353</v>
      </c>
      <c r="C121" s="5" t="n">
        <v>102</v>
      </c>
      <c r="D121" s="5" t="n">
        <v>137</v>
      </c>
      <c r="E121" s="5" t="n">
        <v>81</v>
      </c>
      <c r="F121" s="5">
        <f>MAX(D121,E121)</f>
        <v/>
      </c>
      <c r="G121" s="5">
        <f>MIN(C121,MAX(F121,$B$2))</f>
        <v/>
      </c>
      <c r="H121" s="5" t="n">
        <v>2469</v>
      </c>
      <c r="I121" s="5" t="n">
        <v>328</v>
      </c>
      <c r="J121" s="5">
        <f>G121*H121</f>
        <v/>
      </c>
      <c r="K121" s="5">
        <f>G121*I121</f>
        <v/>
      </c>
      <c r="L121" s="13" t="inlineStr">
        <is>
          <t>Рабочий</t>
        </is>
      </c>
    </row>
    <row r="122">
      <c r="A122" s="13" t="inlineStr">
        <is>
          <t>ROUND LAB PINE CALMING CICA AMPOULE_30ml - Сыворотка для жирной кожи лица увлажняющая с центеллой</t>
        </is>
      </c>
      <c r="B122" s="13" t="n">
        <v>437776835</v>
      </c>
      <c r="C122" s="5" t="n">
        <v>5</v>
      </c>
      <c r="D122" s="5" t="n">
        <v>4</v>
      </c>
      <c r="E122" s="5" t="n">
        <v>48</v>
      </c>
      <c r="F122" s="5">
        <f>MAX(D122,E122)</f>
        <v/>
      </c>
      <c r="G122" s="5">
        <f>MIN(C122,MAX(F122,$B$2))</f>
        <v/>
      </c>
      <c r="H122" s="5" t="n">
        <v>1890</v>
      </c>
      <c r="I122" s="5" t="n">
        <v>246</v>
      </c>
      <c r="J122" s="5">
        <f>G122*H122</f>
        <v/>
      </c>
      <c r="K122" s="5">
        <f>G122*I122</f>
        <v/>
      </c>
      <c r="L122" s="13" t="inlineStr">
        <is>
          <t>Разогнать рекламой+отзывы</t>
        </is>
      </c>
    </row>
    <row r="123">
      <c r="A123" s="13" t="inlineStr">
        <is>
          <t>ROUND LAB 1025 DOKDO TONER_200ml / Отшелушивающий тоник с морской водой</t>
        </is>
      </c>
      <c r="B123" s="13" t="n">
        <v>1123574113</v>
      </c>
      <c r="C123" s="5" t="n">
        <v>802</v>
      </c>
      <c r="D123" s="5" t="n">
        <v>0</v>
      </c>
      <c r="E123" s="5" t="n">
        <v>4</v>
      </c>
      <c r="F123" s="5">
        <f>MAX(D123,E123)</f>
        <v/>
      </c>
      <c r="G123" s="5">
        <f>MIN(C123,MAX(F123,$B$2))</f>
        <v/>
      </c>
      <c r="H123" s="5" t="n">
        <v>1509</v>
      </c>
      <c r="I123" s="5" t="n">
        <v>369</v>
      </c>
      <c r="J123" s="5">
        <f>G123*H123</f>
        <v/>
      </c>
      <c r="K123" s="5">
        <f>G123*I123</f>
        <v/>
      </c>
      <c r="L123" s="13" t="inlineStr">
        <is>
          <t>Разогнать рекламой+отзывы</t>
        </is>
      </c>
    </row>
    <row r="124">
      <c r="A124" s="14" t="inlineStr">
        <is>
          <t>ИТОГО ROUND LAB</t>
        </is>
      </c>
      <c r="B124" s="15" t="n"/>
      <c r="C124" s="16">
        <f>SUM(C119:C123)</f>
        <v/>
      </c>
      <c r="D124" s="15" t="n"/>
      <c r="E124" s="15" t="n"/>
      <c r="F124" s="15" t="n"/>
      <c r="G124" s="16">
        <f>SUM(G119:G123)</f>
        <v/>
      </c>
      <c r="H124" s="15" t="n"/>
      <c r="I124" s="15" t="n"/>
      <c r="J124" s="16">
        <f>SUM(J119:J123)</f>
        <v/>
      </c>
      <c r="K124" s="16">
        <f>SUM(K119:K123)</f>
        <v/>
      </c>
      <c r="L124" s="15" t="n"/>
    </row>
    <row r="125">
      <c r="A125" s="11" t="inlineStr">
        <is>
          <t>Косметика/SKIN1004</t>
        </is>
      </c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</row>
    <row r="126">
      <c r="A126" s="13" t="inlineStr">
        <is>
          <t>SKIN1004 - Madagascar Centella Hyalu-Cica Sleeping Pack [30ml] / Увлажняющая гиалуроновая ночная маска для сухой кожи</t>
        </is>
      </c>
      <c r="B126" s="13" t="n">
        <v>214312149</v>
      </c>
      <c r="C126" s="5" t="n">
        <v>22</v>
      </c>
      <c r="D126" s="5" t="n">
        <v>19</v>
      </c>
      <c r="E126" s="5" t="n">
        <v>8</v>
      </c>
      <c r="F126" s="5">
        <f>MAX(D126,E126)</f>
        <v/>
      </c>
      <c r="G126" s="5">
        <f>MIN(C126,MAX(F126,$B$2))</f>
        <v/>
      </c>
      <c r="H126" s="5" t="n">
        <v>1029</v>
      </c>
      <c r="I126" s="5" t="n">
        <v>267</v>
      </c>
      <c r="J126" s="5">
        <f>G126*H126</f>
        <v/>
      </c>
      <c r="K126" s="5">
        <f>G126*I126</f>
        <v/>
      </c>
      <c r="L126" s="13" t="inlineStr">
        <is>
          <t>Разогнать рекламой+отзывы</t>
        </is>
      </c>
    </row>
    <row r="127">
      <c r="A127" s="13" t="inlineStr">
        <is>
          <t>SKIN1004 - Madagascar Centella Ampoule [30ml] / Сыворотка для лица успокаивающая из экстракта центеллы.</t>
        </is>
      </c>
      <c r="B127" s="13" t="n">
        <v>214311963</v>
      </c>
      <c r="C127" s="5" t="n">
        <v>30</v>
      </c>
      <c r="D127" s="5" t="n">
        <v>7</v>
      </c>
      <c r="E127" s="5" t="n">
        <v>12</v>
      </c>
      <c r="F127" s="5">
        <f>MAX(D127,E127)</f>
        <v/>
      </c>
      <c r="G127" s="5">
        <f>MIN(C127,MAX(F127,$B$2))</f>
        <v/>
      </c>
      <c r="H127" s="5" t="n">
        <v>1445</v>
      </c>
      <c r="I127" s="5" t="n">
        <v>444</v>
      </c>
      <c r="J127" s="5">
        <f>G127*H127</f>
        <v/>
      </c>
      <c r="K127" s="5">
        <f>G127*I127</f>
        <v/>
      </c>
      <c r="L127" s="13" t="inlineStr">
        <is>
          <t>Разогнать рекламой+отзывы</t>
        </is>
      </c>
    </row>
    <row r="128">
      <c r="A128" s="14" t="inlineStr">
        <is>
          <t>ИТОГО SKIN1004</t>
        </is>
      </c>
      <c r="B128" s="15" t="n"/>
      <c r="C128" s="16">
        <f>SUM(C126:C127)</f>
        <v/>
      </c>
      <c r="D128" s="15" t="n"/>
      <c r="E128" s="15" t="n"/>
      <c r="F128" s="15" t="n"/>
      <c r="G128" s="16">
        <f>SUM(G126:G127)</f>
        <v/>
      </c>
      <c r="H128" s="15" t="n"/>
      <c r="I128" s="15" t="n"/>
      <c r="J128" s="16">
        <f>SUM(J126:J127)</f>
        <v/>
      </c>
      <c r="K128" s="16">
        <f>SUM(K126:K127)</f>
        <v/>
      </c>
      <c r="L128" s="15" t="n"/>
    </row>
    <row r="129">
      <c r="A129" s="11" t="inlineStr">
        <is>
          <t>Косметика/SOMEBYMI</t>
        </is>
      </c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</row>
    <row r="130">
      <c r="A130" s="13" t="inlineStr">
        <is>
          <t>SOME BY MI - AHA-BHA-PHA 30 Days Miracle Cream [60g] / Крем для лица</t>
        </is>
      </c>
      <c r="B130" s="13" t="n">
        <v>248929125</v>
      </c>
      <c r="C130" s="5" t="n">
        <v>55</v>
      </c>
      <c r="D130" s="5" t="n">
        <v>24</v>
      </c>
      <c r="E130" s="5" t="n">
        <v>13</v>
      </c>
      <c r="F130" s="5">
        <f>MAX(D130,E130)</f>
        <v/>
      </c>
      <c r="G130" s="5">
        <f>MIN(C130,MAX(F130,$B$2))</f>
        <v/>
      </c>
      <c r="H130" s="5" t="n">
        <v>2382</v>
      </c>
      <c r="I130" s="5" t="n">
        <v>317</v>
      </c>
      <c r="J130" s="5">
        <f>G130*H130</f>
        <v/>
      </c>
      <c r="K130" s="5">
        <f>G130*I130</f>
        <v/>
      </c>
      <c r="L130" s="13" t="inlineStr">
        <is>
          <t>Разогнать рекламой+отзывы</t>
        </is>
      </c>
    </row>
    <row r="131">
      <c r="A131" s="13" t="inlineStr">
        <is>
          <t>SOME BY MI - AHA-BHA-PHA 30 Days Miracle Cleansing Bar [106g] / Мыло для проблемной кожи с aha bha кислотами</t>
        </is>
      </c>
      <c r="B131" s="13" t="n">
        <v>248928046</v>
      </c>
      <c r="C131" s="5" t="n">
        <v>525</v>
      </c>
      <c r="D131" s="5" t="n">
        <v>11</v>
      </c>
      <c r="E131" s="5" t="n">
        <v>7</v>
      </c>
      <c r="F131" s="5">
        <f>MAX(D131,E131)</f>
        <v/>
      </c>
      <c r="G131" s="5">
        <f>MIN(C131,MAX(F131,$B$2))</f>
        <v/>
      </c>
      <c r="H131" s="5" t="n">
        <v>1287</v>
      </c>
      <c r="I131" s="5" t="n">
        <v>165</v>
      </c>
      <c r="J131" s="5">
        <f>G131*H131</f>
        <v/>
      </c>
      <c r="K131" s="5">
        <f>G131*I131</f>
        <v/>
      </c>
      <c r="L131" s="13" t="inlineStr">
        <is>
          <t>Разогнать рекламой+отзывы</t>
        </is>
      </c>
    </row>
    <row r="132">
      <c r="A132" s="14" t="inlineStr">
        <is>
          <t>ИТОГО SOMEBYMI</t>
        </is>
      </c>
      <c r="B132" s="15" t="n"/>
      <c r="C132" s="16">
        <f>SUM(C130:C131)</f>
        <v/>
      </c>
      <c r="D132" s="15" t="n"/>
      <c r="E132" s="15" t="n"/>
      <c r="F132" s="15" t="n"/>
      <c r="G132" s="16">
        <f>SUM(G130:G131)</f>
        <v/>
      </c>
      <c r="H132" s="15" t="n"/>
      <c r="I132" s="15" t="n"/>
      <c r="J132" s="16">
        <f>SUM(J130:J131)</f>
        <v/>
      </c>
      <c r="K132" s="16">
        <f>SUM(K130:K131)</f>
        <v/>
      </c>
      <c r="L132" s="15" t="n"/>
    </row>
    <row r="133">
      <c r="A133" s="11" t="inlineStr">
        <is>
          <t>Косметика/TheOrdinary</t>
        </is>
      </c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</row>
    <row r="134">
      <c r="A134" s="13" t="inlineStr">
        <is>
          <t>THE ORDINARY - Argireline Solution 10% [30ml] / Сыворотка для лица от прыщей и акне с ниацинамидом 10 %</t>
        </is>
      </c>
      <c r="B134" s="13" t="n">
        <v>214312385</v>
      </c>
      <c r="C134" s="5" t="n">
        <v>115</v>
      </c>
      <c r="D134" s="5" t="n">
        <v>13</v>
      </c>
      <c r="E134" s="5" t="n">
        <v>16</v>
      </c>
      <c r="F134" s="5">
        <f>MAX(D134,E134)</f>
        <v/>
      </c>
      <c r="G134" s="5">
        <f>MIN(C134,MAX(F134,$B$2))</f>
        <v/>
      </c>
      <c r="H134" s="5" t="n">
        <v>1637</v>
      </c>
      <c r="I134" s="5" t="n">
        <v>217</v>
      </c>
      <c r="J134" s="5">
        <f>G134*H134</f>
        <v/>
      </c>
      <c r="K134" s="5">
        <f>G134*I134</f>
        <v/>
      </c>
      <c r="L134" s="13" t="inlineStr">
        <is>
          <t>Разогнать рекламой+отзывы</t>
        </is>
      </c>
    </row>
    <row r="135">
      <c r="A135" s="13" t="inlineStr">
        <is>
          <t>THE ORDINARY - Glycolic Acid 7% Toning Solution [KOR] [240ml] / Тоник с гликолевой кислотой 7%</t>
        </is>
      </c>
      <c r="B135" s="13" t="n">
        <v>247275092</v>
      </c>
      <c r="C135" s="5" t="n">
        <v>25</v>
      </c>
      <c r="D135" s="5" t="n">
        <v>8</v>
      </c>
      <c r="E135" s="5" t="n">
        <v>4</v>
      </c>
      <c r="F135" s="5">
        <f>MAX(D135,E135)</f>
        <v/>
      </c>
      <c r="G135" s="5">
        <f>MIN(C135,MAX(F135,$B$2))</f>
        <v/>
      </c>
      <c r="H135" s="5" t="n">
        <v>1964</v>
      </c>
      <c r="I135" s="5" t="n">
        <v>278</v>
      </c>
      <c r="J135" s="5">
        <f>G135*H135</f>
        <v/>
      </c>
      <c r="K135" s="5">
        <f>G135*I135</f>
        <v/>
      </c>
      <c r="L135" s="13" t="inlineStr">
        <is>
          <t>Разогнать рекламой+отзывы</t>
        </is>
      </c>
    </row>
    <row r="136">
      <c r="A136" s="14" t="inlineStr">
        <is>
          <t>ИТОГО TheOrdinary</t>
        </is>
      </c>
      <c r="B136" s="15" t="n"/>
      <c r="C136" s="16">
        <f>SUM(C134:C135)</f>
        <v/>
      </c>
      <c r="D136" s="15" t="n"/>
      <c r="E136" s="15" t="n"/>
      <c r="F136" s="15" t="n"/>
      <c r="G136" s="16">
        <f>SUM(G134:G135)</f>
        <v/>
      </c>
      <c r="H136" s="15" t="n"/>
      <c r="I136" s="15" t="n"/>
      <c r="J136" s="16">
        <f>SUM(J134:J135)</f>
        <v/>
      </c>
      <c r="K136" s="16">
        <f>SUM(K134:K135)</f>
        <v/>
      </c>
      <c r="L136" s="15" t="n"/>
    </row>
    <row r="137">
      <c r="A137" s="11" t="inlineStr">
        <is>
          <t>Косметика/CELIMAX</t>
        </is>
      </c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</row>
    <row r="138">
      <c r="A138" s="17" t="inlineStr">
        <is>
          <t>Celimax Dual Barrier Creamy Toner, тонер 150 мл</t>
        </is>
      </c>
      <c r="B138" s="17" t="n">
        <v>868516027</v>
      </c>
      <c r="C138" s="18" t="n">
        <v>15980</v>
      </c>
      <c r="D138" s="18" t="n">
        <v>0</v>
      </c>
      <c r="E138" s="18" t="n">
        <v>3339</v>
      </c>
      <c r="F138" s="18">
        <f>MAX(D138,E138)</f>
        <v/>
      </c>
      <c r="G138" s="18">
        <f>MIN(C138,MAX(F138,$B$2))</f>
        <v/>
      </c>
      <c r="H138" s="18" t="n">
        <v>1586</v>
      </c>
      <c r="I138" s="18" t="n">
        <v>199</v>
      </c>
      <c r="J138" s="18">
        <f>G138*H138</f>
        <v/>
      </c>
      <c r="K138" s="18">
        <f>G138*I138</f>
        <v/>
      </c>
      <c r="L138" s="13" t="inlineStr">
        <is>
          <t>★ Драйвер</t>
        </is>
      </c>
    </row>
    <row r="139">
      <c r="A139" s="17" t="inlineStr">
        <is>
          <t>CELIMAX THE VITA-A RETINOL SHOT TIGHTENING SERUM [30ml]/Сыворотка с ретинолом и микроиглами для лица</t>
        </is>
      </c>
      <c r="B139" s="17" t="n">
        <v>551465879</v>
      </c>
      <c r="C139" s="18" t="n">
        <v>2217</v>
      </c>
      <c r="D139" s="18" t="n">
        <v>2</v>
      </c>
      <c r="E139" s="18" t="n">
        <v>833</v>
      </c>
      <c r="F139" s="18">
        <f>MAX(D139,E139)</f>
        <v/>
      </c>
      <c r="G139" s="18">
        <f>MIN(C139,MAX(F139,$B$2))</f>
        <v/>
      </c>
      <c r="H139" s="18" t="n">
        <v>1445</v>
      </c>
      <c r="I139" s="18" t="n">
        <v>291</v>
      </c>
      <c r="J139" s="18">
        <f>G139*H139</f>
        <v/>
      </c>
      <c r="K139" s="18">
        <f>G139*I139</f>
        <v/>
      </c>
      <c r="L139" s="13" t="inlineStr">
        <is>
          <t>★ Драйвер</t>
        </is>
      </c>
    </row>
    <row r="140">
      <c r="A140" s="13" t="inlineStr">
        <is>
          <t>CELIMAX JI WOO GAE CICA BHA BLEMISH TONER PAD [170ml / 60pads]/Тонер-пэды от воспалений</t>
        </is>
      </c>
      <c r="B140" s="13" t="n">
        <v>551607905</v>
      </c>
      <c r="C140" s="5" t="n">
        <v>1456</v>
      </c>
      <c r="D140" s="5" t="n">
        <v>0</v>
      </c>
      <c r="E140" s="5" t="n">
        <v>93</v>
      </c>
      <c r="F140" s="5">
        <f>MAX(D140,E140)</f>
        <v/>
      </c>
      <c r="G140" s="5">
        <f>MIN(C140,MAX(F140,$B$2))</f>
        <v/>
      </c>
      <c r="H140" s="5" t="n">
        <v>1620</v>
      </c>
      <c r="I140" s="5" t="n">
        <v>212</v>
      </c>
      <c r="J140" s="5">
        <f>G140*H140</f>
        <v/>
      </c>
      <c r="K140" s="5">
        <f>G140*I140</f>
        <v/>
      </c>
      <c r="L140" s="13" t="inlineStr">
        <is>
          <t>Разогнать рекламой+отзывы</t>
        </is>
      </c>
    </row>
    <row r="141">
      <c r="A141" s="13" t="inlineStr">
        <is>
          <t>CELIMAX THE VITA-A RETINAL SHOT TIGHTENING BOOSTER [15ml]/Подтягивающий бустер-крем с ретинолом для лица</t>
        </is>
      </c>
      <c r="B141" s="13" t="n">
        <v>551387355</v>
      </c>
      <c r="C141" s="5" t="n">
        <v>8728</v>
      </c>
      <c r="D141" s="5" t="n">
        <v>8</v>
      </c>
      <c r="E141" s="5" t="n">
        <v>56</v>
      </c>
      <c r="F141" s="5">
        <f>MAX(D141,E141)</f>
        <v/>
      </c>
      <c r="G141" s="5">
        <f>MIN(C141,MAX(F141,$B$2))</f>
        <v/>
      </c>
      <c r="H141" s="5" t="n">
        <v>1187</v>
      </c>
      <c r="I141" s="5" t="n">
        <v>154</v>
      </c>
      <c r="J141" s="5">
        <f>G141*H141</f>
        <v/>
      </c>
      <c r="K141" s="5">
        <f>G141*I141</f>
        <v/>
      </c>
      <c r="L141" s="13" t="inlineStr">
        <is>
          <t>Разогнать рекламой+отзывы</t>
        </is>
      </c>
    </row>
    <row r="142">
      <c r="A142" s="13" t="inlineStr">
        <is>
          <t>CELIMAX JI WOO GAE CICA BHA BLEMISH TONER PAD_10EA [30ml]/успокаивающие тонер-пэды</t>
        </is>
      </c>
      <c r="B142" s="13" t="n">
        <v>551600265</v>
      </c>
      <c r="C142" s="5" t="n">
        <v>1296</v>
      </c>
      <c r="D142" s="5" t="n">
        <v>5</v>
      </c>
      <c r="E142" s="5" t="n">
        <v>42</v>
      </c>
      <c r="F142" s="5">
        <f>MAX(D142,E142)</f>
        <v/>
      </c>
      <c r="G142" s="5">
        <f>MIN(C142,MAX(F142,$B$2))</f>
        <v/>
      </c>
      <c r="H142" s="5" t="n">
        <v>406</v>
      </c>
      <c r="I142" s="5" t="n">
        <v>105</v>
      </c>
      <c r="J142" s="5">
        <f>G142*H142</f>
        <v/>
      </c>
      <c r="K142" s="5">
        <f>G142*I142</f>
        <v/>
      </c>
      <c r="L142" s="13" t="inlineStr">
        <is>
          <t>Разогнать рекламой+отзывы</t>
        </is>
      </c>
    </row>
    <row r="143">
      <c r="A143" s="13" t="inlineStr">
        <is>
          <t>CELIMAX THE REAL NONI ENERGY AMPOULE_30ML (NEW) [30ml]/Восстанавливающая сыворотка с экстрактом нони для лица</t>
        </is>
      </c>
      <c r="B143" s="13" t="n">
        <v>551472457</v>
      </c>
      <c r="C143" s="5" t="n">
        <v>35</v>
      </c>
      <c r="D143" s="5" t="n">
        <v>0</v>
      </c>
      <c r="E143" s="5" t="n">
        <v>28</v>
      </c>
      <c r="F143" s="5">
        <f>MAX(D143,E143)</f>
        <v/>
      </c>
      <c r="G143" s="5">
        <f>MIN(C143,MAX(F143,$B$2))</f>
        <v/>
      </c>
      <c r="H143" s="5" t="n">
        <v>1761</v>
      </c>
      <c r="I143" s="5" t="n">
        <v>229</v>
      </c>
      <c r="J143" s="5">
        <f>G143*H143</f>
        <v/>
      </c>
      <c r="K143" s="5">
        <f>G143*I143</f>
        <v/>
      </c>
      <c r="L143" s="13" t="inlineStr">
        <is>
          <t>Разогнать рекламой+отзывы</t>
        </is>
      </c>
    </row>
    <row r="144">
      <c r="A144" s="13" t="inlineStr">
        <is>
          <t>CELIMAX PORE+DARK SPOT BRIGHTENING PAD [100ml / 40pads]/Тонер-пэды для выравнивания тона и рельефа кожи</t>
        </is>
      </c>
      <c r="B144" s="13" t="n">
        <v>551540924</v>
      </c>
      <c r="C144" s="5" t="n">
        <v>1375</v>
      </c>
      <c r="D144" s="5" t="n">
        <v>0</v>
      </c>
      <c r="E144" s="5" t="n">
        <v>24</v>
      </c>
      <c r="F144" s="5">
        <f>MAX(D144,E144)</f>
        <v/>
      </c>
      <c r="G144" s="5">
        <f>MIN(C144,MAX(F144,$B$2))</f>
        <v/>
      </c>
      <c r="H144" s="5" t="n">
        <v>1445</v>
      </c>
      <c r="I144" s="5" t="n">
        <v>255</v>
      </c>
      <c r="J144" s="5">
        <f>G144*H144</f>
        <v/>
      </c>
      <c r="K144" s="5">
        <f>G144*I144</f>
        <v/>
      </c>
      <c r="L144" s="13" t="inlineStr">
        <is>
          <t>Разогнать рекламой+отзывы</t>
        </is>
      </c>
    </row>
    <row r="145">
      <c r="A145" s="13" t="inlineStr">
        <is>
          <t>CELIMAX DUAL BARRIER SKIN WEARABLE CREAM [50ml]/Крем для восстановления защитного барьера кожи лица</t>
        </is>
      </c>
      <c r="B145" s="13" t="n">
        <v>551392965</v>
      </c>
      <c r="C145" s="5" t="n">
        <v>353</v>
      </c>
      <c r="D145" s="5" t="n">
        <v>0</v>
      </c>
      <c r="E145" s="5" t="n">
        <v>9</v>
      </c>
      <c r="F145" s="5">
        <f>MAX(D145,E145)</f>
        <v/>
      </c>
      <c r="G145" s="5">
        <f>MIN(C145,MAX(F145,$B$2))</f>
        <v/>
      </c>
      <c r="H145" s="5" t="n">
        <v>1967</v>
      </c>
      <c r="I145" s="5" t="n">
        <v>259</v>
      </c>
      <c r="J145" s="5">
        <f>G145*H145</f>
        <v/>
      </c>
      <c r="K145" s="5">
        <f>G145*I145</f>
        <v/>
      </c>
      <c r="L145" s="13" t="inlineStr">
        <is>
          <t>Разогнать рекламой+отзывы</t>
        </is>
      </c>
    </row>
    <row r="146">
      <c r="A146" s="13" t="inlineStr">
        <is>
          <t>CELIMAX PORE+DARK SPOT BRIGHTENING CREAM [35ml]/Крем для выравнивания тона и рельефа кожи лица</t>
        </is>
      </c>
      <c r="B146" s="13" t="n">
        <v>551447345</v>
      </c>
      <c r="C146" s="5" t="n">
        <v>13</v>
      </c>
      <c r="D146" s="5" t="n">
        <v>0</v>
      </c>
      <c r="E146" s="5" t="n">
        <v>5</v>
      </c>
      <c r="F146" s="5">
        <f>MAX(D146,E146)</f>
        <v/>
      </c>
      <c r="G146" s="5">
        <f>MIN(C146,MAX(F146,$B$2))</f>
        <v/>
      </c>
      <c r="H146" s="5" t="n">
        <v>1860</v>
      </c>
      <c r="I146" s="5" t="n">
        <v>463</v>
      </c>
      <c r="J146" s="5">
        <f>G146*H146</f>
        <v/>
      </c>
      <c r="K146" s="5">
        <f>G146*I146</f>
        <v/>
      </c>
      <c r="L146" s="13" t="inlineStr">
        <is>
          <t>Разогнать рекламой+отзывы</t>
        </is>
      </c>
    </row>
    <row r="147">
      <c r="A147" s="13" t="inlineStr">
        <is>
          <t>CELIMAX PORE+DARK SPOT BRIGHTENING SERUM_30ml [30ml]/Сыворотка для выравнивания тона и рельефа кожи лица</t>
        </is>
      </c>
      <c r="B147" s="13" t="n">
        <v>551482493</v>
      </c>
      <c r="C147" s="5" t="n">
        <v>77</v>
      </c>
      <c r="D147" s="5" t="n">
        <v>0</v>
      </c>
      <c r="E147" s="5" t="n">
        <v>5</v>
      </c>
      <c r="F147" s="5">
        <f>MAX(D147,E147)</f>
        <v/>
      </c>
      <c r="G147" s="5">
        <f>MIN(C147,MAX(F147,$B$2))</f>
        <v/>
      </c>
      <c r="H147" s="5" t="n">
        <v>1757</v>
      </c>
      <c r="I147" s="5" t="n">
        <v>308</v>
      </c>
      <c r="J147" s="5">
        <f>G147*H147</f>
        <v/>
      </c>
      <c r="K147" s="5">
        <f>G147*I147</f>
        <v/>
      </c>
      <c r="L147" s="13" t="inlineStr">
        <is>
          <t>Разогнать рекламой+отзывы</t>
        </is>
      </c>
    </row>
    <row r="148">
      <c r="A148" s="13" t="inlineStr">
        <is>
          <t>CELIMAX THE REAL NONI MOISTURE BALANCING TONER (NEW) [150ml]/Восстанавливающий тонер с экстрактом нони</t>
        </is>
      </c>
      <c r="B148" s="13" t="n">
        <v>551518955</v>
      </c>
      <c r="C148" s="5" t="n">
        <v>24</v>
      </c>
      <c r="D148" s="5" t="n">
        <v>0</v>
      </c>
      <c r="E148" s="5" t="n">
        <v>2</v>
      </c>
      <c r="F148" s="5">
        <f>MAX(D148,E148)</f>
        <v/>
      </c>
      <c r="G148" s="5">
        <f>MIN(C148,MAX(F148,$B$2))</f>
        <v/>
      </c>
      <c r="H148" s="5" t="n">
        <v>1678</v>
      </c>
      <c r="I148" s="5" t="n">
        <v>216</v>
      </c>
      <c r="J148" s="5">
        <f>G148*H148</f>
        <v/>
      </c>
      <c r="K148" s="5">
        <f>G148*I148</f>
        <v/>
      </c>
      <c r="L148" s="13" t="inlineStr">
        <is>
          <t>Разогнать рекламой+отзывы</t>
        </is>
      </c>
    </row>
    <row r="149">
      <c r="A149" s="14" t="inlineStr">
        <is>
          <t>ИТОГО CELIMAX</t>
        </is>
      </c>
      <c r="B149" s="15" t="n"/>
      <c r="C149" s="16">
        <f>SUM(C138:C148)</f>
        <v/>
      </c>
      <c r="D149" s="15" t="n"/>
      <c r="E149" s="15" t="n"/>
      <c r="F149" s="15" t="n"/>
      <c r="G149" s="16">
        <f>SUM(G138:G148)</f>
        <v/>
      </c>
      <c r="H149" s="15" t="n"/>
      <c r="I149" s="15" t="n"/>
      <c r="J149" s="16">
        <f>SUM(J138:J148)</f>
        <v/>
      </c>
      <c r="K149" s="16">
        <f>SUM(K138:K148)</f>
        <v/>
      </c>
      <c r="L149" s="15" t="n"/>
    </row>
    <row r="150">
      <c r="A150" s="11" t="inlineStr">
        <is>
          <t>Косметика/VT</t>
        </is>
      </c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</row>
    <row r="151">
      <c r="A151" s="13" t="inlineStr">
        <is>
          <t>VT PDRN ESSENCE 100 / Укрепляющая бустер-эссенция с ПДРН</t>
        </is>
      </c>
      <c r="B151" s="13" t="n">
        <v>1119249556</v>
      </c>
      <c r="C151" s="5" t="n">
        <v>1008</v>
      </c>
      <c r="D151" s="5" t="n">
        <v>0</v>
      </c>
      <c r="E151" s="5" t="n">
        <v>0</v>
      </c>
      <c r="F151" s="5">
        <f>MAX(D151,E151)</f>
        <v/>
      </c>
      <c r="G151" s="5">
        <f>MIN(C151,MAX(F151,$B$2))</f>
        <v/>
      </c>
      <c r="H151" s="5" t="n">
        <v>2964</v>
      </c>
      <c r="I151" s="5" t="n">
        <v>401</v>
      </c>
      <c r="J151" s="5">
        <f>G151*H151</f>
        <v/>
      </c>
      <c r="K151" s="5">
        <f>G151*I151</f>
        <v/>
      </c>
      <c r="L151" s="13" t="inlineStr">
        <is>
          <t>Разогнать рекламой+отзывы</t>
        </is>
      </c>
    </row>
    <row r="152">
      <c r="A152" s="13" t="inlineStr">
        <is>
          <t>VT REEDLE SHOT 100 / Бустер-сыворотка с микроиглами</t>
        </is>
      </c>
      <c r="B152" s="13" t="n">
        <v>1123494802</v>
      </c>
      <c r="C152" s="5" t="n">
        <v>397</v>
      </c>
      <c r="D152" s="5" t="n">
        <v>0</v>
      </c>
      <c r="E152" s="5" t="n">
        <v>0</v>
      </c>
      <c r="F152" s="5">
        <f>MAX(D152,E152)</f>
        <v/>
      </c>
      <c r="G152" s="5">
        <f>MIN(C152,MAX(F152,$B$2))</f>
        <v/>
      </c>
      <c r="H152" s="5" t="n">
        <v>2148</v>
      </c>
      <c r="I152" s="5" t="n">
        <v>292</v>
      </c>
      <c r="J152" s="5">
        <f>G152*H152</f>
        <v/>
      </c>
      <c r="K152" s="5">
        <f>G152*I152</f>
        <v/>
      </c>
      <c r="L152" s="13" t="inlineStr">
        <is>
          <t>Разогнать рекламой+отзывы</t>
        </is>
      </c>
    </row>
    <row r="153">
      <c r="A153" s="14" t="inlineStr">
        <is>
          <t>ИТОГО VT</t>
        </is>
      </c>
      <c r="B153" s="15" t="n"/>
      <c r="C153" s="16">
        <f>SUM(C151:C152)</f>
        <v/>
      </c>
      <c r="D153" s="15" t="n"/>
      <c r="E153" s="15" t="n"/>
      <c r="F153" s="15" t="n"/>
      <c r="G153" s="16">
        <f>SUM(G151:G152)</f>
        <v/>
      </c>
      <c r="H153" s="15" t="n"/>
      <c r="I153" s="15" t="n"/>
      <c r="J153" s="16">
        <f>SUM(J151:J152)</f>
        <v/>
      </c>
      <c r="K153" s="16">
        <f>SUM(K151:K152)</f>
        <v/>
      </c>
      <c r="L153" s="15" t="n"/>
    </row>
    <row r="155">
      <c r="A155" s="6" t="inlineStr">
        <is>
          <t>ИТОГО КОСМЕТИКА ОКТЯБРЬ</t>
        </is>
      </c>
      <c r="B155" s="19" t="n"/>
      <c r="C155" s="7">
        <f>C7+C12+C15+C19+C36+C41+C53+C56+C61+C64+C70+C73+C76+C79+C82+C90+C93+C107+C117+C124+C128+C132+C136+C149+C153</f>
        <v/>
      </c>
      <c r="D155" s="19" t="n"/>
      <c r="E155" s="19" t="n"/>
      <c r="F155" s="19" t="n"/>
      <c r="G155" s="7">
        <f>G7+G12+G15+G19+G36+G41+G53+G56+G61+G64+G70+G73+G76+G79+G82+G90+G93+G107+G117+G124+G128+G132+G136+G149+G153</f>
        <v/>
      </c>
      <c r="H155" s="19" t="n"/>
      <c r="I155" s="19" t="n"/>
      <c r="J155" s="7">
        <f>J7+J12+J15+J19+J36+J41+J53+J56+J61+J64+J70+J73+J76+J79+J82+J90+J93+J107+J117+J124+J128+J132+J136+J149+J153</f>
        <v/>
      </c>
      <c r="K155" s="7">
        <f>K7+K12+K15+K19+K36+K41+K53+K56+K61+K64+K70+K73+K76+K79+K82+K90+K93+K107+K117+K124+K128+K132+K136+K149+K153</f>
        <v/>
      </c>
      <c r="L155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9" customWidth="1" min="4" max="4"/>
    <col width="11" customWidth="1" min="5" max="5"/>
    <col width="10" customWidth="1" min="6" max="6"/>
    <col width="10" customWidth="1" min="7" max="7"/>
    <col width="26" customWidth="1" min="8" max="8"/>
  </cols>
  <sheetData>
    <row r="1">
      <c r="A1" s="20" t="inlineStr">
        <is>
          <t>ЭЛЕКТРОНИКА — ПОЛНЫЙ СПИСОК (камера, лампа, скалер, рация, триммеры, массажёр, робот, гирлянда)</t>
        </is>
      </c>
    </row>
    <row r="2">
      <c r="A2" s="2" t="inlineStr">
        <is>
          <t>Решение: электронику распродаём (кроме робота — к сезону март-2027). Массажёр не продаём (убыток).</t>
        </is>
      </c>
    </row>
    <row r="4">
      <c r="A4" s="21" t="inlineStr">
        <is>
          <t>Артикул</t>
        </is>
      </c>
      <c r="B4" s="21" t="inlineStr">
        <is>
          <t>Товар</t>
        </is>
      </c>
      <c r="C4" s="21" t="inlineStr">
        <is>
          <t>Себес ₽</t>
        </is>
      </c>
      <c r="D4" s="21" t="inlineStr">
        <is>
          <t>Остаток</t>
        </is>
      </c>
      <c r="E4" s="21" t="inlineStr">
        <is>
          <t>Цена ₽</t>
        </is>
      </c>
      <c r="F4" s="21" t="inlineStr">
        <is>
          <t>Маржа ₽/ед</t>
        </is>
      </c>
      <c r="G4" s="21" t="inlineStr">
        <is>
          <t>ROI %</t>
        </is>
      </c>
      <c r="H4" s="21" t="inlineStr">
        <is>
          <t>Решение</t>
        </is>
      </c>
    </row>
    <row r="5">
      <c r="A5" s="13" t="n">
        <v>663654300</v>
      </c>
      <c r="B5" s="13" t="inlineStr">
        <is>
          <t>Видеокамера 4G</t>
        </is>
      </c>
      <c r="C5" s="5" t="n">
        <v>2049</v>
      </c>
      <c r="D5" s="5" t="n">
        <v>98</v>
      </c>
      <c r="E5" s="5" t="n">
        <v>4255</v>
      </c>
      <c r="F5" s="13" t="n">
        <v>208</v>
      </c>
      <c r="G5" s="13" t="n">
        <v>10</v>
      </c>
      <c r="H5" s="13" t="inlineStr">
        <is>
          <t>Распродать</t>
        </is>
      </c>
    </row>
    <row r="6">
      <c r="A6" s="13" t="n">
        <v>198620596</v>
      </c>
      <c r="B6" s="13" t="inlineStr">
        <is>
          <t>Лампа белая 26см</t>
        </is>
      </c>
      <c r="C6" s="5" t="n">
        <v>452</v>
      </c>
      <c r="D6" s="5" t="n">
        <v>598</v>
      </c>
      <c r="E6" s="5" t="n"/>
      <c r="F6" s="13" t="n"/>
      <c r="G6" s="13" t="n"/>
      <c r="H6" s="13" t="inlineStr">
        <is>
          <t>Назначить цену, распродать</t>
        </is>
      </c>
    </row>
    <row r="7">
      <c r="A7" s="13" t="n">
        <v>208208674</v>
      </c>
      <c r="B7" s="13" t="inlineStr">
        <is>
          <t>Рация UV-82</t>
        </is>
      </c>
      <c r="C7" s="5" t="n">
        <v>1386</v>
      </c>
      <c r="D7" s="5" t="n">
        <v>297</v>
      </c>
      <c r="E7" s="5" t="n">
        <v>3033</v>
      </c>
      <c r="F7" s="13" t="n">
        <v>111</v>
      </c>
      <c r="G7" s="13" t="n">
        <v>8</v>
      </c>
      <c r="H7" s="13" t="inlineStr">
        <is>
          <t>Распродать</t>
        </is>
      </c>
    </row>
    <row r="8">
      <c r="A8" s="13" t="n">
        <v>180852804</v>
      </c>
      <c r="B8" s="13" t="inlineStr">
        <is>
          <t>Скалер ультразвуковой</t>
        </is>
      </c>
      <c r="C8" s="5" t="n">
        <v>972</v>
      </c>
      <c r="D8" s="5" t="n">
        <v>618</v>
      </c>
      <c r="E8" s="5" t="n"/>
      <c r="F8" s="13" t="n"/>
      <c r="G8" s="13" t="n"/>
      <c r="H8" s="13" t="inlineStr">
        <is>
          <t>Назначить цену, распродать</t>
        </is>
      </c>
    </row>
    <row r="9">
      <c r="A9" s="13" t="n">
        <v>315688951</v>
      </c>
      <c r="B9" s="13" t="inlineStr">
        <is>
          <t>Триммер золотой</t>
        </is>
      </c>
      <c r="C9" s="5" t="n">
        <v>263</v>
      </c>
      <c r="D9" s="5" t="n">
        <v>50</v>
      </c>
      <c r="E9" s="5" t="n">
        <v>849</v>
      </c>
      <c r="F9" s="13" t="n">
        <v>92</v>
      </c>
      <c r="G9" s="13" t="n">
        <v>35</v>
      </c>
      <c r="H9" s="13" t="inlineStr">
        <is>
          <t>Распродать (ROI ок)</t>
        </is>
      </c>
    </row>
    <row r="10">
      <c r="A10" s="13" t="n">
        <v>180852837</v>
      </c>
      <c r="B10" s="13" t="inlineStr">
        <is>
          <t>Триммер чёрный</t>
        </is>
      </c>
      <c r="C10" s="5" t="n">
        <v>1056</v>
      </c>
      <c r="D10" s="5" t="n">
        <v>83</v>
      </c>
      <c r="E10" s="5" t="n"/>
      <c r="F10" s="13" t="n"/>
      <c r="G10" s="13" t="n"/>
      <c r="H10" s="13" t="inlineStr">
        <is>
          <t>Назначить цену, распродать</t>
        </is>
      </c>
    </row>
    <row r="11">
      <c r="A11" s="22" t="n">
        <v>174668134</v>
      </c>
      <c r="B11" s="22" t="inlineStr">
        <is>
          <t>Массажёр пистолет</t>
        </is>
      </c>
      <c r="C11" s="23" t="n">
        <v>531</v>
      </c>
      <c r="D11" s="23" t="n">
        <v>1460</v>
      </c>
      <c r="E11" s="23" t="n">
        <v>934</v>
      </c>
      <c r="F11" s="22" t="n">
        <v>-192</v>
      </c>
      <c r="G11" s="22" t="n">
        <v>-36</v>
      </c>
      <c r="H11" s="22" t="inlineStr">
        <is>
          <t>НЕ продаём (убыток)</t>
        </is>
      </c>
    </row>
    <row r="12">
      <c r="A12" s="13" t="n">
        <v>176944957</v>
      </c>
      <c r="B12" s="13" t="inlineStr">
        <is>
          <t>Робот мойщик окон</t>
        </is>
      </c>
      <c r="C12" s="5" t="n">
        <v>3366</v>
      </c>
      <c r="D12" s="5" t="n">
        <v>540</v>
      </c>
      <c r="E12" s="5" t="n"/>
      <c r="F12" s="13" t="n"/>
      <c r="G12" s="13" t="n"/>
      <c r="H12" s="13" t="inlineStr">
        <is>
          <t>Ждать сезон март-2027 / считать</t>
        </is>
      </c>
    </row>
    <row r="13">
      <c r="A13" s="13" t="n">
        <v>260389580</v>
      </c>
      <c r="B13" s="13" t="inlineStr">
        <is>
          <t>Удлинитель гирлянд 3м</t>
        </is>
      </c>
      <c r="C13" s="5" t="n">
        <v>26</v>
      </c>
      <c r="D13" s="5" t="n">
        <v>3000</v>
      </c>
      <c r="E13" s="5" t="n"/>
      <c r="F13" s="13" t="n"/>
      <c r="G13" s="13" t="n"/>
      <c r="H13" s="13" t="inlineStr">
        <is>
          <t>Распродать (сезон НГ)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4" customWidth="1" min="4" max="4"/>
    <col width="12" customWidth="1" min="5" max="5"/>
  </cols>
  <sheetData>
    <row r="1">
      <c r="A1" s="24" t="inlineStr">
        <is>
          <t>ДЕДЫ МОРОЗЫ — ОКТЯБРЬ (старт, склад)</t>
        </is>
      </c>
    </row>
    <row r="2">
      <c r="A2" s="2" t="inlineStr">
        <is>
          <t>Склад 30,852 шт. Октябрь 20% = 6,170 шт по 350 ₽/шт. Контейнер — к декабрю.</t>
        </is>
      </c>
    </row>
    <row r="4">
      <c r="A4" s="25" t="inlineStr">
        <is>
          <t>Наименование</t>
        </is>
      </c>
      <c r="B4" s="25" t="inlineStr">
        <is>
          <t>Себес ₽</t>
        </is>
      </c>
      <c r="C4" s="25" t="inlineStr">
        <is>
          <t>Склад</t>
        </is>
      </c>
      <c r="D4" s="25" t="inlineStr">
        <is>
          <t>План окт (20%)</t>
        </is>
      </c>
      <c r="E4" s="25" t="inlineStr">
        <is>
          <t>Прибыль ₽</t>
        </is>
      </c>
    </row>
    <row r="5">
      <c r="A5" s="13" t="inlineStr">
        <is>
          <t>Дед Мороз (№1) красный с подарком за спиной</t>
        </is>
      </c>
      <c r="B5" s="5" t="n">
        <v>292</v>
      </c>
      <c r="C5" s="5" t="n">
        <v>2579</v>
      </c>
      <c r="D5" s="5" t="n">
        <v>516</v>
      </c>
      <c r="E5" s="5" t="n">
        <v>180600</v>
      </c>
    </row>
    <row r="6">
      <c r="A6" s="13" t="inlineStr">
        <is>
          <t>Дед Мороз (№10) серый</t>
        </is>
      </c>
      <c r="B6" s="5" t="n">
        <v>292</v>
      </c>
      <c r="C6" s="5" t="n">
        <v>1444</v>
      </c>
      <c r="D6" s="5" t="n">
        <v>289</v>
      </c>
      <c r="E6" s="5" t="n">
        <v>101150</v>
      </c>
    </row>
    <row r="7">
      <c r="A7" s="13" t="inlineStr">
        <is>
          <t>Дед Мороз (№11) в клетку</t>
        </is>
      </c>
      <c r="B7" s="5" t="n">
        <v>292</v>
      </c>
      <c r="C7" s="5" t="n">
        <v>5430</v>
      </c>
      <c r="D7" s="5" t="n">
        <v>1086</v>
      </c>
      <c r="E7" s="5" t="n">
        <v>380100</v>
      </c>
    </row>
    <row r="8">
      <c r="A8" s="13" t="inlineStr">
        <is>
          <t>Дед Мороз (№11) 45см клетка</t>
        </is>
      </c>
      <c r="B8" s="5" t="n">
        <v>452</v>
      </c>
      <c r="C8" s="5" t="n">
        <v>1920</v>
      </c>
      <c r="D8" s="5" t="n">
        <v>384</v>
      </c>
      <c r="E8" s="5" t="n">
        <v>134400</v>
      </c>
    </row>
    <row r="9">
      <c r="A9" s="13" t="inlineStr">
        <is>
          <t>Дед Мороз (№11) 50см клетка</t>
        </is>
      </c>
      <c r="B9" s="5" t="n">
        <v>507</v>
      </c>
      <c r="C9" s="5" t="n">
        <v>30</v>
      </c>
      <c r="D9" s="5" t="n">
        <v>6</v>
      </c>
      <c r="E9" s="5" t="n">
        <v>2100</v>
      </c>
    </row>
    <row r="10">
      <c r="A10" s="13" t="inlineStr">
        <is>
          <t>Дед Мороз (№11) 85см клетка</t>
        </is>
      </c>
      <c r="B10" s="5" t="n">
        <v>1157</v>
      </c>
      <c r="C10" s="5" t="n">
        <v>5</v>
      </c>
      <c r="D10" s="5" t="n">
        <v>1</v>
      </c>
      <c r="E10" s="5" t="n">
        <v>350</v>
      </c>
    </row>
    <row r="11">
      <c r="A11" s="13" t="inlineStr">
        <is>
          <t>Дед Мороз (№12) белый лыжи белые боты</t>
        </is>
      </c>
      <c r="B11" s="5" t="n">
        <v>292</v>
      </c>
      <c r="C11" s="5" t="n">
        <v>3904</v>
      </c>
      <c r="D11" s="5" t="n">
        <v>781</v>
      </c>
      <c r="E11" s="5" t="n">
        <v>273350</v>
      </c>
    </row>
    <row r="12">
      <c r="A12" s="13" t="inlineStr">
        <is>
          <t>Дед Мороз (№13) белый лыжи черные боты</t>
        </is>
      </c>
      <c r="B12" s="5" t="n">
        <v>292</v>
      </c>
      <c r="C12" s="5" t="n">
        <v>996</v>
      </c>
      <c r="D12" s="5" t="n">
        <v>199</v>
      </c>
      <c r="E12" s="5" t="n">
        <v>69650</v>
      </c>
    </row>
    <row r="13">
      <c r="A13" s="13" t="inlineStr">
        <is>
          <t>Дед Мороз (№3) красный с мишкой</t>
        </is>
      </c>
      <c r="B13" s="5" t="n">
        <v>292</v>
      </c>
      <c r="C13" s="5" t="n">
        <v>3506</v>
      </c>
      <c r="D13" s="5" t="n">
        <v>701</v>
      </c>
      <c r="E13" s="5" t="n">
        <v>245350</v>
      </c>
    </row>
    <row r="14">
      <c r="A14" s="13" t="inlineStr">
        <is>
          <t>Дед Мороз (№3) 45см с мишкой</t>
        </is>
      </c>
      <c r="B14" s="5" t="n">
        <v>452</v>
      </c>
      <c r="C14" s="5" t="n">
        <v>1421</v>
      </c>
      <c r="D14" s="5" t="n">
        <v>284</v>
      </c>
      <c r="E14" s="5" t="n">
        <v>99400</v>
      </c>
    </row>
    <row r="15">
      <c r="A15" s="13" t="inlineStr">
        <is>
          <t>Дед Мороз (№3) 50см с мишкой</t>
        </is>
      </c>
      <c r="B15" s="5" t="n">
        <v>507</v>
      </c>
      <c r="C15" s="5" t="n">
        <v>60</v>
      </c>
      <c r="D15" s="5" t="n">
        <v>12</v>
      </c>
      <c r="E15" s="5" t="n">
        <v>4200</v>
      </c>
    </row>
    <row r="16">
      <c r="A16" s="13" t="inlineStr">
        <is>
          <t>Дед Мороз (№5) красный с подарком в руке</t>
        </is>
      </c>
      <c r="B16" s="5" t="n">
        <v>314</v>
      </c>
      <c r="C16" s="5" t="n">
        <v>4431</v>
      </c>
      <c r="D16" s="5" t="n">
        <v>886</v>
      </c>
      <c r="E16" s="5" t="n">
        <v>310100</v>
      </c>
    </row>
    <row r="17">
      <c r="A17" s="13" t="inlineStr">
        <is>
          <t>Дед Мороз (№5) 45см с подарком</t>
        </is>
      </c>
      <c r="B17" s="5" t="n">
        <v>452</v>
      </c>
      <c r="C17" s="5" t="n">
        <v>1188</v>
      </c>
      <c r="D17" s="5" t="n">
        <v>238</v>
      </c>
      <c r="E17" s="5" t="n">
        <v>83300</v>
      </c>
    </row>
    <row r="18">
      <c r="A18" s="13" t="inlineStr">
        <is>
          <t>Дед Мороз (№5) 50см с подарком</t>
        </is>
      </c>
      <c r="B18" s="5" t="n">
        <v>507</v>
      </c>
      <c r="C18" s="5" t="n">
        <v>200</v>
      </c>
      <c r="D18" s="5" t="n">
        <v>40</v>
      </c>
      <c r="E18" s="5" t="n">
        <v>14000</v>
      </c>
    </row>
    <row r="19">
      <c r="A19" s="13" t="inlineStr">
        <is>
          <t>Дед Мороз (№6) блестящий</t>
        </is>
      </c>
      <c r="B19" s="5" t="n">
        <v>292</v>
      </c>
      <c r="C19" s="5" t="n">
        <v>1519</v>
      </c>
      <c r="D19" s="5" t="n">
        <v>304</v>
      </c>
      <c r="E19" s="5" t="n">
        <v>106400</v>
      </c>
    </row>
    <row r="20">
      <c r="A20" s="13" t="inlineStr">
        <is>
          <t>Дед Мороз (№9) красный рябь</t>
        </is>
      </c>
      <c r="B20" s="5" t="n">
        <v>292</v>
      </c>
      <c r="C20" s="5" t="n">
        <v>1290</v>
      </c>
      <c r="D20" s="5" t="n">
        <v>258</v>
      </c>
      <c r="E20" s="5" t="n">
        <v>90300</v>
      </c>
    </row>
    <row r="21">
      <c r="A21" s="13" t="inlineStr">
        <is>
          <t>СГ-Белая с узорами</t>
        </is>
      </c>
      <c r="B21" s="5" t="n">
        <v>304</v>
      </c>
      <c r="C21" s="5" t="n">
        <v>717</v>
      </c>
      <c r="D21" s="5" t="n">
        <v>143</v>
      </c>
      <c r="E21" s="5" t="n">
        <v>50050</v>
      </c>
    </row>
    <row r="22">
      <c r="A22" s="13" t="inlineStr">
        <is>
          <t>СГ-Красная</t>
        </is>
      </c>
      <c r="B22" s="5" t="n">
        <v>304</v>
      </c>
      <c r="C22" s="5" t="n">
        <v>212</v>
      </c>
      <c r="D22" s="5" t="n">
        <v>42</v>
      </c>
      <c r="E22" s="5" t="n">
        <v>14700</v>
      </c>
    </row>
    <row r="23">
      <c r="A23" s="26" t="inlineStr">
        <is>
          <t>ИТОГО</t>
        </is>
      </c>
      <c r="B23" s="19" t="n"/>
      <c r="C23" s="27" t="n">
        <v>30852</v>
      </c>
      <c r="D23" s="27" t="n">
        <v>6170</v>
      </c>
      <c r="E23" s="27" t="n">
        <v>2159500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2026-10-01T20:52:56Z</dcterms:created>
  <dcterms:modified xsi:type="dcterms:W3CDTF">2026-10-01T20:52:56Z</dcterms:modified>
</cp:coreProperties>
</file>
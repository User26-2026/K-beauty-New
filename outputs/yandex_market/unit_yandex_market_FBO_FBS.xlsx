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 ЯМ FBO" sheetId="1" state="visible" r:id="rId1"/>
    <sheet name="Юнитка ЯМ F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-"/>
    <numFmt numFmtId="165" formatCode="#,##0.00;(#,##0.00);-"/>
    <numFmt numFmtId="166" formatCode="#,##0;(#,##0);-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5" fillId="0" borderId="1" applyAlignment="1" pivotButton="0" quotePrefix="0" xfId="0">
      <alignment/>
    </xf>
    <xf numFmtId="0" fontId="4" fillId="2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2" fontId="4" fillId="2" borderId="1" pivotButton="0" quotePrefix="0" xfId="0"/>
    <xf numFmtId="165" fontId="3" fillId="5" borderId="0" pivotButton="0" quotePrefix="0" xfId="0"/>
    <xf numFmtId="164" fontId="3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Источник</author>
  </authors>
  <commentList>
    <comment ref="A4" authorId="0" shapeId="0">
      <text>
        <t>Из исходной модели продавца (УСН 7%)</t>
      </text>
    </comment>
    <comment ref="A5" authorId="0" shapeId="0">
      <text>
        <t>Тариф Маркета за перевод платежа при выплатах раз в неделю с отсрочкой 2 недели. Другие графики: 1,6% (отсрочка 4 недели), 2,8% (отсрочка 1 неделя).</t>
      </text>
    </comment>
    <comment ref="A6" authorId="0" shapeId="0">
      <text>
        <t>Тариф Маркета: 0,12 ₽ за каждый отличающийся SKU в заказе</t>
      </text>
    </comment>
    <comment ref="A7" authorId="0" shapeId="0">
      <text>
        <t>Сборка и упаковка на складе Маркета: 4% от цены товара</t>
      </text>
    </comment>
    <comment ref="A8" authorId="0" shapeId="0">
      <text>
        <t>Нижняя граница платы за сборку и упаковку</t>
      </text>
    </comment>
    <comment ref="A9" authorId="0" shapeId="0">
      <text>
        <t>Верхняя граница платы за сборку и упаковку</t>
      </text>
    </comment>
    <comment ref="A10" authorId="0" shapeId="0">
      <text>
        <t>Тариф Маркета для косметики. Хранение бесплатное при оборачиваемости до 365 дней, поэтому по умолчанию дней хранения = 0.</t>
      </text>
    </comment>
    <comment ref="A11" authorId="0" shapeId="0">
      <text>
        <t>Ставится больше нуля только для зависших остатков старше года</t>
      </text>
    </comment>
    <comment ref="A12" authorId="0" shapeId="0">
      <text>
        <t>Из исходной модели продавца: подготовка товара на нашей стороне</t>
      </text>
    </comment>
    <comment ref="A13" authorId="0" shapeId="0">
      <text>
        <t>1 = скидку финансируем мы (тариф и выручка считаются от цены покупателя). 0 = скидку финансирует Маркет, как СПП на WB. Значение по умолчанию консервативное.</t>
      </text>
    </comment>
    <comment ref="A14" authorId="0" shapeId="0">
      <text>
        <t>1 = ставка из официального файла тарифов Маркета с 01.07.2026, доставка покупателю, средняя миля и возвраты считаются включёнными в неё. 2 = льготный тариф для красоты (5% FBY / 12% FBS), логистика и возвраты платятся отдельно.</t>
      </text>
    </comment>
    <comment ref="A15" authorId="0" shapeId="0">
      <text>
        <t>Льгота для категории Товары для красоты: 5% на FBY и Express, 12% на FBS с отгрузкой дольше 36 часов и на DBS. Действует до конца 2026 года. Проверить в личном кабинете.</t>
      </text>
    </comment>
    <comment ref="A16" authorId="0" shapeId="0">
      <text>
        <t>5% от цены товара, не более 1000 ₽</t>
      </text>
    </comment>
    <comment ref="A17" authorId="0" shapeId="0">
      <text>
        <t>Верхняя граница платы за доставку покупателю</t>
      </text>
    </comment>
    <comment ref="A18" authorId="0" shapeId="0">
      <text>
        <t>ОЦЕНКА. Маркет считает среднюю милю по объёму в литрах, не более 5500 ₽ за единицу, но саму ставку за литр подтвердить не удалось. Подставьте значение из личного кабинета.</t>
      </text>
    </comment>
    <comment ref="A19" authorId="0" shapeId="0">
      <text>
        <t>Плата за обработку возврата или невыкупа</t>
      </text>
    </comment>
    <comment ref="A20" authorId="0" shapeId="0">
      <text>
        <t>Доставка от покупателя обратно идёт по междугородному тарифу. Взято значение обратной логистики из исходной модели продавца, уточнить в личном кабинете.</t>
      </text>
    </comment>
    <comment ref="A21" authorId="0" shapeId="0">
      <text>
        <t>Софинансирование программы лояльности. Ставится, если участвуем в кешбэке баллами Плюса.</t>
      </text>
    </comment>
  </commentList>
</comments>
</file>

<file path=xl/comments/comment2.xml><?xml version="1.0" encoding="utf-8"?>
<comments xmlns="http://schemas.openxmlformats.org/spreadsheetml/2006/main">
  <authors>
    <author>Источник</author>
  </authors>
  <commentList>
    <comment ref="A4" authorId="0" shapeId="0">
      <text>
        <t>Из исходной модели продавца (УСН 7%)</t>
      </text>
    </comment>
    <comment ref="A5" authorId="0" shapeId="0">
      <text>
        <t>Тариф Маркета за перевод платежа при выплатах раз в неделю с отсрочкой 2 недели. Другие графики: 1,6% (отсрочка 4 недели), 2,8% (отсрочка 1 неделя).</t>
      </text>
    </comment>
    <comment ref="A6" authorId="0" shapeId="0">
      <text>
        <t>Тариф Маркета: 0,12 ₽ за каждый отличающийся SKU в заказе</t>
      </text>
    </comment>
    <comment ref="A7" authorId="0" shapeId="0">
      <text>
        <t>Сборка и упаковка на складе Маркета: 4% от цены товара</t>
      </text>
    </comment>
    <comment ref="A8" authorId="0" shapeId="0">
      <text>
        <t>Нижняя граница платы за сборку и упаковку</t>
      </text>
    </comment>
    <comment ref="A9" authorId="0" shapeId="0">
      <text>
        <t>Верхняя граница платы за сборку и упаковку</t>
      </text>
    </comment>
    <comment ref="A10" authorId="0" shapeId="0">
      <text>
        <t>Тариф Маркета для косметики. Хранение бесплатное при оборачиваемости до 365 дней, поэтому по умолчанию дней хранения = 0.</t>
      </text>
    </comment>
    <comment ref="A11" authorId="0" shapeId="0">
      <text>
        <t>Ставится больше нуля только для зависших остатков старше года</t>
      </text>
    </comment>
    <comment ref="A12" authorId="0" shapeId="0">
      <text>
        <t>Из исходной модели продавца: подготовка товара на нашей стороне</t>
      </text>
    </comment>
    <comment ref="A13" authorId="0" shapeId="0">
      <text>
        <t>1 = скидку финансируем мы (тариф и выручка считаются от цены покупателя). 0 = скидку финансирует Маркет, как СПП на WB. Значение по умолчанию консервативное.</t>
      </text>
    </comment>
    <comment ref="A14" authorId="0" shapeId="0">
      <text>
        <t>1 = ставка из официального файла тарифов Маркета с 01.07.2026, доставка покупателю, средняя миля и возвраты считаются включёнными в неё. 2 = льготный тариф для красоты (5% FBY / 12% FBS), логистика и возвраты платятся отдельно.</t>
      </text>
    </comment>
    <comment ref="A15" authorId="0" shapeId="0">
      <text>
        <t>Льгота для категории Товары для красоты: 5% на FBY и Express, 12% на FBS с отгрузкой дольше 36 часов и на DBS. Действует до конца 2026 года. Проверить в личном кабинете.</t>
      </text>
    </comment>
    <comment ref="A16" authorId="0" shapeId="0">
      <text>
        <t>5% от цены товара, не более 1000 ₽</t>
      </text>
    </comment>
    <comment ref="A17" authorId="0" shapeId="0">
      <text>
        <t>Верхняя граница платы за доставку покупателю</t>
      </text>
    </comment>
    <comment ref="A18" authorId="0" shapeId="0">
      <text>
        <t>ОЦЕНКА. Маркет считает среднюю милю по объёму в литрах, не более 5500 ₽ за единицу, но саму ставку за литр подтвердить не удалось. Подставьте значение из личного кабинета.</t>
      </text>
    </comment>
    <comment ref="A19" authorId="0" shapeId="0">
      <text>
        <t>Плата за обработку возврата или невыкупа</t>
      </text>
    </comment>
    <comment ref="A20" authorId="0" shapeId="0">
      <text>
        <t>Доставка от покупателя обратно идёт по междугородному тарифу. Взято значение обратной логистики из исходной модели продавца, уточнить в личном кабинете.</t>
      </text>
    </comment>
    <comment ref="A21" authorId="0" shapeId="0">
      <text>
        <t>Софинансирование программы лояльности. Ставится, если участвуем в кешбэке баллами Плюса.</t>
      </text>
    </comment>
    <comment ref="A22" authorId="0" shapeId="0">
      <text>
        <t>Обработка заказа на стороне Маркета по модели FBS</t>
      </text>
    </comment>
    <comment ref="A23" authorId="0" shapeId="0">
      <text>
        <t>Самопривоз: сортировочный центр около 10 ₽ за заказ, пункт приёма около 25 ₽. При выезде курьера ставится стоимость выезда, делённая на число заказов.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E147"/>
  <sheetViews>
    <sheetView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6" customWidth="1" min="2" max="2"/>
    <col width="9" customWidth="1" min="3" max="3"/>
    <col width="11" customWidth="1" min="4" max="4"/>
    <col width="10" customWidth="1" min="5" max="5"/>
    <col width="14" customWidth="1" min="6" max="6"/>
    <col width="10" customWidth="1" min="7" max="7"/>
    <col width="14" customWidth="1" min="8" max="8"/>
    <col width="15" customWidth="1" min="9" max="9"/>
    <col width="11" customWidth="1" min="10" max="10"/>
    <col width="11" customWidth="1" min="11" max="11"/>
    <col width="12" customWidth="1" min="12" max="12"/>
    <col width="13" customWidth="1" min="13" max="13"/>
    <col width="14" customWidth="1" min="14" max="14"/>
    <col width="15" customWidth="1" min="15" max="15"/>
    <col width="9" customWidth="1" min="16" max="16"/>
    <col width="12" customWidth="1" min="17" max="17"/>
    <col width="14" customWidth="1" min="18" max="18"/>
    <col width="16" customWidth="1" min="19" max="19"/>
    <col width="10" customWidth="1" min="20" max="20"/>
    <col width="9" customWidth="1" min="21" max="21"/>
    <col width="15" customWidth="1" min="22" max="22"/>
    <col width="11" customWidth="1" min="23" max="23"/>
    <col width="10" customWidth="1" min="24" max="24"/>
    <col width="12" customWidth="1" min="25" max="25"/>
    <col width="13" customWidth="1" min="26" max="26"/>
    <col width="15" customWidth="1" min="27" max="27"/>
    <col width="12" customWidth="1" min="28" max="28"/>
    <col width="12" customWidth="1" min="29" max="29"/>
    <col width="10" customWidth="1" min="30" max="30"/>
    <col width="13" customWidth="1" min="31" max="31"/>
  </cols>
  <sheetData>
    <row r="1">
      <c r="A1" s="1" t="inlineStr">
        <is>
          <t>ЮНИТ-ЭКОНОМИКА ЯНДЕКС МАРКЕТ — FBO (FBY), склад Маркета</t>
        </is>
      </c>
    </row>
    <row r="2">
      <c r="A2" s="2" t="inlineStr">
        <is>
          <t>Жёлтые ячейки — вход, всё остальное считается формулами. Наведите курсор на подпись параметра: в примечании источник цифры.</t>
        </is>
      </c>
    </row>
    <row r="4">
      <c r="A4" s="3" t="inlineStr">
        <is>
          <t>Налог с оборота</t>
        </is>
      </c>
      <c r="C4" s="4" t="n">
        <v>0.07000000000000001</v>
      </c>
    </row>
    <row r="5">
      <c r="A5" s="3" t="inlineStr">
        <is>
          <t>Перевод платежа, %</t>
        </is>
      </c>
      <c r="C5" s="4" t="n">
        <v>0.023</v>
      </c>
    </row>
    <row r="6">
      <c r="A6" s="3" t="inlineStr">
        <is>
          <t>Приём платежа, ₽ за SKU</t>
        </is>
      </c>
      <c r="C6" s="5" t="n">
        <v>0.12</v>
      </c>
    </row>
    <row r="7">
      <c r="A7" s="3" t="inlineStr">
        <is>
          <t>Обработка заказа, % от цены</t>
        </is>
      </c>
      <c r="C7" s="4" t="n">
        <v>0.04</v>
      </c>
    </row>
    <row r="8">
      <c r="A8" s="3" t="inlineStr">
        <is>
          <t>Обработка заказа, минимум ₽</t>
        </is>
      </c>
      <c r="C8" s="5" t="n">
        <v>25</v>
      </c>
    </row>
    <row r="9">
      <c r="A9" s="3" t="inlineStr">
        <is>
          <t>Обработка заказа, максимум ₽</t>
        </is>
      </c>
      <c r="C9" s="5" t="n">
        <v>100</v>
      </c>
    </row>
    <row r="10">
      <c r="A10" s="3" t="inlineStr">
        <is>
          <t>Хранение, ₽/л в день</t>
        </is>
      </c>
      <c r="C10" s="5" t="n">
        <v>3</v>
      </c>
    </row>
    <row r="11">
      <c r="A11" s="3" t="inlineStr">
        <is>
          <t>Дней платного хранения</t>
        </is>
      </c>
      <c r="C11" s="6" t="n">
        <v>0</v>
      </c>
    </row>
    <row r="12">
      <c r="A12" s="3" t="inlineStr">
        <is>
          <t>Фулфилмент наш, ₽/шт</t>
        </is>
      </c>
      <c r="C12" s="5" t="n">
        <v>60</v>
      </c>
    </row>
    <row r="13">
      <c r="A13" s="3" t="inlineStr">
        <is>
          <t>Доля скидки за счёт продавца</t>
        </is>
      </c>
      <c r="C13" s="4" t="n">
        <v>1</v>
      </c>
    </row>
    <row r="14">
      <c r="A14" s="3" t="inlineStr">
        <is>
          <t>Режим тарифа: 1 стандартный / 2 льготный</t>
        </is>
      </c>
      <c r="C14" s="6" t="n">
        <v>1</v>
      </c>
    </row>
    <row r="15">
      <c r="A15" s="3" t="inlineStr">
        <is>
          <t>Льготный тариф размещения, %</t>
        </is>
      </c>
      <c r="C15" s="4" t="n">
        <v>0.05</v>
      </c>
    </row>
    <row r="16">
      <c r="A16" s="3" t="inlineStr">
        <is>
          <t>Доставка покупателю, % (режим 2)</t>
        </is>
      </c>
      <c r="C16" s="4" t="n">
        <v>0.05</v>
      </c>
    </row>
    <row r="17">
      <c r="A17" s="3" t="inlineStr">
        <is>
          <t>Доставка покупателю, максимум ₽</t>
        </is>
      </c>
      <c r="C17" s="5" t="n">
        <v>1000</v>
      </c>
    </row>
    <row r="18">
      <c r="A18" s="3" t="inlineStr">
        <is>
          <t>Средняя миля, ₽/л (режим 2)</t>
        </is>
      </c>
      <c r="C18" s="5" t="n">
        <v>5</v>
      </c>
    </row>
    <row r="19">
      <c r="A19" s="3" t="inlineStr">
        <is>
          <t>Обработка возврата, ₽ (режим 2)</t>
        </is>
      </c>
      <c r="C19" s="5" t="n">
        <v>15</v>
      </c>
    </row>
    <row r="20">
      <c r="A20" s="3" t="inlineStr">
        <is>
          <t>Обратная доставка, ₽ (режим 2)</t>
        </is>
      </c>
      <c r="C20" s="5" t="n">
        <v>67</v>
      </c>
    </row>
    <row r="21">
      <c r="A21" s="3" t="inlineStr">
        <is>
          <t>Баллы Плюса за наш счёт, %</t>
        </is>
      </c>
      <c r="C21" s="4" t="n">
        <v>0</v>
      </c>
    </row>
    <row r="23" ht="42" customHeight="1">
      <c r="A23" s="7" t="inlineStr">
        <is>
          <t>Товар</t>
        </is>
      </c>
      <c r="B23" s="7" t="inlineStr">
        <is>
          <t>Категория Маркета</t>
        </is>
      </c>
      <c r="C23" s="7" t="inlineStr">
        <is>
          <t>Остаток</t>
        </is>
      </c>
      <c r="D23" s="7" t="inlineStr">
        <is>
          <t>Цена конк.</t>
        </is>
      </c>
      <c r="E23" s="7" t="inlineStr">
        <is>
          <t>ДРР конк.</t>
        </is>
      </c>
      <c r="F23" s="7" t="inlineStr">
        <is>
          <t>Цена без скидки</t>
        </is>
      </c>
      <c r="G23" s="7" t="inlineStr">
        <is>
          <t>Скидка, %</t>
        </is>
      </c>
      <c r="H23" s="7" t="inlineStr">
        <is>
          <t>Цена покупателя</t>
        </is>
      </c>
      <c r="I23" s="7" t="inlineStr">
        <is>
          <t>Выручка продавца</t>
        </is>
      </c>
      <c r="J23" s="7" t="inlineStr">
        <is>
          <t>Себест.</t>
        </is>
      </c>
      <c r="K23" s="7" t="inlineStr">
        <is>
          <t>Фулфилмент</t>
        </is>
      </c>
      <c r="L23" s="7" t="inlineStr">
        <is>
          <t>База затрат</t>
        </is>
      </c>
      <c r="M23" s="7" t="inlineStr">
        <is>
          <t>Тариф Маркета %</t>
        </is>
      </c>
      <c r="N23" s="7" t="inlineStr">
        <is>
          <t>Тариф Маркета ₽</t>
        </is>
      </c>
      <c r="O23" s="7" t="inlineStr">
        <is>
          <t>Доставка покупателю</t>
        </is>
      </c>
      <c r="P23" s="7" t="inlineStr">
        <is>
          <t>Объём, л</t>
        </is>
      </c>
      <c r="Q23" s="7" t="inlineStr">
        <is>
          <t>Средняя миля</t>
        </is>
      </c>
      <c r="R23" s="7" t="inlineStr">
        <is>
          <t>Обработка заказа</t>
        </is>
      </c>
      <c r="S23" s="7" t="inlineStr">
        <is>
          <t>Приём и перевод платежа</t>
        </is>
      </c>
      <c r="T23" s="7" t="inlineStr">
        <is>
          <t>Хранение</t>
        </is>
      </c>
      <c r="U23" s="7" t="inlineStr">
        <is>
          <t>Выкуп %</t>
        </is>
      </c>
      <c r="V23" s="7" t="inlineStr">
        <is>
          <t>Возвраты и невыкуп</t>
        </is>
      </c>
      <c r="W23" s="7" t="inlineStr">
        <is>
          <t>Баллы Плюса</t>
        </is>
      </c>
      <c r="X23" s="7" t="inlineStr">
        <is>
          <t>Налог</t>
        </is>
      </c>
      <c r="Y23" s="7" t="inlineStr">
        <is>
          <t>Буст продаж %</t>
        </is>
      </c>
      <c r="Z23" s="7" t="inlineStr">
        <is>
          <t>Буст продаж ₽</t>
        </is>
      </c>
      <c r="AA23" s="7" t="inlineStr">
        <is>
          <t>Маржа до рекламы</t>
        </is>
      </c>
      <c r="AB23" s="7" t="inlineStr">
        <is>
          <t>Маржа/шт</t>
        </is>
      </c>
      <c r="AC23" s="7" t="inlineStr">
        <is>
          <t>Маржа % цены</t>
        </is>
      </c>
      <c r="AD23" s="7" t="inlineStr">
        <is>
          <t>ROI %</t>
        </is>
      </c>
      <c r="AE23" s="7" t="inlineStr">
        <is>
          <t>Цена безубытка</t>
        </is>
      </c>
    </row>
    <row r="24">
      <c r="A24" s="8" t="inlineStr">
        <is>
          <t>Косметика/COSRX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</row>
    <row r="25">
      <c r="A25" s="10" t="inlineStr">
        <is>
          <t>COSRX - Salicylic Acid Daily Gentle Cleanser [150ml] / Пенка с салициловой кислотой для проблемной кожи</t>
        </is>
      </c>
      <c r="B25" s="11" t="inlineStr">
        <is>
          <t>Средства для умывания</t>
        </is>
      </c>
      <c r="C25" s="12" t="n">
        <v>412</v>
      </c>
      <c r="D25" s="12" t="n">
        <v>1680</v>
      </c>
      <c r="E25" s="13" t="n">
        <v>22.3</v>
      </c>
      <c r="F25" s="5" t="n">
        <v>1630</v>
      </c>
      <c r="G25" s="4" t="n">
        <v>0.45</v>
      </c>
      <c r="H25" s="14">
        <f>F25*(1-G25)</f>
        <v>896.5</v>
      </c>
      <c r="I25" s="14">
        <f>F25-F25*G25*$C$13</f>
        <v>896.5</v>
      </c>
      <c r="J25" s="5" t="n">
        <v>343.82</v>
      </c>
      <c r="K25" s="14">
        <f>$C$12</f>
        <v>60.0</v>
      </c>
      <c r="L25" s="14">
        <f>J25+K25</f>
        <v>403.82</v>
      </c>
      <c r="M25" s="15">
        <f>IF($C$14=1,0.41,$C$15)</f>
        <v>0.41</v>
      </c>
      <c r="N25" s="14">
        <f>H25*M25</f>
        <v>367.565</v>
      </c>
      <c r="O25" s="14">
        <f>IF($C$14=2,MIN(H25*$C$16,$C$17),0)</f>
        <v>0.0</v>
      </c>
      <c r="P25" s="16" t="n">
        <v>0.63</v>
      </c>
      <c r="Q25" s="14">
        <f>IF($C$14=2,P25*$C$18,0)</f>
        <v>0.0</v>
      </c>
      <c r="R25" s="14">
        <f>MIN(MAX(H25*$C$7,$C$8),$C$9)</f>
        <v>35.86</v>
      </c>
      <c r="S25" s="14">
        <f>H25*$C$5+$C$6</f>
        <v>20.7395</v>
      </c>
      <c r="T25" s="14">
        <f>$C$10*$C$11*P25</f>
        <v>0.0</v>
      </c>
      <c r="U25" s="4" t="n">
        <v>0.9</v>
      </c>
      <c r="V25" s="14">
        <f>IF($C$14=2,(1-U25)*($C$19+$C$20),0)</f>
        <v>0.0</v>
      </c>
      <c r="W25" s="14">
        <f>H25*$C$21</f>
        <v>0.0</v>
      </c>
      <c r="X25" s="14">
        <f>I25*$C$4</f>
        <v>62.755</v>
      </c>
      <c r="Y25" s="4" t="n">
        <v>0.22</v>
      </c>
      <c r="Z25" s="14">
        <f>H25*Y25</f>
        <v>197.23</v>
      </c>
      <c r="AA25" s="14">
        <f>I25-N25-O25-Q25-R25-S25-T25-V25-W25-X25-L25</f>
        <v>5.7605</v>
      </c>
      <c r="AB25" s="14">
        <f>AA25-Z25</f>
        <v>-191.4695</v>
      </c>
      <c r="AC25" s="15">
        <f>IFERROR(AB25/H25,0)</f>
        <v>-0.2135744562</v>
      </c>
      <c r="AD25" s="15">
        <f>IFERROR(AB25/L25,0)</f>
        <v>-0.474145659</v>
      </c>
      <c r="AE25" s="14">
        <f>IFERROR((L25+R25+T25+Q25+V25+$C$6)/(((1-G25*$C$13)/(1-G25))-(M25+$C$5+Y25+$C$21+IF($C$14=2,$C$16,0))-$C$4*((1-G25*$C$13)/(1-G25))),0)</f>
        <v>1587.725631769</v>
      </c>
    </row>
    <row r="26">
      <c r="A26" s="8" t="inlineStr">
        <is>
          <t>Косметика/DEOPROCE/DEOPROCE-SHAMPOO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</row>
    <row r="27">
      <c r="A27" s="10" t="inlineStr">
        <is>
          <t>DEOPROCE SHAMPOO - BLACK GARLIC INTENSME ENERGY [200ml]/ Шампунь с черным чесноком против выпадения волос</t>
        </is>
      </c>
      <c r="B27" s="11" t="inlineStr">
        <is>
          <t>Шампуни</t>
        </is>
      </c>
      <c r="C27" s="12" t="n">
        <v>370</v>
      </c>
      <c r="D27" s="12" t="n">
        <v>980</v>
      </c>
      <c r="E27" s="13" t="n">
        <v>0</v>
      </c>
      <c r="F27" s="5" t="n">
        <v>900</v>
      </c>
      <c r="G27" s="4" t="n">
        <v>0.45</v>
      </c>
      <c r="H27" s="14">
        <f>F27*(1-G27)</f>
        <v>495.0</v>
      </c>
      <c r="I27" s="14">
        <f>F27-F27*G27*$C$13</f>
        <v>495.0</v>
      </c>
      <c r="J27" s="5" t="n">
        <v>151.13</v>
      </c>
      <c r="K27" s="14">
        <f>$C$12</f>
        <v>60.0</v>
      </c>
      <c r="L27" s="14">
        <f>J27+K27</f>
        <v>211.13</v>
      </c>
      <c r="M27" s="15">
        <f>IF($C$14=1,0.4,$C$15)</f>
        <v>0.4</v>
      </c>
      <c r="N27" s="14">
        <f>H27*M27</f>
        <v>198.0</v>
      </c>
      <c r="O27" s="14">
        <f>IF($C$14=2,MIN(H27*$C$16,$C$17),0)</f>
        <v>0.0</v>
      </c>
      <c r="P27" s="16" t="n">
        <v>0.68</v>
      </c>
      <c r="Q27" s="14">
        <f>IF($C$14=2,P27*$C$18,0)</f>
        <v>0.0</v>
      </c>
      <c r="R27" s="14">
        <f>MIN(MAX(H27*$C$7,$C$8),$C$9)</f>
        <v>25.0</v>
      </c>
      <c r="S27" s="14">
        <f>H27*$C$5+$C$6</f>
        <v>11.505</v>
      </c>
      <c r="T27" s="14">
        <f>$C$10*$C$11*P27</f>
        <v>0.0</v>
      </c>
      <c r="U27" s="4" t="n">
        <v>0.9</v>
      </c>
      <c r="V27" s="14">
        <f>IF($C$14=2,(1-U27)*($C$19+$C$20),0)</f>
        <v>0.0</v>
      </c>
      <c r="W27" s="14">
        <f>H27*$C$21</f>
        <v>0.0</v>
      </c>
      <c r="X27" s="14">
        <f>I27*$C$4</f>
        <v>34.65</v>
      </c>
      <c r="Y27" s="4" t="n">
        <v>0.15</v>
      </c>
      <c r="Z27" s="14">
        <f>H27*Y27</f>
        <v>74.25</v>
      </c>
      <c r="AA27" s="14">
        <f>I27-N27-O27-Q27-R27-S27-T27-V27-W27-X27-L27</f>
        <v>14.715</v>
      </c>
      <c r="AB27" s="14">
        <f>AA27-Z27</f>
        <v>-59.535</v>
      </c>
      <c r="AC27" s="15">
        <f>IFERROR(AB27/H27,0)</f>
        <v>-0.1202727273</v>
      </c>
      <c r="AD27" s="15">
        <f>IFERROR(AB27/L27,0)</f>
        <v>-0.2819826647</v>
      </c>
      <c r="AE27" s="14">
        <f>IFERROR((L27+R27+T27+Q27+V27+$C$6)/(((1-G27*$C$13)/(1-G27))-(M27+$C$5+Y27+$C$21+IF($C$14=2,$C$16,0))-$C$4*((1-G27*$C$13)/(1-G27))),0)</f>
        <v>661.7647058824</v>
      </c>
    </row>
    <row r="28">
      <c r="A28" s="8" t="inlineStr">
        <is>
          <t>Косметика/DEOPROCE/НАБОР ШАМПУНЬ+БАЛЬЗАМ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</row>
    <row r="29">
      <c r="A29" s="8" t="inlineStr">
        <is>
          <t>Косметика/DR.JART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</row>
    <row r="30">
      <c r="A30" s="10" t="inlineStr">
        <is>
          <t>DR. JART - Ctrl+A Teatreatment Toner [120ml] / Тонер тоник для лица увлажняющий с чайным деревом</t>
        </is>
      </c>
      <c r="B30" s="11" t="inlineStr">
        <is>
          <t>Средства для ухода за лицом</t>
        </is>
      </c>
      <c r="C30" s="12" t="n">
        <v>180</v>
      </c>
      <c r="D30" s="12" t="n"/>
      <c r="E30" s="13" t="n">
        <v>9.199999999999999</v>
      </c>
      <c r="F30" s="5" t="n">
        <v>2642.208977</v>
      </c>
      <c r="G30" s="4" t="n">
        <v>0.45</v>
      </c>
      <c r="H30" s="14">
        <f>F30*(1-G30)</f>
        <v>1453.21493735</v>
      </c>
      <c r="I30" s="14">
        <f>F30-F30*G30*$C$13</f>
        <v>1453.21493735</v>
      </c>
      <c r="J30" s="5" t="n">
        <v>637.89</v>
      </c>
      <c r="K30" s="14">
        <f>$C$12</f>
        <v>60.0</v>
      </c>
      <c r="L30" s="14">
        <f>J30+K30</f>
        <v>697.89</v>
      </c>
      <c r="M30" s="15">
        <f>IF($C$14=1,0.4,$C$15)</f>
        <v>0.4</v>
      </c>
      <c r="N30" s="14">
        <f>H30*M30</f>
        <v>581.28597494</v>
      </c>
      <c r="O30" s="14">
        <f>IF($C$14=2,MIN(H30*$C$16,$C$17),0)</f>
        <v>0.0</v>
      </c>
      <c r="P30" s="16" t="n">
        <v>0.33</v>
      </c>
      <c r="Q30" s="14">
        <f>IF($C$14=2,P30*$C$18,0)</f>
        <v>0.0</v>
      </c>
      <c r="R30" s="14">
        <f>MIN(MAX(H30*$C$7,$C$8),$C$9)</f>
        <v>58.128597494</v>
      </c>
      <c r="S30" s="14">
        <f>H30*$C$5+$C$6</f>
        <v>33.543943559</v>
      </c>
      <c r="T30" s="14">
        <f>$C$10*$C$11*P30</f>
        <v>0.0</v>
      </c>
      <c r="U30" s="4" t="n">
        <v>0.9</v>
      </c>
      <c r="V30" s="14">
        <f>IF($C$14=2,(1-U30)*($C$19+$C$20),0)</f>
        <v>0.0</v>
      </c>
      <c r="W30" s="14">
        <f>H30*$C$21</f>
        <v>0.0</v>
      </c>
      <c r="X30" s="14">
        <f>I30*$C$4</f>
        <v>101.7250456145</v>
      </c>
      <c r="Y30" s="4" t="n">
        <v>0.15</v>
      </c>
      <c r="Z30" s="14">
        <f>H30*Y30</f>
        <v>217.9822406025</v>
      </c>
      <c r="AA30" s="14">
        <f>I30-N30-O30-Q30-R30-S30-T30-V30-W30-X30-L30</f>
        <v>-19.3586242576</v>
      </c>
      <c r="AB30" s="14">
        <f>AA30-Z30</f>
        <v>-237.3408648601</v>
      </c>
      <c r="AC30" s="15">
        <f>IFERROR(AB30/H30,0)</f>
        <v>-0.1633212395</v>
      </c>
      <c r="AD30" s="15">
        <f>IFERROR(AB30/L30,0)</f>
        <v>-0.3400834872</v>
      </c>
      <c r="AE30" s="14">
        <f>IFERROR((L30+R30+T30+Q30+V30+$C$6)/(((1-G30*$C$13)/(1-G30))-(M30+$C$5+Y30+$C$21+IF($C$14=2,$C$16,0))-$C$4*((1-G30*$C$13)/(1-G30))),0)</f>
        <v>2118.035287098</v>
      </c>
    </row>
    <row r="31">
      <c r="A31" s="8" t="inlineStr">
        <is>
          <t>Косметика/EKEL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</row>
    <row r="32">
      <c r="A32" s="10" t="inlineStr">
        <is>
          <t>EKEL - Ampule Сream Сollagen [70ml] / Крем для лица ампульный с коллагеном</t>
        </is>
      </c>
      <c r="B32" s="11" t="inlineStr">
        <is>
          <t>Средства для ухода за лицом</t>
        </is>
      </c>
      <c r="C32" s="12" t="n">
        <v>50</v>
      </c>
      <c r="D32" s="12" t="n">
        <v>1280</v>
      </c>
      <c r="E32" s="13" t="n">
        <v>0</v>
      </c>
      <c r="F32" s="5" t="n">
        <v>964.625266</v>
      </c>
      <c r="G32" s="4" t="n">
        <v>0.45</v>
      </c>
      <c r="H32" s="14">
        <f>F32*(1-G32)</f>
        <v>530.5438963</v>
      </c>
      <c r="I32" s="14">
        <f>F32-F32*G32*$C$13</f>
        <v>530.5438963</v>
      </c>
      <c r="J32" s="5" t="n">
        <v>142.13</v>
      </c>
      <c r="K32" s="14">
        <f>$C$12</f>
        <v>60.0</v>
      </c>
      <c r="L32" s="14">
        <f>J32+K32</f>
        <v>202.13</v>
      </c>
      <c r="M32" s="15">
        <f>IF($C$14=1,0.4,$C$15)</f>
        <v>0.4</v>
      </c>
      <c r="N32" s="14">
        <f>H32*M32</f>
        <v>212.21755852</v>
      </c>
      <c r="O32" s="14">
        <f>IF($C$14=2,MIN(H32*$C$16,$C$17),0)</f>
        <v>0.0</v>
      </c>
      <c r="P32" s="16" t="n">
        <v>0.42</v>
      </c>
      <c r="Q32" s="14">
        <f>IF($C$14=2,P32*$C$18,0)</f>
        <v>0.0</v>
      </c>
      <c r="R32" s="14">
        <f>MIN(MAX(H32*$C$7,$C$8),$C$9)</f>
        <v>25.0</v>
      </c>
      <c r="S32" s="14">
        <f>H32*$C$5+$C$6</f>
        <v>12.3225096149</v>
      </c>
      <c r="T32" s="14">
        <f>$C$10*$C$11*P32</f>
        <v>0.0</v>
      </c>
      <c r="U32" s="4" t="n">
        <v>0.9</v>
      </c>
      <c r="V32" s="14">
        <f>IF($C$14=2,(1-U32)*($C$19+$C$20),0)</f>
        <v>0.0</v>
      </c>
      <c r="W32" s="14">
        <f>H32*$C$21</f>
        <v>0.0</v>
      </c>
      <c r="X32" s="14">
        <f>I32*$C$4</f>
        <v>37.138072741</v>
      </c>
      <c r="Y32" s="4" t="n">
        <v>0.15</v>
      </c>
      <c r="Z32" s="14">
        <f>H32*Y32</f>
        <v>79.581584445</v>
      </c>
      <c r="AA32" s="14">
        <f>I32-N32-O32-Q32-R32-S32-T32-V32-W32-X32-L32</f>
        <v>41.7357554241</v>
      </c>
      <c r="AB32" s="14">
        <f>AA32-Z32</f>
        <v>-37.8458290209</v>
      </c>
      <c r="AC32" s="15">
        <f>IFERROR(AB32/H32,0)</f>
        <v>-0.0713340202</v>
      </c>
      <c r="AD32" s="15">
        <f>IFERROR(AB32/L32,0)</f>
        <v>-0.1872350914</v>
      </c>
      <c r="AE32" s="14">
        <f>IFERROR((L32+R32+T32+Q32+V32+$C$6)/(((1-G32*$C$13)/(1-G32))-(M32+$C$5+Y32+$C$21+IF($C$14=2,$C$16,0))-$C$4*((1-G32*$C$13)/(1-G32))),0)</f>
        <v>636.5546218487</v>
      </c>
    </row>
    <row r="33">
      <c r="A33" s="8" t="inlineStr">
        <is>
          <t>Косметика/ELIZAVECCA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</row>
    <row r="34">
      <c r="A34" s="10" t="inlineStr">
        <is>
          <t>ELIZAVECCA - CER-100 Collagen Ceramide Coating Protein Treatment [100ml] / Коллагеновая маска для волос</t>
        </is>
      </c>
      <c r="B34" s="11" t="inlineStr">
        <is>
          <t>Маски и сыворотки (волосы)</t>
        </is>
      </c>
      <c r="C34" s="12" t="n">
        <v>453</v>
      </c>
      <c r="D34" s="12" t="n">
        <v>1315</v>
      </c>
      <c r="E34" s="13" t="n">
        <v>0</v>
      </c>
      <c r="F34" s="5" t="n">
        <v>1306.595034</v>
      </c>
      <c r="G34" s="4" t="n">
        <v>0.45</v>
      </c>
      <c r="H34" s="14">
        <f>F34*(1-G34)</f>
        <v>718.6272687</v>
      </c>
      <c r="I34" s="14">
        <f>F34-F34*G34*$C$13</f>
        <v>718.6272687</v>
      </c>
      <c r="J34" s="5" t="n">
        <v>242.23</v>
      </c>
      <c r="K34" s="14">
        <f>$C$12</f>
        <v>60.0</v>
      </c>
      <c r="L34" s="14">
        <f>J34+K34</f>
        <v>302.23</v>
      </c>
      <c r="M34" s="15">
        <f>IF($C$14=1,0.4,$C$15)</f>
        <v>0.4</v>
      </c>
      <c r="N34" s="14">
        <f>H34*M34</f>
        <v>287.45090748</v>
      </c>
      <c r="O34" s="14">
        <f>IF($C$14=2,MIN(H34*$C$16,$C$17),0)</f>
        <v>0.0</v>
      </c>
      <c r="P34" s="16" t="n">
        <v>0.46</v>
      </c>
      <c r="Q34" s="14">
        <f>IF($C$14=2,P34*$C$18,0)</f>
        <v>0.0</v>
      </c>
      <c r="R34" s="14">
        <f>MIN(MAX(H34*$C$7,$C$8),$C$9)</f>
        <v>28.745090748</v>
      </c>
      <c r="S34" s="14">
        <f>H34*$C$5+$C$6</f>
        <v>16.6484271801</v>
      </c>
      <c r="T34" s="14">
        <f>$C$10*$C$11*P34</f>
        <v>0.0</v>
      </c>
      <c r="U34" s="4" t="n">
        <v>0.9</v>
      </c>
      <c r="V34" s="14">
        <f>IF($C$14=2,(1-U34)*($C$19+$C$20),0)</f>
        <v>0.0</v>
      </c>
      <c r="W34" s="14">
        <f>H34*$C$21</f>
        <v>0.0</v>
      </c>
      <c r="X34" s="14">
        <f>I34*$C$4</f>
        <v>50.303908809</v>
      </c>
      <c r="Y34" s="4" t="n">
        <v>0.15</v>
      </c>
      <c r="Z34" s="14">
        <f>H34*Y34</f>
        <v>107.794090305</v>
      </c>
      <c r="AA34" s="14">
        <f>I34-N34-O34-Q34-R34-S34-T34-V34-W34-X34-L34</f>
        <v>33.2489344829</v>
      </c>
      <c r="AB34" s="14">
        <f>AA34-Z34</f>
        <v>-74.5451558221</v>
      </c>
      <c r="AC34" s="15">
        <f>IFERROR(AB34/H34,0)</f>
        <v>-0.1037327124</v>
      </c>
      <c r="AD34" s="15">
        <f>IFERROR(AB34/L34,0)</f>
        <v>-0.246650418</v>
      </c>
      <c r="AE34" s="14">
        <f>IFERROR((L34+R34+T34+Q34+V34+$C$6)/(((1-G34*$C$13)/(1-G34))-(M34+$C$5+Y34+$C$21+IF($C$14=2,$C$16,0))-$C$4*((1-G34*$C$13)/(1-G34))),0)</f>
        <v>927.437228986</v>
      </c>
    </row>
    <row r="35">
      <c r="A35" s="10" t="inlineStr">
        <is>
          <t>ELIZAVECCA - Hell-Pore Galactomyces Pure Ample / Сыворотка для лица с экстрактом галактомисиса</t>
        </is>
      </c>
      <c r="B35" s="11" t="inlineStr">
        <is>
          <t>Средства для ухода за лицом</t>
        </is>
      </c>
      <c r="C35" s="12" t="n">
        <v>50</v>
      </c>
      <c r="D35" s="12" t="n"/>
      <c r="E35" s="13" t="n"/>
      <c r="F35" s="5" t="n">
        <v>1992.91105</v>
      </c>
      <c r="G35" s="4" t="n">
        <v>0.45</v>
      </c>
      <c r="H35" s="14">
        <f>F35*(1-G35)</f>
        <v>1096.1010775</v>
      </c>
      <c r="I35" s="14">
        <f>F35-F35*G35*$C$13</f>
        <v>1096.1010775</v>
      </c>
      <c r="J35" s="5" t="n">
        <v>447.64</v>
      </c>
      <c r="K35" s="14">
        <f>$C$12</f>
        <v>60.0</v>
      </c>
      <c r="L35" s="14">
        <f>J35+K35</f>
        <v>507.64</v>
      </c>
      <c r="M35" s="15">
        <f>IF($C$14=1,0.4,$C$15)</f>
        <v>0.4</v>
      </c>
      <c r="N35" s="14">
        <f>H35*M35</f>
        <v>438.440431</v>
      </c>
      <c r="O35" s="14">
        <f>IF($C$14=2,MIN(H35*$C$16,$C$17),0)</f>
        <v>0.0</v>
      </c>
      <c r="P35" s="16" t="n">
        <v>0.3</v>
      </c>
      <c r="Q35" s="14">
        <f>IF($C$14=2,P35*$C$18,0)</f>
        <v>0.0</v>
      </c>
      <c r="R35" s="14">
        <f>MIN(MAX(H35*$C$7,$C$8),$C$9)</f>
        <v>43.8440431</v>
      </c>
      <c r="S35" s="14">
        <f>H35*$C$5+$C$6</f>
        <v>25.3303247825</v>
      </c>
      <c r="T35" s="14">
        <f>$C$10*$C$11*P35</f>
        <v>0.0</v>
      </c>
      <c r="U35" s="4" t="n">
        <v>0.9</v>
      </c>
      <c r="V35" s="14">
        <f>IF($C$14=2,(1-U35)*($C$19+$C$20),0)</f>
        <v>0.0</v>
      </c>
      <c r="W35" s="14">
        <f>H35*$C$21</f>
        <v>0.0</v>
      </c>
      <c r="X35" s="14">
        <f>I35*$C$4</f>
        <v>76.727075425</v>
      </c>
      <c r="Y35" s="4" t="n">
        <v>0.15</v>
      </c>
      <c r="Z35" s="14">
        <f>H35*Y35</f>
        <v>164.415161625</v>
      </c>
      <c r="AA35" s="14">
        <f>I35-N35-O35-Q35-R35-S35-T35-V35-W35-X35-L35</f>
        <v>4.1192031925</v>
      </c>
      <c r="AB35" s="14">
        <f>AA35-Z35</f>
        <v>-160.2959584325</v>
      </c>
      <c r="AC35" s="15">
        <f>IFERROR(AB35/H35,0)</f>
        <v>-0.1462419495</v>
      </c>
      <c r="AD35" s="15">
        <f>IFERROR(AB35/L35,0)</f>
        <v>-0.3157669971</v>
      </c>
      <c r="AE35" s="14">
        <f>IFERROR((L35+R35+T35+Q35+V35+$C$6)/(((1-G35*$C$13)/(1-G35))-(M35+$C$5+Y35+$C$21+IF($C$14=2,$C$16,0))-$C$4*((1-G35*$C$13)/(1-G35))),0)</f>
        <v>1545.1093644258</v>
      </c>
    </row>
    <row r="36">
      <c r="A36" s="10" t="inlineStr">
        <is>
          <t>ELIZAVECCA - Milky Piggy EGF elastic retinol [100ml] / Антивозрастной крем для лица с ретинолом и EGF</t>
        </is>
      </c>
      <c r="B36" s="11" t="inlineStr">
        <is>
          <t>Средства для ухода за лицом</t>
        </is>
      </c>
      <c r="C36" s="12" t="n">
        <v>235</v>
      </c>
      <c r="D36" s="12" t="n">
        <v>1841</v>
      </c>
      <c r="E36" s="13" t="n">
        <v>0</v>
      </c>
      <c r="F36" s="5" t="n">
        <v>1790</v>
      </c>
      <c r="G36" s="4" t="n">
        <v>0.45</v>
      </c>
      <c r="H36" s="14">
        <f>F36*(1-G36)</f>
        <v>984.5</v>
      </c>
      <c r="I36" s="14">
        <f>F36-F36*G36*$C$13</f>
        <v>984.5</v>
      </c>
      <c r="J36" s="5" t="n">
        <v>602.1799999999999</v>
      </c>
      <c r="K36" s="14">
        <f>$C$12</f>
        <v>60.0</v>
      </c>
      <c r="L36" s="14">
        <f>J36+K36</f>
        <v>662.18</v>
      </c>
      <c r="M36" s="15">
        <f>IF($C$14=1,0.4,$C$15)</f>
        <v>0.4</v>
      </c>
      <c r="N36" s="14">
        <f>H36*M36</f>
        <v>393.8</v>
      </c>
      <c r="O36" s="14">
        <f>IF($C$14=2,MIN(H36*$C$16,$C$17),0)</f>
        <v>0.0</v>
      </c>
      <c r="P36" s="16" t="n">
        <v>0.58</v>
      </c>
      <c r="Q36" s="14">
        <f>IF($C$14=2,P36*$C$18,0)</f>
        <v>0.0</v>
      </c>
      <c r="R36" s="14">
        <f>MIN(MAX(H36*$C$7,$C$8),$C$9)</f>
        <v>39.38</v>
      </c>
      <c r="S36" s="14">
        <f>H36*$C$5+$C$6</f>
        <v>22.7635</v>
      </c>
      <c r="T36" s="14">
        <f>$C$10*$C$11*P36</f>
        <v>0.0</v>
      </c>
      <c r="U36" s="4" t="n">
        <v>0.9</v>
      </c>
      <c r="V36" s="14">
        <f>IF($C$14=2,(1-U36)*($C$19+$C$20),0)</f>
        <v>0.0</v>
      </c>
      <c r="W36" s="14">
        <f>H36*$C$21</f>
        <v>0.0</v>
      </c>
      <c r="X36" s="14">
        <f>I36*$C$4</f>
        <v>68.915</v>
      </c>
      <c r="Y36" s="4" t="n">
        <v>0.15</v>
      </c>
      <c r="Z36" s="14">
        <f>H36*Y36</f>
        <v>147.675</v>
      </c>
      <c r="AA36" s="14">
        <f>I36-N36-O36-Q36-R36-S36-T36-V36-W36-X36-L36</f>
        <v>-202.5385</v>
      </c>
      <c r="AB36" s="14">
        <f>AA36-Z36</f>
        <v>-350.2135</v>
      </c>
      <c r="AC36" s="15">
        <f>IFERROR(AB36/H36,0)</f>
        <v>-0.3557272727</v>
      </c>
      <c r="AD36" s="15">
        <f>IFERROR(AB36/L36,0)</f>
        <v>-0.5288796098</v>
      </c>
      <c r="AE36" s="14">
        <f>IFERROR((L36+R36+T36+Q36+V36+$C$6)/(((1-G36*$C$13)/(1-G36))-(M36+$C$5+Y36+$C$21+IF($C$14=2,$C$16,0))-$C$4*((1-G36*$C$13)/(1-G36))),0)</f>
        <v>1965.4901960784</v>
      </c>
    </row>
    <row r="37">
      <c r="A37" s="8" t="inlineStr">
        <is>
          <t>Косметика/ENOUGH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</row>
    <row r="38">
      <c r="A38" s="10" t="inlineStr">
        <is>
          <t>ENOUGH - Collagen Moisture Essential Cream [50ml] / Увлажняющий крем для лица с коллагеном</t>
        </is>
      </c>
      <c r="B38" s="11" t="inlineStr">
        <is>
          <t>Средства для ухода за лицом</t>
        </is>
      </c>
      <c r="C38" s="12" t="n">
        <v>8266</v>
      </c>
      <c r="D38" s="12" t="n">
        <v>424</v>
      </c>
      <c r="E38" s="13" t="n">
        <v>17</v>
      </c>
      <c r="F38" s="5" t="n">
        <v>750</v>
      </c>
      <c r="G38" s="4" t="n">
        <v>0.45</v>
      </c>
      <c r="H38" s="14">
        <f>F38*(1-G38)</f>
        <v>412.5</v>
      </c>
      <c r="I38" s="14">
        <f>F38-F38*G38*$C$13</f>
        <v>412.5</v>
      </c>
      <c r="J38" s="5" t="n">
        <v>161.3</v>
      </c>
      <c r="K38" s="14">
        <f>$C$12</f>
        <v>60.0</v>
      </c>
      <c r="L38" s="14">
        <f>J38+K38</f>
        <v>221.3</v>
      </c>
      <c r="M38" s="15">
        <f>IF($C$14=1,0.4,$C$15)</f>
        <v>0.4</v>
      </c>
      <c r="N38" s="14">
        <f>H38*M38</f>
        <v>165.0</v>
      </c>
      <c r="O38" s="14">
        <f>IF($C$14=2,MIN(H38*$C$16,$C$17),0)</f>
        <v>0.0</v>
      </c>
      <c r="P38" s="16" t="n">
        <v>0.72</v>
      </c>
      <c r="Q38" s="14">
        <f>IF($C$14=2,P38*$C$18,0)</f>
        <v>0.0</v>
      </c>
      <c r="R38" s="14">
        <f>MIN(MAX(H38*$C$7,$C$8),$C$9)</f>
        <v>25.0</v>
      </c>
      <c r="S38" s="14">
        <f>H38*$C$5+$C$6</f>
        <v>9.6075</v>
      </c>
      <c r="T38" s="14">
        <f>$C$10*$C$11*P38</f>
        <v>0.0</v>
      </c>
      <c r="U38" s="4" t="n">
        <v>0.9</v>
      </c>
      <c r="V38" s="14">
        <f>IF($C$14=2,(1-U38)*($C$19+$C$20),0)</f>
        <v>0.0</v>
      </c>
      <c r="W38" s="14">
        <f>H38*$C$21</f>
        <v>0.0</v>
      </c>
      <c r="X38" s="14">
        <f>I38*$C$4</f>
        <v>28.875</v>
      </c>
      <c r="Y38" s="4" t="n">
        <v>0.15</v>
      </c>
      <c r="Z38" s="14">
        <f>H38*Y38</f>
        <v>61.875</v>
      </c>
      <c r="AA38" s="14">
        <f>I38-N38-O38-Q38-R38-S38-T38-V38-W38-X38-L38</f>
        <v>-37.2825</v>
      </c>
      <c r="AB38" s="14">
        <f>AA38-Z38</f>
        <v>-99.1575</v>
      </c>
      <c r="AC38" s="15">
        <f>IFERROR(AB38/H38,0)</f>
        <v>-0.2403818182</v>
      </c>
      <c r="AD38" s="15">
        <f>IFERROR(AB38/L38,0)</f>
        <v>-0.4480682332</v>
      </c>
      <c r="AE38" s="14">
        <f>IFERROR((L38+R38+T38+Q38+V38+$C$6)/(((1-G38*$C$13)/(1-G38))-(M38+$C$5+Y38+$C$21+IF($C$14=2,$C$16,0))-$C$4*((1-G38*$C$13)/(1-G38))),0)</f>
        <v>690.2521008403</v>
      </c>
    </row>
    <row r="39">
      <c r="A39" s="10" t="inlineStr">
        <is>
          <t>ENOUGH - Collagen Whitening Moisture Cream 3in1 [50g] / Антивозрастной отбеливающий крем с коллагеном</t>
        </is>
      </c>
      <c r="B39" s="11" t="inlineStr">
        <is>
          <t>Средства для ухода за лицом</t>
        </is>
      </c>
      <c r="C39" s="12" t="n">
        <v>761</v>
      </c>
      <c r="D39" s="12" t="n">
        <v>827</v>
      </c>
      <c r="E39" s="13" t="n">
        <v>20</v>
      </c>
      <c r="F39" s="5" t="n">
        <v>1111.253915</v>
      </c>
      <c r="G39" s="4" t="n">
        <v>0.45</v>
      </c>
      <c r="H39" s="14">
        <f>F39*(1-G39)</f>
        <v>611.18965325</v>
      </c>
      <c r="I39" s="14">
        <f>F39-F39*G39*$C$13</f>
        <v>611.18965325</v>
      </c>
      <c r="J39" s="5" t="n">
        <v>183.88</v>
      </c>
      <c r="K39" s="14">
        <f>$C$12</f>
        <v>60.0</v>
      </c>
      <c r="L39" s="14">
        <f>J39+K39</f>
        <v>243.88</v>
      </c>
      <c r="M39" s="15">
        <f>IF($C$14=1,0.4,$C$15)</f>
        <v>0.4</v>
      </c>
      <c r="N39" s="14">
        <f>H39*M39</f>
        <v>244.4758613</v>
      </c>
      <c r="O39" s="14">
        <f>IF($C$14=2,MIN(H39*$C$16,$C$17),0)</f>
        <v>0.0</v>
      </c>
      <c r="P39" s="16" t="n">
        <v>0.72</v>
      </c>
      <c r="Q39" s="14">
        <f>IF($C$14=2,P39*$C$18,0)</f>
        <v>0.0</v>
      </c>
      <c r="R39" s="14">
        <f>MIN(MAX(H39*$C$7,$C$8),$C$9)</f>
        <v>25.0</v>
      </c>
      <c r="S39" s="14">
        <f>H39*$C$5+$C$6</f>
        <v>14.1773620248</v>
      </c>
      <c r="T39" s="14">
        <f>$C$10*$C$11*P39</f>
        <v>0.0</v>
      </c>
      <c r="U39" s="4" t="n">
        <v>0.9</v>
      </c>
      <c r="V39" s="14">
        <f>IF($C$14=2,(1-U39)*($C$19+$C$20),0)</f>
        <v>0.0</v>
      </c>
      <c r="W39" s="14">
        <f>H39*$C$21</f>
        <v>0.0</v>
      </c>
      <c r="X39" s="14">
        <f>I39*$C$4</f>
        <v>42.7832757275</v>
      </c>
      <c r="Y39" s="4" t="n">
        <v>0.15</v>
      </c>
      <c r="Z39" s="14">
        <f>H39*Y39</f>
        <v>91.6784479875</v>
      </c>
      <c r="AA39" s="14">
        <f>I39-N39-O39-Q39-R39-S39-T39-V39-W39-X39-L39</f>
        <v>40.8731541978</v>
      </c>
      <c r="AB39" s="14">
        <f>AA39-Z39</f>
        <v>-50.8052937897</v>
      </c>
      <c r="AC39" s="15">
        <f>IFERROR(AB39/H39,0)</f>
        <v>-0.0831252517</v>
      </c>
      <c r="AD39" s="15">
        <f>IFERROR(AB39/L39,0)</f>
        <v>-0.2083208701</v>
      </c>
      <c r="AE39" s="14">
        <f>IFERROR((L39+R39+T39+Q39+V39+$C$6)/(((1-G39*$C$13)/(1-G39))-(M39+$C$5+Y39+$C$21+IF($C$14=2,$C$16,0))-$C$4*((1-G39*$C$13)/(1-G39))),0)</f>
        <v>753.5014005602</v>
      </c>
    </row>
    <row r="40">
      <c r="A40" s="10" t="inlineStr">
        <is>
          <t>ENOUGH - Collagen Moisture Foundation [Tone 13] / Тональный крем для лица с коллагеном 13 тон</t>
        </is>
      </c>
      <c r="B40" s="11" t="inlineStr">
        <is>
          <t>Тональные средства</t>
        </is>
      </c>
      <c r="C40" s="12" t="n">
        <v>1089</v>
      </c>
      <c r="D40" s="12" t="n">
        <v>1980</v>
      </c>
      <c r="E40" s="13" t="n">
        <v>8</v>
      </c>
      <c r="F40" s="5" t="n">
        <v>1800</v>
      </c>
      <c r="G40" s="4" t="n">
        <v>0.45</v>
      </c>
      <c r="H40" s="14">
        <f>F40*(1-G40)</f>
        <v>990.0</v>
      </c>
      <c r="I40" s="14">
        <f>F40-F40*G40*$C$13</f>
        <v>990.0</v>
      </c>
      <c r="J40" s="5" t="n">
        <v>216.45</v>
      </c>
      <c r="K40" s="14">
        <f>$C$12</f>
        <v>60.0</v>
      </c>
      <c r="L40" s="14">
        <f>J40+K40</f>
        <v>276.45</v>
      </c>
      <c r="M40" s="15">
        <f>IF($C$14=1,0.4,$C$15)</f>
        <v>0.4</v>
      </c>
      <c r="N40" s="14">
        <f>H40*M40</f>
        <v>396.0</v>
      </c>
      <c r="O40" s="14">
        <f>IF($C$14=2,MIN(H40*$C$16,$C$17),0)</f>
        <v>0.0</v>
      </c>
      <c r="P40" s="16" t="n">
        <v>0.4</v>
      </c>
      <c r="Q40" s="14">
        <f>IF($C$14=2,P40*$C$18,0)</f>
        <v>0.0</v>
      </c>
      <c r="R40" s="14">
        <f>MIN(MAX(H40*$C$7,$C$8),$C$9)</f>
        <v>39.6</v>
      </c>
      <c r="S40" s="14">
        <f>H40*$C$5+$C$6</f>
        <v>22.89</v>
      </c>
      <c r="T40" s="14">
        <f>$C$10*$C$11*P40</f>
        <v>0.0</v>
      </c>
      <c r="U40" s="4" t="n">
        <v>0.9</v>
      </c>
      <c r="V40" s="14">
        <f>IF($C$14=2,(1-U40)*($C$19+$C$20),0)</f>
        <v>0.0</v>
      </c>
      <c r="W40" s="14">
        <f>H40*$C$21</f>
        <v>0.0</v>
      </c>
      <c r="X40" s="14">
        <f>I40*$C$4</f>
        <v>69.3</v>
      </c>
      <c r="Y40" s="4" t="n">
        <v>0.15</v>
      </c>
      <c r="Z40" s="14">
        <f>H40*Y40</f>
        <v>148.5</v>
      </c>
      <c r="AA40" s="14">
        <f>I40-N40-O40-Q40-R40-S40-T40-V40-W40-X40-L40</f>
        <v>185.76</v>
      </c>
      <c r="AB40" s="14">
        <f>AA40-Z40</f>
        <v>37.26</v>
      </c>
      <c r="AC40" s="15">
        <f>IFERROR(AB40/H40,0)</f>
        <v>0.0376363636</v>
      </c>
      <c r="AD40" s="15">
        <f>IFERROR(AB40/L40,0)</f>
        <v>0.1347802496</v>
      </c>
      <c r="AE40" s="14">
        <f>IFERROR((L40+R40+T40+Q40+V40+$C$6)/(((1-G40*$C$13)/(1-G40))-(M40+$C$5+Y40+$C$21+IF($C$14=2,$C$16,0))-$C$4*((1-G40*$C$13)/(1-G40))),0)</f>
        <v>885.6302521008</v>
      </c>
    </row>
    <row r="41">
      <c r="A41" s="10" t="inlineStr">
        <is>
          <t>ENOUGH - Collagen Moisture Foundation [Tone 21] / Тональный крем для лица с коллагеном 21 тон</t>
        </is>
      </c>
      <c r="B41" s="11" t="inlineStr">
        <is>
          <t>Тональные средства</t>
        </is>
      </c>
      <c r="C41" s="12" t="n">
        <v>2275</v>
      </c>
      <c r="D41" s="12" t="n">
        <v>1910</v>
      </c>
      <c r="E41" s="13" t="n">
        <v>7.3</v>
      </c>
      <c r="F41" s="5" t="n">
        <v>1800</v>
      </c>
      <c r="G41" s="4" t="n">
        <v>0.45</v>
      </c>
      <c r="H41" s="14">
        <f>F41*(1-G41)</f>
        <v>990.0</v>
      </c>
      <c r="I41" s="14">
        <f>F41-F41*G41*$C$13</f>
        <v>990.0</v>
      </c>
      <c r="J41" s="5" t="n">
        <v>242.88</v>
      </c>
      <c r="K41" s="14">
        <f>$C$12</f>
        <v>60.0</v>
      </c>
      <c r="L41" s="14">
        <f>J41+K41</f>
        <v>302.88</v>
      </c>
      <c r="M41" s="15">
        <f>IF($C$14=1,0.4,$C$15)</f>
        <v>0.4</v>
      </c>
      <c r="N41" s="14">
        <f>H41*M41</f>
        <v>396.0</v>
      </c>
      <c r="O41" s="14">
        <f>IF($C$14=2,MIN(H41*$C$16,$C$17),0)</f>
        <v>0.0</v>
      </c>
      <c r="P41" s="16" t="n">
        <v>0.4</v>
      </c>
      <c r="Q41" s="14">
        <f>IF($C$14=2,P41*$C$18,0)</f>
        <v>0.0</v>
      </c>
      <c r="R41" s="14">
        <f>MIN(MAX(H41*$C$7,$C$8),$C$9)</f>
        <v>39.6</v>
      </c>
      <c r="S41" s="14">
        <f>H41*$C$5+$C$6</f>
        <v>22.89</v>
      </c>
      <c r="T41" s="14">
        <f>$C$10*$C$11*P41</f>
        <v>0.0</v>
      </c>
      <c r="U41" s="4" t="n">
        <v>0.9</v>
      </c>
      <c r="V41" s="14">
        <f>IF($C$14=2,(1-U41)*($C$19+$C$20),0)</f>
        <v>0.0</v>
      </c>
      <c r="W41" s="14">
        <f>H41*$C$21</f>
        <v>0.0</v>
      </c>
      <c r="X41" s="14">
        <f>I41*$C$4</f>
        <v>69.3</v>
      </c>
      <c r="Y41" s="4" t="n">
        <v>0.15</v>
      </c>
      <c r="Z41" s="14">
        <f>H41*Y41</f>
        <v>148.5</v>
      </c>
      <c r="AA41" s="14">
        <f>I41-N41-O41-Q41-R41-S41-T41-V41-W41-X41-L41</f>
        <v>159.33</v>
      </c>
      <c r="AB41" s="14">
        <f>AA41-Z41</f>
        <v>10.83</v>
      </c>
      <c r="AC41" s="15">
        <f>IFERROR(AB41/H41,0)</f>
        <v>0.0109393939</v>
      </c>
      <c r="AD41" s="15">
        <f>IFERROR(AB41/L41,0)</f>
        <v>0.0357567353</v>
      </c>
      <c r="AE41" s="14">
        <f>IFERROR((L41+R41+T41+Q41+V41+$C$6)/(((1-G41*$C$13)/(1-G41))-(M41+$C$5+Y41+$C$21+IF($C$14=2,$C$16,0))-$C$4*((1-G41*$C$13)/(1-G41))),0)</f>
        <v>959.6638655462</v>
      </c>
    </row>
    <row r="42">
      <c r="A42" s="10" t="inlineStr">
        <is>
          <t>ENOUGH - Gold Snail Moisture Foundation [Tone 13] / Тональный крем с муцином улитки 13 тон</t>
        </is>
      </c>
      <c r="B42" s="11" t="inlineStr">
        <is>
          <t>Тональные средства</t>
        </is>
      </c>
      <c r="C42" s="12" t="n">
        <v>95</v>
      </c>
      <c r="D42" s="12" t="n">
        <v>1456</v>
      </c>
      <c r="E42" s="13" t="n">
        <v>9</v>
      </c>
      <c r="F42" s="5" t="n">
        <v>1356</v>
      </c>
      <c r="G42" s="4" t="n">
        <v>0.45</v>
      </c>
      <c r="H42" s="14">
        <f>F42*(1-G42)</f>
        <v>745.8</v>
      </c>
      <c r="I42" s="14">
        <f>F42-F42*G42*$C$13</f>
        <v>745.8</v>
      </c>
      <c r="J42" s="5" t="n">
        <v>245.65</v>
      </c>
      <c r="K42" s="14">
        <f>$C$12</f>
        <v>60.0</v>
      </c>
      <c r="L42" s="14">
        <f>J42+K42</f>
        <v>305.65</v>
      </c>
      <c r="M42" s="15">
        <f>IF($C$14=1,0.4,$C$15)</f>
        <v>0.4</v>
      </c>
      <c r="N42" s="14">
        <f>H42*M42</f>
        <v>298.32</v>
      </c>
      <c r="O42" s="14">
        <f>IF($C$14=2,MIN(H42*$C$16,$C$17),0)</f>
        <v>0.0</v>
      </c>
      <c r="P42" s="16" t="n">
        <v>0.4</v>
      </c>
      <c r="Q42" s="14">
        <f>IF($C$14=2,P42*$C$18,0)</f>
        <v>0.0</v>
      </c>
      <c r="R42" s="14">
        <f>MIN(MAX(H42*$C$7,$C$8),$C$9)</f>
        <v>29.832</v>
      </c>
      <c r="S42" s="14">
        <f>H42*$C$5+$C$6</f>
        <v>17.2734</v>
      </c>
      <c r="T42" s="14">
        <f>$C$10*$C$11*P42</f>
        <v>0.0</v>
      </c>
      <c r="U42" s="4" t="n">
        <v>0.9</v>
      </c>
      <c r="V42" s="14">
        <f>IF($C$14=2,(1-U42)*($C$19+$C$20),0)</f>
        <v>0.0</v>
      </c>
      <c r="W42" s="14">
        <f>H42*$C$21</f>
        <v>0.0</v>
      </c>
      <c r="X42" s="14">
        <f>I42*$C$4</f>
        <v>52.206</v>
      </c>
      <c r="Y42" s="4" t="n">
        <v>0.15</v>
      </c>
      <c r="Z42" s="14">
        <f>H42*Y42</f>
        <v>111.87</v>
      </c>
      <c r="AA42" s="14">
        <f>I42-N42-O42-Q42-R42-S42-T42-V42-W42-X42-L42</f>
        <v>42.5186</v>
      </c>
      <c r="AB42" s="14">
        <f>AA42-Z42</f>
        <v>-69.3514</v>
      </c>
      <c r="AC42" s="15">
        <f>IFERROR(AB42/H42,0)</f>
        <v>-0.0929892733</v>
      </c>
      <c r="AD42" s="15">
        <f>IFERROR(AB42/L42,0)</f>
        <v>-0.226898086</v>
      </c>
      <c r="AE42" s="14">
        <f>IFERROR((L42+R42+T42+Q42+V42+$C$6)/(((1-G42*$C$13)/(1-G42))-(M42+$C$5+Y42+$C$21+IF($C$14=2,$C$16,0))-$C$4*((1-G42*$C$13)/(1-G42))),0)</f>
        <v>940.0616246499</v>
      </c>
    </row>
    <row r="43">
      <c r="A43" s="10" t="inlineStr">
        <is>
          <t>ENOUGH - Gold Snail Moisture Foundation [Tone 21] / Тональный крем с муцином улитки 21 тон</t>
        </is>
      </c>
      <c r="B43" s="11" t="inlineStr">
        <is>
          <t>Тональные средства</t>
        </is>
      </c>
      <c r="C43" s="12" t="n">
        <v>101</v>
      </c>
      <c r="D43" s="12" t="n">
        <v>1345</v>
      </c>
      <c r="E43" s="13" t="n">
        <v>0</v>
      </c>
      <c r="F43" s="5" t="n">
        <v>1280</v>
      </c>
      <c r="G43" s="4" t="n">
        <v>0.45</v>
      </c>
      <c r="H43" s="14">
        <f>F43*(1-G43)</f>
        <v>704.0</v>
      </c>
      <c r="I43" s="14">
        <f>F43-F43*G43*$C$13</f>
        <v>704.0</v>
      </c>
      <c r="J43" s="5" t="n">
        <v>270.81</v>
      </c>
      <c r="K43" s="14">
        <f>$C$12</f>
        <v>60.0</v>
      </c>
      <c r="L43" s="14">
        <f>J43+K43</f>
        <v>330.81</v>
      </c>
      <c r="M43" s="15">
        <f>IF($C$14=1,0.4,$C$15)</f>
        <v>0.4</v>
      </c>
      <c r="N43" s="14">
        <f>H43*M43</f>
        <v>281.6</v>
      </c>
      <c r="O43" s="14">
        <f>IF($C$14=2,MIN(H43*$C$16,$C$17),0)</f>
        <v>0.0</v>
      </c>
      <c r="P43" s="16" t="n">
        <v>0.4</v>
      </c>
      <c r="Q43" s="14">
        <f>IF($C$14=2,P43*$C$18,0)</f>
        <v>0.0</v>
      </c>
      <c r="R43" s="14">
        <f>MIN(MAX(H43*$C$7,$C$8),$C$9)</f>
        <v>28.16</v>
      </c>
      <c r="S43" s="14">
        <f>H43*$C$5+$C$6</f>
        <v>16.312</v>
      </c>
      <c r="T43" s="14">
        <f>$C$10*$C$11*P43</f>
        <v>0.0</v>
      </c>
      <c r="U43" s="4" t="n">
        <v>0.9</v>
      </c>
      <c r="V43" s="14">
        <f>IF($C$14=2,(1-U43)*($C$19+$C$20),0)</f>
        <v>0.0</v>
      </c>
      <c r="W43" s="14">
        <f>H43*$C$21</f>
        <v>0.0</v>
      </c>
      <c r="X43" s="14">
        <f>I43*$C$4</f>
        <v>49.28</v>
      </c>
      <c r="Y43" s="4" t="n">
        <v>0.15</v>
      </c>
      <c r="Z43" s="14">
        <f>H43*Y43</f>
        <v>105.6</v>
      </c>
      <c r="AA43" s="14">
        <f>I43-N43-O43-Q43-R43-S43-T43-V43-W43-X43-L43</f>
        <v>-2.162</v>
      </c>
      <c r="AB43" s="14">
        <f>AA43-Z43</f>
        <v>-107.762</v>
      </c>
      <c r="AC43" s="15">
        <f>IFERROR(AB43/H43,0)</f>
        <v>-0.1530710227</v>
      </c>
      <c r="AD43" s="15">
        <f>IFERROR(AB43/L43,0)</f>
        <v>-0.3257519422</v>
      </c>
      <c r="AE43" s="14">
        <f>IFERROR((L43+R43+T43+Q43+V43+$C$6)/(((1-G43*$C$13)/(1-G43))-(M43+$C$5+Y43+$C$21+IF($C$14=2,$C$16,0))-$C$4*((1-G43*$C$13)/(1-G43))),0)</f>
        <v>1005.8543417367</v>
      </c>
    </row>
    <row r="44">
      <c r="A44" s="10" t="inlineStr">
        <is>
          <t>ENOUGH - Collagen 3in1 Whitening Moisture Foundation [Tone 13] / Тональный крем для лица с коллагеном 3в1 [13 тон]</t>
        </is>
      </c>
      <c r="B44" s="11" t="inlineStr">
        <is>
          <t>Тональные средства</t>
        </is>
      </c>
      <c r="C44" s="12" t="n">
        <v>247</v>
      </c>
      <c r="D44" s="12" t="n">
        <v>1732</v>
      </c>
      <c r="E44" s="13" t="n">
        <v>9</v>
      </c>
      <c r="F44" s="5" t="n">
        <v>1600</v>
      </c>
      <c r="G44" s="4" t="n">
        <v>0.45</v>
      </c>
      <c r="H44" s="14">
        <f>F44*(1-G44)</f>
        <v>880.0</v>
      </c>
      <c r="I44" s="14">
        <f>F44-F44*G44*$C$13</f>
        <v>880.0</v>
      </c>
      <c r="J44" s="5" t="n">
        <v>238.13</v>
      </c>
      <c r="K44" s="14">
        <f>$C$12</f>
        <v>60.0</v>
      </c>
      <c r="L44" s="14">
        <f>J44+K44</f>
        <v>298.13</v>
      </c>
      <c r="M44" s="15">
        <f>IF($C$14=1,0.4,$C$15)</f>
        <v>0.4</v>
      </c>
      <c r="N44" s="14">
        <f>H44*M44</f>
        <v>352.0</v>
      </c>
      <c r="O44" s="14">
        <f>IF($C$14=2,MIN(H44*$C$16,$C$17),0)</f>
        <v>0.0</v>
      </c>
      <c r="P44" s="16" t="n">
        <v>0.4</v>
      </c>
      <c r="Q44" s="14">
        <f>IF($C$14=2,P44*$C$18,0)</f>
        <v>0.0</v>
      </c>
      <c r="R44" s="14">
        <f>MIN(MAX(H44*$C$7,$C$8),$C$9)</f>
        <v>35.2</v>
      </c>
      <c r="S44" s="14">
        <f>H44*$C$5+$C$6</f>
        <v>20.36</v>
      </c>
      <c r="T44" s="14">
        <f>$C$10*$C$11*P44</f>
        <v>0.0</v>
      </c>
      <c r="U44" s="4" t="n">
        <v>0.9</v>
      </c>
      <c r="V44" s="14">
        <f>IF($C$14=2,(1-U44)*($C$19+$C$20),0)</f>
        <v>0.0</v>
      </c>
      <c r="W44" s="14">
        <f>H44*$C$21</f>
        <v>0.0</v>
      </c>
      <c r="X44" s="14">
        <f>I44*$C$4</f>
        <v>61.6</v>
      </c>
      <c r="Y44" s="4" t="n">
        <v>0.15</v>
      </c>
      <c r="Z44" s="14">
        <f>H44*Y44</f>
        <v>132.0</v>
      </c>
      <c r="AA44" s="14">
        <f>I44-N44-O44-Q44-R44-S44-T44-V44-W44-X44-L44</f>
        <v>112.71</v>
      </c>
      <c r="AB44" s="14">
        <f>AA44-Z44</f>
        <v>-19.29</v>
      </c>
      <c r="AC44" s="15">
        <f>IFERROR(AB44/H44,0)</f>
        <v>-0.0219204545</v>
      </c>
      <c r="AD44" s="15">
        <f>IFERROR(AB44/L44,0)</f>
        <v>-0.0647033173</v>
      </c>
      <c r="AE44" s="14">
        <f>IFERROR((L44+R44+T44+Q44+V44+$C$6)/(((1-G44*$C$13)/(1-G44))-(M44+$C$5+Y44+$C$21+IF($C$14=2,$C$16,0))-$C$4*((1-G44*$C$13)/(1-G44))),0)</f>
        <v>934.0336134454</v>
      </c>
    </row>
    <row r="45">
      <c r="A45" s="10" t="inlineStr">
        <is>
          <t>ENOUGH - Collagen 3in1 Whitening Moisture Foundation [Tone 21] / Тональный крем для лица с коллагеном 3в1 [21 тон]</t>
        </is>
      </c>
      <c r="B45" s="11" t="inlineStr">
        <is>
          <t>Тональные средства</t>
        </is>
      </c>
      <c r="C45" s="12" t="n">
        <v>78</v>
      </c>
      <c r="D45" s="12" t="n">
        <v>1038</v>
      </c>
      <c r="E45" s="13" t="n">
        <v>12</v>
      </c>
      <c r="F45" s="5" t="n">
        <v>1000</v>
      </c>
      <c r="G45" s="4" t="n">
        <v>0.45</v>
      </c>
      <c r="H45" s="14">
        <f>F45*(1-G45)</f>
        <v>550.0</v>
      </c>
      <c r="I45" s="14">
        <f>F45-F45*G45*$C$13</f>
        <v>550.0</v>
      </c>
      <c r="J45" s="5" t="n">
        <v>223.35</v>
      </c>
      <c r="K45" s="14">
        <f>$C$12</f>
        <v>60.0</v>
      </c>
      <c r="L45" s="14">
        <f>J45+K45</f>
        <v>283.35</v>
      </c>
      <c r="M45" s="15">
        <f>IF($C$14=1,0.4,$C$15)</f>
        <v>0.4</v>
      </c>
      <c r="N45" s="14">
        <f>H45*M45</f>
        <v>220.0</v>
      </c>
      <c r="O45" s="14">
        <f>IF($C$14=2,MIN(H45*$C$16,$C$17),0)</f>
        <v>0.0</v>
      </c>
      <c r="P45" s="16" t="n">
        <v>0.4</v>
      </c>
      <c r="Q45" s="14">
        <f>IF($C$14=2,P45*$C$18,0)</f>
        <v>0.0</v>
      </c>
      <c r="R45" s="14">
        <f>MIN(MAX(H45*$C$7,$C$8),$C$9)</f>
        <v>25.0</v>
      </c>
      <c r="S45" s="14">
        <f>H45*$C$5+$C$6</f>
        <v>12.77</v>
      </c>
      <c r="T45" s="14">
        <f>$C$10*$C$11*P45</f>
        <v>0.0</v>
      </c>
      <c r="U45" s="4" t="n">
        <v>0.9</v>
      </c>
      <c r="V45" s="14">
        <f>IF($C$14=2,(1-U45)*($C$19+$C$20),0)</f>
        <v>0.0</v>
      </c>
      <c r="W45" s="14">
        <f>H45*$C$21</f>
        <v>0.0</v>
      </c>
      <c r="X45" s="14">
        <f>I45*$C$4</f>
        <v>38.5</v>
      </c>
      <c r="Y45" s="4" t="n">
        <v>0.15</v>
      </c>
      <c r="Z45" s="14">
        <f>H45*Y45</f>
        <v>82.5</v>
      </c>
      <c r="AA45" s="14">
        <f>I45-N45-O45-Q45-R45-S45-T45-V45-W45-X45-L45</f>
        <v>-29.62</v>
      </c>
      <c r="AB45" s="14">
        <f>AA45-Z45</f>
        <v>-112.12</v>
      </c>
      <c r="AC45" s="15">
        <f>IFERROR(AB45/H45,0)</f>
        <v>-0.2038545455</v>
      </c>
      <c r="AD45" s="15">
        <f>IFERROR(AB45/L45,0)</f>
        <v>-0.3956943709</v>
      </c>
      <c r="AE45" s="14">
        <f>IFERROR((L45+R45+T45+Q45+V45+$C$6)/(((1-G45*$C$13)/(1-G45))-(M45+$C$5+Y45+$C$21+IF($C$14=2,$C$16,0))-$C$4*((1-G45*$C$13)/(1-G45))),0)</f>
        <v>864.0616246499</v>
      </c>
    </row>
    <row r="46">
      <c r="A46" s="10" t="inlineStr">
        <is>
          <t>ENOUGH - Premium 8 Peptide Full Cover Perfect Foundation [Tone 13] / Тональный крем с пептидами 13 тон</t>
        </is>
      </c>
      <c r="B46" s="11" t="inlineStr">
        <is>
          <t>Тональные средства</t>
        </is>
      </c>
      <c r="C46" s="12" t="n">
        <v>463</v>
      </c>
      <c r="D46" s="12" t="n">
        <v>1330</v>
      </c>
      <c r="E46" s="13" t="n">
        <v>0</v>
      </c>
      <c r="F46" s="5" t="n">
        <v>1290</v>
      </c>
      <c r="G46" s="4" t="n">
        <v>0.45</v>
      </c>
      <c r="H46" s="14">
        <f>F46*(1-G46)</f>
        <v>709.5</v>
      </c>
      <c r="I46" s="14">
        <f>F46-F46*G46*$C$13</f>
        <v>709.5</v>
      </c>
      <c r="J46" s="5" t="n">
        <v>335.9</v>
      </c>
      <c r="K46" s="14">
        <f>$C$12</f>
        <v>60.0</v>
      </c>
      <c r="L46" s="14">
        <f>J46+K46</f>
        <v>395.9</v>
      </c>
      <c r="M46" s="15">
        <f>IF($C$14=1,0.4,$C$15)</f>
        <v>0.4</v>
      </c>
      <c r="N46" s="14">
        <f>H46*M46</f>
        <v>283.8</v>
      </c>
      <c r="O46" s="14">
        <f>IF($C$14=2,MIN(H46*$C$16,$C$17),0)</f>
        <v>0.0</v>
      </c>
      <c r="P46" s="16" t="n">
        <v>0.4</v>
      </c>
      <c r="Q46" s="14">
        <f>IF($C$14=2,P46*$C$18,0)</f>
        <v>0.0</v>
      </c>
      <c r="R46" s="14">
        <f>MIN(MAX(H46*$C$7,$C$8),$C$9)</f>
        <v>28.38</v>
      </c>
      <c r="S46" s="14">
        <f>H46*$C$5+$C$6</f>
        <v>16.4385</v>
      </c>
      <c r="T46" s="14">
        <f>$C$10*$C$11*P46</f>
        <v>0.0</v>
      </c>
      <c r="U46" s="4" t="n">
        <v>0.9</v>
      </c>
      <c r="V46" s="14">
        <f>IF($C$14=2,(1-U46)*($C$19+$C$20),0)</f>
        <v>0.0</v>
      </c>
      <c r="W46" s="14">
        <f>H46*$C$21</f>
        <v>0.0</v>
      </c>
      <c r="X46" s="14">
        <f>I46*$C$4</f>
        <v>49.665</v>
      </c>
      <c r="Y46" s="4" t="n">
        <v>0.15</v>
      </c>
      <c r="Z46" s="14">
        <f>H46*Y46</f>
        <v>106.425</v>
      </c>
      <c r="AA46" s="14">
        <f>I46-N46-O46-Q46-R46-S46-T46-V46-W46-X46-L46</f>
        <v>-64.6835</v>
      </c>
      <c r="AB46" s="14">
        <f>AA46-Z46</f>
        <v>-171.1085</v>
      </c>
      <c r="AC46" s="15">
        <f>IFERROR(AB46/H46,0)</f>
        <v>-0.2411677237</v>
      </c>
      <c r="AD46" s="15">
        <f>IFERROR(AB46/L46,0)</f>
        <v>-0.4322013135</v>
      </c>
      <c r="AE46" s="14">
        <f>IFERROR((L46+R46+T46+Q46+V46+$C$6)/(((1-G46*$C$13)/(1-G46))-(M46+$C$5+Y46+$C$21+IF($C$14=2,$C$16,0))-$C$4*((1-G46*$C$13)/(1-G46))),0)</f>
        <v>1188.7955182073</v>
      </c>
    </row>
    <row r="47">
      <c r="A47" s="10" t="inlineStr">
        <is>
          <t>ENOUGH - Premium 8 Peptide Full Cover Perfect Foundation [Tone 21] / Тональный крем с пептидами 21 тон</t>
        </is>
      </c>
      <c r="B47" s="11" t="inlineStr">
        <is>
          <t>Тональные средства</t>
        </is>
      </c>
      <c r="C47" s="12" t="n">
        <v>208</v>
      </c>
      <c r="D47" s="12" t="n">
        <v>1330</v>
      </c>
      <c r="E47" s="13" t="n">
        <v>0</v>
      </c>
      <c r="F47" s="5" t="n">
        <v>1519.049659</v>
      </c>
      <c r="G47" s="4" t="n">
        <v>0.45</v>
      </c>
      <c r="H47" s="14">
        <f>F47*(1-G47)</f>
        <v>835.47731245</v>
      </c>
      <c r="I47" s="14">
        <f>F47-F47*G47*$C$13</f>
        <v>835.47731245</v>
      </c>
      <c r="J47" s="5" t="n">
        <v>304.77</v>
      </c>
      <c r="K47" s="14">
        <f>$C$12</f>
        <v>60.0</v>
      </c>
      <c r="L47" s="14">
        <f>J47+K47</f>
        <v>364.77</v>
      </c>
      <c r="M47" s="15">
        <f>IF($C$14=1,0.4,$C$15)</f>
        <v>0.4</v>
      </c>
      <c r="N47" s="14">
        <f>H47*M47</f>
        <v>334.19092498</v>
      </c>
      <c r="O47" s="14">
        <f>IF($C$14=2,MIN(H47*$C$16,$C$17),0)</f>
        <v>0.0</v>
      </c>
      <c r="P47" s="16" t="n">
        <v>0.4</v>
      </c>
      <c r="Q47" s="14">
        <f>IF($C$14=2,P47*$C$18,0)</f>
        <v>0.0</v>
      </c>
      <c r="R47" s="14">
        <f>MIN(MAX(H47*$C$7,$C$8),$C$9)</f>
        <v>33.419092498</v>
      </c>
      <c r="S47" s="14">
        <f>H47*$C$5+$C$6</f>
        <v>19.3359781864</v>
      </c>
      <c r="T47" s="14">
        <f>$C$10*$C$11*P47</f>
        <v>0.0</v>
      </c>
      <c r="U47" s="4" t="n">
        <v>0.9</v>
      </c>
      <c r="V47" s="14">
        <f>IF($C$14=2,(1-U47)*($C$19+$C$20),0)</f>
        <v>0.0</v>
      </c>
      <c r="W47" s="14">
        <f>H47*$C$21</f>
        <v>0.0</v>
      </c>
      <c r="X47" s="14">
        <f>I47*$C$4</f>
        <v>58.4834118715</v>
      </c>
      <c r="Y47" s="4" t="n">
        <v>0.15</v>
      </c>
      <c r="Z47" s="14">
        <f>H47*Y47</f>
        <v>125.3215968675</v>
      </c>
      <c r="AA47" s="14">
        <f>I47-N47-O47-Q47-R47-S47-T47-V47-W47-X47-L47</f>
        <v>25.2779049141</v>
      </c>
      <c r="AB47" s="14">
        <f>AA47-Z47</f>
        <v>-100.0436919534</v>
      </c>
      <c r="AC47" s="15">
        <f>IFERROR(AB47/H47,0)</f>
        <v>-0.1197443551</v>
      </c>
      <c r="AD47" s="15">
        <f>IFERROR(AB47/L47,0)</f>
        <v>-0.2742651313</v>
      </c>
      <c r="AE47" s="14">
        <f>IFERROR((L47+R47+T47+Q47+V47+$C$6)/(((1-G47*$C$13)/(1-G47))-(M47+$C$5+Y47+$C$21+IF($C$14=2,$C$16,0))-$C$4*((1-G47*$C$13)/(1-G47))),0)</f>
        <v>1115.7117436919</v>
      </c>
    </row>
    <row r="48">
      <c r="A48" s="10" t="inlineStr">
        <is>
          <t>ENOUGH - Collagen Moisture BB Cream SPF47 PA+++ [50ml] / Увлажняющий BB крем с коллагеном</t>
        </is>
      </c>
      <c r="B48" s="11" t="inlineStr">
        <is>
          <t>Тональные средства</t>
        </is>
      </c>
      <c r="C48" s="12" t="n">
        <v>722</v>
      </c>
      <c r="D48" s="12" t="n"/>
      <c r="E48" s="13" t="n"/>
      <c r="F48" s="5" t="n">
        <v>1111.421392</v>
      </c>
      <c r="G48" s="4" t="n">
        <v>0.45</v>
      </c>
      <c r="H48" s="14">
        <f>F48*(1-G48)</f>
        <v>611.2817656</v>
      </c>
      <c r="I48" s="14">
        <f>F48-F48*G48*$C$13</f>
        <v>611.2817656</v>
      </c>
      <c r="J48" s="5" t="n">
        <v>189.27</v>
      </c>
      <c r="K48" s="14">
        <f>$C$12</f>
        <v>60.0</v>
      </c>
      <c r="L48" s="14">
        <f>J48+K48</f>
        <v>249.27</v>
      </c>
      <c r="M48" s="15">
        <f>IF($C$14=1,0.4,$C$15)</f>
        <v>0.4</v>
      </c>
      <c r="N48" s="14">
        <f>H48*M48</f>
        <v>244.51270624</v>
      </c>
      <c r="O48" s="14">
        <f>IF($C$14=2,MIN(H48*$C$16,$C$17),0)</f>
        <v>0.0</v>
      </c>
      <c r="P48" s="16" t="n">
        <v>0.28</v>
      </c>
      <c r="Q48" s="14">
        <f>IF($C$14=2,P48*$C$18,0)</f>
        <v>0.0</v>
      </c>
      <c r="R48" s="14">
        <f>MIN(MAX(H48*$C$7,$C$8),$C$9)</f>
        <v>25.0</v>
      </c>
      <c r="S48" s="14">
        <f>H48*$C$5+$C$6</f>
        <v>14.1794806088</v>
      </c>
      <c r="T48" s="14">
        <f>$C$10*$C$11*P48</f>
        <v>0.0</v>
      </c>
      <c r="U48" s="4" t="n">
        <v>0.9</v>
      </c>
      <c r="V48" s="14">
        <f>IF($C$14=2,(1-U48)*($C$19+$C$20),0)</f>
        <v>0.0</v>
      </c>
      <c r="W48" s="14">
        <f>H48*$C$21</f>
        <v>0.0</v>
      </c>
      <c r="X48" s="14">
        <f>I48*$C$4</f>
        <v>42.789723592</v>
      </c>
      <c r="Y48" s="4" t="n">
        <v>0.15</v>
      </c>
      <c r="Z48" s="14">
        <f>H48*Y48</f>
        <v>91.69226484</v>
      </c>
      <c r="AA48" s="14">
        <f>I48-N48-O48-Q48-R48-S48-T48-V48-W48-X48-L48</f>
        <v>35.5298551592</v>
      </c>
      <c r="AB48" s="14">
        <f>AA48-Z48</f>
        <v>-56.1624096808</v>
      </c>
      <c r="AC48" s="15">
        <f>IFERROR(AB48/H48,0)</f>
        <v>-0.0918764682</v>
      </c>
      <c r="AD48" s="15">
        <f>IFERROR(AB48/L48,0)</f>
        <v>-0.2253075367</v>
      </c>
      <c r="AE48" s="14">
        <f>IFERROR((L48+R48+T48+Q48+V48+$C$6)/(((1-G48*$C$13)/(1-G48))-(M48+$C$5+Y48+$C$21+IF($C$14=2,$C$16,0))-$C$4*((1-G48*$C$13)/(1-G48))),0)</f>
        <v>768.5994397759</v>
      </c>
    </row>
    <row r="49">
      <c r="A49" s="8" t="inlineStr">
        <is>
          <t>Косметика/ETUDEHOUSE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</row>
    <row r="50">
      <c r="A50" s="10" t="inlineStr">
        <is>
          <t>ETUDE - Baking Powder Crunch Pore Scrub [200ml] / Очищающий скраб для лица с содой</t>
        </is>
      </c>
      <c r="B50" s="11" t="inlineStr">
        <is>
          <t>Скрабы для лица</t>
        </is>
      </c>
      <c r="C50" s="12" t="n">
        <v>7910</v>
      </c>
      <c r="D50" s="12" t="n">
        <v>1730</v>
      </c>
      <c r="E50" s="13" t="n">
        <v>5</v>
      </c>
      <c r="F50" s="5" t="n">
        <v>1650</v>
      </c>
      <c r="G50" s="4" t="n">
        <v>0.45</v>
      </c>
      <c r="H50" s="14">
        <f>F50*(1-G50)</f>
        <v>907.5</v>
      </c>
      <c r="I50" s="14">
        <f>F50-F50*G50*$C$13</f>
        <v>907.5</v>
      </c>
      <c r="J50" s="5" t="n">
        <v>361.03</v>
      </c>
      <c r="K50" s="14">
        <f>$C$12</f>
        <v>60.0</v>
      </c>
      <c r="L50" s="14">
        <f>J50+K50</f>
        <v>421.03</v>
      </c>
      <c r="M50" s="15">
        <f>IF($C$14=1,0.41,$C$15)</f>
        <v>0.41</v>
      </c>
      <c r="N50" s="14">
        <f>H50*M50</f>
        <v>372.075</v>
      </c>
      <c r="O50" s="14">
        <f>IF($C$14=2,MIN(H50*$C$16,$C$17),0)</f>
        <v>0.0</v>
      </c>
      <c r="P50" s="16" t="n">
        <v>0.5600000000000001</v>
      </c>
      <c r="Q50" s="14">
        <f>IF($C$14=2,P50*$C$18,0)</f>
        <v>0.0</v>
      </c>
      <c r="R50" s="14">
        <f>MIN(MAX(H50*$C$7,$C$8),$C$9)</f>
        <v>36.3</v>
      </c>
      <c r="S50" s="14">
        <f>H50*$C$5+$C$6</f>
        <v>20.9925</v>
      </c>
      <c r="T50" s="14">
        <f>$C$10*$C$11*P50</f>
        <v>0.0</v>
      </c>
      <c r="U50" s="4" t="n">
        <v>0.9</v>
      </c>
      <c r="V50" s="14">
        <f>IF($C$14=2,(1-U50)*($C$19+$C$20),0)</f>
        <v>0.0</v>
      </c>
      <c r="W50" s="14">
        <f>H50*$C$21</f>
        <v>0.0</v>
      </c>
      <c r="X50" s="14">
        <f>I50*$C$4</f>
        <v>63.525</v>
      </c>
      <c r="Y50" s="4" t="n">
        <v>0.1</v>
      </c>
      <c r="Z50" s="14">
        <f>H50*Y50</f>
        <v>90.75</v>
      </c>
      <c r="AA50" s="14">
        <f>I50-N50-O50-Q50-R50-S50-T50-V50-W50-X50-L50</f>
        <v>-6.4225</v>
      </c>
      <c r="AB50" s="14">
        <f>AA50-Z50</f>
        <v>-97.1725</v>
      </c>
      <c r="AC50" s="15">
        <f>IFERROR(AB50/H50,0)</f>
        <v>-0.107077135</v>
      </c>
      <c r="AD50" s="15">
        <f>IFERROR(AB50/L50,0)</f>
        <v>-0.2307970928</v>
      </c>
      <c r="AE50" s="14">
        <f>IFERROR((L50+R50+T50+Q50+V50+$C$6)/(((1-G50*$C$13)/(1-G50))-(M50+$C$5+Y50+$C$21+IF($C$14=2,$C$16,0))-$C$4*((1-G50*$C$13)/(1-G50))),0)</f>
        <v>1152.2670025189</v>
      </c>
    </row>
    <row r="51">
      <c r="A51" s="10" t="inlineStr">
        <is>
          <t>ETUDE - Baking Powder BB Deep Cleansing Foam [160ml] / Пенка с содой для глубокого очищения и снятия макияжа</t>
        </is>
      </c>
      <c r="B51" s="11" t="inlineStr">
        <is>
          <t>Средства для снятия макияжа</t>
        </is>
      </c>
      <c r="C51" s="12" t="n">
        <v>228</v>
      </c>
      <c r="D51" s="12" t="n">
        <v>1870</v>
      </c>
      <c r="E51" s="13" t="n">
        <v>8</v>
      </c>
      <c r="F51" s="5" t="n">
        <v>1770</v>
      </c>
      <c r="G51" s="4" t="n">
        <v>0.45</v>
      </c>
      <c r="H51" s="14">
        <f>F51*(1-G51)</f>
        <v>973.5</v>
      </c>
      <c r="I51" s="14">
        <f>F51-F51*G51*$C$13</f>
        <v>973.5</v>
      </c>
      <c r="J51" s="5" t="n">
        <v>292.89</v>
      </c>
      <c r="K51" s="14">
        <f>$C$12</f>
        <v>60.0</v>
      </c>
      <c r="L51" s="14">
        <f>J51+K51</f>
        <v>352.89</v>
      </c>
      <c r="M51" s="15">
        <f>IF($C$14=1,0.41,$C$15)</f>
        <v>0.41</v>
      </c>
      <c r="N51" s="14">
        <f>H51*M51</f>
        <v>399.135</v>
      </c>
      <c r="O51" s="14">
        <f>IF($C$14=2,MIN(H51*$C$16,$C$17),0)</f>
        <v>0.0</v>
      </c>
      <c r="P51" s="16" t="n">
        <v>0.5600000000000001</v>
      </c>
      <c r="Q51" s="14">
        <f>IF($C$14=2,P51*$C$18,0)</f>
        <v>0.0</v>
      </c>
      <c r="R51" s="14">
        <f>MIN(MAX(H51*$C$7,$C$8),$C$9)</f>
        <v>38.94</v>
      </c>
      <c r="S51" s="14">
        <f>H51*$C$5+$C$6</f>
        <v>22.5105</v>
      </c>
      <c r="T51" s="14">
        <f>$C$10*$C$11*P51</f>
        <v>0.0</v>
      </c>
      <c r="U51" s="4" t="n">
        <v>0.9</v>
      </c>
      <c r="V51" s="14">
        <f>IF($C$14=2,(1-U51)*($C$19+$C$20),0)</f>
        <v>0.0</v>
      </c>
      <c r="W51" s="14">
        <f>H51*$C$21</f>
        <v>0.0</v>
      </c>
      <c r="X51" s="14">
        <f>I51*$C$4</f>
        <v>68.145</v>
      </c>
      <c r="Y51" s="4" t="n">
        <v>0.12</v>
      </c>
      <c r="Z51" s="14">
        <f>H51*Y51</f>
        <v>116.82</v>
      </c>
      <c r="AA51" s="14">
        <f>I51-N51-O51-Q51-R51-S51-T51-V51-W51-X51-L51</f>
        <v>91.8795</v>
      </c>
      <c r="AB51" s="14">
        <f>AA51-Z51</f>
        <v>-24.9405</v>
      </c>
      <c r="AC51" s="15">
        <f>IFERROR(AB51/H51,0)</f>
        <v>-0.0256194145</v>
      </c>
      <c r="AD51" s="15">
        <f>IFERROR(AB51/L51,0)</f>
        <v>-0.0706749979</v>
      </c>
      <c r="AE51" s="14">
        <f>IFERROR((L51+R51+T51+Q51+V51+$C$6)/(((1-G51*$C$13)/(1-G51))-(M51+$C$5+Y51+$C$21+IF($C$14=2,$C$16,0))-$C$4*((1-G51*$C$13)/(1-G51))),0)</f>
        <v>1039.6551724138</v>
      </c>
    </row>
    <row r="52">
      <c r="A52" s="10" t="inlineStr">
        <is>
          <t>ETUDE - Baking Powder Crunch Pore Scrub [24*7ml] / Очищающий скраб для лица с содой</t>
        </is>
      </c>
      <c r="B52" s="11" t="inlineStr">
        <is>
          <t>Скрабы для лица</t>
        </is>
      </c>
      <c r="C52" s="12" t="n">
        <v>221</v>
      </c>
      <c r="D52" s="12" t="n">
        <v>1900</v>
      </c>
      <c r="E52" s="13" t="n">
        <v>10</v>
      </c>
      <c r="F52" s="5" t="n">
        <v>1835</v>
      </c>
      <c r="G52" s="4" t="n">
        <v>0.45</v>
      </c>
      <c r="H52" s="14">
        <f>F52*(1-G52)</f>
        <v>1009.25</v>
      </c>
      <c r="I52" s="14">
        <f>F52-F52*G52*$C$13</f>
        <v>1009.25</v>
      </c>
      <c r="J52" s="5" t="n">
        <v>389.99</v>
      </c>
      <c r="K52" s="14">
        <f>$C$12</f>
        <v>60.0</v>
      </c>
      <c r="L52" s="14">
        <f>J52+K52</f>
        <v>449.99</v>
      </c>
      <c r="M52" s="15">
        <f>IF($C$14=1,0.41,$C$15)</f>
        <v>0.41</v>
      </c>
      <c r="N52" s="14">
        <f>H52*M52</f>
        <v>413.7925</v>
      </c>
      <c r="O52" s="14">
        <f>IF($C$14=2,MIN(H52*$C$16,$C$17),0)</f>
        <v>0.0</v>
      </c>
      <c r="P52" s="16" t="n">
        <v>1.15</v>
      </c>
      <c r="Q52" s="14">
        <f>IF($C$14=2,P52*$C$18,0)</f>
        <v>0.0</v>
      </c>
      <c r="R52" s="14">
        <f>MIN(MAX(H52*$C$7,$C$8),$C$9)</f>
        <v>40.37</v>
      </c>
      <c r="S52" s="14">
        <f>H52*$C$5+$C$6</f>
        <v>23.33275</v>
      </c>
      <c r="T52" s="14">
        <f>$C$10*$C$11*P52</f>
        <v>0.0</v>
      </c>
      <c r="U52" s="4" t="n">
        <v>0.9</v>
      </c>
      <c r="V52" s="14">
        <f>IF($C$14=2,(1-U52)*($C$19+$C$20),0)</f>
        <v>0.0</v>
      </c>
      <c r="W52" s="14">
        <f>H52*$C$21</f>
        <v>0.0</v>
      </c>
      <c r="X52" s="14">
        <f>I52*$C$4</f>
        <v>70.6475</v>
      </c>
      <c r="Y52" s="4" t="n">
        <v>0.15</v>
      </c>
      <c r="Z52" s="14">
        <f>H52*Y52</f>
        <v>151.3875</v>
      </c>
      <c r="AA52" s="14">
        <f>I52-N52-O52-Q52-R52-S52-T52-V52-W52-X52-L52</f>
        <v>11.11725</v>
      </c>
      <c r="AB52" s="14">
        <f>AA52-Z52</f>
        <v>-140.27025</v>
      </c>
      <c r="AC52" s="15">
        <f>IFERROR(AB52/H52,0)</f>
        <v>-0.1389846421</v>
      </c>
      <c r="AD52" s="15">
        <f>IFERROR(AB52/L52,0)</f>
        <v>-0.3117185937</v>
      </c>
      <c r="AE52" s="14">
        <f>IFERROR((L52+R52+T52+Q52+V52+$C$6)/(((1-G52*$C$13)/(1-G52))-(M52+$C$5+Y52+$C$21+IF($C$14=2,$C$16,0))-$C$4*((1-G52*$C$13)/(1-G52))),0)</f>
        <v>1413.4870317003</v>
      </c>
    </row>
    <row r="53">
      <c r="A53" s="8" t="inlineStr">
        <is>
          <t>Косметика/FARMSTAY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</row>
    <row r="54">
      <c r="A54" s="10" t="inlineStr">
        <is>
          <t>FARMSTAY COLLAGEN&amp;HYALURONIC ACID ALL-IN ONE</t>
        </is>
      </c>
      <c r="B54" s="11" t="inlineStr">
        <is>
          <t>Средства для ухода за лицом</t>
        </is>
      </c>
      <c r="C54" s="12" t="n">
        <v>6611</v>
      </c>
      <c r="D54" s="12" t="n">
        <v>3850</v>
      </c>
      <c r="E54" s="13" t="n">
        <v>6</v>
      </c>
      <c r="F54" s="5" t="n">
        <v>3500</v>
      </c>
      <c r="G54" s="4" t="n">
        <v>0.45</v>
      </c>
      <c r="H54" s="14">
        <f>F54*(1-G54)</f>
        <v>1925.0</v>
      </c>
      <c r="I54" s="14">
        <f>F54-F54*G54*$C$13</f>
        <v>1925.0</v>
      </c>
      <c r="J54" s="5" t="n">
        <v>347.76</v>
      </c>
      <c r="K54" s="14">
        <f>$C$12</f>
        <v>60.0</v>
      </c>
      <c r="L54" s="14">
        <f>J54+K54</f>
        <v>407.76</v>
      </c>
      <c r="M54" s="15">
        <f>IF($C$14=1,0.4,$C$15)</f>
        <v>0.4</v>
      </c>
      <c r="N54" s="14">
        <f>H54*M54</f>
        <v>770.0</v>
      </c>
      <c r="O54" s="14">
        <f>IF($C$14=2,MIN(H54*$C$16,$C$17),0)</f>
        <v>0.0</v>
      </c>
      <c r="P54" s="16" t="n">
        <v>0.832</v>
      </c>
      <c r="Q54" s="14">
        <f>IF($C$14=2,P54*$C$18,0)</f>
        <v>0.0</v>
      </c>
      <c r="R54" s="14">
        <f>MIN(MAX(H54*$C$7,$C$8),$C$9)</f>
        <v>77.0</v>
      </c>
      <c r="S54" s="14">
        <f>H54*$C$5+$C$6</f>
        <v>44.395</v>
      </c>
      <c r="T54" s="14">
        <f>$C$10*$C$11*P54</f>
        <v>0.0</v>
      </c>
      <c r="U54" s="4" t="n">
        <v>0.9</v>
      </c>
      <c r="V54" s="14">
        <f>IF($C$14=2,(1-U54)*($C$19+$C$20),0)</f>
        <v>0.0</v>
      </c>
      <c r="W54" s="14">
        <f>H54*$C$21</f>
        <v>0.0</v>
      </c>
      <c r="X54" s="14">
        <f>I54*$C$4</f>
        <v>134.75</v>
      </c>
      <c r="Y54" s="4" t="n">
        <v>0.15</v>
      </c>
      <c r="Z54" s="14">
        <f>H54*Y54</f>
        <v>288.75</v>
      </c>
      <c r="AA54" s="14">
        <f>I54-N54-O54-Q54-R54-S54-T54-V54-W54-X54-L54</f>
        <v>491.095</v>
      </c>
      <c r="AB54" s="14">
        <f>AA54-Z54</f>
        <v>202.345</v>
      </c>
      <c r="AC54" s="15">
        <f>IFERROR(AB54/H54,0)</f>
        <v>0.1051142857</v>
      </c>
      <c r="AD54" s="15">
        <f>IFERROR(AB54/L54,0)</f>
        <v>0.4962355307</v>
      </c>
      <c r="AE54" s="14">
        <f>IFERROR((L54+R54+T54+Q54+V54+$C$6)/(((1-G54*$C$13)/(1-G54))-(M54+$C$5+Y54+$C$21+IF($C$14=2,$C$16,0))-$C$4*((1-G54*$C$13)/(1-G54))),0)</f>
        <v>1358.2072829132</v>
      </c>
    </row>
    <row r="55">
      <c r="A55" s="10" t="inlineStr">
        <is>
          <t>FARMSTAY - Black Garlic Nourishing Shampoo [530ml] / Шампунь-кондиционер 2в1 с экстрактом черного чеснока</t>
        </is>
      </c>
      <c r="B55" s="11" t="inlineStr">
        <is>
          <t>Шампуни</t>
        </is>
      </c>
      <c r="C55" s="12" t="n">
        <v>3360</v>
      </c>
      <c r="D55" s="12" t="n">
        <v>2156</v>
      </c>
      <c r="E55" s="13" t="n">
        <v>5</v>
      </c>
      <c r="F55" s="5" t="n">
        <v>1850</v>
      </c>
      <c r="G55" s="4" t="n">
        <v>0.45</v>
      </c>
      <c r="H55" s="14">
        <f>F55*(1-G55)</f>
        <v>1017.5</v>
      </c>
      <c r="I55" s="14">
        <f>F55-F55*G55*$C$13</f>
        <v>1017.5</v>
      </c>
      <c r="J55" s="5" t="n">
        <v>396.72</v>
      </c>
      <c r="K55" s="14">
        <f>$C$12</f>
        <v>60.0</v>
      </c>
      <c r="L55" s="14">
        <f>J55+K55</f>
        <v>456.72</v>
      </c>
      <c r="M55" s="15">
        <f>IF($C$14=1,0.4,$C$15)</f>
        <v>0.4</v>
      </c>
      <c r="N55" s="14">
        <f>H55*M55</f>
        <v>407.0</v>
      </c>
      <c r="O55" s="14">
        <f>IF($C$14=2,MIN(H55*$C$16,$C$17),0)</f>
        <v>0.0</v>
      </c>
      <c r="P55" s="16" t="n">
        <v>1.89</v>
      </c>
      <c r="Q55" s="14">
        <f>IF($C$14=2,P55*$C$18,0)</f>
        <v>0.0</v>
      </c>
      <c r="R55" s="14">
        <f>MIN(MAX(H55*$C$7,$C$8),$C$9)</f>
        <v>40.7</v>
      </c>
      <c r="S55" s="14">
        <f>H55*$C$5+$C$6</f>
        <v>23.5225</v>
      </c>
      <c r="T55" s="14">
        <f>$C$10*$C$11*P55</f>
        <v>0.0</v>
      </c>
      <c r="U55" s="4" t="n">
        <v>0.9</v>
      </c>
      <c r="V55" s="14">
        <f>IF($C$14=2,(1-U55)*($C$19+$C$20),0)</f>
        <v>0.0</v>
      </c>
      <c r="W55" s="14">
        <f>H55*$C$21</f>
        <v>0.0</v>
      </c>
      <c r="X55" s="14">
        <f>I55*$C$4</f>
        <v>71.225</v>
      </c>
      <c r="Y55" s="4" t="n">
        <v>0.15</v>
      </c>
      <c r="Z55" s="14">
        <f>H55*Y55</f>
        <v>152.625</v>
      </c>
      <c r="AA55" s="14">
        <f>I55-N55-O55-Q55-R55-S55-T55-V55-W55-X55-L55</f>
        <v>18.3325</v>
      </c>
      <c r="AB55" s="14">
        <f>AA55-Z55</f>
        <v>-134.2925</v>
      </c>
      <c r="AC55" s="15">
        <f>IFERROR(AB55/H55,0)</f>
        <v>-0.131982801</v>
      </c>
      <c r="AD55" s="15">
        <f>IFERROR(AB55/L55,0)</f>
        <v>-0.2940368278</v>
      </c>
      <c r="AE55" s="14">
        <f>IFERROR((L55+R55+T55+Q55+V55+$C$6)/(((1-G55*$C$13)/(1-G55))-(M55+$C$5+Y55+$C$21+IF($C$14=2,$C$16,0))-$C$4*((1-G55*$C$13)/(1-G55))),0)</f>
        <v>1393.6694677871</v>
      </c>
    </row>
    <row r="56">
      <c r="A56" s="10" t="inlineStr">
        <is>
          <t>FARMSTAY - Gold Snail Premium Cream [50ml] / Омолаживающий крем с муцином улитки и коллоидным золотом</t>
        </is>
      </c>
      <c r="B56" s="11" t="inlineStr">
        <is>
          <t>Средства для ухода за лицом</t>
        </is>
      </c>
      <c r="C56" s="12" t="n">
        <v>1104</v>
      </c>
      <c r="D56" s="12" t="n"/>
      <c r="E56" s="13" t="n"/>
      <c r="F56" s="5" t="n">
        <v>1954.403247</v>
      </c>
      <c r="G56" s="4" t="n">
        <v>0.45</v>
      </c>
      <c r="H56" s="14">
        <f>F56*(1-G56)</f>
        <v>1074.92178585</v>
      </c>
      <c r="I56" s="14">
        <f>F56-F56*G56*$C$13</f>
        <v>1074.92178585</v>
      </c>
      <c r="J56" s="5" t="n">
        <v>431.05</v>
      </c>
      <c r="K56" s="14">
        <f>$C$12</f>
        <v>60.0</v>
      </c>
      <c r="L56" s="14">
        <f>J56+K56</f>
        <v>491.05</v>
      </c>
      <c r="M56" s="15">
        <f>IF($C$14=1,0.4,$C$15)</f>
        <v>0.4</v>
      </c>
      <c r="N56" s="14">
        <f>H56*M56</f>
        <v>429.96871434</v>
      </c>
      <c r="O56" s="14">
        <f>IF($C$14=2,MIN(H56*$C$16,$C$17),0)</f>
        <v>0.0</v>
      </c>
      <c r="P56" s="16" t="n">
        <v>0.73</v>
      </c>
      <c r="Q56" s="14">
        <f>IF($C$14=2,P56*$C$18,0)</f>
        <v>0.0</v>
      </c>
      <c r="R56" s="14">
        <f>MIN(MAX(H56*$C$7,$C$8),$C$9)</f>
        <v>42.996871434</v>
      </c>
      <c r="S56" s="14">
        <f>H56*$C$5+$C$6</f>
        <v>24.8432010746</v>
      </c>
      <c r="T56" s="14">
        <f>$C$10*$C$11*P56</f>
        <v>0.0</v>
      </c>
      <c r="U56" s="4" t="n">
        <v>0.9</v>
      </c>
      <c r="V56" s="14">
        <f>IF($C$14=2,(1-U56)*($C$19+$C$20),0)</f>
        <v>0.0</v>
      </c>
      <c r="W56" s="14">
        <f>H56*$C$21</f>
        <v>0.0</v>
      </c>
      <c r="X56" s="14">
        <f>I56*$C$4</f>
        <v>75.2445250095</v>
      </c>
      <c r="Y56" s="4" t="n">
        <v>0.15</v>
      </c>
      <c r="Z56" s="14">
        <f>H56*Y56</f>
        <v>161.2382678775</v>
      </c>
      <c r="AA56" s="14">
        <f>I56-N56-O56-Q56-R56-S56-T56-V56-W56-X56-L56</f>
        <v>10.8184739919</v>
      </c>
      <c r="AB56" s="14">
        <f>AA56-Z56</f>
        <v>-150.4197938856</v>
      </c>
      <c r="AC56" s="15">
        <f>IFERROR(AB56/H56,0)</f>
        <v>-0.139935571</v>
      </c>
      <c r="AD56" s="15">
        <f>IFERROR(AB56/L56,0)</f>
        <v>-0.3063227653</v>
      </c>
      <c r="AE56" s="14">
        <f>IFERROR((L56+R56+T56+Q56+V56+$C$6)/(((1-G56*$C$13)/(1-G56))-(M56+$C$5+Y56+$C$21+IF($C$14=2,$C$16,0))-$C$4*((1-G56*$C$13)/(1-G56))),0)</f>
        <v>1496.2657463137</v>
      </c>
    </row>
    <row r="57">
      <c r="A57" s="10" t="inlineStr">
        <is>
          <t>FARMSTAY - Escargot Noblesse Intensive Cream [50g] / Крем с муцином королевской улитки</t>
        </is>
      </c>
      <c r="B57" s="11" t="inlineStr">
        <is>
          <t>Средства для ухода за лицом</t>
        </is>
      </c>
      <c r="C57" s="12" t="n">
        <v>964</v>
      </c>
      <c r="D57" s="12" t="n">
        <v>3070</v>
      </c>
      <c r="E57" s="13" t="n">
        <v>6.6</v>
      </c>
      <c r="F57" s="5" t="n">
        <v>2900</v>
      </c>
      <c r="G57" s="4" t="n">
        <v>0.45</v>
      </c>
      <c r="H57" s="14">
        <f>F57*(1-G57)</f>
        <v>1595.0</v>
      </c>
      <c r="I57" s="14">
        <f>F57-F57*G57*$C$13</f>
        <v>1595.0</v>
      </c>
      <c r="J57" s="5" t="n">
        <v>313.84</v>
      </c>
      <c r="K57" s="14">
        <f>$C$12</f>
        <v>60.0</v>
      </c>
      <c r="L57" s="14">
        <f>J57+K57</f>
        <v>373.84</v>
      </c>
      <c r="M57" s="15">
        <f>IF($C$14=1,0.4,$C$15)</f>
        <v>0.4</v>
      </c>
      <c r="N57" s="14">
        <f>H57*M57</f>
        <v>638.0</v>
      </c>
      <c r="O57" s="14">
        <f>IF($C$14=2,MIN(H57*$C$16,$C$17),0)</f>
        <v>0.0</v>
      </c>
      <c r="P57" s="16" t="n">
        <v>0.86</v>
      </c>
      <c r="Q57" s="14">
        <f>IF($C$14=2,P57*$C$18,0)</f>
        <v>0.0</v>
      </c>
      <c r="R57" s="14">
        <f>MIN(MAX(H57*$C$7,$C$8),$C$9)</f>
        <v>63.8</v>
      </c>
      <c r="S57" s="14">
        <f>H57*$C$5+$C$6</f>
        <v>36.805</v>
      </c>
      <c r="T57" s="14">
        <f>$C$10*$C$11*P57</f>
        <v>0.0</v>
      </c>
      <c r="U57" s="4" t="n">
        <v>0.9</v>
      </c>
      <c r="V57" s="14">
        <f>IF($C$14=2,(1-U57)*($C$19+$C$20),0)</f>
        <v>0.0</v>
      </c>
      <c r="W57" s="14">
        <f>H57*$C$21</f>
        <v>0.0</v>
      </c>
      <c r="X57" s="14">
        <f>I57*$C$4</f>
        <v>111.65</v>
      </c>
      <c r="Y57" s="4" t="n">
        <v>0.15</v>
      </c>
      <c r="Z57" s="14">
        <f>H57*Y57</f>
        <v>239.25</v>
      </c>
      <c r="AA57" s="14">
        <f>I57-N57-O57-Q57-R57-S57-T57-V57-W57-X57-L57</f>
        <v>370.905</v>
      </c>
      <c r="AB57" s="14">
        <f>AA57-Z57</f>
        <v>131.655</v>
      </c>
      <c r="AC57" s="15">
        <f>IFERROR(AB57/H57,0)</f>
        <v>0.0825423197</v>
      </c>
      <c r="AD57" s="15">
        <f>IFERROR(AB57/L57,0)</f>
        <v>0.3521693773</v>
      </c>
      <c r="AE57" s="14">
        <f>IFERROR((L57+R57+T57+Q57+V57+$C$6)/(((1-G57*$C$13)/(1-G57))-(M57+$C$5+Y57+$C$21+IF($C$14=2,$C$16,0))-$C$4*((1-G57*$C$13)/(1-G57))),0)</f>
        <v>1226.218487395</v>
      </c>
    </row>
    <row r="58">
      <c r="A58" s="10" t="inlineStr">
        <is>
          <t xml:space="preserve">FARMSTAY ESCARGOT NOBLESSE INTENSIVE AMPOULE/ сыворотка с улиткой </t>
        </is>
      </c>
      <c r="B58" s="11" t="inlineStr">
        <is>
          <t>Средства для ухода за лицом</t>
        </is>
      </c>
      <c r="C58" s="12" t="n">
        <v>1021</v>
      </c>
      <c r="D58" s="12" t="n">
        <v>3820</v>
      </c>
      <c r="E58" s="13" t="n">
        <v>7</v>
      </c>
      <c r="F58" s="5" t="n">
        <v>1817.800218</v>
      </c>
      <c r="G58" s="4" t="n">
        <v>0.45</v>
      </c>
      <c r="H58" s="14">
        <f>F58*(1-G58)</f>
        <v>999.7901199</v>
      </c>
      <c r="I58" s="14">
        <f>F58-F58*G58*$C$13</f>
        <v>999.7901199</v>
      </c>
      <c r="J58" s="5" t="n">
        <v>390.46</v>
      </c>
      <c r="K58" s="14">
        <f>$C$12</f>
        <v>60.0</v>
      </c>
      <c r="L58" s="14">
        <f>J58+K58</f>
        <v>450.46</v>
      </c>
      <c r="M58" s="15">
        <f>IF($C$14=1,0.4,$C$15)</f>
        <v>0.4</v>
      </c>
      <c r="N58" s="14">
        <f>H58*M58</f>
        <v>399.91604796</v>
      </c>
      <c r="O58" s="14">
        <f>IF($C$14=2,MIN(H58*$C$16,$C$17),0)</f>
        <v>0.0</v>
      </c>
      <c r="P58" s="16" t="n">
        <v>0.86</v>
      </c>
      <c r="Q58" s="14">
        <f>IF($C$14=2,P58*$C$18,0)</f>
        <v>0.0</v>
      </c>
      <c r="R58" s="14">
        <f>MIN(MAX(H58*$C$7,$C$8),$C$9)</f>
        <v>39.991604796</v>
      </c>
      <c r="S58" s="14">
        <f>H58*$C$5+$C$6</f>
        <v>23.1151727577</v>
      </c>
      <c r="T58" s="14">
        <f>$C$10*$C$11*P58</f>
        <v>0.0</v>
      </c>
      <c r="U58" s="4" t="n">
        <v>0.9</v>
      </c>
      <c r="V58" s="14">
        <f>IF($C$14=2,(1-U58)*($C$19+$C$20),0)</f>
        <v>0.0</v>
      </c>
      <c r="W58" s="14">
        <f>H58*$C$21</f>
        <v>0.0</v>
      </c>
      <c r="X58" s="14">
        <f>I58*$C$4</f>
        <v>69.985308393</v>
      </c>
      <c r="Y58" s="4" t="n">
        <v>0.15</v>
      </c>
      <c r="Z58" s="14">
        <f>H58*Y58</f>
        <v>149.968517985</v>
      </c>
      <c r="AA58" s="14">
        <f>I58-N58-O58-Q58-R58-S58-T58-V58-W58-X58-L58</f>
        <v>16.3219859933</v>
      </c>
      <c r="AB58" s="14">
        <f>AA58-Z58</f>
        <v>-133.6465319917</v>
      </c>
      <c r="AC58" s="15">
        <f>IFERROR(AB58/H58,0)</f>
        <v>-0.1336745876</v>
      </c>
      <c r="AD58" s="15">
        <f>IFERROR(AB58/L58,0)</f>
        <v>-0.2966890112</v>
      </c>
      <c r="AE58" s="14">
        <f>IFERROR((L58+R58+T58+Q58+V58+$C$6)/(((1-G58*$C$13)/(1-G58))-(M58+$C$5+Y58+$C$21+IF($C$14=2,$C$16,0))-$C$4*((1-G58*$C$13)/(1-G58))),0)</f>
        <v>1374.1501534902</v>
      </c>
    </row>
    <row r="59">
      <c r="A59" s="10" t="inlineStr">
        <is>
          <t>FARMSTAY - Argan Oil Complete Volume Up Shampoo &amp; Conditioner [530ml] / Шампунь-кондиционер с аргановым маслом</t>
        </is>
      </c>
      <c r="B59" s="11" t="inlineStr">
        <is>
          <t>Шампуни</t>
        </is>
      </c>
      <c r="C59" s="12" t="n">
        <v>2535</v>
      </c>
      <c r="D59" s="12" t="n">
        <v>2000</v>
      </c>
      <c r="E59" s="13" t="n">
        <v>1</v>
      </c>
      <c r="F59" s="5" t="n">
        <v>1882.586576</v>
      </c>
      <c r="G59" s="4" t="n">
        <v>0.45</v>
      </c>
      <c r="H59" s="14">
        <f>F59*(1-G59)</f>
        <v>1035.4226168</v>
      </c>
      <c r="I59" s="14">
        <f>F59-F59*G59*$C$13</f>
        <v>1035.4226168</v>
      </c>
      <c r="J59" s="5" t="n">
        <v>400.76</v>
      </c>
      <c r="K59" s="14">
        <f>$C$12</f>
        <v>60.0</v>
      </c>
      <c r="L59" s="14">
        <f>J59+K59</f>
        <v>460.76</v>
      </c>
      <c r="M59" s="15">
        <f>IF($C$14=1,0.4,$C$15)</f>
        <v>0.4</v>
      </c>
      <c r="N59" s="14">
        <f>H59*M59</f>
        <v>414.16904672</v>
      </c>
      <c r="O59" s="14">
        <f>IF($C$14=2,MIN(H59*$C$16,$C$17),0)</f>
        <v>0.0</v>
      </c>
      <c r="P59" s="16" t="n">
        <v>1.26</v>
      </c>
      <c r="Q59" s="14">
        <f>IF($C$14=2,P59*$C$18,0)</f>
        <v>0.0</v>
      </c>
      <c r="R59" s="14">
        <f>MIN(MAX(H59*$C$7,$C$8),$C$9)</f>
        <v>41.416904672</v>
      </c>
      <c r="S59" s="14">
        <f>H59*$C$5+$C$6</f>
        <v>23.9347201864</v>
      </c>
      <c r="T59" s="14">
        <f>$C$10*$C$11*P59</f>
        <v>0.0</v>
      </c>
      <c r="U59" s="4" t="n">
        <v>0.9</v>
      </c>
      <c r="V59" s="14">
        <f>IF($C$14=2,(1-U59)*($C$19+$C$20),0)</f>
        <v>0.0</v>
      </c>
      <c r="W59" s="14">
        <f>H59*$C$21</f>
        <v>0.0</v>
      </c>
      <c r="X59" s="14">
        <f>I59*$C$4</f>
        <v>72.479583176</v>
      </c>
      <c r="Y59" s="4" t="n">
        <v>0.15</v>
      </c>
      <c r="Z59" s="14">
        <f>H59*Y59</f>
        <v>155.31339252</v>
      </c>
      <c r="AA59" s="14">
        <f>I59-N59-O59-Q59-R59-S59-T59-V59-W59-X59-L59</f>
        <v>22.6623620456</v>
      </c>
      <c r="AB59" s="14">
        <f>AA59-Z59</f>
        <v>-132.6510304744</v>
      </c>
      <c r="AC59" s="15">
        <f>IFERROR(AB59/H59,0)</f>
        <v>-0.1281129351</v>
      </c>
      <c r="AD59" s="15">
        <f>IFERROR(AB59/L59,0)</f>
        <v>-0.2878961509</v>
      </c>
      <c r="AE59" s="14">
        <f>IFERROR((L59+R59+T59+Q59+V59+$C$6)/(((1-G59*$C$13)/(1-G59))-(M59+$C$5+Y59+$C$21+IF($C$14=2,$C$16,0))-$C$4*((1-G59*$C$13)/(1-G59))),0)</f>
        <v>1406.9941307339</v>
      </c>
    </row>
    <row r="60">
      <c r="A60" s="10" t="inlineStr">
        <is>
          <t>FARMSTAY - Collagen Water Full Shampoo &amp; Conditioner [530ml] / Шампунь-кондиционер 2в1 с коллагеном</t>
        </is>
      </c>
      <c r="B60" s="11" t="inlineStr">
        <is>
          <t>Шампуни</t>
        </is>
      </c>
      <c r="C60" s="12" t="n">
        <v>3679</v>
      </c>
      <c r="D60" s="12" t="n">
        <v>2128</v>
      </c>
      <c r="E60" s="13" t="n">
        <v>7.5</v>
      </c>
      <c r="F60" s="5" t="n">
        <v>1868.807585</v>
      </c>
      <c r="G60" s="4" t="n">
        <v>0.45</v>
      </c>
      <c r="H60" s="14">
        <f>F60*(1-G60)</f>
        <v>1027.84417175</v>
      </c>
      <c r="I60" s="14">
        <f>F60-F60*G60*$C$13</f>
        <v>1027.84417175</v>
      </c>
      <c r="J60" s="5" t="n">
        <v>396.72</v>
      </c>
      <c r="K60" s="14">
        <f>$C$12</f>
        <v>60.0</v>
      </c>
      <c r="L60" s="14">
        <f>J60+K60</f>
        <v>456.72</v>
      </c>
      <c r="M60" s="15">
        <f>IF($C$14=1,0.4,$C$15)</f>
        <v>0.4</v>
      </c>
      <c r="N60" s="14">
        <f>H60*M60</f>
        <v>411.1376687</v>
      </c>
      <c r="O60" s="14">
        <f>IF($C$14=2,MIN(H60*$C$16,$C$17),0)</f>
        <v>0.0</v>
      </c>
      <c r="P60" s="16" t="n">
        <v>1.26</v>
      </c>
      <c r="Q60" s="14">
        <f>IF($C$14=2,P60*$C$18,0)</f>
        <v>0.0</v>
      </c>
      <c r="R60" s="14">
        <f>MIN(MAX(H60*$C$7,$C$8),$C$9)</f>
        <v>41.11376687</v>
      </c>
      <c r="S60" s="14">
        <f>H60*$C$5+$C$6</f>
        <v>23.7604159502</v>
      </c>
      <c r="T60" s="14">
        <f>$C$10*$C$11*P60</f>
        <v>0.0</v>
      </c>
      <c r="U60" s="4" t="n">
        <v>0.9</v>
      </c>
      <c r="V60" s="14">
        <f>IF($C$14=2,(1-U60)*($C$19+$C$20),0)</f>
        <v>0.0</v>
      </c>
      <c r="W60" s="14">
        <f>H60*$C$21</f>
        <v>0.0</v>
      </c>
      <c r="X60" s="14">
        <f>I60*$C$4</f>
        <v>71.9490920225</v>
      </c>
      <c r="Y60" s="4" t="n">
        <v>0.15</v>
      </c>
      <c r="Z60" s="14">
        <f>H60*Y60</f>
        <v>154.1766257625</v>
      </c>
      <c r="AA60" s="14">
        <f>I60-N60-O60-Q60-R60-S60-T60-V60-W60-X60-L60</f>
        <v>23.1632282073</v>
      </c>
      <c r="AB60" s="14">
        <f>AA60-Z60</f>
        <v>-131.0133975552</v>
      </c>
      <c r="AC60" s="15">
        <f>IFERROR(AB60/H60,0)</f>
        <v>-0.1274642608</v>
      </c>
      <c r="AD60" s="15">
        <f>IFERROR(AB60/L60,0)</f>
        <v>-0.28685715</v>
      </c>
      <c r="AE60" s="14">
        <f>IFERROR((L60+R60+T60+Q60+V60+$C$6)/(((1-G60*$C$13)/(1-G60))-(M60+$C$5+Y60+$C$21+IF($C$14=2,$C$16,0))-$C$4*((1-G60*$C$13)/(1-G60))),0)</f>
        <v>1394.8284786275</v>
      </c>
    </row>
    <row r="61">
      <c r="A61" s="10" t="inlineStr">
        <is>
          <t>FARMSTAY - Collagen Water Full Moist Rolling Eye Serum [25ml] / Сыворотка роллер для глаз</t>
        </is>
      </c>
      <c r="B61" s="11" t="inlineStr">
        <is>
          <t>Уход за кожей вокруг глаз</t>
        </is>
      </c>
      <c r="C61" s="12" t="n">
        <v>484</v>
      </c>
      <c r="D61" s="12" t="n">
        <v>2145</v>
      </c>
      <c r="E61" s="13" t="n">
        <v>5</v>
      </c>
      <c r="F61" s="5" t="n">
        <v>1800</v>
      </c>
      <c r="G61" s="4" t="n">
        <v>0.45</v>
      </c>
      <c r="H61" s="14">
        <f>F61*(1-G61)</f>
        <v>990.0</v>
      </c>
      <c r="I61" s="14">
        <f>F61-F61*G61*$C$13</f>
        <v>990.0</v>
      </c>
      <c r="J61" s="5" t="n">
        <v>231.73</v>
      </c>
      <c r="K61" s="14">
        <f>$C$12</f>
        <v>60.0</v>
      </c>
      <c r="L61" s="14">
        <f>J61+K61</f>
        <v>291.73</v>
      </c>
      <c r="M61" s="15">
        <f>IF($C$14=1,0.41,$C$15)</f>
        <v>0.41</v>
      </c>
      <c r="N61" s="14">
        <f>H61*M61</f>
        <v>405.9</v>
      </c>
      <c r="O61" s="14">
        <f>IF($C$14=2,MIN(H61*$C$16,$C$17),0)</f>
        <v>0.0</v>
      </c>
      <c r="P61" s="16" t="n">
        <v>0.22</v>
      </c>
      <c r="Q61" s="14">
        <f>IF($C$14=2,P61*$C$18,0)</f>
        <v>0.0</v>
      </c>
      <c r="R61" s="14">
        <f>MIN(MAX(H61*$C$7,$C$8),$C$9)</f>
        <v>39.6</v>
      </c>
      <c r="S61" s="14">
        <f>H61*$C$5+$C$6</f>
        <v>22.89</v>
      </c>
      <c r="T61" s="14">
        <f>$C$10*$C$11*P61</f>
        <v>0.0</v>
      </c>
      <c r="U61" s="4" t="n">
        <v>0.9</v>
      </c>
      <c r="V61" s="14">
        <f>IF($C$14=2,(1-U61)*($C$19+$C$20),0)</f>
        <v>0.0</v>
      </c>
      <c r="W61" s="14">
        <f>H61*$C$21</f>
        <v>0.0</v>
      </c>
      <c r="X61" s="14">
        <f>I61*$C$4</f>
        <v>69.3</v>
      </c>
      <c r="Y61" s="4" t="n">
        <v>0.15</v>
      </c>
      <c r="Z61" s="14">
        <f>H61*Y61</f>
        <v>148.5</v>
      </c>
      <c r="AA61" s="14">
        <f>I61-N61-O61-Q61-R61-S61-T61-V61-W61-X61-L61</f>
        <v>160.58</v>
      </c>
      <c r="AB61" s="14">
        <f>AA61-Z61</f>
        <v>12.08</v>
      </c>
      <c r="AC61" s="15">
        <f>IFERROR(AB61/H61,0)</f>
        <v>0.0122020202</v>
      </c>
      <c r="AD61" s="15">
        <f>IFERROR(AB61/L61,0)</f>
        <v>0.0414081514</v>
      </c>
      <c r="AE61" s="14">
        <f>IFERROR((L61+R61+T61+Q61+V61+$C$6)/(((1-G61*$C$13)/(1-G61))-(M61+$C$5+Y61+$C$21+IF($C$14=2,$C$16,0))-$C$4*((1-G61*$C$13)/(1-G61))),0)</f>
        <v>955.1873198847</v>
      </c>
    </row>
    <row r="62">
      <c r="A62" s="10" t="inlineStr">
        <is>
          <t>FARMSTAY - Collagen Water Full Moist Cream [100g] / Увлажняющий крем с коллагеном</t>
        </is>
      </c>
      <c r="B62" s="11" t="inlineStr">
        <is>
          <t>Средства для ухода за лицом</t>
        </is>
      </c>
      <c r="C62" s="12" t="n">
        <v>287</v>
      </c>
      <c r="D62" s="12" t="n">
        <v>4300</v>
      </c>
      <c r="E62" s="13" t="n">
        <v>7</v>
      </c>
      <c r="F62" s="5" t="n">
        <v>2134.170832</v>
      </c>
      <c r="G62" s="4" t="n">
        <v>0.45</v>
      </c>
      <c r="H62" s="14">
        <f>F62*(1-G62)</f>
        <v>1173.7939576</v>
      </c>
      <c r="I62" s="14">
        <f>F62-F62*G62*$C$13</f>
        <v>1173.7939576</v>
      </c>
      <c r="J62" s="5" t="n">
        <v>484.42</v>
      </c>
      <c r="K62" s="14">
        <f>$C$12</f>
        <v>60.0</v>
      </c>
      <c r="L62" s="14">
        <f>J62+K62</f>
        <v>544.42</v>
      </c>
      <c r="M62" s="15">
        <f>IF($C$14=1,0.4,$C$15)</f>
        <v>0.4</v>
      </c>
      <c r="N62" s="14">
        <f>H62*M62</f>
        <v>469.51758304</v>
      </c>
      <c r="O62" s="14">
        <f>IF($C$14=2,MIN(H62*$C$16,$C$17),0)</f>
        <v>0.0</v>
      </c>
      <c r="P62" s="16" t="n">
        <v>0.57</v>
      </c>
      <c r="Q62" s="14">
        <f>IF($C$14=2,P62*$C$18,0)</f>
        <v>0.0</v>
      </c>
      <c r="R62" s="14">
        <f>MIN(MAX(H62*$C$7,$C$8),$C$9)</f>
        <v>46.951758304</v>
      </c>
      <c r="S62" s="14">
        <f>H62*$C$5+$C$6</f>
        <v>27.1172610248</v>
      </c>
      <c r="T62" s="14">
        <f>$C$10*$C$11*P62</f>
        <v>0.0</v>
      </c>
      <c r="U62" s="4" t="n">
        <v>0.9</v>
      </c>
      <c r="V62" s="14">
        <f>IF($C$14=2,(1-U62)*($C$19+$C$20),0)</f>
        <v>0.0</v>
      </c>
      <c r="W62" s="14">
        <f>H62*$C$21</f>
        <v>0.0</v>
      </c>
      <c r="X62" s="14">
        <f>I62*$C$4</f>
        <v>82.165577032</v>
      </c>
      <c r="Y62" s="4" t="n">
        <v>0.15</v>
      </c>
      <c r="Z62" s="14">
        <f>H62*Y62</f>
        <v>176.06909364</v>
      </c>
      <c r="AA62" s="14">
        <f>I62-N62-O62-Q62-R62-S62-T62-V62-W62-X62-L62</f>
        <v>3.6217781992</v>
      </c>
      <c r="AB62" s="14">
        <f>AA62-Z62</f>
        <v>-172.4473154408</v>
      </c>
      <c r="AC62" s="15">
        <f>IFERROR(AB62/H62,0)</f>
        <v>-0.1469144685</v>
      </c>
      <c r="AD62" s="15">
        <f>IFERROR(AB62/L62,0)</f>
        <v>-0.3167541888</v>
      </c>
      <c r="AE62" s="14">
        <f>IFERROR((L62+R62+T62+Q62+V62+$C$6)/(((1-G62*$C$13)/(1-G62))-(M62+$C$5+Y62+$C$21+IF($C$14=2,$C$16,0))-$C$4*((1-G62*$C$13)/(1-G62))),0)</f>
        <v>1656.8396591148</v>
      </c>
    </row>
    <row r="63">
      <c r="A63" s="10" t="inlineStr">
        <is>
          <t xml:space="preserve">FARMSTAY - Collagen Pure Cleansing Foam [180ml]/Пенка для умывания </t>
        </is>
      </c>
      <c r="B63" s="11" t="inlineStr">
        <is>
          <t>Средства для умывания</t>
        </is>
      </c>
      <c r="C63" s="12" t="n">
        <v>515</v>
      </c>
      <c r="D63" s="12" t="n">
        <v>1100</v>
      </c>
      <c r="E63" s="13" t="n">
        <v>4.5</v>
      </c>
      <c r="F63" s="5" t="n">
        <v>1032.704256</v>
      </c>
      <c r="G63" s="4" t="n">
        <v>0.45</v>
      </c>
      <c r="H63" s="14">
        <f>F63*(1-G63)</f>
        <v>567.9873408</v>
      </c>
      <c r="I63" s="14">
        <f>F63-F63*G63*$C$13</f>
        <v>567.9873408</v>
      </c>
      <c r="J63" s="5" t="n">
        <v>161.47</v>
      </c>
      <c r="K63" s="14">
        <f>$C$12</f>
        <v>60.0</v>
      </c>
      <c r="L63" s="14">
        <f>J63+K63</f>
        <v>221.47</v>
      </c>
      <c r="M63" s="15">
        <f>IF($C$14=1,0.41,$C$15)</f>
        <v>0.41</v>
      </c>
      <c r="N63" s="14">
        <f>H63*M63</f>
        <v>232.874809728</v>
      </c>
      <c r="O63" s="14">
        <f>IF($C$14=2,MIN(H63*$C$16,$C$17),0)</f>
        <v>0.0</v>
      </c>
      <c r="P63" s="16" t="n">
        <v>0.57</v>
      </c>
      <c r="Q63" s="14">
        <f>IF($C$14=2,P63*$C$18,0)</f>
        <v>0.0</v>
      </c>
      <c r="R63" s="14">
        <f>MIN(MAX(H63*$C$7,$C$8),$C$9)</f>
        <v>25.0</v>
      </c>
      <c r="S63" s="14">
        <f>H63*$C$5+$C$6</f>
        <v>13.1837088384</v>
      </c>
      <c r="T63" s="14">
        <f>$C$10*$C$11*P63</f>
        <v>0.0</v>
      </c>
      <c r="U63" s="4" t="n">
        <v>0.9</v>
      </c>
      <c r="V63" s="14">
        <f>IF($C$14=2,(1-U63)*($C$19+$C$20),0)</f>
        <v>0.0</v>
      </c>
      <c r="W63" s="14">
        <f>H63*$C$21</f>
        <v>0.0</v>
      </c>
      <c r="X63" s="14">
        <f>I63*$C$4</f>
        <v>39.759113856</v>
      </c>
      <c r="Y63" s="4" t="n">
        <v>0.15</v>
      </c>
      <c r="Z63" s="14">
        <f>H63*Y63</f>
        <v>85.19810112</v>
      </c>
      <c r="AA63" s="14">
        <f>I63-N63-O63-Q63-R63-S63-T63-V63-W63-X63-L63</f>
        <v>35.6997083776</v>
      </c>
      <c r="AB63" s="14">
        <f>AA63-Z63</f>
        <v>-49.4983927424</v>
      </c>
      <c r="AC63" s="15">
        <f>IFERROR(AB63/H63,0)</f>
        <v>-0.0871469999</v>
      </c>
      <c r="AD63" s="15">
        <f>IFERROR(AB63/L63,0)</f>
        <v>-0.2234993125</v>
      </c>
      <c r="AE63" s="14">
        <f>IFERROR((L63+R63+T63+Q63+V63+$C$6)/(((1-G63*$C$13)/(1-G63))-(M63+$C$5+Y63+$C$21+IF($C$14=2,$C$16,0))-$C$4*((1-G63*$C$13)/(1-G63))),0)</f>
        <v>710.6340057637</v>
      </c>
    </row>
    <row r="64">
      <c r="A64" s="8" t="inlineStr">
        <is>
          <t>Косметика/HEIMISH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</row>
    <row r="65">
      <c r="A65" s="10" t="inlineStr">
        <is>
          <t>HEIMISH - Artless Glow Base SPF50+ PA+++(Renew) [40ml] / База под макияж SPF50+ PA+++</t>
        </is>
      </c>
      <c r="B65" s="11" t="inlineStr">
        <is>
          <t>Основы под макияж</t>
        </is>
      </c>
      <c r="C65" s="12" t="n">
        <v>1025</v>
      </c>
      <c r="D65" s="12" t="n">
        <v>2980</v>
      </c>
      <c r="E65" s="13" t="n">
        <v>0</v>
      </c>
      <c r="F65" s="5" t="n">
        <v>2750</v>
      </c>
      <c r="G65" s="4" t="n">
        <v>0.45</v>
      </c>
      <c r="H65" s="14">
        <f>F65*(1-G65)</f>
        <v>1512.5</v>
      </c>
      <c r="I65" s="14">
        <f>F65-F65*G65*$C$13</f>
        <v>1512.5</v>
      </c>
      <c r="J65" s="5" t="n">
        <v>770.48</v>
      </c>
      <c r="K65" s="14">
        <f>$C$12</f>
        <v>60.0</v>
      </c>
      <c r="L65" s="14">
        <f>J65+K65</f>
        <v>830.48</v>
      </c>
      <c r="M65" s="15">
        <f>IF($C$14=1,0.4,$C$15)</f>
        <v>0.4</v>
      </c>
      <c r="N65" s="14">
        <f>H65*M65</f>
        <v>605.0</v>
      </c>
      <c r="O65" s="14">
        <f>IF($C$14=2,MIN(H65*$C$16,$C$17),0)</f>
        <v>0.0</v>
      </c>
      <c r="P65" s="16" t="n">
        <v>0.14</v>
      </c>
      <c r="Q65" s="14">
        <f>IF($C$14=2,P65*$C$18,0)</f>
        <v>0.0</v>
      </c>
      <c r="R65" s="14">
        <f>MIN(MAX(H65*$C$7,$C$8),$C$9)</f>
        <v>60.5</v>
      </c>
      <c r="S65" s="14">
        <f>H65*$C$5+$C$6</f>
        <v>34.9075</v>
      </c>
      <c r="T65" s="14">
        <f>$C$10*$C$11*P65</f>
        <v>0.0</v>
      </c>
      <c r="U65" s="4" t="n">
        <v>0.9</v>
      </c>
      <c r="V65" s="14">
        <f>IF($C$14=2,(1-U65)*($C$19+$C$20),0)</f>
        <v>0.0</v>
      </c>
      <c r="W65" s="14">
        <f>H65*$C$21</f>
        <v>0.0</v>
      </c>
      <c r="X65" s="14">
        <f>I65*$C$4</f>
        <v>105.875</v>
      </c>
      <c r="Y65" s="4" t="n">
        <v>0.1</v>
      </c>
      <c r="Z65" s="14">
        <f>H65*Y65</f>
        <v>151.25</v>
      </c>
      <c r="AA65" s="14">
        <f>I65-N65-O65-Q65-R65-S65-T65-V65-W65-X65-L65</f>
        <v>-124.2625</v>
      </c>
      <c r="AB65" s="14">
        <f>AA65-Z65</f>
        <v>-275.5125</v>
      </c>
      <c r="AC65" s="15">
        <f>IFERROR(AB65/H65,0)</f>
        <v>-0.1821570248</v>
      </c>
      <c r="AD65" s="15">
        <f>IFERROR(AB65/L65,0)</f>
        <v>-0.3317509151</v>
      </c>
      <c r="AE65" s="14">
        <f>IFERROR((L65+R65+T65+Q65+V65+$C$6)/(((1-G65*$C$13)/(1-G65))-(M65+$C$5+Y65+$C$21+IF($C$14=2,$C$16,0))-$C$4*((1-G65*$C$13)/(1-G65))),0)</f>
        <v>2189.4348894349</v>
      </c>
    </row>
    <row r="66">
      <c r="A66" s="8" t="inlineStr">
        <is>
          <t>Косметика/JIGOTT/JIGOTT-CREAM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</row>
    <row r="67">
      <c r="A67" s="10" t="inlineStr">
        <is>
          <t>JIGOTT - Snail Lifting Cream [70ml] / Крем для лица увлажняющий антивозрастной</t>
        </is>
      </c>
      <c r="B67" s="11" t="inlineStr">
        <is>
          <t>Средства для ухода за лицом</t>
        </is>
      </c>
      <c r="C67" s="12" t="n">
        <v>7668</v>
      </c>
      <c r="D67" s="12" t="n">
        <v>980</v>
      </c>
      <c r="E67" s="13" t="n">
        <v>4.5</v>
      </c>
      <c r="F67" s="5" t="n">
        <v>880</v>
      </c>
      <c r="G67" s="4" t="n">
        <v>0.45</v>
      </c>
      <c r="H67" s="14">
        <f>F67*(1-G67)</f>
        <v>484.0</v>
      </c>
      <c r="I67" s="14">
        <f>F67-F67*G67*$C$13</f>
        <v>484.0</v>
      </c>
      <c r="J67" s="5" t="n">
        <v>202.27</v>
      </c>
      <c r="K67" s="14">
        <f>$C$12</f>
        <v>60.0</v>
      </c>
      <c r="L67" s="14">
        <f>J67+K67</f>
        <v>262.27</v>
      </c>
      <c r="M67" s="15">
        <f>IF($C$14=1,0.4,$C$15)</f>
        <v>0.4</v>
      </c>
      <c r="N67" s="14">
        <f>H67*M67</f>
        <v>193.6</v>
      </c>
      <c r="O67" s="14">
        <f>IF($C$14=2,MIN(H67*$C$16,$C$17),0)</f>
        <v>0.0</v>
      </c>
      <c r="P67" s="16" t="n">
        <v>0.42</v>
      </c>
      <c r="Q67" s="14">
        <f>IF($C$14=2,P67*$C$18,0)</f>
        <v>0.0</v>
      </c>
      <c r="R67" s="14">
        <f>MIN(MAX(H67*$C$7,$C$8),$C$9)</f>
        <v>25.0</v>
      </c>
      <c r="S67" s="14">
        <f>H67*$C$5+$C$6</f>
        <v>11.252</v>
      </c>
      <c r="T67" s="14">
        <f>$C$10*$C$11*P67</f>
        <v>0.0</v>
      </c>
      <c r="U67" s="4" t="n">
        <v>0.9</v>
      </c>
      <c r="V67" s="14">
        <f>IF($C$14=2,(1-U67)*($C$19+$C$20),0)</f>
        <v>0.0</v>
      </c>
      <c r="W67" s="14">
        <f>H67*$C$21</f>
        <v>0.0</v>
      </c>
      <c r="X67" s="14">
        <f>I67*$C$4</f>
        <v>33.88</v>
      </c>
      <c r="Y67" s="4" t="n">
        <v>0.15</v>
      </c>
      <c r="Z67" s="14">
        <f>H67*Y67</f>
        <v>72.6</v>
      </c>
      <c r="AA67" s="14">
        <f>I67-N67-O67-Q67-R67-S67-T67-V67-W67-X67-L67</f>
        <v>-42.002</v>
      </c>
      <c r="AB67" s="14">
        <f>AA67-Z67</f>
        <v>-114.602</v>
      </c>
      <c r="AC67" s="15">
        <f>IFERROR(AB67/H67,0)</f>
        <v>-0.2367809917</v>
      </c>
      <c r="AD67" s="15">
        <f>IFERROR(AB67/L67,0)</f>
        <v>-0.4369619095</v>
      </c>
      <c r="AE67" s="14">
        <f>IFERROR((L67+R67+T67+Q67+V67+$C$6)/(((1-G67*$C$13)/(1-G67))-(M67+$C$5+Y67+$C$21+IF($C$14=2,$C$16,0))-$C$4*((1-G67*$C$13)/(1-G67))),0)</f>
        <v>805.0140056022</v>
      </c>
    </row>
    <row r="68">
      <c r="A68" s="10" t="inlineStr">
        <is>
          <t>JIGOTT - Snail Reparing Cream [100ml] / Крем для лица увлажняющий антивозрастной с муцином улитки</t>
        </is>
      </c>
      <c r="B68" s="11" t="inlineStr">
        <is>
          <t>Средства для ухода за лицом</t>
        </is>
      </c>
      <c r="C68" s="12" t="n">
        <v>1241</v>
      </c>
      <c r="D68" s="12" t="n">
        <v>1030</v>
      </c>
      <c r="E68" s="13" t="n">
        <v>5</v>
      </c>
      <c r="F68" s="5" t="n">
        <v>930</v>
      </c>
      <c r="G68" s="4" t="n">
        <v>0.45</v>
      </c>
      <c r="H68" s="14">
        <f>F68*(1-G68)</f>
        <v>511.5</v>
      </c>
      <c r="I68" s="14">
        <f>F68-F68*G68*$C$13</f>
        <v>511.5</v>
      </c>
      <c r="J68" s="5" t="n">
        <v>185.86</v>
      </c>
      <c r="K68" s="14">
        <f>$C$12</f>
        <v>60.0</v>
      </c>
      <c r="L68" s="14">
        <f>J68+K68</f>
        <v>245.86</v>
      </c>
      <c r="M68" s="15">
        <f>IF($C$14=1,0.4,$C$15)</f>
        <v>0.4</v>
      </c>
      <c r="N68" s="14">
        <f>H68*M68</f>
        <v>204.6</v>
      </c>
      <c r="O68" s="14">
        <f>IF($C$14=2,MIN(H68*$C$16,$C$17),0)</f>
        <v>0.0</v>
      </c>
      <c r="P68" s="16" t="n">
        <v>0.57</v>
      </c>
      <c r="Q68" s="14">
        <f>IF($C$14=2,P68*$C$18,0)</f>
        <v>0.0</v>
      </c>
      <c r="R68" s="14">
        <f>MIN(MAX(H68*$C$7,$C$8),$C$9)</f>
        <v>25.0</v>
      </c>
      <c r="S68" s="14">
        <f>H68*$C$5+$C$6</f>
        <v>11.8845</v>
      </c>
      <c r="T68" s="14">
        <f>$C$10*$C$11*P68</f>
        <v>0.0</v>
      </c>
      <c r="U68" s="4" t="n">
        <v>0.9</v>
      </c>
      <c r="V68" s="14">
        <f>IF($C$14=2,(1-U68)*($C$19+$C$20),0)</f>
        <v>0.0</v>
      </c>
      <c r="W68" s="14">
        <f>H68*$C$21</f>
        <v>0.0</v>
      </c>
      <c r="X68" s="14">
        <f>I68*$C$4</f>
        <v>35.805</v>
      </c>
      <c r="Y68" s="4" t="n">
        <v>0.15</v>
      </c>
      <c r="Z68" s="14">
        <f>H68*Y68</f>
        <v>76.725</v>
      </c>
      <c r="AA68" s="14">
        <f>I68-N68-O68-Q68-R68-S68-T68-V68-W68-X68-L68</f>
        <v>-11.6495</v>
      </c>
      <c r="AB68" s="14">
        <f>AA68-Z68</f>
        <v>-88.3745</v>
      </c>
      <c r="AC68" s="15">
        <f>IFERROR(AB68/H68,0)</f>
        <v>-0.1727751711</v>
      </c>
      <c r="AD68" s="15">
        <f>IFERROR(AB68/L68,0)</f>
        <v>-0.3594505003</v>
      </c>
      <c r="AE68" s="14">
        <f>IFERROR((L68+R68+T68+Q68+V68+$C$6)/(((1-G68*$C$13)/(1-G68))-(M68+$C$5+Y68+$C$21+IF($C$14=2,$C$16,0))-$C$4*((1-G68*$C$13)/(1-G68))),0)</f>
        <v>759.0476190476</v>
      </c>
    </row>
    <row r="69">
      <c r="A69" s="10" t="inlineStr">
        <is>
          <t>JIGOTT - Birds Nest Firming Cream [70ml] / Антивозрастной крем с экстрактом ласточкиного гнезда</t>
        </is>
      </c>
      <c r="B69" s="11" t="inlineStr">
        <is>
          <t>Средства для ухода за лицом</t>
        </is>
      </c>
      <c r="C69" s="12" t="n">
        <v>1814</v>
      </c>
      <c r="D69" s="12" t="n">
        <v>1040</v>
      </c>
      <c r="E69" s="13" t="n">
        <v>4</v>
      </c>
      <c r="F69" s="5" t="n">
        <v>960</v>
      </c>
      <c r="G69" s="4" t="n">
        <v>0.45</v>
      </c>
      <c r="H69" s="14">
        <f>F69*(1-G69)</f>
        <v>528.0</v>
      </c>
      <c r="I69" s="14">
        <f>F69-F69*G69*$C$13</f>
        <v>528.0</v>
      </c>
      <c r="J69" s="5" t="n">
        <v>202.27</v>
      </c>
      <c r="K69" s="14">
        <f>$C$12</f>
        <v>60.0</v>
      </c>
      <c r="L69" s="14">
        <f>J69+K69</f>
        <v>262.27</v>
      </c>
      <c r="M69" s="15">
        <f>IF($C$14=1,0.4,$C$15)</f>
        <v>0.4</v>
      </c>
      <c r="N69" s="14">
        <f>H69*M69</f>
        <v>211.2</v>
      </c>
      <c r="O69" s="14">
        <f>IF($C$14=2,MIN(H69*$C$16,$C$17),0)</f>
        <v>0.0</v>
      </c>
      <c r="P69" s="16" t="n">
        <v>0.42</v>
      </c>
      <c r="Q69" s="14">
        <f>IF($C$14=2,P69*$C$18,0)</f>
        <v>0.0</v>
      </c>
      <c r="R69" s="14">
        <f>MIN(MAX(H69*$C$7,$C$8),$C$9)</f>
        <v>25.0</v>
      </c>
      <c r="S69" s="14">
        <f>H69*$C$5+$C$6</f>
        <v>12.264</v>
      </c>
      <c r="T69" s="14">
        <f>$C$10*$C$11*P69</f>
        <v>0.0</v>
      </c>
      <c r="U69" s="4" t="n">
        <v>0.9</v>
      </c>
      <c r="V69" s="14">
        <f>IF($C$14=2,(1-U69)*($C$19+$C$20),0)</f>
        <v>0.0</v>
      </c>
      <c r="W69" s="14">
        <f>H69*$C$21</f>
        <v>0.0</v>
      </c>
      <c r="X69" s="14">
        <f>I69*$C$4</f>
        <v>36.96</v>
      </c>
      <c r="Y69" s="4" t="n">
        <v>0.15</v>
      </c>
      <c r="Z69" s="14">
        <f>H69*Y69</f>
        <v>79.2</v>
      </c>
      <c r="AA69" s="14">
        <f>I69-N69-O69-Q69-R69-S69-T69-V69-W69-X69-L69</f>
        <v>-19.694</v>
      </c>
      <c r="AB69" s="14">
        <f>AA69-Z69</f>
        <v>-98.894</v>
      </c>
      <c r="AC69" s="15">
        <f>IFERROR(AB69/H69,0)</f>
        <v>-0.1872992424</v>
      </c>
      <c r="AD69" s="15">
        <f>IFERROR(AB69/L69,0)</f>
        <v>-0.3770694323</v>
      </c>
      <c r="AE69" s="14">
        <f>IFERROR((L69+R69+T69+Q69+V69+$C$6)/(((1-G69*$C$13)/(1-G69))-(M69+$C$5+Y69+$C$21+IF($C$14=2,$C$16,0))-$C$4*((1-G69*$C$13)/(1-G69))),0)</f>
        <v>805.0140056022</v>
      </c>
    </row>
    <row r="70">
      <c r="A70" s="8" t="inlineStr">
        <is>
          <t>Косметика/JIGOTT/JIGOTT-MASK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</row>
    <row r="71">
      <c r="A71" s="8" t="inlineStr">
        <is>
          <t>Косметика/JIGOTT/JIGOTT-TONER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</row>
    <row r="72">
      <c r="A72" s="10" t="inlineStr">
        <is>
          <t>JIGOTT - Ultimate Real Collagen Toner [300ml] / тонер с коллагеном антивозрастной</t>
        </is>
      </c>
      <c r="B72" s="11" t="inlineStr">
        <is>
          <t>Средства для ухода за лицом</t>
        </is>
      </c>
      <c r="C72" s="12" t="n">
        <v>1296</v>
      </c>
      <c r="D72" s="12" t="n">
        <v>1140</v>
      </c>
      <c r="E72" s="13" t="n">
        <v>0</v>
      </c>
      <c r="F72" s="5" t="n">
        <v>960</v>
      </c>
      <c r="G72" s="4" t="n">
        <v>0.45</v>
      </c>
      <c r="H72" s="14">
        <f>F72*(1-G72)</f>
        <v>528.0</v>
      </c>
      <c r="I72" s="14">
        <f>F72-F72*G72*$C$13</f>
        <v>528.0</v>
      </c>
      <c r="J72" s="5" t="n">
        <v>265.36</v>
      </c>
      <c r="K72" s="14">
        <f>$C$12</f>
        <v>60.0</v>
      </c>
      <c r="L72" s="14">
        <f>J72+K72</f>
        <v>325.36</v>
      </c>
      <c r="M72" s="15">
        <f>IF($C$14=1,0.4,$C$15)</f>
        <v>0.4</v>
      </c>
      <c r="N72" s="14">
        <f>H72*M72</f>
        <v>211.2</v>
      </c>
      <c r="O72" s="14">
        <f>IF($C$14=2,MIN(H72*$C$16,$C$17),0)</f>
        <v>0.0</v>
      </c>
      <c r="P72" s="16" t="n">
        <v>0.93</v>
      </c>
      <c r="Q72" s="14">
        <f>IF($C$14=2,P72*$C$18,0)</f>
        <v>0.0</v>
      </c>
      <c r="R72" s="14">
        <f>MIN(MAX(H72*$C$7,$C$8),$C$9)</f>
        <v>25.0</v>
      </c>
      <c r="S72" s="14">
        <f>H72*$C$5+$C$6</f>
        <v>12.264</v>
      </c>
      <c r="T72" s="14">
        <f>$C$10*$C$11*P72</f>
        <v>0.0</v>
      </c>
      <c r="U72" s="4" t="n">
        <v>0.9</v>
      </c>
      <c r="V72" s="14">
        <f>IF($C$14=2,(1-U72)*($C$19+$C$20),0)</f>
        <v>0.0</v>
      </c>
      <c r="W72" s="14">
        <f>H72*$C$21</f>
        <v>0.0</v>
      </c>
      <c r="X72" s="14">
        <f>I72*$C$4</f>
        <v>36.96</v>
      </c>
      <c r="Y72" s="4" t="n">
        <v>0.15</v>
      </c>
      <c r="Z72" s="14">
        <f>H72*Y72</f>
        <v>79.2</v>
      </c>
      <c r="AA72" s="14">
        <f>I72-N72-O72-Q72-R72-S72-T72-V72-W72-X72-L72</f>
        <v>-82.784</v>
      </c>
      <c r="AB72" s="14">
        <f>AA72-Z72</f>
        <v>-161.984</v>
      </c>
      <c r="AC72" s="15">
        <f>IFERROR(AB72/H72,0)</f>
        <v>-0.3067878788</v>
      </c>
      <c r="AD72" s="15">
        <f>IFERROR(AB72/L72,0)</f>
        <v>-0.4978608311</v>
      </c>
      <c r="AE72" s="14">
        <f>IFERROR((L72+R72+T72+Q72+V72+$C$6)/(((1-G72*$C$13)/(1-G72))-(M72+$C$5+Y72+$C$21+IF($C$14=2,$C$16,0))-$C$4*((1-G72*$C$13)/(1-G72))),0)</f>
        <v>981.7366946779</v>
      </c>
    </row>
    <row r="73">
      <c r="A73" s="10" t="inlineStr">
        <is>
          <t>JIGOTT - Daily Real Cica Toner [300ml] / Тонер для лица с центеллой азиатской</t>
        </is>
      </c>
      <c r="B73" s="11" t="inlineStr">
        <is>
          <t>Средства для ухода за лицом</t>
        </is>
      </c>
      <c r="C73" s="12" t="n">
        <v>1468</v>
      </c>
      <c r="D73" s="12" t="n">
        <v>1140</v>
      </c>
      <c r="E73" s="13" t="n">
        <v>0</v>
      </c>
      <c r="F73" s="5" t="n">
        <v>960</v>
      </c>
      <c r="G73" s="4" t="n">
        <v>0.45</v>
      </c>
      <c r="H73" s="14">
        <f>F73*(1-G73)</f>
        <v>528.0</v>
      </c>
      <c r="I73" s="14">
        <f>F73-F73*G73*$C$13</f>
        <v>528.0</v>
      </c>
      <c r="J73" s="5" t="n">
        <v>265.36</v>
      </c>
      <c r="K73" s="14">
        <f>$C$12</f>
        <v>60.0</v>
      </c>
      <c r="L73" s="14">
        <f>J73+K73</f>
        <v>325.36</v>
      </c>
      <c r="M73" s="15">
        <f>IF($C$14=1,0.4,$C$15)</f>
        <v>0.4</v>
      </c>
      <c r="N73" s="14">
        <f>H73*M73</f>
        <v>211.2</v>
      </c>
      <c r="O73" s="14">
        <f>IF($C$14=2,MIN(H73*$C$16,$C$17),0)</f>
        <v>0.0</v>
      </c>
      <c r="P73" s="16" t="n">
        <v>0.93</v>
      </c>
      <c r="Q73" s="14">
        <f>IF($C$14=2,P73*$C$18,0)</f>
        <v>0.0</v>
      </c>
      <c r="R73" s="14">
        <f>MIN(MAX(H73*$C$7,$C$8),$C$9)</f>
        <v>25.0</v>
      </c>
      <c r="S73" s="14">
        <f>H73*$C$5+$C$6</f>
        <v>12.264</v>
      </c>
      <c r="T73" s="14">
        <f>$C$10*$C$11*P73</f>
        <v>0.0</v>
      </c>
      <c r="U73" s="4" t="n">
        <v>0.9</v>
      </c>
      <c r="V73" s="14">
        <f>IF($C$14=2,(1-U73)*($C$19+$C$20),0)</f>
        <v>0.0</v>
      </c>
      <c r="W73" s="14">
        <f>H73*$C$21</f>
        <v>0.0</v>
      </c>
      <c r="X73" s="14">
        <f>I73*$C$4</f>
        <v>36.96</v>
      </c>
      <c r="Y73" s="4" t="n">
        <v>0.15</v>
      </c>
      <c r="Z73" s="14">
        <f>H73*Y73</f>
        <v>79.2</v>
      </c>
      <c r="AA73" s="14">
        <f>I73-N73-O73-Q73-R73-S73-T73-V73-W73-X73-L73</f>
        <v>-82.784</v>
      </c>
      <c r="AB73" s="14">
        <f>AA73-Z73</f>
        <v>-161.984</v>
      </c>
      <c r="AC73" s="15">
        <f>IFERROR(AB73/H73,0)</f>
        <v>-0.3067878788</v>
      </c>
      <c r="AD73" s="15">
        <f>IFERROR(AB73/L73,0)</f>
        <v>-0.4978608311</v>
      </c>
      <c r="AE73" s="14">
        <f>IFERROR((L73+R73+T73+Q73+V73+$C$6)/(((1-G73*$C$13)/(1-G73))-(M73+$C$5+Y73+$C$21+IF($C$14=2,$C$16,0))-$C$4*((1-G73*$C$13)/(1-G73))),0)</f>
        <v>981.7366946779</v>
      </c>
    </row>
    <row r="74">
      <c r="A74" s="10" t="inlineStr">
        <is>
          <t>JIGOTT - Aura Secret Hyaluronec Acid Toner [300ml] / Тонер с гиалуроновой кислотой антивозрастной</t>
        </is>
      </c>
      <c r="B74" s="11" t="inlineStr">
        <is>
          <t>Средства для ухода за лицом</t>
        </is>
      </c>
      <c r="C74" s="12" t="n">
        <v>424</v>
      </c>
      <c r="D74" s="12" t="n">
        <v>975</v>
      </c>
      <c r="E74" s="13" t="n">
        <v>0</v>
      </c>
      <c r="F74" s="5" t="n">
        <v>900</v>
      </c>
      <c r="G74" s="4" t="n">
        <v>0.45</v>
      </c>
      <c r="H74" s="14">
        <f>F74*(1-G74)</f>
        <v>495.0</v>
      </c>
      <c r="I74" s="14">
        <f>F74-F74*G74*$C$13</f>
        <v>495.0</v>
      </c>
      <c r="J74" s="5" t="n">
        <v>265.36</v>
      </c>
      <c r="K74" s="14">
        <f>$C$12</f>
        <v>60.0</v>
      </c>
      <c r="L74" s="14">
        <f>J74+K74</f>
        <v>325.36</v>
      </c>
      <c r="M74" s="15">
        <f>IF($C$14=1,0.4,$C$15)</f>
        <v>0.4</v>
      </c>
      <c r="N74" s="14">
        <f>H74*M74</f>
        <v>198.0</v>
      </c>
      <c r="O74" s="14">
        <f>IF($C$14=2,MIN(H74*$C$16,$C$17),0)</f>
        <v>0.0</v>
      </c>
      <c r="P74" s="16" t="n">
        <v>0.93</v>
      </c>
      <c r="Q74" s="14">
        <f>IF($C$14=2,P74*$C$18,0)</f>
        <v>0.0</v>
      </c>
      <c r="R74" s="14">
        <f>MIN(MAX(H74*$C$7,$C$8),$C$9)</f>
        <v>25.0</v>
      </c>
      <c r="S74" s="14">
        <f>H74*$C$5+$C$6</f>
        <v>11.505</v>
      </c>
      <c r="T74" s="14">
        <f>$C$10*$C$11*P74</f>
        <v>0.0</v>
      </c>
      <c r="U74" s="4" t="n">
        <v>0.9</v>
      </c>
      <c r="V74" s="14">
        <f>IF($C$14=2,(1-U74)*($C$19+$C$20),0)</f>
        <v>0.0</v>
      </c>
      <c r="W74" s="14">
        <f>H74*$C$21</f>
        <v>0.0</v>
      </c>
      <c r="X74" s="14">
        <f>I74*$C$4</f>
        <v>34.65</v>
      </c>
      <c r="Y74" s="4" t="n">
        <v>0.15</v>
      </c>
      <c r="Z74" s="14">
        <f>H74*Y74</f>
        <v>74.25</v>
      </c>
      <c r="AA74" s="14">
        <f>I74-N74-O74-Q74-R74-S74-T74-V74-W74-X74-L74</f>
        <v>-99.515</v>
      </c>
      <c r="AB74" s="14">
        <f>AA74-Z74</f>
        <v>-173.765</v>
      </c>
      <c r="AC74" s="15">
        <f>IFERROR(AB74/H74,0)</f>
        <v>-0.351040404</v>
      </c>
      <c r="AD74" s="15">
        <f>IFERROR(AB74/L74,0)</f>
        <v>-0.5340699533</v>
      </c>
      <c r="AE74" s="14">
        <f>IFERROR((L74+R74+T74+Q74+V74+$C$6)/(((1-G74*$C$13)/(1-G74))-(M74+$C$5+Y74+$C$21+IF($C$14=2,$C$16,0))-$C$4*((1-G74*$C$13)/(1-G74))),0)</f>
        <v>981.7366946779</v>
      </c>
    </row>
    <row r="75">
      <c r="A75" s="10" t="inlineStr">
        <is>
          <t>JIGOTT - Moisture Real Aloe Vera Toner [300ml] / Тонер для лица увлажняющий с экстрактом алоэ</t>
        </is>
      </c>
      <c r="B75" s="11" t="inlineStr">
        <is>
          <t>Средства для ухода за лицом</t>
        </is>
      </c>
      <c r="C75" s="12" t="n">
        <v>356</v>
      </c>
      <c r="D75" s="12" t="n">
        <v>1100</v>
      </c>
      <c r="E75" s="13" t="n">
        <v>8</v>
      </c>
      <c r="F75" s="5" t="n">
        <v>1000</v>
      </c>
      <c r="G75" s="4" t="n">
        <v>0.45</v>
      </c>
      <c r="H75" s="14">
        <f>F75*(1-G75)</f>
        <v>550.0</v>
      </c>
      <c r="I75" s="14">
        <f>F75-F75*G75*$C$13</f>
        <v>550.0</v>
      </c>
      <c r="J75" s="5" t="n">
        <v>265.36</v>
      </c>
      <c r="K75" s="14">
        <f>$C$12</f>
        <v>60.0</v>
      </c>
      <c r="L75" s="14">
        <f>J75+K75</f>
        <v>325.36</v>
      </c>
      <c r="M75" s="15">
        <f>IF($C$14=1,0.4,$C$15)</f>
        <v>0.4</v>
      </c>
      <c r="N75" s="14">
        <f>H75*M75</f>
        <v>220.0</v>
      </c>
      <c r="O75" s="14">
        <f>IF($C$14=2,MIN(H75*$C$16,$C$17),0)</f>
        <v>0.0</v>
      </c>
      <c r="P75" s="16" t="n">
        <v>0.93</v>
      </c>
      <c r="Q75" s="14">
        <f>IF($C$14=2,P75*$C$18,0)</f>
        <v>0.0</v>
      </c>
      <c r="R75" s="14">
        <f>MIN(MAX(H75*$C$7,$C$8),$C$9)</f>
        <v>25.0</v>
      </c>
      <c r="S75" s="14">
        <f>H75*$C$5+$C$6</f>
        <v>12.77</v>
      </c>
      <c r="T75" s="14">
        <f>$C$10*$C$11*P75</f>
        <v>0.0</v>
      </c>
      <c r="U75" s="4" t="n">
        <v>0.9</v>
      </c>
      <c r="V75" s="14">
        <f>IF($C$14=2,(1-U75)*($C$19+$C$20),0)</f>
        <v>0.0</v>
      </c>
      <c r="W75" s="14">
        <f>H75*$C$21</f>
        <v>0.0</v>
      </c>
      <c r="X75" s="14">
        <f>I75*$C$4</f>
        <v>38.5</v>
      </c>
      <c r="Y75" s="4" t="n">
        <v>0.15</v>
      </c>
      <c r="Z75" s="14">
        <f>H75*Y75</f>
        <v>82.5</v>
      </c>
      <c r="AA75" s="14">
        <f>I75-N75-O75-Q75-R75-S75-T75-V75-W75-X75-L75</f>
        <v>-71.63</v>
      </c>
      <c r="AB75" s="14">
        <f>AA75-Z75</f>
        <v>-154.13</v>
      </c>
      <c r="AC75" s="15">
        <f>IFERROR(AB75/H75,0)</f>
        <v>-0.2802363636</v>
      </c>
      <c r="AD75" s="15">
        <f>IFERROR(AB75/L75,0)</f>
        <v>-0.4737214163</v>
      </c>
      <c r="AE75" s="14">
        <f>IFERROR((L75+R75+T75+Q75+V75+$C$6)/(((1-G75*$C$13)/(1-G75))-(M75+$C$5+Y75+$C$21+IF($C$14=2,$C$16,0))-$C$4*((1-G75*$C$13)/(1-G75))),0)</f>
        <v>981.7366946779</v>
      </c>
    </row>
    <row r="76">
      <c r="A76" s="8" t="inlineStr">
        <is>
          <t>Косметика/JMSOLUTION/JM-MASKPACKBLACK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</row>
    <row r="77">
      <c r="A77" s="10" t="inlineStr">
        <is>
          <t>JMSOLUTION - MASK PACK BLACK [30ml*10ea] - ассорти набор 10шт в упаковке</t>
        </is>
      </c>
      <c r="B77" s="11" t="inlineStr">
        <is>
          <t>Маски для лица</t>
        </is>
      </c>
      <c r="C77" s="12" t="n">
        <v>1039</v>
      </c>
      <c r="D77" s="12" t="n">
        <v>2340</v>
      </c>
      <c r="E77" s="13" t="n">
        <v>4</v>
      </c>
      <c r="F77" s="5" t="n">
        <v>2086</v>
      </c>
      <c r="G77" s="4" t="n">
        <v>0.45</v>
      </c>
      <c r="H77" s="14">
        <f>F77*(1-G77)</f>
        <v>1147.3</v>
      </c>
      <c r="I77" s="14">
        <f>F77-F77*G77*$C$13</f>
        <v>1147.3</v>
      </c>
      <c r="J77" s="5" t="n">
        <v>463.2</v>
      </c>
      <c r="K77" s="14">
        <f>$C$12</f>
        <v>60.0</v>
      </c>
      <c r="L77" s="14">
        <f>J77+K77</f>
        <v>523.2</v>
      </c>
      <c r="M77" s="15">
        <f>IF($C$14=1,0.41,$C$15)</f>
        <v>0.41</v>
      </c>
      <c r="N77" s="14">
        <f>H77*M77</f>
        <v>470.393</v>
      </c>
      <c r="O77" s="14">
        <f>IF($C$14=2,MIN(H77*$C$16,$C$17),0)</f>
        <v>0.0</v>
      </c>
      <c r="P77" s="16" t="n">
        <v>1.25</v>
      </c>
      <c r="Q77" s="14">
        <f>IF($C$14=2,P77*$C$18,0)</f>
        <v>0.0</v>
      </c>
      <c r="R77" s="14">
        <f>MIN(MAX(H77*$C$7,$C$8),$C$9)</f>
        <v>45.892</v>
      </c>
      <c r="S77" s="14">
        <f>H77*$C$5+$C$6</f>
        <v>26.5079</v>
      </c>
      <c r="T77" s="14">
        <f>$C$10*$C$11*P77</f>
        <v>0.0</v>
      </c>
      <c r="U77" s="4" t="n">
        <v>0.9</v>
      </c>
      <c r="V77" s="14">
        <f>IF($C$14=2,(1-U77)*($C$19+$C$20),0)</f>
        <v>0.0</v>
      </c>
      <c r="W77" s="14">
        <f>H77*$C$21</f>
        <v>0.0</v>
      </c>
      <c r="X77" s="14">
        <f>I77*$C$4</f>
        <v>80.311</v>
      </c>
      <c r="Y77" s="4" t="n">
        <v>0.15</v>
      </c>
      <c r="Z77" s="14">
        <f>H77*Y77</f>
        <v>172.095</v>
      </c>
      <c r="AA77" s="14">
        <f>I77-N77-O77-Q77-R77-S77-T77-V77-W77-X77-L77</f>
        <v>0.9961</v>
      </c>
      <c r="AB77" s="14">
        <f>AA77-Z77</f>
        <v>-171.0989</v>
      </c>
      <c r="AC77" s="15">
        <f>IFERROR(AB77/H77,0)</f>
        <v>-0.1491317877</v>
      </c>
      <c r="AD77" s="15">
        <f>IFERROR(AB77/L77,0)</f>
        <v>-0.3270238914</v>
      </c>
      <c r="AE77" s="14">
        <f>IFERROR((L77+R77+T77+Q77+V77+$C$6)/(((1-G77*$C$13)/(1-G77))-(M77+$C$5+Y77+$C$21+IF($C$14=2,$C$16,0))-$C$4*((1-G77*$C$13)/(1-G77))),0)</f>
        <v>1640.3804034582</v>
      </c>
    </row>
    <row r="78">
      <c r="A78" s="8" t="inlineStr">
        <is>
          <t>Косметика/JMSOLUTION/JM-MASKPACKDISNEY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</row>
    <row r="79">
      <c r="A79" s="10" t="inlineStr">
        <is>
          <t>JMSOLUTION - MASK PACK DISNEY [30ml*10ea] - ассорти набор из 10шт</t>
        </is>
      </c>
      <c r="B79" s="11" t="inlineStr">
        <is>
          <t>Маски для лица</t>
        </is>
      </c>
      <c r="C79" s="12" t="n">
        <v>835</v>
      </c>
      <c r="D79" s="12" t="n"/>
      <c r="E79" s="13" t="n"/>
      <c r="F79" s="5" t="n">
        <v>2086</v>
      </c>
      <c r="G79" s="4" t="n">
        <v>0.45</v>
      </c>
      <c r="H79" s="14">
        <f>F79*(1-G79)</f>
        <v>1147.3</v>
      </c>
      <c r="I79" s="14">
        <f>F79-F79*G79*$C$13</f>
        <v>1147.3</v>
      </c>
      <c r="J79" s="5" t="n">
        <v>463.2</v>
      </c>
      <c r="K79" s="14">
        <f>$C$12</f>
        <v>60.0</v>
      </c>
      <c r="L79" s="14">
        <f>J79+K79</f>
        <v>523.2</v>
      </c>
      <c r="M79" s="15">
        <f>IF($C$14=1,0.41,$C$15)</f>
        <v>0.41</v>
      </c>
      <c r="N79" s="14">
        <f>H79*M79</f>
        <v>470.393</v>
      </c>
      <c r="O79" s="14">
        <f>IF($C$14=2,MIN(H79*$C$16,$C$17),0)</f>
        <v>0.0</v>
      </c>
      <c r="P79" s="16" t="n">
        <v>1.25</v>
      </c>
      <c r="Q79" s="14">
        <f>IF($C$14=2,P79*$C$18,0)</f>
        <v>0.0</v>
      </c>
      <c r="R79" s="14">
        <f>MIN(MAX(H79*$C$7,$C$8),$C$9)</f>
        <v>45.892</v>
      </c>
      <c r="S79" s="14">
        <f>H79*$C$5+$C$6</f>
        <v>26.5079</v>
      </c>
      <c r="T79" s="14">
        <f>$C$10*$C$11*P79</f>
        <v>0.0</v>
      </c>
      <c r="U79" s="4" t="n">
        <v>0.9</v>
      </c>
      <c r="V79" s="14">
        <f>IF($C$14=2,(1-U79)*($C$19+$C$20),0)</f>
        <v>0.0</v>
      </c>
      <c r="W79" s="14">
        <f>H79*$C$21</f>
        <v>0.0</v>
      </c>
      <c r="X79" s="14">
        <f>I79*$C$4</f>
        <v>80.311</v>
      </c>
      <c r="Y79" s="4" t="n">
        <v>0.15</v>
      </c>
      <c r="Z79" s="14">
        <f>H79*Y79</f>
        <v>172.095</v>
      </c>
      <c r="AA79" s="14">
        <f>I79-N79-O79-Q79-R79-S79-T79-V79-W79-X79-L79</f>
        <v>0.9961</v>
      </c>
      <c r="AB79" s="14">
        <f>AA79-Z79</f>
        <v>-171.0989</v>
      </c>
      <c r="AC79" s="15">
        <f>IFERROR(AB79/H79,0)</f>
        <v>-0.1491317877</v>
      </c>
      <c r="AD79" s="15">
        <f>IFERROR(AB79/L79,0)</f>
        <v>-0.3270238914</v>
      </c>
      <c r="AE79" s="14">
        <f>IFERROR((L79+R79+T79+Q79+V79+$C$6)/(((1-G79*$C$13)/(1-G79))-(M79+$C$5+Y79+$C$21+IF($C$14=2,$C$16,0))-$C$4*((1-G79*$C$13)/(1-G79))),0)</f>
        <v>1640.3804034582</v>
      </c>
    </row>
    <row r="80">
      <c r="A80" s="8" t="inlineStr">
        <is>
          <t>Косметика/LEBELAGE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</row>
    <row r="81">
      <c r="A81" s="10" t="inlineStr">
        <is>
          <t>LEBELAGE - Dr. Peptide Derma Eye Cream [40ml] / Крем для глаз антивозрастной с пептидами</t>
        </is>
      </c>
      <c r="B81" s="11" t="inlineStr">
        <is>
          <t>Уход за кожей вокруг глаз</t>
        </is>
      </c>
      <c r="C81" s="12" t="n">
        <v>410</v>
      </c>
      <c r="D81" s="12" t="n">
        <v>667</v>
      </c>
      <c r="E81" s="13" t="n">
        <v>22</v>
      </c>
      <c r="F81" s="5" t="n">
        <v>600</v>
      </c>
      <c r="G81" s="4" t="n">
        <v>0.45</v>
      </c>
      <c r="H81" s="14">
        <f>F81*(1-G81)</f>
        <v>330.0</v>
      </c>
      <c r="I81" s="14">
        <f>F81-F81*G81*$C$13</f>
        <v>330.0</v>
      </c>
      <c r="J81" s="5" t="n">
        <v>108.15</v>
      </c>
      <c r="K81" s="14">
        <f>$C$12</f>
        <v>60.0</v>
      </c>
      <c r="L81" s="14">
        <f>J81+K81</f>
        <v>168.15</v>
      </c>
      <c r="M81" s="15">
        <f>IF($C$14=1,0.41,$C$15)</f>
        <v>0.41</v>
      </c>
      <c r="N81" s="14">
        <f>H81*M81</f>
        <v>135.3</v>
      </c>
      <c r="O81" s="14">
        <f>IF($C$14=2,MIN(H81*$C$16,$C$17),0)</f>
        <v>0.0</v>
      </c>
      <c r="P81" s="16" t="n">
        <v>0.27</v>
      </c>
      <c r="Q81" s="14">
        <f>IF($C$14=2,P81*$C$18,0)</f>
        <v>0.0</v>
      </c>
      <c r="R81" s="14">
        <f>MIN(MAX(H81*$C$7,$C$8),$C$9)</f>
        <v>25.0</v>
      </c>
      <c r="S81" s="14">
        <f>H81*$C$5+$C$6</f>
        <v>7.71</v>
      </c>
      <c r="T81" s="14">
        <f>$C$10*$C$11*P81</f>
        <v>0.0</v>
      </c>
      <c r="U81" s="4" t="n">
        <v>0.9</v>
      </c>
      <c r="V81" s="14">
        <f>IF($C$14=2,(1-U81)*($C$19+$C$20),0)</f>
        <v>0.0</v>
      </c>
      <c r="W81" s="14">
        <f>H81*$C$21</f>
        <v>0.0</v>
      </c>
      <c r="X81" s="14">
        <f>I81*$C$4</f>
        <v>23.1</v>
      </c>
      <c r="Y81" s="4" t="n">
        <v>0.15</v>
      </c>
      <c r="Z81" s="14">
        <f>H81*Y81</f>
        <v>49.5</v>
      </c>
      <c r="AA81" s="14">
        <f>I81-N81-O81-Q81-R81-S81-T81-V81-W81-X81-L81</f>
        <v>-29.26</v>
      </c>
      <c r="AB81" s="14">
        <f>AA81-Z81</f>
        <v>-78.76</v>
      </c>
      <c r="AC81" s="15">
        <f>IFERROR(AB81/H81,0)</f>
        <v>-0.2386666667</v>
      </c>
      <c r="AD81" s="15">
        <f>IFERROR(AB81/L81,0)</f>
        <v>-0.4683913173</v>
      </c>
      <c r="AE81" s="14">
        <f>IFERROR((L81+R81+T81+Q81+V81+$C$6)/(((1-G81*$C$13)/(1-G81))-(M81+$C$5+Y81+$C$21+IF($C$14=2,$C$16,0))-$C$4*((1-G81*$C$13)/(1-G81))),0)</f>
        <v>556.9740634006</v>
      </c>
    </row>
    <row r="82">
      <c r="A82" s="8" t="inlineStr">
        <is>
          <t>Косметика/LANEIGE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</row>
    <row r="83">
      <c r="A83" s="10" t="inlineStr">
        <is>
          <t>LANEIGE LIP SLEEPING MASK-BERRY [3g]</t>
        </is>
      </c>
      <c r="B83" s="11" t="inlineStr">
        <is>
          <t>Уход за кожей губ</t>
        </is>
      </c>
      <c r="C83" s="12" t="n">
        <v>341</v>
      </c>
      <c r="D83" s="12" t="n">
        <v>1470</v>
      </c>
      <c r="E83" s="13" t="n">
        <v>10</v>
      </c>
      <c r="F83" s="5" t="n">
        <v>890.0671214</v>
      </c>
      <c r="G83" s="4" t="n">
        <v>0.45</v>
      </c>
      <c r="H83" s="14">
        <f>F83*(1-G83)</f>
        <v>489.53691677</v>
      </c>
      <c r="I83" s="14">
        <f>F83-F83*G83*$C$13</f>
        <v>489.53691677</v>
      </c>
      <c r="J83" s="5" t="n">
        <v>130.86</v>
      </c>
      <c r="K83" s="14">
        <f>$C$12</f>
        <v>60.0</v>
      </c>
      <c r="L83" s="14">
        <f>J83+K83</f>
        <v>190.86</v>
      </c>
      <c r="M83" s="15">
        <f>IF($C$14=1,0.4,$C$15)</f>
        <v>0.4</v>
      </c>
      <c r="N83" s="14">
        <f>H83*M83</f>
        <v>195.814766708</v>
      </c>
      <c r="O83" s="14">
        <f>IF($C$14=2,MIN(H83*$C$16,$C$17),0)</f>
        <v>0.0</v>
      </c>
      <c r="P83" s="16" t="n">
        <v>0.2</v>
      </c>
      <c r="Q83" s="14">
        <f>IF($C$14=2,P83*$C$18,0)</f>
        <v>0.0</v>
      </c>
      <c r="R83" s="14">
        <f>MIN(MAX(H83*$C$7,$C$8),$C$9)</f>
        <v>25.0</v>
      </c>
      <c r="S83" s="14">
        <f>H83*$C$5+$C$6</f>
        <v>11.3793490857</v>
      </c>
      <c r="T83" s="14">
        <f>$C$10*$C$11*P83</f>
        <v>0.0</v>
      </c>
      <c r="U83" s="4" t="n">
        <v>0.9</v>
      </c>
      <c r="V83" s="14">
        <f>IF($C$14=2,(1-U83)*($C$19+$C$20),0)</f>
        <v>0.0</v>
      </c>
      <c r="W83" s="14">
        <f>H83*$C$21</f>
        <v>0.0</v>
      </c>
      <c r="X83" s="14">
        <f>I83*$C$4</f>
        <v>34.2675841739</v>
      </c>
      <c r="Y83" s="4" t="n">
        <v>0.15</v>
      </c>
      <c r="Z83" s="14">
        <f>H83*Y83</f>
        <v>73.4305375155</v>
      </c>
      <c r="AA83" s="14">
        <f>I83-N83-O83-Q83-R83-S83-T83-V83-W83-X83-L83</f>
        <v>32.2152168024</v>
      </c>
      <c r="AB83" s="14">
        <f>AA83-Z83</f>
        <v>-41.2153207131</v>
      </c>
      <c r="AC83" s="15">
        <f>IFERROR(AB83/H83,0)</f>
        <v>-0.084192467</v>
      </c>
      <c r="AD83" s="15">
        <f>IFERROR(AB83/L83,0)</f>
        <v>-0.215945304</v>
      </c>
      <c r="AE83" s="14">
        <f>IFERROR((L83+R83+T83+Q83+V83+$C$6)/(((1-G83*$C$13)/(1-G83))-(M83+$C$5+Y83+$C$21+IF($C$14=2,$C$16,0))-$C$4*((1-G83*$C$13)/(1-G83))),0)</f>
        <v>604.9859943978</v>
      </c>
    </row>
    <row r="84">
      <c r="A84" s="8" t="inlineStr">
        <is>
          <t>Косметика/MANYO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</row>
    <row r="85">
      <c r="A85" s="10" t="inlineStr">
        <is>
          <t>MANYO - Bifida Biome Complex Ampoule [50ml] / Антивозрастная сыворотка для лица</t>
        </is>
      </c>
      <c r="B85" s="11" t="inlineStr">
        <is>
          <t>Средства для ухода за лицом</t>
        </is>
      </c>
      <c r="C85" s="12" t="n">
        <v>1473</v>
      </c>
      <c r="D85" s="12" t="n">
        <v>5800</v>
      </c>
      <c r="E85" s="13" t="n">
        <v>0</v>
      </c>
      <c r="F85" s="5" t="n">
        <v>5500</v>
      </c>
      <c r="G85" s="4" t="n">
        <v>0.45</v>
      </c>
      <c r="H85" s="14">
        <f>F85*(1-G85)</f>
        <v>3025.0</v>
      </c>
      <c r="I85" s="14">
        <f>F85-F85*G85*$C$13</f>
        <v>3025.0</v>
      </c>
      <c r="J85" s="5" t="n">
        <v>899.78</v>
      </c>
      <c r="K85" s="14">
        <f>$C$12</f>
        <v>60.0</v>
      </c>
      <c r="L85" s="14">
        <f>J85+K85</f>
        <v>959.78</v>
      </c>
      <c r="M85" s="15">
        <f>IF($C$14=1,0.4,$C$15)</f>
        <v>0.4</v>
      </c>
      <c r="N85" s="14">
        <f>H85*M85</f>
        <v>1210.0</v>
      </c>
      <c r="O85" s="14">
        <f>IF($C$14=2,MIN(H85*$C$16,$C$17),0)</f>
        <v>0.0</v>
      </c>
      <c r="P85" s="16" t="n">
        <v>0.3</v>
      </c>
      <c r="Q85" s="14">
        <f>IF($C$14=2,P85*$C$18,0)</f>
        <v>0.0</v>
      </c>
      <c r="R85" s="14">
        <f>MIN(MAX(H85*$C$7,$C$8),$C$9)</f>
        <v>100.0</v>
      </c>
      <c r="S85" s="14">
        <f>H85*$C$5+$C$6</f>
        <v>69.695</v>
      </c>
      <c r="T85" s="14">
        <f>$C$10*$C$11*P85</f>
        <v>0.0</v>
      </c>
      <c r="U85" s="4" t="n">
        <v>0.9</v>
      </c>
      <c r="V85" s="14">
        <f>IF($C$14=2,(1-U85)*($C$19+$C$20),0)</f>
        <v>0.0</v>
      </c>
      <c r="W85" s="14">
        <f>H85*$C$21</f>
        <v>0.0</v>
      </c>
      <c r="X85" s="14">
        <f>I85*$C$4</f>
        <v>211.75</v>
      </c>
      <c r="Y85" s="4" t="n">
        <v>0.05</v>
      </c>
      <c r="Z85" s="14">
        <f>H85*Y85</f>
        <v>151.25</v>
      </c>
      <c r="AA85" s="14">
        <f>I85-N85-O85-Q85-R85-S85-T85-V85-W85-X85-L85</f>
        <v>473.775</v>
      </c>
      <c r="AB85" s="14">
        <f>AA85-Z85</f>
        <v>322.525</v>
      </c>
      <c r="AC85" s="15">
        <f>IFERROR(AB85/H85,0)</f>
        <v>0.1066198347</v>
      </c>
      <c r="AD85" s="15">
        <f>IFERROR(AB85/L85,0)</f>
        <v>0.336040551</v>
      </c>
      <c r="AE85" s="14">
        <f>IFERROR((L85+R85+T85+Q85+V85+$C$6)/(((1-G85*$C$13)/(1-G85))-(M85+$C$5+Y85+$C$21+IF($C$14=2,$C$16,0))-$C$4*((1-G85*$C$13)/(1-G85))),0)</f>
        <v>2319.2560175055</v>
      </c>
    </row>
    <row r="86">
      <c r="A86" s="10" t="inlineStr">
        <is>
          <t>MANYO - Galac Whitening Vita Serum [50ml] / Осветляющая сыворотка с Витамином C</t>
        </is>
      </c>
      <c r="B86" s="11" t="inlineStr">
        <is>
          <t>Средства для ухода за лицом</t>
        </is>
      </c>
      <c r="C86" s="12" t="n">
        <v>854</v>
      </c>
      <c r="D86" s="12" t="n">
        <v>4000</v>
      </c>
      <c r="E86" s="13" t="n">
        <v>0</v>
      </c>
      <c r="F86" s="5" t="n">
        <v>3700</v>
      </c>
      <c r="G86" s="4" t="n">
        <v>0.45</v>
      </c>
      <c r="H86" s="14">
        <f>F86*(1-G86)</f>
        <v>2035.0</v>
      </c>
      <c r="I86" s="14">
        <f>F86-F86*G86*$C$13</f>
        <v>2035.0</v>
      </c>
      <c r="J86" s="5" t="n">
        <v>646.83</v>
      </c>
      <c r="K86" s="14">
        <f>$C$12</f>
        <v>60.0</v>
      </c>
      <c r="L86" s="14">
        <f>J86+K86</f>
        <v>706.83</v>
      </c>
      <c r="M86" s="15">
        <f>IF($C$14=1,0.4,$C$15)</f>
        <v>0.4</v>
      </c>
      <c r="N86" s="14">
        <f>H86*M86</f>
        <v>814.0</v>
      </c>
      <c r="O86" s="14">
        <f>IF($C$14=2,MIN(H86*$C$16,$C$17),0)</f>
        <v>0.0</v>
      </c>
      <c r="P86" s="16" t="n">
        <v>0.19</v>
      </c>
      <c r="Q86" s="14">
        <f>IF($C$14=2,P86*$C$18,0)</f>
        <v>0.0</v>
      </c>
      <c r="R86" s="14">
        <f>MIN(MAX(H86*$C$7,$C$8),$C$9)</f>
        <v>81.4</v>
      </c>
      <c r="S86" s="14">
        <f>H86*$C$5+$C$6</f>
        <v>46.925</v>
      </c>
      <c r="T86" s="14">
        <f>$C$10*$C$11*P86</f>
        <v>0.0</v>
      </c>
      <c r="U86" s="4" t="n">
        <v>0.9</v>
      </c>
      <c r="V86" s="14">
        <f>IF($C$14=2,(1-U86)*($C$19+$C$20),0)</f>
        <v>0.0</v>
      </c>
      <c r="W86" s="14">
        <f>H86*$C$21</f>
        <v>0.0</v>
      </c>
      <c r="X86" s="14">
        <f>I86*$C$4</f>
        <v>142.45</v>
      </c>
      <c r="Y86" s="4" t="n">
        <v>0.05</v>
      </c>
      <c r="Z86" s="14">
        <f>H86*Y86</f>
        <v>101.75</v>
      </c>
      <c r="AA86" s="14">
        <f>I86-N86-O86-Q86-R86-S86-T86-V86-W86-X86-L86</f>
        <v>243.395</v>
      </c>
      <c r="AB86" s="14">
        <f>AA86-Z86</f>
        <v>141.645</v>
      </c>
      <c r="AC86" s="15">
        <f>IFERROR(AB86/H86,0)</f>
        <v>0.0696044226</v>
      </c>
      <c r="AD86" s="15">
        <f>IFERROR(AB86/L86,0)</f>
        <v>0.2003947201</v>
      </c>
      <c r="AE86" s="14">
        <f>IFERROR((L86+R86+T86+Q86+V86+$C$6)/(((1-G86*$C$13)/(1-G86))-(M86+$C$5+Y86+$C$21+IF($C$14=2,$C$16,0))-$C$4*((1-G86*$C$13)/(1-G86))),0)</f>
        <v>1725.0547045952</v>
      </c>
    </row>
    <row r="87">
      <c r="A87" s="10" t="inlineStr">
        <is>
          <t>MANYO - Bifida Biome Ampoule Lotion [300ml] / Укрепляющий лосьон с бифидобактериями</t>
        </is>
      </c>
      <c r="B87" s="11" t="inlineStr">
        <is>
          <t>Средства для ухода за лицом</t>
        </is>
      </c>
      <c r="C87" s="12" t="n">
        <v>756</v>
      </c>
      <c r="D87" s="12" t="n">
        <v>4000</v>
      </c>
      <c r="E87" s="13" t="n">
        <v>0</v>
      </c>
      <c r="F87" s="5" t="n">
        <v>3700</v>
      </c>
      <c r="G87" s="4" t="n">
        <v>0.45</v>
      </c>
      <c r="H87" s="14">
        <f>F87*(1-G87)</f>
        <v>2035.0</v>
      </c>
      <c r="I87" s="14">
        <f>F87-F87*G87*$C$13</f>
        <v>2035.0</v>
      </c>
      <c r="J87" s="5" t="n">
        <v>735.34</v>
      </c>
      <c r="K87" s="14">
        <f>$C$12</f>
        <v>60.0</v>
      </c>
      <c r="L87" s="14">
        <f>J87+K87</f>
        <v>795.34</v>
      </c>
      <c r="M87" s="15">
        <f>IF($C$14=1,0.4,$C$15)</f>
        <v>0.4</v>
      </c>
      <c r="N87" s="14">
        <f>H87*M87</f>
        <v>814.0</v>
      </c>
      <c r="O87" s="14">
        <f>IF($C$14=2,MIN(H87*$C$16,$C$17),0)</f>
        <v>0.0</v>
      </c>
      <c r="P87" s="16" t="n">
        <v>0.61</v>
      </c>
      <c r="Q87" s="14">
        <f>IF($C$14=2,P87*$C$18,0)</f>
        <v>0.0</v>
      </c>
      <c r="R87" s="14">
        <f>MIN(MAX(H87*$C$7,$C$8),$C$9)</f>
        <v>81.4</v>
      </c>
      <c r="S87" s="14">
        <f>H87*$C$5+$C$6</f>
        <v>46.925</v>
      </c>
      <c r="T87" s="14">
        <f>$C$10*$C$11*P87</f>
        <v>0.0</v>
      </c>
      <c r="U87" s="4" t="n">
        <v>0.9</v>
      </c>
      <c r="V87" s="14">
        <f>IF($C$14=2,(1-U87)*($C$19+$C$20),0)</f>
        <v>0.0</v>
      </c>
      <c r="W87" s="14">
        <f>H87*$C$21</f>
        <v>0.0</v>
      </c>
      <c r="X87" s="14">
        <f>I87*$C$4</f>
        <v>142.45</v>
      </c>
      <c r="Y87" s="4" t="n">
        <v>0.05</v>
      </c>
      <c r="Z87" s="14">
        <f>H87*Y87</f>
        <v>101.75</v>
      </c>
      <c r="AA87" s="14">
        <f>I87-N87-O87-Q87-R87-S87-T87-V87-W87-X87-L87</f>
        <v>154.885</v>
      </c>
      <c r="AB87" s="14">
        <f>AA87-Z87</f>
        <v>53.135</v>
      </c>
      <c r="AC87" s="15">
        <f>IFERROR(AB87/H87,0)</f>
        <v>0.0261105651</v>
      </c>
      <c r="AD87" s="15">
        <f>IFERROR(AB87/L87,0)</f>
        <v>0.0668079061</v>
      </c>
      <c r="AE87" s="14">
        <f>IFERROR((L87+R87+T87+Q87+V87+$C$6)/(((1-G87*$C$13)/(1-G87))-(M87+$C$5+Y87+$C$21+IF($C$14=2,$C$16,0))-$C$4*((1-G87*$C$13)/(1-G87))),0)</f>
        <v>1918.7308533917</v>
      </c>
    </row>
    <row r="88">
      <c r="A88" s="10" t="inlineStr">
        <is>
          <t>MANYO - Pure Cleansing Oil [200ml] / Гидрофильное масло для глубокого очищения</t>
        </is>
      </c>
      <c r="B88" s="11" t="inlineStr">
        <is>
          <t>Средства для снятия макияжа</t>
        </is>
      </c>
      <c r="C88" s="12" t="n">
        <v>243</v>
      </c>
      <c r="D88" s="12" t="n">
        <v>4000</v>
      </c>
      <c r="E88" s="13" t="n">
        <v>0</v>
      </c>
      <c r="F88" s="5" t="n">
        <v>3700</v>
      </c>
      <c r="G88" s="4" t="n">
        <v>0.45</v>
      </c>
      <c r="H88" s="14">
        <f>F88*(1-G88)</f>
        <v>2035.0</v>
      </c>
      <c r="I88" s="14">
        <f>F88-F88*G88*$C$13</f>
        <v>2035.0</v>
      </c>
      <c r="J88" s="5" t="n">
        <v>853</v>
      </c>
      <c r="K88" s="14">
        <f>$C$12</f>
        <v>60.0</v>
      </c>
      <c r="L88" s="14">
        <f>J88+K88</f>
        <v>913.0</v>
      </c>
      <c r="M88" s="15">
        <f>IF($C$14=1,0.41,$C$15)</f>
        <v>0.41</v>
      </c>
      <c r="N88" s="14">
        <f>H88*M88</f>
        <v>834.35</v>
      </c>
      <c r="O88" s="14">
        <f>IF($C$14=2,MIN(H88*$C$16,$C$17),0)</f>
        <v>0.0</v>
      </c>
      <c r="P88" s="16" t="n">
        <v>0.5</v>
      </c>
      <c r="Q88" s="14">
        <f>IF($C$14=2,P88*$C$18,0)</f>
        <v>0.0</v>
      </c>
      <c r="R88" s="14">
        <f>MIN(MAX(H88*$C$7,$C$8),$C$9)</f>
        <v>81.4</v>
      </c>
      <c r="S88" s="14">
        <f>H88*$C$5+$C$6</f>
        <v>46.925</v>
      </c>
      <c r="T88" s="14">
        <f>$C$10*$C$11*P88</f>
        <v>0.0</v>
      </c>
      <c r="U88" s="4" t="n">
        <v>0.9</v>
      </c>
      <c r="V88" s="14">
        <f>IF($C$14=2,(1-U88)*($C$19+$C$20),0)</f>
        <v>0.0</v>
      </c>
      <c r="W88" s="14">
        <f>H88*$C$21</f>
        <v>0.0</v>
      </c>
      <c r="X88" s="14">
        <f>I88*$C$4</f>
        <v>142.45</v>
      </c>
      <c r="Y88" s="4" t="n">
        <v>0.05</v>
      </c>
      <c r="Z88" s="14">
        <f>H88*Y88</f>
        <v>101.75</v>
      </c>
      <c r="AA88" s="14">
        <f>I88-N88-O88-Q88-R88-S88-T88-V88-W88-X88-L88</f>
        <v>16.875</v>
      </c>
      <c r="AB88" s="14">
        <f>AA88-Z88</f>
        <v>-84.875</v>
      </c>
      <c r="AC88" s="15">
        <f>IFERROR(AB88/H88,0)</f>
        <v>-0.0417076167</v>
      </c>
      <c r="AD88" s="15">
        <f>IFERROR(AB88/L88,0)</f>
        <v>-0.0929627601</v>
      </c>
      <c r="AE88" s="14">
        <f>IFERROR((L88+R88+T88+Q88+V88+$C$6)/(((1-G88*$C$13)/(1-G88))-(M88+$C$5+Y88+$C$21+IF($C$14=2,$C$16,0))-$C$4*((1-G88*$C$13)/(1-G88))),0)</f>
        <v>2224.8769574944</v>
      </c>
    </row>
    <row r="89">
      <c r="A89" s="10" t="inlineStr">
        <is>
          <t>MANYO BIFIDA COMPLEX AMPOULE GEL CLEANSER [400ml] / Гель для умывания с бифидобактериями</t>
        </is>
      </c>
      <c r="B89" s="11" t="inlineStr">
        <is>
          <t>Средства для умывания</t>
        </is>
      </c>
      <c r="C89" s="12" t="n">
        <v>814</v>
      </c>
      <c r="D89" s="12" t="n">
        <v>4800</v>
      </c>
      <c r="E89" s="13" t="n">
        <v>0</v>
      </c>
      <c r="F89" s="5" t="n">
        <v>4500</v>
      </c>
      <c r="G89" s="4" t="n">
        <v>0.45</v>
      </c>
      <c r="H89" s="14">
        <f>F89*(1-G89)</f>
        <v>2475.0</v>
      </c>
      <c r="I89" s="14">
        <f>F89-F89*G89*$C$13</f>
        <v>2475.0</v>
      </c>
      <c r="J89" s="5" t="n">
        <v>650</v>
      </c>
      <c r="K89" s="14">
        <f>$C$12</f>
        <v>60.0</v>
      </c>
      <c r="L89" s="14">
        <f>J89+K89</f>
        <v>710.0</v>
      </c>
      <c r="M89" s="15">
        <f>IF($C$14=1,0.41,$C$15)</f>
        <v>0.41</v>
      </c>
      <c r="N89" s="14">
        <f>H89*M89</f>
        <v>1014.75</v>
      </c>
      <c r="O89" s="14">
        <f>IF($C$14=2,MIN(H89*$C$16,$C$17),0)</f>
        <v>0.0</v>
      </c>
      <c r="P89" s="16" t="n">
        <v>0.931</v>
      </c>
      <c r="Q89" s="14">
        <f>IF($C$14=2,P89*$C$18,0)</f>
        <v>0.0</v>
      </c>
      <c r="R89" s="14">
        <f>MIN(MAX(H89*$C$7,$C$8),$C$9)</f>
        <v>99.0</v>
      </c>
      <c r="S89" s="14">
        <f>H89*$C$5+$C$6</f>
        <v>57.045</v>
      </c>
      <c r="T89" s="14">
        <f>$C$10*$C$11*P89</f>
        <v>0.0</v>
      </c>
      <c r="U89" s="4" t="n">
        <v>0.9</v>
      </c>
      <c r="V89" s="14">
        <f>IF($C$14=2,(1-U89)*($C$19+$C$20),0)</f>
        <v>0.0</v>
      </c>
      <c r="W89" s="14">
        <f>H89*$C$21</f>
        <v>0.0</v>
      </c>
      <c r="X89" s="14">
        <f>I89*$C$4</f>
        <v>173.25</v>
      </c>
      <c r="Y89" s="4" t="n">
        <v>0.05</v>
      </c>
      <c r="Z89" s="14">
        <f>H89*Y89</f>
        <v>123.75</v>
      </c>
      <c r="AA89" s="14">
        <f>I89-N89-O89-Q89-R89-S89-T89-V89-W89-X89-L89</f>
        <v>420.955</v>
      </c>
      <c r="AB89" s="14">
        <f>AA89-Z89</f>
        <v>297.205</v>
      </c>
      <c r="AC89" s="15">
        <f>IFERROR(AB89/H89,0)</f>
        <v>0.1200828283</v>
      </c>
      <c r="AD89" s="15">
        <f>IFERROR(AB89/L89,0)</f>
        <v>0.4185985915</v>
      </c>
      <c r="AE89" s="14">
        <f>IFERROR((L89+R89+T89+Q89+V89+$C$6)/(((1-G89*$C$13)/(1-G89))-(M89+$C$5+Y89+$C$21+IF($C$14=2,$C$16,0))-$C$4*((1-G89*$C$13)/(1-G89))),0)</f>
        <v>1810.1118568233</v>
      </c>
    </row>
    <row r="90">
      <c r="A90" s="10" t="inlineStr">
        <is>
          <t>MANYO BIFIDA INFUSION SHOT AMPOULE 1DX [50ml] / Сыворотка с микроиглами и пробиотиками</t>
        </is>
      </c>
      <c r="B90" s="11" t="inlineStr">
        <is>
          <t>Средства для ухода за лицом</t>
        </is>
      </c>
      <c r="C90" s="12" t="n">
        <v>786</v>
      </c>
      <c r="D90" s="12" t="n">
        <v>3800</v>
      </c>
      <c r="E90" s="13" t="n">
        <v>0</v>
      </c>
      <c r="F90" s="5" t="n">
        <v>3500</v>
      </c>
      <c r="G90" s="4" t="n">
        <v>0.45</v>
      </c>
      <c r="H90" s="14">
        <f>F90*(1-G90)</f>
        <v>1925.0</v>
      </c>
      <c r="I90" s="14">
        <f>F90-F90*G90*$C$13</f>
        <v>1925.0</v>
      </c>
      <c r="J90" s="5" t="n">
        <v>899.78</v>
      </c>
      <c r="K90" s="14">
        <f>$C$12</f>
        <v>60.0</v>
      </c>
      <c r="L90" s="14">
        <f>J90+K90</f>
        <v>959.78</v>
      </c>
      <c r="M90" s="15">
        <f>IF($C$14=1,0.4,$C$15)</f>
        <v>0.4</v>
      </c>
      <c r="N90" s="14">
        <f>H90*M90</f>
        <v>770.0</v>
      </c>
      <c r="O90" s="14">
        <f>IF($C$14=2,MIN(H90*$C$16,$C$17),0)</f>
        <v>0.0</v>
      </c>
      <c r="P90" s="16" t="n">
        <v>0.3</v>
      </c>
      <c r="Q90" s="14">
        <f>IF($C$14=2,P90*$C$18,0)</f>
        <v>0.0</v>
      </c>
      <c r="R90" s="14">
        <f>MIN(MAX(H90*$C$7,$C$8),$C$9)</f>
        <v>77.0</v>
      </c>
      <c r="S90" s="14">
        <f>H90*$C$5+$C$6</f>
        <v>44.395</v>
      </c>
      <c r="T90" s="14">
        <f>$C$10*$C$11*P90</f>
        <v>0.0</v>
      </c>
      <c r="U90" s="4" t="n">
        <v>0.9</v>
      </c>
      <c r="V90" s="14">
        <f>IF($C$14=2,(1-U90)*($C$19+$C$20),0)</f>
        <v>0.0</v>
      </c>
      <c r="W90" s="14">
        <f>H90*$C$21</f>
        <v>0.0</v>
      </c>
      <c r="X90" s="14">
        <f>I90*$C$4</f>
        <v>134.75</v>
      </c>
      <c r="Y90" s="4" t="n">
        <v>0.05</v>
      </c>
      <c r="Z90" s="14">
        <f>H90*Y90</f>
        <v>96.25</v>
      </c>
      <c r="AA90" s="14">
        <f>I90-N90-O90-Q90-R90-S90-T90-V90-W90-X90-L90</f>
        <v>-60.925</v>
      </c>
      <c r="AB90" s="14">
        <f>AA90-Z90</f>
        <v>-157.175</v>
      </c>
      <c r="AC90" s="15">
        <f>IFERROR(AB90/H90,0)</f>
        <v>-0.0816493506</v>
      </c>
      <c r="AD90" s="15">
        <f>IFERROR(AB90/L90,0)</f>
        <v>-0.163761487</v>
      </c>
      <c r="AE90" s="14">
        <f>IFERROR((L90+R90+T90+Q90+V90+$C$6)/(((1-G90*$C$13)/(1-G90))-(M90+$C$5+Y90+$C$21+IF($C$14=2,$C$16,0))-$C$4*((1-G90*$C$13)/(1-G90))),0)</f>
        <v>2268.9277899344</v>
      </c>
    </row>
    <row r="91">
      <c r="A91" s="8" t="inlineStr">
        <is>
          <t>Косметика/MASIL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</row>
    <row r="92">
      <c r="A92" s="8" t="inlineStr">
        <is>
          <t>Косметика/PETITFEE/PETITFEE-EYEPATCH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</row>
    <row r="93">
      <c r="A93" s="10" t="inlineStr">
        <is>
          <t>PETITFEE - Collagen &amp; CoQ10 Hydrogel Eye Patch [60ea] / Гидрогелевые патчи для глаз с коллагеном и коэнзимом Q10</t>
        </is>
      </c>
      <c r="B93" s="11" t="inlineStr">
        <is>
          <t>Уход за кожей вокруг глаз</t>
        </is>
      </c>
      <c r="C93" s="12" t="n">
        <v>1008</v>
      </c>
      <c r="D93" s="12" t="n">
        <v>1818</v>
      </c>
      <c r="E93" s="13" t="n">
        <v>16</v>
      </c>
      <c r="F93" s="5" t="n">
        <v>1700</v>
      </c>
      <c r="G93" s="4" t="n">
        <v>0.45</v>
      </c>
      <c r="H93" s="14">
        <f>F93*(1-G93)</f>
        <v>935.0</v>
      </c>
      <c r="I93" s="14">
        <f>F93-F93*G93*$C$13</f>
        <v>935.0</v>
      </c>
      <c r="J93" s="5" t="n">
        <v>385.05</v>
      </c>
      <c r="K93" s="14">
        <f>$C$12</f>
        <v>60.0</v>
      </c>
      <c r="L93" s="14">
        <f>J93+K93</f>
        <v>445.05</v>
      </c>
      <c r="M93" s="15">
        <f>IF($C$14=1,0.41,$C$15)</f>
        <v>0.41</v>
      </c>
      <c r="N93" s="14">
        <f>H93*M93</f>
        <v>383.35</v>
      </c>
      <c r="O93" s="14">
        <f>IF($C$14=2,MIN(H93*$C$16,$C$17),0)</f>
        <v>0.0</v>
      </c>
      <c r="P93" s="16" t="n">
        <v>0.6</v>
      </c>
      <c r="Q93" s="14">
        <f>IF($C$14=2,P93*$C$18,0)</f>
        <v>0.0</v>
      </c>
      <c r="R93" s="14">
        <f>MIN(MAX(H93*$C$7,$C$8),$C$9)</f>
        <v>37.4</v>
      </c>
      <c r="S93" s="14">
        <f>H93*$C$5+$C$6</f>
        <v>21.625</v>
      </c>
      <c r="T93" s="14">
        <f>$C$10*$C$11*P93</f>
        <v>0.0</v>
      </c>
      <c r="U93" s="4" t="n">
        <v>0.9</v>
      </c>
      <c r="V93" s="14">
        <f>IF($C$14=2,(1-U93)*($C$19+$C$20),0)</f>
        <v>0.0</v>
      </c>
      <c r="W93" s="14">
        <f>H93*$C$21</f>
        <v>0.0</v>
      </c>
      <c r="X93" s="14">
        <f>I93*$C$4</f>
        <v>65.45</v>
      </c>
      <c r="Y93" s="4" t="n">
        <v>0.15</v>
      </c>
      <c r="Z93" s="14">
        <f>H93*Y93</f>
        <v>140.25</v>
      </c>
      <c r="AA93" s="14">
        <f>I93-N93-O93-Q93-R93-S93-T93-V93-W93-X93-L93</f>
        <v>-17.875</v>
      </c>
      <c r="AB93" s="14">
        <f>AA93-Z93</f>
        <v>-158.125</v>
      </c>
      <c r="AC93" s="15">
        <f>IFERROR(AB93/H93,0)</f>
        <v>-0.1691176471</v>
      </c>
      <c r="AD93" s="15">
        <f>IFERROR(AB93/L93,0)</f>
        <v>-0.3552971576</v>
      </c>
      <c r="AE93" s="14">
        <f>IFERROR((L93+R93+T93+Q93+V93+$C$6)/(((1-G93*$C$13)/(1-G93))-(M93+$C$5+Y93+$C$21+IF($C$14=2,$C$16,0))-$C$4*((1-G93*$C$13)/(1-G93))),0)</f>
        <v>1390.6916426513</v>
      </c>
    </row>
    <row r="94">
      <c r="A94" s="10" t="inlineStr">
        <is>
          <t>PETITFEE - Bera Glucan Deep Firming Eye Patch [60ea] / Тканевые патчи для век увлажняющие</t>
        </is>
      </c>
      <c r="B94" s="11" t="inlineStr">
        <is>
          <t>Уход за кожей вокруг глаз</t>
        </is>
      </c>
      <c r="C94" s="12" t="n">
        <v>587</v>
      </c>
      <c r="D94" s="12" t="n"/>
      <c r="E94" s="13" t="n"/>
      <c r="F94" s="5" t="n">
        <v>2146.994243</v>
      </c>
      <c r="G94" s="4" t="n">
        <v>0.45</v>
      </c>
      <c r="H94" s="14">
        <f>F94*(1-G94)</f>
        <v>1180.84683365</v>
      </c>
      <c r="I94" s="14">
        <f>F94-F94*G94*$C$13</f>
        <v>1180.84683365</v>
      </c>
      <c r="J94" s="5" t="n">
        <v>486.69</v>
      </c>
      <c r="K94" s="14">
        <f>$C$12</f>
        <v>60.0</v>
      </c>
      <c r="L94" s="14">
        <f>J94+K94</f>
        <v>546.69</v>
      </c>
      <c r="M94" s="15">
        <f>IF($C$14=1,0.41,$C$15)</f>
        <v>0.41</v>
      </c>
      <c r="N94" s="14">
        <f>H94*M94</f>
        <v>484.1472017965</v>
      </c>
      <c r="O94" s="14">
        <f>IF($C$14=2,MIN(H94*$C$16,$C$17),0)</f>
        <v>0.0</v>
      </c>
      <c r="P94" s="16" t="n">
        <v>0.93</v>
      </c>
      <c r="Q94" s="14">
        <f>IF($C$14=2,P94*$C$18,0)</f>
        <v>0.0</v>
      </c>
      <c r="R94" s="14">
        <f>MIN(MAX(H94*$C$7,$C$8),$C$9)</f>
        <v>47.233873346</v>
      </c>
      <c r="S94" s="14">
        <f>H94*$C$5+$C$6</f>
        <v>27.279477174</v>
      </c>
      <c r="T94" s="14">
        <f>$C$10*$C$11*P94</f>
        <v>0.0</v>
      </c>
      <c r="U94" s="4" t="n">
        <v>0.9</v>
      </c>
      <c r="V94" s="14">
        <f>IF($C$14=2,(1-U94)*($C$19+$C$20),0)</f>
        <v>0.0</v>
      </c>
      <c r="W94" s="14">
        <f>H94*$C$21</f>
        <v>0.0</v>
      </c>
      <c r="X94" s="14">
        <f>I94*$C$4</f>
        <v>82.6592783555</v>
      </c>
      <c r="Y94" s="4" t="n">
        <v>0.15</v>
      </c>
      <c r="Z94" s="14">
        <f>H94*Y94</f>
        <v>177.1270250475</v>
      </c>
      <c r="AA94" s="14">
        <f>I94-N94-O94-Q94-R94-S94-T94-V94-W94-X94-L94</f>
        <v>-7.1629970219</v>
      </c>
      <c r="AB94" s="14">
        <f>AA94-Z94</f>
        <v>-184.2900220695</v>
      </c>
      <c r="AC94" s="15">
        <f>IFERROR(AB94/H94,0)</f>
        <v>-0.1560659832</v>
      </c>
      <c r="AD94" s="15">
        <f>IFERROR(AB94/L94,0)</f>
        <v>-0.3371015056</v>
      </c>
      <c r="AE94" s="14">
        <f>IFERROR((L94+R94+T94+Q94+V94+$C$6)/(((1-G94*$C$13)/(1-G94))-(M94+$C$5+Y94+$C$21+IF($C$14=2,$C$16,0))-$C$4*((1-G94*$C$13)/(1-G94))),0)</f>
        <v>1711.9419981153</v>
      </c>
    </row>
    <row r="95">
      <c r="A95" s="10" t="inlineStr">
        <is>
          <t>PETITFEE - Artichoke Soothing Hydrogel Eye Patch [60ea] / Смягчающие гидрогелевые патчи для глаз с экстрактом артишока</t>
        </is>
      </c>
      <c r="B95" s="11" t="inlineStr">
        <is>
          <t>Уход за кожей вокруг глаз</t>
        </is>
      </c>
      <c r="C95" s="12" t="n">
        <v>300</v>
      </c>
      <c r="D95" s="12" t="n"/>
      <c r="E95" s="13" t="n"/>
      <c r="F95" s="5" t="n">
        <v>1899.396453</v>
      </c>
      <c r="G95" s="4" t="n">
        <v>0.45</v>
      </c>
      <c r="H95" s="14">
        <f>F95*(1-G95)</f>
        <v>1044.66804915</v>
      </c>
      <c r="I95" s="14">
        <f>F95-F95*G95*$C$13</f>
        <v>1044.66804915</v>
      </c>
      <c r="J95" s="5" t="n">
        <v>415.46</v>
      </c>
      <c r="K95" s="14">
        <f>$C$12</f>
        <v>60.0</v>
      </c>
      <c r="L95" s="14">
        <f>J95+K95</f>
        <v>475.46</v>
      </c>
      <c r="M95" s="15">
        <f>IF($C$14=1,0.41,$C$15)</f>
        <v>0.41</v>
      </c>
      <c r="N95" s="14">
        <f>H95*M95</f>
        <v>428.3139001515</v>
      </c>
      <c r="O95" s="14">
        <f>IF($C$14=2,MIN(H95*$C$16,$C$17),0)</f>
        <v>0.0</v>
      </c>
      <c r="P95" s="16" t="n">
        <v>0.6</v>
      </c>
      <c r="Q95" s="14">
        <f>IF($C$14=2,P95*$C$18,0)</f>
        <v>0.0</v>
      </c>
      <c r="R95" s="14">
        <f>MIN(MAX(H95*$C$7,$C$8),$C$9)</f>
        <v>41.786721966</v>
      </c>
      <c r="S95" s="14">
        <f>H95*$C$5+$C$6</f>
        <v>24.1473651305</v>
      </c>
      <c r="T95" s="14">
        <f>$C$10*$C$11*P95</f>
        <v>0.0</v>
      </c>
      <c r="U95" s="4" t="n">
        <v>0.9</v>
      </c>
      <c r="V95" s="14">
        <f>IF($C$14=2,(1-U95)*($C$19+$C$20),0)</f>
        <v>0.0</v>
      </c>
      <c r="W95" s="14">
        <f>H95*$C$21</f>
        <v>0.0</v>
      </c>
      <c r="X95" s="14">
        <f>I95*$C$4</f>
        <v>73.1267634405</v>
      </c>
      <c r="Y95" s="4" t="n">
        <v>0.15</v>
      </c>
      <c r="Z95" s="14">
        <f>H95*Y95</f>
        <v>156.7002073725</v>
      </c>
      <c r="AA95" s="14">
        <f>I95-N95-O95-Q95-R95-S95-T95-V95-W95-X95-L95</f>
        <v>1.8332984616</v>
      </c>
      <c r="AB95" s="14">
        <f>AA95-Z95</f>
        <v>-154.8669089109</v>
      </c>
      <c r="AC95" s="15">
        <f>IFERROR(AB95/H95,0)</f>
        <v>-0.1482450899</v>
      </c>
      <c r="AD95" s="15">
        <f>IFERROR(AB95/L95,0)</f>
        <v>-0.3257201634</v>
      </c>
      <c r="AE95" s="14">
        <f>IFERROR((L95+R95+T95+Q95+V95+$C$6)/(((1-G95*$C$13)/(1-G95))-(M95+$C$5+Y95+$C$21+IF($C$14=2,$C$16,0))-$C$4*((1-G95*$C$13)/(1-G95))),0)</f>
        <v>1490.9703803055</v>
      </c>
    </row>
    <row r="96">
      <c r="A96" s="10" t="inlineStr">
        <is>
          <t>PETITFEE - Aura Quartz Hydrogel Eye Patch [60ea]</t>
        </is>
      </c>
      <c r="B96" s="11" t="inlineStr">
        <is>
          <t>Уход за кожей вокруг глаз</t>
        </is>
      </c>
      <c r="C96" s="12" t="n">
        <v>95</v>
      </c>
      <c r="D96" s="12" t="n"/>
      <c r="E96" s="13" t="n"/>
      <c r="F96" s="5" t="n">
        <v>2503.747312</v>
      </c>
      <c r="G96" s="4" t="n">
        <v>0.45</v>
      </c>
      <c r="H96" s="14">
        <f>F96*(1-G96)</f>
        <v>1377.0610216</v>
      </c>
      <c r="I96" s="14">
        <f>F96-F96*G96*$C$13</f>
        <v>1377.0610216</v>
      </c>
      <c r="J96" s="5" t="n">
        <v>591.29</v>
      </c>
      <c r="K96" s="14">
        <f>$C$12</f>
        <v>60.0</v>
      </c>
      <c r="L96" s="14">
        <f>J96+K96</f>
        <v>651.29</v>
      </c>
      <c r="M96" s="15">
        <f>IF($C$14=1,0.41,$C$15)</f>
        <v>0.41</v>
      </c>
      <c r="N96" s="14">
        <f>H96*M96</f>
        <v>564.595018856</v>
      </c>
      <c r="O96" s="14">
        <f>IF($C$14=2,MIN(H96*$C$16,$C$17),0)</f>
        <v>0.0</v>
      </c>
      <c r="P96" s="16" t="n">
        <v>0.93</v>
      </c>
      <c r="Q96" s="14">
        <f>IF($C$14=2,P96*$C$18,0)</f>
        <v>0.0</v>
      </c>
      <c r="R96" s="14">
        <f>MIN(MAX(H96*$C$7,$C$8),$C$9)</f>
        <v>55.082440864</v>
      </c>
      <c r="S96" s="14">
        <f>H96*$C$5+$C$6</f>
        <v>31.7924034968</v>
      </c>
      <c r="T96" s="14">
        <f>$C$10*$C$11*P96</f>
        <v>0.0</v>
      </c>
      <c r="U96" s="4" t="n">
        <v>0.9</v>
      </c>
      <c r="V96" s="14">
        <f>IF($C$14=2,(1-U96)*($C$19+$C$20),0)</f>
        <v>0.0</v>
      </c>
      <c r="W96" s="14">
        <f>H96*$C$21</f>
        <v>0.0</v>
      </c>
      <c r="X96" s="14">
        <f>I96*$C$4</f>
        <v>96.394271512</v>
      </c>
      <c r="Y96" s="4" t="n">
        <v>0.15</v>
      </c>
      <c r="Z96" s="14">
        <f>H96*Y96</f>
        <v>206.55915324</v>
      </c>
      <c r="AA96" s="14">
        <f>I96-N96-O96-Q96-R96-S96-T96-V96-W96-X96-L96</f>
        <v>-22.0931131288</v>
      </c>
      <c r="AB96" s="14">
        <f>AA96-Z96</f>
        <v>-228.6522663688</v>
      </c>
      <c r="AC96" s="15">
        <f>IFERROR(AB96/H96,0)</f>
        <v>-0.1660436704</v>
      </c>
      <c r="AD96" s="15">
        <f>IFERROR(AB96/L96,0)</f>
        <v>-0.3510759667</v>
      </c>
      <c r="AE96" s="14">
        <f>IFERROR((L96+R96+T96+Q96+V96+$C$6)/(((1-G96*$C$13)/(1-G96))-(M96+$C$5+Y96+$C$21+IF($C$14=2,$C$16,0))-$C$4*((1-G96*$C$13)/(1-G96))),0)</f>
        <v>2036.0012705014</v>
      </c>
    </row>
    <row r="97">
      <c r="A97" s="10" t="inlineStr">
        <is>
          <t>PETITFEE - Cacao Energizing Hydrogel Eye Patch [60ea] / Тонизирующие гидрогелевые патчи для глаз с экстрактом какао</t>
        </is>
      </c>
      <c r="B97" s="11" t="inlineStr">
        <is>
          <t>Уход за кожей вокруг глаз</t>
        </is>
      </c>
      <c r="C97" s="12" t="n">
        <v>713</v>
      </c>
      <c r="D97" s="12" t="n"/>
      <c r="E97" s="13" t="n"/>
      <c r="F97" s="5" t="n">
        <v>1899.396453</v>
      </c>
      <c r="G97" s="4" t="n">
        <v>0.45</v>
      </c>
      <c r="H97" s="14">
        <f>F97*(1-G97)</f>
        <v>1044.66804915</v>
      </c>
      <c r="I97" s="14">
        <f>F97-F97*G97*$C$13</f>
        <v>1044.66804915</v>
      </c>
      <c r="J97" s="5" t="n">
        <v>415.46</v>
      </c>
      <c r="K97" s="14">
        <f>$C$12</f>
        <v>60.0</v>
      </c>
      <c r="L97" s="14">
        <f>J97+K97</f>
        <v>475.46</v>
      </c>
      <c r="M97" s="15">
        <f>IF($C$14=1,0.41,$C$15)</f>
        <v>0.41</v>
      </c>
      <c r="N97" s="14">
        <f>H97*M97</f>
        <v>428.3139001515</v>
      </c>
      <c r="O97" s="14">
        <f>IF($C$14=2,MIN(H97*$C$16,$C$17),0)</f>
        <v>0.0</v>
      </c>
      <c r="P97" s="16" t="n">
        <v>0.6</v>
      </c>
      <c r="Q97" s="14">
        <f>IF($C$14=2,P97*$C$18,0)</f>
        <v>0.0</v>
      </c>
      <c r="R97" s="14">
        <f>MIN(MAX(H97*$C$7,$C$8),$C$9)</f>
        <v>41.786721966</v>
      </c>
      <c r="S97" s="14">
        <f>H97*$C$5+$C$6</f>
        <v>24.1473651305</v>
      </c>
      <c r="T97" s="14">
        <f>$C$10*$C$11*P97</f>
        <v>0.0</v>
      </c>
      <c r="U97" s="4" t="n">
        <v>0.9</v>
      </c>
      <c r="V97" s="14">
        <f>IF($C$14=2,(1-U97)*($C$19+$C$20),0)</f>
        <v>0.0</v>
      </c>
      <c r="W97" s="14">
        <f>H97*$C$21</f>
        <v>0.0</v>
      </c>
      <c r="X97" s="14">
        <f>I97*$C$4</f>
        <v>73.1267634405</v>
      </c>
      <c r="Y97" s="4" t="n">
        <v>0.15</v>
      </c>
      <c r="Z97" s="14">
        <f>H97*Y97</f>
        <v>156.7002073725</v>
      </c>
      <c r="AA97" s="14">
        <f>I97-N97-O97-Q97-R97-S97-T97-V97-W97-X97-L97</f>
        <v>1.8332984616</v>
      </c>
      <c r="AB97" s="14">
        <f>AA97-Z97</f>
        <v>-154.8669089109</v>
      </c>
      <c r="AC97" s="15">
        <f>IFERROR(AB97/H97,0)</f>
        <v>-0.1482450899</v>
      </c>
      <c r="AD97" s="15">
        <f>IFERROR(AB97/L97,0)</f>
        <v>-0.3257201634</v>
      </c>
      <c r="AE97" s="14">
        <f>IFERROR((L97+R97+T97+Q97+V97+$C$6)/(((1-G97*$C$13)/(1-G97))-(M97+$C$5+Y97+$C$21+IF($C$14=2,$C$16,0))-$C$4*((1-G97*$C$13)/(1-G97))),0)</f>
        <v>1490.9703803055</v>
      </c>
    </row>
    <row r="98">
      <c r="A98" s="10" t="inlineStr">
        <is>
          <t>PETITFEE - Chamomile Lightening Hydrogel Eye Patch [60ea] / Успокаивающие гидрогелевые патчи для глаз с экстрактом ромашки</t>
        </is>
      </c>
      <c r="B98" s="11" t="inlineStr">
        <is>
          <t>Уход за кожей вокруг глаз</t>
        </is>
      </c>
      <c r="C98" s="12" t="n">
        <v>288</v>
      </c>
      <c r="D98" s="12" t="n"/>
      <c r="E98" s="13" t="n"/>
      <c r="F98" s="5" t="n">
        <v>1899.396453</v>
      </c>
      <c r="G98" s="4" t="n">
        <v>0.45</v>
      </c>
      <c r="H98" s="14">
        <f>F98*(1-G98)</f>
        <v>1044.66804915</v>
      </c>
      <c r="I98" s="14">
        <f>F98-F98*G98*$C$13</f>
        <v>1044.66804915</v>
      </c>
      <c r="J98" s="5" t="n">
        <v>415.46</v>
      </c>
      <c r="K98" s="14">
        <f>$C$12</f>
        <v>60.0</v>
      </c>
      <c r="L98" s="14">
        <f>J98+K98</f>
        <v>475.46</v>
      </c>
      <c r="M98" s="15">
        <f>IF($C$14=1,0.41,$C$15)</f>
        <v>0.41</v>
      </c>
      <c r="N98" s="14">
        <f>H98*M98</f>
        <v>428.3139001515</v>
      </c>
      <c r="O98" s="14">
        <f>IF($C$14=2,MIN(H98*$C$16,$C$17),0)</f>
        <v>0.0</v>
      </c>
      <c r="P98" s="16" t="n">
        <v>0.6</v>
      </c>
      <c r="Q98" s="14">
        <f>IF($C$14=2,P98*$C$18,0)</f>
        <v>0.0</v>
      </c>
      <c r="R98" s="14">
        <f>MIN(MAX(H98*$C$7,$C$8),$C$9)</f>
        <v>41.786721966</v>
      </c>
      <c r="S98" s="14">
        <f>H98*$C$5+$C$6</f>
        <v>24.1473651305</v>
      </c>
      <c r="T98" s="14">
        <f>$C$10*$C$11*P98</f>
        <v>0.0</v>
      </c>
      <c r="U98" s="4" t="n">
        <v>0.9</v>
      </c>
      <c r="V98" s="14">
        <f>IF($C$14=2,(1-U98)*($C$19+$C$20),0)</f>
        <v>0.0</v>
      </c>
      <c r="W98" s="14">
        <f>H98*$C$21</f>
        <v>0.0</v>
      </c>
      <c r="X98" s="14">
        <f>I98*$C$4</f>
        <v>73.1267634405</v>
      </c>
      <c r="Y98" s="4" t="n">
        <v>0.15</v>
      </c>
      <c r="Z98" s="14">
        <f>H98*Y98</f>
        <v>156.7002073725</v>
      </c>
      <c r="AA98" s="14">
        <f>I98-N98-O98-Q98-R98-S98-T98-V98-W98-X98-L98</f>
        <v>1.8332984616</v>
      </c>
      <c r="AB98" s="14">
        <f>AA98-Z98</f>
        <v>-154.8669089109</v>
      </c>
      <c r="AC98" s="15">
        <f>IFERROR(AB98/H98,0)</f>
        <v>-0.1482450899</v>
      </c>
      <c r="AD98" s="15">
        <f>IFERROR(AB98/L98,0)</f>
        <v>-0.3257201634</v>
      </c>
      <c r="AE98" s="14">
        <f>IFERROR((L98+R98+T98+Q98+V98+$C$6)/(((1-G98*$C$13)/(1-G98))-(M98+$C$5+Y98+$C$21+IF($C$14=2,$C$16,0))-$C$4*((1-G98*$C$13)/(1-G98))),0)</f>
        <v>1490.9703803055</v>
      </c>
    </row>
    <row r="99">
      <c r="A99" s="10" t="inlineStr">
        <is>
          <t>PETITFEE - Gold &amp; EGF Hydrogel Eye &amp; Spot Patch [60ea]/ гидрогелевые патчи с золотом и EGF</t>
        </is>
      </c>
      <c r="B99" s="11" t="inlineStr">
        <is>
          <t>Уход за кожей вокруг глаз</t>
        </is>
      </c>
      <c r="C99" s="12" t="n">
        <v>72</v>
      </c>
      <c r="D99" s="12" t="n"/>
      <c r="E99" s="13" t="n"/>
      <c r="F99" s="5" t="n">
        <v>1795.678854</v>
      </c>
      <c r="G99" s="4" t="n">
        <v>0.45</v>
      </c>
      <c r="H99" s="14">
        <f>F99*(1-G99)</f>
        <v>987.6233697</v>
      </c>
      <c r="I99" s="14">
        <f>F99-F99*G99*$C$13</f>
        <v>987.6233697</v>
      </c>
      <c r="J99" s="5" t="n">
        <v>385.05</v>
      </c>
      <c r="K99" s="14">
        <f>$C$12</f>
        <v>60.0</v>
      </c>
      <c r="L99" s="14">
        <f>J99+K99</f>
        <v>445.05</v>
      </c>
      <c r="M99" s="15">
        <f>IF($C$14=1,0.41,$C$15)</f>
        <v>0.41</v>
      </c>
      <c r="N99" s="14">
        <f>H99*M99</f>
        <v>404.925581577</v>
      </c>
      <c r="O99" s="14">
        <f>IF($C$14=2,MIN(H99*$C$16,$C$17),0)</f>
        <v>0.0</v>
      </c>
      <c r="P99" s="16" t="n">
        <v>0.6</v>
      </c>
      <c r="Q99" s="14">
        <f>IF($C$14=2,P99*$C$18,0)</f>
        <v>0.0</v>
      </c>
      <c r="R99" s="14">
        <f>MIN(MAX(H99*$C$7,$C$8),$C$9)</f>
        <v>39.504934788</v>
      </c>
      <c r="S99" s="14">
        <f>H99*$C$5+$C$6</f>
        <v>22.8353375031</v>
      </c>
      <c r="T99" s="14">
        <f>$C$10*$C$11*P99</f>
        <v>0.0</v>
      </c>
      <c r="U99" s="4" t="n">
        <v>0.9</v>
      </c>
      <c r="V99" s="14">
        <f>IF($C$14=2,(1-U99)*($C$19+$C$20),0)</f>
        <v>0.0</v>
      </c>
      <c r="W99" s="14">
        <f>H99*$C$21</f>
        <v>0.0</v>
      </c>
      <c r="X99" s="14">
        <f>I99*$C$4</f>
        <v>69.133635879</v>
      </c>
      <c r="Y99" s="4" t="n">
        <v>0.15</v>
      </c>
      <c r="Z99" s="14">
        <f>H99*Y99</f>
        <v>148.143505455</v>
      </c>
      <c r="AA99" s="14">
        <f>I99-N99-O99-Q99-R99-S99-T99-V99-W99-X99-L99</f>
        <v>6.1738799529</v>
      </c>
      <c r="AB99" s="14">
        <f>AA99-Z99</f>
        <v>-141.9696255021</v>
      </c>
      <c r="AC99" s="15">
        <f>IFERROR(AB99/H99,0)</f>
        <v>-0.1437487506</v>
      </c>
      <c r="AD99" s="15">
        <f>IFERROR(AB99/L99,0)</f>
        <v>-0.3189970239</v>
      </c>
      <c r="AE99" s="14">
        <f>IFERROR((L99+R99+T99+Q99+V99+$C$6)/(((1-G99*$C$13)/(1-G99))-(M99+$C$5+Y99+$C$21+IF($C$14=2,$C$16,0))-$C$4*((1-G99*$C$13)/(1-G99))),0)</f>
        <v>1396.7577371412</v>
      </c>
    </row>
    <row r="100">
      <c r="A100" s="10" t="inlineStr">
        <is>
          <t>PETITFEE - Pink Vita Brightening Eye Patch [60ea] / Тканевые патчи для век увлажняющие</t>
        </is>
      </c>
      <c r="B100" s="11" t="inlineStr">
        <is>
          <t>Уход за кожей вокруг глаз</t>
        </is>
      </c>
      <c r="C100" s="12" t="n">
        <v>267</v>
      </c>
      <c r="D100" s="12" t="n"/>
      <c r="E100" s="13" t="n"/>
      <c r="F100" s="5" t="n">
        <v>2146.994243</v>
      </c>
      <c r="G100" s="4" t="n">
        <v>0.45</v>
      </c>
      <c r="H100" s="14">
        <f>F100*(1-G100)</f>
        <v>1180.84683365</v>
      </c>
      <c r="I100" s="14">
        <f>F100-F100*G100*$C$13</f>
        <v>1180.84683365</v>
      </c>
      <c r="J100" s="5" t="n">
        <v>486.69</v>
      </c>
      <c r="K100" s="14">
        <f>$C$12</f>
        <v>60.0</v>
      </c>
      <c r="L100" s="14">
        <f>J100+K100</f>
        <v>546.69</v>
      </c>
      <c r="M100" s="15">
        <f>IF($C$14=1,0.41,$C$15)</f>
        <v>0.41</v>
      </c>
      <c r="N100" s="14">
        <f>H100*M100</f>
        <v>484.1472017965</v>
      </c>
      <c r="O100" s="14">
        <f>IF($C$14=2,MIN(H100*$C$16,$C$17),0)</f>
        <v>0.0</v>
      </c>
      <c r="P100" s="16" t="n">
        <v>0.93</v>
      </c>
      <c r="Q100" s="14">
        <f>IF($C$14=2,P100*$C$18,0)</f>
        <v>0.0</v>
      </c>
      <c r="R100" s="14">
        <f>MIN(MAX(H100*$C$7,$C$8),$C$9)</f>
        <v>47.233873346</v>
      </c>
      <c r="S100" s="14">
        <f>H100*$C$5+$C$6</f>
        <v>27.279477174</v>
      </c>
      <c r="T100" s="14">
        <f>$C$10*$C$11*P100</f>
        <v>0.0</v>
      </c>
      <c r="U100" s="4" t="n">
        <v>0.9</v>
      </c>
      <c r="V100" s="14">
        <f>IF($C$14=2,(1-U100)*($C$19+$C$20),0)</f>
        <v>0.0</v>
      </c>
      <c r="W100" s="14">
        <f>H100*$C$21</f>
        <v>0.0</v>
      </c>
      <c r="X100" s="14">
        <f>I100*$C$4</f>
        <v>82.6592783555</v>
      </c>
      <c r="Y100" s="4" t="n">
        <v>0.15</v>
      </c>
      <c r="Z100" s="14">
        <f>H100*Y100</f>
        <v>177.1270250475</v>
      </c>
      <c r="AA100" s="14">
        <f>I100-N100-O100-Q100-R100-S100-T100-V100-W100-X100-L100</f>
        <v>-7.1629970219</v>
      </c>
      <c r="AB100" s="14">
        <f>AA100-Z100</f>
        <v>-184.2900220695</v>
      </c>
      <c r="AC100" s="15">
        <f>IFERROR(AB100/H100,0)</f>
        <v>-0.1560659832</v>
      </c>
      <c r="AD100" s="15">
        <f>IFERROR(AB100/L100,0)</f>
        <v>-0.3371015056</v>
      </c>
      <c r="AE100" s="14">
        <f>IFERROR((L100+R100+T100+Q100+V100+$C$6)/(((1-G100*$C$13)/(1-G100))-(M100+$C$5+Y100+$C$21+IF($C$14=2,$C$16,0))-$C$4*((1-G100*$C$13)/(1-G100))),0)</f>
        <v>1711.9419981153</v>
      </c>
    </row>
    <row r="101">
      <c r="A101" s="10" t="inlineStr">
        <is>
          <t>PETITFEE - Black Pearl &amp; Gold Hydrogel Eye Patch [60ea] / Гидрогелевые патчи для глаз с черным жемчугом и золотом</t>
        </is>
      </c>
      <c r="B101" s="11" t="inlineStr">
        <is>
          <t>Уход за кожей вокруг глаз</t>
        </is>
      </c>
      <c r="C101" s="12" t="n">
        <v>909</v>
      </c>
      <c r="D101" s="12" t="n">
        <v>1780</v>
      </c>
      <c r="E101" s="13" t="n">
        <v>16</v>
      </c>
      <c r="F101" s="5" t="n">
        <v>1650</v>
      </c>
      <c r="G101" s="4" t="n">
        <v>0.45</v>
      </c>
      <c r="H101" s="14">
        <f>F101*(1-G101)</f>
        <v>907.5</v>
      </c>
      <c r="I101" s="14">
        <f>F101-F101*G101*$C$13</f>
        <v>907.5</v>
      </c>
      <c r="J101" s="5" t="n">
        <v>387.67</v>
      </c>
      <c r="K101" s="14">
        <f>$C$12</f>
        <v>60.0</v>
      </c>
      <c r="L101" s="14">
        <f>J101+K101</f>
        <v>447.67</v>
      </c>
      <c r="M101" s="15">
        <f>IF($C$14=1,0.41,$C$15)</f>
        <v>0.41</v>
      </c>
      <c r="N101" s="14">
        <f>H101*M101</f>
        <v>372.075</v>
      </c>
      <c r="O101" s="14">
        <f>IF($C$14=2,MIN(H101*$C$16,$C$17),0)</f>
        <v>0.0</v>
      </c>
      <c r="P101" s="16" t="n">
        <v>0.6</v>
      </c>
      <c r="Q101" s="14">
        <f>IF($C$14=2,P101*$C$18,0)</f>
        <v>0.0</v>
      </c>
      <c r="R101" s="14">
        <f>MIN(MAX(H101*$C$7,$C$8),$C$9)</f>
        <v>36.3</v>
      </c>
      <c r="S101" s="14">
        <f>H101*$C$5+$C$6</f>
        <v>20.9925</v>
      </c>
      <c r="T101" s="14">
        <f>$C$10*$C$11*P101</f>
        <v>0.0</v>
      </c>
      <c r="U101" s="4" t="n">
        <v>0.9</v>
      </c>
      <c r="V101" s="14">
        <f>IF($C$14=2,(1-U101)*($C$19+$C$20),0)</f>
        <v>0.0</v>
      </c>
      <c r="W101" s="14">
        <f>H101*$C$21</f>
        <v>0.0</v>
      </c>
      <c r="X101" s="14">
        <f>I101*$C$4</f>
        <v>63.525</v>
      </c>
      <c r="Y101" s="4" t="n">
        <v>0.15</v>
      </c>
      <c r="Z101" s="14">
        <f>H101*Y101</f>
        <v>136.125</v>
      </c>
      <c r="AA101" s="14">
        <f>I101-N101-O101-Q101-R101-S101-T101-V101-W101-X101-L101</f>
        <v>-33.0625</v>
      </c>
      <c r="AB101" s="14">
        <f>AA101-Z101</f>
        <v>-169.1875</v>
      </c>
      <c r="AC101" s="15">
        <f>IFERROR(AB101/H101,0)</f>
        <v>-0.1864325069</v>
      </c>
      <c r="AD101" s="15">
        <f>IFERROR(AB101/L101,0)</f>
        <v>-0.3779290549</v>
      </c>
      <c r="AE101" s="14">
        <f>IFERROR((L101+R101+T101+Q101+V101+$C$6)/(((1-G101*$C$13)/(1-G101))-(M101+$C$5+Y101+$C$21+IF($C$14=2,$C$16,0))-$C$4*((1-G101*$C$13)/(1-G101))),0)</f>
        <v>1395.0720461095</v>
      </c>
    </row>
    <row r="102">
      <c r="A102" s="10" t="inlineStr">
        <is>
          <t>PETITFEE - Agave Cooling Hydrogel Eye Patch [60ea] / Охлаждающие гидрогелевые патчи для глаз с экстрактом агавы</t>
        </is>
      </c>
      <c r="B102" s="11" t="inlineStr">
        <is>
          <t>Уход за кожей вокруг глаз</t>
        </is>
      </c>
      <c r="C102" s="12" t="n">
        <v>933</v>
      </c>
      <c r="D102" s="12" t="n">
        <v>1730</v>
      </c>
      <c r="E102" s="13" t="n">
        <v>17</v>
      </c>
      <c r="F102" s="5" t="n">
        <v>1630</v>
      </c>
      <c r="G102" s="4" t="n">
        <v>0.45</v>
      </c>
      <c r="H102" s="14">
        <f>F102*(1-G102)</f>
        <v>896.5</v>
      </c>
      <c r="I102" s="14">
        <f>F102-F102*G102*$C$13</f>
        <v>896.5</v>
      </c>
      <c r="J102" s="5" t="n">
        <v>415.46</v>
      </c>
      <c r="K102" s="14">
        <f>$C$12</f>
        <v>60.0</v>
      </c>
      <c r="L102" s="14">
        <f>J102+K102</f>
        <v>475.46</v>
      </c>
      <c r="M102" s="15">
        <f>IF($C$14=1,0.41,$C$15)</f>
        <v>0.41</v>
      </c>
      <c r="N102" s="14">
        <f>H102*M102</f>
        <v>367.565</v>
      </c>
      <c r="O102" s="14">
        <f>IF($C$14=2,MIN(H102*$C$16,$C$17),0)</f>
        <v>0.0</v>
      </c>
      <c r="P102" s="16" t="n">
        <v>0.6</v>
      </c>
      <c r="Q102" s="14">
        <f>IF($C$14=2,P102*$C$18,0)</f>
        <v>0.0</v>
      </c>
      <c r="R102" s="14">
        <f>MIN(MAX(H102*$C$7,$C$8),$C$9)</f>
        <v>35.86</v>
      </c>
      <c r="S102" s="14">
        <f>H102*$C$5+$C$6</f>
        <v>20.7395</v>
      </c>
      <c r="T102" s="14">
        <f>$C$10*$C$11*P102</f>
        <v>0.0</v>
      </c>
      <c r="U102" s="4" t="n">
        <v>0.9</v>
      </c>
      <c r="V102" s="14">
        <f>IF($C$14=2,(1-U102)*($C$19+$C$20),0)</f>
        <v>0.0</v>
      </c>
      <c r="W102" s="14">
        <f>H102*$C$21</f>
        <v>0.0</v>
      </c>
      <c r="X102" s="14">
        <f>I102*$C$4</f>
        <v>62.755</v>
      </c>
      <c r="Y102" s="4" t="n">
        <v>0.15</v>
      </c>
      <c r="Z102" s="14">
        <f>H102*Y102</f>
        <v>134.475</v>
      </c>
      <c r="AA102" s="14">
        <f>I102-N102-O102-Q102-R102-S102-T102-V102-W102-X102-L102</f>
        <v>-65.8795</v>
      </c>
      <c r="AB102" s="14">
        <f>AA102-Z102</f>
        <v>-200.3545</v>
      </c>
      <c r="AC102" s="15">
        <f>IFERROR(AB102/H102,0)</f>
        <v>-0.2234852203</v>
      </c>
      <c r="AD102" s="15">
        <f>IFERROR(AB102/L102,0)</f>
        <v>-0.4213908636</v>
      </c>
      <c r="AE102" s="14">
        <f>IFERROR((L102+R102+T102+Q102+V102+$C$6)/(((1-G102*$C$13)/(1-G102))-(M102+$C$5+Y102+$C$21+IF($C$14=2,$C$16,0))-$C$4*((1-G102*$C$13)/(1-G102))),0)</f>
        <v>1473.8904899135</v>
      </c>
    </row>
    <row r="103">
      <c r="A103" s="10" t="inlineStr">
        <is>
          <t>PETITFEE - Gold &amp; Snail Hydrogel Eye Patch [60ea] / Гидрогелевые патчи для глаз с золотом и улиткой</t>
        </is>
      </c>
      <c r="B103" s="11" t="inlineStr">
        <is>
          <t>Уход за кожей вокруг глаз</t>
        </is>
      </c>
      <c r="C103" s="12" t="n">
        <v>909</v>
      </c>
      <c r="D103" s="12" t="n">
        <v>1740</v>
      </c>
      <c r="E103" s="13" t="n">
        <v>7</v>
      </c>
      <c r="F103" s="5" t="n">
        <v>1630</v>
      </c>
      <c r="G103" s="4" t="n">
        <v>0.45</v>
      </c>
      <c r="H103" s="14">
        <f>F103*(1-G103)</f>
        <v>896.5</v>
      </c>
      <c r="I103" s="14">
        <f>F103-F103*G103*$C$13</f>
        <v>896.5</v>
      </c>
      <c r="J103" s="5" t="n">
        <v>415.46</v>
      </c>
      <c r="K103" s="14">
        <f>$C$12</f>
        <v>60.0</v>
      </c>
      <c r="L103" s="14">
        <f>J103+K103</f>
        <v>475.46</v>
      </c>
      <c r="M103" s="15">
        <f>IF($C$14=1,0.41,$C$15)</f>
        <v>0.41</v>
      </c>
      <c r="N103" s="14">
        <f>H103*M103</f>
        <v>367.565</v>
      </c>
      <c r="O103" s="14">
        <f>IF($C$14=2,MIN(H103*$C$16,$C$17),0)</f>
        <v>0.0</v>
      </c>
      <c r="P103" s="16" t="n">
        <v>0.6</v>
      </c>
      <c r="Q103" s="14">
        <f>IF($C$14=2,P103*$C$18,0)</f>
        <v>0.0</v>
      </c>
      <c r="R103" s="14">
        <f>MIN(MAX(H103*$C$7,$C$8),$C$9)</f>
        <v>35.86</v>
      </c>
      <c r="S103" s="14">
        <f>H103*$C$5+$C$6</f>
        <v>20.7395</v>
      </c>
      <c r="T103" s="14">
        <f>$C$10*$C$11*P103</f>
        <v>0.0</v>
      </c>
      <c r="U103" s="4" t="n">
        <v>0.9</v>
      </c>
      <c r="V103" s="14">
        <f>IF($C$14=2,(1-U103)*($C$19+$C$20),0)</f>
        <v>0.0</v>
      </c>
      <c r="W103" s="14">
        <f>H103*$C$21</f>
        <v>0.0</v>
      </c>
      <c r="X103" s="14">
        <f>I103*$C$4</f>
        <v>62.755</v>
      </c>
      <c r="Y103" s="4" t="n">
        <v>0.15</v>
      </c>
      <c r="Z103" s="14">
        <f>H103*Y103</f>
        <v>134.475</v>
      </c>
      <c r="AA103" s="14">
        <f>I103-N103-O103-Q103-R103-S103-T103-V103-W103-X103-L103</f>
        <v>-65.8795</v>
      </c>
      <c r="AB103" s="14">
        <f>AA103-Z103</f>
        <v>-200.3545</v>
      </c>
      <c r="AC103" s="15">
        <f>IFERROR(AB103/H103,0)</f>
        <v>-0.2234852203</v>
      </c>
      <c r="AD103" s="15">
        <f>IFERROR(AB103/L103,0)</f>
        <v>-0.4213908636</v>
      </c>
      <c r="AE103" s="14">
        <f>IFERROR((L103+R103+T103+Q103+V103+$C$6)/(((1-G103*$C$13)/(1-G103))-(M103+$C$5+Y103+$C$21+IF($C$14=2,$C$16,0))-$C$4*((1-G103*$C$13)/(1-G103))),0)</f>
        <v>1473.8904899135</v>
      </c>
    </row>
    <row r="104">
      <c r="A104" s="10" t="inlineStr">
        <is>
          <t>PETITFEE - Gold Hydrogel Eye Patch [60ea] / гидрогелевые патчи для глаз с золотом</t>
        </is>
      </c>
      <c r="B104" s="11" t="inlineStr">
        <is>
          <t>Уход за кожей вокруг глаз</t>
        </is>
      </c>
      <c r="C104" s="12" t="n">
        <v>700</v>
      </c>
      <c r="D104" s="12" t="n">
        <v>1930</v>
      </c>
      <c r="E104" s="13" t="n">
        <v>2.2</v>
      </c>
      <c r="F104" s="5" t="n">
        <v>1800</v>
      </c>
      <c r="G104" s="4" t="n">
        <v>0.45</v>
      </c>
      <c r="H104" s="14">
        <f>F104*(1-G104)</f>
        <v>990.0</v>
      </c>
      <c r="I104" s="14">
        <f>F104-F104*G104*$C$13</f>
        <v>990.0</v>
      </c>
      <c r="J104" s="5" t="n">
        <v>415.46</v>
      </c>
      <c r="K104" s="14">
        <f>$C$12</f>
        <v>60.0</v>
      </c>
      <c r="L104" s="14">
        <f>J104+K104</f>
        <v>475.46</v>
      </c>
      <c r="M104" s="15">
        <f>IF($C$14=1,0.41,$C$15)</f>
        <v>0.41</v>
      </c>
      <c r="N104" s="14">
        <f>H104*M104</f>
        <v>405.9</v>
      </c>
      <c r="O104" s="14">
        <f>IF($C$14=2,MIN(H104*$C$16,$C$17),0)</f>
        <v>0.0</v>
      </c>
      <c r="P104" s="16" t="n">
        <v>0.6</v>
      </c>
      <c r="Q104" s="14">
        <f>IF($C$14=2,P104*$C$18,0)</f>
        <v>0.0</v>
      </c>
      <c r="R104" s="14">
        <f>MIN(MAX(H104*$C$7,$C$8),$C$9)</f>
        <v>39.6</v>
      </c>
      <c r="S104" s="14">
        <f>H104*$C$5+$C$6</f>
        <v>22.89</v>
      </c>
      <c r="T104" s="14">
        <f>$C$10*$C$11*P104</f>
        <v>0.0</v>
      </c>
      <c r="U104" s="4" t="n">
        <v>0.9</v>
      </c>
      <c r="V104" s="14">
        <f>IF($C$14=2,(1-U104)*($C$19+$C$20),0)</f>
        <v>0.0</v>
      </c>
      <c r="W104" s="14">
        <f>H104*$C$21</f>
        <v>0.0</v>
      </c>
      <c r="X104" s="14">
        <f>I104*$C$4</f>
        <v>69.3</v>
      </c>
      <c r="Y104" s="4" t="n">
        <v>0.15</v>
      </c>
      <c r="Z104" s="14">
        <f>H104*Y104</f>
        <v>148.5</v>
      </c>
      <c r="AA104" s="14">
        <f>I104-N104-O104-Q104-R104-S104-T104-V104-W104-X104-L104</f>
        <v>-23.15</v>
      </c>
      <c r="AB104" s="14">
        <f>AA104-Z104</f>
        <v>-171.65</v>
      </c>
      <c r="AC104" s="15">
        <f>IFERROR(AB104/H104,0)</f>
        <v>-0.1733838384</v>
      </c>
      <c r="AD104" s="15">
        <f>IFERROR(AB104/L104,0)</f>
        <v>-0.3610188028</v>
      </c>
      <c r="AE104" s="14">
        <f>IFERROR((L104+R104+T104+Q104+V104+$C$6)/(((1-G104*$C$13)/(1-G104))-(M104+$C$5+Y104+$C$21+IF($C$14=2,$C$16,0))-$C$4*((1-G104*$C$13)/(1-G104))),0)</f>
        <v>1484.6685878963</v>
      </c>
    </row>
    <row r="105">
      <c r="A105" s="8" t="inlineStr">
        <is>
          <t>Косметика/PETITFEE/PETITFEE-FACEMASK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</row>
    <row r="106">
      <c r="A106" s="10" t="inlineStr">
        <is>
          <t>PETITFEE - Agave Cooling Hydrogel Face Mask [5pcs] / Охлаждающая гидрогелевая маска для лица с экстрактом агавы</t>
        </is>
      </c>
      <c r="B106" s="11" t="inlineStr">
        <is>
          <t>Маски для лица</t>
        </is>
      </c>
      <c r="C106" s="12" t="n">
        <v>951</v>
      </c>
      <c r="D106" s="12" t="n">
        <v>2480</v>
      </c>
      <c r="E106" s="13" t="n">
        <v>21</v>
      </c>
      <c r="F106" s="5" t="n">
        <v>2200</v>
      </c>
      <c r="G106" s="4" t="n">
        <v>0.45</v>
      </c>
      <c r="H106" s="14">
        <f>F106*(1-G106)</f>
        <v>1210.0</v>
      </c>
      <c r="I106" s="14">
        <f>F106-F106*G106*$C$13</f>
        <v>1210.0</v>
      </c>
      <c r="J106" s="5" t="n">
        <v>486.41</v>
      </c>
      <c r="K106" s="14">
        <f>$C$12</f>
        <v>60.0</v>
      </c>
      <c r="L106" s="14">
        <f>J106+K106</f>
        <v>546.41</v>
      </c>
      <c r="M106" s="15">
        <f>IF($C$14=1,0.41,$C$15)</f>
        <v>0.41</v>
      </c>
      <c r="N106" s="14">
        <f>H106*M106</f>
        <v>496.1</v>
      </c>
      <c r="O106" s="14">
        <f>IF($C$14=2,MIN(H106*$C$16,$C$17),0)</f>
        <v>0.0</v>
      </c>
      <c r="P106" s="16" t="n">
        <v>1.1</v>
      </c>
      <c r="Q106" s="14">
        <f>IF($C$14=2,P106*$C$18,0)</f>
        <v>0.0</v>
      </c>
      <c r="R106" s="14">
        <f>MIN(MAX(H106*$C$7,$C$8),$C$9)</f>
        <v>48.4</v>
      </c>
      <c r="S106" s="14">
        <f>H106*$C$5+$C$6</f>
        <v>27.95</v>
      </c>
      <c r="T106" s="14">
        <f>$C$10*$C$11*P106</f>
        <v>0.0</v>
      </c>
      <c r="U106" s="4" t="n">
        <v>0.9</v>
      </c>
      <c r="V106" s="14">
        <f>IF($C$14=2,(1-U106)*($C$19+$C$20),0)</f>
        <v>0.0</v>
      </c>
      <c r="W106" s="14">
        <f>H106*$C$21</f>
        <v>0.0</v>
      </c>
      <c r="X106" s="14">
        <f>I106*$C$4</f>
        <v>84.7</v>
      </c>
      <c r="Y106" s="4" t="n">
        <v>0.15</v>
      </c>
      <c r="Z106" s="14">
        <f>H106*Y106</f>
        <v>181.5</v>
      </c>
      <c r="AA106" s="14">
        <f>I106-N106-O106-Q106-R106-S106-T106-V106-W106-X106-L106</f>
        <v>6.44</v>
      </c>
      <c r="AB106" s="14">
        <f>AA106-Z106</f>
        <v>-175.06</v>
      </c>
      <c r="AC106" s="15">
        <f>IFERROR(AB106/H106,0)</f>
        <v>-0.144677686</v>
      </c>
      <c r="AD106" s="15">
        <f>IFERROR(AB106/L106,0)</f>
        <v>-0.3203821306</v>
      </c>
      <c r="AE106" s="14">
        <f>IFERROR((L106+R106+T106+Q106+V106+$C$6)/(((1-G106*$C$13)/(1-G106))-(M106+$C$5+Y106+$C$21+IF($C$14=2,$C$16,0))-$C$4*((1-G106*$C$13)/(1-G106))),0)</f>
        <v>1714.4956772334</v>
      </c>
    </row>
    <row r="107">
      <c r="A107" s="10" t="inlineStr">
        <is>
          <t>PETITFEE - Gold Hydrogel Mask Pack [5pcs] / Гидрогелевая маска для лица с золотом</t>
        </is>
      </c>
      <c r="B107" s="11" t="inlineStr">
        <is>
          <t>Маски для лица</t>
        </is>
      </c>
      <c r="C107" s="12" t="n">
        <v>734</v>
      </c>
      <c r="D107" s="12" t="n">
        <v>2570</v>
      </c>
      <c r="E107" s="13" t="n">
        <v>12</v>
      </c>
      <c r="F107" s="5" t="n">
        <v>2300</v>
      </c>
      <c r="G107" s="4" t="n">
        <v>0.45</v>
      </c>
      <c r="H107" s="14">
        <f>F107*(1-G107)</f>
        <v>1265.0</v>
      </c>
      <c r="I107" s="14">
        <f>F107-F107*G107*$C$13</f>
        <v>1265.0</v>
      </c>
      <c r="J107" s="5" t="n">
        <v>507.16</v>
      </c>
      <c r="K107" s="14">
        <f>$C$12</f>
        <v>60.0</v>
      </c>
      <c r="L107" s="14">
        <f>J107+K107</f>
        <v>567.16</v>
      </c>
      <c r="M107" s="15">
        <f>IF($C$14=1,0.41,$C$15)</f>
        <v>0.41</v>
      </c>
      <c r="N107" s="14">
        <f>H107*M107</f>
        <v>518.65</v>
      </c>
      <c r="O107" s="14">
        <f>IF($C$14=2,MIN(H107*$C$16,$C$17),0)</f>
        <v>0.0</v>
      </c>
      <c r="P107" s="16" t="n">
        <v>1.1</v>
      </c>
      <c r="Q107" s="14">
        <f>IF($C$14=2,P107*$C$18,0)</f>
        <v>0.0</v>
      </c>
      <c r="R107" s="14">
        <f>MIN(MAX(H107*$C$7,$C$8),$C$9)</f>
        <v>50.6</v>
      </c>
      <c r="S107" s="14">
        <f>H107*$C$5+$C$6</f>
        <v>29.215</v>
      </c>
      <c r="T107" s="14">
        <f>$C$10*$C$11*P107</f>
        <v>0.0</v>
      </c>
      <c r="U107" s="4" t="n">
        <v>0.9</v>
      </c>
      <c r="V107" s="14">
        <f>IF($C$14=2,(1-U107)*($C$19+$C$20),0)</f>
        <v>0.0</v>
      </c>
      <c r="W107" s="14">
        <f>H107*$C$21</f>
        <v>0.0</v>
      </c>
      <c r="X107" s="14">
        <f>I107*$C$4</f>
        <v>88.55</v>
      </c>
      <c r="Y107" s="4" t="n">
        <v>0.15</v>
      </c>
      <c r="Z107" s="14">
        <f>H107*Y107</f>
        <v>189.75</v>
      </c>
      <c r="AA107" s="14">
        <f>I107-N107-O107-Q107-R107-S107-T107-V107-W107-X107-L107</f>
        <v>10.825</v>
      </c>
      <c r="AB107" s="14">
        <f>AA107-Z107</f>
        <v>-178.925</v>
      </c>
      <c r="AC107" s="15">
        <f>IFERROR(AB107/H107,0)</f>
        <v>-0.1414426877</v>
      </c>
      <c r="AD107" s="15">
        <f>IFERROR(AB107/L107,0)</f>
        <v>-0.3154753509</v>
      </c>
      <c r="AE107" s="14">
        <f>IFERROR((L107+R107+T107+Q107+V107+$C$6)/(((1-G107*$C$13)/(1-G107))-(M107+$C$5+Y107+$C$21+IF($C$14=2,$C$16,0))-$C$4*((1-G107*$C$13)/(1-G107))),0)</f>
        <v>1780.6340057637</v>
      </c>
    </row>
    <row r="108">
      <c r="A108" s="10" t="inlineStr">
        <is>
          <t>PETITFEE - Cacao Energizing Hydrogel Mask Pack [5pcs] / Тонизирующая гидрогелевая маска для лица с экстрактом какао</t>
        </is>
      </c>
      <c r="B108" s="11" t="inlineStr">
        <is>
          <t>Маски для лица</t>
        </is>
      </c>
      <c r="C108" s="12" t="n">
        <v>619</v>
      </c>
      <c r="D108" s="12" t="n">
        <v>2680</v>
      </c>
      <c r="E108" s="13" t="n">
        <v>9.699999999999999</v>
      </c>
      <c r="F108" s="5" t="n">
        <v>2250</v>
      </c>
      <c r="G108" s="4" t="n">
        <v>0.45</v>
      </c>
      <c r="H108" s="14">
        <f>F108*(1-G108)</f>
        <v>1237.5</v>
      </c>
      <c r="I108" s="14">
        <f>F108-F108*G108*$C$13</f>
        <v>1237.5</v>
      </c>
      <c r="J108" s="5" t="n">
        <v>496.86</v>
      </c>
      <c r="K108" s="14">
        <f>$C$12</f>
        <v>60.0</v>
      </c>
      <c r="L108" s="14">
        <f>J108+K108</f>
        <v>556.86</v>
      </c>
      <c r="M108" s="15">
        <f>IF($C$14=1,0.41,$C$15)</f>
        <v>0.41</v>
      </c>
      <c r="N108" s="14">
        <f>H108*M108</f>
        <v>507.375</v>
      </c>
      <c r="O108" s="14">
        <f>IF($C$14=2,MIN(H108*$C$16,$C$17),0)</f>
        <v>0.0</v>
      </c>
      <c r="P108" s="16" t="n">
        <v>1.1</v>
      </c>
      <c r="Q108" s="14">
        <f>IF($C$14=2,P108*$C$18,0)</f>
        <v>0.0</v>
      </c>
      <c r="R108" s="14">
        <f>MIN(MAX(H108*$C$7,$C$8),$C$9)</f>
        <v>49.5</v>
      </c>
      <c r="S108" s="14">
        <f>H108*$C$5+$C$6</f>
        <v>28.5825</v>
      </c>
      <c r="T108" s="14">
        <f>$C$10*$C$11*P108</f>
        <v>0.0</v>
      </c>
      <c r="U108" s="4" t="n">
        <v>0.9</v>
      </c>
      <c r="V108" s="14">
        <f>IF($C$14=2,(1-U108)*($C$19+$C$20),0)</f>
        <v>0.0</v>
      </c>
      <c r="W108" s="14">
        <f>H108*$C$21</f>
        <v>0.0</v>
      </c>
      <c r="X108" s="14">
        <f>I108*$C$4</f>
        <v>86.625</v>
      </c>
      <c r="Y108" s="4" t="n">
        <v>0.15</v>
      </c>
      <c r="Z108" s="14">
        <f>H108*Y108</f>
        <v>185.625</v>
      </c>
      <c r="AA108" s="14">
        <f>I108-N108-O108-Q108-R108-S108-T108-V108-W108-X108-L108</f>
        <v>8.5575</v>
      </c>
      <c r="AB108" s="14">
        <f>AA108-Z108</f>
        <v>-177.0675</v>
      </c>
      <c r="AC108" s="15">
        <f>IFERROR(AB108/H108,0)</f>
        <v>-0.1430848485</v>
      </c>
      <c r="AD108" s="15">
        <f>IFERROR(AB108/L108,0)</f>
        <v>-0.3179748949</v>
      </c>
      <c r="AE108" s="14">
        <f>IFERROR((L108+R108+T108+Q108+V108+$C$6)/(((1-G108*$C$13)/(1-G108))-(M108+$C$5+Y108+$C$21+IF($C$14=2,$C$16,0))-$C$4*((1-G108*$C$13)/(1-G108))),0)</f>
        <v>1747.7809798271</v>
      </c>
    </row>
    <row r="109">
      <c r="A109" s="10" t="inlineStr">
        <is>
          <t>PETITFEE - Artichoke Soothing Hydrogel Face Mask [5pcs] / Смягчающая гидрогелевая маска для лица с экстрактом артишока</t>
        </is>
      </c>
      <c r="B109" s="11" t="inlineStr">
        <is>
          <t>Маски для лица</t>
        </is>
      </c>
      <c r="C109" s="12" t="n">
        <v>542</v>
      </c>
      <c r="D109" s="12" t="n">
        <v>2420</v>
      </c>
      <c r="E109" s="13" t="n">
        <v>23</v>
      </c>
      <c r="F109" s="5" t="n">
        <v>2300</v>
      </c>
      <c r="G109" s="4" t="n">
        <v>0.45</v>
      </c>
      <c r="H109" s="14">
        <f>F109*(1-G109)</f>
        <v>1265.0</v>
      </c>
      <c r="I109" s="14">
        <f>F109-F109*G109*$C$13</f>
        <v>1265.0</v>
      </c>
      <c r="J109" s="5" t="n">
        <v>498.54</v>
      </c>
      <c r="K109" s="14">
        <f>$C$12</f>
        <v>60.0</v>
      </c>
      <c r="L109" s="14">
        <f>J109+K109</f>
        <v>558.54</v>
      </c>
      <c r="M109" s="15">
        <f>IF($C$14=1,0.41,$C$15)</f>
        <v>0.41</v>
      </c>
      <c r="N109" s="14">
        <f>H109*M109</f>
        <v>518.65</v>
      </c>
      <c r="O109" s="14">
        <f>IF($C$14=2,MIN(H109*$C$16,$C$17),0)</f>
        <v>0.0</v>
      </c>
      <c r="P109" s="16" t="n">
        <v>1.1</v>
      </c>
      <c r="Q109" s="14">
        <f>IF($C$14=2,P109*$C$18,0)</f>
        <v>0.0</v>
      </c>
      <c r="R109" s="14">
        <f>MIN(MAX(H109*$C$7,$C$8),$C$9)</f>
        <v>50.6</v>
      </c>
      <c r="S109" s="14">
        <f>H109*$C$5+$C$6</f>
        <v>29.215</v>
      </c>
      <c r="T109" s="14">
        <f>$C$10*$C$11*P109</f>
        <v>0.0</v>
      </c>
      <c r="U109" s="4" t="n">
        <v>0.9</v>
      </c>
      <c r="V109" s="14">
        <f>IF($C$14=2,(1-U109)*($C$19+$C$20),0)</f>
        <v>0.0</v>
      </c>
      <c r="W109" s="14">
        <f>H109*$C$21</f>
        <v>0.0</v>
      </c>
      <c r="X109" s="14">
        <f>I109*$C$4</f>
        <v>88.55</v>
      </c>
      <c r="Y109" s="4" t="n">
        <v>0.15</v>
      </c>
      <c r="Z109" s="14">
        <f>H109*Y109</f>
        <v>189.75</v>
      </c>
      <c r="AA109" s="14">
        <f>I109-N109-O109-Q109-R109-S109-T109-V109-W109-X109-L109</f>
        <v>19.445</v>
      </c>
      <c r="AB109" s="14">
        <f>AA109-Z109</f>
        <v>-170.305</v>
      </c>
      <c r="AC109" s="15">
        <f>IFERROR(AB109/H109,0)</f>
        <v>-0.1346284585</v>
      </c>
      <c r="AD109" s="15">
        <f>IFERROR(AB109/L109,0)</f>
        <v>-0.304911018</v>
      </c>
      <c r="AE109" s="14">
        <f>IFERROR((L109+R109+T109+Q109+V109+$C$6)/(((1-G109*$C$13)/(1-G109))-(M109+$C$5+Y109+$C$21+IF($C$14=2,$C$16,0))-$C$4*((1-G109*$C$13)/(1-G109))),0)</f>
        <v>1755.7925072046</v>
      </c>
    </row>
    <row r="110">
      <c r="A110" s="10" t="inlineStr">
        <is>
          <t>PETITFEE - Gold &amp; Snail Hydrogel Mask Pack [5pcs] / Гидрогелевая маска для лица с золотом и экстрактом улитки</t>
        </is>
      </c>
      <c r="B110" s="11" t="inlineStr">
        <is>
          <t>Маски для лица</t>
        </is>
      </c>
      <c r="C110" s="12" t="n">
        <v>453</v>
      </c>
      <c r="D110" s="12" t="n">
        <v>2280</v>
      </c>
      <c r="E110" s="13" t="n">
        <v>8</v>
      </c>
      <c r="F110" s="5" t="n">
        <v>2135</v>
      </c>
      <c r="G110" s="4" t="n">
        <v>0.45</v>
      </c>
      <c r="H110" s="14">
        <f>F110*(1-G110)</f>
        <v>1174.25</v>
      </c>
      <c r="I110" s="14">
        <f>F110-F110*G110*$C$13</f>
        <v>1174.25</v>
      </c>
      <c r="J110" s="5" t="n">
        <v>478.17</v>
      </c>
      <c r="K110" s="14">
        <f>$C$12</f>
        <v>60.0</v>
      </c>
      <c r="L110" s="14">
        <f>J110+K110</f>
        <v>538.17</v>
      </c>
      <c r="M110" s="15">
        <f>IF($C$14=1,0.41,$C$15)</f>
        <v>0.41</v>
      </c>
      <c r="N110" s="14">
        <f>H110*M110</f>
        <v>481.4425</v>
      </c>
      <c r="O110" s="14">
        <f>IF($C$14=2,MIN(H110*$C$16,$C$17),0)</f>
        <v>0.0</v>
      </c>
      <c r="P110" s="16" t="n">
        <v>1.1</v>
      </c>
      <c r="Q110" s="14">
        <f>IF($C$14=2,P110*$C$18,0)</f>
        <v>0.0</v>
      </c>
      <c r="R110" s="14">
        <f>MIN(MAX(H110*$C$7,$C$8),$C$9)</f>
        <v>46.97</v>
      </c>
      <c r="S110" s="14">
        <f>H110*$C$5+$C$6</f>
        <v>27.12775</v>
      </c>
      <c r="T110" s="14">
        <f>$C$10*$C$11*P110</f>
        <v>0.0</v>
      </c>
      <c r="U110" s="4" t="n">
        <v>0.9</v>
      </c>
      <c r="V110" s="14">
        <f>IF($C$14=2,(1-U110)*($C$19+$C$20),0)</f>
        <v>0.0</v>
      </c>
      <c r="W110" s="14">
        <f>H110*$C$21</f>
        <v>0.0</v>
      </c>
      <c r="X110" s="14">
        <f>I110*$C$4</f>
        <v>82.1975</v>
      </c>
      <c r="Y110" s="4" t="n">
        <v>0.15</v>
      </c>
      <c r="Z110" s="14">
        <f>H110*Y110</f>
        <v>176.1375</v>
      </c>
      <c r="AA110" s="14">
        <f>I110-N110-O110-Q110-R110-S110-T110-V110-W110-X110-L110</f>
        <v>-1.65775</v>
      </c>
      <c r="AB110" s="14">
        <f>AA110-Z110</f>
        <v>-177.79525</v>
      </c>
      <c r="AC110" s="15">
        <f>IFERROR(AB110/H110,0)</f>
        <v>-0.1514117522</v>
      </c>
      <c r="AD110" s="15">
        <f>IFERROR(AB110/L110,0)</f>
        <v>-0.3303700504</v>
      </c>
      <c r="AE110" s="14">
        <f>IFERROR((L110+R110+T110+Q110+V110+$C$6)/(((1-G110*$C$13)/(1-G110))-(M110+$C$5+Y110+$C$21+IF($C$14=2,$C$16,0))-$C$4*((1-G110*$C$13)/(1-G110))),0)</f>
        <v>1686.6282420749</v>
      </c>
    </row>
    <row r="111">
      <c r="A111" s="10" t="inlineStr">
        <is>
          <t>PETITFEE - Black Pearl &amp; Gold Hydrogel Mask Pack [5pcs] / Гидрогелевая маска для лица с черным жемчугом и золотом</t>
        </is>
      </c>
      <c r="B111" s="11" t="inlineStr">
        <is>
          <t>Маски для лица</t>
        </is>
      </c>
      <c r="C111" s="12" t="n">
        <v>543</v>
      </c>
      <c r="D111" s="12" t="n">
        <v>2225</v>
      </c>
      <c r="E111" s="13" t="n">
        <v>23</v>
      </c>
      <c r="F111" s="5" t="n">
        <v>2135</v>
      </c>
      <c r="G111" s="4" t="n">
        <v>0.45</v>
      </c>
      <c r="H111" s="14">
        <f>F111*(1-G111)</f>
        <v>1174.25</v>
      </c>
      <c r="I111" s="14">
        <f>F111-F111*G111*$C$13</f>
        <v>1174.25</v>
      </c>
      <c r="J111" s="5" t="n">
        <v>478.05</v>
      </c>
      <c r="K111" s="14">
        <f>$C$12</f>
        <v>60.0</v>
      </c>
      <c r="L111" s="14">
        <f>J111+K111</f>
        <v>538.05</v>
      </c>
      <c r="M111" s="15">
        <f>IF($C$14=1,0.41,$C$15)</f>
        <v>0.41</v>
      </c>
      <c r="N111" s="14">
        <f>H111*M111</f>
        <v>481.4425</v>
      </c>
      <c r="O111" s="14">
        <f>IF($C$14=2,MIN(H111*$C$16,$C$17),0)</f>
        <v>0.0</v>
      </c>
      <c r="P111" s="16" t="n">
        <v>1.1</v>
      </c>
      <c r="Q111" s="14">
        <f>IF($C$14=2,P111*$C$18,0)</f>
        <v>0.0</v>
      </c>
      <c r="R111" s="14">
        <f>MIN(MAX(H111*$C$7,$C$8),$C$9)</f>
        <v>46.97</v>
      </c>
      <c r="S111" s="14">
        <f>H111*$C$5+$C$6</f>
        <v>27.12775</v>
      </c>
      <c r="T111" s="14">
        <f>$C$10*$C$11*P111</f>
        <v>0.0</v>
      </c>
      <c r="U111" s="4" t="n">
        <v>0.9</v>
      </c>
      <c r="V111" s="14">
        <f>IF($C$14=2,(1-U111)*($C$19+$C$20),0)</f>
        <v>0.0</v>
      </c>
      <c r="W111" s="14">
        <f>H111*$C$21</f>
        <v>0.0</v>
      </c>
      <c r="X111" s="14">
        <f>I111*$C$4</f>
        <v>82.1975</v>
      </c>
      <c r="Y111" s="4" t="n">
        <v>0.15</v>
      </c>
      <c r="Z111" s="14">
        <f>H111*Y111</f>
        <v>176.1375</v>
      </c>
      <c r="AA111" s="14">
        <f>I111-N111-O111-Q111-R111-S111-T111-V111-W111-X111-L111</f>
        <v>-1.53775</v>
      </c>
      <c r="AB111" s="14">
        <f>AA111-Z111</f>
        <v>-177.67525</v>
      </c>
      <c r="AC111" s="15">
        <f>IFERROR(AB111/H111,0)</f>
        <v>-0.1513095593</v>
      </c>
      <c r="AD111" s="15">
        <f>IFERROR(AB111/L111,0)</f>
        <v>-0.3302207044</v>
      </c>
      <c r="AE111" s="14">
        <f>IFERROR((L111+R111+T111+Q111+V111+$C$6)/(((1-G111*$C$13)/(1-G111))-(M111+$C$5+Y111+$C$21+IF($C$14=2,$C$16,0))-$C$4*((1-G111*$C$13)/(1-G111))),0)</f>
        <v>1686.2824207493</v>
      </c>
    </row>
    <row r="112">
      <c r="A112" s="8" t="inlineStr">
        <is>
          <t>Косметика/ROUND LAB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</row>
    <row r="113">
      <c r="A113" s="10" t="inlineStr">
        <is>
          <t>ROUND LAB 1025 DOKDO CLEANSER_150ml</t>
        </is>
      </c>
      <c r="B113" s="11" t="inlineStr">
        <is>
          <t>Средства для умывания</t>
        </is>
      </c>
      <c r="C113" s="12" t="n">
        <v>7158</v>
      </c>
      <c r="D113" s="12" t="n">
        <v>2335</v>
      </c>
      <c r="E113" s="13" t="n">
        <v>3</v>
      </c>
      <c r="F113" s="5" t="n">
        <v>2200</v>
      </c>
      <c r="G113" s="4" t="n">
        <v>0.45</v>
      </c>
      <c r="H113" s="14">
        <f>F113*(1-G113)</f>
        <v>1210.0</v>
      </c>
      <c r="I113" s="14">
        <f>F113-F113*G113*$C$13</f>
        <v>1210.0</v>
      </c>
      <c r="J113" s="5" t="n">
        <v>463.19</v>
      </c>
      <c r="K113" s="14">
        <f>$C$12</f>
        <v>60.0</v>
      </c>
      <c r="L113" s="14">
        <f>J113+K113</f>
        <v>523.19</v>
      </c>
      <c r="M113" s="15">
        <f>IF($C$14=1,0.41,$C$15)</f>
        <v>0.41</v>
      </c>
      <c r="N113" s="14">
        <f>H113*M113</f>
        <v>496.1</v>
      </c>
      <c r="O113" s="14">
        <f>IF($C$14=2,MIN(H113*$C$16,$C$17),0)</f>
        <v>0.0</v>
      </c>
      <c r="P113" s="16" t="n">
        <v>1.28</v>
      </c>
      <c r="Q113" s="14">
        <f>IF($C$14=2,P113*$C$18,0)</f>
        <v>0.0</v>
      </c>
      <c r="R113" s="14">
        <f>MIN(MAX(H113*$C$7,$C$8),$C$9)</f>
        <v>48.4</v>
      </c>
      <c r="S113" s="14">
        <f>H113*$C$5+$C$6</f>
        <v>27.95</v>
      </c>
      <c r="T113" s="14">
        <f>$C$10*$C$11*P113</f>
        <v>0.0</v>
      </c>
      <c r="U113" s="4" t="n">
        <v>0.9</v>
      </c>
      <c r="V113" s="14">
        <f>IF($C$14=2,(1-U113)*($C$19+$C$20),0)</f>
        <v>0.0</v>
      </c>
      <c r="W113" s="14">
        <f>H113*$C$21</f>
        <v>0.0</v>
      </c>
      <c r="X113" s="14">
        <f>I113*$C$4</f>
        <v>84.7</v>
      </c>
      <c r="Y113" s="4" t="n">
        <v>0.15</v>
      </c>
      <c r="Z113" s="14">
        <f>H113*Y113</f>
        <v>181.5</v>
      </c>
      <c r="AA113" s="14">
        <f>I113-N113-O113-Q113-R113-S113-T113-V113-W113-X113-L113</f>
        <v>29.66</v>
      </c>
      <c r="AB113" s="14">
        <f>AA113-Z113</f>
        <v>-151.84</v>
      </c>
      <c r="AC113" s="15">
        <f>IFERROR(AB113/H113,0)</f>
        <v>-0.1254876033</v>
      </c>
      <c r="AD113" s="15">
        <f>IFERROR(AB113/L113,0)</f>
        <v>-0.2902196143</v>
      </c>
      <c r="AE113" s="14">
        <f>IFERROR((L113+R113+T113+Q113+V113+$C$6)/(((1-G113*$C$13)/(1-G113))-(M113+$C$5+Y113+$C$21+IF($C$14=2,$C$16,0))-$C$4*((1-G113*$C$13)/(1-G113))),0)</f>
        <v>1647.5792507205</v>
      </c>
    </row>
    <row r="114">
      <c r="A114" s="10" t="inlineStr">
        <is>
          <t>ROUND LAB MUGWORT CALMING CLEANSER_150ml - Очищающая пенка для умывания лица от прыщей и акне</t>
        </is>
      </c>
      <c r="B114" s="11" t="inlineStr">
        <is>
          <t>Средства для умывания</t>
        </is>
      </c>
      <c r="C114" s="12" t="n">
        <v>1422</v>
      </c>
      <c r="D114" s="12" t="n"/>
      <c r="E114" s="13" t="n"/>
      <c r="F114" s="5" t="n">
        <v>2232.574079</v>
      </c>
      <c r="G114" s="4" t="n">
        <v>0.45</v>
      </c>
      <c r="H114" s="14">
        <f>F114*(1-G114)</f>
        <v>1227.91574345</v>
      </c>
      <c r="I114" s="14">
        <f>F114-F114*G114*$C$13</f>
        <v>1227.91574345</v>
      </c>
      <c r="J114" s="5" t="n">
        <v>512.3200000000001</v>
      </c>
      <c r="K114" s="14">
        <f>$C$12</f>
        <v>60.0</v>
      </c>
      <c r="L114" s="14">
        <f>J114+K114</f>
        <v>572.32</v>
      </c>
      <c r="M114" s="15">
        <f>IF($C$14=1,0.41,$C$15)</f>
        <v>0.41</v>
      </c>
      <c r="N114" s="14">
        <f>H114*M114</f>
        <v>503.4454548145</v>
      </c>
      <c r="O114" s="14">
        <f>IF($C$14=2,MIN(H114*$C$16,$C$17),0)</f>
        <v>0.0</v>
      </c>
      <c r="P114" s="16" t="n">
        <v>0.8</v>
      </c>
      <c r="Q114" s="14">
        <f>IF($C$14=2,P114*$C$18,0)</f>
        <v>0.0</v>
      </c>
      <c r="R114" s="14">
        <f>MIN(MAX(H114*$C$7,$C$8),$C$9)</f>
        <v>49.116629738</v>
      </c>
      <c r="S114" s="14">
        <f>H114*$C$5+$C$6</f>
        <v>28.3620620994</v>
      </c>
      <c r="T114" s="14">
        <f>$C$10*$C$11*P114</f>
        <v>0.0</v>
      </c>
      <c r="U114" s="4" t="n">
        <v>0.9</v>
      </c>
      <c r="V114" s="14">
        <f>IF($C$14=2,(1-U114)*($C$19+$C$20),0)</f>
        <v>0.0</v>
      </c>
      <c r="W114" s="14">
        <f>H114*$C$21</f>
        <v>0.0</v>
      </c>
      <c r="X114" s="14">
        <f>I114*$C$4</f>
        <v>85.9541020415</v>
      </c>
      <c r="Y114" s="4" t="n">
        <v>0.15</v>
      </c>
      <c r="Z114" s="14">
        <f>H114*Y114</f>
        <v>184.1873615175</v>
      </c>
      <c r="AA114" s="14">
        <f>I114-N114-O114-Q114-R114-S114-T114-V114-W114-X114-L114</f>
        <v>-11.2825052434</v>
      </c>
      <c r="AB114" s="14">
        <f>AA114-Z114</f>
        <v>-195.4698667609</v>
      </c>
      <c r="AC114" s="15">
        <f>IFERROR(AB114/H114,0)</f>
        <v>-0.1591883383</v>
      </c>
      <c r="AD114" s="15">
        <f>IFERROR(AB114/L114,0)</f>
        <v>-0.3415394653</v>
      </c>
      <c r="AE114" s="14">
        <f>IFERROR((L114+R114+T114+Q114+V114+$C$6)/(((1-G114*$C$13)/(1-G114))-(M114+$C$5+Y114+$C$21+IF($C$14=2,$C$16,0))-$C$4*((1-G114*$C$13)/(1-G114))),0)</f>
        <v>1791.229480513</v>
      </c>
    </row>
    <row r="115">
      <c r="A115" s="10" t="inlineStr">
        <is>
          <t>ROUND LAB 1025 DOKDO TONER_200ml</t>
        </is>
      </c>
      <c r="B115" s="11" t="inlineStr">
        <is>
          <t>Средства для ухода за лицом</t>
        </is>
      </c>
      <c r="C115" s="12" t="n">
        <v>998</v>
      </c>
      <c r="D115" s="12" t="n">
        <v>3400</v>
      </c>
      <c r="E115" s="13" t="n">
        <v>2</v>
      </c>
      <c r="F115" s="5" t="n">
        <v>3100</v>
      </c>
      <c r="G115" s="4" t="n">
        <v>0.45</v>
      </c>
      <c r="H115" s="14">
        <f>F115*(1-G115)</f>
        <v>1705.0</v>
      </c>
      <c r="I115" s="14">
        <f>F115-F115*G115*$C$13</f>
        <v>1705.0</v>
      </c>
      <c r="J115" s="5" t="n">
        <v>463.19</v>
      </c>
      <c r="K115" s="14">
        <f>$C$12</f>
        <v>60.0</v>
      </c>
      <c r="L115" s="14">
        <f>J115+K115</f>
        <v>523.19</v>
      </c>
      <c r="M115" s="15">
        <f>IF($C$14=1,0.4,$C$15)</f>
        <v>0.4</v>
      </c>
      <c r="N115" s="14">
        <f>H115*M115</f>
        <v>682.0</v>
      </c>
      <c r="O115" s="14">
        <f>IF($C$14=2,MIN(H115*$C$16,$C$17),0)</f>
        <v>0.0</v>
      </c>
      <c r="P115" s="16" t="n">
        <v>1.28</v>
      </c>
      <c r="Q115" s="14">
        <f>IF($C$14=2,P115*$C$18,0)</f>
        <v>0.0</v>
      </c>
      <c r="R115" s="14">
        <f>MIN(MAX(H115*$C$7,$C$8),$C$9)</f>
        <v>68.2</v>
      </c>
      <c r="S115" s="14">
        <f>H115*$C$5+$C$6</f>
        <v>39.335</v>
      </c>
      <c r="T115" s="14">
        <f>$C$10*$C$11*P115</f>
        <v>0.0</v>
      </c>
      <c r="U115" s="4" t="n">
        <v>0.9</v>
      </c>
      <c r="V115" s="14">
        <f>IF($C$14=2,(1-U115)*($C$19+$C$20),0)</f>
        <v>0.0</v>
      </c>
      <c r="W115" s="14">
        <f>H115*$C$21</f>
        <v>0.0</v>
      </c>
      <c r="X115" s="14">
        <f>I115*$C$4</f>
        <v>119.35</v>
      </c>
      <c r="Y115" s="4" t="n">
        <v>0.15</v>
      </c>
      <c r="Z115" s="14">
        <f>H115*Y115</f>
        <v>255.75</v>
      </c>
      <c r="AA115" s="14">
        <f>I115-N115-O115-Q115-R115-S115-T115-V115-W115-X115-L115</f>
        <v>272.925</v>
      </c>
      <c r="AB115" s="14">
        <f>AA115-Z115</f>
        <v>17.175</v>
      </c>
      <c r="AC115" s="15">
        <f>IFERROR(AB115/H115,0)</f>
        <v>0.0100733138</v>
      </c>
      <c r="AD115" s="15">
        <f>IFERROR(AB115/L115,0)</f>
        <v>0.0328274623</v>
      </c>
      <c r="AE115" s="14">
        <f>IFERROR((L115+R115+T115+Q115+V115+$C$6)/(((1-G115*$C$13)/(1-G115))-(M115+$C$5+Y115+$C$21+IF($C$14=2,$C$16,0))-$C$4*((1-G115*$C$13)/(1-G115))),0)</f>
        <v>1656.8907563025</v>
      </c>
    </row>
    <row r="116">
      <c r="A116" s="8" t="inlineStr">
        <is>
          <t>Косметика/SKIN1004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</row>
    <row r="117">
      <c r="A117" s="8" t="inlineStr">
        <is>
          <t>Косметика/SOMEBYMI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</row>
    <row r="118">
      <c r="A118" s="8" t="inlineStr">
        <is>
          <t>Косметика/TheOrdinary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</row>
    <row r="119">
      <c r="A119" s="8" t="inlineStr">
        <is>
          <t>Косметика/CELIMAX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</row>
    <row r="120">
      <c r="A120" s="10" t="inlineStr">
        <is>
          <t>Celimax Dual Barrier Creamy Toner</t>
        </is>
      </c>
      <c r="B120" s="11" t="inlineStr">
        <is>
          <t>Средства для ухода за лицом</t>
        </is>
      </c>
      <c r="C120" s="12" t="n">
        <v>4929</v>
      </c>
      <c r="D120" s="12" t="n">
        <v>2600</v>
      </c>
      <c r="E120" s="13" t="n"/>
      <c r="F120" s="5" t="n">
        <v>2450</v>
      </c>
      <c r="G120" s="4" t="n">
        <v>0.45</v>
      </c>
      <c r="H120" s="14">
        <f>F120*(1-G120)</f>
        <v>1347.5</v>
      </c>
      <c r="I120" s="14">
        <f>F120-F120*G120*$C$13</f>
        <v>1347.5</v>
      </c>
      <c r="J120" s="5" t="n">
        <v>663.86</v>
      </c>
      <c r="K120" s="14">
        <f>$C$12</f>
        <v>60.0</v>
      </c>
      <c r="L120" s="14">
        <f>J120+K120</f>
        <v>723.86</v>
      </c>
      <c r="M120" s="15">
        <f>IF($C$14=1,0.4,$C$15)</f>
        <v>0.4</v>
      </c>
      <c r="N120" s="14">
        <f>H120*M120</f>
        <v>539.0</v>
      </c>
      <c r="O120" s="14">
        <f>IF($C$14=2,MIN(H120*$C$16,$C$17),0)</f>
        <v>0.0</v>
      </c>
      <c r="P120" s="16" t="n">
        <v>0.735</v>
      </c>
      <c r="Q120" s="14">
        <f>IF($C$14=2,P120*$C$18,0)</f>
        <v>0.0</v>
      </c>
      <c r="R120" s="14">
        <f>MIN(MAX(H120*$C$7,$C$8),$C$9)</f>
        <v>53.9</v>
      </c>
      <c r="S120" s="14">
        <f>H120*$C$5+$C$6</f>
        <v>31.1125</v>
      </c>
      <c r="T120" s="14">
        <f>$C$10*$C$11*P120</f>
        <v>0.0</v>
      </c>
      <c r="U120" s="4" t="n">
        <v>0.9</v>
      </c>
      <c r="V120" s="14">
        <f>IF($C$14=2,(1-U120)*($C$19+$C$20),0)</f>
        <v>0.0</v>
      </c>
      <c r="W120" s="14">
        <f>H120*$C$21</f>
        <v>0.0</v>
      </c>
      <c r="X120" s="14">
        <f>I120*$C$4</f>
        <v>94.325</v>
      </c>
      <c r="Y120" s="4" t="n">
        <v>0.15</v>
      </c>
      <c r="Z120" s="14">
        <f>H120*Y120</f>
        <v>202.125</v>
      </c>
      <c r="AA120" s="14">
        <f>I120-N120-O120-Q120-R120-S120-T120-V120-W120-X120-L120</f>
        <v>-94.6975</v>
      </c>
      <c r="AB120" s="14">
        <f>AA120-Z120</f>
        <v>-296.8225</v>
      </c>
      <c r="AC120" s="15">
        <f>IFERROR(AB120/H120,0)</f>
        <v>-0.2202764378</v>
      </c>
      <c r="AD120" s="15">
        <f>IFERROR(AB120/L120,0)</f>
        <v>-0.4100551212</v>
      </c>
      <c r="AE120" s="14">
        <f>IFERROR((L120+R120+T120+Q120+V120+$C$6)/(((1-G120*$C$13)/(1-G120))-(M120+$C$5+Y120+$C$21+IF($C$14=2,$C$16,0))-$C$4*((1-G120*$C$13)/(1-G120))),0)</f>
        <v>2178.9355742297</v>
      </c>
    </row>
    <row r="121">
      <c r="A121" s="10" t="inlineStr">
        <is>
          <t>CELIMAX THE VITA-A RETINAL SHOT TIGHTENING BOOSTER [15ml]/Подтягивающий бустер-крем с ретинолом для лица</t>
        </is>
      </c>
      <c r="B121" s="11" t="inlineStr">
        <is>
          <t>Средства для ухода за лицом</t>
        </is>
      </c>
      <c r="C121" s="12" t="n">
        <v>9768</v>
      </c>
      <c r="D121" s="12" t="n">
        <v>2250</v>
      </c>
      <c r="E121" s="13" t="n">
        <v>13</v>
      </c>
      <c r="F121" s="5" t="n">
        <v>2150</v>
      </c>
      <c r="G121" s="4" t="n">
        <v>0.45</v>
      </c>
      <c r="H121" s="14">
        <f>F121*(1-G121)</f>
        <v>1182.5</v>
      </c>
      <c r="I121" s="14">
        <f>F121-F121*G121*$C$13</f>
        <v>1182.5</v>
      </c>
      <c r="J121" s="5" t="n">
        <v>512.1799999999999</v>
      </c>
      <c r="K121" s="14">
        <f>$C$12</f>
        <v>60.0</v>
      </c>
      <c r="L121" s="14">
        <f>J121+K121</f>
        <v>572.18</v>
      </c>
      <c r="M121" s="15">
        <f>IF($C$14=1,0.4,$C$15)</f>
        <v>0.4</v>
      </c>
      <c r="N121" s="14">
        <f>H121*M121</f>
        <v>473.0</v>
      </c>
      <c r="O121" s="14">
        <f>IF($C$14=2,MIN(H121*$C$16,$C$17),0)</f>
        <v>0.0</v>
      </c>
      <c r="P121" s="16" t="n">
        <v>0.18</v>
      </c>
      <c r="Q121" s="14">
        <f>IF($C$14=2,P121*$C$18,0)</f>
        <v>0.0</v>
      </c>
      <c r="R121" s="14">
        <f>MIN(MAX(H121*$C$7,$C$8),$C$9)</f>
        <v>47.3</v>
      </c>
      <c r="S121" s="14">
        <f>H121*$C$5+$C$6</f>
        <v>27.3175</v>
      </c>
      <c r="T121" s="14">
        <f>$C$10*$C$11*P121</f>
        <v>0.0</v>
      </c>
      <c r="U121" s="4" t="n">
        <v>0.9</v>
      </c>
      <c r="V121" s="14">
        <f>IF($C$14=2,(1-U121)*($C$19+$C$20),0)</f>
        <v>0.0</v>
      </c>
      <c r="W121" s="14">
        <f>H121*$C$21</f>
        <v>0.0</v>
      </c>
      <c r="X121" s="14">
        <f>I121*$C$4</f>
        <v>82.775</v>
      </c>
      <c r="Y121" s="4" t="n">
        <v>0.15</v>
      </c>
      <c r="Z121" s="14">
        <f>H121*Y121</f>
        <v>177.375</v>
      </c>
      <c r="AA121" s="14">
        <f>I121-N121-O121-Q121-R121-S121-T121-V121-W121-X121-L121</f>
        <v>-20.0725</v>
      </c>
      <c r="AB121" s="14">
        <f>AA121-Z121</f>
        <v>-197.4475</v>
      </c>
      <c r="AC121" s="15">
        <f>IFERROR(AB121/H121,0)</f>
        <v>-0.16697463</v>
      </c>
      <c r="AD121" s="15">
        <f>IFERROR(AB121/L121,0)</f>
        <v>-0.3450793457</v>
      </c>
      <c r="AE121" s="14">
        <f>IFERROR((L121+R121+T121+Q121+V121+$C$6)/(((1-G121*$C$13)/(1-G121))-(M121+$C$5+Y121+$C$21+IF($C$14=2,$C$16,0))-$C$4*((1-G121*$C$13)/(1-G121))),0)</f>
        <v>1735.5742296919</v>
      </c>
    </row>
    <row r="122">
      <c r="A122" s="10" t="inlineStr">
        <is>
          <t>CELIMAX THE VITA-A RETINOL SHOT TIGHTENING SERUM [30ml]/Сыворотка с ретинолом и микроиглами для лица</t>
        </is>
      </c>
      <c r="B122" s="11" t="inlineStr">
        <is>
          <t>Средства для ухода за лицом</t>
        </is>
      </c>
      <c r="C122" s="12" t="n">
        <v>3564</v>
      </c>
      <c r="D122" s="12" t="n">
        <v>2450</v>
      </c>
      <c r="E122" s="13" t="n">
        <v>10</v>
      </c>
      <c r="F122" s="5" t="n">
        <v>2350</v>
      </c>
      <c r="G122" s="4" t="n">
        <v>0.45</v>
      </c>
      <c r="H122" s="14">
        <f>F122*(1-G122)</f>
        <v>1292.5</v>
      </c>
      <c r="I122" s="14">
        <f>F122-F122*G122*$C$13</f>
        <v>1292.5</v>
      </c>
      <c r="J122" s="5" t="n">
        <v>532.1</v>
      </c>
      <c r="K122" s="14">
        <f>$C$12</f>
        <v>60.0</v>
      </c>
      <c r="L122" s="14">
        <f>J122+K122</f>
        <v>592.1</v>
      </c>
      <c r="M122" s="15">
        <f>IF($C$14=1,0.4,$C$15)</f>
        <v>0.4</v>
      </c>
      <c r="N122" s="14">
        <f>H122*M122</f>
        <v>517.0</v>
      </c>
      <c r="O122" s="14">
        <f>IF($C$14=2,MIN(H122*$C$16,$C$17),0)</f>
        <v>0.0</v>
      </c>
      <c r="P122" s="16" t="n">
        <v>0.38</v>
      </c>
      <c r="Q122" s="14">
        <f>IF($C$14=2,P122*$C$18,0)</f>
        <v>0.0</v>
      </c>
      <c r="R122" s="14">
        <f>MIN(MAX(H122*$C$7,$C$8),$C$9)</f>
        <v>51.7</v>
      </c>
      <c r="S122" s="14">
        <f>H122*$C$5+$C$6</f>
        <v>29.8475</v>
      </c>
      <c r="T122" s="14">
        <f>$C$10*$C$11*P122</f>
        <v>0.0</v>
      </c>
      <c r="U122" s="4" t="n">
        <v>0.9</v>
      </c>
      <c r="V122" s="14">
        <f>IF($C$14=2,(1-U122)*($C$19+$C$20),0)</f>
        <v>0.0</v>
      </c>
      <c r="W122" s="14">
        <f>H122*$C$21</f>
        <v>0.0</v>
      </c>
      <c r="X122" s="14">
        <f>I122*$C$4</f>
        <v>90.475</v>
      </c>
      <c r="Y122" s="4" t="n">
        <v>0.15</v>
      </c>
      <c r="Z122" s="14">
        <f>H122*Y122</f>
        <v>193.875</v>
      </c>
      <c r="AA122" s="14">
        <f>I122-N122-O122-Q122-R122-S122-T122-V122-W122-X122-L122</f>
        <v>11.3775</v>
      </c>
      <c r="AB122" s="14">
        <f>AA122-Z122</f>
        <v>-182.4975</v>
      </c>
      <c r="AC122" s="15">
        <f>IFERROR(AB122/H122,0)</f>
        <v>-0.1411972921</v>
      </c>
      <c r="AD122" s="15">
        <f>IFERROR(AB122/L122,0)</f>
        <v>-0.3082207397</v>
      </c>
      <c r="AE122" s="14">
        <f>IFERROR((L122+R122+T122+Q122+V122+$C$6)/(((1-G122*$C$13)/(1-G122))-(M122+$C$5+Y122+$C$21+IF($C$14=2,$C$16,0))-$C$4*((1-G122*$C$13)/(1-G122))),0)</f>
        <v>1803.6974789916</v>
      </c>
    </row>
    <row r="123">
      <c r="A123" s="10" t="inlineStr">
        <is>
          <t>CELIMAX JI WOO GAE CICA BHA BLEMISH TONER PAD_10EA [30ml]/успокаивающие тонер-пэды</t>
        </is>
      </c>
      <c r="B123" s="11" t="inlineStr">
        <is>
          <t>Средства для ухода за лицом</t>
        </is>
      </c>
      <c r="C123" s="12" t="n">
        <v>1696</v>
      </c>
      <c r="D123" s="12" t="n">
        <v>775</v>
      </c>
      <c r="E123" s="13" t="n">
        <v>11</v>
      </c>
      <c r="F123" s="5" t="n">
        <v>745</v>
      </c>
      <c r="G123" s="4" t="n">
        <v>0.45</v>
      </c>
      <c r="H123" s="14">
        <f>F123*(1-G123)</f>
        <v>409.75</v>
      </c>
      <c r="I123" s="14">
        <f>F123-F123*G123*$C$13</f>
        <v>409.75</v>
      </c>
      <c r="J123" s="5" t="n">
        <v>96.94</v>
      </c>
      <c r="K123" s="14">
        <f>$C$12</f>
        <v>60.0</v>
      </c>
      <c r="L123" s="14">
        <f>J123+K123</f>
        <v>156.94</v>
      </c>
      <c r="M123" s="15">
        <f>IF($C$14=1,0.4,$C$15)</f>
        <v>0.4</v>
      </c>
      <c r="N123" s="14">
        <f>H123*M123</f>
        <v>163.9</v>
      </c>
      <c r="O123" s="14">
        <f>IF($C$14=2,MIN(H123*$C$16,$C$17),0)</f>
        <v>0.0</v>
      </c>
      <c r="P123" s="16" t="n">
        <v>0.14</v>
      </c>
      <c r="Q123" s="14">
        <f>IF($C$14=2,P123*$C$18,0)</f>
        <v>0.0</v>
      </c>
      <c r="R123" s="14">
        <f>MIN(MAX(H123*$C$7,$C$8),$C$9)</f>
        <v>25.0</v>
      </c>
      <c r="S123" s="14">
        <f>H123*$C$5+$C$6</f>
        <v>9.54425</v>
      </c>
      <c r="T123" s="14">
        <f>$C$10*$C$11*P123</f>
        <v>0.0</v>
      </c>
      <c r="U123" s="4" t="n">
        <v>0.9</v>
      </c>
      <c r="V123" s="14">
        <f>IF($C$14=2,(1-U123)*($C$19+$C$20),0)</f>
        <v>0.0</v>
      </c>
      <c r="W123" s="14">
        <f>H123*$C$21</f>
        <v>0.0</v>
      </c>
      <c r="X123" s="14">
        <f>I123*$C$4</f>
        <v>28.6825</v>
      </c>
      <c r="Y123" s="4" t="n">
        <v>0.15</v>
      </c>
      <c r="Z123" s="14">
        <f>H123*Y123</f>
        <v>61.4625</v>
      </c>
      <c r="AA123" s="14">
        <f>I123-N123-O123-Q123-R123-S123-T123-V123-W123-X123-L123</f>
        <v>25.68325</v>
      </c>
      <c r="AB123" s="14">
        <f>AA123-Z123</f>
        <v>-35.77925</v>
      </c>
      <c r="AC123" s="15">
        <f>IFERROR(AB123/H123,0)</f>
        <v>-0.0873197071</v>
      </c>
      <c r="AD123" s="15">
        <f>IFERROR(AB123/L123,0)</f>
        <v>-0.2279804384</v>
      </c>
      <c r="AE123" s="14">
        <f>IFERROR((L123+R123+T123+Q123+V123+$C$6)/(((1-G123*$C$13)/(1-G123))-(M123+$C$5+Y123+$C$21+IF($C$14=2,$C$16,0))-$C$4*((1-G123*$C$13)/(1-G123))),0)</f>
        <v>509.9719887955</v>
      </c>
    </row>
    <row r="124">
      <c r="A124" s="10" t="inlineStr">
        <is>
          <t>CELIMAX JI WOO GAE CICA BHA BLEMISH TONER PAD [170ml / 60pads]/Тонер-пэды от воспалений</t>
        </is>
      </c>
      <c r="B124" s="11" t="inlineStr">
        <is>
          <t>Средства для ухода за лицом</t>
        </is>
      </c>
      <c r="C124" s="12" t="n">
        <v>1620</v>
      </c>
      <c r="D124" s="12" t="n">
        <v>3450</v>
      </c>
      <c r="E124" s="13" t="n">
        <v>11</v>
      </c>
      <c r="F124" s="5" t="n">
        <v>3150</v>
      </c>
      <c r="G124" s="4" t="n">
        <v>0.45</v>
      </c>
      <c r="H124" s="14">
        <f>F124*(1-G124)</f>
        <v>1732.5</v>
      </c>
      <c r="I124" s="14">
        <f>F124-F124*G124*$C$13</f>
        <v>1732.5</v>
      </c>
      <c r="J124" s="5" t="n">
        <v>707.88</v>
      </c>
      <c r="K124" s="14">
        <f>$C$12</f>
        <v>60.0</v>
      </c>
      <c r="L124" s="14">
        <f>J124+K124</f>
        <v>767.88</v>
      </c>
      <c r="M124" s="15">
        <f>IF($C$14=1,0.4,$C$15)</f>
        <v>0.4</v>
      </c>
      <c r="N124" s="14">
        <f>H124*M124</f>
        <v>693.0</v>
      </c>
      <c r="O124" s="14">
        <f>IF($C$14=2,MIN(H124*$C$16,$C$17),0)</f>
        <v>0.0</v>
      </c>
      <c r="P124" s="16" t="n">
        <v>0.96</v>
      </c>
      <c r="Q124" s="14">
        <f>IF($C$14=2,P124*$C$18,0)</f>
        <v>0.0</v>
      </c>
      <c r="R124" s="14">
        <f>MIN(MAX(H124*$C$7,$C$8),$C$9)</f>
        <v>69.3</v>
      </c>
      <c r="S124" s="14">
        <f>H124*$C$5+$C$6</f>
        <v>39.9675</v>
      </c>
      <c r="T124" s="14">
        <f>$C$10*$C$11*P124</f>
        <v>0.0</v>
      </c>
      <c r="U124" s="4" t="n">
        <v>0.9</v>
      </c>
      <c r="V124" s="14">
        <f>IF($C$14=2,(1-U124)*($C$19+$C$20),0)</f>
        <v>0.0</v>
      </c>
      <c r="W124" s="14">
        <f>H124*$C$21</f>
        <v>0.0</v>
      </c>
      <c r="X124" s="14">
        <f>I124*$C$4</f>
        <v>121.275</v>
      </c>
      <c r="Y124" s="4" t="n">
        <v>0.15</v>
      </c>
      <c r="Z124" s="14">
        <f>H124*Y124</f>
        <v>259.875</v>
      </c>
      <c r="AA124" s="14">
        <f>I124-N124-O124-Q124-R124-S124-T124-V124-W124-X124-L124</f>
        <v>41.0775</v>
      </c>
      <c r="AB124" s="14">
        <f>AA124-Z124</f>
        <v>-218.7975</v>
      </c>
      <c r="AC124" s="15">
        <f>IFERROR(AB124/H124,0)</f>
        <v>-0.1262900433</v>
      </c>
      <c r="AD124" s="15">
        <f>IFERROR(AB124/L124,0)</f>
        <v>-0.2849370995</v>
      </c>
      <c r="AE124" s="14">
        <f>IFERROR((L124+R124+T124+Q124+V124+$C$6)/(((1-G124*$C$13)/(1-G124))-(M124+$C$5+Y124+$C$21+IF($C$14=2,$C$16,0))-$C$4*((1-G124*$C$13)/(1-G124))),0)</f>
        <v>2345.3781512605</v>
      </c>
    </row>
    <row r="125">
      <c r="A125" s="10" t="inlineStr">
        <is>
          <t>CELIMAX PORE+DARK SPOT BRIGHTENING PAD [100ml / 40pads]/Тонер-пэды для выравнивания тона и рельефа кожи</t>
        </is>
      </c>
      <c r="B125" s="11" t="inlineStr">
        <is>
          <t>Средства для ухода за лицом</t>
        </is>
      </c>
      <c r="C125" s="12" t="n">
        <v>1795</v>
      </c>
      <c r="D125" s="12" t="n">
        <v>2880</v>
      </c>
      <c r="E125" s="13" t="n">
        <v>21</v>
      </c>
      <c r="F125" s="5" t="n">
        <v>2580</v>
      </c>
      <c r="G125" s="4" t="n">
        <v>0.45</v>
      </c>
      <c r="H125" s="14">
        <f>F125*(1-G125)</f>
        <v>1419.0</v>
      </c>
      <c r="I125" s="14">
        <f>F125-F125*G125*$C$13</f>
        <v>1419.0</v>
      </c>
      <c r="J125" s="5" t="n">
        <v>556.1799999999999</v>
      </c>
      <c r="K125" s="14">
        <f>$C$12</f>
        <v>60.0</v>
      </c>
      <c r="L125" s="14">
        <f>J125+K125</f>
        <v>616.18</v>
      </c>
      <c r="M125" s="15">
        <f>IF($C$14=1,0.4,$C$15)</f>
        <v>0.4</v>
      </c>
      <c r="N125" s="14">
        <f>H125*M125</f>
        <v>567.6</v>
      </c>
      <c r="O125" s="14">
        <f>IF($C$14=2,MIN(H125*$C$16,$C$17),0)</f>
        <v>0.0</v>
      </c>
      <c r="P125" s="16" t="n">
        <v>0.57</v>
      </c>
      <c r="Q125" s="14">
        <f>IF($C$14=2,P125*$C$18,0)</f>
        <v>0.0</v>
      </c>
      <c r="R125" s="14">
        <f>MIN(MAX(H125*$C$7,$C$8),$C$9)</f>
        <v>56.76</v>
      </c>
      <c r="S125" s="14">
        <f>H125*$C$5+$C$6</f>
        <v>32.757</v>
      </c>
      <c r="T125" s="14">
        <f>$C$10*$C$11*P125</f>
        <v>0.0</v>
      </c>
      <c r="U125" s="4" t="n">
        <v>0.9</v>
      </c>
      <c r="V125" s="14">
        <f>IF($C$14=2,(1-U125)*($C$19+$C$20),0)</f>
        <v>0.0</v>
      </c>
      <c r="W125" s="14">
        <f>H125*$C$21</f>
        <v>0.0</v>
      </c>
      <c r="X125" s="14">
        <f>I125*$C$4</f>
        <v>99.33</v>
      </c>
      <c r="Y125" s="4" t="n">
        <v>0.15</v>
      </c>
      <c r="Z125" s="14">
        <f>H125*Y125</f>
        <v>212.85</v>
      </c>
      <c r="AA125" s="14">
        <f>I125-N125-O125-Q125-R125-S125-T125-V125-W125-X125-L125</f>
        <v>46.373</v>
      </c>
      <c r="AB125" s="14">
        <f>AA125-Z125</f>
        <v>-166.477</v>
      </c>
      <c r="AC125" s="15">
        <f>IFERROR(AB125/H125,0)</f>
        <v>-0.1173199436</v>
      </c>
      <c r="AD125" s="15">
        <f>IFERROR(AB125/L125,0)</f>
        <v>-0.2701759226</v>
      </c>
      <c r="AE125" s="14">
        <f>IFERROR((L125+R125+T125+Q125+V125+$C$6)/(((1-G125*$C$13)/(1-G125))-(M125+$C$5+Y125+$C$21+IF($C$14=2,$C$16,0))-$C$4*((1-G125*$C$13)/(1-G125))),0)</f>
        <v>1885.3221288515</v>
      </c>
    </row>
    <row r="126">
      <c r="A126" s="8" t="inlineStr">
        <is>
          <t>Косметика/VT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</row>
    <row r="127">
      <c r="A127" s="10" t="inlineStr">
        <is>
          <t>VT PDRN ESSENCE 100 / Укрепляющая бустер-эссенция с ПДРН</t>
        </is>
      </c>
      <c r="B127" s="11" t="inlineStr">
        <is>
          <t>Средства для ухода за лицом</t>
        </is>
      </c>
      <c r="C127" s="12" t="n">
        <v>1071</v>
      </c>
      <c r="D127" s="12" t="n">
        <v>6000</v>
      </c>
      <c r="E127" s="13" t="n">
        <v>10</v>
      </c>
      <c r="F127" s="5" t="n">
        <v>5700</v>
      </c>
      <c r="G127" s="4" t="n">
        <v>0.45</v>
      </c>
      <c r="H127" s="14">
        <f>F127*(1-G127)</f>
        <v>3135.0</v>
      </c>
      <c r="I127" s="14">
        <f>F127-F127*G127*$C$13</f>
        <v>3135.0</v>
      </c>
      <c r="J127" s="5" t="n">
        <v>1335.95</v>
      </c>
      <c r="K127" s="14">
        <f>$C$12</f>
        <v>60.0</v>
      </c>
      <c r="L127" s="14">
        <f>J127+K127</f>
        <v>1395.95</v>
      </c>
      <c r="M127" s="15">
        <f>IF($C$14=1,0.4,$C$15)</f>
        <v>0.4</v>
      </c>
      <c r="N127" s="14">
        <f>H127*M127</f>
        <v>1254.0</v>
      </c>
      <c r="O127" s="14">
        <f>IF($C$14=2,MIN(H127*$C$16,$C$17),0)</f>
        <v>0.0</v>
      </c>
      <c r="P127" s="16" t="n">
        <v>0.3</v>
      </c>
      <c r="Q127" s="14">
        <f>IF($C$14=2,P127*$C$18,0)</f>
        <v>0.0</v>
      </c>
      <c r="R127" s="14">
        <f>MIN(MAX(H127*$C$7,$C$8),$C$9)</f>
        <v>100.0</v>
      </c>
      <c r="S127" s="14">
        <f>H127*$C$5+$C$6</f>
        <v>72.225</v>
      </c>
      <c r="T127" s="14">
        <f>$C$10*$C$11*P127</f>
        <v>0.0</v>
      </c>
      <c r="U127" s="4" t="n">
        <v>0.9</v>
      </c>
      <c r="V127" s="14">
        <f>IF($C$14=2,(1-U127)*($C$19+$C$20),0)</f>
        <v>0.0</v>
      </c>
      <c r="W127" s="14">
        <f>H127*$C$21</f>
        <v>0.0</v>
      </c>
      <c r="X127" s="14">
        <f>I127*$C$4</f>
        <v>219.45</v>
      </c>
      <c r="Y127" s="4" t="n">
        <v>0.15</v>
      </c>
      <c r="Z127" s="14">
        <f>H127*Y127</f>
        <v>470.25</v>
      </c>
      <c r="AA127" s="14">
        <f>I127-N127-O127-Q127-R127-S127-T127-V127-W127-X127-L127</f>
        <v>93.375</v>
      </c>
      <c r="AB127" s="14">
        <f>AA127-Z127</f>
        <v>-376.875</v>
      </c>
      <c r="AC127" s="15">
        <f>IFERROR(AB127/H127,0)</f>
        <v>-0.120215311</v>
      </c>
      <c r="AD127" s="15">
        <f>IFERROR(AB127/L127,0)</f>
        <v>-0.2699774347</v>
      </c>
      <c r="AE127" s="14">
        <f>IFERROR((L127+R127+T127+Q127+V127+$C$6)/(((1-G127*$C$13)/(1-G127))-(M127+$C$5+Y127+$C$21+IF($C$14=2,$C$16,0))-$C$4*((1-G127*$C$13)/(1-G127))),0)</f>
        <v>4190.6722689076</v>
      </c>
    </row>
    <row r="128">
      <c r="A128" s="10" t="inlineStr">
        <is>
          <t>VT REEDLE SHOT 100 / Бустер-сыворотка с микроиглами</t>
        </is>
      </c>
      <c r="B128" s="11" t="inlineStr">
        <is>
          <t>Средства для ухода за лицом</t>
        </is>
      </c>
      <c r="C128" s="12" t="n">
        <v>543</v>
      </c>
      <c r="D128" s="12" t="n">
        <v>5900</v>
      </c>
      <c r="E128" s="13" t="n">
        <v>11</v>
      </c>
      <c r="F128" s="5" t="n">
        <v>5600</v>
      </c>
      <c r="G128" s="4" t="n">
        <v>0.45</v>
      </c>
      <c r="H128" s="14">
        <f>F128*(1-G128)</f>
        <v>3080.0</v>
      </c>
      <c r="I128" s="14">
        <f>F128-F128*G128*$C$13</f>
        <v>3080.0</v>
      </c>
      <c r="J128" s="5" t="n">
        <v>974.04</v>
      </c>
      <c r="K128" s="14">
        <f>$C$12</f>
        <v>60.0</v>
      </c>
      <c r="L128" s="14">
        <f>J128+K128</f>
        <v>1034.04</v>
      </c>
      <c r="M128" s="15">
        <f>IF($C$14=1,0.4,$C$15)</f>
        <v>0.4</v>
      </c>
      <c r="N128" s="14">
        <f>H128*M128</f>
        <v>1232.0</v>
      </c>
      <c r="O128" s="14">
        <f>IF($C$14=2,MIN(H128*$C$16,$C$17),0)</f>
        <v>0.0</v>
      </c>
      <c r="P128" s="16" t="n">
        <v>0.4</v>
      </c>
      <c r="Q128" s="14">
        <f>IF($C$14=2,P128*$C$18,0)</f>
        <v>0.0</v>
      </c>
      <c r="R128" s="14">
        <f>MIN(MAX(H128*$C$7,$C$8),$C$9)</f>
        <v>100.0</v>
      </c>
      <c r="S128" s="14">
        <f>H128*$C$5+$C$6</f>
        <v>70.96</v>
      </c>
      <c r="T128" s="14">
        <f>$C$10*$C$11*P128</f>
        <v>0.0</v>
      </c>
      <c r="U128" s="4" t="n">
        <v>0.9</v>
      </c>
      <c r="V128" s="14">
        <f>IF($C$14=2,(1-U128)*($C$19+$C$20),0)</f>
        <v>0.0</v>
      </c>
      <c r="W128" s="14">
        <f>H128*$C$21</f>
        <v>0.0</v>
      </c>
      <c r="X128" s="14">
        <f>I128*$C$4</f>
        <v>215.6</v>
      </c>
      <c r="Y128" s="4" t="n">
        <v>0.15</v>
      </c>
      <c r="Z128" s="14">
        <f>H128*Y128</f>
        <v>462.0</v>
      </c>
      <c r="AA128" s="14">
        <f>I128-N128-O128-Q128-R128-S128-T128-V128-W128-X128-L128</f>
        <v>427.4</v>
      </c>
      <c r="AB128" s="14">
        <f>AA128-Z128</f>
        <v>-34.6</v>
      </c>
      <c r="AC128" s="15">
        <f>IFERROR(AB128/H128,0)</f>
        <v>-0.0112337662</v>
      </c>
      <c r="AD128" s="15">
        <f>IFERROR(AB128/L128,0)</f>
        <v>-0.033460988</v>
      </c>
      <c r="AE128" s="14">
        <f>IFERROR((L128+R128+T128+Q128+V128+$C$6)/(((1-G128*$C$13)/(1-G128))-(M128+$C$5+Y128+$C$21+IF($C$14=2,$C$16,0))-$C$4*((1-G128*$C$13)/(1-G128))),0)</f>
        <v>3176.918767507</v>
      </c>
    </row>
    <row r="129">
      <c r="A129" s="10" t="inlineStr">
        <is>
          <t>1025 DOKDO BUBBLE FOAM_150ml</t>
        </is>
      </c>
      <c r="B129" s="11" t="inlineStr">
        <is>
          <t>Средства для умывания</t>
        </is>
      </c>
      <c r="C129" s="12" t="n">
        <v>0</v>
      </c>
      <c r="D129" s="12" t="n">
        <v>2650</v>
      </c>
      <c r="E129" s="13" t="n">
        <v>2</v>
      </c>
      <c r="F129" s="5" t="n">
        <v>2500</v>
      </c>
      <c r="G129" s="4" t="n">
        <v>0.45</v>
      </c>
      <c r="H129" s="14">
        <f>F129*(1-G129)</f>
        <v>1375.0</v>
      </c>
      <c r="I129" s="14">
        <f>F129-F129*G129*$C$13</f>
        <v>1375.0</v>
      </c>
      <c r="J129" s="5" t="n">
        <v>455</v>
      </c>
      <c r="K129" s="14">
        <f>$C$12</f>
        <v>60.0</v>
      </c>
      <c r="L129" s="14">
        <f>J129+K129</f>
        <v>515.0</v>
      </c>
      <c r="M129" s="15">
        <f>IF($C$14=1,0.41,$C$15)</f>
        <v>0.41</v>
      </c>
      <c r="N129" s="14">
        <f>H129*M129</f>
        <v>563.75</v>
      </c>
      <c r="O129" s="14">
        <f>IF($C$14=2,MIN(H129*$C$16,$C$17),0)</f>
        <v>0.0</v>
      </c>
      <c r="P129" s="16" t="n">
        <v>1.28</v>
      </c>
      <c r="Q129" s="14">
        <f>IF($C$14=2,P129*$C$18,0)</f>
        <v>0.0</v>
      </c>
      <c r="R129" s="14">
        <f>MIN(MAX(H129*$C$7,$C$8),$C$9)</f>
        <v>55.0</v>
      </c>
      <c r="S129" s="14">
        <f>H129*$C$5+$C$6</f>
        <v>31.745</v>
      </c>
      <c r="T129" s="14">
        <f>$C$10*$C$11*P129</f>
        <v>0.0</v>
      </c>
      <c r="U129" s="4" t="n">
        <v>0.9</v>
      </c>
      <c r="V129" s="14">
        <f>IF($C$14=2,(1-U129)*($C$19+$C$20),0)</f>
        <v>0.0</v>
      </c>
      <c r="W129" s="14">
        <f>H129*$C$21</f>
        <v>0.0</v>
      </c>
      <c r="X129" s="14">
        <f>I129*$C$4</f>
        <v>96.25</v>
      </c>
      <c r="Y129" s="4" t="n">
        <v>0.15</v>
      </c>
      <c r="Z129" s="14">
        <f>H129*Y129</f>
        <v>206.25</v>
      </c>
      <c r="AA129" s="14">
        <f>I129-N129-O129-Q129-R129-S129-T129-V129-W129-X129-L129</f>
        <v>113.255</v>
      </c>
      <c r="AB129" s="14">
        <f>AA129-Z129</f>
        <v>-92.995</v>
      </c>
      <c r="AC129" s="15">
        <f>IFERROR(AB129/H129,0)</f>
        <v>-0.0676327273</v>
      </c>
      <c r="AD129" s="15">
        <f>IFERROR(AB129/L129,0)</f>
        <v>-0.1805728155</v>
      </c>
      <c r="AE129" s="14">
        <f>IFERROR((L129+R129+T129+Q129+V129+$C$6)/(((1-G129*$C$13)/(1-G129))-(M129+$C$5+Y129+$C$21+IF($C$14=2,$C$16,0))-$C$4*((1-G129*$C$13)/(1-G129))),0)</f>
        <v>1642.9971181556</v>
      </c>
    </row>
    <row r="130">
      <c r="A130" s="10" t="inlineStr">
        <is>
          <t>MEDICUBE PDRN PINK PEPTIDE SERUM 30ml</t>
        </is>
      </c>
      <c r="B130" s="11" t="inlineStr">
        <is>
          <t>Средства для ухода за лицом</t>
        </is>
      </c>
      <c r="C130" s="12" t="n">
        <v>0</v>
      </c>
      <c r="D130" s="12" t="n">
        <v>4880</v>
      </c>
      <c r="E130" s="13" t="n">
        <v>10</v>
      </c>
      <c r="F130" s="5" t="n">
        <v>4580</v>
      </c>
      <c r="G130" s="4" t="n">
        <v>0.45</v>
      </c>
      <c r="H130" s="14">
        <f>F130*(1-G130)</f>
        <v>2519.0</v>
      </c>
      <c r="I130" s="14">
        <f>F130-F130*G130*$C$13</f>
        <v>2519.0</v>
      </c>
      <c r="J130" s="5" t="n">
        <v>674</v>
      </c>
      <c r="K130" s="14">
        <f>$C$12</f>
        <v>60.0</v>
      </c>
      <c r="L130" s="14">
        <f>J130+K130</f>
        <v>734.0</v>
      </c>
      <c r="M130" s="15">
        <f>IF($C$14=1,0.4,$C$15)</f>
        <v>0.4</v>
      </c>
      <c r="N130" s="14">
        <f>H130*M130</f>
        <v>1007.6</v>
      </c>
      <c r="O130" s="14">
        <f>IF($C$14=2,MIN(H130*$C$16,$C$17),0)</f>
        <v>0.0</v>
      </c>
      <c r="P130" s="16" t="n">
        <v>0.4</v>
      </c>
      <c r="Q130" s="14">
        <f>IF($C$14=2,P130*$C$18,0)</f>
        <v>0.0</v>
      </c>
      <c r="R130" s="14">
        <f>MIN(MAX(H130*$C$7,$C$8),$C$9)</f>
        <v>100.0</v>
      </c>
      <c r="S130" s="14">
        <f>H130*$C$5+$C$6</f>
        <v>58.057</v>
      </c>
      <c r="T130" s="14">
        <f>$C$10*$C$11*P130</f>
        <v>0.0</v>
      </c>
      <c r="U130" s="4" t="n">
        <v>0.9</v>
      </c>
      <c r="V130" s="14">
        <f>IF($C$14=2,(1-U130)*($C$19+$C$20),0)</f>
        <v>0.0</v>
      </c>
      <c r="W130" s="14">
        <f>H130*$C$21</f>
        <v>0.0</v>
      </c>
      <c r="X130" s="14">
        <f>I130*$C$4</f>
        <v>176.33</v>
      </c>
      <c r="Y130" s="4" t="n">
        <v>0.15</v>
      </c>
      <c r="Z130" s="14">
        <f>H130*Y130</f>
        <v>377.85</v>
      </c>
      <c r="AA130" s="14">
        <f>I130-N130-O130-Q130-R130-S130-T130-V130-W130-X130-L130</f>
        <v>443.013</v>
      </c>
      <c r="AB130" s="14">
        <f>AA130-Z130</f>
        <v>65.163</v>
      </c>
      <c r="AC130" s="15">
        <f>IFERROR(AB130/H130,0)</f>
        <v>0.0258685987</v>
      </c>
      <c r="AD130" s="15">
        <f>IFERROR(AB130/L130,0)</f>
        <v>0.0887779292</v>
      </c>
      <c r="AE130" s="14">
        <f>IFERROR((L130+R130+T130+Q130+V130+$C$6)/(((1-G130*$C$13)/(1-G130))-(M130+$C$5+Y130+$C$21+IF($C$14=2,$C$16,0))-$C$4*((1-G130*$C$13)/(1-G130))),0)</f>
        <v>2336.4705882353</v>
      </c>
    </row>
    <row r="131">
      <c r="A131" s="10" t="inlineStr">
        <is>
          <t>MEDICUBE PDRN PINK EXOSOME SHOT SERUM 7500 30ml</t>
        </is>
      </c>
      <c r="B131" s="11" t="inlineStr">
        <is>
          <t>Средства для ухода за лицом</t>
        </is>
      </c>
      <c r="C131" s="12" t="n">
        <v>0</v>
      </c>
      <c r="D131" s="12" t="n">
        <v>5000</v>
      </c>
      <c r="E131" s="13" t="n">
        <v>10</v>
      </c>
      <c r="F131" s="5" t="n">
        <v>4700</v>
      </c>
      <c r="G131" s="4" t="n">
        <v>0.45</v>
      </c>
      <c r="H131" s="14">
        <f>F131*(1-G131)</f>
        <v>2585.0</v>
      </c>
      <c r="I131" s="14">
        <f>F131-F131*G131*$C$13</f>
        <v>2585.0</v>
      </c>
      <c r="J131" s="5" t="n">
        <v>833</v>
      </c>
      <c r="K131" s="14">
        <f>$C$12</f>
        <v>60.0</v>
      </c>
      <c r="L131" s="14">
        <f>J131+K131</f>
        <v>893.0</v>
      </c>
      <c r="M131" s="15">
        <f>IF($C$14=1,0.4,$C$15)</f>
        <v>0.4</v>
      </c>
      <c r="N131" s="14">
        <f>H131*M131</f>
        <v>1034.0</v>
      </c>
      <c r="O131" s="14">
        <f>IF($C$14=2,MIN(H131*$C$16,$C$17),0)</f>
        <v>0.0</v>
      </c>
      <c r="P131" s="16" t="n">
        <v>0.4</v>
      </c>
      <c r="Q131" s="14">
        <f>IF($C$14=2,P131*$C$18,0)</f>
        <v>0.0</v>
      </c>
      <c r="R131" s="14">
        <f>MIN(MAX(H131*$C$7,$C$8),$C$9)</f>
        <v>100.0</v>
      </c>
      <c r="S131" s="14">
        <f>H131*$C$5+$C$6</f>
        <v>59.575</v>
      </c>
      <c r="T131" s="14">
        <f>$C$10*$C$11*P131</f>
        <v>0.0</v>
      </c>
      <c r="U131" s="4" t="n">
        <v>0.9</v>
      </c>
      <c r="V131" s="14">
        <f>IF($C$14=2,(1-U131)*($C$19+$C$20),0)</f>
        <v>0.0</v>
      </c>
      <c r="W131" s="14">
        <f>H131*$C$21</f>
        <v>0.0</v>
      </c>
      <c r="X131" s="14">
        <f>I131*$C$4</f>
        <v>180.95</v>
      </c>
      <c r="Y131" s="4" t="n">
        <v>0.15</v>
      </c>
      <c r="Z131" s="14">
        <f>H131*Y131</f>
        <v>387.75</v>
      </c>
      <c r="AA131" s="14">
        <f>I131-N131-O131-Q131-R131-S131-T131-V131-W131-X131-L131</f>
        <v>317.475</v>
      </c>
      <c r="AB131" s="14">
        <f>AA131-Z131</f>
        <v>-70.275</v>
      </c>
      <c r="AC131" s="15">
        <f>IFERROR(AB131/H131,0)</f>
        <v>-0.0271856867</v>
      </c>
      <c r="AD131" s="15">
        <f>IFERROR(AB131/L131,0)</f>
        <v>-0.0786954087</v>
      </c>
      <c r="AE131" s="14">
        <f>IFERROR((L131+R131+T131+Q131+V131+$C$6)/(((1-G131*$C$13)/(1-G131))-(M131+$C$5+Y131+$C$21+IF($C$14=2,$C$16,0))-$C$4*((1-G131*$C$13)/(1-G131))),0)</f>
        <v>2781.8487394958</v>
      </c>
    </row>
    <row r="132">
      <c r="A132" s="10" t="inlineStr">
        <is>
          <t>MEDICUBE PDRN PINK EXOSOME SHOT SERUM 2000 30ml</t>
        </is>
      </c>
      <c r="B132" s="11" t="inlineStr">
        <is>
          <t>Средства для ухода за лицом</t>
        </is>
      </c>
      <c r="C132" s="12" t="n">
        <v>0</v>
      </c>
      <c r="D132" s="12" t="n">
        <v>5150</v>
      </c>
      <c r="E132" s="13" t="n">
        <v>5</v>
      </c>
      <c r="F132" s="5" t="n">
        <v>4850</v>
      </c>
      <c r="G132" s="4" t="n">
        <v>0.45</v>
      </c>
      <c r="H132" s="14">
        <f>F132*(1-G132)</f>
        <v>2667.5</v>
      </c>
      <c r="I132" s="14">
        <f>F132-F132*G132*$C$13</f>
        <v>2667.5</v>
      </c>
      <c r="J132" s="5" t="n">
        <v>757</v>
      </c>
      <c r="K132" s="14">
        <f>$C$12</f>
        <v>60.0</v>
      </c>
      <c r="L132" s="14">
        <f>J132+K132</f>
        <v>817.0</v>
      </c>
      <c r="M132" s="15">
        <f>IF($C$14=1,0.4,$C$15)</f>
        <v>0.4</v>
      </c>
      <c r="N132" s="14">
        <f>H132*M132</f>
        <v>1067.0</v>
      </c>
      <c r="O132" s="14">
        <f>IF($C$14=2,MIN(H132*$C$16,$C$17),0)</f>
        <v>0.0</v>
      </c>
      <c r="P132" s="16" t="n">
        <v>0.4</v>
      </c>
      <c r="Q132" s="14">
        <f>IF($C$14=2,P132*$C$18,0)</f>
        <v>0.0</v>
      </c>
      <c r="R132" s="14">
        <f>MIN(MAX(H132*$C$7,$C$8),$C$9)</f>
        <v>100.0</v>
      </c>
      <c r="S132" s="14">
        <f>H132*$C$5+$C$6</f>
        <v>61.4725</v>
      </c>
      <c r="T132" s="14">
        <f>$C$10*$C$11*P132</f>
        <v>0.0</v>
      </c>
      <c r="U132" s="4" t="n">
        <v>0.9</v>
      </c>
      <c r="V132" s="14">
        <f>IF($C$14=2,(1-U132)*($C$19+$C$20),0)</f>
        <v>0.0</v>
      </c>
      <c r="W132" s="14">
        <f>H132*$C$21</f>
        <v>0.0</v>
      </c>
      <c r="X132" s="14">
        <f>I132*$C$4</f>
        <v>186.725</v>
      </c>
      <c r="Y132" s="4" t="n">
        <v>0.15</v>
      </c>
      <c r="Z132" s="14">
        <f>H132*Y132</f>
        <v>400.125</v>
      </c>
      <c r="AA132" s="14">
        <f>I132-N132-O132-Q132-R132-S132-T132-V132-W132-X132-L132</f>
        <v>435.3025</v>
      </c>
      <c r="AB132" s="14">
        <f>AA132-Z132</f>
        <v>35.1775</v>
      </c>
      <c r="AC132" s="15">
        <f>IFERROR(AB132/H132,0)</f>
        <v>0.0131874414</v>
      </c>
      <c r="AD132" s="15">
        <f>IFERROR(AB132/L132,0)</f>
        <v>0.0430569155</v>
      </c>
      <c r="AE132" s="14">
        <f>IFERROR((L132+R132+T132+Q132+V132+$C$6)/(((1-G132*$C$13)/(1-G132))-(M132+$C$5+Y132+$C$21+IF($C$14=2,$C$16,0))-$C$4*((1-G132*$C$13)/(1-G132))),0)</f>
        <v>2568.9635854342</v>
      </c>
    </row>
    <row r="133">
      <c r="A133" s="10" t="inlineStr">
        <is>
          <t>MEDICUBE TXA NIACINAMIDE CAPSULE CREAM 55g</t>
        </is>
      </c>
      <c r="B133" s="11" t="inlineStr">
        <is>
          <t>Средства для ухода за лицом</t>
        </is>
      </c>
      <c r="C133" s="12" t="n">
        <v>0</v>
      </c>
      <c r="D133" s="12" t="n">
        <v>6900</v>
      </c>
      <c r="E133" s="13" t="n">
        <v>0</v>
      </c>
      <c r="F133" s="5" t="n">
        <v>6500</v>
      </c>
      <c r="G133" s="4" t="n">
        <v>0.45</v>
      </c>
      <c r="H133" s="14">
        <f>F133*(1-G133)</f>
        <v>3575.0</v>
      </c>
      <c r="I133" s="14">
        <f>F133-F133*G133*$C$13</f>
        <v>3575.0</v>
      </c>
      <c r="J133" s="5" t="n">
        <v>922</v>
      </c>
      <c r="K133" s="14">
        <f>$C$12</f>
        <v>60.0</v>
      </c>
      <c r="L133" s="14">
        <f>J133+K133</f>
        <v>982.0</v>
      </c>
      <c r="M133" s="15">
        <f>IF($C$14=1,0.4,$C$15)</f>
        <v>0.4</v>
      </c>
      <c r="N133" s="14">
        <f>H133*M133</f>
        <v>1430.0</v>
      </c>
      <c r="O133" s="14">
        <f>IF($C$14=2,MIN(H133*$C$16,$C$17),0)</f>
        <v>0.0</v>
      </c>
      <c r="P133" s="16" t="n">
        <v>0.4</v>
      </c>
      <c r="Q133" s="14">
        <f>IF($C$14=2,P133*$C$18,0)</f>
        <v>0.0</v>
      </c>
      <c r="R133" s="14">
        <f>MIN(MAX(H133*$C$7,$C$8),$C$9)</f>
        <v>100.0</v>
      </c>
      <c r="S133" s="14">
        <f>H133*$C$5+$C$6</f>
        <v>82.345</v>
      </c>
      <c r="T133" s="14">
        <f>$C$10*$C$11*P133</f>
        <v>0.0</v>
      </c>
      <c r="U133" s="4" t="n">
        <v>0.9</v>
      </c>
      <c r="V133" s="14">
        <f>IF($C$14=2,(1-U133)*($C$19+$C$20),0)</f>
        <v>0.0</v>
      </c>
      <c r="W133" s="14">
        <f>H133*$C$21</f>
        <v>0.0</v>
      </c>
      <c r="X133" s="14">
        <f>I133*$C$4</f>
        <v>250.25</v>
      </c>
      <c r="Y133" s="4" t="n">
        <v>0.15</v>
      </c>
      <c r="Z133" s="14">
        <f>H133*Y133</f>
        <v>536.25</v>
      </c>
      <c r="AA133" s="14">
        <f>I133-N133-O133-Q133-R133-S133-T133-V133-W133-X133-L133</f>
        <v>730.405</v>
      </c>
      <c r="AB133" s="14">
        <f>AA133-Z133</f>
        <v>194.155</v>
      </c>
      <c r="AC133" s="15">
        <f>IFERROR(AB133/H133,0)</f>
        <v>0.0543090909</v>
      </c>
      <c r="AD133" s="15">
        <f>IFERROR(AB133/L133,0)</f>
        <v>0.1977138493</v>
      </c>
      <c r="AE133" s="14">
        <f>IFERROR((L133+R133+T133+Q133+V133+$C$6)/(((1-G133*$C$13)/(1-G133))-(M133+$C$5+Y133+$C$21+IF($C$14=2,$C$16,0))-$C$4*((1-G133*$C$13)/(1-G133))),0)</f>
        <v>3031.1484593838</v>
      </c>
    </row>
    <row r="134">
      <c r="A134" s="10" t="inlineStr">
        <is>
          <t>MEDICUBE PDRN PINK COLLAGEN CAPSULE CREAM 55g</t>
        </is>
      </c>
      <c r="B134" s="11" t="inlineStr">
        <is>
          <t>Средства для ухода за лицом</t>
        </is>
      </c>
      <c r="C134" s="12" t="n">
        <v>0</v>
      </c>
      <c r="D134" s="12" t="n">
        <v>5270</v>
      </c>
      <c r="E134" s="13" t="n">
        <v>17</v>
      </c>
      <c r="F134" s="5" t="n">
        <v>5000</v>
      </c>
      <c r="G134" s="4" t="n">
        <v>0.45</v>
      </c>
      <c r="H134" s="14">
        <f>F134*(1-G134)</f>
        <v>2750.0</v>
      </c>
      <c r="I134" s="14">
        <f>F134-F134*G134*$C$13</f>
        <v>2750.0</v>
      </c>
      <c r="J134" s="5" t="n">
        <v>1019</v>
      </c>
      <c r="K134" s="14">
        <f>$C$12</f>
        <v>60.0</v>
      </c>
      <c r="L134" s="14">
        <f>J134+K134</f>
        <v>1079.0</v>
      </c>
      <c r="M134" s="15">
        <f>IF($C$14=1,0.4,$C$15)</f>
        <v>0.4</v>
      </c>
      <c r="N134" s="14">
        <f>H134*M134</f>
        <v>1100.0</v>
      </c>
      <c r="O134" s="14">
        <f>IF($C$14=2,MIN(H134*$C$16,$C$17),0)</f>
        <v>0.0</v>
      </c>
      <c r="P134" s="16" t="n">
        <v>0.4</v>
      </c>
      <c r="Q134" s="14">
        <f>IF($C$14=2,P134*$C$18,0)</f>
        <v>0.0</v>
      </c>
      <c r="R134" s="14">
        <f>MIN(MAX(H134*$C$7,$C$8),$C$9)</f>
        <v>100.0</v>
      </c>
      <c r="S134" s="14">
        <f>H134*$C$5+$C$6</f>
        <v>63.37</v>
      </c>
      <c r="T134" s="14">
        <f>$C$10*$C$11*P134</f>
        <v>0.0</v>
      </c>
      <c r="U134" s="4" t="n">
        <v>0.9</v>
      </c>
      <c r="V134" s="14">
        <f>IF($C$14=2,(1-U134)*($C$19+$C$20),0)</f>
        <v>0.0</v>
      </c>
      <c r="W134" s="14">
        <f>H134*$C$21</f>
        <v>0.0</v>
      </c>
      <c r="X134" s="14">
        <f>I134*$C$4</f>
        <v>192.5</v>
      </c>
      <c r="Y134" s="4" t="n">
        <v>0.15</v>
      </c>
      <c r="Z134" s="14">
        <f>H134*Y134</f>
        <v>412.5</v>
      </c>
      <c r="AA134" s="14">
        <f>I134-N134-O134-Q134-R134-S134-T134-V134-W134-X134-L134</f>
        <v>215.13</v>
      </c>
      <c r="AB134" s="14">
        <f>AA134-Z134</f>
        <v>-197.37</v>
      </c>
      <c r="AC134" s="15">
        <f>IFERROR(AB134/H134,0)</f>
        <v>-0.0717709091</v>
      </c>
      <c r="AD134" s="15">
        <f>IFERROR(AB134/L134,0)</f>
        <v>-0.1829193698</v>
      </c>
      <c r="AE134" s="14">
        <f>IFERROR((L134+R134+T134+Q134+V134+$C$6)/(((1-G134*$C$13)/(1-G134))-(M134+$C$5+Y134+$C$21+IF($C$14=2,$C$16,0))-$C$4*((1-G134*$C$13)/(1-G134))),0)</f>
        <v>3302.8571428571</v>
      </c>
    </row>
    <row r="135">
      <c r="A135" s="10" t="inlineStr">
        <is>
          <t>MEDICUBE PDRN PINK HYALURONIC MOISTURIZING CREAM 50ml</t>
        </is>
      </c>
      <c r="B135" s="11" t="inlineStr">
        <is>
          <t>Средства для ухода за лицом</t>
        </is>
      </c>
      <c r="C135" s="12" t="n">
        <v>0</v>
      </c>
      <c r="D135" s="12" t="n">
        <v>3450</v>
      </c>
      <c r="E135" s="13" t="n">
        <v>10</v>
      </c>
      <c r="F135" s="5" t="n">
        <v>3150</v>
      </c>
      <c r="G135" s="4" t="n">
        <v>0.45</v>
      </c>
      <c r="H135" s="14">
        <f>F135*(1-G135)</f>
        <v>1732.5</v>
      </c>
      <c r="I135" s="14">
        <f>F135-F135*G135*$C$13</f>
        <v>1732.5</v>
      </c>
      <c r="J135" s="5" t="n">
        <v>670</v>
      </c>
      <c r="K135" s="14">
        <f>$C$12</f>
        <v>60.0</v>
      </c>
      <c r="L135" s="14">
        <f>J135+K135</f>
        <v>730.0</v>
      </c>
      <c r="M135" s="15">
        <f>IF($C$14=1,0.4,$C$15)</f>
        <v>0.4</v>
      </c>
      <c r="N135" s="14">
        <f>H135*M135</f>
        <v>693.0</v>
      </c>
      <c r="O135" s="14">
        <f>IF($C$14=2,MIN(H135*$C$16,$C$17),0)</f>
        <v>0.0</v>
      </c>
      <c r="P135" s="16" t="n">
        <v>0.4</v>
      </c>
      <c r="Q135" s="14">
        <f>IF($C$14=2,P135*$C$18,0)</f>
        <v>0.0</v>
      </c>
      <c r="R135" s="14">
        <f>MIN(MAX(H135*$C$7,$C$8),$C$9)</f>
        <v>69.3</v>
      </c>
      <c r="S135" s="14">
        <f>H135*$C$5+$C$6</f>
        <v>39.9675</v>
      </c>
      <c r="T135" s="14">
        <f>$C$10*$C$11*P135</f>
        <v>0.0</v>
      </c>
      <c r="U135" s="4" t="n">
        <v>0.9</v>
      </c>
      <c r="V135" s="14">
        <f>IF($C$14=2,(1-U135)*($C$19+$C$20),0)</f>
        <v>0.0</v>
      </c>
      <c r="W135" s="14">
        <f>H135*$C$21</f>
        <v>0.0</v>
      </c>
      <c r="X135" s="14">
        <f>I135*$C$4</f>
        <v>121.275</v>
      </c>
      <c r="Y135" s="4" t="n">
        <v>0.15</v>
      </c>
      <c r="Z135" s="14">
        <f>H135*Y135</f>
        <v>259.875</v>
      </c>
      <c r="AA135" s="14">
        <f>I135-N135-O135-Q135-R135-S135-T135-V135-W135-X135-L135</f>
        <v>78.9575</v>
      </c>
      <c r="AB135" s="14">
        <f>AA135-Z135</f>
        <v>-180.9175</v>
      </c>
      <c r="AC135" s="15">
        <f>IFERROR(AB135/H135,0)</f>
        <v>-0.1044256854</v>
      </c>
      <c r="AD135" s="15">
        <f>IFERROR(AB135/L135,0)</f>
        <v>-0.2478321918</v>
      </c>
      <c r="AE135" s="14">
        <f>IFERROR((L135+R135+T135+Q135+V135+$C$6)/(((1-G135*$C$13)/(1-G135))-(M135+$C$5+Y135+$C$21+IF($C$14=2,$C$16,0))-$C$4*((1-G135*$C$13)/(1-G135))),0)</f>
        <v>2239.2717086835</v>
      </c>
    </row>
    <row r="136">
      <c r="A136" s="10" t="inlineStr">
        <is>
          <t>[Derma Factory] PDRN 4% Ampoule</t>
        </is>
      </c>
      <c r="B136" s="11" t="inlineStr">
        <is>
          <t>Средства для ухода за лицом</t>
        </is>
      </c>
      <c r="C136" s="12" t="n">
        <v>0</v>
      </c>
      <c r="D136" s="12" t="n">
        <v>3350</v>
      </c>
      <c r="E136" s="13" t="n">
        <v>13</v>
      </c>
      <c r="F136" s="5" t="n">
        <v>3050</v>
      </c>
      <c r="G136" s="4" t="n">
        <v>0.45</v>
      </c>
      <c r="H136" s="14">
        <f>F136*(1-G136)</f>
        <v>1677.5</v>
      </c>
      <c r="I136" s="14">
        <f>F136-F136*G136*$C$13</f>
        <v>1677.5</v>
      </c>
      <c r="J136" s="5" t="n">
        <v>407</v>
      </c>
      <c r="K136" s="14">
        <f>$C$12</f>
        <v>60.0</v>
      </c>
      <c r="L136" s="14">
        <f>J136+K136</f>
        <v>467.0</v>
      </c>
      <c r="M136" s="15">
        <f>IF($C$14=1,0.4,$C$15)</f>
        <v>0.4</v>
      </c>
      <c r="N136" s="14">
        <f>H136*M136</f>
        <v>671.0</v>
      </c>
      <c r="O136" s="14">
        <f>IF($C$14=2,MIN(H136*$C$16,$C$17),0)</f>
        <v>0.0</v>
      </c>
      <c r="P136" s="16" t="n">
        <v>0.4</v>
      </c>
      <c r="Q136" s="14">
        <f>IF($C$14=2,P136*$C$18,0)</f>
        <v>0.0</v>
      </c>
      <c r="R136" s="14">
        <f>MIN(MAX(H136*$C$7,$C$8),$C$9)</f>
        <v>67.1</v>
      </c>
      <c r="S136" s="14">
        <f>H136*$C$5+$C$6</f>
        <v>38.7025</v>
      </c>
      <c r="T136" s="14">
        <f>$C$10*$C$11*P136</f>
        <v>0.0</v>
      </c>
      <c r="U136" s="4" t="n">
        <v>0.9</v>
      </c>
      <c r="V136" s="14">
        <f>IF($C$14=2,(1-U136)*($C$19+$C$20),0)</f>
        <v>0.0</v>
      </c>
      <c r="W136" s="14">
        <f>H136*$C$21</f>
        <v>0.0</v>
      </c>
      <c r="X136" s="14">
        <f>I136*$C$4</f>
        <v>117.425</v>
      </c>
      <c r="Y136" s="4" t="n">
        <v>0.15</v>
      </c>
      <c r="Z136" s="14">
        <f>H136*Y136</f>
        <v>251.625</v>
      </c>
      <c r="AA136" s="14">
        <f>I136-N136-O136-Q136-R136-S136-T136-V136-W136-X136-L136</f>
        <v>316.2725</v>
      </c>
      <c r="AB136" s="14">
        <f>AA136-Z136</f>
        <v>64.6475</v>
      </c>
      <c r="AC136" s="15">
        <f>IFERROR(AB136/H136,0)</f>
        <v>0.038538003</v>
      </c>
      <c r="AD136" s="15">
        <f>IFERROR(AB136/L136,0)</f>
        <v>0.1384314775</v>
      </c>
      <c r="AE136" s="14">
        <f>IFERROR((L136+R136+T136+Q136+V136+$C$6)/(((1-G136*$C$13)/(1-G136))-(M136+$C$5+Y136+$C$21+IF($C$14=2,$C$16,0))-$C$4*((1-G136*$C$13)/(1-G136))),0)</f>
        <v>1496.4145658263</v>
      </c>
    </row>
    <row r="138">
      <c r="A138" s="3" t="inlineStr">
        <is>
          <t>ИТОГО / средневзвешенно по SKU с ценой</t>
        </is>
      </c>
      <c r="H138" s="17">
        <f>AVERAGE(H25:H136)</f>
        <v>1241.0224508153</v>
      </c>
      <c r="N138" s="17">
        <f>SUM(N25:N136)</f>
        <v>43052.213660951</v>
      </c>
      <c r="AA138" s="17">
        <f>AVERAGE(AA25:AA136)</f>
        <v>65.0977197634</v>
      </c>
      <c r="AB138" s="17">
        <f>AVERAGE(AB25:AB136)</f>
        <v>-104.3062292543</v>
      </c>
      <c r="AC138" s="18">
        <f>IFERROR(SUM(AB25:AB136)/SUM(H25:H136),0)</f>
        <v>-0.0840486239</v>
      </c>
      <c r="AD138" s="18">
        <f>IFERROR(SUM(AB25:AB136)/SUM(L25:L136),0)</f>
        <v>-0.2042150437</v>
      </c>
    </row>
    <row r="140">
      <c r="A140" s="3" t="inlineStr">
        <is>
          <t>Как читать модель</t>
        </is>
      </c>
    </row>
    <row r="141">
      <c r="A141" s="19" t="inlineStr">
        <is>
          <t>— Тариф Маркета в режиме 1 взят из официального файла marketplace_services_rates_01072026.xlsx по подкатегории каждого товара.</t>
        </is>
      </c>
    </row>
    <row r="142">
      <c r="A142" s="19" t="inlineStr">
        <is>
          <t>— Категория Маркета проставлена по названию товара. Проверьте её по спорным позициям: ставка меняется на 14-15 п.п., если карточка висит на верхнем узле категории.</t>
        </is>
      </c>
    </row>
    <row r="143">
      <c r="A143" s="19" t="inlineStr">
        <is>
          <t>— Все проценты Маркета считаются от цены покупателя, а не от цены до скидки: тариф берётся от стоимости проданного товара.</t>
        </is>
      </c>
    </row>
    <row r="144">
      <c r="A144" s="19" t="inlineStr">
        <is>
          <t>— Выручка продавца зависит от параметра доли скидки: при 1 скидку финансируем мы, при 0 её финансирует Маркет.</t>
        </is>
      </c>
    </row>
    <row r="145">
      <c r="A145" s="19" t="inlineStr">
        <is>
          <t>— В режиме 1 доставка покупателю, средняя миля и возвраты обнулены, так как считаются включёнными в тариф. В режиме 2 они считаются отдельно.</t>
        </is>
      </c>
    </row>
    <row r="146">
      <c r="A146" s="19" t="inlineStr">
        <is>
          <t>— Наценки за нелокальные продажи и кроссдока по складам в модели нет: это логика Wildberries, у Маркета таких статей нет.</t>
        </is>
      </c>
    </row>
    <row r="147">
      <c r="A147" s="19" t="inlineStr">
        <is>
          <t>— Штрафы за отмену и просрочку отгрузки в модель не заложены, они разовые и зависят от дисциплины отгрузок.</t>
        </is>
      </c>
    </row>
  </sheetData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E149"/>
  <sheetViews>
    <sheetView workbookViewId="0">
      <pane xSplit="2" ySplit="25" topLeftCell="C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6" customWidth="1" min="2" max="2"/>
    <col width="9" customWidth="1" min="3" max="3"/>
    <col width="11" customWidth="1" min="4" max="4"/>
    <col width="10" customWidth="1" min="5" max="5"/>
    <col width="14" customWidth="1" min="6" max="6"/>
    <col width="10" customWidth="1" min="7" max="7"/>
    <col width="14" customWidth="1" min="8" max="8"/>
    <col width="15" customWidth="1" min="9" max="9"/>
    <col width="11" customWidth="1" min="10" max="10"/>
    <col width="11" customWidth="1" min="11" max="11"/>
    <col width="12" customWidth="1" min="12" max="12"/>
    <col width="13" customWidth="1" min="13" max="13"/>
    <col width="14" customWidth="1" min="14" max="14"/>
    <col width="15" customWidth="1" min="15" max="15"/>
    <col width="9" customWidth="1" min="16" max="16"/>
    <col width="12" customWidth="1" min="17" max="17"/>
    <col width="14" customWidth="1" min="18" max="18"/>
    <col width="16" customWidth="1" min="19" max="19"/>
    <col width="10" customWidth="1" min="20" max="20"/>
    <col width="9" customWidth="1" min="21" max="21"/>
    <col width="15" customWidth="1" min="22" max="22"/>
    <col width="11" customWidth="1" min="23" max="23"/>
    <col width="10" customWidth="1" min="24" max="24"/>
    <col width="12" customWidth="1" min="25" max="25"/>
    <col width="13" customWidth="1" min="26" max="26"/>
    <col width="15" customWidth="1" min="27" max="27"/>
    <col width="12" customWidth="1" min="28" max="28"/>
    <col width="12" customWidth="1" min="29" max="29"/>
    <col width="10" customWidth="1" min="30" max="30"/>
    <col width="13" customWidth="1" min="31" max="31"/>
  </cols>
  <sheetData>
    <row r="1">
      <c r="A1" s="1" t="inlineStr">
        <is>
          <t>ЮНИТ-ЭКОНОМИКА ЯНДЕКС МАРКЕТ — FBS, свой склад</t>
        </is>
      </c>
    </row>
    <row r="2">
      <c r="A2" s="2" t="inlineStr">
        <is>
          <t>Жёлтые ячейки — вход, всё остальное считается формулами. Наведите курсор на подпись параметра: в примечании источник цифры.</t>
        </is>
      </c>
    </row>
    <row r="4">
      <c r="A4" s="3" t="inlineStr">
        <is>
          <t>Налог с оборота</t>
        </is>
      </c>
      <c r="C4" s="4" t="n">
        <v>0.07000000000000001</v>
      </c>
    </row>
    <row r="5">
      <c r="A5" s="3" t="inlineStr">
        <is>
          <t>Перевод платежа, %</t>
        </is>
      </c>
      <c r="C5" s="4" t="n">
        <v>0.023</v>
      </c>
    </row>
    <row r="6">
      <c r="A6" s="3" t="inlineStr">
        <is>
          <t>Приём платежа, ₽ за SKU</t>
        </is>
      </c>
      <c r="C6" s="5" t="n">
        <v>0.12</v>
      </c>
    </row>
    <row r="7">
      <c r="A7" s="3" t="inlineStr">
        <is>
          <t>Обработка заказа, % от цены</t>
        </is>
      </c>
      <c r="C7" s="4" t="n">
        <v>0.04</v>
      </c>
    </row>
    <row r="8">
      <c r="A8" s="3" t="inlineStr">
        <is>
          <t>Обработка заказа, минимум ₽</t>
        </is>
      </c>
      <c r="C8" s="5" t="n">
        <v>25</v>
      </c>
    </row>
    <row r="9">
      <c r="A9" s="3" t="inlineStr">
        <is>
          <t>Обработка заказа, максимум ₽</t>
        </is>
      </c>
      <c r="C9" s="5" t="n">
        <v>100</v>
      </c>
    </row>
    <row r="10">
      <c r="A10" s="3" t="inlineStr">
        <is>
          <t>Хранение, ₽/л в день</t>
        </is>
      </c>
      <c r="C10" s="5" t="n">
        <v>3</v>
      </c>
    </row>
    <row r="11">
      <c r="A11" s="3" t="inlineStr">
        <is>
          <t>Дней платного хранения</t>
        </is>
      </c>
      <c r="C11" s="6" t="n">
        <v>0</v>
      </c>
    </row>
    <row r="12">
      <c r="A12" s="3" t="inlineStr">
        <is>
          <t>Фулфилмент наш, ₽/шт</t>
        </is>
      </c>
      <c r="C12" s="5" t="n">
        <v>60</v>
      </c>
    </row>
    <row r="13">
      <c r="A13" s="3" t="inlineStr">
        <is>
          <t>Доля скидки за счёт продавца</t>
        </is>
      </c>
      <c r="C13" s="4" t="n">
        <v>1</v>
      </c>
    </row>
    <row r="14">
      <c r="A14" s="3" t="inlineStr">
        <is>
          <t>Режим тарифа: 1 стандартный / 2 льготный</t>
        </is>
      </c>
      <c r="C14" s="6" t="n">
        <v>1</v>
      </c>
    </row>
    <row r="15">
      <c r="A15" s="3" t="inlineStr">
        <is>
          <t>Льготный тариф размещения, %</t>
        </is>
      </c>
      <c r="C15" s="4" t="n">
        <v>0.12</v>
      </c>
    </row>
    <row r="16">
      <c r="A16" s="3" t="inlineStr">
        <is>
          <t>Доставка покупателю, % (режим 2)</t>
        </is>
      </c>
      <c r="C16" s="4" t="n">
        <v>0.05</v>
      </c>
    </row>
    <row r="17">
      <c r="A17" s="3" t="inlineStr">
        <is>
          <t>Доставка покупателю, максимум ₽</t>
        </is>
      </c>
      <c r="C17" s="5" t="n">
        <v>1000</v>
      </c>
    </row>
    <row r="18">
      <c r="A18" s="3" t="inlineStr">
        <is>
          <t>Средняя миля, ₽/л (режим 2)</t>
        </is>
      </c>
      <c r="C18" s="5" t="n">
        <v>5</v>
      </c>
    </row>
    <row r="19">
      <c r="A19" s="3" t="inlineStr">
        <is>
          <t>Обработка возврата, ₽ (режим 2)</t>
        </is>
      </c>
      <c r="C19" s="5" t="n">
        <v>15</v>
      </c>
    </row>
    <row r="20">
      <c r="A20" s="3" t="inlineStr">
        <is>
          <t>Обратная доставка, ₽ (режим 2)</t>
        </is>
      </c>
      <c r="C20" s="5" t="n">
        <v>67</v>
      </c>
    </row>
    <row r="21">
      <c r="A21" s="3" t="inlineStr">
        <is>
          <t>Баллы Плюса за наш счёт, %</t>
        </is>
      </c>
      <c r="C21" s="4" t="n">
        <v>0</v>
      </c>
    </row>
    <row r="22">
      <c r="A22" s="3" t="inlineStr">
        <is>
          <t>Обработка отправления, ₽ (FBS)</t>
        </is>
      </c>
      <c r="C22" s="5" t="n">
        <v>50</v>
      </c>
    </row>
    <row r="23">
      <c r="A23" s="3" t="inlineStr">
        <is>
          <t>Отгрузка в СЦ или ПВЗ, ₽ (FBS)</t>
        </is>
      </c>
      <c r="C23" s="5" t="n">
        <v>10</v>
      </c>
    </row>
    <row r="25" ht="42" customHeight="1">
      <c r="A25" s="7" t="inlineStr">
        <is>
          <t>Товар</t>
        </is>
      </c>
      <c r="B25" s="7" t="inlineStr">
        <is>
          <t>Категория Маркета</t>
        </is>
      </c>
      <c r="C25" s="7" t="inlineStr">
        <is>
          <t>Остаток</t>
        </is>
      </c>
      <c r="D25" s="7" t="inlineStr">
        <is>
          <t>Цена конк.</t>
        </is>
      </c>
      <c r="E25" s="7" t="inlineStr">
        <is>
          <t>ДРР конк.</t>
        </is>
      </c>
      <c r="F25" s="7" t="inlineStr">
        <is>
          <t>Цена без скидки</t>
        </is>
      </c>
      <c r="G25" s="7" t="inlineStr">
        <is>
          <t>Скидка, %</t>
        </is>
      </c>
      <c r="H25" s="7" t="inlineStr">
        <is>
          <t>Цена покупателя</t>
        </is>
      </c>
      <c r="I25" s="7" t="inlineStr">
        <is>
          <t>Выручка продавца</t>
        </is>
      </c>
      <c r="J25" s="7" t="inlineStr">
        <is>
          <t>Себест.</t>
        </is>
      </c>
      <c r="K25" s="7" t="inlineStr">
        <is>
          <t>Фулфилмент</t>
        </is>
      </c>
      <c r="L25" s="7" t="inlineStr">
        <is>
          <t>База затрат</t>
        </is>
      </c>
      <c r="M25" s="7" t="inlineStr">
        <is>
          <t>Тариф Маркета %</t>
        </is>
      </c>
      <c r="N25" s="7" t="inlineStr">
        <is>
          <t>Тариф Маркета ₽</t>
        </is>
      </c>
      <c r="O25" s="7" t="inlineStr">
        <is>
          <t>Доставка покупателю</t>
        </is>
      </c>
      <c r="P25" s="7" t="inlineStr">
        <is>
          <t>Объём, л</t>
        </is>
      </c>
      <c r="Q25" s="7" t="inlineStr">
        <is>
          <t>Средняя миля</t>
        </is>
      </c>
      <c r="R25" s="7" t="inlineStr">
        <is>
          <t>Обработка заказа</t>
        </is>
      </c>
      <c r="S25" s="7" t="inlineStr">
        <is>
          <t>Приём и перевод платежа</t>
        </is>
      </c>
      <c r="T25" s="7" t="inlineStr">
        <is>
          <t>Хранение</t>
        </is>
      </c>
      <c r="U25" s="7" t="inlineStr">
        <is>
          <t>Выкуп %</t>
        </is>
      </c>
      <c r="V25" s="7" t="inlineStr">
        <is>
          <t>Возвраты и невыкуп</t>
        </is>
      </c>
      <c r="W25" s="7" t="inlineStr">
        <is>
          <t>Баллы Плюса</t>
        </is>
      </c>
      <c r="X25" s="7" t="inlineStr">
        <is>
          <t>Налог</t>
        </is>
      </c>
      <c r="Y25" s="7" t="inlineStr">
        <is>
          <t>Буст продаж %</t>
        </is>
      </c>
      <c r="Z25" s="7" t="inlineStr">
        <is>
          <t>Буст продаж ₽</t>
        </is>
      </c>
      <c r="AA25" s="7" t="inlineStr">
        <is>
          <t>Маржа до рекламы</t>
        </is>
      </c>
      <c r="AB25" s="7" t="inlineStr">
        <is>
          <t>Маржа/шт</t>
        </is>
      </c>
      <c r="AC25" s="7" t="inlineStr">
        <is>
          <t>Маржа % цены</t>
        </is>
      </c>
      <c r="AD25" s="7" t="inlineStr">
        <is>
          <t>ROI %</t>
        </is>
      </c>
      <c r="AE25" s="7" t="inlineStr">
        <is>
          <t>Цена безубытка</t>
        </is>
      </c>
    </row>
    <row r="26">
      <c r="A26" s="8" t="inlineStr">
        <is>
          <t>Косметика/COSRX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</row>
    <row r="27">
      <c r="A27" s="10" t="inlineStr">
        <is>
          <t>COSRX - Salicylic Acid Daily Gentle Cleanser [150ml] / Пенка с салициловой кислотой для проблемной кожи</t>
        </is>
      </c>
      <c r="B27" s="11" t="inlineStr">
        <is>
          <t>Средства для умывания</t>
        </is>
      </c>
      <c r="C27" s="12" t="n">
        <v>180</v>
      </c>
      <c r="D27" s="12" t="n">
        <v>1680</v>
      </c>
      <c r="E27" s="13" t="n">
        <v>22.3</v>
      </c>
      <c r="F27" s="5" t="n">
        <v>2889</v>
      </c>
      <c r="G27" s="4" t="n">
        <v>0.45</v>
      </c>
      <c r="H27" s="14">
        <f>F27*(1-G27)</f>
        <v>1588.95</v>
      </c>
      <c r="I27" s="14">
        <f>F27-F27*G27*$C$13</f>
        <v>1588.95</v>
      </c>
      <c r="J27" s="5" t="n">
        <v>343.82</v>
      </c>
      <c r="K27" s="14">
        <f>$C$12</f>
        <v>60.0</v>
      </c>
      <c r="L27" s="14">
        <f>J27+K27</f>
        <v>403.82</v>
      </c>
      <c r="M27" s="15">
        <f>IF($C$14=1,0.48,$C$15)</f>
        <v>0.48</v>
      </c>
      <c r="N27" s="14">
        <f>H27*M27</f>
        <v>762.696</v>
      </c>
      <c r="O27" s="14">
        <f>IF($C$14=2,MIN(H27*$C$16,$C$17),0)</f>
        <v>0.0</v>
      </c>
      <c r="P27" s="16" t="n">
        <v>0.63</v>
      </c>
      <c r="Q27" s="14">
        <f>IF($C$14=2,P27*$C$18,0)</f>
        <v>0.0</v>
      </c>
      <c r="R27" s="14">
        <f>$C$22+$C$23</f>
        <v>60.0</v>
      </c>
      <c r="S27" s="14">
        <f>H27*$C$5+$C$6</f>
        <v>36.66585</v>
      </c>
      <c r="T27" s="14">
        <f>$C$10*$C$11*P27</f>
        <v>0.0</v>
      </c>
      <c r="U27" s="4" t="n">
        <v>0.9</v>
      </c>
      <c r="V27" s="14">
        <f>IF($C$14=2,(1-U27)*($C$19+$C$20),0)</f>
        <v>0.0</v>
      </c>
      <c r="W27" s="14">
        <f>H27*$C$21</f>
        <v>0.0</v>
      </c>
      <c r="X27" s="14">
        <f>I27*$C$4</f>
        <v>111.2265</v>
      </c>
      <c r="Y27" s="4" t="n">
        <v>0.22</v>
      </c>
      <c r="Z27" s="14">
        <f>H27*Y27</f>
        <v>349.569</v>
      </c>
      <c r="AA27" s="14">
        <f>I27-N27-O27-Q27-R27-S27-T27-V27-W27-X27-L27</f>
        <v>214.54165</v>
      </c>
      <c r="AB27" s="14">
        <f>AA27-Z27</f>
        <v>-135.02735</v>
      </c>
      <c r="AC27" s="15">
        <f>IFERROR(AB27/H27,0)</f>
        <v>-0.0849789798</v>
      </c>
      <c r="AD27" s="15">
        <f>IFERROR(AB27/L27,0)</f>
        <v>-0.3343750929</v>
      </c>
      <c r="AE27" s="14">
        <f>IFERROR((L27+R27+T27+Q27+V27+$C$6)/(((1-G27*$C$13)/(1-G27))-(M27+$C$5+Y27+$C$21+IF($C$14=2,$C$16,0))-$C$4*((1-G27*$C$13)/(1-G27))),0)</f>
        <v>2241.2560386473</v>
      </c>
    </row>
    <row r="28">
      <c r="A28" s="8" t="inlineStr">
        <is>
          <t>Косметика/DEOPROCE/DEOPROCE-SHAMPOO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</row>
    <row r="29">
      <c r="A29" s="10" t="inlineStr">
        <is>
          <t>DEOPROCE SHAMPOO - BLACK GARLIC INTENSME ENERGY [200ml]/ Шампунь с черным чесноком против выпадения волос</t>
        </is>
      </c>
      <c r="B29" s="11" t="inlineStr">
        <is>
          <t>Шампуни</t>
        </is>
      </c>
      <c r="C29" s="12" t="n">
        <v>370</v>
      </c>
      <c r="D29" s="12" t="n">
        <v>980</v>
      </c>
      <c r="E29" s="13" t="n">
        <v>0</v>
      </c>
      <c r="F29" s="5" t="n">
        <v>1322</v>
      </c>
      <c r="G29" s="4" t="n">
        <v>0.45</v>
      </c>
      <c r="H29" s="14">
        <f>F29*(1-G29)</f>
        <v>727.1</v>
      </c>
      <c r="I29" s="14">
        <f>F29-F29*G29*$C$13</f>
        <v>727.1</v>
      </c>
      <c r="J29" s="5" t="n">
        <v>151.13</v>
      </c>
      <c r="K29" s="14">
        <f>$C$12</f>
        <v>60.0</v>
      </c>
      <c r="L29" s="14">
        <f>J29+K29</f>
        <v>211.13</v>
      </c>
      <c r="M29" s="15">
        <f>IF($C$14=1,0.47,$C$15)</f>
        <v>0.47</v>
      </c>
      <c r="N29" s="14">
        <f>H29*M29</f>
        <v>341.737</v>
      </c>
      <c r="O29" s="14">
        <f>IF($C$14=2,MIN(H29*$C$16,$C$17),0)</f>
        <v>0.0</v>
      </c>
      <c r="P29" s="16" t="n">
        <v>0.68</v>
      </c>
      <c r="Q29" s="14">
        <f>IF($C$14=2,P29*$C$18,0)</f>
        <v>0.0</v>
      </c>
      <c r="R29" s="14">
        <f>$C$22+$C$23</f>
        <v>60.0</v>
      </c>
      <c r="S29" s="14">
        <f>H29*$C$5+$C$6</f>
        <v>16.8433</v>
      </c>
      <c r="T29" s="14">
        <f>$C$10*$C$11*P29</f>
        <v>0.0</v>
      </c>
      <c r="U29" s="4" t="n">
        <v>0.9</v>
      </c>
      <c r="V29" s="14">
        <f>IF($C$14=2,(1-U29)*($C$19+$C$20),0)</f>
        <v>0.0</v>
      </c>
      <c r="W29" s="14">
        <f>H29*$C$21</f>
        <v>0.0</v>
      </c>
      <c r="X29" s="14">
        <f>I29*$C$4</f>
        <v>50.897</v>
      </c>
      <c r="Y29" s="4" t="n">
        <v>0.15</v>
      </c>
      <c r="Z29" s="14">
        <f>H29*Y29</f>
        <v>109.065</v>
      </c>
      <c r="AA29" s="14">
        <f>I29-N29-O29-Q29-R29-S29-T29-V29-W29-X29-L29</f>
        <v>46.4927</v>
      </c>
      <c r="AB29" s="14">
        <f>AA29-Z29</f>
        <v>-62.5723</v>
      </c>
      <c r="AC29" s="15">
        <f>IFERROR(AB29/H29,0)</f>
        <v>-0.0860573511</v>
      </c>
      <c r="AD29" s="15">
        <f>IFERROR(AB29/L29,0)</f>
        <v>-0.2963685881</v>
      </c>
      <c r="AE29" s="14">
        <f>IFERROR((L29+R29+T29+Q29+V29+$C$6)/(((1-G29*$C$13)/(1-G29))-(M29+$C$5+Y29+$C$21+IF($C$14=2,$C$16,0))-$C$4*((1-G29*$C$13)/(1-G29))),0)</f>
        <v>945.1219512195</v>
      </c>
    </row>
    <row r="30">
      <c r="A30" s="8" t="inlineStr">
        <is>
          <t>Косметика/DEOPROCE/НАБОР ШАМПУНЬ+БАЛЬЗАМ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</row>
    <row r="31">
      <c r="A31" s="8" t="inlineStr">
        <is>
          <t>Косметика/DR.JART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</row>
    <row r="32">
      <c r="A32" s="10" t="inlineStr">
        <is>
          <t>DR. JART - Ctrl+A Teatreatment Toner [120ml] / Тонер тоник для лица увлажняющий с чайным деревом</t>
        </is>
      </c>
      <c r="B32" s="11" t="inlineStr">
        <is>
          <t>Средства для ухода за лицом</t>
        </is>
      </c>
      <c r="C32" s="12" t="n">
        <v>180</v>
      </c>
      <c r="D32" s="12" t="n"/>
      <c r="E32" s="13" t="n">
        <v>9.199999999999999</v>
      </c>
      <c r="F32" s="5" t="n">
        <v>3412</v>
      </c>
      <c r="G32" s="4" t="n">
        <v>0.45</v>
      </c>
      <c r="H32" s="14">
        <f>F32*(1-G32)</f>
        <v>1876.6</v>
      </c>
      <c r="I32" s="14">
        <f>F32-F32*G32*$C$13</f>
        <v>1876.6</v>
      </c>
      <c r="J32" s="5" t="n">
        <v>637.89</v>
      </c>
      <c r="K32" s="14">
        <f>$C$12</f>
        <v>60.0</v>
      </c>
      <c r="L32" s="14">
        <f>J32+K32</f>
        <v>697.89</v>
      </c>
      <c r="M32" s="15">
        <f>IF($C$14=1,0.47,$C$15)</f>
        <v>0.47</v>
      </c>
      <c r="N32" s="14">
        <f>H32*M32</f>
        <v>882.002</v>
      </c>
      <c r="O32" s="14">
        <f>IF($C$14=2,MIN(H32*$C$16,$C$17),0)</f>
        <v>0.0</v>
      </c>
      <c r="P32" s="16" t="n">
        <v>0.33</v>
      </c>
      <c r="Q32" s="14">
        <f>IF($C$14=2,P32*$C$18,0)</f>
        <v>0.0</v>
      </c>
      <c r="R32" s="14">
        <f>$C$22+$C$23</f>
        <v>60.0</v>
      </c>
      <c r="S32" s="14">
        <f>H32*$C$5+$C$6</f>
        <v>43.2818</v>
      </c>
      <c r="T32" s="14">
        <f>$C$10*$C$11*P32</f>
        <v>0.0</v>
      </c>
      <c r="U32" s="4" t="n">
        <v>0.9</v>
      </c>
      <c r="V32" s="14">
        <f>IF($C$14=2,(1-U32)*($C$19+$C$20),0)</f>
        <v>0.0</v>
      </c>
      <c r="W32" s="14">
        <f>H32*$C$21</f>
        <v>0.0</v>
      </c>
      <c r="X32" s="14">
        <f>I32*$C$4</f>
        <v>131.362</v>
      </c>
      <c r="Y32" s="4" t="n">
        <v>0.15</v>
      </c>
      <c r="Z32" s="14">
        <f>H32*Y32</f>
        <v>281.49</v>
      </c>
      <c r="AA32" s="14">
        <f>I32-N32-O32-Q32-R32-S32-T32-V32-W32-X32-L32</f>
        <v>62.0642</v>
      </c>
      <c r="AB32" s="14">
        <f>AA32-Z32</f>
        <v>-219.4258</v>
      </c>
      <c r="AC32" s="15">
        <f>IFERROR(AB32/H32,0)</f>
        <v>-0.1169273154</v>
      </c>
      <c r="AD32" s="15">
        <f>IFERROR(AB32/L32,0)</f>
        <v>-0.3144131597</v>
      </c>
      <c r="AE32" s="14">
        <f>IFERROR((L32+R32+T32+Q32+V32+$C$6)/(((1-G32*$C$13)/(1-G32))-(M32+$C$5+Y32+$C$21+IF($C$14=2,$C$16,0))-$C$4*((1-G32*$C$13)/(1-G32))),0)</f>
        <v>2641.149825784</v>
      </c>
    </row>
    <row r="33">
      <c r="A33" s="8" t="inlineStr">
        <is>
          <t>Косметика/EKEL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</row>
    <row r="34">
      <c r="A34" s="10" t="inlineStr">
        <is>
          <t>EKEL - Ampule Сream Сollagen [70ml] / Крем для лица ампульный с коллагеном</t>
        </is>
      </c>
      <c r="B34" s="11" t="inlineStr">
        <is>
          <t>Средства для ухода за лицом</t>
        </is>
      </c>
      <c r="C34" s="12" t="n">
        <v>50</v>
      </c>
      <c r="D34" s="12" t="n">
        <v>1280</v>
      </c>
      <c r="E34" s="13" t="n">
        <v>0</v>
      </c>
      <c r="F34" s="5" t="n">
        <v>1278</v>
      </c>
      <c r="G34" s="4" t="n">
        <v>0.45</v>
      </c>
      <c r="H34" s="14">
        <f>F34*(1-G34)</f>
        <v>702.9</v>
      </c>
      <c r="I34" s="14">
        <f>F34-F34*G34*$C$13</f>
        <v>702.9</v>
      </c>
      <c r="J34" s="5" t="n">
        <v>142.13</v>
      </c>
      <c r="K34" s="14">
        <f>$C$12</f>
        <v>60.0</v>
      </c>
      <c r="L34" s="14">
        <f>J34+K34</f>
        <v>202.13</v>
      </c>
      <c r="M34" s="15">
        <f>IF($C$14=1,0.47,$C$15)</f>
        <v>0.47</v>
      </c>
      <c r="N34" s="14">
        <f>H34*M34</f>
        <v>330.363</v>
      </c>
      <c r="O34" s="14">
        <f>IF($C$14=2,MIN(H34*$C$16,$C$17),0)</f>
        <v>0.0</v>
      </c>
      <c r="P34" s="16" t="n">
        <v>0.42</v>
      </c>
      <c r="Q34" s="14">
        <f>IF($C$14=2,P34*$C$18,0)</f>
        <v>0.0</v>
      </c>
      <c r="R34" s="14">
        <f>$C$22+$C$23</f>
        <v>60.0</v>
      </c>
      <c r="S34" s="14">
        <f>H34*$C$5+$C$6</f>
        <v>16.2867</v>
      </c>
      <c r="T34" s="14">
        <f>$C$10*$C$11*P34</f>
        <v>0.0</v>
      </c>
      <c r="U34" s="4" t="n">
        <v>0.9</v>
      </c>
      <c r="V34" s="14">
        <f>IF($C$14=2,(1-U34)*($C$19+$C$20),0)</f>
        <v>0.0</v>
      </c>
      <c r="W34" s="14">
        <f>H34*$C$21</f>
        <v>0.0</v>
      </c>
      <c r="X34" s="14">
        <f>I34*$C$4</f>
        <v>49.203</v>
      </c>
      <c r="Y34" s="4" t="n">
        <v>0.15</v>
      </c>
      <c r="Z34" s="14">
        <f>H34*Y34</f>
        <v>105.435</v>
      </c>
      <c r="AA34" s="14">
        <f>I34-N34-O34-Q34-R34-S34-T34-V34-W34-X34-L34</f>
        <v>44.9173</v>
      </c>
      <c r="AB34" s="14">
        <f>AA34-Z34</f>
        <v>-60.5177</v>
      </c>
      <c r="AC34" s="15">
        <f>IFERROR(AB34/H34,0)</f>
        <v>-0.0860971689</v>
      </c>
      <c r="AD34" s="15">
        <f>IFERROR(AB34/L34,0)</f>
        <v>-0.2993998912</v>
      </c>
      <c r="AE34" s="14">
        <f>IFERROR((L34+R34+T34+Q34+V34+$C$6)/(((1-G34*$C$13)/(1-G34))-(M34+$C$5+Y34+$C$21+IF($C$14=2,$C$16,0))-$C$4*((1-G34*$C$13)/(1-G34))),0)</f>
        <v>913.7630662021</v>
      </c>
    </row>
    <row r="35">
      <c r="A35" s="8" t="inlineStr">
        <is>
          <t>Косметика/ELIZAVECCA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</row>
    <row r="36">
      <c r="A36" s="10" t="inlineStr">
        <is>
          <t>ELIZAVECCA - CER-100 Collagen Ceramide Coating Protein Treatment [100ml] / Коллагеновая маска для волос</t>
        </is>
      </c>
      <c r="B36" s="11" t="inlineStr">
        <is>
          <t>Маски и сыворотки (волосы)</t>
        </is>
      </c>
      <c r="C36" s="12" t="n">
        <v>453</v>
      </c>
      <c r="D36" s="12" t="n">
        <v>1315</v>
      </c>
      <c r="E36" s="13" t="n">
        <v>0</v>
      </c>
      <c r="F36" s="5" t="n">
        <v>1713</v>
      </c>
      <c r="G36" s="4" t="n">
        <v>0.45</v>
      </c>
      <c r="H36" s="14">
        <f>F36*(1-G36)</f>
        <v>942.15</v>
      </c>
      <c r="I36" s="14">
        <f>F36-F36*G36*$C$13</f>
        <v>942.15</v>
      </c>
      <c r="J36" s="5" t="n">
        <v>242.23</v>
      </c>
      <c r="K36" s="14">
        <f>$C$12</f>
        <v>60.0</v>
      </c>
      <c r="L36" s="14">
        <f>J36+K36</f>
        <v>302.23</v>
      </c>
      <c r="M36" s="15">
        <f>IF($C$14=1,0.47,$C$15)</f>
        <v>0.47</v>
      </c>
      <c r="N36" s="14">
        <f>H36*M36</f>
        <v>442.8105</v>
      </c>
      <c r="O36" s="14">
        <f>IF($C$14=2,MIN(H36*$C$16,$C$17),0)</f>
        <v>0.0</v>
      </c>
      <c r="P36" s="16" t="n">
        <v>0.46</v>
      </c>
      <c r="Q36" s="14">
        <f>IF($C$14=2,P36*$C$18,0)</f>
        <v>0.0</v>
      </c>
      <c r="R36" s="14">
        <f>$C$22+$C$23</f>
        <v>60.0</v>
      </c>
      <c r="S36" s="14">
        <f>H36*$C$5+$C$6</f>
        <v>21.78945</v>
      </c>
      <c r="T36" s="14">
        <f>$C$10*$C$11*P36</f>
        <v>0.0</v>
      </c>
      <c r="U36" s="4" t="n">
        <v>0.9</v>
      </c>
      <c r="V36" s="14">
        <f>IF($C$14=2,(1-U36)*($C$19+$C$20),0)</f>
        <v>0.0</v>
      </c>
      <c r="W36" s="14">
        <f>H36*$C$21</f>
        <v>0.0</v>
      </c>
      <c r="X36" s="14">
        <f>I36*$C$4</f>
        <v>65.9505</v>
      </c>
      <c r="Y36" s="4" t="n">
        <v>0.15</v>
      </c>
      <c r="Z36" s="14">
        <f>H36*Y36</f>
        <v>141.3225</v>
      </c>
      <c r="AA36" s="14">
        <f>I36-N36-O36-Q36-R36-S36-T36-V36-W36-X36-L36</f>
        <v>49.36955</v>
      </c>
      <c r="AB36" s="14">
        <f>AA36-Z36</f>
        <v>-91.95295</v>
      </c>
      <c r="AC36" s="15">
        <f>IFERROR(AB36/H36,0)</f>
        <v>-0.0975990554</v>
      </c>
      <c r="AD36" s="15">
        <f>IFERROR(AB36/L36,0)</f>
        <v>-0.3042482546</v>
      </c>
      <c r="AE36" s="14">
        <f>IFERROR((L36+R36+T36+Q36+V36+$C$6)/(((1-G36*$C$13)/(1-G36))-(M36+$C$5+Y36+$C$21+IF($C$14=2,$C$16,0))-$C$4*((1-G36*$C$13)/(1-G36))),0)</f>
        <v>1262.543554007</v>
      </c>
    </row>
    <row r="37">
      <c r="A37" s="10" t="inlineStr">
        <is>
          <t>ELIZAVECCA - Hell-Pore Galactomyces Pure Ample / Сыворотка для лица с экстрактом галактомисиса</t>
        </is>
      </c>
      <c r="B37" s="11" t="inlineStr">
        <is>
          <t>Средства для ухода за лицом</t>
        </is>
      </c>
      <c r="C37" s="12" t="n">
        <v>50</v>
      </c>
      <c r="D37" s="12" t="n"/>
      <c r="E37" s="13" t="n"/>
      <c r="F37" s="5" t="n">
        <v>2586</v>
      </c>
      <c r="G37" s="4" t="n">
        <v>0.45</v>
      </c>
      <c r="H37" s="14">
        <f>F37*(1-G37)</f>
        <v>1422.3</v>
      </c>
      <c r="I37" s="14">
        <f>F37-F37*G37*$C$13</f>
        <v>1422.3</v>
      </c>
      <c r="J37" s="5" t="n">
        <v>447.64</v>
      </c>
      <c r="K37" s="14">
        <f>$C$12</f>
        <v>60.0</v>
      </c>
      <c r="L37" s="14">
        <f>J37+K37</f>
        <v>507.64</v>
      </c>
      <c r="M37" s="15">
        <f>IF($C$14=1,0.47,$C$15)</f>
        <v>0.47</v>
      </c>
      <c r="N37" s="14">
        <f>H37*M37</f>
        <v>668.481</v>
      </c>
      <c r="O37" s="14">
        <f>IF($C$14=2,MIN(H37*$C$16,$C$17),0)</f>
        <v>0.0</v>
      </c>
      <c r="P37" s="16" t="n">
        <v>0.3</v>
      </c>
      <c r="Q37" s="14">
        <f>IF($C$14=2,P37*$C$18,0)</f>
        <v>0.0</v>
      </c>
      <c r="R37" s="14">
        <f>$C$22+$C$23</f>
        <v>60.0</v>
      </c>
      <c r="S37" s="14">
        <f>H37*$C$5+$C$6</f>
        <v>32.8329</v>
      </c>
      <c r="T37" s="14">
        <f>$C$10*$C$11*P37</f>
        <v>0.0</v>
      </c>
      <c r="U37" s="4" t="n">
        <v>0.9</v>
      </c>
      <c r="V37" s="14">
        <f>IF($C$14=2,(1-U37)*($C$19+$C$20),0)</f>
        <v>0.0</v>
      </c>
      <c r="W37" s="14">
        <f>H37*$C$21</f>
        <v>0.0</v>
      </c>
      <c r="X37" s="14">
        <f>I37*$C$4</f>
        <v>99.561</v>
      </c>
      <c r="Y37" s="4" t="n">
        <v>0.15</v>
      </c>
      <c r="Z37" s="14">
        <f>H37*Y37</f>
        <v>213.345</v>
      </c>
      <c r="AA37" s="14">
        <f>I37-N37-O37-Q37-R37-S37-T37-V37-W37-X37-L37</f>
        <v>53.7851</v>
      </c>
      <c r="AB37" s="14">
        <f>AA37-Z37</f>
        <v>-159.5599</v>
      </c>
      <c r="AC37" s="15">
        <f>IFERROR(AB37/H37,0)</f>
        <v>-0.1121844196</v>
      </c>
      <c r="AD37" s="15">
        <f>IFERROR(AB37/L37,0)</f>
        <v>-0.3143170357</v>
      </c>
      <c r="AE37" s="14">
        <f>IFERROR((L37+R37+T37+Q37+V37+$C$6)/(((1-G37*$C$13)/(1-G37))-(M37+$C$5+Y37+$C$21+IF($C$14=2,$C$16,0))-$C$4*((1-G37*$C$13)/(1-G37))),0)</f>
        <v>1978.2578397213</v>
      </c>
    </row>
    <row r="38">
      <c r="A38" s="10" t="inlineStr">
        <is>
          <t>ELIZAVECCA - Milky Piggy EGF elastic retinol [100ml] / Антивозрастной крем для лица с ретинолом и EGF</t>
        </is>
      </c>
      <c r="B38" s="11" t="inlineStr">
        <is>
          <t>Средства для ухода за лицом</t>
        </is>
      </c>
      <c r="C38" s="12" t="n">
        <v>235</v>
      </c>
      <c r="D38" s="12" t="n">
        <v>1841</v>
      </c>
      <c r="E38" s="13" t="n">
        <v>0</v>
      </c>
      <c r="F38" s="5" t="n">
        <v>3278</v>
      </c>
      <c r="G38" s="4" t="n">
        <v>0.45</v>
      </c>
      <c r="H38" s="14">
        <f>F38*(1-G38)</f>
        <v>1802.9</v>
      </c>
      <c r="I38" s="14">
        <f>F38-F38*G38*$C$13</f>
        <v>1802.9</v>
      </c>
      <c r="J38" s="5" t="n">
        <v>602.1799999999999</v>
      </c>
      <c r="K38" s="14">
        <f>$C$12</f>
        <v>60.0</v>
      </c>
      <c r="L38" s="14">
        <f>J38+K38</f>
        <v>662.18</v>
      </c>
      <c r="M38" s="15">
        <f>IF($C$14=1,0.47,$C$15)</f>
        <v>0.47</v>
      </c>
      <c r="N38" s="14">
        <f>H38*M38</f>
        <v>847.363</v>
      </c>
      <c r="O38" s="14">
        <f>IF($C$14=2,MIN(H38*$C$16,$C$17),0)</f>
        <v>0.0</v>
      </c>
      <c r="P38" s="16" t="n">
        <v>0.58</v>
      </c>
      <c r="Q38" s="14">
        <f>IF($C$14=2,P38*$C$18,0)</f>
        <v>0.0</v>
      </c>
      <c r="R38" s="14">
        <f>$C$22+$C$23</f>
        <v>60.0</v>
      </c>
      <c r="S38" s="14">
        <f>H38*$C$5+$C$6</f>
        <v>41.5867</v>
      </c>
      <c r="T38" s="14">
        <f>$C$10*$C$11*P38</f>
        <v>0.0</v>
      </c>
      <c r="U38" s="4" t="n">
        <v>0.9</v>
      </c>
      <c r="V38" s="14">
        <f>IF($C$14=2,(1-U38)*($C$19+$C$20),0)</f>
        <v>0.0</v>
      </c>
      <c r="W38" s="14">
        <f>H38*$C$21</f>
        <v>0.0</v>
      </c>
      <c r="X38" s="14">
        <f>I38*$C$4</f>
        <v>126.203</v>
      </c>
      <c r="Y38" s="4" t="n">
        <v>0.15</v>
      </c>
      <c r="Z38" s="14">
        <f>H38*Y38</f>
        <v>270.435</v>
      </c>
      <c r="AA38" s="14">
        <f>I38-N38-O38-Q38-R38-S38-T38-V38-W38-X38-L38</f>
        <v>65.5673</v>
      </c>
      <c r="AB38" s="14">
        <f>AA38-Z38</f>
        <v>-204.8677</v>
      </c>
      <c r="AC38" s="15">
        <f>IFERROR(AB38/H38,0)</f>
        <v>-0.1136323146</v>
      </c>
      <c r="AD38" s="15">
        <f>IFERROR(AB38/L38,0)</f>
        <v>-0.3093837023</v>
      </c>
      <c r="AE38" s="14">
        <f>IFERROR((L38+R38+T38+Q38+V38+$C$6)/(((1-G38*$C$13)/(1-G38))-(M38+$C$5+Y38+$C$21+IF($C$14=2,$C$16,0))-$C$4*((1-G38*$C$13)/(1-G38))),0)</f>
        <v>2516.724738676</v>
      </c>
    </row>
    <row r="39">
      <c r="A39" s="8" t="inlineStr">
        <is>
          <t>Косметика/ENOUGH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</row>
    <row r="40">
      <c r="A40" s="10" t="inlineStr">
        <is>
          <t>ENOUGH - Collagen Moisture Essential Cream [50ml] / Увлажняющий крем для лица с коллагеном</t>
        </is>
      </c>
      <c r="B40" s="11" t="inlineStr">
        <is>
          <t>Средства для ухода за лицом</t>
        </is>
      </c>
      <c r="C40" s="12" t="n">
        <v>8266</v>
      </c>
      <c r="D40" s="12" t="n">
        <v>424</v>
      </c>
      <c r="E40" s="13" t="n">
        <v>17</v>
      </c>
      <c r="F40" s="5" t="n">
        <v>1367</v>
      </c>
      <c r="G40" s="4" t="n">
        <v>0.45</v>
      </c>
      <c r="H40" s="14">
        <f>F40*(1-G40)</f>
        <v>751.85</v>
      </c>
      <c r="I40" s="14">
        <f>F40-F40*G40*$C$13</f>
        <v>751.85</v>
      </c>
      <c r="J40" s="5" t="n">
        <v>161.3</v>
      </c>
      <c r="K40" s="14">
        <f>$C$12</f>
        <v>60.0</v>
      </c>
      <c r="L40" s="14">
        <f>J40+K40</f>
        <v>221.3</v>
      </c>
      <c r="M40" s="15">
        <f>IF($C$14=1,0.47,$C$15)</f>
        <v>0.47</v>
      </c>
      <c r="N40" s="14">
        <f>H40*M40</f>
        <v>353.3695</v>
      </c>
      <c r="O40" s="14">
        <f>IF($C$14=2,MIN(H40*$C$16,$C$17),0)</f>
        <v>0.0</v>
      </c>
      <c r="P40" s="16" t="n">
        <v>0.72</v>
      </c>
      <c r="Q40" s="14">
        <f>IF($C$14=2,P40*$C$18,0)</f>
        <v>0.0</v>
      </c>
      <c r="R40" s="14">
        <f>$C$22+$C$23</f>
        <v>60.0</v>
      </c>
      <c r="S40" s="14">
        <f>H40*$C$5+$C$6</f>
        <v>17.41255</v>
      </c>
      <c r="T40" s="14">
        <f>$C$10*$C$11*P40</f>
        <v>0.0</v>
      </c>
      <c r="U40" s="4" t="n">
        <v>0.9</v>
      </c>
      <c r="V40" s="14">
        <f>IF($C$14=2,(1-U40)*($C$19+$C$20),0)</f>
        <v>0.0</v>
      </c>
      <c r="W40" s="14">
        <f>H40*$C$21</f>
        <v>0.0</v>
      </c>
      <c r="X40" s="14">
        <f>I40*$C$4</f>
        <v>52.6295</v>
      </c>
      <c r="Y40" s="4" t="n">
        <v>0.15</v>
      </c>
      <c r="Z40" s="14">
        <f>H40*Y40</f>
        <v>112.7775</v>
      </c>
      <c r="AA40" s="14">
        <f>I40-N40-O40-Q40-R40-S40-T40-V40-W40-X40-L40</f>
        <v>47.13845</v>
      </c>
      <c r="AB40" s="14">
        <f>AA40-Z40</f>
        <v>-65.63905</v>
      </c>
      <c r="AC40" s="15">
        <f>IFERROR(AB40/H40,0)</f>
        <v>-0.087303385</v>
      </c>
      <c r="AD40" s="15">
        <f>IFERROR(AB40/L40,0)</f>
        <v>-0.2966066426</v>
      </c>
      <c r="AE40" s="14">
        <f>IFERROR((L40+R40+T40+Q40+V40+$C$6)/(((1-G40*$C$13)/(1-G40))-(M40+$C$5+Y40+$C$21+IF($C$14=2,$C$16,0))-$C$4*((1-G40*$C$13)/(1-G40))),0)</f>
        <v>980.5574912892</v>
      </c>
    </row>
    <row r="41">
      <c r="A41" s="10" t="inlineStr">
        <is>
          <t>ENOUGH - Collagen Whitening Moisture Cream 3in1 [50g] / Антивозрастной отбеливающий крем с коллагеном</t>
        </is>
      </c>
      <c r="B41" s="11" t="inlineStr">
        <is>
          <t>Средства для ухода за лицом</t>
        </is>
      </c>
      <c r="C41" s="12" t="n">
        <v>761</v>
      </c>
      <c r="D41" s="12" t="n">
        <v>827</v>
      </c>
      <c r="E41" s="13" t="n">
        <v>20</v>
      </c>
      <c r="F41" s="5" t="n">
        <v>1465</v>
      </c>
      <c r="G41" s="4" t="n">
        <v>0.45</v>
      </c>
      <c r="H41" s="14">
        <f>F41*(1-G41)</f>
        <v>805.75</v>
      </c>
      <c r="I41" s="14">
        <f>F41-F41*G41*$C$13</f>
        <v>805.75</v>
      </c>
      <c r="J41" s="5" t="n">
        <v>183.88</v>
      </c>
      <c r="K41" s="14">
        <f>$C$12</f>
        <v>60.0</v>
      </c>
      <c r="L41" s="14">
        <f>J41+K41</f>
        <v>243.88</v>
      </c>
      <c r="M41" s="15">
        <f>IF($C$14=1,0.47,$C$15)</f>
        <v>0.47</v>
      </c>
      <c r="N41" s="14">
        <f>H41*M41</f>
        <v>378.7025</v>
      </c>
      <c r="O41" s="14">
        <f>IF($C$14=2,MIN(H41*$C$16,$C$17),0)</f>
        <v>0.0</v>
      </c>
      <c r="P41" s="16" t="n">
        <v>0.72</v>
      </c>
      <c r="Q41" s="14">
        <f>IF($C$14=2,P41*$C$18,0)</f>
        <v>0.0</v>
      </c>
      <c r="R41" s="14">
        <f>$C$22+$C$23</f>
        <v>60.0</v>
      </c>
      <c r="S41" s="14">
        <f>H41*$C$5+$C$6</f>
        <v>18.65225</v>
      </c>
      <c r="T41" s="14">
        <f>$C$10*$C$11*P41</f>
        <v>0.0</v>
      </c>
      <c r="U41" s="4" t="n">
        <v>0.9</v>
      </c>
      <c r="V41" s="14">
        <f>IF($C$14=2,(1-U41)*($C$19+$C$20),0)</f>
        <v>0.0</v>
      </c>
      <c r="W41" s="14">
        <f>H41*$C$21</f>
        <v>0.0</v>
      </c>
      <c r="X41" s="14">
        <f>I41*$C$4</f>
        <v>56.4025</v>
      </c>
      <c r="Y41" s="4" t="n">
        <v>0.15</v>
      </c>
      <c r="Z41" s="14">
        <f>H41*Y41</f>
        <v>120.8625</v>
      </c>
      <c r="AA41" s="14">
        <f>I41-N41-O41-Q41-R41-S41-T41-V41-W41-X41-L41</f>
        <v>48.11275</v>
      </c>
      <c r="AB41" s="14">
        <f>AA41-Z41</f>
        <v>-72.74975</v>
      </c>
      <c r="AC41" s="15">
        <f>IFERROR(AB41/H41,0)</f>
        <v>-0.0902882408</v>
      </c>
      <c r="AD41" s="15">
        <f>IFERROR(AB41/L41,0)</f>
        <v>-0.2983014187</v>
      </c>
      <c r="AE41" s="14">
        <f>IFERROR((L41+R41+T41+Q41+V41+$C$6)/(((1-G41*$C$13)/(1-G41))-(M41+$C$5+Y41+$C$21+IF($C$14=2,$C$16,0))-$C$4*((1-G41*$C$13)/(1-G41))),0)</f>
        <v>1059.2334494774</v>
      </c>
    </row>
    <row r="42">
      <c r="A42" s="10" t="inlineStr">
        <is>
          <t>ENOUGH - Collagen Moisture Foundation [Tone 13] / Тональный крем для лица с коллагеном 13 тон</t>
        </is>
      </c>
      <c r="B42" s="11" t="inlineStr">
        <is>
          <t>Тональные средства</t>
        </is>
      </c>
      <c r="C42" s="12" t="n">
        <v>1089</v>
      </c>
      <c r="D42" s="12" t="n">
        <v>1980</v>
      </c>
      <c r="E42" s="13" t="n">
        <v>8</v>
      </c>
      <c r="F42" s="5" t="n">
        <v>1600</v>
      </c>
      <c r="G42" s="4" t="n">
        <v>0.45</v>
      </c>
      <c r="H42" s="14">
        <f>F42*(1-G42)</f>
        <v>880.0</v>
      </c>
      <c r="I42" s="14">
        <f>F42-F42*G42*$C$13</f>
        <v>880.0</v>
      </c>
      <c r="J42" s="5" t="n">
        <v>216.45</v>
      </c>
      <c r="K42" s="14">
        <f>$C$12</f>
        <v>60.0</v>
      </c>
      <c r="L42" s="14">
        <f>J42+K42</f>
        <v>276.45</v>
      </c>
      <c r="M42" s="15">
        <f>IF($C$14=1,0.47,$C$15)</f>
        <v>0.47</v>
      </c>
      <c r="N42" s="14">
        <f>H42*M42</f>
        <v>413.6</v>
      </c>
      <c r="O42" s="14">
        <f>IF($C$14=2,MIN(H42*$C$16,$C$17),0)</f>
        <v>0.0</v>
      </c>
      <c r="P42" s="16" t="n">
        <v>0.4</v>
      </c>
      <c r="Q42" s="14">
        <f>IF($C$14=2,P42*$C$18,0)</f>
        <v>0.0</v>
      </c>
      <c r="R42" s="14">
        <f>$C$22+$C$23</f>
        <v>60.0</v>
      </c>
      <c r="S42" s="14">
        <f>H42*$C$5+$C$6</f>
        <v>20.36</v>
      </c>
      <c r="T42" s="14">
        <f>$C$10*$C$11*P42</f>
        <v>0.0</v>
      </c>
      <c r="U42" s="4" t="n">
        <v>0.9</v>
      </c>
      <c r="V42" s="14">
        <f>IF($C$14=2,(1-U42)*($C$19+$C$20),0)</f>
        <v>0.0</v>
      </c>
      <c r="W42" s="14">
        <f>H42*$C$21</f>
        <v>0.0</v>
      </c>
      <c r="X42" s="14">
        <f>I42*$C$4</f>
        <v>61.6</v>
      </c>
      <c r="Y42" s="4" t="n">
        <v>0.15</v>
      </c>
      <c r="Z42" s="14">
        <f>H42*Y42</f>
        <v>132.0</v>
      </c>
      <c r="AA42" s="14">
        <f>I42-N42-O42-Q42-R42-S42-T42-V42-W42-X42-L42</f>
        <v>47.99</v>
      </c>
      <c r="AB42" s="14">
        <f>AA42-Z42</f>
        <v>-84.01</v>
      </c>
      <c r="AC42" s="15">
        <f>IFERROR(AB42/H42,0)</f>
        <v>-0.0954659091</v>
      </c>
      <c r="AD42" s="15">
        <f>IFERROR(AB42/L42,0)</f>
        <v>-0.3038885874</v>
      </c>
      <c r="AE42" s="14">
        <f>IFERROR((L42+R42+T42+Q42+V42+$C$6)/(((1-G42*$C$13)/(1-G42))-(M42+$C$5+Y42+$C$21+IF($C$14=2,$C$16,0))-$C$4*((1-G42*$C$13)/(1-G42))),0)</f>
        <v>1172.7177700348</v>
      </c>
    </row>
    <row r="43">
      <c r="A43" s="10" t="inlineStr">
        <is>
          <t>ENOUGH - Collagen Moisture Foundation [Tone 21] / Тональный крем для лица с коллагеном 21 тон</t>
        </is>
      </c>
      <c r="B43" s="11" t="inlineStr">
        <is>
          <t>Тональные средства</t>
        </is>
      </c>
      <c r="C43" s="12" t="n">
        <v>2275</v>
      </c>
      <c r="D43" s="12" t="n">
        <v>1910</v>
      </c>
      <c r="E43" s="13" t="n">
        <v>7.3</v>
      </c>
      <c r="F43" s="5" t="n">
        <v>1715</v>
      </c>
      <c r="G43" s="4" t="n">
        <v>0.45</v>
      </c>
      <c r="H43" s="14">
        <f>F43*(1-G43)</f>
        <v>943.25</v>
      </c>
      <c r="I43" s="14">
        <f>F43-F43*G43*$C$13</f>
        <v>943.25</v>
      </c>
      <c r="J43" s="5" t="n">
        <v>242.88</v>
      </c>
      <c r="K43" s="14">
        <f>$C$12</f>
        <v>60.0</v>
      </c>
      <c r="L43" s="14">
        <f>J43+K43</f>
        <v>302.88</v>
      </c>
      <c r="M43" s="15">
        <f>IF($C$14=1,0.47,$C$15)</f>
        <v>0.47</v>
      </c>
      <c r="N43" s="14">
        <f>H43*M43</f>
        <v>443.3275</v>
      </c>
      <c r="O43" s="14">
        <f>IF($C$14=2,MIN(H43*$C$16,$C$17),0)</f>
        <v>0.0</v>
      </c>
      <c r="P43" s="16" t="n">
        <v>0.4</v>
      </c>
      <c r="Q43" s="14">
        <f>IF($C$14=2,P43*$C$18,0)</f>
        <v>0.0</v>
      </c>
      <c r="R43" s="14">
        <f>$C$22+$C$23</f>
        <v>60.0</v>
      </c>
      <c r="S43" s="14">
        <f>H43*$C$5+$C$6</f>
        <v>21.81475</v>
      </c>
      <c r="T43" s="14">
        <f>$C$10*$C$11*P43</f>
        <v>0.0</v>
      </c>
      <c r="U43" s="4" t="n">
        <v>0.9</v>
      </c>
      <c r="V43" s="14">
        <f>IF($C$14=2,(1-U43)*($C$19+$C$20),0)</f>
        <v>0.0</v>
      </c>
      <c r="W43" s="14">
        <f>H43*$C$21</f>
        <v>0.0</v>
      </c>
      <c r="X43" s="14">
        <f>I43*$C$4</f>
        <v>66.0275</v>
      </c>
      <c r="Y43" s="4" t="n">
        <v>0.15</v>
      </c>
      <c r="Z43" s="14">
        <f>H43*Y43</f>
        <v>141.4875</v>
      </c>
      <c r="AA43" s="14">
        <f>I43-N43-O43-Q43-R43-S43-T43-V43-W43-X43-L43</f>
        <v>49.20025</v>
      </c>
      <c r="AB43" s="14">
        <f>AA43-Z43</f>
        <v>-92.28725</v>
      </c>
      <c r="AC43" s="15">
        <f>IFERROR(AB43/H43,0)</f>
        <v>-0.0978396501</v>
      </c>
      <c r="AD43" s="15">
        <f>IFERROR(AB43/L43,0)</f>
        <v>-0.3046990557</v>
      </c>
      <c r="AE43" s="14">
        <f>IFERROR((L43+R43+T43+Q43+V43+$C$6)/(((1-G43*$C$13)/(1-G43))-(M43+$C$5+Y43+$C$21+IF($C$14=2,$C$16,0))-$C$4*((1-G43*$C$13)/(1-G43))),0)</f>
        <v>1264.8083623693</v>
      </c>
    </row>
    <row r="44">
      <c r="A44" s="10" t="inlineStr">
        <is>
          <t>ENOUGH - Gold Snail Moisture Foundation [Tone 13] / Тональный крем с муцином улитки 13 тон</t>
        </is>
      </c>
      <c r="B44" s="11" t="inlineStr">
        <is>
          <t>Тональные средства</t>
        </is>
      </c>
      <c r="C44" s="12" t="n">
        <v>95</v>
      </c>
      <c r="D44" s="12" t="n">
        <v>1456</v>
      </c>
      <c r="E44" s="13" t="n">
        <v>9</v>
      </c>
      <c r="F44" s="5" t="n">
        <v>1727</v>
      </c>
      <c r="G44" s="4" t="n">
        <v>0.45</v>
      </c>
      <c r="H44" s="14">
        <f>F44*(1-G44)</f>
        <v>949.85</v>
      </c>
      <c r="I44" s="14">
        <f>F44-F44*G44*$C$13</f>
        <v>949.85</v>
      </c>
      <c r="J44" s="5" t="n">
        <v>245.65</v>
      </c>
      <c r="K44" s="14">
        <f>$C$12</f>
        <v>60.0</v>
      </c>
      <c r="L44" s="14">
        <f>J44+K44</f>
        <v>305.65</v>
      </c>
      <c r="M44" s="15">
        <f>IF($C$14=1,0.47,$C$15)</f>
        <v>0.47</v>
      </c>
      <c r="N44" s="14">
        <f>H44*M44</f>
        <v>446.4295</v>
      </c>
      <c r="O44" s="14">
        <f>IF($C$14=2,MIN(H44*$C$16,$C$17),0)</f>
        <v>0.0</v>
      </c>
      <c r="P44" s="16" t="n">
        <v>0.4</v>
      </c>
      <c r="Q44" s="14">
        <f>IF($C$14=2,P44*$C$18,0)</f>
        <v>0.0</v>
      </c>
      <c r="R44" s="14">
        <f>$C$22+$C$23</f>
        <v>60.0</v>
      </c>
      <c r="S44" s="14">
        <f>H44*$C$5+$C$6</f>
        <v>21.96655</v>
      </c>
      <c r="T44" s="14">
        <f>$C$10*$C$11*P44</f>
        <v>0.0</v>
      </c>
      <c r="U44" s="4" t="n">
        <v>0.9</v>
      </c>
      <c r="V44" s="14">
        <f>IF($C$14=2,(1-U44)*($C$19+$C$20),0)</f>
        <v>0.0</v>
      </c>
      <c r="W44" s="14">
        <f>H44*$C$21</f>
        <v>0.0</v>
      </c>
      <c r="X44" s="14">
        <f>I44*$C$4</f>
        <v>66.4895</v>
      </c>
      <c r="Y44" s="4" t="n">
        <v>0.15</v>
      </c>
      <c r="Z44" s="14">
        <f>H44*Y44</f>
        <v>142.4775</v>
      </c>
      <c r="AA44" s="14">
        <f>I44-N44-O44-Q44-R44-S44-T44-V44-W44-X44-L44</f>
        <v>49.31445</v>
      </c>
      <c r="AB44" s="14">
        <f>AA44-Z44</f>
        <v>-93.16305</v>
      </c>
      <c r="AC44" s="15">
        <f>IFERROR(AB44/H44,0)</f>
        <v>-0.098081855</v>
      </c>
      <c r="AD44" s="15">
        <f>IFERROR(AB44/L44,0)</f>
        <v>-0.3048030427</v>
      </c>
      <c r="AE44" s="14">
        <f>IFERROR((L44+R44+T44+Q44+V44+$C$6)/(((1-G44*$C$13)/(1-G44))-(M44+$C$5+Y44+$C$21+IF($C$14=2,$C$16,0))-$C$4*((1-G44*$C$13)/(1-G44))),0)</f>
        <v>1274.4599303136</v>
      </c>
    </row>
    <row r="45">
      <c r="A45" s="10" t="inlineStr">
        <is>
          <t>ENOUGH - Gold Snail Moisture Foundation [Tone 21] / Тональный крем с муцином улитки 21 тон</t>
        </is>
      </c>
      <c r="B45" s="11" t="inlineStr">
        <is>
          <t>Тональные средства</t>
        </is>
      </c>
      <c r="C45" s="12" t="n">
        <v>101</v>
      </c>
      <c r="D45" s="12" t="n">
        <v>1345</v>
      </c>
      <c r="E45" s="13" t="n">
        <v>0</v>
      </c>
      <c r="F45" s="5" t="n">
        <v>1836</v>
      </c>
      <c r="G45" s="4" t="n">
        <v>0.45</v>
      </c>
      <c r="H45" s="14">
        <f>F45*(1-G45)</f>
        <v>1009.8</v>
      </c>
      <c r="I45" s="14">
        <f>F45-F45*G45*$C$13</f>
        <v>1009.8</v>
      </c>
      <c r="J45" s="5" t="n">
        <v>270.81</v>
      </c>
      <c r="K45" s="14">
        <f>$C$12</f>
        <v>60.0</v>
      </c>
      <c r="L45" s="14">
        <f>J45+K45</f>
        <v>330.81</v>
      </c>
      <c r="M45" s="15">
        <f>IF($C$14=1,0.47,$C$15)</f>
        <v>0.47</v>
      </c>
      <c r="N45" s="14">
        <f>H45*M45</f>
        <v>474.606</v>
      </c>
      <c r="O45" s="14">
        <f>IF($C$14=2,MIN(H45*$C$16,$C$17),0)</f>
        <v>0.0</v>
      </c>
      <c r="P45" s="16" t="n">
        <v>0.4</v>
      </c>
      <c r="Q45" s="14">
        <f>IF($C$14=2,P45*$C$18,0)</f>
        <v>0.0</v>
      </c>
      <c r="R45" s="14">
        <f>$C$22+$C$23</f>
        <v>60.0</v>
      </c>
      <c r="S45" s="14">
        <f>H45*$C$5+$C$6</f>
        <v>23.3454</v>
      </c>
      <c r="T45" s="14">
        <f>$C$10*$C$11*P45</f>
        <v>0.0</v>
      </c>
      <c r="U45" s="4" t="n">
        <v>0.9</v>
      </c>
      <c r="V45" s="14">
        <f>IF($C$14=2,(1-U45)*($C$19+$C$20),0)</f>
        <v>0.0</v>
      </c>
      <c r="W45" s="14">
        <f>H45*$C$21</f>
        <v>0.0</v>
      </c>
      <c r="X45" s="14">
        <f>I45*$C$4</f>
        <v>70.686</v>
      </c>
      <c r="Y45" s="4" t="n">
        <v>0.15</v>
      </c>
      <c r="Z45" s="14">
        <f>H45*Y45</f>
        <v>151.47</v>
      </c>
      <c r="AA45" s="14">
        <f>I45-N45-O45-Q45-R45-S45-T45-V45-W45-X45-L45</f>
        <v>50.3526</v>
      </c>
      <c r="AB45" s="14">
        <f>AA45-Z45</f>
        <v>-101.1174</v>
      </c>
      <c r="AC45" s="15">
        <f>IFERROR(AB45/H45,0)</f>
        <v>-0.1001360665</v>
      </c>
      <c r="AD45" s="15">
        <f>IFERROR(AB45/L45,0)</f>
        <v>-0.3056660923</v>
      </c>
      <c r="AE45" s="14">
        <f>IFERROR((L45+R45+T45+Q45+V45+$C$6)/(((1-G45*$C$13)/(1-G45))-(M45+$C$5+Y45+$C$21+IF($C$14=2,$C$16,0))-$C$4*((1-G45*$C$13)/(1-G45))),0)</f>
        <v>1362.1254355401</v>
      </c>
    </row>
    <row r="46">
      <c r="A46" s="10" t="inlineStr">
        <is>
          <t>ENOUGH - Collagen 3in1 Whitening Moisture Foundation [Tone 13] / Тональный крем для лица с коллагеном 3в1 [13 тон]</t>
        </is>
      </c>
      <c r="B46" s="11" t="inlineStr">
        <is>
          <t>Тональные средства</t>
        </is>
      </c>
      <c r="C46" s="12" t="n">
        <v>247</v>
      </c>
      <c r="D46" s="12" t="n">
        <v>1732</v>
      </c>
      <c r="E46" s="13" t="n">
        <v>9</v>
      </c>
      <c r="F46" s="5" t="n">
        <v>1694</v>
      </c>
      <c r="G46" s="4" t="n">
        <v>0.45</v>
      </c>
      <c r="H46" s="14">
        <f>F46*(1-G46)</f>
        <v>931.7</v>
      </c>
      <c r="I46" s="14">
        <f>F46-F46*G46*$C$13</f>
        <v>931.7</v>
      </c>
      <c r="J46" s="5" t="n">
        <v>238.13</v>
      </c>
      <c r="K46" s="14">
        <f>$C$12</f>
        <v>60.0</v>
      </c>
      <c r="L46" s="14">
        <f>J46+K46</f>
        <v>298.13</v>
      </c>
      <c r="M46" s="15">
        <f>IF($C$14=1,0.47,$C$15)</f>
        <v>0.47</v>
      </c>
      <c r="N46" s="14">
        <f>H46*M46</f>
        <v>437.899</v>
      </c>
      <c r="O46" s="14">
        <f>IF($C$14=2,MIN(H46*$C$16,$C$17),0)</f>
        <v>0.0</v>
      </c>
      <c r="P46" s="16" t="n">
        <v>0.4</v>
      </c>
      <c r="Q46" s="14">
        <f>IF($C$14=2,P46*$C$18,0)</f>
        <v>0.0</v>
      </c>
      <c r="R46" s="14">
        <f>$C$22+$C$23</f>
        <v>60.0</v>
      </c>
      <c r="S46" s="14">
        <f>H46*$C$5+$C$6</f>
        <v>21.5491</v>
      </c>
      <c r="T46" s="14">
        <f>$C$10*$C$11*P46</f>
        <v>0.0</v>
      </c>
      <c r="U46" s="4" t="n">
        <v>0.9</v>
      </c>
      <c r="V46" s="14">
        <f>IF($C$14=2,(1-U46)*($C$19+$C$20),0)</f>
        <v>0.0</v>
      </c>
      <c r="W46" s="14">
        <f>H46*$C$21</f>
        <v>0.0</v>
      </c>
      <c r="X46" s="14">
        <f>I46*$C$4</f>
        <v>65.219</v>
      </c>
      <c r="Y46" s="4" t="n">
        <v>0.15</v>
      </c>
      <c r="Z46" s="14">
        <f>H46*Y46</f>
        <v>139.755</v>
      </c>
      <c r="AA46" s="14">
        <f>I46-N46-O46-Q46-R46-S46-T46-V46-W46-X46-L46</f>
        <v>48.9029</v>
      </c>
      <c r="AB46" s="14">
        <f>AA46-Z46</f>
        <v>-90.8521</v>
      </c>
      <c r="AC46" s="15">
        <f>IFERROR(AB46/H46,0)</f>
        <v>-0.097512182</v>
      </c>
      <c r="AD46" s="15">
        <f>IFERROR(AB46/L46,0)</f>
        <v>-0.3047398786</v>
      </c>
      <c r="AE46" s="14">
        <f>IFERROR((L46+R46+T46+Q46+V46+$C$6)/(((1-G46*$C$13)/(1-G46))-(M46+$C$5+Y46+$C$21+IF($C$14=2,$C$16,0))-$C$4*((1-G46*$C$13)/(1-G46))),0)</f>
        <v>1248.2578397213</v>
      </c>
    </row>
    <row r="47">
      <c r="A47" s="10" t="inlineStr">
        <is>
          <t>ENOUGH - Collagen 3in1 Whitening Moisture Foundation [Tone 21] / Тональный крем для лица с коллагеном 3в1 [21 тон]</t>
        </is>
      </c>
      <c r="B47" s="11" t="inlineStr">
        <is>
          <t>Тональные средства</t>
        </is>
      </c>
      <c r="C47" s="12" t="n">
        <v>78</v>
      </c>
      <c r="D47" s="12" t="n">
        <v>1038</v>
      </c>
      <c r="E47" s="13" t="n">
        <v>12</v>
      </c>
      <c r="F47" s="5" t="n">
        <v>1630</v>
      </c>
      <c r="G47" s="4" t="n">
        <v>0.45</v>
      </c>
      <c r="H47" s="14">
        <f>F47*(1-G47)</f>
        <v>896.5</v>
      </c>
      <c r="I47" s="14">
        <f>F47-F47*G47*$C$13</f>
        <v>896.5</v>
      </c>
      <c r="J47" s="5" t="n">
        <v>223.35</v>
      </c>
      <c r="K47" s="14">
        <f>$C$12</f>
        <v>60.0</v>
      </c>
      <c r="L47" s="14">
        <f>J47+K47</f>
        <v>283.35</v>
      </c>
      <c r="M47" s="15">
        <f>IF($C$14=1,0.47,$C$15)</f>
        <v>0.47</v>
      </c>
      <c r="N47" s="14">
        <f>H47*M47</f>
        <v>421.355</v>
      </c>
      <c r="O47" s="14">
        <f>IF($C$14=2,MIN(H47*$C$16,$C$17),0)</f>
        <v>0.0</v>
      </c>
      <c r="P47" s="16" t="n">
        <v>0.4</v>
      </c>
      <c r="Q47" s="14">
        <f>IF($C$14=2,P47*$C$18,0)</f>
        <v>0.0</v>
      </c>
      <c r="R47" s="14">
        <f>$C$22+$C$23</f>
        <v>60.0</v>
      </c>
      <c r="S47" s="14">
        <f>H47*$C$5+$C$6</f>
        <v>20.7395</v>
      </c>
      <c r="T47" s="14">
        <f>$C$10*$C$11*P47</f>
        <v>0.0</v>
      </c>
      <c r="U47" s="4" t="n">
        <v>0.9</v>
      </c>
      <c r="V47" s="14">
        <f>IF($C$14=2,(1-U47)*($C$19+$C$20),0)</f>
        <v>0.0</v>
      </c>
      <c r="W47" s="14">
        <f>H47*$C$21</f>
        <v>0.0</v>
      </c>
      <c r="X47" s="14">
        <f>I47*$C$4</f>
        <v>62.755</v>
      </c>
      <c r="Y47" s="4" t="n">
        <v>0.15</v>
      </c>
      <c r="Z47" s="14">
        <f>H47*Y47</f>
        <v>134.475</v>
      </c>
      <c r="AA47" s="14">
        <f>I47-N47-O47-Q47-R47-S47-T47-V47-W47-X47-L47</f>
        <v>48.3005</v>
      </c>
      <c r="AB47" s="14">
        <f>AA47-Z47</f>
        <v>-86.1745</v>
      </c>
      <c r="AC47" s="15">
        <f>IFERROR(AB47/H47,0)</f>
        <v>-0.0961232571</v>
      </c>
      <c r="AD47" s="15">
        <f>IFERROR(AB47/L47,0)</f>
        <v>-0.3041274043</v>
      </c>
      <c r="AE47" s="14">
        <f>IFERROR((L47+R47+T47+Q47+V47+$C$6)/(((1-G47*$C$13)/(1-G47))-(M47+$C$5+Y47+$C$21+IF($C$14=2,$C$16,0))-$C$4*((1-G47*$C$13)/(1-G47))),0)</f>
        <v>1196.7595818815</v>
      </c>
    </row>
    <row r="48">
      <c r="A48" s="10" t="inlineStr">
        <is>
          <t>ENOUGH - Premium 8 Peptide Full Cover Perfect Foundation [Tone 13] / Тональный крем с пептидами 13 тон</t>
        </is>
      </c>
      <c r="B48" s="11" t="inlineStr">
        <is>
          <t>Тональные средства</t>
        </is>
      </c>
      <c r="C48" s="12" t="n">
        <v>463</v>
      </c>
      <c r="D48" s="12" t="n">
        <v>1330</v>
      </c>
      <c r="E48" s="13" t="n">
        <v>0</v>
      </c>
      <c r="F48" s="5" t="n">
        <v>2119</v>
      </c>
      <c r="G48" s="4" t="n">
        <v>0.45</v>
      </c>
      <c r="H48" s="14">
        <f>F48*(1-G48)</f>
        <v>1165.45</v>
      </c>
      <c r="I48" s="14">
        <f>F48-F48*G48*$C$13</f>
        <v>1165.45</v>
      </c>
      <c r="J48" s="5" t="n">
        <v>335.9</v>
      </c>
      <c r="K48" s="14">
        <f>$C$12</f>
        <v>60.0</v>
      </c>
      <c r="L48" s="14">
        <f>J48+K48</f>
        <v>395.9</v>
      </c>
      <c r="M48" s="15">
        <f>IF($C$14=1,0.47,$C$15)</f>
        <v>0.47</v>
      </c>
      <c r="N48" s="14">
        <f>H48*M48</f>
        <v>547.7615</v>
      </c>
      <c r="O48" s="14">
        <f>IF($C$14=2,MIN(H48*$C$16,$C$17),0)</f>
        <v>0.0</v>
      </c>
      <c r="P48" s="16" t="n">
        <v>0.4</v>
      </c>
      <c r="Q48" s="14">
        <f>IF($C$14=2,P48*$C$18,0)</f>
        <v>0.0</v>
      </c>
      <c r="R48" s="14">
        <f>$C$22+$C$23</f>
        <v>60.0</v>
      </c>
      <c r="S48" s="14">
        <f>H48*$C$5+$C$6</f>
        <v>26.92535</v>
      </c>
      <c r="T48" s="14">
        <f>$C$10*$C$11*P48</f>
        <v>0.0</v>
      </c>
      <c r="U48" s="4" t="n">
        <v>0.9</v>
      </c>
      <c r="V48" s="14">
        <f>IF($C$14=2,(1-U48)*($C$19+$C$20),0)</f>
        <v>0.0</v>
      </c>
      <c r="W48" s="14">
        <f>H48*$C$21</f>
        <v>0.0</v>
      </c>
      <c r="X48" s="14">
        <f>I48*$C$4</f>
        <v>81.5815</v>
      </c>
      <c r="Y48" s="4" t="n">
        <v>0.15</v>
      </c>
      <c r="Z48" s="14">
        <f>H48*Y48</f>
        <v>174.8175</v>
      </c>
      <c r="AA48" s="14">
        <f>I48-N48-O48-Q48-R48-S48-T48-V48-W48-X48-L48</f>
        <v>53.28165</v>
      </c>
      <c r="AB48" s="14">
        <f>AA48-Z48</f>
        <v>-121.53585</v>
      </c>
      <c r="AC48" s="15">
        <f>IFERROR(AB48/H48,0)</f>
        <v>-0.1042823373</v>
      </c>
      <c r="AD48" s="15">
        <f>IFERROR(AB48/L48,0)</f>
        <v>-0.3069862339</v>
      </c>
      <c r="AE48" s="14">
        <f>IFERROR((L48+R48+T48+Q48+V48+$C$6)/(((1-G48*$C$13)/(1-G48))-(M48+$C$5+Y48+$C$21+IF($C$14=2,$C$16,0))-$C$4*((1-G48*$C$13)/(1-G48))),0)</f>
        <v>1588.9198606272</v>
      </c>
    </row>
    <row r="49">
      <c r="A49" s="10" t="inlineStr">
        <is>
          <t>ENOUGH - Premium 8 Peptide Full Cover Perfect Foundation [Tone 21] / Тональный крем с пептидами 21 тон</t>
        </is>
      </c>
      <c r="B49" s="11" t="inlineStr">
        <is>
          <t>Тональные средства</t>
        </is>
      </c>
      <c r="C49" s="12" t="n">
        <v>208</v>
      </c>
      <c r="D49" s="12" t="n">
        <v>1330</v>
      </c>
      <c r="E49" s="13" t="n">
        <v>0</v>
      </c>
      <c r="F49" s="5" t="n">
        <v>1984</v>
      </c>
      <c r="G49" s="4" t="n">
        <v>0.45</v>
      </c>
      <c r="H49" s="14">
        <f>F49*(1-G49)</f>
        <v>1091.2</v>
      </c>
      <c r="I49" s="14">
        <f>F49-F49*G49*$C$13</f>
        <v>1091.2</v>
      </c>
      <c r="J49" s="5" t="n">
        <v>304.77</v>
      </c>
      <c r="K49" s="14">
        <f>$C$12</f>
        <v>60.0</v>
      </c>
      <c r="L49" s="14">
        <f>J49+K49</f>
        <v>364.77</v>
      </c>
      <c r="M49" s="15">
        <f>IF($C$14=1,0.47,$C$15)</f>
        <v>0.47</v>
      </c>
      <c r="N49" s="14">
        <f>H49*M49</f>
        <v>512.864</v>
      </c>
      <c r="O49" s="14">
        <f>IF($C$14=2,MIN(H49*$C$16,$C$17),0)</f>
        <v>0.0</v>
      </c>
      <c r="P49" s="16" t="n">
        <v>0.4</v>
      </c>
      <c r="Q49" s="14">
        <f>IF($C$14=2,P49*$C$18,0)</f>
        <v>0.0</v>
      </c>
      <c r="R49" s="14">
        <f>$C$22+$C$23</f>
        <v>60.0</v>
      </c>
      <c r="S49" s="14">
        <f>H49*$C$5+$C$6</f>
        <v>25.2176</v>
      </c>
      <c r="T49" s="14">
        <f>$C$10*$C$11*P49</f>
        <v>0.0</v>
      </c>
      <c r="U49" s="4" t="n">
        <v>0.9</v>
      </c>
      <c r="V49" s="14">
        <f>IF($C$14=2,(1-U49)*($C$19+$C$20),0)</f>
        <v>0.0</v>
      </c>
      <c r="W49" s="14">
        <f>H49*$C$21</f>
        <v>0.0</v>
      </c>
      <c r="X49" s="14">
        <f>I49*$C$4</f>
        <v>76.384</v>
      </c>
      <c r="Y49" s="4" t="n">
        <v>0.15</v>
      </c>
      <c r="Z49" s="14">
        <f>H49*Y49</f>
        <v>163.68</v>
      </c>
      <c r="AA49" s="14">
        <f>I49-N49-O49-Q49-R49-S49-T49-V49-W49-X49-L49</f>
        <v>51.9644</v>
      </c>
      <c r="AB49" s="14">
        <f>AA49-Z49</f>
        <v>-111.7156</v>
      </c>
      <c r="AC49" s="15">
        <f>IFERROR(AB49/H49,0)</f>
        <v>-0.1023786657</v>
      </c>
      <c r="AD49" s="15">
        <f>IFERROR(AB49/L49,0)</f>
        <v>-0.3062631247</v>
      </c>
      <c r="AE49" s="14">
        <f>IFERROR((L49+R49+T49+Q49+V49+$C$6)/(((1-G49*$C$13)/(1-G49))-(M49+$C$5+Y49+$C$21+IF($C$14=2,$C$16,0))-$C$4*((1-G49*$C$13)/(1-G49))),0)</f>
        <v>1480.4529616725</v>
      </c>
    </row>
    <row r="50">
      <c r="A50" s="10" t="inlineStr">
        <is>
          <t>ENOUGH - Collagen Moisture BB Cream SPF47 PA+++ [50ml] / Увлажняющий BB крем с коллагеном</t>
        </is>
      </c>
      <c r="B50" s="11" t="inlineStr">
        <is>
          <t>Тональные средства</t>
        </is>
      </c>
      <c r="C50" s="12" t="n">
        <v>722</v>
      </c>
      <c r="D50" s="12" t="n"/>
      <c r="E50" s="13" t="n"/>
      <c r="F50" s="5" t="n">
        <v>1464</v>
      </c>
      <c r="G50" s="4" t="n">
        <v>0.45</v>
      </c>
      <c r="H50" s="14">
        <f>F50*(1-G50)</f>
        <v>805.2</v>
      </c>
      <c r="I50" s="14">
        <f>F50-F50*G50*$C$13</f>
        <v>805.2</v>
      </c>
      <c r="J50" s="5" t="n">
        <v>189.27</v>
      </c>
      <c r="K50" s="14">
        <f>$C$12</f>
        <v>60.0</v>
      </c>
      <c r="L50" s="14">
        <f>J50+K50</f>
        <v>249.27</v>
      </c>
      <c r="M50" s="15">
        <f>IF($C$14=1,0.47,$C$15)</f>
        <v>0.47</v>
      </c>
      <c r="N50" s="14">
        <f>H50*M50</f>
        <v>378.444</v>
      </c>
      <c r="O50" s="14">
        <f>IF($C$14=2,MIN(H50*$C$16,$C$17),0)</f>
        <v>0.0</v>
      </c>
      <c r="P50" s="16" t="n">
        <v>0.28</v>
      </c>
      <c r="Q50" s="14">
        <f>IF($C$14=2,P50*$C$18,0)</f>
        <v>0.0</v>
      </c>
      <c r="R50" s="14">
        <f>$C$22+$C$23</f>
        <v>60.0</v>
      </c>
      <c r="S50" s="14">
        <f>H50*$C$5+$C$6</f>
        <v>18.6396</v>
      </c>
      <c r="T50" s="14">
        <f>$C$10*$C$11*P50</f>
        <v>0.0</v>
      </c>
      <c r="U50" s="4" t="n">
        <v>0.9</v>
      </c>
      <c r="V50" s="14">
        <f>IF($C$14=2,(1-U50)*($C$19+$C$20),0)</f>
        <v>0.0</v>
      </c>
      <c r="W50" s="14">
        <f>H50*$C$21</f>
        <v>0.0</v>
      </c>
      <c r="X50" s="14">
        <f>I50*$C$4</f>
        <v>56.364</v>
      </c>
      <c r="Y50" s="4" t="n">
        <v>0.15</v>
      </c>
      <c r="Z50" s="14">
        <f>H50*Y50</f>
        <v>120.78</v>
      </c>
      <c r="AA50" s="14">
        <f>I50-N50-O50-Q50-R50-S50-T50-V50-W50-X50-L50</f>
        <v>42.4824</v>
      </c>
      <c r="AB50" s="14">
        <f>AA50-Z50</f>
        <v>-78.2976</v>
      </c>
      <c r="AC50" s="15">
        <f>IFERROR(AB50/H50,0)</f>
        <v>-0.0972399404</v>
      </c>
      <c r="AD50" s="15">
        <f>IFERROR(AB50/L50,0)</f>
        <v>-0.3141075942</v>
      </c>
      <c r="AE50" s="14">
        <f>IFERROR((L50+R50+T50+Q50+V50+$C$6)/(((1-G50*$C$13)/(1-G50))-(M50+$C$5+Y50+$C$21+IF($C$14=2,$C$16,0))-$C$4*((1-G50*$C$13)/(1-G50))),0)</f>
        <v>1078.0139372822</v>
      </c>
    </row>
    <row r="51">
      <c r="A51" s="8" t="inlineStr">
        <is>
          <t>Косметика/ETUDEHOUSE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</row>
    <row r="52">
      <c r="A52" s="10" t="inlineStr">
        <is>
          <t>ETUDE - Baking Powder Crunch Pore Scrub [200ml] / Очищающий скраб для лица с содой</t>
        </is>
      </c>
      <c r="B52" s="11" t="inlineStr">
        <is>
          <t>Скрабы для лица</t>
        </is>
      </c>
      <c r="C52" s="12" t="n">
        <v>221</v>
      </c>
      <c r="D52" s="12" t="n">
        <v>1730</v>
      </c>
      <c r="E52" s="13" t="n">
        <v>5</v>
      </c>
      <c r="F52" s="5" t="n">
        <v>1889</v>
      </c>
      <c r="G52" s="4" t="n">
        <v>0.45</v>
      </c>
      <c r="H52" s="14">
        <f>F52*(1-G52)</f>
        <v>1038.95</v>
      </c>
      <c r="I52" s="14">
        <f>F52-F52*G52*$C$13</f>
        <v>1038.95</v>
      </c>
      <c r="J52" s="5" t="n">
        <v>361.03</v>
      </c>
      <c r="K52" s="14">
        <f>$C$12</f>
        <v>60.0</v>
      </c>
      <c r="L52" s="14">
        <f>J52+K52</f>
        <v>421.03</v>
      </c>
      <c r="M52" s="15">
        <f>IF($C$14=1,0.48,$C$15)</f>
        <v>0.48</v>
      </c>
      <c r="N52" s="14">
        <f>H52*M52</f>
        <v>498.696</v>
      </c>
      <c r="O52" s="14">
        <f>IF($C$14=2,MIN(H52*$C$16,$C$17),0)</f>
        <v>0.0</v>
      </c>
      <c r="P52" s="16" t="n">
        <v>0.5600000000000001</v>
      </c>
      <c r="Q52" s="14">
        <f>IF($C$14=2,P52*$C$18,0)</f>
        <v>0.0</v>
      </c>
      <c r="R52" s="14">
        <f>$C$22+$C$23</f>
        <v>60.0</v>
      </c>
      <c r="S52" s="14">
        <f>H52*$C$5+$C$6</f>
        <v>24.01585</v>
      </c>
      <c r="T52" s="14">
        <f>$C$10*$C$11*P52</f>
        <v>0.0</v>
      </c>
      <c r="U52" s="4" t="n">
        <v>0.9</v>
      </c>
      <c r="V52" s="14">
        <f>IF($C$14=2,(1-U52)*($C$19+$C$20),0)</f>
        <v>0.0</v>
      </c>
      <c r="W52" s="14">
        <f>H52*$C$21</f>
        <v>0.0</v>
      </c>
      <c r="X52" s="14">
        <f>I52*$C$4</f>
        <v>72.7265</v>
      </c>
      <c r="Y52" s="4" t="n">
        <v>0.1</v>
      </c>
      <c r="Z52" s="14">
        <f>H52*Y52</f>
        <v>103.895</v>
      </c>
      <c r="AA52" s="14">
        <f>I52-N52-O52-Q52-R52-S52-T52-V52-W52-X52-L52</f>
        <v>-37.51835</v>
      </c>
      <c r="AB52" s="14">
        <f>AA52-Z52</f>
        <v>-141.41335</v>
      </c>
      <c r="AC52" s="15">
        <f>IFERROR(AB52/H52,0)</f>
        <v>-0.1361117956</v>
      </c>
      <c r="AD52" s="15">
        <f>IFERROR(AB52/L52,0)</f>
        <v>-0.3358747595</v>
      </c>
      <c r="AE52" s="14">
        <f>IFERROR((L52+R52+T52+Q52+V52+$C$6)/(((1-G52*$C$13)/(1-G52))-(M52+$C$5+Y52+$C$21+IF($C$14=2,$C$16,0))-$C$4*((1-G52*$C$13)/(1-G52))),0)</f>
        <v>1471.4067278287</v>
      </c>
    </row>
    <row r="53">
      <c r="A53" s="10" t="inlineStr">
        <is>
          <t>ETUDE - Baking Powder BB Deep Cleansing Foam [160ml] / Пенка с содой для глубокого очищения и снятия макияжа</t>
        </is>
      </c>
      <c r="B53" s="11" t="inlineStr">
        <is>
          <t>Средства для снятия макияжа</t>
        </is>
      </c>
      <c r="C53" s="12" t="n">
        <v>228</v>
      </c>
      <c r="D53" s="12" t="n">
        <v>1870</v>
      </c>
      <c r="E53" s="13" t="n">
        <v>8</v>
      </c>
      <c r="F53" s="5" t="n">
        <v>1746</v>
      </c>
      <c r="G53" s="4" t="n">
        <v>0.45</v>
      </c>
      <c r="H53" s="14">
        <f>F53*(1-G53)</f>
        <v>960.3</v>
      </c>
      <c r="I53" s="14">
        <f>F53-F53*G53*$C$13</f>
        <v>960.3</v>
      </c>
      <c r="J53" s="5" t="n">
        <v>292.89</v>
      </c>
      <c r="K53" s="14">
        <f>$C$12</f>
        <v>60.0</v>
      </c>
      <c r="L53" s="14">
        <f>J53+K53</f>
        <v>352.89</v>
      </c>
      <c r="M53" s="15">
        <f>IF($C$14=1,0.48,$C$15)</f>
        <v>0.48</v>
      </c>
      <c r="N53" s="14">
        <f>H53*M53</f>
        <v>460.944</v>
      </c>
      <c r="O53" s="14">
        <f>IF($C$14=2,MIN(H53*$C$16,$C$17),0)</f>
        <v>0.0</v>
      </c>
      <c r="P53" s="16" t="n">
        <v>0.5600000000000001</v>
      </c>
      <c r="Q53" s="14">
        <f>IF($C$14=2,P53*$C$18,0)</f>
        <v>0.0</v>
      </c>
      <c r="R53" s="14">
        <f>$C$22+$C$23</f>
        <v>60.0</v>
      </c>
      <c r="S53" s="14">
        <f>H53*$C$5+$C$6</f>
        <v>22.2069</v>
      </c>
      <c r="T53" s="14">
        <f>$C$10*$C$11*P53</f>
        <v>0.0</v>
      </c>
      <c r="U53" s="4" t="n">
        <v>0.9</v>
      </c>
      <c r="V53" s="14">
        <f>IF($C$14=2,(1-U53)*($C$19+$C$20),0)</f>
        <v>0.0</v>
      </c>
      <c r="W53" s="14">
        <f>H53*$C$21</f>
        <v>0.0</v>
      </c>
      <c r="X53" s="14">
        <f>I53*$C$4</f>
        <v>67.221</v>
      </c>
      <c r="Y53" s="4" t="n">
        <v>0.12</v>
      </c>
      <c r="Z53" s="14">
        <f>H53*Y53</f>
        <v>115.236</v>
      </c>
      <c r="AA53" s="14">
        <f>I53-N53-O53-Q53-R53-S53-T53-V53-W53-X53-L53</f>
        <v>-2.9619</v>
      </c>
      <c r="AB53" s="14">
        <f>AA53-Z53</f>
        <v>-118.1979</v>
      </c>
      <c r="AC53" s="15">
        <f>IFERROR(AB53/H53,0)</f>
        <v>-0.1230843486</v>
      </c>
      <c r="AD53" s="15">
        <f>IFERROR(AB53/L53,0)</f>
        <v>-0.3349426167</v>
      </c>
      <c r="AE53" s="14">
        <f>IFERROR((L53+R53+T53+Q53+V53+$C$6)/(((1-G53*$C$13)/(1-G53))-(M53+$C$5+Y53+$C$21+IF($C$14=2,$C$16,0))-$C$4*((1-G53*$C$13)/(1-G53))),0)</f>
        <v>1345.3094462541</v>
      </c>
    </row>
    <row r="54">
      <c r="A54" s="10" t="inlineStr">
        <is>
          <t>ETUDE - Baking Powder Crunch Pore Scrub [24*7ml] / Очищающий скраб для лица с содой</t>
        </is>
      </c>
      <c r="B54" s="11" t="inlineStr">
        <is>
          <t>Скрабы для лица</t>
        </is>
      </c>
      <c r="C54" s="12" t="n">
        <v>221</v>
      </c>
      <c r="D54" s="12" t="n">
        <v>1900</v>
      </c>
      <c r="E54" s="13" t="n">
        <v>10</v>
      </c>
      <c r="F54" s="5" t="n">
        <v>2387</v>
      </c>
      <c r="G54" s="4" t="n">
        <v>0.45</v>
      </c>
      <c r="H54" s="14">
        <f>F54*(1-G54)</f>
        <v>1312.85</v>
      </c>
      <c r="I54" s="14">
        <f>F54-F54*G54*$C$13</f>
        <v>1312.85</v>
      </c>
      <c r="J54" s="5" t="n">
        <v>389.99</v>
      </c>
      <c r="K54" s="14">
        <f>$C$12</f>
        <v>60.0</v>
      </c>
      <c r="L54" s="14">
        <f>J54+K54</f>
        <v>449.99</v>
      </c>
      <c r="M54" s="15">
        <f>IF($C$14=1,0.48,$C$15)</f>
        <v>0.48</v>
      </c>
      <c r="N54" s="14">
        <f>H54*M54</f>
        <v>630.168</v>
      </c>
      <c r="O54" s="14">
        <f>IF($C$14=2,MIN(H54*$C$16,$C$17),0)</f>
        <v>0.0</v>
      </c>
      <c r="P54" s="16" t="n">
        <v>1.15</v>
      </c>
      <c r="Q54" s="14">
        <f>IF($C$14=2,P54*$C$18,0)</f>
        <v>0.0</v>
      </c>
      <c r="R54" s="14">
        <f>$C$22+$C$23</f>
        <v>60.0</v>
      </c>
      <c r="S54" s="14">
        <f>H54*$C$5+$C$6</f>
        <v>30.31555</v>
      </c>
      <c r="T54" s="14">
        <f>$C$10*$C$11*P54</f>
        <v>0.0</v>
      </c>
      <c r="U54" s="4" t="n">
        <v>0.9</v>
      </c>
      <c r="V54" s="14">
        <f>IF($C$14=2,(1-U54)*($C$19+$C$20),0)</f>
        <v>0.0</v>
      </c>
      <c r="W54" s="14">
        <f>H54*$C$21</f>
        <v>0.0</v>
      </c>
      <c r="X54" s="14">
        <f>I54*$C$4</f>
        <v>91.8995</v>
      </c>
      <c r="Y54" s="4" t="n">
        <v>0.15</v>
      </c>
      <c r="Z54" s="14">
        <f>H54*Y54</f>
        <v>196.9275</v>
      </c>
      <c r="AA54" s="14">
        <f>I54-N54-O54-Q54-R54-S54-T54-V54-W54-X54-L54</f>
        <v>50.47695</v>
      </c>
      <c r="AB54" s="14">
        <f>AA54-Z54</f>
        <v>-146.45055</v>
      </c>
      <c r="AC54" s="15">
        <f>IFERROR(AB54/H54,0)</f>
        <v>-0.1115516243</v>
      </c>
      <c r="AD54" s="15">
        <f>IFERROR(AB54/L54,0)</f>
        <v>-0.325452899</v>
      </c>
      <c r="AE54" s="14">
        <f>IFERROR((L54+R54+T54+Q54+V54+$C$6)/(((1-G54*$C$13)/(1-G54))-(M54+$C$5+Y54+$C$21+IF($C$14=2,$C$16,0))-$C$4*((1-G54*$C$13)/(1-G54))),0)</f>
        <v>1841.5523465704</v>
      </c>
    </row>
    <row r="55">
      <c r="A55" s="8" t="inlineStr">
        <is>
          <t>Косметика/FARMSTAY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</row>
    <row r="56">
      <c r="A56" s="10" t="inlineStr">
        <is>
          <t>FARMSTAY COLLAGEN&amp;HYALURONIC ACID ALL-IN ONE</t>
        </is>
      </c>
      <c r="B56" s="11" t="inlineStr">
        <is>
          <t>Средства для ухода за лицом</t>
        </is>
      </c>
      <c r="C56" s="12" t="n">
        <v>6611</v>
      </c>
      <c r="D56" s="12" t="n">
        <v>3850</v>
      </c>
      <c r="E56" s="13" t="n">
        <v>6</v>
      </c>
      <c r="F56" s="5" t="n">
        <v>2178</v>
      </c>
      <c r="G56" s="4" t="n">
        <v>0.45</v>
      </c>
      <c r="H56" s="14">
        <f>F56*(1-G56)</f>
        <v>1197.9</v>
      </c>
      <c r="I56" s="14">
        <f>F56-F56*G56*$C$13</f>
        <v>1197.9</v>
      </c>
      <c r="J56" s="5" t="n">
        <v>347.76</v>
      </c>
      <c r="K56" s="14">
        <f>$C$12</f>
        <v>60.0</v>
      </c>
      <c r="L56" s="14">
        <f>J56+K56</f>
        <v>407.76</v>
      </c>
      <c r="M56" s="15">
        <f>IF($C$14=1,0.47,$C$15)</f>
        <v>0.47</v>
      </c>
      <c r="N56" s="14">
        <f>H56*M56</f>
        <v>563.013</v>
      </c>
      <c r="O56" s="14">
        <f>IF($C$14=2,MIN(H56*$C$16,$C$17),0)</f>
        <v>0.0</v>
      </c>
      <c r="P56" s="16" t="n">
        <v>0.832</v>
      </c>
      <c r="Q56" s="14">
        <f>IF($C$14=2,P56*$C$18,0)</f>
        <v>0.0</v>
      </c>
      <c r="R56" s="14">
        <f>$C$22+$C$23</f>
        <v>60.0</v>
      </c>
      <c r="S56" s="14">
        <f>H56*$C$5+$C$6</f>
        <v>27.6717</v>
      </c>
      <c r="T56" s="14">
        <f>$C$10*$C$11*P56</f>
        <v>0.0</v>
      </c>
      <c r="U56" s="4" t="n">
        <v>0.9</v>
      </c>
      <c r="V56" s="14">
        <f>IF($C$14=2,(1-U56)*($C$19+$C$20),0)</f>
        <v>0.0</v>
      </c>
      <c r="W56" s="14">
        <f>H56*$C$21</f>
        <v>0.0</v>
      </c>
      <c r="X56" s="14">
        <f>I56*$C$4</f>
        <v>83.853</v>
      </c>
      <c r="Y56" s="4" t="n">
        <v>0.15</v>
      </c>
      <c r="Z56" s="14">
        <f>H56*Y56</f>
        <v>179.685</v>
      </c>
      <c r="AA56" s="14">
        <f>I56-N56-O56-Q56-R56-S56-T56-V56-W56-X56-L56</f>
        <v>55.6023</v>
      </c>
      <c r="AB56" s="14">
        <f>AA56-Z56</f>
        <v>-124.0827</v>
      </c>
      <c r="AC56" s="15">
        <f>IFERROR(AB56/H56,0)</f>
        <v>-0.1035835212</v>
      </c>
      <c r="AD56" s="15">
        <f>IFERROR(AB56/L56,0)</f>
        <v>-0.3043032666</v>
      </c>
      <c r="AE56" s="14">
        <f>IFERROR((L56+R56+T56+Q56+V56+$C$6)/(((1-G56*$C$13)/(1-G56))-(M56+$C$5+Y56+$C$21+IF($C$14=2,$C$16,0))-$C$4*((1-G56*$C$13)/(1-G56))),0)</f>
        <v>1630.243902439</v>
      </c>
    </row>
    <row r="57">
      <c r="A57" s="10" t="inlineStr">
        <is>
          <t>FARMSTAY - Black Garlic Nourishing Shampoo [530ml] / Шампунь-кондиционер 2в1 с экстрактом черного чеснока</t>
        </is>
      </c>
      <c r="B57" s="11" t="inlineStr">
        <is>
          <t>Шампуни</t>
        </is>
      </c>
      <c r="C57" s="12" t="n">
        <v>3360</v>
      </c>
      <c r="D57" s="12" t="n">
        <v>2156</v>
      </c>
      <c r="E57" s="13" t="n">
        <v>5</v>
      </c>
      <c r="F57" s="5" t="n">
        <v>2442</v>
      </c>
      <c r="G57" s="4" t="n">
        <v>0.45</v>
      </c>
      <c r="H57" s="14">
        <f>F57*(1-G57)</f>
        <v>1343.1</v>
      </c>
      <c r="I57" s="14">
        <f>F57-F57*G57*$C$13</f>
        <v>1343.1</v>
      </c>
      <c r="J57" s="5" t="n">
        <v>396.72</v>
      </c>
      <c r="K57" s="14">
        <f>$C$12</f>
        <v>60.0</v>
      </c>
      <c r="L57" s="14">
        <f>J57+K57</f>
        <v>456.72</v>
      </c>
      <c r="M57" s="15">
        <f>IF($C$14=1,0.47,$C$15)</f>
        <v>0.47</v>
      </c>
      <c r="N57" s="14">
        <f>H57*M57</f>
        <v>631.257</v>
      </c>
      <c r="O57" s="14">
        <f>IF($C$14=2,MIN(H57*$C$16,$C$17),0)</f>
        <v>0.0</v>
      </c>
      <c r="P57" s="16" t="n">
        <v>1.89</v>
      </c>
      <c r="Q57" s="14">
        <f>IF($C$14=2,P57*$C$18,0)</f>
        <v>0.0</v>
      </c>
      <c r="R57" s="14">
        <f>$C$22+$C$23</f>
        <v>60.0</v>
      </c>
      <c r="S57" s="14">
        <f>H57*$C$5+$C$6</f>
        <v>31.0113</v>
      </c>
      <c r="T57" s="14">
        <f>$C$10*$C$11*P57</f>
        <v>0.0</v>
      </c>
      <c r="U57" s="4" t="n">
        <v>0.9</v>
      </c>
      <c r="V57" s="14">
        <f>IF($C$14=2,(1-U57)*($C$19+$C$20),0)</f>
        <v>0.0</v>
      </c>
      <c r="W57" s="14">
        <f>H57*$C$21</f>
        <v>0.0</v>
      </c>
      <c r="X57" s="14">
        <f>I57*$C$4</f>
        <v>94.017</v>
      </c>
      <c r="Y57" s="4" t="n">
        <v>0.15</v>
      </c>
      <c r="Z57" s="14">
        <f>H57*Y57</f>
        <v>201.465</v>
      </c>
      <c r="AA57" s="14">
        <f>I57-N57-O57-Q57-R57-S57-T57-V57-W57-X57-L57</f>
        <v>70.0947</v>
      </c>
      <c r="AB57" s="14">
        <f>AA57-Z57</f>
        <v>-131.3703</v>
      </c>
      <c r="AC57" s="15">
        <f>IFERROR(AB57/H57,0)</f>
        <v>-0.0978112575</v>
      </c>
      <c r="AD57" s="15">
        <f>IFERROR(AB57/L57,0)</f>
        <v>-0.287638597</v>
      </c>
      <c r="AE57" s="14">
        <f>IFERROR((L57+R57+T57+Q57+V57+$C$6)/(((1-G57*$C$13)/(1-G57))-(M57+$C$5+Y57+$C$21+IF($C$14=2,$C$16,0))-$C$4*((1-G57*$C$13)/(1-G57))),0)</f>
        <v>1800.8362369338</v>
      </c>
    </row>
    <row r="58">
      <c r="A58" s="10" t="inlineStr">
        <is>
          <t>FARMSTAY - Gold Snail Premium Cream [50ml] / Омолаживающий крем с муцином улитки и коллоидным золотом</t>
        </is>
      </c>
      <c r="B58" s="11" t="inlineStr">
        <is>
          <t>Средства для ухода за лицом</t>
        </is>
      </c>
      <c r="C58" s="12" t="n">
        <v>1104</v>
      </c>
      <c r="D58" s="12" t="n"/>
      <c r="E58" s="13" t="n"/>
      <c r="F58" s="5" t="n">
        <v>2538</v>
      </c>
      <c r="G58" s="4" t="n">
        <v>0.45</v>
      </c>
      <c r="H58" s="14">
        <f>F58*(1-G58)</f>
        <v>1395.9</v>
      </c>
      <c r="I58" s="14">
        <f>F58-F58*G58*$C$13</f>
        <v>1395.9</v>
      </c>
      <c r="J58" s="5" t="n">
        <v>431.05</v>
      </c>
      <c r="K58" s="14">
        <f>$C$12</f>
        <v>60.0</v>
      </c>
      <c r="L58" s="14">
        <f>J58+K58</f>
        <v>491.05</v>
      </c>
      <c r="M58" s="15">
        <f>IF($C$14=1,0.47,$C$15)</f>
        <v>0.47</v>
      </c>
      <c r="N58" s="14">
        <f>H58*M58</f>
        <v>656.073</v>
      </c>
      <c r="O58" s="14">
        <f>IF($C$14=2,MIN(H58*$C$16,$C$17),0)</f>
        <v>0.0</v>
      </c>
      <c r="P58" s="16" t="n">
        <v>0.73</v>
      </c>
      <c r="Q58" s="14">
        <f>IF($C$14=2,P58*$C$18,0)</f>
        <v>0.0</v>
      </c>
      <c r="R58" s="14">
        <f>$C$22+$C$23</f>
        <v>60.0</v>
      </c>
      <c r="S58" s="14">
        <f>H58*$C$5+$C$6</f>
        <v>32.2257</v>
      </c>
      <c r="T58" s="14">
        <f>$C$10*$C$11*P58</f>
        <v>0.0</v>
      </c>
      <c r="U58" s="4" t="n">
        <v>0.9</v>
      </c>
      <c r="V58" s="14">
        <f>IF($C$14=2,(1-U58)*($C$19+$C$20),0)</f>
        <v>0.0</v>
      </c>
      <c r="W58" s="14">
        <f>H58*$C$21</f>
        <v>0.0</v>
      </c>
      <c r="X58" s="14">
        <f>I58*$C$4</f>
        <v>97.713</v>
      </c>
      <c r="Y58" s="4" t="n">
        <v>0.15</v>
      </c>
      <c r="Z58" s="14">
        <f>H58*Y58</f>
        <v>209.385</v>
      </c>
      <c r="AA58" s="14">
        <f>I58-N58-O58-Q58-R58-S58-T58-V58-W58-X58-L58</f>
        <v>58.8383</v>
      </c>
      <c r="AB58" s="14">
        <f>AA58-Z58</f>
        <v>-150.5467</v>
      </c>
      <c r="AC58" s="15">
        <f>IFERROR(AB58/H58,0)</f>
        <v>-0.1078492012</v>
      </c>
      <c r="AD58" s="15">
        <f>IFERROR(AB58/L58,0)</f>
        <v>-0.3065812035</v>
      </c>
      <c r="AE58" s="14">
        <f>IFERROR((L58+R58+T58+Q58+V58+$C$6)/(((1-G58*$C$13)/(1-G58))-(M58+$C$5+Y58+$C$21+IF($C$14=2,$C$16,0))-$C$4*((1-G58*$C$13)/(1-G58))),0)</f>
        <v>1920.4529616725</v>
      </c>
    </row>
    <row r="59">
      <c r="A59" s="10" t="inlineStr">
        <is>
          <t>FARMSTAY - Escargot Noblesse Intensive Cream [50g] / Крем с муцином королевской улитки</t>
        </is>
      </c>
      <c r="B59" s="11" t="inlineStr">
        <is>
          <t>Средства для ухода за лицом</t>
        </is>
      </c>
      <c r="C59" s="12" t="n">
        <v>964</v>
      </c>
      <c r="D59" s="12" t="n">
        <v>3070</v>
      </c>
      <c r="E59" s="13" t="n">
        <v>6.6</v>
      </c>
      <c r="F59" s="5" t="n">
        <v>2032</v>
      </c>
      <c r="G59" s="4" t="n">
        <v>0.45</v>
      </c>
      <c r="H59" s="14">
        <f>F59*(1-G59)</f>
        <v>1117.6</v>
      </c>
      <c r="I59" s="14">
        <f>F59-F59*G59*$C$13</f>
        <v>1117.6</v>
      </c>
      <c r="J59" s="5" t="n">
        <v>313.84</v>
      </c>
      <c r="K59" s="14">
        <f>$C$12</f>
        <v>60.0</v>
      </c>
      <c r="L59" s="14">
        <f>J59+K59</f>
        <v>373.84</v>
      </c>
      <c r="M59" s="15">
        <f>IF($C$14=1,0.47,$C$15)</f>
        <v>0.47</v>
      </c>
      <c r="N59" s="14">
        <f>H59*M59</f>
        <v>525.272</v>
      </c>
      <c r="O59" s="14">
        <f>IF($C$14=2,MIN(H59*$C$16,$C$17),0)</f>
        <v>0.0</v>
      </c>
      <c r="P59" s="16" t="n">
        <v>0.86</v>
      </c>
      <c r="Q59" s="14">
        <f>IF($C$14=2,P59*$C$18,0)</f>
        <v>0.0</v>
      </c>
      <c r="R59" s="14">
        <f>$C$22+$C$23</f>
        <v>60.0</v>
      </c>
      <c r="S59" s="14">
        <f>H59*$C$5+$C$6</f>
        <v>25.8248</v>
      </c>
      <c r="T59" s="14">
        <f>$C$10*$C$11*P59</f>
        <v>0.0</v>
      </c>
      <c r="U59" s="4" t="n">
        <v>0.9</v>
      </c>
      <c r="V59" s="14">
        <f>IF($C$14=2,(1-U59)*($C$19+$C$20),0)</f>
        <v>0.0</v>
      </c>
      <c r="W59" s="14">
        <f>H59*$C$21</f>
        <v>0.0</v>
      </c>
      <c r="X59" s="14">
        <f>I59*$C$4</f>
        <v>78.232</v>
      </c>
      <c r="Y59" s="4" t="n">
        <v>0.15</v>
      </c>
      <c r="Z59" s="14">
        <f>H59*Y59</f>
        <v>167.64</v>
      </c>
      <c r="AA59" s="14">
        <f>I59-N59-O59-Q59-R59-S59-T59-V59-W59-X59-L59</f>
        <v>54.4312</v>
      </c>
      <c r="AB59" s="14">
        <f>AA59-Z59</f>
        <v>-113.2088</v>
      </c>
      <c r="AC59" s="15">
        <f>IFERROR(AB59/H59,0)</f>
        <v>-0.1012963493</v>
      </c>
      <c r="AD59" s="15">
        <f>IFERROR(AB59/L59,0)</f>
        <v>-0.3028268778</v>
      </c>
      <c r="AE59" s="14">
        <f>IFERROR((L59+R59+T59+Q59+V59+$C$6)/(((1-G59*$C$13)/(1-G59))-(M59+$C$5+Y59+$C$21+IF($C$14=2,$C$16,0))-$C$4*((1-G59*$C$13)/(1-G59))),0)</f>
        <v>1512.0557491289</v>
      </c>
    </row>
    <row r="60">
      <c r="A60" s="10" t="inlineStr">
        <is>
          <t xml:space="preserve">FARMSTAY ESCARGOT NOBLESSE INTENSIVE AMPOULE/ сыворотка с улиткой </t>
        </is>
      </c>
      <c r="B60" s="11" t="inlineStr">
        <is>
          <t>Средства для ухода за лицом</t>
        </is>
      </c>
      <c r="C60" s="12" t="n">
        <v>964</v>
      </c>
      <c r="D60" s="12" t="n">
        <v>3820</v>
      </c>
      <c r="E60" s="13" t="n">
        <v>7</v>
      </c>
      <c r="F60" s="5" t="n">
        <v>2364</v>
      </c>
      <c r="G60" s="4" t="n">
        <v>0.45</v>
      </c>
      <c r="H60" s="14">
        <f>F60*(1-G60)</f>
        <v>1300.2</v>
      </c>
      <c r="I60" s="14">
        <f>F60-F60*G60*$C$13</f>
        <v>1300.2</v>
      </c>
      <c r="J60" s="5" t="n">
        <v>390.46</v>
      </c>
      <c r="K60" s="14">
        <f>$C$12</f>
        <v>60.0</v>
      </c>
      <c r="L60" s="14">
        <f>J60+K60</f>
        <v>450.46</v>
      </c>
      <c r="M60" s="15">
        <f>IF($C$14=1,0.47,$C$15)</f>
        <v>0.47</v>
      </c>
      <c r="N60" s="14">
        <f>H60*M60</f>
        <v>611.094</v>
      </c>
      <c r="O60" s="14">
        <f>IF($C$14=2,MIN(H60*$C$16,$C$17),0)</f>
        <v>0.0</v>
      </c>
      <c r="P60" s="16" t="n">
        <v>0.86</v>
      </c>
      <c r="Q60" s="14">
        <f>IF($C$14=2,P60*$C$18,0)</f>
        <v>0.0</v>
      </c>
      <c r="R60" s="14">
        <f>$C$22+$C$23</f>
        <v>60.0</v>
      </c>
      <c r="S60" s="14">
        <f>H60*$C$5+$C$6</f>
        <v>30.0246</v>
      </c>
      <c r="T60" s="14">
        <f>$C$10*$C$11*P60</f>
        <v>0.0</v>
      </c>
      <c r="U60" s="4" t="n">
        <v>0.9</v>
      </c>
      <c r="V60" s="14">
        <f>IF($C$14=2,(1-U60)*($C$19+$C$20),0)</f>
        <v>0.0</v>
      </c>
      <c r="W60" s="14">
        <f>H60*$C$21</f>
        <v>0.0</v>
      </c>
      <c r="X60" s="14">
        <f>I60*$C$4</f>
        <v>91.014</v>
      </c>
      <c r="Y60" s="4" t="n">
        <v>0.15</v>
      </c>
      <c r="Z60" s="14">
        <f>H60*Y60</f>
        <v>195.03</v>
      </c>
      <c r="AA60" s="14">
        <f>I60-N60-O60-Q60-R60-S60-T60-V60-W60-X60-L60</f>
        <v>57.6074</v>
      </c>
      <c r="AB60" s="14">
        <f>AA60-Z60</f>
        <v>-137.4226</v>
      </c>
      <c r="AC60" s="15">
        <f>IFERROR(AB60/H60,0)</f>
        <v>-0.1056934318</v>
      </c>
      <c r="AD60" s="15">
        <f>IFERROR(AB60/L60,0)</f>
        <v>-0.3050717045</v>
      </c>
      <c r="AE60" s="14">
        <f>IFERROR((L60+R60+T60+Q60+V60+$C$6)/(((1-G60*$C$13)/(1-G60))-(M60+$C$5+Y60+$C$21+IF($C$14=2,$C$16,0))-$C$4*((1-G60*$C$13)/(1-G60))),0)</f>
        <v>1779.0243902439</v>
      </c>
    </row>
    <row r="61">
      <c r="A61" s="10" t="inlineStr">
        <is>
          <t>FARMSTAY - Argan Oil Complete Volume Up Shampoo &amp; Conditioner [530ml] / Шампунь-кондиционер с аргановым маслом</t>
        </is>
      </c>
      <c r="B61" s="11" t="inlineStr">
        <is>
          <t>Шампуни</t>
        </is>
      </c>
      <c r="C61" s="12" t="n">
        <v>2535</v>
      </c>
      <c r="D61" s="12" t="n">
        <v>2000</v>
      </c>
      <c r="E61" s="13" t="n">
        <v>1</v>
      </c>
      <c r="F61" s="5" t="n">
        <v>2448</v>
      </c>
      <c r="G61" s="4" t="n">
        <v>0.45</v>
      </c>
      <c r="H61" s="14">
        <f>F61*(1-G61)</f>
        <v>1346.4</v>
      </c>
      <c r="I61" s="14">
        <f>F61-F61*G61*$C$13</f>
        <v>1346.4</v>
      </c>
      <c r="J61" s="5" t="n">
        <v>400.76</v>
      </c>
      <c r="K61" s="14">
        <f>$C$12</f>
        <v>60.0</v>
      </c>
      <c r="L61" s="14">
        <f>J61+K61</f>
        <v>460.76</v>
      </c>
      <c r="M61" s="15">
        <f>IF($C$14=1,0.47,$C$15)</f>
        <v>0.47</v>
      </c>
      <c r="N61" s="14">
        <f>H61*M61</f>
        <v>632.808</v>
      </c>
      <c r="O61" s="14">
        <f>IF($C$14=2,MIN(H61*$C$16,$C$17),0)</f>
        <v>0.0</v>
      </c>
      <c r="P61" s="16" t="n">
        <v>1.26</v>
      </c>
      <c r="Q61" s="14">
        <f>IF($C$14=2,P61*$C$18,0)</f>
        <v>0.0</v>
      </c>
      <c r="R61" s="14">
        <f>$C$22+$C$23</f>
        <v>60.0</v>
      </c>
      <c r="S61" s="14">
        <f>H61*$C$5+$C$6</f>
        <v>31.0872</v>
      </c>
      <c r="T61" s="14">
        <f>$C$10*$C$11*P61</f>
        <v>0.0</v>
      </c>
      <c r="U61" s="4" t="n">
        <v>0.9</v>
      </c>
      <c r="V61" s="14">
        <f>IF($C$14=2,(1-U61)*($C$19+$C$20),0)</f>
        <v>0.0</v>
      </c>
      <c r="W61" s="14">
        <f>H61*$C$21</f>
        <v>0.0</v>
      </c>
      <c r="X61" s="14">
        <f>I61*$C$4</f>
        <v>94.248</v>
      </c>
      <c r="Y61" s="4" t="n">
        <v>0.15</v>
      </c>
      <c r="Z61" s="14">
        <f>H61*Y61</f>
        <v>201.96</v>
      </c>
      <c r="AA61" s="14">
        <f>I61-N61-O61-Q61-R61-S61-T61-V61-W61-X61-L61</f>
        <v>67.4968</v>
      </c>
      <c r="AB61" s="14">
        <f>AA61-Z61</f>
        <v>-134.4632</v>
      </c>
      <c r="AC61" s="15">
        <f>IFERROR(AB61/H61,0)</f>
        <v>-0.0998686869</v>
      </c>
      <c r="AD61" s="15">
        <f>IFERROR(AB61/L61,0)</f>
        <v>-0.2918291518</v>
      </c>
      <c r="AE61" s="14">
        <f>IFERROR((L61+R61+T61+Q61+V61+$C$6)/(((1-G61*$C$13)/(1-G61))-(M61+$C$5+Y61+$C$21+IF($C$14=2,$C$16,0))-$C$4*((1-G61*$C$13)/(1-G61))),0)</f>
        <v>1814.9128919861</v>
      </c>
    </row>
    <row r="62">
      <c r="A62" s="10" t="inlineStr">
        <is>
          <t>FARMSTAY - Collagen Water Full Shampoo &amp; Conditioner [530ml] / Шампунь-кондиционер 2в1 с коллагеном</t>
        </is>
      </c>
      <c r="B62" s="11" t="inlineStr">
        <is>
          <t>Шампуни</t>
        </is>
      </c>
      <c r="C62" s="12" t="n">
        <v>484</v>
      </c>
      <c r="D62" s="12" t="n">
        <v>2128</v>
      </c>
      <c r="E62" s="13" t="n">
        <v>7.5</v>
      </c>
      <c r="F62" s="5" t="n">
        <v>2431</v>
      </c>
      <c r="G62" s="4" t="n">
        <v>0.45</v>
      </c>
      <c r="H62" s="14">
        <f>F62*(1-G62)</f>
        <v>1337.05</v>
      </c>
      <c r="I62" s="14">
        <f>F62-F62*G62*$C$13</f>
        <v>1337.05</v>
      </c>
      <c r="J62" s="5" t="n">
        <v>396.72</v>
      </c>
      <c r="K62" s="14">
        <f>$C$12</f>
        <v>60.0</v>
      </c>
      <c r="L62" s="14">
        <f>J62+K62</f>
        <v>456.72</v>
      </c>
      <c r="M62" s="15">
        <f>IF($C$14=1,0.47,$C$15)</f>
        <v>0.47</v>
      </c>
      <c r="N62" s="14">
        <f>H62*M62</f>
        <v>628.4135</v>
      </c>
      <c r="O62" s="14">
        <f>IF($C$14=2,MIN(H62*$C$16,$C$17),0)</f>
        <v>0.0</v>
      </c>
      <c r="P62" s="16" t="n">
        <v>1.26</v>
      </c>
      <c r="Q62" s="14">
        <f>IF($C$14=2,P62*$C$18,0)</f>
        <v>0.0</v>
      </c>
      <c r="R62" s="14">
        <f>$C$22+$C$23</f>
        <v>60.0</v>
      </c>
      <c r="S62" s="14">
        <f>H62*$C$5+$C$6</f>
        <v>30.87215</v>
      </c>
      <c r="T62" s="14">
        <f>$C$10*$C$11*P62</f>
        <v>0.0</v>
      </c>
      <c r="U62" s="4" t="n">
        <v>0.9</v>
      </c>
      <c r="V62" s="14">
        <f>IF($C$14=2,(1-U62)*($C$19+$C$20),0)</f>
        <v>0.0</v>
      </c>
      <c r="W62" s="14">
        <f>H62*$C$21</f>
        <v>0.0</v>
      </c>
      <c r="X62" s="14">
        <f>I62*$C$4</f>
        <v>93.5935</v>
      </c>
      <c r="Y62" s="4" t="n">
        <v>0.15</v>
      </c>
      <c r="Z62" s="14">
        <f>H62*Y62</f>
        <v>200.5575</v>
      </c>
      <c r="AA62" s="14">
        <f>I62-N62-O62-Q62-R62-S62-T62-V62-W62-X62-L62</f>
        <v>67.45085</v>
      </c>
      <c r="AB62" s="14">
        <f>AA62-Z62</f>
        <v>-133.10665</v>
      </c>
      <c r="AC62" s="15">
        <f>IFERROR(AB62/H62,0)</f>
        <v>-0.0995524849</v>
      </c>
      <c r="AD62" s="15">
        <f>IFERROR(AB62/L62,0)</f>
        <v>-0.2914403792</v>
      </c>
      <c r="AE62" s="14">
        <f>IFERROR((L62+R62+T62+Q62+V62+$C$6)/(((1-G62*$C$13)/(1-G62))-(M62+$C$5+Y62+$C$21+IF($C$14=2,$C$16,0))-$C$4*((1-G62*$C$13)/(1-G62))),0)</f>
        <v>1800.8362369338</v>
      </c>
    </row>
    <row r="63">
      <c r="A63" s="10" t="inlineStr">
        <is>
          <t>FARMSTAY - Collagen Water Full Moist Rolling Eye Serum [25ml] / Сыворотка роллер для глаз</t>
        </is>
      </c>
      <c r="B63" s="11" t="inlineStr">
        <is>
          <t>Уход за кожей вокруг глаз</t>
        </is>
      </c>
      <c r="C63" s="12" t="n">
        <v>484</v>
      </c>
      <c r="D63" s="12" t="n">
        <v>2145</v>
      </c>
      <c r="E63" s="13" t="n">
        <v>5</v>
      </c>
      <c r="F63" s="5" t="n">
        <v>1647</v>
      </c>
      <c r="G63" s="4" t="n">
        <v>0.45</v>
      </c>
      <c r="H63" s="14">
        <f>F63*(1-G63)</f>
        <v>905.85</v>
      </c>
      <c r="I63" s="14">
        <f>F63-F63*G63*$C$13</f>
        <v>905.85</v>
      </c>
      <c r="J63" s="5" t="n">
        <v>231.73</v>
      </c>
      <c r="K63" s="14">
        <f>$C$12</f>
        <v>60.0</v>
      </c>
      <c r="L63" s="14">
        <f>J63+K63</f>
        <v>291.73</v>
      </c>
      <c r="M63" s="15">
        <f>IF($C$14=1,0.48,$C$15)</f>
        <v>0.48</v>
      </c>
      <c r="N63" s="14">
        <f>H63*M63</f>
        <v>434.808</v>
      </c>
      <c r="O63" s="14">
        <f>IF($C$14=2,MIN(H63*$C$16,$C$17),0)</f>
        <v>0.0</v>
      </c>
      <c r="P63" s="16" t="n">
        <v>0.22</v>
      </c>
      <c r="Q63" s="14">
        <f>IF($C$14=2,P63*$C$18,0)</f>
        <v>0.0</v>
      </c>
      <c r="R63" s="14">
        <f>$C$22+$C$23</f>
        <v>60.0</v>
      </c>
      <c r="S63" s="14">
        <f>H63*$C$5+$C$6</f>
        <v>20.95455</v>
      </c>
      <c r="T63" s="14">
        <f>$C$10*$C$11*P63</f>
        <v>0.0</v>
      </c>
      <c r="U63" s="4" t="n">
        <v>0.9</v>
      </c>
      <c r="V63" s="14">
        <f>IF($C$14=2,(1-U63)*($C$19+$C$20),0)</f>
        <v>0.0</v>
      </c>
      <c r="W63" s="14">
        <f>H63*$C$21</f>
        <v>0.0</v>
      </c>
      <c r="X63" s="14">
        <f>I63*$C$4</f>
        <v>63.4095</v>
      </c>
      <c r="Y63" s="4" t="n">
        <v>0.15</v>
      </c>
      <c r="Z63" s="14">
        <f>H63*Y63</f>
        <v>135.8775</v>
      </c>
      <c r="AA63" s="14">
        <f>I63-N63-O63-Q63-R63-S63-T63-V63-W63-X63-L63</f>
        <v>34.94795</v>
      </c>
      <c r="AB63" s="14">
        <f>AA63-Z63</f>
        <v>-100.92955</v>
      </c>
      <c r="AC63" s="15">
        <f>IFERROR(AB63/H63,0)</f>
        <v>-0.1114197163</v>
      </c>
      <c r="AD63" s="15">
        <f>IFERROR(AB63/L63,0)</f>
        <v>-0.3459690467</v>
      </c>
      <c r="AE63" s="14">
        <f>IFERROR((L63+R63+T63+Q63+V63+$C$6)/(((1-G63*$C$13)/(1-G63))-(M63+$C$5+Y63+$C$21+IF($C$14=2,$C$16,0))-$C$4*((1-G63*$C$13)/(1-G63))),0)</f>
        <v>1270.2166064982</v>
      </c>
    </row>
    <row r="64">
      <c r="A64" s="10" t="inlineStr">
        <is>
          <t>FARMSTAY - Collagen Water Full Moist Cream [100g] / Увлажняющий крем с коллагеном</t>
        </is>
      </c>
      <c r="B64" s="11" t="inlineStr">
        <is>
          <t>Средства для ухода за лицом</t>
        </is>
      </c>
      <c r="C64" s="12" t="n">
        <v>287</v>
      </c>
      <c r="D64" s="12" t="n">
        <v>4300</v>
      </c>
      <c r="E64" s="13" t="n">
        <v>7</v>
      </c>
      <c r="F64" s="5" t="n">
        <v>2767</v>
      </c>
      <c r="G64" s="4" t="n">
        <v>0.45</v>
      </c>
      <c r="H64" s="14">
        <f>F64*(1-G64)</f>
        <v>1521.85</v>
      </c>
      <c r="I64" s="14">
        <f>F64-F64*G64*$C$13</f>
        <v>1521.85</v>
      </c>
      <c r="J64" s="5" t="n">
        <v>484.42</v>
      </c>
      <c r="K64" s="14">
        <f>$C$12</f>
        <v>60.0</v>
      </c>
      <c r="L64" s="14">
        <f>J64+K64</f>
        <v>544.42</v>
      </c>
      <c r="M64" s="15">
        <f>IF($C$14=1,0.47,$C$15)</f>
        <v>0.47</v>
      </c>
      <c r="N64" s="14">
        <f>H64*M64</f>
        <v>715.2695</v>
      </c>
      <c r="O64" s="14">
        <f>IF($C$14=2,MIN(H64*$C$16,$C$17),0)</f>
        <v>0.0</v>
      </c>
      <c r="P64" s="16" t="n">
        <v>0.57</v>
      </c>
      <c r="Q64" s="14">
        <f>IF($C$14=2,P64*$C$18,0)</f>
        <v>0.0</v>
      </c>
      <c r="R64" s="14">
        <f>$C$22+$C$23</f>
        <v>60.0</v>
      </c>
      <c r="S64" s="14">
        <f>H64*$C$5+$C$6</f>
        <v>35.12255</v>
      </c>
      <c r="T64" s="14">
        <f>$C$10*$C$11*P64</f>
        <v>0.0</v>
      </c>
      <c r="U64" s="4" t="n">
        <v>0.9</v>
      </c>
      <c r="V64" s="14">
        <f>IF($C$14=2,(1-U64)*($C$19+$C$20),0)</f>
        <v>0.0</v>
      </c>
      <c r="W64" s="14">
        <f>H64*$C$21</f>
        <v>0.0</v>
      </c>
      <c r="X64" s="14">
        <f>I64*$C$4</f>
        <v>106.5295</v>
      </c>
      <c r="Y64" s="4" t="n">
        <v>0.15</v>
      </c>
      <c r="Z64" s="14">
        <f>H64*Y64</f>
        <v>228.2775</v>
      </c>
      <c r="AA64" s="14">
        <f>I64-N64-O64-Q64-R64-S64-T64-V64-W64-X64-L64</f>
        <v>60.50845</v>
      </c>
      <c r="AB64" s="14">
        <f>AA64-Z64</f>
        <v>-167.76905</v>
      </c>
      <c r="AC64" s="15">
        <f>IFERROR(AB64/H64,0)</f>
        <v>-0.1102402011</v>
      </c>
      <c r="AD64" s="15">
        <f>IFERROR(AB64/L64,0)</f>
        <v>-0.3081610705</v>
      </c>
      <c r="AE64" s="14">
        <f>IFERROR((L64+R64+T64+Q64+V64+$C$6)/(((1-G64*$C$13)/(1-G64))-(M64+$C$5+Y64+$C$21+IF($C$14=2,$C$16,0))-$C$4*((1-G64*$C$13)/(1-G64))),0)</f>
        <v>2106.4111498258</v>
      </c>
    </row>
    <row r="65">
      <c r="A65" s="10" t="inlineStr">
        <is>
          <t xml:space="preserve">FARMSTAY - Collagen Pure Cleansing Foam [180ml]/Пенка для умывания </t>
        </is>
      </c>
      <c r="B65" s="11" t="inlineStr">
        <is>
          <t>Средства для умывания</t>
        </is>
      </c>
      <c r="C65" s="12" t="n">
        <v>515</v>
      </c>
      <c r="D65" s="12" t="n">
        <v>1100</v>
      </c>
      <c r="E65" s="13" t="n">
        <v>4.5</v>
      </c>
      <c r="F65" s="5" t="n">
        <v>1365</v>
      </c>
      <c r="G65" s="4" t="n">
        <v>0.45</v>
      </c>
      <c r="H65" s="14">
        <f>F65*(1-G65)</f>
        <v>750.75</v>
      </c>
      <c r="I65" s="14">
        <f>F65-F65*G65*$C$13</f>
        <v>750.75</v>
      </c>
      <c r="J65" s="5" t="n">
        <v>161.47</v>
      </c>
      <c r="K65" s="14">
        <f>$C$12</f>
        <v>60.0</v>
      </c>
      <c r="L65" s="14">
        <f>J65+K65</f>
        <v>221.47</v>
      </c>
      <c r="M65" s="15">
        <f>IF($C$14=1,0.48,$C$15)</f>
        <v>0.48</v>
      </c>
      <c r="N65" s="14">
        <f>H65*M65</f>
        <v>360.36</v>
      </c>
      <c r="O65" s="14">
        <f>IF($C$14=2,MIN(H65*$C$16,$C$17),0)</f>
        <v>0.0</v>
      </c>
      <c r="P65" s="16" t="n">
        <v>0.57</v>
      </c>
      <c r="Q65" s="14">
        <f>IF($C$14=2,P65*$C$18,0)</f>
        <v>0.0</v>
      </c>
      <c r="R65" s="14">
        <f>$C$22+$C$23</f>
        <v>60.0</v>
      </c>
      <c r="S65" s="14">
        <f>H65*$C$5+$C$6</f>
        <v>17.38725</v>
      </c>
      <c r="T65" s="14">
        <f>$C$10*$C$11*P65</f>
        <v>0.0</v>
      </c>
      <c r="U65" s="4" t="n">
        <v>0.9</v>
      </c>
      <c r="V65" s="14">
        <f>IF($C$14=2,(1-U65)*($C$19+$C$20),0)</f>
        <v>0.0</v>
      </c>
      <c r="W65" s="14">
        <f>H65*$C$21</f>
        <v>0.0</v>
      </c>
      <c r="X65" s="14">
        <f>I65*$C$4</f>
        <v>52.5525</v>
      </c>
      <c r="Y65" s="4" t="n">
        <v>0.15</v>
      </c>
      <c r="Z65" s="14">
        <f>H65*Y65</f>
        <v>112.6125</v>
      </c>
      <c r="AA65" s="14">
        <f>I65-N65-O65-Q65-R65-S65-T65-V65-W65-X65-L65</f>
        <v>38.98025</v>
      </c>
      <c r="AB65" s="14">
        <f>AA65-Z65</f>
        <v>-73.63225</v>
      </c>
      <c r="AC65" s="15">
        <f>IFERROR(AB65/H65,0)</f>
        <v>-0.0980782551</v>
      </c>
      <c r="AD65" s="15">
        <f>IFERROR(AB65/L65,0)</f>
        <v>-0.3324705378</v>
      </c>
      <c r="AE65" s="14">
        <f>IFERROR((L65+R65+T65+Q65+V65+$C$6)/(((1-G65*$C$13)/(1-G65))-(M65+$C$5+Y65+$C$21+IF($C$14=2,$C$16,0))-$C$4*((1-G65*$C$13)/(1-G65))),0)</f>
        <v>1016.5703971119</v>
      </c>
    </row>
    <row r="66">
      <c r="A66" s="8" t="inlineStr">
        <is>
          <t>Косметика/HEIMISH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</row>
    <row r="67">
      <c r="A67" s="10" t="inlineStr">
        <is>
          <t>HEIMISH - Artless Glow Base SPF50+ PA+++(Renew) [40ml] / База под макияж SPF50+ PA+++</t>
        </is>
      </c>
      <c r="B67" s="11" t="inlineStr">
        <is>
          <t>Основы под макияж</t>
        </is>
      </c>
      <c r="C67" s="12" t="n">
        <v>1025</v>
      </c>
      <c r="D67" s="12" t="n">
        <v>2980</v>
      </c>
      <c r="E67" s="13" t="n">
        <v>0</v>
      </c>
      <c r="F67" s="5" t="n">
        <v>3350</v>
      </c>
      <c r="G67" s="4" t="n">
        <v>0.45</v>
      </c>
      <c r="H67" s="14">
        <f>F67*(1-G67)</f>
        <v>1842.5</v>
      </c>
      <c r="I67" s="14">
        <f>F67-F67*G67*$C$13</f>
        <v>1842.5</v>
      </c>
      <c r="J67" s="5" t="n">
        <v>770.48</v>
      </c>
      <c r="K67" s="14">
        <f>$C$12</f>
        <v>60.0</v>
      </c>
      <c r="L67" s="14">
        <f>J67+K67</f>
        <v>830.48</v>
      </c>
      <c r="M67" s="15">
        <f>IF($C$14=1,0.47,$C$15)</f>
        <v>0.47</v>
      </c>
      <c r="N67" s="14">
        <f>H67*M67</f>
        <v>865.975</v>
      </c>
      <c r="O67" s="14">
        <f>IF($C$14=2,MIN(H67*$C$16,$C$17),0)</f>
        <v>0.0</v>
      </c>
      <c r="P67" s="16" t="n">
        <v>0.14</v>
      </c>
      <c r="Q67" s="14">
        <f>IF($C$14=2,P67*$C$18,0)</f>
        <v>0.0</v>
      </c>
      <c r="R67" s="14">
        <f>$C$22+$C$23</f>
        <v>60.0</v>
      </c>
      <c r="S67" s="14">
        <f>H67*$C$5+$C$6</f>
        <v>42.4975</v>
      </c>
      <c r="T67" s="14">
        <f>$C$10*$C$11*P67</f>
        <v>0.0</v>
      </c>
      <c r="U67" s="4" t="n">
        <v>0.9</v>
      </c>
      <c r="V67" s="14">
        <f>IF($C$14=2,(1-U67)*($C$19+$C$20),0)</f>
        <v>0.0</v>
      </c>
      <c r="W67" s="14">
        <f>H67*$C$21</f>
        <v>0.0</v>
      </c>
      <c r="X67" s="14">
        <f>I67*$C$4</f>
        <v>128.975</v>
      </c>
      <c r="Y67" s="4" t="n">
        <v>0.1</v>
      </c>
      <c r="Z67" s="14">
        <f>H67*Y67</f>
        <v>184.25</v>
      </c>
      <c r="AA67" s="14">
        <f>I67-N67-O67-Q67-R67-S67-T67-V67-W67-X67-L67</f>
        <v>-85.4275</v>
      </c>
      <c r="AB67" s="14">
        <f>AA67-Z67</f>
        <v>-269.6775</v>
      </c>
      <c r="AC67" s="15">
        <f>IFERROR(AB67/H67,0)</f>
        <v>-0.1463649932</v>
      </c>
      <c r="AD67" s="15">
        <f>IFERROR(AB67/L67,0)</f>
        <v>-0.3247248579</v>
      </c>
      <c r="AE67" s="14">
        <f>IFERROR((L67+R67+T67+Q67+V67+$C$6)/(((1-G67*$C$13)/(1-G67))-(M67+$C$5+Y67+$C$21+IF($C$14=2,$C$16,0))-$C$4*((1-G67*$C$13)/(1-G67))),0)</f>
        <v>2642.7299703264</v>
      </c>
    </row>
    <row r="68">
      <c r="A68" s="8" t="inlineStr">
        <is>
          <t>Косметика/JIGOTT/JIGOTT-CREAM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</row>
    <row r="69">
      <c r="A69" s="10" t="inlineStr">
        <is>
          <t>JIGOTT - Snail Lifting Cream [70ml] / Крем для лица увлажняющий антивозрастной</t>
        </is>
      </c>
      <c r="B69" s="11" t="inlineStr">
        <is>
          <t>Средства для ухода за лицом</t>
        </is>
      </c>
      <c r="C69" s="12" t="n">
        <v>7668</v>
      </c>
      <c r="D69" s="12" t="n">
        <v>980</v>
      </c>
      <c r="E69" s="13" t="n">
        <v>4.5</v>
      </c>
      <c r="F69" s="5" t="n">
        <v>1539</v>
      </c>
      <c r="G69" s="4" t="n">
        <v>0.45</v>
      </c>
      <c r="H69" s="14">
        <f>F69*(1-G69)</f>
        <v>846.45</v>
      </c>
      <c r="I69" s="14">
        <f>F69-F69*G69*$C$13</f>
        <v>846.45</v>
      </c>
      <c r="J69" s="5" t="n">
        <v>202.27</v>
      </c>
      <c r="K69" s="14">
        <f>$C$12</f>
        <v>60.0</v>
      </c>
      <c r="L69" s="14">
        <f>J69+K69</f>
        <v>262.27</v>
      </c>
      <c r="M69" s="15">
        <f>IF($C$14=1,0.47,$C$15)</f>
        <v>0.47</v>
      </c>
      <c r="N69" s="14">
        <f>H69*M69</f>
        <v>397.8315</v>
      </c>
      <c r="O69" s="14">
        <f>IF($C$14=2,MIN(H69*$C$16,$C$17),0)</f>
        <v>0.0</v>
      </c>
      <c r="P69" s="16" t="n">
        <v>0.42</v>
      </c>
      <c r="Q69" s="14">
        <f>IF($C$14=2,P69*$C$18,0)</f>
        <v>0.0</v>
      </c>
      <c r="R69" s="14">
        <f>$C$22+$C$23</f>
        <v>60.0</v>
      </c>
      <c r="S69" s="14">
        <f>H69*$C$5+$C$6</f>
        <v>19.58835</v>
      </c>
      <c r="T69" s="14">
        <f>$C$10*$C$11*P69</f>
        <v>0.0</v>
      </c>
      <c r="U69" s="4" t="n">
        <v>0.9</v>
      </c>
      <c r="V69" s="14">
        <f>IF($C$14=2,(1-U69)*($C$19+$C$20),0)</f>
        <v>0.0</v>
      </c>
      <c r="W69" s="14">
        <f>H69*$C$21</f>
        <v>0.0</v>
      </c>
      <c r="X69" s="14">
        <f>I69*$C$4</f>
        <v>59.2515</v>
      </c>
      <c r="Y69" s="4" t="n">
        <v>0.15</v>
      </c>
      <c r="Z69" s="14">
        <f>H69*Y69</f>
        <v>126.9675</v>
      </c>
      <c r="AA69" s="14">
        <f>I69-N69-O69-Q69-R69-S69-T69-V69-W69-X69-L69</f>
        <v>47.50865</v>
      </c>
      <c r="AB69" s="14">
        <f>AA69-Z69</f>
        <v>-79.45885</v>
      </c>
      <c r="AC69" s="15">
        <f>IFERROR(AB69/H69,0)</f>
        <v>-0.0938730581</v>
      </c>
      <c r="AD69" s="15">
        <f>IFERROR(AB69/L69,0)</f>
        <v>-0.3029658367</v>
      </c>
      <c r="AE69" s="14">
        <f>IFERROR((L69+R69+T69+Q69+V69+$C$6)/(((1-G69*$C$13)/(1-G69))-(M69+$C$5+Y69+$C$21+IF($C$14=2,$C$16,0))-$C$4*((1-G69*$C$13)/(1-G69))),0)</f>
        <v>1123.3101045296</v>
      </c>
    </row>
    <row r="70">
      <c r="A70" s="10" t="inlineStr">
        <is>
          <t>JIGOTT - Snail Reparing Cream [100ml] / Крем для лица увлажняющий антивозрастной с муцином улитки</t>
        </is>
      </c>
      <c r="B70" s="11" t="inlineStr">
        <is>
          <t>Средства для ухода за лицом</t>
        </is>
      </c>
      <c r="C70" s="12" t="n">
        <v>1241</v>
      </c>
      <c r="D70" s="12" t="n">
        <v>1030</v>
      </c>
      <c r="E70" s="13" t="n">
        <v>5</v>
      </c>
      <c r="F70" s="5" t="n">
        <v>1471</v>
      </c>
      <c r="G70" s="4" t="n">
        <v>0.45</v>
      </c>
      <c r="H70" s="14">
        <f>F70*(1-G70)</f>
        <v>809.05</v>
      </c>
      <c r="I70" s="14">
        <f>F70-F70*G70*$C$13</f>
        <v>809.05</v>
      </c>
      <c r="J70" s="5" t="n">
        <v>185.86</v>
      </c>
      <c r="K70" s="14">
        <f>$C$12</f>
        <v>60.0</v>
      </c>
      <c r="L70" s="14">
        <f>J70+K70</f>
        <v>245.86</v>
      </c>
      <c r="M70" s="15">
        <f>IF($C$14=1,0.47,$C$15)</f>
        <v>0.47</v>
      </c>
      <c r="N70" s="14">
        <f>H70*M70</f>
        <v>380.2535</v>
      </c>
      <c r="O70" s="14">
        <f>IF($C$14=2,MIN(H70*$C$16,$C$17),0)</f>
        <v>0.0</v>
      </c>
      <c r="P70" s="16" t="n">
        <v>0.57</v>
      </c>
      <c r="Q70" s="14">
        <f>IF($C$14=2,P70*$C$18,0)</f>
        <v>0.0</v>
      </c>
      <c r="R70" s="14">
        <f>$C$22+$C$23</f>
        <v>60.0</v>
      </c>
      <c r="S70" s="14">
        <f>H70*$C$5+$C$6</f>
        <v>18.72815</v>
      </c>
      <c r="T70" s="14">
        <f>$C$10*$C$11*P70</f>
        <v>0.0</v>
      </c>
      <c r="U70" s="4" t="n">
        <v>0.9</v>
      </c>
      <c r="V70" s="14">
        <f>IF($C$14=2,(1-U70)*($C$19+$C$20),0)</f>
        <v>0.0</v>
      </c>
      <c r="W70" s="14">
        <f>H70*$C$21</f>
        <v>0.0</v>
      </c>
      <c r="X70" s="14">
        <f>I70*$C$4</f>
        <v>56.6335</v>
      </c>
      <c r="Y70" s="4" t="n">
        <v>0.15</v>
      </c>
      <c r="Z70" s="14">
        <f>H70*Y70</f>
        <v>121.3575</v>
      </c>
      <c r="AA70" s="14">
        <f>I70-N70-O70-Q70-R70-S70-T70-V70-W70-X70-L70</f>
        <v>47.57485</v>
      </c>
      <c r="AB70" s="14">
        <f>AA70-Z70</f>
        <v>-73.78265</v>
      </c>
      <c r="AC70" s="15">
        <f>IFERROR(AB70/H70,0)</f>
        <v>-0.0911966504</v>
      </c>
      <c r="AD70" s="15">
        <f>IFERROR(AB70/L70,0)</f>
        <v>-0.3001002603</v>
      </c>
      <c r="AE70" s="14">
        <f>IFERROR((L70+R70+T70+Q70+V70+$C$6)/(((1-G70*$C$13)/(1-G70))-(M70+$C$5+Y70+$C$21+IF($C$14=2,$C$16,0))-$C$4*((1-G70*$C$13)/(1-G70))),0)</f>
        <v>1066.1324041812</v>
      </c>
    </row>
    <row r="71">
      <c r="A71" s="10" t="inlineStr">
        <is>
          <t>JIGOTT - Birds Nest Firming Cream [70ml] / Антивозрастной крем с экстрактом ласточкиного гнезда</t>
        </is>
      </c>
      <c r="B71" s="11" t="inlineStr">
        <is>
          <t>Средства для ухода за лицом</t>
        </is>
      </c>
      <c r="C71" s="12" t="n">
        <v>1814</v>
      </c>
      <c r="D71" s="12" t="n">
        <v>1040</v>
      </c>
      <c r="E71" s="13" t="n">
        <v>4</v>
      </c>
      <c r="F71" s="5" t="n">
        <v>1539</v>
      </c>
      <c r="G71" s="4" t="n">
        <v>0.45</v>
      </c>
      <c r="H71" s="14">
        <f>F71*(1-G71)</f>
        <v>846.45</v>
      </c>
      <c r="I71" s="14">
        <f>F71-F71*G71*$C$13</f>
        <v>846.45</v>
      </c>
      <c r="J71" s="5" t="n">
        <v>202.27</v>
      </c>
      <c r="K71" s="14">
        <f>$C$12</f>
        <v>60.0</v>
      </c>
      <c r="L71" s="14">
        <f>J71+K71</f>
        <v>262.27</v>
      </c>
      <c r="M71" s="15">
        <f>IF($C$14=1,0.47,$C$15)</f>
        <v>0.47</v>
      </c>
      <c r="N71" s="14">
        <f>H71*M71</f>
        <v>397.8315</v>
      </c>
      <c r="O71" s="14">
        <f>IF($C$14=2,MIN(H71*$C$16,$C$17),0)</f>
        <v>0.0</v>
      </c>
      <c r="P71" s="16" t="n">
        <v>0.42</v>
      </c>
      <c r="Q71" s="14">
        <f>IF($C$14=2,P71*$C$18,0)</f>
        <v>0.0</v>
      </c>
      <c r="R71" s="14">
        <f>$C$22+$C$23</f>
        <v>60.0</v>
      </c>
      <c r="S71" s="14">
        <f>H71*$C$5+$C$6</f>
        <v>19.58835</v>
      </c>
      <c r="T71" s="14">
        <f>$C$10*$C$11*P71</f>
        <v>0.0</v>
      </c>
      <c r="U71" s="4" t="n">
        <v>0.9</v>
      </c>
      <c r="V71" s="14">
        <f>IF($C$14=2,(1-U71)*($C$19+$C$20),0)</f>
        <v>0.0</v>
      </c>
      <c r="W71" s="14">
        <f>H71*$C$21</f>
        <v>0.0</v>
      </c>
      <c r="X71" s="14">
        <f>I71*$C$4</f>
        <v>59.2515</v>
      </c>
      <c r="Y71" s="4" t="n">
        <v>0.15</v>
      </c>
      <c r="Z71" s="14">
        <f>H71*Y71</f>
        <v>126.9675</v>
      </c>
      <c r="AA71" s="14">
        <f>I71-N71-O71-Q71-R71-S71-T71-V71-W71-X71-L71</f>
        <v>47.50865</v>
      </c>
      <c r="AB71" s="14">
        <f>AA71-Z71</f>
        <v>-79.45885</v>
      </c>
      <c r="AC71" s="15">
        <f>IFERROR(AB71/H71,0)</f>
        <v>-0.0938730581</v>
      </c>
      <c r="AD71" s="15">
        <f>IFERROR(AB71/L71,0)</f>
        <v>-0.3029658367</v>
      </c>
      <c r="AE71" s="14">
        <f>IFERROR((L71+R71+T71+Q71+V71+$C$6)/(((1-G71*$C$13)/(1-G71))-(M71+$C$5+Y71+$C$21+IF($C$14=2,$C$16,0))-$C$4*((1-G71*$C$13)/(1-G71))),0)</f>
        <v>1123.3101045296</v>
      </c>
    </row>
    <row r="72">
      <c r="A72" s="8" t="inlineStr">
        <is>
          <t>Косметика/JIGOTT/JIGOTT-MASK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</row>
    <row r="73">
      <c r="A73" s="8" t="inlineStr">
        <is>
          <t>Косметика/JIGOTT/JIGOTT-TONER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</row>
    <row r="74">
      <c r="A74" s="10" t="inlineStr">
        <is>
          <t>JIGOTT - Ultimate Real Collagen Toner [300ml] / тонер с коллагеном антивозрастной</t>
        </is>
      </c>
      <c r="B74" s="11" t="inlineStr">
        <is>
          <t>Средства для ухода за лицом</t>
        </is>
      </c>
      <c r="C74" s="12" t="n">
        <v>1296</v>
      </c>
      <c r="D74" s="12" t="n">
        <v>1140</v>
      </c>
      <c r="E74" s="13" t="n">
        <v>0</v>
      </c>
      <c r="F74" s="5" t="n">
        <v>1823</v>
      </c>
      <c r="G74" s="4" t="n">
        <v>0.45</v>
      </c>
      <c r="H74" s="14">
        <f>F74*(1-G74)</f>
        <v>1002.65</v>
      </c>
      <c r="I74" s="14">
        <f>F74-F74*G74*$C$13</f>
        <v>1002.65</v>
      </c>
      <c r="J74" s="5" t="n">
        <v>265.36</v>
      </c>
      <c r="K74" s="14">
        <f>$C$12</f>
        <v>60.0</v>
      </c>
      <c r="L74" s="14">
        <f>J74+K74</f>
        <v>325.36</v>
      </c>
      <c r="M74" s="15">
        <f>IF($C$14=1,0.47,$C$15)</f>
        <v>0.47</v>
      </c>
      <c r="N74" s="14">
        <f>H74*M74</f>
        <v>471.2455</v>
      </c>
      <c r="O74" s="14">
        <f>IF($C$14=2,MIN(H74*$C$16,$C$17),0)</f>
        <v>0.0</v>
      </c>
      <c r="P74" s="16" t="n">
        <v>0.93</v>
      </c>
      <c r="Q74" s="14">
        <f>IF($C$14=2,P74*$C$18,0)</f>
        <v>0.0</v>
      </c>
      <c r="R74" s="14">
        <f>$C$22+$C$23</f>
        <v>60.0</v>
      </c>
      <c r="S74" s="14">
        <f>H74*$C$5+$C$6</f>
        <v>23.18095</v>
      </c>
      <c r="T74" s="14">
        <f>$C$10*$C$11*P74</f>
        <v>0.0</v>
      </c>
      <c r="U74" s="4" t="n">
        <v>0.9</v>
      </c>
      <c r="V74" s="14">
        <f>IF($C$14=2,(1-U74)*($C$19+$C$20),0)</f>
        <v>0.0</v>
      </c>
      <c r="W74" s="14">
        <f>H74*$C$21</f>
        <v>0.0</v>
      </c>
      <c r="X74" s="14">
        <f>I74*$C$4</f>
        <v>70.1855</v>
      </c>
      <c r="Y74" s="4" t="n">
        <v>0.15</v>
      </c>
      <c r="Z74" s="14">
        <f>H74*Y74</f>
        <v>150.3975</v>
      </c>
      <c r="AA74" s="14">
        <f>I74-N74-O74-Q74-R74-S74-T74-V74-W74-X74-L74</f>
        <v>52.67805</v>
      </c>
      <c r="AB74" s="14">
        <f>AA74-Z74</f>
        <v>-97.71945</v>
      </c>
      <c r="AC74" s="15">
        <f>IFERROR(AB74/H74,0)</f>
        <v>-0.0974611779</v>
      </c>
      <c r="AD74" s="15">
        <f>IFERROR(AB74/L74,0)</f>
        <v>-0.3003425436</v>
      </c>
      <c r="AE74" s="14">
        <f>IFERROR((L74+R74+T74+Q74+V74+$C$6)/(((1-G74*$C$13)/(1-G74))-(M74+$C$5+Y74+$C$21+IF($C$14=2,$C$16,0))-$C$4*((1-G74*$C$13)/(1-G74))),0)</f>
        <v>1343.1358885017</v>
      </c>
    </row>
    <row r="75">
      <c r="A75" s="10" t="inlineStr">
        <is>
          <t>JIGOTT - Daily Real Cica Toner [300ml] / Тонер для лица с центеллой азиатской</t>
        </is>
      </c>
      <c r="B75" s="11" t="inlineStr">
        <is>
          <t>Средства для ухода за лицом</t>
        </is>
      </c>
      <c r="C75" s="12" t="n">
        <v>1468</v>
      </c>
      <c r="D75" s="12" t="n">
        <v>1140</v>
      </c>
      <c r="E75" s="13" t="n">
        <v>0</v>
      </c>
      <c r="F75" s="5" t="n">
        <v>1823</v>
      </c>
      <c r="G75" s="4" t="n">
        <v>0.45</v>
      </c>
      <c r="H75" s="14">
        <f>F75*(1-G75)</f>
        <v>1002.65</v>
      </c>
      <c r="I75" s="14">
        <f>F75-F75*G75*$C$13</f>
        <v>1002.65</v>
      </c>
      <c r="J75" s="5" t="n">
        <v>265.36</v>
      </c>
      <c r="K75" s="14">
        <f>$C$12</f>
        <v>60.0</v>
      </c>
      <c r="L75" s="14">
        <f>J75+K75</f>
        <v>325.36</v>
      </c>
      <c r="M75" s="15">
        <f>IF($C$14=1,0.47,$C$15)</f>
        <v>0.47</v>
      </c>
      <c r="N75" s="14">
        <f>H75*M75</f>
        <v>471.2455</v>
      </c>
      <c r="O75" s="14">
        <f>IF($C$14=2,MIN(H75*$C$16,$C$17),0)</f>
        <v>0.0</v>
      </c>
      <c r="P75" s="16" t="n">
        <v>0.93</v>
      </c>
      <c r="Q75" s="14">
        <f>IF($C$14=2,P75*$C$18,0)</f>
        <v>0.0</v>
      </c>
      <c r="R75" s="14">
        <f>$C$22+$C$23</f>
        <v>60.0</v>
      </c>
      <c r="S75" s="14">
        <f>H75*$C$5+$C$6</f>
        <v>23.18095</v>
      </c>
      <c r="T75" s="14">
        <f>$C$10*$C$11*P75</f>
        <v>0.0</v>
      </c>
      <c r="U75" s="4" t="n">
        <v>0.9</v>
      </c>
      <c r="V75" s="14">
        <f>IF($C$14=2,(1-U75)*($C$19+$C$20),0)</f>
        <v>0.0</v>
      </c>
      <c r="W75" s="14">
        <f>H75*$C$21</f>
        <v>0.0</v>
      </c>
      <c r="X75" s="14">
        <f>I75*$C$4</f>
        <v>70.1855</v>
      </c>
      <c r="Y75" s="4" t="n">
        <v>0.15</v>
      </c>
      <c r="Z75" s="14">
        <f>H75*Y75</f>
        <v>150.3975</v>
      </c>
      <c r="AA75" s="14">
        <f>I75-N75-O75-Q75-R75-S75-T75-V75-W75-X75-L75</f>
        <v>52.67805</v>
      </c>
      <c r="AB75" s="14">
        <f>AA75-Z75</f>
        <v>-97.71945</v>
      </c>
      <c r="AC75" s="15">
        <f>IFERROR(AB75/H75,0)</f>
        <v>-0.0974611779</v>
      </c>
      <c r="AD75" s="15">
        <f>IFERROR(AB75/L75,0)</f>
        <v>-0.3003425436</v>
      </c>
      <c r="AE75" s="14">
        <f>IFERROR((L75+R75+T75+Q75+V75+$C$6)/(((1-G75*$C$13)/(1-G75))-(M75+$C$5+Y75+$C$21+IF($C$14=2,$C$16,0))-$C$4*((1-G75*$C$13)/(1-G75))),0)</f>
        <v>1343.1358885017</v>
      </c>
    </row>
    <row r="76">
      <c r="A76" s="10" t="inlineStr">
        <is>
          <t>JIGOTT - Aura Secret Hyaluronec Acid Toner [300ml] / Тонер с гиалуроновой кислотой антивозрастной</t>
        </is>
      </c>
      <c r="B76" s="11" t="inlineStr">
        <is>
          <t>Средства для ухода за лицом</t>
        </is>
      </c>
      <c r="C76" s="12" t="n">
        <v>424</v>
      </c>
      <c r="D76" s="12" t="n">
        <v>975</v>
      </c>
      <c r="E76" s="13" t="n">
        <v>0</v>
      </c>
      <c r="F76" s="5" t="n">
        <v>1823</v>
      </c>
      <c r="G76" s="4" t="n">
        <v>0.45</v>
      </c>
      <c r="H76" s="14">
        <f>F76*(1-G76)</f>
        <v>1002.65</v>
      </c>
      <c r="I76" s="14">
        <f>F76-F76*G76*$C$13</f>
        <v>1002.65</v>
      </c>
      <c r="J76" s="5" t="n">
        <v>265.36</v>
      </c>
      <c r="K76" s="14">
        <f>$C$12</f>
        <v>60.0</v>
      </c>
      <c r="L76" s="14">
        <f>J76+K76</f>
        <v>325.36</v>
      </c>
      <c r="M76" s="15">
        <f>IF($C$14=1,0.47,$C$15)</f>
        <v>0.47</v>
      </c>
      <c r="N76" s="14">
        <f>H76*M76</f>
        <v>471.2455</v>
      </c>
      <c r="O76" s="14">
        <f>IF($C$14=2,MIN(H76*$C$16,$C$17),0)</f>
        <v>0.0</v>
      </c>
      <c r="P76" s="16" t="n">
        <v>0.93</v>
      </c>
      <c r="Q76" s="14">
        <f>IF($C$14=2,P76*$C$18,0)</f>
        <v>0.0</v>
      </c>
      <c r="R76" s="14">
        <f>$C$22+$C$23</f>
        <v>60.0</v>
      </c>
      <c r="S76" s="14">
        <f>H76*$C$5+$C$6</f>
        <v>23.18095</v>
      </c>
      <c r="T76" s="14">
        <f>$C$10*$C$11*P76</f>
        <v>0.0</v>
      </c>
      <c r="U76" s="4" t="n">
        <v>0.9</v>
      </c>
      <c r="V76" s="14">
        <f>IF($C$14=2,(1-U76)*($C$19+$C$20),0)</f>
        <v>0.0</v>
      </c>
      <c r="W76" s="14">
        <f>H76*$C$21</f>
        <v>0.0</v>
      </c>
      <c r="X76" s="14">
        <f>I76*$C$4</f>
        <v>70.1855</v>
      </c>
      <c r="Y76" s="4" t="n">
        <v>0.15</v>
      </c>
      <c r="Z76" s="14">
        <f>H76*Y76</f>
        <v>150.3975</v>
      </c>
      <c r="AA76" s="14">
        <f>I76-N76-O76-Q76-R76-S76-T76-V76-W76-X76-L76</f>
        <v>52.67805</v>
      </c>
      <c r="AB76" s="14">
        <f>AA76-Z76</f>
        <v>-97.71945</v>
      </c>
      <c r="AC76" s="15">
        <f>IFERROR(AB76/H76,0)</f>
        <v>-0.0974611779</v>
      </c>
      <c r="AD76" s="15">
        <f>IFERROR(AB76/L76,0)</f>
        <v>-0.3003425436</v>
      </c>
      <c r="AE76" s="14">
        <f>IFERROR((L76+R76+T76+Q76+V76+$C$6)/(((1-G76*$C$13)/(1-G76))-(M76+$C$5+Y76+$C$21+IF($C$14=2,$C$16,0))-$C$4*((1-G76*$C$13)/(1-G76))),0)</f>
        <v>1343.1358885017</v>
      </c>
    </row>
    <row r="77">
      <c r="A77" s="10" t="inlineStr">
        <is>
          <t>JIGOTT - Moisture Real Aloe Vera Toner [300ml] / Тонер для лица увлажняющий с экстрактом алоэ</t>
        </is>
      </c>
      <c r="B77" s="11" t="inlineStr">
        <is>
          <t>Средства для ухода за лицом</t>
        </is>
      </c>
      <c r="C77" s="12" t="n">
        <v>356</v>
      </c>
      <c r="D77" s="12" t="n">
        <v>1100</v>
      </c>
      <c r="E77" s="13" t="n">
        <v>8</v>
      </c>
      <c r="F77" s="5" t="n">
        <v>1823</v>
      </c>
      <c r="G77" s="4" t="n">
        <v>0.45</v>
      </c>
      <c r="H77" s="14">
        <f>F77*(1-G77)</f>
        <v>1002.65</v>
      </c>
      <c r="I77" s="14">
        <f>F77-F77*G77*$C$13</f>
        <v>1002.65</v>
      </c>
      <c r="J77" s="5" t="n">
        <v>265.36</v>
      </c>
      <c r="K77" s="14">
        <f>$C$12</f>
        <v>60.0</v>
      </c>
      <c r="L77" s="14">
        <f>J77+K77</f>
        <v>325.36</v>
      </c>
      <c r="M77" s="15">
        <f>IF($C$14=1,0.47,$C$15)</f>
        <v>0.47</v>
      </c>
      <c r="N77" s="14">
        <f>H77*M77</f>
        <v>471.2455</v>
      </c>
      <c r="O77" s="14">
        <f>IF($C$14=2,MIN(H77*$C$16,$C$17),0)</f>
        <v>0.0</v>
      </c>
      <c r="P77" s="16" t="n">
        <v>0.93</v>
      </c>
      <c r="Q77" s="14">
        <f>IF($C$14=2,P77*$C$18,0)</f>
        <v>0.0</v>
      </c>
      <c r="R77" s="14">
        <f>$C$22+$C$23</f>
        <v>60.0</v>
      </c>
      <c r="S77" s="14">
        <f>H77*$C$5+$C$6</f>
        <v>23.18095</v>
      </c>
      <c r="T77" s="14">
        <f>$C$10*$C$11*P77</f>
        <v>0.0</v>
      </c>
      <c r="U77" s="4" t="n">
        <v>0.9</v>
      </c>
      <c r="V77" s="14">
        <f>IF($C$14=2,(1-U77)*($C$19+$C$20),0)</f>
        <v>0.0</v>
      </c>
      <c r="W77" s="14">
        <f>H77*$C$21</f>
        <v>0.0</v>
      </c>
      <c r="X77" s="14">
        <f>I77*$C$4</f>
        <v>70.1855</v>
      </c>
      <c r="Y77" s="4" t="n">
        <v>0.15</v>
      </c>
      <c r="Z77" s="14">
        <f>H77*Y77</f>
        <v>150.3975</v>
      </c>
      <c r="AA77" s="14">
        <f>I77-N77-O77-Q77-R77-S77-T77-V77-W77-X77-L77</f>
        <v>52.67805</v>
      </c>
      <c r="AB77" s="14">
        <f>AA77-Z77</f>
        <v>-97.71945</v>
      </c>
      <c r="AC77" s="15">
        <f>IFERROR(AB77/H77,0)</f>
        <v>-0.0974611779</v>
      </c>
      <c r="AD77" s="15">
        <f>IFERROR(AB77/L77,0)</f>
        <v>-0.3003425436</v>
      </c>
      <c r="AE77" s="14">
        <f>IFERROR((L77+R77+T77+Q77+V77+$C$6)/(((1-G77*$C$13)/(1-G77))-(M77+$C$5+Y77+$C$21+IF($C$14=2,$C$16,0))-$C$4*((1-G77*$C$13)/(1-G77))),0)</f>
        <v>1343.1358885017</v>
      </c>
    </row>
    <row r="78">
      <c r="A78" s="8" t="inlineStr">
        <is>
          <t>Косметика/JMSOLUTION/JM-MASKPACKBLACK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</row>
    <row r="79">
      <c r="A79" s="10" t="inlineStr">
        <is>
          <t>JMSOLUTION - MASK PACK BLACK [30ml*10ea] - ассорти набор 10шт в упаковке</t>
        </is>
      </c>
      <c r="B79" s="11" t="inlineStr">
        <is>
          <t>Маски для лица</t>
        </is>
      </c>
      <c r="C79" s="12" t="n">
        <v>1039</v>
      </c>
      <c r="D79" s="12" t="n">
        <v>2340</v>
      </c>
      <c r="E79" s="13" t="n">
        <v>4</v>
      </c>
      <c r="F79" s="5" t="n">
        <v>2707</v>
      </c>
      <c r="G79" s="4" t="n">
        <v>0.45</v>
      </c>
      <c r="H79" s="14">
        <f>F79*(1-G79)</f>
        <v>1488.85</v>
      </c>
      <c r="I79" s="14">
        <f>F79-F79*G79*$C$13</f>
        <v>1488.85</v>
      </c>
      <c r="J79" s="5" t="n">
        <v>463.2</v>
      </c>
      <c r="K79" s="14">
        <f>$C$12</f>
        <v>60.0</v>
      </c>
      <c r="L79" s="14">
        <f>J79+K79</f>
        <v>523.2</v>
      </c>
      <c r="M79" s="15">
        <f>IF($C$14=1,0.48,$C$15)</f>
        <v>0.48</v>
      </c>
      <c r="N79" s="14">
        <f>H79*M79</f>
        <v>714.648</v>
      </c>
      <c r="O79" s="14">
        <f>IF($C$14=2,MIN(H79*$C$16,$C$17),0)</f>
        <v>0.0</v>
      </c>
      <c r="P79" s="16" t="n">
        <v>1.25</v>
      </c>
      <c r="Q79" s="14">
        <f>IF($C$14=2,P79*$C$18,0)</f>
        <v>0.0</v>
      </c>
      <c r="R79" s="14">
        <f>$C$22+$C$23</f>
        <v>60.0</v>
      </c>
      <c r="S79" s="14">
        <f>H79*$C$5+$C$6</f>
        <v>34.36355</v>
      </c>
      <c r="T79" s="14">
        <f>$C$10*$C$11*P79</f>
        <v>0.0</v>
      </c>
      <c r="U79" s="4" t="n">
        <v>0.9</v>
      </c>
      <c r="V79" s="14">
        <f>IF($C$14=2,(1-U79)*($C$19+$C$20),0)</f>
        <v>0.0</v>
      </c>
      <c r="W79" s="14">
        <f>H79*$C$21</f>
        <v>0.0</v>
      </c>
      <c r="X79" s="14">
        <f>I79*$C$4</f>
        <v>104.2195</v>
      </c>
      <c r="Y79" s="4" t="n">
        <v>0.15</v>
      </c>
      <c r="Z79" s="14">
        <f>H79*Y79</f>
        <v>223.3275</v>
      </c>
      <c r="AA79" s="14">
        <f>I79-N79-O79-Q79-R79-S79-T79-V79-W79-X79-L79</f>
        <v>52.41895</v>
      </c>
      <c r="AB79" s="14">
        <f>AA79-Z79</f>
        <v>-170.90855</v>
      </c>
      <c r="AC79" s="15">
        <f>IFERROR(AB79/H79,0)</f>
        <v>-0.1147923229</v>
      </c>
      <c r="AD79" s="15">
        <f>IFERROR(AB79/L79,0)</f>
        <v>-0.3266600726</v>
      </c>
      <c r="AE79" s="14">
        <f>IFERROR((L79+R79+T79+Q79+V79+$C$6)/(((1-G79*$C$13)/(1-G79))-(M79+$C$5+Y79+$C$21+IF($C$14=2,$C$16,0))-$C$4*((1-G79*$C$13)/(1-G79))),0)</f>
        <v>2105.8483754513</v>
      </c>
    </row>
    <row r="80">
      <c r="A80" s="8" t="inlineStr">
        <is>
          <t>Косметика/JMSOLUTION/JM-MASKPACKDISNEY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</row>
    <row r="81">
      <c r="A81" s="10" t="inlineStr">
        <is>
          <t>JMSOLUTION - MASK PACK DISNEY [30ml*10ea] - ассорти набор из 10шт</t>
        </is>
      </c>
      <c r="B81" s="11" t="inlineStr">
        <is>
          <t>Маски для лица</t>
        </is>
      </c>
      <c r="C81" s="12" t="n">
        <v>835</v>
      </c>
      <c r="D81" s="12" t="n"/>
      <c r="E81" s="13" t="n"/>
      <c r="F81" s="5" t="n">
        <v>2707</v>
      </c>
      <c r="G81" s="4" t="n">
        <v>0.45</v>
      </c>
      <c r="H81" s="14">
        <f>F81*(1-G81)</f>
        <v>1488.85</v>
      </c>
      <c r="I81" s="14">
        <f>F81-F81*G81*$C$13</f>
        <v>1488.85</v>
      </c>
      <c r="J81" s="5" t="n">
        <v>463.2</v>
      </c>
      <c r="K81" s="14">
        <f>$C$12</f>
        <v>60.0</v>
      </c>
      <c r="L81" s="14">
        <f>J81+K81</f>
        <v>523.2</v>
      </c>
      <c r="M81" s="15">
        <f>IF($C$14=1,0.48,$C$15)</f>
        <v>0.48</v>
      </c>
      <c r="N81" s="14">
        <f>H81*M81</f>
        <v>714.648</v>
      </c>
      <c r="O81" s="14">
        <f>IF($C$14=2,MIN(H81*$C$16,$C$17),0)</f>
        <v>0.0</v>
      </c>
      <c r="P81" s="16" t="n">
        <v>1.25</v>
      </c>
      <c r="Q81" s="14">
        <f>IF($C$14=2,P81*$C$18,0)</f>
        <v>0.0</v>
      </c>
      <c r="R81" s="14">
        <f>$C$22+$C$23</f>
        <v>60.0</v>
      </c>
      <c r="S81" s="14">
        <f>H81*$C$5+$C$6</f>
        <v>34.36355</v>
      </c>
      <c r="T81" s="14">
        <f>$C$10*$C$11*P81</f>
        <v>0.0</v>
      </c>
      <c r="U81" s="4" t="n">
        <v>0.9</v>
      </c>
      <c r="V81" s="14">
        <f>IF($C$14=2,(1-U81)*($C$19+$C$20),0)</f>
        <v>0.0</v>
      </c>
      <c r="W81" s="14">
        <f>H81*$C$21</f>
        <v>0.0</v>
      </c>
      <c r="X81" s="14">
        <f>I81*$C$4</f>
        <v>104.2195</v>
      </c>
      <c r="Y81" s="4" t="n">
        <v>0.15</v>
      </c>
      <c r="Z81" s="14">
        <f>H81*Y81</f>
        <v>223.3275</v>
      </c>
      <c r="AA81" s="14">
        <f>I81-N81-O81-Q81-R81-S81-T81-V81-W81-X81-L81</f>
        <v>52.41895</v>
      </c>
      <c r="AB81" s="14">
        <f>AA81-Z81</f>
        <v>-170.90855</v>
      </c>
      <c r="AC81" s="15">
        <f>IFERROR(AB81/H81,0)</f>
        <v>-0.1147923229</v>
      </c>
      <c r="AD81" s="15">
        <f>IFERROR(AB81/L81,0)</f>
        <v>-0.3266600726</v>
      </c>
      <c r="AE81" s="14">
        <f>IFERROR((L81+R81+T81+Q81+V81+$C$6)/(((1-G81*$C$13)/(1-G81))-(M81+$C$5+Y81+$C$21+IF($C$14=2,$C$16,0))-$C$4*((1-G81*$C$13)/(1-G81))),0)</f>
        <v>2105.8483754513</v>
      </c>
    </row>
    <row r="82">
      <c r="A82" s="8" t="inlineStr">
        <is>
          <t>Косметика/LEBELAGE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</row>
    <row r="83">
      <c r="A83" s="10" t="inlineStr">
        <is>
          <t>LEBELAGE - Dr. Peptide Derma Eye Cream [40ml] / Крем для глаз антивозрастной с пептидами</t>
        </is>
      </c>
      <c r="B83" s="11" t="inlineStr">
        <is>
          <t>Уход за кожей вокруг глаз</t>
        </is>
      </c>
      <c r="C83" s="12" t="n">
        <v>410</v>
      </c>
      <c r="D83" s="12" t="n">
        <v>667</v>
      </c>
      <c r="E83" s="13" t="n">
        <v>22</v>
      </c>
      <c r="F83" s="5" t="n">
        <v>1112</v>
      </c>
      <c r="G83" s="4" t="n">
        <v>0.45</v>
      </c>
      <c r="H83" s="14">
        <f>F83*(1-G83)</f>
        <v>611.6</v>
      </c>
      <c r="I83" s="14">
        <f>F83-F83*G83*$C$13</f>
        <v>611.6</v>
      </c>
      <c r="J83" s="5" t="n">
        <v>108.15</v>
      </c>
      <c r="K83" s="14">
        <f>$C$12</f>
        <v>60.0</v>
      </c>
      <c r="L83" s="14">
        <f>J83+K83</f>
        <v>168.15</v>
      </c>
      <c r="M83" s="15">
        <f>IF($C$14=1,0.48,$C$15)</f>
        <v>0.48</v>
      </c>
      <c r="N83" s="14">
        <f>H83*M83</f>
        <v>293.568</v>
      </c>
      <c r="O83" s="14">
        <f>IF($C$14=2,MIN(H83*$C$16,$C$17),0)</f>
        <v>0.0</v>
      </c>
      <c r="P83" s="16" t="n">
        <v>0.27</v>
      </c>
      <c r="Q83" s="14">
        <f>IF($C$14=2,P83*$C$18,0)</f>
        <v>0.0</v>
      </c>
      <c r="R83" s="14">
        <f>$C$22+$C$23</f>
        <v>60.0</v>
      </c>
      <c r="S83" s="14">
        <f>H83*$C$5+$C$6</f>
        <v>14.1868</v>
      </c>
      <c r="T83" s="14">
        <f>$C$10*$C$11*P83</f>
        <v>0.0</v>
      </c>
      <c r="U83" s="4" t="n">
        <v>0.9</v>
      </c>
      <c r="V83" s="14">
        <f>IF($C$14=2,(1-U83)*($C$19+$C$20),0)</f>
        <v>0.0</v>
      </c>
      <c r="W83" s="14">
        <f>H83*$C$21</f>
        <v>0.0</v>
      </c>
      <c r="X83" s="14">
        <f>I83*$C$4</f>
        <v>42.812</v>
      </c>
      <c r="Y83" s="4" t="n">
        <v>0.15</v>
      </c>
      <c r="Z83" s="14">
        <f>H83*Y83</f>
        <v>91.74</v>
      </c>
      <c r="AA83" s="14">
        <f>I83-N83-O83-Q83-R83-S83-T83-V83-W83-X83-L83</f>
        <v>32.8832</v>
      </c>
      <c r="AB83" s="14">
        <f>AA83-Z83</f>
        <v>-58.8568</v>
      </c>
      <c r="AC83" s="15">
        <f>IFERROR(AB83/H83,0)</f>
        <v>-0.09623414</v>
      </c>
      <c r="AD83" s="15">
        <f>IFERROR(AB83/L83,0)</f>
        <v>-0.3500255724</v>
      </c>
      <c r="AE83" s="14">
        <f>IFERROR((L83+R83+T83+Q83+V83+$C$6)/(((1-G83*$C$13)/(1-G83))-(M83+$C$5+Y83+$C$21+IF($C$14=2,$C$16,0))-$C$4*((1-G83*$C$13)/(1-G83))),0)</f>
        <v>824.0794223827</v>
      </c>
    </row>
    <row r="84">
      <c r="A84" s="8" t="inlineStr">
        <is>
          <t>Косметика/LANEIGE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</row>
    <row r="85">
      <c r="A85" s="10" t="inlineStr">
        <is>
          <t>LANEIGE LIP SLEEPING MASK-BERRY [3g]</t>
        </is>
      </c>
      <c r="B85" s="11" t="inlineStr">
        <is>
          <t>Уход за кожей губ</t>
        </is>
      </c>
      <c r="C85" s="12" t="n">
        <v>341</v>
      </c>
      <c r="D85" s="12" t="n">
        <v>1470</v>
      </c>
      <c r="E85" s="13" t="n">
        <v>10</v>
      </c>
      <c r="F85" s="5" t="n">
        <v>1182</v>
      </c>
      <c r="G85" s="4" t="n">
        <v>0.45</v>
      </c>
      <c r="H85" s="14">
        <f>F85*(1-G85)</f>
        <v>650.1</v>
      </c>
      <c r="I85" s="14">
        <f>F85-F85*G85*$C$13</f>
        <v>650.1</v>
      </c>
      <c r="J85" s="5" t="n">
        <v>130.86</v>
      </c>
      <c r="K85" s="14">
        <f>$C$12</f>
        <v>60.0</v>
      </c>
      <c r="L85" s="14">
        <f>J85+K85</f>
        <v>190.86</v>
      </c>
      <c r="M85" s="15">
        <f>IF($C$14=1,0.47,$C$15)</f>
        <v>0.47</v>
      </c>
      <c r="N85" s="14">
        <f>H85*M85</f>
        <v>305.547</v>
      </c>
      <c r="O85" s="14">
        <f>IF($C$14=2,MIN(H85*$C$16,$C$17),0)</f>
        <v>0.0</v>
      </c>
      <c r="P85" s="16" t="n">
        <v>0.2</v>
      </c>
      <c r="Q85" s="14">
        <f>IF($C$14=2,P85*$C$18,0)</f>
        <v>0.0</v>
      </c>
      <c r="R85" s="14">
        <f>$C$22+$C$23</f>
        <v>60.0</v>
      </c>
      <c r="S85" s="14">
        <f>H85*$C$5+$C$6</f>
        <v>15.0723</v>
      </c>
      <c r="T85" s="14">
        <f>$C$10*$C$11*P85</f>
        <v>0.0</v>
      </c>
      <c r="U85" s="4" t="n">
        <v>0.9</v>
      </c>
      <c r="V85" s="14">
        <f>IF($C$14=2,(1-U85)*($C$19+$C$20),0)</f>
        <v>0.0</v>
      </c>
      <c r="W85" s="14">
        <f>H85*$C$21</f>
        <v>0.0</v>
      </c>
      <c r="X85" s="14">
        <f>I85*$C$4</f>
        <v>45.507</v>
      </c>
      <c r="Y85" s="4" t="n">
        <v>0.15</v>
      </c>
      <c r="Z85" s="14">
        <f>H85*Y85</f>
        <v>97.515</v>
      </c>
      <c r="AA85" s="14">
        <f>I85-N85-O85-Q85-R85-S85-T85-V85-W85-X85-L85</f>
        <v>33.1137</v>
      </c>
      <c r="AB85" s="14">
        <f>AA85-Z85</f>
        <v>-64.4013</v>
      </c>
      <c r="AC85" s="15">
        <f>IFERROR(AB85/H85,0)</f>
        <v>-0.0990636825</v>
      </c>
      <c r="AD85" s="15">
        <f>IFERROR(AB85/L85,0)</f>
        <v>-0.3374269098</v>
      </c>
      <c r="AE85" s="14">
        <f>IFERROR((L85+R85+T85+Q85+V85+$C$6)/(((1-G85*$C$13)/(1-G85))-(M85+$C$5+Y85+$C$21+IF($C$14=2,$C$16,0))-$C$4*((1-G85*$C$13)/(1-G85))),0)</f>
        <v>874.4947735192</v>
      </c>
    </row>
    <row r="86">
      <c r="A86" s="8" t="inlineStr">
        <is>
          <t>Косметика/MANYO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</row>
    <row r="87">
      <c r="A87" s="10" t="inlineStr">
        <is>
          <t>MANYO - Bifida Biome Complex Ampoule [50ml] / Антивозрастная сыворотка для лица</t>
        </is>
      </c>
      <c r="B87" s="11" t="inlineStr">
        <is>
          <t>Средства для ухода за лицом</t>
        </is>
      </c>
      <c r="C87" s="12" t="n">
        <v>1473</v>
      </c>
      <c r="D87" s="12" t="n">
        <v>5800</v>
      </c>
      <c r="E87" s="13" t="n">
        <v>0</v>
      </c>
      <c r="F87" s="5" t="n">
        <v>3467.667729</v>
      </c>
      <c r="G87" s="4" t="n">
        <v>0.45</v>
      </c>
      <c r="H87" s="14">
        <f>F87*(1-G87)</f>
        <v>1907.21725095</v>
      </c>
      <c r="I87" s="14">
        <f>F87-F87*G87*$C$13</f>
        <v>1907.21725095</v>
      </c>
      <c r="J87" s="5" t="n">
        <v>899.78</v>
      </c>
      <c r="K87" s="14">
        <f>$C$12</f>
        <v>60.0</v>
      </c>
      <c r="L87" s="14">
        <f>J87+K87</f>
        <v>959.78</v>
      </c>
      <c r="M87" s="15">
        <f>IF($C$14=1,0.47,$C$15)</f>
        <v>0.47</v>
      </c>
      <c r="N87" s="14">
        <f>H87*M87</f>
        <v>896.3921079465</v>
      </c>
      <c r="O87" s="14">
        <f>IF($C$14=2,MIN(H87*$C$16,$C$17),0)</f>
        <v>0.0</v>
      </c>
      <c r="P87" s="16" t="n">
        <v>0.3</v>
      </c>
      <c r="Q87" s="14">
        <f>IF($C$14=2,P87*$C$18,0)</f>
        <v>0.0</v>
      </c>
      <c r="R87" s="14">
        <f>$C$22+$C$23</f>
        <v>60.0</v>
      </c>
      <c r="S87" s="14">
        <f>H87*$C$5+$C$6</f>
        <v>43.9859967718</v>
      </c>
      <c r="T87" s="14">
        <f>$C$10*$C$11*P87</f>
        <v>0.0</v>
      </c>
      <c r="U87" s="4" t="n">
        <v>0.9</v>
      </c>
      <c r="V87" s="14">
        <f>IF($C$14=2,(1-U87)*($C$19+$C$20),0)</f>
        <v>0.0</v>
      </c>
      <c r="W87" s="14">
        <f>H87*$C$21</f>
        <v>0.0</v>
      </c>
      <c r="X87" s="14">
        <f>I87*$C$4</f>
        <v>133.5052075665</v>
      </c>
      <c r="Y87" s="4" t="n">
        <v>0.05</v>
      </c>
      <c r="Z87" s="14">
        <f>H87*Y87</f>
        <v>95.3608625475</v>
      </c>
      <c r="AA87" s="14">
        <f>I87-N87-O87-Q87-R87-S87-T87-V87-W87-X87-L87</f>
        <v>-186.4460613349</v>
      </c>
      <c r="AB87" s="14">
        <f>AA87-Z87</f>
        <v>-281.8069238824</v>
      </c>
      <c r="AC87" s="15">
        <f>IFERROR(AB87/H87,0)</f>
        <v>-0.1477581664</v>
      </c>
      <c r="AD87" s="15">
        <f>IFERROR(AB87/L87,0)</f>
        <v>-0.2936161661</v>
      </c>
      <c r="AE87" s="14">
        <f>IFERROR((L87+R87+T87+Q87+V87+$C$6)/(((1-G87*$C$13)/(1-G87))-(M87+$C$5+Y87+$C$21+IF($C$14=2,$C$16,0))-$C$4*((1-G87*$C$13)/(1-G87))),0)</f>
        <v>2635.4005167959</v>
      </c>
    </row>
    <row r="88">
      <c r="A88" s="10" t="inlineStr">
        <is>
          <t>MANYO - Galac Whitening Vita Serum [50ml] / Осветляющая сыворотка с Витамином C</t>
        </is>
      </c>
      <c r="B88" s="11" t="inlineStr">
        <is>
          <t>Средства для ухода за лицом</t>
        </is>
      </c>
      <c r="C88" s="12" t="n">
        <v>854</v>
      </c>
      <c r="D88" s="12" t="n">
        <v>4000</v>
      </c>
      <c r="E88" s="13" t="n">
        <v>0</v>
      </c>
      <c r="F88" s="5" t="n">
        <v>2605.897397</v>
      </c>
      <c r="G88" s="4" t="n">
        <v>0.45</v>
      </c>
      <c r="H88" s="14">
        <f>F88*(1-G88)</f>
        <v>1433.24356835</v>
      </c>
      <c r="I88" s="14">
        <f>F88-F88*G88*$C$13</f>
        <v>1433.24356835</v>
      </c>
      <c r="J88" s="5" t="n">
        <v>646.83</v>
      </c>
      <c r="K88" s="14">
        <f>$C$12</f>
        <v>60.0</v>
      </c>
      <c r="L88" s="14">
        <f>J88+K88</f>
        <v>706.83</v>
      </c>
      <c r="M88" s="15">
        <f>IF($C$14=1,0.47,$C$15)</f>
        <v>0.47</v>
      </c>
      <c r="N88" s="14">
        <f>H88*M88</f>
        <v>673.6244771245</v>
      </c>
      <c r="O88" s="14">
        <f>IF($C$14=2,MIN(H88*$C$16,$C$17),0)</f>
        <v>0.0</v>
      </c>
      <c r="P88" s="16" t="n">
        <v>0.19</v>
      </c>
      <c r="Q88" s="14">
        <f>IF($C$14=2,P88*$C$18,0)</f>
        <v>0.0</v>
      </c>
      <c r="R88" s="14">
        <f>$C$22+$C$23</f>
        <v>60.0</v>
      </c>
      <c r="S88" s="14">
        <f>H88*$C$5+$C$6</f>
        <v>33.0846020721</v>
      </c>
      <c r="T88" s="14">
        <f>$C$10*$C$11*P88</f>
        <v>0.0</v>
      </c>
      <c r="U88" s="4" t="n">
        <v>0.9</v>
      </c>
      <c r="V88" s="14">
        <f>IF($C$14=2,(1-U88)*($C$19+$C$20),0)</f>
        <v>0.0</v>
      </c>
      <c r="W88" s="14">
        <f>H88*$C$21</f>
        <v>0.0</v>
      </c>
      <c r="X88" s="14">
        <f>I88*$C$4</f>
        <v>100.3270497845</v>
      </c>
      <c r="Y88" s="4" t="n">
        <v>0.05</v>
      </c>
      <c r="Z88" s="14">
        <f>H88*Y88</f>
        <v>71.6621784175</v>
      </c>
      <c r="AA88" s="14">
        <f>I88-N88-O88-Q88-R88-S88-T88-V88-W88-X88-L88</f>
        <v>-140.6225606311</v>
      </c>
      <c r="AB88" s="14">
        <f>AA88-Z88</f>
        <v>-212.2847390486</v>
      </c>
      <c r="AC88" s="15">
        <f>IFERROR(AB88/H88,0)</f>
        <v>-0.1481149078</v>
      </c>
      <c r="AD88" s="15">
        <f>IFERROR(AB88/L88,0)</f>
        <v>-0.3003335159</v>
      </c>
      <c r="AE88" s="14">
        <f>IFERROR((L88+R88+T88+Q88+V88+$C$6)/(((1-G88*$C$13)/(1-G88))-(M88+$C$5+Y88+$C$21+IF($C$14=2,$C$16,0))-$C$4*((1-G88*$C$13)/(1-G88))),0)</f>
        <v>1981.7829457364</v>
      </c>
    </row>
    <row r="89">
      <c r="A89" s="10" t="inlineStr">
        <is>
          <t>MANYO - Bifida Biome Ampoule Lotion [300ml] / Укрепляющий лосьон с бифидобактериями</t>
        </is>
      </c>
      <c r="B89" s="11" t="inlineStr">
        <is>
          <t>Средства для ухода за лицом</t>
        </is>
      </c>
      <c r="C89" s="12" t="n">
        <v>756</v>
      </c>
      <c r="D89" s="12" t="n">
        <v>4000</v>
      </c>
      <c r="E89" s="13" t="n">
        <v>0</v>
      </c>
      <c r="F89" s="5" t="n">
        <v>2937.66409</v>
      </c>
      <c r="G89" s="4" t="n">
        <v>0.45</v>
      </c>
      <c r="H89" s="14">
        <f>F89*(1-G89)</f>
        <v>1615.7152495</v>
      </c>
      <c r="I89" s="14">
        <f>F89-F89*G89*$C$13</f>
        <v>1615.7152495</v>
      </c>
      <c r="J89" s="5" t="n">
        <v>735.34</v>
      </c>
      <c r="K89" s="14">
        <f>$C$12</f>
        <v>60.0</v>
      </c>
      <c r="L89" s="14">
        <f>J89+K89</f>
        <v>795.34</v>
      </c>
      <c r="M89" s="15">
        <f>IF($C$14=1,0.47,$C$15)</f>
        <v>0.47</v>
      </c>
      <c r="N89" s="14">
        <f>H89*M89</f>
        <v>759.386167265</v>
      </c>
      <c r="O89" s="14">
        <f>IF($C$14=2,MIN(H89*$C$16,$C$17),0)</f>
        <v>0.0</v>
      </c>
      <c r="P89" s="16" t="n">
        <v>0.61</v>
      </c>
      <c r="Q89" s="14">
        <f>IF($C$14=2,P89*$C$18,0)</f>
        <v>0.0</v>
      </c>
      <c r="R89" s="14">
        <f>$C$22+$C$23</f>
        <v>60.0</v>
      </c>
      <c r="S89" s="14">
        <f>H89*$C$5+$C$6</f>
        <v>37.2814507385</v>
      </c>
      <c r="T89" s="14">
        <f>$C$10*$C$11*P89</f>
        <v>0.0</v>
      </c>
      <c r="U89" s="4" t="n">
        <v>0.9</v>
      </c>
      <c r="V89" s="14">
        <f>IF($C$14=2,(1-U89)*($C$19+$C$20),0)</f>
        <v>0.0</v>
      </c>
      <c r="W89" s="14">
        <f>H89*$C$21</f>
        <v>0.0</v>
      </c>
      <c r="X89" s="14">
        <f>I89*$C$4</f>
        <v>113.100067465</v>
      </c>
      <c r="Y89" s="4" t="n">
        <v>0.05</v>
      </c>
      <c r="Z89" s="14">
        <f>H89*Y89</f>
        <v>80.785762475</v>
      </c>
      <c r="AA89" s="14">
        <f>I89-N89-O89-Q89-R89-S89-T89-V89-W89-X89-L89</f>
        <v>-149.3924359685</v>
      </c>
      <c r="AB89" s="14">
        <f>AA89-Z89</f>
        <v>-230.1781984435</v>
      </c>
      <c r="AC89" s="15">
        <f>IFERROR(AB89/H89,0)</f>
        <v>-0.1424621068</v>
      </c>
      <c r="AD89" s="15">
        <f>IFERROR(AB89/L89,0)</f>
        <v>-0.2894085529</v>
      </c>
      <c r="AE89" s="14">
        <f>IFERROR((L89+R89+T89+Q89+V89+$C$6)/(((1-G89*$C$13)/(1-G89))-(M89+$C$5+Y89+$C$21+IF($C$14=2,$C$16,0))-$C$4*((1-G89*$C$13)/(1-G89))),0)</f>
        <v>2210.4909560724</v>
      </c>
    </row>
    <row r="90">
      <c r="A90" s="10" t="inlineStr">
        <is>
          <t>MANYO - Pure Cleansing Oil [200ml] / Гидрофильное масло для глубокого очищения</t>
        </is>
      </c>
      <c r="B90" s="11" t="inlineStr">
        <is>
          <t>Средства для снятия макияжа</t>
        </is>
      </c>
      <c r="C90" s="12" t="n">
        <v>243</v>
      </c>
      <c r="D90" s="12" t="n">
        <v>4000</v>
      </c>
      <c r="E90" s="13" t="n">
        <v>0</v>
      </c>
      <c r="F90" s="5" t="n">
        <v>3326.790173</v>
      </c>
      <c r="G90" s="4" t="n">
        <v>0.45</v>
      </c>
      <c r="H90" s="14">
        <f>F90*(1-G90)</f>
        <v>1829.73459515</v>
      </c>
      <c r="I90" s="14">
        <f>F90-F90*G90*$C$13</f>
        <v>1829.73459515</v>
      </c>
      <c r="J90" s="5" t="n">
        <v>853</v>
      </c>
      <c r="K90" s="14">
        <f>$C$12</f>
        <v>60.0</v>
      </c>
      <c r="L90" s="14">
        <f>J90+K90</f>
        <v>913.0</v>
      </c>
      <c r="M90" s="15">
        <f>IF($C$14=1,0.48,$C$15)</f>
        <v>0.48</v>
      </c>
      <c r="N90" s="14">
        <f>H90*M90</f>
        <v>878.272605672</v>
      </c>
      <c r="O90" s="14">
        <f>IF($C$14=2,MIN(H90*$C$16,$C$17),0)</f>
        <v>0.0</v>
      </c>
      <c r="P90" s="16" t="n">
        <v>0.5</v>
      </c>
      <c r="Q90" s="14">
        <f>IF($C$14=2,P90*$C$18,0)</f>
        <v>0.0</v>
      </c>
      <c r="R90" s="14">
        <f>$C$22+$C$23</f>
        <v>60.0</v>
      </c>
      <c r="S90" s="14">
        <f>H90*$C$5+$C$6</f>
        <v>42.2038956884</v>
      </c>
      <c r="T90" s="14">
        <f>$C$10*$C$11*P90</f>
        <v>0.0</v>
      </c>
      <c r="U90" s="4" t="n">
        <v>0.9</v>
      </c>
      <c r="V90" s="14">
        <f>IF($C$14=2,(1-U90)*($C$19+$C$20),0)</f>
        <v>0.0</v>
      </c>
      <c r="W90" s="14">
        <f>H90*$C$21</f>
        <v>0.0</v>
      </c>
      <c r="X90" s="14">
        <f>I90*$C$4</f>
        <v>128.0814216605</v>
      </c>
      <c r="Y90" s="4" t="n">
        <v>0.05</v>
      </c>
      <c r="Z90" s="14">
        <f>H90*Y90</f>
        <v>91.4867297575</v>
      </c>
      <c r="AA90" s="14">
        <f>I90-N90-O90-Q90-R90-S90-T90-V90-W90-X90-L90</f>
        <v>-191.823327871</v>
      </c>
      <c r="AB90" s="14">
        <f>AA90-Z90</f>
        <v>-283.3100576285</v>
      </c>
      <c r="AC90" s="15">
        <f>IFERROR(AB90/H90,0)</f>
        <v>-0.1548366951</v>
      </c>
      <c r="AD90" s="15">
        <f>IFERROR(AB90/L90,0)</f>
        <v>-0.3103067444</v>
      </c>
      <c r="AE90" s="14">
        <f>IFERROR((L90+R90+T90+Q90+V90+$C$6)/(((1-G90*$C$13)/(1-G90))-(M90+$C$5+Y90+$C$21+IF($C$14=2,$C$16,0))-$C$4*((1-G90*$C$13)/(1-G90))),0)</f>
        <v>2581.2201591512</v>
      </c>
    </row>
    <row r="91">
      <c r="A91" s="10" t="inlineStr">
        <is>
          <t>MANYO BIFIDA COMPLEX AMPOULE GEL CLEANSER [400ml] / Гель для умывания с бифидобактериями</t>
        </is>
      </c>
      <c r="B91" s="11" t="inlineStr">
        <is>
          <t>Средства для умывания</t>
        </is>
      </c>
      <c r="C91" s="12" t="n">
        <v>814</v>
      </c>
      <c r="D91" s="12" t="n">
        <v>4800</v>
      </c>
      <c r="E91" s="13" t="n">
        <v>0</v>
      </c>
      <c r="F91" s="5" t="n">
        <v>2682.114377</v>
      </c>
      <c r="G91" s="4" t="n">
        <v>0.45</v>
      </c>
      <c r="H91" s="14">
        <f>F91*(1-G91)</f>
        <v>1475.16290735</v>
      </c>
      <c r="I91" s="14">
        <f>F91-F91*G91*$C$13</f>
        <v>1475.16290735</v>
      </c>
      <c r="J91" s="5" t="n">
        <v>650</v>
      </c>
      <c r="K91" s="14">
        <f>$C$12</f>
        <v>60.0</v>
      </c>
      <c r="L91" s="14">
        <f>J91+K91</f>
        <v>710.0</v>
      </c>
      <c r="M91" s="15">
        <f>IF($C$14=1,0.48,$C$15)</f>
        <v>0.48</v>
      </c>
      <c r="N91" s="14">
        <f>H91*M91</f>
        <v>708.078195528</v>
      </c>
      <c r="O91" s="14">
        <f>IF($C$14=2,MIN(H91*$C$16,$C$17),0)</f>
        <v>0.0</v>
      </c>
      <c r="P91" s="16" t="n">
        <v>0.931</v>
      </c>
      <c r="Q91" s="14">
        <f>IF($C$14=2,P91*$C$18,0)</f>
        <v>0.0</v>
      </c>
      <c r="R91" s="14">
        <f>$C$22+$C$23</f>
        <v>60.0</v>
      </c>
      <c r="S91" s="14">
        <f>H91*$C$5+$C$6</f>
        <v>34.048746869</v>
      </c>
      <c r="T91" s="14">
        <f>$C$10*$C$11*P91</f>
        <v>0.0</v>
      </c>
      <c r="U91" s="4" t="n">
        <v>0.9</v>
      </c>
      <c r="V91" s="14">
        <f>IF($C$14=2,(1-U91)*($C$19+$C$20),0)</f>
        <v>0.0</v>
      </c>
      <c r="W91" s="14">
        <f>H91*$C$21</f>
        <v>0.0</v>
      </c>
      <c r="X91" s="14">
        <f>I91*$C$4</f>
        <v>103.2614035145</v>
      </c>
      <c r="Y91" s="4" t="n">
        <v>0.05</v>
      </c>
      <c r="Z91" s="14">
        <f>H91*Y91</f>
        <v>73.7581453675</v>
      </c>
      <c r="AA91" s="14">
        <f>I91-N91-O91-Q91-R91-S91-T91-V91-W91-X91-L91</f>
        <v>-140.2254385616</v>
      </c>
      <c r="AB91" s="14">
        <f>AA91-Z91</f>
        <v>-213.9835839291</v>
      </c>
      <c r="AC91" s="15">
        <f>IFERROR(AB91/H91,0)</f>
        <v>-0.1450575952</v>
      </c>
      <c r="AD91" s="15">
        <f>IFERROR(AB91/L91,0)</f>
        <v>-0.3013853295</v>
      </c>
      <c r="AE91" s="14">
        <f>IFERROR((L91+R91+T91+Q91+V91+$C$6)/(((1-G91*$C$13)/(1-G91))-(M91+$C$5+Y91+$C$21+IF($C$14=2,$C$16,0))-$C$4*((1-G91*$C$13)/(1-G91))),0)</f>
        <v>2042.7586206897</v>
      </c>
    </row>
    <row r="92">
      <c r="A92" s="10" t="inlineStr">
        <is>
          <t>MANYO BIFIDA INFUSION SHOT AMPOULE 1DX [50ml] / Сыворотка с микроиглами и пробиотиками</t>
        </is>
      </c>
      <c r="B92" s="11" t="inlineStr">
        <is>
          <t>Средства для ухода за лицом</t>
        </is>
      </c>
      <c r="C92" s="12" t="n">
        <v>786</v>
      </c>
      <c r="D92" s="12" t="n">
        <v>3800</v>
      </c>
      <c r="E92" s="13" t="n">
        <v>0</v>
      </c>
      <c r="F92" s="5" t="n">
        <v>3467.667729</v>
      </c>
      <c r="G92" s="4" t="n">
        <v>0.45</v>
      </c>
      <c r="H92" s="14">
        <f>F92*(1-G92)</f>
        <v>1907.21725095</v>
      </c>
      <c r="I92" s="14">
        <f>F92-F92*G92*$C$13</f>
        <v>1907.21725095</v>
      </c>
      <c r="J92" s="5" t="n">
        <v>899.78</v>
      </c>
      <c r="K92" s="14">
        <f>$C$12</f>
        <v>60.0</v>
      </c>
      <c r="L92" s="14">
        <f>J92+K92</f>
        <v>959.78</v>
      </c>
      <c r="M92" s="15">
        <f>IF($C$14=1,0.47,$C$15)</f>
        <v>0.47</v>
      </c>
      <c r="N92" s="14">
        <f>H92*M92</f>
        <v>896.3921079465</v>
      </c>
      <c r="O92" s="14">
        <f>IF($C$14=2,MIN(H92*$C$16,$C$17),0)</f>
        <v>0.0</v>
      </c>
      <c r="P92" s="16" t="n">
        <v>0.3</v>
      </c>
      <c r="Q92" s="14">
        <f>IF($C$14=2,P92*$C$18,0)</f>
        <v>0.0</v>
      </c>
      <c r="R92" s="14">
        <f>$C$22+$C$23</f>
        <v>60.0</v>
      </c>
      <c r="S92" s="14">
        <f>H92*$C$5+$C$6</f>
        <v>43.9859967718</v>
      </c>
      <c r="T92" s="14">
        <f>$C$10*$C$11*P92</f>
        <v>0.0</v>
      </c>
      <c r="U92" s="4" t="n">
        <v>0.9</v>
      </c>
      <c r="V92" s="14">
        <f>IF($C$14=2,(1-U92)*($C$19+$C$20),0)</f>
        <v>0.0</v>
      </c>
      <c r="W92" s="14">
        <f>H92*$C$21</f>
        <v>0.0</v>
      </c>
      <c r="X92" s="14">
        <f>I92*$C$4</f>
        <v>133.5052075665</v>
      </c>
      <c r="Y92" s="4" t="n">
        <v>0.05</v>
      </c>
      <c r="Z92" s="14">
        <f>H92*Y92</f>
        <v>95.3608625475</v>
      </c>
      <c r="AA92" s="14">
        <f>I92-N92-O92-Q92-R92-S92-T92-V92-W92-X92-L92</f>
        <v>-186.4460613349</v>
      </c>
      <c r="AB92" s="14">
        <f>AA92-Z92</f>
        <v>-281.8069238824</v>
      </c>
      <c r="AC92" s="15">
        <f>IFERROR(AB92/H92,0)</f>
        <v>-0.1477581664</v>
      </c>
      <c r="AD92" s="15">
        <f>IFERROR(AB92/L92,0)</f>
        <v>-0.2936161661</v>
      </c>
      <c r="AE92" s="14">
        <f>IFERROR((L92+R92+T92+Q92+V92+$C$6)/(((1-G92*$C$13)/(1-G92))-(M92+$C$5+Y92+$C$21+IF($C$14=2,$C$16,0))-$C$4*((1-G92*$C$13)/(1-G92))),0)</f>
        <v>2635.4005167959</v>
      </c>
    </row>
    <row r="93">
      <c r="A93" s="8" t="inlineStr">
        <is>
          <t>Косметика/MASIL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</row>
    <row r="94">
      <c r="A94" s="8" t="inlineStr">
        <is>
          <t>Косметика/PETITFEE/PETITFEE-EYEPATCH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</row>
    <row r="95">
      <c r="A95" s="10" t="inlineStr">
        <is>
          <t>PETITFEE - Collagen &amp; CoQ10 Hydrogel Eye Patch [60ea] / Гидрогелевые патчи для глаз с коллагеном и коэнзимом Q10</t>
        </is>
      </c>
      <c r="B95" s="11" t="inlineStr">
        <is>
          <t>Уход за кожей вокруг глаз</t>
        </is>
      </c>
      <c r="C95" s="12" t="n">
        <v>1008</v>
      </c>
      <c r="D95" s="12" t="n">
        <v>1818</v>
      </c>
      <c r="E95" s="13" t="n">
        <v>16</v>
      </c>
      <c r="F95" s="5" t="n">
        <v>2336</v>
      </c>
      <c r="G95" s="4" t="n">
        <v>0.45</v>
      </c>
      <c r="H95" s="14">
        <f>F95*(1-G95)</f>
        <v>1284.8</v>
      </c>
      <c r="I95" s="14">
        <f>F95-F95*G95*$C$13</f>
        <v>1284.8</v>
      </c>
      <c r="J95" s="5" t="n">
        <v>385.05</v>
      </c>
      <c r="K95" s="14">
        <f>$C$12</f>
        <v>60.0</v>
      </c>
      <c r="L95" s="14">
        <f>J95+K95</f>
        <v>445.05</v>
      </c>
      <c r="M95" s="15">
        <f>IF($C$14=1,0.48,$C$15)</f>
        <v>0.48</v>
      </c>
      <c r="N95" s="14">
        <f>H95*M95</f>
        <v>616.704</v>
      </c>
      <c r="O95" s="14">
        <f>IF($C$14=2,MIN(H95*$C$16,$C$17),0)</f>
        <v>0.0</v>
      </c>
      <c r="P95" s="16" t="n">
        <v>0.6</v>
      </c>
      <c r="Q95" s="14">
        <f>IF($C$14=2,P95*$C$18,0)</f>
        <v>0.0</v>
      </c>
      <c r="R95" s="14">
        <f>$C$22+$C$23</f>
        <v>60.0</v>
      </c>
      <c r="S95" s="14">
        <f>H95*$C$5+$C$6</f>
        <v>29.6704</v>
      </c>
      <c r="T95" s="14">
        <f>$C$10*$C$11*P95</f>
        <v>0.0</v>
      </c>
      <c r="U95" s="4" t="n">
        <v>0.9</v>
      </c>
      <c r="V95" s="14">
        <f>IF($C$14=2,(1-U95)*($C$19+$C$20),0)</f>
        <v>0.0</v>
      </c>
      <c r="W95" s="14">
        <f>H95*$C$21</f>
        <v>0.0</v>
      </c>
      <c r="X95" s="14">
        <f>I95*$C$4</f>
        <v>89.936</v>
      </c>
      <c r="Y95" s="4" t="n">
        <v>0.15</v>
      </c>
      <c r="Z95" s="14">
        <f>H95*Y95</f>
        <v>192.72</v>
      </c>
      <c r="AA95" s="14">
        <f>I95-N95-O95-Q95-R95-S95-T95-V95-W95-X95-L95</f>
        <v>43.4396</v>
      </c>
      <c r="AB95" s="14">
        <f>AA95-Z95</f>
        <v>-149.2804</v>
      </c>
      <c r="AC95" s="15">
        <f>IFERROR(AB95/H95,0)</f>
        <v>-0.1161896015</v>
      </c>
      <c r="AD95" s="15">
        <f>IFERROR(AB95/L95,0)</f>
        <v>-0.335423885</v>
      </c>
      <c r="AE95" s="14">
        <f>IFERROR((L95+R95+T95+Q95+V95+$C$6)/(((1-G95*$C$13)/(1-G95))-(M95+$C$5+Y95+$C$21+IF($C$14=2,$C$16,0))-$C$4*((1-G95*$C$13)/(1-G95))),0)</f>
        <v>1823.7184115523</v>
      </c>
    </row>
    <row r="96">
      <c r="A96" s="10" t="inlineStr">
        <is>
          <t>PETITFEE - Bera Glucan Deep Firming Eye Patch [60ea] / Тканевые патчи для век увлажняющие</t>
        </is>
      </c>
      <c r="B96" s="11" t="inlineStr">
        <is>
          <t>Уход за кожей вокруг глаз</t>
        </is>
      </c>
      <c r="C96" s="12" t="n">
        <v>587</v>
      </c>
      <c r="D96" s="12" t="n"/>
      <c r="E96" s="13" t="n"/>
      <c r="F96" s="5" t="n">
        <v>2783</v>
      </c>
      <c r="G96" s="4" t="n">
        <v>0.45</v>
      </c>
      <c r="H96" s="14">
        <f>F96*(1-G96)</f>
        <v>1530.65</v>
      </c>
      <c r="I96" s="14">
        <f>F96-F96*G96*$C$13</f>
        <v>1530.65</v>
      </c>
      <c r="J96" s="5" t="n">
        <v>486.69</v>
      </c>
      <c r="K96" s="14">
        <f>$C$12</f>
        <v>60.0</v>
      </c>
      <c r="L96" s="14">
        <f>J96+K96</f>
        <v>546.69</v>
      </c>
      <c r="M96" s="15">
        <f>IF($C$14=1,0.48,$C$15)</f>
        <v>0.48</v>
      </c>
      <c r="N96" s="14">
        <f>H96*M96</f>
        <v>734.712</v>
      </c>
      <c r="O96" s="14">
        <f>IF($C$14=2,MIN(H96*$C$16,$C$17),0)</f>
        <v>0.0</v>
      </c>
      <c r="P96" s="16" t="n">
        <v>0.93</v>
      </c>
      <c r="Q96" s="14">
        <f>IF($C$14=2,P96*$C$18,0)</f>
        <v>0.0</v>
      </c>
      <c r="R96" s="14">
        <f>$C$22+$C$23</f>
        <v>60.0</v>
      </c>
      <c r="S96" s="14">
        <f>H96*$C$5+$C$6</f>
        <v>35.32495</v>
      </c>
      <c r="T96" s="14">
        <f>$C$10*$C$11*P96</f>
        <v>0.0</v>
      </c>
      <c r="U96" s="4" t="n">
        <v>0.9</v>
      </c>
      <c r="V96" s="14">
        <f>IF($C$14=2,(1-U96)*($C$19+$C$20),0)</f>
        <v>0.0</v>
      </c>
      <c r="W96" s="14">
        <f>H96*$C$21</f>
        <v>0.0</v>
      </c>
      <c r="X96" s="14">
        <f>I96*$C$4</f>
        <v>107.1455</v>
      </c>
      <c r="Y96" s="4" t="n">
        <v>0.15</v>
      </c>
      <c r="Z96" s="14">
        <f>H96*Y96</f>
        <v>229.5975</v>
      </c>
      <c r="AA96" s="14">
        <f>I96-N96-O96-Q96-R96-S96-T96-V96-W96-X96-L96</f>
        <v>46.77755</v>
      </c>
      <c r="AB96" s="14">
        <f>AA96-Z96</f>
        <v>-182.81995</v>
      </c>
      <c r="AC96" s="15">
        <f>IFERROR(AB96/H96,0)</f>
        <v>-0.1194394212</v>
      </c>
      <c r="AD96" s="15">
        <f>IFERROR(AB96/L96,0)</f>
        <v>-0.3344124641</v>
      </c>
      <c r="AE96" s="14">
        <f>IFERROR((L96+R96+T96+Q96+V96+$C$6)/(((1-G96*$C$13)/(1-G96))-(M96+$C$5+Y96+$C$21+IF($C$14=2,$C$16,0))-$C$4*((1-G96*$C$13)/(1-G96))),0)</f>
        <v>2190.6498194946</v>
      </c>
    </row>
    <row r="97">
      <c r="A97" s="10" t="inlineStr">
        <is>
          <t>PETITFEE - Artichoke Soothing Hydrogel Eye Patch [60ea] / Смягчающие гидрогелевые патчи для глаз с экстрактом артишока</t>
        </is>
      </c>
      <c r="B97" s="11" t="inlineStr">
        <is>
          <t>Уход за кожей вокруг глаз</t>
        </is>
      </c>
      <c r="C97" s="12" t="n">
        <v>300</v>
      </c>
      <c r="D97" s="12" t="n"/>
      <c r="E97" s="13" t="n"/>
      <c r="F97" s="5" t="n">
        <v>2468</v>
      </c>
      <c r="G97" s="4" t="n">
        <v>0.45</v>
      </c>
      <c r="H97" s="14">
        <f>F97*(1-G97)</f>
        <v>1357.4</v>
      </c>
      <c r="I97" s="14">
        <f>F97-F97*G97*$C$13</f>
        <v>1357.4</v>
      </c>
      <c r="J97" s="5" t="n">
        <v>415.46</v>
      </c>
      <c r="K97" s="14">
        <f>$C$12</f>
        <v>60.0</v>
      </c>
      <c r="L97" s="14">
        <f>J97+K97</f>
        <v>475.46</v>
      </c>
      <c r="M97" s="15">
        <f>IF($C$14=1,0.48,$C$15)</f>
        <v>0.48</v>
      </c>
      <c r="N97" s="14">
        <f>H97*M97</f>
        <v>651.552</v>
      </c>
      <c r="O97" s="14">
        <f>IF($C$14=2,MIN(H97*$C$16,$C$17),0)</f>
        <v>0.0</v>
      </c>
      <c r="P97" s="16" t="n">
        <v>0.6</v>
      </c>
      <c r="Q97" s="14">
        <f>IF($C$14=2,P97*$C$18,0)</f>
        <v>0.0</v>
      </c>
      <c r="R97" s="14">
        <f>$C$22+$C$23</f>
        <v>60.0</v>
      </c>
      <c r="S97" s="14">
        <f>H97*$C$5+$C$6</f>
        <v>31.3402</v>
      </c>
      <c r="T97" s="14">
        <f>$C$10*$C$11*P97</f>
        <v>0.0</v>
      </c>
      <c r="U97" s="4" t="n">
        <v>0.9</v>
      </c>
      <c r="V97" s="14">
        <f>IF($C$14=2,(1-U97)*($C$19+$C$20),0)</f>
        <v>0.0</v>
      </c>
      <c r="W97" s="14">
        <f>H97*$C$21</f>
        <v>0.0</v>
      </c>
      <c r="X97" s="14">
        <f>I97*$C$4</f>
        <v>95.018</v>
      </c>
      <c r="Y97" s="4" t="n">
        <v>0.15</v>
      </c>
      <c r="Z97" s="14">
        <f>H97*Y97</f>
        <v>203.61</v>
      </c>
      <c r="AA97" s="14">
        <f>I97-N97-O97-Q97-R97-S97-T97-V97-W97-X97-L97</f>
        <v>44.0298</v>
      </c>
      <c r="AB97" s="14">
        <f>AA97-Z97</f>
        <v>-159.5802</v>
      </c>
      <c r="AC97" s="15">
        <f>IFERROR(AB97/H97,0)</f>
        <v>-0.1175631354</v>
      </c>
      <c r="AD97" s="15">
        <f>IFERROR(AB97/L97,0)</f>
        <v>-0.3356332815</v>
      </c>
      <c r="AE97" s="14">
        <f>IFERROR((L97+R97+T97+Q97+V97+$C$6)/(((1-G97*$C$13)/(1-G97))-(M97+$C$5+Y97+$C$21+IF($C$14=2,$C$16,0))-$C$4*((1-G97*$C$13)/(1-G97))),0)</f>
        <v>1933.5018050542</v>
      </c>
    </row>
    <row r="98">
      <c r="A98" s="10" t="inlineStr">
        <is>
          <t>PETITFEE - Aura Quartz Hydrogel Eye Patch [60ea]</t>
        </is>
      </c>
      <c r="B98" s="11" t="inlineStr">
        <is>
          <t>Уход за кожей вокруг глаз</t>
        </is>
      </c>
      <c r="C98" s="12" t="n">
        <v>95</v>
      </c>
      <c r="D98" s="12" t="n"/>
      <c r="E98" s="13" t="n"/>
      <c r="F98" s="5" t="n">
        <v>3237</v>
      </c>
      <c r="G98" s="4" t="n">
        <v>0.45</v>
      </c>
      <c r="H98" s="14">
        <f>F98*(1-G98)</f>
        <v>1780.35</v>
      </c>
      <c r="I98" s="14">
        <f>F98-F98*G98*$C$13</f>
        <v>1780.35</v>
      </c>
      <c r="J98" s="5" t="n">
        <v>591.29</v>
      </c>
      <c r="K98" s="14">
        <f>$C$12</f>
        <v>60.0</v>
      </c>
      <c r="L98" s="14">
        <f>J98+K98</f>
        <v>651.29</v>
      </c>
      <c r="M98" s="15">
        <f>IF($C$14=1,0.48,$C$15)</f>
        <v>0.48</v>
      </c>
      <c r="N98" s="14">
        <f>H98*M98</f>
        <v>854.568</v>
      </c>
      <c r="O98" s="14">
        <f>IF($C$14=2,MIN(H98*$C$16,$C$17),0)</f>
        <v>0.0</v>
      </c>
      <c r="P98" s="16" t="n">
        <v>0.93</v>
      </c>
      <c r="Q98" s="14">
        <f>IF($C$14=2,P98*$C$18,0)</f>
        <v>0.0</v>
      </c>
      <c r="R98" s="14">
        <f>$C$22+$C$23</f>
        <v>60.0</v>
      </c>
      <c r="S98" s="14">
        <f>H98*$C$5+$C$6</f>
        <v>41.06805</v>
      </c>
      <c r="T98" s="14">
        <f>$C$10*$C$11*P98</f>
        <v>0.0</v>
      </c>
      <c r="U98" s="4" t="n">
        <v>0.9</v>
      </c>
      <c r="V98" s="14">
        <f>IF($C$14=2,(1-U98)*($C$19+$C$20),0)</f>
        <v>0.0</v>
      </c>
      <c r="W98" s="14">
        <f>H98*$C$21</f>
        <v>0.0</v>
      </c>
      <c r="X98" s="14">
        <f>I98*$C$4</f>
        <v>124.6245</v>
      </c>
      <c r="Y98" s="4" t="n">
        <v>0.15</v>
      </c>
      <c r="Z98" s="14">
        <f>H98*Y98</f>
        <v>267.0525</v>
      </c>
      <c r="AA98" s="14">
        <f>I98-N98-O98-Q98-R98-S98-T98-V98-W98-X98-L98</f>
        <v>48.79945</v>
      </c>
      <c r="AB98" s="14">
        <f>AA98-Z98</f>
        <v>-218.25305</v>
      </c>
      <c r="AC98" s="15">
        <f>IFERROR(AB98/H98,0)</f>
        <v>-0.1225899683</v>
      </c>
      <c r="AD98" s="15">
        <f>IFERROR(AB98/L98,0)</f>
        <v>-0.3351088609</v>
      </c>
      <c r="AE98" s="14">
        <f>IFERROR((L98+R98+T98+Q98+V98+$C$6)/(((1-G98*$C$13)/(1-G98))-(M98+$C$5+Y98+$C$21+IF($C$14=2,$C$16,0))-$C$4*((1-G98*$C$13)/(1-G98))),0)</f>
        <v>2568.2671480144</v>
      </c>
    </row>
    <row r="99">
      <c r="A99" s="10" t="inlineStr">
        <is>
          <t>PETITFEE - Cacao Energizing Hydrogel Eye Patch [60ea] / Тонизирующие гидрогелевые патчи для глаз с экстрактом какао</t>
        </is>
      </c>
      <c r="B99" s="11" t="inlineStr">
        <is>
          <t>Уход за кожей вокруг глаз</t>
        </is>
      </c>
      <c r="C99" s="12" t="n">
        <v>713</v>
      </c>
      <c r="D99" s="12" t="n"/>
      <c r="E99" s="13" t="n"/>
      <c r="F99" s="5" t="n">
        <v>2468</v>
      </c>
      <c r="G99" s="4" t="n">
        <v>0.45</v>
      </c>
      <c r="H99" s="14">
        <f>F99*(1-G99)</f>
        <v>1357.4</v>
      </c>
      <c r="I99" s="14">
        <f>F99-F99*G99*$C$13</f>
        <v>1357.4</v>
      </c>
      <c r="J99" s="5" t="n">
        <v>415.46</v>
      </c>
      <c r="K99" s="14">
        <f>$C$12</f>
        <v>60.0</v>
      </c>
      <c r="L99" s="14">
        <f>J99+K99</f>
        <v>475.46</v>
      </c>
      <c r="M99" s="15">
        <f>IF($C$14=1,0.48,$C$15)</f>
        <v>0.48</v>
      </c>
      <c r="N99" s="14">
        <f>H99*M99</f>
        <v>651.552</v>
      </c>
      <c r="O99" s="14">
        <f>IF($C$14=2,MIN(H99*$C$16,$C$17),0)</f>
        <v>0.0</v>
      </c>
      <c r="P99" s="16" t="n">
        <v>0.6</v>
      </c>
      <c r="Q99" s="14">
        <f>IF($C$14=2,P99*$C$18,0)</f>
        <v>0.0</v>
      </c>
      <c r="R99" s="14">
        <f>$C$22+$C$23</f>
        <v>60.0</v>
      </c>
      <c r="S99" s="14">
        <f>H99*$C$5+$C$6</f>
        <v>31.3402</v>
      </c>
      <c r="T99" s="14">
        <f>$C$10*$C$11*P99</f>
        <v>0.0</v>
      </c>
      <c r="U99" s="4" t="n">
        <v>0.9</v>
      </c>
      <c r="V99" s="14">
        <f>IF($C$14=2,(1-U99)*($C$19+$C$20),0)</f>
        <v>0.0</v>
      </c>
      <c r="W99" s="14">
        <f>H99*$C$21</f>
        <v>0.0</v>
      </c>
      <c r="X99" s="14">
        <f>I99*$C$4</f>
        <v>95.018</v>
      </c>
      <c r="Y99" s="4" t="n">
        <v>0.15</v>
      </c>
      <c r="Z99" s="14">
        <f>H99*Y99</f>
        <v>203.61</v>
      </c>
      <c r="AA99" s="14">
        <f>I99-N99-O99-Q99-R99-S99-T99-V99-W99-X99-L99</f>
        <v>44.0298</v>
      </c>
      <c r="AB99" s="14">
        <f>AA99-Z99</f>
        <v>-159.5802</v>
      </c>
      <c r="AC99" s="15">
        <f>IFERROR(AB99/H99,0)</f>
        <v>-0.1175631354</v>
      </c>
      <c r="AD99" s="15">
        <f>IFERROR(AB99/L99,0)</f>
        <v>-0.3356332815</v>
      </c>
      <c r="AE99" s="14">
        <f>IFERROR((L99+R99+T99+Q99+V99+$C$6)/(((1-G99*$C$13)/(1-G99))-(M99+$C$5+Y99+$C$21+IF($C$14=2,$C$16,0))-$C$4*((1-G99*$C$13)/(1-G99))),0)</f>
        <v>1933.5018050542</v>
      </c>
    </row>
    <row r="100">
      <c r="A100" s="10" t="inlineStr">
        <is>
          <t>PETITFEE - Chamomile Lightening Hydrogel Eye Patch [60ea] / Успокаивающие гидрогелевые патчи для глаз с экстрактом ромашки</t>
        </is>
      </c>
      <c r="B100" s="11" t="inlineStr">
        <is>
          <t>Уход за кожей вокруг глаз</t>
        </is>
      </c>
      <c r="C100" s="12" t="n">
        <v>288</v>
      </c>
      <c r="D100" s="12" t="n"/>
      <c r="E100" s="13" t="n"/>
      <c r="F100" s="5" t="n">
        <v>2468</v>
      </c>
      <c r="G100" s="4" t="n">
        <v>0.45</v>
      </c>
      <c r="H100" s="14">
        <f>F100*(1-G100)</f>
        <v>1357.4</v>
      </c>
      <c r="I100" s="14">
        <f>F100-F100*G100*$C$13</f>
        <v>1357.4</v>
      </c>
      <c r="J100" s="5" t="n">
        <v>415.46</v>
      </c>
      <c r="K100" s="14">
        <f>$C$12</f>
        <v>60.0</v>
      </c>
      <c r="L100" s="14">
        <f>J100+K100</f>
        <v>475.46</v>
      </c>
      <c r="M100" s="15">
        <f>IF($C$14=1,0.48,$C$15)</f>
        <v>0.48</v>
      </c>
      <c r="N100" s="14">
        <f>H100*M100</f>
        <v>651.552</v>
      </c>
      <c r="O100" s="14">
        <f>IF($C$14=2,MIN(H100*$C$16,$C$17),0)</f>
        <v>0.0</v>
      </c>
      <c r="P100" s="16" t="n">
        <v>0.6</v>
      </c>
      <c r="Q100" s="14">
        <f>IF($C$14=2,P100*$C$18,0)</f>
        <v>0.0</v>
      </c>
      <c r="R100" s="14">
        <f>$C$22+$C$23</f>
        <v>60.0</v>
      </c>
      <c r="S100" s="14">
        <f>H100*$C$5+$C$6</f>
        <v>31.3402</v>
      </c>
      <c r="T100" s="14">
        <f>$C$10*$C$11*P100</f>
        <v>0.0</v>
      </c>
      <c r="U100" s="4" t="n">
        <v>0.9</v>
      </c>
      <c r="V100" s="14">
        <f>IF($C$14=2,(1-U100)*($C$19+$C$20),0)</f>
        <v>0.0</v>
      </c>
      <c r="W100" s="14">
        <f>H100*$C$21</f>
        <v>0.0</v>
      </c>
      <c r="X100" s="14">
        <f>I100*$C$4</f>
        <v>95.018</v>
      </c>
      <c r="Y100" s="4" t="n">
        <v>0.15</v>
      </c>
      <c r="Z100" s="14">
        <f>H100*Y100</f>
        <v>203.61</v>
      </c>
      <c r="AA100" s="14">
        <f>I100-N100-O100-Q100-R100-S100-T100-V100-W100-X100-L100</f>
        <v>44.0298</v>
      </c>
      <c r="AB100" s="14">
        <f>AA100-Z100</f>
        <v>-159.5802</v>
      </c>
      <c r="AC100" s="15">
        <f>IFERROR(AB100/H100,0)</f>
        <v>-0.1175631354</v>
      </c>
      <c r="AD100" s="15">
        <f>IFERROR(AB100/L100,0)</f>
        <v>-0.3356332815</v>
      </c>
      <c r="AE100" s="14">
        <f>IFERROR((L100+R100+T100+Q100+V100+$C$6)/(((1-G100*$C$13)/(1-G100))-(M100+$C$5+Y100+$C$21+IF($C$14=2,$C$16,0))-$C$4*((1-G100*$C$13)/(1-G100))),0)</f>
        <v>1933.5018050542</v>
      </c>
    </row>
    <row r="101">
      <c r="A101" s="10" t="inlineStr">
        <is>
          <t>PETITFEE - Gold &amp; EGF Hydrogel Eye &amp; Spot Patch [60ea]/ гидрогелевые патчи с золотом и EGF</t>
        </is>
      </c>
      <c r="B101" s="11" t="inlineStr">
        <is>
          <t>Уход за кожей вокруг глаз</t>
        </is>
      </c>
      <c r="C101" s="12" t="n">
        <v>72</v>
      </c>
      <c r="D101" s="12" t="n"/>
      <c r="E101" s="13" t="n"/>
      <c r="F101" s="5" t="n">
        <v>2336</v>
      </c>
      <c r="G101" s="4" t="n">
        <v>0.45</v>
      </c>
      <c r="H101" s="14">
        <f>F101*(1-G101)</f>
        <v>1284.8</v>
      </c>
      <c r="I101" s="14">
        <f>F101-F101*G101*$C$13</f>
        <v>1284.8</v>
      </c>
      <c r="J101" s="5" t="n">
        <v>385.05</v>
      </c>
      <c r="K101" s="14">
        <f>$C$12</f>
        <v>60.0</v>
      </c>
      <c r="L101" s="14">
        <f>J101+K101</f>
        <v>445.05</v>
      </c>
      <c r="M101" s="15">
        <f>IF($C$14=1,0.48,$C$15)</f>
        <v>0.48</v>
      </c>
      <c r="N101" s="14">
        <f>H101*M101</f>
        <v>616.704</v>
      </c>
      <c r="O101" s="14">
        <f>IF($C$14=2,MIN(H101*$C$16,$C$17),0)</f>
        <v>0.0</v>
      </c>
      <c r="P101" s="16" t="n">
        <v>0.6</v>
      </c>
      <c r="Q101" s="14">
        <f>IF($C$14=2,P101*$C$18,0)</f>
        <v>0.0</v>
      </c>
      <c r="R101" s="14">
        <f>$C$22+$C$23</f>
        <v>60.0</v>
      </c>
      <c r="S101" s="14">
        <f>H101*$C$5+$C$6</f>
        <v>29.6704</v>
      </c>
      <c r="T101" s="14">
        <f>$C$10*$C$11*P101</f>
        <v>0.0</v>
      </c>
      <c r="U101" s="4" t="n">
        <v>0.9</v>
      </c>
      <c r="V101" s="14">
        <f>IF($C$14=2,(1-U101)*($C$19+$C$20),0)</f>
        <v>0.0</v>
      </c>
      <c r="W101" s="14">
        <f>H101*$C$21</f>
        <v>0.0</v>
      </c>
      <c r="X101" s="14">
        <f>I101*$C$4</f>
        <v>89.936</v>
      </c>
      <c r="Y101" s="4" t="n">
        <v>0.15</v>
      </c>
      <c r="Z101" s="14">
        <f>H101*Y101</f>
        <v>192.72</v>
      </c>
      <c r="AA101" s="14">
        <f>I101-N101-O101-Q101-R101-S101-T101-V101-W101-X101-L101</f>
        <v>43.4396</v>
      </c>
      <c r="AB101" s="14">
        <f>AA101-Z101</f>
        <v>-149.2804</v>
      </c>
      <c r="AC101" s="15">
        <f>IFERROR(AB101/H101,0)</f>
        <v>-0.1161896015</v>
      </c>
      <c r="AD101" s="15">
        <f>IFERROR(AB101/L101,0)</f>
        <v>-0.335423885</v>
      </c>
      <c r="AE101" s="14">
        <f>IFERROR((L101+R101+T101+Q101+V101+$C$6)/(((1-G101*$C$13)/(1-G101))-(M101+$C$5+Y101+$C$21+IF($C$14=2,$C$16,0))-$C$4*((1-G101*$C$13)/(1-G101))),0)</f>
        <v>1823.7184115523</v>
      </c>
    </row>
    <row r="102">
      <c r="A102" s="10" t="inlineStr">
        <is>
          <t>PETITFEE - Pink Vita Brightening Eye Patch [60ea] / Тканевые патчи для век увлажняющие</t>
        </is>
      </c>
      <c r="B102" s="11" t="inlineStr">
        <is>
          <t>Уход за кожей вокруг глаз</t>
        </is>
      </c>
      <c r="C102" s="12" t="n">
        <v>267</v>
      </c>
      <c r="D102" s="12" t="n"/>
      <c r="E102" s="13" t="n"/>
      <c r="F102" s="5" t="n">
        <v>2783</v>
      </c>
      <c r="G102" s="4" t="n">
        <v>0.45</v>
      </c>
      <c r="H102" s="14">
        <f>F102*(1-G102)</f>
        <v>1530.65</v>
      </c>
      <c r="I102" s="14">
        <f>F102-F102*G102*$C$13</f>
        <v>1530.65</v>
      </c>
      <c r="J102" s="5" t="n">
        <v>486.69</v>
      </c>
      <c r="K102" s="14">
        <f>$C$12</f>
        <v>60.0</v>
      </c>
      <c r="L102" s="14">
        <f>J102+K102</f>
        <v>546.69</v>
      </c>
      <c r="M102" s="15">
        <f>IF($C$14=1,0.48,$C$15)</f>
        <v>0.48</v>
      </c>
      <c r="N102" s="14">
        <f>H102*M102</f>
        <v>734.712</v>
      </c>
      <c r="O102" s="14">
        <f>IF($C$14=2,MIN(H102*$C$16,$C$17),0)</f>
        <v>0.0</v>
      </c>
      <c r="P102" s="16" t="n">
        <v>0.93</v>
      </c>
      <c r="Q102" s="14">
        <f>IF($C$14=2,P102*$C$18,0)</f>
        <v>0.0</v>
      </c>
      <c r="R102" s="14">
        <f>$C$22+$C$23</f>
        <v>60.0</v>
      </c>
      <c r="S102" s="14">
        <f>H102*$C$5+$C$6</f>
        <v>35.32495</v>
      </c>
      <c r="T102" s="14">
        <f>$C$10*$C$11*P102</f>
        <v>0.0</v>
      </c>
      <c r="U102" s="4" t="n">
        <v>0.9</v>
      </c>
      <c r="V102" s="14">
        <f>IF($C$14=2,(1-U102)*($C$19+$C$20),0)</f>
        <v>0.0</v>
      </c>
      <c r="W102" s="14">
        <f>H102*$C$21</f>
        <v>0.0</v>
      </c>
      <c r="X102" s="14">
        <f>I102*$C$4</f>
        <v>107.1455</v>
      </c>
      <c r="Y102" s="4" t="n">
        <v>0.15</v>
      </c>
      <c r="Z102" s="14">
        <f>H102*Y102</f>
        <v>229.5975</v>
      </c>
      <c r="AA102" s="14">
        <f>I102-N102-O102-Q102-R102-S102-T102-V102-W102-X102-L102</f>
        <v>46.77755</v>
      </c>
      <c r="AB102" s="14">
        <f>AA102-Z102</f>
        <v>-182.81995</v>
      </c>
      <c r="AC102" s="15">
        <f>IFERROR(AB102/H102,0)</f>
        <v>-0.1194394212</v>
      </c>
      <c r="AD102" s="15">
        <f>IFERROR(AB102/L102,0)</f>
        <v>-0.3344124641</v>
      </c>
      <c r="AE102" s="14">
        <f>IFERROR((L102+R102+T102+Q102+V102+$C$6)/(((1-G102*$C$13)/(1-G102))-(M102+$C$5+Y102+$C$21+IF($C$14=2,$C$16,0))-$C$4*((1-G102*$C$13)/(1-G102))),0)</f>
        <v>2190.6498194946</v>
      </c>
    </row>
    <row r="103">
      <c r="A103" s="10" t="inlineStr">
        <is>
          <t>PETITFEE - Black Pearl &amp; Gold Hydrogel Eye Patch [60ea] / Гидрогелевые патчи для глаз с черным жемчугом и золотом</t>
        </is>
      </c>
      <c r="B103" s="11" t="inlineStr">
        <is>
          <t>Уход за кожей вокруг глаз</t>
        </is>
      </c>
      <c r="C103" s="12" t="n">
        <v>909</v>
      </c>
      <c r="D103" s="12" t="n">
        <v>1780</v>
      </c>
      <c r="E103" s="13" t="n">
        <v>16</v>
      </c>
      <c r="F103" s="5" t="n">
        <v>2347</v>
      </c>
      <c r="G103" s="4" t="n">
        <v>0.45</v>
      </c>
      <c r="H103" s="14">
        <f>F103*(1-G103)</f>
        <v>1290.85</v>
      </c>
      <c r="I103" s="14">
        <f>F103-F103*G103*$C$13</f>
        <v>1290.85</v>
      </c>
      <c r="J103" s="5" t="n">
        <v>387.67</v>
      </c>
      <c r="K103" s="14">
        <f>$C$12</f>
        <v>60.0</v>
      </c>
      <c r="L103" s="14">
        <f>J103+K103</f>
        <v>447.67</v>
      </c>
      <c r="M103" s="15">
        <f>IF($C$14=1,0.48,$C$15)</f>
        <v>0.48</v>
      </c>
      <c r="N103" s="14">
        <f>H103*M103</f>
        <v>619.608</v>
      </c>
      <c r="O103" s="14">
        <f>IF($C$14=2,MIN(H103*$C$16,$C$17),0)</f>
        <v>0.0</v>
      </c>
      <c r="P103" s="16" t="n">
        <v>0.6</v>
      </c>
      <c r="Q103" s="14">
        <f>IF($C$14=2,P103*$C$18,0)</f>
        <v>0.0</v>
      </c>
      <c r="R103" s="14">
        <f>$C$22+$C$23</f>
        <v>60.0</v>
      </c>
      <c r="S103" s="14">
        <f>H103*$C$5+$C$6</f>
        <v>29.80955</v>
      </c>
      <c r="T103" s="14">
        <f>$C$10*$C$11*P103</f>
        <v>0.0</v>
      </c>
      <c r="U103" s="4" t="n">
        <v>0.9</v>
      </c>
      <c r="V103" s="14">
        <f>IF($C$14=2,(1-U103)*($C$19+$C$20),0)</f>
        <v>0.0</v>
      </c>
      <c r="W103" s="14">
        <f>H103*$C$21</f>
        <v>0.0</v>
      </c>
      <c r="X103" s="14">
        <f>I103*$C$4</f>
        <v>90.3595</v>
      </c>
      <c r="Y103" s="4" t="n">
        <v>0.15</v>
      </c>
      <c r="Z103" s="14">
        <f>H103*Y103</f>
        <v>193.6275</v>
      </c>
      <c r="AA103" s="14">
        <f>I103-N103-O103-Q103-R103-S103-T103-V103-W103-X103-L103</f>
        <v>43.40295</v>
      </c>
      <c r="AB103" s="14">
        <f>AA103-Z103</f>
        <v>-150.22455</v>
      </c>
      <c r="AC103" s="15">
        <f>IFERROR(AB103/H103,0)</f>
        <v>-0.1163764574</v>
      </c>
      <c r="AD103" s="15">
        <f>IFERROR(AB103/L103,0)</f>
        <v>-0.3355698394</v>
      </c>
      <c r="AE103" s="14">
        <f>IFERROR((L103+R103+T103+Q103+V103+$C$6)/(((1-G103*$C$13)/(1-G103))-(M103+$C$5+Y103+$C$21+IF($C$14=2,$C$16,0))-$C$4*((1-G103*$C$13)/(1-G103))),0)</f>
        <v>1833.1768953069</v>
      </c>
    </row>
    <row r="104">
      <c r="A104" s="10" t="inlineStr">
        <is>
          <t>PETITFEE - Agave Cooling Hydrogel Eye Patch [60ea] / Охлаждающие гидрогелевые патчи для глаз с экстрактом агавы</t>
        </is>
      </c>
      <c r="B104" s="11" t="inlineStr">
        <is>
          <t>Уход за кожей вокруг глаз</t>
        </is>
      </c>
      <c r="C104" s="12" t="n">
        <v>933</v>
      </c>
      <c r="D104" s="12" t="n">
        <v>1730</v>
      </c>
      <c r="E104" s="13" t="n">
        <v>17</v>
      </c>
      <c r="F104" s="5" t="n">
        <v>2468</v>
      </c>
      <c r="G104" s="4" t="n">
        <v>0.45</v>
      </c>
      <c r="H104" s="14">
        <f>F104*(1-G104)</f>
        <v>1357.4</v>
      </c>
      <c r="I104" s="14">
        <f>F104-F104*G104*$C$13</f>
        <v>1357.4</v>
      </c>
      <c r="J104" s="5" t="n">
        <v>415.46</v>
      </c>
      <c r="K104" s="14">
        <f>$C$12</f>
        <v>60.0</v>
      </c>
      <c r="L104" s="14">
        <f>J104+K104</f>
        <v>475.46</v>
      </c>
      <c r="M104" s="15">
        <f>IF($C$14=1,0.48,$C$15)</f>
        <v>0.48</v>
      </c>
      <c r="N104" s="14">
        <f>H104*M104</f>
        <v>651.552</v>
      </c>
      <c r="O104" s="14">
        <f>IF($C$14=2,MIN(H104*$C$16,$C$17),0)</f>
        <v>0.0</v>
      </c>
      <c r="P104" s="16" t="n">
        <v>0.6</v>
      </c>
      <c r="Q104" s="14">
        <f>IF($C$14=2,P104*$C$18,0)</f>
        <v>0.0</v>
      </c>
      <c r="R104" s="14">
        <f>$C$22+$C$23</f>
        <v>60.0</v>
      </c>
      <c r="S104" s="14">
        <f>H104*$C$5+$C$6</f>
        <v>31.3402</v>
      </c>
      <c r="T104" s="14">
        <f>$C$10*$C$11*P104</f>
        <v>0.0</v>
      </c>
      <c r="U104" s="4" t="n">
        <v>0.9</v>
      </c>
      <c r="V104" s="14">
        <f>IF($C$14=2,(1-U104)*($C$19+$C$20),0)</f>
        <v>0.0</v>
      </c>
      <c r="W104" s="14">
        <f>H104*$C$21</f>
        <v>0.0</v>
      </c>
      <c r="X104" s="14">
        <f>I104*$C$4</f>
        <v>95.018</v>
      </c>
      <c r="Y104" s="4" t="n">
        <v>0.15</v>
      </c>
      <c r="Z104" s="14">
        <f>H104*Y104</f>
        <v>203.61</v>
      </c>
      <c r="AA104" s="14">
        <f>I104-N104-O104-Q104-R104-S104-T104-V104-W104-X104-L104</f>
        <v>44.0298</v>
      </c>
      <c r="AB104" s="14">
        <f>AA104-Z104</f>
        <v>-159.5802</v>
      </c>
      <c r="AC104" s="15">
        <f>IFERROR(AB104/H104,0)</f>
        <v>-0.1175631354</v>
      </c>
      <c r="AD104" s="15">
        <f>IFERROR(AB104/L104,0)</f>
        <v>-0.3356332815</v>
      </c>
      <c r="AE104" s="14">
        <f>IFERROR((L104+R104+T104+Q104+V104+$C$6)/(((1-G104*$C$13)/(1-G104))-(M104+$C$5+Y104+$C$21+IF($C$14=2,$C$16,0))-$C$4*((1-G104*$C$13)/(1-G104))),0)</f>
        <v>1933.5018050542</v>
      </c>
    </row>
    <row r="105">
      <c r="A105" s="10" t="inlineStr">
        <is>
          <t>PETITFEE - Gold &amp; Snail Hydrogel Eye Patch [60ea] / Гидрогелевые патчи для глаз с золотом и улиткой</t>
        </is>
      </c>
      <c r="B105" s="11" t="inlineStr">
        <is>
          <t>Уход за кожей вокруг глаз</t>
        </is>
      </c>
      <c r="C105" s="12" t="n">
        <v>909</v>
      </c>
      <c r="D105" s="12" t="n">
        <v>1740</v>
      </c>
      <c r="E105" s="13" t="n">
        <v>7</v>
      </c>
      <c r="F105" s="5" t="n">
        <v>2468</v>
      </c>
      <c r="G105" s="4" t="n">
        <v>0.45</v>
      </c>
      <c r="H105" s="14">
        <f>F105*(1-G105)</f>
        <v>1357.4</v>
      </c>
      <c r="I105" s="14">
        <f>F105-F105*G105*$C$13</f>
        <v>1357.4</v>
      </c>
      <c r="J105" s="5" t="n">
        <v>415.46</v>
      </c>
      <c r="K105" s="14">
        <f>$C$12</f>
        <v>60.0</v>
      </c>
      <c r="L105" s="14">
        <f>J105+K105</f>
        <v>475.46</v>
      </c>
      <c r="M105" s="15">
        <f>IF($C$14=1,0.48,$C$15)</f>
        <v>0.48</v>
      </c>
      <c r="N105" s="14">
        <f>H105*M105</f>
        <v>651.552</v>
      </c>
      <c r="O105" s="14">
        <f>IF($C$14=2,MIN(H105*$C$16,$C$17),0)</f>
        <v>0.0</v>
      </c>
      <c r="P105" s="16" t="n">
        <v>0.6</v>
      </c>
      <c r="Q105" s="14">
        <f>IF($C$14=2,P105*$C$18,0)</f>
        <v>0.0</v>
      </c>
      <c r="R105" s="14">
        <f>$C$22+$C$23</f>
        <v>60.0</v>
      </c>
      <c r="S105" s="14">
        <f>H105*$C$5+$C$6</f>
        <v>31.3402</v>
      </c>
      <c r="T105" s="14">
        <f>$C$10*$C$11*P105</f>
        <v>0.0</v>
      </c>
      <c r="U105" s="4" t="n">
        <v>0.9</v>
      </c>
      <c r="V105" s="14">
        <f>IF($C$14=2,(1-U105)*($C$19+$C$20),0)</f>
        <v>0.0</v>
      </c>
      <c r="W105" s="14">
        <f>H105*$C$21</f>
        <v>0.0</v>
      </c>
      <c r="X105" s="14">
        <f>I105*$C$4</f>
        <v>95.018</v>
      </c>
      <c r="Y105" s="4" t="n">
        <v>0.15</v>
      </c>
      <c r="Z105" s="14">
        <f>H105*Y105</f>
        <v>203.61</v>
      </c>
      <c r="AA105" s="14">
        <f>I105-N105-O105-Q105-R105-S105-T105-V105-W105-X105-L105</f>
        <v>44.0298</v>
      </c>
      <c r="AB105" s="14">
        <f>AA105-Z105</f>
        <v>-159.5802</v>
      </c>
      <c r="AC105" s="15">
        <f>IFERROR(AB105/H105,0)</f>
        <v>-0.1175631354</v>
      </c>
      <c r="AD105" s="15">
        <f>IFERROR(AB105/L105,0)</f>
        <v>-0.3356332815</v>
      </c>
      <c r="AE105" s="14">
        <f>IFERROR((L105+R105+T105+Q105+V105+$C$6)/(((1-G105*$C$13)/(1-G105))-(M105+$C$5+Y105+$C$21+IF($C$14=2,$C$16,0))-$C$4*((1-G105*$C$13)/(1-G105))),0)</f>
        <v>1933.5018050542</v>
      </c>
    </row>
    <row r="106">
      <c r="A106" s="10" t="inlineStr">
        <is>
          <t>PETITFEE - Gold Hydrogel Eye Patch [60ea] / гидрогелевые патчи для глаз с золотом</t>
        </is>
      </c>
      <c r="B106" s="11" t="inlineStr">
        <is>
          <t>Уход за кожей вокруг глаз</t>
        </is>
      </c>
      <c r="C106" s="12" t="n">
        <v>700</v>
      </c>
      <c r="D106" s="12" t="n">
        <v>1930</v>
      </c>
      <c r="E106" s="13" t="n">
        <v>2.2</v>
      </c>
      <c r="F106" s="5" t="n">
        <v>2468</v>
      </c>
      <c r="G106" s="4" t="n">
        <v>0.45</v>
      </c>
      <c r="H106" s="14">
        <f>F106*(1-G106)</f>
        <v>1357.4</v>
      </c>
      <c r="I106" s="14">
        <f>F106-F106*G106*$C$13</f>
        <v>1357.4</v>
      </c>
      <c r="J106" s="5" t="n">
        <v>415.46</v>
      </c>
      <c r="K106" s="14">
        <f>$C$12</f>
        <v>60.0</v>
      </c>
      <c r="L106" s="14">
        <f>J106+K106</f>
        <v>475.46</v>
      </c>
      <c r="M106" s="15">
        <f>IF($C$14=1,0.48,$C$15)</f>
        <v>0.48</v>
      </c>
      <c r="N106" s="14">
        <f>H106*M106</f>
        <v>651.552</v>
      </c>
      <c r="O106" s="14">
        <f>IF($C$14=2,MIN(H106*$C$16,$C$17),0)</f>
        <v>0.0</v>
      </c>
      <c r="P106" s="16" t="n">
        <v>0.6</v>
      </c>
      <c r="Q106" s="14">
        <f>IF($C$14=2,P106*$C$18,0)</f>
        <v>0.0</v>
      </c>
      <c r="R106" s="14">
        <f>$C$22+$C$23</f>
        <v>60.0</v>
      </c>
      <c r="S106" s="14">
        <f>H106*$C$5+$C$6</f>
        <v>31.3402</v>
      </c>
      <c r="T106" s="14">
        <f>$C$10*$C$11*P106</f>
        <v>0.0</v>
      </c>
      <c r="U106" s="4" t="n">
        <v>0.9</v>
      </c>
      <c r="V106" s="14">
        <f>IF($C$14=2,(1-U106)*($C$19+$C$20),0)</f>
        <v>0.0</v>
      </c>
      <c r="W106" s="14">
        <f>H106*$C$21</f>
        <v>0.0</v>
      </c>
      <c r="X106" s="14">
        <f>I106*$C$4</f>
        <v>95.018</v>
      </c>
      <c r="Y106" s="4" t="n">
        <v>0.15</v>
      </c>
      <c r="Z106" s="14">
        <f>H106*Y106</f>
        <v>203.61</v>
      </c>
      <c r="AA106" s="14">
        <f>I106-N106-O106-Q106-R106-S106-T106-V106-W106-X106-L106</f>
        <v>44.0298</v>
      </c>
      <c r="AB106" s="14">
        <f>AA106-Z106</f>
        <v>-159.5802</v>
      </c>
      <c r="AC106" s="15">
        <f>IFERROR(AB106/H106,0)</f>
        <v>-0.1175631354</v>
      </c>
      <c r="AD106" s="15">
        <f>IFERROR(AB106/L106,0)</f>
        <v>-0.3356332815</v>
      </c>
      <c r="AE106" s="14">
        <f>IFERROR((L106+R106+T106+Q106+V106+$C$6)/(((1-G106*$C$13)/(1-G106))-(M106+$C$5+Y106+$C$21+IF($C$14=2,$C$16,0))-$C$4*((1-G106*$C$13)/(1-G106))),0)</f>
        <v>1933.5018050542</v>
      </c>
    </row>
    <row r="107">
      <c r="A107" s="8" t="inlineStr">
        <is>
          <t>Косметика/PETITFEE/PETITFEE-FACEMASK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</row>
    <row r="108">
      <c r="A108" s="10" t="inlineStr">
        <is>
          <t>PETITFEE - Agave Cooling Hydrogel Face Mask [5pcs] / Охлаждающая гидрогелевая маска для лица с экстрактом агавы</t>
        </is>
      </c>
      <c r="B108" s="11" t="inlineStr">
        <is>
          <t>Маски для лица</t>
        </is>
      </c>
      <c r="C108" s="12" t="n">
        <v>951</v>
      </c>
      <c r="D108" s="12" t="n">
        <v>2480</v>
      </c>
      <c r="E108" s="13" t="n">
        <v>21</v>
      </c>
      <c r="F108" s="5" t="n">
        <v>2805</v>
      </c>
      <c r="G108" s="4" t="n">
        <v>0.45</v>
      </c>
      <c r="H108" s="14">
        <f>F108*(1-G108)</f>
        <v>1542.75</v>
      </c>
      <c r="I108" s="14">
        <f>F108-F108*G108*$C$13</f>
        <v>1542.75</v>
      </c>
      <c r="J108" s="5" t="n">
        <v>486.41</v>
      </c>
      <c r="K108" s="14">
        <f>$C$12</f>
        <v>60.0</v>
      </c>
      <c r="L108" s="14">
        <f>J108+K108</f>
        <v>546.41</v>
      </c>
      <c r="M108" s="15">
        <f>IF($C$14=1,0.48,$C$15)</f>
        <v>0.48</v>
      </c>
      <c r="N108" s="14">
        <f>H108*M108</f>
        <v>740.52</v>
      </c>
      <c r="O108" s="14">
        <f>IF($C$14=2,MIN(H108*$C$16,$C$17),0)</f>
        <v>0.0</v>
      </c>
      <c r="P108" s="16" t="n">
        <v>1.1</v>
      </c>
      <c r="Q108" s="14">
        <f>IF($C$14=2,P108*$C$18,0)</f>
        <v>0.0</v>
      </c>
      <c r="R108" s="14">
        <f>$C$22+$C$23</f>
        <v>60.0</v>
      </c>
      <c r="S108" s="14">
        <f>H108*$C$5+$C$6</f>
        <v>35.60325</v>
      </c>
      <c r="T108" s="14">
        <f>$C$10*$C$11*P108</f>
        <v>0.0</v>
      </c>
      <c r="U108" s="4" t="n">
        <v>0.9</v>
      </c>
      <c r="V108" s="14">
        <f>IF($C$14=2,(1-U108)*($C$19+$C$20),0)</f>
        <v>0.0</v>
      </c>
      <c r="W108" s="14">
        <f>H108*$C$21</f>
        <v>0.0</v>
      </c>
      <c r="X108" s="14">
        <f>I108*$C$4</f>
        <v>107.9925</v>
      </c>
      <c r="Y108" s="4" t="n">
        <v>0.15</v>
      </c>
      <c r="Z108" s="14">
        <f>H108*Y108</f>
        <v>231.4125</v>
      </c>
      <c r="AA108" s="14">
        <f>I108-N108-O108-Q108-R108-S108-T108-V108-W108-X108-L108</f>
        <v>52.22425</v>
      </c>
      <c r="AB108" s="14">
        <f>AA108-Z108</f>
        <v>-179.18825</v>
      </c>
      <c r="AC108" s="15">
        <f>IFERROR(AB108/H108,0)</f>
        <v>-0.1161485983</v>
      </c>
      <c r="AD108" s="15">
        <f>IFERROR(AB108/L108,0)</f>
        <v>-0.3279373547</v>
      </c>
      <c r="AE108" s="14">
        <f>IFERROR((L108+R108+T108+Q108+V108+$C$6)/(((1-G108*$C$13)/(1-G108))-(M108+$C$5+Y108+$C$21+IF($C$14=2,$C$16,0))-$C$4*((1-G108*$C$13)/(1-G108))),0)</f>
        <v>2189.6389891697</v>
      </c>
    </row>
    <row r="109">
      <c r="A109" s="10" t="inlineStr">
        <is>
          <t>PETITFEE - Gold Hydrogel Mask Pack [5pcs] / Гидрогелевая маска для лица с золотом</t>
        </is>
      </c>
      <c r="B109" s="11" t="inlineStr">
        <is>
          <t>Маски для лица</t>
        </is>
      </c>
      <c r="C109" s="12" t="n">
        <v>734</v>
      </c>
      <c r="D109" s="12" t="n">
        <v>2570</v>
      </c>
      <c r="E109" s="13" t="n">
        <v>12</v>
      </c>
      <c r="F109" s="5" t="n">
        <v>2895</v>
      </c>
      <c r="G109" s="4" t="n">
        <v>0.45</v>
      </c>
      <c r="H109" s="14">
        <f>F109*(1-G109)</f>
        <v>1592.25</v>
      </c>
      <c r="I109" s="14">
        <f>F109-F109*G109*$C$13</f>
        <v>1592.25</v>
      </c>
      <c r="J109" s="5" t="n">
        <v>507.16</v>
      </c>
      <c r="K109" s="14">
        <f>$C$12</f>
        <v>60.0</v>
      </c>
      <c r="L109" s="14">
        <f>J109+K109</f>
        <v>567.16</v>
      </c>
      <c r="M109" s="15">
        <f>IF($C$14=1,0.48,$C$15)</f>
        <v>0.48</v>
      </c>
      <c r="N109" s="14">
        <f>H109*M109</f>
        <v>764.28</v>
      </c>
      <c r="O109" s="14">
        <f>IF($C$14=2,MIN(H109*$C$16,$C$17),0)</f>
        <v>0.0</v>
      </c>
      <c r="P109" s="16" t="n">
        <v>1.1</v>
      </c>
      <c r="Q109" s="14">
        <f>IF($C$14=2,P109*$C$18,0)</f>
        <v>0.0</v>
      </c>
      <c r="R109" s="14">
        <f>$C$22+$C$23</f>
        <v>60.0</v>
      </c>
      <c r="S109" s="14">
        <f>H109*$C$5+$C$6</f>
        <v>36.74175</v>
      </c>
      <c r="T109" s="14">
        <f>$C$10*$C$11*P109</f>
        <v>0.0</v>
      </c>
      <c r="U109" s="4" t="n">
        <v>0.9</v>
      </c>
      <c r="V109" s="14">
        <f>IF($C$14=2,(1-U109)*($C$19+$C$20),0)</f>
        <v>0.0</v>
      </c>
      <c r="W109" s="14">
        <f>H109*$C$21</f>
        <v>0.0</v>
      </c>
      <c r="X109" s="14">
        <f>I109*$C$4</f>
        <v>111.4575</v>
      </c>
      <c r="Y109" s="4" t="n">
        <v>0.15</v>
      </c>
      <c r="Z109" s="14">
        <f>H109*Y109</f>
        <v>238.8375</v>
      </c>
      <c r="AA109" s="14">
        <f>I109-N109-O109-Q109-R109-S109-T109-V109-W109-X109-L109</f>
        <v>52.61075</v>
      </c>
      <c r="AB109" s="14">
        <f>AA109-Z109</f>
        <v>-186.22675</v>
      </c>
      <c r="AC109" s="15">
        <f>IFERROR(AB109/H109,0)</f>
        <v>-0.1169582352</v>
      </c>
      <c r="AD109" s="15">
        <f>IFERROR(AB109/L109,0)</f>
        <v>-0.3283495839</v>
      </c>
      <c r="AE109" s="14">
        <f>IFERROR((L109+R109+T109+Q109+V109+$C$6)/(((1-G109*$C$13)/(1-G109))-(M109+$C$5+Y109+$C$21+IF($C$14=2,$C$16,0))-$C$4*((1-G109*$C$13)/(1-G109))),0)</f>
        <v>2264.5487364621</v>
      </c>
    </row>
    <row r="110">
      <c r="A110" s="10" t="inlineStr">
        <is>
          <t>PETITFEE - Cacao Energizing Hydrogel Mask Pack [5pcs] / Тонизирующая гидрогелевая маска для лица с экстрактом какао</t>
        </is>
      </c>
      <c r="B110" s="11" t="inlineStr">
        <is>
          <t>Маски для лица</t>
        </is>
      </c>
      <c r="C110" s="12" t="n">
        <v>619</v>
      </c>
      <c r="D110" s="12" t="n">
        <v>2680</v>
      </c>
      <c r="E110" s="13" t="n">
        <v>9.699999999999999</v>
      </c>
      <c r="F110" s="5" t="n">
        <v>2850</v>
      </c>
      <c r="G110" s="4" t="n">
        <v>0.45</v>
      </c>
      <c r="H110" s="14">
        <f>F110*(1-G110)</f>
        <v>1567.5</v>
      </c>
      <c r="I110" s="14">
        <f>F110-F110*G110*$C$13</f>
        <v>1567.5</v>
      </c>
      <c r="J110" s="5" t="n">
        <v>496.86</v>
      </c>
      <c r="K110" s="14">
        <f>$C$12</f>
        <v>60.0</v>
      </c>
      <c r="L110" s="14">
        <f>J110+K110</f>
        <v>556.86</v>
      </c>
      <c r="M110" s="15">
        <f>IF($C$14=1,0.48,$C$15)</f>
        <v>0.48</v>
      </c>
      <c r="N110" s="14">
        <f>H110*M110</f>
        <v>752.4</v>
      </c>
      <c r="O110" s="14">
        <f>IF($C$14=2,MIN(H110*$C$16,$C$17),0)</f>
        <v>0.0</v>
      </c>
      <c r="P110" s="16" t="n">
        <v>1.1</v>
      </c>
      <c r="Q110" s="14">
        <f>IF($C$14=2,P110*$C$18,0)</f>
        <v>0.0</v>
      </c>
      <c r="R110" s="14">
        <f>$C$22+$C$23</f>
        <v>60.0</v>
      </c>
      <c r="S110" s="14">
        <f>H110*$C$5+$C$6</f>
        <v>36.1725</v>
      </c>
      <c r="T110" s="14">
        <f>$C$10*$C$11*P110</f>
        <v>0.0</v>
      </c>
      <c r="U110" s="4" t="n">
        <v>0.9</v>
      </c>
      <c r="V110" s="14">
        <f>IF($C$14=2,(1-U110)*($C$19+$C$20),0)</f>
        <v>0.0</v>
      </c>
      <c r="W110" s="14">
        <f>H110*$C$21</f>
        <v>0.0</v>
      </c>
      <c r="X110" s="14">
        <f>I110*$C$4</f>
        <v>109.725</v>
      </c>
      <c r="Y110" s="4" t="n">
        <v>0.15</v>
      </c>
      <c r="Z110" s="14">
        <f>H110*Y110</f>
        <v>235.125</v>
      </c>
      <c r="AA110" s="14">
        <f>I110-N110-O110-Q110-R110-S110-T110-V110-W110-X110-L110</f>
        <v>52.3425</v>
      </c>
      <c r="AB110" s="14">
        <f>AA110-Z110</f>
        <v>-182.7825</v>
      </c>
      <c r="AC110" s="15">
        <f>IFERROR(AB110/H110,0)</f>
        <v>-0.1166076555</v>
      </c>
      <c r="AD110" s="15">
        <f>IFERROR(AB110/L110,0)</f>
        <v>-0.3282377977</v>
      </c>
      <c r="AE110" s="14">
        <f>IFERROR((L110+R110+T110+Q110+V110+$C$6)/(((1-G110*$C$13)/(1-G110))-(M110+$C$5+Y110+$C$21+IF($C$14=2,$C$16,0))-$C$4*((1-G110*$C$13)/(1-G110))),0)</f>
        <v>2227.3646209386</v>
      </c>
    </row>
    <row r="111">
      <c r="A111" s="10" t="inlineStr">
        <is>
          <t>PETITFEE - Artichoke Soothing Hydrogel Face Mask [5pcs] / Смягчающая гидрогелевая маска для лица с экстрактом артишока</t>
        </is>
      </c>
      <c r="B111" s="11" t="inlineStr">
        <is>
          <t>Маски для лица</t>
        </is>
      </c>
      <c r="C111" s="12" t="n">
        <v>542</v>
      </c>
      <c r="D111" s="12" t="n">
        <v>2420</v>
      </c>
      <c r="E111" s="13" t="n">
        <v>23</v>
      </c>
      <c r="F111" s="5" t="n">
        <v>2858</v>
      </c>
      <c r="G111" s="4" t="n">
        <v>0.45</v>
      </c>
      <c r="H111" s="14">
        <f>F111*(1-G111)</f>
        <v>1571.9</v>
      </c>
      <c r="I111" s="14">
        <f>F111-F111*G111*$C$13</f>
        <v>1571.9</v>
      </c>
      <c r="J111" s="5" t="n">
        <v>498.54</v>
      </c>
      <c r="K111" s="14">
        <f>$C$12</f>
        <v>60.0</v>
      </c>
      <c r="L111" s="14">
        <f>J111+K111</f>
        <v>558.54</v>
      </c>
      <c r="M111" s="15">
        <f>IF($C$14=1,0.48,$C$15)</f>
        <v>0.48</v>
      </c>
      <c r="N111" s="14">
        <f>H111*M111</f>
        <v>754.512</v>
      </c>
      <c r="O111" s="14">
        <f>IF($C$14=2,MIN(H111*$C$16,$C$17),0)</f>
        <v>0.0</v>
      </c>
      <c r="P111" s="16" t="n">
        <v>1.1</v>
      </c>
      <c r="Q111" s="14">
        <f>IF($C$14=2,P111*$C$18,0)</f>
        <v>0.0</v>
      </c>
      <c r="R111" s="14">
        <f>$C$22+$C$23</f>
        <v>60.0</v>
      </c>
      <c r="S111" s="14">
        <f>H111*$C$5+$C$6</f>
        <v>36.2737</v>
      </c>
      <c r="T111" s="14">
        <f>$C$10*$C$11*P111</f>
        <v>0.0</v>
      </c>
      <c r="U111" s="4" t="n">
        <v>0.9</v>
      </c>
      <c r="V111" s="14">
        <f>IF($C$14=2,(1-U111)*($C$19+$C$20),0)</f>
        <v>0.0</v>
      </c>
      <c r="W111" s="14">
        <f>H111*$C$21</f>
        <v>0.0</v>
      </c>
      <c r="X111" s="14">
        <f>I111*$C$4</f>
        <v>110.033</v>
      </c>
      <c r="Y111" s="4" t="n">
        <v>0.15</v>
      </c>
      <c r="Z111" s="14">
        <f>H111*Y111</f>
        <v>235.785</v>
      </c>
      <c r="AA111" s="14">
        <f>I111-N111-O111-Q111-R111-S111-T111-V111-W111-X111-L111</f>
        <v>52.5413</v>
      </c>
      <c r="AB111" s="14">
        <f>AA111-Z111</f>
        <v>-183.2437</v>
      </c>
      <c r="AC111" s="15">
        <f>IFERROR(AB111/H111,0)</f>
        <v>-0.1165746549</v>
      </c>
      <c r="AD111" s="15">
        <f>IFERROR(AB111/L111,0)</f>
        <v>-0.3280762345</v>
      </c>
      <c r="AE111" s="14">
        <f>IFERROR((L111+R111+T111+Q111+V111+$C$6)/(((1-G111*$C$13)/(1-G111))-(M111+$C$5+Y111+$C$21+IF($C$14=2,$C$16,0))-$C$4*((1-G111*$C$13)/(1-G111))),0)</f>
        <v>2233.4296028881</v>
      </c>
    </row>
    <row r="112">
      <c r="A112" s="10" t="inlineStr">
        <is>
          <t>PETITFEE - Gold &amp; Snail Hydrogel Mask Pack [5pcs] / Гидрогелевая маска для лица с золотом и экстрактом улитки</t>
        </is>
      </c>
      <c r="B112" s="11" t="inlineStr">
        <is>
          <t>Маски для лица</t>
        </is>
      </c>
      <c r="C112" s="12" t="n">
        <v>453</v>
      </c>
      <c r="D112" s="12" t="n">
        <v>2280</v>
      </c>
      <c r="E112" s="13" t="n">
        <v>8</v>
      </c>
      <c r="F112" s="5" t="n">
        <v>2769</v>
      </c>
      <c r="G112" s="4" t="n">
        <v>0.45</v>
      </c>
      <c r="H112" s="14">
        <f>F112*(1-G112)</f>
        <v>1522.95</v>
      </c>
      <c r="I112" s="14">
        <f>F112-F112*G112*$C$13</f>
        <v>1522.95</v>
      </c>
      <c r="J112" s="5" t="n">
        <v>478.17</v>
      </c>
      <c r="K112" s="14">
        <f>$C$12</f>
        <v>60.0</v>
      </c>
      <c r="L112" s="14">
        <f>J112+K112</f>
        <v>538.17</v>
      </c>
      <c r="M112" s="15">
        <f>IF($C$14=1,0.48,$C$15)</f>
        <v>0.48</v>
      </c>
      <c r="N112" s="14">
        <f>H112*M112</f>
        <v>731.016</v>
      </c>
      <c r="O112" s="14">
        <f>IF($C$14=2,MIN(H112*$C$16,$C$17),0)</f>
        <v>0.0</v>
      </c>
      <c r="P112" s="16" t="n">
        <v>1.1</v>
      </c>
      <c r="Q112" s="14">
        <f>IF($C$14=2,P112*$C$18,0)</f>
        <v>0.0</v>
      </c>
      <c r="R112" s="14">
        <f>$C$22+$C$23</f>
        <v>60.0</v>
      </c>
      <c r="S112" s="14">
        <f>H112*$C$5+$C$6</f>
        <v>35.14785</v>
      </c>
      <c r="T112" s="14">
        <f>$C$10*$C$11*P112</f>
        <v>0.0</v>
      </c>
      <c r="U112" s="4" t="n">
        <v>0.9</v>
      </c>
      <c r="V112" s="14">
        <f>IF($C$14=2,(1-U112)*($C$19+$C$20),0)</f>
        <v>0.0</v>
      </c>
      <c r="W112" s="14">
        <f>H112*$C$21</f>
        <v>0.0</v>
      </c>
      <c r="X112" s="14">
        <f>I112*$C$4</f>
        <v>106.6065</v>
      </c>
      <c r="Y112" s="4" t="n">
        <v>0.15</v>
      </c>
      <c r="Z112" s="14">
        <f>H112*Y112</f>
        <v>228.4425</v>
      </c>
      <c r="AA112" s="14">
        <f>I112-N112-O112-Q112-R112-S112-T112-V112-W112-X112-L112</f>
        <v>52.00965</v>
      </c>
      <c r="AB112" s="14">
        <f>AA112-Z112</f>
        <v>-176.43285</v>
      </c>
      <c r="AC112" s="15">
        <f>IFERROR(AB112/H112,0)</f>
        <v>-0.1158494041</v>
      </c>
      <c r="AD112" s="15">
        <f>IFERROR(AB112/L112,0)</f>
        <v>-0.3278385083</v>
      </c>
      <c r="AE112" s="14">
        <f>IFERROR((L112+R112+T112+Q112+V112+$C$6)/(((1-G112*$C$13)/(1-G112))-(M112+$C$5+Y112+$C$21+IF($C$14=2,$C$16,0))-$C$4*((1-G112*$C$13)/(1-G112))),0)</f>
        <v>2159.8916967509</v>
      </c>
    </row>
    <row r="113">
      <c r="A113" s="10" t="inlineStr">
        <is>
          <t>PETITFEE - Black Pearl &amp; Gold Hydrogel Mask Pack [5pcs] / Гидрогелевая маска для лица с черным жемчугом и золотом</t>
        </is>
      </c>
      <c r="B113" s="11" t="inlineStr">
        <is>
          <t>Маски для лица</t>
        </is>
      </c>
      <c r="C113" s="12" t="n">
        <v>543</v>
      </c>
      <c r="D113" s="12" t="n">
        <v>2225</v>
      </c>
      <c r="E113" s="13" t="n">
        <v>23</v>
      </c>
      <c r="F113" s="5" t="n">
        <v>2769</v>
      </c>
      <c r="G113" s="4" t="n">
        <v>0.45</v>
      </c>
      <c r="H113" s="14">
        <f>F113*(1-G113)</f>
        <v>1522.95</v>
      </c>
      <c r="I113" s="14">
        <f>F113-F113*G113*$C$13</f>
        <v>1522.95</v>
      </c>
      <c r="J113" s="5" t="n">
        <v>478.05</v>
      </c>
      <c r="K113" s="14">
        <f>$C$12</f>
        <v>60.0</v>
      </c>
      <c r="L113" s="14">
        <f>J113+K113</f>
        <v>538.05</v>
      </c>
      <c r="M113" s="15">
        <f>IF($C$14=1,0.48,$C$15)</f>
        <v>0.48</v>
      </c>
      <c r="N113" s="14">
        <f>H113*M113</f>
        <v>731.016</v>
      </c>
      <c r="O113" s="14">
        <f>IF($C$14=2,MIN(H113*$C$16,$C$17),0)</f>
        <v>0.0</v>
      </c>
      <c r="P113" s="16" t="n">
        <v>1.1</v>
      </c>
      <c r="Q113" s="14">
        <f>IF($C$14=2,P113*$C$18,0)</f>
        <v>0.0</v>
      </c>
      <c r="R113" s="14">
        <f>$C$22+$C$23</f>
        <v>60.0</v>
      </c>
      <c r="S113" s="14">
        <f>H113*$C$5+$C$6</f>
        <v>35.14785</v>
      </c>
      <c r="T113" s="14">
        <f>$C$10*$C$11*P113</f>
        <v>0.0</v>
      </c>
      <c r="U113" s="4" t="n">
        <v>0.9</v>
      </c>
      <c r="V113" s="14">
        <f>IF($C$14=2,(1-U113)*($C$19+$C$20),0)</f>
        <v>0.0</v>
      </c>
      <c r="W113" s="14">
        <f>H113*$C$21</f>
        <v>0.0</v>
      </c>
      <c r="X113" s="14">
        <f>I113*$C$4</f>
        <v>106.6065</v>
      </c>
      <c r="Y113" s="4" t="n">
        <v>0.15</v>
      </c>
      <c r="Z113" s="14">
        <f>H113*Y113</f>
        <v>228.4425</v>
      </c>
      <c r="AA113" s="14">
        <f>I113-N113-O113-Q113-R113-S113-T113-V113-W113-X113-L113</f>
        <v>52.12965</v>
      </c>
      <c r="AB113" s="14">
        <f>AA113-Z113</f>
        <v>-176.31285</v>
      </c>
      <c r="AC113" s="15">
        <f>IFERROR(AB113/H113,0)</f>
        <v>-0.1157706097</v>
      </c>
      <c r="AD113" s="15">
        <f>IFERROR(AB113/L113,0)</f>
        <v>-0.3276885977</v>
      </c>
      <c r="AE113" s="14">
        <f>IFERROR((L113+R113+T113+Q113+V113+$C$6)/(((1-G113*$C$13)/(1-G113))-(M113+$C$5+Y113+$C$21+IF($C$14=2,$C$16,0))-$C$4*((1-G113*$C$13)/(1-G113))),0)</f>
        <v>2159.4584837545</v>
      </c>
    </row>
    <row r="114">
      <c r="A114" s="8" t="inlineStr">
        <is>
          <t>Косметика/ROUND LAB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</row>
    <row r="115">
      <c r="A115" s="10" t="inlineStr">
        <is>
          <t>ROUND LAB 1025 DOKDO CLEANSER_150ml</t>
        </is>
      </c>
      <c r="B115" s="11" t="inlineStr">
        <is>
          <t>Средства для умывания</t>
        </is>
      </c>
      <c r="C115" s="12" t="n">
        <v>7158</v>
      </c>
      <c r="D115" s="12" t="n">
        <v>2335</v>
      </c>
      <c r="E115" s="13" t="n">
        <v>3</v>
      </c>
      <c r="F115" s="5" t="n">
        <v>2810.158915</v>
      </c>
      <c r="G115" s="4" t="n">
        <v>0.45</v>
      </c>
      <c r="H115" s="14">
        <f>F115*(1-G115)</f>
        <v>1545.58740325</v>
      </c>
      <c r="I115" s="14">
        <f>F115-F115*G115*$C$13</f>
        <v>1545.58740325</v>
      </c>
      <c r="J115" s="5" t="n">
        <v>463.19</v>
      </c>
      <c r="K115" s="14">
        <f>$C$12</f>
        <v>60.0</v>
      </c>
      <c r="L115" s="14">
        <f>J115+K115</f>
        <v>523.19</v>
      </c>
      <c r="M115" s="15">
        <f>IF($C$14=1,0.48,$C$15)</f>
        <v>0.48</v>
      </c>
      <c r="N115" s="14">
        <f>H115*M115</f>
        <v>741.88195356</v>
      </c>
      <c r="O115" s="14">
        <f>IF($C$14=2,MIN(H115*$C$16,$C$17),0)</f>
        <v>0.0</v>
      </c>
      <c r="P115" s="16" t="n">
        <v>1.28</v>
      </c>
      <c r="Q115" s="14">
        <f>IF($C$14=2,P115*$C$18,0)</f>
        <v>0.0</v>
      </c>
      <c r="R115" s="14">
        <f>$C$22+$C$23</f>
        <v>60.0</v>
      </c>
      <c r="S115" s="14">
        <f>H115*$C$5+$C$6</f>
        <v>35.6685102747</v>
      </c>
      <c r="T115" s="14">
        <f>$C$10*$C$11*P115</f>
        <v>0.0</v>
      </c>
      <c r="U115" s="4" t="n">
        <v>0.9</v>
      </c>
      <c r="V115" s="14">
        <f>IF($C$14=2,(1-U115)*($C$19+$C$20),0)</f>
        <v>0.0</v>
      </c>
      <c r="W115" s="14">
        <f>H115*$C$21</f>
        <v>0.0</v>
      </c>
      <c r="X115" s="14">
        <f>I115*$C$4</f>
        <v>108.1911182275</v>
      </c>
      <c r="Y115" s="4" t="n">
        <v>0.15</v>
      </c>
      <c r="Z115" s="14">
        <f>H115*Y115</f>
        <v>231.8381104875</v>
      </c>
      <c r="AA115" s="14">
        <f>I115-N115-O115-Q115-R115-S115-T115-V115-W115-X115-L115</f>
        <v>76.6558211877</v>
      </c>
      <c r="AB115" s="14">
        <f>AA115-Z115</f>
        <v>-155.1822892998</v>
      </c>
      <c r="AC115" s="15">
        <f>IFERROR(AB115/H115,0)</f>
        <v>-0.1004034382</v>
      </c>
      <c r="AD115" s="15">
        <f>IFERROR(AB115/L115,0)</f>
        <v>-0.296607904</v>
      </c>
      <c r="AE115" s="14">
        <f>IFERROR((L115+R115+T115+Q115+V115+$C$6)/(((1-G115*$C$13)/(1-G115))-(M115+$C$5+Y115+$C$21+IF($C$14=2,$C$16,0))-$C$4*((1-G115*$C$13)/(1-G115))),0)</f>
        <v>2105.8122743682</v>
      </c>
    </row>
    <row r="116">
      <c r="A116" s="10" t="inlineStr">
        <is>
          <t>ROUND LAB MUGWORT CALMING CLEANSER_150ml - Очищающая пенка для умывания лица от прыщей и акне</t>
        </is>
      </c>
      <c r="B116" s="11" t="inlineStr">
        <is>
          <t>Средства для умывания</t>
        </is>
      </c>
      <c r="C116" s="12" t="n">
        <v>1422</v>
      </c>
      <c r="D116" s="12" t="n"/>
      <c r="E116" s="13" t="n"/>
      <c r="F116" s="5" t="n">
        <v>2995.437251</v>
      </c>
      <c r="G116" s="4" t="n">
        <v>0.45</v>
      </c>
      <c r="H116" s="14">
        <f>F116*(1-G116)</f>
        <v>1647.49048805</v>
      </c>
      <c r="I116" s="14">
        <f>F116-F116*G116*$C$13</f>
        <v>1647.49048805</v>
      </c>
      <c r="J116" s="5" t="n">
        <v>512.3200000000001</v>
      </c>
      <c r="K116" s="14">
        <f>$C$12</f>
        <v>60.0</v>
      </c>
      <c r="L116" s="14">
        <f>J116+K116</f>
        <v>572.32</v>
      </c>
      <c r="M116" s="15">
        <f>IF($C$14=1,0.48,$C$15)</f>
        <v>0.48</v>
      </c>
      <c r="N116" s="14">
        <f>H116*M116</f>
        <v>790.795434264</v>
      </c>
      <c r="O116" s="14">
        <f>IF($C$14=2,MIN(H116*$C$16,$C$17),0)</f>
        <v>0.0</v>
      </c>
      <c r="P116" s="16" t="n">
        <v>0.8</v>
      </c>
      <c r="Q116" s="14">
        <f>IF($C$14=2,P116*$C$18,0)</f>
        <v>0.0</v>
      </c>
      <c r="R116" s="14">
        <f>$C$22+$C$23</f>
        <v>60.0</v>
      </c>
      <c r="S116" s="14">
        <f>H116*$C$5+$C$6</f>
        <v>38.0122812251</v>
      </c>
      <c r="T116" s="14">
        <f>$C$10*$C$11*P116</f>
        <v>0.0</v>
      </c>
      <c r="U116" s="4" t="n">
        <v>0.9</v>
      </c>
      <c r="V116" s="14">
        <f>IF($C$14=2,(1-U116)*($C$19+$C$20),0)</f>
        <v>0.0</v>
      </c>
      <c r="W116" s="14">
        <f>H116*$C$21</f>
        <v>0.0</v>
      </c>
      <c r="X116" s="14">
        <f>I116*$C$4</f>
        <v>115.3243341635</v>
      </c>
      <c r="Y116" s="4" t="n">
        <v>0.15</v>
      </c>
      <c r="Z116" s="14">
        <f>H116*Y116</f>
        <v>247.1235732075</v>
      </c>
      <c r="AA116" s="14">
        <f>I116-N116-O116-Q116-R116-S116-T116-V116-W116-X116-L116</f>
        <v>71.0384383973</v>
      </c>
      <c r="AB116" s="14">
        <f>AA116-Z116</f>
        <v>-176.0851348102</v>
      </c>
      <c r="AC116" s="15">
        <f>IFERROR(AB116/H116,0)</f>
        <v>-0.1068808203</v>
      </c>
      <c r="AD116" s="15">
        <f>IFERROR(AB116/L116,0)</f>
        <v>-0.3076690222</v>
      </c>
      <c r="AE116" s="14">
        <f>IFERROR((L116+R116+T116+Q116+V116+$C$6)/(((1-G116*$C$13)/(1-G116))-(M116+$C$5+Y116+$C$21+IF($C$14=2,$C$16,0))-$C$4*((1-G116*$C$13)/(1-G116))),0)</f>
        <v>2283.1768953069</v>
      </c>
    </row>
    <row r="117">
      <c r="A117" s="10" t="inlineStr">
        <is>
          <t>ROUND LAB 1025 DOKDO TONER_200ml</t>
        </is>
      </c>
      <c r="B117" s="11" t="inlineStr">
        <is>
          <t>Средства для ухода за лицом</t>
        </is>
      </c>
      <c r="C117" s="12" t="n">
        <v>998</v>
      </c>
      <c r="D117" s="12" t="n">
        <v>3400</v>
      </c>
      <c r="E117" s="13" t="n">
        <v>2</v>
      </c>
      <c r="F117" s="5" t="n">
        <v>2810.158915</v>
      </c>
      <c r="G117" s="4" t="n">
        <v>0.45</v>
      </c>
      <c r="H117" s="14">
        <f>F117*(1-G117)</f>
        <v>1545.58740325</v>
      </c>
      <c r="I117" s="14">
        <f>F117-F117*G117*$C$13</f>
        <v>1545.58740325</v>
      </c>
      <c r="J117" s="5" t="n">
        <v>463.19</v>
      </c>
      <c r="K117" s="14">
        <f>$C$12</f>
        <v>60.0</v>
      </c>
      <c r="L117" s="14">
        <f>J117+K117</f>
        <v>523.19</v>
      </c>
      <c r="M117" s="15">
        <f>IF($C$14=1,0.47,$C$15)</f>
        <v>0.47</v>
      </c>
      <c r="N117" s="14">
        <f>H117*M117</f>
        <v>726.4260795275</v>
      </c>
      <c r="O117" s="14">
        <f>IF($C$14=2,MIN(H117*$C$16,$C$17),0)</f>
        <v>0.0</v>
      </c>
      <c r="P117" s="16" t="n">
        <v>1.28</v>
      </c>
      <c r="Q117" s="14">
        <f>IF($C$14=2,P117*$C$18,0)</f>
        <v>0.0</v>
      </c>
      <c r="R117" s="14">
        <f>$C$22+$C$23</f>
        <v>60.0</v>
      </c>
      <c r="S117" s="14">
        <f>H117*$C$5+$C$6</f>
        <v>35.6685102747</v>
      </c>
      <c r="T117" s="14">
        <f>$C$10*$C$11*P117</f>
        <v>0.0</v>
      </c>
      <c r="U117" s="4" t="n">
        <v>0.9</v>
      </c>
      <c r="V117" s="14">
        <f>IF($C$14=2,(1-U117)*($C$19+$C$20),0)</f>
        <v>0.0</v>
      </c>
      <c r="W117" s="14">
        <f>H117*$C$21</f>
        <v>0.0</v>
      </c>
      <c r="X117" s="14">
        <f>I117*$C$4</f>
        <v>108.1911182275</v>
      </c>
      <c r="Y117" s="4" t="n">
        <v>0.15</v>
      </c>
      <c r="Z117" s="14">
        <f>H117*Y117</f>
        <v>231.8381104875</v>
      </c>
      <c r="AA117" s="14">
        <f>I117-N117-O117-Q117-R117-S117-T117-V117-W117-X117-L117</f>
        <v>92.1116952202</v>
      </c>
      <c r="AB117" s="14">
        <f>AA117-Z117</f>
        <v>-139.7264152673</v>
      </c>
      <c r="AC117" s="15">
        <f>IFERROR(AB117/H117,0)</f>
        <v>-0.0904034382</v>
      </c>
      <c r="AD117" s="15">
        <f>IFERROR(AB117/L117,0)</f>
        <v>-0.2670662957</v>
      </c>
      <c r="AE117" s="14">
        <f>IFERROR((L117+R117+T117+Q117+V117+$C$6)/(((1-G117*$C$13)/(1-G117))-(M117+$C$5+Y117+$C$21+IF($C$14=2,$C$16,0))-$C$4*((1-G117*$C$13)/(1-G117))),0)</f>
        <v>2032.4390243902</v>
      </c>
    </row>
    <row r="118">
      <c r="A118" s="8" t="inlineStr">
        <is>
          <t>Косметика/SKIN1004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</row>
    <row r="119">
      <c r="A119" s="8" t="inlineStr">
        <is>
          <t>Косметика/SOMEBYMI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</row>
    <row r="120">
      <c r="A120" s="8" t="inlineStr">
        <is>
          <t>Косметика/TheOrdinary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</row>
    <row r="121">
      <c r="A121" s="8" t="inlineStr">
        <is>
          <t>Косметика/CELIMAX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</row>
    <row r="122">
      <c r="A122" s="10" t="inlineStr">
        <is>
          <t>Celimax Dual Barrier Creamy Toner</t>
        </is>
      </c>
      <c r="B122" s="11" t="inlineStr">
        <is>
          <t>Средства для ухода за лицом</t>
        </is>
      </c>
      <c r="C122" s="12" t="n">
        <v>4929</v>
      </c>
      <c r="D122" s="12" t="n">
        <v>2600</v>
      </c>
      <c r="E122" s="13" t="n"/>
      <c r="F122" s="5" t="n">
        <v>3679.30255</v>
      </c>
      <c r="G122" s="4" t="n">
        <v>0.45</v>
      </c>
      <c r="H122" s="14">
        <f>F122*(1-G122)</f>
        <v>2023.6164025</v>
      </c>
      <c r="I122" s="14">
        <f>F122-F122*G122*$C$13</f>
        <v>2023.6164025</v>
      </c>
      <c r="J122" s="5" t="n">
        <v>663.86</v>
      </c>
      <c r="K122" s="14">
        <f>$C$12</f>
        <v>60.0</v>
      </c>
      <c r="L122" s="14">
        <f>J122+K122</f>
        <v>723.86</v>
      </c>
      <c r="M122" s="15">
        <f>IF($C$14=1,0.47,$C$15)</f>
        <v>0.47</v>
      </c>
      <c r="N122" s="14">
        <f>H122*M122</f>
        <v>951.099709175</v>
      </c>
      <c r="O122" s="14">
        <f>IF($C$14=2,MIN(H122*$C$16,$C$17),0)</f>
        <v>0.0</v>
      </c>
      <c r="P122" s="16" t="n">
        <v>0.735</v>
      </c>
      <c r="Q122" s="14">
        <f>IF($C$14=2,P122*$C$18,0)</f>
        <v>0.0</v>
      </c>
      <c r="R122" s="14">
        <f>$C$22+$C$23</f>
        <v>60.0</v>
      </c>
      <c r="S122" s="14">
        <f>H122*$C$5+$C$6</f>
        <v>46.6631772575</v>
      </c>
      <c r="T122" s="14">
        <f>$C$10*$C$11*P122</f>
        <v>0.0</v>
      </c>
      <c r="U122" s="4" t="n">
        <v>0.9</v>
      </c>
      <c r="V122" s="14">
        <f>IF($C$14=2,(1-U122)*($C$19+$C$20),0)</f>
        <v>0.0</v>
      </c>
      <c r="W122" s="14">
        <f>H122*$C$21</f>
        <v>0.0</v>
      </c>
      <c r="X122" s="14">
        <f>I122*$C$4</f>
        <v>141.653148175</v>
      </c>
      <c r="Y122" s="4" t="n">
        <v>0.15</v>
      </c>
      <c r="Z122" s="14">
        <f>H122*Y122</f>
        <v>303.542460375</v>
      </c>
      <c r="AA122" s="14">
        <f>I122-N122-O122-Q122-R122-S122-T122-V122-W122-X122-L122</f>
        <v>100.3403678925</v>
      </c>
      <c r="AB122" s="14">
        <f>AA122-Z122</f>
        <v>-203.2020924825</v>
      </c>
      <c r="AC122" s="15">
        <f>IFERROR(AB122/H122,0)</f>
        <v>-0.1004153219</v>
      </c>
      <c r="AD122" s="15">
        <f>IFERROR(AB122/L122,0)</f>
        <v>-0.2807201565</v>
      </c>
      <c r="AE122" s="14">
        <f>IFERROR((L122+R122+T122+Q122+V122+$C$6)/(((1-G122*$C$13)/(1-G122))-(M122+$C$5+Y122+$C$21+IF($C$14=2,$C$16,0))-$C$4*((1-G122*$C$13)/(1-G122))),0)</f>
        <v>2731.637630662</v>
      </c>
    </row>
    <row r="123">
      <c r="A123" s="10" t="inlineStr">
        <is>
          <t>CELIMAX THE VITA-A RETINAL SHOT TIGHTENING BOOSTER [15ml]/Подтягивающий бустер-крем с ретинолом для лица</t>
        </is>
      </c>
      <c r="B123" s="11" t="inlineStr">
        <is>
          <t>Средства для ухода за лицом</t>
        </is>
      </c>
      <c r="C123" s="12" t="n">
        <v>9768</v>
      </c>
      <c r="D123" s="12" t="n">
        <v>2250</v>
      </c>
      <c r="E123" s="13" t="n">
        <v>13</v>
      </c>
      <c r="F123" s="5" t="n">
        <v>2939.443544</v>
      </c>
      <c r="G123" s="4" t="n">
        <v>0.45</v>
      </c>
      <c r="H123" s="14">
        <f>F123*(1-G123)</f>
        <v>1616.6939492</v>
      </c>
      <c r="I123" s="14">
        <f>F123-F123*G123*$C$13</f>
        <v>1616.6939492</v>
      </c>
      <c r="J123" s="5" t="n">
        <v>512.1799999999999</v>
      </c>
      <c r="K123" s="14">
        <f>$C$12</f>
        <v>60.0</v>
      </c>
      <c r="L123" s="14">
        <f>J123+K123</f>
        <v>572.18</v>
      </c>
      <c r="M123" s="15">
        <f>IF($C$14=1,0.47,$C$15)</f>
        <v>0.47</v>
      </c>
      <c r="N123" s="14">
        <f>H123*M123</f>
        <v>759.846156124</v>
      </c>
      <c r="O123" s="14">
        <f>IF($C$14=2,MIN(H123*$C$16,$C$17),0)</f>
        <v>0.0</v>
      </c>
      <c r="P123" s="16" t="n">
        <v>0.18</v>
      </c>
      <c r="Q123" s="14">
        <f>IF($C$14=2,P123*$C$18,0)</f>
        <v>0.0</v>
      </c>
      <c r="R123" s="14">
        <f>$C$22+$C$23</f>
        <v>60.0</v>
      </c>
      <c r="S123" s="14">
        <f>H123*$C$5+$C$6</f>
        <v>37.3039608316</v>
      </c>
      <c r="T123" s="14">
        <f>$C$10*$C$11*P123</f>
        <v>0.0</v>
      </c>
      <c r="U123" s="4" t="n">
        <v>0.9</v>
      </c>
      <c r="V123" s="14">
        <f>IF($C$14=2,(1-U123)*($C$19+$C$20),0)</f>
        <v>0.0</v>
      </c>
      <c r="W123" s="14">
        <f>H123*$C$21</f>
        <v>0.0</v>
      </c>
      <c r="X123" s="14">
        <f>I123*$C$4</f>
        <v>113.168576444</v>
      </c>
      <c r="Y123" s="4" t="n">
        <v>0.15</v>
      </c>
      <c r="Z123" s="14">
        <f>H123*Y123</f>
        <v>242.50409238</v>
      </c>
      <c r="AA123" s="14">
        <f>I123-N123-O123-Q123-R123-S123-T123-V123-W123-X123-L123</f>
        <v>74.1952558004</v>
      </c>
      <c r="AB123" s="14">
        <f>AA123-Z123</f>
        <v>-168.3088365796</v>
      </c>
      <c r="AC123" s="15">
        <f>IFERROR(AB123/H123,0)</f>
        <v>-0.1041068018</v>
      </c>
      <c r="AD123" s="15">
        <f>IFERROR(AB123/L123,0)</f>
        <v>-0.294153652</v>
      </c>
      <c r="AE123" s="14">
        <f>IFERROR((L123+R123+T123+Q123+V123+$C$6)/(((1-G123*$C$13)/(1-G123))-(M123+$C$5+Y123+$C$21+IF($C$14=2,$C$16,0))-$C$4*((1-G123*$C$13)/(1-G123))),0)</f>
        <v>2203.1358885017</v>
      </c>
    </row>
    <row r="124">
      <c r="A124" s="10" t="inlineStr">
        <is>
          <t>CELIMAX THE VITA-A RETINOL SHOT TIGHTENING SERUM [30ml]/Сыворотка с ретинолом и микроиглами для лица</t>
        </is>
      </c>
      <c r="B124" s="11" t="inlineStr">
        <is>
          <t>Средства для ухода за лицом</t>
        </is>
      </c>
      <c r="C124" s="12" t="n">
        <v>3564</v>
      </c>
      <c r="D124" s="12" t="n">
        <v>2450</v>
      </c>
      <c r="E124" s="13" t="n">
        <v>10</v>
      </c>
      <c r="F124" s="5" t="n">
        <v>3061.087667</v>
      </c>
      <c r="G124" s="4" t="n">
        <v>0.45</v>
      </c>
      <c r="H124" s="14">
        <f>F124*(1-G124)</f>
        <v>1683.59821685</v>
      </c>
      <c r="I124" s="14">
        <f>F124-F124*G124*$C$13</f>
        <v>1683.59821685</v>
      </c>
      <c r="J124" s="5" t="n">
        <v>532.1</v>
      </c>
      <c r="K124" s="14">
        <f>$C$12</f>
        <v>60.0</v>
      </c>
      <c r="L124" s="14">
        <f>J124+K124</f>
        <v>592.1</v>
      </c>
      <c r="M124" s="15">
        <f>IF($C$14=1,0.47,$C$15)</f>
        <v>0.47</v>
      </c>
      <c r="N124" s="14">
        <f>H124*M124</f>
        <v>791.2911619195</v>
      </c>
      <c r="O124" s="14">
        <f>IF($C$14=2,MIN(H124*$C$16,$C$17),0)</f>
        <v>0.0</v>
      </c>
      <c r="P124" s="16" t="n">
        <v>0.38</v>
      </c>
      <c r="Q124" s="14">
        <f>IF($C$14=2,P124*$C$18,0)</f>
        <v>0.0</v>
      </c>
      <c r="R124" s="14">
        <f>$C$22+$C$23</f>
        <v>60.0</v>
      </c>
      <c r="S124" s="14">
        <f>H124*$C$5+$C$6</f>
        <v>38.8427589875</v>
      </c>
      <c r="T124" s="14">
        <f>$C$10*$C$11*P124</f>
        <v>0.0</v>
      </c>
      <c r="U124" s="4" t="n">
        <v>0.9</v>
      </c>
      <c r="V124" s="14">
        <f>IF($C$14=2,(1-U124)*($C$19+$C$20),0)</f>
        <v>0.0</v>
      </c>
      <c r="W124" s="14">
        <f>H124*$C$21</f>
        <v>0.0</v>
      </c>
      <c r="X124" s="14">
        <f>I124*$C$4</f>
        <v>117.8518751795</v>
      </c>
      <c r="Y124" s="4" t="n">
        <v>0.15</v>
      </c>
      <c r="Z124" s="14">
        <f>H124*Y124</f>
        <v>252.5397325275</v>
      </c>
      <c r="AA124" s="14">
        <f>I124-N124-O124-Q124-R124-S124-T124-V124-W124-X124-L124</f>
        <v>83.5124207634</v>
      </c>
      <c r="AB124" s="14">
        <f>AA124-Z124</f>
        <v>-169.0273117641</v>
      </c>
      <c r="AC124" s="15">
        <f>IFERROR(AB124/H124,0)</f>
        <v>-0.1003964664</v>
      </c>
      <c r="AD124" s="15">
        <f>IFERROR(AB124/L124,0)</f>
        <v>-0.2854708863</v>
      </c>
      <c r="AE124" s="14">
        <f>IFERROR((L124+R124+T124+Q124+V124+$C$6)/(((1-G124*$C$13)/(1-G124))-(M124+$C$5+Y124+$C$21+IF($C$14=2,$C$16,0))-$C$4*((1-G124*$C$13)/(1-G124))),0)</f>
        <v>2272.543554007</v>
      </c>
    </row>
    <row r="125">
      <c r="A125" s="10" t="inlineStr">
        <is>
          <t>CELIMAX JI WOO GAE CICA BHA BLEMISH TONER PAD_10EA [30ml]/успокаивающие тонер-пэды</t>
        </is>
      </c>
      <c r="B125" s="11" t="inlineStr">
        <is>
          <t>Средства для ухода за лицом</t>
        </is>
      </c>
      <c r="C125" s="12" t="n">
        <v>1696</v>
      </c>
      <c r="D125" s="12" t="n">
        <v>775</v>
      </c>
      <c r="E125" s="13" t="n">
        <v>11</v>
      </c>
      <c r="F125" s="5" t="n">
        <v>1061.48</v>
      </c>
      <c r="G125" s="4" t="n">
        <v>0.45</v>
      </c>
      <c r="H125" s="14">
        <f>F125*(1-G125)</f>
        <v>583.814</v>
      </c>
      <c r="I125" s="14">
        <f>F125-F125*G125*$C$13</f>
        <v>583.814</v>
      </c>
      <c r="J125" s="5" t="n">
        <v>96.94</v>
      </c>
      <c r="K125" s="14">
        <f>$C$12</f>
        <v>60.0</v>
      </c>
      <c r="L125" s="14">
        <f>J125+K125</f>
        <v>156.94</v>
      </c>
      <c r="M125" s="15">
        <f>IF($C$14=1,0.47,$C$15)</f>
        <v>0.47</v>
      </c>
      <c r="N125" s="14">
        <f>H125*M125</f>
        <v>274.39258</v>
      </c>
      <c r="O125" s="14">
        <f>IF($C$14=2,MIN(H125*$C$16,$C$17),0)</f>
        <v>0.0</v>
      </c>
      <c r="P125" s="16" t="n">
        <v>0.14</v>
      </c>
      <c r="Q125" s="14">
        <f>IF($C$14=2,P125*$C$18,0)</f>
        <v>0.0</v>
      </c>
      <c r="R125" s="14">
        <f>$C$22+$C$23</f>
        <v>60.0</v>
      </c>
      <c r="S125" s="14">
        <f>H125*$C$5+$C$6</f>
        <v>13.547722</v>
      </c>
      <c r="T125" s="14">
        <f>$C$10*$C$11*P125</f>
        <v>0.0</v>
      </c>
      <c r="U125" s="4" t="n">
        <v>0.9</v>
      </c>
      <c r="V125" s="14">
        <f>IF($C$14=2,(1-U125)*($C$19+$C$20),0)</f>
        <v>0.0</v>
      </c>
      <c r="W125" s="14">
        <f>H125*$C$21</f>
        <v>0.0</v>
      </c>
      <c r="X125" s="14">
        <f>I125*$C$4</f>
        <v>40.86698</v>
      </c>
      <c r="Y125" s="4" t="n">
        <v>0.15</v>
      </c>
      <c r="Z125" s="14">
        <f>H125*Y125</f>
        <v>87.5721</v>
      </c>
      <c r="AA125" s="14">
        <f>I125-N125-O125-Q125-R125-S125-T125-V125-W125-X125-L125</f>
        <v>38.066718</v>
      </c>
      <c r="AB125" s="14">
        <f>AA125-Z125</f>
        <v>-49.505382</v>
      </c>
      <c r="AC125" s="15">
        <f>IFERROR(AB125/H125,0)</f>
        <v>-0.0847964968</v>
      </c>
      <c r="AD125" s="15">
        <f>IFERROR(AB125/L125,0)</f>
        <v>-0.3154414553</v>
      </c>
      <c r="AE125" s="14">
        <f>IFERROR((L125+R125+T125+Q125+V125+$C$6)/(((1-G125*$C$13)/(1-G125))-(M125+$C$5+Y125+$C$21+IF($C$14=2,$C$16,0))-$C$4*((1-G125*$C$13)/(1-G125))),0)</f>
        <v>756.3066202091</v>
      </c>
    </row>
    <row r="126">
      <c r="A126" s="10" t="inlineStr">
        <is>
          <t>CELIMAX JI WOO GAE CICA BHA BLEMISH TONER PAD [170ml / 60pads]/Тонер-пэды от воспалений</t>
        </is>
      </c>
      <c r="B126" s="11" t="inlineStr">
        <is>
          <t>Средства для ухода за лицом</t>
        </is>
      </c>
      <c r="C126" s="12" t="n">
        <v>1620</v>
      </c>
      <c r="D126" s="12" t="n">
        <v>3450</v>
      </c>
      <c r="E126" s="13" t="n">
        <v>11</v>
      </c>
      <c r="F126" s="5" t="n">
        <v>3882.517468</v>
      </c>
      <c r="G126" s="4" t="n">
        <v>0.45</v>
      </c>
      <c r="H126" s="14">
        <f>F126*(1-G126)</f>
        <v>2135.3846074</v>
      </c>
      <c r="I126" s="14">
        <f>F126-F126*G126*$C$13</f>
        <v>2135.3846074</v>
      </c>
      <c r="J126" s="5" t="n">
        <v>707.88</v>
      </c>
      <c r="K126" s="14">
        <f>$C$12</f>
        <v>60.0</v>
      </c>
      <c r="L126" s="14">
        <f>J126+K126</f>
        <v>767.88</v>
      </c>
      <c r="M126" s="15">
        <f>IF($C$14=1,0.47,$C$15)</f>
        <v>0.47</v>
      </c>
      <c r="N126" s="14">
        <f>H126*M126</f>
        <v>1003.630765478</v>
      </c>
      <c r="O126" s="14">
        <f>IF($C$14=2,MIN(H126*$C$16,$C$17),0)</f>
        <v>0.0</v>
      </c>
      <c r="P126" s="16" t="n">
        <v>0.96</v>
      </c>
      <c r="Q126" s="14">
        <f>IF($C$14=2,P126*$C$18,0)</f>
        <v>0.0</v>
      </c>
      <c r="R126" s="14">
        <f>$C$22+$C$23</f>
        <v>60.0</v>
      </c>
      <c r="S126" s="14">
        <f>H126*$C$5+$C$6</f>
        <v>49.2338459702</v>
      </c>
      <c r="T126" s="14">
        <f>$C$10*$C$11*P126</f>
        <v>0.0</v>
      </c>
      <c r="U126" s="4" t="n">
        <v>0.9</v>
      </c>
      <c r="V126" s="14">
        <f>IF($C$14=2,(1-U126)*($C$19+$C$20),0)</f>
        <v>0.0</v>
      </c>
      <c r="W126" s="14">
        <f>H126*$C$21</f>
        <v>0.0</v>
      </c>
      <c r="X126" s="14">
        <f>I126*$C$4</f>
        <v>149.476922518</v>
      </c>
      <c r="Y126" s="4" t="n">
        <v>0.15</v>
      </c>
      <c r="Z126" s="14">
        <f>H126*Y126</f>
        <v>320.30769111</v>
      </c>
      <c r="AA126" s="14">
        <f>I126-N126-O126-Q126-R126-S126-T126-V126-W126-X126-L126</f>
        <v>105.1630734338</v>
      </c>
      <c r="AB126" s="14">
        <f>AA126-Z126</f>
        <v>-215.1446176762</v>
      </c>
      <c r="AC126" s="15">
        <f>IFERROR(AB126/H126,0)</f>
        <v>-0.1007521628</v>
      </c>
      <c r="AD126" s="15">
        <f>IFERROR(AB126/L126,0)</f>
        <v>-0.2801799991</v>
      </c>
      <c r="AE126" s="14">
        <f>IFERROR((L126+R126+T126+Q126+V126+$C$6)/(((1-G126*$C$13)/(1-G126))-(M126+$C$5+Y126+$C$21+IF($C$14=2,$C$16,0))-$C$4*((1-G126*$C$13)/(1-G126))),0)</f>
        <v>2885.0174216028</v>
      </c>
    </row>
    <row r="127">
      <c r="A127" s="10" t="inlineStr">
        <is>
          <t>CELIMAX PORE+DARK SPOT BRIGHTENING PAD [100ml / 40pads]/Тонер-пэды для выравнивания тона и рельефа кожи</t>
        </is>
      </c>
      <c r="B127" s="11" t="inlineStr">
        <is>
          <t>Средства для ухода за лицом</t>
        </is>
      </c>
      <c r="C127" s="12" t="n">
        <v>1795</v>
      </c>
      <c r="D127" s="12" t="n">
        <v>2880</v>
      </c>
      <c r="E127" s="13" t="n">
        <v>21</v>
      </c>
      <c r="F127" s="5" t="n">
        <v>3189.416311</v>
      </c>
      <c r="G127" s="4" t="n">
        <v>0.45</v>
      </c>
      <c r="H127" s="14">
        <f>F127*(1-G127)</f>
        <v>1754.17897105</v>
      </c>
      <c r="I127" s="14">
        <f>F127-F127*G127*$C$13</f>
        <v>1754.17897105</v>
      </c>
      <c r="J127" s="5" t="n">
        <v>556.1799999999999</v>
      </c>
      <c r="K127" s="14">
        <f>$C$12</f>
        <v>60.0</v>
      </c>
      <c r="L127" s="14">
        <f>J127+K127</f>
        <v>616.18</v>
      </c>
      <c r="M127" s="15">
        <f>IF($C$14=1,0.47,$C$15)</f>
        <v>0.47</v>
      </c>
      <c r="N127" s="14">
        <f>H127*M127</f>
        <v>824.4641163935</v>
      </c>
      <c r="O127" s="14">
        <f>IF($C$14=2,MIN(H127*$C$16,$C$17),0)</f>
        <v>0.0</v>
      </c>
      <c r="P127" s="16" t="n">
        <v>0.57</v>
      </c>
      <c r="Q127" s="14">
        <f>IF($C$14=2,P127*$C$18,0)</f>
        <v>0.0</v>
      </c>
      <c r="R127" s="14">
        <f>$C$22+$C$23</f>
        <v>60.0</v>
      </c>
      <c r="S127" s="14">
        <f>H127*$C$5+$C$6</f>
        <v>40.4661163342</v>
      </c>
      <c r="T127" s="14">
        <f>$C$10*$C$11*P127</f>
        <v>0.0</v>
      </c>
      <c r="U127" s="4" t="n">
        <v>0.9</v>
      </c>
      <c r="V127" s="14">
        <f>IF($C$14=2,(1-U127)*($C$19+$C$20),0)</f>
        <v>0.0</v>
      </c>
      <c r="W127" s="14">
        <f>H127*$C$21</f>
        <v>0.0</v>
      </c>
      <c r="X127" s="14">
        <f>I127*$C$4</f>
        <v>122.7925279735</v>
      </c>
      <c r="Y127" s="4" t="n">
        <v>0.15</v>
      </c>
      <c r="Z127" s="14">
        <f>H127*Y127</f>
        <v>263.1268456575</v>
      </c>
      <c r="AA127" s="14">
        <f>I127-N127-O127-Q127-R127-S127-T127-V127-W127-X127-L127</f>
        <v>90.2762103488</v>
      </c>
      <c r="AB127" s="14">
        <f>AA127-Z127</f>
        <v>-172.8506353087</v>
      </c>
      <c r="AC127" s="15">
        <f>IFERROR(AB127/H127,0)</f>
        <v>-0.0985364881</v>
      </c>
      <c r="AD127" s="15">
        <f>IFERROR(AB127/L127,0)</f>
        <v>-0.2805197107</v>
      </c>
      <c r="AE127" s="14">
        <f>IFERROR((L127+R127+T127+Q127+V127+$C$6)/(((1-G127*$C$13)/(1-G127))-(M127+$C$5+Y127+$C$21+IF($C$14=2,$C$16,0))-$C$4*((1-G127*$C$13)/(1-G127))),0)</f>
        <v>2356.4459930314</v>
      </c>
    </row>
    <row r="128">
      <c r="A128" s="8" t="inlineStr">
        <is>
          <t>Косметика/VT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</row>
    <row r="129">
      <c r="A129" s="10" t="inlineStr">
        <is>
          <t>VT PDRN ESSENCE 100 / Укрепляющая бустер-эссенция с ПДРН</t>
        </is>
      </c>
      <c r="B129" s="11" t="inlineStr">
        <is>
          <t>Средства для ухода за лицом</t>
        </is>
      </c>
      <c r="C129" s="12" t="n">
        <v>1071</v>
      </c>
      <c r="D129" s="12" t="n">
        <v>6000</v>
      </c>
      <c r="E129" s="13" t="n">
        <v>10</v>
      </c>
      <c r="F129" s="5" t="n">
        <v>6693.63255</v>
      </c>
      <c r="G129" s="4" t="n">
        <v>0.45</v>
      </c>
      <c r="H129" s="14">
        <f>F129*(1-G129)</f>
        <v>3681.4979025</v>
      </c>
      <c r="I129" s="14">
        <f>F129-F129*G129*$C$13</f>
        <v>3681.4979025</v>
      </c>
      <c r="J129" s="5" t="n">
        <v>1335.95</v>
      </c>
      <c r="K129" s="14">
        <f>$C$12</f>
        <v>60.0</v>
      </c>
      <c r="L129" s="14">
        <f>J129+K129</f>
        <v>1395.95</v>
      </c>
      <c r="M129" s="15">
        <f>IF($C$14=1,0.47,$C$15)</f>
        <v>0.47</v>
      </c>
      <c r="N129" s="14">
        <f>H129*M129</f>
        <v>1730.304014175</v>
      </c>
      <c r="O129" s="14">
        <f>IF($C$14=2,MIN(H129*$C$16,$C$17),0)</f>
        <v>0.0</v>
      </c>
      <c r="P129" s="16" t="n">
        <v>0.3</v>
      </c>
      <c r="Q129" s="14">
        <f>IF($C$14=2,P129*$C$18,0)</f>
        <v>0.0</v>
      </c>
      <c r="R129" s="14">
        <f>$C$22+$C$23</f>
        <v>60.0</v>
      </c>
      <c r="S129" s="14">
        <f>H129*$C$5+$C$6</f>
        <v>84.7944517575</v>
      </c>
      <c r="T129" s="14">
        <f>$C$10*$C$11*P129</f>
        <v>0.0</v>
      </c>
      <c r="U129" s="4" t="n">
        <v>0.9</v>
      </c>
      <c r="V129" s="14">
        <f>IF($C$14=2,(1-U129)*($C$19+$C$20),0)</f>
        <v>0.0</v>
      </c>
      <c r="W129" s="14">
        <f>H129*$C$21</f>
        <v>0.0</v>
      </c>
      <c r="X129" s="14">
        <f>I129*$C$4</f>
        <v>257.704853175</v>
      </c>
      <c r="Y129" s="4" t="n">
        <v>0.15</v>
      </c>
      <c r="Z129" s="14">
        <f>H129*Y129</f>
        <v>552.224685375</v>
      </c>
      <c r="AA129" s="14">
        <f>I129-N129-O129-Q129-R129-S129-T129-V129-W129-X129-L129</f>
        <v>152.7445833925</v>
      </c>
      <c r="AB129" s="14">
        <f>AA129-Z129</f>
        <v>-399.4801019825</v>
      </c>
      <c r="AC129" s="15">
        <f>IFERROR(AB129/H129,0)</f>
        <v>-0.1085102077</v>
      </c>
      <c r="AD129" s="15">
        <f>IFERROR(AB129/L129,0)</f>
        <v>-0.2861707812</v>
      </c>
      <c r="AE129" s="14">
        <f>IFERROR((L129+R129+T129+Q129+V129+$C$6)/(((1-G129*$C$13)/(1-G129))-(M129+$C$5+Y129+$C$21+IF($C$14=2,$C$16,0))-$C$4*((1-G129*$C$13)/(1-G129))),0)</f>
        <v>5073.4146341463</v>
      </c>
    </row>
    <row r="130">
      <c r="A130" s="10" t="inlineStr">
        <is>
          <t>VT REEDLE SHOT 100 / Бустер-сыворотка с микроиглами</t>
        </is>
      </c>
      <c r="B130" s="11" t="inlineStr">
        <is>
          <t>Средства для ухода за лицом</t>
        </is>
      </c>
      <c r="C130" s="12" t="n">
        <v>543</v>
      </c>
      <c r="D130" s="12" t="n">
        <v>5900</v>
      </c>
      <c r="E130" s="13" t="n">
        <v>11</v>
      </c>
      <c r="F130" s="5" t="n">
        <v>5059.382278</v>
      </c>
      <c r="G130" s="4" t="n">
        <v>0.45</v>
      </c>
      <c r="H130" s="14">
        <f>F130*(1-G130)</f>
        <v>2782.6602529</v>
      </c>
      <c r="I130" s="14">
        <f>F130-F130*G130*$C$13</f>
        <v>2782.6602529</v>
      </c>
      <c r="J130" s="5" t="n">
        <v>974.04</v>
      </c>
      <c r="K130" s="14">
        <f>$C$12</f>
        <v>60.0</v>
      </c>
      <c r="L130" s="14">
        <f>J130+K130</f>
        <v>1034.04</v>
      </c>
      <c r="M130" s="15">
        <f>IF($C$14=1,0.47,$C$15)</f>
        <v>0.47</v>
      </c>
      <c r="N130" s="14">
        <f>H130*M130</f>
        <v>1307.850318863</v>
      </c>
      <c r="O130" s="14">
        <f>IF($C$14=2,MIN(H130*$C$16,$C$17),0)</f>
        <v>0.0</v>
      </c>
      <c r="P130" s="16" t="n">
        <v>0.4</v>
      </c>
      <c r="Q130" s="14">
        <f>IF($C$14=2,P130*$C$18,0)</f>
        <v>0.0</v>
      </c>
      <c r="R130" s="14">
        <f>$C$22+$C$23</f>
        <v>60.0</v>
      </c>
      <c r="S130" s="14">
        <f>H130*$C$5+$C$6</f>
        <v>64.1211858167</v>
      </c>
      <c r="T130" s="14">
        <f>$C$10*$C$11*P130</f>
        <v>0.0</v>
      </c>
      <c r="U130" s="4" t="n">
        <v>0.9</v>
      </c>
      <c r="V130" s="14">
        <f>IF($C$14=2,(1-U130)*($C$19+$C$20),0)</f>
        <v>0.0</v>
      </c>
      <c r="W130" s="14">
        <f>H130*$C$21</f>
        <v>0.0</v>
      </c>
      <c r="X130" s="14">
        <f>I130*$C$4</f>
        <v>194.786217703</v>
      </c>
      <c r="Y130" s="4" t="n">
        <v>0.15</v>
      </c>
      <c r="Z130" s="14">
        <f>H130*Y130</f>
        <v>417.399037935</v>
      </c>
      <c r="AA130" s="14">
        <f>I130-N130-O130-Q130-R130-S130-T130-V130-W130-X130-L130</f>
        <v>121.8625305173</v>
      </c>
      <c r="AB130" s="14">
        <f>AA130-Z130</f>
        <v>-295.5365074177</v>
      </c>
      <c r="AC130" s="15">
        <f>IFERROR(AB130/H130,0)</f>
        <v>-0.1062064645</v>
      </c>
      <c r="AD130" s="15">
        <f>IFERROR(AB130/L130,0)</f>
        <v>-0.2858076162</v>
      </c>
      <c r="AE130" s="14">
        <f>IFERROR((L130+R130+T130+Q130+V130+$C$6)/(((1-G130*$C$13)/(1-G130))-(M130+$C$5+Y130+$C$21+IF($C$14=2,$C$16,0))-$C$4*((1-G130*$C$13)/(1-G130))),0)</f>
        <v>3812.4041811847</v>
      </c>
    </row>
    <row r="131">
      <c r="A131" s="10" t="inlineStr">
        <is>
          <t>1025 DOKDO BUBBLE FOAM_150ml</t>
        </is>
      </c>
      <c r="B131" s="11" t="inlineStr">
        <is>
          <t>Средства для умывания</t>
        </is>
      </c>
      <c r="C131" s="12" t="n">
        <v>0</v>
      </c>
      <c r="D131" s="12" t="n">
        <v>2650</v>
      </c>
      <c r="E131" s="13" t="n">
        <v>2</v>
      </c>
      <c r="F131" s="5" t="n">
        <v>2773.133599</v>
      </c>
      <c r="G131" s="4" t="n">
        <v>0.45</v>
      </c>
      <c r="H131" s="14">
        <f>F131*(1-G131)</f>
        <v>1525.22347945</v>
      </c>
      <c r="I131" s="14">
        <f>F131-F131*G131*$C$13</f>
        <v>1525.22347945</v>
      </c>
      <c r="J131" s="5" t="n">
        <v>455</v>
      </c>
      <c r="K131" s="14">
        <f>$C$12</f>
        <v>60.0</v>
      </c>
      <c r="L131" s="14">
        <f>J131+K131</f>
        <v>515.0</v>
      </c>
      <c r="M131" s="15">
        <f>IF($C$14=1,0.48,$C$15)</f>
        <v>0.48</v>
      </c>
      <c r="N131" s="14">
        <f>H131*M131</f>
        <v>732.107270136</v>
      </c>
      <c r="O131" s="14">
        <f>IF($C$14=2,MIN(H131*$C$16,$C$17),0)</f>
        <v>0.0</v>
      </c>
      <c r="P131" s="16" t="n">
        <v>1.28</v>
      </c>
      <c r="Q131" s="14">
        <f>IF($C$14=2,P131*$C$18,0)</f>
        <v>0.0</v>
      </c>
      <c r="R131" s="14">
        <f>$C$22+$C$23</f>
        <v>60.0</v>
      </c>
      <c r="S131" s="14">
        <f>H131*$C$5+$C$6</f>
        <v>35.2001400273</v>
      </c>
      <c r="T131" s="14">
        <f>$C$10*$C$11*P131</f>
        <v>0.0</v>
      </c>
      <c r="U131" s="4" t="n">
        <v>0.9</v>
      </c>
      <c r="V131" s="14">
        <f>IF($C$14=2,(1-U131)*($C$19+$C$20),0)</f>
        <v>0.0</v>
      </c>
      <c r="W131" s="14">
        <f>H131*$C$21</f>
        <v>0.0</v>
      </c>
      <c r="X131" s="14">
        <f>I131*$C$4</f>
        <v>106.7656435615</v>
      </c>
      <c r="Y131" s="4" t="n">
        <v>0.15</v>
      </c>
      <c r="Z131" s="14">
        <f>H131*Y131</f>
        <v>228.7835219175</v>
      </c>
      <c r="AA131" s="14">
        <f>I131-N131-O131-Q131-R131-S131-T131-V131-W131-X131-L131</f>
        <v>76.1504257251</v>
      </c>
      <c r="AB131" s="14">
        <f>AA131-Z131</f>
        <v>-152.6330961924</v>
      </c>
      <c r="AC131" s="15">
        <f>IFERROR(AB131/H131,0)</f>
        <v>-0.1000726112</v>
      </c>
      <c r="AD131" s="15">
        <f>IFERROR(AB131/L131,0)</f>
        <v>-0.2963749441</v>
      </c>
      <c r="AE131" s="14">
        <f>IFERROR((L131+R131+T131+Q131+V131+$C$6)/(((1-G131*$C$13)/(1-G131))-(M131+$C$5+Y131+$C$21+IF($C$14=2,$C$16,0))-$C$4*((1-G131*$C$13)/(1-G131))),0)</f>
        <v>2076.2454873646</v>
      </c>
    </row>
    <row r="132">
      <c r="A132" s="10" t="inlineStr">
        <is>
          <t>MEDICUBE PDRN PINK PEPTIDE SERUM 30ml</t>
        </is>
      </c>
      <c r="B132" s="11" t="inlineStr">
        <is>
          <t>Средства для ухода за лицом</t>
        </is>
      </c>
      <c r="C132" s="12" t="n">
        <v>0</v>
      </c>
      <c r="D132" s="12" t="n">
        <v>4880</v>
      </c>
      <c r="E132" s="13" t="n">
        <v>10</v>
      </c>
      <c r="F132" s="5" t="n">
        <v>3702.962749</v>
      </c>
      <c r="G132" s="4" t="n">
        <v>0.45</v>
      </c>
      <c r="H132" s="14">
        <f>F132*(1-G132)</f>
        <v>2036.62951195</v>
      </c>
      <c r="I132" s="14">
        <f>F132-F132*G132*$C$13</f>
        <v>2036.62951195</v>
      </c>
      <c r="J132" s="5" t="n">
        <v>674</v>
      </c>
      <c r="K132" s="14">
        <f>$C$12</f>
        <v>60.0</v>
      </c>
      <c r="L132" s="14">
        <f>J132+K132</f>
        <v>734.0</v>
      </c>
      <c r="M132" s="15">
        <f>IF($C$14=1,0.47,$C$15)</f>
        <v>0.47</v>
      </c>
      <c r="N132" s="14">
        <f>H132*M132</f>
        <v>957.2158706165</v>
      </c>
      <c r="O132" s="14">
        <f>IF($C$14=2,MIN(H132*$C$16,$C$17),0)</f>
        <v>0.0</v>
      </c>
      <c r="P132" s="16" t="n">
        <v>0.4</v>
      </c>
      <c r="Q132" s="14">
        <f>IF($C$14=2,P132*$C$18,0)</f>
        <v>0.0</v>
      </c>
      <c r="R132" s="14">
        <f>$C$22+$C$23</f>
        <v>60.0</v>
      </c>
      <c r="S132" s="14">
        <f>H132*$C$5+$C$6</f>
        <v>46.9624787748</v>
      </c>
      <c r="T132" s="14">
        <f>$C$10*$C$11*P132</f>
        <v>0.0</v>
      </c>
      <c r="U132" s="4" t="n">
        <v>0.9</v>
      </c>
      <c r="V132" s="14">
        <f>IF($C$14=2,(1-U132)*($C$19+$C$20),0)</f>
        <v>0.0</v>
      </c>
      <c r="W132" s="14">
        <f>H132*$C$21</f>
        <v>0.0</v>
      </c>
      <c r="X132" s="14">
        <f>I132*$C$4</f>
        <v>142.5640658365</v>
      </c>
      <c r="Y132" s="4" t="n">
        <v>0.15</v>
      </c>
      <c r="Z132" s="14">
        <f>H132*Y132</f>
        <v>305.4944267925</v>
      </c>
      <c r="AA132" s="14">
        <f>I132-N132-O132-Q132-R132-S132-T132-V132-W132-X132-L132</f>
        <v>95.8870967222</v>
      </c>
      <c r="AB132" s="14">
        <f>AA132-Z132</f>
        <v>-209.6073300703</v>
      </c>
      <c r="AC132" s="15">
        <f>IFERROR(AB132/H132,0)</f>
        <v>-0.1029187335</v>
      </c>
      <c r="AD132" s="15">
        <f>IFERROR(AB132/L132,0)</f>
        <v>-0.2855685696</v>
      </c>
      <c r="AE132" s="14">
        <f>IFERROR((L132+R132+T132+Q132+V132+$C$6)/(((1-G132*$C$13)/(1-G132))-(M132+$C$5+Y132+$C$21+IF($C$14=2,$C$16,0))-$C$4*((1-G132*$C$13)/(1-G132))),0)</f>
        <v>2766.968641115</v>
      </c>
    </row>
    <row r="133">
      <c r="A133" s="10" t="inlineStr">
        <is>
          <t>MEDICUBE PDRN PINK EXOSOME SHOT SERUM 7500 30ml</t>
        </is>
      </c>
      <c r="B133" s="11" t="inlineStr">
        <is>
          <t>Средства для ухода за лицом</t>
        </is>
      </c>
      <c r="C133" s="12" t="n">
        <v>0</v>
      </c>
      <c r="D133" s="12" t="n">
        <v>5000</v>
      </c>
      <c r="E133" s="13" t="n">
        <v>10</v>
      </c>
      <c r="F133" s="5" t="n">
        <v>4421.769259</v>
      </c>
      <c r="G133" s="4" t="n">
        <v>0.45</v>
      </c>
      <c r="H133" s="14">
        <f>F133*(1-G133)</f>
        <v>2431.97309245</v>
      </c>
      <c r="I133" s="14">
        <f>F133-F133*G133*$C$13</f>
        <v>2431.97309245</v>
      </c>
      <c r="J133" s="5" t="n">
        <v>833</v>
      </c>
      <c r="K133" s="14">
        <f>$C$12</f>
        <v>60.0</v>
      </c>
      <c r="L133" s="14">
        <f>J133+K133</f>
        <v>893.0</v>
      </c>
      <c r="M133" s="15">
        <f>IF($C$14=1,0.47,$C$15)</f>
        <v>0.47</v>
      </c>
      <c r="N133" s="14">
        <f>H133*M133</f>
        <v>1143.0273534515</v>
      </c>
      <c r="O133" s="14">
        <f>IF($C$14=2,MIN(H133*$C$16,$C$17),0)</f>
        <v>0.0</v>
      </c>
      <c r="P133" s="16" t="n">
        <v>0.4</v>
      </c>
      <c r="Q133" s="14">
        <f>IF($C$14=2,P133*$C$18,0)</f>
        <v>0.0</v>
      </c>
      <c r="R133" s="14">
        <f>$C$22+$C$23</f>
        <v>60.0</v>
      </c>
      <c r="S133" s="14">
        <f>H133*$C$5+$C$6</f>
        <v>56.0553811263</v>
      </c>
      <c r="T133" s="14">
        <f>$C$10*$C$11*P133</f>
        <v>0.0</v>
      </c>
      <c r="U133" s="4" t="n">
        <v>0.9</v>
      </c>
      <c r="V133" s="14">
        <f>IF($C$14=2,(1-U133)*($C$19+$C$20),0)</f>
        <v>0.0</v>
      </c>
      <c r="W133" s="14">
        <f>H133*$C$21</f>
        <v>0.0</v>
      </c>
      <c r="X133" s="14">
        <f>I133*$C$4</f>
        <v>170.2381164715</v>
      </c>
      <c r="Y133" s="4" t="n">
        <v>0.15</v>
      </c>
      <c r="Z133" s="14">
        <f>H133*Y133</f>
        <v>364.7959638675</v>
      </c>
      <c r="AA133" s="14">
        <f>I133-N133-O133-Q133-R133-S133-T133-V133-W133-X133-L133</f>
        <v>109.6522414006</v>
      </c>
      <c r="AB133" s="14">
        <f>AA133-Z133</f>
        <v>-255.1437224669</v>
      </c>
      <c r="AC133" s="15">
        <f>IFERROR(AB133/H133,0)</f>
        <v>-0.1049122308</v>
      </c>
      <c r="AD133" s="15">
        <f>IFERROR(AB133/L133,0)</f>
        <v>-0.2857152547</v>
      </c>
      <c r="AE133" s="14">
        <f>IFERROR((L133+R133+T133+Q133+V133+$C$6)/(((1-G133*$C$13)/(1-G133))-(M133+$C$5+Y133+$C$21+IF($C$14=2,$C$16,0))-$C$4*((1-G133*$C$13)/(1-G133))),0)</f>
        <v>3320.9756097561</v>
      </c>
    </row>
    <row r="134">
      <c r="A134" s="10" t="inlineStr">
        <is>
          <t>MEDICUBE PDRN PINK EXOSOME SHOT SERUM 2000 30ml</t>
        </is>
      </c>
      <c r="B134" s="11" t="inlineStr">
        <is>
          <t>Средства для ухода за лицом</t>
        </is>
      </c>
      <c r="C134" s="12" t="n">
        <v>0</v>
      </c>
      <c r="D134" s="12" t="n">
        <v>5150</v>
      </c>
      <c r="E134" s="13" t="n">
        <v>5</v>
      </c>
      <c r="F134" s="5" t="n">
        <v>4078.188788</v>
      </c>
      <c r="G134" s="4" t="n">
        <v>0.45</v>
      </c>
      <c r="H134" s="14">
        <f>F134*(1-G134)</f>
        <v>2243.0038334</v>
      </c>
      <c r="I134" s="14">
        <f>F134-F134*G134*$C$13</f>
        <v>2243.0038334</v>
      </c>
      <c r="J134" s="5" t="n">
        <v>757</v>
      </c>
      <c r="K134" s="14">
        <f>$C$12</f>
        <v>60.0</v>
      </c>
      <c r="L134" s="14">
        <f>J134+K134</f>
        <v>817.0</v>
      </c>
      <c r="M134" s="15">
        <f>IF($C$14=1,0.47,$C$15)</f>
        <v>0.47</v>
      </c>
      <c r="N134" s="14">
        <f>H134*M134</f>
        <v>1054.211801698</v>
      </c>
      <c r="O134" s="14">
        <f>IF($C$14=2,MIN(H134*$C$16,$C$17),0)</f>
        <v>0.0</v>
      </c>
      <c r="P134" s="16" t="n">
        <v>0.4</v>
      </c>
      <c r="Q134" s="14">
        <f>IF($C$14=2,P134*$C$18,0)</f>
        <v>0.0</v>
      </c>
      <c r="R134" s="14">
        <f>$C$22+$C$23</f>
        <v>60.0</v>
      </c>
      <c r="S134" s="14">
        <f>H134*$C$5+$C$6</f>
        <v>51.7090881682</v>
      </c>
      <c r="T134" s="14">
        <f>$C$10*$C$11*P134</f>
        <v>0.0</v>
      </c>
      <c r="U134" s="4" t="n">
        <v>0.9</v>
      </c>
      <c r="V134" s="14">
        <f>IF($C$14=2,(1-U134)*($C$19+$C$20),0)</f>
        <v>0.0</v>
      </c>
      <c r="W134" s="14">
        <f>H134*$C$21</f>
        <v>0.0</v>
      </c>
      <c r="X134" s="14">
        <f>I134*$C$4</f>
        <v>157.010268338</v>
      </c>
      <c r="Y134" s="4" t="n">
        <v>0.15</v>
      </c>
      <c r="Z134" s="14">
        <f>H134*Y134</f>
        <v>336.45057501</v>
      </c>
      <c r="AA134" s="14">
        <f>I134-N134-O134-Q134-R134-S134-T134-V134-W134-X134-L134</f>
        <v>103.0726751958</v>
      </c>
      <c r="AB134" s="14">
        <f>AA134-Z134</f>
        <v>-233.3778998142</v>
      </c>
      <c r="AC134" s="15">
        <f>IFERROR(AB134/H134,0)</f>
        <v>-0.1040470356</v>
      </c>
      <c r="AD134" s="15">
        <f>IFERROR(AB134/L134,0)</f>
        <v>-0.2856522642</v>
      </c>
      <c r="AE134" s="14">
        <f>IFERROR((L134+R134+T134+Q134+V134+$C$6)/(((1-G134*$C$13)/(1-G134))-(M134+$C$5+Y134+$C$21+IF($C$14=2,$C$16,0))-$C$4*((1-G134*$C$13)/(1-G134))),0)</f>
        <v>3056.1672473868</v>
      </c>
    </row>
    <row r="135">
      <c r="A135" s="10" t="inlineStr">
        <is>
          <t>MEDICUBE TXA NIACINAMIDE CAPSULE CREAM 55g</t>
        </is>
      </c>
      <c r="B135" s="11" t="inlineStr">
        <is>
          <t>Средства для ухода за лицом</t>
        </is>
      </c>
      <c r="C135" s="12" t="n">
        <v>0</v>
      </c>
      <c r="D135" s="12" t="n">
        <v>6900</v>
      </c>
      <c r="E135" s="13" t="n">
        <v>0</v>
      </c>
      <c r="F135" s="5" t="n">
        <v>4824.120072</v>
      </c>
      <c r="G135" s="4" t="n">
        <v>0.45</v>
      </c>
      <c r="H135" s="14">
        <f>F135*(1-G135)</f>
        <v>2653.2660396</v>
      </c>
      <c r="I135" s="14">
        <f>F135-F135*G135*$C$13</f>
        <v>2653.2660396</v>
      </c>
      <c r="J135" s="5" t="n">
        <v>922</v>
      </c>
      <c r="K135" s="14">
        <f>$C$12</f>
        <v>60.0</v>
      </c>
      <c r="L135" s="14">
        <f>J135+K135</f>
        <v>982.0</v>
      </c>
      <c r="M135" s="15">
        <f>IF($C$14=1,0.47,$C$15)</f>
        <v>0.47</v>
      </c>
      <c r="N135" s="14">
        <f>H135*M135</f>
        <v>1247.035038612</v>
      </c>
      <c r="O135" s="14">
        <f>IF($C$14=2,MIN(H135*$C$16,$C$17),0)</f>
        <v>0.0</v>
      </c>
      <c r="P135" s="16" t="n">
        <v>0.4</v>
      </c>
      <c r="Q135" s="14">
        <f>IF($C$14=2,P135*$C$18,0)</f>
        <v>0.0</v>
      </c>
      <c r="R135" s="14">
        <f>$C$22+$C$23</f>
        <v>60.0</v>
      </c>
      <c r="S135" s="14">
        <f>H135*$C$5+$C$6</f>
        <v>61.1451189108</v>
      </c>
      <c r="T135" s="14">
        <f>$C$10*$C$11*P135</f>
        <v>0.0</v>
      </c>
      <c r="U135" s="4" t="n">
        <v>0.9</v>
      </c>
      <c r="V135" s="14">
        <f>IF($C$14=2,(1-U135)*($C$19+$C$20),0)</f>
        <v>0.0</v>
      </c>
      <c r="W135" s="14">
        <f>H135*$C$21</f>
        <v>0.0</v>
      </c>
      <c r="X135" s="14">
        <f>I135*$C$4</f>
        <v>185.728622772</v>
      </c>
      <c r="Y135" s="4" t="n">
        <v>0.15</v>
      </c>
      <c r="Z135" s="14">
        <f>H135*Y135</f>
        <v>397.98990594</v>
      </c>
      <c r="AA135" s="14">
        <f>I135-N135-O135-Q135-R135-S135-T135-V135-W135-X135-L135</f>
        <v>117.3572593052</v>
      </c>
      <c r="AB135" s="14">
        <f>AA135-Z135</f>
        <v>-280.6326466348</v>
      </c>
      <c r="AC135" s="15">
        <f>IFERROR(AB135/H135,0)</f>
        <v>-0.1057687554</v>
      </c>
      <c r="AD135" s="15">
        <f>IFERROR(AB135/L135,0)</f>
        <v>-0.2857766259</v>
      </c>
      <c r="AE135" s="14">
        <f>IFERROR((L135+R135+T135+Q135+V135+$C$6)/(((1-G135*$C$13)/(1-G135))-(M135+$C$5+Y135+$C$21+IF($C$14=2,$C$16,0))-$C$4*((1-G135*$C$13)/(1-G135))),0)</f>
        <v>3631.0801393728</v>
      </c>
    </row>
    <row r="136">
      <c r="A136" s="10" t="inlineStr">
        <is>
          <t>MEDICUBE PDRN PINK COLLAGEN CAPSULE CREAM 55g</t>
        </is>
      </c>
      <c r="B136" s="11" t="inlineStr">
        <is>
          <t>Средства для ухода за лицом</t>
        </is>
      </c>
      <c r="C136" s="12" t="n">
        <v>0</v>
      </c>
      <c r="D136" s="12" t="n">
        <v>5270</v>
      </c>
      <c r="E136" s="13" t="n">
        <v>17</v>
      </c>
      <c r="F136" s="5" t="n">
        <v>5262.637251</v>
      </c>
      <c r="G136" s="4" t="n">
        <v>0.45</v>
      </c>
      <c r="H136" s="14">
        <f>F136*(1-G136)</f>
        <v>2894.45048805</v>
      </c>
      <c r="I136" s="14">
        <f>F136-F136*G136*$C$13</f>
        <v>2894.45048805</v>
      </c>
      <c r="J136" s="5" t="n">
        <v>1019</v>
      </c>
      <c r="K136" s="14">
        <f>$C$12</f>
        <v>60.0</v>
      </c>
      <c r="L136" s="14">
        <f>J136+K136</f>
        <v>1079.0</v>
      </c>
      <c r="M136" s="15">
        <f>IF($C$14=1,0.47,$C$15)</f>
        <v>0.47</v>
      </c>
      <c r="N136" s="14">
        <f>H136*M136</f>
        <v>1360.3917293835</v>
      </c>
      <c r="O136" s="14">
        <f>IF($C$14=2,MIN(H136*$C$16,$C$17),0)</f>
        <v>0.0</v>
      </c>
      <c r="P136" s="16" t="n">
        <v>0.4</v>
      </c>
      <c r="Q136" s="14">
        <f>IF($C$14=2,P136*$C$18,0)</f>
        <v>0.0</v>
      </c>
      <c r="R136" s="14">
        <f>$C$22+$C$23</f>
        <v>60.0</v>
      </c>
      <c r="S136" s="14">
        <f>H136*$C$5+$C$6</f>
        <v>66.6923612252</v>
      </c>
      <c r="T136" s="14">
        <f>$C$10*$C$11*P136</f>
        <v>0.0</v>
      </c>
      <c r="U136" s="4" t="n">
        <v>0.9</v>
      </c>
      <c r="V136" s="14">
        <f>IF($C$14=2,(1-U136)*($C$19+$C$20),0)</f>
        <v>0.0</v>
      </c>
      <c r="W136" s="14">
        <f>H136*$C$21</f>
        <v>0.0</v>
      </c>
      <c r="X136" s="14">
        <f>I136*$C$4</f>
        <v>202.6115341635</v>
      </c>
      <c r="Y136" s="4" t="n">
        <v>0.15</v>
      </c>
      <c r="Z136" s="14">
        <f>H136*Y136</f>
        <v>434.1675732075</v>
      </c>
      <c r="AA136" s="14">
        <f>I136-N136-O136-Q136-R136-S136-T136-V136-W136-X136-L136</f>
        <v>125.7548632778</v>
      </c>
      <c r="AB136" s="14">
        <f>AA136-Z136</f>
        <v>-308.4127099297</v>
      </c>
      <c r="AC136" s="15">
        <f>IFERROR(AB136/H136,0)</f>
        <v>-0.106553113</v>
      </c>
      <c r="AD136" s="15">
        <f>IFERROR(AB136/L136,0)</f>
        <v>-0.2858319833</v>
      </c>
      <c r="AE136" s="14">
        <f>IFERROR((L136+R136+T136+Q136+V136+$C$6)/(((1-G136*$C$13)/(1-G136))-(M136+$C$5+Y136+$C$21+IF($C$14=2,$C$16,0))-$C$4*((1-G136*$C$13)/(1-G136))),0)</f>
        <v>3969.0592334495</v>
      </c>
    </row>
    <row r="137">
      <c r="A137" s="10" t="inlineStr">
        <is>
          <t>MEDICUBE PDRN PINK HYALURONIC MOISTURIZING CREAM 50ml</t>
        </is>
      </c>
      <c r="B137" s="11" t="inlineStr">
        <is>
          <t>Средства для ухода за лицом</t>
        </is>
      </c>
      <c r="C137" s="12" t="n">
        <v>0</v>
      </c>
      <c r="D137" s="12" t="n">
        <v>3450</v>
      </c>
      <c r="E137" s="13" t="n">
        <v>10</v>
      </c>
      <c r="F137" s="5" t="n">
        <v>3684.879566</v>
      </c>
      <c r="G137" s="4" t="n">
        <v>0.45</v>
      </c>
      <c r="H137" s="14">
        <f>F137*(1-G137)</f>
        <v>2026.6837613</v>
      </c>
      <c r="I137" s="14">
        <f>F137-F137*G137*$C$13</f>
        <v>2026.6837613</v>
      </c>
      <c r="J137" s="5" t="n">
        <v>670</v>
      </c>
      <c r="K137" s="14">
        <f>$C$12</f>
        <v>60.0</v>
      </c>
      <c r="L137" s="14">
        <f>J137+K137</f>
        <v>730.0</v>
      </c>
      <c r="M137" s="15">
        <f>IF($C$14=1,0.47,$C$15)</f>
        <v>0.47</v>
      </c>
      <c r="N137" s="14">
        <f>H137*M137</f>
        <v>952.541367811</v>
      </c>
      <c r="O137" s="14">
        <f>IF($C$14=2,MIN(H137*$C$16,$C$17),0)</f>
        <v>0.0</v>
      </c>
      <c r="P137" s="16" t="n">
        <v>0.4</v>
      </c>
      <c r="Q137" s="14">
        <f>IF($C$14=2,P137*$C$18,0)</f>
        <v>0.0</v>
      </c>
      <c r="R137" s="14">
        <f>$C$22+$C$23</f>
        <v>60.0</v>
      </c>
      <c r="S137" s="14">
        <f>H137*$C$5+$C$6</f>
        <v>46.7337265099</v>
      </c>
      <c r="T137" s="14">
        <f>$C$10*$C$11*P137</f>
        <v>0.0</v>
      </c>
      <c r="U137" s="4" t="n">
        <v>0.9</v>
      </c>
      <c r="V137" s="14">
        <f>IF($C$14=2,(1-U137)*($C$19+$C$20),0)</f>
        <v>0.0</v>
      </c>
      <c r="W137" s="14">
        <f>H137*$C$21</f>
        <v>0.0</v>
      </c>
      <c r="X137" s="14">
        <f>I137*$C$4</f>
        <v>141.867863291</v>
      </c>
      <c r="Y137" s="4" t="n">
        <v>0.15</v>
      </c>
      <c r="Z137" s="14">
        <f>H137*Y137</f>
        <v>304.002564195</v>
      </c>
      <c r="AA137" s="14">
        <f>I137-N137-O137-Q137-R137-S137-T137-V137-W137-X137-L137</f>
        <v>95.5408036881</v>
      </c>
      <c r="AB137" s="14">
        <f>AA137-Z137</f>
        <v>-208.4617605069</v>
      </c>
      <c r="AC137" s="15">
        <f>IFERROR(AB137/H137,0)</f>
        <v>-0.1028585537</v>
      </c>
      <c r="AD137" s="15">
        <f>IFERROR(AB137/L137,0)</f>
        <v>-0.2855640555</v>
      </c>
      <c r="AE137" s="14">
        <f>IFERROR((L137+R137+T137+Q137+V137+$C$6)/(((1-G137*$C$13)/(1-G137))-(M137+$C$5+Y137+$C$21+IF($C$14=2,$C$16,0))-$C$4*((1-G137*$C$13)/(1-G137))),0)</f>
        <v>2753.031358885</v>
      </c>
    </row>
    <row r="138">
      <c r="A138" s="10" t="inlineStr">
        <is>
          <t>[Derma Factory] PDRN 4% Ampoule</t>
        </is>
      </c>
      <c r="B138" s="11" t="inlineStr">
        <is>
          <t>Средства для ухода за лицом</t>
        </is>
      </c>
      <c r="C138" s="12" t="n">
        <v>0</v>
      </c>
      <c r="D138" s="12" t="n">
        <v>3350</v>
      </c>
      <c r="E138" s="13" t="n">
        <v>13</v>
      </c>
      <c r="F138" s="5" t="n">
        <v>2495.910307</v>
      </c>
      <c r="G138" s="4" t="n">
        <v>0.45</v>
      </c>
      <c r="H138" s="14">
        <f>F138*(1-G138)</f>
        <v>1372.75066885</v>
      </c>
      <c r="I138" s="14">
        <f>F138-F138*G138*$C$13</f>
        <v>1372.75066885</v>
      </c>
      <c r="J138" s="5" t="n">
        <v>407</v>
      </c>
      <c r="K138" s="14">
        <f>$C$12</f>
        <v>60.0</v>
      </c>
      <c r="L138" s="14">
        <f>J138+K138</f>
        <v>467.0</v>
      </c>
      <c r="M138" s="15">
        <f>IF($C$14=1,0.47,$C$15)</f>
        <v>0.47</v>
      </c>
      <c r="N138" s="14">
        <f>H138*M138</f>
        <v>645.1928143595</v>
      </c>
      <c r="O138" s="14">
        <f>IF($C$14=2,MIN(H138*$C$16,$C$17),0)</f>
        <v>0.0</v>
      </c>
      <c r="P138" s="16" t="n">
        <v>0.4</v>
      </c>
      <c r="Q138" s="14">
        <f>IF($C$14=2,P138*$C$18,0)</f>
        <v>0.0</v>
      </c>
      <c r="R138" s="14">
        <f>$C$22+$C$23</f>
        <v>60.0</v>
      </c>
      <c r="S138" s="14">
        <f>H138*$C$5+$C$6</f>
        <v>31.6932653836</v>
      </c>
      <c r="T138" s="14">
        <f>$C$10*$C$11*P138</f>
        <v>0.0</v>
      </c>
      <c r="U138" s="4" t="n">
        <v>0.9</v>
      </c>
      <c r="V138" s="14">
        <f>IF($C$14=2,(1-U138)*($C$19+$C$20),0)</f>
        <v>0.0</v>
      </c>
      <c r="W138" s="14">
        <f>H138*$C$21</f>
        <v>0.0</v>
      </c>
      <c r="X138" s="14">
        <f>I138*$C$4</f>
        <v>96.0925468195</v>
      </c>
      <c r="Y138" s="4" t="n">
        <v>0.15</v>
      </c>
      <c r="Z138" s="14">
        <f>H138*Y138</f>
        <v>205.9126003275</v>
      </c>
      <c r="AA138" s="14">
        <f>I138-N138-O138-Q138-R138-S138-T138-V138-W138-X138-L138</f>
        <v>72.7720422874</v>
      </c>
      <c r="AB138" s="14">
        <f>AA138-Z138</f>
        <v>-133.1405580401</v>
      </c>
      <c r="AC138" s="15">
        <f>IFERROR(AB138/H138,0)</f>
        <v>-0.0969881575</v>
      </c>
      <c r="AD138" s="15">
        <f>IFERROR(AB138/L138,0)</f>
        <v>-0.2850975547</v>
      </c>
      <c r="AE138" s="14">
        <f>IFERROR((L138+R138+T138+Q138+V138+$C$6)/(((1-G138*$C$13)/(1-G138))-(M138+$C$5+Y138+$C$21+IF($C$14=2,$C$16,0))-$C$4*((1-G138*$C$13)/(1-G138))),0)</f>
        <v>1836.6550522648</v>
      </c>
    </row>
    <row r="140">
      <c r="A140" s="3" t="inlineStr">
        <is>
          <t>ИТОГО / средневзвешенно по SKU с ценой</t>
        </is>
      </c>
      <c r="H140" s="17">
        <f>AVERAGE(H27:H138)</f>
        <v>1417.8579220262</v>
      </c>
      <c r="N140" s="17">
        <f>SUM(N27:N138)</f>
        <v>57753.18669703</v>
      </c>
      <c r="AA140" s="17">
        <f>AVERAGE(AA27:AA138)</f>
        <v>43.5618248471</v>
      </c>
      <c r="AB140" s="17">
        <f>AVERAGE(AB27:AB138)</f>
        <v>-156.5763508728</v>
      </c>
      <c r="AC140" s="18">
        <f>IFERROR(SUM(AB27:AB138)/SUM(H27:H138),0)</f>
        <v>-0.1104316225</v>
      </c>
      <c r="AD140" s="18">
        <f>IFERROR(SUM(AB27:AB138)/SUM(L27:L138),0)</f>
        <v>-0.3065516467</v>
      </c>
    </row>
    <row r="142">
      <c r="A142" s="3" t="inlineStr">
        <is>
          <t>Как читать модель</t>
        </is>
      </c>
    </row>
    <row r="143">
      <c r="A143" s="19" t="inlineStr">
        <is>
          <t>— Тариф Маркета в режиме 1 взят из официального файла marketplace_services_rates_01072026.xlsx по подкатегории каждого товара.</t>
        </is>
      </c>
    </row>
    <row r="144">
      <c r="A144" s="19" t="inlineStr">
        <is>
          <t>— Категория Маркета проставлена по названию товара. Проверьте её по спорным позициям: ставка меняется на 14-15 п.п., если карточка висит на верхнем узле категории.</t>
        </is>
      </c>
    </row>
    <row r="145">
      <c r="A145" s="19" t="inlineStr">
        <is>
          <t>— Все проценты Маркета считаются от цены покупателя, а не от цены до скидки: тариф берётся от стоимости проданного товара.</t>
        </is>
      </c>
    </row>
    <row r="146">
      <c r="A146" s="19" t="inlineStr">
        <is>
          <t>— Выручка продавца зависит от параметра доли скидки: при 1 скидку финансируем мы, при 0 её финансирует Маркет.</t>
        </is>
      </c>
    </row>
    <row r="147">
      <c r="A147" s="19" t="inlineStr">
        <is>
          <t>— В режиме 1 доставка покупателю, средняя миля и возвраты обнулены, так как считаются включёнными в тариф. В режиме 2 они считаются отдельно.</t>
        </is>
      </c>
    </row>
    <row r="148">
      <c r="A148" s="19" t="inlineStr">
        <is>
          <t>— Наценки за нелокальные продажи и кроссдока по складам в модели нет: это логика Wildberries, у Маркета таких статей нет.</t>
        </is>
      </c>
    </row>
    <row r="149">
      <c r="A149" s="19" t="inlineStr">
        <is>
          <t>— Штрафы за отмену и просрочку отгрузки в модель не заложены, они разовые и зависят от дисциплины отгрузок.</t>
        </is>
      </c>
    </row>
  </sheetData>
  <pageMargins left="0.75" right="0.75" top="1" bottom="1" header="0.5" footer="0.5"/>
  <legacyDrawing ns1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2026-08-18T14:35:44Z</dcterms:created>
  <dcterms:modified xsi:type="dcterms:W3CDTF">2026-08-18T14:35:44Z</dcterms:modified>
</cp:coreProperties>
</file>
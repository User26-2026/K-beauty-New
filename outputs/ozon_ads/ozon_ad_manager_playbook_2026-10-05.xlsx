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Как работает реклама" sheetId="1" state="visible" r:id="rId1"/>
    <sheet name="2. Вывод товара в топ" sheetId="2" state="visible" r:id="rId2"/>
    <sheet name="3. Бюджет на вывод" sheetId="3" state="visible" r:id="rId3"/>
    <sheet name="4. Ежедневные правила" sheetId="4" state="visible" r:id="rId4"/>
    <sheet name="5. Метрики" sheetId="5" state="visible" r:id="rId5"/>
    <sheet name="6. Чек-лист (каждый день)" sheetId="6" state="visible" r:id="rId6"/>
    <sheet name="7. Бюджет вывода (шаблон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sz val="1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4" borderId="0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2" fillId="0" borderId="1" pivotButton="0" quotePrefix="0" xfId="0"/>
    <xf numFmtId="0" fontId="3" fillId="0" borderId="0" pivotButton="0" quotePrefix="0" xfId="0"/>
    <xf numFmtId="0" fontId="0" fillId="4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16" customWidth="1" min="3" max="3"/>
    <col width="46" customWidth="1" min="4" max="4"/>
  </cols>
  <sheetData>
    <row r="1">
      <c r="A1" s="1" t="inlineStr">
        <is>
          <t>РЕКЛАМА НА OZON — инструкция для менеджера (на примере крем-бустера)</t>
        </is>
      </c>
    </row>
    <row r="3">
      <c r="A3" s="2" t="inlineStr">
        <is>
          <t>ГЛАВНЫЙ ЗАКОН: CPO (стоимость заказа) должен быть НИЖЕ маржи/шт. Пока так — реклама в плюс. Выше — в минус.</t>
        </is>
      </c>
    </row>
    <row r="5">
      <c r="A5" s="3" t="inlineStr">
        <is>
          <t>ТРИ ФАЗЫ ЖИЗНИ ТОВАРА В РЕКЛАМЕ</t>
        </is>
      </c>
    </row>
    <row r="6">
      <c r="A6" s="4" t="inlineStr">
        <is>
          <t>Фаза</t>
        </is>
      </c>
      <c r="B6" s="4" t="inlineStr">
        <is>
          <t>Что происходит</t>
        </is>
      </c>
      <c r="C6" s="4" t="inlineStr">
        <is>
          <t>ДРР</t>
        </is>
      </c>
      <c r="D6" s="4" t="inlineStr">
        <is>
          <t>Что делать</t>
        </is>
      </c>
    </row>
    <row r="7">
      <c r="A7" s="5" t="inlineStr">
        <is>
          <t>1. Вывод в топ (1–2 нед)</t>
        </is>
      </c>
      <c r="B7" s="5" t="inlineStr">
        <is>
          <t>Товар новый: мало позиций, отзывов, заказы ещё едут/выкупаются. ДРР высокий — это НОРМА, ты инвестируешь в топ.</t>
        </is>
      </c>
      <c r="C7" s="5" t="inlineStr">
        <is>
          <t>высокий</t>
        </is>
      </c>
      <c r="D7" s="5" t="inlineStr">
        <is>
          <t>Держать, смотреть ТРЕНД: ДРР должен падать день ото дня. Падает — продолжать.</t>
        </is>
      </c>
    </row>
    <row r="8">
      <c r="A8" s="5" t="inlineStr">
        <is>
          <t>2. Дозревание</t>
        </is>
      </c>
      <c r="B8" s="5" t="inlineStr">
        <is>
          <t>Позиции растут, отзывы копятся, заказы выкупаются → ДРР снижается.</t>
        </is>
      </c>
      <c r="C8" s="5" t="inlineStr">
        <is>
          <t>падает</t>
        </is>
      </c>
      <c r="D8" s="5" t="inlineStr">
        <is>
          <t>Довести до целевого (≤10–15%). Крем-бустер: 19%→7% за 2 недели.</t>
        </is>
      </c>
    </row>
    <row r="9">
      <c r="A9" s="5" t="inlineStr">
        <is>
          <t>3. Заработок</t>
        </is>
      </c>
      <c r="B9" s="5" t="inlineStr">
        <is>
          <t>ДРР стабильно низкий, товар в топе.</t>
        </is>
      </c>
      <c r="C9" s="5" t="inlineStr">
        <is>
          <t>низкий стабильный</t>
        </is>
      </c>
      <c r="D9" s="5" t="inlineStr">
        <is>
          <t>Масштабировать бюджет, пока ДРР держится и CPO &lt; маржи.</t>
        </is>
      </c>
    </row>
    <row r="11">
      <c r="A11" s="3" t="inlineStr">
        <is>
          <t>ПРИМЕР КРЕМ-БУСТЕРА (поиск) — как ДРР падал по дням:</t>
        </is>
      </c>
    </row>
    <row r="12">
      <c r="A12" s="4" t="inlineStr">
        <is>
          <t>День</t>
        </is>
      </c>
      <c r="B12" s="4" t="inlineStr">
        <is>
          <t>Расход</t>
        </is>
      </c>
      <c r="C12" s="4" t="inlineStr">
        <is>
          <t>Продано</t>
        </is>
      </c>
      <c r="D12" s="4" t="inlineStr">
        <is>
          <t>ДРР</t>
        </is>
      </c>
    </row>
    <row r="13">
      <c r="A13" s="6" t="inlineStr">
        <is>
          <t>16.09</t>
        </is>
      </c>
      <c r="B13" s="7" t="n">
        <v>16551</v>
      </c>
      <c r="C13" s="6" t="n">
        <v>24</v>
      </c>
      <c r="D13" s="8" t="inlineStr">
        <is>
          <t>18,7%</t>
        </is>
      </c>
    </row>
    <row r="14">
      <c r="A14" s="6" t="inlineStr">
        <is>
          <t>01.10</t>
        </is>
      </c>
      <c r="B14" s="7" t="n">
        <v>46886</v>
      </c>
      <c r="C14" s="6" t="n">
        <v>134</v>
      </c>
      <c r="D14" s="8" t="inlineStr">
        <is>
          <t>9,5%</t>
        </is>
      </c>
    </row>
    <row r="15">
      <c r="A15" s="6" t="inlineStr">
        <is>
          <t>03.10</t>
        </is>
      </c>
      <c r="B15" s="7" t="n">
        <v>47679</v>
      </c>
      <c r="C15" s="6" t="n">
        <v>185</v>
      </c>
      <c r="D15" s="8" t="inlineStr">
        <is>
          <t>7,0%</t>
        </is>
      </c>
    </row>
    <row r="16">
      <c r="A16" s="6" t="inlineStr">
        <is>
          <t>04.10</t>
        </is>
      </c>
      <c r="B16" s="7" t="n">
        <v>41475</v>
      </c>
      <c r="C16" s="6" t="n">
        <v>152</v>
      </c>
      <c r="D16" s="8" t="inlineStr">
        <is>
          <t>7,5%</t>
        </is>
      </c>
    </row>
    <row r="18">
      <c r="A18" s="9" t="inlineStr">
        <is>
          <t>Вывод: продажи выросли 24→185/день, ДРР упал 19%→7%. Это правильный вывод товара — теперь он зарабатывает.</t>
        </is>
      </c>
    </row>
    <row r="20">
      <c r="A20" s="3" t="inlineStr">
        <is>
          <t>МЕСТА РАЗМЕЩЕНИЯ — куда лить бюджет</t>
        </is>
      </c>
    </row>
    <row r="21">
      <c r="A21" s="4" t="inlineStr">
        <is>
          <t>Место</t>
        </is>
      </c>
      <c r="B21" s="4" t="inlineStr">
        <is>
          <t>Кому показывается</t>
        </is>
      </c>
      <c r="C21" s="4" t="inlineStr">
        <is>
          <t>Конверсия</t>
        </is>
      </c>
      <c r="D21" s="4" t="inlineStr">
        <is>
          <t>Когда использовать</t>
        </is>
      </c>
    </row>
    <row r="22">
      <c r="A22" s="10" t="inlineStr">
        <is>
          <t>Поиск</t>
        </is>
      </c>
      <c r="B22" s="5" t="inlineStr">
        <is>
          <t>Тем, кто САМ ищет «тонер/крем с ретинолом» — есть намерение купить</t>
        </is>
      </c>
      <c r="C22" s="5" t="inlineStr">
        <is>
          <t>клик→заказ 5–9%</t>
        </is>
      </c>
      <c r="D22" s="5" t="inlineStr">
        <is>
          <t>ГЛАВНЫЙ канал. Сюда основной бюджет. Цена-преимущество работает.</t>
        </is>
      </c>
    </row>
    <row r="23">
      <c r="A23" s="11" t="inlineStr">
        <is>
          <t>Рекомендации</t>
        </is>
      </c>
      <c r="B23" s="5" t="inlineStr">
        <is>
          <t>Тем, кто смотрит ДРУГОЙ товар — намерения нет</t>
        </is>
      </c>
      <c r="C23" s="5" t="inlineStr">
        <is>
          <t>клик→заказ 0,9%</t>
        </is>
      </c>
      <c r="D23" s="5" t="inlineStr">
        <is>
          <t>Только для дешёвых импульсных товаров. Для «думательных» (ретинол) — НЕ использовать. Крем-бустер в рекомендациях ДРР 46% = слив.</t>
        </is>
      </c>
    </row>
    <row r="24">
      <c r="A24" s="5" t="inlineStr">
        <is>
          <t>Ретаргет (сегменты)</t>
        </is>
      </c>
      <c r="B24" s="5" t="inlineStr">
        <is>
          <t>Кто смотрел/клал в корзину/покупал</t>
        </is>
      </c>
      <c r="C24" s="5" t="inlineStr">
        <is>
          <t>высокая, дёшево</t>
        </is>
      </c>
      <c r="D24" s="5" t="inlineStr">
        <is>
          <t>После наличия стока. Тёплая аудитория, дешёвый заказ.</t>
        </is>
      </c>
    </row>
  </sheetData>
  <mergeCells count="5">
    <mergeCell ref="A11:F11"/>
    <mergeCell ref="A5:F5"/>
    <mergeCell ref="A18:F18"/>
    <mergeCell ref="A3:F3"/>
    <mergeCell ref="A20:F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КАК ВЫВЕСТИ НОВЫЙ ТОВАР В ТОП — пошагово</t>
        </is>
      </c>
    </row>
    <row r="3">
      <c r="A3" s="12" t="inlineStr">
        <is>
          <t>ШАГ 0. Подготовить карточку (БЕЗ этого реклама сольётся)</t>
        </is>
      </c>
    </row>
    <row r="4">
      <c r="A4" s="13" t="inlineStr">
        <is>
          <t>Фото качественные, rich-контент, SEO-название с главным ключом, цена в рынке, СТОК в наличии и разложен по кластерам (иначе долгая доставка убьёт конверсию). Проверить, что карточка не заблокирована.</t>
        </is>
      </c>
    </row>
    <row r="6">
      <c r="A6" s="12" t="inlineStr">
        <is>
          <t>ШАГ 1. Запустить рекламу в ПОИСКЕ</t>
        </is>
      </c>
    </row>
    <row r="7">
      <c r="A7" s="13" t="inlineStr">
        <is>
          <t>Модель «Оплата за заказ» (CPO) безопаснее — платишь за заказ, ставишь потолок ниже маржи. Или «за клик» с умеренной ставкой. Только поиск, не рекомендации.</t>
        </is>
      </c>
    </row>
    <row r="9">
      <c r="A9" s="12" t="inlineStr">
        <is>
          <t>ШАГ 2. Первые 1–2 недели — фаза вывода</t>
        </is>
      </c>
    </row>
    <row r="10">
      <c r="A10" s="13" t="inlineStr">
        <is>
          <t>ДРР будет высокий — это НОРМАЛЬНО, ты покупаешь позиции и первые отзывы. Главное — смотреть ТРЕНД: ДРР должен падать день ото дня (как у крем-бустера 19%→7%). Если за 2 недели не падает — вывод не идёт, стоп.</t>
        </is>
      </c>
    </row>
    <row r="12">
      <c r="A12" s="12" t="inlineStr">
        <is>
          <t>ШАГ 3. Собирать отзывы</t>
        </is>
      </c>
    </row>
    <row r="13">
      <c r="A13" s="13" t="inlineStr">
        <is>
          <t>Подарок к заказу, участие в акциях Ozon, баллы за отзыв. Отзывы = доверие = конверсия растёт = ДРР падает. У лидеров тысячи отзывов.</t>
        </is>
      </c>
    </row>
    <row r="15">
      <c r="A15" s="12" t="inlineStr">
        <is>
          <t>ШАГ 4. Заходить в акции Ozon</t>
        </is>
      </c>
    </row>
    <row r="16">
      <c r="A16" s="13" t="inlineStr">
        <is>
          <t>У лидеров через акции проходит ~91% заказов. Акции дают бустинг в выдаче — быстрее в топ.</t>
        </is>
      </c>
    </row>
    <row r="18">
      <c r="A18" s="12" t="inlineStr">
        <is>
          <t>ШАГ 5. Когда ДРР осел — масштабировать</t>
        </is>
      </c>
    </row>
    <row r="19">
      <c r="A19" s="13" t="inlineStr">
        <is>
          <t>Поднимать дневной бюджет, пока ДРР держится ≤ целевого и CPO &lt; маржи. Поиск масштабируется хорошо (конверсия держится).</t>
        </is>
      </c>
    </row>
    <row r="21">
      <c r="A21" s="12" t="inlineStr">
        <is>
          <t>ШАГ 6. Держать сток</t>
        </is>
      </c>
    </row>
    <row r="22">
      <c r="A22" s="13" t="inlineStr">
        <is>
          <t>Если товар уходит в 0 — реклама сливается (трафик в карточку без наличия). Пополнять заранее, по кластерам спроса.</t>
        </is>
      </c>
    </row>
  </sheetData>
  <mergeCells count="14">
    <mergeCell ref="A16:F16"/>
    <mergeCell ref="A10:F10"/>
    <mergeCell ref="A13:F13"/>
    <mergeCell ref="A19:F19"/>
    <mergeCell ref="A9:F9"/>
    <mergeCell ref="A6:F6"/>
    <mergeCell ref="A22:F22"/>
    <mergeCell ref="A12:F12"/>
    <mergeCell ref="A4:F4"/>
    <mergeCell ref="A18:F18"/>
    <mergeCell ref="A3:F3"/>
    <mergeCell ref="A21:F21"/>
    <mergeCell ref="A15:F15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КАК ПЛАНИРОВАТЬ БЮДЖЕТ НА ВЫВОД ТОВАРА</t>
        </is>
      </c>
    </row>
    <row r="3">
      <c r="A3" s="2" t="inlineStr">
        <is>
          <t>Бюджет вывода — это ИНВЕСТИЦИЯ в топ. На старте товар может работать в ноль или минус — это плата за позиции и отзывы. Надо заранее решить, сколько готов вложить и за какой срок окупить.</t>
        </is>
      </c>
    </row>
    <row r="5">
      <c r="A5" s="3" t="inlineStr">
        <is>
          <t>ФОРМУЛА ПЛАНИРОВАНИЯ:</t>
        </is>
      </c>
    </row>
    <row r="6">
      <c r="A6" s="13" t="inlineStr">
        <is>
          <t>1. Целевые продажи/день к концу вывода (от конкурента). Пример: крем-бустер цель ~150–185 шт/день (как сейчас).</t>
        </is>
      </c>
    </row>
    <row r="7">
      <c r="A7" s="13" t="inlineStr">
        <is>
          <t>2. Срок вывода: 2–3 недели.</t>
        </is>
      </c>
    </row>
    <row r="8">
      <c r="A8" s="13" t="inlineStr">
        <is>
          <t>3. Допустимый убыток на вывод = (сколько готов вложить). На старте ДРР может быть 20–40%, потом падает.</t>
        </is>
      </c>
    </row>
    <row r="9">
      <c r="A9" s="13" t="inlineStr">
        <is>
          <t>4. Бюджет/день на старте ≈ целевые продажи × CPO старта. Крем-бустер: ~150 шт × 350 ₽ ≈ 50 тыс.₽/день (как по факту).</t>
        </is>
      </c>
    </row>
    <row r="10">
      <c r="A10" s="13" t="inlineStr">
        <is>
          <t>5. Контроль окупаемости: как только ДРР &lt; маржи% — товар вышел в плюс, вывод окончен, дальше просто держишь/масштабируешь.</t>
        </is>
      </c>
    </row>
    <row r="12">
      <c r="A12" s="14" t="inlineStr">
        <is>
          <t>ПРИМЕР КРЕМ-БУСТЕРА (поиск) — вывод удался:</t>
        </is>
      </c>
    </row>
    <row r="13">
      <c r="A13" s="13" t="inlineStr">
        <is>
          <t>Вложили ~50 тыс.₽/день, 2 недели ДРР падал 19%→7%, продажи выросли 24→185/день. Теперь при ДРР 7% и CPO ~260 ₽ (маржа ~450–500) товар зарабатывает ~200 ₽ с заказа × 150–185 заказов/день.</t>
        </is>
      </c>
    </row>
    <row r="15">
      <c r="A15" s="15" t="inlineStr">
        <is>
          <t>КОГДА ВЫВОД НЕ УДАЛСЯ (стоп-правило):</t>
        </is>
      </c>
    </row>
    <row r="16">
      <c r="A16" s="13" t="inlineStr">
        <is>
          <t>Если за 2–3 недели ДРР НЕ падает к целевому (застрял высоко) — товар/канал не выводится. Пример: крем-бустер в «рекомендациях» — ДРР не опустился ниже 27% и даже вырос до 46%. Это сигнал СТОП: не лить дальше, выключить, деньги в то, что выводится (поиск).</t>
        </is>
      </c>
    </row>
  </sheetData>
  <mergeCells count="11">
    <mergeCell ref="A16:F16"/>
    <mergeCell ref="A10:F10"/>
    <mergeCell ref="A13:F13"/>
    <mergeCell ref="A5:F5"/>
    <mergeCell ref="A9:F9"/>
    <mergeCell ref="A8:F8"/>
    <mergeCell ref="A6:F6"/>
    <mergeCell ref="A12:F12"/>
    <mergeCell ref="A3:F3"/>
    <mergeCell ref="A15:F1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8" customWidth="1" min="1" max="1"/>
    <col width="60" customWidth="1" min="2" max="2"/>
  </cols>
  <sheetData>
    <row r="1">
      <c r="A1" s="1" t="inlineStr">
        <is>
          <t>ЕЖЕДНЕВНЫЕ ПРАВИЛА КОНТРОЛЯ (пороги)</t>
        </is>
      </c>
    </row>
    <row r="3">
      <c r="A3" s="4" t="inlineStr">
        <is>
          <t>Ситуация</t>
        </is>
      </c>
      <c r="B3" s="4" t="inlineStr">
        <is>
          <t>Действие</t>
        </is>
      </c>
    </row>
    <row r="4">
      <c r="A4" s="5" t="inlineStr">
        <is>
          <t>Товар ЗРЕЛЫЙ, ДРР ≤ 10% и CPO &lt; маржи</t>
        </is>
      </c>
      <c r="B4" s="10" t="inlineStr">
        <is>
          <t>Масштабировать — поднять дневной бюджет на 20–30%</t>
        </is>
      </c>
    </row>
    <row r="5">
      <c r="A5" s="5" t="inlineStr">
        <is>
          <t>Товар зрелый, ДРР 10–15%</t>
        </is>
      </c>
      <c r="B5" s="5" t="inlineStr">
        <is>
          <t>Держать, точечно снижать ставки до ≤15%</t>
        </is>
      </c>
    </row>
    <row r="6">
      <c r="A6" s="5" t="inlineStr">
        <is>
          <t>Товар зрелый, ДРР 15–25%</t>
        </is>
      </c>
      <c r="B6" s="5" t="inlineStr">
        <is>
          <t>Снизить ставки. Если корзина→заказ низкая — проверить СТОК/доставку (часто дело в этом, а не в рекламе)</t>
        </is>
      </c>
    </row>
    <row r="7">
      <c r="A7" s="5" t="inlineStr">
        <is>
          <t>Товар зрелый, ДРР &gt; 25% или CPO &gt; маржи</t>
        </is>
      </c>
      <c r="B7" s="11" t="inlineStr">
        <is>
          <t>ВЫКЛЮЧИТЬ или резко резать</t>
        </is>
      </c>
    </row>
    <row r="8">
      <c r="A8" s="5" t="inlineStr">
        <is>
          <t>Товар НОВЫЙ (вывод), ДРР высокий, но ПАДАЕТ</t>
        </is>
      </c>
      <c r="B8" s="5" t="inlineStr">
        <is>
          <t>Продолжать — это нормальная фаза вывода</t>
        </is>
      </c>
    </row>
    <row r="9">
      <c r="A9" s="5" t="inlineStr">
        <is>
          <t>Товар новый, ДРР высокий и НЕ падает 2–3 нед</t>
        </is>
      </c>
      <c r="B9" s="11" t="inlineStr">
        <is>
          <t>СТОП — вывод не идёт</t>
        </is>
      </c>
    </row>
    <row r="10">
      <c r="A10" s="5" t="inlineStr">
        <is>
          <t>Клик→заказ &lt; 2%</t>
        </is>
      </c>
      <c r="B10" s="5" t="inlineStr">
        <is>
          <t>Проблема в карточке/аудитории (как рекомендации) — выключить место размещения</t>
        </is>
      </c>
    </row>
    <row r="11">
      <c r="A11" s="5" t="inlineStr">
        <is>
          <t>Сток по товару → 0</t>
        </is>
      </c>
      <c r="B11" s="5" t="inlineStr">
        <is>
          <t>Поставить рекламу на ПАУЗУ (не жечь бюджет на карточку без наличия)</t>
        </is>
      </c>
    </row>
    <row r="12">
      <c r="A12" s="5" t="inlineStr">
        <is>
          <t>Раз в неделю</t>
        </is>
      </c>
      <c r="B12" s="5" t="inlineStr">
        <is>
          <t>Сверять расход/ДРР/CPO по каждой кампании; убыточное резать, прибыльное усиливать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40" customWidth="1" min="3" max="3"/>
  </cols>
  <sheetData>
    <row r="1">
      <c r="A1" s="1" t="inlineStr">
        <is>
          <t>МЕТРИКИ — что смотреть и целевые</t>
        </is>
      </c>
    </row>
    <row r="3">
      <c r="A3" s="4" t="inlineStr">
        <is>
          <t>Метрика</t>
        </is>
      </c>
      <c r="B3" s="4" t="inlineStr">
        <is>
          <t>Что показывает</t>
        </is>
      </c>
      <c r="C3" s="4" t="inlineStr">
        <is>
          <t>Целевое</t>
        </is>
      </c>
    </row>
    <row r="4">
      <c r="A4" s="16" t="inlineStr">
        <is>
          <t>ДРР, %</t>
        </is>
      </c>
      <c r="B4" s="5" t="inlineStr">
        <is>
          <t>Доля рекламы в выручке</t>
        </is>
      </c>
      <c r="C4" s="5" t="inlineStr">
        <is>
          <t>≤10–15% (зрелый товар)</t>
        </is>
      </c>
    </row>
    <row r="5">
      <c r="A5" s="16" t="inlineStr">
        <is>
          <t>CPO, ₽</t>
        </is>
      </c>
      <c r="B5" s="5" t="inlineStr">
        <is>
          <t>Стоимость одного заказа</t>
        </is>
      </c>
      <c r="C5" s="5" t="inlineStr">
        <is>
          <t>&lt; маржа/шт (главный закон)</t>
        </is>
      </c>
    </row>
    <row r="6">
      <c r="A6" s="16" t="inlineStr">
        <is>
          <t>Клик→заказ, %</t>
        </is>
      </c>
      <c r="B6" s="5" t="inlineStr">
        <is>
          <t>Доля кликов, ставших заказом</t>
        </is>
      </c>
      <c r="C6" s="5" t="inlineStr">
        <is>
          <t>&gt;3–5% (поиск). &lt;2% = плохое место/карточка</t>
        </is>
      </c>
    </row>
    <row r="7">
      <c r="A7" s="16" t="inlineStr">
        <is>
          <t>Корзина→заказ, %</t>
        </is>
      </c>
      <c r="B7" s="5" t="inlineStr">
        <is>
          <t>Сколько корзин доходит до заказа</t>
        </is>
      </c>
      <c r="C7" s="5" t="inlineStr">
        <is>
          <t>&gt;30%. Низко = сток/доставка</t>
        </is>
      </c>
    </row>
    <row r="8">
      <c r="A8" s="16" t="inlineStr">
        <is>
          <t>CTR, %</t>
        </is>
      </c>
      <c r="B8" s="5" t="inlineStr">
        <is>
          <t>Кликабельность показа</t>
        </is>
      </c>
      <c r="C8" s="5" t="inlineStr">
        <is>
          <t>чем выше, тем релевантнее трафик</t>
        </is>
      </c>
    </row>
    <row r="9">
      <c r="A9" s="16" t="inlineStr">
        <is>
          <t>Позиция в выдаче</t>
        </is>
      </c>
      <c r="B9" s="5" t="inlineStr">
        <is>
          <t>Где товар по главному ключу</t>
        </is>
      </c>
      <c r="C9" s="5" t="inlineStr">
        <is>
          <t>стремиться в топ-20</t>
        </is>
      </c>
    </row>
    <row r="10">
      <c r="A10" s="16" t="inlineStr">
        <is>
          <t>Отзывы</t>
        </is>
      </c>
      <c r="B10" s="5" t="inlineStr">
        <is>
          <t>Доверие к карточке</t>
        </is>
      </c>
      <c r="C10" s="5" t="inlineStr">
        <is>
          <t>чем больше, тем выше конверсия</t>
        </is>
      </c>
    </row>
    <row r="11">
      <c r="A11" s="16" t="inlineStr">
        <is>
          <t>Тренд ДРР по дням</t>
        </is>
      </c>
      <c r="B11" s="5" t="inlineStr">
        <is>
          <t>Падает/растёт при выводе</t>
        </is>
      </c>
      <c r="C11" s="5" t="inlineStr">
        <is>
          <t>должен ПАДАТЬ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ЧЕК-ЛИСТ МЕНЕДЖЕРА — КАЖДЫЙ ДЕНЬ</t>
        </is>
      </c>
    </row>
    <row r="3">
      <c r="A3" s="17" t="inlineStr">
        <is>
          <t>УТРО — проверить по каждой активной кампании:</t>
        </is>
      </c>
    </row>
    <row r="4">
      <c r="A4" s="13" t="inlineStr">
        <is>
          <t>☐ ДРР за вчера — в норме? (зрелый товар ≤15%, новый — ПАДАЕТ ли день ото дня)</t>
        </is>
      </c>
    </row>
    <row r="5">
      <c r="A5" s="13" t="inlineStr">
        <is>
          <t>☐ CPO &lt; маржи/шт? Если выше — снизить ставку или пауза.</t>
        </is>
      </c>
    </row>
    <row r="6">
      <c r="A6" s="13" t="inlineStr">
        <is>
          <t>☐ Есть ли сток по товару? Ушёл в 0 → поставить рекламу на паузу.</t>
        </is>
      </c>
    </row>
    <row r="7">
      <c r="A7" s="13" t="inlineStr">
        <is>
          <t>☐ Нет ли кампаний, где бюджет растёт, а продажи/ДРР не улучшаются? → резать.</t>
        </is>
      </c>
    </row>
    <row r="9">
      <c r="A9" s="17" t="inlineStr">
        <is>
          <t>ДЕЙСТВИЯ ПО ПОРОГАМ:</t>
        </is>
      </c>
    </row>
    <row r="10">
      <c r="A10" s="18" t="inlineStr">
        <is>
          <t>🟢 ДРР ≤10% и CPO &lt; маржи → поднять дневной бюджет на 20–30%.</t>
        </is>
      </c>
    </row>
    <row r="11">
      <c r="A11" s="19" t="inlineStr">
        <is>
          <t>🟡 ДРР 15–25% → снизить ставку; проверить сток/доставку (часто причина тут).</t>
        </is>
      </c>
    </row>
    <row r="12">
      <c r="A12" s="20" t="inlineStr">
        <is>
          <t>🔴 ДРР &gt;25% или CPO &gt; маржи или клик→заказ &lt;2% → выключить/резать.</t>
        </is>
      </c>
    </row>
    <row r="13">
      <c r="A13" s="21" t="inlineStr">
        <is>
          <t>🆕 Новый товар: ДРР высокий, но падает → продолжать вывод. Не падает 2–3 нед → стоп.</t>
        </is>
      </c>
    </row>
    <row r="15">
      <c r="A15" s="17" t="inlineStr">
        <is>
          <t>РАЗ В НЕДЕЛЮ:</t>
        </is>
      </c>
    </row>
    <row r="16">
      <c r="A16" s="13" t="inlineStr">
        <is>
          <t>☐ Выгрузить статистику кампаний → таблица расход/ДРР/CPO по каждой.</t>
        </is>
      </c>
    </row>
    <row r="17">
      <c r="A17" s="13" t="inlineStr">
        <is>
          <t>☐ Бюджет перекладывать: из убыточных (высокий ДРР) в прибыльные (ДРР ≤10%).</t>
        </is>
      </c>
    </row>
    <row r="18">
      <c r="A18" s="13" t="inlineStr">
        <is>
          <t>☐ Проверить позиции по главным ключам и отзывы у героев.</t>
        </is>
      </c>
    </row>
    <row r="19">
      <c r="A19" s="13" t="inlineStr">
        <is>
          <t>☐ Запустить/проверить ретаргет по сегментам (кто смотрел/корзина) — после наличия стока.</t>
        </is>
      </c>
    </row>
    <row r="20">
      <c r="A20" s="13" t="inlineStr">
        <is>
          <t>☐ Зайти в акции Ozon по ходовым товарам.</t>
        </is>
      </c>
    </row>
    <row r="22">
      <c r="A22" s="2" t="inlineStr">
        <is>
          <t>ЗАПОМНИТЬ: главный закон — CPO &lt; маржи/шт. Реклама только на карточки со стоком. Бюджет — в поиск, не в холодные рекомендации.</t>
        </is>
      </c>
    </row>
    <row r="23"/>
  </sheetData>
  <mergeCells count="14">
    <mergeCell ref="A5:D5"/>
    <mergeCell ref="A17:D17"/>
    <mergeCell ref="A18:D18"/>
    <mergeCell ref="A6:D6"/>
    <mergeCell ref="A12:D12"/>
    <mergeCell ref="A4:D4"/>
    <mergeCell ref="A22:D23"/>
    <mergeCell ref="A20:D20"/>
    <mergeCell ref="A7:D7"/>
    <mergeCell ref="A16:D16"/>
    <mergeCell ref="A11:D11"/>
    <mergeCell ref="A19:D19"/>
    <mergeCell ref="A10:D10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РАСЧЁТ БЮДЖЕТА ВЫВОДА НОВОГО ТОВАРА (пример + шаблон)</t>
        </is>
      </c>
    </row>
    <row r="3">
      <c r="A3" s="17" t="inlineStr">
        <is>
          <t>ВВОДНЫЕ (жёлтые — подставить свои):</t>
        </is>
      </c>
    </row>
    <row r="4">
      <c r="A4" s="16" t="inlineStr">
        <is>
          <t>Товар (пример)</t>
        </is>
      </c>
      <c r="B4" s="22" t="inlineStr">
        <is>
          <t>Celimax Pore+Dark пэды</t>
        </is>
      </c>
    </row>
    <row r="5">
      <c r="A5" s="16" t="inlineStr">
        <is>
          <t>Маржа до рекламы, ₽/шт</t>
        </is>
      </c>
      <c r="B5" s="22" t="inlineStr">
        <is>
          <t>450</t>
        </is>
      </c>
    </row>
    <row r="6">
      <c r="A6" s="16" t="inlineStr">
        <is>
          <t>Цель продаж к концу вывода, шт/день</t>
        </is>
      </c>
      <c r="B6" s="22" t="inlineStr">
        <is>
          <t>100</t>
        </is>
      </c>
    </row>
    <row r="7">
      <c r="A7" s="16" t="inlineStr">
        <is>
          <t>CPO на старте, ₽</t>
        </is>
      </c>
      <c r="B7" s="22" t="inlineStr">
        <is>
          <t>600</t>
        </is>
      </c>
    </row>
    <row r="8">
      <c r="A8" s="16" t="inlineStr">
        <is>
          <t>CPO цель (зрелый), ₽</t>
        </is>
      </c>
      <c r="B8" s="22" t="inlineStr">
        <is>
          <t>180</t>
        </is>
      </c>
    </row>
    <row r="9">
      <c r="A9" s="16" t="inlineStr">
        <is>
          <t>Срок вывода, недель</t>
        </is>
      </c>
      <c r="B9" s="22" t="inlineStr">
        <is>
          <t>3</t>
        </is>
      </c>
    </row>
    <row r="11">
      <c r="A11" s="17" t="inlineStr">
        <is>
          <t>ПЛАН ПО НЕДЕЛЯМ (считается автоматически):</t>
        </is>
      </c>
    </row>
    <row r="12">
      <c r="A12" s="4" t="inlineStr">
        <is>
          <t>Неделя</t>
        </is>
      </c>
      <c r="B12" s="4" t="inlineStr">
        <is>
          <t>Продаж/день</t>
        </is>
      </c>
      <c r="C12" s="4" t="inlineStr">
        <is>
          <t>CPO, ₽</t>
        </is>
      </c>
      <c r="D12" s="4" t="inlineStr">
        <is>
          <t>ДРР примерно</t>
        </is>
      </c>
      <c r="E12" s="4" t="inlineStr">
        <is>
          <t>Расход/нед, ₽</t>
        </is>
      </c>
      <c r="F12" s="4" t="inlineStr">
        <is>
          <t>Прибыль/нед, ₽</t>
        </is>
      </c>
      <c r="G12" s="4" t="inlineStr">
        <is>
          <t>Накоплено прибыли, ₽</t>
        </is>
      </c>
    </row>
    <row r="13">
      <c r="A13" s="5" t="inlineStr">
        <is>
          <t>1 (вывод)</t>
        </is>
      </c>
      <c r="B13" s="6">
        <f>ROUND($B$6*0.4,0)</f>
        <v/>
      </c>
      <c r="C13" s="6">
        <f>ROUND($B$8+($B$7-$B$8)*1.0,0)</f>
        <v/>
      </c>
      <c r="D13" s="6">
        <f>TEXT(C13/($B$5+C13)*100,"0")&amp;"%"</f>
        <v/>
      </c>
      <c r="E13" s="7">
        <f>ROUND(B13*C13*7,0)</f>
        <v/>
      </c>
      <c r="F13" s="7">
        <f>ROUND(B13*($B$5-C13)*7,0)</f>
        <v/>
      </c>
      <c r="G13" s="7">
        <f>F13</f>
        <v/>
      </c>
    </row>
    <row r="14">
      <c r="A14" s="5" t="inlineStr">
        <is>
          <t>2 (дозревание)</t>
        </is>
      </c>
      <c r="B14" s="6">
        <f>ROUND($B$6*0.7,0)</f>
        <v/>
      </c>
      <c r="C14" s="6">
        <f>ROUND($B$8+($B$7-$B$8)*0.5,0)</f>
        <v/>
      </c>
      <c r="D14" s="6">
        <f>TEXT(C14/($B$5+C14)*100,"0")&amp;"%"</f>
        <v/>
      </c>
      <c r="E14" s="7">
        <f>ROUND(B14*C14*7,0)</f>
        <v/>
      </c>
      <c r="F14" s="7">
        <f>ROUND(B14*($B$5-C14)*7,0)</f>
        <v/>
      </c>
      <c r="G14" s="7">
        <f>G13+F14</f>
        <v/>
      </c>
    </row>
    <row r="15">
      <c r="A15" s="5" t="inlineStr">
        <is>
          <t>3 (выход в плюс)</t>
        </is>
      </c>
      <c r="B15" s="6">
        <f>ROUND($B$6*1.0,0)</f>
        <v/>
      </c>
      <c r="C15" s="6">
        <f>ROUND($B$8+($B$7-$B$8)*0.15,0)</f>
        <v/>
      </c>
      <c r="D15" s="6">
        <f>TEXT(C15/($B$5+C15)*100,"0")&amp;"%"</f>
        <v/>
      </c>
      <c r="E15" s="7">
        <f>ROUND(B15*C15*7,0)</f>
        <v/>
      </c>
      <c r="F15" s="7">
        <f>ROUND(B15*($B$5-C15)*7,0)</f>
        <v/>
      </c>
      <c r="G15" s="7">
        <f>G14+F15</f>
        <v/>
      </c>
    </row>
    <row r="16">
      <c r="A16" s="5" t="inlineStr">
        <is>
          <t>4 (заработок)</t>
        </is>
      </c>
      <c r="B16" s="6">
        <f>ROUND($B$6*1.1,0)</f>
        <v/>
      </c>
      <c r="C16" s="6">
        <f>ROUND($B$8+($B$7-$B$8)*0.0,0)</f>
        <v/>
      </c>
      <c r="D16" s="6">
        <f>TEXT(C16/($B$5+C16)*100,"0")&amp;"%"</f>
        <v/>
      </c>
      <c r="E16" s="7">
        <f>ROUND(B16*C16*7,0)</f>
        <v/>
      </c>
      <c r="F16" s="7">
        <f>ROUND(B16*($B$5-C16)*7,0)</f>
        <v/>
      </c>
      <c r="G16" s="7">
        <f>G15+F16</f>
        <v/>
      </c>
    </row>
    <row r="18">
      <c r="A18" s="17" t="inlineStr">
        <is>
          <t>КАК ЧИТАТЬ:</t>
        </is>
      </c>
    </row>
    <row r="19">
      <c r="A19" s="13" t="inlineStr">
        <is>
          <t>• Неделя 1 — «прибыль/нед» отрицательная: CPO выше маржи, это ИНВЕСТИЦИЯ в вывод (покупаешь позиции и отзывы).</t>
        </is>
      </c>
    </row>
    <row r="20">
      <c r="A20" s="13" t="inlineStr">
        <is>
          <t>• По мере дозревания CPO падает → с 2–3 недели выходишь в плюс.</t>
        </is>
      </c>
    </row>
    <row r="21">
      <c r="A21" s="13" t="inlineStr">
        <is>
          <t>• «Накоплено прибыли» — когда станет положительным, вывод окупился.</t>
        </is>
      </c>
    </row>
    <row r="22">
      <c r="A22" s="13" t="inlineStr">
        <is>
          <t>• Бюджет на вывод = максимальный минус в колонке «Накоплено» (сколько денег нужно вложить, пока не окупится).</t>
        </is>
      </c>
    </row>
    <row r="23">
      <c r="A23" s="13" t="inlineStr">
        <is>
          <t>• Если по факту CPO НЕ падает к цели за срок вывода — товар/канал не выводится, стоп (как рекомендации крем-бустера).</t>
        </is>
      </c>
    </row>
    <row r="24">
      <c r="A24" s="13" t="inlineStr"/>
    </row>
    <row r="25">
      <c r="A25" s="9" t="inlineStr">
        <is>
          <t>ПРИМЕР КРЕМ-БУСТЕРА (факт): вкладывали ~50 тыс.₽/день, 2 недели ДРР падал 19%→7%, вывод удался — теперь зарабатывает ~200 ₽ с заказа × 150–185 заказов/день.</t>
        </is>
      </c>
    </row>
  </sheetData>
  <mergeCells count="7">
    <mergeCell ref="A21:G21"/>
    <mergeCell ref="A22:G22"/>
    <mergeCell ref="A20:G20"/>
    <mergeCell ref="A24:G24"/>
    <mergeCell ref="A25:G25"/>
    <mergeCell ref="A19:G19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2026-10-05T23:17:43Z</dcterms:created>
  <dcterms:modified xsi:type="dcterms:W3CDTF">2026-10-05T23:24:27Z</dcterms:modified>
</cp:coreProperties>
</file>
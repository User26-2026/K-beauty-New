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каз предварительный" sheetId="1" state="visible" r:id="rId1"/>
    <sheet name="Сезонность 202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i val="1"/>
      <color rgb="00C55A11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4472C4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4" borderId="1" pivotButton="0" quotePrefix="0" xfId="0"/>
    <xf numFmtId="0" fontId="0" fillId="5" borderId="0" pivotButton="0" quotePrefix="0" xfId="0"/>
    <xf numFmtId="0" fontId="1" fillId="5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16" customWidth="1" min="3" max="3"/>
    <col width="13" customWidth="1" min="4" max="4"/>
    <col width="11" customWidth="1" min="5" max="5"/>
    <col width="14" customWidth="1" min="6" max="6"/>
    <col width="9" customWidth="1" min="7" max="7"/>
    <col width="11" customWidth="1" min="8" max="8"/>
    <col width="11" customWidth="1" min="9" max="9"/>
    <col width="11" customWidth="1" min="10" max="10"/>
    <col width="9" customWidth="1" min="11" max="11"/>
    <col width="13" customWidth="1" min="12" max="12"/>
    <col width="11" customWidth="1" min="13" max="13"/>
    <col width="13" customWidth="1" min="14" max="14"/>
    <col width="11" customWidth="1" min="15" max="15"/>
    <col width="15" customWidth="1" min="16" max="16"/>
    <col width="15" customWidth="1" min="17" max="17"/>
    <col width="16" customWidth="1" min="18" max="18"/>
    <col width="18" customWidth="1" min="19" max="19"/>
    <col width="18" customWidth="1" min="20" max="20"/>
  </cols>
  <sheetData>
    <row r="1">
      <c r="W1" s="1" t="inlineStr">
        <is>
          <t>Курс KRW→RUB</t>
        </is>
      </c>
      <c r="X1" s="2" t="n">
        <v>0.0538</v>
      </c>
    </row>
    <row r="2">
      <c r="A2" s="3" t="inlineStr">
        <is>
          <t>Бренд</t>
        </is>
      </c>
      <c r="B2" s="3" t="inlineStr">
        <is>
          <t>Название</t>
        </is>
      </c>
      <c r="C2" s="3" t="inlineStr">
        <is>
          <t>Баркод</t>
        </is>
      </c>
      <c r="D2" s="3" t="inlineStr">
        <is>
          <t>Примерное кол-во для заказа</t>
        </is>
      </c>
      <c r="E2" s="3" t="inlineStr">
        <is>
          <t>цена</t>
        </is>
      </c>
      <c r="F2" s="3" t="inlineStr">
        <is>
          <t>итого</t>
        </is>
      </c>
      <c r="G2" s="3" t="inlineStr">
        <is>
          <t>в коробе</t>
        </is>
      </c>
      <c r="H2" s="3" t="inlineStr">
        <is>
          <t>Объем короба</t>
        </is>
      </c>
      <c r="I2" s="3" t="inlineStr">
        <is>
          <t>Вес короба кг</t>
        </is>
      </c>
      <c r="J2" s="3" t="inlineStr">
        <is>
          <t>Коробок в заказ</t>
        </is>
      </c>
      <c r="K2" s="3" t="inlineStr">
        <is>
          <t>Объем</t>
        </is>
      </c>
      <c r="L2" s="3" t="inlineStr">
        <is>
          <t>Объем по бренду</t>
        </is>
      </c>
      <c r="M2" s="3" t="inlineStr">
        <is>
          <t>Вес кг</t>
        </is>
      </c>
      <c r="N2" s="3" t="inlineStr">
        <is>
          <t>Закупка 1 шт, руб.</t>
        </is>
      </c>
      <c r="O2" s="3" t="inlineStr">
        <is>
          <t>Вес 1 шт, кг</t>
        </is>
      </c>
      <c r="P2" s="3" t="inlineStr">
        <is>
          <t>Логистика+таможня 1 шт, руб.</t>
        </is>
      </c>
      <c r="Q2" s="3" t="inlineStr">
        <is>
          <t>Себестоимость 1 шт, руб.</t>
        </is>
      </c>
      <c r="R2" s="3" t="inlineStr">
        <is>
          <t>Закупка всего, руб.</t>
        </is>
      </c>
      <c r="S2" s="3" t="inlineStr">
        <is>
          <t>Логистика+таможня всего, руб.</t>
        </is>
      </c>
      <c r="T2" s="3" t="inlineStr">
        <is>
          <t>Себестоимость всего, руб.</t>
        </is>
      </c>
      <c r="W2" s="1" t="inlineStr">
        <is>
          <t>Логистика руб/кг</t>
        </is>
      </c>
      <c r="X2" s="2" t="n">
        <v>146.4</v>
      </c>
    </row>
    <row r="3">
      <c r="A3" s="4" t="inlineStr">
        <is>
          <t>Round Lab</t>
        </is>
      </c>
      <c r="B3" s="4" t="inlineStr">
        <is>
          <t>ROUND LAB 1025 DOKDO CLEANSER_150ml</t>
        </is>
      </c>
      <c r="C3" s="4" t="inlineStr">
        <is>
          <t>8809738608364</t>
        </is>
      </c>
      <c r="D3" s="4" t="n">
        <v>53823</v>
      </c>
      <c r="E3" s="4" t="n">
        <v>6220</v>
      </c>
      <c r="F3" s="4">
        <f>$J3*$G3*$E3</f>
        <v/>
      </c>
      <c r="G3" s="4" t="n">
        <v>30</v>
      </c>
      <c r="H3" s="4" t="n">
        <v>0.022</v>
      </c>
      <c r="I3" s="4" t="n">
        <v>7</v>
      </c>
      <c r="J3" s="4">
        <f>ROUNDUP($D3/$G3,0)</f>
        <v/>
      </c>
      <c r="K3" s="4">
        <f>$J3*$H3</f>
        <v/>
      </c>
      <c r="L3" s="4">
        <f>SUMIF($A:$A,$A3,$K:$K)</f>
        <v/>
      </c>
      <c r="M3" s="4">
        <f>$J3*$I3</f>
        <v/>
      </c>
      <c r="N3" s="4">
        <f>$E3*$X$1</f>
        <v/>
      </c>
      <c r="O3" s="4">
        <f>$I3/$G3</f>
        <v/>
      </c>
      <c r="P3" s="4">
        <f>$O3*$X$2</f>
        <v/>
      </c>
      <c r="Q3" s="4">
        <f>$N3+$P3</f>
        <v/>
      </c>
      <c r="R3" s="4">
        <f>$J3*$G3*$N3</f>
        <v/>
      </c>
      <c r="S3" s="4">
        <f>$J3*$G3*$P3</f>
        <v/>
      </c>
      <c r="T3" s="4">
        <f>$R3+$S3</f>
        <v/>
      </c>
      <c r="W3" s="1" t="inlineStr">
        <is>
          <t>Магазины ×</t>
        </is>
      </c>
      <c r="X3" s="2" t="n">
        <v>1.6</v>
      </c>
    </row>
    <row r="4">
      <c r="A4" s="4" t="inlineStr">
        <is>
          <t>CELIMAX</t>
        </is>
      </c>
      <c r="B4" s="4" t="inlineStr">
        <is>
          <t>Celimax Dual Barrier Creamy Toner</t>
        </is>
      </c>
      <c r="C4" s="4" t="inlineStr">
        <is>
          <t>8809606850475</t>
        </is>
      </c>
      <c r="D4" s="4" t="n">
        <v>36160</v>
      </c>
      <c r="E4" s="4" t="n">
        <v>10930</v>
      </c>
      <c r="F4" s="4">
        <f>$J4*$G4*$E4</f>
        <v/>
      </c>
      <c r="G4" s="4" t="n">
        <v>24</v>
      </c>
      <c r="H4" s="4" t="n">
        <v>0.0155</v>
      </c>
      <c r="I4" s="4" t="n">
        <v>6.07</v>
      </c>
      <c r="J4" s="4">
        <f>ROUNDUP($D4/$G4,0)</f>
        <v/>
      </c>
      <c r="K4" s="4">
        <f>$J4*$H4</f>
        <v/>
      </c>
      <c r="L4" s="4">
        <f>SUMIF($A:$A,$A4,$K:$K)</f>
        <v/>
      </c>
      <c r="M4" s="4">
        <f>$J4*$I4</f>
        <v/>
      </c>
      <c r="N4" s="4">
        <f>$E4*$X$1</f>
        <v/>
      </c>
      <c r="O4" s="4">
        <f>$I4/$G4</f>
        <v/>
      </c>
      <c r="P4" s="4">
        <f>$O4*$X$2</f>
        <v/>
      </c>
      <c r="Q4" s="4">
        <f>$N4+$P4</f>
        <v/>
      </c>
      <c r="R4" s="4">
        <f>$J4*$G4*$N4</f>
        <v/>
      </c>
      <c r="S4" s="4">
        <f>$J4*$G4*$P4</f>
        <v/>
      </c>
      <c r="T4" s="4">
        <f>$R4+$S4</f>
        <v/>
      </c>
    </row>
    <row r="5">
      <c r="A5" s="4" t="inlineStr">
        <is>
          <t>ENOUGH</t>
        </is>
      </c>
      <c r="B5" s="4" t="inlineStr">
        <is>
          <t>ENOUGH - Collagen Moisture Essential Cream [50ml] N</t>
        </is>
      </c>
      <c r="C5" s="4" t="inlineStr">
        <is>
          <t>2040441089354</t>
        </is>
      </c>
      <c r="D5" s="4" t="n">
        <v>7417</v>
      </c>
      <c r="E5" s="5" t="n">
        <v>2672</v>
      </c>
      <c r="F5" s="4">
        <f>$J5*$G5*$E5</f>
        <v/>
      </c>
      <c r="G5" s="5" t="n">
        <v>60</v>
      </c>
      <c r="H5" s="5" t="n">
        <v>0.022</v>
      </c>
      <c r="I5" s="5" t="n">
        <v>7.2</v>
      </c>
      <c r="J5" s="4">
        <f>ROUNDUP($D5/$G5,0)</f>
        <v/>
      </c>
      <c r="K5" s="4">
        <f>$J5*$H5</f>
        <v/>
      </c>
      <c r="L5" s="4">
        <f>SUMIF($A:$A,$A5,$K:$K)</f>
        <v/>
      </c>
      <c r="M5" s="4">
        <f>$J5*$I5</f>
        <v/>
      </c>
      <c r="N5" s="4">
        <f>$E5*$X$1</f>
        <v/>
      </c>
      <c r="O5" s="4">
        <f>$I5/$G5</f>
        <v/>
      </c>
      <c r="P5" s="4">
        <f>$O5*$X$2</f>
        <v/>
      </c>
      <c r="Q5" s="4">
        <f>$N5+$P5</f>
        <v/>
      </c>
      <c r="R5" s="4">
        <f>$J5*$G5*$N5</f>
        <v/>
      </c>
      <c r="S5" s="4">
        <f>$J5*$G5*$P5</f>
        <v/>
      </c>
      <c r="T5" s="4">
        <f>$R5+$S5</f>
        <v/>
      </c>
    </row>
    <row r="6">
      <c r="A6" s="4" t="inlineStr">
        <is>
          <t>ETUDE</t>
        </is>
      </c>
      <c r="B6" s="4" t="inlineStr">
        <is>
          <t>Etude Baking Powder Crunch Pore Scrub</t>
        </is>
      </c>
      <c r="C6" s="4" t="inlineStr">
        <is>
          <t>2037596130970</t>
        </is>
      </c>
      <c r="D6" s="4" t="n">
        <v>5823</v>
      </c>
      <c r="E6" s="5" t="n">
        <v>6030</v>
      </c>
      <c r="F6" s="4">
        <f>$J6*$G6*$E6</f>
        <v/>
      </c>
      <c r="G6" s="5" t="n">
        <v>50</v>
      </c>
      <c r="H6" s="5" t="n">
        <v>0.024</v>
      </c>
      <c r="I6" s="5" t="n">
        <v>12.5</v>
      </c>
      <c r="J6" s="4">
        <f>ROUNDUP($D6/$G6,0)</f>
        <v/>
      </c>
      <c r="K6" s="4">
        <f>$J6*$H6</f>
        <v/>
      </c>
      <c r="L6" s="4">
        <f>SUMIF($A:$A,$A6,$K:$K)</f>
        <v/>
      </c>
      <c r="M6" s="4">
        <f>$J6*$I6</f>
        <v/>
      </c>
      <c r="N6" s="4">
        <f>$E6*$X$1</f>
        <v/>
      </c>
      <c r="O6" s="4">
        <f>$I6/$G6</f>
        <v/>
      </c>
      <c r="P6" s="4">
        <f>$O6*$X$2</f>
        <v/>
      </c>
      <c r="Q6" s="4">
        <f>$N6+$P6</f>
        <v/>
      </c>
      <c r="R6" s="4">
        <f>$J6*$G6*$N6</f>
        <v/>
      </c>
      <c r="S6" s="4">
        <f>$J6*$G6*$P6</f>
        <v/>
      </c>
      <c r="T6" s="4">
        <f>$R6+$S6</f>
        <v/>
      </c>
    </row>
    <row r="7">
      <c r="A7" s="4" t="inlineStr">
        <is>
          <t>CELIMAX</t>
        </is>
      </c>
      <c r="B7" s="4" t="inlineStr">
        <is>
          <t>CELIMAX THE VITA-A RETINOL SHOT TIGHTENING SERUM [30ml]</t>
        </is>
      </c>
      <c r="C7" s="4" t="inlineStr">
        <is>
          <t>8809700320805</t>
        </is>
      </c>
      <c r="D7" s="4" t="n">
        <v>4837</v>
      </c>
      <c r="E7" s="4" t="n">
        <v>10130</v>
      </c>
      <c r="F7" s="4">
        <f>$J7*$G7*$E7</f>
        <v/>
      </c>
      <c r="G7" s="4" t="n">
        <v>60</v>
      </c>
      <c r="H7" s="4" t="n">
        <v>0.018</v>
      </c>
      <c r="I7" s="4" t="n">
        <v>5.8</v>
      </c>
      <c r="J7" s="4">
        <f>ROUNDUP($D7/$G7,0)</f>
        <v/>
      </c>
      <c r="K7" s="4">
        <f>$J7*$H7</f>
        <v/>
      </c>
      <c r="L7" s="4">
        <f>SUMIF($A:$A,$A7,$K:$K)</f>
        <v/>
      </c>
      <c r="M7" s="4">
        <f>$J7*$I7</f>
        <v/>
      </c>
      <c r="N7" s="4">
        <f>$E7*$X$1</f>
        <v/>
      </c>
      <c r="O7" s="4">
        <f>$I7/$G7</f>
        <v/>
      </c>
      <c r="P7" s="4">
        <f>$O7*$X$2</f>
        <v/>
      </c>
      <c r="Q7" s="4">
        <f>$N7+$P7</f>
        <v/>
      </c>
      <c r="R7" s="4">
        <f>$J7*$G7*$N7</f>
        <v/>
      </c>
      <c r="S7" s="4">
        <f>$J7*$G7*$P7</f>
        <v/>
      </c>
      <c r="T7" s="4">
        <f>$R7+$S7</f>
        <v/>
      </c>
    </row>
    <row r="8">
      <c r="A8" s="4" t="inlineStr">
        <is>
          <t>Manyo</t>
        </is>
      </c>
      <c r="B8" s="4" t="inlineStr">
        <is>
          <t>Manyo_Galac_Vita_Serum</t>
        </is>
      </c>
      <c r="C8" s="4" t="inlineStr">
        <is>
          <t>2039239495040</t>
        </is>
      </c>
      <c r="D8" s="4" t="n">
        <v>4154</v>
      </c>
      <c r="E8" s="5" t="n">
        <v>11669</v>
      </c>
      <c r="F8" s="4">
        <f>$J8*$G8*$E8</f>
        <v/>
      </c>
      <c r="G8" s="5" t="n">
        <v>80</v>
      </c>
      <c r="H8" s="5" t="n">
        <v>0.02</v>
      </c>
      <c r="I8" s="5" t="n">
        <v>10.4</v>
      </c>
      <c r="J8" s="4">
        <f>ROUNDUP($D8/$G8,0)</f>
        <v/>
      </c>
      <c r="K8" s="4">
        <f>$J8*$H8</f>
        <v/>
      </c>
      <c r="L8" s="4">
        <f>SUMIF($A:$A,$A8,$K:$K)</f>
        <v/>
      </c>
      <c r="M8" s="4">
        <f>$J8*$I8</f>
        <v/>
      </c>
      <c r="N8" s="4">
        <f>$E8*$X$1</f>
        <v/>
      </c>
      <c r="O8" s="4">
        <f>$I8/$G8</f>
        <v/>
      </c>
      <c r="P8" s="4">
        <f>$O8*$X$2</f>
        <v/>
      </c>
      <c r="Q8" s="4">
        <f>$N8+$P8</f>
        <v/>
      </c>
      <c r="R8" s="4">
        <f>$J8*$G8*$N8</f>
        <v/>
      </c>
      <c r="S8" s="4">
        <f>$J8*$G8*$P8</f>
        <v/>
      </c>
      <c r="T8" s="4">
        <f>$R8+$S8</f>
        <v/>
      </c>
    </row>
    <row r="9">
      <c r="A9" s="4" t="inlineStr">
        <is>
          <t>Manyo</t>
        </is>
      </c>
      <c r="B9" s="4" t="inlineStr">
        <is>
          <t>Manyo_Complex_Ampoule</t>
        </is>
      </c>
      <c r="C9" s="4" t="inlineStr">
        <is>
          <t>2039239295145</t>
        </is>
      </c>
      <c r="D9" s="4" t="n">
        <v>2818</v>
      </c>
      <c r="E9" s="5" t="n">
        <v>16371</v>
      </c>
      <c r="F9" s="4">
        <f>$J9*$G9*$E9</f>
        <v/>
      </c>
      <c r="G9" s="5" t="n">
        <v>80</v>
      </c>
      <c r="H9" s="5" t="n">
        <v>0.02</v>
      </c>
      <c r="I9" s="5" t="n">
        <v>10.4</v>
      </c>
      <c r="J9" s="4">
        <f>ROUNDUP($D9/$G9,0)</f>
        <v/>
      </c>
      <c r="K9" s="4">
        <f>$J9*$H9</f>
        <v/>
      </c>
      <c r="L9" s="4">
        <f>SUMIF($A:$A,$A9,$K:$K)</f>
        <v/>
      </c>
      <c r="M9" s="4">
        <f>$J9*$I9</f>
        <v/>
      </c>
      <c r="N9" s="4">
        <f>$E9*$X$1</f>
        <v/>
      </c>
      <c r="O9" s="4">
        <f>$I9/$G9</f>
        <v/>
      </c>
      <c r="P9" s="4">
        <f>$O9*$X$2</f>
        <v/>
      </c>
      <c r="Q9" s="4">
        <f>$N9+$P9</f>
        <v/>
      </c>
      <c r="R9" s="4">
        <f>$J9*$G9*$N9</f>
        <v/>
      </c>
      <c r="S9" s="4">
        <f>$J9*$G9*$P9</f>
        <v/>
      </c>
      <c r="T9" s="4">
        <f>$R9+$S9</f>
        <v/>
      </c>
    </row>
    <row r="10">
      <c r="A10" s="4" t="inlineStr">
        <is>
          <t>JMSOLUTION</t>
        </is>
      </c>
      <c r="B10" s="4" t="inlineStr">
        <is>
          <t>JMSOLUTION - Mask Pack Disney</t>
        </is>
      </c>
      <c r="C10" s="4" t="inlineStr">
        <is>
          <t>2039610320817</t>
        </is>
      </c>
      <c r="D10" s="4" t="n">
        <v>1618</v>
      </c>
      <c r="E10" s="5" t="n">
        <v>7793</v>
      </c>
      <c r="F10" s="4">
        <f>$J10*$G10*$E10</f>
        <v/>
      </c>
      <c r="G10" s="5" t="n">
        <v>40</v>
      </c>
      <c r="H10" s="5" t="n">
        <v>0.03</v>
      </c>
      <c r="I10" s="5" t="n">
        <v>12</v>
      </c>
      <c r="J10" s="4">
        <f>ROUNDUP($D10/$G10,0)</f>
        <v/>
      </c>
      <c r="K10" s="4">
        <f>$J10*$H10</f>
        <v/>
      </c>
      <c r="L10" s="4">
        <f>SUMIF($A:$A,$A10,$K:$K)</f>
        <v/>
      </c>
      <c r="M10" s="4">
        <f>$J10*$I10</f>
        <v/>
      </c>
      <c r="N10" s="4">
        <f>$E10*$X$1</f>
        <v/>
      </c>
      <c r="O10" s="4">
        <f>$I10/$G10</f>
        <v/>
      </c>
      <c r="P10" s="4">
        <f>$O10*$X$2</f>
        <v/>
      </c>
      <c r="Q10" s="4">
        <f>$N10+$P10</f>
        <v/>
      </c>
      <c r="R10" s="4">
        <f>$J10*$G10*$N10</f>
        <v/>
      </c>
      <c r="S10" s="4">
        <f>$J10*$G10*$P10</f>
        <v/>
      </c>
      <c r="T10" s="4">
        <f>$R10+$S10</f>
        <v/>
      </c>
    </row>
    <row r="11">
      <c r="A11" s="4" t="inlineStr">
        <is>
          <t>ENOUGH</t>
        </is>
      </c>
      <c r="B11" s="4" t="inlineStr">
        <is>
          <t>Enough 8 Peptide Full Cover Perfect Foundation 21 тон</t>
        </is>
      </c>
      <c r="C11" s="4" t="inlineStr">
        <is>
          <t>2038199518745</t>
        </is>
      </c>
      <c r="D11" s="4" t="n">
        <v>501</v>
      </c>
      <c r="E11" s="5" t="n">
        <v>5393</v>
      </c>
      <c r="F11" s="4">
        <f>$J11*$G11*$E11</f>
        <v/>
      </c>
      <c r="G11" s="5" t="n">
        <v>100</v>
      </c>
      <c r="H11" s="5" t="n">
        <v>0.024</v>
      </c>
      <c r="I11" s="5" t="n">
        <v>10</v>
      </c>
      <c r="J11" s="4">
        <f>ROUNDUP($D11/$G11,0)</f>
        <v/>
      </c>
      <c r="K11" s="4">
        <f>$J11*$H11</f>
        <v/>
      </c>
      <c r="L11" s="4">
        <f>SUMIF($A:$A,$A11,$K:$K)</f>
        <v/>
      </c>
      <c r="M11" s="4">
        <f>$J11*$I11</f>
        <v/>
      </c>
      <c r="N11" s="4">
        <f>$E11*$X$1</f>
        <v/>
      </c>
      <c r="O11" s="4">
        <f>$I11/$G11</f>
        <v/>
      </c>
      <c r="P11" s="4">
        <f>$O11*$X$2</f>
        <v/>
      </c>
      <c r="Q11" s="4">
        <f>$N11+$P11</f>
        <v/>
      </c>
      <c r="R11" s="4">
        <f>$J11*$G11*$N11</f>
        <v/>
      </c>
      <c r="S11" s="4">
        <f>$J11*$G11*$P11</f>
        <v/>
      </c>
      <c r="T11" s="4">
        <f>$R11+$S11</f>
        <v/>
      </c>
    </row>
    <row r="12">
      <c r="A12" s="4" t="inlineStr">
        <is>
          <t>Manyo</t>
        </is>
      </c>
      <c r="B12" s="4" t="inlineStr">
        <is>
          <t>MANYO BIFIDA INFUSION SHOT AMPOULE 1DX [50ml]</t>
        </is>
      </c>
      <c r="C12" s="4" t="inlineStr">
        <is>
          <t>2049478612030</t>
        </is>
      </c>
      <c r="D12" s="4" t="n">
        <v>311</v>
      </c>
      <c r="E12" s="5" t="n">
        <v>18173</v>
      </c>
      <c r="F12" s="4">
        <f>$J12*$G12*$E12</f>
        <v/>
      </c>
      <c r="G12" s="5" t="n">
        <v>80</v>
      </c>
      <c r="H12" s="5" t="n">
        <v>0.022</v>
      </c>
      <c r="I12" s="5" t="n">
        <v>10.4</v>
      </c>
      <c r="J12" s="4">
        <f>ROUNDUP($D12/$G12,0)</f>
        <v/>
      </c>
      <c r="K12" s="4">
        <f>$J12*$H12</f>
        <v/>
      </c>
      <c r="L12" s="4">
        <f>SUMIF($A:$A,$A12,$K:$K)</f>
        <v/>
      </c>
      <c r="M12" s="4">
        <f>$J12*$I12</f>
        <v/>
      </c>
      <c r="N12" s="4">
        <f>$E12*$X$1</f>
        <v/>
      </c>
      <c r="O12" s="4">
        <f>$I12/$G12</f>
        <v/>
      </c>
      <c r="P12" s="4">
        <f>$O12*$X$2</f>
        <v/>
      </c>
      <c r="Q12" s="4">
        <f>$N12+$P12</f>
        <v/>
      </c>
      <c r="R12" s="4">
        <f>$J12*$G12*$N12</f>
        <v/>
      </c>
      <c r="S12" s="4">
        <f>$J12*$G12*$P12</f>
        <v/>
      </c>
      <c r="T12" s="4">
        <f>$R12+$S12</f>
        <v/>
      </c>
    </row>
    <row r="13">
      <c r="A13" s="6" t="n"/>
      <c r="B13" s="7" t="inlineStr">
        <is>
          <t>ИТОГО</t>
        </is>
      </c>
      <c r="C13" s="6" t="n"/>
      <c r="D13" s="7">
        <f>SUMPRODUCT(J3:J12,G3:G12)</f>
        <v/>
      </c>
      <c r="E13" s="6" t="n"/>
      <c r="F13" s="6" t="n"/>
      <c r="G13" s="6" t="n"/>
      <c r="H13" s="6" t="n"/>
      <c r="I13" s="6" t="n"/>
      <c r="J13" s="6" t="n"/>
      <c r="K13" s="7">
        <f>SUM(K3:K12)</f>
        <v/>
      </c>
      <c r="L13" s="6" t="n"/>
      <c r="M13" s="7">
        <f>SUM(M3:M12)</f>
        <v/>
      </c>
      <c r="N13" s="6" t="n"/>
      <c r="O13" s="6" t="n"/>
      <c r="P13" s="6" t="n"/>
      <c r="Q13" s="6" t="n"/>
      <c r="R13" s="7">
        <f>SUM(R3:R12)</f>
        <v/>
      </c>
      <c r="S13" s="7">
        <f>SUM(S3:S12)</f>
        <v/>
      </c>
      <c r="T13" s="7">
        <f>SUM(T3:T12)</f>
        <v/>
      </c>
    </row>
    <row r="15">
      <c r="B15" t="inlineStr">
        <is>
          <t>Вес, т</t>
        </is>
      </c>
      <c r="D15">
        <f>M13/1000</f>
        <v/>
      </c>
    </row>
    <row r="16">
      <c r="B16" t="inlineStr">
        <is>
          <t>Заполнение %</t>
        </is>
      </c>
      <c r="D16">
        <f>M13/26000*100</f>
        <v/>
      </c>
    </row>
    <row r="18">
      <c r="B18" s="8" t="inlineStr">
        <is>
          <t>Сезонность по ФАКТУ заказов 2025 (окно сен-дек ×0.97) + 2 магазина ×1.6. Оранж=оценка.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t="inlineStr">
        <is>
          <t>Месяц</t>
        </is>
      </c>
      <c r="B1" t="inlineStr">
        <is>
          <t>Заказы косметики, шт</t>
        </is>
      </c>
      <c r="C1" t="inlineStr">
        <is>
          <t>Индекс сезонности</t>
        </is>
      </c>
    </row>
    <row r="2">
      <c r="A2" t="inlineStr">
        <is>
          <t>Янв</t>
        </is>
      </c>
      <c r="B2" t="n">
        <v>38646</v>
      </c>
      <c r="C2" t="n">
        <v>1.62</v>
      </c>
    </row>
    <row r="3">
      <c r="A3" t="inlineStr">
        <is>
          <t>Фев</t>
        </is>
      </c>
      <c r="B3" t="n">
        <v>22293</v>
      </c>
      <c r="C3" t="n">
        <v>0.9399999999999999</v>
      </c>
    </row>
    <row r="4">
      <c r="A4" t="inlineStr">
        <is>
          <t>Мар</t>
        </is>
      </c>
      <c r="B4" t="n">
        <v>27124</v>
      </c>
      <c r="C4" t="n">
        <v>1.14</v>
      </c>
    </row>
    <row r="5">
      <c r="A5" t="inlineStr">
        <is>
          <t>Апр</t>
        </is>
      </c>
      <c r="B5" t="n">
        <v>27490</v>
      </c>
      <c r="C5" t="n">
        <v>1.15</v>
      </c>
    </row>
    <row r="6">
      <c r="A6" t="inlineStr">
        <is>
          <t>Май</t>
        </is>
      </c>
      <c r="B6" t="n">
        <v>19552</v>
      </c>
      <c r="C6" t="n">
        <v>0.82</v>
      </c>
    </row>
    <row r="7">
      <c r="A7" t="inlineStr">
        <is>
          <t>Июн</t>
        </is>
      </c>
      <c r="B7" t="n">
        <v>18960</v>
      </c>
      <c r="C7" t="n">
        <v>0.8</v>
      </c>
    </row>
    <row r="8">
      <c r="A8" t="inlineStr">
        <is>
          <t>Июл</t>
        </is>
      </c>
      <c r="B8" t="n">
        <v>15646</v>
      </c>
      <c r="C8" t="n">
        <v>0.66</v>
      </c>
    </row>
    <row r="9">
      <c r="A9" t="inlineStr">
        <is>
          <t>Авг</t>
        </is>
      </c>
      <c r="B9" t="n">
        <v>23965</v>
      </c>
      <c r="C9" t="n">
        <v>1.01</v>
      </c>
    </row>
    <row r="10">
      <c r="A10" t="inlineStr">
        <is>
          <t>Сен</t>
        </is>
      </c>
      <c r="B10" t="n">
        <v>17067</v>
      </c>
      <c r="C10" t="n">
        <v>0.72</v>
      </c>
    </row>
    <row r="11">
      <c r="A11" t="inlineStr">
        <is>
          <t>Окт</t>
        </is>
      </c>
      <c r="B11" t="n">
        <v>22655</v>
      </c>
      <c r="C11" t="n">
        <v>0.95</v>
      </c>
    </row>
    <row r="12">
      <c r="A12" t="inlineStr">
        <is>
          <t>Ноя</t>
        </is>
      </c>
      <c r="B12" t="n">
        <v>24334</v>
      </c>
      <c r="C12" t="n">
        <v>1.02</v>
      </c>
    </row>
    <row r="13">
      <c r="A13" t="inlineStr">
        <is>
          <t>Дек</t>
        </is>
      </c>
      <c r="B13" t="n">
        <v>28098</v>
      </c>
      <c r="C13" t="n">
        <v>1.18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2026-07-01T08:01:00Z</dcterms:created>
  <dcterms:modified xsi:type="dcterms:W3CDTF">2026-07-01T08:01:00Z</dcterms:modified>
</cp:coreProperties>
</file>
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каз предварительны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2" borderId="1" pivotButton="0" quotePrefix="0" xfId="0"/>
    <xf numFmtId="0" fontId="0" fillId="4" borderId="0" pivotButton="0" quotePrefix="0" xfId="0"/>
    <xf numFmtId="0" fontId="1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6" customWidth="1" min="3" max="3"/>
    <col width="13" customWidth="1" min="4" max="4"/>
    <col width="11" customWidth="1" min="5" max="5"/>
    <col width="14" customWidth="1" min="6" max="6"/>
    <col width="9" customWidth="1" min="7" max="7"/>
    <col width="11" customWidth="1" min="8" max="8"/>
    <col width="11" customWidth="1" min="9" max="9"/>
    <col width="11" customWidth="1" min="10" max="10"/>
    <col width="9" customWidth="1" min="11" max="11"/>
    <col width="13" customWidth="1" min="12" max="12"/>
    <col width="11" customWidth="1" min="13" max="13"/>
    <col width="13" customWidth="1" min="14" max="14"/>
    <col width="11" customWidth="1" min="15" max="15"/>
    <col width="15" customWidth="1" min="16" max="16"/>
    <col width="15" customWidth="1" min="17" max="17"/>
    <col width="16" customWidth="1" min="18" max="18"/>
    <col width="18" customWidth="1" min="19" max="19"/>
    <col width="18" customWidth="1" min="20" max="20"/>
  </cols>
  <sheetData>
    <row r="1">
      <c r="W1" s="1" t="inlineStr">
        <is>
          <t>Курс KRW→RUB</t>
        </is>
      </c>
      <c r="X1" s="2" t="n">
        <v>0.0538</v>
      </c>
    </row>
    <row r="2">
      <c r="A2" s="3" t="inlineStr">
        <is>
          <t>Бренд</t>
        </is>
      </c>
      <c r="B2" s="3" t="inlineStr">
        <is>
          <t>Название</t>
        </is>
      </c>
      <c r="C2" s="3" t="inlineStr">
        <is>
          <t>Баркод</t>
        </is>
      </c>
      <c r="D2" s="3" t="inlineStr">
        <is>
          <t>Примерное кол-во для заказа</t>
        </is>
      </c>
      <c r="E2" s="3" t="inlineStr">
        <is>
          <t>цена</t>
        </is>
      </c>
      <c r="F2" s="3" t="inlineStr">
        <is>
          <t>итого</t>
        </is>
      </c>
      <c r="G2" s="3" t="inlineStr">
        <is>
          <t>в коробе</t>
        </is>
      </c>
      <c r="H2" s="3" t="inlineStr">
        <is>
          <t>Объем короба</t>
        </is>
      </c>
      <c r="I2" s="3" t="inlineStr">
        <is>
          <t>Вес короба кг</t>
        </is>
      </c>
      <c r="J2" s="3" t="inlineStr">
        <is>
          <t>Коробок в заказ</t>
        </is>
      </c>
      <c r="K2" s="3" t="inlineStr">
        <is>
          <t>Объем</t>
        </is>
      </c>
      <c r="L2" s="3" t="inlineStr">
        <is>
          <t>Объем по бренду</t>
        </is>
      </c>
      <c r="M2" s="3" t="inlineStr">
        <is>
          <t>Вес кг</t>
        </is>
      </c>
      <c r="N2" s="3" t="inlineStr">
        <is>
          <t>Закупка 1 шт, руб.</t>
        </is>
      </c>
      <c r="O2" s="3" t="inlineStr">
        <is>
          <t>Вес 1 шт, кг</t>
        </is>
      </c>
      <c r="P2" s="3" t="inlineStr">
        <is>
          <t>Логистика+таможня 1 шт, руб.</t>
        </is>
      </c>
      <c r="Q2" s="3" t="inlineStr">
        <is>
          <t>Себестоимость 1 шт, руб.</t>
        </is>
      </c>
      <c r="R2" s="3" t="inlineStr">
        <is>
          <t>Закупка всего, руб.</t>
        </is>
      </c>
      <c r="S2" s="3" t="inlineStr">
        <is>
          <t>Логистика+таможня всего, руб.</t>
        </is>
      </c>
      <c r="T2" s="3" t="inlineStr">
        <is>
          <t>Себестоимость всего, руб.</t>
        </is>
      </c>
      <c r="W2" s="1" t="inlineStr">
        <is>
          <t>Логистика, руб/кг</t>
        </is>
      </c>
      <c r="X2" s="2" t="n">
        <v>146.4</v>
      </c>
    </row>
    <row r="3">
      <c r="A3" s="4" t="inlineStr">
        <is>
          <t>Round Lab</t>
        </is>
      </c>
      <c r="B3" s="4" t="inlineStr">
        <is>
          <t>ROUND LAB 1025 DOKDO CLEANSER_150ml</t>
        </is>
      </c>
      <c r="C3" s="4" t="n">
        <v>8809738608364</v>
      </c>
      <c r="D3" s="4" t="n">
        <v>21144</v>
      </c>
      <c r="E3" s="4" t="n">
        <v>6220</v>
      </c>
      <c r="F3" s="4">
        <f>IF(OR($G3="",$E3=""),"",$J3*$G3*$E3)</f>
        <v/>
      </c>
      <c r="G3" s="4" t="n">
        <v>30</v>
      </c>
      <c r="H3" s="4" t="n">
        <v>0.022</v>
      </c>
      <c r="I3" s="4" t="n">
        <v>7</v>
      </c>
      <c r="J3" s="4">
        <f>IF($G3="","",ROUNDUP($D3/$G3,0))</f>
        <v/>
      </c>
      <c r="K3" s="4">
        <f>IF($J3="","",$J3*$H3)</f>
        <v/>
      </c>
      <c r="L3" s="4">
        <f>IF($K3="","",SUMIF($A:$A,$A3,$K:$K))</f>
        <v/>
      </c>
      <c r="M3" s="4">
        <f>IF($J3="","",$J3*$I3)</f>
        <v/>
      </c>
      <c r="N3" s="4">
        <f>IF($E3="","",$E3*$X$1)</f>
        <v/>
      </c>
      <c r="O3" s="4">
        <f>IF($G3="","",$I3/$G3)</f>
        <v/>
      </c>
      <c r="P3" s="4">
        <f>IF($O3="","",$O3*$X$2)</f>
        <v/>
      </c>
      <c r="Q3" s="4">
        <f>IF($N3="","",$N3+$P3)</f>
        <v/>
      </c>
      <c r="R3" s="4">
        <f>IF($J3="","",$J3*$G3*$N3)</f>
        <v/>
      </c>
      <c r="S3" s="4">
        <f>IF($J3="","",$J3*$G3*$P3)</f>
        <v/>
      </c>
      <c r="T3" s="4">
        <f>IF($R3="","",$R3+$S3)</f>
        <v/>
      </c>
    </row>
    <row r="4">
      <c r="A4" s="4" t="inlineStr">
        <is>
          <t>CELIMAX</t>
        </is>
      </c>
      <c r="B4" s="4" t="inlineStr">
        <is>
          <t>Celimax Dual Barrier Creamy Toner</t>
        </is>
      </c>
      <c r="C4" s="4" t="n">
        <v>8809606850475</v>
      </c>
      <c r="D4" s="4" t="n">
        <v>32634</v>
      </c>
      <c r="E4" s="4" t="n">
        <v>8930</v>
      </c>
      <c r="F4" s="4">
        <f>IF(OR($G4="",$E4=""),"",$J4*$G4*$E4)</f>
        <v/>
      </c>
      <c r="G4" s="4" t="n">
        <v>24</v>
      </c>
      <c r="H4" s="4" t="n">
        <v>0.0155</v>
      </c>
      <c r="I4" s="4" t="n">
        <v>6.1</v>
      </c>
      <c r="J4" s="4">
        <f>IF($G4="","",ROUNDUP($D4/$G4,0))</f>
        <v/>
      </c>
      <c r="K4" s="4">
        <f>IF($J4="","",$J4*$H4)</f>
        <v/>
      </c>
      <c r="L4" s="4">
        <f>IF($K4="","",SUMIF($A:$A,$A4,$K:$K))</f>
        <v/>
      </c>
      <c r="M4" s="4">
        <f>IF($J4="","",$J4*$I4)</f>
        <v/>
      </c>
      <c r="N4" s="4">
        <f>IF($E4="","",$E4*$X$1)</f>
        <v/>
      </c>
      <c r="O4" s="4">
        <f>IF($G4="","",$I4/$G4)</f>
        <v/>
      </c>
      <c r="P4" s="4">
        <f>IF($O4="","",$O4*$X$2)</f>
        <v/>
      </c>
      <c r="Q4" s="4">
        <f>IF($N4="","",$N4+$P4)</f>
        <v/>
      </c>
      <c r="R4" s="4">
        <f>IF($J4="","",$J4*$G4*$N4)</f>
        <v/>
      </c>
      <c r="S4" s="4">
        <f>IF($J4="","",$J4*$G4*$P4)</f>
        <v/>
      </c>
      <c r="T4" s="4">
        <f>IF($R4="","",$R4+$S4)</f>
        <v/>
      </c>
    </row>
    <row r="5">
      <c r="A5" s="4" t="inlineStr">
        <is>
          <t>CELIMAX</t>
        </is>
      </c>
      <c r="B5" s="4" t="inlineStr">
        <is>
          <t>CELIMAX THE VITA-A RETINOL SHOT TIGHTENING SERUM [30ml]</t>
        </is>
      </c>
      <c r="C5" s="4" t="inlineStr">
        <is>
          <t>551465879</t>
        </is>
      </c>
      <c r="D5" s="4" t="n">
        <v>3666</v>
      </c>
      <c r="E5" s="5" t="n"/>
      <c r="F5" s="4">
        <f>IF(OR($G5="",$E5=""),"",$J5*$G5*$E5)</f>
        <v/>
      </c>
      <c r="G5" s="5" t="n"/>
      <c r="H5" s="5" t="n"/>
      <c r="I5" s="5" t="n"/>
      <c r="J5" s="4">
        <f>IF($G5="","",ROUNDUP($D5/$G5,0))</f>
        <v/>
      </c>
      <c r="K5" s="4">
        <f>IF($J5="","",$J5*$H5)</f>
        <v/>
      </c>
      <c r="L5" s="4">
        <f>IF($K5="","",SUMIF($A:$A,$A5,$K:$K))</f>
        <v/>
      </c>
      <c r="M5" s="4">
        <f>IF($J5="","",$J5*$I5)</f>
        <v/>
      </c>
      <c r="N5" s="4">
        <f>IF($E5="","",$E5*$X$1)</f>
        <v/>
      </c>
      <c r="O5" s="4">
        <f>IF($G5="","",$I5/$G5)</f>
        <v/>
      </c>
      <c r="P5" s="4">
        <f>IF($O5="","",$O5*$X$2)</f>
        <v/>
      </c>
      <c r="Q5" s="4">
        <f>IF($N5="","",$N5+$P5)</f>
        <v/>
      </c>
      <c r="R5" s="4">
        <f>IF($J5="","",$J5*$G5*$N5)</f>
        <v/>
      </c>
      <c r="S5" s="4">
        <f>IF($J5="","",$J5*$G5*$P5)</f>
        <v/>
      </c>
      <c r="T5" s="4">
        <f>IF($R5="","",$R5+$S5)</f>
        <v/>
      </c>
    </row>
    <row r="6">
      <c r="A6" s="4" t="inlineStr">
        <is>
          <t>ENOUGH</t>
        </is>
      </c>
      <c r="B6" s="4" t="inlineStr">
        <is>
          <t>ENOUGH - Collagen Moisture Essential Cream [50ml] N</t>
        </is>
      </c>
      <c r="C6" s="4" t="inlineStr">
        <is>
          <t>238415286</t>
        </is>
      </c>
      <c r="D6" s="4" t="n">
        <v>7257</v>
      </c>
      <c r="E6" s="5" t="n"/>
      <c r="F6" s="4">
        <f>IF(OR($G6="",$E6=""),"",$J6*$G6*$E6)</f>
        <v/>
      </c>
      <c r="G6" s="5" t="n"/>
      <c r="H6" s="5" t="n"/>
      <c r="I6" s="5" t="n"/>
      <c r="J6" s="4">
        <f>IF($G6="","",ROUNDUP($D6/$G6,0))</f>
        <v/>
      </c>
      <c r="K6" s="4">
        <f>IF($J6="","",$J6*$H6)</f>
        <v/>
      </c>
      <c r="L6" s="4">
        <f>IF($K6="","",SUMIF($A:$A,$A6,$K:$K))</f>
        <v/>
      </c>
      <c r="M6" s="4">
        <f>IF($J6="","",$J6*$I6)</f>
        <v/>
      </c>
      <c r="N6" s="4">
        <f>IF($E6="","",$E6*$X$1)</f>
        <v/>
      </c>
      <c r="O6" s="4">
        <f>IF($G6="","",$I6/$G6)</f>
        <v/>
      </c>
      <c r="P6" s="4">
        <f>IF($O6="","",$O6*$X$2)</f>
        <v/>
      </c>
      <c r="Q6" s="4">
        <f>IF($N6="","",$N6+$P6)</f>
        <v/>
      </c>
      <c r="R6" s="4">
        <f>IF($J6="","",$J6*$G6*$N6)</f>
        <v/>
      </c>
      <c r="S6" s="4">
        <f>IF($J6="","",$J6*$G6*$P6)</f>
        <v/>
      </c>
      <c r="T6" s="4">
        <f>IF($R6="","",$R6+$S6)</f>
        <v/>
      </c>
    </row>
    <row r="7">
      <c r="A7" s="4" t="inlineStr">
        <is>
          <t>MANYO_GALAC_VITA_SERUM</t>
        </is>
      </c>
      <c r="B7" s="4" t="inlineStr">
        <is>
          <t>Manyo_Galac_Vita_Serum</t>
        </is>
      </c>
      <c r="C7" s="4" t="inlineStr">
        <is>
          <t>198156472</t>
        </is>
      </c>
      <c r="D7" s="4" t="n">
        <v>1428</v>
      </c>
      <c r="E7" s="5" t="n"/>
      <c r="F7" s="4">
        <f>IF(OR($G7="",$E7=""),"",$J7*$G7*$E7)</f>
        <v/>
      </c>
      <c r="G7" s="5" t="n"/>
      <c r="H7" s="5" t="n"/>
      <c r="I7" s="5" t="n"/>
      <c r="J7" s="4">
        <f>IF($G7="","",ROUNDUP($D7/$G7,0))</f>
        <v/>
      </c>
      <c r="K7" s="4">
        <f>IF($J7="","",$J7*$H7)</f>
        <v/>
      </c>
      <c r="L7" s="4">
        <f>IF($K7="","",SUMIF($A:$A,$A7,$K:$K))</f>
        <v/>
      </c>
      <c r="M7" s="4">
        <f>IF($J7="","",$J7*$I7)</f>
        <v/>
      </c>
      <c r="N7" s="4">
        <f>IF($E7="","",$E7*$X$1)</f>
        <v/>
      </c>
      <c r="O7" s="4">
        <f>IF($G7="","",$I7/$G7)</f>
        <v/>
      </c>
      <c r="P7" s="4">
        <f>IF($O7="","",$O7*$X$2)</f>
        <v/>
      </c>
      <c r="Q7" s="4">
        <f>IF($N7="","",$N7+$P7)</f>
        <v/>
      </c>
      <c r="R7" s="4">
        <f>IF($J7="","",$J7*$G7*$N7)</f>
        <v/>
      </c>
      <c r="S7" s="4">
        <f>IF($J7="","",$J7*$G7*$P7)</f>
        <v/>
      </c>
      <c r="T7" s="4">
        <f>IF($R7="","",$R7+$S7)</f>
        <v/>
      </c>
    </row>
    <row r="8">
      <c r="A8" s="4" t="inlineStr">
        <is>
          <t>MANYO_COMPLEX_AMPOULE</t>
        </is>
      </c>
      <c r="B8" s="4" t="inlineStr">
        <is>
          <t>Manyo_Complex_Ampoule</t>
        </is>
      </c>
      <c r="C8" s="4" t="inlineStr">
        <is>
          <t>198147185</t>
        </is>
      </c>
      <c r="D8" s="4" t="n">
        <v>879</v>
      </c>
      <c r="E8" s="5" t="n"/>
      <c r="F8" s="4">
        <f>IF(OR($G8="",$E8=""),"",$J8*$G8*$E8)</f>
        <v/>
      </c>
      <c r="G8" s="5" t="n"/>
      <c r="H8" s="5" t="n"/>
      <c r="I8" s="5" t="n"/>
      <c r="J8" s="4">
        <f>IF($G8="","",ROUNDUP($D8/$G8,0))</f>
        <v/>
      </c>
      <c r="K8" s="4">
        <f>IF($J8="","",$J8*$H8)</f>
        <v/>
      </c>
      <c r="L8" s="4">
        <f>IF($K8="","",SUMIF($A:$A,$A8,$K:$K))</f>
        <v/>
      </c>
      <c r="M8" s="4">
        <f>IF($J8="","",$J8*$I8)</f>
        <v/>
      </c>
      <c r="N8" s="4">
        <f>IF($E8="","",$E8*$X$1)</f>
        <v/>
      </c>
      <c r="O8" s="4">
        <f>IF($G8="","",$I8/$G8)</f>
        <v/>
      </c>
      <c r="P8" s="4">
        <f>IF($O8="","",$O8*$X$2)</f>
        <v/>
      </c>
      <c r="Q8" s="4">
        <f>IF($N8="","",$N8+$P8)</f>
        <v/>
      </c>
      <c r="R8" s="4">
        <f>IF($J8="","",$J8*$G8*$N8)</f>
        <v/>
      </c>
      <c r="S8" s="4">
        <f>IF($J8="","",$J8*$G8*$P8)</f>
        <v/>
      </c>
      <c r="T8" s="4">
        <f>IF($R8="","",$R8+$S8)</f>
        <v/>
      </c>
    </row>
    <row r="9">
      <c r="A9" s="4" t="inlineStr">
        <is>
          <t>MANYO</t>
        </is>
      </c>
      <c r="B9" s="4" t="inlineStr">
        <is>
          <t>MANYO BIFIDA INFUSION SHOT AMPOULE 1DX [50ml]</t>
        </is>
      </c>
      <c r="C9" s="4" t="inlineStr">
        <is>
          <t>868700077</t>
        </is>
      </c>
      <c r="D9" s="4" t="n">
        <v>221</v>
      </c>
      <c r="E9" s="5" t="n"/>
      <c r="F9" s="4">
        <f>IF(OR($G9="",$E9=""),"",$J9*$G9*$E9)</f>
        <v/>
      </c>
      <c r="G9" s="5" t="n"/>
      <c r="H9" s="5" t="n"/>
      <c r="I9" s="5" t="n"/>
      <c r="J9" s="4">
        <f>IF($G9="","",ROUNDUP($D9/$G9,0))</f>
        <v/>
      </c>
      <c r="K9" s="4">
        <f>IF($J9="","",$J9*$H9)</f>
        <v/>
      </c>
      <c r="L9" s="4">
        <f>IF($K9="","",SUMIF($A:$A,$A9,$K:$K))</f>
        <v/>
      </c>
      <c r="M9" s="4">
        <f>IF($J9="","",$J9*$I9)</f>
        <v/>
      </c>
      <c r="N9" s="4">
        <f>IF($E9="","",$E9*$X$1)</f>
        <v/>
      </c>
      <c r="O9" s="4">
        <f>IF($G9="","",$I9/$G9)</f>
        <v/>
      </c>
      <c r="P9" s="4">
        <f>IF($O9="","",$O9*$X$2)</f>
        <v/>
      </c>
      <c r="Q9" s="4">
        <f>IF($N9="","",$N9+$P9)</f>
        <v/>
      </c>
      <c r="R9" s="4">
        <f>IF($J9="","",$J9*$G9*$N9)</f>
        <v/>
      </c>
      <c r="S9" s="4">
        <f>IF($J9="","",$J9*$G9*$P9)</f>
        <v/>
      </c>
      <c r="T9" s="4">
        <f>IF($R9="","",$R9+$S9)</f>
        <v/>
      </c>
    </row>
    <row r="10">
      <c r="A10" s="4" t="inlineStr">
        <is>
          <t>JMSOLUTION</t>
        </is>
      </c>
      <c r="B10" s="4" t="inlineStr">
        <is>
          <t>JMSOLUTION - Mask Pack Disney</t>
        </is>
      </c>
      <c r="C10" s="4" t="inlineStr">
        <is>
          <t>214964091</t>
        </is>
      </c>
      <c r="D10" s="4" t="n">
        <v>1224</v>
      </c>
      <c r="E10" s="5" t="n"/>
      <c r="F10" s="4">
        <f>IF(OR($G10="",$E10=""),"",$J10*$G10*$E10)</f>
        <v/>
      </c>
      <c r="G10" s="5" t="n"/>
      <c r="H10" s="5" t="n"/>
      <c r="I10" s="5" t="n"/>
      <c r="J10" s="4">
        <f>IF($G10="","",ROUNDUP($D10/$G10,0))</f>
        <v/>
      </c>
      <c r="K10" s="4">
        <f>IF($J10="","",$J10*$H10)</f>
        <v/>
      </c>
      <c r="L10" s="4">
        <f>IF($K10="","",SUMIF($A:$A,$A10,$K:$K))</f>
        <v/>
      </c>
      <c r="M10" s="4">
        <f>IF($J10="","",$J10*$I10)</f>
        <v/>
      </c>
      <c r="N10" s="4">
        <f>IF($E10="","",$E10*$X$1)</f>
        <v/>
      </c>
      <c r="O10" s="4">
        <f>IF($G10="","",$I10/$G10)</f>
        <v/>
      </c>
      <c r="P10" s="4">
        <f>IF($O10="","",$O10*$X$2)</f>
        <v/>
      </c>
      <c r="Q10" s="4">
        <f>IF($N10="","",$N10+$P10)</f>
        <v/>
      </c>
      <c r="R10" s="4">
        <f>IF($J10="","",$J10*$G10*$N10)</f>
        <v/>
      </c>
      <c r="S10" s="4">
        <f>IF($J10="","",$J10*$G10*$P10)</f>
        <v/>
      </c>
      <c r="T10" s="4">
        <f>IF($R10="","",$R10+$S10)</f>
        <v/>
      </c>
    </row>
    <row r="11">
      <c r="A11" s="4" t="inlineStr">
        <is>
          <t>ETUDE</t>
        </is>
      </c>
      <c r="B11" s="4" t="inlineStr">
        <is>
          <t>Etude Baking Powder Crunch Pore Scrub</t>
        </is>
      </c>
      <c r="C11" s="4" t="inlineStr">
        <is>
          <t>151313163</t>
        </is>
      </c>
      <c r="D11" s="4" t="n">
        <v>4840</v>
      </c>
      <c r="E11" s="5" t="n"/>
      <c r="F11" s="4">
        <f>IF(OR($G11="",$E11=""),"",$J11*$G11*$E11)</f>
        <v/>
      </c>
      <c r="G11" s="5" t="n"/>
      <c r="H11" s="5" t="n"/>
      <c r="I11" s="5" t="n"/>
      <c r="J11" s="4">
        <f>IF($G11="","",ROUNDUP($D11/$G11,0))</f>
        <v/>
      </c>
      <c r="K11" s="4">
        <f>IF($J11="","",$J11*$H11)</f>
        <v/>
      </c>
      <c r="L11" s="4">
        <f>IF($K11="","",SUMIF($A:$A,$A11,$K:$K))</f>
        <v/>
      </c>
      <c r="M11" s="4">
        <f>IF($J11="","",$J11*$I11)</f>
        <v/>
      </c>
      <c r="N11" s="4">
        <f>IF($E11="","",$E11*$X$1)</f>
        <v/>
      </c>
      <c r="O11" s="4">
        <f>IF($G11="","",$I11/$G11)</f>
        <v/>
      </c>
      <c r="P11" s="4">
        <f>IF($O11="","",$O11*$X$2)</f>
        <v/>
      </c>
      <c r="Q11" s="4">
        <f>IF($N11="","",$N11+$P11)</f>
        <v/>
      </c>
      <c r="R11" s="4">
        <f>IF($J11="","",$J11*$G11*$N11)</f>
        <v/>
      </c>
      <c r="S11" s="4">
        <f>IF($J11="","",$J11*$G11*$P11)</f>
        <v/>
      </c>
      <c r="T11" s="4">
        <f>IF($R11="","",$R11+$S11)</f>
        <v/>
      </c>
    </row>
    <row r="12">
      <c r="A12" s="4" t="inlineStr">
        <is>
          <t>ENOUGH</t>
        </is>
      </c>
      <c r="B12" s="4" t="inlineStr">
        <is>
          <t>Enough 8 Peptide Full Cover Perfect Foundation 21 тон</t>
        </is>
      </c>
      <c r="C12" s="4" t="inlineStr">
        <is>
          <t>170198337</t>
        </is>
      </c>
      <c r="D12" s="4" t="n">
        <v>991</v>
      </c>
      <c r="E12" s="5" t="n"/>
      <c r="F12" s="4">
        <f>IF(OR($G12="",$E12=""),"",$J12*$G12*$E12)</f>
        <v/>
      </c>
      <c r="G12" s="5" t="n"/>
      <c r="H12" s="5" t="n"/>
      <c r="I12" s="5" t="n"/>
      <c r="J12" s="4">
        <f>IF($G12="","",ROUNDUP($D12/$G12,0))</f>
        <v/>
      </c>
      <c r="K12" s="4">
        <f>IF($J12="","",$J12*$H12)</f>
        <v/>
      </c>
      <c r="L12" s="4">
        <f>IF($K12="","",SUMIF($A:$A,$A12,$K:$K))</f>
        <v/>
      </c>
      <c r="M12" s="4">
        <f>IF($J12="","",$J12*$I12)</f>
        <v/>
      </c>
      <c r="N12" s="4">
        <f>IF($E12="","",$E12*$X$1)</f>
        <v/>
      </c>
      <c r="O12" s="4">
        <f>IF($G12="","",$I12/$G12)</f>
        <v/>
      </c>
      <c r="P12" s="4">
        <f>IF($O12="","",$O12*$X$2)</f>
        <v/>
      </c>
      <c r="Q12" s="4">
        <f>IF($N12="","",$N12+$P12)</f>
        <v/>
      </c>
      <c r="R12" s="4">
        <f>IF($J12="","",$J12*$G12*$N12)</f>
        <v/>
      </c>
      <c r="S12" s="4">
        <f>IF($J12="","",$J12*$G12*$P12)</f>
        <v/>
      </c>
      <c r="T12" s="4">
        <f>IF($R12="","",$R12+$S12)</f>
        <v/>
      </c>
    </row>
    <row r="13">
      <c r="A13" s="6" t="n"/>
      <c r="B13" s="7" t="inlineStr">
        <is>
          <t>ИТОГО по контейнеру</t>
        </is>
      </c>
      <c r="C13" s="6" t="n"/>
      <c r="D13" s="7">
        <f>SUM(D3:D12)</f>
        <v/>
      </c>
      <c r="E13" s="6" t="n"/>
      <c r="F13" s="6" t="n"/>
      <c r="G13" s="6" t="n"/>
      <c r="H13" s="6" t="n"/>
      <c r="I13" s="6" t="n"/>
      <c r="J13" s="6" t="n"/>
      <c r="K13" s="7">
        <f>SUM(K3:K12)</f>
        <v/>
      </c>
      <c r="L13" s="6" t="n"/>
      <c r="M13" s="7">
        <f>SUM(M3:M12)</f>
        <v/>
      </c>
      <c r="N13" s="6" t="n"/>
      <c r="O13" s="6" t="n"/>
      <c r="P13" s="6" t="n"/>
      <c r="Q13" s="6" t="n"/>
      <c r="R13" s="7">
        <f>SUM(R3:R12)</f>
        <v/>
      </c>
      <c r="S13" s="7">
        <f>SUM(S3:S12)</f>
        <v/>
      </c>
      <c r="T13" s="7">
        <f>SUM(T3:T12)</f>
        <v/>
      </c>
    </row>
    <row r="15">
      <c r="B15" s="8" t="inlineStr">
        <is>
          <t>Лимит 40ft: 26 т / 120 000 шт</t>
        </is>
      </c>
    </row>
    <row r="16">
      <c r="B16" t="inlineStr">
        <is>
          <t>Вес контейнера, т</t>
        </is>
      </c>
      <c r="D16">
        <f>M13/1000</f>
        <v/>
      </c>
    </row>
    <row r="17">
      <c r="B17" t="inlineStr">
        <is>
          <t>Заполнение по весу, %</t>
        </is>
      </c>
      <c r="D17">
        <f>M13/26000*100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2026-06-30T11:44:11Z</dcterms:created>
  <dcterms:modified xsi:type="dcterms:W3CDTF">2026-06-30T11:44:11Z</dcterms:modified>
</cp:coreProperties>
</file>
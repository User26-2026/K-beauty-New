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до конца ноября" sheetId="1" state="visible" r:id="rId1"/>
    <sheet name="Сезонность" sheetId="2" state="visible" r:id="rId2"/>
    <sheet name="Расчёт по месяц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4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6" customWidth="1" min="4" max="4"/>
    <col width="22" customWidth="1" min="5" max="5"/>
    <col width="15" customWidth="1" min="6" max="6"/>
    <col width="18" customWidth="1" min="7" max="7"/>
    <col width="26" customWidth="1" min="8" max="8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Хранение в день за ед., руб</t>
        </is>
      </c>
      <c r="E1" s="1" t="inlineStr">
        <is>
          <t>Хранение до конца ноября всего (без продаж), руб</t>
        </is>
      </c>
      <c r="F1" s="1" t="inlineStr">
        <is>
          <t>Выкуп/день, шт (100 дн)</t>
        </is>
      </c>
      <c r="G1" s="1" t="inlineStr">
        <is>
          <t>Прогноз остатка к 30.11 (с сезонностью), шт</t>
        </is>
      </c>
      <c r="H1" s="1" t="inlineStr">
        <is>
          <t>Хранение до конца ноября с продажами и сезонностью,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 t="n">
        <v>0.1612</v>
      </c>
      <c r="E2" s="5">
        <f>D2*C2*SUM('Сезонность'!$B$2:$B$7)</f>
        <v/>
      </c>
      <c r="F2" s="5" t="n">
        <v>1.46</v>
      </c>
      <c r="G2" s="3">
        <f>'Расчёт по месяцам'!L2</f>
        <v/>
      </c>
      <c r="H2" s="5">
        <f>'Расчёт по месяцам'!N2</f>
        <v/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 t="n">
        <v>0.1595</v>
      </c>
      <c r="E3" s="5">
        <f>D3*C3*SUM('Сезонность'!$B$2:$B$7)</f>
        <v/>
      </c>
      <c r="F3" s="5" t="n">
        <v>0.77</v>
      </c>
      <c r="G3" s="3">
        <f>'Расчёт по месяцам'!L3</f>
        <v/>
      </c>
      <c r="H3" s="5">
        <f>'Расчёт по месяцам'!N3</f>
        <v/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 t="n">
        <v>0.4148</v>
      </c>
      <c r="E4" s="5">
        <f>D4*C4*SUM('Сезонность'!$B$2:$B$7)</f>
        <v/>
      </c>
      <c r="F4" s="5" t="n">
        <v>1.35</v>
      </c>
      <c r="G4" s="3">
        <f>'Расчёт по месяцам'!L4</f>
        <v/>
      </c>
      <c r="H4" s="5">
        <f>'Расчёт по месяцам'!N4</f>
        <v/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 t="n">
        <v>0.2808</v>
      </c>
      <c r="E5" s="5">
        <f>D5*C5*SUM('Сезонность'!$B$2:$B$7)</f>
        <v/>
      </c>
      <c r="F5" s="5" t="n">
        <v>1.11</v>
      </c>
      <c r="G5" s="3">
        <f>'Расчёт по месяцам'!L5</f>
        <v/>
      </c>
      <c r="H5" s="5">
        <f>'Расчёт по месяцам'!N5</f>
        <v/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 t="n">
        <v>0.1588</v>
      </c>
      <c r="E6" s="5">
        <f>D6*C6*SUM('Сезонность'!$B$2:$B$7)</f>
        <v/>
      </c>
      <c r="F6" s="5" t="n">
        <v>1.94</v>
      </c>
      <c r="G6" s="3">
        <f>'Расчёт по месяцам'!L6</f>
        <v/>
      </c>
      <c r="H6" s="5">
        <f>'Расчёт по месяцам'!N6</f>
        <v/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 t="n">
        <v>0.9546</v>
      </c>
      <c r="E7" s="5">
        <f>D7*C7*SUM('Сезонность'!$B$2:$B$7)</f>
        <v/>
      </c>
      <c r="F7" s="5" t="n">
        <v>3.54</v>
      </c>
      <c r="G7" s="3">
        <f>'Расчёт по месяцам'!L7</f>
        <v/>
      </c>
      <c r="H7" s="5">
        <f>'Расчёт по месяцам'!N7</f>
        <v/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 t="n">
        <v>0.1485</v>
      </c>
      <c r="E8" s="5">
        <f>D8*C8*SUM('Сезонность'!$B$2:$B$7)</f>
        <v/>
      </c>
      <c r="F8" s="5" t="n">
        <v>2.9</v>
      </c>
      <c r="G8" s="3">
        <f>'Расчёт по месяцам'!L8</f>
        <v/>
      </c>
      <c r="H8" s="5">
        <f>'Расчёт по месяцам'!N8</f>
        <v/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 t="n">
        <v>0.1653</v>
      </c>
      <c r="E9" s="5">
        <f>D9*C9*SUM('Сезонность'!$B$2:$B$7)</f>
        <v/>
      </c>
      <c r="F9" s="5" t="n">
        <v>4.22</v>
      </c>
      <c r="G9" s="3">
        <f>'Расчёт по месяцам'!L9</f>
        <v/>
      </c>
      <c r="H9" s="5">
        <f>'Расчёт по месяцам'!N9</f>
        <v/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 t="n">
        <v>0.1643</v>
      </c>
      <c r="E10" s="5">
        <f>D10*C10*SUM('Сезонность'!$B$2:$B$7)</f>
        <v/>
      </c>
      <c r="F10" s="5" t="n">
        <v>0.86</v>
      </c>
      <c r="G10" s="3">
        <f>'Расчёт по месяцам'!L10</f>
        <v/>
      </c>
      <c r="H10" s="5">
        <f>'Расчёт по месяцам'!N10</f>
        <v/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 t="n">
        <v>0.1704</v>
      </c>
      <c r="E11" s="5">
        <f>D11*C11*SUM('Сезонность'!$B$2:$B$7)</f>
        <v/>
      </c>
      <c r="F11" s="5" t="n">
        <v>3.5</v>
      </c>
      <c r="G11" s="3">
        <f>'Расчёт по месяцам'!L11</f>
        <v/>
      </c>
      <c r="H11" s="5">
        <f>'Расчёт по месяцам'!N11</f>
        <v/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 t="n">
        <v>0.148</v>
      </c>
      <c r="E12" s="5">
        <f>D12*C12*SUM('Сезонность'!$B$2:$B$7)</f>
        <v/>
      </c>
      <c r="F12" s="5" t="n">
        <v>0.11</v>
      </c>
      <c r="G12" s="3">
        <f>'Расчёт по месяцам'!L12</f>
        <v/>
      </c>
      <c r="H12" s="5">
        <f>'Расчёт по месяцам'!N12</f>
        <v/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 t="n">
        <v>0.1647</v>
      </c>
      <c r="E13" s="5">
        <f>D13*C13*SUM('Сезонность'!$B$2:$B$7)</f>
        <v/>
      </c>
      <c r="F13" s="5" t="n">
        <v>0.15</v>
      </c>
      <c r="G13" s="3">
        <f>'Расчёт по месяцам'!L13</f>
        <v/>
      </c>
      <c r="H13" s="5">
        <f>'Расчёт по месяцам'!N13</f>
        <v/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1108</v>
      </c>
      <c r="D14" s="4" t="n">
        <v>0.1545</v>
      </c>
      <c r="E14" s="5">
        <f>D14*C14*SUM('Сезонность'!$B$2:$B$7)</f>
        <v/>
      </c>
      <c r="F14" s="5" t="n">
        <v>4.16</v>
      </c>
      <c r="G14" s="3">
        <f>'Расчёт по месяцам'!L14</f>
        <v/>
      </c>
      <c r="H14" s="5">
        <f>'Расчёт по месяцам'!N14</f>
        <v/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2515</v>
      </c>
      <c r="D15" s="4" t="n">
        <v>0.1355</v>
      </c>
      <c r="E15" s="5">
        <f>D15*C15*SUM('Сезонность'!$B$2:$B$7)</f>
        <v/>
      </c>
      <c r="F15" s="5" t="n">
        <v>2.77</v>
      </c>
      <c r="G15" s="3">
        <f>'Расчёт по месяцам'!L15</f>
        <v/>
      </c>
      <c r="H15" s="5">
        <f>'Расчёт по месяцам'!N15</f>
        <v/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2757</v>
      </c>
      <c r="D16" s="4" t="n">
        <v>0.135</v>
      </c>
      <c r="E16" s="5">
        <f>D16*C16*SUM('Сезонность'!$B$2:$B$7)</f>
        <v/>
      </c>
      <c r="F16" s="5" t="n">
        <v>2.64</v>
      </c>
      <c r="G16" s="3">
        <f>'Расчёт по месяцам'!L16</f>
        <v/>
      </c>
      <c r="H16" s="5">
        <f>'Расчёт по месяцам'!N16</f>
        <v/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 t="n">
        <v>0.1419</v>
      </c>
      <c r="E17" s="5">
        <f>D17*C17*SUM('Сезонность'!$B$2:$B$7)</f>
        <v/>
      </c>
      <c r="F17" s="5" t="n">
        <v>0.76</v>
      </c>
      <c r="G17" s="3">
        <f>'Расчёт по месяцам'!L17</f>
        <v/>
      </c>
      <c r="H17" s="5">
        <f>'Расчёт по месяцам'!N17</f>
        <v/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 t="n">
        <v>0.1216</v>
      </c>
      <c r="E18" s="5">
        <f>D18*C18*SUM('Сезонность'!$B$2:$B$7)</f>
        <v/>
      </c>
      <c r="F18" s="5" t="n">
        <v>2.38</v>
      </c>
      <c r="G18" s="3">
        <f>'Расчёт по месяцам'!L18</f>
        <v/>
      </c>
      <c r="H18" s="5">
        <f>'Расчёт по месяцам'!N18</f>
        <v/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 t="n">
        <v>0.1506</v>
      </c>
      <c r="E19" s="5">
        <f>D19*C19*SUM('Сезонность'!$B$2:$B$7)</f>
        <v/>
      </c>
      <c r="F19" s="5" t="n">
        <v>0.96</v>
      </c>
      <c r="G19" s="3">
        <f>'Расчёт по месяцам'!L19</f>
        <v/>
      </c>
      <c r="H19" s="5">
        <f>'Расчёт по месяцам'!N19</f>
        <v/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1411</v>
      </c>
      <c r="D20" s="4" t="n">
        <v>0.1623</v>
      </c>
      <c r="E20" s="5">
        <f>D20*C20*SUM('Сезонность'!$B$2:$B$7)</f>
        <v/>
      </c>
      <c r="F20" s="5" t="n">
        <v>2.64</v>
      </c>
      <c r="G20" s="3">
        <f>'Расчёт по месяцам'!L20</f>
        <v/>
      </c>
      <c r="H20" s="5">
        <f>'Расчёт по месяцам'!N20</f>
        <v/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 t="n">
        <v>0.1359</v>
      </c>
      <c r="E21" s="5">
        <f>D21*C21*SUM('Сезонность'!$B$2:$B$7)</f>
        <v/>
      </c>
      <c r="F21" s="5" t="n">
        <v>2.97</v>
      </c>
      <c r="G21" s="3">
        <f>'Расчёт по месяцам'!L21</f>
        <v/>
      </c>
      <c r="H21" s="5">
        <f>'Расчёт по месяцам'!N21</f>
        <v/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 t="n">
        <v>0.1526</v>
      </c>
      <c r="E22" s="5">
        <f>D22*C22*SUM('Сезонность'!$B$2:$B$7)</f>
        <v/>
      </c>
      <c r="F22" s="5" t="n">
        <v>3.6</v>
      </c>
      <c r="G22" s="3">
        <f>'Расчёт по месяцам'!L22</f>
        <v/>
      </c>
      <c r="H22" s="5">
        <f>'Расчёт по месяцам'!N22</f>
        <v/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 t="n">
        <v>0.1653</v>
      </c>
      <c r="E23" s="5">
        <f>D23*C23*SUM('Сезонность'!$B$2:$B$7)</f>
        <v/>
      </c>
      <c r="F23" s="5" t="n">
        <v>2.94</v>
      </c>
      <c r="G23" s="3">
        <f>'Расчёт по месяцам'!L23</f>
        <v/>
      </c>
      <c r="H23" s="5">
        <f>'Расчёт по месяцам'!N23</f>
        <v/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 t="n">
        <v>0.1504</v>
      </c>
      <c r="E24" s="5">
        <f>D24*C24*SUM('Сезонность'!$B$2:$B$7)</f>
        <v/>
      </c>
      <c r="F24" s="5" t="n">
        <v>2.2</v>
      </c>
      <c r="G24" s="3">
        <f>'Расчёт по месяцам'!L24</f>
        <v/>
      </c>
      <c r="H24" s="5">
        <f>'Расчёт по месяцам'!N24</f>
        <v/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 t="n">
        <v>0.1492</v>
      </c>
      <c r="E25" s="5">
        <f>D25*C25*SUM('Сезонность'!$B$2:$B$7)</f>
        <v/>
      </c>
      <c r="F25" s="5" t="n">
        <v>1.96</v>
      </c>
      <c r="G25" s="3">
        <f>'Расчёт по месяцам'!L25</f>
        <v/>
      </c>
      <c r="H25" s="5">
        <f>'Расчёт по месяцам'!N25</f>
        <v/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 t="n">
        <v>0.1514</v>
      </c>
      <c r="E26" s="5">
        <f>D26*C26*SUM('Сезонность'!$B$2:$B$7)</f>
        <v/>
      </c>
      <c r="F26" s="5" t="n">
        <v>1.39</v>
      </c>
      <c r="G26" s="3">
        <f>'Расчёт по месяцам'!L26</f>
        <v/>
      </c>
      <c r="H26" s="5">
        <f>'Расчёт по месяцам'!N26</f>
        <v/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 t="n">
        <v>0.1633</v>
      </c>
      <c r="E27" s="5">
        <f>D27*C27*SUM('Сезонность'!$B$2:$B$7)</f>
        <v/>
      </c>
      <c r="F27" s="5" t="n">
        <v>27.54</v>
      </c>
      <c r="G27" s="3">
        <f>'Расчёт по месяцам'!L27</f>
        <v/>
      </c>
      <c r="H27" s="5">
        <f>'Расчёт по месяцам'!N27</f>
        <v/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 t="n">
        <v>0.0925</v>
      </c>
      <c r="E28" s="5">
        <f>D28*C28*SUM('Сезонность'!$B$2:$B$7)</f>
        <v/>
      </c>
      <c r="F28" s="5" t="n">
        <v>2.82</v>
      </c>
      <c r="G28" s="3">
        <f>'Расчёт по месяцам'!L28</f>
        <v/>
      </c>
      <c r="H28" s="5">
        <f>'Расчёт по месяцам'!N28</f>
        <v/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 t="n">
        <v>0.1858</v>
      </c>
      <c r="E29" s="5">
        <f>D29*C29*SUM('Сезонность'!$B$2:$B$7)</f>
        <v/>
      </c>
      <c r="F29" s="5" t="n">
        <v>2.09</v>
      </c>
      <c r="G29" s="3">
        <f>'Расчёт по месяцам'!L29</f>
        <v/>
      </c>
      <c r="H29" s="5">
        <f>'Расчёт по месяцам'!N29</f>
        <v/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3268</v>
      </c>
      <c r="D30" s="4" t="n">
        <v>0.3027</v>
      </c>
      <c r="E30" s="5">
        <f>D30*C30*SUM('Сезонность'!$B$2:$B$7)</f>
        <v/>
      </c>
      <c r="F30" s="5" t="n">
        <v>14.06</v>
      </c>
      <c r="G30" s="3">
        <f>'Расчёт по месяцам'!L30</f>
        <v/>
      </c>
      <c r="H30" s="5">
        <f>'Расчёт по месяцам'!N30</f>
        <v/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4181</v>
      </c>
      <c r="D31" s="4" t="n">
        <v>0.2001</v>
      </c>
      <c r="E31" s="5">
        <f>D31*C31*SUM('Сезонность'!$B$2:$B$7)</f>
        <v/>
      </c>
      <c r="F31" s="5" t="n">
        <v>9.789999999999999</v>
      </c>
      <c r="G31" s="3">
        <f>'Расчёт по месяцам'!L31</f>
        <v/>
      </c>
      <c r="H31" s="5">
        <f>'Расчёт по месяцам'!N31</f>
        <v/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 t="n">
        <v>0.1512</v>
      </c>
      <c r="E32" s="5">
        <f>D32*C32*SUM('Сезонность'!$B$2:$B$7)</f>
        <v/>
      </c>
      <c r="F32" s="5" t="n">
        <v>5.3</v>
      </c>
      <c r="G32" s="3">
        <f>'Расчёт по месяцам'!L32</f>
        <v/>
      </c>
      <c r="H32" s="5">
        <f>'Расчёт по месяцам'!N32</f>
        <v/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 t="n">
        <v>0.1447</v>
      </c>
      <c r="E33" s="5">
        <f>D33*C33*SUM('Сезонность'!$B$2:$B$7)</f>
        <v/>
      </c>
      <c r="F33" s="5" t="n">
        <v>1.74</v>
      </c>
      <c r="G33" s="3">
        <f>'Расчёт по месяцам'!L33</f>
        <v/>
      </c>
      <c r="H33" s="5">
        <f>'Расчёт по месяцам'!N33</f>
        <v/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 t="n">
        <v>0.1519</v>
      </c>
      <c r="E34" s="5">
        <f>D34*C34*SUM('Сезонность'!$B$2:$B$7)</f>
        <v/>
      </c>
      <c r="F34" s="5" t="n">
        <v>1.79</v>
      </c>
      <c r="G34" s="3">
        <f>'Расчёт по месяцам'!L34</f>
        <v/>
      </c>
      <c r="H34" s="5">
        <f>'Расчёт по месяцам'!N34</f>
        <v/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 t="n">
        <v>0.1359</v>
      </c>
      <c r="E35" s="5">
        <f>D35*C35*SUM('Сезонность'!$B$2:$B$7)</f>
        <v/>
      </c>
      <c r="F35" s="5" t="n">
        <v>0.44</v>
      </c>
      <c r="G35" s="3">
        <f>'Расчёт по месяцам'!L35</f>
        <v/>
      </c>
      <c r="H35" s="5">
        <f>'Расчёт по месяцам'!N35</f>
        <v/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 t="n">
        <v>0.1612</v>
      </c>
      <c r="E36" s="5">
        <f>D36*C36*SUM('Сезонность'!$B$2:$B$7)</f>
        <v/>
      </c>
      <c r="F36" s="5" t="n">
        <v>1.12</v>
      </c>
      <c r="G36" s="3">
        <f>'Расчёт по месяцам'!L36</f>
        <v/>
      </c>
      <c r="H36" s="5">
        <f>'Расчёт по месяцам'!N36</f>
        <v/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1383</v>
      </c>
      <c r="D37" s="4" t="n">
        <v>0.1834</v>
      </c>
      <c r="E37" s="5">
        <f>D37*C37*SUM('Сезонность'!$B$2:$B$7)</f>
        <v/>
      </c>
      <c r="F37" s="5" t="n">
        <v>0.6899999999999999</v>
      </c>
      <c r="G37" s="3">
        <f>'Расчёт по месяцам'!L37</f>
        <v/>
      </c>
      <c r="H37" s="5">
        <f>'Расчёт по месяцам'!N37</f>
        <v/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1042</v>
      </c>
      <c r="D38" s="4" t="n">
        <v>0.1891</v>
      </c>
      <c r="E38" s="5">
        <f>D38*C38*SUM('Сезонность'!$B$2:$B$7)</f>
        <v/>
      </c>
      <c r="F38" s="5" t="n">
        <v>3.34</v>
      </c>
      <c r="G38" s="3">
        <f>'Расчёт по месяцам'!L38</f>
        <v/>
      </c>
      <c r="H38" s="5">
        <f>'Расчёт по месяцам'!N38</f>
        <v/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 t="n">
        <v>0.1844</v>
      </c>
      <c r="E39" s="5">
        <f>D39*C39*SUM('Сезонность'!$B$2:$B$7)</f>
        <v/>
      </c>
      <c r="F39" s="5" t="n">
        <v>5.9</v>
      </c>
      <c r="G39" s="3">
        <f>'Расчёт по месяцам'!L39</f>
        <v/>
      </c>
      <c r="H39" s="5">
        <f>'Расчёт по месяцам'!N39</f>
        <v/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 t="n">
        <v>0.1534</v>
      </c>
      <c r="E40" s="5">
        <f>D40*C40*SUM('Сезонность'!$B$2:$B$7)</f>
        <v/>
      </c>
      <c r="F40" s="5" t="n">
        <v>0.74</v>
      </c>
      <c r="G40" s="3">
        <f>'Расчёт по месяцам'!L40</f>
        <v/>
      </c>
      <c r="H40" s="5">
        <f>'Расчёт по месяцам'!N40</f>
        <v/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 t="n">
        <v>0.1502</v>
      </c>
      <c r="E41" s="5">
        <f>D41*C41*SUM('Сезонность'!$B$2:$B$7)</f>
        <v/>
      </c>
      <c r="F41" s="5" t="n">
        <v>2.71</v>
      </c>
      <c r="G41" s="3">
        <f>'Расчёт по месяцам'!L41</f>
        <v/>
      </c>
      <c r="H41" s="5">
        <f>'Расчёт по месяцам'!N41</f>
        <v/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 t="n">
        <v>0.3346</v>
      </c>
      <c r="E42" s="5">
        <f>D42*C42*SUM('Сезонность'!$B$2:$B$7)</f>
        <v/>
      </c>
      <c r="F42" s="5" t="n">
        <v>0.72</v>
      </c>
      <c r="G42" s="3">
        <f>'Расчёт по месяцам'!L42</f>
        <v/>
      </c>
      <c r="H42" s="5">
        <f>'Расчёт по месяцам'!N42</f>
        <v/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 t="n">
        <v>0.1333</v>
      </c>
      <c r="E43" s="5">
        <f>D43*C43*SUM('Сезонность'!$B$2:$B$7)</f>
        <v/>
      </c>
      <c r="F43" s="5" t="n">
        <v>0.65</v>
      </c>
      <c r="G43" s="3">
        <f>'Расчёт по месяцам'!L43</f>
        <v/>
      </c>
      <c r="H43" s="5">
        <f>'Расчёт по месяцам'!N43</f>
        <v/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 t="n">
        <v>0.1553</v>
      </c>
      <c r="E44" s="5">
        <f>D44*C44*SUM('Сезонность'!$B$2:$B$7)</f>
        <v/>
      </c>
      <c r="F44" s="5" t="n">
        <v>2.08</v>
      </c>
      <c r="G44" s="3">
        <f>'Расчёт по месяцам'!L44</f>
        <v/>
      </c>
      <c r="H44" s="5">
        <f>'Расчёт по месяцам'!N44</f>
        <v/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 t="n">
        <v>0.1301</v>
      </c>
      <c r="E45" s="5">
        <f>D45*C45*SUM('Сезонность'!$B$2:$B$7)</f>
        <v/>
      </c>
      <c r="F45" s="5" t="n">
        <v>0.6899999999999999</v>
      </c>
      <c r="G45" s="3">
        <f>'Расчёт по месяцам'!L45</f>
        <v/>
      </c>
      <c r="H45" s="5">
        <f>'Расчёт по месяцам'!N45</f>
        <v/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 t="n">
        <v>0.1535</v>
      </c>
      <c r="E46" s="5">
        <f>D46*C46*SUM('Сезонность'!$B$2:$B$7)</f>
        <v/>
      </c>
      <c r="F46" s="5" t="n">
        <v>1.09</v>
      </c>
      <c r="G46" s="3">
        <f>'Расчёт по месяцам'!L46</f>
        <v/>
      </c>
      <c r="H46" s="5">
        <f>'Расчёт по месяцам'!N46</f>
        <v/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 t="n">
        <v>0.1651</v>
      </c>
      <c r="E47" s="5">
        <f>D47*C47*SUM('Сезонность'!$B$2:$B$7)</f>
        <v/>
      </c>
      <c r="F47" s="5" t="n">
        <v>1.14</v>
      </c>
      <c r="G47" s="3">
        <f>'Расчёт по месяцам'!L47</f>
        <v/>
      </c>
      <c r="H47" s="5">
        <f>'Расчёт по месяцам'!N47</f>
        <v/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 t="n">
        <v>0.1584</v>
      </c>
      <c r="E48" s="5">
        <f>D48*C48*SUM('Сезонность'!$B$2:$B$7)</f>
        <v/>
      </c>
      <c r="F48" s="5" t="n">
        <v>1.07</v>
      </c>
      <c r="G48" s="3">
        <f>'Расчёт по месяцам'!L48</f>
        <v/>
      </c>
      <c r="H48" s="5">
        <f>'Расчёт по месяцам'!N48</f>
        <v/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 t="n">
        <v>0.148</v>
      </c>
      <c r="E49" s="5">
        <f>D49*C49*SUM('Сезонность'!$B$2:$B$7)</f>
        <v/>
      </c>
      <c r="F49" s="5" t="n">
        <v>0.5</v>
      </c>
      <c r="G49" s="3">
        <f>'Расчёт по месяцам'!L49</f>
        <v/>
      </c>
      <c r="H49" s="5">
        <f>'Расчёт по месяцам'!N49</f>
        <v/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 t="n">
        <v>0.1449</v>
      </c>
      <c r="E50" s="5">
        <f>D50*C50*SUM('Сезонность'!$B$2:$B$7)</f>
        <v/>
      </c>
      <c r="F50" s="5" t="n">
        <v>0.15</v>
      </c>
      <c r="G50" s="3">
        <f>'Расчёт по месяцам'!L50</f>
        <v/>
      </c>
      <c r="H50" s="5">
        <f>'Расчёт по месяцам'!N50</f>
        <v/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 t="n">
        <v>0.1381</v>
      </c>
      <c r="E51" s="5">
        <f>D51*C51*SUM('Сезонность'!$B$2:$B$7)</f>
        <v/>
      </c>
      <c r="F51" s="5" t="n">
        <v>0.05</v>
      </c>
      <c r="G51" s="3">
        <f>'Расчёт по месяцам'!L51</f>
        <v/>
      </c>
      <c r="H51" s="5">
        <f>'Расчёт по месяцам'!N51</f>
        <v/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 t="n">
        <v>0.1671</v>
      </c>
      <c r="E52" s="5">
        <f>D52*C52*SUM('Сезонность'!$B$2:$B$7)</f>
        <v/>
      </c>
      <c r="F52" s="5" t="n">
        <v>0.28</v>
      </c>
      <c r="G52" s="3">
        <f>'Расчёт по месяцам'!L52</f>
        <v/>
      </c>
      <c r="H52" s="5">
        <f>'Расчёт по месяцам'!N52</f>
        <v/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 t="n">
        <v>0.16</v>
      </c>
      <c r="E53" s="5">
        <f>D53*C53*SUM('Сезонность'!$B$2:$B$7)</f>
        <v/>
      </c>
      <c r="F53" s="5" t="n">
        <v>0.63</v>
      </c>
      <c r="G53" s="3">
        <f>'Расчёт по месяцам'!L53</f>
        <v/>
      </c>
      <c r="H53" s="5">
        <f>'Расчёт по месяцам'!N53</f>
        <v/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 t="n">
        <v>0.154</v>
      </c>
      <c r="E54" s="5">
        <f>D54*C54*SUM('Сезонность'!$B$2:$B$7)</f>
        <v/>
      </c>
      <c r="F54" s="5" t="n">
        <v>0.21</v>
      </c>
      <c r="G54" s="3">
        <f>'Расчёт по месяцам'!L54</f>
        <v/>
      </c>
      <c r="H54" s="5">
        <f>'Расчёт по месяцам'!N54</f>
        <v/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 t="n">
        <v>0.1588</v>
      </c>
      <c r="E55" s="5">
        <f>D55*C55*SUM('Сезонность'!$B$2:$B$7)</f>
        <v/>
      </c>
      <c r="F55" s="5" t="n">
        <v>0.17</v>
      </c>
      <c r="G55" s="3">
        <f>'Расчёт по месяцам'!L55</f>
        <v/>
      </c>
      <c r="H55" s="5">
        <f>'Расчёт по месяцам'!N55</f>
        <v/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 t="n">
        <v>0.1647</v>
      </c>
      <c r="E56" s="5">
        <f>D56*C56*SUM('Сезонность'!$B$2:$B$7)</f>
        <v/>
      </c>
      <c r="F56" s="5" t="n">
        <v>0.19</v>
      </c>
      <c r="G56" s="3">
        <f>'Расчёт по месяцам'!L56</f>
        <v/>
      </c>
      <c r="H56" s="5">
        <f>'Расчёт по месяцам'!N56</f>
        <v/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 t="n">
        <v>0.1587</v>
      </c>
      <c r="E57" s="5">
        <f>D57*C57*SUM('Сезонность'!$B$2:$B$7)</f>
        <v/>
      </c>
      <c r="F57" s="5" t="n">
        <v>0.34</v>
      </c>
      <c r="G57" s="3">
        <f>'Расчёт по месяцам'!L57</f>
        <v/>
      </c>
      <c r="H57" s="5">
        <f>'Расчёт по месяцам'!N57</f>
        <v/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 t="n">
        <v>0.1619</v>
      </c>
      <c r="E58" s="5">
        <f>D58*C58*SUM('Сезонность'!$B$2:$B$7)</f>
        <v/>
      </c>
      <c r="F58" s="5" t="n">
        <v>0.19</v>
      </c>
      <c r="G58" s="3">
        <f>'Расчёт по месяцам'!L58</f>
        <v/>
      </c>
      <c r="H58" s="5">
        <f>'Расчёт по месяцам'!N58</f>
        <v/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 t="n">
        <v>0.1503</v>
      </c>
      <c r="E59" s="5">
        <f>D59*C59*SUM('Сезонность'!$B$2:$B$7)</f>
        <v/>
      </c>
      <c r="F59" s="5" t="n">
        <v>0.09</v>
      </c>
      <c r="G59" s="3">
        <f>'Расчёт по месяцам'!L59</f>
        <v/>
      </c>
      <c r="H59" s="5">
        <f>'Расчёт по месяцам'!N59</f>
        <v/>
      </c>
    </row>
    <row r="60">
      <c r="B60" s="6" t="inlineStr">
        <is>
          <t>ИТОГО</t>
        </is>
      </c>
      <c r="C60" s="7">
        <f>SUM(C2:C59)</f>
        <v/>
      </c>
      <c r="E60" s="8">
        <f>SUM(E2:E59)</f>
        <v/>
      </c>
      <c r="H60" s="9">
        <f>SUM(H2:H59)</f>
        <v/>
      </c>
    </row>
    <row r="62">
      <c r="B62" s="10" t="inlineStr">
        <is>
          <t>Период 25.06–30.11.2026. Хранение без продаж (E) = ставка×остаток×дней. Продажи учтены помесячно с сезонностью (лист 'Расчёт по месяцам' по коэффициентам листа 'Сезонность'): ноябрь как высокий сезон ×1.15. Столбцы E, G, H — формулы.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</cols>
  <sheetData>
    <row r="1">
      <c r="A1" s="11" t="inlineStr">
        <is>
          <t>Месяц</t>
        </is>
      </c>
      <c r="B1" s="11" t="inlineStr">
        <is>
          <t>Дней в окне</t>
        </is>
      </c>
      <c r="C1" s="11" t="inlineStr">
        <is>
          <t>Коэффициент (весна=1.00)</t>
        </is>
      </c>
      <c r="D1" s="11" t="inlineStr">
        <is>
          <t>Комментарий</t>
        </is>
      </c>
    </row>
    <row r="2">
      <c r="A2" t="inlineStr">
        <is>
          <t>Июнь</t>
        </is>
      </c>
      <c r="B2" t="n">
        <v>6</v>
      </c>
      <c r="C2" t="n">
        <v>1</v>
      </c>
      <c r="D2" t="inlineStr">
        <is>
          <t>данные: весна</t>
        </is>
      </c>
    </row>
    <row r="3">
      <c r="A3" t="inlineStr">
        <is>
          <t>Июль</t>
        </is>
      </c>
      <c r="B3" t="n">
        <v>31</v>
      </c>
      <c r="C3" t="n">
        <v>0.92</v>
      </c>
      <c r="D3" t="inlineStr">
        <is>
          <t>лето, спад</t>
        </is>
      </c>
    </row>
    <row r="4">
      <c r="A4" t="inlineStr">
        <is>
          <t>Август</t>
        </is>
      </c>
      <c r="B4" t="n">
        <v>31</v>
      </c>
      <c r="C4" t="n">
        <v>0.92</v>
      </c>
      <c r="D4" t="inlineStr">
        <is>
          <t>лето, спад</t>
        </is>
      </c>
    </row>
    <row r="5">
      <c r="A5" t="inlineStr">
        <is>
          <t>Сентябрь</t>
        </is>
      </c>
      <c r="B5" t="n">
        <v>30</v>
      </c>
      <c r="C5" t="n">
        <v>1.05</v>
      </c>
      <c r="D5" t="inlineStr">
        <is>
          <t>осень, рост</t>
        </is>
      </c>
    </row>
    <row r="6">
      <c r="A6" t="inlineStr">
        <is>
          <t>Октябрь</t>
        </is>
      </c>
      <c r="B6" t="n">
        <v>31</v>
      </c>
      <c r="C6" t="n">
        <v>1.12</v>
      </c>
      <c r="D6" t="inlineStr">
        <is>
          <t>предсезон</t>
        </is>
      </c>
    </row>
    <row r="7">
      <c r="A7" t="inlineStr">
        <is>
          <t>Ноябрь</t>
        </is>
      </c>
      <c r="B7" t="n">
        <v>30</v>
      </c>
      <c r="C7" t="n">
        <v>1.15</v>
      </c>
      <c r="D7" t="inlineStr">
        <is>
          <t>высокий сезон</t>
        </is>
      </c>
    </row>
    <row r="9">
      <c r="A9" t="inlineStr">
        <is>
          <t>Якоря: зима 0.87 (124.6 шт/д), весна 1.00 (143.6 шт/д). Лето/осень/ноябрь — оценка категории.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18" customWidth="1" min="14" max="14"/>
  </cols>
  <sheetData>
    <row r="1">
      <c r="A1" s="11" t="inlineStr">
        <is>
          <t>Артикул</t>
        </is>
      </c>
      <c r="B1" s="11" t="inlineStr">
        <is>
          <t>ост.июнь</t>
        </is>
      </c>
      <c r="C1" s="11" t="inlineStr">
        <is>
          <t>хран.июнь</t>
        </is>
      </c>
      <c r="D1" s="11" t="inlineStr">
        <is>
          <t>ост.июль</t>
        </is>
      </c>
      <c r="E1" s="11" t="inlineStr">
        <is>
          <t>хран.июль</t>
        </is>
      </c>
      <c r="F1" s="11" t="inlineStr">
        <is>
          <t>ост.авг</t>
        </is>
      </c>
      <c r="G1" s="11" t="inlineStr">
        <is>
          <t>хран.авг</t>
        </is>
      </c>
      <c r="H1" s="11" t="inlineStr">
        <is>
          <t>ост.сен</t>
        </is>
      </c>
      <c r="I1" s="11" t="inlineStr">
        <is>
          <t>хран.сен</t>
        </is>
      </c>
      <c r="J1" s="11" t="inlineStr">
        <is>
          <t>ост.окт</t>
        </is>
      </c>
      <c r="K1" s="11" t="inlineStr">
        <is>
          <t>хран.окт</t>
        </is>
      </c>
      <c r="L1" s="11" t="inlineStr">
        <is>
          <t>ост.ноя</t>
        </is>
      </c>
      <c r="M1" s="11" t="inlineStr">
        <is>
          <t>хран.ноя</t>
        </is>
      </c>
      <c r="N1" s="11" t="inlineStr">
        <is>
          <t>Хранение всего, руб</t>
        </is>
      </c>
    </row>
    <row r="2">
      <c r="A2" s="2">
        <f>'Хранение до конца ноября'!A2</f>
        <v/>
      </c>
      <c r="B2" s="3">
        <f>MAX(0,'Хранение до конца ноября'!C2-'Хранение до конца ноября'!F2*'Сезонность'!$C$2*'Сезонность'!$B$2)</f>
        <v/>
      </c>
      <c r="C2" s="5">
        <f>'Хранение до конца ноября'!D2*('Хранение до конца ноября'!C2+B2)/2*'Сезонность'!$B$2</f>
        <v/>
      </c>
      <c r="D2" s="3">
        <f>MAX(0,B2-'Хранение до конца ноября'!F2*'Сезонность'!$C$3*'Сезонность'!$B$3)</f>
        <v/>
      </c>
      <c r="E2" s="5">
        <f>'Хранение до конца ноября'!D2*(B2+D2)/2*'Сезонность'!$B$3</f>
        <v/>
      </c>
      <c r="F2" s="3">
        <f>MAX(0,D2-'Хранение до конца ноября'!F2*'Сезонность'!$C$4*'Сезонность'!$B$4)</f>
        <v/>
      </c>
      <c r="G2" s="5">
        <f>'Хранение до конца ноября'!D2*(D2+F2)/2*'Сезонность'!$B$4</f>
        <v/>
      </c>
      <c r="H2" s="3">
        <f>MAX(0,F2-'Хранение до конца ноября'!F2*'Сезонность'!$C$5*'Сезонность'!$B$5)</f>
        <v/>
      </c>
      <c r="I2" s="5">
        <f>'Хранение до конца ноября'!D2*(F2+H2)/2*'Сезонность'!$B$5</f>
        <v/>
      </c>
      <c r="J2" s="3">
        <f>MAX(0,H2-'Хранение до конца ноября'!F2*'Сезонность'!$C$6*'Сезонность'!$B$6)</f>
        <v/>
      </c>
      <c r="K2" s="5">
        <f>'Хранение до конца ноября'!D2*(H2+J2)/2*'Сезонность'!$B$6</f>
        <v/>
      </c>
      <c r="L2" s="3">
        <f>MAX(0,J2-'Хранение до конца ноября'!F2*'Сезонность'!$C$7*'Сезонность'!$B$7)</f>
        <v/>
      </c>
      <c r="M2" s="5">
        <f>'Хранение до конца ноября'!D2*(J2+L2)/2*'Сезонность'!$B$7</f>
        <v/>
      </c>
      <c r="N2" s="5">
        <f>C2+E2+G2+I2+K2+M2</f>
        <v/>
      </c>
    </row>
    <row r="3">
      <c r="A3" s="2">
        <f>'Хранение до конца ноября'!A3</f>
        <v/>
      </c>
      <c r="B3" s="3">
        <f>MAX(0,'Хранение до конца ноября'!C3-'Хранение до конца ноября'!F3*'Сезонность'!$C$2*'Сезонность'!$B$2)</f>
        <v/>
      </c>
      <c r="C3" s="5">
        <f>'Хранение до конца ноября'!D3*('Хранение до конца ноября'!C3+B3)/2*'Сезонность'!$B$2</f>
        <v/>
      </c>
      <c r="D3" s="3">
        <f>MAX(0,B3-'Хранение до конца ноября'!F3*'Сезонность'!$C$3*'Сезонность'!$B$3)</f>
        <v/>
      </c>
      <c r="E3" s="5">
        <f>'Хранение до конца ноября'!D3*(B3+D3)/2*'Сезонность'!$B$3</f>
        <v/>
      </c>
      <c r="F3" s="3">
        <f>MAX(0,D3-'Хранение до конца ноября'!F3*'Сезонность'!$C$4*'Сезонность'!$B$4)</f>
        <v/>
      </c>
      <c r="G3" s="5">
        <f>'Хранение до конца ноября'!D3*(D3+F3)/2*'Сезонность'!$B$4</f>
        <v/>
      </c>
      <c r="H3" s="3">
        <f>MAX(0,F3-'Хранение до конца ноября'!F3*'Сезонность'!$C$5*'Сезонность'!$B$5)</f>
        <v/>
      </c>
      <c r="I3" s="5">
        <f>'Хранение до конца ноября'!D3*(F3+H3)/2*'Сезонность'!$B$5</f>
        <v/>
      </c>
      <c r="J3" s="3">
        <f>MAX(0,H3-'Хранение до конца ноября'!F3*'Сезонность'!$C$6*'Сезонность'!$B$6)</f>
        <v/>
      </c>
      <c r="K3" s="5">
        <f>'Хранение до конца ноября'!D3*(H3+J3)/2*'Сезонность'!$B$6</f>
        <v/>
      </c>
      <c r="L3" s="3">
        <f>MAX(0,J3-'Хранение до конца ноября'!F3*'Сезонность'!$C$7*'Сезонность'!$B$7)</f>
        <v/>
      </c>
      <c r="M3" s="5">
        <f>'Хранение до конца ноября'!D3*(J3+L3)/2*'Сезонность'!$B$7</f>
        <v/>
      </c>
      <c r="N3" s="5">
        <f>C3+E3+G3+I3+K3+M3</f>
        <v/>
      </c>
    </row>
    <row r="4">
      <c r="A4" s="2">
        <f>'Хранение до конца ноября'!A4</f>
        <v/>
      </c>
      <c r="B4" s="3">
        <f>MAX(0,'Хранение до конца ноября'!C4-'Хранение до конца ноября'!F4*'Сезонность'!$C$2*'Сезонность'!$B$2)</f>
        <v/>
      </c>
      <c r="C4" s="5">
        <f>'Хранение до конца ноября'!D4*('Хранение до конца ноября'!C4+B4)/2*'Сезонность'!$B$2</f>
        <v/>
      </c>
      <c r="D4" s="3">
        <f>MAX(0,B4-'Хранение до конца ноября'!F4*'Сезонность'!$C$3*'Сезонность'!$B$3)</f>
        <v/>
      </c>
      <c r="E4" s="5">
        <f>'Хранение до конца ноября'!D4*(B4+D4)/2*'Сезонность'!$B$3</f>
        <v/>
      </c>
      <c r="F4" s="3">
        <f>MAX(0,D4-'Хранение до конца ноября'!F4*'Сезонность'!$C$4*'Сезонность'!$B$4)</f>
        <v/>
      </c>
      <c r="G4" s="5">
        <f>'Хранение до конца ноября'!D4*(D4+F4)/2*'Сезонность'!$B$4</f>
        <v/>
      </c>
      <c r="H4" s="3">
        <f>MAX(0,F4-'Хранение до конца ноября'!F4*'Сезонность'!$C$5*'Сезонность'!$B$5)</f>
        <v/>
      </c>
      <c r="I4" s="5">
        <f>'Хранение до конца ноября'!D4*(F4+H4)/2*'Сезонность'!$B$5</f>
        <v/>
      </c>
      <c r="J4" s="3">
        <f>MAX(0,H4-'Хранение до конца ноября'!F4*'Сезонность'!$C$6*'Сезонность'!$B$6)</f>
        <v/>
      </c>
      <c r="K4" s="5">
        <f>'Хранение до конца ноября'!D4*(H4+J4)/2*'Сезонность'!$B$6</f>
        <v/>
      </c>
      <c r="L4" s="3">
        <f>MAX(0,J4-'Хранение до конца ноября'!F4*'Сезонность'!$C$7*'Сезонность'!$B$7)</f>
        <v/>
      </c>
      <c r="M4" s="5">
        <f>'Хранение до конца ноября'!D4*(J4+L4)/2*'Сезонность'!$B$7</f>
        <v/>
      </c>
      <c r="N4" s="5">
        <f>C4+E4+G4+I4+K4+M4</f>
        <v/>
      </c>
    </row>
    <row r="5">
      <c r="A5" s="2">
        <f>'Хранение до конца ноября'!A5</f>
        <v/>
      </c>
      <c r="B5" s="3">
        <f>MAX(0,'Хранение до конца ноября'!C5-'Хранение до конца ноября'!F5*'Сезонность'!$C$2*'Сезонность'!$B$2)</f>
        <v/>
      </c>
      <c r="C5" s="5">
        <f>'Хранение до конца ноября'!D5*('Хранение до конца ноября'!C5+B5)/2*'Сезонность'!$B$2</f>
        <v/>
      </c>
      <c r="D5" s="3">
        <f>MAX(0,B5-'Хранение до конца ноября'!F5*'Сезонность'!$C$3*'Сезонность'!$B$3)</f>
        <v/>
      </c>
      <c r="E5" s="5">
        <f>'Хранение до конца ноября'!D5*(B5+D5)/2*'Сезонность'!$B$3</f>
        <v/>
      </c>
      <c r="F5" s="3">
        <f>MAX(0,D5-'Хранение до конца ноября'!F5*'Сезонность'!$C$4*'Сезонность'!$B$4)</f>
        <v/>
      </c>
      <c r="G5" s="5">
        <f>'Хранение до конца ноября'!D5*(D5+F5)/2*'Сезонность'!$B$4</f>
        <v/>
      </c>
      <c r="H5" s="3">
        <f>MAX(0,F5-'Хранение до конца ноября'!F5*'Сезонность'!$C$5*'Сезонность'!$B$5)</f>
        <v/>
      </c>
      <c r="I5" s="5">
        <f>'Хранение до конца ноября'!D5*(F5+H5)/2*'Сезонность'!$B$5</f>
        <v/>
      </c>
      <c r="J5" s="3">
        <f>MAX(0,H5-'Хранение до конца ноября'!F5*'Сезонность'!$C$6*'Сезонность'!$B$6)</f>
        <v/>
      </c>
      <c r="K5" s="5">
        <f>'Хранение до конца ноября'!D5*(H5+J5)/2*'Сезонность'!$B$6</f>
        <v/>
      </c>
      <c r="L5" s="3">
        <f>MAX(0,J5-'Хранение до конца ноября'!F5*'Сезонность'!$C$7*'Сезонность'!$B$7)</f>
        <v/>
      </c>
      <c r="M5" s="5">
        <f>'Хранение до конца ноября'!D5*(J5+L5)/2*'Сезонность'!$B$7</f>
        <v/>
      </c>
      <c r="N5" s="5">
        <f>C5+E5+G5+I5+K5+M5</f>
        <v/>
      </c>
    </row>
    <row r="6">
      <c r="A6" s="2">
        <f>'Хранение до конца ноября'!A6</f>
        <v/>
      </c>
      <c r="B6" s="3">
        <f>MAX(0,'Хранение до конца ноября'!C6-'Хранение до конца ноября'!F6*'Сезонность'!$C$2*'Сезонность'!$B$2)</f>
        <v/>
      </c>
      <c r="C6" s="5">
        <f>'Хранение до конца ноября'!D6*('Хранение до конца ноября'!C6+B6)/2*'Сезонность'!$B$2</f>
        <v/>
      </c>
      <c r="D6" s="3">
        <f>MAX(0,B6-'Хранение до конца ноября'!F6*'Сезонность'!$C$3*'Сезонность'!$B$3)</f>
        <v/>
      </c>
      <c r="E6" s="5">
        <f>'Хранение до конца ноября'!D6*(B6+D6)/2*'Сезонность'!$B$3</f>
        <v/>
      </c>
      <c r="F6" s="3">
        <f>MAX(0,D6-'Хранение до конца ноября'!F6*'Сезонность'!$C$4*'Сезонность'!$B$4)</f>
        <v/>
      </c>
      <c r="G6" s="5">
        <f>'Хранение до конца ноября'!D6*(D6+F6)/2*'Сезонность'!$B$4</f>
        <v/>
      </c>
      <c r="H6" s="3">
        <f>MAX(0,F6-'Хранение до конца ноября'!F6*'Сезонность'!$C$5*'Сезонность'!$B$5)</f>
        <v/>
      </c>
      <c r="I6" s="5">
        <f>'Хранение до конца ноября'!D6*(F6+H6)/2*'Сезонность'!$B$5</f>
        <v/>
      </c>
      <c r="J6" s="3">
        <f>MAX(0,H6-'Хранение до конца ноября'!F6*'Сезонность'!$C$6*'Сезонность'!$B$6)</f>
        <v/>
      </c>
      <c r="K6" s="5">
        <f>'Хранение до конца ноября'!D6*(H6+J6)/2*'Сезонность'!$B$6</f>
        <v/>
      </c>
      <c r="L6" s="3">
        <f>MAX(0,J6-'Хранение до конца ноября'!F6*'Сезонность'!$C$7*'Сезонность'!$B$7)</f>
        <v/>
      </c>
      <c r="M6" s="5">
        <f>'Хранение до конца ноября'!D6*(J6+L6)/2*'Сезонность'!$B$7</f>
        <v/>
      </c>
      <c r="N6" s="5">
        <f>C6+E6+G6+I6+K6+M6</f>
        <v/>
      </c>
    </row>
    <row r="7">
      <c r="A7" s="2">
        <f>'Хранение до конца ноября'!A7</f>
        <v/>
      </c>
      <c r="B7" s="3">
        <f>MAX(0,'Хранение до конца ноября'!C7-'Хранение до конца ноября'!F7*'Сезонность'!$C$2*'Сезонность'!$B$2)</f>
        <v/>
      </c>
      <c r="C7" s="5">
        <f>'Хранение до конца ноября'!D7*('Хранение до конца ноября'!C7+B7)/2*'Сезонность'!$B$2</f>
        <v/>
      </c>
      <c r="D7" s="3">
        <f>MAX(0,B7-'Хранение до конца ноября'!F7*'Сезонность'!$C$3*'Сезонность'!$B$3)</f>
        <v/>
      </c>
      <c r="E7" s="5">
        <f>'Хранение до конца ноября'!D7*(B7+D7)/2*'Сезонность'!$B$3</f>
        <v/>
      </c>
      <c r="F7" s="3">
        <f>MAX(0,D7-'Хранение до конца ноября'!F7*'Сезонность'!$C$4*'Сезонность'!$B$4)</f>
        <v/>
      </c>
      <c r="G7" s="5">
        <f>'Хранение до конца ноября'!D7*(D7+F7)/2*'Сезонность'!$B$4</f>
        <v/>
      </c>
      <c r="H7" s="3">
        <f>MAX(0,F7-'Хранение до конца ноября'!F7*'Сезонность'!$C$5*'Сезонность'!$B$5)</f>
        <v/>
      </c>
      <c r="I7" s="5">
        <f>'Хранение до конца ноября'!D7*(F7+H7)/2*'Сезонность'!$B$5</f>
        <v/>
      </c>
      <c r="J7" s="3">
        <f>MAX(0,H7-'Хранение до конца ноября'!F7*'Сезонность'!$C$6*'Сезонность'!$B$6)</f>
        <v/>
      </c>
      <c r="K7" s="5">
        <f>'Хранение до конца ноября'!D7*(H7+J7)/2*'Сезонность'!$B$6</f>
        <v/>
      </c>
      <c r="L7" s="3">
        <f>MAX(0,J7-'Хранение до конца ноября'!F7*'Сезонность'!$C$7*'Сезонность'!$B$7)</f>
        <v/>
      </c>
      <c r="M7" s="5">
        <f>'Хранение до конца ноября'!D7*(J7+L7)/2*'Сезонность'!$B$7</f>
        <v/>
      </c>
      <c r="N7" s="5">
        <f>C7+E7+G7+I7+K7+M7</f>
        <v/>
      </c>
    </row>
    <row r="8">
      <c r="A8" s="2">
        <f>'Хранение до конца ноября'!A8</f>
        <v/>
      </c>
      <c r="B8" s="3">
        <f>MAX(0,'Хранение до конца ноября'!C8-'Хранение до конца ноября'!F8*'Сезонность'!$C$2*'Сезонность'!$B$2)</f>
        <v/>
      </c>
      <c r="C8" s="5">
        <f>'Хранение до конца ноября'!D8*('Хранение до конца ноября'!C8+B8)/2*'Сезонность'!$B$2</f>
        <v/>
      </c>
      <c r="D8" s="3">
        <f>MAX(0,B8-'Хранение до конца ноября'!F8*'Сезонность'!$C$3*'Сезонность'!$B$3)</f>
        <v/>
      </c>
      <c r="E8" s="5">
        <f>'Хранение до конца ноября'!D8*(B8+D8)/2*'Сезонность'!$B$3</f>
        <v/>
      </c>
      <c r="F8" s="3">
        <f>MAX(0,D8-'Хранение до конца ноября'!F8*'Сезонность'!$C$4*'Сезонность'!$B$4)</f>
        <v/>
      </c>
      <c r="G8" s="5">
        <f>'Хранение до конца ноября'!D8*(D8+F8)/2*'Сезонность'!$B$4</f>
        <v/>
      </c>
      <c r="H8" s="3">
        <f>MAX(0,F8-'Хранение до конца ноября'!F8*'Сезонность'!$C$5*'Сезонность'!$B$5)</f>
        <v/>
      </c>
      <c r="I8" s="5">
        <f>'Хранение до конца ноября'!D8*(F8+H8)/2*'Сезонность'!$B$5</f>
        <v/>
      </c>
      <c r="J8" s="3">
        <f>MAX(0,H8-'Хранение до конца ноября'!F8*'Сезонность'!$C$6*'Сезонность'!$B$6)</f>
        <v/>
      </c>
      <c r="K8" s="5">
        <f>'Хранение до конца ноября'!D8*(H8+J8)/2*'Сезонность'!$B$6</f>
        <v/>
      </c>
      <c r="L8" s="3">
        <f>MAX(0,J8-'Хранение до конца ноября'!F8*'Сезонность'!$C$7*'Сезонность'!$B$7)</f>
        <v/>
      </c>
      <c r="M8" s="5">
        <f>'Хранение до конца ноября'!D8*(J8+L8)/2*'Сезонность'!$B$7</f>
        <v/>
      </c>
      <c r="N8" s="5">
        <f>C8+E8+G8+I8+K8+M8</f>
        <v/>
      </c>
    </row>
    <row r="9">
      <c r="A9" s="2">
        <f>'Хранение до конца ноября'!A9</f>
        <v/>
      </c>
      <c r="B9" s="3">
        <f>MAX(0,'Хранение до конца ноября'!C9-'Хранение до конца ноября'!F9*'Сезонность'!$C$2*'Сезонность'!$B$2)</f>
        <v/>
      </c>
      <c r="C9" s="5">
        <f>'Хранение до конца ноября'!D9*('Хранение до конца ноября'!C9+B9)/2*'Сезонность'!$B$2</f>
        <v/>
      </c>
      <c r="D9" s="3">
        <f>MAX(0,B9-'Хранение до конца ноября'!F9*'Сезонность'!$C$3*'Сезонность'!$B$3)</f>
        <v/>
      </c>
      <c r="E9" s="5">
        <f>'Хранение до конца ноября'!D9*(B9+D9)/2*'Сезонность'!$B$3</f>
        <v/>
      </c>
      <c r="F9" s="3">
        <f>MAX(0,D9-'Хранение до конца ноября'!F9*'Сезонность'!$C$4*'Сезонность'!$B$4)</f>
        <v/>
      </c>
      <c r="G9" s="5">
        <f>'Хранение до конца ноября'!D9*(D9+F9)/2*'Сезонность'!$B$4</f>
        <v/>
      </c>
      <c r="H9" s="3">
        <f>MAX(0,F9-'Хранение до конца ноября'!F9*'Сезонность'!$C$5*'Сезонность'!$B$5)</f>
        <v/>
      </c>
      <c r="I9" s="5">
        <f>'Хранение до конца ноября'!D9*(F9+H9)/2*'Сезонность'!$B$5</f>
        <v/>
      </c>
      <c r="J9" s="3">
        <f>MAX(0,H9-'Хранение до конца ноября'!F9*'Сезонность'!$C$6*'Сезонность'!$B$6)</f>
        <v/>
      </c>
      <c r="K9" s="5">
        <f>'Хранение до конца ноября'!D9*(H9+J9)/2*'Сезонность'!$B$6</f>
        <v/>
      </c>
      <c r="L9" s="3">
        <f>MAX(0,J9-'Хранение до конца ноября'!F9*'Сезонность'!$C$7*'Сезонность'!$B$7)</f>
        <v/>
      </c>
      <c r="M9" s="5">
        <f>'Хранение до конца ноября'!D9*(J9+L9)/2*'Сезонность'!$B$7</f>
        <v/>
      </c>
      <c r="N9" s="5">
        <f>C9+E9+G9+I9+K9+M9</f>
        <v/>
      </c>
    </row>
    <row r="10">
      <c r="A10" s="2">
        <f>'Хранение до конца ноября'!A10</f>
        <v/>
      </c>
      <c r="B10" s="3">
        <f>MAX(0,'Хранение до конца ноября'!C10-'Хранение до конца ноября'!F10*'Сезонность'!$C$2*'Сезонность'!$B$2)</f>
        <v/>
      </c>
      <c r="C10" s="5">
        <f>'Хранение до конца ноября'!D10*('Хранение до конца ноября'!C10+B10)/2*'Сезонность'!$B$2</f>
        <v/>
      </c>
      <c r="D10" s="3">
        <f>MAX(0,B10-'Хранение до конца ноября'!F10*'Сезонность'!$C$3*'Сезонность'!$B$3)</f>
        <v/>
      </c>
      <c r="E10" s="5">
        <f>'Хранение до конца ноября'!D10*(B10+D10)/2*'Сезонность'!$B$3</f>
        <v/>
      </c>
      <c r="F10" s="3">
        <f>MAX(0,D10-'Хранение до конца ноября'!F10*'Сезонность'!$C$4*'Сезонность'!$B$4)</f>
        <v/>
      </c>
      <c r="G10" s="5">
        <f>'Хранение до конца ноября'!D10*(D10+F10)/2*'Сезонность'!$B$4</f>
        <v/>
      </c>
      <c r="H10" s="3">
        <f>MAX(0,F10-'Хранение до конца ноября'!F10*'Сезонность'!$C$5*'Сезонность'!$B$5)</f>
        <v/>
      </c>
      <c r="I10" s="5">
        <f>'Хранение до конца ноября'!D10*(F10+H10)/2*'Сезонность'!$B$5</f>
        <v/>
      </c>
      <c r="J10" s="3">
        <f>MAX(0,H10-'Хранение до конца ноября'!F10*'Сезонность'!$C$6*'Сезонность'!$B$6)</f>
        <v/>
      </c>
      <c r="K10" s="5">
        <f>'Хранение до конца ноября'!D10*(H10+J10)/2*'Сезонность'!$B$6</f>
        <v/>
      </c>
      <c r="L10" s="3">
        <f>MAX(0,J10-'Хранение до конца ноября'!F10*'Сезонность'!$C$7*'Сезонность'!$B$7)</f>
        <v/>
      </c>
      <c r="M10" s="5">
        <f>'Хранение до конца ноября'!D10*(J10+L10)/2*'Сезонность'!$B$7</f>
        <v/>
      </c>
      <c r="N10" s="5">
        <f>C10+E10+G10+I10+K10+M10</f>
        <v/>
      </c>
    </row>
    <row r="11">
      <c r="A11" s="2">
        <f>'Хранение до конца ноября'!A11</f>
        <v/>
      </c>
      <c r="B11" s="3">
        <f>MAX(0,'Хранение до конца ноября'!C11-'Хранение до конца ноября'!F11*'Сезонность'!$C$2*'Сезонность'!$B$2)</f>
        <v/>
      </c>
      <c r="C11" s="5">
        <f>'Хранение до конца ноября'!D11*('Хранение до конца ноября'!C11+B11)/2*'Сезонность'!$B$2</f>
        <v/>
      </c>
      <c r="D11" s="3">
        <f>MAX(0,B11-'Хранение до конца ноября'!F11*'Сезонность'!$C$3*'Сезонность'!$B$3)</f>
        <v/>
      </c>
      <c r="E11" s="5">
        <f>'Хранение до конца ноября'!D11*(B11+D11)/2*'Сезонность'!$B$3</f>
        <v/>
      </c>
      <c r="F11" s="3">
        <f>MAX(0,D11-'Хранение до конца ноября'!F11*'Сезонность'!$C$4*'Сезонность'!$B$4)</f>
        <v/>
      </c>
      <c r="G11" s="5">
        <f>'Хранение до конца ноября'!D11*(D11+F11)/2*'Сезонность'!$B$4</f>
        <v/>
      </c>
      <c r="H11" s="3">
        <f>MAX(0,F11-'Хранение до конца ноября'!F11*'Сезонность'!$C$5*'Сезонность'!$B$5)</f>
        <v/>
      </c>
      <c r="I11" s="5">
        <f>'Хранение до конца ноября'!D11*(F11+H11)/2*'Сезонность'!$B$5</f>
        <v/>
      </c>
      <c r="J11" s="3">
        <f>MAX(0,H11-'Хранение до конца ноября'!F11*'Сезонность'!$C$6*'Сезонность'!$B$6)</f>
        <v/>
      </c>
      <c r="K11" s="5">
        <f>'Хранение до конца ноября'!D11*(H11+J11)/2*'Сезонность'!$B$6</f>
        <v/>
      </c>
      <c r="L11" s="3">
        <f>MAX(0,J11-'Хранение до конца ноября'!F11*'Сезонность'!$C$7*'Сезонность'!$B$7)</f>
        <v/>
      </c>
      <c r="M11" s="5">
        <f>'Хранение до конца ноября'!D11*(J11+L11)/2*'Сезонность'!$B$7</f>
        <v/>
      </c>
      <c r="N11" s="5">
        <f>C11+E11+G11+I11+K11+M11</f>
        <v/>
      </c>
    </row>
    <row r="12">
      <c r="A12" s="2">
        <f>'Хранение до конца ноября'!A12</f>
        <v/>
      </c>
      <c r="B12" s="3">
        <f>MAX(0,'Хранение до конца ноября'!C12-'Хранение до конца ноября'!F12*'Сезонность'!$C$2*'Сезонность'!$B$2)</f>
        <v/>
      </c>
      <c r="C12" s="5">
        <f>'Хранение до конца ноября'!D12*('Хранение до конца ноября'!C12+B12)/2*'Сезонность'!$B$2</f>
        <v/>
      </c>
      <c r="D12" s="3">
        <f>MAX(0,B12-'Хранение до конца ноября'!F12*'Сезонность'!$C$3*'Сезонность'!$B$3)</f>
        <v/>
      </c>
      <c r="E12" s="5">
        <f>'Хранение до конца ноября'!D12*(B12+D12)/2*'Сезонность'!$B$3</f>
        <v/>
      </c>
      <c r="F12" s="3">
        <f>MAX(0,D12-'Хранение до конца ноября'!F12*'Сезонность'!$C$4*'Сезонность'!$B$4)</f>
        <v/>
      </c>
      <c r="G12" s="5">
        <f>'Хранение до конца ноября'!D12*(D12+F12)/2*'Сезонность'!$B$4</f>
        <v/>
      </c>
      <c r="H12" s="3">
        <f>MAX(0,F12-'Хранение до конца ноября'!F12*'Сезонность'!$C$5*'Сезонность'!$B$5)</f>
        <v/>
      </c>
      <c r="I12" s="5">
        <f>'Хранение до конца ноября'!D12*(F12+H12)/2*'Сезонность'!$B$5</f>
        <v/>
      </c>
      <c r="J12" s="3">
        <f>MAX(0,H12-'Хранение до конца ноября'!F12*'Сезонность'!$C$6*'Сезонность'!$B$6)</f>
        <v/>
      </c>
      <c r="K12" s="5">
        <f>'Хранение до конца ноября'!D12*(H12+J12)/2*'Сезонность'!$B$6</f>
        <v/>
      </c>
      <c r="L12" s="3">
        <f>MAX(0,J12-'Хранение до конца ноября'!F12*'Сезонность'!$C$7*'Сезонность'!$B$7)</f>
        <v/>
      </c>
      <c r="M12" s="5">
        <f>'Хранение до конца ноября'!D12*(J12+L12)/2*'Сезонность'!$B$7</f>
        <v/>
      </c>
      <c r="N12" s="5">
        <f>C12+E12+G12+I12+K12+M12</f>
        <v/>
      </c>
    </row>
    <row r="13">
      <c r="A13" s="2">
        <f>'Хранение до конца ноября'!A13</f>
        <v/>
      </c>
      <c r="B13" s="3">
        <f>MAX(0,'Хранение до конца ноября'!C13-'Хранение до конца ноября'!F13*'Сезонность'!$C$2*'Сезонность'!$B$2)</f>
        <v/>
      </c>
      <c r="C13" s="5">
        <f>'Хранение до конца ноября'!D13*('Хранение до конца ноября'!C13+B13)/2*'Сезонность'!$B$2</f>
        <v/>
      </c>
      <c r="D13" s="3">
        <f>MAX(0,B13-'Хранение до конца ноября'!F13*'Сезонность'!$C$3*'Сезонность'!$B$3)</f>
        <v/>
      </c>
      <c r="E13" s="5">
        <f>'Хранение до конца ноября'!D13*(B13+D13)/2*'Сезонность'!$B$3</f>
        <v/>
      </c>
      <c r="F13" s="3">
        <f>MAX(0,D13-'Хранение до конца ноября'!F13*'Сезонность'!$C$4*'Сезонность'!$B$4)</f>
        <v/>
      </c>
      <c r="G13" s="5">
        <f>'Хранение до конца ноября'!D13*(D13+F13)/2*'Сезонность'!$B$4</f>
        <v/>
      </c>
      <c r="H13" s="3">
        <f>MAX(0,F13-'Хранение до конца ноября'!F13*'Сезонность'!$C$5*'Сезонность'!$B$5)</f>
        <v/>
      </c>
      <c r="I13" s="5">
        <f>'Хранение до конца ноября'!D13*(F13+H13)/2*'Сезонность'!$B$5</f>
        <v/>
      </c>
      <c r="J13" s="3">
        <f>MAX(0,H13-'Хранение до конца ноября'!F13*'Сезонность'!$C$6*'Сезонность'!$B$6)</f>
        <v/>
      </c>
      <c r="K13" s="5">
        <f>'Хранение до конца ноября'!D13*(H13+J13)/2*'Сезонность'!$B$6</f>
        <v/>
      </c>
      <c r="L13" s="3">
        <f>MAX(0,J13-'Хранение до конца ноября'!F13*'Сезонность'!$C$7*'Сезонность'!$B$7)</f>
        <v/>
      </c>
      <c r="M13" s="5">
        <f>'Хранение до конца ноября'!D13*(J13+L13)/2*'Сезонность'!$B$7</f>
        <v/>
      </c>
      <c r="N13" s="5">
        <f>C13+E13+G13+I13+K13+M13</f>
        <v/>
      </c>
    </row>
    <row r="14">
      <c r="A14" s="2">
        <f>'Хранение до конца ноября'!A14</f>
        <v/>
      </c>
      <c r="B14" s="3">
        <f>MAX(0,'Хранение до конца ноября'!C14-'Хранение до конца ноября'!F14*'Сезонность'!$C$2*'Сезонность'!$B$2)</f>
        <v/>
      </c>
      <c r="C14" s="5">
        <f>'Хранение до конца ноября'!D14*('Хранение до конца ноября'!C14+B14)/2*'Сезонность'!$B$2</f>
        <v/>
      </c>
      <c r="D14" s="3">
        <f>MAX(0,B14-'Хранение до конца ноября'!F14*'Сезонность'!$C$3*'Сезонность'!$B$3)</f>
        <v/>
      </c>
      <c r="E14" s="5">
        <f>'Хранение до конца ноября'!D14*(B14+D14)/2*'Сезонность'!$B$3</f>
        <v/>
      </c>
      <c r="F14" s="3">
        <f>MAX(0,D14-'Хранение до конца ноября'!F14*'Сезонность'!$C$4*'Сезонность'!$B$4)</f>
        <v/>
      </c>
      <c r="G14" s="5">
        <f>'Хранение до конца ноября'!D14*(D14+F14)/2*'Сезонность'!$B$4</f>
        <v/>
      </c>
      <c r="H14" s="3">
        <f>MAX(0,F14-'Хранение до конца ноября'!F14*'Сезонность'!$C$5*'Сезонность'!$B$5)</f>
        <v/>
      </c>
      <c r="I14" s="5">
        <f>'Хранение до конца ноября'!D14*(F14+H14)/2*'Сезонность'!$B$5</f>
        <v/>
      </c>
      <c r="J14" s="3">
        <f>MAX(0,H14-'Хранение до конца ноября'!F14*'Сезонность'!$C$6*'Сезонность'!$B$6)</f>
        <v/>
      </c>
      <c r="K14" s="5">
        <f>'Хранение до конца ноября'!D14*(H14+J14)/2*'Сезонность'!$B$6</f>
        <v/>
      </c>
      <c r="L14" s="3">
        <f>MAX(0,J14-'Хранение до конца ноября'!F14*'Сезонность'!$C$7*'Сезонность'!$B$7)</f>
        <v/>
      </c>
      <c r="M14" s="5">
        <f>'Хранение до конца ноября'!D14*(J14+L14)/2*'Сезонность'!$B$7</f>
        <v/>
      </c>
      <c r="N14" s="5">
        <f>C14+E14+G14+I14+K14+M14</f>
        <v/>
      </c>
    </row>
    <row r="15">
      <c r="A15" s="2">
        <f>'Хранение до конца ноября'!A15</f>
        <v/>
      </c>
      <c r="B15" s="3">
        <f>MAX(0,'Хранение до конца ноября'!C15-'Хранение до конца ноября'!F15*'Сезонность'!$C$2*'Сезонность'!$B$2)</f>
        <v/>
      </c>
      <c r="C15" s="5">
        <f>'Хранение до конца ноября'!D15*('Хранение до конца ноября'!C15+B15)/2*'Сезонность'!$B$2</f>
        <v/>
      </c>
      <c r="D15" s="3">
        <f>MAX(0,B15-'Хранение до конца ноября'!F15*'Сезонность'!$C$3*'Сезонность'!$B$3)</f>
        <v/>
      </c>
      <c r="E15" s="5">
        <f>'Хранение до конца ноября'!D15*(B15+D15)/2*'Сезонность'!$B$3</f>
        <v/>
      </c>
      <c r="F15" s="3">
        <f>MAX(0,D15-'Хранение до конца ноября'!F15*'Сезонность'!$C$4*'Сезонность'!$B$4)</f>
        <v/>
      </c>
      <c r="G15" s="5">
        <f>'Хранение до конца ноября'!D15*(D15+F15)/2*'Сезонность'!$B$4</f>
        <v/>
      </c>
      <c r="H15" s="3">
        <f>MAX(0,F15-'Хранение до конца ноября'!F15*'Сезонность'!$C$5*'Сезонность'!$B$5)</f>
        <v/>
      </c>
      <c r="I15" s="5">
        <f>'Хранение до конца ноября'!D15*(F15+H15)/2*'Сезонность'!$B$5</f>
        <v/>
      </c>
      <c r="J15" s="3">
        <f>MAX(0,H15-'Хранение до конца ноября'!F15*'Сезонность'!$C$6*'Сезонность'!$B$6)</f>
        <v/>
      </c>
      <c r="K15" s="5">
        <f>'Хранение до конца ноября'!D15*(H15+J15)/2*'Сезонность'!$B$6</f>
        <v/>
      </c>
      <c r="L15" s="3">
        <f>MAX(0,J15-'Хранение до конца ноября'!F15*'Сезонность'!$C$7*'Сезонность'!$B$7)</f>
        <v/>
      </c>
      <c r="M15" s="5">
        <f>'Хранение до конца ноября'!D15*(J15+L15)/2*'Сезонность'!$B$7</f>
        <v/>
      </c>
      <c r="N15" s="5">
        <f>C15+E15+G15+I15+K15+M15</f>
        <v/>
      </c>
    </row>
    <row r="16">
      <c r="A16" s="2">
        <f>'Хранение до конца ноября'!A16</f>
        <v/>
      </c>
      <c r="B16" s="3">
        <f>MAX(0,'Хранение до конца ноября'!C16-'Хранение до конца ноября'!F16*'Сезонность'!$C$2*'Сезонность'!$B$2)</f>
        <v/>
      </c>
      <c r="C16" s="5">
        <f>'Хранение до конца ноября'!D16*('Хранение до конца ноября'!C16+B16)/2*'Сезонность'!$B$2</f>
        <v/>
      </c>
      <c r="D16" s="3">
        <f>MAX(0,B16-'Хранение до конца ноября'!F16*'Сезонность'!$C$3*'Сезонность'!$B$3)</f>
        <v/>
      </c>
      <c r="E16" s="5">
        <f>'Хранение до конца ноября'!D16*(B16+D16)/2*'Сезонность'!$B$3</f>
        <v/>
      </c>
      <c r="F16" s="3">
        <f>MAX(0,D16-'Хранение до конца ноября'!F16*'Сезонность'!$C$4*'Сезонность'!$B$4)</f>
        <v/>
      </c>
      <c r="G16" s="5">
        <f>'Хранение до конца ноября'!D16*(D16+F16)/2*'Сезонность'!$B$4</f>
        <v/>
      </c>
      <c r="H16" s="3">
        <f>MAX(0,F16-'Хранение до конца ноября'!F16*'Сезонность'!$C$5*'Сезонность'!$B$5)</f>
        <v/>
      </c>
      <c r="I16" s="5">
        <f>'Хранение до конца ноября'!D16*(F16+H16)/2*'Сезонность'!$B$5</f>
        <v/>
      </c>
      <c r="J16" s="3">
        <f>MAX(0,H16-'Хранение до конца ноября'!F16*'Сезонность'!$C$6*'Сезонность'!$B$6)</f>
        <v/>
      </c>
      <c r="K16" s="5">
        <f>'Хранение до конца ноября'!D16*(H16+J16)/2*'Сезонность'!$B$6</f>
        <v/>
      </c>
      <c r="L16" s="3">
        <f>MAX(0,J16-'Хранение до конца ноября'!F16*'Сезонность'!$C$7*'Сезонность'!$B$7)</f>
        <v/>
      </c>
      <c r="M16" s="5">
        <f>'Хранение до конца ноября'!D16*(J16+L16)/2*'Сезонность'!$B$7</f>
        <v/>
      </c>
      <c r="N16" s="5">
        <f>C16+E16+G16+I16+K16+M16</f>
        <v/>
      </c>
    </row>
    <row r="17">
      <c r="A17" s="2">
        <f>'Хранение до конца ноября'!A17</f>
        <v/>
      </c>
      <c r="B17" s="3">
        <f>MAX(0,'Хранение до конца ноября'!C17-'Хранение до конца ноября'!F17*'Сезонность'!$C$2*'Сезонность'!$B$2)</f>
        <v/>
      </c>
      <c r="C17" s="5">
        <f>'Хранение до конца ноября'!D17*('Хранение до конца ноября'!C17+B17)/2*'Сезонность'!$B$2</f>
        <v/>
      </c>
      <c r="D17" s="3">
        <f>MAX(0,B17-'Хранение до конца ноября'!F17*'Сезонность'!$C$3*'Сезонность'!$B$3)</f>
        <v/>
      </c>
      <c r="E17" s="5">
        <f>'Хранение до конца ноября'!D17*(B17+D17)/2*'Сезонность'!$B$3</f>
        <v/>
      </c>
      <c r="F17" s="3">
        <f>MAX(0,D17-'Хранение до конца ноября'!F17*'Сезонность'!$C$4*'Сезонность'!$B$4)</f>
        <v/>
      </c>
      <c r="G17" s="5">
        <f>'Хранение до конца ноября'!D17*(D17+F17)/2*'Сезонность'!$B$4</f>
        <v/>
      </c>
      <c r="H17" s="3">
        <f>MAX(0,F17-'Хранение до конца ноября'!F17*'Сезонность'!$C$5*'Сезонность'!$B$5)</f>
        <v/>
      </c>
      <c r="I17" s="5">
        <f>'Хранение до конца ноября'!D17*(F17+H17)/2*'Сезонность'!$B$5</f>
        <v/>
      </c>
      <c r="J17" s="3">
        <f>MAX(0,H17-'Хранение до конца ноября'!F17*'Сезонность'!$C$6*'Сезонность'!$B$6)</f>
        <v/>
      </c>
      <c r="K17" s="5">
        <f>'Хранение до конца ноября'!D17*(H17+J17)/2*'Сезонность'!$B$6</f>
        <v/>
      </c>
      <c r="L17" s="3">
        <f>MAX(0,J17-'Хранение до конца ноября'!F17*'Сезонность'!$C$7*'Сезонность'!$B$7)</f>
        <v/>
      </c>
      <c r="M17" s="5">
        <f>'Хранение до конца ноября'!D17*(J17+L17)/2*'Сезонность'!$B$7</f>
        <v/>
      </c>
      <c r="N17" s="5">
        <f>C17+E17+G17+I17+K17+M17</f>
        <v/>
      </c>
    </row>
    <row r="18">
      <c r="A18" s="2">
        <f>'Хранение до конца ноября'!A18</f>
        <v/>
      </c>
      <c r="B18" s="3">
        <f>MAX(0,'Хранение до конца ноября'!C18-'Хранение до конца ноября'!F18*'Сезонность'!$C$2*'Сезонность'!$B$2)</f>
        <v/>
      </c>
      <c r="C18" s="5">
        <f>'Хранение до конца ноября'!D18*('Хранение до конца ноября'!C18+B18)/2*'Сезонность'!$B$2</f>
        <v/>
      </c>
      <c r="D18" s="3">
        <f>MAX(0,B18-'Хранение до конца ноября'!F18*'Сезонность'!$C$3*'Сезонность'!$B$3)</f>
        <v/>
      </c>
      <c r="E18" s="5">
        <f>'Хранение до конца ноября'!D18*(B18+D18)/2*'Сезонность'!$B$3</f>
        <v/>
      </c>
      <c r="F18" s="3">
        <f>MAX(0,D18-'Хранение до конца ноября'!F18*'Сезонность'!$C$4*'Сезонность'!$B$4)</f>
        <v/>
      </c>
      <c r="G18" s="5">
        <f>'Хранение до конца ноября'!D18*(D18+F18)/2*'Сезонность'!$B$4</f>
        <v/>
      </c>
      <c r="H18" s="3">
        <f>MAX(0,F18-'Хранение до конца ноября'!F18*'Сезонность'!$C$5*'Сезонность'!$B$5)</f>
        <v/>
      </c>
      <c r="I18" s="5">
        <f>'Хранение до конца ноября'!D18*(F18+H18)/2*'Сезонность'!$B$5</f>
        <v/>
      </c>
      <c r="J18" s="3">
        <f>MAX(0,H18-'Хранение до конца ноября'!F18*'Сезонность'!$C$6*'Сезонность'!$B$6)</f>
        <v/>
      </c>
      <c r="K18" s="5">
        <f>'Хранение до конца ноября'!D18*(H18+J18)/2*'Сезонность'!$B$6</f>
        <v/>
      </c>
      <c r="L18" s="3">
        <f>MAX(0,J18-'Хранение до конца ноября'!F18*'Сезонность'!$C$7*'Сезонность'!$B$7)</f>
        <v/>
      </c>
      <c r="M18" s="5">
        <f>'Хранение до конца ноября'!D18*(J18+L18)/2*'Сезонность'!$B$7</f>
        <v/>
      </c>
      <c r="N18" s="5">
        <f>C18+E18+G18+I18+K18+M18</f>
        <v/>
      </c>
    </row>
    <row r="19">
      <c r="A19" s="2">
        <f>'Хранение до конца ноября'!A19</f>
        <v/>
      </c>
      <c r="B19" s="3">
        <f>MAX(0,'Хранение до конца ноября'!C19-'Хранение до конца ноября'!F19*'Сезонность'!$C$2*'Сезонность'!$B$2)</f>
        <v/>
      </c>
      <c r="C19" s="5">
        <f>'Хранение до конца ноября'!D19*('Хранение до конца ноября'!C19+B19)/2*'Сезонность'!$B$2</f>
        <v/>
      </c>
      <c r="D19" s="3">
        <f>MAX(0,B19-'Хранение до конца ноября'!F19*'Сезонность'!$C$3*'Сезонность'!$B$3)</f>
        <v/>
      </c>
      <c r="E19" s="5">
        <f>'Хранение до конца ноября'!D19*(B19+D19)/2*'Сезонность'!$B$3</f>
        <v/>
      </c>
      <c r="F19" s="3">
        <f>MAX(0,D19-'Хранение до конца ноября'!F19*'Сезонность'!$C$4*'Сезонность'!$B$4)</f>
        <v/>
      </c>
      <c r="G19" s="5">
        <f>'Хранение до конца ноября'!D19*(D19+F19)/2*'Сезонность'!$B$4</f>
        <v/>
      </c>
      <c r="H19" s="3">
        <f>MAX(0,F19-'Хранение до конца ноября'!F19*'Сезонность'!$C$5*'Сезонность'!$B$5)</f>
        <v/>
      </c>
      <c r="I19" s="5">
        <f>'Хранение до конца ноября'!D19*(F19+H19)/2*'Сезонность'!$B$5</f>
        <v/>
      </c>
      <c r="J19" s="3">
        <f>MAX(0,H19-'Хранение до конца ноября'!F19*'Сезонность'!$C$6*'Сезонность'!$B$6)</f>
        <v/>
      </c>
      <c r="K19" s="5">
        <f>'Хранение до конца ноября'!D19*(H19+J19)/2*'Сезонность'!$B$6</f>
        <v/>
      </c>
      <c r="L19" s="3">
        <f>MAX(0,J19-'Хранение до конца ноября'!F19*'Сезонность'!$C$7*'Сезонность'!$B$7)</f>
        <v/>
      </c>
      <c r="M19" s="5">
        <f>'Хранение до конца ноября'!D19*(J19+L19)/2*'Сезонность'!$B$7</f>
        <v/>
      </c>
      <c r="N19" s="5">
        <f>C19+E19+G19+I19+K19+M19</f>
        <v/>
      </c>
    </row>
    <row r="20">
      <c r="A20" s="2">
        <f>'Хранение до конца ноября'!A20</f>
        <v/>
      </c>
      <c r="B20" s="3">
        <f>MAX(0,'Хранение до конца ноября'!C20-'Хранение до конца ноября'!F20*'Сезонность'!$C$2*'Сезонность'!$B$2)</f>
        <v/>
      </c>
      <c r="C20" s="5">
        <f>'Хранение до конца ноября'!D20*('Хранение до конца ноября'!C20+B20)/2*'Сезонность'!$B$2</f>
        <v/>
      </c>
      <c r="D20" s="3">
        <f>MAX(0,B20-'Хранение до конца ноября'!F20*'Сезонность'!$C$3*'Сезонность'!$B$3)</f>
        <v/>
      </c>
      <c r="E20" s="5">
        <f>'Хранение до конца ноября'!D20*(B20+D20)/2*'Сезонность'!$B$3</f>
        <v/>
      </c>
      <c r="F20" s="3">
        <f>MAX(0,D20-'Хранение до конца ноября'!F20*'Сезонность'!$C$4*'Сезонность'!$B$4)</f>
        <v/>
      </c>
      <c r="G20" s="5">
        <f>'Хранение до конца ноября'!D20*(D20+F20)/2*'Сезонность'!$B$4</f>
        <v/>
      </c>
      <c r="H20" s="3">
        <f>MAX(0,F20-'Хранение до конца ноября'!F20*'Сезонность'!$C$5*'Сезонность'!$B$5)</f>
        <v/>
      </c>
      <c r="I20" s="5">
        <f>'Хранение до конца ноября'!D20*(F20+H20)/2*'Сезонность'!$B$5</f>
        <v/>
      </c>
      <c r="J20" s="3">
        <f>MAX(0,H20-'Хранение до конца ноября'!F20*'Сезонность'!$C$6*'Сезонность'!$B$6)</f>
        <v/>
      </c>
      <c r="K20" s="5">
        <f>'Хранение до конца ноября'!D20*(H20+J20)/2*'Сезонность'!$B$6</f>
        <v/>
      </c>
      <c r="L20" s="3">
        <f>MAX(0,J20-'Хранение до конца ноября'!F20*'Сезонность'!$C$7*'Сезонность'!$B$7)</f>
        <v/>
      </c>
      <c r="M20" s="5">
        <f>'Хранение до конца ноября'!D20*(J20+L20)/2*'Сезонность'!$B$7</f>
        <v/>
      </c>
      <c r="N20" s="5">
        <f>C20+E20+G20+I20+K20+M20</f>
        <v/>
      </c>
    </row>
    <row r="21">
      <c r="A21" s="2">
        <f>'Хранение до конца ноября'!A21</f>
        <v/>
      </c>
      <c r="B21" s="3">
        <f>MAX(0,'Хранение до конца ноября'!C21-'Хранение до конца ноября'!F21*'Сезонность'!$C$2*'Сезонность'!$B$2)</f>
        <v/>
      </c>
      <c r="C21" s="5">
        <f>'Хранение до конца ноября'!D21*('Хранение до конца ноября'!C21+B21)/2*'Сезонность'!$B$2</f>
        <v/>
      </c>
      <c r="D21" s="3">
        <f>MAX(0,B21-'Хранение до конца ноября'!F21*'Сезонность'!$C$3*'Сезонность'!$B$3)</f>
        <v/>
      </c>
      <c r="E21" s="5">
        <f>'Хранение до конца ноября'!D21*(B21+D21)/2*'Сезонность'!$B$3</f>
        <v/>
      </c>
      <c r="F21" s="3">
        <f>MAX(0,D21-'Хранение до конца ноября'!F21*'Сезонность'!$C$4*'Сезонность'!$B$4)</f>
        <v/>
      </c>
      <c r="G21" s="5">
        <f>'Хранение до конца ноября'!D21*(D21+F21)/2*'Сезонность'!$B$4</f>
        <v/>
      </c>
      <c r="H21" s="3">
        <f>MAX(0,F21-'Хранение до конца ноября'!F21*'Сезонность'!$C$5*'Сезонность'!$B$5)</f>
        <v/>
      </c>
      <c r="I21" s="5">
        <f>'Хранение до конца ноября'!D21*(F21+H21)/2*'Сезонность'!$B$5</f>
        <v/>
      </c>
      <c r="J21" s="3">
        <f>MAX(0,H21-'Хранение до конца ноября'!F21*'Сезонность'!$C$6*'Сезонность'!$B$6)</f>
        <v/>
      </c>
      <c r="K21" s="5">
        <f>'Хранение до конца ноября'!D21*(H21+J21)/2*'Сезонность'!$B$6</f>
        <v/>
      </c>
      <c r="L21" s="3">
        <f>MAX(0,J21-'Хранение до конца ноября'!F21*'Сезонность'!$C$7*'Сезонность'!$B$7)</f>
        <v/>
      </c>
      <c r="M21" s="5">
        <f>'Хранение до конца ноября'!D21*(J21+L21)/2*'Сезонность'!$B$7</f>
        <v/>
      </c>
      <c r="N21" s="5">
        <f>C21+E21+G21+I21+K21+M21</f>
        <v/>
      </c>
    </row>
    <row r="22">
      <c r="A22" s="2">
        <f>'Хранение до конца ноября'!A22</f>
        <v/>
      </c>
      <c r="B22" s="3">
        <f>MAX(0,'Хранение до конца ноября'!C22-'Хранение до конца ноября'!F22*'Сезонность'!$C$2*'Сезонность'!$B$2)</f>
        <v/>
      </c>
      <c r="C22" s="5">
        <f>'Хранение до конца ноября'!D22*('Хранение до конца ноября'!C22+B22)/2*'Сезонность'!$B$2</f>
        <v/>
      </c>
      <c r="D22" s="3">
        <f>MAX(0,B22-'Хранение до конца ноября'!F22*'Сезонность'!$C$3*'Сезонность'!$B$3)</f>
        <v/>
      </c>
      <c r="E22" s="5">
        <f>'Хранение до конца ноября'!D22*(B22+D22)/2*'Сезонность'!$B$3</f>
        <v/>
      </c>
      <c r="F22" s="3">
        <f>MAX(0,D22-'Хранение до конца ноября'!F22*'Сезонность'!$C$4*'Сезонность'!$B$4)</f>
        <v/>
      </c>
      <c r="G22" s="5">
        <f>'Хранение до конца ноября'!D22*(D22+F22)/2*'Сезонность'!$B$4</f>
        <v/>
      </c>
      <c r="H22" s="3">
        <f>MAX(0,F22-'Хранение до конца ноября'!F22*'Сезонность'!$C$5*'Сезонность'!$B$5)</f>
        <v/>
      </c>
      <c r="I22" s="5">
        <f>'Хранение до конца ноября'!D22*(F22+H22)/2*'Сезонность'!$B$5</f>
        <v/>
      </c>
      <c r="J22" s="3">
        <f>MAX(0,H22-'Хранение до конца ноября'!F22*'Сезонность'!$C$6*'Сезонность'!$B$6)</f>
        <v/>
      </c>
      <c r="K22" s="5">
        <f>'Хранение до конца ноября'!D22*(H22+J22)/2*'Сезонность'!$B$6</f>
        <v/>
      </c>
      <c r="L22" s="3">
        <f>MAX(0,J22-'Хранение до конца ноября'!F22*'Сезонность'!$C$7*'Сезонность'!$B$7)</f>
        <v/>
      </c>
      <c r="M22" s="5">
        <f>'Хранение до конца ноября'!D22*(J22+L22)/2*'Сезонность'!$B$7</f>
        <v/>
      </c>
      <c r="N22" s="5">
        <f>C22+E22+G22+I22+K22+M22</f>
        <v/>
      </c>
    </row>
    <row r="23">
      <c r="A23" s="2">
        <f>'Хранение до конца ноября'!A23</f>
        <v/>
      </c>
      <c r="B23" s="3">
        <f>MAX(0,'Хранение до конца ноября'!C23-'Хранение до конца ноября'!F23*'Сезонность'!$C$2*'Сезонность'!$B$2)</f>
        <v/>
      </c>
      <c r="C23" s="5">
        <f>'Хранение до конца ноября'!D23*('Хранение до конца ноября'!C23+B23)/2*'Сезонность'!$B$2</f>
        <v/>
      </c>
      <c r="D23" s="3">
        <f>MAX(0,B23-'Хранение до конца ноября'!F23*'Сезонность'!$C$3*'Сезонность'!$B$3)</f>
        <v/>
      </c>
      <c r="E23" s="5">
        <f>'Хранение до конца ноября'!D23*(B23+D23)/2*'Сезонность'!$B$3</f>
        <v/>
      </c>
      <c r="F23" s="3">
        <f>MAX(0,D23-'Хранение до конца ноября'!F23*'Сезонность'!$C$4*'Сезонность'!$B$4)</f>
        <v/>
      </c>
      <c r="G23" s="5">
        <f>'Хранение до конца ноября'!D23*(D23+F23)/2*'Сезонность'!$B$4</f>
        <v/>
      </c>
      <c r="H23" s="3">
        <f>MAX(0,F23-'Хранение до конца ноября'!F23*'Сезонность'!$C$5*'Сезонность'!$B$5)</f>
        <v/>
      </c>
      <c r="I23" s="5">
        <f>'Хранение до конца ноября'!D23*(F23+H23)/2*'Сезонность'!$B$5</f>
        <v/>
      </c>
      <c r="J23" s="3">
        <f>MAX(0,H23-'Хранение до конца ноября'!F23*'Сезонность'!$C$6*'Сезонность'!$B$6)</f>
        <v/>
      </c>
      <c r="K23" s="5">
        <f>'Хранение до конца ноября'!D23*(H23+J23)/2*'Сезонность'!$B$6</f>
        <v/>
      </c>
      <c r="L23" s="3">
        <f>MAX(0,J23-'Хранение до конца ноября'!F23*'Сезонность'!$C$7*'Сезонность'!$B$7)</f>
        <v/>
      </c>
      <c r="M23" s="5">
        <f>'Хранение до конца ноября'!D23*(J23+L23)/2*'Сезонность'!$B$7</f>
        <v/>
      </c>
      <c r="N23" s="5">
        <f>C23+E23+G23+I23+K23+M23</f>
        <v/>
      </c>
    </row>
    <row r="24">
      <c r="A24" s="2">
        <f>'Хранение до конца ноября'!A24</f>
        <v/>
      </c>
      <c r="B24" s="3">
        <f>MAX(0,'Хранение до конца ноября'!C24-'Хранение до конца ноября'!F24*'Сезонность'!$C$2*'Сезонность'!$B$2)</f>
        <v/>
      </c>
      <c r="C24" s="5">
        <f>'Хранение до конца ноября'!D24*('Хранение до конца ноября'!C24+B24)/2*'Сезонность'!$B$2</f>
        <v/>
      </c>
      <c r="D24" s="3">
        <f>MAX(0,B24-'Хранение до конца ноября'!F24*'Сезонность'!$C$3*'Сезонность'!$B$3)</f>
        <v/>
      </c>
      <c r="E24" s="5">
        <f>'Хранение до конца ноября'!D24*(B24+D24)/2*'Сезонность'!$B$3</f>
        <v/>
      </c>
      <c r="F24" s="3">
        <f>MAX(0,D24-'Хранение до конца ноября'!F24*'Сезонность'!$C$4*'Сезонность'!$B$4)</f>
        <v/>
      </c>
      <c r="G24" s="5">
        <f>'Хранение до конца ноября'!D24*(D24+F24)/2*'Сезонность'!$B$4</f>
        <v/>
      </c>
      <c r="H24" s="3">
        <f>MAX(0,F24-'Хранение до конца ноября'!F24*'Сезонность'!$C$5*'Сезонность'!$B$5)</f>
        <v/>
      </c>
      <c r="I24" s="5">
        <f>'Хранение до конца ноября'!D24*(F24+H24)/2*'Сезонность'!$B$5</f>
        <v/>
      </c>
      <c r="J24" s="3">
        <f>MAX(0,H24-'Хранение до конца ноября'!F24*'Сезонность'!$C$6*'Сезонность'!$B$6)</f>
        <v/>
      </c>
      <c r="K24" s="5">
        <f>'Хранение до конца ноября'!D24*(H24+J24)/2*'Сезонность'!$B$6</f>
        <v/>
      </c>
      <c r="L24" s="3">
        <f>MAX(0,J24-'Хранение до конца ноября'!F24*'Сезонность'!$C$7*'Сезонность'!$B$7)</f>
        <v/>
      </c>
      <c r="M24" s="5">
        <f>'Хранение до конца ноября'!D24*(J24+L24)/2*'Сезонность'!$B$7</f>
        <v/>
      </c>
      <c r="N24" s="5">
        <f>C24+E24+G24+I24+K24+M24</f>
        <v/>
      </c>
    </row>
    <row r="25">
      <c r="A25" s="2">
        <f>'Хранение до конца ноября'!A25</f>
        <v/>
      </c>
      <c r="B25" s="3">
        <f>MAX(0,'Хранение до конца ноября'!C25-'Хранение до конца ноября'!F25*'Сезонность'!$C$2*'Сезонность'!$B$2)</f>
        <v/>
      </c>
      <c r="C25" s="5">
        <f>'Хранение до конца ноября'!D25*('Хранение до конца ноября'!C25+B25)/2*'Сезонность'!$B$2</f>
        <v/>
      </c>
      <c r="D25" s="3">
        <f>MAX(0,B25-'Хранение до конца ноября'!F25*'Сезонность'!$C$3*'Сезонность'!$B$3)</f>
        <v/>
      </c>
      <c r="E25" s="5">
        <f>'Хранение до конца ноября'!D25*(B25+D25)/2*'Сезонность'!$B$3</f>
        <v/>
      </c>
      <c r="F25" s="3">
        <f>MAX(0,D25-'Хранение до конца ноября'!F25*'Сезонность'!$C$4*'Сезонность'!$B$4)</f>
        <v/>
      </c>
      <c r="G25" s="5">
        <f>'Хранение до конца ноября'!D25*(D25+F25)/2*'Сезонность'!$B$4</f>
        <v/>
      </c>
      <c r="H25" s="3">
        <f>MAX(0,F25-'Хранение до конца ноября'!F25*'Сезонность'!$C$5*'Сезонность'!$B$5)</f>
        <v/>
      </c>
      <c r="I25" s="5">
        <f>'Хранение до конца ноября'!D25*(F25+H25)/2*'Сезонность'!$B$5</f>
        <v/>
      </c>
      <c r="J25" s="3">
        <f>MAX(0,H25-'Хранение до конца ноября'!F25*'Сезонность'!$C$6*'Сезонность'!$B$6)</f>
        <v/>
      </c>
      <c r="K25" s="5">
        <f>'Хранение до конца ноября'!D25*(H25+J25)/2*'Сезонность'!$B$6</f>
        <v/>
      </c>
      <c r="L25" s="3">
        <f>MAX(0,J25-'Хранение до конца ноября'!F25*'Сезонность'!$C$7*'Сезонность'!$B$7)</f>
        <v/>
      </c>
      <c r="M25" s="5">
        <f>'Хранение до конца ноября'!D25*(J25+L25)/2*'Сезонность'!$B$7</f>
        <v/>
      </c>
      <c r="N25" s="5">
        <f>C25+E25+G25+I25+K25+M25</f>
        <v/>
      </c>
    </row>
    <row r="26">
      <c r="A26" s="2">
        <f>'Хранение до конца ноября'!A26</f>
        <v/>
      </c>
      <c r="B26" s="3">
        <f>MAX(0,'Хранение до конца ноября'!C26-'Хранение до конца ноября'!F26*'Сезонность'!$C$2*'Сезонность'!$B$2)</f>
        <v/>
      </c>
      <c r="C26" s="5">
        <f>'Хранение до конца ноября'!D26*('Хранение до конца ноября'!C26+B26)/2*'Сезонность'!$B$2</f>
        <v/>
      </c>
      <c r="D26" s="3">
        <f>MAX(0,B26-'Хранение до конца ноября'!F26*'Сезонность'!$C$3*'Сезонность'!$B$3)</f>
        <v/>
      </c>
      <c r="E26" s="5">
        <f>'Хранение до конца ноября'!D26*(B26+D26)/2*'Сезонность'!$B$3</f>
        <v/>
      </c>
      <c r="F26" s="3">
        <f>MAX(0,D26-'Хранение до конца ноября'!F26*'Сезонность'!$C$4*'Сезонность'!$B$4)</f>
        <v/>
      </c>
      <c r="G26" s="5">
        <f>'Хранение до конца ноября'!D26*(D26+F26)/2*'Сезонность'!$B$4</f>
        <v/>
      </c>
      <c r="H26" s="3">
        <f>MAX(0,F26-'Хранение до конца ноября'!F26*'Сезонность'!$C$5*'Сезонность'!$B$5)</f>
        <v/>
      </c>
      <c r="I26" s="5">
        <f>'Хранение до конца ноября'!D26*(F26+H26)/2*'Сезонность'!$B$5</f>
        <v/>
      </c>
      <c r="J26" s="3">
        <f>MAX(0,H26-'Хранение до конца ноября'!F26*'Сезонность'!$C$6*'Сезонность'!$B$6)</f>
        <v/>
      </c>
      <c r="K26" s="5">
        <f>'Хранение до конца ноября'!D26*(H26+J26)/2*'Сезонность'!$B$6</f>
        <v/>
      </c>
      <c r="L26" s="3">
        <f>MAX(0,J26-'Хранение до конца ноября'!F26*'Сезонность'!$C$7*'Сезонность'!$B$7)</f>
        <v/>
      </c>
      <c r="M26" s="5">
        <f>'Хранение до конца ноября'!D26*(J26+L26)/2*'Сезонность'!$B$7</f>
        <v/>
      </c>
      <c r="N26" s="5">
        <f>C26+E26+G26+I26+K26+M26</f>
        <v/>
      </c>
    </row>
    <row r="27">
      <c r="A27" s="2">
        <f>'Хранение до конца ноября'!A27</f>
        <v/>
      </c>
      <c r="B27" s="3">
        <f>MAX(0,'Хранение до конца ноября'!C27-'Хранение до конца ноября'!F27*'Сезонность'!$C$2*'Сезонность'!$B$2)</f>
        <v/>
      </c>
      <c r="C27" s="5">
        <f>'Хранение до конца ноября'!D27*('Хранение до конца ноября'!C27+B27)/2*'Сезонность'!$B$2</f>
        <v/>
      </c>
      <c r="D27" s="3">
        <f>MAX(0,B27-'Хранение до конца ноября'!F27*'Сезонность'!$C$3*'Сезонность'!$B$3)</f>
        <v/>
      </c>
      <c r="E27" s="5">
        <f>'Хранение до конца ноября'!D27*(B27+D27)/2*'Сезонность'!$B$3</f>
        <v/>
      </c>
      <c r="F27" s="3">
        <f>MAX(0,D27-'Хранение до конца ноября'!F27*'Сезонность'!$C$4*'Сезонность'!$B$4)</f>
        <v/>
      </c>
      <c r="G27" s="5">
        <f>'Хранение до конца ноября'!D27*(D27+F27)/2*'Сезонность'!$B$4</f>
        <v/>
      </c>
      <c r="H27" s="3">
        <f>MAX(0,F27-'Хранение до конца ноября'!F27*'Сезонность'!$C$5*'Сезонность'!$B$5)</f>
        <v/>
      </c>
      <c r="I27" s="5">
        <f>'Хранение до конца ноября'!D27*(F27+H27)/2*'Сезонность'!$B$5</f>
        <v/>
      </c>
      <c r="J27" s="3">
        <f>MAX(0,H27-'Хранение до конца ноября'!F27*'Сезонность'!$C$6*'Сезонность'!$B$6)</f>
        <v/>
      </c>
      <c r="K27" s="5">
        <f>'Хранение до конца ноября'!D27*(H27+J27)/2*'Сезонность'!$B$6</f>
        <v/>
      </c>
      <c r="L27" s="3">
        <f>MAX(0,J27-'Хранение до конца ноября'!F27*'Сезонность'!$C$7*'Сезонность'!$B$7)</f>
        <v/>
      </c>
      <c r="M27" s="5">
        <f>'Хранение до конца ноября'!D27*(J27+L27)/2*'Сезонность'!$B$7</f>
        <v/>
      </c>
      <c r="N27" s="5">
        <f>C27+E27+G27+I27+K27+M27</f>
        <v/>
      </c>
    </row>
    <row r="28">
      <c r="A28" s="2">
        <f>'Хранение до конца ноября'!A28</f>
        <v/>
      </c>
      <c r="B28" s="3">
        <f>MAX(0,'Хранение до конца ноября'!C28-'Хранение до конца ноября'!F28*'Сезонность'!$C$2*'Сезонность'!$B$2)</f>
        <v/>
      </c>
      <c r="C28" s="5">
        <f>'Хранение до конца ноября'!D28*('Хранение до конца ноября'!C28+B28)/2*'Сезонность'!$B$2</f>
        <v/>
      </c>
      <c r="D28" s="3">
        <f>MAX(0,B28-'Хранение до конца ноября'!F28*'Сезонность'!$C$3*'Сезонность'!$B$3)</f>
        <v/>
      </c>
      <c r="E28" s="5">
        <f>'Хранение до конца ноября'!D28*(B28+D28)/2*'Сезонность'!$B$3</f>
        <v/>
      </c>
      <c r="F28" s="3">
        <f>MAX(0,D28-'Хранение до конца ноября'!F28*'Сезонность'!$C$4*'Сезонность'!$B$4)</f>
        <v/>
      </c>
      <c r="G28" s="5">
        <f>'Хранение до конца ноября'!D28*(D28+F28)/2*'Сезонность'!$B$4</f>
        <v/>
      </c>
      <c r="H28" s="3">
        <f>MAX(0,F28-'Хранение до конца ноября'!F28*'Сезонность'!$C$5*'Сезонность'!$B$5)</f>
        <v/>
      </c>
      <c r="I28" s="5">
        <f>'Хранение до конца ноября'!D28*(F28+H28)/2*'Сезонность'!$B$5</f>
        <v/>
      </c>
      <c r="J28" s="3">
        <f>MAX(0,H28-'Хранение до конца ноября'!F28*'Сезонность'!$C$6*'Сезонность'!$B$6)</f>
        <v/>
      </c>
      <c r="K28" s="5">
        <f>'Хранение до конца ноября'!D28*(H28+J28)/2*'Сезонность'!$B$6</f>
        <v/>
      </c>
      <c r="L28" s="3">
        <f>MAX(0,J28-'Хранение до конца ноября'!F28*'Сезонность'!$C$7*'Сезонность'!$B$7)</f>
        <v/>
      </c>
      <c r="M28" s="5">
        <f>'Хранение до конца ноября'!D28*(J28+L28)/2*'Сезонность'!$B$7</f>
        <v/>
      </c>
      <c r="N28" s="5">
        <f>C28+E28+G28+I28+K28+M28</f>
        <v/>
      </c>
    </row>
    <row r="29">
      <c r="A29" s="2">
        <f>'Хранение до конца ноября'!A29</f>
        <v/>
      </c>
      <c r="B29" s="3">
        <f>MAX(0,'Хранение до конца ноября'!C29-'Хранение до конца ноября'!F29*'Сезонность'!$C$2*'Сезонность'!$B$2)</f>
        <v/>
      </c>
      <c r="C29" s="5">
        <f>'Хранение до конца ноября'!D29*('Хранение до конца ноября'!C29+B29)/2*'Сезонность'!$B$2</f>
        <v/>
      </c>
      <c r="D29" s="3">
        <f>MAX(0,B29-'Хранение до конца ноября'!F29*'Сезонность'!$C$3*'Сезонность'!$B$3)</f>
        <v/>
      </c>
      <c r="E29" s="5">
        <f>'Хранение до конца ноября'!D29*(B29+D29)/2*'Сезонность'!$B$3</f>
        <v/>
      </c>
      <c r="F29" s="3">
        <f>MAX(0,D29-'Хранение до конца ноября'!F29*'Сезонность'!$C$4*'Сезонность'!$B$4)</f>
        <v/>
      </c>
      <c r="G29" s="5">
        <f>'Хранение до конца ноября'!D29*(D29+F29)/2*'Сезонность'!$B$4</f>
        <v/>
      </c>
      <c r="H29" s="3">
        <f>MAX(0,F29-'Хранение до конца ноября'!F29*'Сезонность'!$C$5*'Сезонность'!$B$5)</f>
        <v/>
      </c>
      <c r="I29" s="5">
        <f>'Хранение до конца ноября'!D29*(F29+H29)/2*'Сезонность'!$B$5</f>
        <v/>
      </c>
      <c r="J29" s="3">
        <f>MAX(0,H29-'Хранение до конца ноября'!F29*'Сезонность'!$C$6*'Сезонность'!$B$6)</f>
        <v/>
      </c>
      <c r="K29" s="5">
        <f>'Хранение до конца ноября'!D29*(H29+J29)/2*'Сезонность'!$B$6</f>
        <v/>
      </c>
      <c r="L29" s="3">
        <f>MAX(0,J29-'Хранение до конца ноября'!F29*'Сезонность'!$C$7*'Сезонность'!$B$7)</f>
        <v/>
      </c>
      <c r="M29" s="5">
        <f>'Хранение до конца ноября'!D29*(J29+L29)/2*'Сезонность'!$B$7</f>
        <v/>
      </c>
      <c r="N29" s="5">
        <f>C29+E29+G29+I29+K29+M29</f>
        <v/>
      </c>
    </row>
    <row r="30">
      <c r="A30" s="2">
        <f>'Хранение до конца ноября'!A30</f>
        <v/>
      </c>
      <c r="B30" s="3">
        <f>MAX(0,'Хранение до конца ноября'!C30-'Хранение до конца ноября'!F30*'Сезонность'!$C$2*'Сезонность'!$B$2)</f>
        <v/>
      </c>
      <c r="C30" s="5">
        <f>'Хранение до конца ноября'!D30*('Хранение до конца ноября'!C30+B30)/2*'Сезонность'!$B$2</f>
        <v/>
      </c>
      <c r="D30" s="3">
        <f>MAX(0,B30-'Хранение до конца ноября'!F30*'Сезонность'!$C$3*'Сезонность'!$B$3)</f>
        <v/>
      </c>
      <c r="E30" s="5">
        <f>'Хранение до конца ноября'!D30*(B30+D30)/2*'Сезонность'!$B$3</f>
        <v/>
      </c>
      <c r="F30" s="3">
        <f>MAX(0,D30-'Хранение до конца ноября'!F30*'Сезонность'!$C$4*'Сезонность'!$B$4)</f>
        <v/>
      </c>
      <c r="G30" s="5">
        <f>'Хранение до конца ноября'!D30*(D30+F30)/2*'Сезонность'!$B$4</f>
        <v/>
      </c>
      <c r="H30" s="3">
        <f>MAX(0,F30-'Хранение до конца ноября'!F30*'Сезонность'!$C$5*'Сезонность'!$B$5)</f>
        <v/>
      </c>
      <c r="I30" s="5">
        <f>'Хранение до конца ноября'!D30*(F30+H30)/2*'Сезонность'!$B$5</f>
        <v/>
      </c>
      <c r="J30" s="3">
        <f>MAX(0,H30-'Хранение до конца ноября'!F30*'Сезонность'!$C$6*'Сезонность'!$B$6)</f>
        <v/>
      </c>
      <c r="K30" s="5">
        <f>'Хранение до конца ноября'!D30*(H30+J30)/2*'Сезонность'!$B$6</f>
        <v/>
      </c>
      <c r="L30" s="3">
        <f>MAX(0,J30-'Хранение до конца ноября'!F30*'Сезонность'!$C$7*'Сезонность'!$B$7)</f>
        <v/>
      </c>
      <c r="M30" s="5">
        <f>'Хранение до конца ноября'!D30*(J30+L30)/2*'Сезонность'!$B$7</f>
        <v/>
      </c>
      <c r="N30" s="5">
        <f>C30+E30+G30+I30+K30+M30</f>
        <v/>
      </c>
    </row>
    <row r="31">
      <c r="A31" s="2">
        <f>'Хранение до конца ноября'!A31</f>
        <v/>
      </c>
      <c r="B31" s="3">
        <f>MAX(0,'Хранение до конца ноября'!C31-'Хранение до конца ноября'!F31*'Сезонность'!$C$2*'Сезонность'!$B$2)</f>
        <v/>
      </c>
      <c r="C31" s="5">
        <f>'Хранение до конца ноября'!D31*('Хранение до конца ноября'!C31+B31)/2*'Сезонность'!$B$2</f>
        <v/>
      </c>
      <c r="D31" s="3">
        <f>MAX(0,B31-'Хранение до конца ноября'!F31*'Сезонность'!$C$3*'Сезонность'!$B$3)</f>
        <v/>
      </c>
      <c r="E31" s="5">
        <f>'Хранение до конца ноября'!D31*(B31+D31)/2*'Сезонность'!$B$3</f>
        <v/>
      </c>
      <c r="F31" s="3">
        <f>MAX(0,D31-'Хранение до конца ноября'!F31*'Сезонность'!$C$4*'Сезонность'!$B$4)</f>
        <v/>
      </c>
      <c r="G31" s="5">
        <f>'Хранение до конца ноября'!D31*(D31+F31)/2*'Сезонность'!$B$4</f>
        <v/>
      </c>
      <c r="H31" s="3">
        <f>MAX(0,F31-'Хранение до конца ноября'!F31*'Сезонность'!$C$5*'Сезонность'!$B$5)</f>
        <v/>
      </c>
      <c r="I31" s="5">
        <f>'Хранение до конца ноября'!D31*(F31+H31)/2*'Сезонность'!$B$5</f>
        <v/>
      </c>
      <c r="J31" s="3">
        <f>MAX(0,H31-'Хранение до конца ноября'!F31*'Сезонность'!$C$6*'Сезонность'!$B$6)</f>
        <v/>
      </c>
      <c r="K31" s="5">
        <f>'Хранение до конца ноября'!D31*(H31+J31)/2*'Сезонность'!$B$6</f>
        <v/>
      </c>
      <c r="L31" s="3">
        <f>MAX(0,J31-'Хранение до конца ноября'!F31*'Сезонность'!$C$7*'Сезонность'!$B$7)</f>
        <v/>
      </c>
      <c r="M31" s="5">
        <f>'Хранение до конца ноября'!D31*(J31+L31)/2*'Сезонность'!$B$7</f>
        <v/>
      </c>
      <c r="N31" s="5">
        <f>C31+E31+G31+I31+K31+M31</f>
        <v/>
      </c>
    </row>
    <row r="32">
      <c r="A32" s="2">
        <f>'Хранение до конца ноября'!A32</f>
        <v/>
      </c>
      <c r="B32" s="3">
        <f>MAX(0,'Хранение до конца ноября'!C32-'Хранение до конца ноября'!F32*'Сезонность'!$C$2*'Сезонность'!$B$2)</f>
        <v/>
      </c>
      <c r="C32" s="5">
        <f>'Хранение до конца ноября'!D32*('Хранение до конца ноября'!C32+B32)/2*'Сезонность'!$B$2</f>
        <v/>
      </c>
      <c r="D32" s="3">
        <f>MAX(0,B32-'Хранение до конца ноября'!F32*'Сезонность'!$C$3*'Сезонность'!$B$3)</f>
        <v/>
      </c>
      <c r="E32" s="5">
        <f>'Хранение до конца ноября'!D32*(B32+D32)/2*'Сезонность'!$B$3</f>
        <v/>
      </c>
      <c r="F32" s="3">
        <f>MAX(0,D32-'Хранение до конца ноября'!F32*'Сезонность'!$C$4*'Сезонность'!$B$4)</f>
        <v/>
      </c>
      <c r="G32" s="5">
        <f>'Хранение до конца ноября'!D32*(D32+F32)/2*'Сезонность'!$B$4</f>
        <v/>
      </c>
      <c r="H32" s="3">
        <f>MAX(0,F32-'Хранение до конца ноября'!F32*'Сезонность'!$C$5*'Сезонность'!$B$5)</f>
        <v/>
      </c>
      <c r="I32" s="5">
        <f>'Хранение до конца ноября'!D32*(F32+H32)/2*'Сезонность'!$B$5</f>
        <v/>
      </c>
      <c r="J32" s="3">
        <f>MAX(0,H32-'Хранение до конца ноября'!F32*'Сезонность'!$C$6*'Сезонность'!$B$6)</f>
        <v/>
      </c>
      <c r="K32" s="5">
        <f>'Хранение до конца ноября'!D32*(H32+J32)/2*'Сезонность'!$B$6</f>
        <v/>
      </c>
      <c r="L32" s="3">
        <f>MAX(0,J32-'Хранение до конца ноября'!F32*'Сезонность'!$C$7*'Сезонность'!$B$7)</f>
        <v/>
      </c>
      <c r="M32" s="5">
        <f>'Хранение до конца ноября'!D32*(J32+L32)/2*'Сезонность'!$B$7</f>
        <v/>
      </c>
      <c r="N32" s="5">
        <f>C32+E32+G32+I32+K32+M32</f>
        <v/>
      </c>
    </row>
    <row r="33">
      <c r="A33" s="2">
        <f>'Хранение до конца ноября'!A33</f>
        <v/>
      </c>
      <c r="B33" s="3">
        <f>MAX(0,'Хранение до конца ноября'!C33-'Хранение до конца ноября'!F33*'Сезонность'!$C$2*'Сезонность'!$B$2)</f>
        <v/>
      </c>
      <c r="C33" s="5">
        <f>'Хранение до конца ноября'!D33*('Хранение до конца ноября'!C33+B33)/2*'Сезонность'!$B$2</f>
        <v/>
      </c>
      <c r="D33" s="3">
        <f>MAX(0,B33-'Хранение до конца ноября'!F33*'Сезонность'!$C$3*'Сезонность'!$B$3)</f>
        <v/>
      </c>
      <c r="E33" s="5">
        <f>'Хранение до конца ноября'!D33*(B33+D33)/2*'Сезонность'!$B$3</f>
        <v/>
      </c>
      <c r="F33" s="3">
        <f>MAX(0,D33-'Хранение до конца ноября'!F33*'Сезонность'!$C$4*'Сезонность'!$B$4)</f>
        <v/>
      </c>
      <c r="G33" s="5">
        <f>'Хранение до конца ноября'!D33*(D33+F33)/2*'Сезонность'!$B$4</f>
        <v/>
      </c>
      <c r="H33" s="3">
        <f>MAX(0,F33-'Хранение до конца ноября'!F33*'Сезонность'!$C$5*'Сезонность'!$B$5)</f>
        <v/>
      </c>
      <c r="I33" s="5">
        <f>'Хранение до конца ноября'!D33*(F33+H33)/2*'Сезонность'!$B$5</f>
        <v/>
      </c>
      <c r="J33" s="3">
        <f>MAX(0,H33-'Хранение до конца ноября'!F33*'Сезонность'!$C$6*'Сезонность'!$B$6)</f>
        <v/>
      </c>
      <c r="K33" s="5">
        <f>'Хранение до конца ноября'!D33*(H33+J33)/2*'Сезонность'!$B$6</f>
        <v/>
      </c>
      <c r="L33" s="3">
        <f>MAX(0,J33-'Хранение до конца ноября'!F33*'Сезонность'!$C$7*'Сезонность'!$B$7)</f>
        <v/>
      </c>
      <c r="M33" s="5">
        <f>'Хранение до конца ноября'!D33*(J33+L33)/2*'Сезонность'!$B$7</f>
        <v/>
      </c>
      <c r="N33" s="5">
        <f>C33+E33+G33+I33+K33+M33</f>
        <v/>
      </c>
    </row>
    <row r="34">
      <c r="A34" s="2">
        <f>'Хранение до конца ноября'!A34</f>
        <v/>
      </c>
      <c r="B34" s="3">
        <f>MAX(0,'Хранение до конца ноября'!C34-'Хранение до конца ноября'!F34*'Сезонность'!$C$2*'Сезонность'!$B$2)</f>
        <v/>
      </c>
      <c r="C34" s="5">
        <f>'Хранение до конца ноября'!D34*('Хранение до конца ноября'!C34+B34)/2*'Сезонность'!$B$2</f>
        <v/>
      </c>
      <c r="D34" s="3">
        <f>MAX(0,B34-'Хранение до конца ноября'!F34*'Сезонность'!$C$3*'Сезонность'!$B$3)</f>
        <v/>
      </c>
      <c r="E34" s="5">
        <f>'Хранение до конца ноября'!D34*(B34+D34)/2*'Сезонность'!$B$3</f>
        <v/>
      </c>
      <c r="F34" s="3">
        <f>MAX(0,D34-'Хранение до конца ноября'!F34*'Сезонность'!$C$4*'Сезонность'!$B$4)</f>
        <v/>
      </c>
      <c r="G34" s="5">
        <f>'Хранение до конца ноября'!D34*(D34+F34)/2*'Сезонность'!$B$4</f>
        <v/>
      </c>
      <c r="H34" s="3">
        <f>MAX(0,F34-'Хранение до конца ноября'!F34*'Сезонность'!$C$5*'Сезонность'!$B$5)</f>
        <v/>
      </c>
      <c r="I34" s="5">
        <f>'Хранение до конца ноября'!D34*(F34+H34)/2*'Сезонность'!$B$5</f>
        <v/>
      </c>
      <c r="J34" s="3">
        <f>MAX(0,H34-'Хранение до конца ноября'!F34*'Сезонность'!$C$6*'Сезонность'!$B$6)</f>
        <v/>
      </c>
      <c r="K34" s="5">
        <f>'Хранение до конца ноября'!D34*(H34+J34)/2*'Сезонность'!$B$6</f>
        <v/>
      </c>
      <c r="L34" s="3">
        <f>MAX(0,J34-'Хранение до конца ноября'!F34*'Сезонность'!$C$7*'Сезонность'!$B$7)</f>
        <v/>
      </c>
      <c r="M34" s="5">
        <f>'Хранение до конца ноября'!D34*(J34+L34)/2*'Сезонность'!$B$7</f>
        <v/>
      </c>
      <c r="N34" s="5">
        <f>C34+E34+G34+I34+K34+M34</f>
        <v/>
      </c>
    </row>
    <row r="35">
      <c r="A35" s="2">
        <f>'Хранение до конца ноября'!A35</f>
        <v/>
      </c>
      <c r="B35" s="3">
        <f>MAX(0,'Хранение до конца ноября'!C35-'Хранение до конца ноября'!F35*'Сезонность'!$C$2*'Сезонность'!$B$2)</f>
        <v/>
      </c>
      <c r="C35" s="5">
        <f>'Хранение до конца ноября'!D35*('Хранение до конца ноября'!C35+B35)/2*'Сезонность'!$B$2</f>
        <v/>
      </c>
      <c r="D35" s="3">
        <f>MAX(0,B35-'Хранение до конца ноября'!F35*'Сезонность'!$C$3*'Сезонность'!$B$3)</f>
        <v/>
      </c>
      <c r="E35" s="5">
        <f>'Хранение до конца ноября'!D35*(B35+D35)/2*'Сезонность'!$B$3</f>
        <v/>
      </c>
      <c r="F35" s="3">
        <f>MAX(0,D35-'Хранение до конца ноября'!F35*'Сезонность'!$C$4*'Сезонность'!$B$4)</f>
        <v/>
      </c>
      <c r="G35" s="5">
        <f>'Хранение до конца ноября'!D35*(D35+F35)/2*'Сезонность'!$B$4</f>
        <v/>
      </c>
      <c r="H35" s="3">
        <f>MAX(0,F35-'Хранение до конца ноября'!F35*'Сезонность'!$C$5*'Сезонность'!$B$5)</f>
        <v/>
      </c>
      <c r="I35" s="5">
        <f>'Хранение до конца ноября'!D35*(F35+H35)/2*'Сезонность'!$B$5</f>
        <v/>
      </c>
      <c r="J35" s="3">
        <f>MAX(0,H35-'Хранение до конца ноября'!F35*'Сезонность'!$C$6*'Сезонность'!$B$6)</f>
        <v/>
      </c>
      <c r="K35" s="5">
        <f>'Хранение до конца ноября'!D35*(H35+J35)/2*'Сезонность'!$B$6</f>
        <v/>
      </c>
      <c r="L35" s="3">
        <f>MAX(0,J35-'Хранение до конца ноября'!F35*'Сезонность'!$C$7*'Сезонность'!$B$7)</f>
        <v/>
      </c>
      <c r="M35" s="5">
        <f>'Хранение до конца ноября'!D35*(J35+L35)/2*'Сезонность'!$B$7</f>
        <v/>
      </c>
      <c r="N35" s="5">
        <f>C35+E35+G35+I35+K35+M35</f>
        <v/>
      </c>
    </row>
    <row r="36">
      <c r="A36" s="2">
        <f>'Хранение до конца ноября'!A36</f>
        <v/>
      </c>
      <c r="B36" s="3">
        <f>MAX(0,'Хранение до конца ноября'!C36-'Хранение до конца ноября'!F36*'Сезонность'!$C$2*'Сезонность'!$B$2)</f>
        <v/>
      </c>
      <c r="C36" s="5">
        <f>'Хранение до конца ноября'!D36*('Хранение до конца ноября'!C36+B36)/2*'Сезонность'!$B$2</f>
        <v/>
      </c>
      <c r="D36" s="3">
        <f>MAX(0,B36-'Хранение до конца ноября'!F36*'Сезонность'!$C$3*'Сезонность'!$B$3)</f>
        <v/>
      </c>
      <c r="E36" s="5">
        <f>'Хранение до конца ноября'!D36*(B36+D36)/2*'Сезонность'!$B$3</f>
        <v/>
      </c>
      <c r="F36" s="3">
        <f>MAX(0,D36-'Хранение до конца ноября'!F36*'Сезонность'!$C$4*'Сезонность'!$B$4)</f>
        <v/>
      </c>
      <c r="G36" s="5">
        <f>'Хранение до конца ноября'!D36*(D36+F36)/2*'Сезонность'!$B$4</f>
        <v/>
      </c>
      <c r="H36" s="3">
        <f>MAX(0,F36-'Хранение до конца ноября'!F36*'Сезонность'!$C$5*'Сезонность'!$B$5)</f>
        <v/>
      </c>
      <c r="I36" s="5">
        <f>'Хранение до конца ноября'!D36*(F36+H36)/2*'Сезонность'!$B$5</f>
        <v/>
      </c>
      <c r="J36" s="3">
        <f>MAX(0,H36-'Хранение до конца ноября'!F36*'Сезонность'!$C$6*'Сезонность'!$B$6)</f>
        <v/>
      </c>
      <c r="K36" s="5">
        <f>'Хранение до конца ноября'!D36*(H36+J36)/2*'Сезонность'!$B$6</f>
        <v/>
      </c>
      <c r="L36" s="3">
        <f>MAX(0,J36-'Хранение до конца ноября'!F36*'Сезонность'!$C$7*'Сезонность'!$B$7)</f>
        <v/>
      </c>
      <c r="M36" s="5">
        <f>'Хранение до конца ноября'!D36*(J36+L36)/2*'Сезонность'!$B$7</f>
        <v/>
      </c>
      <c r="N36" s="5">
        <f>C36+E36+G36+I36+K36+M36</f>
        <v/>
      </c>
    </row>
    <row r="37">
      <c r="A37" s="2">
        <f>'Хранение до конца ноября'!A37</f>
        <v/>
      </c>
      <c r="B37" s="3">
        <f>MAX(0,'Хранение до конца ноября'!C37-'Хранение до конца ноября'!F37*'Сезонность'!$C$2*'Сезонность'!$B$2)</f>
        <v/>
      </c>
      <c r="C37" s="5">
        <f>'Хранение до конца ноября'!D37*('Хранение до конца ноября'!C37+B37)/2*'Сезонность'!$B$2</f>
        <v/>
      </c>
      <c r="D37" s="3">
        <f>MAX(0,B37-'Хранение до конца ноября'!F37*'Сезонность'!$C$3*'Сезонность'!$B$3)</f>
        <v/>
      </c>
      <c r="E37" s="5">
        <f>'Хранение до конца ноября'!D37*(B37+D37)/2*'Сезонность'!$B$3</f>
        <v/>
      </c>
      <c r="F37" s="3">
        <f>MAX(0,D37-'Хранение до конца ноября'!F37*'Сезонность'!$C$4*'Сезонность'!$B$4)</f>
        <v/>
      </c>
      <c r="G37" s="5">
        <f>'Хранение до конца ноября'!D37*(D37+F37)/2*'Сезонность'!$B$4</f>
        <v/>
      </c>
      <c r="H37" s="3">
        <f>MAX(0,F37-'Хранение до конца ноября'!F37*'Сезонность'!$C$5*'Сезонность'!$B$5)</f>
        <v/>
      </c>
      <c r="I37" s="5">
        <f>'Хранение до конца ноября'!D37*(F37+H37)/2*'Сезонность'!$B$5</f>
        <v/>
      </c>
      <c r="J37" s="3">
        <f>MAX(0,H37-'Хранение до конца ноября'!F37*'Сезонность'!$C$6*'Сезонность'!$B$6)</f>
        <v/>
      </c>
      <c r="K37" s="5">
        <f>'Хранение до конца ноября'!D37*(H37+J37)/2*'Сезонность'!$B$6</f>
        <v/>
      </c>
      <c r="L37" s="3">
        <f>MAX(0,J37-'Хранение до конца ноября'!F37*'Сезонность'!$C$7*'Сезонность'!$B$7)</f>
        <v/>
      </c>
      <c r="M37" s="5">
        <f>'Хранение до конца ноября'!D37*(J37+L37)/2*'Сезонность'!$B$7</f>
        <v/>
      </c>
      <c r="N37" s="5">
        <f>C37+E37+G37+I37+K37+M37</f>
        <v/>
      </c>
    </row>
    <row r="38">
      <c r="A38" s="2">
        <f>'Хранение до конца ноября'!A38</f>
        <v/>
      </c>
      <c r="B38" s="3">
        <f>MAX(0,'Хранение до конца ноября'!C38-'Хранение до конца ноября'!F38*'Сезонность'!$C$2*'Сезонность'!$B$2)</f>
        <v/>
      </c>
      <c r="C38" s="5">
        <f>'Хранение до конца ноября'!D38*('Хранение до конца ноября'!C38+B38)/2*'Сезонность'!$B$2</f>
        <v/>
      </c>
      <c r="D38" s="3">
        <f>MAX(0,B38-'Хранение до конца ноября'!F38*'Сезонность'!$C$3*'Сезонность'!$B$3)</f>
        <v/>
      </c>
      <c r="E38" s="5">
        <f>'Хранение до конца ноября'!D38*(B38+D38)/2*'Сезонность'!$B$3</f>
        <v/>
      </c>
      <c r="F38" s="3">
        <f>MAX(0,D38-'Хранение до конца ноября'!F38*'Сезонность'!$C$4*'Сезонность'!$B$4)</f>
        <v/>
      </c>
      <c r="G38" s="5">
        <f>'Хранение до конца ноября'!D38*(D38+F38)/2*'Сезонность'!$B$4</f>
        <v/>
      </c>
      <c r="H38" s="3">
        <f>MAX(0,F38-'Хранение до конца ноября'!F38*'Сезонность'!$C$5*'Сезонность'!$B$5)</f>
        <v/>
      </c>
      <c r="I38" s="5">
        <f>'Хранение до конца ноября'!D38*(F38+H38)/2*'Сезонность'!$B$5</f>
        <v/>
      </c>
      <c r="J38" s="3">
        <f>MAX(0,H38-'Хранение до конца ноября'!F38*'Сезонность'!$C$6*'Сезонность'!$B$6)</f>
        <v/>
      </c>
      <c r="K38" s="5">
        <f>'Хранение до конца ноября'!D38*(H38+J38)/2*'Сезонность'!$B$6</f>
        <v/>
      </c>
      <c r="L38" s="3">
        <f>MAX(0,J38-'Хранение до конца ноября'!F38*'Сезонность'!$C$7*'Сезонность'!$B$7)</f>
        <v/>
      </c>
      <c r="M38" s="5">
        <f>'Хранение до конца ноября'!D38*(J38+L38)/2*'Сезонность'!$B$7</f>
        <v/>
      </c>
      <c r="N38" s="5">
        <f>C38+E38+G38+I38+K38+M38</f>
        <v/>
      </c>
    </row>
    <row r="39">
      <c r="A39" s="2">
        <f>'Хранение до конца ноября'!A39</f>
        <v/>
      </c>
      <c r="B39" s="3">
        <f>MAX(0,'Хранение до конца ноября'!C39-'Хранение до конца ноября'!F39*'Сезонность'!$C$2*'Сезонность'!$B$2)</f>
        <v/>
      </c>
      <c r="C39" s="5">
        <f>'Хранение до конца ноября'!D39*('Хранение до конца ноября'!C39+B39)/2*'Сезонность'!$B$2</f>
        <v/>
      </c>
      <c r="D39" s="3">
        <f>MAX(0,B39-'Хранение до конца ноября'!F39*'Сезонность'!$C$3*'Сезонность'!$B$3)</f>
        <v/>
      </c>
      <c r="E39" s="5">
        <f>'Хранение до конца ноября'!D39*(B39+D39)/2*'Сезонность'!$B$3</f>
        <v/>
      </c>
      <c r="F39" s="3">
        <f>MAX(0,D39-'Хранение до конца ноября'!F39*'Сезонность'!$C$4*'Сезонность'!$B$4)</f>
        <v/>
      </c>
      <c r="G39" s="5">
        <f>'Хранение до конца ноября'!D39*(D39+F39)/2*'Сезонность'!$B$4</f>
        <v/>
      </c>
      <c r="H39" s="3">
        <f>MAX(0,F39-'Хранение до конца ноября'!F39*'Сезонность'!$C$5*'Сезонность'!$B$5)</f>
        <v/>
      </c>
      <c r="I39" s="5">
        <f>'Хранение до конца ноября'!D39*(F39+H39)/2*'Сезонность'!$B$5</f>
        <v/>
      </c>
      <c r="J39" s="3">
        <f>MAX(0,H39-'Хранение до конца ноября'!F39*'Сезонность'!$C$6*'Сезонность'!$B$6)</f>
        <v/>
      </c>
      <c r="K39" s="5">
        <f>'Хранение до конца ноября'!D39*(H39+J39)/2*'Сезонность'!$B$6</f>
        <v/>
      </c>
      <c r="L39" s="3">
        <f>MAX(0,J39-'Хранение до конца ноября'!F39*'Сезонность'!$C$7*'Сезонность'!$B$7)</f>
        <v/>
      </c>
      <c r="M39" s="5">
        <f>'Хранение до конца ноября'!D39*(J39+L39)/2*'Сезонность'!$B$7</f>
        <v/>
      </c>
      <c r="N39" s="5">
        <f>C39+E39+G39+I39+K39+M39</f>
        <v/>
      </c>
    </row>
    <row r="40">
      <c r="A40" s="2">
        <f>'Хранение до конца ноября'!A40</f>
        <v/>
      </c>
      <c r="B40" s="3">
        <f>MAX(0,'Хранение до конца ноября'!C40-'Хранение до конца ноября'!F40*'Сезонность'!$C$2*'Сезонность'!$B$2)</f>
        <v/>
      </c>
      <c r="C40" s="5">
        <f>'Хранение до конца ноября'!D40*('Хранение до конца ноября'!C40+B40)/2*'Сезонность'!$B$2</f>
        <v/>
      </c>
      <c r="D40" s="3">
        <f>MAX(0,B40-'Хранение до конца ноября'!F40*'Сезонность'!$C$3*'Сезонность'!$B$3)</f>
        <v/>
      </c>
      <c r="E40" s="5">
        <f>'Хранение до конца ноября'!D40*(B40+D40)/2*'Сезонность'!$B$3</f>
        <v/>
      </c>
      <c r="F40" s="3">
        <f>MAX(0,D40-'Хранение до конца ноября'!F40*'Сезонность'!$C$4*'Сезонность'!$B$4)</f>
        <v/>
      </c>
      <c r="G40" s="5">
        <f>'Хранение до конца ноября'!D40*(D40+F40)/2*'Сезонность'!$B$4</f>
        <v/>
      </c>
      <c r="H40" s="3">
        <f>MAX(0,F40-'Хранение до конца ноября'!F40*'Сезонность'!$C$5*'Сезонность'!$B$5)</f>
        <v/>
      </c>
      <c r="I40" s="5">
        <f>'Хранение до конца ноября'!D40*(F40+H40)/2*'Сезонность'!$B$5</f>
        <v/>
      </c>
      <c r="J40" s="3">
        <f>MAX(0,H40-'Хранение до конца ноября'!F40*'Сезонность'!$C$6*'Сезонность'!$B$6)</f>
        <v/>
      </c>
      <c r="K40" s="5">
        <f>'Хранение до конца ноября'!D40*(H40+J40)/2*'Сезонность'!$B$6</f>
        <v/>
      </c>
      <c r="L40" s="3">
        <f>MAX(0,J40-'Хранение до конца ноября'!F40*'Сезонность'!$C$7*'Сезонность'!$B$7)</f>
        <v/>
      </c>
      <c r="M40" s="5">
        <f>'Хранение до конца ноября'!D40*(J40+L40)/2*'Сезонность'!$B$7</f>
        <v/>
      </c>
      <c r="N40" s="5">
        <f>C40+E40+G40+I40+K40+M40</f>
        <v/>
      </c>
    </row>
    <row r="41">
      <c r="A41" s="2">
        <f>'Хранение до конца ноября'!A41</f>
        <v/>
      </c>
      <c r="B41" s="3">
        <f>MAX(0,'Хранение до конца ноября'!C41-'Хранение до конца ноября'!F41*'Сезонность'!$C$2*'Сезонность'!$B$2)</f>
        <v/>
      </c>
      <c r="C41" s="5">
        <f>'Хранение до конца ноября'!D41*('Хранение до конца ноября'!C41+B41)/2*'Сезонность'!$B$2</f>
        <v/>
      </c>
      <c r="D41" s="3">
        <f>MAX(0,B41-'Хранение до конца ноября'!F41*'Сезонность'!$C$3*'Сезонность'!$B$3)</f>
        <v/>
      </c>
      <c r="E41" s="5">
        <f>'Хранение до конца ноября'!D41*(B41+D41)/2*'Сезонность'!$B$3</f>
        <v/>
      </c>
      <c r="F41" s="3">
        <f>MAX(0,D41-'Хранение до конца ноября'!F41*'Сезонность'!$C$4*'Сезонность'!$B$4)</f>
        <v/>
      </c>
      <c r="G41" s="5">
        <f>'Хранение до конца ноября'!D41*(D41+F41)/2*'Сезонность'!$B$4</f>
        <v/>
      </c>
      <c r="H41" s="3">
        <f>MAX(0,F41-'Хранение до конца ноября'!F41*'Сезонность'!$C$5*'Сезонность'!$B$5)</f>
        <v/>
      </c>
      <c r="I41" s="5">
        <f>'Хранение до конца ноября'!D41*(F41+H41)/2*'Сезонность'!$B$5</f>
        <v/>
      </c>
      <c r="J41" s="3">
        <f>MAX(0,H41-'Хранение до конца ноября'!F41*'Сезонность'!$C$6*'Сезонность'!$B$6)</f>
        <v/>
      </c>
      <c r="K41" s="5">
        <f>'Хранение до конца ноября'!D41*(H41+J41)/2*'Сезонность'!$B$6</f>
        <v/>
      </c>
      <c r="L41" s="3">
        <f>MAX(0,J41-'Хранение до конца ноября'!F41*'Сезонность'!$C$7*'Сезонность'!$B$7)</f>
        <v/>
      </c>
      <c r="M41" s="5">
        <f>'Хранение до конца ноября'!D41*(J41+L41)/2*'Сезонность'!$B$7</f>
        <v/>
      </c>
      <c r="N41" s="5">
        <f>C41+E41+G41+I41+K41+M41</f>
        <v/>
      </c>
    </row>
    <row r="42">
      <c r="A42" s="2">
        <f>'Хранение до конца ноября'!A42</f>
        <v/>
      </c>
      <c r="B42" s="3">
        <f>MAX(0,'Хранение до конца ноября'!C42-'Хранение до конца ноября'!F42*'Сезонность'!$C$2*'Сезонность'!$B$2)</f>
        <v/>
      </c>
      <c r="C42" s="5">
        <f>'Хранение до конца ноября'!D42*('Хранение до конца ноября'!C42+B42)/2*'Сезонность'!$B$2</f>
        <v/>
      </c>
      <c r="D42" s="3">
        <f>MAX(0,B42-'Хранение до конца ноября'!F42*'Сезонность'!$C$3*'Сезонность'!$B$3)</f>
        <v/>
      </c>
      <c r="E42" s="5">
        <f>'Хранение до конца ноября'!D42*(B42+D42)/2*'Сезонность'!$B$3</f>
        <v/>
      </c>
      <c r="F42" s="3">
        <f>MAX(0,D42-'Хранение до конца ноября'!F42*'Сезонность'!$C$4*'Сезонность'!$B$4)</f>
        <v/>
      </c>
      <c r="G42" s="5">
        <f>'Хранение до конца ноября'!D42*(D42+F42)/2*'Сезонность'!$B$4</f>
        <v/>
      </c>
      <c r="H42" s="3">
        <f>MAX(0,F42-'Хранение до конца ноября'!F42*'Сезонность'!$C$5*'Сезонность'!$B$5)</f>
        <v/>
      </c>
      <c r="I42" s="5">
        <f>'Хранение до конца ноября'!D42*(F42+H42)/2*'Сезонность'!$B$5</f>
        <v/>
      </c>
      <c r="J42" s="3">
        <f>MAX(0,H42-'Хранение до конца ноября'!F42*'Сезонность'!$C$6*'Сезонность'!$B$6)</f>
        <v/>
      </c>
      <c r="K42" s="5">
        <f>'Хранение до конца ноября'!D42*(H42+J42)/2*'Сезонность'!$B$6</f>
        <v/>
      </c>
      <c r="L42" s="3">
        <f>MAX(0,J42-'Хранение до конца ноября'!F42*'Сезонность'!$C$7*'Сезонность'!$B$7)</f>
        <v/>
      </c>
      <c r="M42" s="5">
        <f>'Хранение до конца ноября'!D42*(J42+L42)/2*'Сезонность'!$B$7</f>
        <v/>
      </c>
      <c r="N42" s="5">
        <f>C42+E42+G42+I42+K42+M42</f>
        <v/>
      </c>
    </row>
    <row r="43">
      <c r="A43" s="2">
        <f>'Хранение до конца ноября'!A43</f>
        <v/>
      </c>
      <c r="B43" s="3">
        <f>MAX(0,'Хранение до конца ноября'!C43-'Хранение до конца ноября'!F43*'Сезонность'!$C$2*'Сезонность'!$B$2)</f>
        <v/>
      </c>
      <c r="C43" s="5">
        <f>'Хранение до конца ноября'!D43*('Хранение до конца ноября'!C43+B43)/2*'Сезонность'!$B$2</f>
        <v/>
      </c>
      <c r="D43" s="3">
        <f>MAX(0,B43-'Хранение до конца ноября'!F43*'Сезонность'!$C$3*'Сезонность'!$B$3)</f>
        <v/>
      </c>
      <c r="E43" s="5">
        <f>'Хранение до конца ноября'!D43*(B43+D43)/2*'Сезонность'!$B$3</f>
        <v/>
      </c>
      <c r="F43" s="3">
        <f>MAX(0,D43-'Хранение до конца ноября'!F43*'Сезонность'!$C$4*'Сезонность'!$B$4)</f>
        <v/>
      </c>
      <c r="G43" s="5">
        <f>'Хранение до конца ноября'!D43*(D43+F43)/2*'Сезонность'!$B$4</f>
        <v/>
      </c>
      <c r="H43" s="3">
        <f>MAX(0,F43-'Хранение до конца ноября'!F43*'Сезонность'!$C$5*'Сезонность'!$B$5)</f>
        <v/>
      </c>
      <c r="I43" s="5">
        <f>'Хранение до конца ноября'!D43*(F43+H43)/2*'Сезонность'!$B$5</f>
        <v/>
      </c>
      <c r="J43" s="3">
        <f>MAX(0,H43-'Хранение до конца ноября'!F43*'Сезонность'!$C$6*'Сезонность'!$B$6)</f>
        <v/>
      </c>
      <c r="K43" s="5">
        <f>'Хранение до конца ноября'!D43*(H43+J43)/2*'Сезонность'!$B$6</f>
        <v/>
      </c>
      <c r="L43" s="3">
        <f>MAX(0,J43-'Хранение до конца ноября'!F43*'Сезонность'!$C$7*'Сезонность'!$B$7)</f>
        <v/>
      </c>
      <c r="M43" s="5">
        <f>'Хранение до конца ноября'!D43*(J43+L43)/2*'Сезонность'!$B$7</f>
        <v/>
      </c>
      <c r="N43" s="5">
        <f>C43+E43+G43+I43+K43+M43</f>
        <v/>
      </c>
    </row>
    <row r="44">
      <c r="A44" s="2">
        <f>'Хранение до конца ноября'!A44</f>
        <v/>
      </c>
      <c r="B44" s="3">
        <f>MAX(0,'Хранение до конца ноября'!C44-'Хранение до конца ноября'!F44*'Сезонность'!$C$2*'Сезонность'!$B$2)</f>
        <v/>
      </c>
      <c r="C44" s="5">
        <f>'Хранение до конца ноября'!D44*('Хранение до конца ноября'!C44+B44)/2*'Сезонность'!$B$2</f>
        <v/>
      </c>
      <c r="D44" s="3">
        <f>MAX(0,B44-'Хранение до конца ноября'!F44*'Сезонность'!$C$3*'Сезонность'!$B$3)</f>
        <v/>
      </c>
      <c r="E44" s="5">
        <f>'Хранение до конца ноября'!D44*(B44+D44)/2*'Сезонность'!$B$3</f>
        <v/>
      </c>
      <c r="F44" s="3">
        <f>MAX(0,D44-'Хранение до конца ноября'!F44*'Сезонность'!$C$4*'Сезонность'!$B$4)</f>
        <v/>
      </c>
      <c r="G44" s="5">
        <f>'Хранение до конца ноября'!D44*(D44+F44)/2*'Сезонность'!$B$4</f>
        <v/>
      </c>
      <c r="H44" s="3">
        <f>MAX(0,F44-'Хранение до конца ноября'!F44*'Сезонность'!$C$5*'Сезонность'!$B$5)</f>
        <v/>
      </c>
      <c r="I44" s="5">
        <f>'Хранение до конца ноября'!D44*(F44+H44)/2*'Сезонность'!$B$5</f>
        <v/>
      </c>
      <c r="J44" s="3">
        <f>MAX(0,H44-'Хранение до конца ноября'!F44*'Сезонность'!$C$6*'Сезонность'!$B$6)</f>
        <v/>
      </c>
      <c r="K44" s="5">
        <f>'Хранение до конца ноября'!D44*(H44+J44)/2*'Сезонность'!$B$6</f>
        <v/>
      </c>
      <c r="L44" s="3">
        <f>MAX(0,J44-'Хранение до конца ноября'!F44*'Сезонность'!$C$7*'Сезонность'!$B$7)</f>
        <v/>
      </c>
      <c r="M44" s="5">
        <f>'Хранение до конца ноября'!D44*(J44+L44)/2*'Сезонность'!$B$7</f>
        <v/>
      </c>
      <c r="N44" s="5">
        <f>C44+E44+G44+I44+K44+M44</f>
        <v/>
      </c>
    </row>
    <row r="45">
      <c r="A45" s="2">
        <f>'Хранение до конца ноября'!A45</f>
        <v/>
      </c>
      <c r="B45" s="3">
        <f>MAX(0,'Хранение до конца ноября'!C45-'Хранение до конца ноября'!F45*'Сезонность'!$C$2*'Сезонность'!$B$2)</f>
        <v/>
      </c>
      <c r="C45" s="5">
        <f>'Хранение до конца ноября'!D45*('Хранение до конца ноября'!C45+B45)/2*'Сезонность'!$B$2</f>
        <v/>
      </c>
      <c r="D45" s="3">
        <f>MAX(0,B45-'Хранение до конца ноября'!F45*'Сезонность'!$C$3*'Сезонность'!$B$3)</f>
        <v/>
      </c>
      <c r="E45" s="5">
        <f>'Хранение до конца ноября'!D45*(B45+D45)/2*'Сезонность'!$B$3</f>
        <v/>
      </c>
      <c r="F45" s="3">
        <f>MAX(0,D45-'Хранение до конца ноября'!F45*'Сезонность'!$C$4*'Сезонность'!$B$4)</f>
        <v/>
      </c>
      <c r="G45" s="5">
        <f>'Хранение до конца ноября'!D45*(D45+F45)/2*'Сезонность'!$B$4</f>
        <v/>
      </c>
      <c r="H45" s="3">
        <f>MAX(0,F45-'Хранение до конца ноября'!F45*'Сезонность'!$C$5*'Сезонность'!$B$5)</f>
        <v/>
      </c>
      <c r="I45" s="5">
        <f>'Хранение до конца ноября'!D45*(F45+H45)/2*'Сезонность'!$B$5</f>
        <v/>
      </c>
      <c r="J45" s="3">
        <f>MAX(0,H45-'Хранение до конца ноября'!F45*'Сезонность'!$C$6*'Сезонность'!$B$6)</f>
        <v/>
      </c>
      <c r="K45" s="5">
        <f>'Хранение до конца ноября'!D45*(H45+J45)/2*'Сезонность'!$B$6</f>
        <v/>
      </c>
      <c r="L45" s="3">
        <f>MAX(0,J45-'Хранение до конца ноября'!F45*'Сезонность'!$C$7*'Сезонность'!$B$7)</f>
        <v/>
      </c>
      <c r="M45" s="5">
        <f>'Хранение до конца ноября'!D45*(J45+L45)/2*'Сезонность'!$B$7</f>
        <v/>
      </c>
      <c r="N45" s="5">
        <f>C45+E45+G45+I45+K45+M45</f>
        <v/>
      </c>
    </row>
    <row r="46">
      <c r="A46" s="2">
        <f>'Хранение до конца ноября'!A46</f>
        <v/>
      </c>
      <c r="B46" s="3">
        <f>MAX(0,'Хранение до конца ноября'!C46-'Хранение до конца ноября'!F46*'Сезонность'!$C$2*'Сезонность'!$B$2)</f>
        <v/>
      </c>
      <c r="C46" s="5">
        <f>'Хранение до конца ноября'!D46*('Хранение до конца ноября'!C46+B46)/2*'Сезонность'!$B$2</f>
        <v/>
      </c>
      <c r="D46" s="3">
        <f>MAX(0,B46-'Хранение до конца ноября'!F46*'Сезонность'!$C$3*'Сезонность'!$B$3)</f>
        <v/>
      </c>
      <c r="E46" s="5">
        <f>'Хранение до конца ноября'!D46*(B46+D46)/2*'Сезонность'!$B$3</f>
        <v/>
      </c>
      <c r="F46" s="3">
        <f>MAX(0,D46-'Хранение до конца ноября'!F46*'Сезонность'!$C$4*'Сезонность'!$B$4)</f>
        <v/>
      </c>
      <c r="G46" s="5">
        <f>'Хранение до конца ноября'!D46*(D46+F46)/2*'Сезонность'!$B$4</f>
        <v/>
      </c>
      <c r="H46" s="3">
        <f>MAX(0,F46-'Хранение до конца ноября'!F46*'Сезонность'!$C$5*'Сезонность'!$B$5)</f>
        <v/>
      </c>
      <c r="I46" s="5">
        <f>'Хранение до конца ноября'!D46*(F46+H46)/2*'Сезонность'!$B$5</f>
        <v/>
      </c>
      <c r="J46" s="3">
        <f>MAX(0,H46-'Хранение до конца ноября'!F46*'Сезонность'!$C$6*'Сезонность'!$B$6)</f>
        <v/>
      </c>
      <c r="K46" s="5">
        <f>'Хранение до конца ноября'!D46*(H46+J46)/2*'Сезонность'!$B$6</f>
        <v/>
      </c>
      <c r="L46" s="3">
        <f>MAX(0,J46-'Хранение до конца ноября'!F46*'Сезонность'!$C$7*'Сезонность'!$B$7)</f>
        <v/>
      </c>
      <c r="M46" s="5">
        <f>'Хранение до конца ноября'!D46*(J46+L46)/2*'Сезонность'!$B$7</f>
        <v/>
      </c>
      <c r="N46" s="5">
        <f>C46+E46+G46+I46+K46+M46</f>
        <v/>
      </c>
    </row>
    <row r="47">
      <c r="A47" s="2">
        <f>'Хранение до конца ноября'!A47</f>
        <v/>
      </c>
      <c r="B47" s="3">
        <f>MAX(0,'Хранение до конца ноября'!C47-'Хранение до конца ноября'!F47*'Сезонность'!$C$2*'Сезонность'!$B$2)</f>
        <v/>
      </c>
      <c r="C47" s="5">
        <f>'Хранение до конца ноября'!D47*('Хранение до конца ноября'!C47+B47)/2*'Сезонность'!$B$2</f>
        <v/>
      </c>
      <c r="D47" s="3">
        <f>MAX(0,B47-'Хранение до конца ноября'!F47*'Сезонность'!$C$3*'Сезонность'!$B$3)</f>
        <v/>
      </c>
      <c r="E47" s="5">
        <f>'Хранение до конца ноября'!D47*(B47+D47)/2*'Сезонность'!$B$3</f>
        <v/>
      </c>
      <c r="F47" s="3">
        <f>MAX(0,D47-'Хранение до конца ноября'!F47*'Сезонность'!$C$4*'Сезонность'!$B$4)</f>
        <v/>
      </c>
      <c r="G47" s="5">
        <f>'Хранение до конца ноября'!D47*(D47+F47)/2*'Сезонность'!$B$4</f>
        <v/>
      </c>
      <c r="H47" s="3">
        <f>MAX(0,F47-'Хранение до конца ноября'!F47*'Сезонность'!$C$5*'Сезонность'!$B$5)</f>
        <v/>
      </c>
      <c r="I47" s="5">
        <f>'Хранение до конца ноября'!D47*(F47+H47)/2*'Сезонность'!$B$5</f>
        <v/>
      </c>
      <c r="J47" s="3">
        <f>MAX(0,H47-'Хранение до конца ноября'!F47*'Сезонность'!$C$6*'Сезонность'!$B$6)</f>
        <v/>
      </c>
      <c r="K47" s="5">
        <f>'Хранение до конца ноября'!D47*(H47+J47)/2*'Сезонность'!$B$6</f>
        <v/>
      </c>
      <c r="L47" s="3">
        <f>MAX(0,J47-'Хранение до конца ноября'!F47*'Сезонность'!$C$7*'Сезонность'!$B$7)</f>
        <v/>
      </c>
      <c r="M47" s="5">
        <f>'Хранение до конца ноября'!D47*(J47+L47)/2*'Сезонность'!$B$7</f>
        <v/>
      </c>
      <c r="N47" s="5">
        <f>C47+E47+G47+I47+K47+M47</f>
        <v/>
      </c>
    </row>
    <row r="48">
      <c r="A48" s="2">
        <f>'Хранение до конца ноября'!A48</f>
        <v/>
      </c>
      <c r="B48" s="3">
        <f>MAX(0,'Хранение до конца ноября'!C48-'Хранение до конца ноября'!F48*'Сезонность'!$C$2*'Сезонность'!$B$2)</f>
        <v/>
      </c>
      <c r="C48" s="5">
        <f>'Хранение до конца ноября'!D48*('Хранение до конца ноября'!C48+B48)/2*'Сезонность'!$B$2</f>
        <v/>
      </c>
      <c r="D48" s="3">
        <f>MAX(0,B48-'Хранение до конца ноября'!F48*'Сезонность'!$C$3*'Сезонность'!$B$3)</f>
        <v/>
      </c>
      <c r="E48" s="5">
        <f>'Хранение до конца ноября'!D48*(B48+D48)/2*'Сезонность'!$B$3</f>
        <v/>
      </c>
      <c r="F48" s="3">
        <f>MAX(0,D48-'Хранение до конца ноября'!F48*'Сезонность'!$C$4*'Сезонность'!$B$4)</f>
        <v/>
      </c>
      <c r="G48" s="5">
        <f>'Хранение до конца ноября'!D48*(D48+F48)/2*'Сезонность'!$B$4</f>
        <v/>
      </c>
      <c r="H48" s="3">
        <f>MAX(0,F48-'Хранение до конца ноября'!F48*'Сезонность'!$C$5*'Сезонность'!$B$5)</f>
        <v/>
      </c>
      <c r="I48" s="5">
        <f>'Хранение до конца ноября'!D48*(F48+H48)/2*'Сезонность'!$B$5</f>
        <v/>
      </c>
      <c r="J48" s="3">
        <f>MAX(0,H48-'Хранение до конца ноября'!F48*'Сезонность'!$C$6*'Сезонность'!$B$6)</f>
        <v/>
      </c>
      <c r="K48" s="5">
        <f>'Хранение до конца ноября'!D48*(H48+J48)/2*'Сезонность'!$B$6</f>
        <v/>
      </c>
      <c r="L48" s="3">
        <f>MAX(0,J48-'Хранение до конца ноября'!F48*'Сезонность'!$C$7*'Сезонность'!$B$7)</f>
        <v/>
      </c>
      <c r="M48" s="5">
        <f>'Хранение до конца ноября'!D48*(J48+L48)/2*'Сезонность'!$B$7</f>
        <v/>
      </c>
      <c r="N48" s="5">
        <f>C48+E48+G48+I48+K48+M48</f>
        <v/>
      </c>
    </row>
    <row r="49">
      <c r="A49" s="2">
        <f>'Хранение до конца ноября'!A49</f>
        <v/>
      </c>
      <c r="B49" s="3">
        <f>MAX(0,'Хранение до конца ноября'!C49-'Хранение до конца ноября'!F49*'Сезонность'!$C$2*'Сезонность'!$B$2)</f>
        <v/>
      </c>
      <c r="C49" s="5">
        <f>'Хранение до конца ноября'!D49*('Хранение до конца ноября'!C49+B49)/2*'Сезонность'!$B$2</f>
        <v/>
      </c>
      <c r="D49" s="3">
        <f>MAX(0,B49-'Хранение до конца ноября'!F49*'Сезонность'!$C$3*'Сезонность'!$B$3)</f>
        <v/>
      </c>
      <c r="E49" s="5">
        <f>'Хранение до конца ноября'!D49*(B49+D49)/2*'Сезонность'!$B$3</f>
        <v/>
      </c>
      <c r="F49" s="3">
        <f>MAX(0,D49-'Хранение до конца ноября'!F49*'Сезонность'!$C$4*'Сезонность'!$B$4)</f>
        <v/>
      </c>
      <c r="G49" s="5">
        <f>'Хранение до конца ноября'!D49*(D49+F49)/2*'Сезонность'!$B$4</f>
        <v/>
      </c>
      <c r="H49" s="3">
        <f>MAX(0,F49-'Хранение до конца ноября'!F49*'Сезонность'!$C$5*'Сезонность'!$B$5)</f>
        <v/>
      </c>
      <c r="I49" s="5">
        <f>'Хранение до конца ноября'!D49*(F49+H49)/2*'Сезонность'!$B$5</f>
        <v/>
      </c>
      <c r="J49" s="3">
        <f>MAX(0,H49-'Хранение до конца ноября'!F49*'Сезонность'!$C$6*'Сезонность'!$B$6)</f>
        <v/>
      </c>
      <c r="K49" s="5">
        <f>'Хранение до конца ноября'!D49*(H49+J49)/2*'Сезонность'!$B$6</f>
        <v/>
      </c>
      <c r="L49" s="3">
        <f>MAX(0,J49-'Хранение до конца ноября'!F49*'Сезонность'!$C$7*'Сезонность'!$B$7)</f>
        <v/>
      </c>
      <c r="M49" s="5">
        <f>'Хранение до конца ноября'!D49*(J49+L49)/2*'Сезонность'!$B$7</f>
        <v/>
      </c>
      <c r="N49" s="5">
        <f>C49+E49+G49+I49+K49+M49</f>
        <v/>
      </c>
    </row>
    <row r="50">
      <c r="A50" s="2">
        <f>'Хранение до конца ноября'!A50</f>
        <v/>
      </c>
      <c r="B50" s="3">
        <f>MAX(0,'Хранение до конца ноября'!C50-'Хранение до конца ноября'!F50*'Сезонность'!$C$2*'Сезонность'!$B$2)</f>
        <v/>
      </c>
      <c r="C50" s="5">
        <f>'Хранение до конца ноября'!D50*('Хранение до конца ноября'!C50+B50)/2*'Сезонность'!$B$2</f>
        <v/>
      </c>
      <c r="D50" s="3">
        <f>MAX(0,B50-'Хранение до конца ноября'!F50*'Сезонность'!$C$3*'Сезонность'!$B$3)</f>
        <v/>
      </c>
      <c r="E50" s="5">
        <f>'Хранение до конца ноября'!D50*(B50+D50)/2*'Сезонность'!$B$3</f>
        <v/>
      </c>
      <c r="F50" s="3">
        <f>MAX(0,D50-'Хранение до конца ноября'!F50*'Сезонность'!$C$4*'Сезонность'!$B$4)</f>
        <v/>
      </c>
      <c r="G50" s="5">
        <f>'Хранение до конца ноября'!D50*(D50+F50)/2*'Сезонность'!$B$4</f>
        <v/>
      </c>
      <c r="H50" s="3">
        <f>MAX(0,F50-'Хранение до конца ноября'!F50*'Сезонность'!$C$5*'Сезонность'!$B$5)</f>
        <v/>
      </c>
      <c r="I50" s="5">
        <f>'Хранение до конца ноября'!D50*(F50+H50)/2*'Сезонность'!$B$5</f>
        <v/>
      </c>
      <c r="J50" s="3">
        <f>MAX(0,H50-'Хранение до конца ноября'!F50*'Сезонность'!$C$6*'Сезонность'!$B$6)</f>
        <v/>
      </c>
      <c r="K50" s="5">
        <f>'Хранение до конца ноября'!D50*(H50+J50)/2*'Сезонность'!$B$6</f>
        <v/>
      </c>
      <c r="L50" s="3">
        <f>MAX(0,J50-'Хранение до конца ноября'!F50*'Сезонность'!$C$7*'Сезонность'!$B$7)</f>
        <v/>
      </c>
      <c r="M50" s="5">
        <f>'Хранение до конца ноября'!D50*(J50+L50)/2*'Сезонность'!$B$7</f>
        <v/>
      </c>
      <c r="N50" s="5">
        <f>C50+E50+G50+I50+K50+M50</f>
        <v/>
      </c>
    </row>
    <row r="51">
      <c r="A51" s="2">
        <f>'Хранение до конца ноября'!A51</f>
        <v/>
      </c>
      <c r="B51" s="3">
        <f>MAX(0,'Хранение до конца ноября'!C51-'Хранение до конца ноября'!F51*'Сезонность'!$C$2*'Сезонность'!$B$2)</f>
        <v/>
      </c>
      <c r="C51" s="5">
        <f>'Хранение до конца ноября'!D51*('Хранение до конца ноября'!C51+B51)/2*'Сезонность'!$B$2</f>
        <v/>
      </c>
      <c r="D51" s="3">
        <f>MAX(0,B51-'Хранение до конца ноября'!F51*'Сезонность'!$C$3*'Сезонность'!$B$3)</f>
        <v/>
      </c>
      <c r="E51" s="5">
        <f>'Хранение до конца ноября'!D51*(B51+D51)/2*'Сезонность'!$B$3</f>
        <v/>
      </c>
      <c r="F51" s="3">
        <f>MAX(0,D51-'Хранение до конца ноября'!F51*'Сезонность'!$C$4*'Сезонность'!$B$4)</f>
        <v/>
      </c>
      <c r="G51" s="5">
        <f>'Хранение до конца ноября'!D51*(D51+F51)/2*'Сезонность'!$B$4</f>
        <v/>
      </c>
      <c r="H51" s="3">
        <f>MAX(0,F51-'Хранение до конца ноября'!F51*'Сезонность'!$C$5*'Сезонность'!$B$5)</f>
        <v/>
      </c>
      <c r="I51" s="5">
        <f>'Хранение до конца ноября'!D51*(F51+H51)/2*'Сезонность'!$B$5</f>
        <v/>
      </c>
      <c r="J51" s="3">
        <f>MAX(0,H51-'Хранение до конца ноября'!F51*'Сезонность'!$C$6*'Сезонность'!$B$6)</f>
        <v/>
      </c>
      <c r="K51" s="5">
        <f>'Хранение до конца ноября'!D51*(H51+J51)/2*'Сезонность'!$B$6</f>
        <v/>
      </c>
      <c r="L51" s="3">
        <f>MAX(0,J51-'Хранение до конца ноября'!F51*'Сезонность'!$C$7*'Сезонность'!$B$7)</f>
        <v/>
      </c>
      <c r="M51" s="5">
        <f>'Хранение до конца ноября'!D51*(J51+L51)/2*'Сезонность'!$B$7</f>
        <v/>
      </c>
      <c r="N51" s="5">
        <f>C51+E51+G51+I51+K51+M51</f>
        <v/>
      </c>
    </row>
    <row r="52">
      <c r="A52" s="2">
        <f>'Хранение до конца ноября'!A52</f>
        <v/>
      </c>
      <c r="B52" s="3">
        <f>MAX(0,'Хранение до конца ноября'!C52-'Хранение до конца ноября'!F52*'Сезонность'!$C$2*'Сезонность'!$B$2)</f>
        <v/>
      </c>
      <c r="C52" s="5">
        <f>'Хранение до конца ноября'!D52*('Хранение до конца ноября'!C52+B52)/2*'Сезонность'!$B$2</f>
        <v/>
      </c>
      <c r="D52" s="3">
        <f>MAX(0,B52-'Хранение до конца ноября'!F52*'Сезонность'!$C$3*'Сезонность'!$B$3)</f>
        <v/>
      </c>
      <c r="E52" s="5">
        <f>'Хранение до конца ноября'!D52*(B52+D52)/2*'Сезонность'!$B$3</f>
        <v/>
      </c>
      <c r="F52" s="3">
        <f>MAX(0,D52-'Хранение до конца ноября'!F52*'Сезонность'!$C$4*'Сезонность'!$B$4)</f>
        <v/>
      </c>
      <c r="G52" s="5">
        <f>'Хранение до конца ноября'!D52*(D52+F52)/2*'Сезонность'!$B$4</f>
        <v/>
      </c>
      <c r="H52" s="3">
        <f>MAX(0,F52-'Хранение до конца ноября'!F52*'Сезонность'!$C$5*'Сезонность'!$B$5)</f>
        <v/>
      </c>
      <c r="I52" s="5">
        <f>'Хранение до конца ноября'!D52*(F52+H52)/2*'Сезонность'!$B$5</f>
        <v/>
      </c>
      <c r="J52" s="3">
        <f>MAX(0,H52-'Хранение до конца ноября'!F52*'Сезонность'!$C$6*'Сезонность'!$B$6)</f>
        <v/>
      </c>
      <c r="K52" s="5">
        <f>'Хранение до конца ноября'!D52*(H52+J52)/2*'Сезонность'!$B$6</f>
        <v/>
      </c>
      <c r="L52" s="3">
        <f>MAX(0,J52-'Хранение до конца ноября'!F52*'Сезонность'!$C$7*'Сезонность'!$B$7)</f>
        <v/>
      </c>
      <c r="M52" s="5">
        <f>'Хранение до конца ноября'!D52*(J52+L52)/2*'Сезонность'!$B$7</f>
        <v/>
      </c>
      <c r="N52" s="5">
        <f>C52+E52+G52+I52+K52+M52</f>
        <v/>
      </c>
    </row>
    <row r="53">
      <c r="A53" s="2">
        <f>'Хранение до конца ноября'!A53</f>
        <v/>
      </c>
      <c r="B53" s="3">
        <f>MAX(0,'Хранение до конца ноября'!C53-'Хранение до конца ноября'!F53*'Сезонность'!$C$2*'Сезонность'!$B$2)</f>
        <v/>
      </c>
      <c r="C53" s="5">
        <f>'Хранение до конца ноября'!D53*('Хранение до конца ноября'!C53+B53)/2*'Сезонность'!$B$2</f>
        <v/>
      </c>
      <c r="D53" s="3">
        <f>MAX(0,B53-'Хранение до конца ноября'!F53*'Сезонность'!$C$3*'Сезонность'!$B$3)</f>
        <v/>
      </c>
      <c r="E53" s="5">
        <f>'Хранение до конца ноября'!D53*(B53+D53)/2*'Сезонность'!$B$3</f>
        <v/>
      </c>
      <c r="F53" s="3">
        <f>MAX(0,D53-'Хранение до конца ноября'!F53*'Сезонность'!$C$4*'Сезонность'!$B$4)</f>
        <v/>
      </c>
      <c r="G53" s="5">
        <f>'Хранение до конца ноября'!D53*(D53+F53)/2*'Сезонность'!$B$4</f>
        <v/>
      </c>
      <c r="H53" s="3">
        <f>MAX(0,F53-'Хранение до конца ноября'!F53*'Сезонность'!$C$5*'Сезонность'!$B$5)</f>
        <v/>
      </c>
      <c r="I53" s="5">
        <f>'Хранение до конца ноября'!D53*(F53+H53)/2*'Сезонность'!$B$5</f>
        <v/>
      </c>
      <c r="J53" s="3">
        <f>MAX(0,H53-'Хранение до конца ноября'!F53*'Сезонность'!$C$6*'Сезонность'!$B$6)</f>
        <v/>
      </c>
      <c r="K53" s="5">
        <f>'Хранение до конца ноября'!D53*(H53+J53)/2*'Сезонность'!$B$6</f>
        <v/>
      </c>
      <c r="L53" s="3">
        <f>MAX(0,J53-'Хранение до конца ноября'!F53*'Сезонность'!$C$7*'Сезонность'!$B$7)</f>
        <v/>
      </c>
      <c r="M53" s="5">
        <f>'Хранение до конца ноября'!D53*(J53+L53)/2*'Сезонность'!$B$7</f>
        <v/>
      </c>
      <c r="N53" s="5">
        <f>C53+E53+G53+I53+K53+M53</f>
        <v/>
      </c>
    </row>
    <row r="54">
      <c r="A54" s="2">
        <f>'Хранение до конца ноября'!A54</f>
        <v/>
      </c>
      <c r="B54" s="3">
        <f>MAX(0,'Хранение до конца ноября'!C54-'Хранение до конца ноября'!F54*'Сезонность'!$C$2*'Сезонность'!$B$2)</f>
        <v/>
      </c>
      <c r="C54" s="5">
        <f>'Хранение до конца ноября'!D54*('Хранение до конца ноября'!C54+B54)/2*'Сезонность'!$B$2</f>
        <v/>
      </c>
      <c r="D54" s="3">
        <f>MAX(0,B54-'Хранение до конца ноября'!F54*'Сезонность'!$C$3*'Сезонность'!$B$3)</f>
        <v/>
      </c>
      <c r="E54" s="5">
        <f>'Хранение до конца ноября'!D54*(B54+D54)/2*'Сезонность'!$B$3</f>
        <v/>
      </c>
      <c r="F54" s="3">
        <f>MAX(0,D54-'Хранение до конца ноября'!F54*'Сезонность'!$C$4*'Сезонность'!$B$4)</f>
        <v/>
      </c>
      <c r="G54" s="5">
        <f>'Хранение до конца ноября'!D54*(D54+F54)/2*'Сезонность'!$B$4</f>
        <v/>
      </c>
      <c r="H54" s="3">
        <f>MAX(0,F54-'Хранение до конца ноября'!F54*'Сезонность'!$C$5*'Сезонность'!$B$5)</f>
        <v/>
      </c>
      <c r="I54" s="5">
        <f>'Хранение до конца ноября'!D54*(F54+H54)/2*'Сезонность'!$B$5</f>
        <v/>
      </c>
      <c r="J54" s="3">
        <f>MAX(0,H54-'Хранение до конца ноября'!F54*'Сезонность'!$C$6*'Сезонность'!$B$6)</f>
        <v/>
      </c>
      <c r="K54" s="5">
        <f>'Хранение до конца ноября'!D54*(H54+J54)/2*'Сезонность'!$B$6</f>
        <v/>
      </c>
      <c r="L54" s="3">
        <f>MAX(0,J54-'Хранение до конца ноября'!F54*'Сезонность'!$C$7*'Сезонность'!$B$7)</f>
        <v/>
      </c>
      <c r="M54" s="5">
        <f>'Хранение до конца ноября'!D54*(J54+L54)/2*'Сезонность'!$B$7</f>
        <v/>
      </c>
      <c r="N54" s="5">
        <f>C54+E54+G54+I54+K54+M54</f>
        <v/>
      </c>
    </row>
    <row r="55">
      <c r="A55" s="2">
        <f>'Хранение до конца ноября'!A55</f>
        <v/>
      </c>
      <c r="B55" s="3">
        <f>MAX(0,'Хранение до конца ноября'!C55-'Хранение до конца ноября'!F55*'Сезонность'!$C$2*'Сезонность'!$B$2)</f>
        <v/>
      </c>
      <c r="C55" s="5">
        <f>'Хранение до конца ноября'!D55*('Хранение до конца ноября'!C55+B55)/2*'Сезонность'!$B$2</f>
        <v/>
      </c>
      <c r="D55" s="3">
        <f>MAX(0,B55-'Хранение до конца ноября'!F55*'Сезонность'!$C$3*'Сезонность'!$B$3)</f>
        <v/>
      </c>
      <c r="E55" s="5">
        <f>'Хранение до конца ноября'!D55*(B55+D55)/2*'Сезонность'!$B$3</f>
        <v/>
      </c>
      <c r="F55" s="3">
        <f>MAX(0,D55-'Хранение до конца ноября'!F55*'Сезонность'!$C$4*'Сезонность'!$B$4)</f>
        <v/>
      </c>
      <c r="G55" s="5">
        <f>'Хранение до конца ноября'!D55*(D55+F55)/2*'Сезонность'!$B$4</f>
        <v/>
      </c>
      <c r="H55" s="3">
        <f>MAX(0,F55-'Хранение до конца ноября'!F55*'Сезонность'!$C$5*'Сезонность'!$B$5)</f>
        <v/>
      </c>
      <c r="I55" s="5">
        <f>'Хранение до конца ноября'!D55*(F55+H55)/2*'Сезонность'!$B$5</f>
        <v/>
      </c>
      <c r="J55" s="3">
        <f>MAX(0,H55-'Хранение до конца ноября'!F55*'Сезонность'!$C$6*'Сезонность'!$B$6)</f>
        <v/>
      </c>
      <c r="K55" s="5">
        <f>'Хранение до конца ноября'!D55*(H55+J55)/2*'Сезонность'!$B$6</f>
        <v/>
      </c>
      <c r="L55" s="3">
        <f>MAX(0,J55-'Хранение до конца ноября'!F55*'Сезонность'!$C$7*'Сезонность'!$B$7)</f>
        <v/>
      </c>
      <c r="M55" s="5">
        <f>'Хранение до конца ноября'!D55*(J55+L55)/2*'Сезонность'!$B$7</f>
        <v/>
      </c>
      <c r="N55" s="5">
        <f>C55+E55+G55+I55+K55+M55</f>
        <v/>
      </c>
    </row>
    <row r="56">
      <c r="A56" s="2">
        <f>'Хранение до конца ноября'!A56</f>
        <v/>
      </c>
      <c r="B56" s="3">
        <f>MAX(0,'Хранение до конца ноября'!C56-'Хранение до конца ноября'!F56*'Сезонность'!$C$2*'Сезонность'!$B$2)</f>
        <v/>
      </c>
      <c r="C56" s="5">
        <f>'Хранение до конца ноября'!D56*('Хранение до конца ноября'!C56+B56)/2*'Сезонность'!$B$2</f>
        <v/>
      </c>
      <c r="D56" s="3">
        <f>MAX(0,B56-'Хранение до конца ноября'!F56*'Сезонность'!$C$3*'Сезонность'!$B$3)</f>
        <v/>
      </c>
      <c r="E56" s="5">
        <f>'Хранение до конца ноября'!D56*(B56+D56)/2*'Сезонность'!$B$3</f>
        <v/>
      </c>
      <c r="F56" s="3">
        <f>MAX(0,D56-'Хранение до конца ноября'!F56*'Сезонность'!$C$4*'Сезонность'!$B$4)</f>
        <v/>
      </c>
      <c r="G56" s="5">
        <f>'Хранение до конца ноября'!D56*(D56+F56)/2*'Сезонность'!$B$4</f>
        <v/>
      </c>
      <c r="H56" s="3">
        <f>MAX(0,F56-'Хранение до конца ноября'!F56*'Сезонность'!$C$5*'Сезонность'!$B$5)</f>
        <v/>
      </c>
      <c r="I56" s="5">
        <f>'Хранение до конца ноября'!D56*(F56+H56)/2*'Сезонность'!$B$5</f>
        <v/>
      </c>
      <c r="J56" s="3">
        <f>MAX(0,H56-'Хранение до конца ноября'!F56*'Сезонность'!$C$6*'Сезонность'!$B$6)</f>
        <v/>
      </c>
      <c r="K56" s="5">
        <f>'Хранение до конца ноября'!D56*(H56+J56)/2*'Сезонность'!$B$6</f>
        <v/>
      </c>
      <c r="L56" s="3">
        <f>MAX(0,J56-'Хранение до конца ноября'!F56*'Сезонность'!$C$7*'Сезонность'!$B$7)</f>
        <v/>
      </c>
      <c r="M56" s="5">
        <f>'Хранение до конца ноября'!D56*(J56+L56)/2*'Сезонность'!$B$7</f>
        <v/>
      </c>
      <c r="N56" s="5">
        <f>C56+E56+G56+I56+K56+M56</f>
        <v/>
      </c>
    </row>
    <row r="57">
      <c r="A57" s="2">
        <f>'Хранение до конца ноября'!A57</f>
        <v/>
      </c>
      <c r="B57" s="3">
        <f>MAX(0,'Хранение до конца ноября'!C57-'Хранение до конца ноября'!F57*'Сезонность'!$C$2*'Сезонность'!$B$2)</f>
        <v/>
      </c>
      <c r="C57" s="5">
        <f>'Хранение до конца ноября'!D57*('Хранение до конца ноября'!C57+B57)/2*'Сезонность'!$B$2</f>
        <v/>
      </c>
      <c r="D57" s="3">
        <f>MAX(0,B57-'Хранение до конца ноября'!F57*'Сезонность'!$C$3*'Сезонность'!$B$3)</f>
        <v/>
      </c>
      <c r="E57" s="5">
        <f>'Хранение до конца ноября'!D57*(B57+D57)/2*'Сезонность'!$B$3</f>
        <v/>
      </c>
      <c r="F57" s="3">
        <f>MAX(0,D57-'Хранение до конца ноября'!F57*'Сезонность'!$C$4*'Сезонность'!$B$4)</f>
        <v/>
      </c>
      <c r="G57" s="5">
        <f>'Хранение до конца ноября'!D57*(D57+F57)/2*'Сезонность'!$B$4</f>
        <v/>
      </c>
      <c r="H57" s="3">
        <f>MAX(0,F57-'Хранение до конца ноября'!F57*'Сезонность'!$C$5*'Сезонность'!$B$5)</f>
        <v/>
      </c>
      <c r="I57" s="5">
        <f>'Хранение до конца ноября'!D57*(F57+H57)/2*'Сезонность'!$B$5</f>
        <v/>
      </c>
      <c r="J57" s="3">
        <f>MAX(0,H57-'Хранение до конца ноября'!F57*'Сезонность'!$C$6*'Сезонность'!$B$6)</f>
        <v/>
      </c>
      <c r="K57" s="5">
        <f>'Хранение до конца ноября'!D57*(H57+J57)/2*'Сезонность'!$B$6</f>
        <v/>
      </c>
      <c r="L57" s="3">
        <f>MAX(0,J57-'Хранение до конца ноября'!F57*'Сезонность'!$C$7*'Сезонность'!$B$7)</f>
        <v/>
      </c>
      <c r="M57" s="5">
        <f>'Хранение до конца ноября'!D57*(J57+L57)/2*'Сезонность'!$B$7</f>
        <v/>
      </c>
      <c r="N57" s="5">
        <f>C57+E57+G57+I57+K57+M57</f>
        <v/>
      </c>
    </row>
    <row r="58">
      <c r="A58" s="2">
        <f>'Хранение до конца ноября'!A58</f>
        <v/>
      </c>
      <c r="B58" s="3">
        <f>MAX(0,'Хранение до конца ноября'!C58-'Хранение до конца ноября'!F58*'Сезонность'!$C$2*'Сезонность'!$B$2)</f>
        <v/>
      </c>
      <c r="C58" s="5">
        <f>'Хранение до конца ноября'!D58*('Хранение до конца ноября'!C58+B58)/2*'Сезонность'!$B$2</f>
        <v/>
      </c>
      <c r="D58" s="3">
        <f>MAX(0,B58-'Хранение до конца ноября'!F58*'Сезонность'!$C$3*'Сезонность'!$B$3)</f>
        <v/>
      </c>
      <c r="E58" s="5">
        <f>'Хранение до конца ноября'!D58*(B58+D58)/2*'Сезонность'!$B$3</f>
        <v/>
      </c>
      <c r="F58" s="3">
        <f>MAX(0,D58-'Хранение до конца ноября'!F58*'Сезонность'!$C$4*'Сезонность'!$B$4)</f>
        <v/>
      </c>
      <c r="G58" s="5">
        <f>'Хранение до конца ноября'!D58*(D58+F58)/2*'Сезонность'!$B$4</f>
        <v/>
      </c>
      <c r="H58" s="3">
        <f>MAX(0,F58-'Хранение до конца ноября'!F58*'Сезонность'!$C$5*'Сезонность'!$B$5)</f>
        <v/>
      </c>
      <c r="I58" s="5">
        <f>'Хранение до конца ноября'!D58*(F58+H58)/2*'Сезонность'!$B$5</f>
        <v/>
      </c>
      <c r="J58" s="3">
        <f>MAX(0,H58-'Хранение до конца ноября'!F58*'Сезонность'!$C$6*'Сезонность'!$B$6)</f>
        <v/>
      </c>
      <c r="K58" s="5">
        <f>'Хранение до конца ноября'!D58*(H58+J58)/2*'Сезонность'!$B$6</f>
        <v/>
      </c>
      <c r="L58" s="3">
        <f>MAX(0,J58-'Хранение до конца ноября'!F58*'Сезонность'!$C$7*'Сезонность'!$B$7)</f>
        <v/>
      </c>
      <c r="M58" s="5">
        <f>'Хранение до конца ноября'!D58*(J58+L58)/2*'Сезонность'!$B$7</f>
        <v/>
      </c>
      <c r="N58" s="5">
        <f>C58+E58+G58+I58+K58+M58</f>
        <v/>
      </c>
    </row>
    <row r="59">
      <c r="A59" s="2">
        <f>'Хранение до конца ноября'!A59</f>
        <v/>
      </c>
      <c r="B59" s="3">
        <f>MAX(0,'Хранение до конца ноября'!C59-'Хранение до конца ноября'!F59*'Сезонность'!$C$2*'Сезонность'!$B$2)</f>
        <v/>
      </c>
      <c r="C59" s="5">
        <f>'Хранение до конца ноября'!D59*('Хранение до конца ноября'!C59+B59)/2*'Сезонность'!$B$2</f>
        <v/>
      </c>
      <c r="D59" s="3">
        <f>MAX(0,B59-'Хранение до конца ноября'!F59*'Сезонность'!$C$3*'Сезонность'!$B$3)</f>
        <v/>
      </c>
      <c r="E59" s="5">
        <f>'Хранение до конца ноября'!D59*(B59+D59)/2*'Сезонность'!$B$3</f>
        <v/>
      </c>
      <c r="F59" s="3">
        <f>MAX(0,D59-'Хранение до конца ноября'!F59*'Сезонность'!$C$4*'Сезонность'!$B$4)</f>
        <v/>
      </c>
      <c r="G59" s="5">
        <f>'Хранение до конца ноября'!D59*(D59+F59)/2*'Сезонность'!$B$4</f>
        <v/>
      </c>
      <c r="H59" s="3">
        <f>MAX(0,F59-'Хранение до конца ноября'!F59*'Сезонность'!$C$5*'Сезонность'!$B$5)</f>
        <v/>
      </c>
      <c r="I59" s="5">
        <f>'Хранение до конца ноября'!D59*(F59+H59)/2*'Сезонность'!$B$5</f>
        <v/>
      </c>
      <c r="J59" s="3">
        <f>MAX(0,H59-'Хранение до конца ноября'!F59*'Сезонность'!$C$6*'Сезонность'!$B$6)</f>
        <v/>
      </c>
      <c r="K59" s="5">
        <f>'Хранение до конца ноября'!D59*(H59+J59)/2*'Сезонность'!$B$6</f>
        <v/>
      </c>
      <c r="L59" s="3">
        <f>MAX(0,J59-'Хранение до конца ноября'!F59*'Сезонность'!$C$7*'Сезонность'!$B$7)</f>
        <v/>
      </c>
      <c r="M59" s="5">
        <f>'Хранение до конца ноября'!D59*(J59+L59)/2*'Сезонность'!$B$7</f>
        <v/>
      </c>
      <c r="N59" s="5">
        <f>C59+E59+G59+I59+K59+M59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2026-06-25T09:37:15Z</dcterms:created>
  <dcterms:modified xsi:type="dcterms:W3CDTF">2026-06-25T09:37:15Z</dcterms:modified>
</cp:coreProperties>
</file>
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СТАТОК" sheetId="1" state="visible" r:id="rId1"/>
    <sheet xmlns:r="http://schemas.openxmlformats.org/officeDocument/2006/relationships" name="НЕ ЗАБИРАЮ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  <xf numFmtId="164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</cols>
  <sheetData>
    <row r="1">
      <c r="A1" s="1" t="inlineStr">
        <is>
          <t>Товар</t>
        </is>
      </c>
      <c r="B1" s="1" t="inlineStr">
        <is>
          <t>Статус</t>
        </is>
      </c>
      <c r="C1" s="1" t="inlineStr">
        <is>
          <t>Срок годности</t>
        </is>
      </c>
      <c r="D1" s="1" t="inlineStr">
        <is>
          <t>Всего, шт</t>
        </is>
      </c>
      <c r="E1" s="1" t="inlineStr">
        <is>
          <t>Заберут, шт</t>
        </is>
      </c>
      <c r="F1" s="1" t="inlineStr">
        <is>
          <t>Остаётся, шт</t>
        </is>
      </c>
      <c r="G1" s="1" t="inlineStr">
        <is>
          <t>Себестоимость, руб</t>
        </is>
      </c>
      <c r="H1" s="1" t="inlineStr">
        <is>
          <t>Остаток, руб</t>
        </is>
      </c>
      <c r="I1" s="1" t="inlineStr">
        <is>
          <t>Потолок РФ, руб</t>
        </is>
      </c>
      <c r="J1" s="1" t="inlineStr">
        <is>
          <t>Наценка до потолка, %</t>
        </is>
      </c>
      <c r="K1" s="1" t="inlineStr">
        <is>
          <t>Выручка по потолку, руб</t>
        </is>
      </c>
      <c r="L1" s="1" t="inlineStr">
        <is>
          <t>Штрихкод</t>
        </is>
      </c>
    </row>
    <row r="2">
      <c r="A2" t="inlineStr">
        <is>
          <t>CELIMAX THE VITA-A RETINAL SHOT TIGHTENING BOOSTER [15ml]/Подтягивающий бустер-крем с ретинолом для лица</t>
        </is>
      </c>
      <c r="B2" t="inlineStr">
        <is>
          <t>забирают частично</t>
        </is>
      </c>
      <c r="C2" t="n">
        <v>2028</v>
      </c>
      <c r="D2" s="2" t="n">
        <v>9493</v>
      </c>
      <c r="E2" s="2" t="n">
        <v>600</v>
      </c>
      <c r="F2" s="2" t="n">
        <v>8893</v>
      </c>
      <c r="G2" s="2" t="n">
        <v>563.3979999999999</v>
      </c>
      <c r="H2" s="2" t="n">
        <v>5010298</v>
      </c>
      <c r="I2" s="2" t="n">
        <v>699.48</v>
      </c>
      <c r="J2" t="n">
        <v>24</v>
      </c>
      <c r="K2" s="2" t="n">
        <v>5474019</v>
      </c>
      <c r="L2" t="inlineStr">
        <is>
          <t>8809700320812</t>
        </is>
      </c>
    </row>
    <row r="3">
      <c r="A3" t="inlineStr">
        <is>
          <t>ROUND LAB 1025 DOKDO CLEANSER_150ml - Увлажняющая пенка для умывания лица</t>
        </is>
      </c>
      <c r="B3" t="inlineStr">
        <is>
          <t>забирают частично</t>
        </is>
      </c>
      <c r="C3" t="n">
        <v>2028</v>
      </c>
      <c r="D3" s="2" t="n">
        <v>7126</v>
      </c>
      <c r="E3" s="2" t="n">
        <v>1000</v>
      </c>
      <c r="F3" s="2" t="n">
        <v>6126</v>
      </c>
      <c r="G3" s="2" t="n">
        <v>509.509</v>
      </c>
      <c r="H3" s="2" t="n">
        <v>3121252</v>
      </c>
      <c r="I3" s="2" t="n">
        <v>874</v>
      </c>
      <c r="J3" t="n">
        <v>72</v>
      </c>
      <c r="K3" s="2" t="n">
        <v>4711629</v>
      </c>
      <c r="L3" t="inlineStr">
        <is>
          <t>8809738608364</t>
        </is>
      </c>
    </row>
    <row r="4">
      <c r="A4" t="inlineStr">
        <is>
          <t>Celimax Dual Barrier Creamy Toner, тонер 150 мл</t>
        </is>
      </c>
      <c r="B4" t="inlineStr">
        <is>
          <t>забирают частично</t>
        </is>
      </c>
      <c r="C4" t="n">
        <v>2028</v>
      </c>
      <c r="D4" s="2" t="n">
        <v>4520</v>
      </c>
      <c r="E4" s="2" t="n">
        <v>1000</v>
      </c>
      <c r="F4" s="2" t="n">
        <v>3520</v>
      </c>
      <c r="G4" s="2" t="n">
        <v>730.246</v>
      </c>
      <c r="H4" s="2" t="n">
        <v>2570466</v>
      </c>
      <c r="I4" s="2" t="n">
        <v>777.78</v>
      </c>
      <c r="J4" t="n">
        <v>7</v>
      </c>
      <c r="K4" s="2" t="n">
        <v>2409251</v>
      </c>
      <c r="L4" t="inlineStr">
        <is>
          <t>8809606850475</t>
        </is>
      </c>
    </row>
    <row r="5">
      <c r="A5" t="inlineStr">
        <is>
          <t>ETUDE - Baking Powder Crunch Pore Scrub [200ml] / Очищающий скраб для лица с содой</t>
        </is>
      </c>
      <c r="B5" t="inlineStr">
        <is>
          <t>забирают частично</t>
        </is>
      </c>
      <c r="C5" t="n">
        <v>2028</v>
      </c>
      <c r="D5" s="2" t="n">
        <v>7279</v>
      </c>
      <c r="E5" s="2" t="n">
        <v>1800</v>
      </c>
      <c r="F5" s="2" t="n">
        <v>5479</v>
      </c>
      <c r="G5" s="2" t="n">
        <v>397.133</v>
      </c>
      <c r="H5" s="2" t="n">
        <v>2175892</v>
      </c>
      <c r="I5" s="2" t="n">
        <v>787</v>
      </c>
      <c r="J5" t="n">
        <v>98</v>
      </c>
      <c r="K5" s="2" t="n">
        <v>3794536</v>
      </c>
      <c r="L5" t="inlineStr">
        <is>
          <t>8809820683118</t>
        </is>
      </c>
    </row>
    <row r="6">
      <c r="A6" t="inlineStr">
        <is>
          <t>JIGOTT - Snail Lifting Cream [70ml] / Крем для лица увлажняющий антивозрастной</t>
        </is>
      </c>
      <c r="B6" t="inlineStr">
        <is>
          <t>забирают частично</t>
        </is>
      </c>
      <c r="C6" t="n">
        <v>2028</v>
      </c>
      <c r="D6" s="2" t="n">
        <v>7463</v>
      </c>
      <c r="E6" s="2" t="n">
        <v>600</v>
      </c>
      <c r="F6" s="2" t="n">
        <v>6863</v>
      </c>
      <c r="G6" s="2" t="n">
        <v>222.497</v>
      </c>
      <c r="H6" s="2" t="n">
        <v>1526997</v>
      </c>
      <c r="I6" s="2" t="n">
        <v>243</v>
      </c>
      <c r="J6" t="n">
        <v>9</v>
      </c>
      <c r="K6" s="2" t="n">
        <v>1467584</v>
      </c>
      <c r="L6" t="inlineStr">
        <is>
          <t>8809210034124</t>
        </is>
      </c>
    </row>
    <row r="7">
      <c r="A7" t="inlineStr">
        <is>
          <t>CELIMAX THE VITA-A RETINOL SHOT TIGHTENING SERUM [30ml]/Сыворотка с ретинолом и микроиглами для лица</t>
        </is>
      </c>
      <c r="B7" t="inlineStr">
        <is>
          <t>забирают частично</t>
        </is>
      </c>
      <c r="C7" t="n">
        <v>2028</v>
      </c>
      <c r="D7" s="2" t="n">
        <v>3112</v>
      </c>
      <c r="E7" s="2" t="n">
        <v>600</v>
      </c>
      <c r="F7" s="2" t="n">
        <v>2512</v>
      </c>
      <c r="G7" s="2" t="n">
        <v>585.3100000000001</v>
      </c>
      <c r="H7" s="2" t="n">
        <v>1470299</v>
      </c>
      <c r="I7" s="2" t="n">
        <v>694.26</v>
      </c>
      <c r="J7" t="n">
        <v>19</v>
      </c>
      <c r="K7" s="2" t="n">
        <v>1534703</v>
      </c>
      <c r="L7" t="inlineStr">
        <is>
          <t>8809700320805</t>
        </is>
      </c>
    </row>
    <row r="8">
      <c r="A8" t="inlineStr">
        <is>
          <t>FARMSTAY - Black Garlic Nourishing Shampoo [530ml] / Шампунь-кондиционер 2в1 с экстрактом черного чеснока</t>
        </is>
      </c>
      <c r="B8" t="inlineStr">
        <is>
          <t>забирают частично</t>
        </is>
      </c>
      <c r="C8" t="n">
        <v>2028</v>
      </c>
      <c r="D8" s="2" t="n">
        <v>3239</v>
      </c>
      <c r="E8" s="2" t="n">
        <v>400</v>
      </c>
      <c r="F8" s="2" t="n">
        <v>2839</v>
      </c>
      <c r="G8" s="2" t="n">
        <v>436.392</v>
      </c>
      <c r="H8" s="2" t="n">
        <v>1238917</v>
      </c>
      <c r="I8" s="2" t="inlineStr"/>
      <c r="J8" t="inlineStr"/>
      <c r="K8" s="2" t="inlineStr"/>
      <c r="L8" t="inlineStr">
        <is>
          <t>8809595056384</t>
        </is>
      </c>
    </row>
    <row r="9">
      <c r="A9" t="inlineStr">
        <is>
          <t>VT PDRN ESSENCE 100 / Укрепляющая бустер-эссенция с ПДРН</t>
        </is>
      </c>
      <c r="B9" t="inlineStr">
        <is>
          <t>забирают частично</t>
        </is>
      </c>
      <c r="C9" t="n">
        <v>2028</v>
      </c>
      <c r="D9" s="2" t="n">
        <v>1009</v>
      </c>
      <c r="E9" s="2" t="n">
        <v>200</v>
      </c>
      <c r="F9" s="2" t="n">
        <v>809</v>
      </c>
      <c r="G9" s="2" t="n">
        <v>1469.545</v>
      </c>
      <c r="H9" s="2" t="n">
        <v>1188862</v>
      </c>
      <c r="I9" s="2" t="n">
        <v>1552.08</v>
      </c>
      <c r="J9" t="n">
        <v>6</v>
      </c>
      <c r="K9" s="2" t="n">
        <v>1104957</v>
      </c>
      <c r="L9" t="inlineStr">
        <is>
          <t>8803463004286</t>
        </is>
      </c>
    </row>
    <row r="10">
      <c r="A10" t="inlineStr">
        <is>
          <t>FARMSTAY - Collagen Water Full Shampoo &amp; Conditioner [530ml] / Шампунь-кондиционер 2в1 с коллагеном</t>
        </is>
      </c>
      <c r="B10" t="inlineStr">
        <is>
          <t>забирают частично</t>
        </is>
      </c>
      <c r="C10" t="n">
        <v>2028</v>
      </c>
      <c r="D10" s="2" t="n">
        <v>3493</v>
      </c>
      <c r="E10" s="2" t="n">
        <v>800</v>
      </c>
      <c r="F10" s="2" t="n">
        <v>2693</v>
      </c>
      <c r="G10" s="2" t="n">
        <v>436.392</v>
      </c>
      <c r="H10" s="2" t="n">
        <v>1175204</v>
      </c>
      <c r="I10" s="2" t="inlineStr"/>
      <c r="J10" t="inlineStr"/>
      <c r="K10" s="2" t="inlineStr"/>
      <c r="L10" t="inlineStr">
        <is>
          <t>8809595053284</t>
        </is>
      </c>
    </row>
    <row r="11">
      <c r="A11" t="inlineStr">
        <is>
          <t>CELIMAX JI WOO GAE CICA BHA BLEMISH TONER PAD [170ml / 60pads]/Тонер-пэды от воспалений</t>
        </is>
      </c>
      <c r="B11" t="inlineStr">
        <is>
          <t>забирают частично</t>
        </is>
      </c>
      <c r="C11" t="n">
        <v>2028</v>
      </c>
      <c r="D11" s="2" t="n">
        <v>1500</v>
      </c>
      <c r="E11" s="2" t="n">
        <v>200</v>
      </c>
      <c r="F11" s="2" t="n">
        <v>1300</v>
      </c>
      <c r="G11" s="2" t="n">
        <v>778.668</v>
      </c>
      <c r="H11" s="2" t="n">
        <v>1012268</v>
      </c>
      <c r="I11" s="2" t="n">
        <v>902</v>
      </c>
      <c r="J11" t="n">
        <v>16</v>
      </c>
      <c r="K11" s="2" t="n">
        <v>1031888</v>
      </c>
      <c r="L11" t="inlineStr">
        <is>
          <t>8809783321225</t>
        </is>
      </c>
    </row>
    <row r="12">
      <c r="A12" t="inlineStr">
        <is>
          <t>ENOUGH - Collagen Moisture Essential Cream [50ml] / Увлажняющий крем для лица с коллагеном</t>
        </is>
      </c>
      <c r="B12" t="inlineStr">
        <is>
          <t>забирают частично</t>
        </is>
      </c>
      <c r="C12" t="n">
        <v>2028</v>
      </c>
      <c r="D12" s="2" t="n">
        <v>7340</v>
      </c>
      <c r="E12" s="2" t="n">
        <v>2000</v>
      </c>
      <c r="F12" s="2" t="n">
        <v>5340</v>
      </c>
      <c r="G12" s="2" t="n">
        <v>177.43</v>
      </c>
      <c r="H12" s="2" t="n">
        <v>947476</v>
      </c>
      <c r="I12" s="2" t="inlineStr"/>
      <c r="J12" t="inlineStr"/>
      <c r="K12" s="2" t="inlineStr"/>
      <c r="L12" t="inlineStr">
        <is>
          <t>8809755463335</t>
        </is>
      </c>
    </row>
    <row r="13">
      <c r="A13" t="inlineStr">
        <is>
          <t>FARMSTAY - Argan Oil Complete Volume Up Shampoo &amp; Conditioner [530ml] / Шампунь-кондиционер с аргановым маслом</t>
        </is>
      </c>
      <c r="B13" t="inlineStr">
        <is>
          <t>забирают частично</t>
        </is>
      </c>
      <c r="C13" t="n">
        <v>2028</v>
      </c>
      <c r="D13" s="2" t="n">
        <v>2435</v>
      </c>
      <c r="E13" s="2" t="n">
        <v>400</v>
      </c>
      <c r="F13" s="2" t="n">
        <v>2035</v>
      </c>
      <c r="G13" s="2" t="n">
        <v>440.836</v>
      </c>
      <c r="H13" s="2" t="n">
        <v>897101</v>
      </c>
      <c r="I13" s="2" t="inlineStr"/>
      <c r="J13" t="inlineStr"/>
      <c r="K13" s="2" t="inlineStr"/>
      <c r="L13" t="inlineStr">
        <is>
          <t>8809595053659</t>
        </is>
      </c>
    </row>
    <row r="14">
      <c r="A14" t="inlineStr">
        <is>
          <t>MANYO - Bifida Biome Complex Ampoule [50ml] / Антивозрастная сыворотка для лица</t>
        </is>
      </c>
      <c r="B14" t="inlineStr">
        <is>
          <t>забирают частично</t>
        </is>
      </c>
      <c r="C14" t="n">
        <v>2028</v>
      </c>
      <c r="D14" s="2" t="n">
        <v>1355</v>
      </c>
      <c r="E14" s="2" t="n">
        <v>450</v>
      </c>
      <c r="F14" s="2" t="n">
        <v>905</v>
      </c>
      <c r="G14" s="2" t="n">
        <v>989.7579999999999</v>
      </c>
      <c r="H14" s="2" t="n">
        <v>895731</v>
      </c>
      <c r="I14" s="2" t="inlineStr"/>
      <c r="J14" t="inlineStr"/>
      <c r="K14" s="2" t="inlineStr"/>
      <c r="L14" t="inlineStr">
        <is>
          <t>8809657114700</t>
        </is>
      </c>
    </row>
    <row r="15">
      <c r="A15" t="inlineStr">
        <is>
          <t>FARMSTAY - Collagen &amp; Hyaluronic Acid All-In One Ampoule [250ml] / Сыворотка с коллагеном и гиалуроновой кислотой</t>
        </is>
      </c>
      <c r="B15" t="inlineStr">
        <is>
          <t>забирают частично</t>
        </is>
      </c>
      <c r="C15" t="n">
        <v>2028</v>
      </c>
      <c r="D15" s="2" t="n">
        <v>6179</v>
      </c>
      <c r="E15" s="2" t="n">
        <v>4000</v>
      </c>
      <c r="F15" s="2" t="n">
        <v>2179</v>
      </c>
      <c r="G15" s="2" t="n">
        <v>382.536</v>
      </c>
      <c r="H15" s="2" t="n">
        <v>833546</v>
      </c>
      <c r="I15" s="2" t="inlineStr"/>
      <c r="J15" t="inlineStr"/>
      <c r="K15" s="2" t="inlineStr"/>
      <c r="L15" t="inlineStr">
        <is>
          <t>8809469770002</t>
        </is>
      </c>
    </row>
    <row r="16">
      <c r="A16" t="inlineStr">
        <is>
          <t>CELIMAX PORE+DARK SPOT BRIGHTENING PAD [100ml / 40pads]/Тонер-пэды для выравнивания тона и рельефа кожи</t>
        </is>
      </c>
      <c r="B16" t="inlineStr">
        <is>
          <t>забирают частично</t>
        </is>
      </c>
      <c r="C16" t="n">
        <v>2028</v>
      </c>
      <c r="D16" s="2" t="n">
        <v>1375</v>
      </c>
      <c r="E16" s="2" t="n">
        <v>200</v>
      </c>
      <c r="F16" s="2" t="n">
        <v>1175</v>
      </c>
      <c r="G16" s="2" t="n">
        <v>611.798</v>
      </c>
      <c r="H16" s="2" t="n">
        <v>718863</v>
      </c>
      <c r="I16" s="2" t="n">
        <v>671.64</v>
      </c>
      <c r="J16" t="n">
        <v>10</v>
      </c>
      <c r="K16" s="2" t="n">
        <v>694476</v>
      </c>
      <c r="L16" t="inlineStr">
        <is>
          <t>8809743546323</t>
        </is>
      </c>
    </row>
    <row r="17">
      <c r="A17" t="inlineStr">
        <is>
          <t>ROUND LAB MUGWORT CALMING CLEANSER_150ml - Очищающая пенка для умывания лица от прыщей и акне</t>
        </is>
      </c>
      <c r="B17" t="inlineStr">
        <is>
          <t>забирают частично</t>
        </is>
      </c>
      <c r="C17" t="n">
        <v>2028</v>
      </c>
      <c r="D17" s="2" t="n">
        <v>1422</v>
      </c>
      <c r="E17" s="2" t="n">
        <v>300</v>
      </c>
      <c r="F17" s="2" t="n">
        <v>1122</v>
      </c>
      <c r="G17" s="2" t="n">
        <v>563.552</v>
      </c>
      <c r="H17" s="2" t="n">
        <v>632305</v>
      </c>
      <c r="I17" s="2" t="n">
        <v>884</v>
      </c>
      <c r="J17" t="n">
        <v>57</v>
      </c>
      <c r="K17" s="2" t="n">
        <v>872826</v>
      </c>
      <c r="L17" t="inlineStr">
        <is>
          <t>8809738593080</t>
        </is>
      </c>
    </row>
    <row r="18">
      <c r="A18" t="inlineStr">
        <is>
          <t>MANYO BIFIDA INFUSION SHOT AMPOULE 1DX [50ml] / Сыворотка с микроиглами и пробиотиками</t>
        </is>
      </c>
      <c r="B18" t="inlineStr">
        <is>
          <t>забирают частично</t>
        </is>
      </c>
      <c r="C18" t="n">
        <v>2028</v>
      </c>
      <c r="D18" s="2" t="n">
        <v>614</v>
      </c>
      <c r="E18" s="2" t="n">
        <v>100</v>
      </c>
      <c r="F18" s="2" t="n">
        <v>514</v>
      </c>
      <c r="G18" s="2" t="n">
        <v>1096.425</v>
      </c>
      <c r="H18" s="2" t="n">
        <v>563562</v>
      </c>
      <c r="I18" s="2" t="inlineStr"/>
      <c r="J18" t="inlineStr"/>
      <c r="K18" s="2" t="inlineStr"/>
      <c r="L18" t="inlineStr">
        <is>
          <t>8809730957705</t>
        </is>
      </c>
    </row>
    <row r="19">
      <c r="A19" t="inlineStr">
        <is>
          <t>HEIMISH - Artless Glow Base SPF50+ PA+++(Renew) [40ml] / База под макияж SPF50+ PA+++</t>
        </is>
      </c>
      <c r="B19" t="inlineStr">
        <is>
          <t>забирают частично</t>
        </is>
      </c>
      <c r="C19" t="n">
        <v>2028</v>
      </c>
      <c r="D19" s="2" t="n">
        <v>941</v>
      </c>
      <c r="E19" s="2" t="n">
        <v>400</v>
      </c>
      <c r="F19" s="2" t="n">
        <v>541</v>
      </c>
      <c r="G19" s="2" t="n">
        <v>847.528</v>
      </c>
      <c r="H19" s="2" t="n">
        <v>458513</v>
      </c>
      <c r="I19" s="2" t="inlineStr"/>
      <c r="J19" t="inlineStr"/>
      <c r="K19" s="2" t="inlineStr"/>
      <c r="L19" t="inlineStr">
        <is>
          <t>8809481760463</t>
        </is>
      </c>
    </row>
    <row r="20">
      <c r="A20" t="inlineStr">
        <is>
          <t>ROUND LAB 1025 DOKDO TONER_200ml / Отшелушивающий тоник с морской водой</t>
        </is>
      </c>
      <c r="B20" t="inlineStr">
        <is>
          <t>забирают частично</t>
        </is>
      </c>
      <c r="C20" t="n">
        <v>2028</v>
      </c>
      <c r="D20" s="2" t="n">
        <v>966</v>
      </c>
      <c r="E20" s="2" t="n">
        <v>280</v>
      </c>
      <c r="F20" s="2" t="n">
        <v>686</v>
      </c>
      <c r="G20" s="2" t="n">
        <v>533.423</v>
      </c>
      <c r="H20" s="2" t="n">
        <v>365928</v>
      </c>
      <c r="I20" s="2" t="n">
        <v>1050</v>
      </c>
      <c r="J20" t="n">
        <v>97</v>
      </c>
      <c r="K20" s="2" t="n">
        <v>633864</v>
      </c>
      <c r="L20" t="inlineStr">
        <is>
          <t>8809657114731</t>
        </is>
      </c>
    </row>
    <row r="21">
      <c r="A21" t="inlineStr">
        <is>
          <t>MANYO - Galac Whitening Vita Serum [50ml] / Осветляющая сыворотка с Витамином C</t>
        </is>
      </c>
      <c r="B21" t="inlineStr">
        <is>
          <t>забирают частично</t>
        </is>
      </c>
      <c r="C21" t="n">
        <v>2028</v>
      </c>
      <c r="D21" s="2" t="n">
        <v>759</v>
      </c>
      <c r="E21" s="2" t="n">
        <v>300</v>
      </c>
      <c r="F21" s="2" t="n">
        <v>459</v>
      </c>
      <c r="G21" s="2" t="n">
        <v>711.513</v>
      </c>
      <c r="H21" s="2" t="n">
        <v>326584</v>
      </c>
      <c r="I21" s="2" t="inlineStr"/>
      <c r="J21" t="inlineStr"/>
      <c r="K21" s="2" t="inlineStr"/>
      <c r="L21" t="inlineStr">
        <is>
          <t>8809730952014</t>
        </is>
      </c>
    </row>
    <row r="22">
      <c r="A22" t="inlineStr">
        <is>
          <t>VT REEDLE SHOT 100 / Бустер-сыворотка с микроиглами</t>
        </is>
      </c>
      <c r="B22" t="inlineStr">
        <is>
          <t>забирают частично</t>
        </is>
      </c>
      <c r="C22" t="n">
        <v>2028</v>
      </c>
      <c r="D22" s="2" t="n">
        <v>397</v>
      </c>
      <c r="E22" s="2" t="n">
        <v>100</v>
      </c>
      <c r="F22" s="2" t="n">
        <v>297</v>
      </c>
      <c r="G22" s="2" t="n">
        <v>1071.444</v>
      </c>
      <c r="H22" s="2" t="n">
        <v>318219</v>
      </c>
      <c r="I22" s="2" t="n">
        <v>1124.04</v>
      </c>
      <c r="J22" t="n">
        <v>5</v>
      </c>
      <c r="K22" s="2" t="n">
        <v>293779</v>
      </c>
      <c r="L22" t="inlineStr">
        <is>
          <t>8809695678363</t>
        </is>
      </c>
    </row>
    <row r="23">
      <c r="A23" t="inlineStr">
        <is>
          <t>MANYO - Bifida Biome Ampoule Lotion [300ml] / Укрепляющий лосьон с бифидобактериями</t>
        </is>
      </c>
      <c r="B23" t="inlineStr">
        <is>
          <t>забирают частично</t>
        </is>
      </c>
      <c r="C23" t="n">
        <v>2028</v>
      </c>
      <c r="D23" s="2" t="n">
        <v>624</v>
      </c>
      <c r="E23" s="2" t="n">
        <v>300</v>
      </c>
      <c r="F23" s="2" t="n">
        <v>324</v>
      </c>
      <c r="G23" s="2" t="n">
        <v>808.874</v>
      </c>
      <c r="H23" s="2" t="n">
        <v>262075</v>
      </c>
      <c r="I23" s="2" t="inlineStr"/>
      <c r="J23" t="inlineStr"/>
      <c r="K23" s="2" t="inlineStr"/>
      <c r="L23" t="inlineStr">
        <is>
          <t>8809730952236</t>
        </is>
      </c>
    </row>
    <row r="24">
      <c r="A24" t="inlineStr">
        <is>
          <t>MANYO BIFIDA COMPLEX AMPOULE GEL CLEANSER [400ml] / Гель для умывания с бифидобактериями</t>
        </is>
      </c>
      <c r="B24" t="inlineStr">
        <is>
          <t>забирают частично</t>
        </is>
      </c>
      <c r="C24" t="n">
        <v>2028</v>
      </c>
      <c r="D24" s="2" t="n">
        <v>650</v>
      </c>
      <c r="E24" s="2" t="n">
        <v>350</v>
      </c>
      <c r="F24" s="2" t="n">
        <v>300</v>
      </c>
      <c r="G24" s="2" t="n">
        <v>813.901</v>
      </c>
      <c r="H24" s="2" t="n">
        <v>244170</v>
      </c>
      <c r="I24" s="2" t="inlineStr"/>
      <c r="J24" t="inlineStr"/>
      <c r="K24" s="2" t="inlineStr"/>
      <c r="L24" t="inlineStr">
        <is>
          <t>8809567929722</t>
        </is>
      </c>
    </row>
    <row r="25">
      <c r="A25" t="inlineStr">
        <is>
          <t>JIGOTT - Birds Nest Firming Cream [70ml] / Антивозрастной крем с экстрактом ласточкиного гнезда</t>
        </is>
      </c>
      <c r="B25" t="inlineStr">
        <is>
          <t>забирают частично</t>
        </is>
      </c>
      <c r="C25" t="n">
        <v>2028</v>
      </c>
      <c r="D25" s="2" t="n">
        <v>1614</v>
      </c>
      <c r="E25" s="2" t="n">
        <v>600</v>
      </c>
      <c r="F25" s="2" t="n">
        <v>1014</v>
      </c>
      <c r="G25" s="2" t="n">
        <v>222.497</v>
      </c>
      <c r="H25" s="2" t="n">
        <v>225612</v>
      </c>
      <c r="I25" s="2" t="n">
        <v>246</v>
      </c>
      <c r="J25" t="n">
        <v>11</v>
      </c>
      <c r="K25" s="2" t="n">
        <v>219511</v>
      </c>
      <c r="L25" t="inlineStr">
        <is>
          <t>8809210034087</t>
        </is>
      </c>
    </row>
    <row r="26">
      <c r="A26" t="inlineStr">
        <is>
          <t>FARMSTAY ESCARGOT NOBLESSE INTENSIVE AMPOULE/ сыворотка с улиткой</t>
        </is>
      </c>
      <c r="B26" t="inlineStr">
        <is>
          <t>забирают частично</t>
        </is>
      </c>
      <c r="C26" t="n">
        <v>2028</v>
      </c>
      <c r="D26" s="2" t="n">
        <v>901</v>
      </c>
      <c r="E26" s="2" t="n">
        <v>400</v>
      </c>
      <c r="F26" s="2" t="n">
        <v>501</v>
      </c>
      <c r="G26" s="2" t="n">
        <v>429.506</v>
      </c>
      <c r="H26" s="2" t="n">
        <v>215183</v>
      </c>
      <c r="I26" s="2" t="n">
        <v>717</v>
      </c>
      <c r="J26" t="n">
        <v>67</v>
      </c>
      <c r="K26" s="2" t="n">
        <v>316111</v>
      </c>
      <c r="L26" t="inlineStr">
        <is>
          <t>8809469772778</t>
        </is>
      </c>
    </row>
    <row r="27">
      <c r="A27" t="inlineStr">
        <is>
          <t>PETITFEE - Agave Cooling Hydrogel Face Mask [5pcs] / Охлаждающая гидрогелевая маска для лица с экстрактом агавы</t>
        </is>
      </c>
      <c r="B27" t="inlineStr">
        <is>
          <t>забирают частично</t>
        </is>
      </c>
      <c r="C27" t="n">
        <v>2028</v>
      </c>
      <c r="D27" s="2" t="n">
        <v>600</v>
      </c>
      <c r="E27" s="2" t="n">
        <v>200</v>
      </c>
      <c r="F27" s="2" t="n">
        <v>400</v>
      </c>
      <c r="G27" s="2" t="n">
        <v>535.051</v>
      </c>
      <c r="H27" s="2" t="n">
        <v>214020</v>
      </c>
      <c r="I27" s="2" t="inlineStr"/>
      <c r="J27" t="inlineStr"/>
      <c r="K27" s="2" t="inlineStr"/>
      <c r="L27" t="inlineStr">
        <is>
          <t>8809508850443</t>
        </is>
      </c>
    </row>
    <row r="28">
      <c r="A28" t="inlineStr">
        <is>
          <t>FARMSTAY - Gold Snail Premium Cream [50ml] / Омолаживающий крем с муцином улитки и коллоидным золотом</t>
        </is>
      </c>
      <c r="B28" t="inlineStr">
        <is>
          <t>забирают частично</t>
        </is>
      </c>
      <c r="C28" t="n">
        <v>2028</v>
      </c>
      <c r="D28" s="2" t="n">
        <v>900</v>
      </c>
      <c r="E28" s="2" t="n">
        <v>500</v>
      </c>
      <c r="F28" s="2" t="n">
        <v>400</v>
      </c>
      <c r="G28" s="2" t="n">
        <v>474.155</v>
      </c>
      <c r="H28" s="2" t="n">
        <v>189662</v>
      </c>
      <c r="I28" s="2" t="inlineStr"/>
      <c r="J28" t="inlineStr"/>
      <c r="K28" s="2" t="inlineStr"/>
      <c r="L28" t="inlineStr">
        <is>
          <t>8809480770975</t>
        </is>
      </c>
    </row>
    <row r="29">
      <c r="A29" t="inlineStr">
        <is>
          <t>PETITFEE - Gold Hydrogel Mask Pack [5pcs] / Гидрогелевая маска для лица с золотом</t>
        </is>
      </c>
      <c r="B29" t="inlineStr">
        <is>
          <t>забирают частично</t>
        </is>
      </c>
      <c r="C29" t="n">
        <v>2028</v>
      </c>
      <c r="D29" s="2" t="n">
        <v>390</v>
      </c>
      <c r="E29" s="2" t="n">
        <v>100</v>
      </c>
      <c r="F29" s="2" t="n">
        <v>290</v>
      </c>
      <c r="G29" s="2" t="n">
        <v>557.876</v>
      </c>
      <c r="H29" s="2" t="n">
        <v>161784</v>
      </c>
      <c r="I29" s="2" t="inlineStr"/>
      <c r="J29" t="inlineStr"/>
      <c r="K29" s="2" t="inlineStr"/>
      <c r="L29" t="inlineStr">
        <is>
          <t>4626999886126</t>
        </is>
      </c>
    </row>
    <row r="30">
      <c r="A30" t="inlineStr">
        <is>
          <t>FARMSTAY - Escargot Noblesse Intensive Cream [50g] / Крем с муцином королевской улитки</t>
        </is>
      </c>
      <c r="B30" t="inlineStr">
        <is>
          <t>забирают частично</t>
        </is>
      </c>
      <c r="C30" t="n">
        <v>2028</v>
      </c>
      <c r="D30" s="2" t="n">
        <v>860</v>
      </c>
      <c r="E30" s="2" t="n">
        <v>400</v>
      </c>
      <c r="F30" s="2" t="n">
        <v>460</v>
      </c>
      <c r="G30" s="2" t="n">
        <v>345.224</v>
      </c>
      <c r="H30" s="2" t="n">
        <v>158803</v>
      </c>
      <c r="I30" s="2" t="inlineStr"/>
      <c r="J30" t="inlineStr"/>
      <c r="K30" s="2" t="inlineStr"/>
      <c r="L30" t="inlineStr">
        <is>
          <t>8809317289274</t>
        </is>
      </c>
    </row>
    <row r="31">
      <c r="A31" t="inlineStr">
        <is>
          <t>JIGOTT - Daily Real Cica Toner [300ml] / Тонер для лица с центеллой азиатской</t>
        </is>
      </c>
      <c r="B31" t="inlineStr">
        <is>
          <t>забирают частично</t>
        </is>
      </c>
      <c r="C31" t="n">
        <v>2028</v>
      </c>
      <c r="D31" s="2" t="n">
        <v>800</v>
      </c>
      <c r="E31" s="2" t="n">
        <v>300</v>
      </c>
      <c r="F31" s="2" t="n">
        <v>500</v>
      </c>
      <c r="G31" s="2" t="n">
        <v>291.896</v>
      </c>
      <c r="H31" s="2" t="n">
        <v>145948</v>
      </c>
      <c r="I31" s="2" t="n">
        <v>219</v>
      </c>
      <c r="J31" t="n">
        <v>-25</v>
      </c>
      <c r="K31" s="2" t="n">
        <v>96360</v>
      </c>
      <c r="L31" t="inlineStr">
        <is>
          <t>8809541282447</t>
        </is>
      </c>
    </row>
    <row r="32">
      <c r="A32" t="inlineStr">
        <is>
          <t>JIGOTT - Ultimate Real Collagen Toner [300ml] / тонер с коллагеном антивозрастной</t>
        </is>
      </c>
      <c r="B32" t="inlineStr">
        <is>
          <t>забирают частично</t>
        </is>
      </c>
      <c r="C32" t="n">
        <v>2028</v>
      </c>
      <c r="D32" s="2" t="n">
        <v>800</v>
      </c>
      <c r="E32" s="2" t="n">
        <v>300</v>
      </c>
      <c r="F32" s="2" t="n">
        <v>500</v>
      </c>
      <c r="G32" s="2" t="n">
        <v>291.896</v>
      </c>
      <c r="H32" s="2" t="n">
        <v>145948</v>
      </c>
      <c r="I32" s="2" t="n">
        <v>219</v>
      </c>
      <c r="J32" t="n">
        <v>-25</v>
      </c>
      <c r="K32" s="2" t="n">
        <v>96360</v>
      </c>
      <c r="L32" t="inlineStr">
        <is>
          <t>8809541282461</t>
        </is>
      </c>
    </row>
    <row r="33">
      <c r="A33" t="inlineStr">
        <is>
          <t>CELIMAX JI WOO GAE CICA BHA BLEMISH TONER PAD_10EA [30ml]/успокаивающие тонер-пэды</t>
        </is>
      </c>
      <c r="B33" t="inlineStr">
        <is>
          <t>забирают частично</t>
        </is>
      </c>
      <c r="C33" t="n">
        <v>2028</v>
      </c>
      <c r="D33" s="2" t="n">
        <v>1000</v>
      </c>
      <c r="E33" s="2" t="n">
        <v>200</v>
      </c>
      <c r="F33" s="2" t="n">
        <v>800</v>
      </c>
      <c r="G33" s="2" t="n">
        <v>106.634</v>
      </c>
      <c r="H33" s="2" t="n">
        <v>85307</v>
      </c>
      <c r="I33" s="2" t="n">
        <v>125</v>
      </c>
      <c r="J33" t="n">
        <v>17</v>
      </c>
      <c r="K33" s="2" t="n">
        <v>88000</v>
      </c>
      <c r="L33" t="inlineStr">
        <is>
          <t>8809783323519</t>
        </is>
      </c>
    </row>
    <row r="34">
      <c r="A34" t="inlineStr">
        <is>
          <t>JIGOTT - Snail Reparing Cream [100ml] / Крем для лица увлажняющий антивозрастной с муцином улитки</t>
        </is>
      </c>
      <c r="B34" t="inlineStr">
        <is>
          <t>забирают частично</t>
        </is>
      </c>
      <c r="C34" t="n">
        <v>2028</v>
      </c>
      <c r="D34" s="2" t="n">
        <v>500</v>
      </c>
      <c r="E34" s="2" t="n">
        <v>300</v>
      </c>
      <c r="F34" s="2" t="n">
        <v>200</v>
      </c>
      <c r="G34" s="2" t="n">
        <v>204.446</v>
      </c>
      <c r="H34" s="2" t="n">
        <v>40889</v>
      </c>
      <c r="I34" s="2" t="n">
        <v>244</v>
      </c>
      <c r="J34" t="n">
        <v>19</v>
      </c>
      <c r="K34" s="2" t="n">
        <v>42944</v>
      </c>
      <c r="L34" t="inlineStr">
        <is>
          <t>8809210036517</t>
        </is>
      </c>
    </row>
    <row r="35">
      <c r="A35" t="inlineStr">
        <is>
          <t>LEBELAGE - Dr. Peptide Derma Eye Cream [40ml] / Крем для глаз антивозрастной с пептидами</t>
        </is>
      </c>
      <c r="B35" t="inlineStr">
        <is>
          <t>забирают частично</t>
        </is>
      </c>
      <c r="C35" t="inlineStr">
        <is>
          <t>02,2028</t>
        </is>
      </c>
      <c r="D35" s="2" t="n">
        <v>400</v>
      </c>
      <c r="E35" s="2" t="n">
        <v>200</v>
      </c>
      <c r="F35" s="2" t="n">
        <v>200</v>
      </c>
      <c r="G35" s="2" t="n">
        <v>118.965</v>
      </c>
      <c r="H35" s="2" t="n">
        <v>23793</v>
      </c>
      <c r="I35" s="2" t="inlineStr"/>
      <c r="J35" t="inlineStr"/>
      <c r="K35" s="2" t="inlineStr"/>
      <c r="L35" t="inlineStr">
        <is>
          <t>8809445616553</t>
        </is>
      </c>
    </row>
    <row r="36">
      <c r="A36" s="3" t="inlineStr">
        <is>
          <t>ИТОГО</t>
        </is>
      </c>
      <c r="F36" s="4">
        <f>SUM(F2:F35)</f>
        <v/>
      </c>
      <c r="H36" s="4">
        <f>SUM(H2:H35)</f>
        <v/>
      </c>
      <c r="K36" s="4">
        <f>SUM(K2:K35)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</cols>
  <sheetData>
    <row r="1">
      <c r="A1" s="1" t="inlineStr">
        <is>
          <t>Товар</t>
        </is>
      </c>
      <c r="B1" s="1" t="inlineStr">
        <is>
          <t>Статус</t>
        </is>
      </c>
      <c r="C1" s="1" t="inlineStr">
        <is>
          <t>Срок годности</t>
        </is>
      </c>
      <c r="D1" s="1" t="inlineStr">
        <is>
          <t>Всего, шт</t>
        </is>
      </c>
      <c r="E1" s="1" t="inlineStr">
        <is>
          <t>Заберут, шт</t>
        </is>
      </c>
      <c r="F1" s="1" t="inlineStr">
        <is>
          <t>Остаётся, шт</t>
        </is>
      </c>
      <c r="G1" s="1" t="inlineStr">
        <is>
          <t>Себестоимость, руб</t>
        </is>
      </c>
      <c r="H1" s="1" t="inlineStr">
        <is>
          <t>Остаток, руб</t>
        </is>
      </c>
      <c r="I1" s="1" t="inlineStr">
        <is>
          <t>Потолок РФ, руб</t>
        </is>
      </c>
      <c r="J1" s="1" t="inlineStr">
        <is>
          <t>Наценка до потолка, %</t>
        </is>
      </c>
      <c r="K1" s="1" t="inlineStr">
        <is>
          <t>Выручка по потолку, руб</t>
        </is>
      </c>
      <c r="L1" s="1" t="inlineStr">
        <is>
          <t>Штрихкод</t>
        </is>
      </c>
    </row>
    <row r="2">
      <c r="A2" s="3" t="inlineStr">
        <is>
          <t>ИТОГО</t>
        </is>
      </c>
      <c r="F2" s="4">
        <f>SUM(F2:F1)</f>
        <v/>
      </c>
      <c r="H2" s="4">
        <f>SUM(H2:H1)</f>
        <v/>
      </c>
      <c r="K2" s="4">
        <f>SUM(K2:K1)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2026-09-04T15:17:15Z</dcterms:created>
  <dcterms:modified xmlns:dcterms="http://purl.org/dc/terms/" xmlns:xsi="http://www.w3.org/2001/XMLSchema-instance" xsi:type="dcterms:W3CDTF">2026-09-04T15:17:16Z</dcterms:modified>
</cp:coreProperties>
</file>
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Сводка" sheetId="1" state="visible" r:id="rId1"/>
    <sheet name="Решения FBO" sheetId="2" state="visible" r:id="rId2"/>
    <sheet name="Юнитка FBO" sheetId="3" state="visible" r:id="rId3"/>
    <sheet name="Юнитка FB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color theme="1"/>
      <sz val="11"/>
      <scheme val="minor"/>
    </font>
    <font>
      <name val="Calibri"/>
      <b val="1"/>
      <color theme="1"/>
      <sz val="12"/>
    </font>
    <font>
      <name val="Calibri"/>
      <color theme="1"/>
      <sz val="11"/>
    </font>
    <font>
      <name val="Calibri"/>
      <b val="1"/>
      <color theme="1"/>
      <sz val="11"/>
    </font>
    <font>
      <name val="Calibri"/>
      <color theme="1"/>
      <scheme val="minor"/>
    </font>
    <font>
      <name val="Calibri"/>
      <b val="1"/>
      <color rgb="FFFFFFFF"/>
      <sz val="11"/>
    </font>
    <font>
      <name val="Calibri"/>
      <i val="1"/>
      <color theme="1"/>
      <sz val="11"/>
    </font>
    <font>
      <name val="Calibri"/>
      <b val="1"/>
      <color rgb="FF000000"/>
      <sz val="11"/>
    </font>
    <font>
      <name val="Calibri"/>
      <color rgb="FFFF0000"/>
      <sz val="11"/>
    </font>
    <font>
      <b val="1"/>
    </font>
  </fonts>
  <fills count="13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305496"/>
        <bgColor rgb="FF305496"/>
      </patternFill>
    </fill>
    <fill>
      <patternFill patternType="solid">
        <fgColor rgb="FFBDD7EE"/>
        <bgColor rgb="FFBDD7EE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/>
      <top style="thin">
        <color rgb="FFD0D0D0"/>
      </top>
      <bottom style="thin">
        <color rgb="FFD0D0D0"/>
      </bottom>
    </border>
    <border>
      <left style="medium">
        <color rgb="FF00000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medium">
        <color rgb="FF000000"/>
      </right>
      <top style="thin">
        <color rgb="FFD0D0D0"/>
      </top>
      <bottom style="thin">
        <color rgb="FFD0D0D0"/>
      </bottom>
    </border>
    <border>
      <left/>
      <right style="thin">
        <color rgb="FFD0D0D0"/>
      </right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</border>
    <border>
      <left/>
      <right/>
      <top/>
      <bottom/>
    </border>
  </borders>
  <cellStyleXfs count="1">
    <xf numFmtId="0" fontId="0" fillId="0" borderId="0"/>
  </cellStyleXfs>
  <cellXfs count="6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pivotButton="0" quotePrefix="0" xfId="0"/>
    <xf numFmtId="9" fontId="3" fillId="2" borderId="1" pivotButton="0" quotePrefix="0" xfId="0"/>
    <xf numFmtId="164" fontId="3" fillId="2" borderId="1" pivotButton="0" quotePrefix="0" xfId="0"/>
    <xf numFmtId="3" fontId="3" fillId="2" borderId="1" pivotButton="0" quotePrefix="0" xfId="0"/>
    <xf numFmtId="2" fontId="3" fillId="2" borderId="1" pivotButton="0" quotePrefix="0" xfId="0"/>
    <xf numFmtId="0" fontId="4" fillId="0" borderId="0" pivotButton="0" quotePrefix="0" xfId="0"/>
    <xf numFmtId="164" fontId="3" fillId="2" borderId="1" pivotButton="0" quotePrefix="0" xfId="0"/>
    <xf numFmtId="0" fontId="5" fillId="3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0" fontId="3" fillId="4" borderId="0" pivotButton="0" quotePrefix="0" xfId="0"/>
    <xf numFmtId="0" fontId="3" fillId="4" borderId="1" pivotButton="0" quotePrefix="0" xfId="0"/>
    <xf numFmtId="0" fontId="2" fillId="4" borderId="1" pivotButton="0" quotePrefix="0" xfId="0"/>
    <xf numFmtId="0" fontId="3" fillId="4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0" fontId="6" fillId="6" borderId="1" applyAlignment="1" pivotButton="0" quotePrefix="0" xfId="0">
      <alignment horizontal="center"/>
    </xf>
    <xf numFmtId="0" fontId="6" fillId="6" borderId="1" pivotButton="0" quotePrefix="0" xfId="0"/>
    <xf numFmtId="3" fontId="2" fillId="0" borderId="1" pivotButton="0" quotePrefix="0" xfId="0"/>
    <xf numFmtId="3" fontId="3" fillId="7" borderId="1" applyAlignment="1" pivotButton="0" quotePrefix="0" xfId="0">
      <alignment horizontal="center"/>
    </xf>
    <xf numFmtId="3" fontId="7" fillId="7" borderId="1" applyAlignment="1" pivotButton="0" quotePrefix="0" xfId="0">
      <alignment horizontal="center" vertical="bottom"/>
    </xf>
    <xf numFmtId="164" fontId="2" fillId="2" borderId="2" pivotButton="0" quotePrefix="0" xfId="0"/>
    <xf numFmtId="3" fontId="2" fillId="0" borderId="1" pivotButton="0" quotePrefix="0" xfId="0"/>
    <xf numFmtId="3" fontId="2" fillId="0" borderId="3" pivotButton="0" quotePrefix="0" xfId="0"/>
    <xf numFmtId="4" fontId="2" fillId="2" borderId="1" pivotButton="0" quotePrefix="0" xfId="0"/>
    <xf numFmtId="4" fontId="2" fillId="0" borderId="1" pivotButton="0" quotePrefix="0" xfId="0"/>
    <xf numFmtId="4" fontId="2" fillId="0" borderId="4" pivotButton="0" quotePrefix="0" xfId="0"/>
    <xf numFmtId="164" fontId="2" fillId="2" borderId="3" pivotButton="0" quotePrefix="0" xfId="0"/>
    <xf numFmtId="3" fontId="2" fillId="2" borderId="1" pivotButton="0" quotePrefix="0" xfId="0"/>
    <xf numFmtId="164" fontId="2" fillId="2" borderId="1" pivotButton="0" quotePrefix="0" xfId="0"/>
    <xf numFmtId="2" fontId="2" fillId="2" borderId="1" pivotButton="0" quotePrefix="0" xfId="0"/>
    <xf numFmtId="164" fontId="2" fillId="0" borderId="4" pivotButton="0" quotePrefix="0" xfId="0"/>
    <xf numFmtId="3" fontId="2" fillId="0" borderId="6" pivotButton="0" quotePrefix="0" xfId="0"/>
    <xf numFmtId="3" fontId="3" fillId="8" borderId="1" pivotButton="0" quotePrefix="0" xfId="0"/>
    <xf numFmtId="164" fontId="2" fillId="0" borderId="1" pivotButton="0" quotePrefix="0" xfId="0"/>
    <xf numFmtId="164" fontId="3" fillId="8" borderId="1" pivotButton="0" quotePrefix="0" xfId="0"/>
    <xf numFmtId="0" fontId="2" fillId="9" borderId="0" applyAlignment="1" pivotButton="0" quotePrefix="0" xfId="0">
      <alignment wrapText="1"/>
    </xf>
    <xf numFmtId="0" fontId="2" fillId="9" borderId="1" applyAlignment="1" pivotButton="0" quotePrefix="0" xfId="0">
      <alignment wrapText="1"/>
    </xf>
    <xf numFmtId="0" fontId="2" fillId="0" borderId="1" pivotButton="0" quotePrefix="0" xfId="0"/>
    <xf numFmtId="164" fontId="2" fillId="0" borderId="7" pivotButton="0" quotePrefix="0" xfId="0"/>
    <xf numFmtId="164" fontId="2" fillId="0" borderId="3" pivotButton="0" quotePrefix="0" xfId="0"/>
    <xf numFmtId="2" fontId="2" fillId="0" borderId="1" pivotButton="0" quotePrefix="0" xfId="0"/>
    <xf numFmtId="3" fontId="3" fillId="7" borderId="1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6" fillId="10" borderId="1" applyAlignment="1" pivotButton="0" quotePrefix="0" xfId="0">
      <alignment horizontal="center"/>
    </xf>
    <xf numFmtId="3" fontId="3" fillId="11" borderId="1" pivotButton="0" quotePrefix="0" xfId="0"/>
    <xf numFmtId="164" fontId="2" fillId="11" borderId="1" pivotButton="0" quotePrefix="0" xfId="0"/>
    <xf numFmtId="164" fontId="3" fillId="11" borderId="1" pivotButton="0" quotePrefix="0" xfId="0"/>
    <xf numFmtId="3" fontId="2" fillId="0" borderId="8" pivotButton="0" quotePrefix="0" xfId="0"/>
    <xf numFmtId="0" fontId="2" fillId="0" borderId="0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0" borderId="0" pivotButton="0" quotePrefix="0" xfId="0"/>
    <xf numFmtId="0" fontId="2" fillId="12" borderId="0" applyAlignment="1" pivotButton="0" quotePrefix="0" xfId="0">
      <alignment wrapText="1"/>
    </xf>
    <xf numFmtId="0" fontId="2" fillId="12" borderId="1" applyAlignment="1" pivotButton="0" quotePrefix="0" xfId="0">
      <alignment wrapText="1"/>
    </xf>
    <xf numFmtId="0" fontId="6" fillId="12" borderId="1" applyAlignment="1" pivotButton="0" quotePrefix="0" xfId="0">
      <alignment horizontal="center"/>
    </xf>
    <xf numFmtId="0" fontId="6" fillId="6" borderId="9" pivotButton="0" quotePrefix="0" xfId="0"/>
    <xf numFmtId="0" fontId="8" fillId="0" borderId="0" pivotButton="0" quotePrefix="0" xfId="0"/>
    <xf numFmtId="0" fontId="0" fillId="0" borderId="0" pivotButton="0" quotePrefix="0" xfId="0"/>
    <xf numFmtId="0" fontId="9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style="66" min="1" max="1"/>
    <col width="7" customWidth="1" style="66" min="2" max="2"/>
    <col width="70" customWidth="1" style="66" min="3" max="3"/>
    <col width="9" customWidth="1" style="66" min="4" max="4"/>
    <col width="11" customWidth="1" style="66" min="5" max="5"/>
    <col width="13" customWidth="1" style="66" min="6" max="6"/>
    <col width="15" customWidth="1" style="66" min="7" max="7"/>
    <col width="14" customWidth="1" style="66" min="8" max="8"/>
    <col width="22" customWidth="1" style="66" min="9" max="9"/>
    <col width="8" customWidth="1" style="66" min="10" max="10"/>
    <col width="18" customWidth="1" style="66" min="11" max="11"/>
    <col width="12" customWidth="1" style="66" min="12" max="12"/>
    <col width="13" customWidth="1" style="66" min="13" max="13"/>
    <col width="9" customWidth="1" style="66" min="14" max="14"/>
    <col width="16" customWidth="1" style="66" min="15" max="15"/>
    <col width="16" customWidth="1" style="66" min="16" max="16"/>
    <col width="22" customWidth="1" style="66" min="17" max="17"/>
  </cols>
  <sheetData>
    <row r="1">
      <c r="A1" s="67" t="inlineStr">
        <is>
          <t>Вкладка</t>
        </is>
      </c>
      <c r="B1" s="67" t="inlineStr">
        <is>
          <t>Строка</t>
        </is>
      </c>
      <c r="C1" s="67" t="inlineStr">
        <is>
          <t>Товар</t>
        </is>
      </c>
      <c r="D1" s="67" t="inlineStr">
        <is>
          <t>Остаток</t>
        </is>
      </c>
      <c r="E1" s="67" t="inlineStr">
        <is>
          <t>Себест., ₽</t>
        </is>
      </c>
      <c r="F1" s="67" t="inlineStr">
        <is>
          <t>База затрат, ₽</t>
        </is>
      </c>
      <c r="G1" s="67" t="inlineStr">
        <is>
          <t>Цена без СПП, ₽</t>
        </is>
      </c>
      <c r="H1" s="67" t="inlineStr">
        <is>
          <t>Цена с СПП, ₽</t>
        </is>
      </c>
      <c r="I1" s="67" t="inlineStr">
        <is>
          <t>Цена конкурента без СПП, ₽</t>
        </is>
      </c>
      <c r="J1" s="67" t="inlineStr">
        <is>
          <t>ДРР, %</t>
        </is>
      </c>
      <c r="K1" s="67" t="inlineStr">
        <is>
          <t>Маржа до рекламы, ₽</t>
        </is>
      </c>
      <c r="L1" s="67" t="inlineStr">
        <is>
          <t>Маржа/шт, ₽</t>
        </is>
      </c>
      <c r="M1" s="67" t="inlineStr">
        <is>
          <t>Маржа, % цены</t>
        </is>
      </c>
      <c r="N1" s="67" t="inlineStr">
        <is>
          <t>ROI, %</t>
        </is>
      </c>
      <c r="O1" s="67" t="inlineStr">
        <is>
          <t>Цена безубытка, ₽</t>
        </is>
      </c>
      <c r="P1" s="67" t="inlineStr">
        <is>
          <t>Цена под ROI 25%, ₽</t>
        </is>
      </c>
      <c r="Q1" s="67" t="inlineStr">
        <is>
          <t>Источник цены</t>
        </is>
      </c>
    </row>
    <row r="2">
      <c r="A2" t="inlineStr">
        <is>
          <t>FBO</t>
        </is>
      </c>
      <c r="B2" t="n">
        <v>14</v>
      </c>
      <c r="C2" t="inlineStr">
        <is>
          <t>COSRX - Salicylic Acid Daily Gentle Cleanser [150ml] / Пенка с салициловой кислотой для проблемной кожи</t>
        </is>
      </c>
      <c r="D2" t="n">
        <v>412</v>
      </c>
      <c r="E2" t="n">
        <v>343.82</v>
      </c>
      <c r="F2" t="n">
        <v>403.82</v>
      </c>
      <c r="G2" t="n">
        <v>1630</v>
      </c>
      <c r="H2" t="n">
        <v>896.5</v>
      </c>
      <c r="I2" t="n">
        <v>1680</v>
      </c>
      <c r="J2" t="n">
        <v>22</v>
      </c>
      <c r="K2" t="n">
        <v>336.12</v>
      </c>
      <c r="L2" t="n">
        <v>-22.48</v>
      </c>
      <c r="M2" t="n">
        <v>-1.38</v>
      </c>
      <c r="N2" t="n">
        <v>-5.6</v>
      </c>
      <c r="O2" t="n">
        <v>1705.83</v>
      </c>
      <c r="P2" t="n">
        <v>2046.32</v>
      </c>
      <c r="Q2" t="inlineStr">
        <is>
          <t>ручная цена в модели</t>
        </is>
      </c>
    </row>
    <row r="3">
      <c r="A3" t="inlineStr">
        <is>
          <t>FBO</t>
        </is>
      </c>
      <c r="B3" t="n">
        <v>16</v>
      </c>
      <c r="C3" t="inlineStr">
        <is>
          <t>DEOPROCE SHAMPOO - BLACK GARLIC INTENSME ENERGY [600ml] мягкая упаковка Шампунь с черным чесноком против выпадения волос</t>
        </is>
      </c>
      <c r="D3" t="n">
        <v>72</v>
      </c>
      <c r="E3" t="n">
        <v>269.87</v>
      </c>
      <c r="F3" t="n">
        <v>329.87</v>
      </c>
      <c r="G3" t="n">
        <v>1446.61</v>
      </c>
      <c r="H3" t="n">
        <v>795.64</v>
      </c>
      <c r="I3" t="inlineStr"/>
      <c r="J3" t="n">
        <v>15</v>
      </c>
      <c r="K3" t="n">
        <v>299.46</v>
      </c>
      <c r="L3" t="n">
        <v>82.47</v>
      </c>
      <c r="M3" t="n">
        <v>5.7</v>
      </c>
      <c r="N3" t="n">
        <v>25</v>
      </c>
      <c r="O3" t="n">
        <v>1221.6</v>
      </c>
      <c r="P3" t="n">
        <v>1446.61</v>
      </c>
      <c r="Q3" t="inlineStr">
        <is>
          <t>формула: ROI 25%</t>
        </is>
      </c>
    </row>
    <row r="4">
      <c r="A4" t="inlineStr">
        <is>
          <t>FBO</t>
        </is>
      </c>
      <c r="B4" t="n">
        <v>17</v>
      </c>
      <c r="C4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D4" t="n">
        <v>19</v>
      </c>
      <c r="E4" t="n">
        <v>314.85</v>
      </c>
      <c r="F4" t="n">
        <v>374.85</v>
      </c>
      <c r="G4" t="n">
        <v>1600.02</v>
      </c>
      <c r="H4" t="n">
        <v>880.01</v>
      </c>
      <c r="I4" t="inlineStr"/>
      <c r="J4" t="n">
        <v>15</v>
      </c>
      <c r="K4" t="n">
        <v>333.72</v>
      </c>
      <c r="L4" t="n">
        <v>93.70999999999999</v>
      </c>
      <c r="M4" t="n">
        <v>5.86</v>
      </c>
      <c r="N4" t="n">
        <v>25</v>
      </c>
      <c r="O4" t="n">
        <v>1344.33</v>
      </c>
      <c r="P4" t="n">
        <v>1600.02</v>
      </c>
      <c r="Q4" t="inlineStr">
        <is>
          <t>формула: ROI 25%</t>
        </is>
      </c>
    </row>
    <row r="5">
      <c r="A5" t="inlineStr">
        <is>
          <t>FBO</t>
        </is>
      </c>
      <c r="B5" t="n">
        <v>18</v>
      </c>
      <c r="C5" t="inlineStr">
        <is>
          <t>DEOPROCE SHAMPOO - BLACK GARLIC INTENSME ENERGY [200ml]/ Шампунь с черным чесноком против выпадения волос</t>
        </is>
      </c>
      <c r="D5" t="n">
        <v>370</v>
      </c>
      <c r="E5" t="n">
        <v>151.13</v>
      </c>
      <c r="F5" t="n">
        <v>211.13</v>
      </c>
      <c r="G5" t="n">
        <v>900</v>
      </c>
      <c r="H5" t="n">
        <v>495</v>
      </c>
      <c r="I5" t="n">
        <v>980</v>
      </c>
      <c r="J5" t="n">
        <v>15</v>
      </c>
      <c r="K5" t="n">
        <v>151.5</v>
      </c>
      <c r="L5" t="n">
        <v>16.5</v>
      </c>
      <c r="M5" t="n">
        <v>1.83</v>
      </c>
      <c r="N5" t="n">
        <v>7.8</v>
      </c>
      <c r="O5" t="n">
        <v>854.97</v>
      </c>
      <c r="P5" t="n">
        <v>998.99</v>
      </c>
      <c r="Q5" t="inlineStr">
        <is>
          <t>ручная цена в модели</t>
        </is>
      </c>
    </row>
    <row r="6">
      <c r="A6" t="inlineStr">
        <is>
          <t>FBO</t>
        </is>
      </c>
      <c r="B6" t="n">
        <v>20</v>
      </c>
      <c r="C6" t="inlineStr">
        <is>
          <t>DEOPROCE SHAMPOO+BALSAM - BLACK GARLIC[2000ml]</t>
        </is>
      </c>
      <c r="D6" t="n">
        <v>447</v>
      </c>
      <c r="E6" t="n">
        <v>726.85</v>
      </c>
      <c r="F6" t="n">
        <v>786.85</v>
      </c>
      <c r="G6" t="n">
        <v>3033.44</v>
      </c>
      <c r="H6" t="n">
        <v>1668.39</v>
      </c>
      <c r="I6" t="inlineStr"/>
      <c r="J6" t="n">
        <v>15</v>
      </c>
      <c r="K6" t="n">
        <v>651.73</v>
      </c>
      <c r="L6" t="n">
        <v>196.71</v>
      </c>
      <c r="M6" t="n">
        <v>6.48</v>
      </c>
      <c r="N6" t="n">
        <v>25</v>
      </c>
      <c r="O6" t="n">
        <v>2496.7</v>
      </c>
      <c r="P6" t="n">
        <v>3033.44</v>
      </c>
      <c r="Q6" t="inlineStr">
        <is>
          <t>формула: ROI 25%</t>
        </is>
      </c>
    </row>
    <row r="7">
      <c r="A7" t="inlineStr">
        <is>
          <t>FBO</t>
        </is>
      </c>
      <c r="B7" t="n">
        <v>22</v>
      </c>
      <c r="C7" t="inlineStr">
        <is>
          <t>DR. JART - Ctrl+A Teatreatment Toner [120ml] / Тонер тоник для лица увлажняющий с чайным деревом</t>
        </is>
      </c>
      <c r="D7" t="n">
        <v>180</v>
      </c>
      <c r="E7" t="n">
        <v>637.89</v>
      </c>
      <c r="F7" t="n">
        <v>697.89</v>
      </c>
      <c r="G7" t="n">
        <v>2642.21</v>
      </c>
      <c r="H7" t="n">
        <v>1453.21</v>
      </c>
      <c r="I7" t="inlineStr"/>
      <c r="J7" t="n">
        <v>15</v>
      </c>
      <c r="K7" t="n">
        <v>570.8</v>
      </c>
      <c r="L7" t="n">
        <v>174.47</v>
      </c>
      <c r="M7" t="n">
        <v>6.6</v>
      </c>
      <c r="N7" t="n">
        <v>25</v>
      </c>
      <c r="O7" t="n">
        <v>2166.16</v>
      </c>
      <c r="P7" t="n">
        <v>2642.21</v>
      </c>
      <c r="Q7" t="inlineStr">
        <is>
          <t>формула: ROI 25%</t>
        </is>
      </c>
    </row>
    <row r="8">
      <c r="A8" t="inlineStr">
        <is>
          <t>FBO</t>
        </is>
      </c>
      <c r="B8" t="n">
        <v>24</v>
      </c>
      <c r="C8" t="inlineStr">
        <is>
          <t>EKEL - Ampule Сream Сollagen [70ml] / Крем для лица ампульный с коллагеном</t>
        </is>
      </c>
      <c r="D8" t="n">
        <v>50</v>
      </c>
      <c r="E8" t="n">
        <v>142.13</v>
      </c>
      <c r="F8" t="n">
        <v>202.13</v>
      </c>
      <c r="G8" t="n">
        <v>964.63</v>
      </c>
      <c r="H8" t="n">
        <v>530.54</v>
      </c>
      <c r="I8" t="n">
        <v>1280</v>
      </c>
      <c r="J8" t="n">
        <v>15</v>
      </c>
      <c r="K8" t="n">
        <v>195.23</v>
      </c>
      <c r="L8" t="n">
        <v>50.53</v>
      </c>
      <c r="M8" t="n">
        <v>5.24</v>
      </c>
      <c r="N8" t="n">
        <v>25</v>
      </c>
      <c r="O8" t="n">
        <v>826.75</v>
      </c>
      <c r="P8" t="n">
        <v>964.63</v>
      </c>
      <c r="Q8" t="inlineStr">
        <is>
          <t>формула: ROI 25%</t>
        </is>
      </c>
    </row>
    <row r="9">
      <c r="A9" t="inlineStr">
        <is>
          <t>FBO</t>
        </is>
      </c>
      <c r="B9" t="n">
        <v>26</v>
      </c>
      <c r="C9" t="inlineStr">
        <is>
          <t>ELIZAVECCA - CER-100 Collagen Ceramide Coating Protein Treatment [100ml] / Коллагеновая маска для волос</t>
        </is>
      </c>
      <c r="D9" t="n">
        <v>453</v>
      </c>
      <c r="E9" t="n">
        <v>242.23</v>
      </c>
      <c r="F9" t="n">
        <v>302.23</v>
      </c>
      <c r="G9" t="n">
        <v>1306.6</v>
      </c>
      <c r="H9" t="n">
        <v>718.63</v>
      </c>
      <c r="I9" t="n">
        <v>1315</v>
      </c>
      <c r="J9" t="n">
        <v>15</v>
      </c>
      <c r="K9" t="n">
        <v>271.55</v>
      </c>
      <c r="L9" t="n">
        <v>75.56</v>
      </c>
      <c r="M9" t="n">
        <v>5.78</v>
      </c>
      <c r="N9" t="n">
        <v>25</v>
      </c>
      <c r="O9" t="n">
        <v>1100.44</v>
      </c>
      <c r="P9" t="n">
        <v>1306.6</v>
      </c>
      <c r="Q9" t="inlineStr">
        <is>
          <t>формула: ROI 25%</t>
        </is>
      </c>
    </row>
    <row r="10">
      <c r="A10" t="inlineStr">
        <is>
          <t>FBO</t>
        </is>
      </c>
      <c r="B10" t="n">
        <v>27</v>
      </c>
      <c r="C10" t="inlineStr">
        <is>
          <t>ELIZAVECCA - Hell-Pore Galactomyces Pure Ample / Сыворотка для лица с экстрактом галактомисиса</t>
        </is>
      </c>
      <c r="D10" t="n">
        <v>50</v>
      </c>
      <c r="E10" t="n">
        <v>447.64</v>
      </c>
      <c r="F10" t="n">
        <v>507.64</v>
      </c>
      <c r="G10" t="n">
        <v>1992.91</v>
      </c>
      <c r="H10" t="n">
        <v>1096.1</v>
      </c>
      <c r="I10" t="inlineStr"/>
      <c r="J10" t="n">
        <v>15</v>
      </c>
      <c r="K10" t="n">
        <v>425.85</v>
      </c>
      <c r="L10" t="n">
        <v>126.91</v>
      </c>
      <c r="M10" t="n">
        <v>6.37</v>
      </c>
      <c r="N10" t="n">
        <v>25</v>
      </c>
      <c r="O10" t="n">
        <v>1646.64</v>
      </c>
      <c r="P10" t="n">
        <v>1992.91</v>
      </c>
      <c r="Q10" t="inlineStr">
        <is>
          <t>формула: ROI 25%</t>
        </is>
      </c>
    </row>
    <row r="11">
      <c r="A11" t="inlineStr">
        <is>
          <t>FBO</t>
        </is>
      </c>
      <c r="B11" t="n">
        <v>28</v>
      </c>
      <c r="C11" t="inlineStr">
        <is>
          <t>ELIZAVECCA - Milky Piggy EGF elastic retinol [100ml] / Антивозрастной крем для лица с ретинолом и EGF</t>
        </is>
      </c>
      <c r="D11" t="n">
        <v>235</v>
      </c>
      <c r="E11" t="n">
        <v>602.1799999999999</v>
      </c>
      <c r="F11" t="n">
        <v>662.1799999999999</v>
      </c>
      <c r="G11" t="n">
        <v>1790</v>
      </c>
      <c r="H11" t="n">
        <v>984.5</v>
      </c>
      <c r="I11" t="n">
        <v>1841</v>
      </c>
      <c r="J11" t="n">
        <v>15</v>
      </c>
      <c r="K11" t="n">
        <v>160.65</v>
      </c>
      <c r="L11" t="n">
        <v>-107.85</v>
      </c>
      <c r="M11" t="n">
        <v>-6.02</v>
      </c>
      <c r="N11" t="n">
        <v>-16.3</v>
      </c>
      <c r="O11" t="n">
        <v>2084.26</v>
      </c>
      <c r="P11" t="n">
        <v>2535.95</v>
      </c>
      <c r="Q11" t="inlineStr">
        <is>
          <t>ручная цена в модели</t>
        </is>
      </c>
    </row>
    <row r="12">
      <c r="A12" t="inlineStr">
        <is>
          <t>FBO</t>
        </is>
      </c>
      <c r="B12" t="n">
        <v>30</v>
      </c>
      <c r="C12" t="inlineStr">
        <is>
          <t>ENOUGH - Collagen Moisture Essential Cream [50ml] / Увлажняющий крем для лица с коллагеном</t>
        </is>
      </c>
      <c r="D12" t="n">
        <v>8266</v>
      </c>
      <c r="E12" t="n">
        <v>161.3</v>
      </c>
      <c r="F12" t="n">
        <v>221.3</v>
      </c>
      <c r="G12" t="n">
        <v>750</v>
      </c>
      <c r="H12" t="n">
        <v>412.5</v>
      </c>
      <c r="I12" t="n">
        <v>424</v>
      </c>
      <c r="J12" t="n">
        <v>15</v>
      </c>
      <c r="K12" t="n">
        <v>63.65</v>
      </c>
      <c r="L12" t="n">
        <v>-48.85</v>
      </c>
      <c r="M12" t="n">
        <v>-6.51</v>
      </c>
      <c r="N12" t="n">
        <v>-22.1</v>
      </c>
      <c r="O12" t="n">
        <v>883.29</v>
      </c>
      <c r="P12" t="n">
        <v>1034.24</v>
      </c>
      <c r="Q12" t="inlineStr">
        <is>
          <t>ручная цена в модели</t>
        </is>
      </c>
    </row>
    <row r="13">
      <c r="A13" t="inlineStr">
        <is>
          <t>FBO</t>
        </is>
      </c>
      <c r="B13" t="n">
        <v>31</v>
      </c>
      <c r="C13" t="inlineStr">
        <is>
          <t>ENOUGH - Collagen Whitening Moisture Cream 3in1 [50g] / Антивозрастной отбеливающий крем с коллагеном</t>
        </is>
      </c>
      <c r="D13" t="n">
        <v>761</v>
      </c>
      <c r="E13" t="n">
        <v>183.88</v>
      </c>
      <c r="F13" t="n">
        <v>243.88</v>
      </c>
      <c r="G13" t="n">
        <v>1111.25</v>
      </c>
      <c r="H13" t="n">
        <v>611.1900000000001</v>
      </c>
      <c r="I13" t="n">
        <v>827</v>
      </c>
      <c r="J13" t="n">
        <v>15</v>
      </c>
      <c r="K13" t="n">
        <v>227.66</v>
      </c>
      <c r="L13" t="n">
        <v>60.97</v>
      </c>
      <c r="M13" t="n">
        <v>5.49</v>
      </c>
      <c r="N13" t="n">
        <v>25</v>
      </c>
      <c r="O13" t="n">
        <v>944.9</v>
      </c>
      <c r="P13" t="n">
        <v>1111.25</v>
      </c>
      <c r="Q13" t="inlineStr">
        <is>
          <t>формула: ROI 25%</t>
        </is>
      </c>
    </row>
    <row r="14">
      <c r="A14" t="inlineStr">
        <is>
          <t>FBO</t>
        </is>
      </c>
      <c r="B14" t="n">
        <v>32</v>
      </c>
      <c r="C14" t="inlineStr">
        <is>
          <t>ENOUGH - Collagen Moisture Foundation [Tone 13] / Тональный крем для лица с коллагеном 13 тон</t>
        </is>
      </c>
      <c r="D14" t="n">
        <v>1089</v>
      </c>
      <c r="E14" t="n">
        <v>216.45</v>
      </c>
      <c r="F14" t="n">
        <v>276.45</v>
      </c>
      <c r="G14" t="n">
        <v>1800</v>
      </c>
      <c r="H14" t="n">
        <v>990</v>
      </c>
      <c r="I14" t="n">
        <v>1980</v>
      </c>
      <c r="J14" t="n">
        <v>15</v>
      </c>
      <c r="K14" t="n">
        <v>552.48</v>
      </c>
      <c r="L14" t="n">
        <v>282.48</v>
      </c>
      <c r="M14" t="n">
        <v>15.69</v>
      </c>
      <c r="N14" t="n">
        <v>102.2</v>
      </c>
      <c r="O14" t="n">
        <v>1029.25</v>
      </c>
      <c r="P14" t="n">
        <v>1217.82</v>
      </c>
      <c r="Q14" t="inlineStr">
        <is>
          <t>ручная цена в модели</t>
        </is>
      </c>
    </row>
    <row r="15">
      <c r="A15" t="inlineStr">
        <is>
          <t>FBO</t>
        </is>
      </c>
      <c r="B15" t="n">
        <v>33</v>
      </c>
      <c r="C15" t="inlineStr">
        <is>
          <t>ENOUGH - Collagen Moisture Foundation [Tone 21] / Тональный крем для лица с коллагеном 21 тон</t>
        </is>
      </c>
      <c r="D15" t="n">
        <v>2275</v>
      </c>
      <c r="E15" t="n">
        <v>242.88</v>
      </c>
      <c r="F15" t="n">
        <v>302.88</v>
      </c>
      <c r="G15" t="n">
        <v>1800</v>
      </c>
      <c r="H15" t="n">
        <v>990</v>
      </c>
      <c r="I15" t="n">
        <v>1910</v>
      </c>
      <c r="J15" t="n">
        <v>15</v>
      </c>
      <c r="K15" t="n">
        <v>526.05</v>
      </c>
      <c r="L15" t="n">
        <v>256.05</v>
      </c>
      <c r="M15" t="n">
        <v>14.23</v>
      </c>
      <c r="N15" t="n">
        <v>84.5</v>
      </c>
      <c r="O15" t="n">
        <v>1101.36</v>
      </c>
      <c r="P15" t="n">
        <v>1307.97</v>
      </c>
      <c r="Q15" t="inlineStr">
        <is>
          <t>ручная цена в модели</t>
        </is>
      </c>
    </row>
    <row r="16">
      <c r="A16" t="inlineStr">
        <is>
          <t>FBO</t>
        </is>
      </c>
      <c r="B16" t="n">
        <v>34</v>
      </c>
      <c r="C16" t="inlineStr">
        <is>
          <t>ENOUGH - Gold Snail Moisture Foundation [Tone 13] / Тональный крем с муцином улитки 13 тон</t>
        </is>
      </c>
      <c r="D16" t="n">
        <v>95</v>
      </c>
      <c r="E16" t="n">
        <v>245.65</v>
      </c>
      <c r="F16" t="n">
        <v>305.65</v>
      </c>
      <c r="G16" t="n">
        <v>1356</v>
      </c>
      <c r="H16" t="n">
        <v>745.8</v>
      </c>
      <c r="I16" t="n">
        <v>1456</v>
      </c>
      <c r="J16" t="n">
        <v>15</v>
      </c>
      <c r="K16" t="n">
        <v>293.95</v>
      </c>
      <c r="L16" t="n">
        <v>90.55</v>
      </c>
      <c r="M16" t="n">
        <v>6.68</v>
      </c>
      <c r="N16" t="n">
        <v>29.6</v>
      </c>
      <c r="O16" t="n">
        <v>1108.92</v>
      </c>
      <c r="P16" t="n">
        <v>1317.41</v>
      </c>
      <c r="Q16" t="inlineStr">
        <is>
          <t>ручная цена в модели</t>
        </is>
      </c>
    </row>
    <row r="17">
      <c r="A17" t="inlineStr">
        <is>
          <t>FBO</t>
        </is>
      </c>
      <c r="B17" t="n">
        <v>35</v>
      </c>
      <c r="C17" t="inlineStr">
        <is>
          <t>ENOUGH - Gold Snail Moisture Foundation [Tone 21] / Тональный крем с муцином улитки 21 тон</t>
        </is>
      </c>
      <c r="D17" t="n">
        <v>101</v>
      </c>
      <c r="E17" t="n">
        <v>270.81</v>
      </c>
      <c r="F17" t="n">
        <v>330.81</v>
      </c>
      <c r="G17" t="n">
        <v>1280</v>
      </c>
      <c r="H17" t="n">
        <v>704</v>
      </c>
      <c r="I17" t="n">
        <v>1345</v>
      </c>
      <c r="J17" t="n">
        <v>15</v>
      </c>
      <c r="K17" t="n">
        <v>229.54</v>
      </c>
      <c r="L17" t="n">
        <v>37.54</v>
      </c>
      <c r="M17" t="n">
        <v>2.93</v>
      </c>
      <c r="N17" t="n">
        <v>11.3</v>
      </c>
      <c r="O17" t="n">
        <v>1177.57</v>
      </c>
      <c r="P17" t="n">
        <v>1403.22</v>
      </c>
      <c r="Q17" t="inlineStr">
        <is>
          <t>ручная цена в модели</t>
        </is>
      </c>
    </row>
    <row r="18">
      <c r="A18" t="inlineStr">
        <is>
          <t>FBO</t>
        </is>
      </c>
      <c r="B18" t="n">
        <v>36</v>
      </c>
      <c r="C18" t="inlineStr">
        <is>
          <t>ENOUGH - Collagen 3in1 Whitening Moisture Foundation [Tone 13] / Тональный крем для лица с коллагеном 3в1 [13 тон]</t>
        </is>
      </c>
      <c r="D18" t="n">
        <v>247</v>
      </c>
      <c r="E18" t="n">
        <v>238.13</v>
      </c>
      <c r="F18" t="n">
        <v>298.13</v>
      </c>
      <c r="G18" t="n">
        <v>1600</v>
      </c>
      <c r="H18" t="n">
        <v>880</v>
      </c>
      <c r="I18" t="n">
        <v>1732</v>
      </c>
      <c r="J18" t="n">
        <v>15</v>
      </c>
      <c r="K18" t="n">
        <v>427.5</v>
      </c>
      <c r="L18" t="n">
        <v>187.5</v>
      </c>
      <c r="M18" t="n">
        <v>11.72</v>
      </c>
      <c r="N18" t="n">
        <v>62.9</v>
      </c>
      <c r="O18" t="n">
        <v>1088.4</v>
      </c>
      <c r="P18" t="n">
        <v>1291.76</v>
      </c>
      <c r="Q18" t="inlineStr">
        <is>
          <t>ручная цена в модели</t>
        </is>
      </c>
    </row>
    <row r="19">
      <c r="A19" t="inlineStr">
        <is>
          <t>FBO</t>
        </is>
      </c>
      <c r="B19" t="n">
        <v>37</v>
      </c>
      <c r="C19" t="inlineStr">
        <is>
          <t>ENOUGH - Collagen 3in1 Whitening Moisture Foundation [Tone 21] / Тональный крем для лица с коллагеном 3в1 [21 тон]</t>
        </is>
      </c>
      <c r="D19" t="n">
        <v>78</v>
      </c>
      <c r="E19" t="n">
        <v>223.35</v>
      </c>
      <c r="F19" t="n">
        <v>283.35</v>
      </c>
      <c r="G19" t="n">
        <v>1000</v>
      </c>
      <c r="H19" t="n">
        <v>550</v>
      </c>
      <c r="I19" t="n">
        <v>1038</v>
      </c>
      <c r="J19" t="n">
        <v>15</v>
      </c>
      <c r="K19" t="n">
        <v>132.38</v>
      </c>
      <c r="L19" t="n">
        <v>-17.62</v>
      </c>
      <c r="M19" t="n">
        <v>-1.76</v>
      </c>
      <c r="N19" t="n">
        <v>-6.2</v>
      </c>
      <c r="O19" t="n">
        <v>1048.07</v>
      </c>
      <c r="P19" t="n">
        <v>1241.36</v>
      </c>
      <c r="Q19" t="inlineStr">
        <is>
          <t>ручная цена в модели</t>
        </is>
      </c>
    </row>
    <row r="20">
      <c r="A20" t="inlineStr">
        <is>
          <t>FBO</t>
        </is>
      </c>
      <c r="B20" t="n">
        <v>38</v>
      </c>
      <c r="C20" t="inlineStr">
        <is>
          <t>ENOUGH - Premium 8 Peptide Full Cover Perfect Foundation [Tone 13] / Тональный крем с пептидами 13 тон</t>
        </is>
      </c>
      <c r="D20" t="n">
        <v>463</v>
      </c>
      <c r="E20" t="n">
        <v>335.9</v>
      </c>
      <c r="F20" t="n">
        <v>395.9</v>
      </c>
      <c r="G20" t="n">
        <v>1290</v>
      </c>
      <c r="H20" t="n">
        <v>709.5</v>
      </c>
      <c r="I20" t="n">
        <v>1330</v>
      </c>
      <c r="J20" t="n">
        <v>15</v>
      </c>
      <c r="K20" t="n">
        <v>169.62</v>
      </c>
      <c r="L20" t="n">
        <v>-23.88</v>
      </c>
      <c r="M20" t="n">
        <v>-1.85</v>
      </c>
      <c r="N20" t="n">
        <v>-6</v>
      </c>
      <c r="O20" t="n">
        <v>1355.17</v>
      </c>
      <c r="P20" t="n">
        <v>1625.22</v>
      </c>
      <c r="Q20" t="inlineStr">
        <is>
          <t>ручная цена в модели</t>
        </is>
      </c>
    </row>
    <row r="21">
      <c r="A21" t="inlineStr">
        <is>
          <t>FBO</t>
        </is>
      </c>
      <c r="B21" t="n">
        <v>39</v>
      </c>
      <c r="C21" t="inlineStr">
        <is>
          <t>ENOUGH - Premium 8 Peptide Full Cover Perfect Foundation [Tone 21] / Тональный крем с пептидами 21 тон</t>
        </is>
      </c>
      <c r="D21" t="n">
        <v>208</v>
      </c>
      <c r="E21" t="n">
        <v>304.77</v>
      </c>
      <c r="F21" t="n">
        <v>364.77</v>
      </c>
      <c r="G21" t="n">
        <v>1519.05</v>
      </c>
      <c r="H21" t="n">
        <v>835.48</v>
      </c>
      <c r="I21" t="n">
        <v>1330</v>
      </c>
      <c r="J21" t="n">
        <v>15</v>
      </c>
      <c r="K21" t="n">
        <v>319.05</v>
      </c>
      <c r="L21" t="n">
        <v>91.19</v>
      </c>
      <c r="M21" t="n">
        <v>6</v>
      </c>
      <c r="N21" t="n">
        <v>25</v>
      </c>
      <c r="O21" t="n">
        <v>1270.23</v>
      </c>
      <c r="P21" t="n">
        <v>1519.05</v>
      </c>
      <c r="Q21" t="inlineStr">
        <is>
          <t>формула: ROI 25%</t>
        </is>
      </c>
    </row>
    <row r="22">
      <c r="A22" t="inlineStr">
        <is>
          <t>FBO</t>
        </is>
      </c>
      <c r="B22" t="n">
        <v>40</v>
      </c>
      <c r="C22" t="inlineStr">
        <is>
          <t>ENOUGH Collagen whitening cover tip concealer #01 [9g]/Консилер для лица (основная карточка) 4.5 рейтинг</t>
        </is>
      </c>
      <c r="D22" t="n">
        <v>593</v>
      </c>
      <c r="E22" t="n">
        <v>183.24</v>
      </c>
      <c r="F22" t="n">
        <v>243.24</v>
      </c>
      <c r="G22" t="n">
        <v>1068.43</v>
      </c>
      <c r="H22" t="n">
        <v>587.64</v>
      </c>
      <c r="I22" t="inlineStr"/>
      <c r="J22" t="n">
        <v>15</v>
      </c>
      <c r="K22" t="n">
        <v>221.08</v>
      </c>
      <c r="L22" t="n">
        <v>60.81</v>
      </c>
      <c r="M22" t="n">
        <v>5.69</v>
      </c>
      <c r="N22" t="n">
        <v>25</v>
      </c>
      <c r="O22" t="n">
        <v>902.51</v>
      </c>
      <c r="P22" t="n">
        <v>1068.43</v>
      </c>
      <c r="Q22" t="inlineStr">
        <is>
          <t>формула: ROI 25%</t>
        </is>
      </c>
    </row>
    <row r="23">
      <c r="A23" t="inlineStr">
        <is>
          <t>FBO</t>
        </is>
      </c>
      <c r="B23" t="n">
        <v>41</v>
      </c>
      <c r="C23" t="inlineStr">
        <is>
          <t>ENOUGH Collagen whitening cover tip concealer #02 [9g]/Консилер для лица (основная карточка)</t>
        </is>
      </c>
      <c r="D23" t="n">
        <v>757</v>
      </c>
      <c r="E23" t="n">
        <v>183.24</v>
      </c>
      <c r="F23" t="n">
        <v>243.24</v>
      </c>
      <c r="G23" t="n">
        <v>1068.43</v>
      </c>
      <c r="H23" t="n">
        <v>587.64</v>
      </c>
      <c r="I23" t="inlineStr"/>
      <c r="J23" t="n">
        <v>15</v>
      </c>
      <c r="K23" t="n">
        <v>221.08</v>
      </c>
      <c r="L23" t="n">
        <v>60.81</v>
      </c>
      <c r="M23" t="n">
        <v>5.69</v>
      </c>
      <c r="N23" t="n">
        <v>25</v>
      </c>
      <c r="O23" t="n">
        <v>902.51</v>
      </c>
      <c r="P23" t="n">
        <v>1068.43</v>
      </c>
      <c r="Q23" t="inlineStr">
        <is>
          <t>формула: ROI 25%</t>
        </is>
      </c>
    </row>
    <row r="24">
      <c r="A24" t="inlineStr">
        <is>
          <t>FBO</t>
        </is>
      </c>
      <c r="B24" t="n">
        <v>42</v>
      </c>
      <c r="C24" t="inlineStr">
        <is>
          <t>ENOUGH Collagen whitening cover tip concealer #03 [9g]/ Консилер для лица (основаная карточка)</t>
        </is>
      </c>
      <c r="D24" t="n">
        <v>810</v>
      </c>
      <c r="E24" t="n">
        <v>183.24</v>
      </c>
      <c r="F24" t="n">
        <v>243.24</v>
      </c>
      <c r="G24" t="n">
        <v>1068.43</v>
      </c>
      <c r="H24" t="n">
        <v>587.64</v>
      </c>
      <c r="I24" t="inlineStr"/>
      <c r="J24" t="n">
        <v>15</v>
      </c>
      <c r="K24" t="n">
        <v>221.08</v>
      </c>
      <c r="L24" t="n">
        <v>60.81</v>
      </c>
      <c r="M24" t="n">
        <v>5.69</v>
      </c>
      <c r="N24" t="n">
        <v>25</v>
      </c>
      <c r="O24" t="n">
        <v>902.51</v>
      </c>
      <c r="P24" t="n">
        <v>1068.43</v>
      </c>
      <c r="Q24" t="inlineStr">
        <is>
          <t>формула: ROI 25%</t>
        </is>
      </c>
    </row>
    <row r="25">
      <c r="A25" t="inlineStr">
        <is>
          <t>FBO</t>
        </is>
      </c>
      <c r="B25" t="n">
        <v>43</v>
      </c>
      <c r="C25" t="inlineStr">
        <is>
          <t>ENOUGH - Collagen Moisture BB Cream SPF47 PA+++ [50ml] / Увлажняющий BB крем с коллагеном</t>
        </is>
      </c>
      <c r="D25" t="n">
        <v>722</v>
      </c>
      <c r="E25" t="n">
        <v>189.27</v>
      </c>
      <c r="F25" t="n">
        <v>249.27</v>
      </c>
      <c r="G25" t="n">
        <v>1111.42</v>
      </c>
      <c r="H25" t="n">
        <v>611.28</v>
      </c>
      <c r="I25" t="inlineStr"/>
      <c r="J25" t="n">
        <v>15</v>
      </c>
      <c r="K25" t="n">
        <v>229.03</v>
      </c>
      <c r="L25" t="n">
        <v>62.32</v>
      </c>
      <c r="M25" t="n">
        <v>5.61</v>
      </c>
      <c r="N25" t="n">
        <v>25</v>
      </c>
      <c r="O25" t="n">
        <v>941.39</v>
      </c>
      <c r="P25" t="n">
        <v>1111.42</v>
      </c>
      <c r="Q25" t="inlineStr">
        <is>
          <t>формула: ROI 25%</t>
        </is>
      </c>
    </row>
    <row r="26">
      <c r="A26" t="inlineStr">
        <is>
          <t>FBO</t>
        </is>
      </c>
      <c r="B26" t="n">
        <v>45</v>
      </c>
      <c r="C26" t="inlineStr">
        <is>
          <t>ETUDE - Baking Powder Crunch Pore Scrub [200ml] / Очищающий скраб для лица с содой</t>
        </is>
      </c>
      <c r="D26" t="n">
        <v>7910</v>
      </c>
      <c r="E26" t="n">
        <v>361.03</v>
      </c>
      <c r="F26" t="n">
        <v>421.03</v>
      </c>
      <c r="G26" t="n">
        <v>1650</v>
      </c>
      <c r="H26" t="n">
        <v>907.5</v>
      </c>
      <c r="I26" t="n">
        <v>1730</v>
      </c>
      <c r="J26" t="n">
        <v>10</v>
      </c>
      <c r="K26" t="n">
        <v>329.6</v>
      </c>
      <c r="L26" t="n">
        <v>164.6</v>
      </c>
      <c r="M26" t="n">
        <v>9.98</v>
      </c>
      <c r="N26" t="n">
        <v>39.1</v>
      </c>
      <c r="O26" t="n">
        <v>1254.81</v>
      </c>
      <c r="P26" t="n">
        <v>1507.53</v>
      </c>
      <c r="Q26" t="inlineStr">
        <is>
          <t>ручная цена в модели</t>
        </is>
      </c>
    </row>
    <row r="27">
      <c r="A27" t="inlineStr">
        <is>
          <t>FBO</t>
        </is>
      </c>
      <c r="B27" t="n">
        <v>46</v>
      </c>
      <c r="C27" t="inlineStr">
        <is>
          <t>ETUDE - Baking Powder BB Deep Cleansing Foam [160ml] / Пенка с содой для глубокого очищения и снятия макияжа</t>
        </is>
      </c>
      <c r="D27" t="n">
        <v>228</v>
      </c>
      <c r="E27" t="n">
        <v>292.89</v>
      </c>
      <c r="F27" t="n">
        <v>352.89</v>
      </c>
      <c r="G27" t="n">
        <v>1770</v>
      </c>
      <c r="H27" t="n">
        <v>973.5</v>
      </c>
      <c r="I27" t="n">
        <v>1870</v>
      </c>
      <c r="J27" t="n">
        <v>12</v>
      </c>
      <c r="K27" t="n">
        <v>459.72</v>
      </c>
      <c r="L27" t="n">
        <v>247.32</v>
      </c>
      <c r="M27" t="n">
        <v>13.97</v>
      </c>
      <c r="N27" t="n">
        <v>70.09999999999999</v>
      </c>
      <c r="O27" t="n">
        <v>1146.25</v>
      </c>
      <c r="P27" t="n">
        <v>1368.75</v>
      </c>
      <c r="Q27" t="inlineStr">
        <is>
          <t>ручная цена в модели</t>
        </is>
      </c>
    </row>
    <row r="28">
      <c r="A28" t="inlineStr">
        <is>
          <t>FBO</t>
        </is>
      </c>
      <c r="B28" t="n">
        <v>47</v>
      </c>
      <c r="C28" t="inlineStr">
        <is>
          <t>ETUDE - Baking Powder Crunch Pore Scrub [24*7ml] / Очищающий скраб для лица с содой</t>
        </is>
      </c>
      <c r="D28" t="n">
        <v>221</v>
      </c>
      <c r="E28" t="n">
        <v>389.99</v>
      </c>
      <c r="F28" t="n">
        <v>449.99</v>
      </c>
      <c r="G28" t="n">
        <v>1835</v>
      </c>
      <c r="H28" t="n">
        <v>1009.25</v>
      </c>
      <c r="I28" t="n">
        <v>1900</v>
      </c>
      <c r="J28" t="n">
        <v>15</v>
      </c>
      <c r="K28" t="n">
        <v>387.64</v>
      </c>
      <c r="L28" t="n">
        <v>112.39</v>
      </c>
      <c r="M28" t="n">
        <v>6.12</v>
      </c>
      <c r="N28" t="n">
        <v>25</v>
      </c>
      <c r="O28" t="n">
        <v>1528.35</v>
      </c>
      <c r="P28" t="n">
        <v>1835.3</v>
      </c>
      <c r="Q28" t="inlineStr">
        <is>
          <t>ручная цена в модели</t>
        </is>
      </c>
    </row>
    <row r="29">
      <c r="A29" t="inlineStr">
        <is>
          <t>FBO</t>
        </is>
      </c>
      <c r="B29" t="n">
        <v>49</v>
      </c>
      <c r="C29" t="inlineStr">
        <is>
          <t>FARMSTAY COLLAGEN&amp;HYALURONIC ACID ALL-IN ONE</t>
        </is>
      </c>
      <c r="D29" t="n">
        <v>6611</v>
      </c>
      <c r="E29" t="n">
        <v>347.76</v>
      </c>
      <c r="F29" t="n">
        <v>407.76</v>
      </c>
      <c r="G29" t="n">
        <v>3500</v>
      </c>
      <c r="H29" t="n">
        <v>1925</v>
      </c>
      <c r="I29" t="n">
        <v>3850</v>
      </c>
      <c r="J29" t="n">
        <v>15</v>
      </c>
      <c r="K29" t="n">
        <v>1296.99</v>
      </c>
      <c r="L29" t="n">
        <v>771.99</v>
      </c>
      <c r="M29" t="n">
        <v>22.06</v>
      </c>
      <c r="N29" t="n">
        <v>189.3</v>
      </c>
      <c r="O29" t="n">
        <v>1393.63</v>
      </c>
      <c r="P29" t="n">
        <v>1671.77</v>
      </c>
      <c r="Q29" t="inlineStr">
        <is>
          <t>ручная цена в модели</t>
        </is>
      </c>
    </row>
    <row r="30">
      <c r="A30" t="inlineStr">
        <is>
          <t>FBO</t>
        </is>
      </c>
      <c r="B30" t="n">
        <v>50</v>
      </c>
      <c r="C30" t="inlineStr">
        <is>
          <t>FARMSTAY - Black Garlic Nourishing Shampoo [530ml] / Шампунь-кондиционер 2в1 с экстрактом черного чеснока</t>
        </is>
      </c>
      <c r="D30" t="n">
        <v>3360</v>
      </c>
      <c r="E30" t="n">
        <v>396.72</v>
      </c>
      <c r="F30" t="n">
        <v>456.72</v>
      </c>
      <c r="G30" t="n">
        <v>1850</v>
      </c>
      <c r="H30" t="n">
        <v>1017.5</v>
      </c>
      <c r="I30" t="n">
        <v>2156</v>
      </c>
      <c r="J30" t="n">
        <v>15</v>
      </c>
      <c r="K30" t="n">
        <v>381.53</v>
      </c>
      <c r="L30" t="n">
        <v>104.03</v>
      </c>
      <c r="M30" t="n">
        <v>5.62</v>
      </c>
      <c r="N30" t="n">
        <v>22.8</v>
      </c>
      <c r="O30" t="n">
        <v>1566.16</v>
      </c>
      <c r="P30" t="n">
        <v>1877.7</v>
      </c>
      <c r="Q30" t="inlineStr">
        <is>
          <t>ручная цена в модели</t>
        </is>
      </c>
    </row>
    <row r="31">
      <c r="A31" t="inlineStr">
        <is>
          <t>FBO</t>
        </is>
      </c>
      <c r="B31" t="n">
        <v>51</v>
      </c>
      <c r="C31" t="inlineStr">
        <is>
          <t>FARMSTAY - Gold Snail Premium Cream [50ml] / Омолаживающий крем с муцином улитки и коллоидным золотом</t>
        </is>
      </c>
      <c r="D31" t="n">
        <v>1104</v>
      </c>
      <c r="E31" t="n">
        <v>431.05</v>
      </c>
      <c r="F31" t="n">
        <v>491.05</v>
      </c>
      <c r="G31" t="n">
        <v>1954.4</v>
      </c>
      <c r="H31" t="n">
        <v>1074.92</v>
      </c>
      <c r="I31" t="inlineStr"/>
      <c r="J31" t="n">
        <v>15</v>
      </c>
      <c r="K31" t="n">
        <v>415.92</v>
      </c>
      <c r="L31" t="n">
        <v>122.76</v>
      </c>
      <c r="M31" t="n">
        <v>6.28</v>
      </c>
      <c r="N31" t="n">
        <v>25</v>
      </c>
      <c r="O31" t="n">
        <v>1619.44</v>
      </c>
      <c r="P31" t="n">
        <v>1954.4</v>
      </c>
      <c r="Q31" t="inlineStr">
        <is>
          <t>формула: ROI 25%</t>
        </is>
      </c>
    </row>
    <row r="32">
      <c r="A32" t="inlineStr">
        <is>
          <t>FBO</t>
        </is>
      </c>
      <c r="B32" t="n">
        <v>52</v>
      </c>
      <c r="C32" t="inlineStr">
        <is>
          <t>FARMSTAY - Escargot Noblesse Intensive Cream [50g] / Крем с муцином королевской улитки</t>
        </is>
      </c>
      <c r="D32" t="n">
        <v>964</v>
      </c>
      <c r="E32" t="n">
        <v>313.84</v>
      </c>
      <c r="F32" t="n">
        <v>373.84</v>
      </c>
      <c r="G32" t="n">
        <v>2900</v>
      </c>
      <c r="H32" t="n">
        <v>1595</v>
      </c>
      <c r="I32" t="n">
        <v>3070</v>
      </c>
      <c r="J32" t="n">
        <v>15</v>
      </c>
      <c r="K32" t="n">
        <v>1020.86</v>
      </c>
      <c r="L32" t="n">
        <v>585.86</v>
      </c>
      <c r="M32" t="n">
        <v>20.2</v>
      </c>
      <c r="N32" t="n">
        <v>156.7</v>
      </c>
      <c r="O32" t="n">
        <v>1301.47</v>
      </c>
      <c r="P32" t="n">
        <v>1556.48</v>
      </c>
      <c r="Q32" t="inlineStr">
        <is>
          <t>ручная цена в модели</t>
        </is>
      </c>
    </row>
    <row r="33">
      <c r="A33" t="inlineStr">
        <is>
          <t>FBO</t>
        </is>
      </c>
      <c r="B33" t="n">
        <v>53</v>
      </c>
      <c r="C33" t="inlineStr">
        <is>
          <t xml:space="preserve">FARMSTAY ESCARGOT NOBLESSE INTENSIVE AMPOULE/ сыворотка с улиткой </t>
        </is>
      </c>
      <c r="D33" t="n">
        <v>1021</v>
      </c>
      <c r="E33" t="n">
        <v>390.46</v>
      </c>
      <c r="F33" t="n">
        <v>450.46</v>
      </c>
      <c r="G33" t="n">
        <v>1817.8</v>
      </c>
      <c r="H33" t="n">
        <v>999.79</v>
      </c>
      <c r="I33" t="n">
        <v>3820</v>
      </c>
      <c r="J33" t="n">
        <v>15</v>
      </c>
      <c r="K33" t="n">
        <v>385.29</v>
      </c>
      <c r="L33" t="n">
        <v>112.61</v>
      </c>
      <c r="M33" t="n">
        <v>6.2</v>
      </c>
      <c r="N33" t="n">
        <v>25</v>
      </c>
      <c r="O33" t="n">
        <v>1510.53</v>
      </c>
      <c r="P33" t="n">
        <v>1817.8</v>
      </c>
      <c r="Q33" t="inlineStr">
        <is>
          <t>формула: ROI 25%</t>
        </is>
      </c>
    </row>
    <row r="34">
      <c r="A34" t="inlineStr">
        <is>
          <t>FBO</t>
        </is>
      </c>
      <c r="B34" t="n">
        <v>54</v>
      </c>
      <c r="C34" t="inlineStr">
        <is>
          <t>FARMSTAY - Argan Oil Complete Volume Up Shampoo &amp; Conditioner [530ml] / Шампунь-кондиционер с аргановым маслом</t>
        </is>
      </c>
      <c r="D34" t="n">
        <v>2535</v>
      </c>
      <c r="E34" t="n">
        <v>400.76</v>
      </c>
      <c r="F34" t="n">
        <v>460.76</v>
      </c>
      <c r="G34" t="n">
        <v>1882.59</v>
      </c>
      <c r="H34" t="n">
        <v>1035.42</v>
      </c>
      <c r="I34" t="n">
        <v>2000</v>
      </c>
      <c r="J34" t="n">
        <v>15</v>
      </c>
      <c r="K34" t="n">
        <v>397.58</v>
      </c>
      <c r="L34" t="n">
        <v>115.19</v>
      </c>
      <c r="M34" t="n">
        <v>6.12</v>
      </c>
      <c r="N34" t="n">
        <v>25</v>
      </c>
      <c r="O34" t="n">
        <v>1568.29</v>
      </c>
      <c r="P34" t="n">
        <v>1882.59</v>
      </c>
      <c r="Q34" t="inlineStr">
        <is>
          <t>формула: ROI 25%</t>
        </is>
      </c>
    </row>
    <row r="35">
      <c r="A35" t="inlineStr">
        <is>
          <t>FBO</t>
        </is>
      </c>
      <c r="B35" t="n">
        <v>55</v>
      </c>
      <c r="C35" t="inlineStr">
        <is>
          <t>FARMSTAY - Collagen Water Full Shampoo &amp; Conditioner [530ml] / Шампунь-кондиционер 2в1 с коллагеном</t>
        </is>
      </c>
      <c r="D35" t="n">
        <v>3679</v>
      </c>
      <c r="E35" t="n">
        <v>396.72</v>
      </c>
      <c r="F35" t="n">
        <v>456.72</v>
      </c>
      <c r="G35" t="n">
        <v>1868.81</v>
      </c>
      <c r="H35" t="n">
        <v>1027.84</v>
      </c>
      <c r="I35" t="n">
        <v>2128</v>
      </c>
      <c r="J35" t="n">
        <v>15</v>
      </c>
      <c r="K35" t="n">
        <v>394.5</v>
      </c>
      <c r="L35" t="n">
        <v>114.18</v>
      </c>
      <c r="M35" t="n">
        <v>6.11</v>
      </c>
      <c r="N35" t="n">
        <v>25</v>
      </c>
      <c r="O35" t="n">
        <v>1557.27</v>
      </c>
      <c r="P35" t="n">
        <v>1868.81</v>
      </c>
      <c r="Q35" t="inlineStr">
        <is>
          <t>формула: ROI 25%</t>
        </is>
      </c>
    </row>
    <row r="36">
      <c r="A36" t="inlineStr">
        <is>
          <t>FBO</t>
        </is>
      </c>
      <c r="B36" t="n">
        <v>56</v>
      </c>
      <c r="C36" t="inlineStr">
        <is>
          <t>FARMSTAY - Collagen Water Full Moist Rolling Eye Serum [25ml] / Сыворотка роллер для глаз</t>
        </is>
      </c>
      <c r="D36" t="n">
        <v>484</v>
      </c>
      <c r="E36" t="n">
        <v>231.73</v>
      </c>
      <c r="F36" t="n">
        <v>291.73</v>
      </c>
      <c r="G36" t="n">
        <v>1800</v>
      </c>
      <c r="H36" t="n">
        <v>990</v>
      </c>
      <c r="I36" t="n">
        <v>2145</v>
      </c>
      <c r="J36" t="n">
        <v>15</v>
      </c>
      <c r="K36" t="n">
        <v>542.53</v>
      </c>
      <c r="L36" t="n">
        <v>272.53</v>
      </c>
      <c r="M36" t="n">
        <v>15.14</v>
      </c>
      <c r="N36" t="n">
        <v>93.40000000000001</v>
      </c>
      <c r="O36" t="n">
        <v>1056.39</v>
      </c>
      <c r="P36" t="n">
        <v>1255.39</v>
      </c>
      <c r="Q36" t="inlineStr">
        <is>
          <t>ручная цена в модели</t>
        </is>
      </c>
    </row>
    <row r="37">
      <c r="A37" t="inlineStr">
        <is>
          <t>FBO</t>
        </is>
      </c>
      <c r="B37" t="n">
        <v>57</v>
      </c>
      <c r="C37" t="inlineStr">
        <is>
          <t>FARMSTAY - Collagen Water Full Moist Cream [100g] / Увлажняющий крем с коллагеном</t>
        </is>
      </c>
      <c r="D37" t="n">
        <v>287</v>
      </c>
      <c r="E37" t="n">
        <v>484.42</v>
      </c>
      <c r="F37" t="n">
        <v>544.42</v>
      </c>
      <c r="G37" t="n">
        <v>2134.17</v>
      </c>
      <c r="H37" t="n">
        <v>1173.79</v>
      </c>
      <c r="I37" t="n">
        <v>4300</v>
      </c>
      <c r="J37" t="n">
        <v>15</v>
      </c>
      <c r="K37" t="n">
        <v>456.23</v>
      </c>
      <c r="L37" t="n">
        <v>136.11</v>
      </c>
      <c r="M37" t="n">
        <v>6.38</v>
      </c>
      <c r="N37" t="n">
        <v>25</v>
      </c>
      <c r="O37" t="n">
        <v>1762.81</v>
      </c>
      <c r="P37" t="n">
        <v>2134.17</v>
      </c>
      <c r="Q37" t="inlineStr">
        <is>
          <t>формула: ROI 25%</t>
        </is>
      </c>
    </row>
    <row r="38">
      <c r="A38" t="inlineStr">
        <is>
          <t>FBO</t>
        </is>
      </c>
      <c r="B38" t="n">
        <v>58</v>
      </c>
      <c r="C38" t="inlineStr">
        <is>
          <t xml:space="preserve">FARMSTAY - Collagen Pure Cleansing Foam [180ml]/Пенка для умывания </t>
        </is>
      </c>
      <c r="D38" t="n">
        <v>515</v>
      </c>
      <c r="E38" t="n">
        <v>161.47</v>
      </c>
      <c r="F38" t="n">
        <v>221.47</v>
      </c>
      <c r="G38" t="n">
        <v>1032.7</v>
      </c>
      <c r="H38" t="n">
        <v>567.99</v>
      </c>
      <c r="I38" t="n">
        <v>1100</v>
      </c>
      <c r="J38" t="n">
        <v>15</v>
      </c>
      <c r="K38" t="n">
        <v>210.27</v>
      </c>
      <c r="L38" t="n">
        <v>55.37</v>
      </c>
      <c r="M38" t="n">
        <v>5.36</v>
      </c>
      <c r="N38" t="n">
        <v>25</v>
      </c>
      <c r="O38" t="n">
        <v>881.63</v>
      </c>
      <c r="P38" t="n">
        <v>1032.7</v>
      </c>
      <c r="Q38" t="inlineStr">
        <is>
          <t>формула: ROI 25%</t>
        </is>
      </c>
    </row>
    <row r="39">
      <c r="A39" t="inlineStr">
        <is>
          <t>FBO</t>
        </is>
      </c>
      <c r="B39" t="n">
        <v>60</v>
      </c>
      <c r="C39" t="inlineStr">
        <is>
          <t>HEIMISH - Artless Glow Base SPF50+ PA+++(Renew) [40ml] / База под макияж SPF50+ PA+++</t>
        </is>
      </c>
      <c r="D39" t="n">
        <v>1025</v>
      </c>
      <c r="E39" t="n">
        <v>770.48</v>
      </c>
      <c r="F39" t="n">
        <v>830.48</v>
      </c>
      <c r="G39" t="n">
        <v>2750</v>
      </c>
      <c r="H39" t="n">
        <v>1512.5</v>
      </c>
      <c r="I39" t="n">
        <v>2980</v>
      </c>
      <c r="J39" t="n">
        <v>10</v>
      </c>
      <c r="K39" t="n">
        <v>502.57</v>
      </c>
      <c r="L39" t="n">
        <v>227.57</v>
      </c>
      <c r="M39" t="n">
        <v>8.279999999999999</v>
      </c>
      <c r="N39" t="n">
        <v>27.4</v>
      </c>
      <c r="O39" t="n">
        <v>2203.61</v>
      </c>
      <c r="P39" t="n">
        <v>2702.1</v>
      </c>
      <c r="Q39" t="inlineStr">
        <is>
          <t>ручная цена в модели</t>
        </is>
      </c>
    </row>
    <row r="40">
      <c r="A40" t="inlineStr">
        <is>
          <t>FBO</t>
        </is>
      </c>
      <c r="B40" t="n">
        <v>63</v>
      </c>
      <c r="C40" t="inlineStr">
        <is>
          <t>JIGOTT - Snail Lifting Cream [70ml] / Крем для лица увлажняющий антивозрастной</t>
        </is>
      </c>
      <c r="D40" t="n">
        <v>7668</v>
      </c>
      <c r="E40" t="n">
        <v>202.27</v>
      </c>
      <c r="F40" t="n">
        <v>262.27</v>
      </c>
      <c r="G40" t="n">
        <v>880</v>
      </c>
      <c r="H40" t="n">
        <v>484</v>
      </c>
      <c r="I40" t="n">
        <v>980</v>
      </c>
      <c r="J40" t="n">
        <v>15</v>
      </c>
      <c r="K40" t="n">
        <v>91.38</v>
      </c>
      <c r="L40" t="n">
        <v>-40.62</v>
      </c>
      <c r="M40" t="n">
        <v>-4.62</v>
      </c>
      <c r="N40" t="n">
        <v>-15.5</v>
      </c>
      <c r="O40" t="n">
        <v>990.84</v>
      </c>
      <c r="P40" t="n">
        <v>1169.74</v>
      </c>
      <c r="Q40" t="inlineStr">
        <is>
          <t>ручная цена в модели</t>
        </is>
      </c>
    </row>
    <row r="41">
      <c r="A41" t="inlineStr">
        <is>
          <t>FBO</t>
        </is>
      </c>
      <c r="B41" t="n">
        <v>64</v>
      </c>
      <c r="C41" t="inlineStr">
        <is>
          <t>JIGOTT - Snail Reparing Cream [100ml] / Крем для лица увлажняющий антивозрастной с муцином улитки</t>
        </is>
      </c>
      <c r="D41" t="n">
        <v>1241</v>
      </c>
      <c r="E41" t="n">
        <v>185.86</v>
      </c>
      <c r="F41" t="n">
        <v>245.86</v>
      </c>
      <c r="G41" t="n">
        <v>930</v>
      </c>
      <c r="H41" t="n">
        <v>511.5</v>
      </c>
      <c r="I41" t="n">
        <v>1030</v>
      </c>
      <c r="J41" t="n">
        <v>15</v>
      </c>
      <c r="K41" t="n">
        <v>132.84</v>
      </c>
      <c r="L41" t="n">
        <v>-6.66</v>
      </c>
      <c r="M41" t="n">
        <v>-0.72</v>
      </c>
      <c r="N41" t="n">
        <v>-2.7</v>
      </c>
      <c r="O41" t="n">
        <v>948.1799999999999</v>
      </c>
      <c r="P41" t="n">
        <v>1115.89</v>
      </c>
      <c r="Q41" t="inlineStr">
        <is>
          <t>ручная цена в модели</t>
        </is>
      </c>
    </row>
    <row r="42">
      <c r="A42" t="inlineStr">
        <is>
          <t>FBO</t>
        </is>
      </c>
      <c r="B42" t="n">
        <v>65</v>
      </c>
      <c r="C42" t="inlineStr">
        <is>
          <t>JIGOTT - Birds Nest Firming Cream [70ml] / Антивозрастной крем с экстрактом ласточкиного гнезда</t>
        </is>
      </c>
      <c r="D42" t="n">
        <v>1814</v>
      </c>
      <c r="E42" t="n">
        <v>202.27</v>
      </c>
      <c r="F42" t="n">
        <v>262.27</v>
      </c>
      <c r="G42" t="n">
        <v>960</v>
      </c>
      <c r="H42" t="n">
        <v>528</v>
      </c>
      <c r="I42" t="n">
        <v>1040</v>
      </c>
      <c r="J42" t="n">
        <v>15</v>
      </c>
      <c r="K42" t="n">
        <v>132.7</v>
      </c>
      <c r="L42" t="n">
        <v>-11.3</v>
      </c>
      <c r="M42" t="n">
        <v>-1.18</v>
      </c>
      <c r="N42" t="n">
        <v>-4.3</v>
      </c>
      <c r="O42" t="n">
        <v>990.84</v>
      </c>
      <c r="P42" t="n">
        <v>1169.74</v>
      </c>
      <c r="Q42" t="inlineStr">
        <is>
          <t>ручная цена в модели</t>
        </is>
      </c>
    </row>
    <row r="43">
      <c r="A43" t="inlineStr">
        <is>
          <t>FBO</t>
        </is>
      </c>
      <c r="B43" t="n">
        <v>67</v>
      </c>
      <c r="C43" t="inlineStr">
        <is>
          <t>JIGOTT - Ассорти набор масок [27ml х 15]</t>
        </is>
      </c>
      <c r="D43" t="n">
        <v>1350</v>
      </c>
      <c r="E43" t="n">
        <v>334.05</v>
      </c>
      <c r="F43" t="n">
        <v>394.05</v>
      </c>
      <c r="G43" t="n">
        <v>1659.86</v>
      </c>
      <c r="H43" t="n">
        <v>912.92</v>
      </c>
      <c r="I43" t="inlineStr"/>
      <c r="J43" t="n">
        <v>15</v>
      </c>
      <c r="K43" t="n">
        <v>347.49</v>
      </c>
      <c r="L43" t="n">
        <v>98.51000000000001</v>
      </c>
      <c r="M43" t="n">
        <v>5.93</v>
      </c>
      <c r="N43" t="n">
        <v>25</v>
      </c>
      <c r="O43" t="n">
        <v>1391.07</v>
      </c>
      <c r="P43" t="n">
        <v>1659.86</v>
      </c>
      <c r="Q43" t="inlineStr">
        <is>
          <t>формула: ROI 25%</t>
        </is>
      </c>
    </row>
    <row r="44">
      <c r="A44" t="inlineStr">
        <is>
          <t>FBO</t>
        </is>
      </c>
      <c r="B44" t="n">
        <v>69</v>
      </c>
      <c r="C44" t="inlineStr">
        <is>
          <t>JIGOTT - Ultimate Real Collagen Toner [300ml] / тонер с коллагеном антивозрастной</t>
        </is>
      </c>
      <c r="D44" t="n">
        <v>1296</v>
      </c>
      <c r="E44" t="n">
        <v>265.36</v>
      </c>
      <c r="F44" t="n">
        <v>325.36</v>
      </c>
      <c r="G44" t="n">
        <v>960</v>
      </c>
      <c r="H44" t="n">
        <v>528</v>
      </c>
      <c r="I44" t="n">
        <v>1140</v>
      </c>
      <c r="J44" t="n">
        <v>15</v>
      </c>
      <c r="K44" t="n">
        <v>66.97</v>
      </c>
      <c r="L44" t="n">
        <v>-77.03</v>
      </c>
      <c r="M44" t="n">
        <v>-8.02</v>
      </c>
      <c r="N44" t="n">
        <v>-23.7</v>
      </c>
      <c r="O44" t="n">
        <v>1170.18</v>
      </c>
      <c r="P44" t="n">
        <v>1392.12</v>
      </c>
      <c r="Q44" t="inlineStr">
        <is>
          <t>ручная цена в модели</t>
        </is>
      </c>
    </row>
    <row r="45">
      <c r="A45" t="inlineStr">
        <is>
          <t>FBO</t>
        </is>
      </c>
      <c r="B45" t="n">
        <v>70</v>
      </c>
      <c r="C45" t="inlineStr">
        <is>
          <t>JIGOTT - Daily Real Cica Toner [300ml] / Тонер для лица с центеллой азиатской</t>
        </is>
      </c>
      <c r="D45" t="n">
        <v>1468</v>
      </c>
      <c r="E45" t="n">
        <v>265.36</v>
      </c>
      <c r="F45" t="n">
        <v>325.36</v>
      </c>
      <c r="G45" t="n">
        <v>960</v>
      </c>
      <c r="H45" t="n">
        <v>528</v>
      </c>
      <c r="I45" t="n">
        <v>1140</v>
      </c>
      <c r="J45" t="n">
        <v>15</v>
      </c>
      <c r="K45" t="n">
        <v>66.97</v>
      </c>
      <c r="L45" t="n">
        <v>-77.03</v>
      </c>
      <c r="M45" t="n">
        <v>-8.02</v>
      </c>
      <c r="N45" t="n">
        <v>-23.7</v>
      </c>
      <c r="O45" t="n">
        <v>1170.18</v>
      </c>
      <c r="P45" t="n">
        <v>1392.12</v>
      </c>
      <c r="Q45" t="inlineStr">
        <is>
          <t>ручная цена в модели</t>
        </is>
      </c>
    </row>
    <row r="46">
      <c r="A46" t="inlineStr">
        <is>
          <t>FBO</t>
        </is>
      </c>
      <c r="B46" t="n">
        <v>71</v>
      </c>
      <c r="C46" t="inlineStr">
        <is>
          <t>JIGOTT - Aura Secret Hyaluronec Acid Toner [300ml] / Тонер с гиалуроновой кислотой антивозрастной</t>
        </is>
      </c>
      <c r="D46" t="n">
        <v>424</v>
      </c>
      <c r="E46" t="n">
        <v>265.36</v>
      </c>
      <c r="F46" t="n">
        <v>325.36</v>
      </c>
      <c r="G46" t="n">
        <v>900</v>
      </c>
      <c r="H46" t="n">
        <v>495</v>
      </c>
      <c r="I46" t="n">
        <v>975</v>
      </c>
      <c r="J46" t="n">
        <v>15</v>
      </c>
      <c r="K46" t="n">
        <v>35.98</v>
      </c>
      <c r="L46" t="n">
        <v>-99.02</v>
      </c>
      <c r="M46" t="n">
        <v>-11</v>
      </c>
      <c r="N46" t="n">
        <v>-30.4</v>
      </c>
      <c r="O46" t="n">
        <v>1170.18</v>
      </c>
      <c r="P46" t="n">
        <v>1392.12</v>
      </c>
      <c r="Q46" t="inlineStr">
        <is>
          <t>ручная цена в модели</t>
        </is>
      </c>
    </row>
    <row r="47">
      <c r="A47" t="inlineStr">
        <is>
          <t>FBO</t>
        </is>
      </c>
      <c r="B47" t="n">
        <v>72</v>
      </c>
      <c r="C47" t="inlineStr">
        <is>
          <t>JIGOTT - Moisture Real Aloe Vera Toner [300ml] / Тонер для лица увлажняющий с экстрактом алоэ</t>
        </is>
      </c>
      <c r="D47" t="n">
        <v>356</v>
      </c>
      <c r="E47" t="n">
        <v>265.36</v>
      </c>
      <c r="F47" t="n">
        <v>325.36</v>
      </c>
      <c r="G47" t="n">
        <v>1000</v>
      </c>
      <c r="H47" t="n">
        <v>550</v>
      </c>
      <c r="I47" t="n">
        <v>1100</v>
      </c>
      <c r="J47" t="n">
        <v>15</v>
      </c>
      <c r="K47" t="n">
        <v>87.63</v>
      </c>
      <c r="L47" t="n">
        <v>-62.37</v>
      </c>
      <c r="M47" t="n">
        <v>-6.24</v>
      </c>
      <c r="N47" t="n">
        <v>-19.2</v>
      </c>
      <c r="O47" t="n">
        <v>1170.18</v>
      </c>
      <c r="P47" t="n">
        <v>1392.12</v>
      </c>
      <c r="Q47" t="inlineStr">
        <is>
          <t>ручная цена в модели</t>
        </is>
      </c>
    </row>
    <row r="48">
      <c r="A48" t="inlineStr">
        <is>
          <t>FBO</t>
        </is>
      </c>
      <c r="B48" t="n">
        <v>74</v>
      </c>
      <c r="C48" t="inlineStr">
        <is>
          <t>JMSOLUTION - MASK PACK BLACK [30ml*10ea] - ассорти набор 10шт в упаковке</t>
        </is>
      </c>
      <c r="D48" t="n">
        <v>1039</v>
      </c>
      <c r="E48" t="n">
        <v>463.2</v>
      </c>
      <c r="F48" t="n">
        <v>523.2</v>
      </c>
      <c r="G48" t="n">
        <v>2086</v>
      </c>
      <c r="H48" t="n">
        <v>1147.3</v>
      </c>
      <c r="I48" t="n">
        <v>2340</v>
      </c>
      <c r="J48" t="n">
        <v>15</v>
      </c>
      <c r="K48" t="n">
        <v>443.55</v>
      </c>
      <c r="L48" t="n">
        <v>130.65</v>
      </c>
      <c r="M48" t="n">
        <v>6.26</v>
      </c>
      <c r="N48" t="n">
        <v>25</v>
      </c>
      <c r="O48" t="n">
        <v>1729.51</v>
      </c>
      <c r="P48" t="n">
        <v>2086.4</v>
      </c>
      <c r="Q48" t="inlineStr">
        <is>
          <t>ручная цена в модели</t>
        </is>
      </c>
    </row>
    <row r="49">
      <c r="A49" t="inlineStr">
        <is>
          <t>FBO</t>
        </is>
      </c>
      <c r="B49" t="n">
        <v>76</v>
      </c>
      <c r="C49" t="inlineStr">
        <is>
          <t>JMSOLUTION - MASK PACK DISNEY [30ml*10ea] - ассорти набор из 10шт</t>
        </is>
      </c>
      <c r="D49" t="n">
        <v>835</v>
      </c>
      <c r="E49" t="n">
        <v>463.2</v>
      </c>
      <c r="F49" t="n">
        <v>523.2</v>
      </c>
      <c r="G49" t="n">
        <v>2086</v>
      </c>
      <c r="H49" t="n">
        <v>1147.3</v>
      </c>
      <c r="I49" t="inlineStr"/>
      <c r="J49" t="n">
        <v>15</v>
      </c>
      <c r="K49" t="n">
        <v>443.55</v>
      </c>
      <c r="L49" t="n">
        <v>130.65</v>
      </c>
      <c r="M49" t="n">
        <v>6.26</v>
      </c>
      <c r="N49" t="n">
        <v>25</v>
      </c>
      <c r="O49" t="n">
        <v>1729.51</v>
      </c>
      <c r="P49" t="n">
        <v>2086.4</v>
      </c>
      <c r="Q49" t="inlineStr">
        <is>
          <t>ручная цена в модели</t>
        </is>
      </c>
    </row>
    <row r="50">
      <c r="A50" t="inlineStr">
        <is>
          <t>FBO</t>
        </is>
      </c>
      <c r="B50" t="n">
        <v>78</v>
      </c>
      <c r="C50" t="inlineStr">
        <is>
          <t>LEBELAGE - Dr. Peptide Derma Eye Cream [40ml] / Крем для глаз антивозрастной с пептидами</t>
        </is>
      </c>
      <c r="D50" t="n">
        <v>410</v>
      </c>
      <c r="E50" t="n">
        <v>108.15</v>
      </c>
      <c r="F50" t="n">
        <v>168.15</v>
      </c>
      <c r="G50" t="n">
        <v>600</v>
      </c>
      <c r="H50" t="n">
        <v>330</v>
      </c>
      <c r="I50" t="n">
        <v>667</v>
      </c>
      <c r="J50" t="n">
        <v>15</v>
      </c>
      <c r="K50" t="n">
        <v>46.05</v>
      </c>
      <c r="L50" t="n">
        <v>-43.95</v>
      </c>
      <c r="M50" t="n">
        <v>-7.32</v>
      </c>
      <c r="N50" t="n">
        <v>-26.1</v>
      </c>
      <c r="O50" t="n">
        <v>719.91</v>
      </c>
      <c r="P50" t="n">
        <v>834.61</v>
      </c>
      <c r="Q50" t="inlineStr">
        <is>
          <t>ручная цена в модели</t>
        </is>
      </c>
    </row>
    <row r="51">
      <c r="A51" t="inlineStr">
        <is>
          <t>FBO</t>
        </is>
      </c>
      <c r="B51" t="n">
        <v>80</v>
      </c>
      <c r="C51" t="inlineStr">
        <is>
          <t>LANEIGE LIP SLEEPING MASK-BERRY [3g]</t>
        </is>
      </c>
      <c r="D51" t="n">
        <v>341</v>
      </c>
      <c r="E51" t="n">
        <v>130.86</v>
      </c>
      <c r="F51" t="n">
        <v>190.86</v>
      </c>
      <c r="G51" t="n">
        <v>890.0700000000001</v>
      </c>
      <c r="H51" t="n">
        <v>489.54</v>
      </c>
      <c r="I51" t="n">
        <v>1470</v>
      </c>
      <c r="J51" t="n">
        <v>15</v>
      </c>
      <c r="K51" t="n">
        <v>181.23</v>
      </c>
      <c r="L51" t="n">
        <v>47.72</v>
      </c>
      <c r="M51" t="n">
        <v>5.36</v>
      </c>
      <c r="N51" t="n">
        <v>25</v>
      </c>
      <c r="O51" t="n">
        <v>759.88</v>
      </c>
      <c r="P51" t="n">
        <v>890.0700000000001</v>
      </c>
      <c r="Q51" t="inlineStr">
        <is>
          <t>формула: ROI 25%</t>
        </is>
      </c>
    </row>
    <row r="52">
      <c r="A52" t="inlineStr">
        <is>
          <t>FBO</t>
        </is>
      </c>
      <c r="B52" t="n">
        <v>82</v>
      </c>
      <c r="C52" t="inlineStr">
        <is>
          <t>MANYO - Bifida Biome Complex Ampoule [50ml] / Антивозрастная сыворотка для лица</t>
        </is>
      </c>
      <c r="D52" t="n">
        <v>1473</v>
      </c>
      <c r="E52" t="n">
        <v>899.78</v>
      </c>
      <c r="F52" t="n">
        <v>959.78</v>
      </c>
      <c r="G52" t="n">
        <v>5500</v>
      </c>
      <c r="H52" t="n">
        <v>3025</v>
      </c>
      <c r="I52" t="n">
        <v>5800</v>
      </c>
      <c r="J52" t="n">
        <v>5</v>
      </c>
      <c r="K52" t="n">
        <v>1785.12</v>
      </c>
      <c r="L52" t="n">
        <v>1510.12</v>
      </c>
      <c r="M52" t="n">
        <v>27.46</v>
      </c>
      <c r="N52" t="n">
        <v>157.3</v>
      </c>
      <c r="O52" t="n">
        <v>2262.88</v>
      </c>
      <c r="P52" t="n">
        <v>2777.23</v>
      </c>
      <c r="Q52" t="inlineStr">
        <is>
          <t>ручная цена в модели</t>
        </is>
      </c>
    </row>
    <row r="53">
      <c r="A53" t="inlineStr">
        <is>
          <t>FBO</t>
        </is>
      </c>
      <c r="B53" t="n">
        <v>83</v>
      </c>
      <c r="C53" t="inlineStr">
        <is>
          <t>MANYO - Galac Whitening Vita Serum [50ml] / Осветляющая сыворотка с Витамином C</t>
        </is>
      </c>
      <c r="D53" t="n">
        <v>854</v>
      </c>
      <c r="E53" t="n">
        <v>646.83</v>
      </c>
      <c r="F53" t="n">
        <v>706.83</v>
      </c>
      <c r="G53" t="n">
        <v>3700</v>
      </c>
      <c r="H53" t="n">
        <v>2035</v>
      </c>
      <c r="I53" t="n">
        <v>4000</v>
      </c>
      <c r="J53" t="n">
        <v>5</v>
      </c>
      <c r="K53" t="n">
        <v>1116.64</v>
      </c>
      <c r="L53" t="n">
        <v>931.64</v>
      </c>
      <c r="M53" t="n">
        <v>25.18</v>
      </c>
      <c r="N53" t="n">
        <v>131.8</v>
      </c>
      <c r="O53" t="n">
        <v>1702.92</v>
      </c>
      <c r="P53" t="n">
        <v>2081.72</v>
      </c>
      <c r="Q53" t="inlineStr">
        <is>
          <t>ручная цена в модели</t>
        </is>
      </c>
    </row>
    <row r="54">
      <c r="A54" t="inlineStr">
        <is>
          <t>FBO</t>
        </is>
      </c>
      <c r="B54" t="n">
        <v>84</v>
      </c>
      <c r="C54" t="inlineStr">
        <is>
          <t>MANYO - Bifida Biome Ampoule Lotion [300ml] / Укрепляющий лосьон с бифидобактериями</t>
        </is>
      </c>
      <c r="D54" t="n">
        <v>756</v>
      </c>
      <c r="E54" t="n">
        <v>735.34</v>
      </c>
      <c r="F54" t="n">
        <v>795.34</v>
      </c>
      <c r="G54" t="n">
        <v>3700</v>
      </c>
      <c r="H54" t="n">
        <v>2035</v>
      </c>
      <c r="I54" t="n">
        <v>4000</v>
      </c>
      <c r="J54" t="n">
        <v>5</v>
      </c>
      <c r="K54" t="n">
        <v>1013.85</v>
      </c>
      <c r="L54" t="n">
        <v>828.85</v>
      </c>
      <c r="M54" t="n">
        <v>22.4</v>
      </c>
      <c r="N54" t="n">
        <v>104.2</v>
      </c>
      <c r="O54" t="n">
        <v>1923.25</v>
      </c>
      <c r="P54" t="n">
        <v>2349.48</v>
      </c>
      <c r="Q54" t="inlineStr">
        <is>
          <t>ручная цена в модели</t>
        </is>
      </c>
    </row>
    <row r="55">
      <c r="A55" t="inlineStr">
        <is>
          <t>FBO</t>
        </is>
      </c>
      <c r="B55" t="n">
        <v>85</v>
      </c>
      <c r="C55" t="inlineStr">
        <is>
          <t>MANYO - Pure Cleansing Oil [200ml] / Гидрофильное масло для глубокого очищения</t>
        </is>
      </c>
      <c r="D55" t="n">
        <v>243</v>
      </c>
      <c r="E55" t="n">
        <v>853</v>
      </c>
      <c r="F55" t="n">
        <v>913</v>
      </c>
      <c r="G55" t="n">
        <v>3700</v>
      </c>
      <c r="H55" t="n">
        <v>2035</v>
      </c>
      <c r="I55" t="n">
        <v>4000</v>
      </c>
      <c r="J55" t="n">
        <v>5</v>
      </c>
      <c r="K55" t="n">
        <v>896.76</v>
      </c>
      <c r="L55" t="n">
        <v>711.76</v>
      </c>
      <c r="M55" t="n">
        <v>19.24</v>
      </c>
      <c r="N55" t="n">
        <v>78</v>
      </c>
      <c r="O55" t="n">
        <v>2174.25</v>
      </c>
      <c r="P55" t="n">
        <v>2663.53</v>
      </c>
      <c r="Q55" t="inlineStr">
        <is>
          <t>ручная цена в модели</t>
        </is>
      </c>
    </row>
    <row r="56">
      <c r="A56" t="inlineStr">
        <is>
          <t>FBO</t>
        </is>
      </c>
      <c r="B56" t="n">
        <v>86</v>
      </c>
      <c r="C56" t="inlineStr">
        <is>
          <t>MANYO BIFIDA COMPLEX AMPOULE GEL CLEANSER [400ml] / Гель для умывания с бифидобактериями</t>
        </is>
      </c>
      <c r="D56" t="n">
        <v>814</v>
      </c>
      <c r="E56" t="n">
        <v>650</v>
      </c>
      <c r="F56" t="n">
        <v>710</v>
      </c>
      <c r="G56" t="n">
        <v>4500</v>
      </c>
      <c r="H56" t="n">
        <v>2475</v>
      </c>
      <c r="I56" t="n">
        <v>4800</v>
      </c>
      <c r="J56" t="n">
        <v>5</v>
      </c>
      <c r="K56" t="n">
        <v>1501.93</v>
      </c>
      <c r="L56" t="n">
        <v>1276.93</v>
      </c>
      <c r="M56" t="n">
        <v>28.38</v>
      </c>
      <c r="N56" t="n">
        <v>179.8</v>
      </c>
      <c r="O56" t="n">
        <v>1762.74</v>
      </c>
      <c r="P56" t="n">
        <v>2143.23</v>
      </c>
      <c r="Q56" t="inlineStr">
        <is>
          <t>ручная цена в модели</t>
        </is>
      </c>
    </row>
    <row r="57">
      <c r="A57" t="inlineStr">
        <is>
          <t>FBO</t>
        </is>
      </c>
      <c r="B57" t="n">
        <v>87</v>
      </c>
      <c r="C57" t="inlineStr">
        <is>
          <t>MANYO BIFIDA INFUSION SHOT AMPOULE 1DX [50ml] / Сыворотка с микроиглами и пробиотиками</t>
        </is>
      </c>
      <c r="D57" t="n">
        <v>786</v>
      </c>
      <c r="E57" t="n">
        <v>899.78</v>
      </c>
      <c r="F57" t="n">
        <v>959.78</v>
      </c>
      <c r="G57" t="n">
        <v>3500</v>
      </c>
      <c r="H57" t="n">
        <v>1925</v>
      </c>
      <c r="I57" t="n">
        <v>3800</v>
      </c>
      <c r="J57" t="n">
        <v>5</v>
      </c>
      <c r="K57" t="n">
        <v>752.12</v>
      </c>
      <c r="L57" t="n">
        <v>577.12</v>
      </c>
      <c r="M57" t="n">
        <v>16.49</v>
      </c>
      <c r="N57" t="n">
        <v>60.1</v>
      </c>
      <c r="O57" t="n">
        <v>2262.88</v>
      </c>
      <c r="P57" t="n">
        <v>2777.23</v>
      </c>
      <c r="Q57" t="inlineStr">
        <is>
          <t>ручная цена в модели</t>
        </is>
      </c>
    </row>
    <row r="58">
      <c r="A58" t="inlineStr">
        <is>
          <t>FBO</t>
        </is>
      </c>
      <c r="B58" t="n">
        <v>89</v>
      </c>
      <c r="C58" t="inlineStr">
        <is>
          <t>MASIL - 8 Seconds Salon Hair Mask 350ml Set [350ml+8ml*2]</t>
        </is>
      </c>
      <c r="D58" t="n">
        <v>119</v>
      </c>
      <c r="E58" t="n">
        <v>669.05</v>
      </c>
      <c r="F58" t="n">
        <v>729.05</v>
      </c>
      <c r="G58" t="n">
        <v>2787.78</v>
      </c>
      <c r="H58" t="n">
        <v>1533.28</v>
      </c>
      <c r="I58" t="inlineStr"/>
      <c r="J58" t="n">
        <v>15</v>
      </c>
      <c r="K58" t="n">
        <v>600.4299999999999</v>
      </c>
      <c r="L58" t="n">
        <v>182.26</v>
      </c>
      <c r="M58" t="n">
        <v>6.54</v>
      </c>
      <c r="N58" t="n">
        <v>25</v>
      </c>
      <c r="O58" t="n">
        <v>2290.47</v>
      </c>
      <c r="P58" t="n">
        <v>2787.78</v>
      </c>
      <c r="Q58" t="inlineStr">
        <is>
          <t>формула: ROI 25%</t>
        </is>
      </c>
    </row>
    <row r="59">
      <c r="A59" t="inlineStr">
        <is>
          <t>FBO</t>
        </is>
      </c>
      <c r="B59" t="n">
        <v>91</v>
      </c>
      <c r="C59" t="inlineStr">
        <is>
          <t>PETITFEE - Collagen &amp; CoQ10 Hydrogel Eye Patch [60ea] / Гидрогелевые патчи для глаз с коллагеном и коэнзимом Q10</t>
        </is>
      </c>
      <c r="D59" t="n">
        <v>1008</v>
      </c>
      <c r="E59" t="n">
        <v>385.05</v>
      </c>
      <c r="F59" t="n">
        <v>445.05</v>
      </c>
      <c r="G59" t="n">
        <v>1700</v>
      </c>
      <c r="H59" t="n">
        <v>935</v>
      </c>
      <c r="I59" t="n">
        <v>1818</v>
      </c>
      <c r="J59" t="n">
        <v>15</v>
      </c>
      <c r="K59" t="n">
        <v>331.2</v>
      </c>
      <c r="L59" t="n">
        <v>76.2</v>
      </c>
      <c r="M59" t="n">
        <v>4.48</v>
      </c>
      <c r="N59" t="n">
        <v>17.1</v>
      </c>
      <c r="O59" t="n">
        <v>1492.1</v>
      </c>
      <c r="P59" t="n">
        <v>1795.68</v>
      </c>
      <c r="Q59" t="inlineStr">
        <is>
          <t>ручная цена в модели</t>
        </is>
      </c>
    </row>
    <row r="60">
      <c r="A60" t="inlineStr">
        <is>
          <t>FBO</t>
        </is>
      </c>
      <c r="B60" t="n">
        <v>92</v>
      </c>
      <c r="C60" t="inlineStr">
        <is>
          <t>PETITFEE - Bera Glucan Deep Firming Eye Patch [60ea] / Тканевые патчи для век увлажняющие</t>
        </is>
      </c>
      <c r="D60" t="n">
        <v>587</v>
      </c>
      <c r="E60" t="n">
        <v>486.69</v>
      </c>
      <c r="F60" t="n">
        <v>546.6900000000001</v>
      </c>
      <c r="G60" t="n">
        <v>2146.99</v>
      </c>
      <c r="H60" t="n">
        <v>1180.85</v>
      </c>
      <c r="I60" t="inlineStr"/>
      <c r="J60" t="n">
        <v>15</v>
      </c>
      <c r="K60" t="n">
        <v>458.72</v>
      </c>
      <c r="L60" t="n">
        <v>136.67</v>
      </c>
      <c r="M60" t="n">
        <v>6.37</v>
      </c>
      <c r="N60" t="n">
        <v>25</v>
      </c>
      <c r="O60" t="n">
        <v>1774.08</v>
      </c>
      <c r="P60" t="n">
        <v>2146.99</v>
      </c>
      <c r="Q60" t="inlineStr">
        <is>
          <t>формула: ROI 25%</t>
        </is>
      </c>
    </row>
    <row r="61">
      <c r="A61" t="inlineStr">
        <is>
          <t>FBO</t>
        </is>
      </c>
      <c r="B61" t="n">
        <v>93</v>
      </c>
      <c r="C61" t="inlineStr">
        <is>
          <t>PETITFEE - Artichoke Soothing Hydrogel Eye Patch [60ea] / Смягчающие гидрогелевые патчи для глаз с экстрактом артишока</t>
        </is>
      </c>
      <c r="D61" t="n">
        <v>300</v>
      </c>
      <c r="E61" t="n">
        <v>415.46</v>
      </c>
      <c r="F61" t="n">
        <v>475.46</v>
      </c>
      <c r="G61" t="n">
        <v>1899.4</v>
      </c>
      <c r="H61" t="n">
        <v>1044.67</v>
      </c>
      <c r="I61" t="inlineStr"/>
      <c r="J61" t="n">
        <v>15</v>
      </c>
      <c r="K61" t="n">
        <v>403.77</v>
      </c>
      <c r="L61" t="n">
        <v>118.87</v>
      </c>
      <c r="M61" t="n">
        <v>6.26</v>
      </c>
      <c r="N61" t="n">
        <v>25</v>
      </c>
      <c r="O61" t="n">
        <v>1575.07</v>
      </c>
      <c r="P61" t="n">
        <v>1899.4</v>
      </c>
      <c r="Q61" t="inlineStr">
        <is>
          <t>формула: ROI 25%</t>
        </is>
      </c>
    </row>
    <row r="62">
      <c r="A62" t="inlineStr">
        <is>
          <t>FBO</t>
        </is>
      </c>
      <c r="B62" t="n">
        <v>94</v>
      </c>
      <c r="C62" t="inlineStr">
        <is>
          <t>PETITFEE - Aura Quartz Hydrogel Eye Patch [60ea]</t>
        </is>
      </c>
      <c r="D62" t="n">
        <v>95</v>
      </c>
      <c r="E62" t="n">
        <v>591.29</v>
      </c>
      <c r="F62" t="n">
        <v>651.29</v>
      </c>
      <c r="G62" t="n">
        <v>2503.75</v>
      </c>
      <c r="H62" t="n">
        <v>1377.06</v>
      </c>
      <c r="I62" t="inlineStr"/>
      <c r="J62" t="n">
        <v>15</v>
      </c>
      <c r="K62" t="n">
        <v>538.38</v>
      </c>
      <c r="L62" t="n">
        <v>162.82</v>
      </c>
      <c r="M62" t="n">
        <v>6.5</v>
      </c>
      <c r="N62" t="n">
        <v>25</v>
      </c>
      <c r="O62" t="n">
        <v>2059.48</v>
      </c>
      <c r="P62" t="n">
        <v>2503.75</v>
      </c>
      <c r="Q62" t="inlineStr">
        <is>
          <t>формула: ROI 25%</t>
        </is>
      </c>
    </row>
    <row r="63">
      <c r="A63" t="inlineStr">
        <is>
          <t>FBO</t>
        </is>
      </c>
      <c r="B63" t="n">
        <v>95</v>
      </c>
      <c r="C63" t="inlineStr">
        <is>
          <t>PETITFEE - Cacao Energizing Hydrogel Eye Patch [60ea] / Тонизирующие гидрогелевые патчи для глаз с экстрактом какао</t>
        </is>
      </c>
      <c r="D63" t="n">
        <v>713</v>
      </c>
      <c r="E63" t="n">
        <v>415.46</v>
      </c>
      <c r="F63" t="n">
        <v>475.46</v>
      </c>
      <c r="G63" t="n">
        <v>1899.4</v>
      </c>
      <c r="H63" t="n">
        <v>1044.67</v>
      </c>
      <c r="I63" t="inlineStr"/>
      <c r="J63" t="n">
        <v>15</v>
      </c>
      <c r="K63" t="n">
        <v>403.77</v>
      </c>
      <c r="L63" t="n">
        <v>118.87</v>
      </c>
      <c r="M63" t="n">
        <v>6.26</v>
      </c>
      <c r="N63" t="n">
        <v>25</v>
      </c>
      <c r="O63" t="n">
        <v>1575.07</v>
      </c>
      <c r="P63" t="n">
        <v>1899.4</v>
      </c>
      <c r="Q63" t="inlineStr">
        <is>
          <t>формула: ROI 25%</t>
        </is>
      </c>
    </row>
    <row r="64">
      <c r="A64" t="inlineStr">
        <is>
          <t>FBO</t>
        </is>
      </c>
      <c r="B64" t="n">
        <v>96</v>
      </c>
      <c r="C64" t="inlineStr">
        <is>
          <t>PETITFEE - Chamomile Lightening Hydrogel Eye Patch [60ea] / Успокаивающие гидрогелевые патчи для глаз с экстрактом ромашки</t>
        </is>
      </c>
      <c r="D64" t="n">
        <v>288</v>
      </c>
      <c r="E64" t="n">
        <v>415.46</v>
      </c>
      <c r="F64" t="n">
        <v>475.46</v>
      </c>
      <c r="G64" t="n">
        <v>1899.4</v>
      </c>
      <c r="H64" t="n">
        <v>1044.67</v>
      </c>
      <c r="I64" t="inlineStr"/>
      <c r="J64" t="n">
        <v>15</v>
      </c>
      <c r="K64" t="n">
        <v>403.77</v>
      </c>
      <c r="L64" t="n">
        <v>118.87</v>
      </c>
      <c r="M64" t="n">
        <v>6.26</v>
      </c>
      <c r="N64" t="n">
        <v>25</v>
      </c>
      <c r="O64" t="n">
        <v>1575.07</v>
      </c>
      <c r="P64" t="n">
        <v>1899.4</v>
      </c>
      <c r="Q64" t="inlineStr">
        <is>
          <t>формула: ROI 25%</t>
        </is>
      </c>
    </row>
    <row r="65">
      <c r="A65" t="inlineStr">
        <is>
          <t>FBO</t>
        </is>
      </c>
      <c r="B65" t="n">
        <v>97</v>
      </c>
      <c r="C65" t="inlineStr">
        <is>
          <t>PETITFEE - Gold &amp; EGF Hydrogel Eye &amp; Spot Patch [60ea]/ гидрогелевые патчи с золотом и EGF</t>
        </is>
      </c>
      <c r="D65" t="n">
        <v>72</v>
      </c>
      <c r="E65" t="n">
        <v>385.05</v>
      </c>
      <c r="F65" t="n">
        <v>445.05</v>
      </c>
      <c r="G65" t="n">
        <v>1795.68</v>
      </c>
      <c r="H65" t="n">
        <v>987.62</v>
      </c>
      <c r="I65" t="inlineStr"/>
      <c r="J65" t="n">
        <v>15</v>
      </c>
      <c r="K65" t="n">
        <v>380.61</v>
      </c>
      <c r="L65" t="n">
        <v>111.26</v>
      </c>
      <c r="M65" t="n">
        <v>6.2</v>
      </c>
      <c r="N65" t="n">
        <v>25</v>
      </c>
      <c r="O65" t="n">
        <v>1492.1</v>
      </c>
      <c r="P65" t="n">
        <v>1795.68</v>
      </c>
      <c r="Q65" t="inlineStr">
        <is>
          <t>формула: ROI 25%</t>
        </is>
      </c>
    </row>
    <row r="66">
      <c r="A66" t="inlineStr">
        <is>
          <t>FBO</t>
        </is>
      </c>
      <c r="B66" t="n">
        <v>98</v>
      </c>
      <c r="C66" t="inlineStr">
        <is>
          <t>PETITFEE - Pink Vita Brightening Eye Patch [60ea] / Тканевые патчи для век увлажняющие</t>
        </is>
      </c>
      <c r="D66" t="n">
        <v>267</v>
      </c>
      <c r="E66" t="n">
        <v>486.69</v>
      </c>
      <c r="F66" t="n">
        <v>546.6900000000001</v>
      </c>
      <c r="G66" t="n">
        <v>2146.99</v>
      </c>
      <c r="H66" t="n">
        <v>1180.85</v>
      </c>
      <c r="I66" t="inlineStr"/>
      <c r="J66" t="n">
        <v>15</v>
      </c>
      <c r="K66" t="n">
        <v>458.72</v>
      </c>
      <c r="L66" t="n">
        <v>136.67</v>
      </c>
      <c r="M66" t="n">
        <v>6.37</v>
      </c>
      <c r="N66" t="n">
        <v>25</v>
      </c>
      <c r="O66" t="n">
        <v>1774.08</v>
      </c>
      <c r="P66" t="n">
        <v>2146.99</v>
      </c>
      <c r="Q66" t="inlineStr">
        <is>
          <t>формула: ROI 25%</t>
        </is>
      </c>
    </row>
    <row r="67">
      <c r="A67" t="inlineStr">
        <is>
          <t>FBO</t>
        </is>
      </c>
      <c r="B67" t="n">
        <v>99</v>
      </c>
      <c r="C67" t="inlineStr">
        <is>
          <t>PETITFEE - Black Pearl &amp; Gold Hydrogel Eye Patch [60ea] / Гидрогелевые патчи для глаз с черным жемчугом и золотом</t>
        </is>
      </c>
      <c r="D67" t="n">
        <v>909</v>
      </c>
      <c r="E67" t="n">
        <v>387.67</v>
      </c>
      <c r="F67" t="n">
        <v>447.67</v>
      </c>
      <c r="G67" t="n">
        <v>1650</v>
      </c>
      <c r="H67" t="n">
        <v>907.5</v>
      </c>
      <c r="I67" t="n">
        <v>1780</v>
      </c>
      <c r="J67" t="n">
        <v>15</v>
      </c>
      <c r="K67" t="n">
        <v>302.75</v>
      </c>
      <c r="L67" t="n">
        <v>55.25</v>
      </c>
      <c r="M67" t="n">
        <v>3.35</v>
      </c>
      <c r="N67" t="n">
        <v>12.3</v>
      </c>
      <c r="O67" t="n">
        <v>1499.25</v>
      </c>
      <c r="P67" t="n">
        <v>1804.61</v>
      </c>
      <c r="Q67" t="inlineStr">
        <is>
          <t>ручная цена в модели</t>
        </is>
      </c>
    </row>
    <row r="68">
      <c r="A68" t="inlineStr">
        <is>
          <t>FBO</t>
        </is>
      </c>
      <c r="B68" t="n">
        <v>100</v>
      </c>
      <c r="C68" t="inlineStr">
        <is>
          <t>PETITFEE - Agave Cooling Hydrogel Eye Patch [60ea] / Охлаждающие гидрогелевые патчи для глаз с экстрактом агавы</t>
        </is>
      </c>
      <c r="D68" t="n">
        <v>933</v>
      </c>
      <c r="E68" t="n">
        <v>415.46</v>
      </c>
      <c r="F68" t="n">
        <v>475.46</v>
      </c>
      <c r="G68" t="n">
        <v>1630</v>
      </c>
      <c r="H68" t="n">
        <v>896.5</v>
      </c>
      <c r="I68" t="n">
        <v>1730</v>
      </c>
      <c r="J68" t="n">
        <v>15</v>
      </c>
      <c r="K68" t="n">
        <v>264.63</v>
      </c>
      <c r="L68" t="n">
        <v>20.13</v>
      </c>
      <c r="M68" t="n">
        <v>1.24</v>
      </c>
      <c r="N68" t="n">
        <v>4.2</v>
      </c>
      <c r="O68" t="n">
        <v>1575.07</v>
      </c>
      <c r="P68" t="n">
        <v>1899.4</v>
      </c>
      <c r="Q68" t="inlineStr">
        <is>
          <t>ручная цена в модели</t>
        </is>
      </c>
    </row>
    <row r="69">
      <c r="A69" t="inlineStr">
        <is>
          <t>FBO</t>
        </is>
      </c>
      <c r="B69" t="n">
        <v>101</v>
      </c>
      <c r="C69" t="inlineStr">
        <is>
          <t>PETITFEE - Gold &amp; Snail Hydrogel Eye Patch [60ea] / Гидрогелевые патчи для глаз с золотом и улиткой</t>
        </is>
      </c>
      <c r="D69" t="n">
        <v>909</v>
      </c>
      <c r="E69" t="n">
        <v>415.46</v>
      </c>
      <c r="F69" t="n">
        <v>475.46</v>
      </c>
      <c r="G69" t="n">
        <v>1630</v>
      </c>
      <c r="H69" t="n">
        <v>896.5</v>
      </c>
      <c r="I69" t="n">
        <v>1740</v>
      </c>
      <c r="J69" t="n">
        <v>15</v>
      </c>
      <c r="K69" t="n">
        <v>264.63</v>
      </c>
      <c r="L69" t="n">
        <v>20.13</v>
      </c>
      <c r="M69" t="n">
        <v>1.24</v>
      </c>
      <c r="N69" t="n">
        <v>4.2</v>
      </c>
      <c r="O69" t="n">
        <v>1575.07</v>
      </c>
      <c r="P69" t="n">
        <v>1899.4</v>
      </c>
      <c r="Q69" t="inlineStr">
        <is>
          <t>ручная цена в модели</t>
        </is>
      </c>
    </row>
    <row r="70">
      <c r="A70" t="inlineStr">
        <is>
          <t>FBO</t>
        </is>
      </c>
      <c r="B70" t="n">
        <v>102</v>
      </c>
      <c r="C70" t="inlineStr">
        <is>
          <t>PETITFEE - Gold Hydrogel Eye Patch [60ea] / гидрогелевые патчи для глаз с золотом</t>
        </is>
      </c>
      <c r="D70" t="n">
        <v>700</v>
      </c>
      <c r="E70" t="n">
        <v>415.46</v>
      </c>
      <c r="F70" t="n">
        <v>475.46</v>
      </c>
      <c r="G70" t="n">
        <v>1800</v>
      </c>
      <c r="H70" t="n">
        <v>990</v>
      </c>
      <c r="I70" t="n">
        <v>1930</v>
      </c>
      <c r="J70" t="n">
        <v>15</v>
      </c>
      <c r="K70" t="n">
        <v>352.44</v>
      </c>
      <c r="L70" t="n">
        <v>82.44</v>
      </c>
      <c r="M70" t="n">
        <v>4.58</v>
      </c>
      <c r="N70" t="n">
        <v>17.3</v>
      </c>
      <c r="O70" t="n">
        <v>1575.07</v>
      </c>
      <c r="P70" t="n">
        <v>1899.4</v>
      </c>
      <c r="Q70" t="inlineStr">
        <is>
          <t>ручная цена в модели</t>
        </is>
      </c>
    </row>
    <row r="71">
      <c r="A71" t="inlineStr">
        <is>
          <t>FBO</t>
        </is>
      </c>
      <c r="B71" t="n">
        <v>103</v>
      </c>
      <c r="C71" t="inlineStr">
        <is>
          <t>PETITFEE - Black Pearl &amp; Gold Hydrogel Eye Patch [1 pairs]/ Гидрогелевые патчи для глаз с черным жемчугом и золотом 1 пара</t>
        </is>
      </c>
      <c r="D71" t="n">
        <v>320</v>
      </c>
      <c r="E71" t="n">
        <v>71.23999999999999</v>
      </c>
      <c r="F71" t="n">
        <v>131.24</v>
      </c>
      <c r="G71" t="n">
        <v>684.61</v>
      </c>
      <c r="H71" t="n">
        <v>376.53</v>
      </c>
      <c r="I71" t="inlineStr"/>
      <c r="J71" t="n">
        <v>15</v>
      </c>
      <c r="K71" t="n">
        <v>135.5</v>
      </c>
      <c r="L71" t="n">
        <v>32.81</v>
      </c>
      <c r="M71" t="n">
        <v>4.79</v>
      </c>
      <c r="N71" t="n">
        <v>25</v>
      </c>
      <c r="O71" t="n">
        <v>595.08</v>
      </c>
      <c r="P71" t="n">
        <v>684.61</v>
      </c>
      <c r="Q71" t="inlineStr">
        <is>
          <t>формула: ROI 25%</t>
        </is>
      </c>
    </row>
    <row r="72">
      <c r="A72" t="inlineStr">
        <is>
          <t>FBO</t>
        </is>
      </c>
      <c r="B72" t="n">
        <v>104</v>
      </c>
      <c r="C72" t="inlineStr">
        <is>
          <t>PETITFEE - Gold Hydrogel Eye Patch [1 Pairs] / гидрогелевые патчи для глаз с золотом 1 пара</t>
        </is>
      </c>
      <c r="D72" t="n">
        <v>428</v>
      </c>
      <c r="E72" t="n">
        <v>71.23999999999999</v>
      </c>
      <c r="F72" t="n">
        <v>131.24</v>
      </c>
      <c r="G72" t="n">
        <v>684.61</v>
      </c>
      <c r="H72" t="n">
        <v>376.53</v>
      </c>
      <c r="I72" t="inlineStr"/>
      <c r="J72" t="n">
        <v>15</v>
      </c>
      <c r="K72" t="n">
        <v>135.5</v>
      </c>
      <c r="L72" t="n">
        <v>32.81</v>
      </c>
      <c r="M72" t="n">
        <v>4.79</v>
      </c>
      <c r="N72" t="n">
        <v>25</v>
      </c>
      <c r="O72" t="n">
        <v>595.08</v>
      </c>
      <c r="P72" t="n">
        <v>684.61</v>
      </c>
      <c r="Q72" t="inlineStr">
        <is>
          <t>формула: ROI 25%</t>
        </is>
      </c>
    </row>
    <row r="73">
      <c r="A73" t="inlineStr">
        <is>
          <t>FBO</t>
        </is>
      </c>
      <c r="B73" t="n">
        <v>106</v>
      </c>
      <c r="C73" t="inlineStr">
        <is>
          <t>PETITFEE - Agave Cooling Hydrogel Face Mask [5pcs] / Охлаждающая гидрогелевая маска для лица с экстрактом агавы</t>
        </is>
      </c>
      <c r="D73" t="n">
        <v>951</v>
      </c>
      <c r="E73" t="n">
        <v>486.41</v>
      </c>
      <c r="F73" t="n">
        <v>546.41</v>
      </c>
      <c r="G73" t="n">
        <v>2200</v>
      </c>
      <c r="H73" t="n">
        <v>1210</v>
      </c>
      <c r="I73" t="n">
        <v>2480</v>
      </c>
      <c r="J73" t="n">
        <v>15</v>
      </c>
      <c r="K73" t="n">
        <v>480</v>
      </c>
      <c r="L73" t="n">
        <v>150</v>
      </c>
      <c r="M73" t="n">
        <v>6.82</v>
      </c>
      <c r="N73" t="n">
        <v>27.5</v>
      </c>
      <c r="O73" t="n">
        <v>1790.72</v>
      </c>
      <c r="P73" t="n">
        <v>2163.45</v>
      </c>
      <c r="Q73" t="inlineStr">
        <is>
          <t>ручная цена в модели</t>
        </is>
      </c>
    </row>
    <row r="74">
      <c r="A74" t="inlineStr">
        <is>
          <t>FBO</t>
        </is>
      </c>
      <c r="B74" t="n">
        <v>107</v>
      </c>
      <c r="C74" t="inlineStr">
        <is>
          <t>PETITFEE - Gold Hydrogel Mask Pack [5pcs] / Гидрогелевая маска для лица с золотом</t>
        </is>
      </c>
      <c r="D74" t="n">
        <v>734</v>
      </c>
      <c r="E74" t="n">
        <v>507.16</v>
      </c>
      <c r="F74" t="n">
        <v>567.16</v>
      </c>
      <c r="G74" t="n">
        <v>2300</v>
      </c>
      <c r="H74" t="n">
        <v>1265</v>
      </c>
      <c r="I74" t="n">
        <v>2570</v>
      </c>
      <c r="J74" t="n">
        <v>15</v>
      </c>
      <c r="K74" t="n">
        <v>510.9</v>
      </c>
      <c r="L74" t="n">
        <v>165.9</v>
      </c>
      <c r="M74" t="n">
        <v>7.21</v>
      </c>
      <c r="N74" t="n">
        <v>29.3</v>
      </c>
      <c r="O74" t="n">
        <v>1847.34</v>
      </c>
      <c r="P74" t="n">
        <v>2234.22</v>
      </c>
      <c r="Q74" t="inlineStr">
        <is>
          <t>ручная цена в модели</t>
        </is>
      </c>
    </row>
    <row r="75">
      <c r="A75" t="inlineStr">
        <is>
          <t>FBO</t>
        </is>
      </c>
      <c r="B75" t="n">
        <v>108</v>
      </c>
      <c r="C75" t="inlineStr">
        <is>
          <t>PETITFEE - Cacao Energizing Hydrogel Mask Pack [5pcs] / Тонизирующая гидрогелевая маска для лица с экстрактом какао</t>
        </is>
      </c>
      <c r="D75" t="n">
        <v>619</v>
      </c>
      <c r="E75" t="n">
        <v>496.86</v>
      </c>
      <c r="F75" t="n">
        <v>556.86</v>
      </c>
      <c r="G75" t="n">
        <v>2250</v>
      </c>
      <c r="H75" t="n">
        <v>1237.5</v>
      </c>
      <c r="I75" t="n">
        <v>2680</v>
      </c>
      <c r="J75" t="n">
        <v>15</v>
      </c>
      <c r="K75" t="n">
        <v>495.37</v>
      </c>
      <c r="L75" t="n">
        <v>157.87</v>
      </c>
      <c r="M75" t="n">
        <v>7.02</v>
      </c>
      <c r="N75" t="n">
        <v>28.4</v>
      </c>
      <c r="O75" t="n">
        <v>1819.24</v>
      </c>
      <c r="P75" t="n">
        <v>2199.09</v>
      </c>
      <c r="Q75" t="inlineStr">
        <is>
          <t>ручная цена в модели</t>
        </is>
      </c>
    </row>
    <row r="76">
      <c r="A76" t="inlineStr">
        <is>
          <t>FBO</t>
        </is>
      </c>
      <c r="B76" t="n">
        <v>109</v>
      </c>
      <c r="C76" t="inlineStr">
        <is>
          <t>PETITFEE - Artichoke Soothing Hydrogel Face Mask [5pcs] / Смягчающая гидрогелевая маска для лица с экстрактом артишока</t>
        </is>
      </c>
      <c r="D76" t="n">
        <v>542</v>
      </c>
      <c r="E76" t="n">
        <v>498.54</v>
      </c>
      <c r="F76" t="n">
        <v>558.54</v>
      </c>
      <c r="G76" t="n">
        <v>2300</v>
      </c>
      <c r="H76" t="n">
        <v>1265</v>
      </c>
      <c r="I76" t="n">
        <v>2420</v>
      </c>
      <c r="J76" t="n">
        <v>15</v>
      </c>
      <c r="K76" t="n">
        <v>519.52</v>
      </c>
      <c r="L76" t="n">
        <v>174.52</v>
      </c>
      <c r="M76" t="n">
        <v>7.59</v>
      </c>
      <c r="N76" t="n">
        <v>31.2</v>
      </c>
      <c r="O76" t="n">
        <v>1823.82</v>
      </c>
      <c r="P76" t="n">
        <v>2204.82</v>
      </c>
      <c r="Q76" t="inlineStr">
        <is>
          <t>ручная цена в модели</t>
        </is>
      </c>
    </row>
    <row r="77">
      <c r="A77" t="inlineStr">
        <is>
          <t>FBO</t>
        </is>
      </c>
      <c r="B77" t="n">
        <v>110</v>
      </c>
      <c r="C77" t="inlineStr">
        <is>
          <t>PETITFEE - Gold &amp; Snail Hydrogel Mask Pack [5pcs] / Гидрогелевая маска для лица с золотом и экстрактом улитки</t>
        </is>
      </c>
      <c r="D77" t="n">
        <v>453</v>
      </c>
      <c r="E77" t="n">
        <v>478.17</v>
      </c>
      <c r="F77" t="n">
        <v>538.17</v>
      </c>
      <c r="G77" t="n">
        <v>2135</v>
      </c>
      <c r="H77" t="n">
        <v>1174.25</v>
      </c>
      <c r="I77" t="n">
        <v>2280</v>
      </c>
      <c r="J77" t="n">
        <v>15</v>
      </c>
      <c r="K77" t="n">
        <v>454.67</v>
      </c>
      <c r="L77" t="n">
        <v>134.42</v>
      </c>
      <c r="M77" t="n">
        <v>6.3</v>
      </c>
      <c r="N77" t="n">
        <v>25</v>
      </c>
      <c r="O77" t="n">
        <v>1768.24</v>
      </c>
      <c r="P77" t="n">
        <v>2135.34</v>
      </c>
      <c r="Q77" t="inlineStr">
        <is>
          <t>ручная цена в модели</t>
        </is>
      </c>
    </row>
    <row r="78">
      <c r="A78" t="inlineStr">
        <is>
          <t>FBO</t>
        </is>
      </c>
      <c r="B78" t="n">
        <v>111</v>
      </c>
      <c r="C78" t="inlineStr">
        <is>
          <t>PETITFEE - Black Pearl &amp; Gold Hydrogel Mask Pack [5pcs] / Гидрогелевая маска для лица с черным жемчугом и золотом</t>
        </is>
      </c>
      <c r="D78" t="n">
        <v>543</v>
      </c>
      <c r="E78" t="n">
        <v>478.05</v>
      </c>
      <c r="F78" t="n">
        <v>538.05</v>
      </c>
      <c r="G78" t="n">
        <v>2135</v>
      </c>
      <c r="H78" t="n">
        <v>1174.25</v>
      </c>
      <c r="I78" t="n">
        <v>2225</v>
      </c>
      <c r="J78" t="n">
        <v>15</v>
      </c>
      <c r="K78" t="n">
        <v>454.79</v>
      </c>
      <c r="L78" t="n">
        <v>134.54</v>
      </c>
      <c r="M78" t="n">
        <v>6.3</v>
      </c>
      <c r="N78" t="n">
        <v>25</v>
      </c>
      <c r="O78" t="n">
        <v>1767.91</v>
      </c>
      <c r="P78" t="n">
        <v>2134.93</v>
      </c>
      <c r="Q78" t="inlineStr">
        <is>
          <t>ручная цена в модели</t>
        </is>
      </c>
    </row>
    <row r="79">
      <c r="A79" t="inlineStr">
        <is>
          <t>FBO</t>
        </is>
      </c>
      <c r="B79" t="n">
        <v>113</v>
      </c>
      <c r="C79" t="inlineStr">
        <is>
          <t>ROUND LAB 1025 DOKDO CLEANSER_150ml</t>
        </is>
      </c>
      <c r="D79" t="n">
        <v>7158</v>
      </c>
      <c r="E79" t="n">
        <v>463.19</v>
      </c>
      <c r="F79" t="n">
        <v>523.1900000000001</v>
      </c>
      <c r="G79" t="n">
        <v>2200</v>
      </c>
      <c r="H79" t="n">
        <v>1210</v>
      </c>
      <c r="I79" t="n">
        <v>2335</v>
      </c>
      <c r="J79" t="n">
        <v>15</v>
      </c>
      <c r="K79" t="n">
        <v>500.09</v>
      </c>
      <c r="L79" t="n">
        <v>170.09</v>
      </c>
      <c r="M79" t="n">
        <v>7.73</v>
      </c>
      <c r="N79" t="n">
        <v>32.5</v>
      </c>
      <c r="O79" t="n">
        <v>1735.91</v>
      </c>
      <c r="P79" t="n">
        <v>2092.79</v>
      </c>
      <c r="Q79" t="inlineStr">
        <is>
          <t>ручная цена в модели</t>
        </is>
      </c>
    </row>
    <row r="80">
      <c r="A80" t="inlineStr">
        <is>
          <t>FBO</t>
        </is>
      </c>
      <c r="B80" t="n">
        <v>114</v>
      </c>
      <c r="C80" t="inlineStr">
        <is>
          <t>ROUND LAB BIRCH JUICE MOISTURIZING CREAM_80ml -Увлажняющий крем с березовым соком</t>
        </is>
      </c>
      <c r="D80" t="n">
        <v>260</v>
      </c>
      <c r="E80" t="n">
        <v>1092.96</v>
      </c>
      <c r="F80" t="n">
        <v>1152.96</v>
      </c>
      <c r="G80" t="n">
        <v>4195.28</v>
      </c>
      <c r="H80" t="n">
        <v>2307.4</v>
      </c>
      <c r="I80" t="inlineStr"/>
      <c r="J80" t="n">
        <v>15</v>
      </c>
      <c r="K80" t="n">
        <v>917.53</v>
      </c>
      <c r="L80" t="n">
        <v>288.24</v>
      </c>
      <c r="M80" t="n">
        <v>6.87</v>
      </c>
      <c r="N80" t="n">
        <v>25</v>
      </c>
      <c r="O80" t="n">
        <v>3408.81</v>
      </c>
      <c r="P80" t="n">
        <v>4195.28</v>
      </c>
      <c r="Q80" t="inlineStr">
        <is>
          <t>формула: ROI 25%</t>
        </is>
      </c>
    </row>
    <row r="81">
      <c r="A81" t="inlineStr">
        <is>
          <t>FBO</t>
        </is>
      </c>
      <c r="B81" t="n">
        <v>115</v>
      </c>
      <c r="C81" t="inlineStr">
        <is>
          <t>ROUND LAB MUGWORT CALMING CLEANSER_150ml - Очищающая пенка для умывания лица от прыщей и акне</t>
        </is>
      </c>
      <c r="D81" t="n">
        <v>1422</v>
      </c>
      <c r="E81" t="n">
        <v>512.3200000000001</v>
      </c>
      <c r="F81" t="n">
        <v>572.3200000000001</v>
      </c>
      <c r="G81" t="n">
        <v>2232.57</v>
      </c>
      <c r="H81" t="n">
        <v>1227.92</v>
      </c>
      <c r="I81" t="inlineStr"/>
      <c r="J81" t="n">
        <v>15</v>
      </c>
      <c r="K81" t="n">
        <v>477.97</v>
      </c>
      <c r="L81" t="n">
        <v>143.08</v>
      </c>
      <c r="M81" t="n">
        <v>6.41</v>
      </c>
      <c r="N81" t="n">
        <v>25</v>
      </c>
      <c r="O81" t="n">
        <v>1842.18</v>
      </c>
      <c r="P81" t="n">
        <v>2232.57</v>
      </c>
      <c r="Q81" t="inlineStr">
        <is>
          <t>формула: ROI 25%</t>
        </is>
      </c>
    </row>
    <row r="82">
      <c r="A82" t="inlineStr">
        <is>
          <t>FBO</t>
        </is>
      </c>
      <c r="B82" t="n">
        <v>116</v>
      </c>
      <c r="C82" t="inlineStr">
        <is>
          <t>ROUND LAB SOYBEAN PANTHENOL CREAM_80ml - Крем для лица с чёрной соей и пантенолом успокаивающий</t>
        </is>
      </c>
      <c r="D82" t="n">
        <v>150</v>
      </c>
      <c r="E82" t="n">
        <v>1161.41</v>
      </c>
      <c r="F82" t="n">
        <v>1221.41</v>
      </c>
      <c r="G82" t="n">
        <v>4428.74</v>
      </c>
      <c r="H82" t="n">
        <v>2435.8</v>
      </c>
      <c r="I82" t="inlineStr"/>
      <c r="J82" t="n">
        <v>15</v>
      </c>
      <c r="K82" t="n">
        <v>969.66</v>
      </c>
      <c r="L82" t="n">
        <v>305.35</v>
      </c>
      <c r="M82" t="n">
        <v>6.89</v>
      </c>
      <c r="N82" t="n">
        <v>25</v>
      </c>
      <c r="O82" t="n">
        <v>3595.58</v>
      </c>
      <c r="P82" t="n">
        <v>4428.74</v>
      </c>
      <c r="Q82" t="inlineStr">
        <is>
          <t>формула: ROI 25%</t>
        </is>
      </c>
    </row>
    <row r="83">
      <c r="A83" t="inlineStr">
        <is>
          <t>FBO</t>
        </is>
      </c>
      <c r="B83" t="n">
        <v>117</v>
      </c>
      <c r="C83" t="inlineStr">
        <is>
          <t>ROUND LAB PINE CALMING CICA AMPOULE_30ml - Сыворотка для жирной кожи лица увлажняющая с центеллой</t>
        </is>
      </c>
      <c r="D83" t="n">
        <v>37</v>
      </c>
      <c r="E83" t="n">
        <v>819.72</v>
      </c>
      <c r="F83" t="n">
        <v>879.72</v>
      </c>
      <c r="G83" t="n">
        <v>3263.07</v>
      </c>
      <c r="H83" t="n">
        <v>1794.69</v>
      </c>
      <c r="I83" t="inlineStr"/>
      <c r="J83" t="n">
        <v>15</v>
      </c>
      <c r="K83" t="n">
        <v>709.39</v>
      </c>
      <c r="L83" t="n">
        <v>219.93</v>
      </c>
      <c r="M83" t="n">
        <v>6.74</v>
      </c>
      <c r="N83" t="n">
        <v>25</v>
      </c>
      <c r="O83" t="n">
        <v>2662.99</v>
      </c>
      <c r="P83" t="n">
        <v>3263.07</v>
      </c>
      <c r="Q83" t="inlineStr">
        <is>
          <t>формула: ROI 25%</t>
        </is>
      </c>
    </row>
    <row r="84">
      <c r="A84" t="inlineStr">
        <is>
          <t>FBO</t>
        </is>
      </c>
      <c r="B84" t="n">
        <v>118</v>
      </c>
      <c r="C84" t="inlineStr">
        <is>
          <t>ROUND LAB 1025 DOKDO TONER_200ml</t>
        </is>
      </c>
      <c r="D84" t="n">
        <v>998</v>
      </c>
      <c r="E84" t="n">
        <v>463.19</v>
      </c>
      <c r="F84" t="n">
        <v>523.1900000000001</v>
      </c>
      <c r="G84" t="n">
        <v>3100</v>
      </c>
      <c r="H84" t="n">
        <v>1705</v>
      </c>
      <c r="I84" t="n">
        <v>3400</v>
      </c>
      <c r="J84" t="n">
        <v>15</v>
      </c>
      <c r="K84" t="n">
        <v>964.9400000000001</v>
      </c>
      <c r="L84" t="n">
        <v>499.94</v>
      </c>
      <c r="M84" t="n">
        <v>16.13</v>
      </c>
      <c r="N84" t="n">
        <v>95.59999999999999</v>
      </c>
      <c r="O84" t="n">
        <v>1735.91</v>
      </c>
      <c r="P84" t="n">
        <v>2092.79</v>
      </c>
      <c r="Q84" t="inlineStr">
        <is>
          <t>ручная цена в модели</t>
        </is>
      </c>
    </row>
    <row r="85">
      <c r="A85" t="inlineStr">
        <is>
          <t>FBO</t>
        </is>
      </c>
      <c r="B85" t="n">
        <v>120</v>
      </c>
      <c r="C85" t="inlineStr">
        <is>
          <t>SKIN1004 - Madagascar Centella Ampoule [30ml] / Сыворотка для лица успокаивающая из экстракта центеллы.</t>
        </is>
      </c>
      <c r="D85" t="n">
        <v>30</v>
      </c>
      <c r="E85" t="n">
        <v>367.89</v>
      </c>
      <c r="F85" t="n">
        <v>427.89</v>
      </c>
      <c r="G85" t="n">
        <v>1722.04</v>
      </c>
      <c r="H85" t="n">
        <v>947.12</v>
      </c>
      <c r="I85" t="inlineStr"/>
      <c r="J85" t="n">
        <v>15</v>
      </c>
      <c r="K85" t="n">
        <v>365.28</v>
      </c>
      <c r="L85" t="n">
        <v>106.97</v>
      </c>
      <c r="M85" t="n">
        <v>6.21</v>
      </c>
      <c r="N85" t="n">
        <v>25</v>
      </c>
      <c r="O85" t="n">
        <v>1430.17</v>
      </c>
      <c r="P85" t="n">
        <v>1722.04</v>
      </c>
      <c r="Q85" t="inlineStr">
        <is>
          <t>формула: ROI 25%</t>
        </is>
      </c>
    </row>
    <row r="86">
      <c r="A86" t="inlineStr">
        <is>
          <t>FBO</t>
        </is>
      </c>
      <c r="B86" t="n">
        <v>121</v>
      </c>
      <c r="C86" t="inlineStr">
        <is>
          <t>SKIN1004 - Madagascar Centella Hyalu-Cica Sleeping Pack [30ml] / Увлажняющая гиалуроновая ночная маска для сухой кожи</t>
        </is>
      </c>
      <c r="D86" t="n">
        <v>22</v>
      </c>
      <c r="E86" t="n">
        <v>294.15</v>
      </c>
      <c r="F86" t="n">
        <v>354.15</v>
      </c>
      <c r="G86" t="n">
        <v>1470.54</v>
      </c>
      <c r="H86" t="n">
        <v>808.8</v>
      </c>
      <c r="I86" t="inlineStr"/>
      <c r="J86" t="n">
        <v>15</v>
      </c>
      <c r="K86" t="n">
        <v>309.12</v>
      </c>
      <c r="L86" t="n">
        <v>88.54000000000001</v>
      </c>
      <c r="M86" t="n">
        <v>6.02</v>
      </c>
      <c r="N86" t="n">
        <v>25</v>
      </c>
      <c r="O86" t="n">
        <v>1228.97</v>
      </c>
      <c r="P86" t="n">
        <v>1470.54</v>
      </c>
      <c r="Q86" t="inlineStr">
        <is>
          <t>формула: ROI 25%</t>
        </is>
      </c>
    </row>
    <row r="87">
      <c r="A87" t="inlineStr">
        <is>
          <t>FBO</t>
        </is>
      </c>
      <c r="B87" t="n">
        <v>123</v>
      </c>
      <c r="C87" t="inlineStr">
        <is>
          <t>SOME BY MI - AHA-BHA-PHA 30 Days Miracle Cleansing Bar [106g] / Мыло для проблемной кожи с aha bha кислотами</t>
        </is>
      </c>
      <c r="D87" t="n">
        <v>527</v>
      </c>
      <c r="E87" t="n">
        <v>549.71</v>
      </c>
      <c r="F87" t="n">
        <v>609.71</v>
      </c>
      <c r="G87" t="n">
        <v>2341.04</v>
      </c>
      <c r="H87" t="n">
        <v>1287.57</v>
      </c>
      <c r="I87" t="inlineStr"/>
      <c r="J87" t="n">
        <v>15</v>
      </c>
      <c r="K87" t="n">
        <v>503.58</v>
      </c>
      <c r="L87" t="n">
        <v>152.43</v>
      </c>
      <c r="M87" t="n">
        <v>6.51</v>
      </c>
      <c r="N87" t="n">
        <v>25</v>
      </c>
      <c r="O87" t="n">
        <v>1925.13</v>
      </c>
      <c r="P87" t="n">
        <v>2341.04</v>
      </c>
      <c r="Q87" t="inlineStr">
        <is>
          <t>формула: ROI 25%</t>
        </is>
      </c>
    </row>
    <row r="88">
      <c r="A88" t="inlineStr">
        <is>
          <t>FBO</t>
        </is>
      </c>
      <c r="B88" t="n">
        <v>124</v>
      </c>
      <c r="C88" t="inlineStr">
        <is>
          <t>SOME BY MI - AHA-BHA-PHA 30 Days Miracle Cream [60g] / Крем для лица</t>
        </is>
      </c>
      <c r="D88" t="n">
        <v>55</v>
      </c>
      <c r="E88" t="n">
        <v>1057.2</v>
      </c>
      <c r="F88" t="n">
        <v>1117.2</v>
      </c>
      <c r="G88" t="n">
        <v>4073.31</v>
      </c>
      <c r="H88" t="n">
        <v>2240.32</v>
      </c>
      <c r="I88" t="inlineStr"/>
      <c r="J88" t="n">
        <v>15</v>
      </c>
      <c r="K88" t="n">
        <v>890.3</v>
      </c>
      <c r="L88" t="n">
        <v>279.3</v>
      </c>
      <c r="M88" t="n">
        <v>6.86</v>
      </c>
      <c r="N88" t="n">
        <v>25</v>
      </c>
      <c r="O88" t="n">
        <v>3311.24</v>
      </c>
      <c r="P88" t="n">
        <v>4073.31</v>
      </c>
      <c r="Q88" t="inlineStr">
        <is>
          <t>формула: ROI 25%</t>
        </is>
      </c>
    </row>
    <row r="89">
      <c r="A89" t="inlineStr">
        <is>
          <t>FBO</t>
        </is>
      </c>
      <c r="B89" t="n">
        <v>126</v>
      </c>
      <c r="C89" t="inlineStr">
        <is>
          <t>THE ORDINARY - Argireline Solution 10% [30ml] / Сыворотка для лица от прыщей и акне с ниацинамидом 10 %</t>
        </is>
      </c>
      <c r="D89" t="n">
        <v>117</v>
      </c>
      <c r="E89" t="n">
        <v>722.04</v>
      </c>
      <c r="F89" t="n">
        <v>782.04</v>
      </c>
      <c r="G89" t="n">
        <v>2929.92</v>
      </c>
      <c r="H89" t="n">
        <v>1611.46</v>
      </c>
      <c r="I89" t="inlineStr"/>
      <c r="J89" t="n">
        <v>15</v>
      </c>
      <c r="K89" t="n">
        <v>635</v>
      </c>
      <c r="L89" t="n">
        <v>195.51</v>
      </c>
      <c r="M89" t="n">
        <v>6.67</v>
      </c>
      <c r="N89" t="n">
        <v>25</v>
      </c>
      <c r="O89" t="n">
        <v>2396.47</v>
      </c>
      <c r="P89" t="n">
        <v>2929.92</v>
      </c>
      <c r="Q89" t="inlineStr">
        <is>
          <t>формула: ROI 25%</t>
        </is>
      </c>
    </row>
    <row r="90">
      <c r="A90" t="inlineStr">
        <is>
          <t>FBO</t>
        </is>
      </c>
      <c r="B90" t="n">
        <v>127</v>
      </c>
      <c r="C90" t="inlineStr">
        <is>
          <t>THE ORDINARY - Glycolic Acid 7% Toning Solution [KOR] [240ml] / Тоник с гликолевой кислотой 7%</t>
        </is>
      </c>
      <c r="D90" t="n">
        <v>32</v>
      </c>
      <c r="E90" t="n">
        <v>845.49</v>
      </c>
      <c r="F90" t="n">
        <v>905.49</v>
      </c>
      <c r="G90" t="n">
        <v>3367.98</v>
      </c>
      <c r="H90" t="n">
        <v>1852.39</v>
      </c>
      <c r="I90" t="inlineStr"/>
      <c r="J90" t="n">
        <v>15</v>
      </c>
      <c r="K90" t="n">
        <v>731.5700000000001</v>
      </c>
      <c r="L90" t="n">
        <v>226.37</v>
      </c>
      <c r="M90" t="n">
        <v>6.72</v>
      </c>
      <c r="N90" t="n">
        <v>25</v>
      </c>
      <c r="O90" t="n">
        <v>2750.32</v>
      </c>
      <c r="P90" t="n">
        <v>3367.98</v>
      </c>
      <c r="Q90" t="inlineStr">
        <is>
          <t>формула: ROI 25%</t>
        </is>
      </c>
    </row>
    <row r="91">
      <c r="A91" t="inlineStr">
        <is>
          <t>FBO</t>
        </is>
      </c>
      <c r="B91" t="n">
        <v>129</v>
      </c>
      <c r="C91" t="inlineStr">
        <is>
          <t>Celimax Dual Barrier Creamy Toner</t>
        </is>
      </c>
      <c r="D91" t="n">
        <v>4929</v>
      </c>
      <c r="E91" t="n">
        <v>663.86</v>
      </c>
      <c r="F91" t="n">
        <v>723.86</v>
      </c>
      <c r="G91" t="n">
        <v>2450</v>
      </c>
      <c r="H91" t="n">
        <v>1347.5</v>
      </c>
      <c r="I91" t="n">
        <v>2600</v>
      </c>
      <c r="J91" t="n">
        <v>15</v>
      </c>
      <c r="K91" t="n">
        <v>439.06</v>
      </c>
      <c r="L91" t="n">
        <v>71.56</v>
      </c>
      <c r="M91" t="n">
        <v>2.92</v>
      </c>
      <c r="N91" t="n">
        <v>9.9</v>
      </c>
      <c r="O91" t="n">
        <v>2254.74</v>
      </c>
      <c r="P91" t="n">
        <v>2748.51</v>
      </c>
      <c r="Q91" t="inlineStr">
        <is>
          <t>ручная цена в модели</t>
        </is>
      </c>
    </row>
    <row r="92">
      <c r="A92" t="inlineStr">
        <is>
          <t>FBO</t>
        </is>
      </c>
      <c r="B92" t="n">
        <v>130</v>
      </c>
      <c r="C92" t="inlineStr">
        <is>
          <t>CELIMAX THE VITA-A RETINAL SHOT TIGHTENING BOOSTER [15ml]/Подтягивающий бустер-крем с ретинолом для лица</t>
        </is>
      </c>
      <c r="D92" t="n">
        <v>9768</v>
      </c>
      <c r="E92" t="n">
        <v>512.1799999999999</v>
      </c>
      <c r="F92" t="n">
        <v>572.1799999999999</v>
      </c>
      <c r="G92" t="n">
        <v>2150</v>
      </c>
      <c r="H92" t="n">
        <v>1182.5</v>
      </c>
      <c r="I92" t="n">
        <v>2250</v>
      </c>
      <c r="J92" t="n">
        <v>15</v>
      </c>
      <c r="K92" t="n">
        <v>450.76</v>
      </c>
      <c r="L92" t="n">
        <v>128.26</v>
      </c>
      <c r="M92" t="n">
        <v>5.97</v>
      </c>
      <c r="N92" t="n">
        <v>22.4</v>
      </c>
      <c r="O92" t="n">
        <v>1800.03</v>
      </c>
      <c r="P92" t="n">
        <v>2190.33</v>
      </c>
      <c r="Q92" t="inlineStr">
        <is>
          <t>ручная цена в модели</t>
        </is>
      </c>
    </row>
    <row r="93">
      <c r="A93" t="inlineStr">
        <is>
          <t>FBO</t>
        </is>
      </c>
      <c r="B93" t="n">
        <v>131</v>
      </c>
      <c r="C93" t="inlineStr">
        <is>
          <t>CELIMAX THE VITA-A RETINOL SHOT TIGHTENING SERUM [30ml]/Сыворотка с ретинолом и микроиглами для лица</t>
        </is>
      </c>
      <c r="D93" t="n">
        <v>3564</v>
      </c>
      <c r="E93" t="n">
        <v>532.1</v>
      </c>
      <c r="F93" t="n">
        <v>592.1</v>
      </c>
      <c r="G93" t="n">
        <v>2350</v>
      </c>
      <c r="H93" t="n">
        <v>1292.5</v>
      </c>
      <c r="I93" t="n">
        <v>2450</v>
      </c>
      <c r="J93" t="n">
        <v>15</v>
      </c>
      <c r="K93" t="n">
        <v>525.41</v>
      </c>
      <c r="L93" t="n">
        <v>172.91</v>
      </c>
      <c r="M93" t="n">
        <v>7.36</v>
      </c>
      <c r="N93" t="n">
        <v>29.2</v>
      </c>
      <c r="O93" t="n">
        <v>1878.21</v>
      </c>
      <c r="P93" t="n">
        <v>2282.1</v>
      </c>
      <c r="Q93" t="inlineStr">
        <is>
          <t>ручная цена в модели</t>
        </is>
      </c>
    </row>
    <row r="94">
      <c r="A94" t="inlineStr">
        <is>
          <t>FBO</t>
        </is>
      </c>
      <c r="B94" t="n">
        <v>132</v>
      </c>
      <c r="C94" t="inlineStr">
        <is>
          <t>CELIMAX JI WOO GAE CICA BHA BLEMISH TONER PAD_10EA [30ml]/успокаивающие тонер-пэды</t>
        </is>
      </c>
      <c r="D94" t="n">
        <v>1696</v>
      </c>
      <c r="E94" t="n">
        <v>96.94</v>
      </c>
      <c r="F94" t="n">
        <v>156.94</v>
      </c>
      <c r="G94" t="n">
        <v>745</v>
      </c>
      <c r="H94" t="n">
        <v>409.75</v>
      </c>
      <c r="I94" t="n">
        <v>775</v>
      </c>
      <c r="J94" t="n">
        <v>15</v>
      </c>
      <c r="K94" t="n">
        <v>140.53</v>
      </c>
      <c r="L94" t="n">
        <v>28.78</v>
      </c>
      <c r="M94" t="n">
        <v>3.86</v>
      </c>
      <c r="N94" t="n">
        <v>18.3</v>
      </c>
      <c r="O94" t="n">
        <v>666.48</v>
      </c>
      <c r="P94" t="n">
        <v>773.53</v>
      </c>
      <c r="Q94" t="inlineStr">
        <is>
          <t>ручная цена в модели</t>
        </is>
      </c>
    </row>
    <row r="95">
      <c r="A95" t="inlineStr">
        <is>
          <t>FBO</t>
        </is>
      </c>
      <c r="B95" t="n">
        <v>133</v>
      </c>
      <c r="C95" t="inlineStr">
        <is>
          <t>CELIMAX PORE+DARK SPOT BRIGHTENING CREAM [35ml]/Крем для выравнивания тона и рельефа кожи лица</t>
        </is>
      </c>
      <c r="D95" t="n">
        <v>99</v>
      </c>
      <c r="E95" t="n">
        <v>623.4299999999999</v>
      </c>
      <c r="F95" t="n">
        <v>683.4299999999999</v>
      </c>
      <c r="G95" t="n">
        <v>2593.6</v>
      </c>
      <c r="H95" t="n">
        <v>1426.48</v>
      </c>
      <c r="I95" t="inlineStr"/>
      <c r="J95" t="n">
        <v>15</v>
      </c>
      <c r="K95" t="n">
        <v>559.9</v>
      </c>
      <c r="L95" t="n">
        <v>170.86</v>
      </c>
      <c r="M95" t="n">
        <v>6.59</v>
      </c>
      <c r="N95" t="n">
        <v>25</v>
      </c>
      <c r="O95" t="n">
        <v>2127.41</v>
      </c>
      <c r="P95" t="n">
        <v>2593.6</v>
      </c>
      <c r="Q95" t="inlineStr">
        <is>
          <t>формула: ROI 25%</t>
        </is>
      </c>
    </row>
    <row r="96">
      <c r="A96" t="inlineStr">
        <is>
          <t>FBO</t>
        </is>
      </c>
      <c r="B96" t="n">
        <v>134</v>
      </c>
      <c r="C96" t="inlineStr">
        <is>
          <t>CELIMAX DUAL BARRIER SKIN WEARABLE CREAM [50ml]/Крем для восстановления защитного барьера кожи лица</t>
        </is>
      </c>
      <c r="D96" t="n">
        <v>446</v>
      </c>
      <c r="E96" t="n">
        <v>864.11</v>
      </c>
      <c r="F96" t="n">
        <v>924.11</v>
      </c>
      <c r="G96" t="n">
        <v>3428.17</v>
      </c>
      <c r="H96" t="n">
        <v>1885.49</v>
      </c>
      <c r="I96" t="inlineStr"/>
      <c r="J96" t="n">
        <v>15</v>
      </c>
      <c r="K96" t="n">
        <v>745.25</v>
      </c>
      <c r="L96" t="n">
        <v>231.03</v>
      </c>
      <c r="M96" t="n">
        <v>6.74</v>
      </c>
      <c r="N96" t="n">
        <v>25</v>
      </c>
      <c r="O96" t="n">
        <v>2797.81</v>
      </c>
      <c r="P96" t="n">
        <v>3428.17</v>
      </c>
      <c r="Q96" t="inlineStr">
        <is>
          <t>формула: ROI 25%</t>
        </is>
      </c>
    </row>
    <row r="97">
      <c r="A97" t="inlineStr">
        <is>
          <t>FBO</t>
        </is>
      </c>
      <c r="B97" t="n">
        <v>135</v>
      </c>
      <c r="C97" t="inlineStr">
        <is>
          <t>CELIMAX JI WOO GAE CICA BHA BLEMISH TONER PAD [170ml / 60pads]/Тонер-пэды от воспалений</t>
        </is>
      </c>
      <c r="D97" t="n">
        <v>1620</v>
      </c>
      <c r="E97" t="n">
        <v>707.88</v>
      </c>
      <c r="F97" t="n">
        <v>767.88</v>
      </c>
      <c r="G97" t="n">
        <v>3150</v>
      </c>
      <c r="H97" t="n">
        <v>1732.5</v>
      </c>
      <c r="I97" t="n">
        <v>3450</v>
      </c>
      <c r="J97" t="n">
        <v>15</v>
      </c>
      <c r="K97" t="n">
        <v>755.4299999999999</v>
      </c>
      <c r="L97" t="n">
        <v>282.93</v>
      </c>
      <c r="M97" t="n">
        <v>8.98</v>
      </c>
      <c r="N97" t="n">
        <v>36.8</v>
      </c>
      <c r="O97" t="n">
        <v>2378.02</v>
      </c>
      <c r="P97" t="n">
        <v>2901.82</v>
      </c>
      <c r="Q97" t="inlineStr">
        <is>
          <t>ручная цена в модели</t>
        </is>
      </c>
    </row>
    <row r="98">
      <c r="A98" t="inlineStr">
        <is>
          <t>FBO</t>
        </is>
      </c>
      <c r="B98" t="n">
        <v>136</v>
      </c>
      <c r="C98" t="inlineStr">
        <is>
          <t>CELIMAX THE REAL NONI ENERGY AMPOULE_30ML (NEW) [30ml]/Восстанавливающая сыворотка с экстрактом нони для лица</t>
        </is>
      </c>
      <c r="D98" t="n">
        <v>62</v>
      </c>
      <c r="E98" t="n">
        <v>763.83</v>
      </c>
      <c r="F98" t="n">
        <v>823.83</v>
      </c>
      <c r="G98" t="n">
        <v>3072.45</v>
      </c>
      <c r="H98" t="n">
        <v>1689.85</v>
      </c>
      <c r="I98" t="inlineStr"/>
      <c r="J98" t="n">
        <v>15</v>
      </c>
      <c r="K98" t="n">
        <v>666.83</v>
      </c>
      <c r="L98" t="n">
        <v>205.96</v>
      </c>
      <c r="M98" t="n">
        <v>6.7</v>
      </c>
      <c r="N98" t="n">
        <v>25</v>
      </c>
      <c r="O98" t="n">
        <v>2510.49</v>
      </c>
      <c r="P98" t="n">
        <v>3072.45</v>
      </c>
      <c r="Q98" t="inlineStr">
        <is>
          <t>формула: ROI 25%</t>
        </is>
      </c>
    </row>
    <row r="99">
      <c r="A99" t="inlineStr">
        <is>
          <t>FBO</t>
        </is>
      </c>
      <c r="B99" t="n">
        <v>137</v>
      </c>
      <c r="C99" t="inlineStr">
        <is>
          <t>CELIMAX PORE+DARK SPOT BRIGHTENING PAD [100ml / 40pads]/Тонер-пэды для выравнивания тона и рельефа кожи</t>
        </is>
      </c>
      <c r="D99" t="n">
        <v>1795</v>
      </c>
      <c r="E99" t="n">
        <v>556.1799999999999</v>
      </c>
      <c r="F99" t="n">
        <v>616.1799999999999</v>
      </c>
      <c r="G99" t="n">
        <v>2580</v>
      </c>
      <c r="H99" t="n">
        <v>1419</v>
      </c>
      <c r="I99" t="n">
        <v>2880</v>
      </c>
      <c r="J99" t="n">
        <v>15</v>
      </c>
      <c r="K99" t="n">
        <v>614.74</v>
      </c>
      <c r="L99" t="n">
        <v>227.74</v>
      </c>
      <c r="M99" t="n">
        <v>8.83</v>
      </c>
      <c r="N99" t="n">
        <v>37</v>
      </c>
      <c r="O99" t="n">
        <v>1958.6</v>
      </c>
      <c r="P99" t="n">
        <v>2378.92</v>
      </c>
      <c r="Q99" t="inlineStr">
        <is>
          <t>ручная цена в модели</t>
        </is>
      </c>
    </row>
    <row r="100">
      <c r="A100" t="inlineStr">
        <is>
          <t>FBO</t>
        </is>
      </c>
      <c r="B100" t="n">
        <v>138</v>
      </c>
      <c r="C100" t="inlineStr">
        <is>
          <t>CELIMAX PORE+DARK SPOT BRIGHTENING SERUM_30ml [30ml]/Сыворотка для выравнивания тона и рельефа кожи лица</t>
        </is>
      </c>
      <c r="D100" t="n">
        <v>124</v>
      </c>
      <c r="E100" t="n">
        <v>687.58</v>
      </c>
      <c r="F100" t="n">
        <v>747.58</v>
      </c>
      <c r="G100" t="n">
        <v>2812.39</v>
      </c>
      <c r="H100" t="n">
        <v>1546.81</v>
      </c>
      <c r="I100" t="inlineStr"/>
      <c r="J100" t="n">
        <v>15</v>
      </c>
      <c r="K100" t="n">
        <v>608.75</v>
      </c>
      <c r="L100" t="n">
        <v>186.9</v>
      </c>
      <c r="M100" t="n">
        <v>6.65</v>
      </c>
      <c r="N100" t="n">
        <v>25</v>
      </c>
      <c r="O100" t="n">
        <v>2302.44</v>
      </c>
      <c r="P100" t="n">
        <v>2812.39</v>
      </c>
      <c r="Q100" t="inlineStr">
        <is>
          <t>формула: ROI 25%</t>
        </is>
      </c>
    </row>
    <row r="101">
      <c r="A101" t="inlineStr">
        <is>
          <t>FBO</t>
        </is>
      </c>
      <c r="B101" t="n">
        <v>139</v>
      </c>
      <c r="C101" t="inlineStr">
        <is>
          <t>CELIMAX THE REAL NONI MOISTURE BALANCING TONER (NEW) [150ml]/Восстанавливающий тонер с экстрактом нони</t>
        </is>
      </c>
      <c r="D101" t="n">
        <v>194</v>
      </c>
      <c r="E101" t="n">
        <v>719.58</v>
      </c>
      <c r="F101" t="n">
        <v>779.58</v>
      </c>
      <c r="G101" t="n">
        <v>2938.55</v>
      </c>
      <c r="H101" t="n">
        <v>1616.2</v>
      </c>
      <c r="I101" t="inlineStr"/>
      <c r="J101" t="n">
        <v>15</v>
      </c>
      <c r="K101" t="n">
        <v>635.6799999999999</v>
      </c>
      <c r="L101" t="n">
        <v>194.9</v>
      </c>
      <c r="M101" t="n">
        <v>6.63</v>
      </c>
      <c r="N101" t="n">
        <v>25</v>
      </c>
      <c r="O101" t="n">
        <v>2406.77</v>
      </c>
      <c r="P101" t="n">
        <v>2938.55</v>
      </c>
      <c r="Q101" t="inlineStr">
        <is>
          <t>формула: ROI 25%</t>
        </is>
      </c>
    </row>
    <row r="102">
      <c r="A102" t="inlineStr">
        <is>
          <t>FBO</t>
        </is>
      </c>
      <c r="B102" t="n">
        <v>141</v>
      </c>
      <c r="C102" t="inlineStr">
        <is>
          <t>VT PDRN ESSENCE 100 / Укрепляющая бустер-эссенция с ПДРН</t>
        </is>
      </c>
      <c r="D102" t="n">
        <v>1071</v>
      </c>
      <c r="E102" t="n">
        <v>1335.95</v>
      </c>
      <c r="F102" t="n">
        <v>1395.95</v>
      </c>
      <c r="G102" t="n">
        <v>5700</v>
      </c>
      <c r="H102" t="n">
        <v>3135</v>
      </c>
      <c r="I102" t="n">
        <v>6000</v>
      </c>
      <c r="J102" t="n">
        <v>15</v>
      </c>
      <c r="K102" t="n">
        <v>1452.25</v>
      </c>
      <c r="L102" t="n">
        <v>597.25</v>
      </c>
      <c r="M102" t="n">
        <v>10.48</v>
      </c>
      <c r="N102" t="n">
        <v>42.8</v>
      </c>
      <c r="O102" t="n">
        <v>4070.4</v>
      </c>
      <c r="P102" t="n">
        <v>5022.62</v>
      </c>
      <c r="Q102" t="inlineStr">
        <is>
          <t>ручная цена в модели</t>
        </is>
      </c>
    </row>
    <row r="103">
      <c r="A103" t="inlineStr">
        <is>
          <t>FBO</t>
        </is>
      </c>
      <c r="B103" t="n">
        <v>142</v>
      </c>
      <c r="C103" t="inlineStr">
        <is>
          <t>VT REEDLE SHOT 100 / Бустер-сыворотка с микроиглами</t>
        </is>
      </c>
      <c r="D103" t="n">
        <v>543</v>
      </c>
      <c r="E103" t="n">
        <v>974.04</v>
      </c>
      <c r="F103" t="n">
        <v>1034.04</v>
      </c>
      <c r="G103" t="n">
        <v>5600</v>
      </c>
      <c r="H103" t="n">
        <v>3080</v>
      </c>
      <c r="I103" t="n">
        <v>5900</v>
      </c>
      <c r="J103" t="n">
        <v>15</v>
      </c>
      <c r="K103" t="n">
        <v>1761.99</v>
      </c>
      <c r="L103" t="n">
        <v>921.99</v>
      </c>
      <c r="M103" t="n">
        <v>16.46</v>
      </c>
      <c r="N103" t="n">
        <v>89.2</v>
      </c>
      <c r="O103" t="n">
        <v>3084.34</v>
      </c>
      <c r="P103" t="n">
        <v>3789.68</v>
      </c>
      <c r="Q103" t="inlineStr">
        <is>
          <t>ручная цена в модели</t>
        </is>
      </c>
    </row>
    <row r="104">
      <c r="A104" t="inlineStr">
        <is>
          <t>FBO</t>
        </is>
      </c>
      <c r="B104" t="n">
        <v>145</v>
      </c>
      <c r="C104" t="inlineStr">
        <is>
          <t>1025 DOKDO BUBBLE FOAM_150ml</t>
        </is>
      </c>
      <c r="D104" t="n">
        <v>0</v>
      </c>
      <c r="E104" t="n">
        <v>455</v>
      </c>
      <c r="F104" t="n">
        <v>515</v>
      </c>
      <c r="G104" t="n">
        <v>2500</v>
      </c>
      <c r="H104" t="n">
        <v>1375</v>
      </c>
      <c r="I104" t="n">
        <v>2650</v>
      </c>
      <c r="J104" t="n">
        <v>15</v>
      </c>
      <c r="K104" t="n">
        <v>663.23</v>
      </c>
      <c r="L104" t="n">
        <v>288.23</v>
      </c>
      <c r="M104" t="n">
        <v>11.53</v>
      </c>
      <c r="N104" t="n">
        <v>56</v>
      </c>
      <c r="O104" t="n">
        <v>1713.56</v>
      </c>
      <c r="P104" t="n">
        <v>2064.86</v>
      </c>
      <c r="Q104" t="inlineStr">
        <is>
          <t>ручная цена в модели</t>
        </is>
      </c>
    </row>
    <row r="105">
      <c r="A105" t="inlineStr">
        <is>
          <t>FBO</t>
        </is>
      </c>
      <c r="B105" t="n">
        <v>146</v>
      </c>
      <c r="C105" t="inlineStr">
        <is>
          <t>MEDICUBE PDRN PINK PEPTIDE SERUM 30ml</t>
        </is>
      </c>
      <c r="D105" t="n">
        <v>0</v>
      </c>
      <c r="E105" t="n">
        <v>674</v>
      </c>
      <c r="F105" t="n">
        <v>734</v>
      </c>
      <c r="G105" t="n">
        <v>4580</v>
      </c>
      <c r="H105" t="n">
        <v>2519</v>
      </c>
      <c r="I105" t="n">
        <v>4880</v>
      </c>
      <c r="J105" t="n">
        <v>15</v>
      </c>
      <c r="K105" t="n">
        <v>1535.2</v>
      </c>
      <c r="L105" t="n">
        <v>848.2</v>
      </c>
      <c r="M105" t="n">
        <v>18.52</v>
      </c>
      <c r="N105" t="n">
        <v>115.6</v>
      </c>
      <c r="O105" t="n">
        <v>2265.67</v>
      </c>
      <c r="P105" t="n">
        <v>2766.36</v>
      </c>
      <c r="Q105" t="inlineStr">
        <is>
          <t>ручная цена в модели</t>
        </is>
      </c>
    </row>
    <row r="106">
      <c r="A106" t="inlineStr">
        <is>
          <t>FBO</t>
        </is>
      </c>
      <c r="B106" t="n">
        <v>147</v>
      </c>
      <c r="C106" t="inlineStr">
        <is>
          <t>MEDICUBE PDRN PINK EXOSOME SHOT SERUM 7500 30ml</t>
        </is>
      </c>
      <c r="D106" t="n">
        <v>0</v>
      </c>
      <c r="E106" t="n">
        <v>833</v>
      </c>
      <c r="F106" t="n">
        <v>893</v>
      </c>
      <c r="G106" t="n">
        <v>4700</v>
      </c>
      <c r="H106" t="n">
        <v>2585</v>
      </c>
      <c r="I106" t="n">
        <v>5000</v>
      </c>
      <c r="J106" t="n">
        <v>15</v>
      </c>
      <c r="K106" t="n">
        <v>1438.18</v>
      </c>
      <c r="L106" t="n">
        <v>733.1799999999999</v>
      </c>
      <c r="M106" t="n">
        <v>15.6</v>
      </c>
      <c r="N106" t="n">
        <v>82.09999999999999</v>
      </c>
      <c r="O106" t="n">
        <v>2699.51</v>
      </c>
      <c r="P106" t="n">
        <v>3308.65</v>
      </c>
      <c r="Q106" t="inlineStr">
        <is>
          <t>ручная цена в модели</t>
        </is>
      </c>
    </row>
    <row r="107">
      <c r="A107" t="inlineStr">
        <is>
          <t>FBO</t>
        </is>
      </c>
      <c r="B107" t="n">
        <v>148</v>
      </c>
      <c r="C107" t="inlineStr">
        <is>
          <t>MEDICUBE PDRN PINK EXOSOME SHOT SERUM 2000 30ml</t>
        </is>
      </c>
      <c r="D107" t="n">
        <v>0</v>
      </c>
      <c r="E107" t="n">
        <v>757</v>
      </c>
      <c r="F107" t="n">
        <v>817</v>
      </c>
      <c r="G107" t="n">
        <v>4850</v>
      </c>
      <c r="H107" t="n">
        <v>2667.5</v>
      </c>
      <c r="I107" t="n">
        <v>5150</v>
      </c>
      <c r="J107" t="n">
        <v>15</v>
      </c>
      <c r="K107" t="n">
        <v>1591.66</v>
      </c>
      <c r="L107" t="n">
        <v>864.16</v>
      </c>
      <c r="M107" t="n">
        <v>17.82</v>
      </c>
      <c r="N107" t="n">
        <v>105.8</v>
      </c>
      <c r="O107" t="n">
        <v>2492.14</v>
      </c>
      <c r="P107" t="n">
        <v>3049.44</v>
      </c>
      <c r="Q107" t="inlineStr">
        <is>
          <t>ручная цена в модели</t>
        </is>
      </c>
    </row>
    <row r="108">
      <c r="A108" t="inlineStr">
        <is>
          <t>FBO</t>
        </is>
      </c>
      <c r="B108" t="n">
        <v>149</v>
      </c>
      <c r="C108" t="inlineStr">
        <is>
          <t>MEDICUBE TXA NIACINAMIDE CAPSULE CREAM 55g</t>
        </is>
      </c>
      <c r="D108" t="n">
        <v>0</v>
      </c>
      <c r="E108" t="n">
        <v>922</v>
      </c>
      <c r="F108" t="n">
        <v>982</v>
      </c>
      <c r="G108" t="n">
        <v>6500</v>
      </c>
      <c r="H108" t="n">
        <v>3575</v>
      </c>
      <c r="I108" t="n">
        <v>6900</v>
      </c>
      <c r="J108" t="n">
        <v>15</v>
      </c>
      <c r="K108" t="n">
        <v>2278.88</v>
      </c>
      <c r="L108" t="n">
        <v>1303.88</v>
      </c>
      <c r="M108" t="n">
        <v>20.06</v>
      </c>
      <c r="N108" t="n">
        <v>132.8</v>
      </c>
      <c r="O108" t="n">
        <v>2942.34</v>
      </c>
      <c r="P108" t="n">
        <v>3612.19</v>
      </c>
      <c r="Q108" t="inlineStr">
        <is>
          <t>ручная цена в модели</t>
        </is>
      </c>
    </row>
    <row r="109">
      <c r="A109" t="inlineStr">
        <is>
          <t>FBO</t>
        </is>
      </c>
      <c r="B109" t="n">
        <v>150</v>
      </c>
      <c r="C109" t="inlineStr">
        <is>
          <t>MEDICUBE PDRN PINK COLLAGEN CAPSULE CREAM 55g</t>
        </is>
      </c>
      <c r="D109" t="n">
        <v>0</v>
      </c>
      <c r="E109" t="n">
        <v>1019</v>
      </c>
      <c r="F109" t="n">
        <v>1079</v>
      </c>
      <c r="G109" t="n">
        <v>5000</v>
      </c>
      <c r="H109" t="n">
        <v>2750</v>
      </c>
      <c r="I109" t="n">
        <v>5270</v>
      </c>
      <c r="J109" t="n">
        <v>15</v>
      </c>
      <c r="K109" t="n">
        <v>1407.13</v>
      </c>
      <c r="L109" t="n">
        <v>657.13</v>
      </c>
      <c r="M109" t="n">
        <v>13.14</v>
      </c>
      <c r="N109" t="n">
        <v>60.9</v>
      </c>
      <c r="O109" t="n">
        <v>3207.01</v>
      </c>
      <c r="P109" t="n">
        <v>3943.03</v>
      </c>
      <c r="Q109" t="inlineStr">
        <is>
          <t>ручная цена в модели</t>
        </is>
      </c>
    </row>
    <row r="110">
      <c r="A110" t="inlineStr">
        <is>
          <t>FBO</t>
        </is>
      </c>
      <c r="B110" t="n">
        <v>151</v>
      </c>
      <c r="C110" t="inlineStr">
        <is>
          <t>MEDICUBE PDRN PINK HYALURONIC MOISTURIZING CREAM 50ml</t>
        </is>
      </c>
      <c r="D110" t="n">
        <v>0</v>
      </c>
      <c r="E110" t="n">
        <v>670</v>
      </c>
      <c r="F110" t="n">
        <v>730</v>
      </c>
      <c r="G110" t="n">
        <v>3150</v>
      </c>
      <c r="H110" t="n">
        <v>1732.5</v>
      </c>
      <c r="I110" t="n">
        <v>3450</v>
      </c>
      <c r="J110" t="n">
        <v>15</v>
      </c>
      <c r="K110" t="n">
        <v>800.61</v>
      </c>
      <c r="L110" t="n">
        <v>328.11</v>
      </c>
      <c r="M110" t="n">
        <v>10.42</v>
      </c>
      <c r="N110" t="n">
        <v>44.9</v>
      </c>
      <c r="O110" t="n">
        <v>2254.76</v>
      </c>
      <c r="P110" t="n">
        <v>2752.71</v>
      </c>
      <c r="Q110" t="inlineStr">
        <is>
          <t>ручная цена в модели</t>
        </is>
      </c>
    </row>
    <row r="111">
      <c r="A111" t="inlineStr">
        <is>
          <t>FBO</t>
        </is>
      </c>
      <c r="B111" t="n">
        <v>152</v>
      </c>
      <c r="C111" t="inlineStr">
        <is>
          <t>[Derma Factory] PDRN 4% Ampoule</t>
        </is>
      </c>
      <c r="D111" t="n">
        <v>0</v>
      </c>
      <c r="E111" t="n">
        <v>407</v>
      </c>
      <c r="F111" t="n">
        <v>467</v>
      </c>
      <c r="G111" t="n">
        <v>3050</v>
      </c>
      <c r="H111" t="n">
        <v>1677.5</v>
      </c>
      <c r="I111" t="n">
        <v>3350</v>
      </c>
      <c r="J111" t="n">
        <v>15</v>
      </c>
      <c r="K111" t="n">
        <v>1011.96</v>
      </c>
      <c r="L111" t="n">
        <v>554.46</v>
      </c>
      <c r="M111" t="n">
        <v>18.18</v>
      </c>
      <c r="N111" t="n">
        <v>118.7</v>
      </c>
      <c r="O111" t="n">
        <v>1537.16</v>
      </c>
      <c r="P111" t="n">
        <v>1855.71</v>
      </c>
      <c r="Q111" t="inlineStr">
        <is>
          <t>ручная цена в модели</t>
        </is>
      </c>
    </row>
    <row r="112">
      <c r="A112" t="inlineStr">
        <is>
          <t>FBS</t>
        </is>
      </c>
      <c r="B112" t="n">
        <v>15</v>
      </c>
      <c r="C112" t="inlineStr">
        <is>
          <t>COSRX - Salicylic Acid Daily Gentle Cleanser [150ml] / Пенка с салициловой кислотой для проблемной кожи</t>
        </is>
      </c>
      <c r="D112" t="n">
        <v>180</v>
      </c>
      <c r="E112" t="n">
        <v>343.82</v>
      </c>
      <c r="F112" t="n">
        <v>403.82</v>
      </c>
      <c r="G112" t="n">
        <v>2889</v>
      </c>
      <c r="H112" t="n">
        <v>1588.95</v>
      </c>
      <c r="I112" t="n">
        <v>1680</v>
      </c>
      <c r="J112" t="n">
        <v>22</v>
      </c>
      <c r="K112" t="n">
        <v>716.38</v>
      </c>
      <c r="L112" t="n">
        <v>80.8</v>
      </c>
      <c r="M112" t="n">
        <v>2.8</v>
      </c>
      <c r="N112" t="n">
        <v>20</v>
      </c>
      <c r="O112" t="n">
        <v>2497.72</v>
      </c>
      <c r="P112" t="n">
        <v>2986.61</v>
      </c>
      <c r="Q112" t="inlineStr">
        <is>
          <t>ручная цена в модели</t>
        </is>
      </c>
    </row>
    <row r="113">
      <c r="A113" t="inlineStr">
        <is>
          <t>FBS</t>
        </is>
      </c>
      <c r="B113" t="n">
        <v>17</v>
      </c>
      <c r="C113" t="inlineStr">
        <is>
          <t>DEOPROCE SHAMPOO - BLACK GARLIC INTENSME ENERGY [600ml] мягкая упаковка Шампунь с черным чесноком против выпадения волос</t>
        </is>
      </c>
      <c r="D113" t="n">
        <v>72</v>
      </c>
      <c r="E113" t="n">
        <v>269.87</v>
      </c>
      <c r="F113" t="n">
        <v>329.87</v>
      </c>
      <c r="G113" t="n">
        <v>1953.65</v>
      </c>
      <c r="H113" t="n">
        <v>1074.51</v>
      </c>
      <c r="I113" t="inlineStr"/>
      <c r="J113" t="n">
        <v>15</v>
      </c>
      <c r="K113" t="n">
        <v>375.51</v>
      </c>
      <c r="L113" t="n">
        <v>82.47</v>
      </c>
      <c r="M113" t="n">
        <v>4.22</v>
      </c>
      <c r="N113" t="n">
        <v>25</v>
      </c>
      <c r="O113" t="n">
        <v>1655.39</v>
      </c>
      <c r="P113" t="n">
        <v>1953.65</v>
      </c>
      <c r="Q113" t="inlineStr">
        <is>
          <t>формула: ROI 25%</t>
        </is>
      </c>
    </row>
    <row r="114">
      <c r="A114" t="inlineStr">
        <is>
          <t>FBS</t>
        </is>
      </c>
      <c r="B114" t="n">
        <v>18</v>
      </c>
      <c r="C114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D114" t="n">
        <v>19</v>
      </c>
      <c r="E114" t="n">
        <v>314.85</v>
      </c>
      <c r="F114" t="n">
        <v>374.85</v>
      </c>
      <c r="G114" t="n">
        <v>2156.99</v>
      </c>
      <c r="H114" t="n">
        <v>1186.35</v>
      </c>
      <c r="I114" t="inlineStr"/>
      <c r="J114" t="n">
        <v>15</v>
      </c>
      <c r="K114" t="n">
        <v>417.26</v>
      </c>
      <c r="L114" t="n">
        <v>93.70999999999999</v>
      </c>
      <c r="M114" t="n">
        <v>4.34</v>
      </c>
      <c r="N114" t="n">
        <v>25</v>
      </c>
      <c r="O114" t="n">
        <v>1818.07</v>
      </c>
      <c r="P114" t="n">
        <v>2156.99</v>
      </c>
      <c r="Q114" t="inlineStr">
        <is>
          <t>формула: ROI 25%</t>
        </is>
      </c>
    </row>
    <row r="115">
      <c r="A115" t="inlineStr">
        <is>
          <t>FBS</t>
        </is>
      </c>
      <c r="B115" t="n">
        <v>19</v>
      </c>
      <c r="C115" t="inlineStr">
        <is>
          <t>DEOPROCE SHAMPOO - BLACK GARLIC INTENSME ENERGY [200ml]/ Шампунь с черным чесноком против выпадения волос</t>
        </is>
      </c>
      <c r="D115" t="n">
        <v>370</v>
      </c>
      <c r="E115" t="n">
        <v>151.13</v>
      </c>
      <c r="F115" t="n">
        <v>211.13</v>
      </c>
      <c r="G115" t="n">
        <v>1322</v>
      </c>
      <c r="H115" t="n">
        <v>727.1</v>
      </c>
      <c r="I115" t="n">
        <v>980</v>
      </c>
      <c r="J115" t="n">
        <v>15</v>
      </c>
      <c r="K115" t="n">
        <v>240.49</v>
      </c>
      <c r="L115" t="n">
        <v>42.19</v>
      </c>
      <c r="M115" t="n">
        <v>3.19</v>
      </c>
      <c r="N115" t="n">
        <v>20</v>
      </c>
      <c r="O115" t="n">
        <v>1169.43</v>
      </c>
      <c r="P115" t="n">
        <v>1360.33</v>
      </c>
      <c r="Q115" t="inlineStr">
        <is>
          <t>ручная цена в модели</t>
        </is>
      </c>
    </row>
    <row r="116">
      <c r="A116" t="inlineStr">
        <is>
          <t>FBS</t>
        </is>
      </c>
      <c r="B116" t="n">
        <v>21</v>
      </c>
      <c r="C116" t="inlineStr">
        <is>
          <t>DEOPROCE SHAMPOO+BALSAM - BLACK GARLIC[2000ml]</t>
        </is>
      </c>
      <c r="D116" t="n">
        <v>447</v>
      </c>
      <c r="E116" t="n">
        <v>726.85</v>
      </c>
      <c r="F116" t="n">
        <v>786.85</v>
      </c>
      <c r="G116" t="n">
        <v>4056.98</v>
      </c>
      <c r="H116" t="n">
        <v>2231.34</v>
      </c>
      <c r="I116" t="inlineStr"/>
      <c r="J116" t="n">
        <v>15</v>
      </c>
      <c r="K116" t="n">
        <v>805.26</v>
      </c>
      <c r="L116" t="n">
        <v>196.71</v>
      </c>
      <c r="M116" t="n">
        <v>4.85</v>
      </c>
      <c r="N116" t="n">
        <v>25</v>
      </c>
      <c r="O116" t="n">
        <v>3345.54</v>
      </c>
      <c r="P116" t="n">
        <v>4056.98</v>
      </c>
      <c r="Q116" t="inlineStr">
        <is>
          <t>формула: ROI 25%</t>
        </is>
      </c>
    </row>
    <row r="117">
      <c r="A117" t="inlineStr">
        <is>
          <t>FBS</t>
        </is>
      </c>
      <c r="B117" t="n">
        <v>23</v>
      </c>
      <c r="C117" t="inlineStr">
        <is>
          <t>DR. JART - Ctrl+A Teatreatment Toner [120ml] / Тонер тоник для лица увлажняющий с чайным деревом</t>
        </is>
      </c>
      <c r="D117" t="n">
        <v>180</v>
      </c>
      <c r="E117" t="n">
        <v>637.89</v>
      </c>
      <c r="F117" t="n">
        <v>697.89</v>
      </c>
      <c r="G117" t="n">
        <v>3412</v>
      </c>
      <c r="H117" t="n">
        <v>1876.6</v>
      </c>
      <c r="I117" t="inlineStr"/>
      <c r="J117" t="n">
        <v>15</v>
      </c>
      <c r="K117" t="n">
        <v>651.3200000000001</v>
      </c>
      <c r="L117" t="n">
        <v>139.52</v>
      </c>
      <c r="M117" t="n">
        <v>4.09</v>
      </c>
      <c r="N117" t="n">
        <v>20</v>
      </c>
      <c r="O117" t="n">
        <v>2907.4</v>
      </c>
      <c r="P117" t="n">
        <v>3538.41</v>
      </c>
      <c r="Q117" t="inlineStr">
        <is>
          <t>ручная цена в модели</t>
        </is>
      </c>
    </row>
    <row r="118">
      <c r="A118" t="inlineStr">
        <is>
          <t>FBS</t>
        </is>
      </c>
      <c r="B118" t="n">
        <v>25</v>
      </c>
      <c r="C118" t="inlineStr">
        <is>
          <t>EKEL - Ampule Сream Сollagen [70ml] / Крем для лица ампульный с коллагеном</t>
        </is>
      </c>
      <c r="D118" t="n">
        <v>50</v>
      </c>
      <c r="E118" t="n">
        <v>142.13</v>
      </c>
      <c r="F118" t="n">
        <v>202.13</v>
      </c>
      <c r="G118" t="n">
        <v>1278</v>
      </c>
      <c r="H118" t="n">
        <v>702.9</v>
      </c>
      <c r="I118" t="n">
        <v>1280</v>
      </c>
      <c r="J118" t="n">
        <v>15</v>
      </c>
      <c r="K118" t="n">
        <v>232.06</v>
      </c>
      <c r="L118" t="n">
        <v>40.36</v>
      </c>
      <c r="M118" t="n">
        <v>3.16</v>
      </c>
      <c r="N118" t="n">
        <v>20</v>
      </c>
      <c r="O118" t="n">
        <v>1132.02</v>
      </c>
      <c r="P118" t="n">
        <v>1314.77</v>
      </c>
      <c r="Q118" t="inlineStr">
        <is>
          <t>ручная цена в модели</t>
        </is>
      </c>
    </row>
    <row r="119">
      <c r="A119" t="inlineStr">
        <is>
          <t>FBS</t>
        </is>
      </c>
      <c r="B119" t="n">
        <v>27</v>
      </c>
      <c r="C119" t="inlineStr">
        <is>
          <t>ELIZAVECCA - CER-100 Collagen Ceramide Coating Protein Treatment [100ml] / Коллагеновая маска для волос</t>
        </is>
      </c>
      <c r="D119" t="n">
        <v>453</v>
      </c>
      <c r="E119" t="n">
        <v>242.23</v>
      </c>
      <c r="F119" t="n">
        <v>302.23</v>
      </c>
      <c r="G119" t="n">
        <v>1713</v>
      </c>
      <c r="H119" t="n">
        <v>942.15</v>
      </c>
      <c r="I119" t="n">
        <v>1315</v>
      </c>
      <c r="J119" t="n">
        <v>15</v>
      </c>
      <c r="K119" t="n">
        <v>317.28</v>
      </c>
      <c r="L119" t="n">
        <v>60.33</v>
      </c>
      <c r="M119" t="n">
        <v>3.52</v>
      </c>
      <c r="N119" t="n">
        <v>20</v>
      </c>
      <c r="O119" t="n">
        <v>1494.79</v>
      </c>
      <c r="P119" t="n">
        <v>1768.05</v>
      </c>
      <c r="Q119" t="inlineStr">
        <is>
          <t>ручная цена в модели</t>
        </is>
      </c>
    </row>
    <row r="120">
      <c r="A120" t="inlineStr">
        <is>
          <t>FBS</t>
        </is>
      </c>
      <c r="B120" t="n">
        <v>28</v>
      </c>
      <c r="C120" t="inlineStr">
        <is>
          <t>ELIZAVECCA - Hell-Pore Galactomyces Pure Ample / Сыворотка для лица с экстрактом галактомисиса</t>
        </is>
      </c>
      <c r="D120" t="n">
        <v>50</v>
      </c>
      <c r="E120" t="n">
        <v>447.64</v>
      </c>
      <c r="F120" t="n">
        <v>507.64</v>
      </c>
      <c r="G120" t="n">
        <v>2586</v>
      </c>
      <c r="H120" t="n">
        <v>1422.3</v>
      </c>
      <c r="I120" t="inlineStr"/>
      <c r="J120" t="n">
        <v>15</v>
      </c>
      <c r="K120" t="n">
        <v>489.44</v>
      </c>
      <c r="L120" t="n">
        <v>101.54</v>
      </c>
      <c r="M120" t="n">
        <v>3.93</v>
      </c>
      <c r="N120" t="n">
        <v>20</v>
      </c>
      <c r="O120" t="n">
        <v>2218.78</v>
      </c>
      <c r="P120" t="n">
        <v>2677.76</v>
      </c>
      <c r="Q120" t="inlineStr">
        <is>
          <t>ручная цена в модели</t>
        </is>
      </c>
    </row>
    <row r="121">
      <c r="A121" t="inlineStr">
        <is>
          <t>FBS</t>
        </is>
      </c>
      <c r="B121" t="n">
        <v>29</v>
      </c>
      <c r="C121" t="inlineStr">
        <is>
          <t>ELIZAVECCA - Milky Piggy EGF elastic retinol [100ml] / Антивозрастной крем для лица с ретинолом и EGF</t>
        </is>
      </c>
      <c r="D121" t="n">
        <v>235</v>
      </c>
      <c r="E121" t="n">
        <v>602.1799999999999</v>
      </c>
      <c r="F121" t="n">
        <v>662.1799999999999</v>
      </c>
      <c r="G121" t="n">
        <v>3278</v>
      </c>
      <c r="H121" t="n">
        <v>1802.9</v>
      </c>
      <c r="I121" t="n">
        <v>1841</v>
      </c>
      <c r="J121" t="n">
        <v>15</v>
      </c>
      <c r="K121" t="n">
        <v>624.1900000000001</v>
      </c>
      <c r="L121" t="n">
        <v>132.49</v>
      </c>
      <c r="M121" t="n">
        <v>4.04</v>
      </c>
      <c r="N121" t="n">
        <v>20</v>
      </c>
      <c r="O121" t="n">
        <v>2798.84</v>
      </c>
      <c r="P121" t="n">
        <v>3397.56</v>
      </c>
      <c r="Q121" t="inlineStr">
        <is>
          <t>ручная цена в модели</t>
        </is>
      </c>
    </row>
    <row r="122">
      <c r="A122" t="inlineStr">
        <is>
          <t>FBS</t>
        </is>
      </c>
      <c r="B122" t="n">
        <v>31</v>
      </c>
      <c r="C122" t="inlineStr">
        <is>
          <t>ENOUGH - Collagen Moisture Essential Cream [50ml] / Увлажняющий крем для лица с коллагеном</t>
        </is>
      </c>
      <c r="D122" t="n">
        <v>8266</v>
      </c>
      <c r="E122" t="n">
        <v>161.3</v>
      </c>
      <c r="F122" t="n">
        <v>221.3</v>
      </c>
      <c r="G122" t="n">
        <v>1367</v>
      </c>
      <c r="H122" t="n">
        <v>751.85</v>
      </c>
      <c r="I122" t="n">
        <v>424</v>
      </c>
      <c r="J122" t="n">
        <v>15</v>
      </c>
      <c r="K122" t="n">
        <v>249.3</v>
      </c>
      <c r="L122" t="n">
        <v>44.25</v>
      </c>
      <c r="M122" t="n">
        <v>3.24</v>
      </c>
      <c r="N122" t="n">
        <v>20</v>
      </c>
      <c r="O122" t="n">
        <v>1206.96</v>
      </c>
      <c r="P122" t="n">
        <v>1407.05</v>
      </c>
      <c r="Q122" t="inlineStr">
        <is>
          <t>ручная цена в модели</t>
        </is>
      </c>
    </row>
    <row r="123">
      <c r="A123" t="inlineStr">
        <is>
          <t>FBS</t>
        </is>
      </c>
      <c r="B123" t="n">
        <v>32</v>
      </c>
      <c r="C123" t="inlineStr">
        <is>
          <t>ENOUGH - Collagen Whitening Moisture Cream 3in1 [50g] / Антивозрастной отбеливающий крем с коллагеном</t>
        </is>
      </c>
      <c r="D123" t="n">
        <v>761</v>
      </c>
      <c r="E123" t="n">
        <v>183.88</v>
      </c>
      <c r="F123" t="n">
        <v>243.88</v>
      </c>
      <c r="G123" t="n">
        <v>1465</v>
      </c>
      <c r="H123" t="n">
        <v>805.75</v>
      </c>
      <c r="I123" t="n">
        <v>827</v>
      </c>
      <c r="J123" t="n">
        <v>15</v>
      </c>
      <c r="K123" t="n">
        <v>268.52</v>
      </c>
      <c r="L123" t="n">
        <v>48.77</v>
      </c>
      <c r="M123" t="n">
        <v>3.33</v>
      </c>
      <c r="N123" t="n">
        <v>20</v>
      </c>
      <c r="O123" t="n">
        <v>1288.62</v>
      </c>
      <c r="P123" t="n">
        <v>1509.13</v>
      </c>
      <c r="Q123" t="inlineStr">
        <is>
          <t>ручная цена в модели</t>
        </is>
      </c>
    </row>
    <row r="124">
      <c r="A124" t="inlineStr">
        <is>
          <t>FBS</t>
        </is>
      </c>
      <c r="B124" t="n">
        <v>33</v>
      </c>
      <c r="C124" t="inlineStr">
        <is>
          <t>ENOUGH - Collagen Moisture Foundation [Tone 13] / Тональный крем для лица с коллагеном 13 тон</t>
        </is>
      </c>
      <c r="D124" t="n">
        <v>1089</v>
      </c>
      <c r="E124" t="n">
        <v>216.45</v>
      </c>
      <c r="F124" t="n">
        <v>276.45</v>
      </c>
      <c r="G124" t="n">
        <v>1600</v>
      </c>
      <c r="H124" t="n">
        <v>880</v>
      </c>
      <c r="I124" t="n">
        <v>1980</v>
      </c>
      <c r="J124" t="n">
        <v>15</v>
      </c>
      <c r="K124" t="n">
        <v>295.18</v>
      </c>
      <c r="L124" t="n">
        <v>55.18</v>
      </c>
      <c r="M124" t="n">
        <v>3.45</v>
      </c>
      <c r="N124" t="n">
        <v>20</v>
      </c>
      <c r="O124" t="n">
        <v>1400.43</v>
      </c>
      <c r="P124" t="n">
        <v>1650.39</v>
      </c>
      <c r="Q124" t="inlineStr">
        <is>
          <t>ручная цена в модели</t>
        </is>
      </c>
    </row>
    <row r="125">
      <c r="A125" t="inlineStr">
        <is>
          <t>FBS</t>
        </is>
      </c>
      <c r="B125" t="n">
        <v>34</v>
      </c>
      <c r="C125" t="inlineStr">
        <is>
          <t>ENOUGH - Collagen Moisture Foundation [Tone 21] / Тональный крем для лица с коллагеном 21 тон</t>
        </is>
      </c>
      <c r="D125" t="n">
        <v>2275</v>
      </c>
      <c r="E125" t="n">
        <v>242.88</v>
      </c>
      <c r="F125" t="n">
        <v>302.88</v>
      </c>
      <c r="G125" t="n">
        <v>1715</v>
      </c>
      <c r="H125" t="n">
        <v>943.25</v>
      </c>
      <c r="I125" t="n">
        <v>1910</v>
      </c>
      <c r="J125" t="n">
        <v>15</v>
      </c>
      <c r="K125" t="n">
        <v>317.8</v>
      </c>
      <c r="L125" t="n">
        <v>60.55</v>
      </c>
      <c r="M125" t="n">
        <v>3.53</v>
      </c>
      <c r="N125" t="n">
        <v>20</v>
      </c>
      <c r="O125" t="n">
        <v>1496.02</v>
      </c>
      <c r="P125" t="n">
        <v>1769.87</v>
      </c>
      <c r="Q125" t="inlineStr">
        <is>
          <t>ручная цена в модели</t>
        </is>
      </c>
    </row>
    <row r="126">
      <c r="A126" t="inlineStr">
        <is>
          <t>FBS</t>
        </is>
      </c>
      <c r="B126" t="n">
        <v>35</v>
      </c>
      <c r="C126" t="inlineStr">
        <is>
          <t>ENOUGH - Gold Snail Moisture Foundation [Tone 13] / Тональный крем с муцином улитки 13 тон</t>
        </is>
      </c>
      <c r="D126" t="n">
        <v>95</v>
      </c>
      <c r="E126" t="n">
        <v>245.65</v>
      </c>
      <c r="F126" t="n">
        <v>305.65</v>
      </c>
      <c r="G126" t="n">
        <v>1727</v>
      </c>
      <c r="H126" t="n">
        <v>949.85</v>
      </c>
      <c r="I126" t="n">
        <v>1456</v>
      </c>
      <c r="J126" t="n">
        <v>15</v>
      </c>
      <c r="K126" t="n">
        <v>320.15</v>
      </c>
      <c r="L126" t="n">
        <v>61.1</v>
      </c>
      <c r="M126" t="n">
        <v>3.54</v>
      </c>
      <c r="N126" t="n">
        <v>20</v>
      </c>
      <c r="O126" t="n">
        <v>1506.04</v>
      </c>
      <c r="P126" t="n">
        <v>1782.39</v>
      </c>
      <c r="Q126" t="inlineStr">
        <is>
          <t>ручная цена в модели</t>
        </is>
      </c>
    </row>
    <row r="127">
      <c r="A127" t="inlineStr">
        <is>
          <t>FBS</t>
        </is>
      </c>
      <c r="B127" t="n">
        <v>36</v>
      </c>
      <c r="C127" t="inlineStr">
        <is>
          <t>ENOUGH - Gold Snail Moisture Foundation [Tone 21] / Тональный крем с муцином улитки 21 тон</t>
        </is>
      </c>
      <c r="D127" t="n">
        <v>101</v>
      </c>
      <c r="E127" t="n">
        <v>270.81</v>
      </c>
      <c r="F127" t="n">
        <v>330.81</v>
      </c>
      <c r="G127" t="n">
        <v>1836</v>
      </c>
      <c r="H127" t="n">
        <v>1009.8</v>
      </c>
      <c r="I127" t="n">
        <v>1345</v>
      </c>
      <c r="J127" t="n">
        <v>15</v>
      </c>
      <c r="K127" t="n">
        <v>341.47</v>
      </c>
      <c r="L127" t="n">
        <v>66.06999999999999</v>
      </c>
      <c r="M127" t="n">
        <v>3.6</v>
      </c>
      <c r="N127" t="n">
        <v>20</v>
      </c>
      <c r="O127" t="n">
        <v>1597.03</v>
      </c>
      <c r="P127" t="n">
        <v>1896.14</v>
      </c>
      <c r="Q127" t="inlineStr">
        <is>
          <t>ручная цена в модели</t>
        </is>
      </c>
    </row>
    <row r="128">
      <c r="A128" t="inlineStr">
        <is>
          <t>FBS</t>
        </is>
      </c>
      <c r="B128" t="n">
        <v>37</v>
      </c>
      <c r="C128" t="inlineStr">
        <is>
          <t>ENOUGH - Collagen 3in1 Whitening Moisture Foundation [Tone 13] / Тональный крем для лица с коллагеном 3в1 [13 тон]</t>
        </is>
      </c>
      <c r="D128" t="n">
        <v>247</v>
      </c>
      <c r="E128" t="n">
        <v>238.13</v>
      </c>
      <c r="F128" t="n">
        <v>298.13</v>
      </c>
      <c r="G128" t="n">
        <v>1694</v>
      </c>
      <c r="H128" t="n">
        <v>931.7</v>
      </c>
      <c r="I128" t="n">
        <v>1732</v>
      </c>
      <c r="J128" t="n">
        <v>15</v>
      </c>
      <c r="K128" t="n">
        <v>313.59</v>
      </c>
      <c r="L128" t="n">
        <v>59.49</v>
      </c>
      <c r="M128" t="n">
        <v>3.51</v>
      </c>
      <c r="N128" t="n">
        <v>20</v>
      </c>
      <c r="O128" t="n">
        <v>1478.84</v>
      </c>
      <c r="P128" t="n">
        <v>1748.4</v>
      </c>
      <c r="Q128" t="inlineStr">
        <is>
          <t>ручная цена в модели</t>
        </is>
      </c>
    </row>
    <row r="129">
      <c r="A129" t="inlineStr">
        <is>
          <t>FBS</t>
        </is>
      </c>
      <c r="B129" t="n">
        <v>38</v>
      </c>
      <c r="C129" t="inlineStr">
        <is>
          <t>ENOUGH - Collagen 3in1 Whitening Moisture Foundation [Tone 21] / Тональный крем для лица с коллагеном 3в1 [21 тон]</t>
        </is>
      </c>
      <c r="D129" t="n">
        <v>78</v>
      </c>
      <c r="E129" t="n">
        <v>223.35</v>
      </c>
      <c r="F129" t="n">
        <v>283.35</v>
      </c>
      <c r="G129" t="n">
        <v>1630</v>
      </c>
      <c r="H129" t="n">
        <v>896.5</v>
      </c>
      <c r="I129" t="n">
        <v>1038</v>
      </c>
      <c r="J129" t="n">
        <v>15</v>
      </c>
      <c r="K129" t="n">
        <v>301.08</v>
      </c>
      <c r="L129" t="n">
        <v>56.58</v>
      </c>
      <c r="M129" t="n">
        <v>3.47</v>
      </c>
      <c r="N129" t="n">
        <v>20</v>
      </c>
      <c r="O129" t="n">
        <v>1425.39</v>
      </c>
      <c r="P129" t="n">
        <v>1681.58</v>
      </c>
      <c r="Q129" t="inlineStr">
        <is>
          <t>ручная цена в модели</t>
        </is>
      </c>
    </row>
    <row r="130">
      <c r="A130" t="inlineStr">
        <is>
          <t>FBS</t>
        </is>
      </c>
      <c r="B130" t="n">
        <v>39</v>
      </c>
      <c r="C130" t="inlineStr">
        <is>
          <t>ENOUGH - Premium 8 Peptide Full Cover Perfect Foundation [Tone 13] / Тональный крем с пептидами 13 тон</t>
        </is>
      </c>
      <c r="D130" t="n">
        <v>463</v>
      </c>
      <c r="E130" t="n">
        <v>335.9</v>
      </c>
      <c r="F130" t="n">
        <v>395.9</v>
      </c>
      <c r="G130" t="n">
        <v>2119</v>
      </c>
      <c r="H130" t="n">
        <v>1165.45</v>
      </c>
      <c r="I130" t="n">
        <v>1330</v>
      </c>
      <c r="J130" t="n">
        <v>15</v>
      </c>
      <c r="K130" t="n">
        <v>397.08</v>
      </c>
      <c r="L130" t="n">
        <v>79.23</v>
      </c>
      <c r="M130" t="n">
        <v>3.74</v>
      </c>
      <c r="N130" t="n">
        <v>20</v>
      </c>
      <c r="O130" t="n">
        <v>1832.44</v>
      </c>
      <c r="P130" t="n">
        <v>2190.39</v>
      </c>
      <c r="Q130" t="inlineStr">
        <is>
          <t>ручная цена в модели</t>
        </is>
      </c>
    </row>
    <row r="131">
      <c r="A131" t="inlineStr">
        <is>
          <t>FBS</t>
        </is>
      </c>
      <c r="B131" t="n">
        <v>40</v>
      </c>
      <c r="C131" t="inlineStr">
        <is>
          <t>ENOUGH - Premium 8 Peptide Full Cover Perfect Foundation [Tone 21] / Тональный крем с пептидами 21 тон</t>
        </is>
      </c>
      <c r="D131" t="n">
        <v>208</v>
      </c>
      <c r="E131" t="n">
        <v>304.77</v>
      </c>
      <c r="F131" t="n">
        <v>364.77</v>
      </c>
      <c r="G131" t="n">
        <v>1984</v>
      </c>
      <c r="H131" t="n">
        <v>1091.2</v>
      </c>
      <c r="I131" t="n">
        <v>1330</v>
      </c>
      <c r="J131" t="n">
        <v>15</v>
      </c>
      <c r="K131" t="n">
        <v>370.64</v>
      </c>
      <c r="L131" t="n">
        <v>73.04000000000001</v>
      </c>
      <c r="M131" t="n">
        <v>3.68</v>
      </c>
      <c r="N131" t="n">
        <v>20</v>
      </c>
      <c r="O131" t="n">
        <v>1719.85</v>
      </c>
      <c r="P131" t="n">
        <v>2049.66</v>
      </c>
      <c r="Q131" t="inlineStr">
        <is>
          <t>ручная цена в модели</t>
        </is>
      </c>
    </row>
    <row r="132">
      <c r="A132" t="inlineStr">
        <is>
          <t>FBS</t>
        </is>
      </c>
      <c r="B132" t="n">
        <v>41</v>
      </c>
      <c r="C132" t="inlineStr">
        <is>
          <t>ENOUGH Collagen whitening cover tip concealer #01 [9g]/Консилер для лица (основная карточка) 4.5 рейтинг</t>
        </is>
      </c>
      <c r="D132" t="n">
        <v>593</v>
      </c>
      <c r="E132" t="n">
        <v>183.24</v>
      </c>
      <c r="F132" t="n">
        <v>243.24</v>
      </c>
      <c r="G132" t="n">
        <v>1452.37</v>
      </c>
      <c r="H132" t="n">
        <v>798.8099999999999</v>
      </c>
      <c r="I132" t="inlineStr"/>
      <c r="J132" t="n">
        <v>15</v>
      </c>
      <c r="K132" t="n">
        <v>278.67</v>
      </c>
      <c r="L132" t="n">
        <v>60.81</v>
      </c>
      <c r="M132" t="n">
        <v>4.19</v>
      </c>
      <c r="N132" t="n">
        <v>25</v>
      </c>
      <c r="O132" t="n">
        <v>1232.45</v>
      </c>
      <c r="P132" t="n">
        <v>1452.37</v>
      </c>
      <c r="Q132" t="inlineStr">
        <is>
          <t>формула: ROI 25%</t>
        </is>
      </c>
    </row>
    <row r="133">
      <c r="A133" t="inlineStr">
        <is>
          <t>FBS</t>
        </is>
      </c>
      <c r="B133" t="n">
        <v>42</v>
      </c>
      <c r="C133" t="inlineStr">
        <is>
          <t>ENOUGH Collagen whitening cover tip concealer #02 [9g]/Консилер для лица (основная карточка)</t>
        </is>
      </c>
      <c r="D133" t="n">
        <v>757</v>
      </c>
      <c r="E133" t="n">
        <v>183.24</v>
      </c>
      <c r="F133" t="n">
        <v>243.24</v>
      </c>
      <c r="G133" t="n">
        <v>1452.37</v>
      </c>
      <c r="H133" t="n">
        <v>798.8099999999999</v>
      </c>
      <c r="I133" t="inlineStr"/>
      <c r="J133" t="n">
        <v>15</v>
      </c>
      <c r="K133" t="n">
        <v>278.67</v>
      </c>
      <c r="L133" t="n">
        <v>60.81</v>
      </c>
      <c r="M133" t="n">
        <v>4.19</v>
      </c>
      <c r="N133" t="n">
        <v>25</v>
      </c>
      <c r="O133" t="n">
        <v>1232.45</v>
      </c>
      <c r="P133" t="n">
        <v>1452.37</v>
      </c>
      <c r="Q133" t="inlineStr">
        <is>
          <t>формула: ROI 25%</t>
        </is>
      </c>
    </row>
    <row r="134">
      <c r="A134" t="inlineStr">
        <is>
          <t>FBS</t>
        </is>
      </c>
      <c r="B134" t="n">
        <v>43</v>
      </c>
      <c r="C134" t="inlineStr">
        <is>
          <t>ENOUGH Collagen whitening cover tip concealer #03 [9g]/ Консилер для лица (основаная карточка)</t>
        </is>
      </c>
      <c r="D134" t="n">
        <v>810</v>
      </c>
      <c r="E134" t="n">
        <v>183.24</v>
      </c>
      <c r="F134" t="n">
        <v>243.24</v>
      </c>
      <c r="G134" t="n">
        <v>1452.37</v>
      </c>
      <c r="H134" t="n">
        <v>798.8099999999999</v>
      </c>
      <c r="I134" t="inlineStr"/>
      <c r="J134" t="n">
        <v>15</v>
      </c>
      <c r="K134" t="n">
        <v>278.67</v>
      </c>
      <c r="L134" t="n">
        <v>60.81</v>
      </c>
      <c r="M134" t="n">
        <v>4.19</v>
      </c>
      <c r="N134" t="n">
        <v>25</v>
      </c>
      <c r="O134" t="n">
        <v>1232.45</v>
      </c>
      <c r="P134" t="n">
        <v>1452.37</v>
      </c>
      <c r="Q134" t="inlineStr">
        <is>
          <t>формула: ROI 25%</t>
        </is>
      </c>
    </row>
    <row r="135">
      <c r="A135" t="inlineStr">
        <is>
          <t>FBS</t>
        </is>
      </c>
      <c r="B135" t="n">
        <v>44</v>
      </c>
      <c r="C135" t="inlineStr">
        <is>
          <t>ENOUGH - Collagen Moisture BB Cream SPF47 PA+++ [50ml] / Увлажняющий BB крем с коллагеном</t>
        </is>
      </c>
      <c r="D135" t="n">
        <v>722</v>
      </c>
      <c r="E135" t="n">
        <v>189.27</v>
      </c>
      <c r="F135" t="n">
        <v>249.27</v>
      </c>
      <c r="G135" t="n">
        <v>1464</v>
      </c>
      <c r="H135" t="n">
        <v>805.2</v>
      </c>
      <c r="I135" t="inlineStr"/>
      <c r="J135" t="n">
        <v>15</v>
      </c>
      <c r="K135" t="n">
        <v>269.38</v>
      </c>
      <c r="L135" t="n">
        <v>49.78</v>
      </c>
      <c r="M135" t="n">
        <v>3.4</v>
      </c>
      <c r="N135" t="n">
        <v>20</v>
      </c>
      <c r="O135" t="n">
        <v>1283.97</v>
      </c>
      <c r="P135" t="n">
        <v>1509.35</v>
      </c>
      <c r="Q135" t="inlineStr">
        <is>
          <t>ручная цена в модели</t>
        </is>
      </c>
    </row>
    <row r="136">
      <c r="A136" t="inlineStr">
        <is>
          <t>FBS</t>
        </is>
      </c>
      <c r="B136" t="n">
        <v>46</v>
      </c>
      <c r="C136" t="inlineStr">
        <is>
          <t>ETUDE - Baking Powder Crunch Pore Scrub [200ml] / Очищающий скраб для лица с содой</t>
        </is>
      </c>
      <c r="D136" t="n">
        <v>221</v>
      </c>
      <c r="E136" t="n">
        <v>361.03</v>
      </c>
      <c r="F136" t="n">
        <v>421.03</v>
      </c>
      <c r="G136" t="n">
        <v>1889</v>
      </c>
      <c r="H136" t="n">
        <v>1038.95</v>
      </c>
      <c r="I136" t="n">
        <v>1730</v>
      </c>
      <c r="J136" t="n">
        <v>10</v>
      </c>
      <c r="K136" t="n">
        <v>273.03</v>
      </c>
      <c r="L136" t="n">
        <v>84.13</v>
      </c>
      <c r="M136" t="n">
        <v>4.45</v>
      </c>
      <c r="N136" t="n">
        <v>20</v>
      </c>
      <c r="O136" t="n">
        <v>1631.32</v>
      </c>
      <c r="P136" t="n">
        <v>1953.7</v>
      </c>
      <c r="Q136" t="inlineStr">
        <is>
          <t>ручная цена в модели</t>
        </is>
      </c>
    </row>
    <row r="137">
      <c r="A137" t="inlineStr">
        <is>
          <t>FBS</t>
        </is>
      </c>
      <c r="B137" t="n">
        <v>47</v>
      </c>
      <c r="C137" t="inlineStr">
        <is>
          <t>ETUDE - Baking Powder BB Deep Cleansing Foam [160ml] / Пенка с содой для глубокого очищения и снятия макияжа</t>
        </is>
      </c>
      <c r="D137" t="n">
        <v>228</v>
      </c>
      <c r="E137" t="n">
        <v>292.89</v>
      </c>
      <c r="F137" t="n">
        <v>352.89</v>
      </c>
      <c r="G137" t="n">
        <v>1746</v>
      </c>
      <c r="H137" t="n">
        <v>960.3</v>
      </c>
      <c r="I137" t="n">
        <v>1870</v>
      </c>
      <c r="J137" t="n">
        <v>12</v>
      </c>
      <c r="K137" t="n">
        <v>280.18</v>
      </c>
      <c r="L137" t="n">
        <v>70.66</v>
      </c>
      <c r="M137" t="n">
        <v>4.05</v>
      </c>
      <c r="N137" t="n">
        <v>20</v>
      </c>
      <c r="O137" t="n">
        <v>1515.45</v>
      </c>
      <c r="P137" t="n">
        <v>1803.29</v>
      </c>
      <c r="Q137" t="inlineStr">
        <is>
          <t>ручная цена в модели</t>
        </is>
      </c>
    </row>
    <row r="138">
      <c r="A138" t="inlineStr">
        <is>
          <t>FBS</t>
        </is>
      </c>
      <c r="B138" t="n">
        <v>48</v>
      </c>
      <c r="C138" t="inlineStr">
        <is>
          <t>ETUDE - Baking Powder Crunch Pore Scrub [24*7ml] / Очищающий скраб для лица с содой</t>
        </is>
      </c>
      <c r="D138" t="n">
        <v>221</v>
      </c>
      <c r="E138" t="n">
        <v>389.99</v>
      </c>
      <c r="F138" t="n">
        <v>449.99</v>
      </c>
      <c r="G138" t="n">
        <v>2387</v>
      </c>
      <c r="H138" t="n">
        <v>1312.85</v>
      </c>
      <c r="I138" t="n">
        <v>1900</v>
      </c>
      <c r="J138" t="n">
        <v>15</v>
      </c>
      <c r="K138" t="n">
        <v>447.92</v>
      </c>
      <c r="L138" t="n">
        <v>89.87</v>
      </c>
      <c r="M138" t="n">
        <v>3.76</v>
      </c>
      <c r="N138" t="n">
        <v>20</v>
      </c>
      <c r="O138" t="n">
        <v>2061.99</v>
      </c>
      <c r="P138" t="n">
        <v>2468.85</v>
      </c>
      <c r="Q138" t="inlineStr">
        <is>
          <t>ручная цена в модели</t>
        </is>
      </c>
    </row>
    <row r="139">
      <c r="A139" t="inlineStr">
        <is>
          <t>FBS</t>
        </is>
      </c>
      <c r="B139" t="n">
        <v>50</v>
      </c>
      <c r="C139" t="inlineStr">
        <is>
          <t>FARMSTAY COLLAGEN&amp;HYALURONIC ACID ALL-IN ONE</t>
        </is>
      </c>
      <c r="D139" t="n">
        <v>6611</v>
      </c>
      <c r="E139" t="n">
        <v>347.76</v>
      </c>
      <c r="F139" t="n">
        <v>407.76</v>
      </c>
      <c r="G139" t="n">
        <v>2178</v>
      </c>
      <c r="H139" t="n">
        <v>1197.9</v>
      </c>
      <c r="I139" t="n">
        <v>3850</v>
      </c>
      <c r="J139" t="n">
        <v>15</v>
      </c>
      <c r="K139" t="n">
        <v>408.15</v>
      </c>
      <c r="L139" t="n">
        <v>81.45</v>
      </c>
      <c r="M139" t="n">
        <v>3.74</v>
      </c>
      <c r="N139" t="n">
        <v>20</v>
      </c>
      <c r="O139" t="n">
        <v>1883.41</v>
      </c>
      <c r="P139" t="n">
        <v>2252.09</v>
      </c>
      <c r="Q139" t="inlineStr">
        <is>
          <t>ручная цена в модели</t>
        </is>
      </c>
    </row>
    <row r="140">
      <c r="A140" t="inlineStr">
        <is>
          <t>FBS</t>
        </is>
      </c>
      <c r="B140" t="n">
        <v>51</v>
      </c>
      <c r="C140" t="inlineStr">
        <is>
          <t>FARMSTAY - Black Garlic Nourishing Shampoo [530ml] / Шампунь-кондиционер 2в1 с экстрактом черного чеснока</t>
        </is>
      </c>
      <c r="D140" t="n">
        <v>3360</v>
      </c>
      <c r="E140" t="n">
        <v>396.72</v>
      </c>
      <c r="F140" t="n">
        <v>456.72</v>
      </c>
      <c r="G140" t="n">
        <v>2442</v>
      </c>
      <c r="H140" t="n">
        <v>1343.1</v>
      </c>
      <c r="I140" t="n">
        <v>2156</v>
      </c>
      <c r="J140" t="n">
        <v>15</v>
      </c>
      <c r="K140" t="n">
        <v>457.52</v>
      </c>
      <c r="L140" t="n">
        <v>91.22</v>
      </c>
      <c r="M140" t="n">
        <v>3.74</v>
      </c>
      <c r="N140" t="n">
        <v>20</v>
      </c>
      <c r="O140" t="n">
        <v>2112.1</v>
      </c>
      <c r="P140" t="n">
        <v>2525.05</v>
      </c>
      <c r="Q140" t="inlineStr">
        <is>
          <t>ручная цена в модели</t>
        </is>
      </c>
    </row>
    <row r="141">
      <c r="A141" t="inlineStr">
        <is>
          <t>FBS</t>
        </is>
      </c>
      <c r="B141" t="n">
        <v>52</v>
      </c>
      <c r="C141" t="inlineStr">
        <is>
          <t>FARMSTAY - Gold Snail Premium Cream [50ml] / Омолаживающий крем с муцином улитки и коллоидным золотом</t>
        </is>
      </c>
      <c r="D141" t="n">
        <v>1104</v>
      </c>
      <c r="E141" t="n">
        <v>431.05</v>
      </c>
      <c r="F141" t="n">
        <v>491.05</v>
      </c>
      <c r="G141" t="n">
        <v>2538</v>
      </c>
      <c r="H141" t="n">
        <v>1395.9</v>
      </c>
      <c r="I141" t="inlineStr"/>
      <c r="J141" t="n">
        <v>15</v>
      </c>
      <c r="K141" t="n">
        <v>478.93</v>
      </c>
      <c r="L141" t="n">
        <v>98.23</v>
      </c>
      <c r="M141" t="n">
        <v>3.87</v>
      </c>
      <c r="N141" t="n">
        <v>20</v>
      </c>
      <c r="O141" t="n">
        <v>2182.74</v>
      </c>
      <c r="P141" t="n">
        <v>2626.72</v>
      </c>
      <c r="Q141" t="inlineStr">
        <is>
          <t>ручная цена в модели</t>
        </is>
      </c>
    </row>
    <row r="142">
      <c r="A142" t="inlineStr">
        <is>
          <t>FBS</t>
        </is>
      </c>
      <c r="B142" t="n">
        <v>53</v>
      </c>
      <c r="C142" t="inlineStr">
        <is>
          <t>FARMSTAY - Escargot Noblesse Intensive Cream [50g] / Крем с муцином королевской улитки</t>
        </is>
      </c>
      <c r="D142" t="n">
        <v>964</v>
      </c>
      <c r="E142" t="n">
        <v>313.84</v>
      </c>
      <c r="F142" t="n">
        <v>373.84</v>
      </c>
      <c r="G142" t="n">
        <v>2032</v>
      </c>
      <c r="H142" t="n">
        <v>1117.6</v>
      </c>
      <c r="I142" t="n">
        <v>3070</v>
      </c>
      <c r="J142" t="n">
        <v>15</v>
      </c>
      <c r="K142" t="n">
        <v>379.66</v>
      </c>
      <c r="L142" t="n">
        <v>74.86</v>
      </c>
      <c r="M142" t="n">
        <v>3.68</v>
      </c>
      <c r="N142" t="n">
        <v>20</v>
      </c>
      <c r="O142" t="n">
        <v>1761.26</v>
      </c>
      <c r="P142" t="n">
        <v>2099.27</v>
      </c>
      <c r="Q142" t="inlineStr">
        <is>
          <t>ручная цена в модели</t>
        </is>
      </c>
    </row>
    <row r="143">
      <c r="A143" t="inlineStr">
        <is>
          <t>FBS</t>
        </is>
      </c>
      <c r="B143" t="n">
        <v>54</v>
      </c>
      <c r="C143" t="inlineStr">
        <is>
          <t xml:space="preserve">FARMSTAY ESCARGOT NOBLESSE INTENSIVE AMPOULE/ сыворотка с улиткой </t>
        </is>
      </c>
      <c r="D143" t="n">
        <v>964</v>
      </c>
      <c r="E143" t="n">
        <v>390.46</v>
      </c>
      <c r="F143" t="n">
        <v>450.46</v>
      </c>
      <c r="G143" t="n">
        <v>2364</v>
      </c>
      <c r="H143" t="n">
        <v>1300.2</v>
      </c>
      <c r="I143" t="n">
        <v>3820</v>
      </c>
      <c r="J143" t="n">
        <v>15</v>
      </c>
      <c r="K143" t="n">
        <v>444.64</v>
      </c>
      <c r="L143" t="n">
        <v>90.04000000000001</v>
      </c>
      <c r="M143" t="n">
        <v>3.81</v>
      </c>
      <c r="N143" t="n">
        <v>20</v>
      </c>
      <c r="O143" t="n">
        <v>2038.37</v>
      </c>
      <c r="P143" t="n">
        <v>2445.66</v>
      </c>
      <c r="Q143" t="inlineStr">
        <is>
          <t>ручная цена в модели</t>
        </is>
      </c>
    </row>
    <row r="144">
      <c r="A144" t="inlineStr">
        <is>
          <t>FBS</t>
        </is>
      </c>
      <c r="B144" t="n">
        <v>55</v>
      </c>
      <c r="C144" t="inlineStr">
        <is>
          <t>FARMSTAY - Argan Oil Complete Volume Up Shampoo &amp; Conditioner [530ml] / Шампунь-кондиционер с аргановым маслом</t>
        </is>
      </c>
      <c r="D144" t="n">
        <v>2535</v>
      </c>
      <c r="E144" t="n">
        <v>400.76</v>
      </c>
      <c r="F144" t="n">
        <v>460.76</v>
      </c>
      <c r="G144" t="n">
        <v>2448</v>
      </c>
      <c r="H144" t="n">
        <v>1346.4</v>
      </c>
      <c r="I144" t="n">
        <v>2000</v>
      </c>
      <c r="J144" t="n">
        <v>15</v>
      </c>
      <c r="K144" t="n">
        <v>459.29</v>
      </c>
      <c r="L144" t="n">
        <v>92.09</v>
      </c>
      <c r="M144" t="n">
        <v>3.76</v>
      </c>
      <c r="N144" t="n">
        <v>20</v>
      </c>
      <c r="O144" t="n">
        <v>2114.93</v>
      </c>
      <c r="P144" t="n">
        <v>2531.53</v>
      </c>
      <c r="Q144" t="inlineStr">
        <is>
          <t>ручная цена в модели</t>
        </is>
      </c>
    </row>
    <row r="145">
      <c r="A145" t="inlineStr">
        <is>
          <t>FBS</t>
        </is>
      </c>
      <c r="B145" t="n">
        <v>56</v>
      </c>
      <c r="C145" t="inlineStr">
        <is>
          <t>FARMSTAY - Collagen Water Full Shampoo &amp; Conditioner [530ml] / Шампунь-кондиционер 2в1 с коллагеном</t>
        </is>
      </c>
      <c r="D145" t="n">
        <v>484</v>
      </c>
      <c r="E145" t="n">
        <v>396.72</v>
      </c>
      <c r="F145" t="n">
        <v>456.72</v>
      </c>
      <c r="G145" t="n">
        <v>2431</v>
      </c>
      <c r="H145" t="n">
        <v>1337.05</v>
      </c>
      <c r="I145" t="n">
        <v>2128</v>
      </c>
      <c r="J145" t="n">
        <v>15</v>
      </c>
      <c r="K145" t="n">
        <v>456.08</v>
      </c>
      <c r="L145" t="n">
        <v>91.43000000000001</v>
      </c>
      <c r="M145" t="n">
        <v>3.76</v>
      </c>
      <c r="N145" t="n">
        <v>20</v>
      </c>
      <c r="O145" t="n">
        <v>2100.32</v>
      </c>
      <c r="P145" t="n">
        <v>2513.27</v>
      </c>
      <c r="Q145" t="inlineStr">
        <is>
          <t>ручная цена в модели</t>
        </is>
      </c>
    </row>
    <row r="146">
      <c r="A146" t="inlineStr">
        <is>
          <t>FBS</t>
        </is>
      </c>
      <c r="B146" t="n">
        <v>57</v>
      </c>
      <c r="C146" t="inlineStr">
        <is>
          <t>FARMSTAY - Collagen Water Full Moist Rolling Eye Serum [25ml] / Сыворотка роллер для глаз</t>
        </is>
      </c>
      <c r="D146" t="n">
        <v>484</v>
      </c>
      <c r="E146" t="n">
        <v>231.73</v>
      </c>
      <c r="F146" t="n">
        <v>291.73</v>
      </c>
      <c r="G146" t="n">
        <v>1647</v>
      </c>
      <c r="H146" t="n">
        <v>905.85</v>
      </c>
      <c r="I146" t="n">
        <v>2145</v>
      </c>
      <c r="J146" t="n">
        <v>15</v>
      </c>
      <c r="K146" t="n">
        <v>305.28</v>
      </c>
      <c r="L146" t="n">
        <v>58.23</v>
      </c>
      <c r="M146" t="n">
        <v>3.54</v>
      </c>
      <c r="N146" t="n">
        <v>20</v>
      </c>
      <c r="O146" t="n">
        <v>1436.41</v>
      </c>
      <c r="P146" t="n">
        <v>1700.18</v>
      </c>
      <c r="Q146" t="inlineStr">
        <is>
          <t>ручная цена в модели</t>
        </is>
      </c>
    </row>
    <row r="147">
      <c r="A147" t="inlineStr">
        <is>
          <t>FBS</t>
        </is>
      </c>
      <c r="B147" t="n">
        <v>58</v>
      </c>
      <c r="C147" t="inlineStr">
        <is>
          <t>FARMSTAY - Collagen Water Full Moist Cream [100g] / Увлажняющий крем с коллагеном</t>
        </is>
      </c>
      <c r="D147" t="n">
        <v>287</v>
      </c>
      <c r="E147" t="n">
        <v>484.42</v>
      </c>
      <c r="F147" t="n">
        <v>544.42</v>
      </c>
      <c r="G147" t="n">
        <v>2767</v>
      </c>
      <c r="H147" t="n">
        <v>1521.85</v>
      </c>
      <c r="I147" t="n">
        <v>4300</v>
      </c>
      <c r="J147" t="n">
        <v>15</v>
      </c>
      <c r="K147" t="n">
        <v>524.0599999999999</v>
      </c>
      <c r="L147" t="n">
        <v>109.01</v>
      </c>
      <c r="M147" t="n">
        <v>3.94</v>
      </c>
      <c r="N147" t="n">
        <v>20</v>
      </c>
      <c r="O147" t="n">
        <v>2372.76</v>
      </c>
      <c r="P147" t="n">
        <v>2865</v>
      </c>
      <c r="Q147" t="inlineStr">
        <is>
          <t>ручная цена в модели</t>
        </is>
      </c>
    </row>
    <row r="148">
      <c r="A148" t="inlineStr">
        <is>
          <t>FBS</t>
        </is>
      </c>
      <c r="B148" t="n">
        <v>59</v>
      </c>
      <c r="C148" t="inlineStr">
        <is>
          <t xml:space="preserve">FARMSTAY - Collagen Pure Cleansing Foam [180ml]/Пенка для умывания </t>
        </is>
      </c>
      <c r="D148" t="n">
        <v>515</v>
      </c>
      <c r="E148" t="n">
        <v>161.47</v>
      </c>
      <c r="F148" t="n">
        <v>221.47</v>
      </c>
      <c r="G148" t="n">
        <v>1365</v>
      </c>
      <c r="H148" t="n">
        <v>750.75</v>
      </c>
      <c r="I148" t="n">
        <v>1100</v>
      </c>
      <c r="J148" t="n">
        <v>15</v>
      </c>
      <c r="K148" t="n">
        <v>249.05</v>
      </c>
      <c r="L148" t="n">
        <v>44.3</v>
      </c>
      <c r="M148" t="n">
        <v>3.25</v>
      </c>
      <c r="N148" t="n">
        <v>20</v>
      </c>
      <c r="O148" t="n">
        <v>1204.77</v>
      </c>
      <c r="P148" t="n">
        <v>1405.01</v>
      </c>
      <c r="Q148" t="inlineStr">
        <is>
          <t>ручная цена в модели</t>
        </is>
      </c>
    </row>
    <row r="149">
      <c r="A149" t="inlineStr">
        <is>
          <t>FBS</t>
        </is>
      </c>
      <c r="B149" t="n">
        <v>61</v>
      </c>
      <c r="C149" t="inlineStr">
        <is>
          <t>HEIMISH - Artless Glow Base SPF50+ PA+++(Renew) [40ml] / База под макияж SPF50+ PA+++</t>
        </is>
      </c>
      <c r="D149" t="n">
        <v>1025</v>
      </c>
      <c r="E149" t="n">
        <v>770.48</v>
      </c>
      <c r="F149" t="n">
        <v>830.48</v>
      </c>
      <c r="G149" t="n">
        <v>3350</v>
      </c>
      <c r="H149" t="n">
        <v>1842.5</v>
      </c>
      <c r="I149" t="n">
        <v>2980</v>
      </c>
      <c r="J149" t="n">
        <v>10</v>
      </c>
      <c r="K149" t="n">
        <v>500.97</v>
      </c>
      <c r="L149" t="n">
        <v>165.97</v>
      </c>
      <c r="M149" t="n">
        <v>4.95</v>
      </c>
      <c r="N149" t="n">
        <v>20</v>
      </c>
      <c r="O149" t="n">
        <v>2841.67</v>
      </c>
      <c r="P149" t="n">
        <v>3477.56</v>
      </c>
      <c r="Q149" t="inlineStr">
        <is>
          <t>ручная цена в модели</t>
        </is>
      </c>
    </row>
    <row r="150">
      <c r="A150" t="inlineStr">
        <is>
          <t>FBS</t>
        </is>
      </c>
      <c r="B150" t="n">
        <v>63</v>
      </c>
      <c r="C150" t="inlineStr">
        <is>
          <t>JIGOTT - Snail Lifting Cream [70ml] / Крем для лица увлажняющий антивозрастной</t>
        </is>
      </c>
      <c r="D150" t="n">
        <v>7668</v>
      </c>
      <c r="E150" t="n">
        <v>202.27</v>
      </c>
      <c r="F150" t="n">
        <v>262.27</v>
      </c>
      <c r="G150" t="n">
        <v>1539</v>
      </c>
      <c r="H150" t="n">
        <v>846.45</v>
      </c>
      <c r="I150" t="n">
        <v>980</v>
      </c>
      <c r="J150" t="n">
        <v>15</v>
      </c>
      <c r="K150" t="n">
        <v>283.24</v>
      </c>
      <c r="L150" t="n">
        <v>52.39</v>
      </c>
      <c r="M150" t="n">
        <v>3.4</v>
      </c>
      <c r="N150" t="n">
        <v>20</v>
      </c>
      <c r="O150" t="n">
        <v>1349.52</v>
      </c>
      <c r="P150" t="n">
        <v>1586.66</v>
      </c>
      <c r="Q150" t="inlineStr">
        <is>
          <t>ручная цена в модели</t>
        </is>
      </c>
    </row>
    <row r="151">
      <c r="A151" t="inlineStr">
        <is>
          <t>FBS</t>
        </is>
      </c>
      <c r="B151" t="n">
        <v>64</v>
      </c>
      <c r="C151" t="inlineStr">
        <is>
          <t>JIGOTT - Snail Reparing Cream [100ml] / Крем для лица увлажняющий антивозрастной с муцином улитки</t>
        </is>
      </c>
      <c r="D151" t="n">
        <v>1241</v>
      </c>
      <c r="E151" t="n">
        <v>185.86</v>
      </c>
      <c r="F151" t="n">
        <v>245.86</v>
      </c>
      <c r="G151" t="n">
        <v>1471</v>
      </c>
      <c r="H151" t="n">
        <v>809.05</v>
      </c>
      <c r="I151" t="n">
        <v>1030</v>
      </c>
      <c r="J151" t="n">
        <v>15</v>
      </c>
      <c r="K151" t="n">
        <v>269.87</v>
      </c>
      <c r="L151" t="n">
        <v>49.22</v>
      </c>
      <c r="M151" t="n">
        <v>3.35</v>
      </c>
      <c r="N151" t="n">
        <v>20</v>
      </c>
      <c r="O151" t="n">
        <v>1292.98</v>
      </c>
      <c r="P151" t="n">
        <v>1515.28</v>
      </c>
      <c r="Q151" t="inlineStr">
        <is>
          <t>ручная цена в модели</t>
        </is>
      </c>
    </row>
    <row r="152">
      <c r="A152" t="inlineStr">
        <is>
          <t>FBS</t>
        </is>
      </c>
      <c r="B152" t="n">
        <v>65</v>
      </c>
      <c r="C152" t="inlineStr">
        <is>
          <t>JIGOTT - Birds Nest Firming Cream [70ml] / Антивозрастной крем с экстрактом ласточкиного гнезда</t>
        </is>
      </c>
      <c r="D152" t="n">
        <v>1814</v>
      </c>
      <c r="E152" t="n">
        <v>202.27</v>
      </c>
      <c r="F152" t="n">
        <v>262.27</v>
      </c>
      <c r="G152" t="n">
        <v>1539</v>
      </c>
      <c r="H152" t="n">
        <v>846.45</v>
      </c>
      <c r="I152" t="n">
        <v>1040</v>
      </c>
      <c r="J152" t="n">
        <v>15</v>
      </c>
      <c r="K152" t="n">
        <v>283.24</v>
      </c>
      <c r="L152" t="n">
        <v>52.39</v>
      </c>
      <c r="M152" t="n">
        <v>3.4</v>
      </c>
      <c r="N152" t="n">
        <v>20</v>
      </c>
      <c r="O152" t="n">
        <v>1349.52</v>
      </c>
      <c r="P152" t="n">
        <v>1586.66</v>
      </c>
      <c r="Q152" t="inlineStr">
        <is>
          <t>ручная цена в модели</t>
        </is>
      </c>
    </row>
    <row r="153">
      <c r="A153" t="inlineStr">
        <is>
          <t>FBS</t>
        </is>
      </c>
      <c r="B153" t="n">
        <v>67</v>
      </c>
      <c r="C153" t="inlineStr">
        <is>
          <t>JIGOTT - Ассорти набор масок [27ml х 15]</t>
        </is>
      </c>
      <c r="D153" t="n">
        <v>1350</v>
      </c>
      <c r="E153" t="n">
        <v>334.05</v>
      </c>
      <c r="F153" t="n">
        <v>394.05</v>
      </c>
      <c r="G153" t="n">
        <v>2236.31</v>
      </c>
      <c r="H153" t="n">
        <v>1229.97</v>
      </c>
      <c r="I153" t="inlineStr"/>
      <c r="J153" t="n">
        <v>15</v>
      </c>
      <c r="K153" t="n">
        <v>433.96</v>
      </c>
      <c r="L153" t="n">
        <v>98.51000000000001</v>
      </c>
      <c r="M153" t="n">
        <v>4.41</v>
      </c>
      <c r="N153" t="n">
        <v>25</v>
      </c>
      <c r="O153" t="n">
        <v>1880.02</v>
      </c>
      <c r="P153" t="n">
        <v>2236.31</v>
      </c>
      <c r="Q153" t="inlineStr">
        <is>
          <t>формула: ROI 25%</t>
        </is>
      </c>
    </row>
    <row r="154">
      <c r="A154" t="inlineStr">
        <is>
          <t>FBS</t>
        </is>
      </c>
      <c r="B154" t="n">
        <v>69</v>
      </c>
      <c r="C154" t="inlineStr">
        <is>
          <t>JIGOTT - Ultimate Real Collagen Toner [300ml] / тонер с коллагеном антивозрастной</t>
        </is>
      </c>
      <c r="D154" t="n">
        <v>1296</v>
      </c>
      <c r="E154" t="n">
        <v>265.36</v>
      </c>
      <c r="F154" t="n">
        <v>325.36</v>
      </c>
      <c r="G154" t="n">
        <v>1823</v>
      </c>
      <c r="H154" t="n">
        <v>1002.65</v>
      </c>
      <c r="I154" t="n">
        <v>1140</v>
      </c>
      <c r="J154" t="n">
        <v>15</v>
      </c>
      <c r="K154" t="n">
        <v>338.64</v>
      </c>
      <c r="L154" t="n">
        <v>65.19</v>
      </c>
      <c r="M154" t="n">
        <v>3.58</v>
      </c>
      <c r="N154" t="n">
        <v>20</v>
      </c>
      <c r="O154" t="n">
        <v>1587.24</v>
      </c>
      <c r="P154" t="n">
        <v>1881.41</v>
      </c>
      <c r="Q154" t="inlineStr">
        <is>
          <t>ручная цена в модели</t>
        </is>
      </c>
    </row>
    <row r="155">
      <c r="A155" t="inlineStr">
        <is>
          <t>FBS</t>
        </is>
      </c>
      <c r="B155" t="n">
        <v>70</v>
      </c>
      <c r="C155" t="inlineStr">
        <is>
          <t>JIGOTT - Daily Real Cica Toner [300ml] / Тонер для лица с центеллой азиатской</t>
        </is>
      </c>
      <c r="D155" t="n">
        <v>1468</v>
      </c>
      <c r="E155" t="n">
        <v>265.36</v>
      </c>
      <c r="F155" t="n">
        <v>325.36</v>
      </c>
      <c r="G155" t="n">
        <v>1823</v>
      </c>
      <c r="H155" t="n">
        <v>1002.65</v>
      </c>
      <c r="I155" t="n">
        <v>1140</v>
      </c>
      <c r="J155" t="n">
        <v>15</v>
      </c>
      <c r="K155" t="n">
        <v>338.64</v>
      </c>
      <c r="L155" t="n">
        <v>65.19</v>
      </c>
      <c r="M155" t="n">
        <v>3.58</v>
      </c>
      <c r="N155" t="n">
        <v>20</v>
      </c>
      <c r="O155" t="n">
        <v>1587.24</v>
      </c>
      <c r="P155" t="n">
        <v>1881.41</v>
      </c>
      <c r="Q155" t="inlineStr">
        <is>
          <t>ручная цена в модели</t>
        </is>
      </c>
    </row>
    <row r="156">
      <c r="A156" t="inlineStr">
        <is>
          <t>FBS</t>
        </is>
      </c>
      <c r="B156" t="n">
        <v>71</v>
      </c>
      <c r="C156" t="inlineStr">
        <is>
          <t>JIGOTT - Aura Secret Hyaluronec Acid Toner [300ml] / Тонер с гиалуроновой кислотой антивозрастной</t>
        </is>
      </c>
      <c r="D156" t="n">
        <v>424</v>
      </c>
      <c r="E156" t="n">
        <v>265.36</v>
      </c>
      <c r="F156" t="n">
        <v>325.36</v>
      </c>
      <c r="G156" t="n">
        <v>1823</v>
      </c>
      <c r="H156" t="n">
        <v>1002.65</v>
      </c>
      <c r="I156" t="n">
        <v>975</v>
      </c>
      <c r="J156" t="n">
        <v>15</v>
      </c>
      <c r="K156" t="n">
        <v>338.64</v>
      </c>
      <c r="L156" t="n">
        <v>65.19</v>
      </c>
      <c r="M156" t="n">
        <v>3.58</v>
      </c>
      <c r="N156" t="n">
        <v>20</v>
      </c>
      <c r="O156" t="n">
        <v>1587.24</v>
      </c>
      <c r="P156" t="n">
        <v>1881.41</v>
      </c>
      <c r="Q156" t="inlineStr">
        <is>
          <t>ручная цена в модели</t>
        </is>
      </c>
    </row>
    <row r="157">
      <c r="A157" t="inlineStr">
        <is>
          <t>FBS</t>
        </is>
      </c>
      <c r="B157" t="n">
        <v>72</v>
      </c>
      <c r="C157" t="inlineStr">
        <is>
          <t>JIGOTT - Moisture Real Aloe Vera Toner [300ml] / Тонер для лица увлажняющий с экстрактом алоэ</t>
        </is>
      </c>
      <c r="D157" t="n">
        <v>356</v>
      </c>
      <c r="E157" t="n">
        <v>265.36</v>
      </c>
      <c r="F157" t="n">
        <v>325.36</v>
      </c>
      <c r="G157" t="n">
        <v>1823</v>
      </c>
      <c r="H157" t="n">
        <v>1002.65</v>
      </c>
      <c r="I157" t="n">
        <v>1100</v>
      </c>
      <c r="J157" t="n">
        <v>15</v>
      </c>
      <c r="K157" t="n">
        <v>338.64</v>
      </c>
      <c r="L157" t="n">
        <v>65.19</v>
      </c>
      <c r="M157" t="n">
        <v>3.58</v>
      </c>
      <c r="N157" t="n">
        <v>20</v>
      </c>
      <c r="O157" t="n">
        <v>1587.24</v>
      </c>
      <c r="P157" t="n">
        <v>1881.41</v>
      </c>
      <c r="Q157" t="inlineStr">
        <is>
          <t>ручная цена в модели</t>
        </is>
      </c>
    </row>
    <row r="158">
      <c r="A158" t="inlineStr">
        <is>
          <t>FBS</t>
        </is>
      </c>
      <c r="B158" t="n">
        <v>74</v>
      </c>
      <c r="C158" t="inlineStr">
        <is>
          <t>JMSOLUTION - MASK PACK BLACK [30ml*10ea] - ассорти набор 10шт в упаковке</t>
        </is>
      </c>
      <c r="D158" t="n">
        <v>1039</v>
      </c>
      <c r="E158" t="n">
        <v>463.2</v>
      </c>
      <c r="F158" t="n">
        <v>523.2</v>
      </c>
      <c r="G158" t="n">
        <v>2707</v>
      </c>
      <c r="H158" t="n">
        <v>1488.85</v>
      </c>
      <c r="I158" t="n">
        <v>2340</v>
      </c>
      <c r="J158" t="n">
        <v>15</v>
      </c>
      <c r="K158" t="n">
        <v>510.67</v>
      </c>
      <c r="L158" t="n">
        <v>104.62</v>
      </c>
      <c r="M158" t="n">
        <v>3.86</v>
      </c>
      <c r="N158" t="n">
        <v>20</v>
      </c>
      <c r="O158" t="n">
        <v>2328.63</v>
      </c>
      <c r="P158" t="n">
        <v>2801.69</v>
      </c>
      <c r="Q158" t="inlineStr">
        <is>
          <t>ручная цена в модели</t>
        </is>
      </c>
    </row>
    <row r="159">
      <c r="A159" t="inlineStr">
        <is>
          <t>FBS</t>
        </is>
      </c>
      <c r="B159" t="n">
        <v>76</v>
      </c>
      <c r="C159" t="inlineStr">
        <is>
          <t>JMSOLUTION - MASK PACK DISNEY [30ml*10ea] - ассорти набор из 10шт</t>
        </is>
      </c>
      <c r="D159" t="n">
        <v>835</v>
      </c>
      <c r="E159" t="n">
        <v>463.2</v>
      </c>
      <c r="F159" t="n">
        <v>523.2</v>
      </c>
      <c r="G159" t="n">
        <v>2707</v>
      </c>
      <c r="H159" t="n">
        <v>1488.85</v>
      </c>
      <c r="I159" t="inlineStr"/>
      <c r="J159" t="n">
        <v>15</v>
      </c>
      <c r="K159" t="n">
        <v>510.67</v>
      </c>
      <c r="L159" t="n">
        <v>104.62</v>
      </c>
      <c r="M159" t="n">
        <v>3.86</v>
      </c>
      <c r="N159" t="n">
        <v>20</v>
      </c>
      <c r="O159" t="n">
        <v>2328.63</v>
      </c>
      <c r="P159" t="n">
        <v>2801.69</v>
      </c>
      <c r="Q159" t="inlineStr">
        <is>
          <t>ручная цена в модели</t>
        </is>
      </c>
    </row>
    <row r="160">
      <c r="A160" t="inlineStr">
        <is>
          <t>FBS</t>
        </is>
      </c>
      <c r="B160" t="n">
        <v>78</v>
      </c>
      <c r="C160" t="inlineStr">
        <is>
          <t>LEBELAGE - Dr. Peptide Derma Eye Cream [40ml] / Крем для глаз антивозрастной с пептидами</t>
        </is>
      </c>
      <c r="D160" t="n">
        <v>410</v>
      </c>
      <c r="E160" t="n">
        <v>108.15</v>
      </c>
      <c r="F160" t="n">
        <v>168.15</v>
      </c>
      <c r="G160" t="n">
        <v>1112</v>
      </c>
      <c r="H160" t="n">
        <v>611.6</v>
      </c>
      <c r="I160" t="n">
        <v>667</v>
      </c>
      <c r="J160" t="n">
        <v>15</v>
      </c>
      <c r="K160" t="n">
        <v>200.42</v>
      </c>
      <c r="L160" t="n">
        <v>33.62</v>
      </c>
      <c r="M160" t="n">
        <v>3.02</v>
      </c>
      <c r="N160" t="n">
        <v>20</v>
      </c>
      <c r="O160" t="n">
        <v>990.4</v>
      </c>
      <c r="P160" t="n">
        <v>1142.44</v>
      </c>
      <c r="Q160" t="inlineStr">
        <is>
          <t>ручная цена в модели</t>
        </is>
      </c>
    </row>
    <row r="161">
      <c r="A161" t="inlineStr">
        <is>
          <t>FBS</t>
        </is>
      </c>
      <c r="B161" t="n">
        <v>80</v>
      </c>
      <c r="C161" t="inlineStr">
        <is>
          <t>LANEIGE LIP SLEEPING MASK-BERRY [3g]</t>
        </is>
      </c>
      <c r="D161" t="n">
        <v>341</v>
      </c>
      <c r="E161" t="n">
        <v>130.86</v>
      </c>
      <c r="F161" t="n">
        <v>190.86</v>
      </c>
      <c r="G161" t="n">
        <v>1182</v>
      </c>
      <c r="H161" t="n">
        <v>650.1</v>
      </c>
      <c r="I161" t="n">
        <v>1470</v>
      </c>
      <c r="J161" t="n">
        <v>15</v>
      </c>
      <c r="K161" t="n">
        <v>215.63</v>
      </c>
      <c r="L161" t="n">
        <v>38.33</v>
      </c>
      <c r="M161" t="n">
        <v>3.24</v>
      </c>
      <c r="N161" t="n">
        <v>20.1</v>
      </c>
      <c r="O161" t="n">
        <v>1043.38</v>
      </c>
      <c r="P161" t="n">
        <v>1215.95</v>
      </c>
      <c r="Q161" t="inlineStr">
        <is>
          <t>ручная цена в модели</t>
        </is>
      </c>
    </row>
    <row r="162">
      <c r="A162" t="inlineStr">
        <is>
          <t>FBS</t>
        </is>
      </c>
      <c r="B162" t="n">
        <v>82</v>
      </c>
      <c r="C162" t="inlineStr">
        <is>
          <t>MANYO - Bifida Biome Complex Ampoule [50ml] / Антивозрастная сыворотка для лица</t>
        </is>
      </c>
      <c r="D162" t="n">
        <v>1473</v>
      </c>
      <c r="E162" t="n">
        <v>899.78</v>
      </c>
      <c r="F162" t="n">
        <v>959.78</v>
      </c>
      <c r="G162" t="n">
        <v>3467.67</v>
      </c>
      <c r="H162" t="n">
        <v>1907.22</v>
      </c>
      <c r="I162" t="n">
        <v>5800</v>
      </c>
      <c r="J162" t="n">
        <v>5</v>
      </c>
      <c r="K162" t="n">
        <v>413.33</v>
      </c>
      <c r="L162" t="n">
        <v>239.95</v>
      </c>
      <c r="M162" t="n">
        <v>6.92</v>
      </c>
      <c r="N162" t="n">
        <v>25</v>
      </c>
      <c r="O162" t="n">
        <v>2830.36</v>
      </c>
      <c r="P162" t="n">
        <v>3467.67</v>
      </c>
      <c r="Q162" t="inlineStr">
        <is>
          <t>формула: ROI 25%</t>
        </is>
      </c>
    </row>
    <row r="163">
      <c r="A163" t="inlineStr">
        <is>
          <t>FBS</t>
        </is>
      </c>
      <c r="B163" t="n">
        <v>83</v>
      </c>
      <c r="C163" t="inlineStr">
        <is>
          <t>MANYO - Galac Whitening Vita Serum [50ml] / Осветляющая сыворотка с Витамином C</t>
        </is>
      </c>
      <c r="D163" t="n">
        <v>854</v>
      </c>
      <c r="E163" t="n">
        <v>646.83</v>
      </c>
      <c r="F163" t="n">
        <v>706.83</v>
      </c>
      <c r="G163" t="n">
        <v>2605.9</v>
      </c>
      <c r="H163" t="n">
        <v>1433.24</v>
      </c>
      <c r="I163" t="n">
        <v>4000</v>
      </c>
      <c r="J163" t="n">
        <v>5</v>
      </c>
      <c r="K163" t="n">
        <v>307</v>
      </c>
      <c r="L163" t="n">
        <v>176.71</v>
      </c>
      <c r="M163" t="n">
        <v>6.78</v>
      </c>
      <c r="N163" t="n">
        <v>25</v>
      </c>
      <c r="O163" t="n">
        <v>2136.55</v>
      </c>
      <c r="P163" t="n">
        <v>2605.9</v>
      </c>
      <c r="Q163" t="inlineStr">
        <is>
          <t>формула: ROI 25%</t>
        </is>
      </c>
    </row>
    <row r="164">
      <c r="A164" t="inlineStr">
        <is>
          <t>FBS</t>
        </is>
      </c>
      <c r="B164" t="n">
        <v>84</v>
      </c>
      <c r="C164" t="inlineStr">
        <is>
          <t>MANYO - Bifida Biome Ampoule Lotion [300ml] / Укрепляющий лосьон с бифидобактериями</t>
        </is>
      </c>
      <c r="D164" t="n">
        <v>756</v>
      </c>
      <c r="E164" t="n">
        <v>735.34</v>
      </c>
      <c r="F164" t="n">
        <v>795.34</v>
      </c>
      <c r="G164" t="n">
        <v>2937.66</v>
      </c>
      <c r="H164" t="n">
        <v>1615.72</v>
      </c>
      <c r="I164" t="n">
        <v>4000</v>
      </c>
      <c r="J164" t="n">
        <v>5</v>
      </c>
      <c r="K164" t="n">
        <v>345.72</v>
      </c>
      <c r="L164" t="n">
        <v>198.84</v>
      </c>
      <c r="M164" t="n">
        <v>6.77</v>
      </c>
      <c r="N164" t="n">
        <v>25</v>
      </c>
      <c r="O164" t="n">
        <v>2409.55</v>
      </c>
      <c r="P164" t="n">
        <v>2937.66</v>
      </c>
      <c r="Q164" t="inlineStr">
        <is>
          <t>формула: ROI 25%</t>
        </is>
      </c>
    </row>
    <row r="165">
      <c r="A165" t="inlineStr">
        <is>
          <t>FBS</t>
        </is>
      </c>
      <c r="B165" t="n">
        <v>85</v>
      </c>
      <c r="C165" t="inlineStr">
        <is>
          <t>MANYO - Pure Cleansing Oil [200ml] / Гидрофильное масло для глубокого очищения</t>
        </is>
      </c>
      <c r="D165" t="n">
        <v>243</v>
      </c>
      <c r="E165" t="n">
        <v>853</v>
      </c>
      <c r="F165" t="n">
        <v>913</v>
      </c>
      <c r="G165" t="n">
        <v>3326.79</v>
      </c>
      <c r="H165" t="n">
        <v>1829.73</v>
      </c>
      <c r="I165" t="n">
        <v>4000</v>
      </c>
      <c r="J165" t="n">
        <v>5</v>
      </c>
      <c r="K165" t="n">
        <v>394.59</v>
      </c>
      <c r="L165" t="n">
        <v>228.25</v>
      </c>
      <c r="M165" t="n">
        <v>6.86</v>
      </c>
      <c r="N165" t="n">
        <v>25</v>
      </c>
      <c r="O165" t="n">
        <v>2720.55</v>
      </c>
      <c r="P165" t="n">
        <v>3326.79</v>
      </c>
      <c r="Q165" t="inlineStr">
        <is>
          <t>формула: ROI 25%</t>
        </is>
      </c>
    </row>
    <row r="166">
      <c r="A166" t="inlineStr">
        <is>
          <t>FBS</t>
        </is>
      </c>
      <c r="B166" t="n">
        <v>86</v>
      </c>
      <c r="C166" t="inlineStr">
        <is>
          <t>MANYO BIFIDA COMPLEX AMPOULE GEL CLEANSER [400ml] / Гель для умывания с бифидобактериями</t>
        </is>
      </c>
      <c r="D166" t="n">
        <v>814</v>
      </c>
      <c r="E166" t="n">
        <v>650</v>
      </c>
      <c r="F166" t="n">
        <v>710</v>
      </c>
      <c r="G166" t="n">
        <v>2682.11</v>
      </c>
      <c r="H166" t="n">
        <v>1475.16</v>
      </c>
      <c r="I166" t="n">
        <v>4800</v>
      </c>
      <c r="J166" t="n">
        <v>5</v>
      </c>
      <c r="K166" t="n">
        <v>311.61</v>
      </c>
      <c r="L166" t="n">
        <v>177.5</v>
      </c>
      <c r="M166" t="n">
        <v>6.62</v>
      </c>
      <c r="N166" t="n">
        <v>25</v>
      </c>
      <c r="O166" t="n">
        <v>2210.67</v>
      </c>
      <c r="P166" t="n">
        <v>2682.11</v>
      </c>
      <c r="Q166" t="inlineStr">
        <is>
          <t>формула: ROI 25%</t>
        </is>
      </c>
    </row>
    <row r="167">
      <c r="A167" t="inlineStr">
        <is>
          <t>FBS</t>
        </is>
      </c>
      <c r="B167" t="n">
        <v>87</v>
      </c>
      <c r="C167" t="inlineStr">
        <is>
          <t>MANYO BIFIDA INFUSION SHOT AMPOULE 1DX [50ml] / Сыворотка с микроиглами и пробиотиками</t>
        </is>
      </c>
      <c r="D167" t="n">
        <v>786</v>
      </c>
      <c r="E167" t="n">
        <v>899.78</v>
      </c>
      <c r="F167" t="n">
        <v>959.78</v>
      </c>
      <c r="G167" t="n">
        <v>3467.67</v>
      </c>
      <c r="H167" t="n">
        <v>1907.22</v>
      </c>
      <c r="I167" t="n">
        <v>3800</v>
      </c>
      <c r="J167" t="n">
        <v>5</v>
      </c>
      <c r="K167" t="n">
        <v>413.33</v>
      </c>
      <c r="L167" t="n">
        <v>239.95</v>
      </c>
      <c r="M167" t="n">
        <v>6.92</v>
      </c>
      <c r="N167" t="n">
        <v>25</v>
      </c>
      <c r="O167" t="n">
        <v>2830.36</v>
      </c>
      <c r="P167" t="n">
        <v>3467.67</v>
      </c>
      <c r="Q167" t="inlineStr">
        <is>
          <t>формула: ROI 25%</t>
        </is>
      </c>
    </row>
    <row r="168">
      <c r="A168" t="inlineStr">
        <is>
          <t>FBS</t>
        </is>
      </c>
      <c r="B168" t="n">
        <v>89</v>
      </c>
      <c r="C168" t="inlineStr">
        <is>
          <t>MASIL - 8 Seconds Salon Hair Mask 350ml Set [350ml+8ml*2]</t>
        </is>
      </c>
      <c r="D168" t="n">
        <v>119</v>
      </c>
      <c r="E168" t="n">
        <v>669.05</v>
      </c>
      <c r="F168" t="n">
        <v>729.05</v>
      </c>
      <c r="G168" t="n">
        <v>3731.36</v>
      </c>
      <c r="H168" t="n">
        <v>2052.25</v>
      </c>
      <c r="I168" t="inlineStr"/>
      <c r="J168" t="n">
        <v>15</v>
      </c>
      <c r="K168" t="n">
        <v>741.97</v>
      </c>
      <c r="L168" t="n">
        <v>182.26</v>
      </c>
      <c r="M168" t="n">
        <v>4.88</v>
      </c>
      <c r="N168" t="n">
        <v>25</v>
      </c>
      <c r="O168" t="n">
        <v>3072.18</v>
      </c>
      <c r="P168" t="n">
        <v>3731.36</v>
      </c>
      <c r="Q168" t="inlineStr">
        <is>
          <t>формула: ROI 25%</t>
        </is>
      </c>
    </row>
    <row r="169">
      <c r="A169" t="inlineStr">
        <is>
          <t>FBS</t>
        </is>
      </c>
      <c r="B169" t="n">
        <v>91</v>
      </c>
      <c r="C169" t="inlineStr">
        <is>
          <t>PETITFEE - Collagen &amp; CoQ10 Hydrogel Eye Patch [60ea] / Гидрогелевые патчи для глаз с коллагеном и коэнзимом Q10</t>
        </is>
      </c>
      <c r="D169" t="n">
        <v>1008</v>
      </c>
      <c r="E169" t="n">
        <v>385.05</v>
      </c>
      <c r="F169" t="n">
        <v>445.05</v>
      </c>
      <c r="G169" t="n">
        <v>2336</v>
      </c>
      <c r="H169" t="n">
        <v>1284.8</v>
      </c>
      <c r="I169" t="n">
        <v>1818</v>
      </c>
      <c r="J169" t="n">
        <v>15</v>
      </c>
      <c r="K169" t="n">
        <v>439.45</v>
      </c>
      <c r="L169" t="n">
        <v>89.05</v>
      </c>
      <c r="M169" t="n">
        <v>3.81</v>
      </c>
      <c r="N169" t="n">
        <v>20</v>
      </c>
      <c r="O169" t="n">
        <v>2013.94</v>
      </c>
      <c r="P169" t="n">
        <v>2416.33</v>
      </c>
      <c r="Q169" t="inlineStr">
        <is>
          <t>ручная цена в модели</t>
        </is>
      </c>
    </row>
    <row r="170">
      <c r="A170" t="inlineStr">
        <is>
          <t>FBS</t>
        </is>
      </c>
      <c r="B170" t="n">
        <v>92</v>
      </c>
      <c r="C170" t="inlineStr">
        <is>
          <t>PETITFEE - Bera Glucan Deep Firming Eye Patch [60ea] / Тканевые патчи для век увлажняющие</t>
        </is>
      </c>
      <c r="D170" t="n">
        <v>587</v>
      </c>
      <c r="E170" t="n">
        <v>486.69</v>
      </c>
      <c r="F170" t="n">
        <v>546.6900000000001</v>
      </c>
      <c r="G170" t="n">
        <v>2783</v>
      </c>
      <c r="H170" t="n">
        <v>1530.65</v>
      </c>
      <c r="I170" t="inlineStr"/>
      <c r="J170" t="n">
        <v>15</v>
      </c>
      <c r="K170" t="n">
        <v>526.75</v>
      </c>
      <c r="L170" t="n">
        <v>109.3</v>
      </c>
      <c r="M170" t="n">
        <v>3.93</v>
      </c>
      <c r="N170" t="n">
        <v>20</v>
      </c>
      <c r="O170" t="n">
        <v>2387.71</v>
      </c>
      <c r="P170" t="n">
        <v>2882</v>
      </c>
      <c r="Q170" t="inlineStr">
        <is>
          <t>ручная цена в модели</t>
        </is>
      </c>
    </row>
    <row r="171">
      <c r="A171" t="inlineStr">
        <is>
          <t>FBS</t>
        </is>
      </c>
      <c r="B171" t="n">
        <v>93</v>
      </c>
      <c r="C171" t="inlineStr">
        <is>
          <t>PETITFEE - Artichoke Soothing Hydrogel Eye Patch [60ea] / Смягчающие гидрогелевые патчи для глаз с экстрактом артишока</t>
        </is>
      </c>
      <c r="D171" t="n">
        <v>300</v>
      </c>
      <c r="E171" t="n">
        <v>415.46</v>
      </c>
      <c r="F171" t="n">
        <v>475.46</v>
      </c>
      <c r="G171" t="n">
        <v>2468</v>
      </c>
      <c r="H171" t="n">
        <v>1357.4</v>
      </c>
      <c r="I171" t="inlineStr"/>
      <c r="J171" t="n">
        <v>15</v>
      </c>
      <c r="K171" t="n">
        <v>465.34</v>
      </c>
      <c r="L171" t="n">
        <v>95.14</v>
      </c>
      <c r="M171" t="n">
        <v>3.85</v>
      </c>
      <c r="N171" t="n">
        <v>20</v>
      </c>
      <c r="O171" t="n">
        <v>2123.92</v>
      </c>
      <c r="P171" t="n">
        <v>2553.81</v>
      </c>
      <c r="Q171" t="inlineStr">
        <is>
          <t>ручная цена в модели</t>
        </is>
      </c>
    </row>
    <row r="172">
      <c r="A172" t="inlineStr">
        <is>
          <t>FBS</t>
        </is>
      </c>
      <c r="B172" t="n">
        <v>94</v>
      </c>
      <c r="C172" t="inlineStr">
        <is>
          <t>PETITFEE - Aura Quartz Hydrogel Eye Patch [60ea]</t>
        </is>
      </c>
      <c r="D172" t="n">
        <v>95</v>
      </c>
      <c r="E172" t="n">
        <v>591.29</v>
      </c>
      <c r="F172" t="n">
        <v>651.29</v>
      </c>
      <c r="G172" t="n">
        <v>3237</v>
      </c>
      <c r="H172" t="n">
        <v>1780.35</v>
      </c>
      <c r="I172" t="inlineStr"/>
      <c r="J172" t="n">
        <v>15</v>
      </c>
      <c r="K172" t="n">
        <v>615.78</v>
      </c>
      <c r="L172" t="n">
        <v>130.23</v>
      </c>
      <c r="M172" t="n">
        <v>4.02</v>
      </c>
      <c r="N172" t="n">
        <v>20</v>
      </c>
      <c r="O172" t="n">
        <v>2766.01</v>
      </c>
      <c r="P172" t="n">
        <v>3354.88</v>
      </c>
      <c r="Q172" t="inlineStr">
        <is>
          <t>ручная цена в модели</t>
        </is>
      </c>
    </row>
    <row r="173">
      <c r="A173" t="inlineStr">
        <is>
          <t>FBS</t>
        </is>
      </c>
      <c r="B173" t="n">
        <v>95</v>
      </c>
      <c r="C173" t="inlineStr">
        <is>
          <t>PETITFEE - Cacao Energizing Hydrogel Eye Patch [60ea] / Тонизирующие гидрогелевые патчи для глаз с экстрактом какао</t>
        </is>
      </c>
      <c r="D173" t="n">
        <v>713</v>
      </c>
      <c r="E173" t="n">
        <v>415.46</v>
      </c>
      <c r="F173" t="n">
        <v>475.46</v>
      </c>
      <c r="G173" t="n">
        <v>2468</v>
      </c>
      <c r="H173" t="n">
        <v>1357.4</v>
      </c>
      <c r="I173" t="inlineStr"/>
      <c r="J173" t="n">
        <v>15</v>
      </c>
      <c r="K173" t="n">
        <v>465.34</v>
      </c>
      <c r="L173" t="n">
        <v>95.14</v>
      </c>
      <c r="M173" t="n">
        <v>3.85</v>
      </c>
      <c r="N173" t="n">
        <v>20</v>
      </c>
      <c r="O173" t="n">
        <v>2123.92</v>
      </c>
      <c r="P173" t="n">
        <v>2553.81</v>
      </c>
      <c r="Q173" t="inlineStr">
        <is>
          <t>ручная цена в модели</t>
        </is>
      </c>
    </row>
    <row r="174">
      <c r="A174" t="inlineStr">
        <is>
          <t>FBS</t>
        </is>
      </c>
      <c r="B174" t="n">
        <v>96</v>
      </c>
      <c r="C174" t="inlineStr">
        <is>
          <t>PETITFEE - Chamomile Lightening Hydrogel Eye Patch [60ea] / Успокаивающие гидрогелевые патчи для глаз с экстрактом ромашки</t>
        </is>
      </c>
      <c r="D174" t="n">
        <v>288</v>
      </c>
      <c r="E174" t="n">
        <v>415.46</v>
      </c>
      <c r="F174" t="n">
        <v>475.46</v>
      </c>
      <c r="G174" t="n">
        <v>2468</v>
      </c>
      <c r="H174" t="n">
        <v>1357.4</v>
      </c>
      <c r="I174" t="inlineStr"/>
      <c r="J174" t="n">
        <v>15</v>
      </c>
      <c r="K174" t="n">
        <v>465.34</v>
      </c>
      <c r="L174" t="n">
        <v>95.14</v>
      </c>
      <c r="M174" t="n">
        <v>3.85</v>
      </c>
      <c r="N174" t="n">
        <v>20</v>
      </c>
      <c r="O174" t="n">
        <v>2123.92</v>
      </c>
      <c r="P174" t="n">
        <v>2553.81</v>
      </c>
      <c r="Q174" t="inlineStr">
        <is>
          <t>ручная цена в модели</t>
        </is>
      </c>
    </row>
    <row r="175">
      <c r="A175" t="inlineStr">
        <is>
          <t>FBS</t>
        </is>
      </c>
      <c r="B175" t="n">
        <v>97</v>
      </c>
      <c r="C175" t="inlineStr">
        <is>
          <t>PETITFEE - Gold &amp; EGF Hydrogel Eye &amp; Spot Patch [60ea]/ гидрогелевые патчи с золотом и EGF</t>
        </is>
      </c>
      <c r="D175" t="n">
        <v>72</v>
      </c>
      <c r="E175" t="n">
        <v>385.05</v>
      </c>
      <c r="F175" t="n">
        <v>445.05</v>
      </c>
      <c r="G175" t="n">
        <v>2336</v>
      </c>
      <c r="H175" t="n">
        <v>1284.8</v>
      </c>
      <c r="I175" t="inlineStr"/>
      <c r="J175" t="n">
        <v>15</v>
      </c>
      <c r="K175" t="n">
        <v>439.45</v>
      </c>
      <c r="L175" t="n">
        <v>89.05</v>
      </c>
      <c r="M175" t="n">
        <v>3.81</v>
      </c>
      <c r="N175" t="n">
        <v>20</v>
      </c>
      <c r="O175" t="n">
        <v>2013.94</v>
      </c>
      <c r="P175" t="n">
        <v>2416.33</v>
      </c>
      <c r="Q175" t="inlineStr">
        <is>
          <t>ручная цена в модели</t>
        </is>
      </c>
    </row>
    <row r="176">
      <c r="A176" t="inlineStr">
        <is>
          <t>FBS</t>
        </is>
      </c>
      <c r="B176" t="n">
        <v>98</v>
      </c>
      <c r="C176" t="inlineStr">
        <is>
          <t>PETITFEE - Pink Vita Brightening Eye Patch [60ea] / Тканевые патчи для век увлажняющие</t>
        </is>
      </c>
      <c r="D176" t="n">
        <v>267</v>
      </c>
      <c r="E176" t="n">
        <v>486.69</v>
      </c>
      <c r="F176" t="n">
        <v>546.6900000000001</v>
      </c>
      <c r="G176" t="n">
        <v>2783</v>
      </c>
      <c r="H176" t="n">
        <v>1530.65</v>
      </c>
      <c r="I176" t="inlineStr"/>
      <c r="J176" t="n">
        <v>15</v>
      </c>
      <c r="K176" t="n">
        <v>526.75</v>
      </c>
      <c r="L176" t="n">
        <v>109.3</v>
      </c>
      <c r="M176" t="n">
        <v>3.93</v>
      </c>
      <c r="N176" t="n">
        <v>20</v>
      </c>
      <c r="O176" t="n">
        <v>2387.71</v>
      </c>
      <c r="P176" t="n">
        <v>2882</v>
      </c>
      <c r="Q176" t="inlineStr">
        <is>
          <t>ручная цена в модели</t>
        </is>
      </c>
    </row>
    <row r="177">
      <c r="A177" t="inlineStr">
        <is>
          <t>FBS</t>
        </is>
      </c>
      <c r="B177" t="n">
        <v>99</v>
      </c>
      <c r="C177" t="inlineStr">
        <is>
          <t>PETITFEE - Black Pearl &amp; Gold Hydrogel Eye Patch [60ea] / Гидрогелевые патчи для глаз с черным жемчугом и золотом</t>
        </is>
      </c>
      <c r="D177" t="n">
        <v>909</v>
      </c>
      <c r="E177" t="n">
        <v>387.67</v>
      </c>
      <c r="F177" t="n">
        <v>447.67</v>
      </c>
      <c r="G177" t="n">
        <v>2347</v>
      </c>
      <c r="H177" t="n">
        <v>1290.85</v>
      </c>
      <c r="I177" t="n">
        <v>1780</v>
      </c>
      <c r="J177" t="n">
        <v>15</v>
      </c>
      <c r="K177" t="n">
        <v>441.52</v>
      </c>
      <c r="L177" t="n">
        <v>89.47</v>
      </c>
      <c r="M177" t="n">
        <v>3.81</v>
      </c>
      <c r="N177" t="n">
        <v>20</v>
      </c>
      <c r="O177" t="n">
        <v>2023.41</v>
      </c>
      <c r="P177" t="n">
        <v>2428.18</v>
      </c>
      <c r="Q177" t="inlineStr">
        <is>
          <t>ручная цена в модели</t>
        </is>
      </c>
    </row>
    <row r="178">
      <c r="A178" t="inlineStr">
        <is>
          <t>FBS</t>
        </is>
      </c>
      <c r="B178" t="n">
        <v>100</v>
      </c>
      <c r="C178" t="inlineStr">
        <is>
          <t>PETITFEE - Agave Cooling Hydrogel Eye Patch [60ea] / Охлаждающие гидрогелевые патчи для глаз с экстрактом агавы</t>
        </is>
      </c>
      <c r="D178" t="n">
        <v>933</v>
      </c>
      <c r="E178" t="n">
        <v>415.46</v>
      </c>
      <c r="F178" t="n">
        <v>475.46</v>
      </c>
      <c r="G178" t="n">
        <v>2468</v>
      </c>
      <c r="H178" t="n">
        <v>1357.4</v>
      </c>
      <c r="I178" t="n">
        <v>1730</v>
      </c>
      <c r="J178" t="n">
        <v>15</v>
      </c>
      <c r="K178" t="n">
        <v>465.34</v>
      </c>
      <c r="L178" t="n">
        <v>95.14</v>
      </c>
      <c r="M178" t="n">
        <v>3.85</v>
      </c>
      <c r="N178" t="n">
        <v>20</v>
      </c>
      <c r="O178" t="n">
        <v>2123.92</v>
      </c>
      <c r="P178" t="n">
        <v>2553.81</v>
      </c>
      <c r="Q178" t="inlineStr">
        <is>
          <t>ручная цена в модели</t>
        </is>
      </c>
    </row>
    <row r="179">
      <c r="A179" t="inlineStr">
        <is>
          <t>FBS</t>
        </is>
      </c>
      <c r="B179" t="n">
        <v>101</v>
      </c>
      <c r="C179" t="inlineStr">
        <is>
          <t>PETITFEE - Gold &amp; Snail Hydrogel Eye Patch [60ea] / Гидрогелевые патчи для глаз с золотом и улиткой</t>
        </is>
      </c>
      <c r="D179" t="n">
        <v>909</v>
      </c>
      <c r="E179" t="n">
        <v>415.46</v>
      </c>
      <c r="F179" t="n">
        <v>475.46</v>
      </c>
      <c r="G179" t="n">
        <v>2468</v>
      </c>
      <c r="H179" t="n">
        <v>1357.4</v>
      </c>
      <c r="I179" t="n">
        <v>1740</v>
      </c>
      <c r="J179" t="n">
        <v>15</v>
      </c>
      <c r="K179" t="n">
        <v>465.34</v>
      </c>
      <c r="L179" t="n">
        <v>95.14</v>
      </c>
      <c r="M179" t="n">
        <v>3.85</v>
      </c>
      <c r="N179" t="n">
        <v>20</v>
      </c>
      <c r="O179" t="n">
        <v>2123.92</v>
      </c>
      <c r="P179" t="n">
        <v>2553.81</v>
      </c>
      <c r="Q179" t="inlineStr">
        <is>
          <t>ручная цена в модели</t>
        </is>
      </c>
    </row>
    <row r="180">
      <c r="A180" t="inlineStr">
        <is>
          <t>FBS</t>
        </is>
      </c>
      <c r="B180" t="n">
        <v>102</v>
      </c>
      <c r="C180" t="inlineStr">
        <is>
          <t>PETITFEE - Gold Hydrogel Eye Patch [60ea] / гидрогелевые патчи для глаз с золотом</t>
        </is>
      </c>
      <c r="D180" t="n">
        <v>700</v>
      </c>
      <c r="E180" t="n">
        <v>415.46</v>
      </c>
      <c r="F180" t="n">
        <v>475.46</v>
      </c>
      <c r="G180" t="n">
        <v>2468</v>
      </c>
      <c r="H180" t="n">
        <v>1357.4</v>
      </c>
      <c r="I180" t="n">
        <v>1930</v>
      </c>
      <c r="J180" t="n">
        <v>15</v>
      </c>
      <c r="K180" t="n">
        <v>465.34</v>
      </c>
      <c r="L180" t="n">
        <v>95.14</v>
      </c>
      <c r="M180" t="n">
        <v>3.85</v>
      </c>
      <c r="N180" t="n">
        <v>20</v>
      </c>
      <c r="O180" t="n">
        <v>2123.92</v>
      </c>
      <c r="P180" t="n">
        <v>2553.81</v>
      </c>
      <c r="Q180" t="inlineStr">
        <is>
          <t>ручная цена в модели</t>
        </is>
      </c>
    </row>
    <row r="181">
      <c r="A181" t="inlineStr">
        <is>
          <t>FBS</t>
        </is>
      </c>
      <c r="B181" t="n">
        <v>103</v>
      </c>
      <c r="C181" t="inlineStr">
        <is>
          <t>PETITFEE - Black Pearl &amp; Gold Hydrogel Eye Patch [1 pairs]/ Гидрогелевые патчи для глаз с черным жемчугом и золотом 1 пара</t>
        </is>
      </c>
      <c r="D181" t="n">
        <v>320</v>
      </c>
      <c r="E181" t="n">
        <v>71.23999999999999</v>
      </c>
      <c r="F181" t="n">
        <v>131.24</v>
      </c>
      <c r="G181" t="n">
        <v>943.61</v>
      </c>
      <c r="H181" t="n">
        <v>518.99</v>
      </c>
      <c r="I181" t="inlineStr"/>
      <c r="J181" t="n">
        <v>15</v>
      </c>
      <c r="K181" t="n">
        <v>174.35</v>
      </c>
      <c r="L181" t="n">
        <v>32.81</v>
      </c>
      <c r="M181" t="n">
        <v>3.48</v>
      </c>
      <c r="N181" t="n">
        <v>25</v>
      </c>
      <c r="O181" t="n">
        <v>824.95</v>
      </c>
      <c r="P181" t="n">
        <v>943.61</v>
      </c>
      <c r="Q181" t="inlineStr">
        <is>
          <t>формула: ROI 25%</t>
        </is>
      </c>
    </row>
    <row r="182">
      <c r="A182" t="inlineStr">
        <is>
          <t>FBS</t>
        </is>
      </c>
      <c r="B182" t="n">
        <v>104</v>
      </c>
      <c r="C182" t="inlineStr">
        <is>
          <t>PETITFEE - Gold Hydrogel Eye Patch [1 Pairs] / гидрогелевые патчи для глаз с золотом 1 пара</t>
        </is>
      </c>
      <c r="D182" t="n">
        <v>428</v>
      </c>
      <c r="E182" t="n">
        <v>71.23999999999999</v>
      </c>
      <c r="F182" t="n">
        <v>131.24</v>
      </c>
      <c r="G182" t="n">
        <v>943.61</v>
      </c>
      <c r="H182" t="n">
        <v>518.99</v>
      </c>
      <c r="I182" t="inlineStr"/>
      <c r="J182" t="n">
        <v>15</v>
      </c>
      <c r="K182" t="n">
        <v>174.35</v>
      </c>
      <c r="L182" t="n">
        <v>32.81</v>
      </c>
      <c r="M182" t="n">
        <v>3.48</v>
      </c>
      <c r="N182" t="n">
        <v>25</v>
      </c>
      <c r="O182" t="n">
        <v>824.95</v>
      </c>
      <c r="P182" t="n">
        <v>943.61</v>
      </c>
      <c r="Q182" t="inlineStr">
        <is>
          <t>формула: ROI 25%</t>
        </is>
      </c>
    </row>
    <row r="183">
      <c r="A183" t="inlineStr">
        <is>
          <t>FBS</t>
        </is>
      </c>
      <c r="B183" t="n">
        <v>106</v>
      </c>
      <c r="C183" t="inlineStr">
        <is>
          <t>PETITFEE - Agave Cooling Hydrogel Face Mask [5pcs] / Охлаждающая гидрогелевая маска для лица с экстрактом агавы</t>
        </is>
      </c>
      <c r="D183" t="n">
        <v>951</v>
      </c>
      <c r="E183" t="n">
        <v>486.41</v>
      </c>
      <c r="F183" t="n">
        <v>546.41</v>
      </c>
      <c r="G183" t="n">
        <v>2805</v>
      </c>
      <c r="H183" t="n">
        <v>1542.75</v>
      </c>
      <c r="I183" t="n">
        <v>2480</v>
      </c>
      <c r="J183" t="n">
        <v>15</v>
      </c>
      <c r="K183" t="n">
        <v>530.03</v>
      </c>
      <c r="L183" t="n">
        <v>109.28</v>
      </c>
      <c r="M183" t="n">
        <v>3.9</v>
      </c>
      <c r="N183" t="n">
        <v>20</v>
      </c>
      <c r="O183" t="n">
        <v>2409.77</v>
      </c>
      <c r="P183" t="n">
        <v>2903.81</v>
      </c>
      <c r="Q183" t="inlineStr">
        <is>
          <t>ручная цена в модели</t>
        </is>
      </c>
    </row>
    <row r="184">
      <c r="A184" t="inlineStr">
        <is>
          <t>FBS</t>
        </is>
      </c>
      <c r="B184" t="n">
        <v>107</v>
      </c>
      <c r="C184" t="inlineStr">
        <is>
          <t>PETITFEE - Gold Hydrogel Mask Pack [5pcs] / Гидрогелевая маска для лица с золотом</t>
        </is>
      </c>
      <c r="D184" t="n">
        <v>734</v>
      </c>
      <c r="E184" t="n">
        <v>507.16</v>
      </c>
      <c r="F184" t="n">
        <v>567.16</v>
      </c>
      <c r="G184" t="n">
        <v>2895</v>
      </c>
      <c r="H184" t="n">
        <v>1592.25</v>
      </c>
      <c r="I184" t="n">
        <v>2570</v>
      </c>
      <c r="J184" t="n">
        <v>15</v>
      </c>
      <c r="K184" t="n">
        <v>547.67</v>
      </c>
      <c r="L184" t="n">
        <v>113.42</v>
      </c>
      <c r="M184" t="n">
        <v>3.92</v>
      </c>
      <c r="N184" t="n">
        <v>20</v>
      </c>
      <c r="O184" t="n">
        <v>2484.81</v>
      </c>
      <c r="P184" t="n">
        <v>2997.61</v>
      </c>
      <c r="Q184" t="inlineStr">
        <is>
          <t>ручная цена в модели</t>
        </is>
      </c>
    </row>
    <row r="185">
      <c r="A185" t="inlineStr">
        <is>
          <t>FBS</t>
        </is>
      </c>
      <c r="B185" t="n">
        <v>108</v>
      </c>
      <c r="C185" t="inlineStr">
        <is>
          <t>PETITFEE - Cacao Energizing Hydrogel Mask Pack [5pcs] / Тонизирующая гидрогелевая маска для лица с экстрактом какао</t>
        </is>
      </c>
      <c r="D185" t="n">
        <v>619</v>
      </c>
      <c r="E185" t="n">
        <v>496.86</v>
      </c>
      <c r="F185" t="n">
        <v>556.86</v>
      </c>
      <c r="G185" t="n">
        <v>2850</v>
      </c>
      <c r="H185" t="n">
        <v>1567.5</v>
      </c>
      <c r="I185" t="n">
        <v>2680</v>
      </c>
      <c r="J185" t="n">
        <v>15</v>
      </c>
      <c r="K185" t="n">
        <v>538.77</v>
      </c>
      <c r="L185" t="n">
        <v>111.27</v>
      </c>
      <c r="M185" t="n">
        <v>3.9</v>
      </c>
      <c r="N185" t="n">
        <v>20</v>
      </c>
      <c r="O185" t="n">
        <v>2447.56</v>
      </c>
      <c r="P185" t="n">
        <v>2951.05</v>
      </c>
      <c r="Q185" t="inlineStr">
        <is>
          <t>ручная цена в модели</t>
        </is>
      </c>
    </row>
    <row r="186">
      <c r="A186" t="inlineStr">
        <is>
          <t>FBS</t>
        </is>
      </c>
      <c r="B186" t="n">
        <v>109</v>
      </c>
      <c r="C186" t="inlineStr">
        <is>
          <t>PETITFEE - Artichoke Soothing Hydrogel Face Mask [5pcs] / Смягчающая гидрогелевая маска для лица с экстрактом артишока</t>
        </is>
      </c>
      <c r="D186" t="n">
        <v>542</v>
      </c>
      <c r="E186" t="n">
        <v>498.54</v>
      </c>
      <c r="F186" t="n">
        <v>558.54</v>
      </c>
      <c r="G186" t="n">
        <v>2858</v>
      </c>
      <c r="H186" t="n">
        <v>1571.9</v>
      </c>
      <c r="I186" t="n">
        <v>2420</v>
      </c>
      <c r="J186" t="n">
        <v>15</v>
      </c>
      <c r="K186" t="n">
        <v>540.51</v>
      </c>
      <c r="L186" t="n">
        <v>111.81</v>
      </c>
      <c r="M186" t="n">
        <v>3.91</v>
      </c>
      <c r="N186" t="n">
        <v>20</v>
      </c>
      <c r="O186" t="n">
        <v>2453.64</v>
      </c>
      <c r="P186" t="n">
        <v>2958.64</v>
      </c>
      <c r="Q186" t="inlineStr">
        <is>
          <t>ручная цена в модели</t>
        </is>
      </c>
    </row>
    <row r="187">
      <c r="A187" t="inlineStr">
        <is>
          <t>FBS</t>
        </is>
      </c>
      <c r="B187" t="n">
        <v>110</v>
      </c>
      <c r="C187" t="inlineStr">
        <is>
          <t>PETITFEE - Gold &amp; Snail Hydrogel Mask Pack [5pcs] / Гидрогелевая маска для лица с золотом и экстрактом улитки</t>
        </is>
      </c>
      <c r="D187" t="n">
        <v>453</v>
      </c>
      <c r="E187" t="n">
        <v>478.17</v>
      </c>
      <c r="F187" t="n">
        <v>538.17</v>
      </c>
      <c r="G187" t="n">
        <v>2769</v>
      </c>
      <c r="H187" t="n">
        <v>1522.95</v>
      </c>
      <c r="I187" t="n">
        <v>2280</v>
      </c>
      <c r="J187" t="n">
        <v>15</v>
      </c>
      <c r="K187" t="n">
        <v>522.92</v>
      </c>
      <c r="L187" t="n">
        <v>107.57</v>
      </c>
      <c r="M187" t="n">
        <v>3.88</v>
      </c>
      <c r="N187" t="n">
        <v>20</v>
      </c>
      <c r="O187" t="n">
        <v>2379.96</v>
      </c>
      <c r="P187" t="n">
        <v>2866.56</v>
      </c>
      <c r="Q187" t="inlineStr">
        <is>
          <t>ручная цена в модели</t>
        </is>
      </c>
    </row>
    <row r="188">
      <c r="A188" t="inlineStr">
        <is>
          <t>FBS</t>
        </is>
      </c>
      <c r="B188" t="n">
        <v>111</v>
      </c>
      <c r="C188" t="inlineStr">
        <is>
          <t>PETITFEE - Black Pearl &amp; Gold Hydrogel Mask Pack [5pcs] / Гидрогелевая маска для лица с черным жемчугом и золотом</t>
        </is>
      </c>
      <c r="D188" t="n">
        <v>543</v>
      </c>
      <c r="E188" t="n">
        <v>478.05</v>
      </c>
      <c r="F188" t="n">
        <v>538.05</v>
      </c>
      <c r="G188" t="n">
        <v>2769</v>
      </c>
      <c r="H188" t="n">
        <v>1522.95</v>
      </c>
      <c r="I188" t="n">
        <v>2225</v>
      </c>
      <c r="J188" t="n">
        <v>15</v>
      </c>
      <c r="K188" t="n">
        <v>523.04</v>
      </c>
      <c r="L188" t="n">
        <v>107.69</v>
      </c>
      <c r="M188" t="n">
        <v>3.89</v>
      </c>
      <c r="N188" t="n">
        <v>20</v>
      </c>
      <c r="O188" t="n">
        <v>2379.53</v>
      </c>
      <c r="P188" t="n">
        <v>2866.01</v>
      </c>
      <c r="Q188" t="inlineStr">
        <is>
          <t>ручная цена в модели</t>
        </is>
      </c>
    </row>
    <row r="189">
      <c r="A189" t="inlineStr">
        <is>
          <t>FBS</t>
        </is>
      </c>
      <c r="B189" t="n">
        <v>113</v>
      </c>
      <c r="C189" t="inlineStr">
        <is>
          <t>ROUND LAB 1025 DOKDO CLEANSER_150ml</t>
        </is>
      </c>
      <c r="D189" t="n">
        <v>7158</v>
      </c>
      <c r="E189" t="n">
        <v>463.19</v>
      </c>
      <c r="F189" t="n">
        <v>523.1900000000001</v>
      </c>
      <c r="G189" t="n">
        <v>2810.16</v>
      </c>
      <c r="H189" t="n">
        <v>1545.59</v>
      </c>
      <c r="I189" t="n">
        <v>2335</v>
      </c>
      <c r="J189" t="n">
        <v>15</v>
      </c>
      <c r="K189" t="n">
        <v>552.3200000000001</v>
      </c>
      <c r="L189" t="n">
        <v>130.8</v>
      </c>
      <c r="M189" t="n">
        <v>4.65</v>
      </c>
      <c r="N189" t="n">
        <v>25</v>
      </c>
      <c r="O189" t="n">
        <v>2337.11</v>
      </c>
      <c r="P189" t="n">
        <v>2810.16</v>
      </c>
      <c r="Q189" t="inlineStr">
        <is>
          <t>формула: ROI 25%</t>
        </is>
      </c>
    </row>
    <row r="190">
      <c r="A190" t="inlineStr">
        <is>
          <t>FBS</t>
        </is>
      </c>
      <c r="B190" t="n">
        <v>114</v>
      </c>
      <c r="C190" t="inlineStr">
        <is>
          <t>ROUND LAB BIRCH JUICE MOISTURIZING CREAM_80ml -Увлажняющий крем с березовым соком</t>
        </is>
      </c>
      <c r="D190" t="n">
        <v>260</v>
      </c>
      <c r="E190" t="n">
        <v>1092.96</v>
      </c>
      <c r="F190" t="n">
        <v>1152.96</v>
      </c>
      <c r="G190" t="n">
        <v>5597</v>
      </c>
      <c r="H190" t="n">
        <v>3078.35</v>
      </c>
      <c r="I190" t="inlineStr"/>
      <c r="J190" t="n">
        <v>15</v>
      </c>
      <c r="K190" t="n">
        <v>1127.79</v>
      </c>
      <c r="L190" t="n">
        <v>288.24</v>
      </c>
      <c r="M190" t="n">
        <v>5.15</v>
      </c>
      <c r="N190" t="n">
        <v>25</v>
      </c>
      <c r="O190" t="n">
        <v>4554.54</v>
      </c>
      <c r="P190" t="n">
        <v>5597</v>
      </c>
      <c r="Q190" t="inlineStr">
        <is>
          <t>формула: ROI 25%</t>
        </is>
      </c>
    </row>
    <row r="191">
      <c r="A191" t="inlineStr">
        <is>
          <t>FBS</t>
        </is>
      </c>
      <c r="B191" t="n">
        <v>115</v>
      </c>
      <c r="C191" t="inlineStr">
        <is>
          <t>ROUND LAB MUGWORT CALMING CLEANSER_150ml - Очищающая пенка для умывания лица от прыщей и акне</t>
        </is>
      </c>
      <c r="D191" t="n">
        <v>1422</v>
      </c>
      <c r="E191" t="n">
        <v>512.3200000000001</v>
      </c>
      <c r="F191" t="n">
        <v>572.3200000000001</v>
      </c>
      <c r="G191" t="n">
        <v>2995.44</v>
      </c>
      <c r="H191" t="n">
        <v>1647.49</v>
      </c>
      <c r="I191" t="inlineStr"/>
      <c r="J191" t="n">
        <v>15</v>
      </c>
      <c r="K191" t="n">
        <v>592.4</v>
      </c>
      <c r="L191" t="n">
        <v>143.08</v>
      </c>
      <c r="M191" t="n">
        <v>4.78</v>
      </c>
      <c r="N191" t="n">
        <v>25</v>
      </c>
      <c r="O191" t="n">
        <v>2477.97</v>
      </c>
      <c r="P191" t="n">
        <v>2995.44</v>
      </c>
      <c r="Q191" t="inlineStr">
        <is>
          <t>формула: ROI 25%</t>
        </is>
      </c>
    </row>
    <row r="192">
      <c r="A192" t="inlineStr">
        <is>
          <t>FBS</t>
        </is>
      </c>
      <c r="B192" t="n">
        <v>116</v>
      </c>
      <c r="C192" t="inlineStr">
        <is>
          <t>ROUND LAB SOYBEAN PANTHENOL CREAM_80ml - Крем для лица с чёрной соей и пантенолом успокаивающий</t>
        </is>
      </c>
      <c r="D192" t="n">
        <v>150</v>
      </c>
      <c r="E192" t="n">
        <v>1161.41</v>
      </c>
      <c r="F192" t="n">
        <v>1221.41</v>
      </c>
      <c r="G192" t="n">
        <v>5906.44</v>
      </c>
      <c r="H192" t="n">
        <v>3248.54</v>
      </c>
      <c r="I192" t="inlineStr"/>
      <c r="J192" t="n">
        <v>15</v>
      </c>
      <c r="K192" t="n">
        <v>1191.32</v>
      </c>
      <c r="L192" t="n">
        <v>305.35</v>
      </c>
      <c r="M192" t="n">
        <v>5.17</v>
      </c>
      <c r="N192" t="n">
        <v>25</v>
      </c>
      <c r="O192" t="n">
        <v>4802.09</v>
      </c>
      <c r="P192" t="n">
        <v>5906.44</v>
      </c>
      <c r="Q192" t="inlineStr">
        <is>
          <t>формула: ROI 25%</t>
        </is>
      </c>
    </row>
    <row r="193">
      <c r="A193" t="inlineStr">
        <is>
          <t>FBS</t>
        </is>
      </c>
      <c r="B193" t="n">
        <v>117</v>
      </c>
      <c r="C193" t="inlineStr">
        <is>
          <t>ROUND LAB PINE CALMING CICA AMPOULE_30ml - Сыворотка для жирной кожи лица увлажняющая с центеллой</t>
        </is>
      </c>
      <c r="D193" t="n">
        <v>37</v>
      </c>
      <c r="E193" t="n">
        <v>819.72</v>
      </c>
      <c r="F193" t="n">
        <v>879.72</v>
      </c>
      <c r="G193" t="n">
        <v>4361.36</v>
      </c>
      <c r="H193" t="n">
        <v>2398.75</v>
      </c>
      <c r="I193" t="inlineStr"/>
      <c r="J193" t="n">
        <v>15</v>
      </c>
      <c r="K193" t="n">
        <v>874.13</v>
      </c>
      <c r="L193" t="n">
        <v>219.93</v>
      </c>
      <c r="M193" t="n">
        <v>5.04</v>
      </c>
      <c r="N193" t="n">
        <v>25</v>
      </c>
      <c r="O193" t="n">
        <v>3565.95</v>
      </c>
      <c r="P193" t="n">
        <v>4361.36</v>
      </c>
      <c r="Q193" t="inlineStr">
        <is>
          <t>формула: ROI 25%</t>
        </is>
      </c>
    </row>
    <row r="194">
      <c r="A194" t="inlineStr">
        <is>
          <t>FBS</t>
        </is>
      </c>
      <c r="B194" t="n">
        <v>118</v>
      </c>
      <c r="C194" t="inlineStr">
        <is>
          <t>ROUND LAB 1025 DOKDO TONER_200ml</t>
        </is>
      </c>
      <c r="D194" t="n">
        <v>998</v>
      </c>
      <c r="E194" t="n">
        <v>463.19</v>
      </c>
      <c r="F194" t="n">
        <v>523.1900000000001</v>
      </c>
      <c r="G194" t="n">
        <v>2810.16</v>
      </c>
      <c r="H194" t="n">
        <v>1545.59</v>
      </c>
      <c r="I194" t="n">
        <v>3400</v>
      </c>
      <c r="J194" t="n">
        <v>15</v>
      </c>
      <c r="K194" t="n">
        <v>552.3200000000001</v>
      </c>
      <c r="L194" t="n">
        <v>130.8</v>
      </c>
      <c r="M194" t="n">
        <v>4.65</v>
      </c>
      <c r="N194" t="n">
        <v>25</v>
      </c>
      <c r="O194" t="n">
        <v>2337.11</v>
      </c>
      <c r="P194" t="n">
        <v>2810.16</v>
      </c>
      <c r="Q194" t="inlineStr">
        <is>
          <t>формула: ROI 25%</t>
        </is>
      </c>
    </row>
    <row r="195">
      <c r="A195" t="inlineStr">
        <is>
          <t>FBS</t>
        </is>
      </c>
      <c r="B195" t="n">
        <v>120</v>
      </c>
      <c r="C195" t="inlineStr">
        <is>
          <t>SKIN1004 - Madagascar Centella Ampoule [30ml] / Сыворотка для лица успокаивающая из экстракта центеллы.</t>
        </is>
      </c>
      <c r="D195" t="n">
        <v>30</v>
      </c>
      <c r="E195" t="n">
        <v>367.89</v>
      </c>
      <c r="F195" t="n">
        <v>427.89</v>
      </c>
      <c r="G195" t="n">
        <v>2318.73</v>
      </c>
      <c r="H195" t="n">
        <v>1275.3</v>
      </c>
      <c r="I195" t="inlineStr"/>
      <c r="J195" t="n">
        <v>15</v>
      </c>
      <c r="K195" t="n">
        <v>454.78</v>
      </c>
      <c r="L195" t="n">
        <v>106.97</v>
      </c>
      <c r="M195" t="n">
        <v>4.61</v>
      </c>
      <c r="N195" t="n">
        <v>25</v>
      </c>
      <c r="O195" t="n">
        <v>1931.85</v>
      </c>
      <c r="P195" t="n">
        <v>2318.73</v>
      </c>
      <c r="Q195" t="inlineStr">
        <is>
          <t>формула: ROI 25%</t>
        </is>
      </c>
    </row>
    <row r="196">
      <c r="A196" t="inlineStr">
        <is>
          <t>FBS</t>
        </is>
      </c>
      <c r="B196" t="n">
        <v>121</v>
      </c>
      <c r="C196" t="inlineStr">
        <is>
          <t>SKIN1004 - Madagascar Centella Hyalu-Cica Sleeping Pack [30ml] / Увлажняющая гиалуроновая ночная маска для сухой кожи</t>
        </is>
      </c>
      <c r="D196" t="n">
        <v>22</v>
      </c>
      <c r="E196" t="n">
        <v>294.15</v>
      </c>
      <c r="F196" t="n">
        <v>354.15</v>
      </c>
      <c r="G196" t="n">
        <v>1985.36</v>
      </c>
      <c r="H196" t="n">
        <v>1091.95</v>
      </c>
      <c r="I196" t="inlineStr"/>
      <c r="J196" t="n">
        <v>15</v>
      </c>
      <c r="K196" t="n">
        <v>386.34</v>
      </c>
      <c r="L196" t="n">
        <v>88.54000000000001</v>
      </c>
      <c r="M196" t="n">
        <v>4.46</v>
      </c>
      <c r="N196" t="n">
        <v>25</v>
      </c>
      <c r="O196" t="n">
        <v>1665.16</v>
      </c>
      <c r="P196" t="n">
        <v>1985.36</v>
      </c>
      <c r="Q196" t="inlineStr">
        <is>
          <t>формула: ROI 25%</t>
        </is>
      </c>
    </row>
    <row r="197">
      <c r="A197" t="inlineStr">
        <is>
          <t>FBS</t>
        </is>
      </c>
      <c r="B197" t="n">
        <v>123</v>
      </c>
      <c r="C197" t="inlineStr">
        <is>
          <t>SOME BY MI - AHA-BHA-PHA 30 Days Miracle Cleansing Bar [106g] / Мыло для проблемной кожи с aha bha кислотами</t>
        </is>
      </c>
      <c r="D197" t="n">
        <v>527</v>
      </c>
      <c r="E197" t="n">
        <v>549.71</v>
      </c>
      <c r="F197" t="n">
        <v>609.71</v>
      </c>
      <c r="G197" t="n">
        <v>3139.2</v>
      </c>
      <c r="H197" t="n">
        <v>1726.56</v>
      </c>
      <c r="I197" t="inlineStr"/>
      <c r="J197" t="n">
        <v>15</v>
      </c>
      <c r="K197" t="n">
        <v>623.3099999999999</v>
      </c>
      <c r="L197" t="n">
        <v>152.43</v>
      </c>
      <c r="M197" t="n">
        <v>4.86</v>
      </c>
      <c r="N197" t="n">
        <v>25</v>
      </c>
      <c r="O197" t="n">
        <v>2587.93</v>
      </c>
      <c r="P197" t="n">
        <v>3139.2</v>
      </c>
      <c r="Q197" t="inlineStr">
        <is>
          <t>формула: ROI 25%</t>
        </is>
      </c>
    </row>
    <row r="198">
      <c r="A198" t="inlineStr">
        <is>
          <t>FBS</t>
        </is>
      </c>
      <c r="B198" t="n">
        <v>124</v>
      </c>
      <c r="C198" t="inlineStr">
        <is>
          <t>SOME BY MI - AHA-BHA-PHA 30 Days Miracle Cream [60g] / Крем для лица</t>
        </is>
      </c>
      <c r="D198" t="n">
        <v>55</v>
      </c>
      <c r="E198" t="n">
        <v>1057.2</v>
      </c>
      <c r="F198" t="n">
        <v>1117.2</v>
      </c>
      <c r="G198" t="n">
        <v>5435.33</v>
      </c>
      <c r="H198" t="n">
        <v>2989.43</v>
      </c>
      <c r="I198" t="inlineStr"/>
      <c r="J198" t="n">
        <v>15</v>
      </c>
      <c r="K198" t="n">
        <v>1094.6</v>
      </c>
      <c r="L198" t="n">
        <v>279.3</v>
      </c>
      <c r="M198" t="n">
        <v>5.14</v>
      </c>
      <c r="N198" t="n">
        <v>25</v>
      </c>
      <c r="O198" t="n">
        <v>4425.21</v>
      </c>
      <c r="P198" t="n">
        <v>5435.33</v>
      </c>
      <c r="Q198" t="inlineStr">
        <is>
          <t>формула: ROI 25%</t>
        </is>
      </c>
    </row>
    <row r="199">
      <c r="A199" t="inlineStr">
        <is>
          <t>FBS</t>
        </is>
      </c>
      <c r="B199" t="n">
        <v>126</v>
      </c>
      <c r="C199" t="inlineStr">
        <is>
          <t>THE ORDINARY - Argireline Solution 10% [30ml] / Сыворотка для лица от прыщей и акне с ниацинамидом 10 %</t>
        </is>
      </c>
      <c r="D199" t="n">
        <v>117</v>
      </c>
      <c r="E199" t="n">
        <v>722.04</v>
      </c>
      <c r="F199" t="n">
        <v>782.04</v>
      </c>
      <c r="G199" t="n">
        <v>3919.77</v>
      </c>
      <c r="H199" t="n">
        <v>2155.87</v>
      </c>
      <c r="I199" t="inlineStr"/>
      <c r="J199" t="n">
        <v>15</v>
      </c>
      <c r="K199" t="n">
        <v>783.48</v>
      </c>
      <c r="L199" t="n">
        <v>195.51</v>
      </c>
      <c r="M199" t="n">
        <v>4.99</v>
      </c>
      <c r="N199" t="n">
        <v>25</v>
      </c>
      <c r="O199" t="n">
        <v>3212.68</v>
      </c>
      <c r="P199" t="n">
        <v>3919.77</v>
      </c>
      <c r="Q199" t="inlineStr">
        <is>
          <t>формула: ROI 25%</t>
        </is>
      </c>
    </row>
    <row r="200">
      <c r="A200" t="inlineStr">
        <is>
          <t>FBS</t>
        </is>
      </c>
      <c r="B200" t="n">
        <v>127</v>
      </c>
      <c r="C200" t="inlineStr">
        <is>
          <t>THE ORDINARY - Glycolic Acid 7% Toning Solution [KOR] [240ml] / Тоник с гликолевой кислотой 7%</t>
        </is>
      </c>
      <c r="D200" t="n">
        <v>32</v>
      </c>
      <c r="E200" t="n">
        <v>845.49</v>
      </c>
      <c r="F200" t="n">
        <v>905.49</v>
      </c>
      <c r="G200" t="n">
        <v>4500.41</v>
      </c>
      <c r="H200" t="n">
        <v>2475.23</v>
      </c>
      <c r="I200" t="inlineStr"/>
      <c r="J200" t="n">
        <v>15</v>
      </c>
      <c r="K200" t="n">
        <v>901.4299999999999</v>
      </c>
      <c r="L200" t="n">
        <v>226.37</v>
      </c>
      <c r="M200" t="n">
        <v>5.03</v>
      </c>
      <c r="N200" t="n">
        <v>25</v>
      </c>
      <c r="O200" t="n">
        <v>3681.71</v>
      </c>
      <c r="P200" t="n">
        <v>4500.41</v>
      </c>
      <c r="Q200" t="inlineStr">
        <is>
          <t>формула: ROI 25%</t>
        </is>
      </c>
    </row>
    <row r="201">
      <c r="A201" t="inlineStr">
        <is>
          <t>FBS</t>
        </is>
      </c>
      <c r="B201" t="n">
        <v>129</v>
      </c>
      <c r="C201" t="inlineStr">
        <is>
          <t>Celimax Dual Barrier Creamy Toner</t>
        </is>
      </c>
      <c r="D201" t="n">
        <v>4929</v>
      </c>
      <c r="E201" t="n">
        <v>663.86</v>
      </c>
      <c r="F201" t="n">
        <v>723.86</v>
      </c>
      <c r="G201" t="n">
        <v>3679.3</v>
      </c>
      <c r="H201" t="n">
        <v>2023.62</v>
      </c>
      <c r="I201" t="n">
        <v>2600</v>
      </c>
      <c r="J201" t="n">
        <v>15</v>
      </c>
      <c r="K201" t="n">
        <v>732.86</v>
      </c>
      <c r="L201" t="n">
        <v>180.97</v>
      </c>
      <c r="M201" t="n">
        <v>4.92</v>
      </c>
      <c r="N201" t="n">
        <v>25</v>
      </c>
      <c r="O201" t="n">
        <v>3024.82</v>
      </c>
      <c r="P201" t="n">
        <v>3679.3</v>
      </c>
      <c r="Q201" t="inlineStr">
        <is>
          <t>формула: ROI 25%</t>
        </is>
      </c>
    </row>
    <row r="202">
      <c r="A202" t="inlineStr">
        <is>
          <t>FBS</t>
        </is>
      </c>
      <c r="B202" t="n">
        <v>130</v>
      </c>
      <c r="C202" t="inlineStr">
        <is>
          <t>CELIMAX THE VITA-A RETINAL SHOT TIGHTENING BOOSTER [15ml]/Подтягивающий бустер-крем с ретинолом для лица</t>
        </is>
      </c>
      <c r="D202" t="n">
        <v>9768</v>
      </c>
      <c r="E202" t="n">
        <v>512.1799999999999</v>
      </c>
      <c r="F202" t="n">
        <v>572.1799999999999</v>
      </c>
      <c r="G202" t="n">
        <v>2939.44</v>
      </c>
      <c r="H202" t="n">
        <v>1616.69</v>
      </c>
      <c r="I202" t="n">
        <v>2250</v>
      </c>
      <c r="J202" t="n">
        <v>15</v>
      </c>
      <c r="K202" t="n">
        <v>583.96</v>
      </c>
      <c r="L202" t="n">
        <v>143.05</v>
      </c>
      <c r="M202" t="n">
        <v>4.87</v>
      </c>
      <c r="N202" t="n">
        <v>25</v>
      </c>
      <c r="O202" t="n">
        <v>2422.1</v>
      </c>
      <c r="P202" t="n">
        <v>2939.44</v>
      </c>
      <c r="Q202" t="inlineStr">
        <is>
          <t>формула: ROI 25%</t>
        </is>
      </c>
    </row>
    <row r="203">
      <c r="A203" t="inlineStr">
        <is>
          <t>FBS</t>
        </is>
      </c>
      <c r="B203" t="n">
        <v>131</v>
      </c>
      <c r="C203" t="inlineStr">
        <is>
          <t>CELIMAX THE VITA-A RETINOL SHOT TIGHTENING SERUM [30ml]/Сыворотка с ретинолом и микроиглами для лица</t>
        </is>
      </c>
      <c r="D203" t="n">
        <v>3564</v>
      </c>
      <c r="E203" t="n">
        <v>532.1</v>
      </c>
      <c r="F203" t="n">
        <v>592.1</v>
      </c>
      <c r="G203" t="n">
        <v>3061.09</v>
      </c>
      <c r="H203" t="n">
        <v>1683.6</v>
      </c>
      <c r="I203" t="n">
        <v>2450</v>
      </c>
      <c r="J203" t="n">
        <v>15</v>
      </c>
      <c r="K203" t="n">
        <v>607.1900000000001</v>
      </c>
      <c r="L203" t="n">
        <v>148.02</v>
      </c>
      <c r="M203" t="n">
        <v>4.84</v>
      </c>
      <c r="N203" t="n">
        <v>25</v>
      </c>
      <c r="O203" t="n">
        <v>2525.74</v>
      </c>
      <c r="P203" t="n">
        <v>3061.09</v>
      </c>
      <c r="Q203" t="inlineStr">
        <is>
          <t>формула: ROI 25%</t>
        </is>
      </c>
    </row>
    <row r="204">
      <c r="A204" t="inlineStr">
        <is>
          <t>FBS</t>
        </is>
      </c>
      <c r="B204" t="n">
        <v>132</v>
      </c>
      <c r="C204" t="inlineStr">
        <is>
          <t>CELIMAX JI WOO GAE CICA BHA BLEMISH TONER PAD_10EA [30ml]/успокаивающие тонер-пэды</t>
        </is>
      </c>
      <c r="D204" t="n">
        <v>1696</v>
      </c>
      <c r="E204" t="n">
        <v>96.94</v>
      </c>
      <c r="F204" t="n">
        <v>156.94</v>
      </c>
      <c r="G204" t="n">
        <v>1061.48</v>
      </c>
      <c r="H204" t="n">
        <v>583.8099999999999</v>
      </c>
      <c r="I204" t="n">
        <v>775</v>
      </c>
      <c r="J204" t="n">
        <v>15</v>
      </c>
      <c r="K204" t="n">
        <v>198.46</v>
      </c>
      <c r="L204" t="n">
        <v>39.23</v>
      </c>
      <c r="M204" t="n">
        <v>3.7</v>
      </c>
      <c r="N204" t="n">
        <v>25</v>
      </c>
      <c r="O204" t="n">
        <v>919.58</v>
      </c>
      <c r="P204" t="n">
        <v>1061.48</v>
      </c>
      <c r="Q204" t="inlineStr">
        <is>
          <t>формула: ROI 25%</t>
        </is>
      </c>
    </row>
    <row r="205">
      <c r="A205" t="inlineStr">
        <is>
          <t>FBS</t>
        </is>
      </c>
      <c r="B205" t="n">
        <v>133</v>
      </c>
      <c r="C205" t="inlineStr">
        <is>
          <t>CELIMAX PORE+DARK SPOT BRIGHTENING CREAM [35ml]/Крем для выравнивания тона и рельефа кожи лица</t>
        </is>
      </c>
      <c r="D205" t="n">
        <v>99</v>
      </c>
      <c r="E205" t="n">
        <v>623.4299999999999</v>
      </c>
      <c r="F205" t="n">
        <v>683.4299999999999</v>
      </c>
      <c r="G205" t="n">
        <v>3473.97</v>
      </c>
      <c r="H205" t="n">
        <v>1910.68</v>
      </c>
      <c r="I205" t="inlineStr"/>
      <c r="J205" t="n">
        <v>15</v>
      </c>
      <c r="K205" t="n">
        <v>691.95</v>
      </c>
      <c r="L205" t="n">
        <v>170.86</v>
      </c>
      <c r="M205" t="n">
        <v>4.92</v>
      </c>
      <c r="N205" t="n">
        <v>25</v>
      </c>
      <c r="O205" t="n">
        <v>2856.04</v>
      </c>
      <c r="P205" t="n">
        <v>3473.97</v>
      </c>
      <c r="Q205" t="inlineStr">
        <is>
          <t>формула: ROI 25%</t>
        </is>
      </c>
    </row>
    <row r="206">
      <c r="A206" t="inlineStr">
        <is>
          <t>FBS</t>
        </is>
      </c>
      <c r="B206" t="n">
        <v>134</v>
      </c>
      <c r="C206" t="inlineStr">
        <is>
          <t>CELIMAX DUAL BARRIER SKIN WEARABLE CREAM [50ml]/Крем для восстановления защитного барьера кожи лица</t>
        </is>
      </c>
      <c r="D206" t="n">
        <v>446</v>
      </c>
      <c r="E206" t="n">
        <v>864.11</v>
      </c>
      <c r="F206" t="n">
        <v>924.11</v>
      </c>
      <c r="G206" t="n">
        <v>4580.2</v>
      </c>
      <c r="H206" t="n">
        <v>2519.11</v>
      </c>
      <c r="I206" t="inlineStr"/>
      <c r="J206" t="n">
        <v>15</v>
      </c>
      <c r="K206" t="n">
        <v>918.0599999999999</v>
      </c>
      <c r="L206" t="n">
        <v>231.03</v>
      </c>
      <c r="M206" t="n">
        <v>5.04</v>
      </c>
      <c r="N206" t="n">
        <v>25</v>
      </c>
      <c r="O206" t="n">
        <v>3744.65</v>
      </c>
      <c r="P206" t="n">
        <v>4580.2</v>
      </c>
      <c r="Q206" t="inlineStr">
        <is>
          <t>формула: ROI 25%</t>
        </is>
      </c>
    </row>
    <row r="207">
      <c r="A207" t="inlineStr">
        <is>
          <t>FBS</t>
        </is>
      </c>
      <c r="B207" t="n">
        <v>135</v>
      </c>
      <c r="C207" t="inlineStr">
        <is>
          <t>CELIMAX JI WOO GAE CICA BHA BLEMISH TONER PAD [170ml / 60pads]/Тонер-пэды от воспалений</t>
        </is>
      </c>
      <c r="D207" t="n">
        <v>1620</v>
      </c>
      <c r="E207" t="n">
        <v>707.88</v>
      </c>
      <c r="F207" t="n">
        <v>767.88</v>
      </c>
      <c r="G207" t="n">
        <v>3882.52</v>
      </c>
      <c r="H207" t="n">
        <v>2135.38</v>
      </c>
      <c r="I207" t="n">
        <v>3450</v>
      </c>
      <c r="J207" t="n">
        <v>15</v>
      </c>
      <c r="K207" t="n">
        <v>774.35</v>
      </c>
      <c r="L207" t="n">
        <v>191.97</v>
      </c>
      <c r="M207" t="n">
        <v>4.94</v>
      </c>
      <c r="N207" t="n">
        <v>25</v>
      </c>
      <c r="O207" t="n">
        <v>3188.23</v>
      </c>
      <c r="P207" t="n">
        <v>3882.52</v>
      </c>
      <c r="Q207" t="inlineStr">
        <is>
          <t>формула: ROI 25%</t>
        </is>
      </c>
    </row>
    <row r="208">
      <c r="A208" t="inlineStr">
        <is>
          <t>FBS</t>
        </is>
      </c>
      <c r="B208" t="n">
        <v>136</v>
      </c>
      <c r="C208" t="inlineStr">
        <is>
          <t>CELIMAX THE REAL NONI ENERGY AMPOULE_30ML (NEW) [30ml]/Восстанавливающая сыворотка с экстрактом нони для лица</t>
        </is>
      </c>
      <c r="D208" t="n">
        <v>62</v>
      </c>
      <c r="E208" t="n">
        <v>763.83</v>
      </c>
      <c r="F208" t="n">
        <v>823.83</v>
      </c>
      <c r="G208" t="n">
        <v>4108.69</v>
      </c>
      <c r="H208" t="n">
        <v>2259.78</v>
      </c>
      <c r="I208" t="inlineStr"/>
      <c r="J208" t="n">
        <v>15</v>
      </c>
      <c r="K208" t="n">
        <v>822.26</v>
      </c>
      <c r="L208" t="n">
        <v>205.96</v>
      </c>
      <c r="M208" t="n">
        <v>5.01</v>
      </c>
      <c r="N208" t="n">
        <v>25</v>
      </c>
      <c r="O208" t="n">
        <v>3363.82</v>
      </c>
      <c r="P208" t="n">
        <v>4108.69</v>
      </c>
      <c r="Q208" t="inlineStr">
        <is>
          <t>формула: ROI 25%</t>
        </is>
      </c>
    </row>
    <row r="209">
      <c r="A209" t="inlineStr">
        <is>
          <t>FBS</t>
        </is>
      </c>
      <c r="B209" t="n">
        <v>137</v>
      </c>
      <c r="C209" t="inlineStr">
        <is>
          <t>CELIMAX PORE+DARK SPOT BRIGHTENING PAD [100ml / 40pads]/Тонер-пэды для выравнивания тона и рельефа кожи</t>
        </is>
      </c>
      <c r="D209" t="n">
        <v>1795</v>
      </c>
      <c r="E209" t="n">
        <v>556.1799999999999</v>
      </c>
      <c r="F209" t="n">
        <v>616.1799999999999</v>
      </c>
      <c r="G209" t="n">
        <v>3189.42</v>
      </c>
      <c r="H209" t="n">
        <v>1754.18</v>
      </c>
      <c r="I209" t="n">
        <v>2880</v>
      </c>
      <c r="J209" t="n">
        <v>15</v>
      </c>
      <c r="K209" t="n">
        <v>632.46</v>
      </c>
      <c r="L209" t="n">
        <v>154.05</v>
      </c>
      <c r="M209" t="n">
        <v>4.83</v>
      </c>
      <c r="N209" t="n">
        <v>25</v>
      </c>
      <c r="O209" t="n">
        <v>2632.29</v>
      </c>
      <c r="P209" t="n">
        <v>3189.42</v>
      </c>
      <c r="Q209" t="inlineStr">
        <is>
          <t>формула: ROI 25%</t>
        </is>
      </c>
    </row>
    <row r="210">
      <c r="A210" t="inlineStr">
        <is>
          <t>FBS</t>
        </is>
      </c>
      <c r="B210" t="n">
        <v>138</v>
      </c>
      <c r="C210" t="inlineStr">
        <is>
          <t>CELIMAX PORE+DARK SPOT BRIGHTENING SERUM_30ml [30ml]/Сыворотка для выравнивания тона и рельефа кожи лица</t>
        </is>
      </c>
      <c r="D210" t="n">
        <v>124</v>
      </c>
      <c r="E210" t="n">
        <v>687.58</v>
      </c>
      <c r="F210" t="n">
        <v>747.58</v>
      </c>
      <c r="G210" t="n">
        <v>3763.98</v>
      </c>
      <c r="H210" t="n">
        <v>2070.19</v>
      </c>
      <c r="I210" t="inlineStr"/>
      <c r="J210" t="n">
        <v>15</v>
      </c>
      <c r="K210" t="n">
        <v>751.49</v>
      </c>
      <c r="L210" t="n">
        <v>186.89</v>
      </c>
      <c r="M210" t="n">
        <v>4.97</v>
      </c>
      <c r="N210" t="n">
        <v>25</v>
      </c>
      <c r="O210" t="n">
        <v>3088.05</v>
      </c>
      <c r="P210" t="n">
        <v>3763.98</v>
      </c>
      <c r="Q210" t="inlineStr">
        <is>
          <t>формула: ROI 25%</t>
        </is>
      </c>
    </row>
    <row r="211">
      <c r="A211" t="inlineStr">
        <is>
          <t>FBS</t>
        </is>
      </c>
      <c r="B211" t="n">
        <v>139</v>
      </c>
      <c r="C211" t="inlineStr">
        <is>
          <t>CELIMAX THE REAL NONI MOISTURE BALANCING TONER (NEW) [150ml]/Восстанавливающий тонер с экстрактом нони</t>
        </is>
      </c>
      <c r="D211" t="n">
        <v>194</v>
      </c>
      <c r="E211" t="n">
        <v>719.58</v>
      </c>
      <c r="F211" t="n">
        <v>779.58</v>
      </c>
      <c r="G211" t="n">
        <v>3931.2</v>
      </c>
      <c r="H211" t="n">
        <v>2162.16</v>
      </c>
      <c r="I211" t="inlineStr"/>
      <c r="J211" t="n">
        <v>15</v>
      </c>
      <c r="K211" t="n">
        <v>784.58</v>
      </c>
      <c r="L211" t="n">
        <v>194.9</v>
      </c>
      <c r="M211" t="n">
        <v>4.96</v>
      </c>
      <c r="N211" t="n">
        <v>25</v>
      </c>
      <c r="O211" t="n">
        <v>3226.34</v>
      </c>
      <c r="P211" t="n">
        <v>3931.2</v>
      </c>
      <c r="Q211" t="inlineStr">
        <is>
          <t>формула: ROI 25%</t>
        </is>
      </c>
    </row>
    <row r="212">
      <c r="A212" t="inlineStr">
        <is>
          <t>FBS</t>
        </is>
      </c>
      <c r="B212" t="n">
        <v>141</v>
      </c>
      <c r="C212" t="inlineStr">
        <is>
          <t>VT PDRN ESSENCE 100 / Укрепляющая бустер-эссенция с ПДРН</t>
        </is>
      </c>
      <c r="D212" t="n">
        <v>1071</v>
      </c>
      <c r="E212" t="n">
        <v>1335.95</v>
      </c>
      <c r="F212" t="n">
        <v>1395.95</v>
      </c>
      <c r="G212" t="n">
        <v>6693.63</v>
      </c>
      <c r="H212" t="n">
        <v>3681.5</v>
      </c>
      <c r="I212" t="n">
        <v>6000</v>
      </c>
      <c r="J212" t="n">
        <v>15</v>
      </c>
      <c r="K212" t="n">
        <v>1353.03</v>
      </c>
      <c r="L212" t="n">
        <v>348.99</v>
      </c>
      <c r="M212" t="n">
        <v>5.21</v>
      </c>
      <c r="N212" t="n">
        <v>25</v>
      </c>
      <c r="O212" t="n">
        <v>5431.47</v>
      </c>
      <c r="P212" t="n">
        <v>6693.63</v>
      </c>
      <c r="Q212" t="inlineStr">
        <is>
          <t>формула: ROI 25%</t>
        </is>
      </c>
    </row>
    <row r="213">
      <c r="A213" t="inlineStr">
        <is>
          <t>FBS</t>
        </is>
      </c>
      <c r="B213" t="n">
        <v>142</v>
      </c>
      <c r="C213" t="inlineStr">
        <is>
          <t>VT REEDLE SHOT 100 / Бустер-сыворотка с микроиглами</t>
        </is>
      </c>
      <c r="D213" t="n">
        <v>543</v>
      </c>
      <c r="E213" t="n">
        <v>974.04</v>
      </c>
      <c r="F213" t="n">
        <v>1034.04</v>
      </c>
      <c r="G213" t="n">
        <v>5059.38</v>
      </c>
      <c r="H213" t="n">
        <v>2782.66</v>
      </c>
      <c r="I213" t="n">
        <v>5900</v>
      </c>
      <c r="J213" t="n">
        <v>15</v>
      </c>
      <c r="K213" t="n">
        <v>1017.42</v>
      </c>
      <c r="L213" t="n">
        <v>258.51</v>
      </c>
      <c r="M213" t="n">
        <v>5.11</v>
      </c>
      <c r="N213" t="n">
        <v>25</v>
      </c>
      <c r="O213" t="n">
        <v>4124.45</v>
      </c>
      <c r="P213" t="n">
        <v>5059.38</v>
      </c>
      <c r="Q213" t="inlineStr">
        <is>
          <t>формула: ROI 25%</t>
        </is>
      </c>
    </row>
    <row r="214">
      <c r="A214" t="inlineStr">
        <is>
          <t>FBS</t>
        </is>
      </c>
      <c r="B214" t="n">
        <v>145</v>
      </c>
      <c r="C214" t="inlineStr">
        <is>
          <t>1025 DOKDO BUBBLE FOAM_150ml</t>
        </is>
      </c>
      <c r="D214" t="n">
        <v>0</v>
      </c>
      <c r="E214" t="n">
        <v>455</v>
      </c>
      <c r="F214" t="n">
        <v>515</v>
      </c>
      <c r="G214" t="n">
        <v>2773.13</v>
      </c>
      <c r="H214" t="n">
        <v>1525.22</v>
      </c>
      <c r="I214" t="n">
        <v>2650</v>
      </c>
      <c r="J214" t="n">
        <v>15</v>
      </c>
      <c r="K214" t="n">
        <v>544.72</v>
      </c>
      <c r="L214" t="n">
        <v>128.75</v>
      </c>
      <c r="M214" t="n">
        <v>4.64</v>
      </c>
      <c r="N214" t="n">
        <v>25</v>
      </c>
      <c r="O214" t="n">
        <v>2307.49</v>
      </c>
      <c r="P214" t="n">
        <v>2773.13</v>
      </c>
      <c r="Q214" t="inlineStr">
        <is>
          <t>формула: ROI 25%</t>
        </is>
      </c>
    </row>
    <row r="215">
      <c r="A215" t="inlineStr">
        <is>
          <t>FBS</t>
        </is>
      </c>
      <c r="B215" t="n">
        <v>146</v>
      </c>
      <c r="C215" t="inlineStr">
        <is>
          <t>MEDICUBE PDRN PINK PEPTIDE SERUM 30ml</t>
        </is>
      </c>
      <c r="D215" t="n">
        <v>0</v>
      </c>
      <c r="E215" t="n">
        <v>674</v>
      </c>
      <c r="F215" t="n">
        <v>734</v>
      </c>
      <c r="G215" t="n">
        <v>3702.96</v>
      </c>
      <c r="H215" t="n">
        <v>2036.63</v>
      </c>
      <c r="I215" t="n">
        <v>4880</v>
      </c>
      <c r="J215" t="n">
        <v>15</v>
      </c>
      <c r="K215" t="n">
        <v>738.9400000000001</v>
      </c>
      <c r="L215" t="n">
        <v>183.5</v>
      </c>
      <c r="M215" t="n">
        <v>4.96</v>
      </c>
      <c r="N215" t="n">
        <v>25</v>
      </c>
      <c r="O215" t="n">
        <v>3039.31</v>
      </c>
      <c r="P215" t="n">
        <v>3702.96</v>
      </c>
      <c r="Q215" t="inlineStr">
        <is>
          <t>формула: ROI 25%</t>
        </is>
      </c>
    </row>
    <row r="216">
      <c r="A216" t="inlineStr">
        <is>
          <t>FBS</t>
        </is>
      </c>
      <c r="B216" t="n">
        <v>147</v>
      </c>
      <c r="C216" t="inlineStr">
        <is>
          <t>MEDICUBE PDRN PINK EXOSOME SHOT SERUM 7500 30ml</t>
        </is>
      </c>
      <c r="D216" t="n">
        <v>0</v>
      </c>
      <c r="E216" t="n">
        <v>833</v>
      </c>
      <c r="F216" t="n">
        <v>893</v>
      </c>
      <c r="G216" t="n">
        <v>4421.77</v>
      </c>
      <c r="H216" t="n">
        <v>2431.97</v>
      </c>
      <c r="I216" t="n">
        <v>5000</v>
      </c>
      <c r="J216" t="n">
        <v>15</v>
      </c>
      <c r="K216" t="n">
        <v>886.52</v>
      </c>
      <c r="L216" t="n">
        <v>223.25</v>
      </c>
      <c r="M216" t="n">
        <v>5.05</v>
      </c>
      <c r="N216" t="n">
        <v>25</v>
      </c>
      <c r="O216" t="n">
        <v>3614.36</v>
      </c>
      <c r="P216" t="n">
        <v>4421.77</v>
      </c>
      <c r="Q216" t="inlineStr">
        <is>
          <t>формула: ROI 25%</t>
        </is>
      </c>
    </row>
    <row r="217">
      <c r="A217" t="inlineStr">
        <is>
          <t>FBS</t>
        </is>
      </c>
      <c r="B217" t="n">
        <v>148</v>
      </c>
      <c r="C217" t="inlineStr">
        <is>
          <t>MEDICUBE PDRN PINK EXOSOME SHOT SERUM 2000 30ml</t>
        </is>
      </c>
      <c r="D217" t="n">
        <v>0</v>
      </c>
      <c r="E217" t="n">
        <v>757</v>
      </c>
      <c r="F217" t="n">
        <v>817</v>
      </c>
      <c r="G217" t="n">
        <v>4078.19</v>
      </c>
      <c r="H217" t="n">
        <v>2243</v>
      </c>
      <c r="I217" t="n">
        <v>5150</v>
      </c>
      <c r="J217" t="n">
        <v>15</v>
      </c>
      <c r="K217" t="n">
        <v>815.98</v>
      </c>
      <c r="L217" t="n">
        <v>204.25</v>
      </c>
      <c r="M217" t="n">
        <v>5.01</v>
      </c>
      <c r="N217" t="n">
        <v>25</v>
      </c>
      <c r="O217" t="n">
        <v>3339.49</v>
      </c>
      <c r="P217" t="n">
        <v>4078.19</v>
      </c>
      <c r="Q217" t="inlineStr">
        <is>
          <t>формула: ROI 25%</t>
        </is>
      </c>
    </row>
    <row r="218">
      <c r="A218" t="inlineStr">
        <is>
          <t>FBS</t>
        </is>
      </c>
      <c r="B218" t="n">
        <v>149</v>
      </c>
      <c r="C218" t="inlineStr">
        <is>
          <t>MEDICUBE TXA NIACINAMIDE CAPSULE CREAM 55g</t>
        </is>
      </c>
      <c r="D218" t="n">
        <v>0</v>
      </c>
      <c r="E218" t="n">
        <v>922</v>
      </c>
      <c r="F218" t="n">
        <v>982</v>
      </c>
      <c r="G218" t="n">
        <v>4824.12</v>
      </c>
      <c r="H218" t="n">
        <v>2653.27</v>
      </c>
      <c r="I218" t="n">
        <v>6900</v>
      </c>
      <c r="J218" t="n">
        <v>15</v>
      </c>
      <c r="K218" t="n">
        <v>969.12</v>
      </c>
      <c r="L218" t="n">
        <v>245.5</v>
      </c>
      <c r="M218" t="n">
        <v>5.09</v>
      </c>
      <c r="N218" t="n">
        <v>25</v>
      </c>
      <c r="O218" t="n">
        <v>3936.24</v>
      </c>
      <c r="P218" t="n">
        <v>4824.12</v>
      </c>
      <c r="Q218" t="inlineStr">
        <is>
          <t>формула: ROI 25%</t>
        </is>
      </c>
    </row>
    <row r="219">
      <c r="A219" t="inlineStr">
        <is>
          <t>FBS</t>
        </is>
      </c>
      <c r="B219" t="n">
        <v>150</v>
      </c>
      <c r="C219" t="inlineStr">
        <is>
          <t>MEDICUBE PDRN PINK COLLAGEN CAPSULE CREAM 55g</t>
        </is>
      </c>
      <c r="D219" t="n">
        <v>0</v>
      </c>
      <c r="E219" t="n">
        <v>1019</v>
      </c>
      <c r="F219" t="n">
        <v>1079</v>
      </c>
      <c r="G219" t="n">
        <v>5262.64</v>
      </c>
      <c r="H219" t="n">
        <v>2894.45</v>
      </c>
      <c r="I219" t="n">
        <v>5270</v>
      </c>
      <c r="J219" t="n">
        <v>15</v>
      </c>
      <c r="K219" t="n">
        <v>1059.15</v>
      </c>
      <c r="L219" t="n">
        <v>269.75</v>
      </c>
      <c r="M219" t="n">
        <v>5.13</v>
      </c>
      <c r="N219" t="n">
        <v>25</v>
      </c>
      <c r="O219" t="n">
        <v>4287.05</v>
      </c>
      <c r="P219" t="n">
        <v>5262.64</v>
      </c>
      <c r="Q219" t="inlineStr">
        <is>
          <t>формула: ROI 25%</t>
        </is>
      </c>
    </row>
    <row r="220">
      <c r="A220" t="inlineStr">
        <is>
          <t>FBS</t>
        </is>
      </c>
      <c r="B220" t="n">
        <v>151</v>
      </c>
      <c r="C220" t="inlineStr">
        <is>
          <t>MEDICUBE PDRN PINK HYALURONIC MOISTURIZING CREAM 50ml</t>
        </is>
      </c>
      <c r="D220" t="n">
        <v>0</v>
      </c>
      <c r="E220" t="n">
        <v>670</v>
      </c>
      <c r="F220" t="n">
        <v>730</v>
      </c>
      <c r="G220" t="n">
        <v>3684.88</v>
      </c>
      <c r="H220" t="n">
        <v>2026.68</v>
      </c>
      <c r="I220" t="n">
        <v>3450</v>
      </c>
      <c r="J220" t="n">
        <v>15</v>
      </c>
      <c r="K220" t="n">
        <v>735.23</v>
      </c>
      <c r="L220" t="n">
        <v>182.5</v>
      </c>
      <c r="M220" t="n">
        <v>4.95</v>
      </c>
      <c r="N220" t="n">
        <v>25</v>
      </c>
      <c r="O220" t="n">
        <v>3024.84</v>
      </c>
      <c r="P220" t="n">
        <v>3684.88</v>
      </c>
      <c r="Q220" t="inlineStr">
        <is>
          <t>формула: ROI 25%</t>
        </is>
      </c>
    </row>
    <row r="221">
      <c r="A221" t="inlineStr">
        <is>
          <t>FBS</t>
        </is>
      </c>
      <c r="B221" t="n">
        <v>152</v>
      </c>
      <c r="C221" t="inlineStr">
        <is>
          <t>[Derma Factory] PDRN 4% Ampoule</t>
        </is>
      </c>
      <c r="D221" t="n">
        <v>0</v>
      </c>
      <c r="E221" t="n">
        <v>407</v>
      </c>
      <c r="F221" t="n">
        <v>467</v>
      </c>
      <c r="G221" t="n">
        <v>2495.91</v>
      </c>
      <c r="H221" t="n">
        <v>1372.75</v>
      </c>
      <c r="I221" t="n">
        <v>3350</v>
      </c>
      <c r="J221" t="n">
        <v>15</v>
      </c>
      <c r="K221" t="n">
        <v>491.14</v>
      </c>
      <c r="L221" t="n">
        <v>116.75</v>
      </c>
      <c r="M221" t="n">
        <v>4.68</v>
      </c>
      <c r="N221" t="n">
        <v>25</v>
      </c>
      <c r="O221" t="n">
        <v>2073.67</v>
      </c>
      <c r="P221" t="n">
        <v>2495.91</v>
      </c>
      <c r="Q221" t="inlineStr">
        <is>
          <t>формула: ROI 25%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style="66" min="1" max="1"/>
    <col width="70" customWidth="1" style="66" min="2" max="2"/>
    <col width="9" customWidth="1" style="66" min="3" max="3"/>
    <col width="11" customWidth="1" style="66" min="4" max="4"/>
    <col width="15" customWidth="1" style="66" min="5" max="5"/>
    <col width="15" customWidth="1" style="66" min="6" max="6"/>
    <col width="15" customWidth="1" style="66" min="7" max="7"/>
    <col width="15" customWidth="1" style="66" min="8" max="8"/>
    <col width="13" customWidth="1" style="66" min="9" max="9"/>
    <col width="42" customWidth="1" style="66" min="10" max="10"/>
  </cols>
  <sheetData>
    <row r="1">
      <c r="A1" s="67" t="inlineStr">
        <is>
          <t>Строка FBO</t>
        </is>
      </c>
      <c r="B1" s="67" t="inlineStr">
        <is>
          <t>Товар</t>
        </is>
      </c>
      <c r="C1" s="67" t="inlineStr">
        <is>
          <t>Остаток</t>
        </is>
      </c>
      <c r="D1" s="67" t="inlineStr">
        <is>
          <t>Себест., ₽</t>
        </is>
      </c>
      <c r="E1" s="67" t="inlineStr">
        <is>
          <t>Цена конкурента без СПП, ₽</t>
        </is>
      </c>
      <c r="F1" s="67" t="inlineStr">
        <is>
          <t>Цена безубытка FBO, ₽</t>
        </is>
      </c>
      <c r="G1" s="67" t="inlineStr">
        <is>
          <t>Цена FBO под ROI 25%, ₽</t>
        </is>
      </c>
      <c r="H1" s="67" t="inlineStr">
        <is>
          <t>Цена FBS под ROI 25%, ₽</t>
        </is>
      </c>
      <c r="I1" s="67" t="inlineStr">
        <is>
          <t>Цена конкурента / безубыток, %</t>
        </is>
      </c>
      <c r="J1" s="67" t="inlineStr">
        <is>
          <t>Решение</t>
        </is>
      </c>
    </row>
    <row r="2">
      <c r="A2" t="n">
        <v>14</v>
      </c>
      <c r="B2" t="inlineStr">
        <is>
          <t>COSRX - Salicylic Acid Daily Gentle Cleanser [150ml] / Пенка с салициловой кислотой для проблемной кожи</t>
        </is>
      </c>
      <c r="C2" t="n">
        <v>412</v>
      </c>
      <c r="D2" t="n">
        <v>343.82</v>
      </c>
      <c r="E2" t="n">
        <v>1680</v>
      </c>
      <c r="F2" t="n">
        <v>1705.83</v>
      </c>
      <c r="G2" t="n">
        <v>2046.32</v>
      </c>
      <c r="H2" t="n">
        <v>2986.61</v>
      </c>
      <c r="I2" t="n">
        <v>98</v>
      </c>
      <c r="J2" t="inlineStr">
        <is>
          <t>не запускать на FBO по рыночной цене</t>
        </is>
      </c>
    </row>
    <row r="3">
      <c r="A3" t="n">
        <v>16</v>
      </c>
      <c r="B3" t="inlineStr">
        <is>
          <t>DEOPROCE SHAMPOO - BLACK GARLIC INTENSME ENERGY [600ml] мягкая упаковка Шампунь с черным чесноком против выпадения волос</t>
        </is>
      </c>
      <c r="C3" t="n">
        <v>72</v>
      </c>
      <c r="D3" t="n">
        <v>269.87</v>
      </c>
      <c r="E3" t="inlineStr"/>
      <c r="F3" t="n">
        <v>1221.6</v>
      </c>
      <c r="G3" t="n">
        <v>1446.61</v>
      </c>
      <c r="H3" t="n">
        <v>1953.65</v>
      </c>
      <c r="I3" t="inlineStr"/>
      <c r="J3" t="inlineStr">
        <is>
          <t>нет цены конкурента: сверить по выдаче Маркета</t>
        </is>
      </c>
    </row>
    <row r="4">
      <c r="A4" t="n">
        <v>17</v>
      </c>
      <c r="B4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C4" t="n">
        <v>19</v>
      </c>
      <c r="D4" t="n">
        <v>314.85</v>
      </c>
      <c r="E4" t="inlineStr"/>
      <c r="F4" t="n">
        <v>1344.33</v>
      </c>
      <c r="G4" t="n">
        <v>1600.02</v>
      </c>
      <c r="H4" t="n">
        <v>2156.99</v>
      </c>
      <c r="I4" t="inlineStr"/>
      <c r="J4" t="inlineStr">
        <is>
          <t>нет цены конкурента: сверить по выдаче Маркета</t>
        </is>
      </c>
    </row>
    <row r="5">
      <c r="A5" t="n">
        <v>18</v>
      </c>
      <c r="B5" t="inlineStr">
        <is>
          <t>DEOPROCE SHAMPOO - BLACK GARLIC INTENSME ENERGY [200ml]/ Шампунь с черным чесноком против выпадения волос</t>
        </is>
      </c>
      <c r="C5" t="n">
        <v>370</v>
      </c>
      <c r="D5" t="n">
        <v>151.13</v>
      </c>
      <c r="E5" t="n">
        <v>980</v>
      </c>
      <c r="F5" t="n">
        <v>854.97</v>
      </c>
      <c r="G5" t="n">
        <v>998.99</v>
      </c>
      <c r="H5" t="n">
        <v>1360.33</v>
      </c>
      <c r="I5" t="n">
        <v>115</v>
      </c>
      <c r="J5" t="inlineStr">
        <is>
          <t>маржа тонкая: держать ДРР ниже 15% или поднимать цену</t>
        </is>
      </c>
    </row>
    <row r="6">
      <c r="A6" t="n">
        <v>20</v>
      </c>
      <c r="B6" t="inlineStr">
        <is>
          <t>DEOPROCE SHAMPOO+BALSAM - BLACK GARLIC[2000ml]</t>
        </is>
      </c>
      <c r="C6" t="n">
        <v>447</v>
      </c>
      <c r="D6" t="n">
        <v>726.85</v>
      </c>
      <c r="E6" t="inlineStr"/>
      <c r="F6" t="n">
        <v>2496.7</v>
      </c>
      <c r="G6" t="n">
        <v>3033.44</v>
      </c>
      <c r="H6" t="n">
        <v>4056.98</v>
      </c>
      <c r="I6" t="inlineStr"/>
      <c r="J6" t="inlineStr">
        <is>
          <t>нет цены конкурента: сверить по выдаче Маркета</t>
        </is>
      </c>
    </row>
    <row r="7">
      <c r="A7" t="n">
        <v>22</v>
      </c>
      <c r="B7" t="inlineStr">
        <is>
          <t>DR. JART - Ctrl+A Teatreatment Toner [120ml] / Тонер тоник для лица увлажняющий с чайным деревом</t>
        </is>
      </c>
      <c r="C7" t="n">
        <v>180</v>
      </c>
      <c r="D7" t="n">
        <v>637.89</v>
      </c>
      <c r="E7" t="inlineStr"/>
      <c r="F7" t="n">
        <v>2166.16</v>
      </c>
      <c r="G7" t="n">
        <v>2642.21</v>
      </c>
      <c r="H7" t="n">
        <v>3538.41</v>
      </c>
      <c r="I7" t="inlineStr"/>
      <c r="J7" t="inlineStr">
        <is>
          <t>нет цены конкурента: сверить по выдаче Маркета</t>
        </is>
      </c>
    </row>
    <row r="8">
      <c r="A8" t="n">
        <v>24</v>
      </c>
      <c r="B8" t="inlineStr">
        <is>
          <t>EKEL - Ampule Сream Сollagen [70ml] / Крем для лица ампульный с коллагеном</t>
        </is>
      </c>
      <c r="C8" t="n">
        <v>50</v>
      </c>
      <c r="D8" t="n">
        <v>142.13</v>
      </c>
      <c r="E8" t="n">
        <v>1280</v>
      </c>
      <c r="F8" t="n">
        <v>826.75</v>
      </c>
      <c r="G8" t="n">
        <v>964.63</v>
      </c>
      <c r="H8" t="n">
        <v>1314.77</v>
      </c>
      <c r="I8" t="n">
        <v>155</v>
      </c>
      <c r="J8" t="inlineStr">
        <is>
          <t>запускать: рынок держит ROI 25% и выше</t>
        </is>
      </c>
    </row>
    <row r="9">
      <c r="A9" t="n">
        <v>26</v>
      </c>
      <c r="B9" t="inlineStr">
        <is>
          <t>ELIZAVECCA - CER-100 Collagen Ceramide Coating Protein Treatment [100ml] / Коллагеновая маска для волос</t>
        </is>
      </c>
      <c r="C9" t="n">
        <v>453</v>
      </c>
      <c r="D9" t="n">
        <v>242.23</v>
      </c>
      <c r="E9" t="n">
        <v>1315</v>
      </c>
      <c r="F9" t="n">
        <v>1100.44</v>
      </c>
      <c r="G9" t="n">
        <v>1306.6</v>
      </c>
      <c r="H9" t="n">
        <v>1768.05</v>
      </c>
      <c r="I9" t="n">
        <v>119</v>
      </c>
      <c r="J9" t="inlineStr">
        <is>
          <t>запускать: рынок держит ROI 25% и выше</t>
        </is>
      </c>
    </row>
    <row r="10">
      <c r="A10" t="n">
        <v>27</v>
      </c>
      <c r="B10" t="inlineStr">
        <is>
          <t>ELIZAVECCA - Hell-Pore Galactomyces Pure Ample / Сыворотка для лица с экстрактом галактомисиса</t>
        </is>
      </c>
      <c r="C10" t="n">
        <v>50</v>
      </c>
      <c r="D10" t="n">
        <v>447.64</v>
      </c>
      <c r="E10" t="inlineStr"/>
      <c r="F10" t="n">
        <v>1646.64</v>
      </c>
      <c r="G10" t="n">
        <v>1992.91</v>
      </c>
      <c r="H10" t="n">
        <v>2677.76</v>
      </c>
      <c r="I10" t="inlineStr"/>
      <c r="J10" t="inlineStr">
        <is>
          <t>нет цены конкурента: сверить по выдаче Маркета</t>
        </is>
      </c>
    </row>
    <row r="11">
      <c r="A11" t="n">
        <v>28</v>
      </c>
      <c r="B11" t="inlineStr">
        <is>
          <t>ELIZAVECCA - Milky Piggy EGF elastic retinol [100ml] / Антивозрастной крем для лица с ретинолом и EGF</t>
        </is>
      </c>
      <c r="C11" t="n">
        <v>235</v>
      </c>
      <c r="D11" t="n">
        <v>602.1799999999999</v>
      </c>
      <c r="E11" t="n">
        <v>1841</v>
      </c>
      <c r="F11" t="n">
        <v>2084.26</v>
      </c>
      <c r="G11" t="n">
        <v>2535.95</v>
      </c>
      <c r="H11" t="n">
        <v>3397.56</v>
      </c>
      <c r="I11" t="n">
        <v>88</v>
      </c>
      <c r="J11" t="inlineStr">
        <is>
          <t>не запускать на FBO по рыночной цене</t>
        </is>
      </c>
    </row>
    <row r="12">
      <c r="A12" t="n">
        <v>30</v>
      </c>
      <c r="B12" t="inlineStr">
        <is>
          <t>ENOUGH - Collagen Moisture Essential Cream [50ml] / Увлажняющий крем для лица с коллагеном</t>
        </is>
      </c>
      <c r="C12" t="n">
        <v>8266</v>
      </c>
      <c r="D12" t="n">
        <v>161.3</v>
      </c>
      <c r="E12" t="n">
        <v>424</v>
      </c>
      <c r="F12" t="n">
        <v>883.29</v>
      </c>
      <c r="G12" t="n">
        <v>1034.24</v>
      </c>
      <c r="H12" t="n">
        <v>1407.05</v>
      </c>
      <c r="I12" t="n">
        <v>48</v>
      </c>
      <c r="J12" t="inlineStr">
        <is>
          <t>не запускать на FBO по рыночной цене</t>
        </is>
      </c>
    </row>
    <row r="13">
      <c r="A13" t="n">
        <v>31</v>
      </c>
      <c r="B13" t="inlineStr">
        <is>
          <t>ENOUGH - Collagen Whitening Moisture Cream 3in1 [50g] / Антивозрастной отбеливающий крем с коллагеном</t>
        </is>
      </c>
      <c r="C13" t="n">
        <v>761</v>
      </c>
      <c r="D13" t="n">
        <v>183.88</v>
      </c>
      <c r="E13" t="n">
        <v>827</v>
      </c>
      <c r="F13" t="n">
        <v>944.9</v>
      </c>
      <c r="G13" t="n">
        <v>1111.25</v>
      </c>
      <c r="H13" t="n">
        <v>1509.13</v>
      </c>
      <c r="I13" t="n">
        <v>88</v>
      </c>
      <c r="J13" t="inlineStr">
        <is>
          <t>не запускать на FBO по рыночной цене</t>
        </is>
      </c>
    </row>
    <row r="14">
      <c r="A14" t="n">
        <v>32</v>
      </c>
      <c r="B14" t="inlineStr">
        <is>
          <t>ENOUGH - Collagen Moisture Foundation [Tone 13] / Тональный крем для лица с коллагеном 13 тон</t>
        </is>
      </c>
      <c r="C14" t="n">
        <v>1089</v>
      </c>
      <c r="D14" t="n">
        <v>216.45</v>
      </c>
      <c r="E14" t="n">
        <v>1980</v>
      </c>
      <c r="F14" t="n">
        <v>1029.25</v>
      </c>
      <c r="G14" t="n">
        <v>1217.82</v>
      </c>
      <c r="H14" t="n">
        <v>1650.39</v>
      </c>
      <c r="I14" t="n">
        <v>192</v>
      </c>
      <c r="J14" t="inlineStr">
        <is>
          <t>запускать: рынок держит ROI 25% и выше</t>
        </is>
      </c>
    </row>
    <row r="15">
      <c r="A15" t="n">
        <v>33</v>
      </c>
      <c r="B15" t="inlineStr">
        <is>
          <t>ENOUGH - Collagen Moisture Foundation [Tone 21] / Тональный крем для лица с коллагеном 21 тон</t>
        </is>
      </c>
      <c r="C15" t="n">
        <v>2275</v>
      </c>
      <c r="D15" t="n">
        <v>242.88</v>
      </c>
      <c r="E15" t="n">
        <v>1910</v>
      </c>
      <c r="F15" t="n">
        <v>1101.36</v>
      </c>
      <c r="G15" t="n">
        <v>1307.97</v>
      </c>
      <c r="H15" t="n">
        <v>1769.87</v>
      </c>
      <c r="I15" t="n">
        <v>173</v>
      </c>
      <c r="J15" t="inlineStr">
        <is>
          <t>запускать: рынок держит ROI 25% и выше</t>
        </is>
      </c>
    </row>
    <row r="16">
      <c r="A16" t="n">
        <v>34</v>
      </c>
      <c r="B16" t="inlineStr">
        <is>
          <t>ENOUGH - Gold Snail Moisture Foundation [Tone 13] / Тональный крем с муцином улитки 13 тон</t>
        </is>
      </c>
      <c r="C16" t="n">
        <v>95</v>
      </c>
      <c r="D16" t="n">
        <v>245.65</v>
      </c>
      <c r="E16" t="n">
        <v>1456</v>
      </c>
      <c r="F16" t="n">
        <v>1108.92</v>
      </c>
      <c r="G16" t="n">
        <v>1317.41</v>
      </c>
      <c r="H16" t="n">
        <v>1782.39</v>
      </c>
      <c r="I16" t="n">
        <v>131</v>
      </c>
      <c r="J16" t="inlineStr">
        <is>
          <t>запускать: рынок держит ROI 25% и выше</t>
        </is>
      </c>
    </row>
    <row r="17">
      <c r="A17" t="n">
        <v>35</v>
      </c>
      <c r="B17" t="inlineStr">
        <is>
          <t>ENOUGH - Gold Snail Moisture Foundation [Tone 21] / Тональный крем с муцином улитки 21 тон</t>
        </is>
      </c>
      <c r="C17" t="n">
        <v>101</v>
      </c>
      <c r="D17" t="n">
        <v>270.81</v>
      </c>
      <c r="E17" t="n">
        <v>1345</v>
      </c>
      <c r="F17" t="n">
        <v>1177.57</v>
      </c>
      <c r="G17" t="n">
        <v>1403.22</v>
      </c>
      <c r="H17" t="n">
        <v>1896.14</v>
      </c>
      <c r="I17" t="n">
        <v>114</v>
      </c>
      <c r="J17" t="inlineStr">
        <is>
          <t>маржа тонкая: держать ДРР ниже 15% или поднимать цену</t>
        </is>
      </c>
    </row>
    <row r="18">
      <c r="A18" t="n">
        <v>36</v>
      </c>
      <c r="B18" t="inlineStr">
        <is>
          <t>ENOUGH - Collagen 3in1 Whitening Moisture Foundation [Tone 13] / Тональный крем для лица с коллагеном 3в1 [13 тон]</t>
        </is>
      </c>
      <c r="C18" t="n">
        <v>247</v>
      </c>
      <c r="D18" t="n">
        <v>238.13</v>
      </c>
      <c r="E18" t="n">
        <v>1732</v>
      </c>
      <c r="F18" t="n">
        <v>1088.4</v>
      </c>
      <c r="G18" t="n">
        <v>1291.76</v>
      </c>
      <c r="H18" t="n">
        <v>1748.4</v>
      </c>
      <c r="I18" t="n">
        <v>159</v>
      </c>
      <c r="J18" t="inlineStr">
        <is>
          <t>запускать: рынок держит ROI 25% и выше</t>
        </is>
      </c>
    </row>
    <row r="19">
      <c r="A19" t="n">
        <v>37</v>
      </c>
      <c r="B19" t="inlineStr">
        <is>
          <t>ENOUGH - Collagen 3in1 Whitening Moisture Foundation [Tone 21] / Тональный крем для лица с коллагеном 3в1 [21 тон]</t>
        </is>
      </c>
      <c r="C19" t="n">
        <v>78</v>
      </c>
      <c r="D19" t="n">
        <v>223.35</v>
      </c>
      <c r="E19" t="n">
        <v>1038</v>
      </c>
      <c r="F19" t="n">
        <v>1048.07</v>
      </c>
      <c r="G19" t="n">
        <v>1241.36</v>
      </c>
      <c r="H19" t="n">
        <v>1681.58</v>
      </c>
      <c r="I19" t="n">
        <v>99</v>
      </c>
      <c r="J19" t="inlineStr">
        <is>
          <t>не запускать на FBO по рыночной цене</t>
        </is>
      </c>
    </row>
    <row r="20">
      <c r="A20" t="n">
        <v>38</v>
      </c>
      <c r="B20" t="inlineStr">
        <is>
          <t>ENOUGH - Premium 8 Peptide Full Cover Perfect Foundation [Tone 13] / Тональный крем с пептидами 13 тон</t>
        </is>
      </c>
      <c r="C20" t="n">
        <v>463</v>
      </c>
      <c r="D20" t="n">
        <v>335.9</v>
      </c>
      <c r="E20" t="n">
        <v>1330</v>
      </c>
      <c r="F20" t="n">
        <v>1355.17</v>
      </c>
      <c r="G20" t="n">
        <v>1625.22</v>
      </c>
      <c r="H20" t="n">
        <v>2190.39</v>
      </c>
      <c r="I20" t="n">
        <v>98</v>
      </c>
      <c r="J20" t="inlineStr">
        <is>
          <t>не запускать на FBO по рыночной цене</t>
        </is>
      </c>
    </row>
    <row r="21">
      <c r="A21" t="n">
        <v>39</v>
      </c>
      <c r="B21" t="inlineStr">
        <is>
          <t>ENOUGH - Premium 8 Peptide Full Cover Perfect Foundation [Tone 21] / Тональный крем с пептидами 21 тон</t>
        </is>
      </c>
      <c r="C21" t="n">
        <v>208</v>
      </c>
      <c r="D21" t="n">
        <v>304.77</v>
      </c>
      <c r="E21" t="n">
        <v>1330</v>
      </c>
      <c r="F21" t="n">
        <v>1270.23</v>
      </c>
      <c r="G21" t="n">
        <v>1519.05</v>
      </c>
      <c r="H21" t="n">
        <v>2049.66</v>
      </c>
      <c r="I21" t="n">
        <v>105</v>
      </c>
      <c r="J21" t="inlineStr">
        <is>
          <t>маржа тонкая: держать ДРР ниже 15% или поднимать цену</t>
        </is>
      </c>
    </row>
    <row r="22">
      <c r="A22" t="n">
        <v>40</v>
      </c>
      <c r="B22" t="inlineStr">
        <is>
          <t>ENOUGH Collagen whitening cover tip concealer #01 [9g]/Консилер для лица (основная карточка) 4.5 рейтинг</t>
        </is>
      </c>
      <c r="C22" t="n">
        <v>593</v>
      </c>
      <c r="D22" t="n">
        <v>183.24</v>
      </c>
      <c r="E22" t="inlineStr"/>
      <c r="F22" t="n">
        <v>902.51</v>
      </c>
      <c r="G22" t="n">
        <v>1068.43</v>
      </c>
      <c r="H22" t="n">
        <v>1452.37</v>
      </c>
      <c r="I22" t="inlineStr"/>
      <c r="J22" t="inlineStr">
        <is>
          <t>нет цены конкурента: сверить по выдаче Маркета</t>
        </is>
      </c>
    </row>
    <row r="23">
      <c r="A23" t="n">
        <v>41</v>
      </c>
      <c r="B23" t="inlineStr">
        <is>
          <t>ENOUGH Collagen whitening cover tip concealer #02 [9g]/Консилер для лица (основная карточка)</t>
        </is>
      </c>
      <c r="C23" t="n">
        <v>757</v>
      </c>
      <c r="D23" t="n">
        <v>183.24</v>
      </c>
      <c r="E23" t="inlineStr"/>
      <c r="F23" t="n">
        <v>902.51</v>
      </c>
      <c r="G23" t="n">
        <v>1068.43</v>
      </c>
      <c r="H23" t="n">
        <v>1452.37</v>
      </c>
      <c r="I23" t="inlineStr"/>
      <c r="J23" t="inlineStr">
        <is>
          <t>нет цены конкурента: сверить по выдаче Маркета</t>
        </is>
      </c>
    </row>
    <row r="24">
      <c r="A24" t="n">
        <v>42</v>
      </c>
      <c r="B24" t="inlineStr">
        <is>
          <t>ENOUGH Collagen whitening cover tip concealer #03 [9g]/ Консилер для лица (основаная карточка)</t>
        </is>
      </c>
      <c r="C24" t="n">
        <v>810</v>
      </c>
      <c r="D24" t="n">
        <v>183.24</v>
      </c>
      <c r="E24" t="inlineStr"/>
      <c r="F24" t="n">
        <v>902.51</v>
      </c>
      <c r="G24" t="n">
        <v>1068.43</v>
      </c>
      <c r="H24" t="n">
        <v>1452.37</v>
      </c>
      <c r="I24" t="inlineStr"/>
      <c r="J24" t="inlineStr">
        <is>
          <t>нет цены конкурента: сверить по выдаче Маркета</t>
        </is>
      </c>
    </row>
    <row r="25">
      <c r="A25" t="n">
        <v>43</v>
      </c>
      <c r="B25" t="inlineStr">
        <is>
          <t>ENOUGH - Collagen Moisture BB Cream SPF47 PA+++ [50ml] / Увлажняющий BB крем с коллагеном</t>
        </is>
      </c>
      <c r="C25" t="n">
        <v>722</v>
      </c>
      <c r="D25" t="n">
        <v>189.27</v>
      </c>
      <c r="E25" t="inlineStr"/>
      <c r="F25" t="n">
        <v>941.39</v>
      </c>
      <c r="G25" t="n">
        <v>1111.42</v>
      </c>
      <c r="H25" t="n">
        <v>1509.35</v>
      </c>
      <c r="I25" t="inlineStr"/>
      <c r="J25" t="inlineStr">
        <is>
          <t>нет цены конкурента: сверить по выдаче Маркета</t>
        </is>
      </c>
    </row>
    <row r="26">
      <c r="A26" t="n">
        <v>45</v>
      </c>
      <c r="B26" t="inlineStr">
        <is>
          <t>ETUDE - Baking Powder Crunch Pore Scrub [200ml] / Очищающий скраб для лица с содой</t>
        </is>
      </c>
      <c r="C26" t="n">
        <v>7910</v>
      </c>
      <c r="D26" t="n">
        <v>361.03</v>
      </c>
      <c r="E26" t="n">
        <v>1730</v>
      </c>
      <c r="F26" t="n">
        <v>1254.81</v>
      </c>
      <c r="G26" t="n">
        <v>1507.53</v>
      </c>
      <c r="H26" t="n">
        <v>1953.7</v>
      </c>
      <c r="I26" t="n">
        <v>138</v>
      </c>
      <c r="J26" t="inlineStr">
        <is>
          <t>запускать: рынок держит ROI 25% и выше</t>
        </is>
      </c>
    </row>
    <row r="27">
      <c r="A27" t="n">
        <v>46</v>
      </c>
      <c r="B27" t="inlineStr">
        <is>
          <t>ETUDE - Baking Powder BB Deep Cleansing Foam [160ml] / Пенка с содой для глубокого очищения и снятия макияжа</t>
        </is>
      </c>
      <c r="C27" t="n">
        <v>228</v>
      </c>
      <c r="D27" t="n">
        <v>292.89</v>
      </c>
      <c r="E27" t="n">
        <v>1870</v>
      </c>
      <c r="F27" t="n">
        <v>1146.25</v>
      </c>
      <c r="G27" t="n">
        <v>1368.75</v>
      </c>
      <c r="H27" t="n">
        <v>1803.29</v>
      </c>
      <c r="I27" t="n">
        <v>163</v>
      </c>
      <c r="J27" t="inlineStr">
        <is>
          <t>запускать: рынок держит ROI 25% и выше</t>
        </is>
      </c>
    </row>
    <row r="28">
      <c r="A28" t="n">
        <v>47</v>
      </c>
      <c r="B28" t="inlineStr">
        <is>
          <t>ETUDE - Baking Powder Crunch Pore Scrub [24*7ml] / Очищающий скраб для лица с содой</t>
        </is>
      </c>
      <c r="C28" t="n">
        <v>221</v>
      </c>
      <c r="D28" t="n">
        <v>389.99</v>
      </c>
      <c r="E28" t="n">
        <v>1900</v>
      </c>
      <c r="F28" t="n">
        <v>1528.35</v>
      </c>
      <c r="G28" t="n">
        <v>1835.3</v>
      </c>
      <c r="H28" t="n">
        <v>2468.85</v>
      </c>
      <c r="I28" t="n">
        <v>124</v>
      </c>
      <c r="J28" t="inlineStr">
        <is>
          <t>запускать: рынок держит ROI 25% и выше</t>
        </is>
      </c>
    </row>
    <row r="29">
      <c r="A29" t="n">
        <v>49</v>
      </c>
      <c r="B29" t="inlineStr">
        <is>
          <t>FARMSTAY COLLAGEN&amp;HYALURONIC ACID ALL-IN ONE</t>
        </is>
      </c>
      <c r="C29" t="n">
        <v>6611</v>
      </c>
      <c r="D29" t="n">
        <v>347.76</v>
      </c>
      <c r="E29" t="n">
        <v>3850</v>
      </c>
      <c r="F29" t="n">
        <v>1393.63</v>
      </c>
      <c r="G29" t="n">
        <v>1671.77</v>
      </c>
      <c r="H29" t="n">
        <v>2252.09</v>
      </c>
      <c r="I29" t="n">
        <v>276</v>
      </c>
      <c r="J29" t="inlineStr">
        <is>
          <t>запускать: рынок держит ROI 25% и выше</t>
        </is>
      </c>
    </row>
    <row r="30">
      <c r="A30" t="n">
        <v>50</v>
      </c>
      <c r="B30" t="inlineStr">
        <is>
          <t>FARMSTAY - Black Garlic Nourishing Shampoo [530ml] / Шампунь-кондиционер 2в1 с экстрактом черного чеснока</t>
        </is>
      </c>
      <c r="C30" t="n">
        <v>3360</v>
      </c>
      <c r="D30" t="n">
        <v>396.72</v>
      </c>
      <c r="E30" t="n">
        <v>2156</v>
      </c>
      <c r="F30" t="n">
        <v>1566.16</v>
      </c>
      <c r="G30" t="n">
        <v>1877.7</v>
      </c>
      <c r="H30" t="n">
        <v>2525.05</v>
      </c>
      <c r="I30" t="n">
        <v>138</v>
      </c>
      <c r="J30" t="inlineStr">
        <is>
          <t>запускать: рынок держит ROI 25% и выше</t>
        </is>
      </c>
    </row>
    <row r="31">
      <c r="A31" t="n">
        <v>51</v>
      </c>
      <c r="B31" t="inlineStr">
        <is>
          <t>FARMSTAY - Gold Snail Premium Cream [50ml] / Омолаживающий крем с муцином улитки и коллоидным золотом</t>
        </is>
      </c>
      <c r="C31" t="n">
        <v>1104</v>
      </c>
      <c r="D31" t="n">
        <v>431.05</v>
      </c>
      <c r="E31" t="inlineStr"/>
      <c r="F31" t="n">
        <v>1619.44</v>
      </c>
      <c r="G31" t="n">
        <v>1954.4</v>
      </c>
      <c r="H31" t="n">
        <v>2626.72</v>
      </c>
      <c r="I31" t="inlineStr"/>
      <c r="J31" t="inlineStr">
        <is>
          <t>нет цены конкурента: сверить по выдаче Маркета</t>
        </is>
      </c>
    </row>
    <row r="32">
      <c r="A32" t="n">
        <v>52</v>
      </c>
      <c r="B32" t="inlineStr">
        <is>
          <t>FARMSTAY - Escargot Noblesse Intensive Cream [50g] / Крем с муцином королевской улитки</t>
        </is>
      </c>
      <c r="C32" t="n">
        <v>964</v>
      </c>
      <c r="D32" t="n">
        <v>313.84</v>
      </c>
      <c r="E32" t="n">
        <v>3070</v>
      </c>
      <c r="F32" t="n">
        <v>1301.47</v>
      </c>
      <c r="G32" t="n">
        <v>1556.48</v>
      </c>
      <c r="H32" t="n">
        <v>2099.27</v>
      </c>
      <c r="I32" t="n">
        <v>236</v>
      </c>
      <c r="J32" t="inlineStr">
        <is>
          <t>запускать: рынок держит ROI 25% и выше</t>
        </is>
      </c>
    </row>
    <row r="33">
      <c r="A33" t="n">
        <v>53</v>
      </c>
      <c r="B33" t="inlineStr">
        <is>
          <t xml:space="preserve">FARMSTAY ESCARGOT NOBLESSE INTENSIVE AMPOULE/ сыворотка с улиткой </t>
        </is>
      </c>
      <c r="C33" t="n">
        <v>1021</v>
      </c>
      <c r="D33" t="n">
        <v>390.46</v>
      </c>
      <c r="E33" t="n">
        <v>3820</v>
      </c>
      <c r="F33" t="n">
        <v>1510.53</v>
      </c>
      <c r="G33" t="n">
        <v>1817.8</v>
      </c>
      <c r="H33" t="n">
        <v>2445.66</v>
      </c>
      <c r="I33" t="n">
        <v>253</v>
      </c>
      <c r="J33" t="inlineStr">
        <is>
          <t>запускать: рынок держит ROI 25% и выше</t>
        </is>
      </c>
    </row>
    <row r="34">
      <c r="A34" t="n">
        <v>54</v>
      </c>
      <c r="B34" t="inlineStr">
        <is>
          <t>FARMSTAY - Argan Oil Complete Volume Up Shampoo &amp; Conditioner [530ml] / Шампунь-кондиционер с аргановым маслом</t>
        </is>
      </c>
      <c r="C34" t="n">
        <v>2535</v>
      </c>
      <c r="D34" t="n">
        <v>400.76</v>
      </c>
      <c r="E34" t="n">
        <v>2000</v>
      </c>
      <c r="F34" t="n">
        <v>1568.29</v>
      </c>
      <c r="G34" t="n">
        <v>1882.59</v>
      </c>
      <c r="H34" t="n">
        <v>2531.53</v>
      </c>
      <c r="I34" t="n">
        <v>128</v>
      </c>
      <c r="J34" t="inlineStr">
        <is>
          <t>запускать: рынок держит ROI 25% и выше</t>
        </is>
      </c>
    </row>
    <row r="35">
      <c r="A35" t="n">
        <v>55</v>
      </c>
      <c r="B35" t="inlineStr">
        <is>
          <t>FARMSTAY - Collagen Water Full Shampoo &amp; Conditioner [530ml] / Шампунь-кондиционер 2в1 с коллагеном</t>
        </is>
      </c>
      <c r="C35" t="n">
        <v>3679</v>
      </c>
      <c r="D35" t="n">
        <v>396.72</v>
      </c>
      <c r="E35" t="n">
        <v>2128</v>
      </c>
      <c r="F35" t="n">
        <v>1557.27</v>
      </c>
      <c r="G35" t="n">
        <v>1868.81</v>
      </c>
      <c r="H35" t="n">
        <v>2513.27</v>
      </c>
      <c r="I35" t="n">
        <v>137</v>
      </c>
      <c r="J35" t="inlineStr">
        <is>
          <t>запускать: рынок держит ROI 25% и выше</t>
        </is>
      </c>
    </row>
    <row r="36">
      <c r="A36" t="n">
        <v>56</v>
      </c>
      <c r="B36" t="inlineStr">
        <is>
          <t>FARMSTAY - Collagen Water Full Moist Rolling Eye Serum [25ml] / Сыворотка роллер для глаз</t>
        </is>
      </c>
      <c r="C36" t="n">
        <v>484</v>
      </c>
      <c r="D36" t="n">
        <v>231.73</v>
      </c>
      <c r="E36" t="n">
        <v>2145</v>
      </c>
      <c r="F36" t="n">
        <v>1056.39</v>
      </c>
      <c r="G36" t="n">
        <v>1255.39</v>
      </c>
      <c r="H36" t="n">
        <v>1700.18</v>
      </c>
      <c r="I36" t="n">
        <v>203</v>
      </c>
      <c r="J36" t="inlineStr">
        <is>
          <t>запускать: рынок держит ROI 25% и выше</t>
        </is>
      </c>
    </row>
    <row r="37">
      <c r="A37" t="n">
        <v>57</v>
      </c>
      <c r="B37" t="inlineStr">
        <is>
          <t>FARMSTAY - Collagen Water Full Moist Cream [100g] / Увлажняющий крем с коллагеном</t>
        </is>
      </c>
      <c r="C37" t="n">
        <v>287</v>
      </c>
      <c r="D37" t="n">
        <v>484.42</v>
      </c>
      <c r="E37" t="n">
        <v>4300</v>
      </c>
      <c r="F37" t="n">
        <v>1762.81</v>
      </c>
      <c r="G37" t="n">
        <v>2134.17</v>
      </c>
      <c r="H37" t="n">
        <v>2865</v>
      </c>
      <c r="I37" t="n">
        <v>244</v>
      </c>
      <c r="J37" t="inlineStr">
        <is>
          <t>запускать: рынок держит ROI 25% и выше</t>
        </is>
      </c>
    </row>
    <row r="38">
      <c r="A38" t="n">
        <v>58</v>
      </c>
      <c r="B38" t="inlineStr">
        <is>
          <t xml:space="preserve">FARMSTAY - Collagen Pure Cleansing Foam [180ml]/Пенка для умывания </t>
        </is>
      </c>
      <c r="C38" t="n">
        <v>515</v>
      </c>
      <c r="D38" t="n">
        <v>161.47</v>
      </c>
      <c r="E38" t="n">
        <v>1100</v>
      </c>
      <c r="F38" t="n">
        <v>881.63</v>
      </c>
      <c r="G38" t="n">
        <v>1032.7</v>
      </c>
      <c r="H38" t="n">
        <v>1405.01</v>
      </c>
      <c r="I38" t="n">
        <v>125</v>
      </c>
      <c r="J38" t="inlineStr">
        <is>
          <t>запускать: рынок держит ROI 25% и выше</t>
        </is>
      </c>
    </row>
    <row r="39">
      <c r="A39" t="n">
        <v>60</v>
      </c>
      <c r="B39" t="inlineStr">
        <is>
          <t>HEIMISH - Artless Glow Base SPF50+ PA+++(Renew) [40ml] / База под макияж SPF50+ PA+++</t>
        </is>
      </c>
      <c r="C39" t="n">
        <v>1025</v>
      </c>
      <c r="D39" t="n">
        <v>770.48</v>
      </c>
      <c r="E39" t="n">
        <v>2980</v>
      </c>
      <c r="F39" t="n">
        <v>2203.61</v>
      </c>
      <c r="G39" t="n">
        <v>2702.1</v>
      </c>
      <c r="H39" t="n">
        <v>3477.56</v>
      </c>
      <c r="I39" t="n">
        <v>135</v>
      </c>
      <c r="J39" t="inlineStr">
        <is>
          <t>запускать: рынок держит ROI 25% и выше</t>
        </is>
      </c>
    </row>
    <row r="40">
      <c r="A40" t="n">
        <v>63</v>
      </c>
      <c r="B40" t="inlineStr">
        <is>
          <t>JIGOTT - Snail Lifting Cream [70ml] / Крем для лица увлажняющий антивозрастной</t>
        </is>
      </c>
      <c r="C40" t="n">
        <v>7668</v>
      </c>
      <c r="D40" t="n">
        <v>202.27</v>
      </c>
      <c r="E40" t="n">
        <v>980</v>
      </c>
      <c r="F40" t="n">
        <v>990.84</v>
      </c>
      <c r="G40" t="n">
        <v>1169.74</v>
      </c>
      <c r="H40" t="n">
        <v>1586.66</v>
      </c>
      <c r="I40" t="n">
        <v>99</v>
      </c>
      <c r="J40" t="inlineStr">
        <is>
          <t>не запускать на FBO по рыночной цене</t>
        </is>
      </c>
    </row>
    <row r="41">
      <c r="A41" t="n">
        <v>64</v>
      </c>
      <c r="B41" t="inlineStr">
        <is>
          <t>JIGOTT - Snail Reparing Cream [100ml] / Крем для лица увлажняющий антивозрастной с муцином улитки</t>
        </is>
      </c>
      <c r="C41" t="n">
        <v>1241</v>
      </c>
      <c r="D41" t="n">
        <v>185.86</v>
      </c>
      <c r="E41" t="n">
        <v>1030</v>
      </c>
      <c r="F41" t="n">
        <v>948.1799999999999</v>
      </c>
      <c r="G41" t="n">
        <v>1115.89</v>
      </c>
      <c r="H41" t="n">
        <v>1515.28</v>
      </c>
      <c r="I41" t="n">
        <v>109</v>
      </c>
      <c r="J41" t="inlineStr">
        <is>
          <t>маржа тонкая: держать ДРР ниже 15% или поднимать цену</t>
        </is>
      </c>
    </row>
    <row r="42">
      <c r="A42" t="n">
        <v>65</v>
      </c>
      <c r="B42" t="inlineStr">
        <is>
          <t>JIGOTT - Birds Nest Firming Cream [70ml] / Антивозрастной крем с экстрактом ласточкиного гнезда</t>
        </is>
      </c>
      <c r="C42" t="n">
        <v>1814</v>
      </c>
      <c r="D42" t="n">
        <v>202.27</v>
      </c>
      <c r="E42" t="n">
        <v>1040</v>
      </c>
      <c r="F42" t="n">
        <v>990.84</v>
      </c>
      <c r="G42" t="n">
        <v>1169.74</v>
      </c>
      <c r="H42" t="n">
        <v>1586.66</v>
      </c>
      <c r="I42" t="n">
        <v>105</v>
      </c>
      <c r="J42" t="inlineStr">
        <is>
          <t>маржа тонкая: держать ДРР ниже 15% или поднимать цену</t>
        </is>
      </c>
    </row>
    <row r="43">
      <c r="A43" t="n">
        <v>67</v>
      </c>
      <c r="B43" t="inlineStr">
        <is>
          <t>JIGOTT - Ассорти набор масок [27ml х 15]</t>
        </is>
      </c>
      <c r="C43" t="n">
        <v>1350</v>
      </c>
      <c r="D43" t="n">
        <v>334.05</v>
      </c>
      <c r="E43" t="inlineStr"/>
      <c r="F43" t="n">
        <v>1391.07</v>
      </c>
      <c r="G43" t="n">
        <v>1659.86</v>
      </c>
      <c r="H43" t="n">
        <v>2236.31</v>
      </c>
      <c r="I43" t="inlineStr"/>
      <c r="J43" t="inlineStr">
        <is>
          <t>нет цены конкурента: сверить по выдаче Маркета</t>
        </is>
      </c>
    </row>
    <row r="44">
      <c r="A44" t="n">
        <v>69</v>
      </c>
      <c r="B44" t="inlineStr">
        <is>
          <t>JIGOTT - Ultimate Real Collagen Toner [300ml] / тонер с коллагеном антивозрастной</t>
        </is>
      </c>
      <c r="C44" t="n">
        <v>1296</v>
      </c>
      <c r="D44" t="n">
        <v>265.36</v>
      </c>
      <c r="E44" t="n">
        <v>1140</v>
      </c>
      <c r="F44" t="n">
        <v>1170.18</v>
      </c>
      <c r="G44" t="n">
        <v>1392.12</v>
      </c>
      <c r="H44" t="n">
        <v>1881.41</v>
      </c>
      <c r="I44" t="n">
        <v>97</v>
      </c>
      <c r="J44" t="inlineStr">
        <is>
          <t>не запускать на FBO по рыночной цене</t>
        </is>
      </c>
    </row>
    <row r="45">
      <c r="A45" t="n">
        <v>70</v>
      </c>
      <c r="B45" t="inlineStr">
        <is>
          <t>JIGOTT - Daily Real Cica Toner [300ml] / Тонер для лица с центеллой азиатской</t>
        </is>
      </c>
      <c r="C45" t="n">
        <v>1468</v>
      </c>
      <c r="D45" t="n">
        <v>265.36</v>
      </c>
      <c r="E45" t="n">
        <v>1140</v>
      </c>
      <c r="F45" t="n">
        <v>1170.18</v>
      </c>
      <c r="G45" t="n">
        <v>1392.12</v>
      </c>
      <c r="H45" t="n">
        <v>1881.41</v>
      </c>
      <c r="I45" t="n">
        <v>97</v>
      </c>
      <c r="J45" t="inlineStr">
        <is>
          <t>не запускать на FBO по рыночной цене</t>
        </is>
      </c>
    </row>
    <row r="46">
      <c r="A46" t="n">
        <v>71</v>
      </c>
      <c r="B46" t="inlineStr">
        <is>
          <t>JIGOTT - Aura Secret Hyaluronec Acid Toner [300ml] / Тонер с гиалуроновой кислотой антивозрастной</t>
        </is>
      </c>
      <c r="C46" t="n">
        <v>424</v>
      </c>
      <c r="D46" t="n">
        <v>265.36</v>
      </c>
      <c r="E46" t="n">
        <v>975</v>
      </c>
      <c r="F46" t="n">
        <v>1170.18</v>
      </c>
      <c r="G46" t="n">
        <v>1392.12</v>
      </c>
      <c r="H46" t="n">
        <v>1881.41</v>
      </c>
      <c r="I46" t="n">
        <v>83</v>
      </c>
      <c r="J46" t="inlineStr">
        <is>
          <t>не запускать на FBO по рыночной цене</t>
        </is>
      </c>
    </row>
    <row r="47">
      <c r="A47" t="n">
        <v>72</v>
      </c>
      <c r="B47" t="inlineStr">
        <is>
          <t>JIGOTT - Moisture Real Aloe Vera Toner [300ml] / Тонер для лица увлажняющий с экстрактом алоэ</t>
        </is>
      </c>
      <c r="C47" t="n">
        <v>356</v>
      </c>
      <c r="D47" t="n">
        <v>265.36</v>
      </c>
      <c r="E47" t="n">
        <v>1100</v>
      </c>
      <c r="F47" t="n">
        <v>1170.18</v>
      </c>
      <c r="G47" t="n">
        <v>1392.12</v>
      </c>
      <c r="H47" t="n">
        <v>1881.41</v>
      </c>
      <c r="I47" t="n">
        <v>94</v>
      </c>
      <c r="J47" t="inlineStr">
        <is>
          <t>не запускать на FBO по рыночной цене</t>
        </is>
      </c>
    </row>
    <row r="48">
      <c r="A48" t="n">
        <v>74</v>
      </c>
      <c r="B48" t="inlineStr">
        <is>
          <t>JMSOLUTION - MASK PACK BLACK [30ml*10ea] - ассорти набор 10шт в упаковке</t>
        </is>
      </c>
      <c r="C48" t="n">
        <v>1039</v>
      </c>
      <c r="D48" t="n">
        <v>463.2</v>
      </c>
      <c r="E48" t="n">
        <v>2340</v>
      </c>
      <c r="F48" t="n">
        <v>1729.51</v>
      </c>
      <c r="G48" t="n">
        <v>2086.4</v>
      </c>
      <c r="H48" t="n">
        <v>2801.69</v>
      </c>
      <c r="I48" t="n">
        <v>135</v>
      </c>
      <c r="J48" t="inlineStr">
        <is>
          <t>запускать: рынок держит ROI 25% и выше</t>
        </is>
      </c>
    </row>
    <row r="49">
      <c r="A49" t="n">
        <v>76</v>
      </c>
      <c r="B49" t="inlineStr">
        <is>
          <t>JMSOLUTION - MASK PACK DISNEY [30ml*10ea] - ассорти набор из 10шт</t>
        </is>
      </c>
      <c r="C49" t="n">
        <v>835</v>
      </c>
      <c r="D49" t="n">
        <v>463.2</v>
      </c>
      <c r="E49" t="inlineStr"/>
      <c r="F49" t="n">
        <v>1729.51</v>
      </c>
      <c r="G49" t="n">
        <v>2086.4</v>
      </c>
      <c r="H49" t="n">
        <v>2801.69</v>
      </c>
      <c r="I49" t="inlineStr"/>
      <c r="J49" t="inlineStr">
        <is>
          <t>нет цены конкурента: сверить по выдаче Маркета</t>
        </is>
      </c>
    </row>
    <row r="50">
      <c r="A50" t="n">
        <v>78</v>
      </c>
      <c r="B50" t="inlineStr">
        <is>
          <t>LEBELAGE - Dr. Peptide Derma Eye Cream [40ml] / Крем для глаз антивозрастной с пептидами</t>
        </is>
      </c>
      <c r="C50" t="n">
        <v>410</v>
      </c>
      <c r="D50" t="n">
        <v>108.15</v>
      </c>
      <c r="E50" t="n">
        <v>667</v>
      </c>
      <c r="F50" t="n">
        <v>719.91</v>
      </c>
      <c r="G50" t="n">
        <v>834.61</v>
      </c>
      <c r="H50" t="n">
        <v>1142.44</v>
      </c>
      <c r="I50" t="n">
        <v>93</v>
      </c>
      <c r="J50" t="inlineStr">
        <is>
          <t>не запускать на FBO по рыночной цене</t>
        </is>
      </c>
    </row>
    <row r="51">
      <c r="A51" t="n">
        <v>80</v>
      </c>
      <c r="B51" t="inlineStr">
        <is>
          <t>LANEIGE LIP SLEEPING MASK-BERRY [3g]</t>
        </is>
      </c>
      <c r="C51" t="n">
        <v>341</v>
      </c>
      <c r="D51" t="n">
        <v>130.86</v>
      </c>
      <c r="E51" t="n">
        <v>1470</v>
      </c>
      <c r="F51" t="n">
        <v>759.88</v>
      </c>
      <c r="G51" t="n">
        <v>890.0700000000001</v>
      </c>
      <c r="H51" t="n">
        <v>1215.95</v>
      </c>
      <c r="I51" t="n">
        <v>193</v>
      </c>
      <c r="J51" t="inlineStr">
        <is>
          <t>запускать: рынок держит ROI 25% и выше</t>
        </is>
      </c>
    </row>
    <row r="52">
      <c r="A52" t="n">
        <v>82</v>
      </c>
      <c r="B52" t="inlineStr">
        <is>
          <t>MANYO - Bifida Biome Complex Ampoule [50ml] / Антивозрастная сыворотка для лица</t>
        </is>
      </c>
      <c r="C52" t="n">
        <v>1473</v>
      </c>
      <c r="D52" t="n">
        <v>899.78</v>
      </c>
      <c r="E52" t="n">
        <v>5800</v>
      </c>
      <c r="F52" t="n">
        <v>2262.88</v>
      </c>
      <c r="G52" t="n">
        <v>2777.23</v>
      </c>
      <c r="H52" t="n">
        <v>3467.67</v>
      </c>
      <c r="I52" t="n">
        <v>256</v>
      </c>
      <c r="J52" t="inlineStr">
        <is>
          <t>запускать: рынок держит ROI 25% и выше</t>
        </is>
      </c>
    </row>
    <row r="53">
      <c r="A53" t="n">
        <v>83</v>
      </c>
      <c r="B53" t="inlineStr">
        <is>
          <t>MANYO - Galac Whitening Vita Serum [50ml] / Осветляющая сыворотка с Витамином C</t>
        </is>
      </c>
      <c r="C53" t="n">
        <v>854</v>
      </c>
      <c r="D53" t="n">
        <v>646.83</v>
      </c>
      <c r="E53" t="n">
        <v>4000</v>
      </c>
      <c r="F53" t="n">
        <v>1702.92</v>
      </c>
      <c r="G53" t="n">
        <v>2081.72</v>
      </c>
      <c r="H53" t="n">
        <v>2605.9</v>
      </c>
      <c r="I53" t="n">
        <v>235</v>
      </c>
      <c r="J53" t="inlineStr">
        <is>
          <t>запускать: рынок держит ROI 25% и выше</t>
        </is>
      </c>
    </row>
    <row r="54">
      <c r="A54" t="n">
        <v>84</v>
      </c>
      <c r="B54" t="inlineStr">
        <is>
          <t>MANYO - Bifida Biome Ampoule Lotion [300ml] / Укрепляющий лосьон с бифидобактериями</t>
        </is>
      </c>
      <c r="C54" t="n">
        <v>756</v>
      </c>
      <c r="D54" t="n">
        <v>735.34</v>
      </c>
      <c r="E54" t="n">
        <v>4000</v>
      </c>
      <c r="F54" t="n">
        <v>1923.25</v>
      </c>
      <c r="G54" t="n">
        <v>2349.48</v>
      </c>
      <c r="H54" t="n">
        <v>2937.66</v>
      </c>
      <c r="I54" t="n">
        <v>208</v>
      </c>
      <c r="J54" t="inlineStr">
        <is>
          <t>запускать: рынок держит ROI 25% и выше</t>
        </is>
      </c>
    </row>
    <row r="55">
      <c r="A55" t="n">
        <v>85</v>
      </c>
      <c r="B55" t="inlineStr">
        <is>
          <t>MANYO - Pure Cleansing Oil [200ml] / Гидрофильное масло для глубокого очищения</t>
        </is>
      </c>
      <c r="C55" t="n">
        <v>243</v>
      </c>
      <c r="D55" t="n">
        <v>853</v>
      </c>
      <c r="E55" t="n">
        <v>4000</v>
      </c>
      <c r="F55" t="n">
        <v>2174.25</v>
      </c>
      <c r="G55" t="n">
        <v>2663.53</v>
      </c>
      <c r="H55" t="n">
        <v>3326.79</v>
      </c>
      <c r="I55" t="n">
        <v>184</v>
      </c>
      <c r="J55" t="inlineStr">
        <is>
          <t>запускать: рынок держит ROI 25% и выше</t>
        </is>
      </c>
    </row>
    <row r="56">
      <c r="A56" t="n">
        <v>86</v>
      </c>
      <c r="B56" t="inlineStr">
        <is>
          <t>MANYO BIFIDA COMPLEX AMPOULE GEL CLEANSER [400ml] / Гель для умывания с бифидобактериями</t>
        </is>
      </c>
      <c r="C56" t="n">
        <v>814</v>
      </c>
      <c r="D56" t="n">
        <v>650</v>
      </c>
      <c r="E56" t="n">
        <v>4800</v>
      </c>
      <c r="F56" t="n">
        <v>1762.74</v>
      </c>
      <c r="G56" t="n">
        <v>2143.23</v>
      </c>
      <c r="H56" t="n">
        <v>2682.11</v>
      </c>
      <c r="I56" t="n">
        <v>272</v>
      </c>
      <c r="J56" t="inlineStr">
        <is>
          <t>запускать: рынок держит ROI 25% и выше</t>
        </is>
      </c>
    </row>
    <row r="57">
      <c r="A57" t="n">
        <v>87</v>
      </c>
      <c r="B57" t="inlineStr">
        <is>
          <t>MANYO BIFIDA INFUSION SHOT AMPOULE 1DX [50ml] / Сыворотка с микроиглами и пробиотиками</t>
        </is>
      </c>
      <c r="C57" t="n">
        <v>786</v>
      </c>
      <c r="D57" t="n">
        <v>899.78</v>
      </c>
      <c r="E57" t="n">
        <v>3800</v>
      </c>
      <c r="F57" t="n">
        <v>2262.88</v>
      </c>
      <c r="G57" t="n">
        <v>2777.23</v>
      </c>
      <c r="H57" t="n">
        <v>3467.67</v>
      </c>
      <c r="I57" t="n">
        <v>168</v>
      </c>
      <c r="J57" t="inlineStr">
        <is>
          <t>запускать: рынок держит ROI 25% и выше</t>
        </is>
      </c>
    </row>
    <row r="58">
      <c r="A58" t="n">
        <v>89</v>
      </c>
      <c r="B58" t="inlineStr">
        <is>
          <t>MASIL - 8 Seconds Salon Hair Mask 350ml Set [350ml+8ml*2]</t>
        </is>
      </c>
      <c r="C58" t="n">
        <v>119</v>
      </c>
      <c r="D58" t="n">
        <v>669.05</v>
      </c>
      <c r="E58" t="inlineStr"/>
      <c r="F58" t="n">
        <v>2290.47</v>
      </c>
      <c r="G58" t="n">
        <v>2787.78</v>
      </c>
      <c r="H58" t="n">
        <v>3731.36</v>
      </c>
      <c r="I58" t="inlineStr"/>
      <c r="J58" t="inlineStr">
        <is>
          <t>нет цены конкурента: сверить по выдаче Маркета</t>
        </is>
      </c>
    </row>
    <row r="59">
      <c r="A59" t="n">
        <v>91</v>
      </c>
      <c r="B59" t="inlineStr">
        <is>
          <t>PETITFEE - Collagen &amp; CoQ10 Hydrogel Eye Patch [60ea] / Гидрогелевые патчи для глаз с коллагеном и коэнзимом Q10</t>
        </is>
      </c>
      <c r="C59" t="n">
        <v>1008</v>
      </c>
      <c r="D59" t="n">
        <v>385.05</v>
      </c>
      <c r="E59" t="n">
        <v>1818</v>
      </c>
      <c r="F59" t="n">
        <v>1492.1</v>
      </c>
      <c r="G59" t="n">
        <v>1795.68</v>
      </c>
      <c r="H59" t="n">
        <v>2416.33</v>
      </c>
      <c r="I59" t="n">
        <v>122</v>
      </c>
      <c r="J59" t="inlineStr">
        <is>
          <t>запускать: рынок держит ROI 25% и выше</t>
        </is>
      </c>
    </row>
    <row r="60">
      <c r="A60" t="n">
        <v>92</v>
      </c>
      <c r="B60" t="inlineStr">
        <is>
          <t>PETITFEE - Bera Glucan Deep Firming Eye Patch [60ea] / Тканевые патчи для век увлажняющие</t>
        </is>
      </c>
      <c r="C60" t="n">
        <v>587</v>
      </c>
      <c r="D60" t="n">
        <v>486.69</v>
      </c>
      <c r="E60" t="inlineStr"/>
      <c r="F60" t="n">
        <v>1774.08</v>
      </c>
      <c r="G60" t="n">
        <v>2146.99</v>
      </c>
      <c r="H60" t="n">
        <v>2882</v>
      </c>
      <c r="I60" t="inlineStr"/>
      <c r="J60" t="inlineStr">
        <is>
          <t>нет цены конкурента: сверить по выдаче Маркета</t>
        </is>
      </c>
    </row>
    <row r="61">
      <c r="A61" t="n">
        <v>93</v>
      </c>
      <c r="B61" t="inlineStr">
        <is>
          <t>PETITFEE - Artichoke Soothing Hydrogel Eye Patch [60ea] / Смягчающие гидрогелевые патчи для глаз с экстрактом артишока</t>
        </is>
      </c>
      <c r="C61" t="n">
        <v>300</v>
      </c>
      <c r="D61" t="n">
        <v>415.46</v>
      </c>
      <c r="E61" t="inlineStr"/>
      <c r="F61" t="n">
        <v>1575.07</v>
      </c>
      <c r="G61" t="n">
        <v>1899.4</v>
      </c>
      <c r="H61" t="n">
        <v>2553.81</v>
      </c>
      <c r="I61" t="inlineStr"/>
      <c r="J61" t="inlineStr">
        <is>
          <t>нет цены конкурента: сверить по выдаче Маркета</t>
        </is>
      </c>
    </row>
    <row r="62">
      <c r="A62" t="n">
        <v>94</v>
      </c>
      <c r="B62" t="inlineStr">
        <is>
          <t>PETITFEE - Aura Quartz Hydrogel Eye Patch [60ea]</t>
        </is>
      </c>
      <c r="C62" t="n">
        <v>95</v>
      </c>
      <c r="D62" t="n">
        <v>591.29</v>
      </c>
      <c r="E62" t="inlineStr"/>
      <c r="F62" t="n">
        <v>2059.48</v>
      </c>
      <c r="G62" t="n">
        <v>2503.75</v>
      </c>
      <c r="H62" t="n">
        <v>3354.88</v>
      </c>
      <c r="I62" t="inlineStr"/>
      <c r="J62" t="inlineStr">
        <is>
          <t>нет цены конкурента: сверить по выдаче Маркета</t>
        </is>
      </c>
    </row>
    <row r="63">
      <c r="A63" t="n">
        <v>95</v>
      </c>
      <c r="B63" t="inlineStr">
        <is>
          <t>PETITFEE - Cacao Energizing Hydrogel Eye Patch [60ea] / Тонизирующие гидрогелевые патчи для глаз с экстрактом какао</t>
        </is>
      </c>
      <c r="C63" t="n">
        <v>713</v>
      </c>
      <c r="D63" t="n">
        <v>415.46</v>
      </c>
      <c r="E63" t="inlineStr"/>
      <c r="F63" t="n">
        <v>1575.07</v>
      </c>
      <c r="G63" t="n">
        <v>1899.4</v>
      </c>
      <c r="H63" t="n">
        <v>2553.81</v>
      </c>
      <c r="I63" t="inlineStr"/>
      <c r="J63" t="inlineStr">
        <is>
          <t>нет цены конкурента: сверить по выдаче Маркета</t>
        </is>
      </c>
    </row>
    <row r="64">
      <c r="A64" t="n">
        <v>96</v>
      </c>
      <c r="B64" t="inlineStr">
        <is>
          <t>PETITFEE - Chamomile Lightening Hydrogel Eye Patch [60ea] / Успокаивающие гидрогелевые патчи для глаз с экстрактом ромашки</t>
        </is>
      </c>
      <c r="C64" t="n">
        <v>288</v>
      </c>
      <c r="D64" t="n">
        <v>415.46</v>
      </c>
      <c r="E64" t="inlineStr"/>
      <c r="F64" t="n">
        <v>1575.07</v>
      </c>
      <c r="G64" t="n">
        <v>1899.4</v>
      </c>
      <c r="H64" t="n">
        <v>2553.81</v>
      </c>
      <c r="I64" t="inlineStr"/>
      <c r="J64" t="inlineStr">
        <is>
          <t>нет цены конкурента: сверить по выдаче Маркета</t>
        </is>
      </c>
    </row>
    <row r="65">
      <c r="A65" t="n">
        <v>97</v>
      </c>
      <c r="B65" t="inlineStr">
        <is>
          <t>PETITFEE - Gold &amp; EGF Hydrogel Eye &amp; Spot Patch [60ea]/ гидрогелевые патчи с золотом и EGF</t>
        </is>
      </c>
      <c r="C65" t="n">
        <v>72</v>
      </c>
      <c r="D65" t="n">
        <v>385.05</v>
      </c>
      <c r="E65" t="inlineStr"/>
      <c r="F65" t="n">
        <v>1492.1</v>
      </c>
      <c r="G65" t="n">
        <v>1795.68</v>
      </c>
      <c r="H65" t="n">
        <v>2416.33</v>
      </c>
      <c r="I65" t="inlineStr"/>
      <c r="J65" t="inlineStr">
        <is>
          <t>нет цены конкурента: сверить по выдаче Маркета</t>
        </is>
      </c>
    </row>
    <row r="66">
      <c r="A66" t="n">
        <v>98</v>
      </c>
      <c r="B66" t="inlineStr">
        <is>
          <t>PETITFEE - Pink Vita Brightening Eye Patch [60ea] / Тканевые патчи для век увлажняющие</t>
        </is>
      </c>
      <c r="C66" t="n">
        <v>267</v>
      </c>
      <c r="D66" t="n">
        <v>486.69</v>
      </c>
      <c r="E66" t="inlineStr"/>
      <c r="F66" t="n">
        <v>1774.08</v>
      </c>
      <c r="G66" t="n">
        <v>2146.99</v>
      </c>
      <c r="H66" t="n">
        <v>2882</v>
      </c>
      <c r="I66" t="inlineStr"/>
      <c r="J66" t="inlineStr">
        <is>
          <t>нет цены конкурента: сверить по выдаче Маркета</t>
        </is>
      </c>
    </row>
    <row r="67">
      <c r="A67" t="n">
        <v>99</v>
      </c>
      <c r="B67" t="inlineStr">
        <is>
          <t>PETITFEE - Black Pearl &amp; Gold Hydrogel Eye Patch [60ea] / Гидрогелевые патчи для глаз с черным жемчугом и золотом</t>
        </is>
      </c>
      <c r="C67" t="n">
        <v>909</v>
      </c>
      <c r="D67" t="n">
        <v>387.67</v>
      </c>
      <c r="E67" t="n">
        <v>1780</v>
      </c>
      <c r="F67" t="n">
        <v>1499.25</v>
      </c>
      <c r="G67" t="n">
        <v>1804.61</v>
      </c>
      <c r="H67" t="n">
        <v>2428.18</v>
      </c>
      <c r="I67" t="n">
        <v>119</v>
      </c>
      <c r="J67" t="inlineStr">
        <is>
          <t>маржа тонкая: держать ДРР ниже 15% или поднимать цену</t>
        </is>
      </c>
    </row>
    <row r="68">
      <c r="A68" t="n">
        <v>100</v>
      </c>
      <c r="B68" t="inlineStr">
        <is>
          <t>PETITFEE - Agave Cooling Hydrogel Eye Patch [60ea] / Охлаждающие гидрогелевые патчи для глаз с экстрактом агавы</t>
        </is>
      </c>
      <c r="C68" t="n">
        <v>933</v>
      </c>
      <c r="D68" t="n">
        <v>415.46</v>
      </c>
      <c r="E68" t="n">
        <v>1730</v>
      </c>
      <c r="F68" t="n">
        <v>1575.07</v>
      </c>
      <c r="G68" t="n">
        <v>1899.4</v>
      </c>
      <c r="H68" t="n">
        <v>2553.81</v>
      </c>
      <c r="I68" t="n">
        <v>110</v>
      </c>
      <c r="J68" t="inlineStr">
        <is>
          <t>маржа тонкая: держать ДРР ниже 15% или поднимать цену</t>
        </is>
      </c>
    </row>
    <row r="69">
      <c r="A69" t="n">
        <v>101</v>
      </c>
      <c r="B69" t="inlineStr">
        <is>
          <t>PETITFEE - Gold &amp; Snail Hydrogel Eye Patch [60ea] / Гидрогелевые патчи для глаз с золотом и улиткой</t>
        </is>
      </c>
      <c r="C69" t="n">
        <v>909</v>
      </c>
      <c r="D69" t="n">
        <v>415.46</v>
      </c>
      <c r="E69" t="n">
        <v>1740</v>
      </c>
      <c r="F69" t="n">
        <v>1575.07</v>
      </c>
      <c r="G69" t="n">
        <v>1899.4</v>
      </c>
      <c r="H69" t="n">
        <v>2553.81</v>
      </c>
      <c r="I69" t="n">
        <v>110</v>
      </c>
      <c r="J69" t="inlineStr">
        <is>
          <t>маржа тонкая: держать ДРР ниже 15% или поднимать цену</t>
        </is>
      </c>
    </row>
    <row r="70">
      <c r="A70" t="n">
        <v>102</v>
      </c>
      <c r="B70" t="inlineStr">
        <is>
          <t>PETITFEE - Gold Hydrogel Eye Patch [60ea] / гидрогелевые патчи для глаз с золотом</t>
        </is>
      </c>
      <c r="C70" t="n">
        <v>700</v>
      </c>
      <c r="D70" t="n">
        <v>415.46</v>
      </c>
      <c r="E70" t="n">
        <v>1930</v>
      </c>
      <c r="F70" t="n">
        <v>1575.07</v>
      </c>
      <c r="G70" t="n">
        <v>1899.4</v>
      </c>
      <c r="H70" t="n">
        <v>2553.81</v>
      </c>
      <c r="I70" t="n">
        <v>123</v>
      </c>
      <c r="J70" t="inlineStr">
        <is>
          <t>запускать: рынок держит ROI 25% и выше</t>
        </is>
      </c>
    </row>
    <row r="71">
      <c r="A71" t="n">
        <v>103</v>
      </c>
      <c r="B71" t="inlineStr">
        <is>
          <t>PETITFEE - Black Pearl &amp; Gold Hydrogel Eye Patch [1 pairs]/ Гидрогелевые патчи для глаз с черным жемчугом и золотом 1 пара</t>
        </is>
      </c>
      <c r="C71" t="n">
        <v>320</v>
      </c>
      <c r="D71" t="n">
        <v>71.23999999999999</v>
      </c>
      <c r="E71" t="inlineStr"/>
      <c r="F71" t="n">
        <v>595.08</v>
      </c>
      <c r="G71" t="n">
        <v>684.61</v>
      </c>
      <c r="H71" t="n">
        <v>943.61</v>
      </c>
      <c r="I71" t="inlineStr"/>
      <c r="J71" t="inlineStr">
        <is>
          <t>нет цены конкурента: сверить по выдаче Маркета</t>
        </is>
      </c>
    </row>
    <row r="72">
      <c r="A72" t="n">
        <v>104</v>
      </c>
      <c r="B72" t="inlineStr">
        <is>
          <t>PETITFEE - Gold Hydrogel Eye Patch [1 Pairs] / гидрогелевые патчи для глаз с золотом 1 пара</t>
        </is>
      </c>
      <c r="C72" t="n">
        <v>428</v>
      </c>
      <c r="D72" t="n">
        <v>71.23999999999999</v>
      </c>
      <c r="E72" t="inlineStr"/>
      <c r="F72" t="n">
        <v>595.08</v>
      </c>
      <c r="G72" t="n">
        <v>684.61</v>
      </c>
      <c r="H72" t="n">
        <v>943.61</v>
      </c>
      <c r="I72" t="inlineStr"/>
      <c r="J72" t="inlineStr">
        <is>
          <t>нет цены конкурента: сверить по выдаче Маркета</t>
        </is>
      </c>
    </row>
    <row r="73">
      <c r="A73" t="n">
        <v>106</v>
      </c>
      <c r="B73" t="inlineStr">
        <is>
          <t>PETITFEE - Agave Cooling Hydrogel Face Mask [5pcs] / Охлаждающая гидрогелевая маска для лица с экстрактом агавы</t>
        </is>
      </c>
      <c r="C73" t="n">
        <v>951</v>
      </c>
      <c r="D73" t="n">
        <v>486.41</v>
      </c>
      <c r="E73" t="n">
        <v>2480</v>
      </c>
      <c r="F73" t="n">
        <v>1790.72</v>
      </c>
      <c r="G73" t="n">
        <v>2163.45</v>
      </c>
      <c r="H73" t="n">
        <v>2903.81</v>
      </c>
      <c r="I73" t="n">
        <v>138</v>
      </c>
      <c r="J73" t="inlineStr">
        <is>
          <t>запускать: рынок держит ROI 25% и выше</t>
        </is>
      </c>
    </row>
    <row r="74">
      <c r="A74" t="n">
        <v>107</v>
      </c>
      <c r="B74" t="inlineStr">
        <is>
          <t>PETITFEE - Gold Hydrogel Mask Pack [5pcs] / Гидрогелевая маска для лица с золотом</t>
        </is>
      </c>
      <c r="C74" t="n">
        <v>734</v>
      </c>
      <c r="D74" t="n">
        <v>507.16</v>
      </c>
      <c r="E74" t="n">
        <v>2570</v>
      </c>
      <c r="F74" t="n">
        <v>1847.34</v>
      </c>
      <c r="G74" t="n">
        <v>2234.22</v>
      </c>
      <c r="H74" t="n">
        <v>2997.61</v>
      </c>
      <c r="I74" t="n">
        <v>139</v>
      </c>
      <c r="J74" t="inlineStr">
        <is>
          <t>запускать: рынок держит ROI 25% и выше</t>
        </is>
      </c>
    </row>
    <row r="75">
      <c r="A75" t="n">
        <v>108</v>
      </c>
      <c r="B75" t="inlineStr">
        <is>
          <t>PETITFEE - Cacao Energizing Hydrogel Mask Pack [5pcs] / Тонизирующая гидрогелевая маска для лица с экстрактом какао</t>
        </is>
      </c>
      <c r="C75" t="n">
        <v>619</v>
      </c>
      <c r="D75" t="n">
        <v>496.86</v>
      </c>
      <c r="E75" t="n">
        <v>2680</v>
      </c>
      <c r="F75" t="n">
        <v>1819.24</v>
      </c>
      <c r="G75" t="n">
        <v>2199.09</v>
      </c>
      <c r="H75" t="n">
        <v>2951.05</v>
      </c>
      <c r="I75" t="n">
        <v>147</v>
      </c>
      <c r="J75" t="inlineStr">
        <is>
          <t>запускать: рынок держит ROI 25% и выше</t>
        </is>
      </c>
    </row>
    <row r="76">
      <c r="A76" t="n">
        <v>109</v>
      </c>
      <c r="B76" t="inlineStr">
        <is>
          <t>PETITFEE - Artichoke Soothing Hydrogel Face Mask [5pcs] / Смягчающая гидрогелевая маска для лица с экстрактом артишока</t>
        </is>
      </c>
      <c r="C76" t="n">
        <v>542</v>
      </c>
      <c r="D76" t="n">
        <v>498.54</v>
      </c>
      <c r="E76" t="n">
        <v>2420</v>
      </c>
      <c r="F76" t="n">
        <v>1823.82</v>
      </c>
      <c r="G76" t="n">
        <v>2204.82</v>
      </c>
      <c r="H76" t="n">
        <v>2958.64</v>
      </c>
      <c r="I76" t="n">
        <v>133</v>
      </c>
      <c r="J76" t="inlineStr">
        <is>
          <t>запускать: рынок держит ROI 25% и выше</t>
        </is>
      </c>
    </row>
    <row r="77">
      <c r="A77" t="n">
        <v>110</v>
      </c>
      <c r="B77" t="inlineStr">
        <is>
          <t>PETITFEE - Gold &amp; Snail Hydrogel Mask Pack [5pcs] / Гидрогелевая маска для лица с золотом и экстрактом улитки</t>
        </is>
      </c>
      <c r="C77" t="n">
        <v>453</v>
      </c>
      <c r="D77" t="n">
        <v>478.17</v>
      </c>
      <c r="E77" t="n">
        <v>2280</v>
      </c>
      <c r="F77" t="n">
        <v>1768.24</v>
      </c>
      <c r="G77" t="n">
        <v>2135.34</v>
      </c>
      <c r="H77" t="n">
        <v>2866.56</v>
      </c>
      <c r="I77" t="n">
        <v>129</v>
      </c>
      <c r="J77" t="inlineStr">
        <is>
          <t>запускать: рынок держит ROI 25% и выше</t>
        </is>
      </c>
    </row>
    <row r="78">
      <c r="A78" t="n">
        <v>111</v>
      </c>
      <c r="B78" t="inlineStr">
        <is>
          <t>PETITFEE - Black Pearl &amp; Gold Hydrogel Mask Pack [5pcs] / Гидрогелевая маска для лица с черным жемчугом и золотом</t>
        </is>
      </c>
      <c r="C78" t="n">
        <v>543</v>
      </c>
      <c r="D78" t="n">
        <v>478.05</v>
      </c>
      <c r="E78" t="n">
        <v>2225</v>
      </c>
      <c r="F78" t="n">
        <v>1767.91</v>
      </c>
      <c r="G78" t="n">
        <v>2134.93</v>
      </c>
      <c r="H78" t="n">
        <v>2866.01</v>
      </c>
      <c r="I78" t="n">
        <v>126</v>
      </c>
      <c r="J78" t="inlineStr">
        <is>
          <t>запускать: рынок держит ROI 25% и выше</t>
        </is>
      </c>
    </row>
    <row r="79">
      <c r="A79" t="n">
        <v>113</v>
      </c>
      <c r="B79" t="inlineStr">
        <is>
          <t>ROUND LAB 1025 DOKDO CLEANSER_150ml</t>
        </is>
      </c>
      <c r="C79" t="n">
        <v>7158</v>
      </c>
      <c r="D79" t="n">
        <v>463.19</v>
      </c>
      <c r="E79" t="n">
        <v>2335</v>
      </c>
      <c r="F79" t="n">
        <v>1735.91</v>
      </c>
      <c r="G79" t="n">
        <v>2092.79</v>
      </c>
      <c r="H79" t="n">
        <v>2810.16</v>
      </c>
      <c r="I79" t="n">
        <v>135</v>
      </c>
      <c r="J79" t="inlineStr">
        <is>
          <t>запускать: рынок держит ROI 25% и выше</t>
        </is>
      </c>
    </row>
    <row r="80">
      <c r="A80" t="n">
        <v>114</v>
      </c>
      <c r="B80" t="inlineStr">
        <is>
          <t>ROUND LAB BIRCH JUICE MOISTURIZING CREAM_80ml -Увлажняющий крем с березовым соком</t>
        </is>
      </c>
      <c r="C80" t="n">
        <v>260</v>
      </c>
      <c r="D80" t="n">
        <v>1092.96</v>
      </c>
      <c r="E80" t="inlineStr"/>
      <c r="F80" t="n">
        <v>3408.81</v>
      </c>
      <c r="G80" t="n">
        <v>4195.28</v>
      </c>
      <c r="H80" t="n">
        <v>5597</v>
      </c>
      <c r="I80" t="inlineStr"/>
      <c r="J80" t="inlineStr">
        <is>
          <t>нет цены конкурента: сверить по выдаче Маркета</t>
        </is>
      </c>
    </row>
    <row r="81">
      <c r="A81" t="n">
        <v>115</v>
      </c>
      <c r="B81" t="inlineStr">
        <is>
          <t>ROUND LAB MUGWORT CALMING CLEANSER_150ml - Очищающая пенка для умывания лица от прыщей и акне</t>
        </is>
      </c>
      <c r="C81" t="n">
        <v>1422</v>
      </c>
      <c r="D81" t="n">
        <v>512.3200000000001</v>
      </c>
      <c r="E81" t="inlineStr"/>
      <c r="F81" t="n">
        <v>1842.18</v>
      </c>
      <c r="G81" t="n">
        <v>2232.57</v>
      </c>
      <c r="H81" t="n">
        <v>2995.44</v>
      </c>
      <c r="I81" t="inlineStr"/>
      <c r="J81" t="inlineStr">
        <is>
          <t>нет цены конкурента: сверить по выдаче Маркета</t>
        </is>
      </c>
    </row>
    <row r="82">
      <c r="A82" t="n">
        <v>116</v>
      </c>
      <c r="B82" t="inlineStr">
        <is>
          <t>ROUND LAB SOYBEAN PANTHENOL CREAM_80ml - Крем для лица с чёрной соей и пантенолом успокаивающий</t>
        </is>
      </c>
      <c r="C82" t="n">
        <v>150</v>
      </c>
      <c r="D82" t="n">
        <v>1161.41</v>
      </c>
      <c r="E82" t="inlineStr"/>
      <c r="F82" t="n">
        <v>3595.58</v>
      </c>
      <c r="G82" t="n">
        <v>4428.74</v>
      </c>
      <c r="H82" t="n">
        <v>5906.44</v>
      </c>
      <c r="I82" t="inlineStr"/>
      <c r="J82" t="inlineStr">
        <is>
          <t>нет цены конкурента: сверить по выдаче Маркета</t>
        </is>
      </c>
    </row>
    <row r="83">
      <c r="A83" t="n">
        <v>117</v>
      </c>
      <c r="B83" t="inlineStr">
        <is>
          <t>ROUND LAB PINE CALMING CICA AMPOULE_30ml - Сыворотка для жирной кожи лица увлажняющая с центеллой</t>
        </is>
      </c>
      <c r="C83" t="n">
        <v>37</v>
      </c>
      <c r="D83" t="n">
        <v>819.72</v>
      </c>
      <c r="E83" t="inlineStr"/>
      <c r="F83" t="n">
        <v>2662.99</v>
      </c>
      <c r="G83" t="n">
        <v>3263.07</v>
      </c>
      <c r="H83" t="n">
        <v>4361.36</v>
      </c>
      <c r="I83" t="inlineStr"/>
      <c r="J83" t="inlineStr">
        <is>
          <t>нет цены конкурента: сверить по выдаче Маркета</t>
        </is>
      </c>
    </row>
    <row r="84">
      <c r="A84" t="n">
        <v>118</v>
      </c>
      <c r="B84" t="inlineStr">
        <is>
          <t>ROUND LAB 1025 DOKDO TONER_200ml</t>
        </is>
      </c>
      <c r="C84" t="n">
        <v>998</v>
      </c>
      <c r="D84" t="n">
        <v>463.19</v>
      </c>
      <c r="E84" t="n">
        <v>3400</v>
      </c>
      <c r="F84" t="n">
        <v>1735.91</v>
      </c>
      <c r="G84" t="n">
        <v>2092.79</v>
      </c>
      <c r="H84" t="n">
        <v>2810.16</v>
      </c>
      <c r="I84" t="n">
        <v>196</v>
      </c>
      <c r="J84" t="inlineStr">
        <is>
          <t>запускать: рынок держит ROI 25% и выше</t>
        </is>
      </c>
    </row>
    <row r="85">
      <c r="A85" t="n">
        <v>120</v>
      </c>
      <c r="B85" t="inlineStr">
        <is>
          <t>SKIN1004 - Madagascar Centella Ampoule [30ml] / Сыворотка для лица успокаивающая из экстракта центеллы.</t>
        </is>
      </c>
      <c r="C85" t="n">
        <v>30</v>
      </c>
      <c r="D85" t="n">
        <v>367.89</v>
      </c>
      <c r="E85" t="inlineStr"/>
      <c r="F85" t="n">
        <v>1430.17</v>
      </c>
      <c r="G85" t="n">
        <v>1722.04</v>
      </c>
      <c r="H85" t="n">
        <v>2318.73</v>
      </c>
      <c r="I85" t="inlineStr"/>
      <c r="J85" t="inlineStr">
        <is>
          <t>нет цены конкурента: сверить по выдаче Маркета</t>
        </is>
      </c>
    </row>
    <row r="86">
      <c r="A86" t="n">
        <v>121</v>
      </c>
      <c r="B86" t="inlineStr">
        <is>
          <t>SKIN1004 - Madagascar Centella Hyalu-Cica Sleeping Pack [30ml] / Увлажняющая гиалуроновая ночная маска для сухой кожи</t>
        </is>
      </c>
      <c r="C86" t="n">
        <v>22</v>
      </c>
      <c r="D86" t="n">
        <v>294.15</v>
      </c>
      <c r="E86" t="inlineStr"/>
      <c r="F86" t="n">
        <v>1228.97</v>
      </c>
      <c r="G86" t="n">
        <v>1470.54</v>
      </c>
      <c r="H86" t="n">
        <v>1985.36</v>
      </c>
      <c r="I86" t="inlineStr"/>
      <c r="J86" t="inlineStr">
        <is>
          <t>нет цены конкурента: сверить по выдаче Маркета</t>
        </is>
      </c>
    </row>
    <row r="87">
      <c r="A87" t="n">
        <v>123</v>
      </c>
      <c r="B87" t="inlineStr">
        <is>
          <t>SOME BY MI - AHA-BHA-PHA 30 Days Miracle Cleansing Bar [106g] / Мыло для проблемной кожи с aha bha кислотами</t>
        </is>
      </c>
      <c r="C87" t="n">
        <v>527</v>
      </c>
      <c r="D87" t="n">
        <v>549.71</v>
      </c>
      <c r="E87" t="inlineStr"/>
      <c r="F87" t="n">
        <v>1925.13</v>
      </c>
      <c r="G87" t="n">
        <v>2341.04</v>
      </c>
      <c r="H87" t="n">
        <v>3139.2</v>
      </c>
      <c r="I87" t="inlineStr"/>
      <c r="J87" t="inlineStr">
        <is>
          <t>нет цены конкурента: сверить по выдаче Маркета</t>
        </is>
      </c>
    </row>
    <row r="88">
      <c r="A88" t="n">
        <v>124</v>
      </c>
      <c r="B88" t="inlineStr">
        <is>
          <t>SOME BY MI - AHA-BHA-PHA 30 Days Miracle Cream [60g] / Крем для лица</t>
        </is>
      </c>
      <c r="C88" t="n">
        <v>55</v>
      </c>
      <c r="D88" t="n">
        <v>1057.2</v>
      </c>
      <c r="E88" t="inlineStr"/>
      <c r="F88" t="n">
        <v>3311.24</v>
      </c>
      <c r="G88" t="n">
        <v>4073.31</v>
      </c>
      <c r="H88" t="n">
        <v>5435.33</v>
      </c>
      <c r="I88" t="inlineStr"/>
      <c r="J88" t="inlineStr">
        <is>
          <t>нет цены конкурента: сверить по выдаче Маркета</t>
        </is>
      </c>
    </row>
    <row r="89">
      <c r="A89" t="n">
        <v>126</v>
      </c>
      <c r="B89" t="inlineStr">
        <is>
          <t>THE ORDINARY - Argireline Solution 10% [30ml] / Сыворотка для лица от прыщей и акне с ниацинамидом 10 %</t>
        </is>
      </c>
      <c r="C89" t="n">
        <v>117</v>
      </c>
      <c r="D89" t="n">
        <v>722.04</v>
      </c>
      <c r="E89" t="inlineStr"/>
      <c r="F89" t="n">
        <v>2396.47</v>
      </c>
      <c r="G89" t="n">
        <v>2929.92</v>
      </c>
      <c r="H89" t="n">
        <v>3919.77</v>
      </c>
      <c r="I89" t="inlineStr"/>
      <c r="J89" t="inlineStr">
        <is>
          <t>нет цены конкурента: сверить по выдаче Маркета</t>
        </is>
      </c>
    </row>
    <row r="90">
      <c r="A90" t="n">
        <v>127</v>
      </c>
      <c r="B90" t="inlineStr">
        <is>
          <t>THE ORDINARY - Glycolic Acid 7% Toning Solution [KOR] [240ml] / Тоник с гликолевой кислотой 7%</t>
        </is>
      </c>
      <c r="C90" t="n">
        <v>32</v>
      </c>
      <c r="D90" t="n">
        <v>845.49</v>
      </c>
      <c r="E90" t="inlineStr"/>
      <c r="F90" t="n">
        <v>2750.32</v>
      </c>
      <c r="G90" t="n">
        <v>3367.98</v>
      </c>
      <c r="H90" t="n">
        <v>4500.41</v>
      </c>
      <c r="I90" t="inlineStr"/>
      <c r="J90" t="inlineStr">
        <is>
          <t>нет цены конкурента: сверить по выдаче Маркета</t>
        </is>
      </c>
    </row>
    <row r="91">
      <c r="A91" t="n">
        <v>129</v>
      </c>
      <c r="B91" t="inlineStr">
        <is>
          <t>Celimax Dual Barrier Creamy Toner</t>
        </is>
      </c>
      <c r="C91" t="n">
        <v>4929</v>
      </c>
      <c r="D91" t="n">
        <v>663.86</v>
      </c>
      <c r="E91" t="n">
        <v>2600</v>
      </c>
      <c r="F91" t="n">
        <v>2254.74</v>
      </c>
      <c r="G91" t="n">
        <v>2748.51</v>
      </c>
      <c r="H91" t="n">
        <v>3679.3</v>
      </c>
      <c r="I91" t="n">
        <v>115</v>
      </c>
      <c r="J91" t="inlineStr">
        <is>
          <t>маржа тонкая: держать ДРР ниже 15% или поднимать цену</t>
        </is>
      </c>
    </row>
    <row r="92">
      <c r="A92" t="n">
        <v>130</v>
      </c>
      <c r="B92" t="inlineStr">
        <is>
          <t>CELIMAX THE VITA-A RETINAL SHOT TIGHTENING BOOSTER [15ml]/Подтягивающий бустер-крем с ретинолом для лица</t>
        </is>
      </c>
      <c r="C92" t="n">
        <v>9768</v>
      </c>
      <c r="D92" t="n">
        <v>512.1799999999999</v>
      </c>
      <c r="E92" t="n">
        <v>2250</v>
      </c>
      <c r="F92" t="n">
        <v>1800.03</v>
      </c>
      <c r="G92" t="n">
        <v>2190.33</v>
      </c>
      <c r="H92" t="n">
        <v>2939.44</v>
      </c>
      <c r="I92" t="n">
        <v>125</v>
      </c>
      <c r="J92" t="inlineStr">
        <is>
          <t>запускать: рынок держит ROI 25% и выше</t>
        </is>
      </c>
    </row>
    <row r="93">
      <c r="A93" t="n">
        <v>131</v>
      </c>
      <c r="B93" t="inlineStr">
        <is>
          <t>CELIMAX THE VITA-A RETINOL SHOT TIGHTENING SERUM [30ml]/Сыворотка с ретинолом и микроиглами для лица</t>
        </is>
      </c>
      <c r="C93" t="n">
        <v>3564</v>
      </c>
      <c r="D93" t="n">
        <v>532.1</v>
      </c>
      <c r="E93" t="n">
        <v>2450</v>
      </c>
      <c r="F93" t="n">
        <v>1878.21</v>
      </c>
      <c r="G93" t="n">
        <v>2282.1</v>
      </c>
      <c r="H93" t="n">
        <v>3061.09</v>
      </c>
      <c r="I93" t="n">
        <v>130</v>
      </c>
      <c r="J93" t="inlineStr">
        <is>
          <t>запускать: рынок держит ROI 25% и выше</t>
        </is>
      </c>
    </row>
    <row r="94">
      <c r="A94" t="n">
        <v>132</v>
      </c>
      <c r="B94" t="inlineStr">
        <is>
          <t>CELIMAX JI WOO GAE CICA BHA BLEMISH TONER PAD_10EA [30ml]/успокаивающие тонер-пэды</t>
        </is>
      </c>
      <c r="C94" t="n">
        <v>1696</v>
      </c>
      <c r="D94" t="n">
        <v>96.94</v>
      </c>
      <c r="E94" t="n">
        <v>775</v>
      </c>
      <c r="F94" t="n">
        <v>666.48</v>
      </c>
      <c r="G94" t="n">
        <v>773.53</v>
      </c>
      <c r="H94" t="n">
        <v>1061.48</v>
      </c>
      <c r="I94" t="n">
        <v>116</v>
      </c>
      <c r="J94" t="inlineStr">
        <is>
          <t>запускать: рынок держит ROI 25% и выше</t>
        </is>
      </c>
    </row>
    <row r="95">
      <c r="A95" t="n">
        <v>133</v>
      </c>
      <c r="B95" t="inlineStr">
        <is>
          <t>CELIMAX PORE+DARK SPOT BRIGHTENING CREAM [35ml]/Крем для выравнивания тона и рельефа кожи лица</t>
        </is>
      </c>
      <c r="C95" t="n">
        <v>99</v>
      </c>
      <c r="D95" t="n">
        <v>623.4299999999999</v>
      </c>
      <c r="E95" t="inlineStr"/>
      <c r="F95" t="n">
        <v>2127.41</v>
      </c>
      <c r="G95" t="n">
        <v>2593.6</v>
      </c>
      <c r="H95" t="n">
        <v>3473.97</v>
      </c>
      <c r="I95" t="inlineStr"/>
      <c r="J95" t="inlineStr">
        <is>
          <t>нет цены конкурента: сверить по выдаче Маркета</t>
        </is>
      </c>
    </row>
    <row r="96">
      <c r="A96" t="n">
        <v>134</v>
      </c>
      <c r="B96" t="inlineStr">
        <is>
          <t>CELIMAX DUAL BARRIER SKIN WEARABLE CREAM [50ml]/Крем для восстановления защитного барьера кожи лица</t>
        </is>
      </c>
      <c r="C96" t="n">
        <v>446</v>
      </c>
      <c r="D96" t="n">
        <v>864.11</v>
      </c>
      <c r="E96" t="inlineStr"/>
      <c r="F96" t="n">
        <v>2797.81</v>
      </c>
      <c r="G96" t="n">
        <v>3428.17</v>
      </c>
      <c r="H96" t="n">
        <v>4580.2</v>
      </c>
      <c r="I96" t="inlineStr"/>
      <c r="J96" t="inlineStr">
        <is>
          <t>нет цены конкурента: сверить по выдаче Маркета</t>
        </is>
      </c>
    </row>
    <row r="97">
      <c r="A97" t="n">
        <v>135</v>
      </c>
      <c r="B97" t="inlineStr">
        <is>
          <t>CELIMAX JI WOO GAE CICA BHA BLEMISH TONER PAD [170ml / 60pads]/Тонер-пэды от воспалений</t>
        </is>
      </c>
      <c r="C97" t="n">
        <v>1620</v>
      </c>
      <c r="D97" t="n">
        <v>707.88</v>
      </c>
      <c r="E97" t="n">
        <v>3450</v>
      </c>
      <c r="F97" t="n">
        <v>2378.02</v>
      </c>
      <c r="G97" t="n">
        <v>2901.82</v>
      </c>
      <c r="H97" t="n">
        <v>3882.52</v>
      </c>
      <c r="I97" t="n">
        <v>145</v>
      </c>
      <c r="J97" t="inlineStr">
        <is>
          <t>запускать: рынок держит ROI 25% и выше</t>
        </is>
      </c>
    </row>
    <row r="98">
      <c r="A98" t="n">
        <v>136</v>
      </c>
      <c r="B98" t="inlineStr">
        <is>
          <t>CELIMAX THE REAL NONI ENERGY AMPOULE_30ML (NEW) [30ml]/Восстанавливающая сыворотка с экстрактом нони для лица</t>
        </is>
      </c>
      <c r="C98" t="n">
        <v>62</v>
      </c>
      <c r="D98" t="n">
        <v>763.83</v>
      </c>
      <c r="E98" t="inlineStr"/>
      <c r="F98" t="n">
        <v>2510.49</v>
      </c>
      <c r="G98" t="n">
        <v>3072.45</v>
      </c>
      <c r="H98" t="n">
        <v>4108.69</v>
      </c>
      <c r="I98" t="inlineStr"/>
      <c r="J98" t="inlineStr">
        <is>
          <t>нет цены конкурента: сверить по выдаче Маркета</t>
        </is>
      </c>
    </row>
    <row r="99">
      <c r="A99" t="n">
        <v>137</v>
      </c>
      <c r="B99" t="inlineStr">
        <is>
          <t>CELIMAX PORE+DARK SPOT BRIGHTENING PAD [100ml / 40pads]/Тонер-пэды для выравнивания тона и рельефа кожи</t>
        </is>
      </c>
      <c r="C99" t="n">
        <v>1795</v>
      </c>
      <c r="D99" t="n">
        <v>556.1799999999999</v>
      </c>
      <c r="E99" t="n">
        <v>2880</v>
      </c>
      <c r="F99" t="n">
        <v>1958.6</v>
      </c>
      <c r="G99" t="n">
        <v>2378.92</v>
      </c>
      <c r="H99" t="n">
        <v>3189.42</v>
      </c>
      <c r="I99" t="n">
        <v>147</v>
      </c>
      <c r="J99" t="inlineStr">
        <is>
          <t>запускать: рынок держит ROI 25% и выше</t>
        </is>
      </c>
    </row>
    <row r="100">
      <c r="A100" t="n">
        <v>138</v>
      </c>
      <c r="B100" t="inlineStr">
        <is>
          <t>CELIMAX PORE+DARK SPOT BRIGHTENING SERUM_30ml [30ml]/Сыворотка для выравнивания тона и рельефа кожи лица</t>
        </is>
      </c>
      <c r="C100" t="n">
        <v>124</v>
      </c>
      <c r="D100" t="n">
        <v>687.58</v>
      </c>
      <c r="E100" t="inlineStr"/>
      <c r="F100" t="n">
        <v>2302.44</v>
      </c>
      <c r="G100" t="n">
        <v>2812.39</v>
      </c>
      <c r="H100" t="n">
        <v>3763.98</v>
      </c>
      <c r="I100" t="inlineStr"/>
      <c r="J100" t="inlineStr">
        <is>
          <t>нет цены конкурента: сверить по выдаче Маркета</t>
        </is>
      </c>
    </row>
    <row r="101">
      <c r="A101" t="n">
        <v>139</v>
      </c>
      <c r="B101" t="inlineStr">
        <is>
          <t>CELIMAX THE REAL NONI MOISTURE BALANCING TONER (NEW) [150ml]/Восстанавливающий тонер с экстрактом нони</t>
        </is>
      </c>
      <c r="C101" t="n">
        <v>194</v>
      </c>
      <c r="D101" t="n">
        <v>719.58</v>
      </c>
      <c r="E101" t="inlineStr"/>
      <c r="F101" t="n">
        <v>2406.77</v>
      </c>
      <c r="G101" t="n">
        <v>2938.55</v>
      </c>
      <c r="H101" t="n">
        <v>3931.2</v>
      </c>
      <c r="I101" t="inlineStr"/>
      <c r="J101" t="inlineStr">
        <is>
          <t>нет цены конкурента: сверить по выдаче Маркета</t>
        </is>
      </c>
    </row>
    <row r="102">
      <c r="A102" t="n">
        <v>141</v>
      </c>
      <c r="B102" t="inlineStr">
        <is>
          <t>VT PDRN ESSENCE 100 / Укрепляющая бустер-эссенция с ПДРН</t>
        </is>
      </c>
      <c r="C102" t="n">
        <v>1071</v>
      </c>
      <c r="D102" t="n">
        <v>1335.95</v>
      </c>
      <c r="E102" t="n">
        <v>6000</v>
      </c>
      <c r="F102" t="n">
        <v>4070.4</v>
      </c>
      <c r="G102" t="n">
        <v>5022.62</v>
      </c>
      <c r="H102" t="n">
        <v>6693.63</v>
      </c>
      <c r="I102" t="n">
        <v>147</v>
      </c>
      <c r="J102" t="inlineStr">
        <is>
          <t>запускать: рынок держит ROI 25% и выше</t>
        </is>
      </c>
    </row>
    <row r="103">
      <c r="A103" t="n">
        <v>142</v>
      </c>
      <c r="B103" t="inlineStr">
        <is>
          <t>VT REEDLE SHOT 100 / Бустер-сыворотка с микроиглами</t>
        </is>
      </c>
      <c r="C103" t="n">
        <v>543</v>
      </c>
      <c r="D103" t="n">
        <v>974.04</v>
      </c>
      <c r="E103" t="n">
        <v>5900</v>
      </c>
      <c r="F103" t="n">
        <v>3084.34</v>
      </c>
      <c r="G103" t="n">
        <v>3789.68</v>
      </c>
      <c r="H103" t="n">
        <v>5059.38</v>
      </c>
      <c r="I103" t="n">
        <v>191</v>
      </c>
      <c r="J103" t="inlineStr">
        <is>
          <t>запускать: рынок держит ROI 25% и выше</t>
        </is>
      </c>
    </row>
    <row r="104">
      <c r="A104" t="n">
        <v>145</v>
      </c>
      <c r="B104" t="inlineStr">
        <is>
          <t>1025 DOKDO BUBBLE FOAM_150ml</t>
        </is>
      </c>
      <c r="C104" t="n">
        <v>0</v>
      </c>
      <c r="D104" t="n">
        <v>455</v>
      </c>
      <c r="E104" t="n">
        <v>2650</v>
      </c>
      <c r="F104" t="n">
        <v>1713.56</v>
      </c>
      <c r="G104" t="n">
        <v>2064.86</v>
      </c>
      <c r="H104" t="n">
        <v>2773.13</v>
      </c>
      <c r="I104" t="n">
        <v>155</v>
      </c>
      <c r="J104" t="inlineStr">
        <is>
          <t>запускать: рынок держит ROI 25% и выше</t>
        </is>
      </c>
    </row>
    <row r="105">
      <c r="A105" t="n">
        <v>146</v>
      </c>
      <c r="B105" t="inlineStr">
        <is>
          <t>MEDICUBE PDRN PINK PEPTIDE SERUM 30ml</t>
        </is>
      </c>
      <c r="C105" t="n">
        <v>0</v>
      </c>
      <c r="D105" t="n">
        <v>674</v>
      </c>
      <c r="E105" t="n">
        <v>4880</v>
      </c>
      <c r="F105" t="n">
        <v>2265.67</v>
      </c>
      <c r="G105" t="n">
        <v>2766.36</v>
      </c>
      <c r="H105" t="n">
        <v>3702.96</v>
      </c>
      <c r="I105" t="n">
        <v>215</v>
      </c>
      <c r="J105" t="inlineStr">
        <is>
          <t>запускать: рынок держит ROI 25% и выше</t>
        </is>
      </c>
    </row>
    <row r="106">
      <c r="A106" t="n">
        <v>147</v>
      </c>
      <c r="B106" t="inlineStr">
        <is>
          <t>MEDICUBE PDRN PINK EXOSOME SHOT SERUM 7500 30ml</t>
        </is>
      </c>
      <c r="C106" t="n">
        <v>0</v>
      </c>
      <c r="D106" t="n">
        <v>833</v>
      </c>
      <c r="E106" t="n">
        <v>5000</v>
      </c>
      <c r="F106" t="n">
        <v>2699.51</v>
      </c>
      <c r="G106" t="n">
        <v>3308.65</v>
      </c>
      <c r="H106" t="n">
        <v>4421.77</v>
      </c>
      <c r="I106" t="n">
        <v>185</v>
      </c>
      <c r="J106" t="inlineStr">
        <is>
          <t>запускать: рынок держит ROI 25% и выше</t>
        </is>
      </c>
    </row>
    <row r="107">
      <c r="A107" t="n">
        <v>148</v>
      </c>
      <c r="B107" t="inlineStr">
        <is>
          <t>MEDICUBE PDRN PINK EXOSOME SHOT SERUM 2000 30ml</t>
        </is>
      </c>
      <c r="C107" t="n">
        <v>0</v>
      </c>
      <c r="D107" t="n">
        <v>757</v>
      </c>
      <c r="E107" t="n">
        <v>5150</v>
      </c>
      <c r="F107" t="n">
        <v>2492.14</v>
      </c>
      <c r="G107" t="n">
        <v>3049.44</v>
      </c>
      <c r="H107" t="n">
        <v>4078.19</v>
      </c>
      <c r="I107" t="n">
        <v>207</v>
      </c>
      <c r="J107" t="inlineStr">
        <is>
          <t>запускать: рынок держит ROI 25% и выше</t>
        </is>
      </c>
    </row>
    <row r="108">
      <c r="A108" t="n">
        <v>149</v>
      </c>
      <c r="B108" t="inlineStr">
        <is>
          <t>MEDICUBE TXA NIACINAMIDE CAPSULE CREAM 55g</t>
        </is>
      </c>
      <c r="C108" t="n">
        <v>0</v>
      </c>
      <c r="D108" t="n">
        <v>922</v>
      </c>
      <c r="E108" t="n">
        <v>6900</v>
      </c>
      <c r="F108" t="n">
        <v>2942.34</v>
      </c>
      <c r="G108" t="n">
        <v>3612.19</v>
      </c>
      <c r="H108" t="n">
        <v>4824.12</v>
      </c>
      <c r="I108" t="n">
        <v>235</v>
      </c>
      <c r="J108" t="inlineStr">
        <is>
          <t>запускать: рынок держит ROI 25% и выше</t>
        </is>
      </c>
    </row>
    <row r="109">
      <c r="A109" t="n">
        <v>150</v>
      </c>
      <c r="B109" t="inlineStr">
        <is>
          <t>MEDICUBE PDRN PINK COLLAGEN CAPSULE CREAM 55g</t>
        </is>
      </c>
      <c r="C109" t="n">
        <v>0</v>
      </c>
      <c r="D109" t="n">
        <v>1019</v>
      </c>
      <c r="E109" t="n">
        <v>5270</v>
      </c>
      <c r="F109" t="n">
        <v>3207.01</v>
      </c>
      <c r="G109" t="n">
        <v>3943.03</v>
      </c>
      <c r="H109" t="n">
        <v>5262.64</v>
      </c>
      <c r="I109" t="n">
        <v>164</v>
      </c>
      <c r="J109" t="inlineStr">
        <is>
          <t>запускать: рынок держит ROI 25% и выше</t>
        </is>
      </c>
    </row>
    <row r="110">
      <c r="A110" t="n">
        <v>151</v>
      </c>
      <c r="B110" t="inlineStr">
        <is>
          <t>MEDICUBE PDRN PINK HYALURONIC MOISTURIZING CREAM 50ml</t>
        </is>
      </c>
      <c r="C110" t="n">
        <v>0</v>
      </c>
      <c r="D110" t="n">
        <v>670</v>
      </c>
      <c r="E110" t="n">
        <v>3450</v>
      </c>
      <c r="F110" t="n">
        <v>2254.76</v>
      </c>
      <c r="G110" t="n">
        <v>2752.71</v>
      </c>
      <c r="H110" t="n">
        <v>3684.88</v>
      </c>
      <c r="I110" t="n">
        <v>153</v>
      </c>
      <c r="J110" t="inlineStr">
        <is>
          <t>запускать: рынок держит ROI 25% и выше</t>
        </is>
      </c>
    </row>
    <row r="111">
      <c r="A111" t="n">
        <v>152</v>
      </c>
      <c r="B111" t="inlineStr">
        <is>
          <t>[Derma Factory] PDRN 4% Ampoule</t>
        </is>
      </c>
      <c r="C111" t="n">
        <v>0</v>
      </c>
      <c r="D111" t="n">
        <v>407</v>
      </c>
      <c r="E111" t="n">
        <v>3350</v>
      </c>
      <c r="F111" t="n">
        <v>1537.16</v>
      </c>
      <c r="G111" t="n">
        <v>1855.71</v>
      </c>
      <c r="H111" t="n">
        <v>2495.91</v>
      </c>
      <c r="I111" t="n">
        <v>218</v>
      </c>
      <c r="J111" t="inlineStr">
        <is>
          <t>запускать: рынок держит ROI 25% и выше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000"/>
  <sheetViews>
    <sheetView workbookViewId="0">
      <pane xSplit="8" ySplit="12" topLeftCell="I13" activePane="bottomRight" state="frozen"/>
      <selection pane="topRight" activeCell="I1" sqref="I1"/>
      <selection pane="bottomLeft" activeCell="A13" sqref="A13"/>
      <selection pane="bottomRight" activeCell="I13" sqref="I13"/>
    </sheetView>
  </sheetViews>
  <sheetFormatPr baseColWidth="8" defaultColWidth="14.43" defaultRowHeight="15" customHeight="1"/>
  <cols>
    <col width="62.71" customWidth="1" style="66" min="1" max="1"/>
    <col width="12.14" customWidth="1" style="66" min="2" max="2"/>
    <col width="18.86" customWidth="1" style="66" min="3" max="3"/>
    <col width="10" customWidth="1" style="66" min="4" max="4"/>
    <col width="11.14" customWidth="1" style="66" min="5" max="5"/>
    <col width="11.29" customWidth="1" style="66" min="6" max="6"/>
    <col width="10" customWidth="1" style="66" min="7" max="7"/>
    <col width="7.43" customWidth="1" style="66" min="8" max="8"/>
    <col width="8.57" customWidth="1" style="66" min="9" max="9"/>
    <col width="7.71" customWidth="1" style="66" min="10" max="10"/>
    <col width="9.859999999999999" customWidth="1" style="66" min="11" max="11"/>
    <col width="7.14" customWidth="1" style="66" min="12" max="12"/>
    <col width="9.43" customWidth="1" style="66" min="13" max="13"/>
    <col width="13.43" customWidth="1" style="66" min="14" max="14"/>
    <col width="13.29" customWidth="1" style="66" min="15" max="15"/>
    <col width="9.289999999999999" customWidth="1" style="66" min="16" max="16"/>
    <col width="9.43" customWidth="1" style="66" min="17" max="17"/>
    <col width="10" customWidth="1" style="66" min="18" max="18"/>
    <col width="6.43" customWidth="1" style="66" min="19" max="19"/>
    <col width="9" customWidth="1" style="66" min="20" max="20"/>
    <col width="8.289999999999999" customWidth="1" style="66" min="21" max="21"/>
    <col width="13" customWidth="1" style="66" min="22" max="22"/>
    <col width="9.43" customWidth="1" style="66" min="23" max="23"/>
    <col width="10" customWidth="1" style="66" min="24" max="24"/>
    <col width="13.43" customWidth="1" style="66" min="25" max="25"/>
    <col width="10" customWidth="1" style="66" min="26" max="26"/>
    <col width="13" customWidth="1" style="66" min="27" max="27"/>
    <col width="8.710000000000001" customWidth="1" style="66" min="28" max="28"/>
    <col width="13" customWidth="1" style="66" min="29" max="29"/>
    <col width="9" customWidth="1" style="66" min="30" max="30"/>
    <col width="6.86" customWidth="1" style="66" min="31" max="31"/>
    <col width="10.43" customWidth="1" style="66" min="32" max="32"/>
    <col width="8.57" customWidth="1" style="66" min="33" max="33"/>
    <col width="9.710000000000001" customWidth="1" style="66" min="34" max="34"/>
    <col width="11.14" customWidth="1" style="66" min="35" max="35"/>
    <col width="9.140000000000001" customWidth="1" style="66" min="36" max="36"/>
    <col width="12" customWidth="1" style="66" min="37" max="37"/>
    <col width="8.710000000000001" customWidth="1" style="66" min="38" max="38"/>
  </cols>
  <sheetData>
    <row r="1" ht="15" customHeight="1" s="66">
      <c r="A1" s="2" t="inlineStr">
        <is>
          <t>ПАРАМЕТРЫ — меняй жёлтые ячейки, всё пересчитается</t>
        </is>
      </c>
    </row>
    <row r="2" ht="14.25" customHeight="1" s="66">
      <c r="A2" s="50" t="n"/>
    </row>
    <row r="3" ht="14.25" customHeight="1" s="66">
      <c r="A3" s="50" t="inlineStr">
        <is>
          <t>Налог с оборота</t>
        </is>
      </c>
      <c r="H3" s="5" t="n">
        <v>0.07000000000000001</v>
      </c>
    </row>
    <row r="4" ht="14.25" customHeight="1" s="66">
      <c r="A4" s="50" t="inlineStr">
        <is>
          <t>Эквайринг</t>
        </is>
      </c>
      <c r="H4" s="10" t="n">
        <v>0.015</v>
      </c>
    </row>
    <row r="5" ht="14.25" customHeight="1" s="66">
      <c r="A5" s="50" t="inlineStr">
        <is>
          <t>Фулфилмент, ₽/шт</t>
        </is>
      </c>
      <c r="H5" s="7" t="n">
        <v>60</v>
      </c>
    </row>
    <row r="6" ht="14.25" customHeight="1" s="66">
      <c r="A6" s="50" t="inlineStr">
        <is>
          <t>Хранение, ₽/л/день</t>
        </is>
      </c>
      <c r="H6" s="8" t="n">
        <v>0.16</v>
      </c>
    </row>
    <row r="7" ht="14.25" customHeight="1" s="66">
      <c r="A7" s="50" t="inlineStr">
        <is>
          <t>Дней хранения</t>
        </is>
      </c>
      <c r="H7" s="7" t="n">
        <v>0</v>
      </c>
    </row>
    <row r="8" ht="14.25" customHeight="1" s="66">
      <c r="A8" s="50" t="inlineStr">
        <is>
          <t>Наценка за нелокальные продажи %</t>
        </is>
      </c>
      <c r="H8" s="10" t="n">
        <v>0.02</v>
      </c>
    </row>
    <row r="9" ht="14.25" customHeight="1" s="66">
      <c r="A9" s="50" t="inlineStr">
        <is>
          <t>Кроссдок: обработка (склады/СЦ) ₽/л</t>
        </is>
      </c>
      <c r="H9" s="8" t="n">
        <v>0.75</v>
      </c>
    </row>
    <row r="10" ht="14.25" customHeight="1" s="66">
      <c r="A10" s="50" t="inlineStr">
        <is>
          <t>Кроссдок: перевозка ₽/л (средн. 26 скл.)</t>
        </is>
      </c>
      <c r="H10" s="8" t="n">
        <v>4.423</v>
      </c>
    </row>
    <row r="11" ht="14.25" customHeight="1" s="66">
      <c r="A11" s="9" t="inlineStr">
        <is>
          <t>Подписка, %</t>
        </is>
      </c>
      <c r="H11" s="10" t="n">
        <v>0</v>
      </c>
    </row>
    <row r="12" ht="43.5" customHeight="1" s="66">
      <c r="A12" s="12" t="inlineStr">
        <is>
          <t>Товар</t>
        </is>
      </c>
      <c r="B12" s="12" t="inlineStr">
        <is>
          <t>Заказ контейнер шт</t>
        </is>
      </c>
      <c r="C12" s="12" t="inlineStr">
        <is>
          <t>Комментарий</t>
        </is>
      </c>
      <c r="D12" s="12" t="inlineStr">
        <is>
          <t>Остаток</t>
        </is>
      </c>
      <c r="E12" s="12" t="inlineStr">
        <is>
          <t>Цена конкурента без СПП</t>
        </is>
      </c>
      <c r="F12" s="12" t="inlineStr">
        <is>
          <t>Кол-во продаж конкурент</t>
        </is>
      </c>
      <c r="G12" s="12" t="inlineStr">
        <is>
          <t>ДРР конкурент</t>
        </is>
      </c>
      <c r="H12" s="12" t="inlineStr">
        <is>
          <t>Цена наша без СПП</t>
        </is>
      </c>
      <c r="I12" s="13" t="inlineStr">
        <is>
          <t>СПП, %</t>
        </is>
      </c>
      <c r="J12" s="14" t="inlineStr">
        <is>
          <t>Цена с СПП</t>
        </is>
      </c>
      <c r="K12" s="12" t="inlineStr">
        <is>
          <t>Себест.</t>
        </is>
      </c>
      <c r="L12" s="12" t="inlineStr">
        <is>
          <t>Фулфилмент</t>
        </is>
      </c>
      <c r="M12" s="15" t="inlineStr">
        <is>
          <t>База затрат</t>
        </is>
      </c>
      <c r="N12" s="14" t="inlineStr">
        <is>
          <t>Комиссия %</t>
        </is>
      </c>
      <c r="O12" s="12" t="inlineStr">
        <is>
          <t>Комиссия ₽</t>
        </is>
      </c>
      <c r="P12" s="12" t="inlineStr">
        <is>
          <t>Логистика</t>
        </is>
      </c>
      <c r="Q12" s="12" t="inlineStr">
        <is>
          <t>Наценка нелок., ₽</t>
        </is>
      </c>
      <c r="R12" s="12" t="inlineStr">
        <is>
          <t>Доставка до ПВЗ</t>
        </is>
      </c>
      <c r="S12" s="12" t="inlineStr">
        <is>
          <t>Эквайринг</t>
        </is>
      </c>
      <c r="T12" s="12" t="inlineStr">
        <is>
          <t>Налог</t>
        </is>
      </c>
      <c r="U12" s="12" t="inlineStr">
        <is>
          <t>Выкуп %</t>
        </is>
      </c>
      <c r="V12" s="12" t="inlineStr">
        <is>
          <t>Обр.лог база</t>
        </is>
      </c>
      <c r="W12" s="12" t="inlineStr">
        <is>
          <t>Обр.лог</t>
        </is>
      </c>
      <c r="X12" s="12" t="inlineStr">
        <is>
          <t>Объём, л</t>
        </is>
      </c>
      <c r="Y12" s="12" t="inlineStr">
        <is>
          <t>Хранение</t>
        </is>
      </c>
      <c r="Z12" s="15" t="inlineStr">
        <is>
          <t>Кроссдок ср., ₽/ед</t>
        </is>
      </c>
      <c r="AA12" s="14" t="inlineStr">
        <is>
          <t>Оплата за клик, %</t>
        </is>
      </c>
      <c r="AB12" s="12" t="inlineStr">
        <is>
          <t>Оплата за клик ₽</t>
        </is>
      </c>
      <c r="AC12" s="12" t="inlineStr">
        <is>
          <t>Вывод в топ, %</t>
        </is>
      </c>
      <c r="AD12" s="12" t="inlineStr">
        <is>
          <t>Вывод в топ ₽</t>
        </is>
      </c>
      <c r="AE12" s="12" t="inlineStr">
        <is>
          <t>Реклама всего ₽</t>
        </is>
      </c>
      <c r="AF12" s="15" t="inlineStr">
        <is>
          <t>ДРР %</t>
        </is>
      </c>
      <c r="AG12" s="16" t="inlineStr">
        <is>
          <t>Маржа до рекл.</t>
        </is>
      </c>
      <c r="AH12" s="12" t="inlineStr">
        <is>
          <t>Маржа/шт</t>
        </is>
      </c>
      <c r="AI12" s="12" t="inlineStr">
        <is>
          <t>Маржа % цены</t>
        </is>
      </c>
      <c r="AJ12" s="12" t="inlineStr">
        <is>
          <t>ROI %</t>
        </is>
      </c>
      <c r="AK12" s="12" t="inlineStr">
        <is>
          <t>Цена безубыт.</t>
        </is>
      </c>
      <c r="AL12" s="12" t="inlineStr">
        <is>
          <t>Подписка, ₽</t>
        </is>
      </c>
    </row>
    <row r="13" ht="14.25" customHeight="1" s="66">
      <c r="A13" s="20" t="inlineStr">
        <is>
          <t>Косметика/COSRX</t>
        </is>
      </c>
      <c r="B13" s="19" t="n"/>
      <c r="C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  <c r="AK13" s="19" t="n"/>
    </row>
    <row r="14" ht="28.5" customHeight="1" s="66">
      <c r="A14" s="21" t="inlineStr">
        <is>
          <t>COSRX - Salicylic Acid Daily Gentle Cleanser [150ml] / Пенка с салициловой кислотой для проблемной кожи</t>
        </is>
      </c>
      <c r="B14" s="58" t="n"/>
      <c r="C14" s="24" t="n"/>
      <c r="D14" s="29" t="n">
        <v>412</v>
      </c>
      <c r="E14" s="49" t="n">
        <v>1680</v>
      </c>
      <c r="F14" s="49" t="n">
        <v>286</v>
      </c>
      <c r="G14" s="49" t="n">
        <v>22.3</v>
      </c>
      <c r="H14" s="49" t="n">
        <v>1630</v>
      </c>
      <c r="I14" s="28" t="n">
        <v>0.45</v>
      </c>
      <c r="J14" s="30">
        <f>H14*(1-I14)</f>
        <v/>
      </c>
      <c r="K14" s="31" t="n">
        <v>343.82</v>
      </c>
      <c r="L14" s="32">
        <f>$H$5</f>
        <v/>
      </c>
      <c r="M14" s="33">
        <f>K14+L14</f>
        <v/>
      </c>
      <c r="N14" s="34" t="n">
        <v>0.41</v>
      </c>
      <c r="O14" s="29">
        <f>H14*N14</f>
        <v/>
      </c>
      <c r="P14" s="35" t="n">
        <v>67</v>
      </c>
      <c r="Q14" s="29">
        <f>H14*$H$8</f>
        <v/>
      </c>
      <c r="R14" s="35" t="n">
        <v>25</v>
      </c>
      <c r="S14" s="29">
        <f>H14*$H$4</f>
        <v/>
      </c>
      <c r="T14" s="29">
        <f>J14*$H$3</f>
        <v/>
      </c>
      <c r="U14" s="36" t="n">
        <v>0.9</v>
      </c>
      <c r="V14" s="35" t="n">
        <v>67</v>
      </c>
      <c r="W14" s="29">
        <f>V14*(1-U14)</f>
        <v/>
      </c>
      <c r="X14" s="37" t="n">
        <v>0.63</v>
      </c>
      <c r="Y14" s="29">
        <f>$H$6*$H$7*X14</f>
        <v/>
      </c>
      <c r="Z14" s="33">
        <f>X14*($H$9+$H$10)</f>
        <v/>
      </c>
      <c r="AA14" s="34" t="n">
        <v>0.11</v>
      </c>
      <c r="AB14" s="29">
        <f>H14*AA14</f>
        <v/>
      </c>
      <c r="AC14" s="36" t="n">
        <v>0.11</v>
      </c>
      <c r="AD14" s="29">
        <f>H14*AC14</f>
        <v/>
      </c>
      <c r="AE14" s="29">
        <f>AB14+AD14</f>
        <v/>
      </c>
      <c r="AF14" s="38">
        <f>AE14/H14</f>
        <v/>
      </c>
      <c r="AG14" s="39">
        <f>H14-O14-P14-Q14-R14-S14-T14-W14-Y14-Z14-M14-AL14</f>
        <v/>
      </c>
      <c r="AH14" s="40">
        <f>AG14-AE14</f>
        <v/>
      </c>
      <c r="AI14" s="41">
        <f>AH14/H14</f>
        <v/>
      </c>
      <c r="AJ14" s="42">
        <f>AH14/M14</f>
        <v/>
      </c>
      <c r="AK14" s="29">
        <f>(P14+R14+W14+Y14+Z14+M14)/(1-(N14+$H$4+(1-I14)*$H$3+$H$8+$H$11+AA14+AC14))</f>
        <v/>
      </c>
      <c r="AL14" s="29">
        <f>H14*$H$11</f>
        <v/>
      </c>
    </row>
    <row r="15" ht="14.25" customHeight="1" s="66">
      <c r="A15" s="20" t="inlineStr">
        <is>
          <t>Косметика/DEOPROCE/DEOPROCE-SHAMPOO</t>
        </is>
      </c>
      <c r="B15" s="19" t="n"/>
      <c r="C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  <c r="AI15" s="19" t="n"/>
      <c r="AJ15" s="19" t="n"/>
      <c r="AK15" s="19" t="n"/>
    </row>
    <row r="16" ht="43.5" customHeight="1" s="66">
      <c r="A16" s="44" t="inlineStr">
        <is>
          <t>DEOPROCE SHAMPOO - BLACK GARLIC INTENSME ENERGY [600ml] мягкая упаковка Шампунь с черным чесноком против выпадения волос</t>
        </is>
      </c>
      <c r="B16" s="45" t="n"/>
      <c r="C16" s="45" t="inlineStr">
        <is>
          <t>добавлено в расчет: цена под ROI 25%, объем оценочный</t>
        </is>
      </c>
      <c r="D16" s="29" t="n">
        <v>72</v>
      </c>
      <c r="E16" s="29" t="n"/>
      <c r="F16" s="29" t="n"/>
      <c r="G16" s="29" t="n"/>
      <c r="H16" s="29">
        <f>(1.25*M16+P16+R16+W16+Y16+Z16)/(1-N16-$H$8-$H$4-(1-I16)*$H$3-$H$11-AA16-AC16)</f>
        <v/>
      </c>
      <c r="I16" s="46" t="n">
        <v>0.45</v>
      </c>
      <c r="J16" s="30">
        <f>H16*(1-I16)</f>
        <v/>
      </c>
      <c r="K16" s="32" t="n">
        <v>269.87</v>
      </c>
      <c r="L16" s="32">
        <f>$H$5</f>
        <v/>
      </c>
      <c r="M16" s="33">
        <f>K16+L16</f>
        <v/>
      </c>
      <c r="N16" s="47" t="n">
        <v>0.41</v>
      </c>
      <c r="O16" s="29">
        <f>H16*N16</f>
        <v/>
      </c>
      <c r="P16" s="29" t="n">
        <v>75</v>
      </c>
      <c r="Q16" s="29">
        <f>H16*$H$8</f>
        <v/>
      </c>
      <c r="R16" s="29" t="n">
        <v>25</v>
      </c>
      <c r="S16" s="29">
        <f>H16*$H$4</f>
        <v/>
      </c>
      <c r="T16" s="29">
        <f>J16*$H$3</f>
        <v/>
      </c>
      <c r="U16" s="41" t="n">
        <v>0.9</v>
      </c>
      <c r="V16" s="29" t="n">
        <v>75</v>
      </c>
      <c r="W16" s="29">
        <f>V16*(1-U16)</f>
        <v/>
      </c>
      <c r="X16" s="48" t="n">
        <v>2</v>
      </c>
      <c r="Y16" s="29">
        <f>$H$6*$H$7*X16</f>
        <v/>
      </c>
      <c r="Z16" s="33">
        <f>X16*($H$9+$H$10)</f>
        <v/>
      </c>
      <c r="AA16" s="47" t="n">
        <v>0.07000000000000001</v>
      </c>
      <c r="AB16" s="29">
        <f>H16*AA16</f>
        <v/>
      </c>
      <c r="AC16" s="41" t="n">
        <v>0.08</v>
      </c>
      <c r="AD16" s="29">
        <f>H16*AC16</f>
        <v/>
      </c>
      <c r="AE16" s="29">
        <f>AB16+AD16</f>
        <v/>
      </c>
      <c r="AF16" s="38">
        <f>AE16/H16</f>
        <v/>
      </c>
      <c r="AG16" s="39">
        <f>H16-O16-P16-Q16-R16-S16-T16-W16-Y16-Z16-M16-AL16</f>
        <v/>
      </c>
      <c r="AH16" s="29">
        <f>AG16-AE16</f>
        <v/>
      </c>
      <c r="AI16" s="41">
        <f>AH16/H16</f>
        <v/>
      </c>
      <c r="AJ16" s="41">
        <f>AH16/M16</f>
        <v/>
      </c>
      <c r="AK16" s="29">
        <f>(P16+R16+W16+Y16+Z16+M16)/(1-(N16+$H$4+(1-I16)*$H$3+$H$8+$H$11+AA16+AC16))</f>
        <v/>
      </c>
      <c r="AL16">
        <f>H16*$H$11</f>
        <v/>
      </c>
    </row>
    <row r="17" ht="43.5" customHeight="1" s="66">
      <c r="A17" s="44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B17" s="45" t="n"/>
      <c r="C17" s="45" t="inlineStr">
        <is>
          <t>добавлено в расчет: цена под ROI 25%, объем оценочный</t>
        </is>
      </c>
      <c r="D17" s="29" t="n">
        <v>19</v>
      </c>
      <c r="E17" s="29" t="n"/>
      <c r="F17" s="29" t="n"/>
      <c r="G17" s="29" t="n"/>
      <c r="H17" s="29">
        <f>(1.25*M17+P17+R17+W17+Y17+Z17)/(1-N17-$H$8-$H$4-(1-I17)*$H$3-$H$11-AA17-AC17)</f>
        <v/>
      </c>
      <c r="I17" s="46" t="n">
        <v>0.45</v>
      </c>
      <c r="J17" s="30">
        <f>H17*(1-I17)</f>
        <v/>
      </c>
      <c r="K17" s="32" t="n">
        <v>314.85</v>
      </c>
      <c r="L17" s="32">
        <f>$H$5</f>
        <v/>
      </c>
      <c r="M17" s="33">
        <f>K17+L17</f>
        <v/>
      </c>
      <c r="N17" s="47" t="n">
        <v>0.41</v>
      </c>
      <c r="O17" s="29">
        <f>H17*N17</f>
        <v/>
      </c>
      <c r="P17" s="29" t="n">
        <v>75</v>
      </c>
      <c r="Q17" s="29">
        <f>H17*$H$8</f>
        <v/>
      </c>
      <c r="R17" s="29" t="n">
        <v>25</v>
      </c>
      <c r="S17" s="29">
        <f>H17*$H$4</f>
        <v/>
      </c>
      <c r="T17" s="29">
        <f>J17*$H$3</f>
        <v/>
      </c>
      <c r="U17" s="41" t="n">
        <v>0.9</v>
      </c>
      <c r="V17" s="29" t="n">
        <v>75</v>
      </c>
      <c r="W17" s="29">
        <f>V17*(1-U17)</f>
        <v/>
      </c>
      <c r="X17" s="48" t="n">
        <v>2</v>
      </c>
      <c r="Y17" s="29">
        <f>$H$6*$H$7*X17</f>
        <v/>
      </c>
      <c r="Z17" s="33">
        <f>X17*($H$9+$H$10)</f>
        <v/>
      </c>
      <c r="AA17" s="47" t="n">
        <v>0.07000000000000001</v>
      </c>
      <c r="AB17" s="29">
        <f>H17*AA17</f>
        <v/>
      </c>
      <c r="AC17" s="41" t="n">
        <v>0.08</v>
      </c>
      <c r="AD17" s="29">
        <f>H17*AC17</f>
        <v/>
      </c>
      <c r="AE17" s="29">
        <f>AB17+AD17</f>
        <v/>
      </c>
      <c r="AF17" s="38">
        <f>AE17/H17</f>
        <v/>
      </c>
      <c r="AG17" s="39">
        <f>H17-O17-P17-Q17-R17-S17-T17-W17-Y17-Z17-M17-AL17</f>
        <v/>
      </c>
      <c r="AH17" s="29">
        <f>AG17-AE17</f>
        <v/>
      </c>
      <c r="AI17" s="41">
        <f>AH17/H17</f>
        <v/>
      </c>
      <c r="AJ17" s="41">
        <f>AH17/M17</f>
        <v/>
      </c>
      <c r="AK17" s="29">
        <f>(P17+R17+W17+Y17+Z17+M17)/(1-(N17+$H$4+(1-I17)*$H$3+$H$8+$H$11+AA17+AC17))</f>
        <v/>
      </c>
      <c r="AL17">
        <f>H17*$H$11</f>
        <v/>
      </c>
    </row>
    <row r="18" ht="28.5" customHeight="1" s="66">
      <c r="A18" s="21" t="inlineStr">
        <is>
          <t>DEOPROCE SHAMPOO - BLACK GARLIC INTENSME ENERGY [200ml]/ Шампунь с черным чесноком против выпадения волос</t>
        </is>
      </c>
      <c r="B18" s="58" t="n"/>
      <c r="C18" s="24" t="n"/>
      <c r="D18" s="29" t="n">
        <v>370</v>
      </c>
      <c r="E18" s="49" t="n">
        <v>980</v>
      </c>
      <c r="F18" s="49" t="n">
        <v>8</v>
      </c>
      <c r="G18" s="49" t="n">
        <v>0</v>
      </c>
      <c r="H18" s="49" t="n">
        <v>900</v>
      </c>
      <c r="I18" s="28" t="n">
        <v>0.45</v>
      </c>
      <c r="J18" s="30">
        <f>H18*(1-I18)</f>
        <v/>
      </c>
      <c r="K18" s="31" t="n">
        <v>151.13</v>
      </c>
      <c r="L18" s="32">
        <f>$H$5</f>
        <v/>
      </c>
      <c r="M18" s="33">
        <f>K18+L18</f>
        <v/>
      </c>
      <c r="N18" s="34" t="n">
        <v>0.41</v>
      </c>
      <c r="O18" s="29">
        <f>H18*N18</f>
        <v/>
      </c>
      <c r="P18" s="35" t="n">
        <v>67</v>
      </c>
      <c r="Q18" s="29">
        <f>H18*$H$8</f>
        <v/>
      </c>
      <c r="R18" s="35" t="n">
        <v>25</v>
      </c>
      <c r="S18" s="29">
        <f>H18*$H$4</f>
        <v/>
      </c>
      <c r="T18" s="29">
        <f>J18*$H$3</f>
        <v/>
      </c>
      <c r="U18" s="36" t="n">
        <v>0.9</v>
      </c>
      <c r="V18" s="35" t="n">
        <v>67</v>
      </c>
      <c r="W18" s="29">
        <f>V18*(1-U18)</f>
        <v/>
      </c>
      <c r="X18" s="37" t="n">
        <v>0.68</v>
      </c>
      <c r="Y18" s="29">
        <f>$H$6*$H$7*X18</f>
        <v/>
      </c>
      <c r="Z18" s="33">
        <f>X18*($H$9+$H$10)</f>
        <v/>
      </c>
      <c r="AA18" s="34" t="n">
        <v>0.07000000000000001</v>
      </c>
      <c r="AB18" s="29">
        <f>H18*AA18</f>
        <v/>
      </c>
      <c r="AC18" s="36" t="n">
        <v>0.08</v>
      </c>
      <c r="AD18" s="29">
        <f>H18*AC18</f>
        <v/>
      </c>
      <c r="AE18" s="29">
        <f>AB18+AD18</f>
        <v/>
      </c>
      <c r="AF18" s="38">
        <f>AE18/H18</f>
        <v/>
      </c>
      <c r="AG18" s="39">
        <f>H18-O18-P18-Q18-R18-S18-T18-W18-Y18-Z18-M18-AL18</f>
        <v/>
      </c>
      <c r="AH18" s="40">
        <f>AG18-AE18</f>
        <v/>
      </c>
      <c r="AI18" s="41">
        <f>AH18/H18</f>
        <v/>
      </c>
      <c r="AJ18" s="42">
        <f>AH18/M18</f>
        <v/>
      </c>
      <c r="AK18" s="29">
        <f>(P18+R18+W18+Y18+Z18+M18)/(1-(N18+$H$4+(1-I18)*$H$3+$H$8+$H$11+AA18+AC18))</f>
        <v/>
      </c>
      <c r="AL18" s="29">
        <f>H18*$H$11</f>
        <v/>
      </c>
    </row>
    <row r="19" ht="14.25" customHeight="1" s="66">
      <c r="A19" s="20" t="inlineStr">
        <is>
          <t>Косметика/DEOPROCE/НАБОР ШАМПУНЬ+БАЛЬЗАМ</t>
        </is>
      </c>
      <c r="B19" s="19" t="n"/>
      <c r="C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n"/>
    </row>
    <row r="20" ht="14.25" customHeight="1" s="66">
      <c r="A20" s="44" t="inlineStr">
        <is>
          <t>DEOPROCE SHAMPOO+BALSAM - BLACK GARLIC[2000ml]</t>
        </is>
      </c>
      <c r="B20" s="45" t="n"/>
      <c r="C20" s="45" t="inlineStr">
        <is>
          <t>добавлено в расчет: цена под ROI 25%, объем оценочный</t>
        </is>
      </c>
      <c r="D20" s="29" t="n">
        <v>447</v>
      </c>
      <c r="E20" s="29" t="n"/>
      <c r="F20" s="29" t="n"/>
      <c r="G20" s="29" t="n"/>
      <c r="H20" s="29">
        <f>(1.25*M20+P20+R20+W20+Y20+Z20)/(1-N20-$H$8-$H$4-(1-I20)*$H$3-$H$11-AA20-AC20)</f>
        <v/>
      </c>
      <c r="I20" s="46" t="n">
        <v>0.45</v>
      </c>
      <c r="J20" s="30">
        <f>H20*(1-I20)</f>
        <v/>
      </c>
      <c r="K20" s="32" t="n">
        <v>726.85</v>
      </c>
      <c r="L20" s="32">
        <f>$H$5</f>
        <v/>
      </c>
      <c r="M20" s="33">
        <f>K20+L20</f>
        <v/>
      </c>
      <c r="N20" s="47" t="n">
        <v>0.41</v>
      </c>
      <c r="O20" s="29">
        <f>H20*N20</f>
        <v/>
      </c>
      <c r="P20" s="29" t="n">
        <v>75</v>
      </c>
      <c r="Q20" s="29">
        <f>H20*$H$8</f>
        <v/>
      </c>
      <c r="R20" s="29" t="n">
        <v>25</v>
      </c>
      <c r="S20" s="29">
        <f>H20*$H$4</f>
        <v/>
      </c>
      <c r="T20" s="29">
        <f>J20*$H$3</f>
        <v/>
      </c>
      <c r="U20" s="41" t="n">
        <v>0.9</v>
      </c>
      <c r="V20" s="29" t="n">
        <v>75</v>
      </c>
      <c r="W20" s="29">
        <f>V20*(1-U20)</f>
        <v/>
      </c>
      <c r="X20" s="48" t="n">
        <v>4</v>
      </c>
      <c r="Y20" s="29">
        <f>$H$6*$H$7*X20</f>
        <v/>
      </c>
      <c r="Z20" s="33">
        <f>X20*($H$9+$H$10)</f>
        <v/>
      </c>
      <c r="AA20" s="47" t="n">
        <v>0.07000000000000001</v>
      </c>
      <c r="AB20" s="29">
        <f>H20*AA20</f>
        <v/>
      </c>
      <c r="AC20" s="41" t="n">
        <v>0.08</v>
      </c>
      <c r="AD20" s="29">
        <f>H20*AC20</f>
        <v/>
      </c>
      <c r="AE20" s="29">
        <f>AB20+AD20</f>
        <v/>
      </c>
      <c r="AF20" s="38">
        <f>AE20/H20</f>
        <v/>
      </c>
      <c r="AG20" s="39">
        <f>H20-O20-P20-Q20-R20-S20-T20-W20-Y20-Z20-M20-AL20</f>
        <v/>
      </c>
      <c r="AH20" s="29">
        <f>AG20-AE20</f>
        <v/>
      </c>
      <c r="AI20" s="41">
        <f>AH20/H20</f>
        <v/>
      </c>
      <c r="AJ20" s="41">
        <f>AH20/M20</f>
        <v/>
      </c>
      <c r="AK20" s="29">
        <f>(P20+R20+W20+Y20+Z20+M20)/(1-(N20+$H$4+(1-I20)*$H$3+$H$8+$H$11+AA20+AC20))</f>
        <v/>
      </c>
      <c r="AL20">
        <f>H20*$H$11</f>
        <v/>
      </c>
    </row>
    <row r="21" ht="14.25" customHeight="1" s="66">
      <c r="A21" s="20" t="inlineStr">
        <is>
          <t>Косметика/DR.JART</t>
        </is>
      </c>
      <c r="B21" s="19" t="n"/>
      <c r="C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  <c r="AK21" s="19" t="n"/>
    </row>
    <row r="22" ht="28.5" customHeight="1" s="66">
      <c r="A22" s="21" t="inlineStr">
        <is>
          <t>DR. JART - Ctrl+A Teatreatment Toner [120ml] / Тонер тоник для лица увлажняющий с чайным деревом</t>
        </is>
      </c>
      <c r="B22" s="58" t="n"/>
      <c r="C22" s="24" t="n"/>
      <c r="D22" s="29" t="n">
        <v>180</v>
      </c>
      <c r="E22" s="49" t="n"/>
      <c r="F22" s="49" t="inlineStr">
        <is>
          <t>89 (Закончились)</t>
        </is>
      </c>
      <c r="G22" s="49" t="n">
        <v>9.199999999999999</v>
      </c>
      <c r="H22" s="49">
        <f>(1.25*M22+P22+R22+W22+Y22+Z22)/(1-N22-$H$8-$H$4-(1-I22)*$H$3-$H$11-AA22-AC22)</f>
        <v/>
      </c>
      <c r="I22" s="28" t="n">
        <v>0.45</v>
      </c>
      <c r="J22" s="30">
        <f>H22*(1-I22)</f>
        <v/>
      </c>
      <c r="K22" s="31" t="n">
        <v>637.89</v>
      </c>
      <c r="L22" s="32">
        <f>$H$5</f>
        <v/>
      </c>
      <c r="M22" s="33">
        <f>K22+L22</f>
        <v/>
      </c>
      <c r="N22" s="34" t="n">
        <v>0.41</v>
      </c>
      <c r="O22" s="29">
        <f>H22*N22</f>
        <v/>
      </c>
      <c r="P22" s="35" t="n">
        <v>63</v>
      </c>
      <c r="Q22" s="29">
        <f>H22*$H$8</f>
        <v/>
      </c>
      <c r="R22" s="35" t="n">
        <v>25</v>
      </c>
      <c r="S22" s="29">
        <f>H22*$H$4</f>
        <v/>
      </c>
      <c r="T22" s="29">
        <f>J22*$H$3</f>
        <v/>
      </c>
      <c r="U22" s="36" t="n">
        <v>0.9</v>
      </c>
      <c r="V22" s="35" t="n">
        <v>63</v>
      </c>
      <c r="W22" s="29">
        <f>V22*(1-U22)</f>
        <v/>
      </c>
      <c r="X22" s="37" t="n">
        <v>0.33</v>
      </c>
      <c r="Y22" s="29">
        <f>$H$6*$H$7*X22</f>
        <v/>
      </c>
      <c r="Z22" s="33">
        <f>X22*($H$9+$H$10)</f>
        <v/>
      </c>
      <c r="AA22" s="34" t="n">
        <v>0.07000000000000001</v>
      </c>
      <c r="AB22" s="29">
        <f>H22*AA22</f>
        <v/>
      </c>
      <c r="AC22" s="36" t="n">
        <v>0.08</v>
      </c>
      <c r="AD22" s="29">
        <f>H22*AC22</f>
        <v/>
      </c>
      <c r="AE22" s="29">
        <f>AB22+AD22</f>
        <v/>
      </c>
      <c r="AF22" s="38">
        <f>AE22/H22</f>
        <v/>
      </c>
      <c r="AG22" s="39">
        <f>H22-O22-P22-Q22-R22-S22-T22-W22-Y22-Z22-M22-AL22</f>
        <v/>
      </c>
      <c r="AH22" s="40">
        <f>AG22-AE22</f>
        <v/>
      </c>
      <c r="AI22" s="41">
        <f>AH22/H22</f>
        <v/>
      </c>
      <c r="AJ22" s="42">
        <f>AH22/M22</f>
        <v/>
      </c>
      <c r="AK22" s="29">
        <f>(P22+R22+W22+Y22+Z22+M22)/(1-(N22+$H$4+(1-I22)*$H$3+$H$8+$H$11+AA22+AC22))</f>
        <v/>
      </c>
      <c r="AL22" s="29">
        <f>H22*$H$11</f>
        <v/>
      </c>
    </row>
    <row r="23" ht="14.25" customHeight="1" s="66">
      <c r="A23" s="20" t="inlineStr">
        <is>
          <t>Косметика/EKEL</t>
        </is>
      </c>
      <c r="B23" s="19" t="n"/>
      <c r="C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  <c r="AG23" s="19" t="n"/>
      <c r="AH23" s="19" t="n"/>
      <c r="AI23" s="19" t="n"/>
      <c r="AJ23" s="19" t="n"/>
      <c r="AK23" s="19" t="n"/>
    </row>
    <row r="24" ht="28.5" customHeight="1" s="66">
      <c r="A24" s="21" t="inlineStr">
        <is>
          <t>EKEL - Ampule Сream Сollagen [70ml] / Крем для лица ампульный с коллагеном</t>
        </is>
      </c>
      <c r="B24" s="58" t="n"/>
      <c r="C24" s="24" t="n"/>
      <c r="D24" s="29" t="n">
        <v>50</v>
      </c>
      <c r="E24" s="49" t="n">
        <v>1280</v>
      </c>
      <c r="F24" s="49" t="n">
        <v>4</v>
      </c>
      <c r="G24" s="49" t="n">
        <v>0</v>
      </c>
      <c r="H24" s="49">
        <f>(1.25*M24+P24+R24+W24+Y24+Z24)/(1-N24-$H$8-$H$4-(1-I24)*$H$3-$H$11-AA24-AC24)</f>
        <v/>
      </c>
      <c r="I24" s="28" t="n">
        <v>0.45</v>
      </c>
      <c r="J24" s="30">
        <f>H24*(1-I24)</f>
        <v/>
      </c>
      <c r="K24" s="31" t="n">
        <v>142.13</v>
      </c>
      <c r="L24" s="32">
        <f>$H$5</f>
        <v/>
      </c>
      <c r="M24" s="33">
        <f>K24+L24</f>
        <v/>
      </c>
      <c r="N24" s="34" t="n">
        <v>0.41</v>
      </c>
      <c r="O24" s="29">
        <f>H24*N24</f>
        <v/>
      </c>
      <c r="P24" s="35" t="n">
        <v>67</v>
      </c>
      <c r="Q24" s="29">
        <f>H24*$H$8</f>
        <v/>
      </c>
      <c r="R24" s="35" t="n">
        <v>25</v>
      </c>
      <c r="S24" s="29">
        <f>H24*$H$4</f>
        <v/>
      </c>
      <c r="T24" s="29">
        <f>J24*$H$3</f>
        <v/>
      </c>
      <c r="U24" s="36" t="n">
        <v>0.9</v>
      </c>
      <c r="V24" s="35" t="n">
        <v>67</v>
      </c>
      <c r="W24" s="29">
        <f>V24*(1-U24)</f>
        <v/>
      </c>
      <c r="X24" s="37" t="n">
        <v>0.42</v>
      </c>
      <c r="Y24" s="29">
        <f>$H$6*$H$7*X24</f>
        <v/>
      </c>
      <c r="Z24" s="33">
        <f>X24*($H$9+$H$10)</f>
        <v/>
      </c>
      <c r="AA24" s="34" t="n">
        <v>0.07000000000000001</v>
      </c>
      <c r="AB24" s="29">
        <f>H24*AA24</f>
        <v/>
      </c>
      <c r="AC24" s="36" t="n">
        <v>0.08</v>
      </c>
      <c r="AD24" s="29">
        <f>H24*AC24</f>
        <v/>
      </c>
      <c r="AE24" s="29">
        <f>AB24+AD24</f>
        <v/>
      </c>
      <c r="AF24" s="38">
        <f>AE24/H24</f>
        <v/>
      </c>
      <c r="AG24" s="39">
        <f>H24-O24-P24-Q24-R24-S24-T24-W24-Y24-Z24-M24-AL24</f>
        <v/>
      </c>
      <c r="AH24" s="40">
        <f>AG24-AE24</f>
        <v/>
      </c>
      <c r="AI24" s="41">
        <f>AH24/H24</f>
        <v/>
      </c>
      <c r="AJ24" s="42">
        <f>AH24/M24</f>
        <v/>
      </c>
      <c r="AK24" s="29">
        <f>(P24+R24+W24+Y24+Z24+M24)/(1-(N24+$H$4+(1-I24)*$H$3+$H$8+$H$11+AA24+AC24))</f>
        <v/>
      </c>
      <c r="AL24" s="29">
        <f>H24*$H$11</f>
        <v/>
      </c>
    </row>
    <row r="25" ht="14.25" customHeight="1" s="66">
      <c r="A25" s="20" t="inlineStr">
        <is>
          <t>Косметика/ELIZAVECCA</t>
        </is>
      </c>
      <c r="B25" s="19" t="n"/>
      <c r="C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n"/>
    </row>
    <row r="26" ht="28.5" customHeight="1" s="66">
      <c r="A26" s="21" t="inlineStr">
        <is>
          <t>ELIZAVECCA - CER-100 Collagen Ceramide Coating Protein Treatment [100ml] / Коллагеновая маска для волос</t>
        </is>
      </c>
      <c r="B26" s="58" t="n"/>
      <c r="C26" s="24" t="n"/>
      <c r="D26" s="29" t="n">
        <v>453</v>
      </c>
      <c r="E26" s="49" t="n">
        <v>1315</v>
      </c>
      <c r="F26" s="49" t="n">
        <v>150</v>
      </c>
      <c r="G26" s="49" t="n">
        <v>0</v>
      </c>
      <c r="H26" s="49">
        <f>(1.25*M26+P26+R26+W26+Y26+Z26)/(1-N26-$H$8-$H$4-(1-I26)*$H$3-$H$11-AA26-AC26)</f>
        <v/>
      </c>
      <c r="I26" s="28" t="n">
        <v>0.45</v>
      </c>
      <c r="J26" s="30">
        <f>H26*(1-I26)</f>
        <v/>
      </c>
      <c r="K26" s="31" t="n">
        <v>242.23</v>
      </c>
      <c r="L26" s="32">
        <f>$H$5</f>
        <v/>
      </c>
      <c r="M26" s="33">
        <f>K26+L26</f>
        <v/>
      </c>
      <c r="N26" s="34" t="n">
        <v>0.41</v>
      </c>
      <c r="O26" s="29">
        <f>H26*N26</f>
        <v/>
      </c>
      <c r="P26" s="35" t="n">
        <v>67</v>
      </c>
      <c r="Q26" s="29">
        <f>H26*$H$8</f>
        <v/>
      </c>
      <c r="R26" s="35" t="n">
        <v>25</v>
      </c>
      <c r="S26" s="29">
        <f>H26*$H$4</f>
        <v/>
      </c>
      <c r="T26" s="29">
        <f>J26*$H$3</f>
        <v/>
      </c>
      <c r="U26" s="36" t="n">
        <v>0.9</v>
      </c>
      <c r="V26" s="35" t="n">
        <v>67</v>
      </c>
      <c r="W26" s="29">
        <f>V26*(1-U26)</f>
        <v/>
      </c>
      <c r="X26" s="37" t="n">
        <v>0.46</v>
      </c>
      <c r="Y26" s="29">
        <f>$H$6*$H$7*X26</f>
        <v/>
      </c>
      <c r="Z26" s="33">
        <f>X26*($H$9+$H$10)</f>
        <v/>
      </c>
      <c r="AA26" s="34" t="n">
        <v>0.07000000000000001</v>
      </c>
      <c r="AB26" s="29">
        <f>H26*AA26</f>
        <v/>
      </c>
      <c r="AC26" s="36" t="n">
        <v>0.08</v>
      </c>
      <c r="AD26" s="29">
        <f>H26*AC26</f>
        <v/>
      </c>
      <c r="AE26" s="29">
        <f>AB26+AD26</f>
        <v/>
      </c>
      <c r="AF26" s="38">
        <f>AE26/H26</f>
        <v/>
      </c>
      <c r="AG26" s="39">
        <f>H26-O26-P26-Q26-R26-S26-T26-W26-Y26-Z26-M26-AL26</f>
        <v/>
      </c>
      <c r="AH26" s="40">
        <f>AG26-AE26</f>
        <v/>
      </c>
      <c r="AI26" s="41">
        <f>AH26/H26</f>
        <v/>
      </c>
      <c r="AJ26" s="42">
        <f>AH26/M26</f>
        <v/>
      </c>
      <c r="AK26" s="29">
        <f>(P26+R26+W26+Y26+Z26+M26)/(1-(N26+$H$4+(1-I26)*$H$3+$H$8+$H$11+AA26+AC26))</f>
        <v/>
      </c>
      <c r="AL26" s="29">
        <f>H26*$H$11</f>
        <v/>
      </c>
    </row>
    <row r="27" ht="28.5" customHeight="1" s="66">
      <c r="A27" s="21" t="inlineStr">
        <is>
          <t>ELIZAVECCA - Hell-Pore Galactomyces Pure Ample / Сыворотка для лица с экстрактом галактомисиса</t>
        </is>
      </c>
      <c r="B27" s="58" t="n"/>
      <c r="C27" s="24" t="inlineStr">
        <is>
          <t>не смогла найти с продажами</t>
        </is>
      </c>
      <c r="D27" s="29" t="n">
        <v>50</v>
      </c>
      <c r="E27" s="49" t="n"/>
      <c r="F27" s="49" t="n"/>
      <c r="G27" s="49" t="n"/>
      <c r="H27" s="49">
        <f>(1.25*M27+P27+R27+W27+Y27+Z27)/(1-N27-$H$8-$H$4-(1-I27)*$H$3-$H$11-AA27-AC27)</f>
        <v/>
      </c>
      <c r="I27" s="28" t="n">
        <v>0.45</v>
      </c>
      <c r="J27" s="30">
        <f>H27*(1-I27)</f>
        <v/>
      </c>
      <c r="K27" s="31" t="n">
        <v>447.64</v>
      </c>
      <c r="L27" s="32">
        <f>$H$5</f>
        <v/>
      </c>
      <c r="M27" s="33">
        <f>K27+L27</f>
        <v/>
      </c>
      <c r="N27" s="34" t="n">
        <v>0.41</v>
      </c>
      <c r="O27" s="29">
        <f>H27*N27</f>
        <v/>
      </c>
      <c r="P27" s="35" t="n">
        <v>63</v>
      </c>
      <c r="Q27" s="29">
        <f>H27*$H$8</f>
        <v/>
      </c>
      <c r="R27" s="35" t="n">
        <v>25</v>
      </c>
      <c r="S27" s="29">
        <f>H27*$H$4</f>
        <v/>
      </c>
      <c r="T27" s="29">
        <f>J27*$H$3</f>
        <v/>
      </c>
      <c r="U27" s="36" t="n">
        <v>0.9</v>
      </c>
      <c r="V27" s="35" t="n">
        <v>63</v>
      </c>
      <c r="W27" s="29">
        <f>V27*(1-U27)</f>
        <v/>
      </c>
      <c r="X27" s="37" t="n">
        <v>0.3</v>
      </c>
      <c r="Y27" s="29">
        <f>$H$6*$H$7*X27</f>
        <v/>
      </c>
      <c r="Z27" s="33">
        <f>X27*($H$9+$H$10)</f>
        <v/>
      </c>
      <c r="AA27" s="34" t="n">
        <v>0.07000000000000001</v>
      </c>
      <c r="AB27" s="29">
        <f>H27*AA27</f>
        <v/>
      </c>
      <c r="AC27" s="36" t="n">
        <v>0.08</v>
      </c>
      <c r="AD27" s="29">
        <f>H27*AC27</f>
        <v/>
      </c>
      <c r="AE27" s="29">
        <f>AB27+AD27</f>
        <v/>
      </c>
      <c r="AF27" s="38">
        <f>AE27/H27</f>
        <v/>
      </c>
      <c r="AG27" s="39">
        <f>H27-O27-P27-Q27-R27-S27-T27-W27-Y27-Z27-M27-AL27</f>
        <v/>
      </c>
      <c r="AH27" s="40">
        <f>AG27-AE27</f>
        <v/>
      </c>
      <c r="AI27" s="41">
        <f>AH27/H27</f>
        <v/>
      </c>
      <c r="AJ27" s="42">
        <f>AH27/M27</f>
        <v/>
      </c>
      <c r="AK27" s="29">
        <f>(P27+R27+W27+Y27+Z27+M27)/(1-(N27+$H$4+(1-I27)*$H$3+$H$8+$H$11+AA27+AC27))</f>
        <v/>
      </c>
      <c r="AL27" s="29">
        <f>H27*$H$11</f>
        <v/>
      </c>
    </row>
    <row r="28" ht="28.5" customHeight="1" s="66">
      <c r="A28" s="21" t="inlineStr">
        <is>
          <t>ELIZAVECCA - Milky Piggy EGF elastic retinol [100ml] / Антивозрастной крем для лица с ретинолом и EGF</t>
        </is>
      </c>
      <c r="B28" s="58" t="n"/>
      <c r="C28" s="24" t="n"/>
      <c r="D28" s="29" t="n">
        <v>235</v>
      </c>
      <c r="E28" s="49" t="n">
        <v>1841</v>
      </c>
      <c r="F28" s="49" t="n">
        <v>47</v>
      </c>
      <c r="G28" s="49" t="n">
        <v>0</v>
      </c>
      <c r="H28" s="49" t="n">
        <v>1790</v>
      </c>
      <c r="I28" s="28" t="n">
        <v>0.45</v>
      </c>
      <c r="J28" s="30">
        <f>H28*(1-I28)</f>
        <v/>
      </c>
      <c r="K28" s="31" t="n">
        <v>602.1799999999999</v>
      </c>
      <c r="L28" s="32">
        <f>$H$5</f>
        <v/>
      </c>
      <c r="M28" s="33">
        <f>K28+L28</f>
        <v/>
      </c>
      <c r="N28" s="34" t="n">
        <v>0.41</v>
      </c>
      <c r="O28" s="29">
        <f>H28*N28</f>
        <v/>
      </c>
      <c r="P28" s="35" t="n">
        <v>67</v>
      </c>
      <c r="Q28" s="29">
        <f>H28*$H$8</f>
        <v/>
      </c>
      <c r="R28" s="35" t="n">
        <v>25</v>
      </c>
      <c r="S28" s="29">
        <f>H28*$H$4</f>
        <v/>
      </c>
      <c r="T28" s="29">
        <f>J28*$H$3</f>
        <v/>
      </c>
      <c r="U28" s="36" t="n">
        <v>0.9</v>
      </c>
      <c r="V28" s="35" t="n">
        <v>67</v>
      </c>
      <c r="W28" s="29">
        <f>V28*(1-U28)</f>
        <v/>
      </c>
      <c r="X28" s="37" t="n">
        <v>0.58</v>
      </c>
      <c r="Y28" s="29">
        <f>$H$6*$H$7*X28</f>
        <v/>
      </c>
      <c r="Z28" s="33">
        <f>X28*($H$9+$H$10)</f>
        <v/>
      </c>
      <c r="AA28" s="34" t="n">
        <v>0.07000000000000001</v>
      </c>
      <c r="AB28" s="29">
        <f>H28*AA28</f>
        <v/>
      </c>
      <c r="AC28" s="36" t="n">
        <v>0.08</v>
      </c>
      <c r="AD28" s="29">
        <f>H28*AC28</f>
        <v/>
      </c>
      <c r="AE28" s="29">
        <f>AB28+AD28</f>
        <v/>
      </c>
      <c r="AF28" s="38">
        <f>AE28/H28</f>
        <v/>
      </c>
      <c r="AG28" s="39">
        <f>H28-O28-P28-Q28-R28-S28-T28-W28-Y28-Z28-M28-AL28</f>
        <v/>
      </c>
      <c r="AH28" s="40">
        <f>AG28-AE28</f>
        <v/>
      </c>
      <c r="AI28" s="41">
        <f>AH28/H28</f>
        <v/>
      </c>
      <c r="AJ28" s="42">
        <f>AH28/M28</f>
        <v/>
      </c>
      <c r="AK28" s="29">
        <f>(P28+R28+W28+Y28+Z28+M28)/(1-(N28+$H$4+(1-I28)*$H$3+$H$8+$H$11+AA28+AC28))</f>
        <v/>
      </c>
      <c r="AL28" s="29">
        <f>H28*$H$11</f>
        <v/>
      </c>
    </row>
    <row r="29" ht="14.25" customHeight="1" s="66">
      <c r="A29" s="20" t="inlineStr">
        <is>
          <t>Косметика/ENOUGH</t>
        </is>
      </c>
      <c r="B29" s="19" t="n"/>
      <c r="C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</row>
    <row r="30" ht="28.5" customHeight="1" s="66">
      <c r="A30" s="21" t="inlineStr">
        <is>
          <t>ENOUGH - Collagen Moisture Essential Cream [50ml] / Увлажняющий крем для лица с коллагеном</t>
        </is>
      </c>
      <c r="B30" s="58" t="n"/>
      <c r="C30" s="24" t="inlineStr">
        <is>
          <t>260-382 (много подделок)</t>
        </is>
      </c>
      <c r="D30" s="29" t="n">
        <v>8266</v>
      </c>
      <c r="E30" s="49" t="n">
        <v>424</v>
      </c>
      <c r="F30" s="49" t="n">
        <v>166</v>
      </c>
      <c r="G30" s="49" t="n">
        <v>17</v>
      </c>
      <c r="H30" s="49" t="n">
        <v>750</v>
      </c>
      <c r="I30" s="28" t="n">
        <v>0.45</v>
      </c>
      <c r="J30" s="30">
        <f>H30*(1-I30)</f>
        <v/>
      </c>
      <c r="K30" s="31" t="n">
        <v>161.3</v>
      </c>
      <c r="L30" s="32">
        <f>$H$5</f>
        <v/>
      </c>
      <c r="M30" s="33">
        <f>K30+L30</f>
        <v/>
      </c>
      <c r="N30" s="34" t="n">
        <v>0.41</v>
      </c>
      <c r="O30" s="29">
        <f>H30*N30</f>
        <v/>
      </c>
      <c r="P30" s="35" t="n">
        <v>67</v>
      </c>
      <c r="Q30" s="29">
        <f>H30*$H$8</f>
        <v/>
      </c>
      <c r="R30" s="35" t="n">
        <v>25</v>
      </c>
      <c r="S30" s="29">
        <f>H30*$H$4</f>
        <v/>
      </c>
      <c r="T30" s="29">
        <f>J30*$H$3</f>
        <v/>
      </c>
      <c r="U30" s="36" t="n">
        <v>0.9</v>
      </c>
      <c r="V30" s="35" t="n">
        <v>67</v>
      </c>
      <c r="W30" s="29">
        <f>V30*(1-U30)</f>
        <v/>
      </c>
      <c r="X30" s="37" t="n">
        <v>0.72</v>
      </c>
      <c r="Y30" s="29">
        <f>$H$6*$H$7*X30</f>
        <v/>
      </c>
      <c r="Z30" s="33">
        <f>X30*($H$9+$H$10)</f>
        <v/>
      </c>
      <c r="AA30" s="34" t="n">
        <v>0.07000000000000001</v>
      </c>
      <c r="AB30" s="29">
        <f>H30*AA30</f>
        <v/>
      </c>
      <c r="AC30" s="36" t="n">
        <v>0.08</v>
      </c>
      <c r="AD30" s="29">
        <f>H30*AC30</f>
        <v/>
      </c>
      <c r="AE30" s="29">
        <f>AB30+AD30</f>
        <v/>
      </c>
      <c r="AF30" s="38">
        <f>AE30/H30</f>
        <v/>
      </c>
      <c r="AG30" s="39">
        <f>H30-O30-P30-Q30-R30-S30-T30-W30-Y30-Z30-M30-AL30</f>
        <v/>
      </c>
      <c r="AH30" s="40">
        <f>AG30-AE30</f>
        <v/>
      </c>
      <c r="AI30" s="41">
        <f>AH30/H30</f>
        <v/>
      </c>
      <c r="AJ30" s="42">
        <f>AH30/M30</f>
        <v/>
      </c>
      <c r="AK30" s="29">
        <f>(P30+R30+W30+Y30+Z30+M30)/(1-(N30+$H$4+(1-I30)*$H$3+$H$8+$H$11+AA30+AC30))</f>
        <v/>
      </c>
      <c r="AL30" s="29">
        <f>H30*$H$11</f>
        <v/>
      </c>
    </row>
    <row r="31" ht="28.5" customHeight="1" s="66">
      <c r="A31" s="21" t="inlineStr">
        <is>
          <t>ENOUGH - Collagen Whitening Moisture Cream 3in1 [50g] / Антивозрастной отбеливающий крем с коллагеном</t>
        </is>
      </c>
      <c r="B31" s="58" t="n"/>
      <c r="C31" s="24" t="n"/>
      <c r="D31" s="29" t="n">
        <v>761</v>
      </c>
      <c r="E31" s="49" t="n">
        <v>827</v>
      </c>
      <c r="F31" s="49" t="n">
        <v>96</v>
      </c>
      <c r="G31" s="49" t="n">
        <v>20</v>
      </c>
      <c r="H31" s="49">
        <f>(1.25*M31+P31+R31+W31+Y31+Z31)/(1-N31-$H$8-$H$4-(1-I31)*$H$3-$H$11-AA31-AC31)</f>
        <v/>
      </c>
      <c r="I31" s="28" t="n">
        <v>0.45</v>
      </c>
      <c r="J31" s="30">
        <f>H31*(1-I31)</f>
        <v/>
      </c>
      <c r="K31" s="31" t="n">
        <v>183.88</v>
      </c>
      <c r="L31" s="32">
        <f>$H$5</f>
        <v/>
      </c>
      <c r="M31" s="33">
        <f>K31+L31</f>
        <v/>
      </c>
      <c r="N31" s="34" t="n">
        <v>0.41</v>
      </c>
      <c r="O31" s="29">
        <f>H31*N31</f>
        <v/>
      </c>
      <c r="P31" s="35" t="n">
        <v>67</v>
      </c>
      <c r="Q31" s="29">
        <f>H31*$H$8</f>
        <v/>
      </c>
      <c r="R31" s="35" t="n">
        <v>25</v>
      </c>
      <c r="S31" s="29">
        <f>H31*$H$4</f>
        <v/>
      </c>
      <c r="T31" s="29">
        <f>J31*$H$3</f>
        <v/>
      </c>
      <c r="U31" s="36" t="n">
        <v>0.9</v>
      </c>
      <c r="V31" s="35" t="n">
        <v>67</v>
      </c>
      <c r="W31" s="29">
        <f>V31*(1-U31)</f>
        <v/>
      </c>
      <c r="X31" s="37" t="n">
        <v>0.72</v>
      </c>
      <c r="Y31" s="29">
        <f>$H$6*$H$7*X31</f>
        <v/>
      </c>
      <c r="Z31" s="33">
        <f>X31*($H$9+$H$10)</f>
        <v/>
      </c>
      <c r="AA31" s="34" t="n">
        <v>0.07000000000000001</v>
      </c>
      <c r="AB31" s="29">
        <f>H31*AA31</f>
        <v/>
      </c>
      <c r="AC31" s="36" t="n">
        <v>0.08</v>
      </c>
      <c r="AD31" s="29">
        <f>H31*AC31</f>
        <v/>
      </c>
      <c r="AE31" s="29">
        <f>AB31+AD31</f>
        <v/>
      </c>
      <c r="AF31" s="38">
        <f>AE31/H31</f>
        <v/>
      </c>
      <c r="AG31" s="39">
        <f>H31-O31-P31-Q31-R31-S31-T31-W31-Y31-Z31-M31-AL31</f>
        <v/>
      </c>
      <c r="AH31" s="40">
        <f>AG31-AE31</f>
        <v/>
      </c>
      <c r="AI31" s="41">
        <f>AH31/H31</f>
        <v/>
      </c>
      <c r="AJ31" s="42">
        <f>AH31/M31</f>
        <v/>
      </c>
      <c r="AK31" s="29">
        <f>(P31+R31+W31+Y31+Z31+M31)/(1-(N31+$H$4+(1-I31)*$H$3+$H$8+$H$11+AA31+AC31))</f>
        <v/>
      </c>
      <c r="AL31" s="29">
        <f>H31*$H$11</f>
        <v/>
      </c>
    </row>
    <row r="32" ht="28.5" customHeight="1" s="66">
      <c r="A32" s="21" t="inlineStr">
        <is>
          <t>ENOUGH - Collagen Moisture Foundation [Tone 13] / Тональный крем для лица с коллагеном 13 тон</t>
        </is>
      </c>
      <c r="B32" s="52" t="inlineStr">
        <is>
          <t>ФБО</t>
        </is>
      </c>
      <c r="C32" s="24" t="n"/>
      <c r="D32" s="29" t="n">
        <v>1089</v>
      </c>
      <c r="E32" s="49" t="n">
        <v>1980</v>
      </c>
      <c r="F32" s="49" t="n">
        <v>195</v>
      </c>
      <c r="G32" s="49" t="n">
        <v>8</v>
      </c>
      <c r="H32" s="49" t="n">
        <v>1800</v>
      </c>
      <c r="I32" s="28" t="n">
        <v>0.45</v>
      </c>
      <c r="J32" s="30">
        <f>H32*(1-I32)</f>
        <v/>
      </c>
      <c r="K32" s="31" t="n">
        <v>216.45</v>
      </c>
      <c r="L32" s="32">
        <f>$H$5</f>
        <v/>
      </c>
      <c r="M32" s="33">
        <f>K32+L32</f>
        <v/>
      </c>
      <c r="N32" s="34" t="n">
        <v>0.41</v>
      </c>
      <c r="O32" s="29">
        <f>H32*N32</f>
        <v/>
      </c>
      <c r="P32" s="35" t="n">
        <v>67</v>
      </c>
      <c r="Q32" s="29">
        <f>H32*$H$8</f>
        <v/>
      </c>
      <c r="R32" s="35" t="n">
        <v>25</v>
      </c>
      <c r="S32" s="29">
        <f>H32*$H$4</f>
        <v/>
      </c>
      <c r="T32" s="29">
        <f>J32*$H$3</f>
        <v/>
      </c>
      <c r="U32" s="36" t="n">
        <v>0.9</v>
      </c>
      <c r="V32" s="35" t="n">
        <v>67</v>
      </c>
      <c r="W32" s="29">
        <f>V32*(1-U32)</f>
        <v/>
      </c>
      <c r="X32" s="37" t="n">
        <v>0.4</v>
      </c>
      <c r="Y32" s="29">
        <f>$H$6*$H$7*X32</f>
        <v/>
      </c>
      <c r="Z32" s="33">
        <f>X32*($H$9+$H$10)</f>
        <v/>
      </c>
      <c r="AA32" s="34" t="n">
        <v>0.07000000000000001</v>
      </c>
      <c r="AB32" s="29">
        <f>H32*AA32</f>
        <v/>
      </c>
      <c r="AC32" s="36" t="n">
        <v>0.08</v>
      </c>
      <c r="AD32" s="29">
        <f>H32*AC32</f>
        <v/>
      </c>
      <c r="AE32" s="29">
        <f>AB32+AD32</f>
        <v/>
      </c>
      <c r="AF32" s="38">
        <f>AE32/H32</f>
        <v/>
      </c>
      <c r="AG32" s="39">
        <f>H32-O32-P32-Q32-R32-S32-T32-W32-Y32-Z32-M32-AL32</f>
        <v/>
      </c>
      <c r="AH32" s="40">
        <f>AG32-AE32</f>
        <v/>
      </c>
      <c r="AI32" s="41">
        <f>AH32/H32</f>
        <v/>
      </c>
      <c r="AJ32" s="42">
        <f>AH32/M32</f>
        <v/>
      </c>
      <c r="AK32" s="29">
        <f>(P32+R32+W32+Y32+Z32+M32)/(1-(N32+$H$4+(1-I32)*$H$3+$H$8+$H$11+AA32+AC32))</f>
        <v/>
      </c>
      <c r="AL32" s="29">
        <f>H32*$H$11</f>
        <v/>
      </c>
    </row>
    <row r="33" ht="28.5" customHeight="1" s="66">
      <c r="A33" s="21" t="inlineStr">
        <is>
          <t>ENOUGH - Collagen Moisture Foundation [Tone 21] / Тональный крем для лица с коллагеном 21 тон</t>
        </is>
      </c>
      <c r="B33" s="52" t="inlineStr">
        <is>
          <t>ФБО</t>
        </is>
      </c>
      <c r="C33" s="24" t="n"/>
      <c r="D33" s="29" t="n">
        <v>2275</v>
      </c>
      <c r="E33" s="49" t="n">
        <v>1910</v>
      </c>
      <c r="F33" s="49" t="n">
        <v>121</v>
      </c>
      <c r="G33" s="49" t="n">
        <v>7.3</v>
      </c>
      <c r="H33" s="49" t="n">
        <v>1800</v>
      </c>
      <c r="I33" s="28" t="n">
        <v>0.45</v>
      </c>
      <c r="J33" s="30">
        <f>H33*(1-I33)</f>
        <v/>
      </c>
      <c r="K33" s="31" t="n">
        <v>242.88</v>
      </c>
      <c r="L33" s="32">
        <f>$H$5</f>
        <v/>
      </c>
      <c r="M33" s="33">
        <f>K33+L33</f>
        <v/>
      </c>
      <c r="N33" s="34" t="n">
        <v>0.41</v>
      </c>
      <c r="O33" s="29">
        <f>H33*N33</f>
        <v/>
      </c>
      <c r="P33" s="35" t="n">
        <v>67</v>
      </c>
      <c r="Q33" s="29">
        <f>H33*$H$8</f>
        <v/>
      </c>
      <c r="R33" s="35" t="n">
        <v>25</v>
      </c>
      <c r="S33" s="29">
        <f>H33*$H$4</f>
        <v/>
      </c>
      <c r="T33" s="29">
        <f>J33*$H$3</f>
        <v/>
      </c>
      <c r="U33" s="36" t="n">
        <v>0.9</v>
      </c>
      <c r="V33" s="35" t="n">
        <v>67</v>
      </c>
      <c r="W33" s="29">
        <f>V33*(1-U33)</f>
        <v/>
      </c>
      <c r="X33" s="37" t="n">
        <v>0.4</v>
      </c>
      <c r="Y33" s="29">
        <f>$H$6*$H$7*X33</f>
        <v/>
      </c>
      <c r="Z33" s="33">
        <f>X33*($H$9+$H$10)</f>
        <v/>
      </c>
      <c r="AA33" s="34" t="n">
        <v>0.07000000000000001</v>
      </c>
      <c r="AB33" s="29">
        <f>H33*AA33</f>
        <v/>
      </c>
      <c r="AC33" s="36" t="n">
        <v>0.08</v>
      </c>
      <c r="AD33" s="29">
        <f>H33*AC33</f>
        <v/>
      </c>
      <c r="AE33" s="29">
        <f>AB33+AD33</f>
        <v/>
      </c>
      <c r="AF33" s="38">
        <f>AE33/H33</f>
        <v/>
      </c>
      <c r="AG33" s="39">
        <f>H33-O33-P33-Q33-R33-S33-T33-W33-Y33-Z33-M33-AL33</f>
        <v/>
      </c>
      <c r="AH33" s="40">
        <f>AG33-AE33</f>
        <v/>
      </c>
      <c r="AI33" s="41">
        <f>AH33/H33</f>
        <v/>
      </c>
      <c r="AJ33" s="42">
        <f>AH33/M33</f>
        <v/>
      </c>
      <c r="AK33" s="29">
        <f>(P33+R33+W33+Y33+Z33+M33)/(1-(N33+$H$4+(1-I33)*$H$3+$H$8+$H$11+AA33+AC33))</f>
        <v/>
      </c>
      <c r="AL33" s="29">
        <f>H33*$H$11</f>
        <v/>
      </c>
    </row>
    <row r="34" ht="28.5" customHeight="1" s="66">
      <c r="A34" s="21" t="inlineStr">
        <is>
          <t>ENOUGH - Gold Snail Moisture Foundation [Tone 13] / Тональный крем с муцином улитки 13 тон</t>
        </is>
      </c>
      <c r="B34" s="58" t="n"/>
      <c r="C34" s="24" t="n"/>
      <c r="D34" s="29" t="n">
        <v>95</v>
      </c>
      <c r="E34" s="49" t="n">
        <v>1456</v>
      </c>
      <c r="F34" s="49" t="n">
        <v>109</v>
      </c>
      <c r="G34" s="49" t="n">
        <v>9</v>
      </c>
      <c r="H34" s="49" t="n">
        <v>1356</v>
      </c>
      <c r="I34" s="28" t="n">
        <v>0.45</v>
      </c>
      <c r="J34" s="30">
        <f>H34*(1-I34)</f>
        <v/>
      </c>
      <c r="K34" s="31" t="n">
        <v>245.65</v>
      </c>
      <c r="L34" s="32">
        <f>$H$5</f>
        <v/>
      </c>
      <c r="M34" s="33">
        <f>K34+L34</f>
        <v/>
      </c>
      <c r="N34" s="34" t="n">
        <v>0.41</v>
      </c>
      <c r="O34" s="29">
        <f>H34*N34</f>
        <v/>
      </c>
      <c r="P34" s="35" t="n">
        <v>67</v>
      </c>
      <c r="Q34" s="29">
        <f>H34*$H$8</f>
        <v/>
      </c>
      <c r="R34" s="35" t="n">
        <v>25</v>
      </c>
      <c r="S34" s="29">
        <f>H34*$H$4</f>
        <v/>
      </c>
      <c r="T34" s="29">
        <f>J34*$H$3</f>
        <v/>
      </c>
      <c r="U34" s="36" t="n">
        <v>0.9</v>
      </c>
      <c r="V34" s="35" t="n">
        <v>67</v>
      </c>
      <c r="W34" s="29">
        <f>V34*(1-U34)</f>
        <v/>
      </c>
      <c r="X34" s="37" t="n">
        <v>0.4</v>
      </c>
      <c r="Y34" s="29">
        <f>$H$6*$H$7*X34</f>
        <v/>
      </c>
      <c r="Z34" s="33">
        <f>X34*($H$9+$H$10)</f>
        <v/>
      </c>
      <c r="AA34" s="34" t="n">
        <v>0.07000000000000001</v>
      </c>
      <c r="AB34" s="29">
        <f>H34*AA34</f>
        <v/>
      </c>
      <c r="AC34" s="36" t="n">
        <v>0.08</v>
      </c>
      <c r="AD34" s="29">
        <f>H34*AC34</f>
        <v/>
      </c>
      <c r="AE34" s="29">
        <f>AB34+AD34</f>
        <v/>
      </c>
      <c r="AF34" s="38">
        <f>AE34/H34</f>
        <v/>
      </c>
      <c r="AG34" s="39">
        <f>H34-O34-P34-Q34-R34-S34-T34-W34-Y34-Z34-M34-AL34</f>
        <v/>
      </c>
      <c r="AH34" s="40">
        <f>AG34-AE34</f>
        <v/>
      </c>
      <c r="AI34" s="41">
        <f>AH34/H34</f>
        <v/>
      </c>
      <c r="AJ34" s="42">
        <f>AH34/M34</f>
        <v/>
      </c>
      <c r="AK34" s="29">
        <f>(P34+R34+W34+Y34+Z34+M34)/(1-(N34+$H$4+(1-I34)*$H$3+$H$8+$H$11+AA34+AC34))</f>
        <v/>
      </c>
      <c r="AL34" s="29">
        <f>H34*$H$11</f>
        <v/>
      </c>
    </row>
    <row r="35" ht="28.5" customHeight="1" s="66">
      <c r="A35" s="21" t="inlineStr">
        <is>
          <t>ENOUGH - Gold Snail Moisture Foundation [Tone 21] / Тональный крем с муцином улитки 21 тон</t>
        </is>
      </c>
      <c r="B35" s="58" t="n"/>
      <c r="C35" s="24" t="n"/>
      <c r="D35" s="29" t="n">
        <v>101</v>
      </c>
      <c r="E35" s="49" t="n">
        <v>1345</v>
      </c>
      <c r="F35" s="49" t="n">
        <v>114</v>
      </c>
      <c r="G35" s="49" t="n">
        <v>0</v>
      </c>
      <c r="H35" s="49" t="n">
        <v>1280</v>
      </c>
      <c r="I35" s="28" t="n">
        <v>0.45</v>
      </c>
      <c r="J35" s="30">
        <f>H35*(1-I35)</f>
        <v/>
      </c>
      <c r="K35" s="31" t="n">
        <v>270.81</v>
      </c>
      <c r="L35" s="32">
        <f>$H$5</f>
        <v/>
      </c>
      <c r="M35" s="33">
        <f>K35+L35</f>
        <v/>
      </c>
      <c r="N35" s="34" t="n">
        <v>0.41</v>
      </c>
      <c r="O35" s="29">
        <f>H35*N35</f>
        <v/>
      </c>
      <c r="P35" s="35" t="n">
        <v>67</v>
      </c>
      <c r="Q35" s="29">
        <f>H35*$H$8</f>
        <v/>
      </c>
      <c r="R35" s="35" t="n">
        <v>25</v>
      </c>
      <c r="S35" s="29">
        <f>H35*$H$4</f>
        <v/>
      </c>
      <c r="T35" s="29">
        <f>J35*$H$3</f>
        <v/>
      </c>
      <c r="U35" s="36" t="n">
        <v>0.9</v>
      </c>
      <c r="V35" s="35" t="n">
        <v>67</v>
      </c>
      <c r="W35" s="29">
        <f>V35*(1-U35)</f>
        <v/>
      </c>
      <c r="X35" s="37" t="n">
        <v>0.4</v>
      </c>
      <c r="Y35" s="29">
        <f>$H$6*$H$7*X35</f>
        <v/>
      </c>
      <c r="Z35" s="33">
        <f>X35*($H$9+$H$10)</f>
        <v/>
      </c>
      <c r="AA35" s="34" t="n">
        <v>0.07000000000000001</v>
      </c>
      <c r="AB35" s="29">
        <f>H35*AA35</f>
        <v/>
      </c>
      <c r="AC35" s="36" t="n">
        <v>0.08</v>
      </c>
      <c r="AD35" s="29">
        <f>H35*AC35</f>
        <v/>
      </c>
      <c r="AE35" s="29">
        <f>AB35+AD35</f>
        <v/>
      </c>
      <c r="AF35" s="38">
        <f>AE35/H35</f>
        <v/>
      </c>
      <c r="AG35" s="39">
        <f>H35-O35-P35-Q35-R35-S35-T35-W35-Y35-Z35-M35-AL35</f>
        <v/>
      </c>
      <c r="AH35" s="40">
        <f>AG35-AE35</f>
        <v/>
      </c>
      <c r="AI35" s="41">
        <f>AH35/H35</f>
        <v/>
      </c>
      <c r="AJ35" s="42">
        <f>AH35/M35</f>
        <v/>
      </c>
      <c r="AK35" s="29">
        <f>(P35+R35+W35+Y35+Z35+M35)/(1-(N35+$H$4+(1-I35)*$H$3+$H$8+$H$11+AA35+AC35))</f>
        <v/>
      </c>
      <c r="AL35" s="29">
        <f>H35*$H$11</f>
        <v/>
      </c>
    </row>
    <row r="36" ht="28.5" customHeight="1" s="66">
      <c r="A36" s="21" t="inlineStr">
        <is>
          <t>ENOUGH - Collagen 3in1 Whitening Moisture Foundation [Tone 13] / Тональный крем для лица с коллагеном 3в1 [13 тон]</t>
        </is>
      </c>
      <c r="B36" s="58" t="n"/>
      <c r="C36" s="24" t="n"/>
      <c r="D36" s="29" t="n">
        <v>247</v>
      </c>
      <c r="E36" s="49" t="n">
        <v>1732</v>
      </c>
      <c r="F36" s="49" t="n">
        <v>51</v>
      </c>
      <c r="G36" s="49" t="n">
        <v>9</v>
      </c>
      <c r="H36" s="49" t="n">
        <v>1600</v>
      </c>
      <c r="I36" s="28" t="n">
        <v>0.45</v>
      </c>
      <c r="J36" s="30">
        <f>H36*(1-I36)</f>
        <v/>
      </c>
      <c r="K36" s="31" t="n">
        <v>238.13</v>
      </c>
      <c r="L36" s="32">
        <f>$H$5</f>
        <v/>
      </c>
      <c r="M36" s="33">
        <f>K36+L36</f>
        <v/>
      </c>
      <c r="N36" s="34" t="n">
        <v>0.41</v>
      </c>
      <c r="O36" s="29">
        <f>H36*N36</f>
        <v/>
      </c>
      <c r="P36" s="35" t="n">
        <v>67</v>
      </c>
      <c r="Q36" s="29">
        <f>H36*$H$8</f>
        <v/>
      </c>
      <c r="R36" s="35" t="n">
        <v>25</v>
      </c>
      <c r="S36" s="29">
        <f>H36*$H$4</f>
        <v/>
      </c>
      <c r="T36" s="29">
        <f>J36*$H$3</f>
        <v/>
      </c>
      <c r="U36" s="36" t="n">
        <v>0.9</v>
      </c>
      <c r="V36" s="35" t="n">
        <v>67</v>
      </c>
      <c r="W36" s="29">
        <f>V36*(1-U36)</f>
        <v/>
      </c>
      <c r="X36" s="37" t="n">
        <v>0.4</v>
      </c>
      <c r="Y36" s="29">
        <f>$H$6*$H$7*X36</f>
        <v/>
      </c>
      <c r="Z36" s="33">
        <f>X36*($H$9+$H$10)</f>
        <v/>
      </c>
      <c r="AA36" s="34" t="n">
        <v>0.07000000000000001</v>
      </c>
      <c r="AB36" s="29">
        <f>H36*AA36</f>
        <v/>
      </c>
      <c r="AC36" s="36" t="n">
        <v>0.08</v>
      </c>
      <c r="AD36" s="29">
        <f>H36*AC36</f>
        <v/>
      </c>
      <c r="AE36" s="29">
        <f>AB36+AD36</f>
        <v/>
      </c>
      <c r="AF36" s="38">
        <f>AE36/H36</f>
        <v/>
      </c>
      <c r="AG36" s="39">
        <f>H36-O36-P36-Q36-R36-S36-T36-W36-Y36-Z36-M36-AL36</f>
        <v/>
      </c>
      <c r="AH36" s="40">
        <f>AG36-AE36</f>
        <v/>
      </c>
      <c r="AI36" s="41">
        <f>AH36/H36</f>
        <v/>
      </c>
      <c r="AJ36" s="42">
        <f>AH36/M36</f>
        <v/>
      </c>
      <c r="AK36" s="29">
        <f>(P36+R36+W36+Y36+Z36+M36)/(1-(N36+$H$4+(1-I36)*$H$3+$H$8+$H$11+AA36+AC36))</f>
        <v/>
      </c>
      <c r="AL36" s="29">
        <f>H36*$H$11</f>
        <v/>
      </c>
    </row>
    <row r="37" ht="28.5" customHeight="1" s="66">
      <c r="A37" s="21" t="inlineStr">
        <is>
          <t>ENOUGH - Collagen 3in1 Whitening Moisture Foundation [Tone 21] / Тональный крем для лица с коллагеном 3в1 [21 тон]</t>
        </is>
      </c>
      <c r="B37" s="58" t="n"/>
      <c r="C37" s="24" t="n"/>
      <c r="D37" s="29" t="n">
        <v>78</v>
      </c>
      <c r="E37" s="49" t="n">
        <v>1038</v>
      </c>
      <c r="F37" s="49" t="n">
        <v>65</v>
      </c>
      <c r="G37" s="49" t="n">
        <v>12</v>
      </c>
      <c r="H37" s="49" t="n">
        <v>1000</v>
      </c>
      <c r="I37" s="28" t="n">
        <v>0.45</v>
      </c>
      <c r="J37" s="30">
        <f>H37*(1-I37)</f>
        <v/>
      </c>
      <c r="K37" s="31" t="n">
        <v>223.35</v>
      </c>
      <c r="L37" s="32">
        <f>$H$5</f>
        <v/>
      </c>
      <c r="M37" s="33">
        <f>K37+L37</f>
        <v/>
      </c>
      <c r="N37" s="34" t="n">
        <v>0.41</v>
      </c>
      <c r="O37" s="29">
        <f>H37*N37</f>
        <v/>
      </c>
      <c r="P37" s="35" t="n">
        <v>67</v>
      </c>
      <c r="Q37" s="29">
        <f>H37*$H$8</f>
        <v/>
      </c>
      <c r="R37" s="35" t="n">
        <v>25</v>
      </c>
      <c r="S37" s="29">
        <f>H37*$H$4</f>
        <v/>
      </c>
      <c r="T37" s="29">
        <f>J37*$H$3</f>
        <v/>
      </c>
      <c r="U37" s="36" t="n">
        <v>0.9</v>
      </c>
      <c r="V37" s="35" t="n">
        <v>67</v>
      </c>
      <c r="W37" s="29">
        <f>V37*(1-U37)</f>
        <v/>
      </c>
      <c r="X37" s="37" t="n">
        <v>0.4</v>
      </c>
      <c r="Y37" s="29">
        <f>$H$6*$H$7*X37</f>
        <v/>
      </c>
      <c r="Z37" s="33">
        <f>X37*($H$9+$H$10)</f>
        <v/>
      </c>
      <c r="AA37" s="34" t="n">
        <v>0.07000000000000001</v>
      </c>
      <c r="AB37" s="29">
        <f>H37*AA37</f>
        <v/>
      </c>
      <c r="AC37" s="36" t="n">
        <v>0.08</v>
      </c>
      <c r="AD37" s="29">
        <f>H37*AC37</f>
        <v/>
      </c>
      <c r="AE37" s="29">
        <f>AB37+AD37</f>
        <v/>
      </c>
      <c r="AF37" s="38">
        <f>AE37/H37</f>
        <v/>
      </c>
      <c r="AG37" s="39">
        <f>H37-O37-P37-Q37-R37-S37-T37-W37-Y37-Z37-M37-AL37</f>
        <v/>
      </c>
      <c r="AH37" s="40">
        <f>AG37-AE37</f>
        <v/>
      </c>
      <c r="AI37" s="41">
        <f>AH37/H37</f>
        <v/>
      </c>
      <c r="AJ37" s="42">
        <f>AH37/M37</f>
        <v/>
      </c>
      <c r="AK37" s="29">
        <f>(P37+R37+W37+Y37+Z37+M37)/(1-(N37+$H$4+(1-I37)*$H$3+$H$8+$H$11+AA37+AC37))</f>
        <v/>
      </c>
      <c r="AL37" s="29">
        <f>H37*$H$11</f>
        <v/>
      </c>
    </row>
    <row r="38" ht="28.5" customHeight="1" s="66">
      <c r="A38" s="21" t="inlineStr">
        <is>
          <t>ENOUGH - Premium 8 Peptide Full Cover Perfect Foundation [Tone 13] / Тональный крем с пептидами 13 тон</t>
        </is>
      </c>
      <c r="B38" s="58" t="n"/>
      <c r="C38" s="24" t="n"/>
      <c r="D38" s="29" t="n">
        <v>463</v>
      </c>
      <c r="E38" s="49" t="n">
        <v>1330</v>
      </c>
      <c r="F38" s="49" t="n">
        <v>180</v>
      </c>
      <c r="G38" s="49" t="n">
        <v>0</v>
      </c>
      <c r="H38" s="49" t="n">
        <v>1290</v>
      </c>
      <c r="I38" s="28" t="n">
        <v>0.45</v>
      </c>
      <c r="J38" s="30">
        <f>H38*(1-I38)</f>
        <v/>
      </c>
      <c r="K38" s="31" t="n">
        <v>335.9</v>
      </c>
      <c r="L38" s="32">
        <f>$H$5</f>
        <v/>
      </c>
      <c r="M38" s="33">
        <f>K38+L38</f>
        <v/>
      </c>
      <c r="N38" s="34" t="n">
        <v>0.41</v>
      </c>
      <c r="O38" s="29">
        <f>H38*N38</f>
        <v/>
      </c>
      <c r="P38" s="35" t="n">
        <v>67</v>
      </c>
      <c r="Q38" s="29">
        <f>H38*$H$8</f>
        <v/>
      </c>
      <c r="R38" s="35" t="n">
        <v>25</v>
      </c>
      <c r="S38" s="29">
        <f>H38*$H$4</f>
        <v/>
      </c>
      <c r="T38" s="29">
        <f>J38*$H$3</f>
        <v/>
      </c>
      <c r="U38" s="36" t="n">
        <v>0.9</v>
      </c>
      <c r="V38" s="35" t="n">
        <v>67</v>
      </c>
      <c r="W38" s="29">
        <f>V38*(1-U38)</f>
        <v/>
      </c>
      <c r="X38" s="37" t="n">
        <v>0.4</v>
      </c>
      <c r="Y38" s="29">
        <f>$H$6*$H$7*X38</f>
        <v/>
      </c>
      <c r="Z38" s="33">
        <f>X38*($H$9+$H$10)</f>
        <v/>
      </c>
      <c r="AA38" s="34" t="n">
        <v>0.07000000000000001</v>
      </c>
      <c r="AB38" s="29">
        <f>H38*AA38</f>
        <v/>
      </c>
      <c r="AC38" s="36" t="n">
        <v>0.08</v>
      </c>
      <c r="AD38" s="29">
        <f>H38*AC38</f>
        <v/>
      </c>
      <c r="AE38" s="29">
        <f>AB38+AD38</f>
        <v/>
      </c>
      <c r="AF38" s="38">
        <f>AE38/H38</f>
        <v/>
      </c>
      <c r="AG38" s="39">
        <f>H38-O38-P38-Q38-R38-S38-T38-W38-Y38-Z38-M38-AL38</f>
        <v/>
      </c>
      <c r="AH38" s="40">
        <f>AG38-AE38</f>
        <v/>
      </c>
      <c r="AI38" s="41">
        <f>AH38/H38</f>
        <v/>
      </c>
      <c r="AJ38" s="42">
        <f>AH38/M38</f>
        <v/>
      </c>
      <c r="AK38" s="29">
        <f>(P38+R38+W38+Y38+Z38+M38)/(1-(N38+$H$4+(1-I38)*$H$3+$H$8+$H$11+AA38+AC38))</f>
        <v/>
      </c>
      <c r="AL38" s="29">
        <f>H38*$H$11</f>
        <v/>
      </c>
    </row>
    <row r="39" ht="28.5" customHeight="1" s="66">
      <c r="A39" s="21" t="inlineStr">
        <is>
          <t>ENOUGH - Premium 8 Peptide Full Cover Perfect Foundation [Tone 21] / Тональный крем с пептидами 21 тон</t>
        </is>
      </c>
      <c r="B39" s="58" t="n"/>
      <c r="C39" s="24" t="n"/>
      <c r="D39" s="29" t="n">
        <v>208</v>
      </c>
      <c r="E39" s="49" t="n">
        <v>1330</v>
      </c>
      <c r="F39" s="49" t="n">
        <v>265</v>
      </c>
      <c r="G39" s="49" t="n">
        <v>0</v>
      </c>
      <c r="H39" s="49">
        <f>(1.25*M39+P39+R39+W39+Y39+Z39)/(1-N39-$H$8-$H$4-(1-I39)*$H$3-$H$11-AA39-AC39)</f>
        <v/>
      </c>
      <c r="I39" s="28" t="n">
        <v>0.45</v>
      </c>
      <c r="J39" s="30">
        <f>H39*(1-I39)</f>
        <v/>
      </c>
      <c r="K39" s="31" t="n">
        <v>304.77</v>
      </c>
      <c r="L39" s="32">
        <f>$H$5</f>
        <v/>
      </c>
      <c r="M39" s="33">
        <f>K39+L39</f>
        <v/>
      </c>
      <c r="N39" s="34" t="n">
        <v>0.41</v>
      </c>
      <c r="O39" s="29">
        <f>H39*N39</f>
        <v/>
      </c>
      <c r="P39" s="35" t="n">
        <v>67</v>
      </c>
      <c r="Q39" s="29">
        <f>H39*$H$8</f>
        <v/>
      </c>
      <c r="R39" s="35" t="n">
        <v>25</v>
      </c>
      <c r="S39" s="29">
        <f>H39*$H$4</f>
        <v/>
      </c>
      <c r="T39" s="29">
        <f>J39*$H$3</f>
        <v/>
      </c>
      <c r="U39" s="36" t="n">
        <v>0.9</v>
      </c>
      <c r="V39" s="35" t="n">
        <v>67</v>
      </c>
      <c r="W39" s="29">
        <f>V39*(1-U39)</f>
        <v/>
      </c>
      <c r="X39" s="37" t="n">
        <v>0.4</v>
      </c>
      <c r="Y39" s="29">
        <f>$H$6*$H$7*X39</f>
        <v/>
      </c>
      <c r="Z39" s="33">
        <f>X39*($H$9+$H$10)</f>
        <v/>
      </c>
      <c r="AA39" s="34" t="n">
        <v>0.07000000000000001</v>
      </c>
      <c r="AB39" s="29">
        <f>H39*AA39</f>
        <v/>
      </c>
      <c r="AC39" s="36" t="n">
        <v>0.08</v>
      </c>
      <c r="AD39" s="29">
        <f>H39*AC39</f>
        <v/>
      </c>
      <c r="AE39" s="29">
        <f>AB39+AD39</f>
        <v/>
      </c>
      <c r="AF39" s="38">
        <f>AE39/H39</f>
        <v/>
      </c>
      <c r="AG39" s="39">
        <f>H39-O39-P39-Q39-R39-S39-T39-W39-Y39-Z39-M39-AL39</f>
        <v/>
      </c>
      <c r="AH39" s="40">
        <f>AG39-AE39</f>
        <v/>
      </c>
      <c r="AI39" s="41">
        <f>AH39/H39</f>
        <v/>
      </c>
      <c r="AJ39" s="42">
        <f>AH39/M39</f>
        <v/>
      </c>
      <c r="AK39" s="29">
        <f>(P39+R39+W39+Y39+Z39+M39)/(1-(N39+$H$4+(1-I39)*$H$3+$H$8+$H$11+AA39+AC39))</f>
        <v/>
      </c>
      <c r="AL39" s="29">
        <f>H39*$H$11</f>
        <v/>
      </c>
    </row>
    <row r="40" ht="28.5" customHeight="1" s="66">
      <c r="A40" s="21" t="inlineStr">
        <is>
          <t>ENOUGH Collagen whitening cover tip concealer #01 [9g]/Консилер для лица (основная карточка) 4.5 рейтинг</t>
        </is>
      </c>
      <c r="B40" s="58" t="n"/>
      <c r="C40" s="24" t="inlineStr">
        <is>
          <t>добавлено в расчет: цена под ROI 25%, объем оценочный</t>
        </is>
      </c>
      <c r="D40" s="29" t="n">
        <v>593</v>
      </c>
      <c r="E40" s="49" t="n"/>
      <c r="F40" s="49" t="n"/>
      <c r="G40" s="49" t="n"/>
      <c r="H40" s="49">
        <f>(1.25*M40+P40+R40+W40+Y40+Z40)/(1-N40-$H$8-$H$4-(1-I40)*$H$3-$H$11-AA40-AC40)</f>
        <v/>
      </c>
      <c r="I40" s="28" t="n">
        <v>0.45</v>
      </c>
      <c r="J40" s="30">
        <f>H40*(1-I40)</f>
        <v/>
      </c>
      <c r="K40" s="31" t="n">
        <v>183.24</v>
      </c>
      <c r="L40" s="32">
        <f>$H$5</f>
        <v/>
      </c>
      <c r="M40" s="33">
        <f>K40+L40</f>
        <v/>
      </c>
      <c r="N40" s="34" t="n">
        <v>0.41</v>
      </c>
      <c r="O40" s="29">
        <f>H40*N40</f>
        <v/>
      </c>
      <c r="P40" s="35" t="n">
        <v>56</v>
      </c>
      <c r="Q40" s="29">
        <f>H40*$H$8</f>
        <v/>
      </c>
      <c r="R40" s="35" t="n">
        <v>25</v>
      </c>
      <c r="S40" s="29">
        <f>H40*$H$4</f>
        <v/>
      </c>
      <c r="T40" s="29">
        <f>J40*$H$3</f>
        <v/>
      </c>
      <c r="U40" s="36" t="n">
        <v>0.9</v>
      </c>
      <c r="V40" s="35" t="n">
        <v>56</v>
      </c>
      <c r="W40" s="29">
        <f>V40*(1-U40)</f>
        <v/>
      </c>
      <c r="X40" s="37" t="n">
        <v>0.18</v>
      </c>
      <c r="Y40" s="29">
        <f>$H$6*$H$7*X40</f>
        <v/>
      </c>
      <c r="Z40" s="33">
        <f>X40*($H$9+$H$10)</f>
        <v/>
      </c>
      <c r="AA40" s="34" t="n">
        <v>0.07000000000000001</v>
      </c>
      <c r="AB40" s="29">
        <f>H40*AA40</f>
        <v/>
      </c>
      <c r="AC40" s="36" t="n">
        <v>0.08</v>
      </c>
      <c r="AD40" s="29">
        <f>H40*AC40</f>
        <v/>
      </c>
      <c r="AE40" s="29">
        <f>AB40+AD40</f>
        <v/>
      </c>
      <c r="AF40" s="38">
        <f>AE40/H40</f>
        <v/>
      </c>
      <c r="AG40" s="39">
        <f>H40-O40-P40-Q40-R40-S40-T40-W40-Y40-Z40-M40-AL40</f>
        <v/>
      </c>
      <c r="AH40" s="40">
        <f>AG40-AE40</f>
        <v/>
      </c>
      <c r="AI40" s="41">
        <f>AH40/H40</f>
        <v/>
      </c>
      <c r="AJ40" s="42">
        <f>AH40/M40</f>
        <v/>
      </c>
      <c r="AK40" s="29">
        <f>(P40+R40+W40+Y40+Z40+M40)/(1-(N40+$H$4+(1-I40)*$H$3+$H$8+$H$11+AA40+AC40))</f>
        <v/>
      </c>
      <c r="AL40">
        <f>H40*$H$11</f>
        <v/>
      </c>
    </row>
    <row r="41" ht="28.5" customHeight="1" s="66">
      <c r="A41" s="21" t="inlineStr">
        <is>
          <t>ENOUGH Collagen whitening cover tip concealer #02 [9g]/Консилер для лица (основная карточка)</t>
        </is>
      </c>
      <c r="B41" s="58" t="n"/>
      <c r="C41" s="24" t="inlineStr">
        <is>
          <t>добавлено в расчет: цена под ROI 25%, объем оценочный</t>
        </is>
      </c>
      <c r="D41" s="29" t="n">
        <v>757</v>
      </c>
      <c r="E41" s="49" t="n"/>
      <c r="F41" s="49" t="n"/>
      <c r="G41" s="49" t="n"/>
      <c r="H41" s="49">
        <f>(1.25*M41+P41+R41+W41+Y41+Z41)/(1-N41-$H$8-$H$4-(1-I41)*$H$3-$H$11-AA41-AC41)</f>
        <v/>
      </c>
      <c r="I41" s="28" t="n">
        <v>0.45</v>
      </c>
      <c r="J41" s="30">
        <f>H41*(1-I41)</f>
        <v/>
      </c>
      <c r="K41" s="31" t="n">
        <v>183.24</v>
      </c>
      <c r="L41" s="32">
        <f>$H$5</f>
        <v/>
      </c>
      <c r="M41" s="33">
        <f>K41+L41</f>
        <v/>
      </c>
      <c r="N41" s="34" t="n">
        <v>0.41</v>
      </c>
      <c r="O41" s="29">
        <f>H41*N41</f>
        <v/>
      </c>
      <c r="P41" s="35" t="n">
        <v>56</v>
      </c>
      <c r="Q41" s="29">
        <f>H41*$H$8</f>
        <v/>
      </c>
      <c r="R41" s="35" t="n">
        <v>25</v>
      </c>
      <c r="S41" s="29">
        <f>H41*$H$4</f>
        <v/>
      </c>
      <c r="T41" s="29">
        <f>J41*$H$3</f>
        <v/>
      </c>
      <c r="U41" s="36" t="n">
        <v>0.9</v>
      </c>
      <c r="V41" s="35" t="n">
        <v>56</v>
      </c>
      <c r="W41" s="29">
        <f>V41*(1-U41)</f>
        <v/>
      </c>
      <c r="X41" s="37" t="n">
        <v>0.18</v>
      </c>
      <c r="Y41" s="29">
        <f>$H$6*$H$7*X41</f>
        <v/>
      </c>
      <c r="Z41" s="33">
        <f>X41*($H$9+$H$10)</f>
        <v/>
      </c>
      <c r="AA41" s="34" t="n">
        <v>0.07000000000000001</v>
      </c>
      <c r="AB41" s="29">
        <f>H41*AA41</f>
        <v/>
      </c>
      <c r="AC41" s="36" t="n">
        <v>0.08</v>
      </c>
      <c r="AD41" s="29">
        <f>H41*AC41</f>
        <v/>
      </c>
      <c r="AE41" s="29">
        <f>AB41+AD41</f>
        <v/>
      </c>
      <c r="AF41" s="38">
        <f>AE41/H41</f>
        <v/>
      </c>
      <c r="AG41" s="39">
        <f>H41-O41-P41-Q41-R41-S41-T41-W41-Y41-Z41-M41-AL41</f>
        <v/>
      </c>
      <c r="AH41" s="40">
        <f>AG41-AE41</f>
        <v/>
      </c>
      <c r="AI41" s="41">
        <f>AH41/H41</f>
        <v/>
      </c>
      <c r="AJ41" s="42">
        <f>AH41/M41</f>
        <v/>
      </c>
      <c r="AK41" s="29">
        <f>(P41+R41+W41+Y41+Z41+M41)/(1-(N41+$H$4+(1-I41)*$H$3+$H$8+$H$11+AA41+AC41))</f>
        <v/>
      </c>
      <c r="AL41">
        <f>H41*$H$11</f>
        <v/>
      </c>
    </row>
    <row r="42" ht="28.5" customHeight="1" s="66">
      <c r="A42" s="21" t="inlineStr">
        <is>
          <t>ENOUGH Collagen whitening cover tip concealer #03 [9g]/ Консилер для лица (основаная карточка)</t>
        </is>
      </c>
      <c r="B42" s="58" t="n"/>
      <c r="C42" s="24" t="inlineStr">
        <is>
          <t>добавлено в расчет: цена под ROI 25%, объем оценочный</t>
        </is>
      </c>
      <c r="D42" s="29" t="n">
        <v>810</v>
      </c>
      <c r="E42" s="49" t="n"/>
      <c r="F42" s="49" t="n"/>
      <c r="G42" s="49" t="n"/>
      <c r="H42" s="49">
        <f>(1.25*M42+P42+R42+W42+Y42+Z42)/(1-N42-$H$8-$H$4-(1-I42)*$H$3-$H$11-AA42-AC42)</f>
        <v/>
      </c>
      <c r="I42" s="28" t="n">
        <v>0.45</v>
      </c>
      <c r="J42" s="30">
        <f>H42*(1-I42)</f>
        <v/>
      </c>
      <c r="K42" s="31" t="n">
        <v>183.24</v>
      </c>
      <c r="L42" s="32">
        <f>$H$5</f>
        <v/>
      </c>
      <c r="M42" s="33">
        <f>K42+L42</f>
        <v/>
      </c>
      <c r="N42" s="34" t="n">
        <v>0.41</v>
      </c>
      <c r="O42" s="29">
        <f>H42*N42</f>
        <v/>
      </c>
      <c r="P42" s="35" t="n">
        <v>56</v>
      </c>
      <c r="Q42" s="29">
        <f>H42*$H$8</f>
        <v/>
      </c>
      <c r="R42" s="35" t="n">
        <v>25</v>
      </c>
      <c r="S42" s="29">
        <f>H42*$H$4</f>
        <v/>
      </c>
      <c r="T42" s="29">
        <f>J42*$H$3</f>
        <v/>
      </c>
      <c r="U42" s="36" t="n">
        <v>0.9</v>
      </c>
      <c r="V42" s="35" t="n">
        <v>56</v>
      </c>
      <c r="W42" s="29">
        <f>V42*(1-U42)</f>
        <v/>
      </c>
      <c r="X42" s="37" t="n">
        <v>0.18</v>
      </c>
      <c r="Y42" s="29">
        <f>$H$6*$H$7*X42</f>
        <v/>
      </c>
      <c r="Z42" s="33">
        <f>X42*($H$9+$H$10)</f>
        <v/>
      </c>
      <c r="AA42" s="34" t="n">
        <v>0.07000000000000001</v>
      </c>
      <c r="AB42" s="29">
        <f>H42*AA42</f>
        <v/>
      </c>
      <c r="AC42" s="36" t="n">
        <v>0.08</v>
      </c>
      <c r="AD42" s="29">
        <f>H42*AC42</f>
        <v/>
      </c>
      <c r="AE42" s="29">
        <f>AB42+AD42</f>
        <v/>
      </c>
      <c r="AF42" s="38">
        <f>AE42/H42</f>
        <v/>
      </c>
      <c r="AG42" s="39">
        <f>H42-O42-P42-Q42-R42-S42-T42-W42-Y42-Z42-M42-AL42</f>
        <v/>
      </c>
      <c r="AH42" s="40">
        <f>AG42-AE42</f>
        <v/>
      </c>
      <c r="AI42" s="41">
        <f>AH42/H42</f>
        <v/>
      </c>
      <c r="AJ42" s="42">
        <f>AH42/M42</f>
        <v/>
      </c>
      <c r="AK42" s="29">
        <f>(P42+R42+W42+Y42+Z42+M42)/(1-(N42+$H$4+(1-I42)*$H$3+$H$8+$H$11+AA42+AC42))</f>
        <v/>
      </c>
      <c r="AL42">
        <f>H42*$H$11</f>
        <v/>
      </c>
    </row>
    <row r="43" ht="28.5" customHeight="1" s="66">
      <c r="A43" s="21" t="inlineStr">
        <is>
          <t>ENOUGH - Collagen Moisture BB Cream SPF47 PA+++ [50ml] / Увлажняющий BB крем с коллагеном</t>
        </is>
      </c>
      <c r="B43" s="58" t="n"/>
      <c r="C43" s="24" t="n"/>
      <c r="D43" s="29" t="n">
        <v>722</v>
      </c>
      <c r="E43" s="49" t="n"/>
      <c r="F43" s="49" t="n"/>
      <c r="G43" s="49" t="n"/>
      <c r="H43" s="49">
        <f>(1.25*M43+P43+R43+W43+Y43+Z43)/(1-N43-$H$8-$H$4-(1-I43)*$H$3-$H$11-AA43-AC43)</f>
        <v/>
      </c>
      <c r="I43" s="28" t="n">
        <v>0.45</v>
      </c>
      <c r="J43" s="30">
        <f>H43*(1-I43)</f>
        <v/>
      </c>
      <c r="K43" s="31" t="n">
        <v>189.27</v>
      </c>
      <c r="L43" s="32">
        <f>$H$5</f>
        <v/>
      </c>
      <c r="M43" s="33">
        <f>K43+L43</f>
        <v/>
      </c>
      <c r="N43" s="34" t="n">
        <v>0.41</v>
      </c>
      <c r="O43" s="29">
        <f>H43*N43</f>
        <v/>
      </c>
      <c r="P43" s="35" t="n">
        <v>63</v>
      </c>
      <c r="Q43" s="29">
        <f>H43*$H$8</f>
        <v/>
      </c>
      <c r="R43" s="35" t="n">
        <v>25</v>
      </c>
      <c r="S43" s="29">
        <f>H43*$H$4</f>
        <v/>
      </c>
      <c r="T43" s="29">
        <f>J43*$H$3</f>
        <v/>
      </c>
      <c r="U43" s="36" t="n">
        <v>0.9</v>
      </c>
      <c r="V43" s="35" t="n">
        <v>63</v>
      </c>
      <c r="W43" s="29">
        <f>V43*(1-U43)</f>
        <v/>
      </c>
      <c r="X43" s="37" t="n">
        <v>0.28</v>
      </c>
      <c r="Y43" s="29">
        <f>$H$6*$H$7*X43</f>
        <v/>
      </c>
      <c r="Z43" s="33">
        <f>X43*($H$9+$H$10)</f>
        <v/>
      </c>
      <c r="AA43" s="34" t="n">
        <v>0.07000000000000001</v>
      </c>
      <c r="AB43" s="29">
        <f>H43*AA43</f>
        <v/>
      </c>
      <c r="AC43" s="36" t="n">
        <v>0.08</v>
      </c>
      <c r="AD43" s="29">
        <f>H43*AC43</f>
        <v/>
      </c>
      <c r="AE43" s="29">
        <f>AB43+AD43</f>
        <v/>
      </c>
      <c r="AF43" s="38">
        <f>AE43/H43</f>
        <v/>
      </c>
      <c r="AG43" s="39">
        <f>H43-O43-P43-Q43-R43-S43-T43-W43-Y43-Z43-M43-AL43</f>
        <v/>
      </c>
      <c r="AH43" s="40">
        <f>AG43-AE43</f>
        <v/>
      </c>
      <c r="AI43" s="41">
        <f>AH43/H43</f>
        <v/>
      </c>
      <c r="AJ43" s="42">
        <f>AH43/M43</f>
        <v/>
      </c>
      <c r="AK43" s="29">
        <f>(P43+R43+W43+Y43+Z43+M43)/(1-(N43+$H$4+(1-I43)*$H$3+$H$8+$H$11+AA43+AC43))</f>
        <v/>
      </c>
      <c r="AL43" s="29">
        <f>H43*$H$11</f>
        <v/>
      </c>
    </row>
    <row r="44" ht="14.25" customHeight="1" s="66">
      <c r="A44" s="20" t="inlineStr">
        <is>
          <t>Косметика/ETUDEHOUSE</t>
        </is>
      </c>
      <c r="B44" s="19" t="n"/>
      <c r="C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</row>
    <row r="45" ht="28.5" customHeight="1" s="66">
      <c r="A45" s="21" t="inlineStr">
        <is>
          <t>ETUDE - Baking Powder Crunch Pore Scrub [200ml] / Очищающий скраб для лица с содой</t>
        </is>
      </c>
      <c r="B45" s="52" t="inlineStr">
        <is>
          <t>ФБО</t>
        </is>
      </c>
      <c r="C45" s="24" t="n"/>
      <c r="D45" s="29" t="n">
        <v>7910</v>
      </c>
      <c r="E45" s="49" t="n">
        <v>1730</v>
      </c>
      <c r="F45" s="49" t="n">
        <v>300</v>
      </c>
      <c r="G45" s="49" t="n">
        <v>5</v>
      </c>
      <c r="H45" s="49" t="n">
        <v>1650</v>
      </c>
      <c r="I45" s="28" t="n">
        <v>0.45</v>
      </c>
      <c r="J45" s="30">
        <f>H45*(1-I45)</f>
        <v/>
      </c>
      <c r="K45" s="31" t="n">
        <v>361.03</v>
      </c>
      <c r="L45" s="32">
        <f>$H$5</f>
        <v/>
      </c>
      <c r="M45" s="33">
        <f>K45+L45</f>
        <v/>
      </c>
      <c r="N45" s="34" t="n">
        <v>0.41</v>
      </c>
      <c r="O45" s="29">
        <f>H45*N45</f>
        <v/>
      </c>
      <c r="P45" s="35" t="n">
        <v>67</v>
      </c>
      <c r="Q45" s="29">
        <f>H45*$H$8</f>
        <v/>
      </c>
      <c r="R45" s="35" t="n">
        <v>25</v>
      </c>
      <c r="S45" s="29">
        <f>H45*$H$4</f>
        <v/>
      </c>
      <c r="T45" s="29">
        <f>J45*$H$3</f>
        <v/>
      </c>
      <c r="U45" s="36" t="n">
        <v>0.9</v>
      </c>
      <c r="V45" s="35" t="n">
        <v>67</v>
      </c>
      <c r="W45" s="29">
        <f>V45*(1-U45)</f>
        <v/>
      </c>
      <c r="X45" s="37" t="n">
        <v>0.5600000000000001</v>
      </c>
      <c r="Y45" s="29">
        <f>$H$6*$H$7*X45</f>
        <v/>
      </c>
      <c r="Z45" s="33">
        <f>X45*($H$9+$H$10)</f>
        <v/>
      </c>
      <c r="AA45" s="34" t="n">
        <v>0.05</v>
      </c>
      <c r="AB45" s="29">
        <f>H45*AA45</f>
        <v/>
      </c>
      <c r="AC45" s="36" t="n">
        <v>0.05</v>
      </c>
      <c r="AD45" s="29">
        <f>H45*AC45</f>
        <v/>
      </c>
      <c r="AE45" s="29">
        <f>AB45+AD45</f>
        <v/>
      </c>
      <c r="AF45" s="38">
        <f>AE45/H45</f>
        <v/>
      </c>
      <c r="AG45" s="39">
        <f>H45-O45-P45-Q45-R45-S45-T45-W45-Y45-Z45-M45-AL45</f>
        <v/>
      </c>
      <c r="AH45" s="40">
        <f>AG45-AE45</f>
        <v/>
      </c>
      <c r="AI45" s="41">
        <f>AH45/H45</f>
        <v/>
      </c>
      <c r="AJ45" s="42">
        <f>AH45/M45</f>
        <v/>
      </c>
      <c r="AK45" s="29">
        <f>(P45+R45+W45+Y45+Z45+M45)/(1-(N45+$H$4+(1-I45)*$H$3+$H$8+$H$11+AA45+AC45))</f>
        <v/>
      </c>
      <c r="AL45" s="29">
        <f>H45*$H$11</f>
        <v/>
      </c>
    </row>
    <row r="46" ht="28.5" customHeight="1" s="66">
      <c r="A46" s="21" t="inlineStr">
        <is>
          <t>ETUDE - Baking Powder BB Deep Cleansing Foam [160ml] / Пенка с содой для глубокого очищения и снятия макияжа</t>
        </is>
      </c>
      <c r="B46" s="58" t="n"/>
      <c r="C46" s="24" t="n"/>
      <c r="D46" s="29" t="n">
        <v>228</v>
      </c>
      <c r="E46" s="49" t="n">
        <v>1870</v>
      </c>
      <c r="F46" s="49" t="n">
        <v>230</v>
      </c>
      <c r="G46" s="49" t="n">
        <v>8</v>
      </c>
      <c r="H46" s="49" t="n">
        <v>1770</v>
      </c>
      <c r="I46" s="28" t="n">
        <v>0.45</v>
      </c>
      <c r="J46" s="30">
        <f>H46*(1-I46)</f>
        <v/>
      </c>
      <c r="K46" s="31" t="n">
        <v>292.89</v>
      </c>
      <c r="L46" s="32">
        <f>$H$5</f>
        <v/>
      </c>
      <c r="M46" s="33">
        <f>K46+L46</f>
        <v/>
      </c>
      <c r="N46" s="34" t="n">
        <v>0.41</v>
      </c>
      <c r="O46" s="29">
        <f>H46*N46</f>
        <v/>
      </c>
      <c r="P46" s="35" t="n">
        <v>67</v>
      </c>
      <c r="Q46" s="29">
        <f>H46*$H$8</f>
        <v/>
      </c>
      <c r="R46" s="35" t="n">
        <v>25</v>
      </c>
      <c r="S46" s="29">
        <f>H46*$H$4</f>
        <v/>
      </c>
      <c r="T46" s="29">
        <f>J46*$H$3</f>
        <v/>
      </c>
      <c r="U46" s="36" t="n">
        <v>0.9</v>
      </c>
      <c r="V46" s="35" t="n">
        <v>67</v>
      </c>
      <c r="W46" s="29">
        <f>V46*(1-U46)</f>
        <v/>
      </c>
      <c r="X46" s="37" t="n">
        <v>0.5600000000000001</v>
      </c>
      <c r="Y46" s="29">
        <f>$H$6*$H$7*X46</f>
        <v/>
      </c>
      <c r="Z46" s="33">
        <f>X46*($H$9+$H$10)</f>
        <v/>
      </c>
      <c r="AA46" s="34" t="n">
        <v>0.07000000000000001</v>
      </c>
      <c r="AB46" s="29">
        <f>H46*AA46</f>
        <v/>
      </c>
      <c r="AC46" s="36" t="n">
        <v>0.05</v>
      </c>
      <c r="AD46" s="29">
        <f>H46*AC46</f>
        <v/>
      </c>
      <c r="AE46" s="29">
        <f>AB46+AD46</f>
        <v/>
      </c>
      <c r="AF46" s="38">
        <f>AE46/H46</f>
        <v/>
      </c>
      <c r="AG46" s="39">
        <f>H46-O46-P46-Q46-R46-S46-T46-W46-Y46-Z46-M46-AL46</f>
        <v/>
      </c>
      <c r="AH46" s="40">
        <f>AG46-AE46</f>
        <v/>
      </c>
      <c r="AI46" s="41">
        <f>AH46/H46</f>
        <v/>
      </c>
      <c r="AJ46" s="42">
        <f>AH46/M46</f>
        <v/>
      </c>
      <c r="AK46" s="29">
        <f>(P46+R46+W46+Y46+Z46+M46)/(1-(N46+$H$4+(1-I46)*$H$3+$H$8+$H$11+AA46+AC46))</f>
        <v/>
      </c>
      <c r="AL46" s="29">
        <f>H46*$H$11</f>
        <v/>
      </c>
    </row>
    <row r="47" ht="28.5" customHeight="1" s="66">
      <c r="A47" s="21" t="inlineStr">
        <is>
          <t>ETUDE - Baking Powder Crunch Pore Scrub [24*7ml] / Очищающий скраб для лица с содой</t>
        </is>
      </c>
      <c r="B47" s="58" t="n"/>
      <c r="C47" s="24" t="n"/>
      <c r="D47" s="29" t="n">
        <v>221</v>
      </c>
      <c r="E47" s="49" t="n">
        <v>1900</v>
      </c>
      <c r="F47" s="49" t="n">
        <v>60</v>
      </c>
      <c r="G47" s="49" t="n">
        <v>10</v>
      </c>
      <c r="H47" s="49" t="n">
        <v>1835</v>
      </c>
      <c r="I47" s="28" t="n">
        <v>0.45</v>
      </c>
      <c r="J47" s="30">
        <f>H47*(1-I47)</f>
        <v/>
      </c>
      <c r="K47" s="31" t="n">
        <v>389.99</v>
      </c>
      <c r="L47" s="32">
        <f>$H$5</f>
        <v/>
      </c>
      <c r="M47" s="33">
        <f>K47+L47</f>
        <v/>
      </c>
      <c r="N47" s="34" t="n">
        <v>0.41</v>
      </c>
      <c r="O47" s="29">
        <f>H47*N47</f>
        <v/>
      </c>
      <c r="P47" s="35" t="n">
        <v>72</v>
      </c>
      <c r="Q47" s="29">
        <f>H47*$H$8</f>
        <v/>
      </c>
      <c r="R47" s="35" t="n">
        <v>25</v>
      </c>
      <c r="S47" s="29">
        <f>H47*$H$4</f>
        <v/>
      </c>
      <c r="T47" s="29">
        <f>J47*$H$3</f>
        <v/>
      </c>
      <c r="U47" s="36" t="n">
        <v>0.9</v>
      </c>
      <c r="V47" s="35" t="n">
        <v>72</v>
      </c>
      <c r="W47" s="29">
        <f>V47*(1-U47)</f>
        <v/>
      </c>
      <c r="X47" s="37" t="n">
        <v>1.15</v>
      </c>
      <c r="Y47" s="29">
        <f>$H$6*$H$7*X47</f>
        <v/>
      </c>
      <c r="Z47" s="33">
        <f>X47*($H$9+$H$10)</f>
        <v/>
      </c>
      <c r="AA47" s="34" t="n">
        <v>0.07000000000000001</v>
      </c>
      <c r="AB47" s="29">
        <f>H47*AA47</f>
        <v/>
      </c>
      <c r="AC47" s="36" t="n">
        <v>0.08</v>
      </c>
      <c r="AD47" s="29">
        <f>H47*AC47</f>
        <v/>
      </c>
      <c r="AE47" s="29">
        <f>AB47+AD47</f>
        <v/>
      </c>
      <c r="AF47" s="38">
        <f>AE47/H47</f>
        <v/>
      </c>
      <c r="AG47" s="39">
        <f>H47-O47-P47-Q47-R47-S47-T47-W47-Y47-Z47-M47-AL47</f>
        <v/>
      </c>
      <c r="AH47" s="40">
        <f>AG47-AE47</f>
        <v/>
      </c>
      <c r="AI47" s="41">
        <f>AH47/H47</f>
        <v/>
      </c>
      <c r="AJ47" s="42">
        <f>AH47/M47</f>
        <v/>
      </c>
      <c r="AK47" s="29">
        <f>(P47+R47+W47+Y47+Z47+M47)/(1-(N47+$H$4+(1-I47)*$H$3+$H$8+$H$11+AA47+AC47))</f>
        <v/>
      </c>
      <c r="AL47" s="29">
        <f>H47*$H$11</f>
        <v/>
      </c>
    </row>
    <row r="48" ht="12" customHeight="1" s="66">
      <c r="A48" s="20" t="inlineStr">
        <is>
          <t>Косметика/FARMSTAY</t>
        </is>
      </c>
      <c r="B48" s="19" t="n"/>
      <c r="C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9" t="n"/>
      <c r="AI48" s="19" t="n"/>
      <c r="AJ48" s="19" t="n"/>
      <c r="AK48" s="19" t="n"/>
    </row>
    <row r="49" ht="28.5" customHeight="1" s="66">
      <c r="A49" s="21" t="inlineStr">
        <is>
          <t>FARMSTAY COLLAGEN&amp;HYALURONIC ACID ALL-IN ONE</t>
        </is>
      </c>
      <c r="B49" s="52" t="inlineStr">
        <is>
          <t>ФБО</t>
        </is>
      </c>
      <c r="C49" s="24" t="inlineStr">
        <is>
          <t>только Holika продает на Озон</t>
        </is>
      </c>
      <c r="D49" s="29" t="n">
        <v>6611</v>
      </c>
      <c r="E49" s="49" t="n">
        <v>3850</v>
      </c>
      <c r="F49" s="49" t="n">
        <v>127</v>
      </c>
      <c r="G49" s="49" t="n">
        <v>6</v>
      </c>
      <c r="H49" s="49" t="n">
        <v>3500</v>
      </c>
      <c r="I49" s="28" t="n">
        <v>0.45</v>
      </c>
      <c r="J49" s="30">
        <f>H49*(1-I49)</f>
        <v/>
      </c>
      <c r="K49" s="31" t="n">
        <v>347.76</v>
      </c>
      <c r="L49" s="32">
        <f>$H$5</f>
        <v/>
      </c>
      <c r="M49" s="33">
        <f>K49+L49</f>
        <v/>
      </c>
      <c r="N49" s="34" t="n">
        <v>0.41</v>
      </c>
      <c r="O49" s="29">
        <f>H49*N49</f>
        <v/>
      </c>
      <c r="P49" s="35" t="n">
        <v>67</v>
      </c>
      <c r="Q49" s="29">
        <f>H49*$H$8</f>
        <v/>
      </c>
      <c r="R49" s="35" t="n">
        <v>25</v>
      </c>
      <c r="S49" s="29">
        <f>H49*$H$4</f>
        <v/>
      </c>
      <c r="T49" s="29">
        <f>J49*$H$3</f>
        <v/>
      </c>
      <c r="U49" s="36" t="n">
        <v>0.9</v>
      </c>
      <c r="V49" s="35" t="n">
        <v>67</v>
      </c>
      <c r="W49" s="29">
        <f>V49*(1-U49)</f>
        <v/>
      </c>
      <c r="X49" s="37" t="n">
        <v>0.832</v>
      </c>
      <c r="Y49" s="29">
        <f>$H$6*$H$7*X49</f>
        <v/>
      </c>
      <c r="Z49" s="33">
        <f>X49*($H$9+$H$10)</f>
        <v/>
      </c>
      <c r="AA49" s="34" t="n">
        <v>0.07000000000000001</v>
      </c>
      <c r="AB49" s="29">
        <f>H49*AA49</f>
        <v/>
      </c>
      <c r="AC49" s="36" t="n">
        <v>0.08</v>
      </c>
      <c r="AD49" s="29">
        <f>H49*AC49</f>
        <v/>
      </c>
      <c r="AE49" s="29">
        <f>AB49+AD49</f>
        <v/>
      </c>
      <c r="AF49" s="38">
        <f>AE49/H49</f>
        <v/>
      </c>
      <c r="AG49" s="39">
        <f>H49-O49-P49-Q49-R49-S49-T49-W49-Y49-Z49-M49-AL49</f>
        <v/>
      </c>
      <c r="AH49" s="40">
        <f>AG49-AE49</f>
        <v/>
      </c>
      <c r="AI49" s="41">
        <f>AH49/H49</f>
        <v/>
      </c>
      <c r="AJ49" s="42">
        <f>AH49/M49</f>
        <v/>
      </c>
      <c r="AK49" s="29">
        <f>(P49+R49+W49+Y49+Z49+M49)/(1-(N49+$H$4+(1-I49)*$H$3+$H$8+$H$11+AA49+AC49))</f>
        <v/>
      </c>
      <c r="AL49" s="29">
        <f>H49*$H$11</f>
        <v/>
      </c>
    </row>
    <row r="50" ht="28.5" customHeight="1" s="66">
      <c r="A50" s="21" t="inlineStr">
        <is>
          <t>FARMSTAY - Black Garlic Nourishing Shampoo [530ml] / Шампунь-кондиционер 2в1 с экстрактом черного чеснока</t>
        </is>
      </c>
      <c r="B50" s="52" t="inlineStr">
        <is>
          <t>ФБО</t>
        </is>
      </c>
      <c r="C50" s="24" t="inlineStr">
        <is>
          <t>только Holika продает на Озон</t>
        </is>
      </c>
      <c r="D50" s="29" t="n">
        <v>3360</v>
      </c>
      <c r="E50" s="49" t="n">
        <v>2156</v>
      </c>
      <c r="F50" s="49" t="n">
        <v>46</v>
      </c>
      <c r="G50" s="49" t="n">
        <v>5</v>
      </c>
      <c r="H50" s="49" t="n">
        <v>1850</v>
      </c>
      <c r="I50" s="28" t="n">
        <v>0.45</v>
      </c>
      <c r="J50" s="30">
        <f>H50*(1-I50)</f>
        <v/>
      </c>
      <c r="K50" s="31" t="n">
        <v>396.72</v>
      </c>
      <c r="L50" s="32">
        <f>$H$5</f>
        <v/>
      </c>
      <c r="M50" s="33">
        <f>K50+L50</f>
        <v/>
      </c>
      <c r="N50" s="34" t="n">
        <v>0.41</v>
      </c>
      <c r="O50" s="29">
        <f>H50*N50</f>
        <v/>
      </c>
      <c r="P50" s="35" t="n">
        <v>75</v>
      </c>
      <c r="Q50" s="29">
        <f>H50*$H$8</f>
        <v/>
      </c>
      <c r="R50" s="35" t="n">
        <v>25</v>
      </c>
      <c r="S50" s="29">
        <f>H50*$H$4</f>
        <v/>
      </c>
      <c r="T50" s="29">
        <f>J50*$H$3</f>
        <v/>
      </c>
      <c r="U50" s="36" t="n">
        <v>0.9</v>
      </c>
      <c r="V50" s="35" t="n">
        <v>75</v>
      </c>
      <c r="W50" s="29">
        <f>V50*(1-U50)</f>
        <v/>
      </c>
      <c r="X50" s="37" t="n">
        <v>1.89</v>
      </c>
      <c r="Y50" s="29">
        <f>$H$6*$H$7*X50</f>
        <v/>
      </c>
      <c r="Z50" s="33">
        <f>X50*($H$9+$H$10)</f>
        <v/>
      </c>
      <c r="AA50" s="34" t="n">
        <v>0.07000000000000001</v>
      </c>
      <c r="AB50" s="29">
        <f>H50*AA50</f>
        <v/>
      </c>
      <c r="AC50" s="36" t="n">
        <v>0.08</v>
      </c>
      <c r="AD50" s="29">
        <f>H50*AC50</f>
        <v/>
      </c>
      <c r="AE50" s="29">
        <f>AB50+AD50</f>
        <v/>
      </c>
      <c r="AF50" s="38">
        <f>AE50/H50</f>
        <v/>
      </c>
      <c r="AG50" s="39">
        <f>H50-O50-P50-Q50-R50-S50-T50-W50-Y50-Z50-M50-AL50</f>
        <v/>
      </c>
      <c r="AH50" s="40">
        <f>AG50-AE50</f>
        <v/>
      </c>
      <c r="AI50" s="41">
        <f>AH50/H50</f>
        <v/>
      </c>
      <c r="AJ50" s="42">
        <f>AH50/M50</f>
        <v/>
      </c>
      <c r="AK50" s="29">
        <f>(P50+R50+W50+Y50+Z50+M50)/(1-(N50+$H$4+(1-I50)*$H$3+$H$8+$H$11+AA50+AC50))</f>
        <v/>
      </c>
      <c r="AL50" s="29">
        <f>H50*$H$11</f>
        <v/>
      </c>
    </row>
    <row r="51" ht="28.5" customHeight="1" s="66">
      <c r="A51" s="21" t="inlineStr">
        <is>
          <t>FARMSTAY - Gold Snail Premium Cream [50ml] / Омолаживающий крем с муцином улитки и коллоидным золотом</t>
        </is>
      </c>
      <c r="B51" s="52" t="inlineStr">
        <is>
          <t>ФБО</t>
        </is>
      </c>
      <c r="C51" s="24" t="inlineStr">
        <is>
          <t>не смогла найти с продажами</t>
        </is>
      </c>
      <c r="D51" s="29" t="n">
        <v>1104</v>
      </c>
      <c r="E51" s="49" t="n"/>
      <c r="F51" s="49" t="n"/>
      <c r="G51" s="49" t="n"/>
      <c r="H51" s="49">
        <f>(1.25*M51+P51+R51+W51+Y51+Z51)/(1-N51-$H$8-$H$4-(1-I51)*$H$3-$H$11-AA51-AC51)</f>
        <v/>
      </c>
      <c r="I51" s="28" t="n">
        <v>0.45</v>
      </c>
      <c r="J51" s="30">
        <f>H51*(1-I51)</f>
        <v/>
      </c>
      <c r="K51" s="31" t="n">
        <v>431.05</v>
      </c>
      <c r="L51" s="32">
        <f>$H$5</f>
        <v/>
      </c>
      <c r="M51" s="33">
        <f>K51+L51</f>
        <v/>
      </c>
      <c r="N51" s="34" t="n">
        <v>0.41</v>
      </c>
      <c r="O51" s="29">
        <f>H51*N51</f>
        <v/>
      </c>
      <c r="P51" s="35" t="n">
        <v>67</v>
      </c>
      <c r="Q51" s="29">
        <f>H51*$H$8</f>
        <v/>
      </c>
      <c r="R51" s="35" t="n">
        <v>25</v>
      </c>
      <c r="S51" s="29">
        <f>H51*$H$4</f>
        <v/>
      </c>
      <c r="T51" s="29">
        <f>J51*$H$3</f>
        <v/>
      </c>
      <c r="U51" s="36" t="n">
        <v>0.9</v>
      </c>
      <c r="V51" s="35" t="n">
        <v>67</v>
      </c>
      <c r="W51" s="29">
        <f>V51*(1-U51)</f>
        <v/>
      </c>
      <c r="X51" s="37" t="n">
        <v>0.73</v>
      </c>
      <c r="Y51" s="29">
        <f>$H$6*$H$7*X51</f>
        <v/>
      </c>
      <c r="Z51" s="33">
        <f>X51*($H$9+$H$10)</f>
        <v/>
      </c>
      <c r="AA51" s="34" t="n">
        <v>0.07000000000000001</v>
      </c>
      <c r="AB51" s="29">
        <f>H51*AA51</f>
        <v/>
      </c>
      <c r="AC51" s="36" t="n">
        <v>0.08</v>
      </c>
      <c r="AD51" s="29">
        <f>H51*AC51</f>
        <v/>
      </c>
      <c r="AE51" s="29">
        <f>AB51+AD51</f>
        <v/>
      </c>
      <c r="AF51" s="38">
        <f>AE51/H51</f>
        <v/>
      </c>
      <c r="AG51" s="39">
        <f>H51-O51-P51-Q51-R51-S51-T51-W51-Y51-Z51-M51-AL51</f>
        <v/>
      </c>
      <c r="AH51" s="40">
        <f>AG51-AE51</f>
        <v/>
      </c>
      <c r="AI51" s="41">
        <f>AH51/H51</f>
        <v/>
      </c>
      <c r="AJ51" s="42">
        <f>AH51/M51</f>
        <v/>
      </c>
      <c r="AK51" s="29">
        <f>(P51+R51+W51+Y51+Z51+M51)/(1-(N51+$H$4+(1-I51)*$H$3+$H$8+$H$11+AA51+AC51))</f>
        <v/>
      </c>
      <c r="AL51" s="29">
        <f>H51*$H$11</f>
        <v/>
      </c>
    </row>
    <row r="52" ht="28.5" customHeight="1" s="66">
      <c r="A52" s="21" t="inlineStr">
        <is>
          <t>FARMSTAY - Escargot Noblesse Intensive Cream [50g] / Крем с муцином королевской улитки</t>
        </is>
      </c>
      <c r="B52" s="52" t="inlineStr">
        <is>
          <t>ФБО</t>
        </is>
      </c>
      <c r="C52" s="24" t="inlineStr">
        <is>
          <t>только Holika продает на Озон</t>
        </is>
      </c>
      <c r="D52" s="29" t="n">
        <v>964</v>
      </c>
      <c r="E52" s="49" t="n">
        <v>3070</v>
      </c>
      <c r="F52" s="49" t="n">
        <v>48</v>
      </c>
      <c r="G52" s="49" t="n">
        <v>6.6</v>
      </c>
      <c r="H52" s="49" t="n">
        <v>2900</v>
      </c>
      <c r="I52" s="28" t="n">
        <v>0.45</v>
      </c>
      <c r="J52" s="30">
        <f>H52*(1-I52)</f>
        <v/>
      </c>
      <c r="K52" s="31" t="n">
        <v>313.84</v>
      </c>
      <c r="L52" s="32">
        <f>$H$5</f>
        <v/>
      </c>
      <c r="M52" s="33">
        <f>K52+L52</f>
        <v/>
      </c>
      <c r="N52" s="34" t="n">
        <v>0.41</v>
      </c>
      <c r="O52" s="29">
        <f>H52*N52</f>
        <v/>
      </c>
      <c r="P52" s="35" t="n">
        <v>67</v>
      </c>
      <c r="Q52" s="29">
        <f>H52*$H$8</f>
        <v/>
      </c>
      <c r="R52" s="35" t="n">
        <v>25</v>
      </c>
      <c r="S52" s="29">
        <f>H52*$H$4</f>
        <v/>
      </c>
      <c r="T52" s="29">
        <f>J52*$H$3</f>
        <v/>
      </c>
      <c r="U52" s="36" t="n">
        <v>0.9</v>
      </c>
      <c r="V52" s="35" t="n">
        <v>67</v>
      </c>
      <c r="W52" s="29">
        <f>V52*(1-U52)</f>
        <v/>
      </c>
      <c r="X52" s="37" t="n">
        <v>0.86</v>
      </c>
      <c r="Y52" s="29">
        <f>$H$6*$H$7*X52</f>
        <v/>
      </c>
      <c r="Z52" s="33">
        <f>X52*($H$9+$H$10)</f>
        <v/>
      </c>
      <c r="AA52" s="34" t="n">
        <v>0.07000000000000001</v>
      </c>
      <c r="AB52" s="29">
        <f>H52*AA52</f>
        <v/>
      </c>
      <c r="AC52" s="36" t="n">
        <v>0.08</v>
      </c>
      <c r="AD52" s="29">
        <f>H52*AC52</f>
        <v/>
      </c>
      <c r="AE52" s="29">
        <f>AB52+AD52</f>
        <v/>
      </c>
      <c r="AF52" s="38">
        <f>AE52/H52</f>
        <v/>
      </c>
      <c r="AG52" s="39">
        <f>H52-O52-P52-Q52-R52-S52-T52-W52-Y52-Z52-M52-AL52</f>
        <v/>
      </c>
      <c r="AH52" s="40">
        <f>AG52-AE52</f>
        <v/>
      </c>
      <c r="AI52" s="41">
        <f>AH52/H52</f>
        <v/>
      </c>
      <c r="AJ52" s="42">
        <f>AH52/M52</f>
        <v/>
      </c>
      <c r="AK52" s="29">
        <f>(P52+R52+W52+Y52+Z52+M52)/(1-(N52+$H$4+(1-I52)*$H$3+$H$8+$H$11+AA52+AC52))</f>
        <v/>
      </c>
      <c r="AL52" s="29">
        <f>H52*$H$11</f>
        <v/>
      </c>
    </row>
    <row r="53" ht="28.5" customHeight="1" s="66">
      <c r="A53" s="21" t="inlineStr">
        <is>
          <t xml:space="preserve">FARMSTAY ESCARGOT NOBLESSE INTENSIVE AMPOULE/ сыворотка с улиткой </t>
        </is>
      </c>
      <c r="B53" s="58" t="n"/>
      <c r="C53" s="24" t="n"/>
      <c r="D53" s="29" t="n">
        <v>1021</v>
      </c>
      <c r="E53" s="49" t="n">
        <v>3820</v>
      </c>
      <c r="F53" s="49" t="n">
        <v>22</v>
      </c>
      <c r="G53" s="49" t="n">
        <v>7</v>
      </c>
      <c r="H53" s="49">
        <f>(1.25*M53+P53+R53+W53+Y53+Z53)/(1-N53-$H$8-$H$4-(1-I53)*$H$3-$H$11-AA53-AC53)</f>
        <v/>
      </c>
      <c r="I53" s="28" t="n">
        <v>0.45</v>
      </c>
      <c r="J53" s="30">
        <f>H53*(1-I53)</f>
        <v/>
      </c>
      <c r="K53" s="31" t="n">
        <v>390.46</v>
      </c>
      <c r="L53" s="32">
        <f>$H$5</f>
        <v/>
      </c>
      <c r="M53" s="33">
        <f>K53+L53</f>
        <v/>
      </c>
      <c r="N53" s="34" t="n">
        <v>0.41</v>
      </c>
      <c r="O53" s="29">
        <f>H53*N53</f>
        <v/>
      </c>
      <c r="P53" s="35" t="n">
        <v>67</v>
      </c>
      <c r="Q53" s="29">
        <f>H53*$H$8</f>
        <v/>
      </c>
      <c r="R53" s="35" t="n">
        <v>25</v>
      </c>
      <c r="S53" s="29">
        <f>H53*$H$4</f>
        <v/>
      </c>
      <c r="T53" s="29">
        <f>J53*$H$3</f>
        <v/>
      </c>
      <c r="U53" s="36" t="n">
        <v>0.9</v>
      </c>
      <c r="V53" s="35" t="n">
        <v>67</v>
      </c>
      <c r="W53" s="29">
        <f>V53*(1-U53)</f>
        <v/>
      </c>
      <c r="X53" s="37" t="n">
        <v>0.86</v>
      </c>
      <c r="Y53" s="29">
        <f>$H$6*$H$7*X53</f>
        <v/>
      </c>
      <c r="Z53" s="33">
        <f>X53*($H$9+$H$10)</f>
        <v/>
      </c>
      <c r="AA53" s="34" t="n">
        <v>0.07000000000000001</v>
      </c>
      <c r="AB53" s="29">
        <f>H53*AA53</f>
        <v/>
      </c>
      <c r="AC53" s="36" t="n">
        <v>0.08</v>
      </c>
      <c r="AD53" s="29">
        <f>H53*AC53</f>
        <v/>
      </c>
      <c r="AE53" s="29">
        <f>AB53+AD53</f>
        <v/>
      </c>
      <c r="AF53" s="38">
        <f>AE53/H53</f>
        <v/>
      </c>
      <c r="AG53" s="39">
        <f>H53-O53-P53-Q53-R53-S53-T53-W53-Y53-Z53-M53-AL53</f>
        <v/>
      </c>
      <c r="AH53" s="40">
        <f>AG53-AE53</f>
        <v/>
      </c>
      <c r="AI53" s="41">
        <f>AH53/H53</f>
        <v/>
      </c>
      <c r="AJ53" s="42">
        <f>AH53/M53</f>
        <v/>
      </c>
      <c r="AK53" s="29">
        <f>(P53+R53+W53+Y53+Z53+M53)/(1-(N53+$H$4+(1-I53)*$H$3+$H$8+$H$11+AA53+AC53))</f>
        <v/>
      </c>
      <c r="AL53" s="29">
        <f>H53*$H$11</f>
        <v/>
      </c>
    </row>
    <row r="54" ht="28.5" customHeight="1" s="66">
      <c r="A54" s="21" t="inlineStr">
        <is>
          <t>FARMSTAY - Argan Oil Complete Volume Up Shampoo &amp; Conditioner [530ml] / Шампунь-кондиционер с аргановым маслом</t>
        </is>
      </c>
      <c r="B54" s="52" t="inlineStr">
        <is>
          <t>ФБО</t>
        </is>
      </c>
      <c r="C54" s="24" t="n"/>
      <c r="D54" s="29" t="n">
        <v>2535</v>
      </c>
      <c r="E54" s="49" t="n">
        <v>2000</v>
      </c>
      <c r="F54" s="49" t="n">
        <v>23</v>
      </c>
      <c r="G54" s="49" t="n">
        <v>1</v>
      </c>
      <c r="H54" s="49">
        <f>(1.25*M54+P54+R54+W54+Y54+Z54)/(1-N54-$H$8-$H$4-(1-I54)*$H$3-$H$11-AA54-AC54)</f>
        <v/>
      </c>
      <c r="I54" s="28" t="n">
        <v>0.45</v>
      </c>
      <c r="J54" s="30">
        <f>H54*(1-I54)</f>
        <v/>
      </c>
      <c r="K54" s="31" t="n">
        <v>400.76</v>
      </c>
      <c r="L54" s="32">
        <f>$H$5</f>
        <v/>
      </c>
      <c r="M54" s="33">
        <f>K54+L54</f>
        <v/>
      </c>
      <c r="N54" s="34" t="n">
        <v>0.41</v>
      </c>
      <c r="O54" s="29">
        <f>H54*N54</f>
        <v/>
      </c>
      <c r="P54" s="35" t="n">
        <v>75</v>
      </c>
      <c r="Q54" s="29">
        <f>H54*$H$8</f>
        <v/>
      </c>
      <c r="R54" s="35" t="n">
        <v>25</v>
      </c>
      <c r="S54" s="29">
        <f>H54*$H$4</f>
        <v/>
      </c>
      <c r="T54" s="29">
        <f>J54*$H$3</f>
        <v/>
      </c>
      <c r="U54" s="36" t="n">
        <v>0.9</v>
      </c>
      <c r="V54" s="35" t="n">
        <v>75</v>
      </c>
      <c r="W54" s="29">
        <f>V54*(1-U54)</f>
        <v/>
      </c>
      <c r="X54" s="37" t="n">
        <v>1.26</v>
      </c>
      <c r="Y54" s="29">
        <f>$H$6*$H$7*X54</f>
        <v/>
      </c>
      <c r="Z54" s="33">
        <f>X54*($H$9+$H$10)</f>
        <v/>
      </c>
      <c r="AA54" s="34" t="n">
        <v>0.07000000000000001</v>
      </c>
      <c r="AB54" s="29">
        <f>H54*AA54</f>
        <v/>
      </c>
      <c r="AC54" s="36" t="n">
        <v>0.08</v>
      </c>
      <c r="AD54" s="29">
        <f>H54*AC54</f>
        <v/>
      </c>
      <c r="AE54" s="29">
        <f>AB54+AD54</f>
        <v/>
      </c>
      <c r="AF54" s="38">
        <f>AE54/H54</f>
        <v/>
      </c>
      <c r="AG54" s="39">
        <f>H54-O54-P54-Q54-R54-S54-T54-W54-Y54-Z54-M54-AL54</f>
        <v/>
      </c>
      <c r="AH54" s="40">
        <f>AG54-AE54</f>
        <v/>
      </c>
      <c r="AI54" s="41">
        <f>AH54/H54</f>
        <v/>
      </c>
      <c r="AJ54" s="42">
        <f>AH54/M54</f>
        <v/>
      </c>
      <c r="AK54" s="29">
        <f>(P54+R54+W54+Y54+Z54+M54)/(1-(N54+$H$4+(1-I54)*$H$3+$H$8+$H$11+AA54+AC54))</f>
        <v/>
      </c>
      <c r="AL54" s="29">
        <f>H54*$H$11</f>
        <v/>
      </c>
    </row>
    <row r="55" ht="28.5" customHeight="1" s="66">
      <c r="A55" s="21" t="inlineStr">
        <is>
          <t>FARMSTAY - Collagen Water Full Shampoo &amp; Conditioner [530ml] / Шампунь-кондиционер 2в1 с коллагеном</t>
        </is>
      </c>
      <c r="B55" s="52" t="inlineStr">
        <is>
          <t>ФБО</t>
        </is>
      </c>
      <c r="C55" s="24" t="n"/>
      <c r="D55" s="29" t="n">
        <v>3679</v>
      </c>
      <c r="E55" s="49" t="n">
        <v>2128</v>
      </c>
      <c r="F55" s="49" t="n">
        <v>22</v>
      </c>
      <c r="G55" s="49" t="n">
        <v>7.5</v>
      </c>
      <c r="H55" s="49">
        <f>(1.25*M55+P55+R55+W55+Y55+Z55)/(1-N55-$H$8-$H$4-(1-I55)*$H$3-$H$11-AA55-AC55)</f>
        <v/>
      </c>
      <c r="I55" s="28" t="n">
        <v>0.45</v>
      </c>
      <c r="J55" s="30">
        <f>H55*(1-I55)</f>
        <v/>
      </c>
      <c r="K55" s="31" t="n">
        <v>396.72</v>
      </c>
      <c r="L55" s="32">
        <f>$H$5</f>
        <v/>
      </c>
      <c r="M55" s="33">
        <f>K55+L55</f>
        <v/>
      </c>
      <c r="N55" s="34" t="n">
        <v>0.41</v>
      </c>
      <c r="O55" s="29">
        <f>H55*N55</f>
        <v/>
      </c>
      <c r="P55" s="35" t="n">
        <v>75</v>
      </c>
      <c r="Q55" s="29">
        <f>H55*$H$8</f>
        <v/>
      </c>
      <c r="R55" s="35" t="n">
        <v>25</v>
      </c>
      <c r="S55" s="29">
        <f>H55*$H$4</f>
        <v/>
      </c>
      <c r="T55" s="29">
        <f>J55*$H$3</f>
        <v/>
      </c>
      <c r="U55" s="36" t="n">
        <v>0.9</v>
      </c>
      <c r="V55" s="35" t="n">
        <v>75</v>
      </c>
      <c r="W55" s="29">
        <f>V55*(1-U55)</f>
        <v/>
      </c>
      <c r="X55" s="37" t="n">
        <v>1.26</v>
      </c>
      <c r="Y55" s="29">
        <f>$H$6*$H$7*X55</f>
        <v/>
      </c>
      <c r="Z55" s="33">
        <f>X55*($H$9+$H$10)</f>
        <v/>
      </c>
      <c r="AA55" s="34" t="n">
        <v>0.07000000000000001</v>
      </c>
      <c r="AB55" s="29">
        <f>H55*AA55</f>
        <v/>
      </c>
      <c r="AC55" s="36" t="n">
        <v>0.08</v>
      </c>
      <c r="AD55" s="29">
        <f>H55*AC55</f>
        <v/>
      </c>
      <c r="AE55" s="29">
        <f>AB55+AD55</f>
        <v/>
      </c>
      <c r="AF55" s="38">
        <f>AE55/H55</f>
        <v/>
      </c>
      <c r="AG55" s="39">
        <f>H55-O55-P55-Q55-R55-S55-T55-W55-Y55-Z55-M55-AL55</f>
        <v/>
      </c>
      <c r="AH55" s="40">
        <f>AG55-AE55</f>
        <v/>
      </c>
      <c r="AI55" s="41">
        <f>AH55/H55</f>
        <v/>
      </c>
      <c r="AJ55" s="42">
        <f>AH55/M55</f>
        <v/>
      </c>
      <c r="AK55" s="29">
        <f>(P55+R55+W55+Y55+Z55+M55)/(1-(N55+$H$4+(1-I55)*$H$3+$H$8+$H$11+AA55+AC55))</f>
        <v/>
      </c>
      <c r="AL55" s="29">
        <f>H55*$H$11</f>
        <v/>
      </c>
    </row>
    <row r="56" ht="28.5" customHeight="1" s="66">
      <c r="A56" s="21" t="inlineStr">
        <is>
          <t>FARMSTAY - Collagen Water Full Moist Rolling Eye Serum [25ml] / Сыворотка роллер для глаз</t>
        </is>
      </c>
      <c r="B56" s="58" t="n"/>
      <c r="C56" s="24" t="n"/>
      <c r="D56" s="29" t="n">
        <v>484</v>
      </c>
      <c r="E56" s="49" t="n">
        <v>2145</v>
      </c>
      <c r="F56" s="49" t="n">
        <v>48</v>
      </c>
      <c r="G56" s="49" t="n">
        <v>5</v>
      </c>
      <c r="H56" s="49" t="n">
        <v>1800</v>
      </c>
      <c r="I56" s="28" t="n">
        <v>0.45</v>
      </c>
      <c r="J56" s="30">
        <f>H56*(1-I56)</f>
        <v/>
      </c>
      <c r="K56" s="31" t="n">
        <v>231.73</v>
      </c>
      <c r="L56" s="32">
        <f>$H$5</f>
        <v/>
      </c>
      <c r="M56" s="33">
        <f>K56+L56</f>
        <v/>
      </c>
      <c r="N56" s="34" t="n">
        <v>0.41</v>
      </c>
      <c r="O56" s="29">
        <f>H56*N56</f>
        <v/>
      </c>
      <c r="P56" s="35" t="n">
        <v>63</v>
      </c>
      <c r="Q56" s="29">
        <f>H56*$H$8</f>
        <v/>
      </c>
      <c r="R56" s="35" t="n">
        <v>25</v>
      </c>
      <c r="S56" s="29">
        <f>H56*$H$4</f>
        <v/>
      </c>
      <c r="T56" s="29">
        <f>J56*$H$3</f>
        <v/>
      </c>
      <c r="U56" s="36" t="n">
        <v>0.9</v>
      </c>
      <c r="V56" s="35" t="n">
        <v>63</v>
      </c>
      <c r="W56" s="29">
        <f>V56*(1-U56)</f>
        <v/>
      </c>
      <c r="X56" s="37" t="n">
        <v>0.22</v>
      </c>
      <c r="Y56" s="29">
        <f>$H$6*$H$7*X56</f>
        <v/>
      </c>
      <c r="Z56" s="33">
        <f>X56*($H$9+$H$10)</f>
        <v/>
      </c>
      <c r="AA56" s="34" t="n">
        <v>0.07000000000000001</v>
      </c>
      <c r="AB56" s="29">
        <f>H56*AA56</f>
        <v/>
      </c>
      <c r="AC56" s="36" t="n">
        <v>0.08</v>
      </c>
      <c r="AD56" s="29">
        <f>H56*AC56</f>
        <v/>
      </c>
      <c r="AE56" s="29">
        <f>AB56+AD56</f>
        <v/>
      </c>
      <c r="AF56" s="38">
        <f>AE56/H56</f>
        <v/>
      </c>
      <c r="AG56" s="39">
        <f>H56-O56-P56-Q56-R56-S56-T56-W56-Y56-Z56-M56-AL56</f>
        <v/>
      </c>
      <c r="AH56" s="40">
        <f>AG56-AE56</f>
        <v/>
      </c>
      <c r="AI56" s="41">
        <f>AH56/H56</f>
        <v/>
      </c>
      <c r="AJ56" s="42">
        <f>AH56/M56</f>
        <v/>
      </c>
      <c r="AK56" s="29">
        <f>(P56+R56+W56+Y56+Z56+M56)/(1-(N56+$H$4+(1-I56)*$H$3+$H$8+$H$11+AA56+AC56))</f>
        <v/>
      </c>
      <c r="AL56" s="29">
        <f>H56*$H$11</f>
        <v/>
      </c>
    </row>
    <row r="57" ht="28.5" customHeight="1" s="66">
      <c r="A57" s="21" t="inlineStr">
        <is>
          <t>FARMSTAY - Collagen Water Full Moist Cream [100g] / Увлажняющий крем с коллагеном</t>
        </is>
      </c>
      <c r="B57" s="58" t="n"/>
      <c r="C57" s="24" t="n"/>
      <c r="D57" s="29" t="n">
        <v>287</v>
      </c>
      <c r="E57" s="49" t="n">
        <v>4300</v>
      </c>
      <c r="F57" s="49" t="n">
        <v>29</v>
      </c>
      <c r="G57" s="49" t="n">
        <v>7</v>
      </c>
      <c r="H57" s="49">
        <f>(1.25*M57+P57+R57+W57+Y57+Z57)/(1-N57-$H$8-$H$4-(1-I57)*$H$3-$H$11-AA57-AC57)</f>
        <v/>
      </c>
      <c r="I57" s="28" t="n">
        <v>0.45</v>
      </c>
      <c r="J57" s="30">
        <f>H57*(1-I57)</f>
        <v/>
      </c>
      <c r="K57" s="31" t="n">
        <v>484.42</v>
      </c>
      <c r="L57" s="32">
        <f>$H$5</f>
        <v/>
      </c>
      <c r="M57" s="33">
        <f>K57+L57</f>
        <v/>
      </c>
      <c r="N57" s="34" t="n">
        <v>0.41</v>
      </c>
      <c r="O57" s="29">
        <f>H57*N57</f>
        <v/>
      </c>
      <c r="P57" s="35" t="n">
        <v>67</v>
      </c>
      <c r="Q57" s="29">
        <f>H57*$H$8</f>
        <v/>
      </c>
      <c r="R57" s="35" t="n">
        <v>25</v>
      </c>
      <c r="S57" s="29">
        <f>H57*$H$4</f>
        <v/>
      </c>
      <c r="T57" s="29">
        <f>J57*$H$3</f>
        <v/>
      </c>
      <c r="U57" s="36" t="n">
        <v>0.9</v>
      </c>
      <c r="V57" s="35" t="n">
        <v>67</v>
      </c>
      <c r="W57" s="29">
        <f>V57*(1-U57)</f>
        <v/>
      </c>
      <c r="X57" s="37" t="n">
        <v>0.57</v>
      </c>
      <c r="Y57" s="29">
        <f>$H$6*$H$7*X57</f>
        <v/>
      </c>
      <c r="Z57" s="33">
        <f>X57*($H$9+$H$10)</f>
        <v/>
      </c>
      <c r="AA57" s="34" t="n">
        <v>0.07000000000000001</v>
      </c>
      <c r="AB57" s="29">
        <f>H57*AA57</f>
        <v/>
      </c>
      <c r="AC57" s="36" t="n">
        <v>0.08</v>
      </c>
      <c r="AD57" s="29">
        <f>H57*AC57</f>
        <v/>
      </c>
      <c r="AE57" s="29">
        <f>AB57+AD57</f>
        <v/>
      </c>
      <c r="AF57" s="38">
        <f>AE57/H57</f>
        <v/>
      </c>
      <c r="AG57" s="39">
        <f>H57-O57-P57-Q57-R57-S57-T57-W57-Y57-Z57-M57-AL57</f>
        <v/>
      </c>
      <c r="AH57" s="40">
        <f>AG57-AE57</f>
        <v/>
      </c>
      <c r="AI57" s="41">
        <f>AH57/H57</f>
        <v/>
      </c>
      <c r="AJ57" s="42">
        <f>AH57/M57</f>
        <v/>
      </c>
      <c r="AK57" s="29">
        <f>(P57+R57+W57+Y57+Z57+M57)/(1-(N57+$H$4+(1-I57)*$H$3+$H$8+$H$11+AA57+AC57))</f>
        <v/>
      </c>
      <c r="AL57" s="29">
        <f>H57*$H$11</f>
        <v/>
      </c>
    </row>
    <row r="58" ht="28.5" customHeight="1" s="66">
      <c r="A58" s="21" t="inlineStr">
        <is>
          <t xml:space="preserve">FARMSTAY - Collagen Pure Cleansing Foam [180ml]/Пенка для умывания </t>
        </is>
      </c>
      <c r="B58" s="58" t="n"/>
      <c r="C58" s="24" t="n"/>
      <c r="D58" s="29" t="n">
        <v>515</v>
      </c>
      <c r="E58" s="49" t="n">
        <v>1100</v>
      </c>
      <c r="F58" s="49" t="n">
        <v>163</v>
      </c>
      <c r="G58" s="49" t="n">
        <v>4.5</v>
      </c>
      <c r="H58" s="49">
        <f>(1.25*M58+P58+R58+W58+Y58+Z58)/(1-N58-$H$8-$H$4-(1-I58)*$H$3-$H$11-AA58-AC58)</f>
        <v/>
      </c>
      <c r="I58" s="28" t="n">
        <v>0.45</v>
      </c>
      <c r="J58" s="30">
        <f>H58*(1-I58)</f>
        <v/>
      </c>
      <c r="K58" s="31" t="n">
        <v>161.47</v>
      </c>
      <c r="L58" s="32">
        <f>$H$5</f>
        <v/>
      </c>
      <c r="M58" s="33">
        <f>K58+L58</f>
        <v/>
      </c>
      <c r="N58" s="34" t="n">
        <v>0.41</v>
      </c>
      <c r="O58" s="29">
        <f>H58*N58</f>
        <v/>
      </c>
      <c r="P58" s="35" t="n">
        <v>67</v>
      </c>
      <c r="Q58" s="29">
        <f>H58*$H$8</f>
        <v/>
      </c>
      <c r="R58" s="35" t="n">
        <v>25</v>
      </c>
      <c r="S58" s="29">
        <f>H58*$H$4</f>
        <v/>
      </c>
      <c r="T58" s="29">
        <f>J58*$H$3</f>
        <v/>
      </c>
      <c r="U58" s="36" t="n">
        <v>0.9</v>
      </c>
      <c r="V58" s="35" t="n">
        <v>67</v>
      </c>
      <c r="W58" s="29">
        <f>V58*(1-U58)</f>
        <v/>
      </c>
      <c r="X58" s="37" t="n">
        <v>0.57</v>
      </c>
      <c r="Y58" s="29">
        <f>$H$6*$H$7*X58</f>
        <v/>
      </c>
      <c r="Z58" s="33">
        <f>X58*($H$9+$H$10)</f>
        <v/>
      </c>
      <c r="AA58" s="34" t="n">
        <v>0.07000000000000001</v>
      </c>
      <c r="AB58" s="29">
        <f>H58*AA58</f>
        <v/>
      </c>
      <c r="AC58" s="36" t="n">
        <v>0.08</v>
      </c>
      <c r="AD58" s="29">
        <f>H58*AC58</f>
        <v/>
      </c>
      <c r="AE58" s="29">
        <f>AB58+AD58</f>
        <v/>
      </c>
      <c r="AF58" s="38">
        <f>AE58/H58</f>
        <v/>
      </c>
      <c r="AG58" s="39">
        <f>H58-O58-P58-Q58-R58-S58-T58-W58-Y58-Z58-M58-AL58</f>
        <v/>
      </c>
      <c r="AH58" s="40">
        <f>AG58-AE58</f>
        <v/>
      </c>
      <c r="AI58" s="41">
        <f>AH58/H58</f>
        <v/>
      </c>
      <c r="AJ58" s="42">
        <f>AH58/M58</f>
        <v/>
      </c>
      <c r="AK58" s="29">
        <f>(P58+R58+W58+Y58+Z58+M58)/(1-(N58+$H$4+(1-I58)*$H$3+$H$8+$H$11+AA58+AC58))</f>
        <v/>
      </c>
      <c r="AL58" s="29">
        <f>H58*$H$11</f>
        <v/>
      </c>
    </row>
    <row r="59" ht="14.25" customHeight="1" s="66">
      <c r="A59" s="20" t="inlineStr">
        <is>
          <t>Косметика/HEIMISH</t>
        </is>
      </c>
      <c r="B59" s="19" t="n"/>
      <c r="C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  <c r="AA59" s="19" t="n"/>
      <c r="AB59" s="19" t="n"/>
      <c r="AC59" s="19" t="n"/>
      <c r="AD59" s="19" t="n"/>
      <c r="AE59" s="19" t="n"/>
      <c r="AF59" s="19" t="n"/>
      <c r="AG59" s="19" t="n"/>
      <c r="AH59" s="19" t="n"/>
      <c r="AI59" s="19" t="n"/>
      <c r="AJ59" s="19" t="n"/>
      <c r="AK59" s="19" t="n"/>
    </row>
    <row r="60" ht="28.5" customHeight="1" s="66">
      <c r="A60" s="21" t="inlineStr">
        <is>
          <t>HEIMISH - Artless Glow Base SPF50+ PA+++(Renew) [40ml] / База под макияж SPF50+ PA+++</t>
        </is>
      </c>
      <c r="B60" s="58" t="n"/>
      <c r="C60" s="24" t="n"/>
      <c r="D60" s="29" t="n">
        <v>1025</v>
      </c>
      <c r="E60" s="49" t="n">
        <v>2980</v>
      </c>
      <c r="F60" s="49" t="n">
        <v>100</v>
      </c>
      <c r="G60" s="49" t="n">
        <v>0</v>
      </c>
      <c r="H60" s="49" t="n">
        <v>2750</v>
      </c>
      <c r="I60" s="28" t="n">
        <v>0.45</v>
      </c>
      <c r="J60" s="30">
        <f>H60*(1-I60)</f>
        <v/>
      </c>
      <c r="K60" s="31" t="n">
        <v>770.48</v>
      </c>
      <c r="L60" s="32">
        <f>$H$5</f>
        <v/>
      </c>
      <c r="M60" s="33">
        <f>K60+L60</f>
        <v/>
      </c>
      <c r="N60" s="34" t="n">
        <v>0.41</v>
      </c>
      <c r="O60" s="29">
        <f>H60*N60</f>
        <v/>
      </c>
      <c r="P60" s="35" t="n">
        <v>56</v>
      </c>
      <c r="Q60" s="29">
        <f>H60*$H$8</f>
        <v/>
      </c>
      <c r="R60" s="35" t="n">
        <v>25</v>
      </c>
      <c r="S60" s="29">
        <f>H60*$H$4</f>
        <v/>
      </c>
      <c r="T60" s="29">
        <f>J60*$H$3</f>
        <v/>
      </c>
      <c r="U60" s="36" t="n">
        <v>0.9</v>
      </c>
      <c r="V60" s="35" t="n">
        <v>56</v>
      </c>
      <c r="W60" s="29">
        <f>V60*(1-U60)</f>
        <v/>
      </c>
      <c r="X60" s="37" t="n">
        <v>0.14</v>
      </c>
      <c r="Y60" s="29">
        <f>$H$6*$H$7*X60</f>
        <v/>
      </c>
      <c r="Z60" s="33">
        <f>X60*($H$9+$H$10)</f>
        <v/>
      </c>
      <c r="AA60" s="34" t="n">
        <v>0.05</v>
      </c>
      <c r="AB60" s="29">
        <f>H60*AA60</f>
        <v/>
      </c>
      <c r="AC60" s="36" t="n">
        <v>0.05</v>
      </c>
      <c r="AD60" s="29">
        <f>H60*AC60</f>
        <v/>
      </c>
      <c r="AE60" s="29">
        <f>AB60+AD60</f>
        <v/>
      </c>
      <c r="AF60" s="38">
        <f>AE60/H60</f>
        <v/>
      </c>
      <c r="AG60" s="39">
        <f>H60-O60-P60-Q60-R60-S60-T60-W60-Y60-Z60-M60-AL60</f>
        <v/>
      </c>
      <c r="AH60" s="40">
        <f>AG60-AE60</f>
        <v/>
      </c>
      <c r="AI60" s="41">
        <f>AH60/H60</f>
        <v/>
      </c>
      <c r="AJ60" s="42">
        <f>AH60/M60</f>
        <v/>
      </c>
      <c r="AK60" s="29">
        <f>(P60+R60+W60+Y60+Z60+M60)/(1-(N60+$H$4+(1-I60)*$H$3+$H$8+$H$11+AA60+AC60))</f>
        <v/>
      </c>
      <c r="AL60" s="29">
        <f>H60*$H$11</f>
        <v/>
      </c>
    </row>
    <row r="61" ht="28.5" customHeight="1" s="66">
      <c r="A61" s="44" t="inlineStr">
        <is>
          <t>HEIMISH - All Clean Balm / Очищающий гидрофильный бальзам щербет МИНИ ВЕРСИЯ</t>
        </is>
      </c>
      <c r="B61" s="45" t="n"/>
      <c r="C61" s="45" t="n"/>
      <c r="D61" s="29" t="n">
        <v>400</v>
      </c>
      <c r="E61" s="29" t="n"/>
      <c r="F61" s="29" t="n"/>
      <c r="G61" s="29" t="n"/>
      <c r="H61" s="29" t="n"/>
      <c r="I61" s="46" t="n"/>
      <c r="J61" s="30" t="n"/>
      <c r="K61" s="32" t="n"/>
      <c r="L61" s="32" t="n"/>
      <c r="M61" s="33" t="n"/>
      <c r="N61" s="47" t="n"/>
      <c r="O61" s="29" t="n"/>
      <c r="P61" s="29" t="n"/>
      <c r="Q61" s="29" t="n"/>
      <c r="R61" s="29" t="n"/>
      <c r="S61" s="29" t="n"/>
      <c r="T61" s="29" t="n"/>
      <c r="U61" s="41" t="n"/>
      <c r="V61" s="29" t="n"/>
      <c r="W61" s="29" t="n"/>
      <c r="X61" s="48" t="n"/>
      <c r="Y61" s="29" t="n"/>
      <c r="Z61" s="33" t="n"/>
      <c r="AA61" s="47" t="n"/>
      <c r="AB61" s="29" t="n"/>
      <c r="AC61" s="41" t="n"/>
      <c r="AD61" s="29" t="n"/>
      <c r="AE61" s="29" t="n"/>
      <c r="AF61" s="38" t="n"/>
      <c r="AG61" s="39" t="n"/>
      <c r="AH61" s="29" t="n"/>
      <c r="AI61" s="41" t="n"/>
      <c r="AJ61" s="41" t="n"/>
      <c r="AK61" s="29" t="n"/>
    </row>
    <row r="62" ht="14.25" customHeight="1" s="66">
      <c r="A62" s="20" t="inlineStr">
        <is>
          <t>Косметика/JIGOTT/JIGOTT-CREAM</t>
        </is>
      </c>
      <c r="B62" s="19" t="n"/>
      <c r="C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  <c r="AA62" s="19" t="n"/>
      <c r="AB62" s="19" t="n"/>
      <c r="AC62" s="19" t="n"/>
      <c r="AD62" s="19" t="n"/>
      <c r="AE62" s="19" t="n"/>
      <c r="AF62" s="19" t="n"/>
      <c r="AG62" s="19" t="n"/>
      <c r="AH62" s="19" t="n"/>
      <c r="AI62" s="19" t="n"/>
      <c r="AJ62" s="19" t="n"/>
      <c r="AK62" s="19" t="n"/>
    </row>
    <row r="63" ht="28.5" customHeight="1" s="66">
      <c r="A63" s="21" t="inlineStr">
        <is>
          <t>JIGOTT - Snail Lifting Cream [70ml] / Крем для лица увлажняющий антивозрастной</t>
        </is>
      </c>
      <c r="B63" s="58" t="n"/>
      <c r="C63" s="24" t="n"/>
      <c r="D63" s="29" t="n">
        <v>7668</v>
      </c>
      <c r="E63" s="49" t="n">
        <v>980</v>
      </c>
      <c r="F63" s="49" t="n">
        <v>160</v>
      </c>
      <c r="G63" s="49" t="n">
        <v>4.5</v>
      </c>
      <c r="H63" s="49" t="n">
        <v>880</v>
      </c>
      <c r="I63" s="28" t="n">
        <v>0.45</v>
      </c>
      <c r="J63" s="30">
        <f>H63*(1-I63)</f>
        <v/>
      </c>
      <c r="K63" s="31" t="n">
        <v>202.27</v>
      </c>
      <c r="L63" s="32">
        <f>$H$5</f>
        <v/>
      </c>
      <c r="M63" s="33">
        <f>K63+L63</f>
        <v/>
      </c>
      <c r="N63" s="34" t="n">
        <v>0.41</v>
      </c>
      <c r="O63" s="29">
        <f>H63*N63</f>
        <v/>
      </c>
      <c r="P63" s="35" t="n">
        <v>67</v>
      </c>
      <c r="Q63" s="29">
        <f>H63*$H$8</f>
        <v/>
      </c>
      <c r="R63" s="35" t="n">
        <v>25</v>
      </c>
      <c r="S63" s="29">
        <f>H63*$H$4</f>
        <v/>
      </c>
      <c r="T63" s="29">
        <f>J63*$H$3</f>
        <v/>
      </c>
      <c r="U63" s="36" t="n">
        <v>0.9</v>
      </c>
      <c r="V63" s="35" t="n">
        <v>67</v>
      </c>
      <c r="W63" s="29">
        <f>V63*(1-U63)</f>
        <v/>
      </c>
      <c r="X63" s="37" t="n">
        <v>0.42</v>
      </c>
      <c r="Y63" s="29">
        <f>$H$6*$H$7*X63</f>
        <v/>
      </c>
      <c r="Z63" s="33">
        <f>X63*($H$9+$H$10)</f>
        <v/>
      </c>
      <c r="AA63" s="34" t="n">
        <v>0.07000000000000001</v>
      </c>
      <c r="AB63" s="29">
        <f>H63*AA63</f>
        <v/>
      </c>
      <c r="AC63" s="36" t="n">
        <v>0.08</v>
      </c>
      <c r="AD63" s="29">
        <f>H63*AC63</f>
        <v/>
      </c>
      <c r="AE63" s="29">
        <f>AB63+AD63</f>
        <v/>
      </c>
      <c r="AF63" s="38">
        <f>AE63/H63</f>
        <v/>
      </c>
      <c r="AG63" s="39">
        <f>H63-O63-P63-Q63-R63-S63-T63-W63-Y63-Z63-M63-AL63</f>
        <v/>
      </c>
      <c r="AH63" s="53">
        <f>AG63-AE63</f>
        <v/>
      </c>
      <c r="AI63" s="54">
        <f>AH63/H63</f>
        <v/>
      </c>
      <c r="AJ63" s="55">
        <f>AH63/M63</f>
        <v/>
      </c>
      <c r="AK63" s="29">
        <f>(P63+R63+W63+Y63+Z63+M63)/(1-(N63+$H$4+(1-I63)*$H$3+$H$8+$H$11+AA63+AC63))</f>
        <v/>
      </c>
      <c r="AL63" s="29">
        <f>H63*$H$11</f>
        <v/>
      </c>
    </row>
    <row r="64" ht="28.5" customHeight="1" s="66">
      <c r="A64" s="21" t="inlineStr">
        <is>
          <t>JIGOTT - Snail Reparing Cream [100ml] / Крем для лица увлажняющий антивозрастной с муцином улитки</t>
        </is>
      </c>
      <c r="B64" s="58" t="n"/>
      <c r="C64" s="24" t="n"/>
      <c r="D64" s="29" t="n">
        <v>1241</v>
      </c>
      <c r="E64" s="49" t="n">
        <v>1030</v>
      </c>
      <c r="F64" s="49" t="n">
        <v>153</v>
      </c>
      <c r="G64" s="49" t="n">
        <v>5</v>
      </c>
      <c r="H64" s="49" t="n">
        <v>930</v>
      </c>
      <c r="I64" s="28" t="n">
        <v>0.45</v>
      </c>
      <c r="J64" s="30">
        <f>H64*(1-I64)</f>
        <v/>
      </c>
      <c r="K64" s="31" t="n">
        <v>185.86</v>
      </c>
      <c r="L64" s="32">
        <f>$H$5</f>
        <v/>
      </c>
      <c r="M64" s="33">
        <f>K64+L64</f>
        <v/>
      </c>
      <c r="N64" s="34" t="n">
        <v>0.41</v>
      </c>
      <c r="O64" s="29">
        <f>H64*N64</f>
        <v/>
      </c>
      <c r="P64" s="35" t="n">
        <v>67</v>
      </c>
      <c r="Q64" s="29">
        <f>H64*$H$8</f>
        <v/>
      </c>
      <c r="R64" s="35" t="n">
        <v>25</v>
      </c>
      <c r="S64" s="29">
        <f>H64*$H$4</f>
        <v/>
      </c>
      <c r="T64" s="29">
        <f>J64*$H$3</f>
        <v/>
      </c>
      <c r="U64" s="36" t="n">
        <v>0.9</v>
      </c>
      <c r="V64" s="35" t="n">
        <v>67</v>
      </c>
      <c r="W64" s="29">
        <f>V64*(1-U64)</f>
        <v/>
      </c>
      <c r="X64" s="37" t="n">
        <v>0.57</v>
      </c>
      <c r="Y64" s="29">
        <f>$H$6*$H$7*X64</f>
        <v/>
      </c>
      <c r="Z64" s="33">
        <f>X64*($H$9+$H$10)</f>
        <v/>
      </c>
      <c r="AA64" s="34" t="n">
        <v>0.07000000000000001</v>
      </c>
      <c r="AB64" s="29">
        <f>H64*AA64</f>
        <v/>
      </c>
      <c r="AC64" s="36" t="n">
        <v>0.08</v>
      </c>
      <c r="AD64" s="29">
        <f>H64*AC64</f>
        <v/>
      </c>
      <c r="AE64" s="29">
        <f>AB64+AD64</f>
        <v/>
      </c>
      <c r="AF64" s="38">
        <f>AE64/H64</f>
        <v/>
      </c>
      <c r="AG64" s="39">
        <f>H64-O64-P64-Q64-R64-S64-T64-W64-Y64-Z64-M64-AL64</f>
        <v/>
      </c>
      <c r="AH64" s="53">
        <f>AG64-AE64</f>
        <v/>
      </c>
      <c r="AI64" s="54">
        <f>AH64/H64</f>
        <v/>
      </c>
      <c r="AJ64" s="55">
        <f>AH64/M64</f>
        <v/>
      </c>
      <c r="AK64" s="29">
        <f>(P64+R64+W64+Y64+Z64+M64)/(1-(N64+$H$4+(1-I64)*$H$3+$H$8+$H$11+AA64+AC64))</f>
        <v/>
      </c>
      <c r="AL64" s="29">
        <f>H64*$H$11</f>
        <v/>
      </c>
    </row>
    <row r="65" ht="28.5" customHeight="1" s="66">
      <c r="A65" s="21" t="inlineStr">
        <is>
          <t>JIGOTT - Birds Nest Firming Cream [70ml] / Антивозрастной крем с экстрактом ласточкиного гнезда</t>
        </is>
      </c>
      <c r="B65" s="58" t="n"/>
      <c r="C65" s="24" t="n"/>
      <c r="D65" s="29" t="n">
        <v>1814</v>
      </c>
      <c r="E65" s="49" t="n">
        <v>1040</v>
      </c>
      <c r="F65" s="49" t="n">
        <v>49</v>
      </c>
      <c r="G65" s="49" t="n">
        <v>4</v>
      </c>
      <c r="H65" s="49" t="n">
        <v>960</v>
      </c>
      <c r="I65" s="28" t="n">
        <v>0.45</v>
      </c>
      <c r="J65" s="30">
        <f>H65*(1-I65)</f>
        <v/>
      </c>
      <c r="K65" s="31" t="n">
        <v>202.27</v>
      </c>
      <c r="L65" s="32">
        <f>$H$5</f>
        <v/>
      </c>
      <c r="M65" s="33">
        <f>K65+L65</f>
        <v/>
      </c>
      <c r="N65" s="34" t="n">
        <v>0.41</v>
      </c>
      <c r="O65" s="29">
        <f>H65*N65</f>
        <v/>
      </c>
      <c r="P65" s="35" t="n">
        <v>67</v>
      </c>
      <c r="Q65" s="29">
        <f>H65*$H$8</f>
        <v/>
      </c>
      <c r="R65" s="35" t="n">
        <v>25</v>
      </c>
      <c r="S65" s="29">
        <f>H65*$H$4</f>
        <v/>
      </c>
      <c r="T65" s="29">
        <f>J65*$H$3</f>
        <v/>
      </c>
      <c r="U65" s="36" t="n">
        <v>0.9</v>
      </c>
      <c r="V65" s="35" t="n">
        <v>67</v>
      </c>
      <c r="W65" s="29">
        <f>V65*(1-U65)</f>
        <v/>
      </c>
      <c r="X65" s="37" t="n">
        <v>0.42</v>
      </c>
      <c r="Y65" s="29">
        <f>$H$6*$H$7*X65</f>
        <v/>
      </c>
      <c r="Z65" s="33">
        <f>X65*($H$9+$H$10)</f>
        <v/>
      </c>
      <c r="AA65" s="34" t="n">
        <v>0.07000000000000001</v>
      </c>
      <c r="AB65" s="29">
        <f>H65*AA65</f>
        <v/>
      </c>
      <c r="AC65" s="36" t="n">
        <v>0.08</v>
      </c>
      <c r="AD65" s="29">
        <f>H65*AC65</f>
        <v/>
      </c>
      <c r="AE65" s="29">
        <f>AB65+AD65</f>
        <v/>
      </c>
      <c r="AF65" s="38">
        <f>AE65/H65</f>
        <v/>
      </c>
      <c r="AG65" s="39">
        <f>H65-O65-P65-Q65-R65-S65-T65-W65-Y65-Z65-M65-AL65</f>
        <v/>
      </c>
      <c r="AH65" s="53">
        <f>AG65-AE65</f>
        <v/>
      </c>
      <c r="AI65" s="54">
        <f>AH65/H65</f>
        <v/>
      </c>
      <c r="AJ65" s="55">
        <f>AH65/M65</f>
        <v/>
      </c>
      <c r="AK65" s="29">
        <f>(P65+R65+W65+Y65+Z65+M65)/(1-(N65+$H$4+(1-I65)*$H$3+$H$8+$H$11+AA65+AC65))</f>
        <v/>
      </c>
      <c r="AL65" s="29">
        <f>H65*$H$11</f>
        <v/>
      </c>
    </row>
    <row r="66" ht="14.25" customHeight="1" s="66">
      <c r="A66" s="20" t="inlineStr">
        <is>
          <t>Косметика/JIGOTT/JIGOTT-MASK</t>
        </is>
      </c>
      <c r="B66" s="19" t="n"/>
      <c r="C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  <c r="AA66" s="19" t="n"/>
      <c r="AB66" s="19" t="n"/>
      <c r="AC66" s="19" t="n"/>
      <c r="AD66" s="19" t="n"/>
      <c r="AE66" s="19" t="n"/>
      <c r="AF66" s="19" t="n"/>
      <c r="AG66" s="19" t="n"/>
      <c r="AH66" s="19" t="n"/>
      <c r="AI66" s="19" t="n"/>
      <c r="AJ66" s="19" t="n"/>
      <c r="AK66" s="19" t="n"/>
    </row>
    <row r="67" ht="14.25" customHeight="1" s="66">
      <c r="A67" s="44" t="inlineStr">
        <is>
          <t>JIGOTT - Ассорти набор масок [27ml х 15]</t>
        </is>
      </c>
      <c r="B67" s="45" t="n"/>
      <c r="C67" s="45" t="inlineStr">
        <is>
          <t>добавлено в расчет: цена под ROI 25%, объем оценочный</t>
        </is>
      </c>
      <c r="D67" s="29" t="n">
        <v>1350</v>
      </c>
      <c r="E67" s="29" t="n"/>
      <c r="F67" s="29" t="n"/>
      <c r="G67" s="29" t="n"/>
      <c r="H67" s="29">
        <f>(1.25*M67+P67+R67+W67+Y67+Z67)/(1-N67-$H$8-$H$4-(1-I67)*$H$3-$H$11-AA67-AC67)</f>
        <v/>
      </c>
      <c r="I67" s="46" t="n">
        <v>0.45</v>
      </c>
      <c r="J67" s="30">
        <f>H67*(1-I67)</f>
        <v/>
      </c>
      <c r="K67" s="32" t="n">
        <v>334.05</v>
      </c>
      <c r="L67" s="32">
        <f>$H$5</f>
        <v/>
      </c>
      <c r="M67" s="33">
        <f>K67+L67</f>
        <v/>
      </c>
      <c r="N67" s="47" t="n">
        <v>0.41</v>
      </c>
      <c r="O67" s="29">
        <f>H67*N67</f>
        <v/>
      </c>
      <c r="P67" s="29" t="n">
        <v>75</v>
      </c>
      <c r="Q67" s="29">
        <f>H67*$H$8</f>
        <v/>
      </c>
      <c r="R67" s="29" t="n">
        <v>25</v>
      </c>
      <c r="S67" s="29">
        <f>H67*$H$4</f>
        <v/>
      </c>
      <c r="T67" s="29">
        <f>J67*$H$3</f>
        <v/>
      </c>
      <c r="U67" s="41" t="n">
        <v>0.9</v>
      </c>
      <c r="V67" s="29" t="n">
        <v>75</v>
      </c>
      <c r="W67" s="29">
        <f>V67*(1-U67)</f>
        <v/>
      </c>
      <c r="X67" s="48" t="n">
        <v>1.6</v>
      </c>
      <c r="Y67" s="29">
        <f>$H$6*$H$7*X67</f>
        <v/>
      </c>
      <c r="Z67" s="33">
        <f>X67*($H$9+$H$10)</f>
        <v/>
      </c>
      <c r="AA67" s="47" t="n">
        <v>0.07000000000000001</v>
      </c>
      <c r="AB67" s="29">
        <f>H67*AA67</f>
        <v/>
      </c>
      <c r="AC67" s="41" t="n">
        <v>0.08</v>
      </c>
      <c r="AD67" s="29">
        <f>H67*AC67</f>
        <v/>
      </c>
      <c r="AE67" s="29">
        <f>AB67+AD67</f>
        <v/>
      </c>
      <c r="AF67" s="38">
        <f>AE67/H67</f>
        <v/>
      </c>
      <c r="AG67" s="39">
        <f>H67-O67-P67-Q67-R67-S67-T67-W67-Y67-Z67-M67-AL67</f>
        <v/>
      </c>
      <c r="AH67" s="29">
        <f>AG67-AE67</f>
        <v/>
      </c>
      <c r="AI67" s="41">
        <f>AH67/H67</f>
        <v/>
      </c>
      <c r="AJ67" s="41">
        <f>AH67/M67</f>
        <v/>
      </c>
      <c r="AK67" s="29">
        <f>(P67+R67+W67+Y67+Z67+M67)/(1-(N67+$H$4+(1-I67)*$H$3+$H$8+$H$11+AA67+AC67))</f>
        <v/>
      </c>
      <c r="AL67">
        <f>H67*$H$11</f>
        <v/>
      </c>
    </row>
    <row r="68" ht="14.25" customHeight="1" s="66">
      <c r="A68" s="20" t="inlineStr">
        <is>
          <t>Косметика/JIGOTT/JIGOTT-TONER</t>
        </is>
      </c>
      <c r="B68" s="19" t="n"/>
      <c r="C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  <c r="AA68" s="19" t="n"/>
      <c r="AB68" s="19" t="n"/>
      <c r="AC68" s="19" t="n"/>
      <c r="AD68" s="19" t="n"/>
      <c r="AE68" s="19" t="n"/>
      <c r="AF68" s="19" t="n"/>
      <c r="AG68" s="19" t="n"/>
      <c r="AH68" s="19" t="n"/>
      <c r="AI68" s="19" t="n"/>
      <c r="AJ68" s="19" t="n"/>
      <c r="AK68" s="19" t="n"/>
    </row>
    <row r="69" ht="28.5" customHeight="1" s="66">
      <c r="A69" s="21" t="inlineStr">
        <is>
          <t>JIGOTT - Ultimate Real Collagen Toner [300ml] / тонер с коллагеном антивозрастной</t>
        </is>
      </c>
      <c r="B69" s="58" t="n"/>
      <c r="C69" s="24" t="n"/>
      <c r="D69" s="29" t="n">
        <v>1296</v>
      </c>
      <c r="E69" s="49" t="n">
        <v>1140</v>
      </c>
      <c r="F69" s="49" t="n">
        <v>131</v>
      </c>
      <c r="G69" s="49" t="n">
        <v>0</v>
      </c>
      <c r="H69" s="49" t="n">
        <v>960</v>
      </c>
      <c r="I69" s="28" t="n">
        <v>0.45</v>
      </c>
      <c r="J69" s="30">
        <f>H69*(1-I69)</f>
        <v/>
      </c>
      <c r="K69" s="31" t="n">
        <v>265.36</v>
      </c>
      <c r="L69" s="32">
        <f>$H$5</f>
        <v/>
      </c>
      <c r="M69" s="33">
        <f>K69+L69</f>
        <v/>
      </c>
      <c r="N69" s="34" t="n">
        <v>0.41</v>
      </c>
      <c r="O69" s="29">
        <f>H69*N69</f>
        <v/>
      </c>
      <c r="P69" s="35" t="n">
        <v>67</v>
      </c>
      <c r="Q69" s="29">
        <f>H69*$H$8</f>
        <v/>
      </c>
      <c r="R69" s="35" t="n">
        <v>25</v>
      </c>
      <c r="S69" s="29">
        <f>H69*$H$4</f>
        <v/>
      </c>
      <c r="T69" s="29">
        <f>J69*$H$3</f>
        <v/>
      </c>
      <c r="U69" s="36" t="n">
        <v>0.9</v>
      </c>
      <c r="V69" s="35" t="n">
        <v>67</v>
      </c>
      <c r="W69" s="29">
        <f>V69*(1-U69)</f>
        <v/>
      </c>
      <c r="X69" s="37" t="n">
        <v>0.93</v>
      </c>
      <c r="Y69" s="29">
        <f>$H$6*$H$7*X69</f>
        <v/>
      </c>
      <c r="Z69" s="33">
        <f>X69*($H$9+$H$10)</f>
        <v/>
      </c>
      <c r="AA69" s="34" t="n">
        <v>0.07000000000000001</v>
      </c>
      <c r="AB69" s="29">
        <f>H69*AA69</f>
        <v/>
      </c>
      <c r="AC69" s="36" t="n">
        <v>0.08</v>
      </c>
      <c r="AD69" s="29">
        <f>H69*AC69</f>
        <v/>
      </c>
      <c r="AE69" s="29">
        <f>AB69+AD69</f>
        <v/>
      </c>
      <c r="AF69" s="38">
        <f>AE69/H69</f>
        <v/>
      </c>
      <c r="AG69" s="39">
        <f>H69-O69-P69-Q69-R69-S69-T69-W69-Y69-Z69-M69-AL69</f>
        <v/>
      </c>
      <c r="AH69" s="53">
        <f>AG69-AE69</f>
        <v/>
      </c>
      <c r="AI69" s="54">
        <f>AH69/H69</f>
        <v/>
      </c>
      <c r="AJ69" s="55">
        <f>AH69/M69</f>
        <v/>
      </c>
      <c r="AK69" s="29">
        <f>(P69+R69+W69+Y69+Z69+M69)/(1-(N69+$H$4+(1-I69)*$H$3+$H$8+$H$11+AA69+AC69))</f>
        <v/>
      </c>
      <c r="AL69" s="29">
        <f>H69*$H$11</f>
        <v/>
      </c>
    </row>
    <row r="70" ht="28.5" customHeight="1" s="66">
      <c r="A70" s="21" t="inlineStr">
        <is>
          <t>JIGOTT - Daily Real Cica Toner [300ml] / Тонер для лица с центеллой азиатской</t>
        </is>
      </c>
      <c r="B70" s="58" t="n"/>
      <c r="C70" s="24" t="n"/>
      <c r="D70" s="29" t="n">
        <v>1468</v>
      </c>
      <c r="E70" s="49" t="n">
        <v>1140</v>
      </c>
      <c r="F70" s="49" t="n">
        <v>191</v>
      </c>
      <c r="G70" s="49" t="n">
        <v>0</v>
      </c>
      <c r="H70" s="49" t="n">
        <v>960</v>
      </c>
      <c r="I70" s="28" t="n">
        <v>0.45</v>
      </c>
      <c r="J70" s="30">
        <f>H70*(1-I70)</f>
        <v/>
      </c>
      <c r="K70" s="31" t="n">
        <v>265.36</v>
      </c>
      <c r="L70" s="32">
        <f>$H$5</f>
        <v/>
      </c>
      <c r="M70" s="33">
        <f>K70+L70</f>
        <v/>
      </c>
      <c r="N70" s="34" t="n">
        <v>0.41</v>
      </c>
      <c r="O70" s="29">
        <f>H70*N70</f>
        <v/>
      </c>
      <c r="P70" s="35" t="n">
        <v>67</v>
      </c>
      <c r="Q70" s="29">
        <f>H70*$H$8</f>
        <v/>
      </c>
      <c r="R70" s="35" t="n">
        <v>25</v>
      </c>
      <c r="S70" s="29">
        <f>H70*$H$4</f>
        <v/>
      </c>
      <c r="T70" s="29">
        <f>J70*$H$3</f>
        <v/>
      </c>
      <c r="U70" s="36" t="n">
        <v>0.9</v>
      </c>
      <c r="V70" s="35" t="n">
        <v>67</v>
      </c>
      <c r="W70" s="29">
        <f>V70*(1-U70)</f>
        <v/>
      </c>
      <c r="X70" s="37" t="n">
        <v>0.93</v>
      </c>
      <c r="Y70" s="29">
        <f>$H$6*$H$7*X70</f>
        <v/>
      </c>
      <c r="Z70" s="33">
        <f>X70*($H$9+$H$10)</f>
        <v/>
      </c>
      <c r="AA70" s="34" t="n">
        <v>0.07000000000000001</v>
      </c>
      <c r="AB70" s="29">
        <f>H70*AA70</f>
        <v/>
      </c>
      <c r="AC70" s="36" t="n">
        <v>0.08</v>
      </c>
      <c r="AD70" s="29">
        <f>H70*AC70</f>
        <v/>
      </c>
      <c r="AE70" s="29">
        <f>AB70+AD70</f>
        <v/>
      </c>
      <c r="AF70" s="38">
        <f>AE70/H70</f>
        <v/>
      </c>
      <c r="AG70" s="39">
        <f>H70-O70-P70-Q70-R70-S70-T70-W70-Y70-Z70-M70-AL70</f>
        <v/>
      </c>
      <c r="AH70" s="53">
        <f>AG70-AE70</f>
        <v/>
      </c>
      <c r="AI70" s="54">
        <f>AH70/H70</f>
        <v/>
      </c>
      <c r="AJ70" s="55">
        <f>AH70/M70</f>
        <v/>
      </c>
      <c r="AK70" s="29">
        <f>(P70+R70+W70+Y70+Z70+M70)/(1-(N70+$H$4+(1-I70)*$H$3+$H$8+$H$11+AA70+AC70))</f>
        <v/>
      </c>
      <c r="AL70" s="29">
        <f>H70*$H$11</f>
        <v/>
      </c>
    </row>
    <row r="71" ht="28.5" customHeight="1" s="66">
      <c r="A71" s="21" t="inlineStr">
        <is>
          <t>JIGOTT - Aura Secret Hyaluronec Acid Toner [300ml] / Тонер с гиалуроновой кислотой антивозрастной</t>
        </is>
      </c>
      <c r="B71" s="58" t="n"/>
      <c r="C71" s="24" t="n"/>
      <c r="D71" s="29" t="n">
        <v>424</v>
      </c>
      <c r="E71" s="49" t="n">
        <v>975</v>
      </c>
      <c r="F71" s="49" t="n">
        <v>77</v>
      </c>
      <c r="G71" s="49" t="n">
        <v>0</v>
      </c>
      <c r="H71" s="49" t="n">
        <v>900</v>
      </c>
      <c r="I71" s="28" t="n">
        <v>0.45</v>
      </c>
      <c r="J71" s="30">
        <f>H71*(1-I71)</f>
        <v/>
      </c>
      <c r="K71" s="31" t="n">
        <v>265.36</v>
      </c>
      <c r="L71" s="32">
        <f>$H$5</f>
        <v/>
      </c>
      <c r="M71" s="33">
        <f>K71+L71</f>
        <v/>
      </c>
      <c r="N71" s="34" t="n">
        <v>0.41</v>
      </c>
      <c r="O71" s="29">
        <f>H71*N71</f>
        <v/>
      </c>
      <c r="P71" s="35" t="n">
        <v>67</v>
      </c>
      <c r="Q71" s="29">
        <f>H71*$H$8</f>
        <v/>
      </c>
      <c r="R71" s="35" t="n">
        <v>25</v>
      </c>
      <c r="S71" s="29">
        <f>H71*$H$4</f>
        <v/>
      </c>
      <c r="T71" s="29">
        <f>J71*$H$3</f>
        <v/>
      </c>
      <c r="U71" s="36" t="n">
        <v>0.9</v>
      </c>
      <c r="V71" s="35" t="n">
        <v>67</v>
      </c>
      <c r="W71" s="29">
        <f>V71*(1-U71)</f>
        <v/>
      </c>
      <c r="X71" s="37" t="n">
        <v>0.93</v>
      </c>
      <c r="Y71" s="29">
        <f>$H$6*$H$7*X71</f>
        <v/>
      </c>
      <c r="Z71" s="33">
        <f>X71*($H$9+$H$10)</f>
        <v/>
      </c>
      <c r="AA71" s="34" t="n">
        <v>0.07000000000000001</v>
      </c>
      <c r="AB71" s="29">
        <f>H71*AA71</f>
        <v/>
      </c>
      <c r="AC71" s="36" t="n">
        <v>0.08</v>
      </c>
      <c r="AD71" s="29">
        <f>H71*AC71</f>
        <v/>
      </c>
      <c r="AE71" s="29">
        <f>AB71+AD71</f>
        <v/>
      </c>
      <c r="AF71" s="38">
        <f>AE71/H71</f>
        <v/>
      </c>
      <c r="AG71" s="39">
        <f>H71-O71-P71-Q71-R71-S71-T71-W71-Y71-Z71-M71-AL71</f>
        <v/>
      </c>
      <c r="AH71" s="53">
        <f>AG71-AE71</f>
        <v/>
      </c>
      <c r="AI71" s="54">
        <f>AH71/H71</f>
        <v/>
      </c>
      <c r="AJ71" s="55">
        <f>AH71/M71</f>
        <v/>
      </c>
      <c r="AK71" s="29">
        <f>(P71+R71+W71+Y71+Z71+M71)/(1-(N71+$H$4+(1-I71)*$H$3+$H$8+$H$11+AA71+AC71))</f>
        <v/>
      </c>
      <c r="AL71" s="29">
        <f>H71*$H$11</f>
        <v/>
      </c>
    </row>
    <row r="72" ht="28.5" customHeight="1" s="66">
      <c r="A72" s="21" t="inlineStr">
        <is>
          <t>JIGOTT - Moisture Real Aloe Vera Toner [300ml] / Тонер для лица увлажняющий с экстрактом алоэ</t>
        </is>
      </c>
      <c r="B72" s="58" t="n"/>
      <c r="C72" s="24" t="n"/>
      <c r="D72" s="29" t="n">
        <v>356</v>
      </c>
      <c r="E72" s="49" t="n">
        <v>1100</v>
      </c>
      <c r="F72" s="49" t="n">
        <v>169</v>
      </c>
      <c r="G72" s="49" t="n">
        <v>8</v>
      </c>
      <c r="H72" s="49" t="n">
        <v>1000</v>
      </c>
      <c r="I72" s="28" t="n">
        <v>0.45</v>
      </c>
      <c r="J72" s="30">
        <f>H72*(1-I72)</f>
        <v/>
      </c>
      <c r="K72" s="31" t="n">
        <v>265.36</v>
      </c>
      <c r="L72" s="32">
        <f>$H$5</f>
        <v/>
      </c>
      <c r="M72" s="33">
        <f>K72+L72</f>
        <v/>
      </c>
      <c r="N72" s="34" t="n">
        <v>0.41</v>
      </c>
      <c r="O72" s="29">
        <f>H72*N72</f>
        <v/>
      </c>
      <c r="P72" s="35" t="n">
        <v>67</v>
      </c>
      <c r="Q72" s="29">
        <f>H72*$H$8</f>
        <v/>
      </c>
      <c r="R72" s="35" t="n">
        <v>25</v>
      </c>
      <c r="S72" s="29">
        <f>H72*$H$4</f>
        <v/>
      </c>
      <c r="T72" s="29">
        <f>J72*$H$3</f>
        <v/>
      </c>
      <c r="U72" s="36" t="n">
        <v>0.9</v>
      </c>
      <c r="V72" s="35" t="n">
        <v>67</v>
      </c>
      <c r="W72" s="29">
        <f>V72*(1-U72)</f>
        <v/>
      </c>
      <c r="X72" s="37" t="n">
        <v>0.93</v>
      </c>
      <c r="Y72" s="29">
        <f>$H$6*$H$7*X72</f>
        <v/>
      </c>
      <c r="Z72" s="33">
        <f>X72*($H$9+$H$10)</f>
        <v/>
      </c>
      <c r="AA72" s="34" t="n">
        <v>0.07000000000000001</v>
      </c>
      <c r="AB72" s="29">
        <f>H72*AA72</f>
        <v/>
      </c>
      <c r="AC72" s="36" t="n">
        <v>0.08</v>
      </c>
      <c r="AD72" s="29">
        <f>H72*AC72</f>
        <v/>
      </c>
      <c r="AE72" s="29">
        <f>AB72+AD72</f>
        <v/>
      </c>
      <c r="AF72" s="38">
        <f>AE72/H72</f>
        <v/>
      </c>
      <c r="AG72" s="39">
        <f>H72-O72-P72-Q72-R72-S72-T72-W72-Y72-Z72-M72-AL72</f>
        <v/>
      </c>
      <c r="AH72" s="53">
        <f>AG72-AE72</f>
        <v/>
      </c>
      <c r="AI72" s="54">
        <f>AH72/H72</f>
        <v/>
      </c>
      <c r="AJ72" s="55">
        <f>AH72/M72</f>
        <v/>
      </c>
      <c r="AK72" s="29">
        <f>(P72+R72+W72+Y72+Z72+M72)/(1-(N72+$H$4+(1-I72)*$H$3+$H$8+$H$11+AA72+AC72))</f>
        <v/>
      </c>
      <c r="AL72" s="29">
        <f>H72*$H$11</f>
        <v/>
      </c>
    </row>
    <row r="73" ht="14.25" customHeight="1" s="66">
      <c r="A73" s="20" t="inlineStr">
        <is>
          <t>Косметика/JMSOLUTION/JM-MASKPACKBLACK</t>
        </is>
      </c>
      <c r="B73" s="19" t="n"/>
      <c r="C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  <c r="AA73" s="19" t="n"/>
      <c r="AB73" s="19" t="n"/>
      <c r="AC73" s="19" t="n"/>
      <c r="AD73" s="19" t="n"/>
      <c r="AE73" s="19" t="n"/>
      <c r="AF73" s="19" t="n"/>
      <c r="AG73" s="19" t="n"/>
      <c r="AH73" s="19" t="n"/>
      <c r="AI73" s="19" t="n"/>
      <c r="AJ73" s="19" t="n"/>
      <c r="AK73" s="19" t="n"/>
    </row>
    <row r="74" ht="28.5" customHeight="1" s="66">
      <c r="A74" s="21" t="inlineStr">
        <is>
          <t>JMSOLUTION - MASK PACK BLACK [30ml*10ea] - ассорти набор 10шт в упаковке</t>
        </is>
      </c>
      <c r="B74" s="58" t="n"/>
      <c r="C74" s="24" t="n"/>
      <c r="D74" s="29" t="n">
        <v>1039</v>
      </c>
      <c r="E74" s="49" t="n">
        <v>2340</v>
      </c>
      <c r="F74" s="49" t="inlineStr">
        <is>
          <t>51 (закончились)</t>
        </is>
      </c>
      <c r="G74" s="49" t="n">
        <v>4</v>
      </c>
      <c r="H74" s="49" t="n">
        <v>2086</v>
      </c>
      <c r="I74" s="28" t="n">
        <v>0.45</v>
      </c>
      <c r="J74" s="30">
        <f>H74*(1-I74)</f>
        <v/>
      </c>
      <c r="K74" s="31" t="n">
        <v>463.2</v>
      </c>
      <c r="L74" s="32">
        <f>$H$5</f>
        <v/>
      </c>
      <c r="M74" s="33">
        <f>K74+L74</f>
        <v/>
      </c>
      <c r="N74" s="34" t="n">
        <v>0.41</v>
      </c>
      <c r="O74" s="29">
        <f>H74*N74</f>
        <v/>
      </c>
      <c r="P74" s="35" t="n">
        <v>72</v>
      </c>
      <c r="Q74" s="29">
        <f>H74*$H$8</f>
        <v/>
      </c>
      <c r="R74" s="35" t="n">
        <v>25</v>
      </c>
      <c r="S74" s="29">
        <f>H74*$H$4</f>
        <v/>
      </c>
      <c r="T74" s="29">
        <f>J74*$H$3</f>
        <v/>
      </c>
      <c r="U74" s="36" t="n">
        <v>0.9</v>
      </c>
      <c r="V74" s="35" t="n">
        <v>72</v>
      </c>
      <c r="W74" s="29">
        <f>V74*(1-U74)</f>
        <v/>
      </c>
      <c r="X74" s="37" t="n">
        <v>1.25</v>
      </c>
      <c r="Y74" s="29">
        <f>$H$6*$H$7*X74</f>
        <v/>
      </c>
      <c r="Z74" s="33">
        <f>X74*($H$9+$H$10)</f>
        <v/>
      </c>
      <c r="AA74" s="34" t="n">
        <v>0.07000000000000001</v>
      </c>
      <c r="AB74" s="29">
        <f>H74*AA74</f>
        <v/>
      </c>
      <c r="AC74" s="36" t="n">
        <v>0.08</v>
      </c>
      <c r="AD74" s="29">
        <f>H74*AC74</f>
        <v/>
      </c>
      <c r="AE74" s="29">
        <f>AB74+AD74</f>
        <v/>
      </c>
      <c r="AF74" s="38">
        <f>AE74/H74</f>
        <v/>
      </c>
      <c r="AG74" s="39">
        <f>H74-O74-P74-Q74-R74-S74-T74-W74-Y74-Z74-M74-AL74</f>
        <v/>
      </c>
      <c r="AH74" s="40">
        <f>AG74-AE74</f>
        <v/>
      </c>
      <c r="AI74" s="41">
        <f>AH74/H74</f>
        <v/>
      </c>
      <c r="AJ74" s="42">
        <f>AH74/M74</f>
        <v/>
      </c>
      <c r="AK74" s="29">
        <f>(P74+R74+W74+Y74+Z74+M74)/(1-(N74+$H$4+(1-I74)*$H$3+$H$8+$H$11+AA74+AC74))</f>
        <v/>
      </c>
      <c r="AL74" s="29">
        <f>H74*$H$11</f>
        <v/>
      </c>
    </row>
    <row r="75" ht="14.25" customHeight="1" s="66">
      <c r="A75" s="20" t="inlineStr">
        <is>
          <t>Косметика/JMSOLUTION/JM-MASKPACKDISNEY</t>
        </is>
      </c>
      <c r="B75" s="19" t="n"/>
      <c r="C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  <c r="AA75" s="19" t="n"/>
      <c r="AB75" s="19" t="n"/>
      <c r="AC75" s="19" t="n"/>
      <c r="AD75" s="19" t="n"/>
      <c r="AE75" s="19" t="n"/>
      <c r="AF75" s="19" t="n"/>
      <c r="AG75" s="19" t="n"/>
      <c r="AH75" s="19" t="n"/>
      <c r="AI75" s="19" t="n"/>
      <c r="AJ75" s="19" t="n"/>
      <c r="AK75" s="19" t="n"/>
    </row>
    <row r="76" ht="14.25" customHeight="1" s="66">
      <c r="A76" s="21" t="inlineStr">
        <is>
          <t>JMSOLUTION - MASK PACK DISNEY [30ml*10ea] - ассорти набор из 10шт</t>
        </is>
      </c>
      <c r="B76" s="58" t="n"/>
      <c r="C76" s="24" t="inlineStr">
        <is>
          <t>нет таких наборов</t>
        </is>
      </c>
      <c r="D76" s="29" t="n">
        <v>835</v>
      </c>
      <c r="E76" s="49" t="n"/>
      <c r="F76" s="49" t="n"/>
      <c r="G76" s="49" t="n"/>
      <c r="H76" s="49" t="n">
        <v>2086</v>
      </c>
      <c r="I76" s="28" t="n">
        <v>0.45</v>
      </c>
      <c r="J76" s="30">
        <f>H76*(1-I76)</f>
        <v/>
      </c>
      <c r="K76" s="31" t="n">
        <v>463.2</v>
      </c>
      <c r="L76" s="32">
        <f>$H$5</f>
        <v/>
      </c>
      <c r="M76" s="33">
        <f>K76+L76</f>
        <v/>
      </c>
      <c r="N76" s="34" t="n">
        <v>0.41</v>
      </c>
      <c r="O76" s="29">
        <f>H76*N76</f>
        <v/>
      </c>
      <c r="P76" s="35" t="n">
        <v>72</v>
      </c>
      <c r="Q76" s="29">
        <f>H76*$H$8</f>
        <v/>
      </c>
      <c r="R76" s="35" t="n">
        <v>25</v>
      </c>
      <c r="S76" s="29">
        <f>H76*$H$4</f>
        <v/>
      </c>
      <c r="T76" s="29">
        <f>J76*$H$3</f>
        <v/>
      </c>
      <c r="U76" s="36" t="n">
        <v>0.9</v>
      </c>
      <c r="V76" s="35" t="n">
        <v>72</v>
      </c>
      <c r="W76" s="29">
        <f>V76*(1-U76)</f>
        <v/>
      </c>
      <c r="X76" s="37" t="n">
        <v>1.25</v>
      </c>
      <c r="Y76" s="29">
        <f>$H$6*$H$7*X76</f>
        <v/>
      </c>
      <c r="Z76" s="33">
        <f>X76*($H$9+$H$10)</f>
        <v/>
      </c>
      <c r="AA76" s="34" t="n">
        <v>0.07000000000000001</v>
      </c>
      <c r="AB76" s="29">
        <f>H76*AA76</f>
        <v/>
      </c>
      <c r="AC76" s="36" t="n">
        <v>0.08</v>
      </c>
      <c r="AD76" s="29">
        <f>H76*AC76</f>
        <v/>
      </c>
      <c r="AE76" s="29">
        <f>AB76+AD76</f>
        <v/>
      </c>
      <c r="AF76" s="38">
        <f>AE76/H76</f>
        <v/>
      </c>
      <c r="AG76" s="39">
        <f>H76-O76-P76-Q76-R76-S76-T76-W76-Y76-Z76-M76-AL76</f>
        <v/>
      </c>
      <c r="AH76" s="40">
        <f>AG76-AE76</f>
        <v/>
      </c>
      <c r="AI76" s="41">
        <f>AH76/H76</f>
        <v/>
      </c>
      <c r="AJ76" s="42">
        <f>AH76/M76</f>
        <v/>
      </c>
      <c r="AK76" s="29">
        <f>(P76+R76+W76+Y76+Z76+M76)/(1-(N76+$H$4+(1-I76)*$H$3+$H$8+$H$11+AA76+AC76))</f>
        <v/>
      </c>
      <c r="AL76" s="29">
        <f>H76*$H$11</f>
        <v/>
      </c>
    </row>
    <row r="77" ht="14.25" customHeight="1" s="66">
      <c r="A77" s="20" t="inlineStr">
        <is>
          <t>Косметика/LEBELAGE</t>
        </is>
      </c>
      <c r="B77" s="19" t="n"/>
      <c r="C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  <c r="AA77" s="19" t="n"/>
      <c r="AB77" s="19" t="n"/>
      <c r="AC77" s="19" t="n"/>
      <c r="AD77" s="19" t="n"/>
      <c r="AE77" s="19" t="n"/>
      <c r="AF77" s="19" t="n"/>
      <c r="AG77" s="19" t="n"/>
      <c r="AH77" s="19" t="n"/>
      <c r="AI77" s="19" t="n"/>
      <c r="AJ77" s="19" t="n"/>
      <c r="AK77" s="19" t="n"/>
    </row>
    <row r="78" ht="28.5" customHeight="1" s="66">
      <c r="A78" s="21" t="inlineStr">
        <is>
          <t>LEBELAGE - Dr. Peptide Derma Eye Cream [40ml] / Крем для глаз антивозрастной с пептидами</t>
        </is>
      </c>
      <c r="B78" s="58" t="n"/>
      <c r="C78" s="24" t="n"/>
      <c r="D78" s="29" t="n">
        <v>410</v>
      </c>
      <c r="E78" s="49" t="n">
        <v>667</v>
      </c>
      <c r="F78" s="49" t="n">
        <v>1738</v>
      </c>
      <c r="G78" s="49" t="n">
        <v>22</v>
      </c>
      <c r="H78" s="49" t="n">
        <v>600</v>
      </c>
      <c r="I78" s="28" t="n">
        <v>0.45</v>
      </c>
      <c r="J78" s="30">
        <f>H78*(1-I78)</f>
        <v/>
      </c>
      <c r="K78" s="31" t="n">
        <v>108.15</v>
      </c>
      <c r="L78" s="32">
        <f>$H$5</f>
        <v/>
      </c>
      <c r="M78" s="33">
        <f>K78+L78</f>
        <v/>
      </c>
      <c r="N78" s="34" t="n">
        <v>0.41</v>
      </c>
      <c r="O78" s="29">
        <f>H78*N78</f>
        <v/>
      </c>
      <c r="P78" s="35" t="n">
        <v>63</v>
      </c>
      <c r="Q78" s="29">
        <f>H78*$H$8</f>
        <v/>
      </c>
      <c r="R78" s="35" t="n">
        <v>25</v>
      </c>
      <c r="S78" s="29">
        <f>H78*$H$4</f>
        <v/>
      </c>
      <c r="T78" s="29">
        <f>J78*$H$3</f>
        <v/>
      </c>
      <c r="U78" s="36" t="n">
        <v>0.9</v>
      </c>
      <c r="V78" s="35" t="n">
        <v>63</v>
      </c>
      <c r="W78" s="29">
        <f>V78*(1-U78)</f>
        <v/>
      </c>
      <c r="X78" s="37" t="n">
        <v>0.27</v>
      </c>
      <c r="Y78" s="29">
        <f>$H$6*$H$7*X78</f>
        <v/>
      </c>
      <c r="Z78" s="33">
        <f>X78*($H$9+$H$10)</f>
        <v/>
      </c>
      <c r="AA78" s="34" t="n">
        <v>0.07000000000000001</v>
      </c>
      <c r="AB78" s="29">
        <f>H78*AA78</f>
        <v/>
      </c>
      <c r="AC78" s="36" t="n">
        <v>0.08</v>
      </c>
      <c r="AD78" s="29">
        <f>H78*AC78</f>
        <v/>
      </c>
      <c r="AE78" s="29">
        <f>AB78+AD78</f>
        <v/>
      </c>
      <c r="AF78" s="38">
        <f>AE78/H78</f>
        <v/>
      </c>
      <c r="AG78" s="39">
        <f>H78-O78-P78-Q78-R78-S78-T78-W78-Y78-Z78-M78-AL78</f>
        <v/>
      </c>
      <c r="AH78" s="40">
        <f>AG78-AE78</f>
        <v/>
      </c>
      <c r="AI78" s="41">
        <f>AH78/H78</f>
        <v/>
      </c>
      <c r="AJ78" s="42">
        <f>AH78/M78</f>
        <v/>
      </c>
      <c r="AK78" s="29">
        <f>(P78+R78+W78+Y78+Z78+M78)/(1-(N78+$H$4+(1-I78)*$H$3+$H$8+$H$11+AA78+AC78))</f>
        <v/>
      </c>
      <c r="AL78" s="29">
        <f>H78*$H$11</f>
        <v/>
      </c>
    </row>
    <row r="79" ht="14.25" customHeight="1" s="66">
      <c r="A79" s="20" t="inlineStr">
        <is>
          <t>Косметика/LANEIGE</t>
        </is>
      </c>
      <c r="B79" s="19" t="n"/>
      <c r="C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  <c r="AA79" s="19" t="n"/>
      <c r="AB79" s="19" t="n"/>
      <c r="AC79" s="19" t="n"/>
      <c r="AD79" s="19" t="n"/>
      <c r="AE79" s="19" t="n"/>
      <c r="AF79" s="19" t="n"/>
      <c r="AG79" s="19" t="n"/>
      <c r="AH79" s="19" t="n"/>
      <c r="AI79" s="19" t="n"/>
      <c r="AJ79" s="19" t="n"/>
      <c r="AK79" s="19" t="n"/>
    </row>
    <row r="80" ht="14.25" customHeight="1" s="66">
      <c r="A80" s="21" t="inlineStr">
        <is>
          <t>LANEIGE LIP SLEEPING MASK-BERRY [3g]</t>
        </is>
      </c>
      <c r="B80" s="58" t="n"/>
      <c r="C80" s="24" t="n"/>
      <c r="D80" s="29" t="n">
        <v>341</v>
      </c>
      <c r="E80" s="49" t="n">
        <v>1470</v>
      </c>
      <c r="F80" s="49" t="n">
        <v>568</v>
      </c>
      <c r="G80" s="49" t="n">
        <v>10</v>
      </c>
      <c r="H80" s="49">
        <f>(1.25*M80+P80+R80+W80+Y80+Z80)/(1-N80-$H$8-$H$4-(1-I80)*$H$3-$H$11-AA80-AC80)</f>
        <v/>
      </c>
      <c r="I80" s="28" t="n">
        <v>0.45</v>
      </c>
      <c r="J80" s="30">
        <f>H80*(1-I80)</f>
        <v/>
      </c>
      <c r="K80" s="31" t="n">
        <v>130.86</v>
      </c>
      <c r="L80" s="32">
        <f>$H$5</f>
        <v/>
      </c>
      <c r="M80" s="33">
        <f>K80+L80</f>
        <v/>
      </c>
      <c r="N80" s="34" t="n">
        <v>0.41</v>
      </c>
      <c r="O80" s="29">
        <f>H80*N80</f>
        <v/>
      </c>
      <c r="P80" s="35" t="n">
        <v>56</v>
      </c>
      <c r="Q80" s="29">
        <f>H80*$H$8</f>
        <v/>
      </c>
      <c r="R80" s="35" t="n">
        <v>25</v>
      </c>
      <c r="S80" s="29">
        <f>H80*$H$4</f>
        <v/>
      </c>
      <c r="T80" s="29">
        <f>J80*$H$3</f>
        <v/>
      </c>
      <c r="U80" s="36" t="n">
        <v>0.9</v>
      </c>
      <c r="V80" s="35" t="n">
        <v>56</v>
      </c>
      <c r="W80" s="29">
        <f>V80*(1-U80)</f>
        <v/>
      </c>
      <c r="X80" s="37" t="n">
        <v>0.2</v>
      </c>
      <c r="Y80" s="29">
        <f>$H$6*$H$7*X80</f>
        <v/>
      </c>
      <c r="Z80" s="33">
        <f>X80*($H$9+$H$10)</f>
        <v/>
      </c>
      <c r="AA80" s="34" t="n">
        <v>0.07000000000000001</v>
      </c>
      <c r="AB80" s="29">
        <f>H80*AA80</f>
        <v/>
      </c>
      <c r="AC80" s="36" t="n">
        <v>0.08</v>
      </c>
      <c r="AD80" s="29">
        <f>H80*AC80</f>
        <v/>
      </c>
      <c r="AE80" s="29">
        <f>AB80+AD80</f>
        <v/>
      </c>
      <c r="AF80" s="38">
        <f>AE80/H80</f>
        <v/>
      </c>
      <c r="AG80" s="39">
        <f>H80-O80-P80-Q80-R80-S80-T80-W80-Y80-Z80-M80-AL80</f>
        <v/>
      </c>
      <c r="AH80" s="40">
        <f>AG80-AE80</f>
        <v/>
      </c>
      <c r="AI80" s="41">
        <f>AH80/H80</f>
        <v/>
      </c>
      <c r="AJ80" s="42">
        <f>AH80/M80</f>
        <v/>
      </c>
      <c r="AK80" s="29">
        <f>(P80+R80+W80+Y80+Z80+M80)/(1-(N80+$H$4+(1-I80)*$H$3+$H$8+$H$11+AA80+AC80))</f>
        <v/>
      </c>
      <c r="AL80" s="29">
        <f>H80*$H$11</f>
        <v/>
      </c>
    </row>
    <row r="81" ht="14.25" customHeight="1" s="66">
      <c r="A81" s="20" t="inlineStr">
        <is>
          <t>Косметика/MANYO</t>
        </is>
      </c>
      <c r="B81" s="19" t="n"/>
      <c r="C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  <c r="AA81" s="19" t="n"/>
      <c r="AB81" s="19" t="n"/>
      <c r="AC81" s="19" t="n"/>
      <c r="AD81" s="19" t="n"/>
      <c r="AE81" s="19" t="n"/>
      <c r="AF81" s="19" t="n"/>
      <c r="AG81" s="19" t="n"/>
      <c r="AH81" s="19" t="n"/>
      <c r="AI81" s="19" t="n"/>
      <c r="AJ81" s="19" t="n"/>
      <c r="AK81" s="19" t="n"/>
    </row>
    <row r="82" ht="28.5" customHeight="1" s="66">
      <c r="A82" s="21" t="inlineStr">
        <is>
          <t>MANYO - Bifida Biome Complex Ampoule [50ml] / Антивозрастная сыворотка для лица</t>
        </is>
      </c>
      <c r="B82" s="52" t="inlineStr">
        <is>
          <t>ФБО</t>
        </is>
      </c>
      <c r="C82" s="24" t="n"/>
      <c r="D82" s="29" t="n">
        <v>1473</v>
      </c>
      <c r="E82" s="49" t="n">
        <v>5800</v>
      </c>
      <c r="F82" s="49" t="n">
        <v>152</v>
      </c>
      <c r="G82" s="49" t="n">
        <v>0</v>
      </c>
      <c r="H82" s="49" t="n">
        <v>5500</v>
      </c>
      <c r="I82" s="28" t="n">
        <v>0.45</v>
      </c>
      <c r="J82" s="30">
        <f>H82*(1-I82)</f>
        <v/>
      </c>
      <c r="K82" s="31" t="n">
        <v>899.78</v>
      </c>
      <c r="L82" s="32">
        <f>$H$5</f>
        <v/>
      </c>
      <c r="M82" s="33">
        <f>K82+L82</f>
        <v/>
      </c>
      <c r="N82" s="34" t="n">
        <v>0.41</v>
      </c>
      <c r="O82" s="29">
        <f>H82*N82</f>
        <v/>
      </c>
      <c r="P82" s="35" t="n">
        <v>63</v>
      </c>
      <c r="Q82" s="29">
        <f>H82*$H$8</f>
        <v/>
      </c>
      <c r="R82" s="35" t="n">
        <v>25</v>
      </c>
      <c r="S82" s="29">
        <f>H82*$H$4</f>
        <v/>
      </c>
      <c r="T82" s="29">
        <f>J82*$H$3</f>
        <v/>
      </c>
      <c r="U82" s="36" t="n">
        <v>0.9</v>
      </c>
      <c r="V82" s="35" t="n">
        <v>63</v>
      </c>
      <c r="W82" s="29">
        <f>V82*(1-U82)</f>
        <v/>
      </c>
      <c r="X82" s="37" t="n">
        <v>0.3</v>
      </c>
      <c r="Y82" s="29">
        <f>$H$6*$H$7*X82</f>
        <v/>
      </c>
      <c r="Z82" s="33">
        <f>X82*($H$9+$H$10)</f>
        <v/>
      </c>
      <c r="AA82" s="34" t="n">
        <v>0.025</v>
      </c>
      <c r="AB82" s="29">
        <f>H82*AA82</f>
        <v/>
      </c>
      <c r="AC82" s="36" t="n">
        <v>0.025</v>
      </c>
      <c r="AD82" s="29">
        <f>H82*AC82</f>
        <v/>
      </c>
      <c r="AE82" s="29">
        <f>AB82+AD82</f>
        <v/>
      </c>
      <c r="AF82" s="38">
        <f>AE82/H82</f>
        <v/>
      </c>
      <c r="AG82" s="39">
        <f>H82-O82-P82-Q82-R82-S82-T82-W82-Y82-Z82-M82-AL82</f>
        <v/>
      </c>
      <c r="AH82" s="40">
        <f>AG82-AE82</f>
        <v/>
      </c>
      <c r="AI82" s="41">
        <f>AH82/H82</f>
        <v/>
      </c>
      <c r="AJ82" s="42">
        <f>AH82/M82</f>
        <v/>
      </c>
      <c r="AK82" s="29">
        <f>(P82+R82+W82+Y82+Z82+M82)/(1-(N82+$H$4+(1-I82)*$H$3+$H$8+$H$11+AA82+AC82))</f>
        <v/>
      </c>
      <c r="AL82" s="29">
        <f>H82*$H$11</f>
        <v/>
      </c>
    </row>
    <row r="83" ht="28.5" customHeight="1" s="66">
      <c r="A83" s="21" t="inlineStr">
        <is>
          <t>MANYO - Galac Whitening Vita Serum [50ml] / Осветляющая сыворотка с Витамином C</t>
        </is>
      </c>
      <c r="B83" s="52" t="inlineStr">
        <is>
          <t>ФБО</t>
        </is>
      </c>
      <c r="C83" s="24" t="inlineStr">
        <is>
          <t>-</t>
        </is>
      </c>
      <c r="D83" s="29" t="n">
        <v>854</v>
      </c>
      <c r="E83" s="49" t="n">
        <v>4000</v>
      </c>
      <c r="F83" s="49" t="n">
        <v>163</v>
      </c>
      <c r="G83" s="49" t="n">
        <v>0</v>
      </c>
      <c r="H83" s="49" t="n">
        <v>3700</v>
      </c>
      <c r="I83" s="28" t="n">
        <v>0.45</v>
      </c>
      <c r="J83" s="30">
        <f>H83*(1-I83)</f>
        <v/>
      </c>
      <c r="K83" s="31" t="n">
        <v>646.83</v>
      </c>
      <c r="L83" s="32">
        <f>$H$5</f>
        <v/>
      </c>
      <c r="M83" s="33">
        <f>K83+L83</f>
        <v/>
      </c>
      <c r="N83" s="34" t="n">
        <v>0.41</v>
      </c>
      <c r="O83" s="29">
        <f>H83*N83</f>
        <v/>
      </c>
      <c r="P83" s="35" t="n">
        <v>56</v>
      </c>
      <c r="Q83" s="29">
        <f>H83*$H$8</f>
        <v/>
      </c>
      <c r="R83" s="35" t="n">
        <v>25</v>
      </c>
      <c r="S83" s="29">
        <f>H83*$H$4</f>
        <v/>
      </c>
      <c r="T83" s="29">
        <f>J83*$H$3</f>
        <v/>
      </c>
      <c r="U83" s="36" t="n">
        <v>0.9</v>
      </c>
      <c r="V83" s="35" t="n">
        <v>56</v>
      </c>
      <c r="W83" s="29">
        <f>V83*(1-U83)</f>
        <v/>
      </c>
      <c r="X83" s="37" t="n">
        <v>0.19</v>
      </c>
      <c r="Y83" s="29">
        <f>$H$6*$H$7*X83</f>
        <v/>
      </c>
      <c r="Z83" s="33">
        <f>X83*($H$9+$H$10)</f>
        <v/>
      </c>
      <c r="AA83" s="34" t="n">
        <v>0.025</v>
      </c>
      <c r="AB83" s="29">
        <f>H83*AA83</f>
        <v/>
      </c>
      <c r="AC83" s="36" t="n">
        <v>0.025</v>
      </c>
      <c r="AD83" s="29">
        <f>H83*AC83</f>
        <v/>
      </c>
      <c r="AE83" s="29">
        <f>AB83+AD83</f>
        <v/>
      </c>
      <c r="AF83" s="38">
        <f>AE83/H83</f>
        <v/>
      </c>
      <c r="AG83" s="39">
        <f>H83-O83-P83-Q83-R83-S83-T83-W83-Y83-Z83-M83-AL83</f>
        <v/>
      </c>
      <c r="AH83" s="40">
        <f>AG83-AE83</f>
        <v/>
      </c>
      <c r="AI83" s="41">
        <f>AH83/H83</f>
        <v/>
      </c>
      <c r="AJ83" s="42">
        <f>AH83/M83</f>
        <v/>
      </c>
      <c r="AK83" s="29">
        <f>(P83+R83+W83+Y83+Z83+M83)/(1-(N83+$H$4+(1-I83)*$H$3+$H$8+$H$11+AA83+AC83))</f>
        <v/>
      </c>
      <c r="AL83" s="29">
        <f>H83*$H$11</f>
        <v/>
      </c>
    </row>
    <row r="84" ht="28.5" customHeight="1" s="66">
      <c r="A84" s="21" t="inlineStr">
        <is>
          <t>MANYO - Bifida Biome Ampoule Lotion [300ml] / Укрепляющий лосьон с бифидобактериями</t>
        </is>
      </c>
      <c r="B84" s="52" t="inlineStr">
        <is>
          <t>ФБО</t>
        </is>
      </c>
      <c r="C84" s="24" t="inlineStr">
        <is>
          <t>нет у официала</t>
        </is>
      </c>
      <c r="D84" s="29" t="n">
        <v>756</v>
      </c>
      <c r="E84" s="49" t="n">
        <v>4000</v>
      </c>
      <c r="F84" s="49" t="n">
        <v>140</v>
      </c>
      <c r="G84" s="49" t="n">
        <v>0</v>
      </c>
      <c r="H84" s="49" t="n">
        <v>3700</v>
      </c>
      <c r="I84" s="28" t="n">
        <v>0.45</v>
      </c>
      <c r="J84" s="30">
        <f>H84*(1-I84)</f>
        <v/>
      </c>
      <c r="K84" s="31" t="n">
        <v>735.34</v>
      </c>
      <c r="L84" s="32">
        <f>$H$5</f>
        <v/>
      </c>
      <c r="M84" s="33">
        <f>K84+L84</f>
        <v/>
      </c>
      <c r="N84" s="34" t="n">
        <v>0.41</v>
      </c>
      <c r="O84" s="29">
        <f>H84*N84</f>
        <v/>
      </c>
      <c r="P84" s="35" t="n">
        <v>67</v>
      </c>
      <c r="Q84" s="29">
        <f>H84*$H$8</f>
        <v/>
      </c>
      <c r="R84" s="35" t="n">
        <v>25</v>
      </c>
      <c r="S84" s="29">
        <f>H84*$H$4</f>
        <v/>
      </c>
      <c r="T84" s="29">
        <f>J84*$H$3</f>
        <v/>
      </c>
      <c r="U84" s="36" t="n">
        <v>0.9</v>
      </c>
      <c r="V84" s="35" t="n">
        <v>67</v>
      </c>
      <c r="W84" s="29">
        <f>V84*(1-U84)</f>
        <v/>
      </c>
      <c r="X84" s="37" t="n">
        <v>0.61</v>
      </c>
      <c r="Y84" s="29">
        <f>$H$6*$H$7*X84</f>
        <v/>
      </c>
      <c r="Z84" s="33">
        <f>X84*($H$9+$H$10)</f>
        <v/>
      </c>
      <c r="AA84" s="34" t="n">
        <v>0.025</v>
      </c>
      <c r="AB84" s="29">
        <f>H84*AA84</f>
        <v/>
      </c>
      <c r="AC84" s="36" t="n">
        <v>0.025</v>
      </c>
      <c r="AD84" s="29">
        <f>H84*AC84</f>
        <v/>
      </c>
      <c r="AE84" s="29">
        <f>AB84+AD84</f>
        <v/>
      </c>
      <c r="AF84" s="38">
        <f>AE84/H84</f>
        <v/>
      </c>
      <c r="AG84" s="39">
        <f>H84-O84-P84-Q84-R84-S84-T84-W84-Y84-Z84-M84-AL84</f>
        <v/>
      </c>
      <c r="AH84" s="40">
        <f>AG84-AE84</f>
        <v/>
      </c>
      <c r="AI84" s="41">
        <f>AH84/H84</f>
        <v/>
      </c>
      <c r="AJ84" s="42">
        <f>AH84/M84</f>
        <v/>
      </c>
      <c r="AK84" s="29">
        <f>(P84+R84+W84+Y84+Z84+M84)/(1-(N84+$H$4+(1-I84)*$H$3+$H$8+$H$11+AA84+AC84))</f>
        <v/>
      </c>
      <c r="AL84" s="29">
        <f>H84*$H$11</f>
        <v/>
      </c>
    </row>
    <row r="85" ht="28.5" customHeight="1" s="66">
      <c r="A85" s="21" t="inlineStr">
        <is>
          <t>MANYO - Pure Cleansing Oil [200ml] / Гидрофильное масло для глубокого очищения</t>
        </is>
      </c>
      <c r="B85" s="58" t="n"/>
      <c r="C85" s="24" t="inlineStr">
        <is>
          <t>-</t>
        </is>
      </c>
      <c r="D85" s="29" t="n">
        <v>243</v>
      </c>
      <c r="E85" s="49" t="n">
        <v>4000</v>
      </c>
      <c r="F85" s="49" t="n">
        <v>60</v>
      </c>
      <c r="G85" s="49" t="n">
        <v>0</v>
      </c>
      <c r="H85" s="49" t="n">
        <v>3700</v>
      </c>
      <c r="I85" s="28" t="n">
        <v>0.45</v>
      </c>
      <c r="J85" s="30">
        <f>H85*(1-I85)</f>
        <v/>
      </c>
      <c r="K85" s="31" t="n">
        <v>853</v>
      </c>
      <c r="L85" s="32">
        <f>$H$5</f>
        <v/>
      </c>
      <c r="M85" s="33">
        <f>K85+L85</f>
        <v/>
      </c>
      <c r="N85" s="34" t="n">
        <v>0.41</v>
      </c>
      <c r="O85" s="29">
        <f>H85*N85</f>
        <v/>
      </c>
      <c r="P85" s="35" t="n">
        <v>67</v>
      </c>
      <c r="Q85" s="29">
        <f>H85*$H$8</f>
        <v/>
      </c>
      <c r="R85" s="35" t="n">
        <v>25</v>
      </c>
      <c r="S85" s="29">
        <f>H85*$H$4</f>
        <v/>
      </c>
      <c r="T85" s="29">
        <f>J85*$H$3</f>
        <v/>
      </c>
      <c r="U85" s="36" t="n">
        <v>0.9</v>
      </c>
      <c r="V85" s="35" t="n">
        <v>67</v>
      </c>
      <c r="W85" s="29">
        <f>V85*(1-U85)</f>
        <v/>
      </c>
      <c r="X85" s="37" t="n">
        <v>0.5</v>
      </c>
      <c r="Y85" s="29">
        <f>$H$6*$H$7*X85</f>
        <v/>
      </c>
      <c r="Z85" s="33">
        <f>X85*($H$9+$H$10)</f>
        <v/>
      </c>
      <c r="AA85" s="34" t="n">
        <v>0.025</v>
      </c>
      <c r="AB85" s="29">
        <f>H85*AA85</f>
        <v/>
      </c>
      <c r="AC85" s="36" t="n">
        <v>0.025</v>
      </c>
      <c r="AD85" s="29">
        <f>H85*AC85</f>
        <v/>
      </c>
      <c r="AE85" s="29">
        <f>AB85+AD85</f>
        <v/>
      </c>
      <c r="AF85" s="38">
        <f>AE85/H85</f>
        <v/>
      </c>
      <c r="AG85" s="39">
        <f>H85-O85-P85-Q85-R85-S85-T85-W85-Y85-Z85-M85-AL85</f>
        <v/>
      </c>
      <c r="AH85" s="40">
        <f>AG85-AE85</f>
        <v/>
      </c>
      <c r="AI85" s="41">
        <f>AH85/H85</f>
        <v/>
      </c>
      <c r="AJ85" s="42">
        <f>AH85/M85</f>
        <v/>
      </c>
      <c r="AK85" s="29">
        <f>(P85+R85+W85+Y85+Z85+M85)/(1-(N85+$H$4+(1-I85)*$H$3+$H$8+$H$11+AA85+AC85))</f>
        <v/>
      </c>
      <c r="AL85" s="29">
        <f>H85*$H$11</f>
        <v/>
      </c>
    </row>
    <row r="86" ht="28.5" customHeight="1" s="66">
      <c r="A86" s="21" t="inlineStr">
        <is>
          <t>MANYO BIFIDA COMPLEX AMPOULE GEL CLEANSER [400ml] / Гель для умывания с бифидобактериями</t>
        </is>
      </c>
      <c r="B86" s="52" t="inlineStr">
        <is>
          <t>ФБО</t>
        </is>
      </c>
      <c r="C86" s="24" t="inlineStr">
        <is>
          <t>-</t>
        </is>
      </c>
      <c r="D86" s="29" t="n">
        <v>814</v>
      </c>
      <c r="E86" s="49" t="n">
        <v>4800</v>
      </c>
      <c r="F86" s="49" t="n">
        <v>20</v>
      </c>
      <c r="G86" s="49" t="n">
        <v>0</v>
      </c>
      <c r="H86" s="49" t="n">
        <v>4500</v>
      </c>
      <c r="I86" s="28" t="n">
        <v>0.45</v>
      </c>
      <c r="J86" s="30">
        <f>H86*(1-I86)</f>
        <v/>
      </c>
      <c r="K86" s="31" t="n">
        <v>650</v>
      </c>
      <c r="L86" s="32">
        <f>$H$5</f>
        <v/>
      </c>
      <c r="M86" s="33">
        <f>K86+L86</f>
        <v/>
      </c>
      <c r="N86" s="34" t="n">
        <v>0.41</v>
      </c>
      <c r="O86" s="29">
        <f>H86*N86</f>
        <v/>
      </c>
      <c r="P86" s="35" t="n">
        <v>75</v>
      </c>
      <c r="Q86" s="29">
        <f>H86*$H$8</f>
        <v/>
      </c>
      <c r="R86" s="35" t="n">
        <v>25</v>
      </c>
      <c r="S86" s="29">
        <f>H86*$H$4</f>
        <v/>
      </c>
      <c r="T86" s="29">
        <f>J86*$H$3</f>
        <v/>
      </c>
      <c r="U86" s="36" t="n">
        <v>0.9</v>
      </c>
      <c r="V86" s="35" t="n">
        <v>75</v>
      </c>
      <c r="W86" s="29">
        <f>V86*(1-U86)</f>
        <v/>
      </c>
      <c r="X86" s="37" t="n">
        <v>0.931</v>
      </c>
      <c r="Y86" s="29">
        <f>$H$6*$H$7*X86</f>
        <v/>
      </c>
      <c r="Z86" s="33">
        <f>X86*($H$9+$H$10)</f>
        <v/>
      </c>
      <c r="AA86" s="34" t="n">
        <v>0.025</v>
      </c>
      <c r="AB86" s="29">
        <f>H86*AA86</f>
        <v/>
      </c>
      <c r="AC86" s="36" t="n">
        <v>0.025</v>
      </c>
      <c r="AD86" s="29">
        <f>H86*AC86</f>
        <v/>
      </c>
      <c r="AE86" s="29">
        <f>AB86+AD86</f>
        <v/>
      </c>
      <c r="AF86" s="38">
        <f>AE86/H86</f>
        <v/>
      </c>
      <c r="AG86" s="39">
        <f>H86-O86-P86-Q86-R86-S86-T86-W86-Y86-Z86-M86-AL86</f>
        <v/>
      </c>
      <c r="AH86" s="40">
        <f>AG86-AE86</f>
        <v/>
      </c>
      <c r="AI86" s="41">
        <f>AH86/H86</f>
        <v/>
      </c>
      <c r="AJ86" s="42">
        <f>AH86/M86</f>
        <v/>
      </c>
      <c r="AK86" s="29">
        <f>(P86+R86+W86+Y86+Z86+M86)/(1-(N86+$H$4+(1-I86)*$H$3+$H$8+$H$11+AA86+AC86))</f>
        <v/>
      </c>
      <c r="AL86" s="29">
        <f>H86*$H$11</f>
        <v/>
      </c>
    </row>
    <row r="87" ht="28.5" customHeight="1" s="66">
      <c r="A87" s="21" t="inlineStr">
        <is>
          <t>MANYO BIFIDA INFUSION SHOT AMPOULE 1DX [50ml] / Сыворотка с микроиглами и пробиотиками</t>
        </is>
      </c>
      <c r="B87" s="52" t="inlineStr">
        <is>
          <t>ФБО</t>
        </is>
      </c>
      <c r="C87" s="24" t="n"/>
      <c r="D87" s="29" t="n">
        <v>786</v>
      </c>
      <c r="E87" s="49" t="n">
        <v>3800</v>
      </c>
      <c r="F87" s="49" t="n">
        <v>370</v>
      </c>
      <c r="G87" s="49" t="n">
        <v>0</v>
      </c>
      <c r="H87" s="49" t="n">
        <v>3500</v>
      </c>
      <c r="I87" s="28" t="n">
        <v>0.45</v>
      </c>
      <c r="J87" s="30">
        <f>H87*(1-I87)</f>
        <v/>
      </c>
      <c r="K87" s="31" t="n">
        <v>899.78</v>
      </c>
      <c r="L87" s="32">
        <f>$H$5</f>
        <v/>
      </c>
      <c r="M87" s="33">
        <f>K87+L87</f>
        <v/>
      </c>
      <c r="N87" s="34" t="n">
        <v>0.41</v>
      </c>
      <c r="O87" s="29">
        <f>H87*N87</f>
        <v/>
      </c>
      <c r="P87" s="35" t="n">
        <v>63</v>
      </c>
      <c r="Q87" s="29">
        <f>H87*$H$8</f>
        <v/>
      </c>
      <c r="R87" s="35" t="n">
        <v>25</v>
      </c>
      <c r="S87" s="29">
        <f>H87*$H$4</f>
        <v/>
      </c>
      <c r="T87" s="29">
        <f>J87*$H$3</f>
        <v/>
      </c>
      <c r="U87" s="36" t="n">
        <v>0.9</v>
      </c>
      <c r="V87" s="35" t="n">
        <v>63</v>
      </c>
      <c r="W87" s="29">
        <f>V87*(1-U87)</f>
        <v/>
      </c>
      <c r="X87" s="37" t="n">
        <v>0.3</v>
      </c>
      <c r="Y87" s="29">
        <f>$H$6*$H$7*X87</f>
        <v/>
      </c>
      <c r="Z87" s="33">
        <f>X87*($H$9+$H$10)</f>
        <v/>
      </c>
      <c r="AA87" s="34" t="n">
        <v>0.025</v>
      </c>
      <c r="AB87" s="29">
        <f>H87*AA87</f>
        <v/>
      </c>
      <c r="AC87" s="36" t="n">
        <v>0.025</v>
      </c>
      <c r="AD87" s="29">
        <f>H87*AC87</f>
        <v/>
      </c>
      <c r="AE87" s="29">
        <f>AB87+AD87</f>
        <v/>
      </c>
      <c r="AF87" s="38">
        <f>AE87/H87</f>
        <v/>
      </c>
      <c r="AG87" s="39">
        <f>H87-O87-P87-Q87-R87-S87-T87-W87-Y87-Z87-M87-AL87</f>
        <v/>
      </c>
      <c r="AH87" s="40">
        <f>AG87-AE87</f>
        <v/>
      </c>
      <c r="AI87" s="41">
        <f>AH87/H87</f>
        <v/>
      </c>
      <c r="AJ87" s="42">
        <f>AH87/M87</f>
        <v/>
      </c>
      <c r="AK87" s="29">
        <f>(P87+R87+W87+Y87+Z87+M87)/(1-(N87+$H$4+(1-I87)*$H$3+$H$8+$H$11+AA87+AC87))</f>
        <v/>
      </c>
      <c r="AL87" s="29">
        <f>H87*$H$11</f>
        <v/>
      </c>
    </row>
    <row r="88" ht="14.25" customHeight="1" s="66">
      <c r="A88" s="20" t="inlineStr">
        <is>
          <t>Косметика/MASIL</t>
        </is>
      </c>
      <c r="B88" s="19" t="n"/>
      <c r="C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  <c r="AA88" s="19" t="n"/>
      <c r="AB88" s="19" t="n"/>
      <c r="AC88" s="19" t="n"/>
      <c r="AD88" s="19" t="n"/>
      <c r="AE88" s="19" t="n"/>
      <c r="AF88" s="19" t="n"/>
      <c r="AG88" s="19" t="n"/>
      <c r="AH88" s="19" t="n"/>
      <c r="AI88" s="19" t="n"/>
      <c r="AJ88" s="19" t="n"/>
      <c r="AK88" s="19" t="n"/>
    </row>
    <row r="89" ht="14.25" customHeight="1" s="66">
      <c r="A89" s="44" t="inlineStr">
        <is>
          <t>MASIL - 8 Seconds Salon Hair Mask 350ml Set [350ml+8ml*2]</t>
        </is>
      </c>
      <c r="B89" s="45" t="n"/>
      <c r="C89" s="45" t="inlineStr">
        <is>
          <t>добавлено в расчет: цена под ROI 25%, объем оценочный</t>
        </is>
      </c>
      <c r="D89" s="29" t="n">
        <v>119</v>
      </c>
      <c r="E89" s="29" t="n"/>
      <c r="F89" s="29" t="n"/>
      <c r="G89" s="29" t="n"/>
      <c r="H89" s="29">
        <f>(1.25*M89+P89+R89+W89+Y89+Z89)/(1-N89-$H$8-$H$4-(1-I89)*$H$3-$H$11-AA89-AC89)</f>
        <v/>
      </c>
      <c r="I89" s="46" t="n">
        <v>0.45</v>
      </c>
      <c r="J89" s="30">
        <f>H89*(1-I89)</f>
        <v/>
      </c>
      <c r="K89" s="32" t="n">
        <v>669.05</v>
      </c>
      <c r="L89" s="32">
        <f>$H$5</f>
        <v/>
      </c>
      <c r="M89" s="33">
        <f>K89+L89</f>
        <v/>
      </c>
      <c r="N89" s="47" t="n">
        <v>0.41</v>
      </c>
      <c r="O89" s="29">
        <f>H89*N89</f>
        <v/>
      </c>
      <c r="P89" s="29" t="n">
        <v>72</v>
      </c>
      <c r="Q89" s="29">
        <f>H89*$H$8</f>
        <v/>
      </c>
      <c r="R89" s="29" t="n">
        <v>25</v>
      </c>
      <c r="S89" s="29">
        <f>H89*$H$4</f>
        <v/>
      </c>
      <c r="T89" s="29">
        <f>J89*$H$3</f>
        <v/>
      </c>
      <c r="U89" s="41" t="n">
        <v>0.9</v>
      </c>
      <c r="V89" s="29" t="n">
        <v>72</v>
      </c>
      <c r="W89" s="29">
        <f>V89*(1-U89)</f>
        <v/>
      </c>
      <c r="X89" s="48" t="n">
        <v>1.2</v>
      </c>
      <c r="Y89" s="29">
        <f>$H$6*$H$7*X89</f>
        <v/>
      </c>
      <c r="Z89" s="33">
        <f>X89*($H$9+$H$10)</f>
        <v/>
      </c>
      <c r="AA89" s="47" t="n">
        <v>0.07000000000000001</v>
      </c>
      <c r="AB89" s="29">
        <f>H89*AA89</f>
        <v/>
      </c>
      <c r="AC89" s="41" t="n">
        <v>0.08</v>
      </c>
      <c r="AD89" s="29">
        <f>H89*AC89</f>
        <v/>
      </c>
      <c r="AE89" s="29">
        <f>AB89+AD89</f>
        <v/>
      </c>
      <c r="AF89" s="38">
        <f>AE89/H89</f>
        <v/>
      </c>
      <c r="AG89" s="39">
        <f>H89-O89-P89-Q89-R89-S89-T89-W89-Y89-Z89-M89-AL89</f>
        <v/>
      </c>
      <c r="AH89" s="29">
        <f>AG89-AE89</f>
        <v/>
      </c>
      <c r="AI89" s="41">
        <f>AH89/H89</f>
        <v/>
      </c>
      <c r="AJ89" s="41">
        <f>AH89/M89</f>
        <v/>
      </c>
      <c r="AK89" s="29">
        <f>(P89+R89+W89+Y89+Z89+M89)/(1-(N89+$H$4+(1-I89)*$H$3+$H$8+$H$11+AA89+AC89))</f>
        <v/>
      </c>
      <c r="AL89">
        <f>H89*$H$11</f>
        <v/>
      </c>
    </row>
    <row r="90" ht="14.25" customHeight="1" s="66">
      <c r="A90" s="20" t="inlineStr">
        <is>
          <t>Косметика/PETITFEE/PETITFEE-EYEPATCH</t>
        </is>
      </c>
      <c r="B90" s="19" t="n"/>
      <c r="C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  <c r="AA90" s="19" t="n"/>
      <c r="AB90" s="19" t="n"/>
      <c r="AC90" s="19" t="n"/>
      <c r="AD90" s="19" t="n"/>
      <c r="AE90" s="19" t="n"/>
      <c r="AF90" s="19" t="n"/>
      <c r="AG90" s="19" t="n"/>
      <c r="AH90" s="19" t="n"/>
      <c r="AI90" s="19" t="n"/>
      <c r="AJ90" s="19" t="n"/>
      <c r="AK90" s="19" t="n"/>
    </row>
    <row r="91" ht="28.5" customHeight="1" s="66">
      <c r="A91" s="21" t="inlineStr">
        <is>
          <t>PETITFEE - Collagen &amp; CoQ10 Hydrogel Eye Patch [60ea] / Гидрогелевые патчи для глаз с коллагеном и коэнзимом Q10</t>
        </is>
      </c>
      <c r="B91" s="58" t="n"/>
      <c r="C91" s="24" t="n"/>
      <c r="D91" s="56" t="n">
        <v>1008</v>
      </c>
      <c r="E91" s="49" t="n">
        <v>1818</v>
      </c>
      <c r="F91" s="49" t="n">
        <v>734</v>
      </c>
      <c r="G91" s="49" t="n">
        <v>16</v>
      </c>
      <c r="H91" s="49" t="n">
        <v>1700</v>
      </c>
      <c r="I91" s="28" t="n">
        <v>0.45</v>
      </c>
      <c r="J91" s="30">
        <f>H91*(1-I91)</f>
        <v/>
      </c>
      <c r="K91" s="31" t="n">
        <v>385.05</v>
      </c>
      <c r="L91" s="32">
        <f>$H$5</f>
        <v/>
      </c>
      <c r="M91" s="33">
        <f>K91+L91</f>
        <v/>
      </c>
      <c r="N91" s="34" t="n">
        <v>0.41</v>
      </c>
      <c r="O91" s="29">
        <f>H91*N91</f>
        <v/>
      </c>
      <c r="P91" s="35" t="n">
        <v>67</v>
      </c>
      <c r="Q91" s="29">
        <f>H91*$H$8</f>
        <v/>
      </c>
      <c r="R91" s="35" t="n">
        <v>25</v>
      </c>
      <c r="S91" s="29">
        <f>H91*$H$4</f>
        <v/>
      </c>
      <c r="T91" s="29">
        <f>J91*$H$3</f>
        <v/>
      </c>
      <c r="U91" s="36" t="n">
        <v>0.9</v>
      </c>
      <c r="V91" s="35" t="n">
        <v>67</v>
      </c>
      <c r="W91" s="29">
        <f>V91*(1-U91)</f>
        <v/>
      </c>
      <c r="X91" s="37" t="n">
        <v>0.6</v>
      </c>
      <c r="Y91" s="29">
        <f>$H$6*$H$7*X91</f>
        <v/>
      </c>
      <c r="Z91" s="33">
        <f>X91*($H$9+$H$10)</f>
        <v/>
      </c>
      <c r="AA91" s="34" t="n">
        <v>0.07000000000000001</v>
      </c>
      <c r="AB91" s="29">
        <f>H91*AA91</f>
        <v/>
      </c>
      <c r="AC91" s="36" t="n">
        <v>0.08</v>
      </c>
      <c r="AD91" s="29">
        <f>H91*AC91</f>
        <v/>
      </c>
      <c r="AE91" s="29">
        <f>AB91+AD91</f>
        <v/>
      </c>
      <c r="AF91" s="38">
        <f>AE91/H91</f>
        <v/>
      </c>
      <c r="AG91" s="39">
        <f>H91-O91-P91-Q91-R91-S91-T91-W91-Y91-Z91-M91-AL91</f>
        <v/>
      </c>
      <c r="AH91" s="40">
        <f>AG91-AE91</f>
        <v/>
      </c>
      <c r="AI91" s="41">
        <f>AH91/H91</f>
        <v/>
      </c>
      <c r="AJ91" s="42">
        <f>AH91/M91</f>
        <v/>
      </c>
      <c r="AK91" s="29">
        <f>(P91+R91+W91+Y91+Z91+M91)/(1-(N91+$H$4+(1-I91)*$H$3+$H$8+$H$11+AA91+AC91))</f>
        <v/>
      </c>
      <c r="AL91" s="29">
        <f>H91*$H$11</f>
        <v/>
      </c>
    </row>
    <row r="92" ht="28.5" customHeight="1" s="66">
      <c r="A92" s="21" t="inlineStr">
        <is>
          <t>PETITFEE - Bera Glucan Deep Firming Eye Patch [60ea] / Тканевые патчи для век увлажняющие</t>
        </is>
      </c>
      <c r="B92" s="58" t="n"/>
      <c r="C92" s="24" t="n"/>
      <c r="D92" s="29" t="n">
        <v>587</v>
      </c>
      <c r="E92" s="49" t="n"/>
      <c r="F92" s="49" t="n"/>
      <c r="G92" s="49" t="n"/>
      <c r="H92" s="49">
        <f>(1.25*M92+P92+R92+W92+Y92+Z92)/(1-N92-$H$8-$H$4-(1-I92)*$H$3-$H$11-AA92-AC92)</f>
        <v/>
      </c>
      <c r="I92" s="28" t="n">
        <v>0.45</v>
      </c>
      <c r="J92" s="30">
        <f>H92*(1-I92)</f>
        <v/>
      </c>
      <c r="K92" s="31" t="n">
        <v>486.69</v>
      </c>
      <c r="L92" s="32">
        <f>$H$5</f>
        <v/>
      </c>
      <c r="M92" s="33">
        <f>K92+L92</f>
        <v/>
      </c>
      <c r="N92" s="34" t="n">
        <v>0.41</v>
      </c>
      <c r="O92" s="29">
        <f>H92*N92</f>
        <v/>
      </c>
      <c r="P92" s="35" t="n">
        <v>67</v>
      </c>
      <c r="Q92" s="29">
        <f>H92*$H$8</f>
        <v/>
      </c>
      <c r="R92" s="35" t="n">
        <v>25</v>
      </c>
      <c r="S92" s="29">
        <f>H92*$H$4</f>
        <v/>
      </c>
      <c r="T92" s="29">
        <f>J92*$H$3</f>
        <v/>
      </c>
      <c r="U92" s="36" t="n">
        <v>0.9</v>
      </c>
      <c r="V92" s="35" t="n">
        <v>67</v>
      </c>
      <c r="W92" s="29">
        <f>V92*(1-U92)</f>
        <v/>
      </c>
      <c r="X92" s="37" t="n">
        <v>0.93</v>
      </c>
      <c r="Y92" s="29">
        <f>$H$6*$H$7*X92</f>
        <v/>
      </c>
      <c r="Z92" s="33">
        <f>X92*($H$9+$H$10)</f>
        <v/>
      </c>
      <c r="AA92" s="34" t="n">
        <v>0.07000000000000001</v>
      </c>
      <c r="AB92" s="29">
        <f>H92*AA92</f>
        <v/>
      </c>
      <c r="AC92" s="36" t="n">
        <v>0.08</v>
      </c>
      <c r="AD92" s="29">
        <f>H92*AC92</f>
        <v/>
      </c>
      <c r="AE92" s="29">
        <f>AB92+AD92</f>
        <v/>
      </c>
      <c r="AF92" s="38">
        <f>AE92/H92</f>
        <v/>
      </c>
      <c r="AG92" s="39">
        <f>H92-O92-P92-Q92-R92-S92-T92-W92-Y92-Z92-M92-AL92</f>
        <v/>
      </c>
      <c r="AH92" s="40">
        <f>AG92-AE92</f>
        <v/>
      </c>
      <c r="AI92" s="41">
        <f>AH92/H92</f>
        <v/>
      </c>
      <c r="AJ92" s="42">
        <f>AH92/M92</f>
        <v/>
      </c>
      <c r="AK92" s="29">
        <f>(P92+R92+W92+Y92+Z92+M92)/(1-(N92+$H$4+(1-I92)*$H$3+$H$8+$H$11+AA92+AC92))</f>
        <v/>
      </c>
      <c r="AL92" s="29">
        <f>H92*$H$11</f>
        <v/>
      </c>
    </row>
    <row r="93" ht="28.5" customHeight="1" s="66">
      <c r="A93" s="21" t="inlineStr">
        <is>
          <t>PETITFEE - Artichoke Soothing Hydrogel Eye Patch [60ea] / Смягчающие гидрогелевые патчи для глаз с экстрактом артишока</t>
        </is>
      </c>
      <c r="B93" s="58" t="n"/>
      <c r="C93" s="24" t="n"/>
      <c r="D93" s="29" t="n">
        <v>300</v>
      </c>
      <c r="E93" s="49" t="n"/>
      <c r="F93" s="49" t="n"/>
      <c r="G93" s="49" t="n"/>
      <c r="H93" s="49">
        <f>(1.25*M93+P93+R93+W93+Y93+Z93)/(1-N93-$H$8-$H$4-(1-I93)*$H$3-$H$11-AA93-AC93)</f>
        <v/>
      </c>
      <c r="I93" s="28" t="n">
        <v>0.45</v>
      </c>
      <c r="J93" s="30">
        <f>H93*(1-I93)</f>
        <v/>
      </c>
      <c r="K93" s="31" t="n">
        <v>415.46</v>
      </c>
      <c r="L93" s="32">
        <f>$H$5</f>
        <v/>
      </c>
      <c r="M93" s="33">
        <f>K93+L93</f>
        <v/>
      </c>
      <c r="N93" s="34" t="n">
        <v>0.41</v>
      </c>
      <c r="O93" s="29">
        <f>H93*N93</f>
        <v/>
      </c>
      <c r="P93" s="35" t="n">
        <v>67</v>
      </c>
      <c r="Q93" s="29">
        <f>H93*$H$8</f>
        <v/>
      </c>
      <c r="R93" s="35" t="n">
        <v>25</v>
      </c>
      <c r="S93" s="29">
        <f>H93*$H$4</f>
        <v/>
      </c>
      <c r="T93" s="29">
        <f>J93*$H$3</f>
        <v/>
      </c>
      <c r="U93" s="36" t="n">
        <v>0.9</v>
      </c>
      <c r="V93" s="35" t="n">
        <v>67</v>
      </c>
      <c r="W93" s="29">
        <f>V93*(1-U93)</f>
        <v/>
      </c>
      <c r="X93" s="37" t="n">
        <v>0.6</v>
      </c>
      <c r="Y93" s="29">
        <f>$H$6*$H$7*X93</f>
        <v/>
      </c>
      <c r="Z93" s="33">
        <f>X93*($H$9+$H$10)</f>
        <v/>
      </c>
      <c r="AA93" s="34" t="n">
        <v>0.07000000000000001</v>
      </c>
      <c r="AB93" s="29">
        <f>H93*AA93</f>
        <v/>
      </c>
      <c r="AC93" s="36" t="n">
        <v>0.08</v>
      </c>
      <c r="AD93" s="29">
        <f>H93*AC93</f>
        <v/>
      </c>
      <c r="AE93" s="29">
        <f>AB93+AD93</f>
        <v/>
      </c>
      <c r="AF93" s="38">
        <f>AE93/H93</f>
        <v/>
      </c>
      <c r="AG93" s="39">
        <f>H93-O93-P93-Q93-R93-S93-T93-W93-Y93-Z93-M93-AL93</f>
        <v/>
      </c>
      <c r="AH93" s="40">
        <f>AG93-AE93</f>
        <v/>
      </c>
      <c r="AI93" s="41">
        <f>AH93/H93</f>
        <v/>
      </c>
      <c r="AJ93" s="42">
        <f>AH93/M93</f>
        <v/>
      </c>
      <c r="AK93" s="29">
        <f>(P93+R93+W93+Y93+Z93+M93)/(1-(N93+$H$4+(1-I93)*$H$3+$H$8+$H$11+AA93+AC93))</f>
        <v/>
      </c>
      <c r="AL93" s="29">
        <f>H93*$H$11</f>
        <v/>
      </c>
    </row>
    <row r="94" ht="14.25" customHeight="1" s="66">
      <c r="A94" s="21" t="inlineStr">
        <is>
          <t>PETITFEE - Aura Quartz Hydrogel Eye Patch [60ea]</t>
        </is>
      </c>
      <c r="B94" s="58" t="n"/>
      <c r="C94" s="24" t="n"/>
      <c r="D94" s="29" t="n">
        <v>95</v>
      </c>
      <c r="E94" s="49" t="n"/>
      <c r="F94" s="49" t="n"/>
      <c r="G94" s="49" t="n"/>
      <c r="H94" s="49">
        <f>(1.25*M94+P94+R94+W94+Y94+Z94)/(1-N94-$H$8-$H$4-(1-I94)*$H$3-$H$11-AA94-AC94)</f>
        <v/>
      </c>
      <c r="I94" s="28" t="n">
        <v>0.45</v>
      </c>
      <c r="J94" s="30">
        <f>H94*(1-I94)</f>
        <v/>
      </c>
      <c r="K94" s="31" t="n">
        <v>591.29</v>
      </c>
      <c r="L94" s="32">
        <f>$H$5</f>
        <v/>
      </c>
      <c r="M94" s="33">
        <f>K94+L94</f>
        <v/>
      </c>
      <c r="N94" s="34" t="n">
        <v>0.41</v>
      </c>
      <c r="O94" s="29">
        <f>H94*N94</f>
        <v/>
      </c>
      <c r="P94" s="35" t="n">
        <v>67</v>
      </c>
      <c r="Q94" s="29">
        <f>H94*$H$8</f>
        <v/>
      </c>
      <c r="R94" s="35" t="n">
        <v>25</v>
      </c>
      <c r="S94" s="29">
        <f>H94*$H$4</f>
        <v/>
      </c>
      <c r="T94" s="29">
        <f>J94*$H$3</f>
        <v/>
      </c>
      <c r="U94" s="36" t="n">
        <v>0.9</v>
      </c>
      <c r="V94" s="35" t="n">
        <v>67</v>
      </c>
      <c r="W94" s="29">
        <f>V94*(1-U94)</f>
        <v/>
      </c>
      <c r="X94" s="37" t="n">
        <v>0.93</v>
      </c>
      <c r="Y94" s="29">
        <f>$H$6*$H$7*X94</f>
        <v/>
      </c>
      <c r="Z94" s="33">
        <f>X94*($H$9+$H$10)</f>
        <v/>
      </c>
      <c r="AA94" s="34" t="n">
        <v>0.07000000000000001</v>
      </c>
      <c r="AB94" s="29">
        <f>H94*AA94</f>
        <v/>
      </c>
      <c r="AC94" s="36" t="n">
        <v>0.08</v>
      </c>
      <c r="AD94" s="29">
        <f>H94*AC94</f>
        <v/>
      </c>
      <c r="AE94" s="29">
        <f>AB94+AD94</f>
        <v/>
      </c>
      <c r="AF94" s="38">
        <f>AE94/H94</f>
        <v/>
      </c>
      <c r="AG94" s="39">
        <f>H94-O94-P94-Q94-R94-S94-T94-W94-Y94-Z94-M94-AL94</f>
        <v/>
      </c>
      <c r="AH94" s="40">
        <f>AG94-AE94</f>
        <v/>
      </c>
      <c r="AI94" s="41">
        <f>AH94/H94</f>
        <v/>
      </c>
      <c r="AJ94" s="42">
        <f>AH94/M94</f>
        <v/>
      </c>
      <c r="AK94" s="29">
        <f>(P94+R94+W94+Y94+Z94+M94)/(1-(N94+$H$4+(1-I94)*$H$3+$H$8+$H$11+AA94+AC94))</f>
        <v/>
      </c>
      <c r="AL94" s="29">
        <f>H94*$H$11</f>
        <v/>
      </c>
    </row>
    <row r="95" ht="28.5" customHeight="1" s="66">
      <c r="A95" s="21" t="inlineStr">
        <is>
          <t>PETITFEE - Cacao Energizing Hydrogel Eye Patch [60ea] / Тонизирующие гидрогелевые патчи для глаз с экстрактом какао</t>
        </is>
      </c>
      <c r="B95" s="58" t="n"/>
      <c r="C95" s="24" t="n"/>
      <c r="D95" s="29" t="n">
        <v>713</v>
      </c>
      <c r="E95" s="49" t="n"/>
      <c r="F95" s="49" t="n"/>
      <c r="G95" s="49" t="n"/>
      <c r="H95" s="49">
        <f>(1.25*M95+P95+R95+W95+Y95+Z95)/(1-N95-$H$8-$H$4-(1-I95)*$H$3-$H$11-AA95-AC95)</f>
        <v/>
      </c>
      <c r="I95" s="28" t="n">
        <v>0.45</v>
      </c>
      <c r="J95" s="30">
        <f>H95*(1-I95)</f>
        <v/>
      </c>
      <c r="K95" s="31" t="n">
        <v>415.46</v>
      </c>
      <c r="L95" s="32">
        <f>$H$5</f>
        <v/>
      </c>
      <c r="M95" s="33">
        <f>K95+L95</f>
        <v/>
      </c>
      <c r="N95" s="34" t="n">
        <v>0.41</v>
      </c>
      <c r="O95" s="29">
        <f>H95*N95</f>
        <v/>
      </c>
      <c r="P95" s="35" t="n">
        <v>67</v>
      </c>
      <c r="Q95" s="29">
        <f>H95*$H$8</f>
        <v/>
      </c>
      <c r="R95" s="35" t="n">
        <v>25</v>
      </c>
      <c r="S95" s="29">
        <f>H95*$H$4</f>
        <v/>
      </c>
      <c r="T95" s="29">
        <f>J95*$H$3</f>
        <v/>
      </c>
      <c r="U95" s="36" t="n">
        <v>0.9</v>
      </c>
      <c r="V95" s="35" t="n">
        <v>67</v>
      </c>
      <c r="W95" s="29">
        <f>V95*(1-U95)</f>
        <v/>
      </c>
      <c r="X95" s="37" t="n">
        <v>0.6</v>
      </c>
      <c r="Y95" s="29">
        <f>$H$6*$H$7*X95</f>
        <v/>
      </c>
      <c r="Z95" s="33">
        <f>X95*($H$9+$H$10)</f>
        <v/>
      </c>
      <c r="AA95" s="34" t="n">
        <v>0.07000000000000001</v>
      </c>
      <c r="AB95" s="29">
        <f>H95*AA95</f>
        <v/>
      </c>
      <c r="AC95" s="36" t="n">
        <v>0.08</v>
      </c>
      <c r="AD95" s="29">
        <f>H95*AC95</f>
        <v/>
      </c>
      <c r="AE95" s="29">
        <f>AB95+AD95</f>
        <v/>
      </c>
      <c r="AF95" s="38">
        <f>AE95/H95</f>
        <v/>
      </c>
      <c r="AG95" s="39">
        <f>H95-O95-P95-Q95-R95-S95-T95-W95-Y95-Z95-M95-AL95</f>
        <v/>
      </c>
      <c r="AH95" s="40">
        <f>AG95-AE95</f>
        <v/>
      </c>
      <c r="AI95" s="41">
        <f>AH95/H95</f>
        <v/>
      </c>
      <c r="AJ95" s="42">
        <f>AH95/M95</f>
        <v/>
      </c>
      <c r="AK95" s="29">
        <f>(P95+R95+W95+Y95+Z95+M95)/(1-(N95+$H$4+(1-I95)*$H$3+$H$8+$H$11+AA95+AC95))</f>
        <v/>
      </c>
      <c r="AL95" s="29">
        <f>H95*$H$11</f>
        <v/>
      </c>
    </row>
    <row r="96" ht="28.5" customHeight="1" s="66">
      <c r="A96" s="21" t="inlineStr">
        <is>
          <t>PETITFEE - Chamomile Lightening Hydrogel Eye Patch [60ea] / Успокаивающие гидрогелевые патчи для глаз с экстрактом ромашки</t>
        </is>
      </c>
      <c r="B96" s="58" t="n"/>
      <c r="C96" s="24" t="n"/>
      <c r="D96" s="29" t="n">
        <v>288</v>
      </c>
      <c r="E96" s="49" t="n"/>
      <c r="F96" s="49" t="n"/>
      <c r="G96" s="49" t="n"/>
      <c r="H96" s="49">
        <f>(1.25*M96+P96+R96+W96+Y96+Z96)/(1-N96-$H$8-$H$4-(1-I96)*$H$3-$H$11-AA96-AC96)</f>
        <v/>
      </c>
      <c r="I96" s="28" t="n">
        <v>0.45</v>
      </c>
      <c r="J96" s="30">
        <f>H96*(1-I96)</f>
        <v/>
      </c>
      <c r="K96" s="31" t="n">
        <v>415.46</v>
      </c>
      <c r="L96" s="32">
        <f>$H$5</f>
        <v/>
      </c>
      <c r="M96" s="33">
        <f>K96+L96</f>
        <v/>
      </c>
      <c r="N96" s="34" t="n">
        <v>0.41</v>
      </c>
      <c r="O96" s="29">
        <f>H96*N96</f>
        <v/>
      </c>
      <c r="P96" s="35" t="n">
        <v>67</v>
      </c>
      <c r="Q96" s="29">
        <f>H96*$H$8</f>
        <v/>
      </c>
      <c r="R96" s="35" t="n">
        <v>25</v>
      </c>
      <c r="S96" s="29">
        <f>H96*$H$4</f>
        <v/>
      </c>
      <c r="T96" s="29">
        <f>J96*$H$3</f>
        <v/>
      </c>
      <c r="U96" s="36" t="n">
        <v>0.9</v>
      </c>
      <c r="V96" s="35" t="n">
        <v>67</v>
      </c>
      <c r="W96" s="29">
        <f>V96*(1-U96)</f>
        <v/>
      </c>
      <c r="X96" s="37" t="n">
        <v>0.6</v>
      </c>
      <c r="Y96" s="29">
        <f>$H$6*$H$7*X96</f>
        <v/>
      </c>
      <c r="Z96" s="33">
        <f>X96*($H$9+$H$10)</f>
        <v/>
      </c>
      <c r="AA96" s="34" t="n">
        <v>0.07000000000000001</v>
      </c>
      <c r="AB96" s="29">
        <f>H96*AA96</f>
        <v/>
      </c>
      <c r="AC96" s="36" t="n">
        <v>0.08</v>
      </c>
      <c r="AD96" s="29">
        <f>H96*AC96</f>
        <v/>
      </c>
      <c r="AE96" s="29">
        <f>AB96+AD96</f>
        <v/>
      </c>
      <c r="AF96" s="38">
        <f>AE96/H96</f>
        <v/>
      </c>
      <c r="AG96" s="39">
        <f>H96-O96-P96-Q96-R96-S96-T96-W96-Y96-Z96-M96-AL96</f>
        <v/>
      </c>
      <c r="AH96" s="40">
        <f>AG96-AE96</f>
        <v/>
      </c>
      <c r="AI96" s="41">
        <f>AH96/H96</f>
        <v/>
      </c>
      <c r="AJ96" s="42">
        <f>AH96/M96</f>
        <v/>
      </c>
      <c r="AK96" s="29">
        <f>(P96+R96+W96+Y96+Z96+M96)/(1-(N96+$H$4+(1-I96)*$H$3+$H$8+$H$11+AA96+AC96))</f>
        <v/>
      </c>
      <c r="AL96" s="29">
        <f>H96*$H$11</f>
        <v/>
      </c>
    </row>
    <row r="97" ht="28.5" customHeight="1" s="66">
      <c r="A97" s="21" t="inlineStr">
        <is>
          <t>PETITFEE - Gold &amp; EGF Hydrogel Eye &amp; Spot Patch [60ea]/ гидрогелевые патчи с золотом и EGF</t>
        </is>
      </c>
      <c r="B97" s="58" t="n"/>
      <c r="C97" s="24" t="n"/>
      <c r="D97" s="29" t="n">
        <v>72</v>
      </c>
      <c r="E97" s="49" t="n"/>
      <c r="F97" s="49" t="n"/>
      <c r="G97" s="49" t="n"/>
      <c r="H97" s="49">
        <f>(1.25*M97+P97+R97+W97+Y97+Z97)/(1-N97-$H$8-$H$4-(1-I97)*$H$3-$H$11-AA97-AC97)</f>
        <v/>
      </c>
      <c r="I97" s="28" t="n">
        <v>0.45</v>
      </c>
      <c r="J97" s="30">
        <f>H97*(1-I97)</f>
        <v/>
      </c>
      <c r="K97" s="31" t="n">
        <v>385.05</v>
      </c>
      <c r="L97" s="32">
        <f>$H$5</f>
        <v/>
      </c>
      <c r="M97" s="33">
        <f>K97+L97</f>
        <v/>
      </c>
      <c r="N97" s="34" t="n">
        <v>0.41</v>
      </c>
      <c r="O97" s="29">
        <f>H97*N97</f>
        <v/>
      </c>
      <c r="P97" s="35" t="n">
        <v>67</v>
      </c>
      <c r="Q97" s="29">
        <f>H97*$H$8</f>
        <v/>
      </c>
      <c r="R97" s="35" t="n">
        <v>25</v>
      </c>
      <c r="S97" s="29">
        <f>H97*$H$4</f>
        <v/>
      </c>
      <c r="T97" s="29">
        <f>J97*$H$3</f>
        <v/>
      </c>
      <c r="U97" s="36" t="n">
        <v>0.9</v>
      </c>
      <c r="V97" s="35" t="n">
        <v>67</v>
      </c>
      <c r="W97" s="29">
        <f>V97*(1-U97)</f>
        <v/>
      </c>
      <c r="X97" s="37" t="n">
        <v>0.6</v>
      </c>
      <c r="Y97" s="29">
        <f>$H$6*$H$7*X97</f>
        <v/>
      </c>
      <c r="Z97" s="33">
        <f>X97*($H$9+$H$10)</f>
        <v/>
      </c>
      <c r="AA97" s="34" t="n">
        <v>0.07000000000000001</v>
      </c>
      <c r="AB97" s="29">
        <f>H97*AA97</f>
        <v/>
      </c>
      <c r="AC97" s="36" t="n">
        <v>0.08</v>
      </c>
      <c r="AD97" s="29">
        <f>H97*AC97</f>
        <v/>
      </c>
      <c r="AE97" s="29">
        <f>AB97+AD97</f>
        <v/>
      </c>
      <c r="AF97" s="38">
        <f>AE97/H97</f>
        <v/>
      </c>
      <c r="AG97" s="39">
        <f>H97-O97-P97-Q97-R97-S97-T97-W97-Y97-Z97-M97-AL97</f>
        <v/>
      </c>
      <c r="AH97" s="40">
        <f>AG97-AE97</f>
        <v/>
      </c>
      <c r="AI97" s="41">
        <f>AH97/H97</f>
        <v/>
      </c>
      <c r="AJ97" s="42">
        <f>AH97/M97</f>
        <v/>
      </c>
      <c r="AK97" s="29">
        <f>(P97+R97+W97+Y97+Z97+M97)/(1-(N97+$H$4+(1-I97)*$H$3+$H$8+$H$11+AA97+AC97))</f>
        <v/>
      </c>
      <c r="AL97" s="29">
        <f>H97*$H$11</f>
        <v/>
      </c>
    </row>
    <row r="98" ht="28.5" customHeight="1" s="66">
      <c r="A98" s="21" t="inlineStr">
        <is>
          <t>PETITFEE - Pink Vita Brightening Eye Patch [60ea] / Тканевые патчи для век увлажняющие</t>
        </is>
      </c>
      <c r="B98" s="58" t="n"/>
      <c r="C98" s="24" t="n"/>
      <c r="D98" s="29" t="n">
        <v>267</v>
      </c>
      <c r="E98" s="49" t="n"/>
      <c r="F98" s="49" t="n"/>
      <c r="G98" s="49" t="n"/>
      <c r="H98" s="49">
        <f>(1.25*M98+P98+R98+W98+Y98+Z98)/(1-N98-$H$8-$H$4-(1-I98)*$H$3-$H$11-AA98-AC98)</f>
        <v/>
      </c>
      <c r="I98" s="28" t="n">
        <v>0.45</v>
      </c>
      <c r="J98" s="30">
        <f>H98*(1-I98)</f>
        <v/>
      </c>
      <c r="K98" s="31" t="n">
        <v>486.69</v>
      </c>
      <c r="L98" s="32">
        <f>$H$5</f>
        <v/>
      </c>
      <c r="M98" s="33">
        <f>K98+L98</f>
        <v/>
      </c>
      <c r="N98" s="34" t="n">
        <v>0.41</v>
      </c>
      <c r="O98" s="29">
        <f>H98*N98</f>
        <v/>
      </c>
      <c r="P98" s="35" t="n">
        <v>67</v>
      </c>
      <c r="Q98" s="29">
        <f>H98*$H$8</f>
        <v/>
      </c>
      <c r="R98" s="35" t="n">
        <v>25</v>
      </c>
      <c r="S98" s="29">
        <f>H98*$H$4</f>
        <v/>
      </c>
      <c r="T98" s="29">
        <f>J98*$H$3</f>
        <v/>
      </c>
      <c r="U98" s="36" t="n">
        <v>0.9</v>
      </c>
      <c r="V98" s="35" t="n">
        <v>67</v>
      </c>
      <c r="W98" s="29">
        <f>V98*(1-U98)</f>
        <v/>
      </c>
      <c r="X98" s="37" t="n">
        <v>0.93</v>
      </c>
      <c r="Y98" s="29">
        <f>$H$6*$H$7*X98</f>
        <v/>
      </c>
      <c r="Z98" s="33">
        <f>X98*($H$9+$H$10)</f>
        <v/>
      </c>
      <c r="AA98" s="34" t="n">
        <v>0.07000000000000001</v>
      </c>
      <c r="AB98" s="29">
        <f>H98*AA98</f>
        <v/>
      </c>
      <c r="AC98" s="36" t="n">
        <v>0.08</v>
      </c>
      <c r="AD98" s="29">
        <f>H98*AC98</f>
        <v/>
      </c>
      <c r="AE98" s="29">
        <f>AB98+AD98</f>
        <v/>
      </c>
      <c r="AF98" s="38">
        <f>AE98/H98</f>
        <v/>
      </c>
      <c r="AG98" s="39">
        <f>H98-O98-P98-Q98-R98-S98-T98-W98-Y98-Z98-M98-AL98</f>
        <v/>
      </c>
      <c r="AH98" s="40">
        <f>AG98-AE98</f>
        <v/>
      </c>
      <c r="AI98" s="41">
        <f>AH98/H98</f>
        <v/>
      </c>
      <c r="AJ98" s="42">
        <f>AH98/M98</f>
        <v/>
      </c>
      <c r="AK98" s="29">
        <f>(P98+R98+W98+Y98+Z98+M98)/(1-(N98+$H$4+(1-I98)*$H$3+$H$8+$H$11+AA98+AC98))</f>
        <v/>
      </c>
      <c r="AL98" s="29">
        <f>H98*$H$11</f>
        <v/>
      </c>
    </row>
    <row r="99" ht="28.5" customHeight="1" s="66">
      <c r="A99" s="21" t="inlineStr">
        <is>
          <t>PETITFEE - Black Pearl &amp; Gold Hydrogel Eye Patch [60ea] / Гидрогелевые патчи для глаз с черным жемчугом и золотом</t>
        </is>
      </c>
      <c r="B99" s="58" t="n"/>
      <c r="C99" s="24" t="n"/>
      <c r="D99" s="29" t="n">
        <v>909</v>
      </c>
      <c r="E99" s="49" t="n">
        <v>1780</v>
      </c>
      <c r="F99" s="49" t="n">
        <v>489</v>
      </c>
      <c r="G99" s="49" t="n">
        <v>16</v>
      </c>
      <c r="H99" s="49" t="n">
        <v>1650</v>
      </c>
      <c r="I99" s="28" t="n">
        <v>0.45</v>
      </c>
      <c r="J99" s="30">
        <f>H99*(1-I99)</f>
        <v/>
      </c>
      <c r="K99" s="31" t="n">
        <v>387.67</v>
      </c>
      <c r="L99" s="32">
        <f>$H$5</f>
        <v/>
      </c>
      <c r="M99" s="33">
        <f>K99+L99</f>
        <v/>
      </c>
      <c r="N99" s="34" t="n">
        <v>0.41</v>
      </c>
      <c r="O99" s="29">
        <f>H99*N99</f>
        <v/>
      </c>
      <c r="P99" s="35" t="n">
        <v>67</v>
      </c>
      <c r="Q99" s="29">
        <f>H99*$H$8</f>
        <v/>
      </c>
      <c r="R99" s="35" t="n">
        <v>25</v>
      </c>
      <c r="S99" s="29">
        <f>H99*$H$4</f>
        <v/>
      </c>
      <c r="T99" s="29">
        <f>J99*$H$3</f>
        <v/>
      </c>
      <c r="U99" s="36" t="n">
        <v>0.9</v>
      </c>
      <c r="V99" s="35" t="n">
        <v>67</v>
      </c>
      <c r="W99" s="29">
        <f>V99*(1-U99)</f>
        <v/>
      </c>
      <c r="X99" s="37" t="n">
        <v>0.6</v>
      </c>
      <c r="Y99" s="29">
        <f>$H$6*$H$7*X99</f>
        <v/>
      </c>
      <c r="Z99" s="33">
        <f>X99*($H$9+$H$10)</f>
        <v/>
      </c>
      <c r="AA99" s="34" t="n">
        <v>0.07000000000000001</v>
      </c>
      <c r="AB99" s="29">
        <f>H99*AA99</f>
        <v/>
      </c>
      <c r="AC99" s="36" t="n">
        <v>0.08</v>
      </c>
      <c r="AD99" s="29">
        <f>H99*AC99</f>
        <v/>
      </c>
      <c r="AE99" s="29">
        <f>AB99+AD99</f>
        <v/>
      </c>
      <c r="AF99" s="38">
        <f>AE99/H99</f>
        <v/>
      </c>
      <c r="AG99" s="39">
        <f>H99-O99-P99-Q99-R99-S99-T99-W99-Y99-Z99-M99-AL99</f>
        <v/>
      </c>
      <c r="AH99" s="40">
        <f>AG99-AE99</f>
        <v/>
      </c>
      <c r="AI99" s="41">
        <f>AH99/H99</f>
        <v/>
      </c>
      <c r="AJ99" s="42">
        <f>AH99/M99</f>
        <v/>
      </c>
      <c r="AK99" s="29">
        <f>(P99+R99+W99+Y99+Z99+M99)/(1-(N99+$H$4+(1-I99)*$H$3+$H$8+$H$11+AA99+AC99))</f>
        <v/>
      </c>
      <c r="AL99" s="29">
        <f>H99*$H$11</f>
        <v/>
      </c>
    </row>
    <row r="100" ht="28.5" customHeight="1" s="66">
      <c r="A100" s="21" t="inlineStr">
        <is>
          <t>PETITFEE - Agave Cooling Hydrogel Eye Patch [60ea] / Охлаждающие гидрогелевые патчи для глаз с экстрактом агавы</t>
        </is>
      </c>
      <c r="B100" s="58" t="n"/>
      <c r="C100" s="24" t="n"/>
      <c r="D100" s="29" t="n">
        <v>933</v>
      </c>
      <c r="E100" s="49" t="n">
        <v>1730</v>
      </c>
      <c r="F100" s="49" t="n">
        <v>568</v>
      </c>
      <c r="G100" s="49" t="n">
        <v>17</v>
      </c>
      <c r="H100" s="49" t="n">
        <v>1630</v>
      </c>
      <c r="I100" s="28" t="n">
        <v>0.45</v>
      </c>
      <c r="J100" s="30">
        <f>H100*(1-I100)</f>
        <v/>
      </c>
      <c r="K100" s="31" t="n">
        <v>415.46</v>
      </c>
      <c r="L100" s="32">
        <f>$H$5</f>
        <v/>
      </c>
      <c r="M100" s="33">
        <f>K100+L100</f>
        <v/>
      </c>
      <c r="N100" s="34" t="n">
        <v>0.41</v>
      </c>
      <c r="O100" s="29">
        <f>H100*N100</f>
        <v/>
      </c>
      <c r="P100" s="35" t="n">
        <v>67</v>
      </c>
      <c r="Q100" s="29">
        <f>H100*$H$8</f>
        <v/>
      </c>
      <c r="R100" s="35" t="n">
        <v>25</v>
      </c>
      <c r="S100" s="29">
        <f>H100*$H$4</f>
        <v/>
      </c>
      <c r="T100" s="29">
        <f>J100*$H$3</f>
        <v/>
      </c>
      <c r="U100" s="36" t="n">
        <v>0.9</v>
      </c>
      <c r="V100" s="35" t="n">
        <v>67</v>
      </c>
      <c r="W100" s="29">
        <f>V100*(1-U100)</f>
        <v/>
      </c>
      <c r="X100" s="37" t="n">
        <v>0.6</v>
      </c>
      <c r="Y100" s="29">
        <f>$H$6*$H$7*X100</f>
        <v/>
      </c>
      <c r="Z100" s="33">
        <f>X100*($H$9+$H$10)</f>
        <v/>
      </c>
      <c r="AA100" s="34" t="n">
        <v>0.07000000000000001</v>
      </c>
      <c r="AB100" s="29">
        <f>H100*AA100</f>
        <v/>
      </c>
      <c r="AC100" s="36" t="n">
        <v>0.08</v>
      </c>
      <c r="AD100" s="29">
        <f>H100*AC100</f>
        <v/>
      </c>
      <c r="AE100" s="29">
        <f>AB100+AD100</f>
        <v/>
      </c>
      <c r="AF100" s="38">
        <f>AE100/H100</f>
        <v/>
      </c>
      <c r="AG100" s="39">
        <f>H100-O100-P100-Q100-R100-S100-T100-W100-Y100-Z100-M100-AL100</f>
        <v/>
      </c>
      <c r="AH100" s="40">
        <f>AG100-AE100</f>
        <v/>
      </c>
      <c r="AI100" s="41">
        <f>AH100/H100</f>
        <v/>
      </c>
      <c r="AJ100" s="42">
        <f>AH100/M100</f>
        <v/>
      </c>
      <c r="AK100" s="29">
        <f>(P100+R100+W100+Y100+Z100+M100)/(1-(N100+$H$4+(1-I100)*$H$3+$H$8+$H$11+AA100+AC100))</f>
        <v/>
      </c>
      <c r="AL100" s="29">
        <f>H100*$H$11</f>
        <v/>
      </c>
    </row>
    <row r="101" ht="28.5" customHeight="1" s="66">
      <c r="A101" s="21" t="inlineStr">
        <is>
          <t>PETITFEE - Gold &amp; Snail Hydrogel Eye Patch [60ea] / Гидрогелевые патчи для глаз с золотом и улиткой</t>
        </is>
      </c>
      <c r="B101" s="58" t="n"/>
      <c r="C101" s="24" t="n"/>
      <c r="D101" s="29" t="n">
        <v>909</v>
      </c>
      <c r="E101" s="49" t="n">
        <v>1740</v>
      </c>
      <c r="F101" s="49" t="n">
        <v>150</v>
      </c>
      <c r="G101" s="49" t="n">
        <v>7</v>
      </c>
      <c r="H101" s="49" t="n">
        <v>1630</v>
      </c>
      <c r="I101" s="28" t="n">
        <v>0.45</v>
      </c>
      <c r="J101" s="30">
        <f>H101*(1-I101)</f>
        <v/>
      </c>
      <c r="K101" s="31" t="n">
        <v>415.46</v>
      </c>
      <c r="L101" s="32">
        <f>$H$5</f>
        <v/>
      </c>
      <c r="M101" s="33">
        <f>K101+L101</f>
        <v/>
      </c>
      <c r="N101" s="34" t="n">
        <v>0.41</v>
      </c>
      <c r="O101" s="29">
        <f>H101*N101</f>
        <v/>
      </c>
      <c r="P101" s="35" t="n">
        <v>67</v>
      </c>
      <c r="Q101" s="29">
        <f>H101*$H$8</f>
        <v/>
      </c>
      <c r="R101" s="35" t="n">
        <v>25</v>
      </c>
      <c r="S101" s="29">
        <f>H101*$H$4</f>
        <v/>
      </c>
      <c r="T101" s="29">
        <f>J101*$H$3</f>
        <v/>
      </c>
      <c r="U101" s="36" t="n">
        <v>0.9</v>
      </c>
      <c r="V101" s="35" t="n">
        <v>67</v>
      </c>
      <c r="W101" s="29">
        <f>V101*(1-U101)</f>
        <v/>
      </c>
      <c r="X101" s="37" t="n">
        <v>0.6</v>
      </c>
      <c r="Y101" s="29">
        <f>$H$6*$H$7*X101</f>
        <v/>
      </c>
      <c r="Z101" s="33">
        <f>X101*($H$9+$H$10)</f>
        <v/>
      </c>
      <c r="AA101" s="34" t="n">
        <v>0.07000000000000001</v>
      </c>
      <c r="AB101" s="29">
        <f>H101*AA101</f>
        <v/>
      </c>
      <c r="AC101" s="36" t="n">
        <v>0.08</v>
      </c>
      <c r="AD101" s="29">
        <f>H101*AC101</f>
        <v/>
      </c>
      <c r="AE101" s="29">
        <f>AB101+AD101</f>
        <v/>
      </c>
      <c r="AF101" s="38">
        <f>AE101/H101</f>
        <v/>
      </c>
      <c r="AG101" s="39">
        <f>H101-O101-P101-Q101-R101-S101-T101-W101-Y101-Z101-M101-AL101</f>
        <v/>
      </c>
      <c r="AH101" s="40">
        <f>AG101-AE101</f>
        <v/>
      </c>
      <c r="AI101" s="41">
        <f>AH101/H101</f>
        <v/>
      </c>
      <c r="AJ101" s="42">
        <f>AH101/M101</f>
        <v/>
      </c>
      <c r="AK101" s="29">
        <f>(P101+R101+W101+Y101+Z101+M101)/(1-(N101+$H$4+(1-I101)*$H$3+$H$8+$H$11+AA101+AC101))</f>
        <v/>
      </c>
      <c r="AL101" s="29">
        <f>H101*$H$11</f>
        <v/>
      </c>
    </row>
    <row r="102" ht="28.5" customHeight="1" s="66">
      <c r="A102" s="21" t="inlineStr">
        <is>
          <t>PETITFEE - Gold Hydrogel Eye Patch [60ea] / гидрогелевые патчи для глаз с золотом</t>
        </is>
      </c>
      <c r="B102" s="58" t="n"/>
      <c r="C102" s="24" t="n"/>
      <c r="D102" s="29" t="n">
        <v>700</v>
      </c>
      <c r="E102" s="49" t="n">
        <v>1930</v>
      </c>
      <c r="F102" s="49" t="n">
        <v>128</v>
      </c>
      <c r="G102" s="49" t="n">
        <v>2.2</v>
      </c>
      <c r="H102" s="49" t="n">
        <v>1800</v>
      </c>
      <c r="I102" s="28" t="n">
        <v>0.45</v>
      </c>
      <c r="J102" s="30">
        <f>H102*(1-I102)</f>
        <v/>
      </c>
      <c r="K102" s="31" t="n">
        <v>415.46</v>
      </c>
      <c r="L102" s="32">
        <f>$H$5</f>
        <v/>
      </c>
      <c r="M102" s="33">
        <f>K102+L102</f>
        <v/>
      </c>
      <c r="N102" s="34" t="n">
        <v>0.41</v>
      </c>
      <c r="O102" s="29">
        <f>H102*N102</f>
        <v/>
      </c>
      <c r="P102" s="35" t="n">
        <v>67</v>
      </c>
      <c r="Q102" s="29">
        <f>H102*$H$8</f>
        <v/>
      </c>
      <c r="R102" s="35" t="n">
        <v>25</v>
      </c>
      <c r="S102" s="29">
        <f>H102*$H$4</f>
        <v/>
      </c>
      <c r="T102" s="29">
        <f>J102*$H$3</f>
        <v/>
      </c>
      <c r="U102" s="36" t="n">
        <v>0.9</v>
      </c>
      <c r="V102" s="35" t="n">
        <v>67</v>
      </c>
      <c r="W102" s="29">
        <f>V102*(1-U102)</f>
        <v/>
      </c>
      <c r="X102" s="37" t="n">
        <v>0.6</v>
      </c>
      <c r="Y102" s="29">
        <f>$H$6*$H$7*X102</f>
        <v/>
      </c>
      <c r="Z102" s="33">
        <f>X102*($H$9+$H$10)</f>
        <v/>
      </c>
      <c r="AA102" s="34" t="n">
        <v>0.07000000000000001</v>
      </c>
      <c r="AB102" s="29">
        <f>H102*AA102</f>
        <v/>
      </c>
      <c r="AC102" s="36" t="n">
        <v>0.08</v>
      </c>
      <c r="AD102" s="29">
        <f>H102*AC102</f>
        <v/>
      </c>
      <c r="AE102" s="29">
        <f>AB102+AD102</f>
        <v/>
      </c>
      <c r="AF102" s="38">
        <f>AE102/H102</f>
        <v/>
      </c>
      <c r="AG102" s="39">
        <f>H102-O102-P102-Q102-R102-S102-T102-W102-Y102-Z102-M102-AL102</f>
        <v/>
      </c>
      <c r="AH102" s="40">
        <f>AG102-AE102</f>
        <v/>
      </c>
      <c r="AI102" s="41">
        <f>AH102/H102</f>
        <v/>
      </c>
      <c r="AJ102" s="42">
        <f>AH102/M102</f>
        <v/>
      </c>
      <c r="AK102" s="29">
        <f>(P102+R102+W102+Y102+Z102+M102)/(1-(N102+$H$4+(1-I102)*$H$3+$H$8+$H$11+AA102+AC102))</f>
        <v/>
      </c>
      <c r="AL102" s="29">
        <f>H102*$H$11</f>
        <v/>
      </c>
    </row>
    <row r="103" ht="28.5" customHeight="1" s="66">
      <c r="A103" s="44" t="inlineStr">
        <is>
          <t>PETITFEE - Black Pearl &amp; Gold Hydrogel Eye Patch [1 pairs]/ Гидрогелевые патчи для глаз с черным жемчугом и золотом 1 пара</t>
        </is>
      </c>
      <c r="B103" s="45" t="n"/>
      <c r="C103" s="45" t="inlineStr">
        <is>
          <t>добавлено в расчет: цена под ROI 25%, объем оценочный</t>
        </is>
      </c>
      <c r="D103" s="29" t="n">
        <v>320</v>
      </c>
      <c r="E103" s="29" t="n"/>
      <c r="F103" s="29" t="n"/>
      <c r="G103" s="29" t="n"/>
      <c r="H103" s="29">
        <f>(1.25*M103+P103+R103+W103+Y103+Z103)/(1-N103-$H$8-$H$4-(1-I103)*$H$3-$H$11-AA103-AC103)</f>
        <v/>
      </c>
      <c r="I103" s="46" t="n">
        <v>0.45</v>
      </c>
      <c r="J103" s="30">
        <f>H103*(1-I103)</f>
        <v/>
      </c>
      <c r="K103" s="32" t="n">
        <v>71.23999999999999</v>
      </c>
      <c r="L103" s="32">
        <f>$H$5</f>
        <v/>
      </c>
      <c r="M103" s="33">
        <f>K103+L103</f>
        <v/>
      </c>
      <c r="N103" s="47" t="n">
        <v>0.41</v>
      </c>
      <c r="O103" s="29">
        <f>H103*N103</f>
        <v/>
      </c>
      <c r="P103" s="29" t="n">
        <v>56</v>
      </c>
      <c r="Q103" s="29">
        <f>H103*$H$8</f>
        <v/>
      </c>
      <c r="R103" s="29" t="n">
        <v>25</v>
      </c>
      <c r="S103" s="29">
        <f>H103*$H$4</f>
        <v/>
      </c>
      <c r="T103" s="29">
        <f>J103*$H$3</f>
        <v/>
      </c>
      <c r="U103" s="41" t="n">
        <v>0.9</v>
      </c>
      <c r="V103" s="29" t="n">
        <v>56</v>
      </c>
      <c r="W103" s="29">
        <f>V103*(1-U103)</f>
        <v/>
      </c>
      <c r="X103" s="48" t="n">
        <v>0.05</v>
      </c>
      <c r="Y103" s="29">
        <f>$H$6*$H$7*X103</f>
        <v/>
      </c>
      <c r="Z103" s="33">
        <f>X103*($H$9+$H$10)</f>
        <v/>
      </c>
      <c r="AA103" s="47" t="n">
        <v>0.07000000000000001</v>
      </c>
      <c r="AB103" s="29">
        <f>H103*AA103</f>
        <v/>
      </c>
      <c r="AC103" s="41" t="n">
        <v>0.08</v>
      </c>
      <c r="AD103" s="29">
        <f>H103*AC103</f>
        <v/>
      </c>
      <c r="AE103" s="29">
        <f>AB103+AD103</f>
        <v/>
      </c>
      <c r="AF103" s="38">
        <f>AE103/H103</f>
        <v/>
      </c>
      <c r="AG103" s="39">
        <f>H103-O103-P103-Q103-R103-S103-T103-W103-Y103-Z103-M103-AL103</f>
        <v/>
      </c>
      <c r="AH103" s="29">
        <f>AG103-AE103</f>
        <v/>
      </c>
      <c r="AI103" s="41">
        <f>AH103/H103</f>
        <v/>
      </c>
      <c r="AJ103" s="41">
        <f>AH103/M103</f>
        <v/>
      </c>
      <c r="AK103" s="29">
        <f>(P103+R103+W103+Y103+Z103+M103)/(1-(N103+$H$4+(1-I103)*$H$3+$H$8+$H$11+AA103+AC103))</f>
        <v/>
      </c>
      <c r="AL103">
        <f>H103*$H$11</f>
        <v/>
      </c>
    </row>
    <row r="104" ht="28.5" customHeight="1" s="66">
      <c r="A104" s="44" t="inlineStr">
        <is>
          <t>PETITFEE - Gold Hydrogel Eye Patch [1 Pairs] / гидрогелевые патчи для глаз с золотом 1 пара</t>
        </is>
      </c>
      <c r="B104" s="45" t="n"/>
      <c r="C104" s="45" t="inlineStr">
        <is>
          <t>добавлено в расчет: цена под ROI 25%, объем оценочный</t>
        </is>
      </c>
      <c r="D104" s="29" t="n">
        <v>428</v>
      </c>
      <c r="E104" s="29" t="n"/>
      <c r="F104" s="29" t="n"/>
      <c r="G104" s="29" t="n"/>
      <c r="H104" s="29">
        <f>(1.25*M104+P104+R104+W104+Y104+Z104)/(1-N104-$H$8-$H$4-(1-I104)*$H$3-$H$11-AA104-AC104)</f>
        <v/>
      </c>
      <c r="I104" s="46" t="n">
        <v>0.45</v>
      </c>
      <c r="J104" s="30">
        <f>H104*(1-I104)</f>
        <v/>
      </c>
      <c r="K104" s="32" t="n">
        <v>71.23999999999999</v>
      </c>
      <c r="L104" s="32">
        <f>$H$5</f>
        <v/>
      </c>
      <c r="M104" s="33">
        <f>K104+L104</f>
        <v/>
      </c>
      <c r="N104" s="47" t="n">
        <v>0.41</v>
      </c>
      <c r="O104" s="29">
        <f>H104*N104</f>
        <v/>
      </c>
      <c r="P104" s="29" t="n">
        <v>56</v>
      </c>
      <c r="Q104" s="29">
        <f>H104*$H$8</f>
        <v/>
      </c>
      <c r="R104" s="29" t="n">
        <v>25</v>
      </c>
      <c r="S104" s="29">
        <f>H104*$H$4</f>
        <v/>
      </c>
      <c r="T104" s="29">
        <f>J104*$H$3</f>
        <v/>
      </c>
      <c r="U104" s="41" t="n">
        <v>0.9</v>
      </c>
      <c r="V104" s="29" t="n">
        <v>56</v>
      </c>
      <c r="W104" s="29">
        <f>V104*(1-U104)</f>
        <v/>
      </c>
      <c r="X104" s="48" t="n">
        <v>0.05</v>
      </c>
      <c r="Y104" s="29">
        <f>$H$6*$H$7*X104</f>
        <v/>
      </c>
      <c r="Z104" s="33">
        <f>X104*($H$9+$H$10)</f>
        <v/>
      </c>
      <c r="AA104" s="47" t="n">
        <v>0.07000000000000001</v>
      </c>
      <c r="AB104" s="29">
        <f>H104*AA104</f>
        <v/>
      </c>
      <c r="AC104" s="41" t="n">
        <v>0.08</v>
      </c>
      <c r="AD104" s="29">
        <f>H104*AC104</f>
        <v/>
      </c>
      <c r="AE104" s="29">
        <f>AB104+AD104</f>
        <v/>
      </c>
      <c r="AF104" s="38">
        <f>AE104/H104</f>
        <v/>
      </c>
      <c r="AG104" s="39">
        <f>H104-O104-P104-Q104-R104-S104-T104-W104-Y104-Z104-M104-AL104</f>
        <v/>
      </c>
      <c r="AH104" s="29">
        <f>AG104-AE104</f>
        <v/>
      </c>
      <c r="AI104" s="41">
        <f>AH104/H104</f>
        <v/>
      </c>
      <c r="AJ104" s="41">
        <f>AH104/M104</f>
        <v/>
      </c>
      <c r="AK104" s="29">
        <f>(P104+R104+W104+Y104+Z104+M104)/(1-(N104+$H$4+(1-I104)*$H$3+$H$8+$H$11+AA104+AC104))</f>
        <v/>
      </c>
      <c r="AL104">
        <f>H104*$H$11</f>
        <v/>
      </c>
    </row>
    <row r="105" ht="14.25" customHeight="1" s="66">
      <c r="A105" s="20" t="inlineStr">
        <is>
          <t>Косметика/PETITFEE/PETITFEE-FACEMASK</t>
        </is>
      </c>
      <c r="B105" s="19" t="n"/>
      <c r="C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  <c r="AA105" s="19" t="n"/>
      <c r="AB105" s="19" t="n"/>
      <c r="AC105" s="19" t="n"/>
      <c r="AD105" s="19" t="n"/>
      <c r="AE105" s="19" t="n"/>
      <c r="AF105" s="19" t="n"/>
      <c r="AG105" s="19" t="n"/>
      <c r="AH105" s="19" t="n"/>
      <c r="AI105" s="19" t="n"/>
      <c r="AJ105" s="19" t="n"/>
      <c r="AK105" s="19" t="n"/>
    </row>
    <row r="106" ht="28.5" customHeight="1" s="66">
      <c r="A106" s="21" t="inlineStr">
        <is>
          <t>PETITFEE - Agave Cooling Hydrogel Face Mask [5pcs] / Охлаждающая гидрогелевая маска для лица с экстрактом агавы</t>
        </is>
      </c>
      <c r="B106" s="58" t="n"/>
      <c r="C106" s="24" t="n"/>
      <c r="D106" s="29" t="n">
        <v>951</v>
      </c>
      <c r="E106" s="49" t="n">
        <v>2480</v>
      </c>
      <c r="F106" s="49" t="n">
        <v>293</v>
      </c>
      <c r="G106" s="49" t="n">
        <v>21</v>
      </c>
      <c r="H106" s="49" t="n">
        <v>2200</v>
      </c>
      <c r="I106" s="28" t="n">
        <v>0.45</v>
      </c>
      <c r="J106" s="30">
        <f>H106*(1-I106)</f>
        <v/>
      </c>
      <c r="K106" s="31" t="n">
        <v>486.41</v>
      </c>
      <c r="L106" s="32">
        <f>$H$5</f>
        <v/>
      </c>
      <c r="M106" s="33">
        <f>K106+L106</f>
        <v/>
      </c>
      <c r="N106" s="34" t="n">
        <v>0.41</v>
      </c>
      <c r="O106" s="29">
        <f>H106*N106</f>
        <v/>
      </c>
      <c r="P106" s="35" t="n">
        <v>72</v>
      </c>
      <c r="Q106" s="29">
        <f>H106*$H$8</f>
        <v/>
      </c>
      <c r="R106" s="35" t="n">
        <v>25</v>
      </c>
      <c r="S106" s="29">
        <f>H106*$H$4</f>
        <v/>
      </c>
      <c r="T106" s="29">
        <f>J106*$H$3</f>
        <v/>
      </c>
      <c r="U106" s="36" t="n">
        <v>0.9</v>
      </c>
      <c r="V106" s="35" t="n">
        <v>72</v>
      </c>
      <c r="W106" s="29">
        <f>V106*(1-U106)</f>
        <v/>
      </c>
      <c r="X106" s="37" t="n">
        <v>1.1</v>
      </c>
      <c r="Y106" s="29">
        <f>$H$6*$H$7*X106</f>
        <v/>
      </c>
      <c r="Z106" s="33">
        <f>X106*($H$9+$H$10)</f>
        <v/>
      </c>
      <c r="AA106" s="34" t="n">
        <v>0.07000000000000001</v>
      </c>
      <c r="AB106" s="29">
        <f>H106*AA106</f>
        <v/>
      </c>
      <c r="AC106" s="36" t="n">
        <v>0.08</v>
      </c>
      <c r="AD106" s="29">
        <f>H106*AC106</f>
        <v/>
      </c>
      <c r="AE106" s="29">
        <f>AB106+AD106</f>
        <v/>
      </c>
      <c r="AF106" s="38">
        <f>AE106/H106</f>
        <v/>
      </c>
      <c r="AG106" s="39">
        <f>H106-O106-P106-Q106-R106-S106-T106-W106-Y106-Z106-M106-AL106</f>
        <v/>
      </c>
      <c r="AH106" s="40">
        <f>AG106-AE106</f>
        <v/>
      </c>
      <c r="AI106" s="41">
        <f>AH106/H106</f>
        <v/>
      </c>
      <c r="AJ106" s="42">
        <f>AH106/M106</f>
        <v/>
      </c>
      <c r="AK106" s="29">
        <f>(P106+R106+W106+Y106+Z106+M106)/(1-(N106+$H$4+(1-I106)*$H$3+$H$8+$H$11+AA106+AC106))</f>
        <v/>
      </c>
      <c r="AL106" s="29">
        <f>H106*$H$11</f>
        <v/>
      </c>
    </row>
    <row r="107" ht="28.5" customHeight="1" s="66">
      <c r="A107" s="21" t="inlineStr">
        <is>
          <t>PETITFEE - Gold Hydrogel Mask Pack [5pcs] / Гидрогелевая маска для лица с золотом</t>
        </is>
      </c>
      <c r="B107" s="58" t="n"/>
      <c r="C107" s="24" t="n"/>
      <c r="D107" s="29" t="n">
        <v>734</v>
      </c>
      <c r="E107" s="49" t="n">
        <v>2570</v>
      </c>
      <c r="F107" s="49" t="n">
        <v>121</v>
      </c>
      <c r="G107" s="49" t="n">
        <v>12</v>
      </c>
      <c r="H107" s="49" t="n">
        <v>2300</v>
      </c>
      <c r="I107" s="28" t="n">
        <v>0.45</v>
      </c>
      <c r="J107" s="30">
        <f>H107*(1-I107)</f>
        <v/>
      </c>
      <c r="K107" s="31" t="n">
        <v>507.16</v>
      </c>
      <c r="L107" s="32">
        <f>$H$5</f>
        <v/>
      </c>
      <c r="M107" s="33">
        <f>K107+L107</f>
        <v/>
      </c>
      <c r="N107" s="34" t="n">
        <v>0.41</v>
      </c>
      <c r="O107" s="29">
        <f>H107*N107</f>
        <v/>
      </c>
      <c r="P107" s="35" t="n">
        <v>72</v>
      </c>
      <c r="Q107" s="29">
        <f>H107*$H$8</f>
        <v/>
      </c>
      <c r="R107" s="35" t="n">
        <v>25</v>
      </c>
      <c r="S107" s="29">
        <f>H107*$H$4</f>
        <v/>
      </c>
      <c r="T107" s="29">
        <f>J107*$H$3</f>
        <v/>
      </c>
      <c r="U107" s="36" t="n">
        <v>0.9</v>
      </c>
      <c r="V107" s="35" t="n">
        <v>72</v>
      </c>
      <c r="W107" s="29">
        <f>V107*(1-U107)</f>
        <v/>
      </c>
      <c r="X107" s="37" t="n">
        <v>1.1</v>
      </c>
      <c r="Y107" s="29">
        <f>$H$6*$H$7*X107</f>
        <v/>
      </c>
      <c r="Z107" s="33">
        <f>X107*($H$9+$H$10)</f>
        <v/>
      </c>
      <c r="AA107" s="34" t="n">
        <v>0.07000000000000001</v>
      </c>
      <c r="AB107" s="29">
        <f>H107*AA107</f>
        <v/>
      </c>
      <c r="AC107" s="36" t="n">
        <v>0.08</v>
      </c>
      <c r="AD107" s="29">
        <f>H107*AC107</f>
        <v/>
      </c>
      <c r="AE107" s="29">
        <f>AB107+AD107</f>
        <v/>
      </c>
      <c r="AF107" s="38">
        <f>AE107/H107</f>
        <v/>
      </c>
      <c r="AG107" s="39">
        <f>H107-O107-P107-Q107-R107-S107-T107-W107-Y107-Z107-M107-AL107</f>
        <v/>
      </c>
      <c r="AH107" s="40">
        <f>AG107-AE107</f>
        <v/>
      </c>
      <c r="AI107" s="41">
        <f>AH107/H107</f>
        <v/>
      </c>
      <c r="AJ107" s="42">
        <f>AH107/M107</f>
        <v/>
      </c>
      <c r="AK107" s="29">
        <f>(P107+R107+W107+Y107+Z107+M107)/(1-(N107+$H$4+(1-I107)*$H$3+$H$8+$H$11+AA107+AC107))</f>
        <v/>
      </c>
      <c r="AL107" s="29">
        <f>H107*$H$11</f>
        <v/>
      </c>
    </row>
    <row r="108" ht="28.5" customHeight="1" s="66">
      <c r="A108" s="21" t="inlineStr">
        <is>
          <t>PETITFEE - Cacao Energizing Hydrogel Mask Pack [5pcs] / Тонизирующая гидрогелевая маска для лица с экстрактом какао</t>
        </is>
      </c>
      <c r="B108" s="58" t="n"/>
      <c r="C108" s="24" t="n"/>
      <c r="D108" s="29" t="n">
        <v>619</v>
      </c>
      <c r="E108" s="49" t="n">
        <v>2680</v>
      </c>
      <c r="F108" s="49" t="n">
        <v>38</v>
      </c>
      <c r="G108" s="49" t="n">
        <v>9.699999999999999</v>
      </c>
      <c r="H108" s="49" t="n">
        <v>2250</v>
      </c>
      <c r="I108" s="28" t="n">
        <v>0.45</v>
      </c>
      <c r="J108" s="30">
        <f>H108*(1-I108)</f>
        <v/>
      </c>
      <c r="K108" s="31" t="n">
        <v>496.86</v>
      </c>
      <c r="L108" s="32">
        <f>$H$5</f>
        <v/>
      </c>
      <c r="M108" s="33">
        <f>K108+L108</f>
        <v/>
      </c>
      <c r="N108" s="34" t="n">
        <v>0.41</v>
      </c>
      <c r="O108" s="29">
        <f>H108*N108</f>
        <v/>
      </c>
      <c r="P108" s="35" t="n">
        <v>72</v>
      </c>
      <c r="Q108" s="29">
        <f>H108*$H$8</f>
        <v/>
      </c>
      <c r="R108" s="35" t="n">
        <v>25</v>
      </c>
      <c r="S108" s="29">
        <f>H108*$H$4</f>
        <v/>
      </c>
      <c r="T108" s="29">
        <f>J108*$H$3</f>
        <v/>
      </c>
      <c r="U108" s="36" t="n">
        <v>0.9</v>
      </c>
      <c r="V108" s="35" t="n">
        <v>72</v>
      </c>
      <c r="W108" s="29">
        <f>V108*(1-U108)</f>
        <v/>
      </c>
      <c r="X108" s="37" t="n">
        <v>1.1</v>
      </c>
      <c r="Y108" s="29">
        <f>$H$6*$H$7*X108</f>
        <v/>
      </c>
      <c r="Z108" s="33">
        <f>X108*($H$9+$H$10)</f>
        <v/>
      </c>
      <c r="AA108" s="34" t="n">
        <v>0.07000000000000001</v>
      </c>
      <c r="AB108" s="29">
        <f>H108*AA108</f>
        <v/>
      </c>
      <c r="AC108" s="36" t="n">
        <v>0.08</v>
      </c>
      <c r="AD108" s="29">
        <f>H108*AC108</f>
        <v/>
      </c>
      <c r="AE108" s="29">
        <f>AB108+AD108</f>
        <v/>
      </c>
      <c r="AF108" s="38">
        <f>AE108/H108</f>
        <v/>
      </c>
      <c r="AG108" s="39">
        <f>H108-O108-P108-Q108-R108-S108-T108-W108-Y108-Z108-M108-AL108</f>
        <v/>
      </c>
      <c r="AH108" s="40">
        <f>AG108-AE108</f>
        <v/>
      </c>
      <c r="AI108" s="41">
        <f>AH108/H108</f>
        <v/>
      </c>
      <c r="AJ108" s="42">
        <f>AH108/M108</f>
        <v/>
      </c>
      <c r="AK108" s="29">
        <f>(P108+R108+W108+Y108+Z108+M108)/(1-(N108+$H$4+(1-I108)*$H$3+$H$8+$H$11+AA108+AC108))</f>
        <v/>
      </c>
      <c r="AL108" s="29">
        <f>H108*$H$11</f>
        <v/>
      </c>
    </row>
    <row r="109" ht="28.5" customHeight="1" s="66">
      <c r="A109" s="21" t="inlineStr">
        <is>
          <t>PETITFEE - Artichoke Soothing Hydrogel Face Mask [5pcs] / Смягчающая гидрогелевая маска для лица с экстрактом артишока</t>
        </is>
      </c>
      <c r="B109" s="58" t="n"/>
      <c r="C109" s="24" t="n"/>
      <c r="D109" s="29" t="n">
        <v>542</v>
      </c>
      <c r="E109" s="49" t="n">
        <v>2420</v>
      </c>
      <c r="F109" s="49" t="n">
        <v>409</v>
      </c>
      <c r="G109" s="49" t="n">
        <v>23</v>
      </c>
      <c r="H109" s="49" t="n">
        <v>2300</v>
      </c>
      <c r="I109" s="28" t="n">
        <v>0.45</v>
      </c>
      <c r="J109" s="30">
        <f>H109*(1-I109)</f>
        <v/>
      </c>
      <c r="K109" s="31" t="n">
        <v>498.54</v>
      </c>
      <c r="L109" s="32">
        <f>$H$5</f>
        <v/>
      </c>
      <c r="M109" s="33">
        <f>K109+L109</f>
        <v/>
      </c>
      <c r="N109" s="34" t="n">
        <v>0.41</v>
      </c>
      <c r="O109" s="29">
        <f>H109*N109</f>
        <v/>
      </c>
      <c r="P109" s="35" t="n">
        <v>72</v>
      </c>
      <c r="Q109" s="29">
        <f>H109*$H$8</f>
        <v/>
      </c>
      <c r="R109" s="35" t="n">
        <v>25</v>
      </c>
      <c r="S109" s="29">
        <f>H109*$H$4</f>
        <v/>
      </c>
      <c r="T109" s="29">
        <f>J109*$H$3</f>
        <v/>
      </c>
      <c r="U109" s="36" t="n">
        <v>0.9</v>
      </c>
      <c r="V109" s="35" t="n">
        <v>72</v>
      </c>
      <c r="W109" s="29">
        <f>V109*(1-U109)</f>
        <v/>
      </c>
      <c r="X109" s="37" t="n">
        <v>1.1</v>
      </c>
      <c r="Y109" s="29">
        <f>$H$6*$H$7*X109</f>
        <v/>
      </c>
      <c r="Z109" s="33">
        <f>X109*($H$9+$H$10)</f>
        <v/>
      </c>
      <c r="AA109" s="34" t="n">
        <v>0.07000000000000001</v>
      </c>
      <c r="AB109" s="29">
        <f>H109*AA109</f>
        <v/>
      </c>
      <c r="AC109" s="36" t="n">
        <v>0.08</v>
      </c>
      <c r="AD109" s="29">
        <f>H109*AC109</f>
        <v/>
      </c>
      <c r="AE109" s="29">
        <f>AB109+AD109</f>
        <v/>
      </c>
      <c r="AF109" s="38">
        <f>AE109/H109</f>
        <v/>
      </c>
      <c r="AG109" s="39">
        <f>H109-O109-P109-Q109-R109-S109-T109-W109-Y109-Z109-M109-AL109</f>
        <v/>
      </c>
      <c r="AH109" s="40">
        <f>AG109-AE109</f>
        <v/>
      </c>
      <c r="AI109" s="41">
        <f>AH109/H109</f>
        <v/>
      </c>
      <c r="AJ109" s="42">
        <f>AH109/M109</f>
        <v/>
      </c>
      <c r="AK109" s="29">
        <f>(P109+R109+W109+Y109+Z109+M109)/(1-(N109+$H$4+(1-I109)*$H$3+$H$8+$H$11+AA109+AC109))</f>
        <v/>
      </c>
      <c r="AL109" s="29">
        <f>H109*$H$11</f>
        <v/>
      </c>
    </row>
    <row r="110" ht="28.5" customHeight="1" s="66">
      <c r="A110" s="21" t="inlineStr">
        <is>
          <t>PETITFEE - Gold &amp; Snail Hydrogel Mask Pack [5pcs] / Гидрогелевая маска для лица с золотом и экстрактом улитки</t>
        </is>
      </c>
      <c r="B110" s="58" t="n"/>
      <c r="C110" s="24" t="n"/>
      <c r="D110" s="29" t="n">
        <v>453</v>
      </c>
      <c r="E110" s="49" t="n">
        <v>2280</v>
      </c>
      <c r="F110" s="49" t="n">
        <v>19</v>
      </c>
      <c r="G110" s="49" t="n">
        <v>8</v>
      </c>
      <c r="H110" s="49" t="n">
        <v>2135</v>
      </c>
      <c r="I110" s="28" t="n">
        <v>0.45</v>
      </c>
      <c r="J110" s="30">
        <f>H110*(1-I110)</f>
        <v/>
      </c>
      <c r="K110" s="31" t="n">
        <v>478.17</v>
      </c>
      <c r="L110" s="32">
        <f>$H$5</f>
        <v/>
      </c>
      <c r="M110" s="33">
        <f>K110+L110</f>
        <v/>
      </c>
      <c r="N110" s="34" t="n">
        <v>0.41</v>
      </c>
      <c r="O110" s="29">
        <f>H110*N110</f>
        <v/>
      </c>
      <c r="P110" s="35" t="n">
        <v>72</v>
      </c>
      <c r="Q110" s="29">
        <f>H110*$H$8</f>
        <v/>
      </c>
      <c r="R110" s="35" t="n">
        <v>25</v>
      </c>
      <c r="S110" s="29">
        <f>H110*$H$4</f>
        <v/>
      </c>
      <c r="T110" s="29">
        <f>J110*$H$3</f>
        <v/>
      </c>
      <c r="U110" s="36" t="n">
        <v>0.9</v>
      </c>
      <c r="V110" s="35" t="n">
        <v>72</v>
      </c>
      <c r="W110" s="29">
        <f>V110*(1-U110)</f>
        <v/>
      </c>
      <c r="X110" s="37" t="n">
        <v>1.1</v>
      </c>
      <c r="Y110" s="29">
        <f>$H$6*$H$7*X110</f>
        <v/>
      </c>
      <c r="Z110" s="33">
        <f>X110*($H$9+$H$10)</f>
        <v/>
      </c>
      <c r="AA110" s="34" t="n">
        <v>0.07000000000000001</v>
      </c>
      <c r="AB110" s="29">
        <f>H110*AA110</f>
        <v/>
      </c>
      <c r="AC110" s="36" t="n">
        <v>0.08</v>
      </c>
      <c r="AD110" s="29">
        <f>H110*AC110</f>
        <v/>
      </c>
      <c r="AE110" s="29">
        <f>AB110+AD110</f>
        <v/>
      </c>
      <c r="AF110" s="38">
        <f>AE110/H110</f>
        <v/>
      </c>
      <c r="AG110" s="39">
        <f>H110-O110-P110-Q110-R110-S110-T110-W110-Y110-Z110-M110-AL110</f>
        <v/>
      </c>
      <c r="AH110" s="40">
        <f>AG110-AE110</f>
        <v/>
      </c>
      <c r="AI110" s="41">
        <f>AH110/H110</f>
        <v/>
      </c>
      <c r="AJ110" s="42">
        <f>AH110/M110</f>
        <v/>
      </c>
      <c r="AK110" s="29">
        <f>(P110+R110+W110+Y110+Z110+M110)/(1-(N110+$H$4+(1-I110)*$H$3+$H$8+$H$11+AA110+AC110))</f>
        <v/>
      </c>
      <c r="AL110" s="29">
        <f>H110*$H$11</f>
        <v/>
      </c>
    </row>
    <row r="111" ht="28.5" customHeight="1" s="66">
      <c r="A111" s="21" t="inlineStr">
        <is>
          <t>PETITFEE - Black Pearl &amp; Gold Hydrogel Mask Pack [5pcs] / Гидрогелевая маска для лица с черным жемчугом и золотом</t>
        </is>
      </c>
      <c r="B111" s="58" t="n"/>
      <c r="C111" s="24" t="n"/>
      <c r="D111" s="29" t="n">
        <v>543</v>
      </c>
      <c r="E111" s="49" t="n">
        <v>2225</v>
      </c>
      <c r="F111" s="49" t="n">
        <v>156</v>
      </c>
      <c r="G111" s="49" t="n">
        <v>23</v>
      </c>
      <c r="H111" s="49" t="n">
        <v>2135</v>
      </c>
      <c r="I111" s="28" t="n">
        <v>0.45</v>
      </c>
      <c r="J111" s="30">
        <f>H111*(1-I111)</f>
        <v/>
      </c>
      <c r="K111" s="31" t="n">
        <v>478.05</v>
      </c>
      <c r="L111" s="32">
        <f>$H$5</f>
        <v/>
      </c>
      <c r="M111" s="33">
        <f>K111+L111</f>
        <v/>
      </c>
      <c r="N111" s="34" t="n">
        <v>0.41</v>
      </c>
      <c r="O111" s="29">
        <f>H111*N111</f>
        <v/>
      </c>
      <c r="P111" s="35" t="n">
        <v>72</v>
      </c>
      <c r="Q111" s="29">
        <f>H111*$H$8</f>
        <v/>
      </c>
      <c r="R111" s="35" t="n">
        <v>25</v>
      </c>
      <c r="S111" s="29">
        <f>H111*$H$4</f>
        <v/>
      </c>
      <c r="T111" s="29">
        <f>J111*$H$3</f>
        <v/>
      </c>
      <c r="U111" s="36" t="n">
        <v>0.9</v>
      </c>
      <c r="V111" s="35" t="n">
        <v>72</v>
      </c>
      <c r="W111" s="29">
        <f>V111*(1-U111)</f>
        <v/>
      </c>
      <c r="X111" s="37" t="n">
        <v>1.1</v>
      </c>
      <c r="Y111" s="29">
        <f>$H$6*$H$7*X111</f>
        <v/>
      </c>
      <c r="Z111" s="33">
        <f>X111*($H$9+$H$10)</f>
        <v/>
      </c>
      <c r="AA111" s="34" t="n">
        <v>0.07000000000000001</v>
      </c>
      <c r="AB111" s="29">
        <f>H111*AA111</f>
        <v/>
      </c>
      <c r="AC111" s="36" t="n">
        <v>0.08</v>
      </c>
      <c r="AD111" s="29">
        <f>H111*AC111</f>
        <v/>
      </c>
      <c r="AE111" s="29">
        <f>AB111+AD111</f>
        <v/>
      </c>
      <c r="AF111" s="38">
        <f>AE111/H111</f>
        <v/>
      </c>
      <c r="AG111" s="39">
        <f>H111-O111-P111-Q111-R111-S111-T111-W111-Y111-Z111-M111-AL111</f>
        <v/>
      </c>
      <c r="AH111" s="40">
        <f>AG111-AE111</f>
        <v/>
      </c>
      <c r="AI111" s="41">
        <f>AH111/H111</f>
        <v/>
      </c>
      <c r="AJ111" s="42">
        <f>AH111/M111</f>
        <v/>
      </c>
      <c r="AK111" s="29">
        <f>(P111+R111+W111+Y111+Z111+M111)/(1-(N111+$H$4+(1-I111)*$H$3+$H$8+$H$11+AA111+AC111))</f>
        <v/>
      </c>
      <c r="AL111" s="29">
        <f>H111*$H$11</f>
        <v/>
      </c>
    </row>
    <row r="112" ht="14.25" customHeight="1" s="66">
      <c r="A112" s="20" t="inlineStr">
        <is>
          <t>Косметика/ROUND LAB</t>
        </is>
      </c>
      <c r="B112" s="19" t="n"/>
      <c r="C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  <c r="AA112" s="19" t="n"/>
      <c r="AB112" s="19" t="n"/>
      <c r="AC112" s="19" t="n"/>
      <c r="AD112" s="19" t="n"/>
      <c r="AE112" s="19" t="n"/>
      <c r="AF112" s="19" t="n"/>
      <c r="AG112" s="19" t="n"/>
      <c r="AH112" s="19" t="n"/>
      <c r="AI112" s="19" t="n"/>
      <c r="AJ112" s="19" t="n"/>
      <c r="AK112" s="19" t="n"/>
    </row>
    <row r="113" ht="14.25" customHeight="1" s="66">
      <c r="A113" s="21" t="inlineStr">
        <is>
          <t>ROUND LAB 1025 DOKDO CLEANSER_150ml</t>
        </is>
      </c>
      <c r="B113" s="52" t="inlineStr">
        <is>
          <t>ФБО</t>
        </is>
      </c>
      <c r="C113" s="24" t="n"/>
      <c r="D113" s="29" t="n">
        <v>7158</v>
      </c>
      <c r="E113" s="49" t="n">
        <v>2335</v>
      </c>
      <c r="F113" s="49" t="n">
        <v>4000</v>
      </c>
      <c r="G113" s="49" t="n">
        <v>3</v>
      </c>
      <c r="H113" s="49" t="n">
        <v>2200</v>
      </c>
      <c r="I113" s="28" t="n">
        <v>0.45</v>
      </c>
      <c r="J113" s="30">
        <f>H113*(1-I113)</f>
        <v/>
      </c>
      <c r="K113" s="31" t="n">
        <v>463.19</v>
      </c>
      <c r="L113" s="32">
        <f>$H$5</f>
        <v/>
      </c>
      <c r="M113" s="33">
        <f>K113+L113</f>
        <v/>
      </c>
      <c r="N113" s="34" t="n">
        <v>0.41</v>
      </c>
      <c r="O113" s="29">
        <f>H113*N113</f>
        <v/>
      </c>
      <c r="P113" s="35" t="n">
        <v>74</v>
      </c>
      <c r="Q113" s="29">
        <f>H113*$H$8</f>
        <v/>
      </c>
      <c r="R113" s="35" t="n">
        <v>25</v>
      </c>
      <c r="S113" s="29">
        <f>H113*$H$4</f>
        <v/>
      </c>
      <c r="T113" s="29">
        <f>J113*$H$3</f>
        <v/>
      </c>
      <c r="U113" s="36" t="n">
        <v>0.9</v>
      </c>
      <c r="V113" s="35" t="n">
        <v>74</v>
      </c>
      <c r="W113" s="29">
        <f>V113*(1-U113)</f>
        <v/>
      </c>
      <c r="X113" s="37" t="n">
        <v>1.28</v>
      </c>
      <c r="Y113" s="29">
        <f>$H$6*$H$7*X113</f>
        <v/>
      </c>
      <c r="Z113" s="33">
        <f>X113*($H$9+$H$10)</f>
        <v/>
      </c>
      <c r="AA113" s="34" t="n">
        <v>0.07000000000000001</v>
      </c>
      <c r="AB113" s="29">
        <f>H113*AA113</f>
        <v/>
      </c>
      <c r="AC113" s="36" t="n">
        <v>0.08</v>
      </c>
      <c r="AD113" s="29">
        <f>H113*AC113</f>
        <v/>
      </c>
      <c r="AE113" s="29">
        <f>AB113+AD113</f>
        <v/>
      </c>
      <c r="AF113" s="38">
        <f>AE113/H113</f>
        <v/>
      </c>
      <c r="AG113" s="39">
        <f>H113-O113-P113-Q113-R113-S113-T113-W113-Y113-Z113-M113-AL113</f>
        <v/>
      </c>
      <c r="AH113" s="40">
        <f>AG113-AE113</f>
        <v/>
      </c>
      <c r="AI113" s="41">
        <f>AH113/H113</f>
        <v/>
      </c>
      <c r="AJ113" s="42">
        <f>AH113/M113</f>
        <v/>
      </c>
      <c r="AK113" s="29">
        <f>(P113+R113+W113+Y113+Z113+M113)/(1-(N113+$H$4+(1-I113)*$H$3+$H$8+$H$11+AA113+AC113))</f>
        <v/>
      </c>
      <c r="AL113" s="29">
        <f>H113*$H$11</f>
        <v/>
      </c>
    </row>
    <row r="114" ht="28.5" customHeight="1" s="66">
      <c r="A114" s="44" t="inlineStr">
        <is>
          <t>ROUND LAB BIRCH JUICE MOISTURIZING CREAM_80ml -Увлажняющий крем с березовым соком</t>
        </is>
      </c>
      <c r="B114" s="45" t="n"/>
      <c r="C114" s="45" t="inlineStr">
        <is>
          <t>добавлено в расчет: цена под ROI 25%, объем оценочный</t>
        </is>
      </c>
      <c r="D114" s="29" t="n">
        <v>260</v>
      </c>
      <c r="E114" s="29" t="n"/>
      <c r="F114" s="29" t="n"/>
      <c r="G114" s="29" t="n"/>
      <c r="H114" s="29">
        <f>(1.25*M114+P114+R114+W114+Y114+Z114)/(1-N114-$H$8-$H$4-(1-I114)*$H$3-$H$11-AA114-AC114)</f>
        <v/>
      </c>
      <c r="I114" s="46" t="n">
        <v>0.45</v>
      </c>
      <c r="J114" s="30">
        <f>H114*(1-I114)</f>
        <v/>
      </c>
      <c r="K114" s="32" t="n">
        <v>1092.96</v>
      </c>
      <c r="L114" s="32">
        <f>$H$5</f>
        <v/>
      </c>
      <c r="M114" s="33">
        <f>K114+L114</f>
        <v/>
      </c>
      <c r="N114" s="47" t="n">
        <v>0.41</v>
      </c>
      <c r="O114" s="29">
        <f>H114*N114</f>
        <v/>
      </c>
      <c r="P114" s="29" t="n">
        <v>63</v>
      </c>
      <c r="Q114" s="29">
        <f>H114*$H$8</f>
        <v/>
      </c>
      <c r="R114" s="29" t="n">
        <v>25</v>
      </c>
      <c r="S114" s="29">
        <f>H114*$H$4</f>
        <v/>
      </c>
      <c r="T114" s="29">
        <f>J114*$H$3</f>
        <v/>
      </c>
      <c r="U114" s="41" t="n">
        <v>0.9</v>
      </c>
      <c r="V114" s="29" t="n">
        <v>63</v>
      </c>
      <c r="W114" s="29">
        <f>V114*(1-U114)</f>
        <v/>
      </c>
      <c r="X114" s="48" t="n">
        <v>0.4</v>
      </c>
      <c r="Y114" s="29">
        <f>$H$6*$H$7*X114</f>
        <v/>
      </c>
      <c r="Z114" s="33">
        <f>X114*($H$9+$H$10)</f>
        <v/>
      </c>
      <c r="AA114" s="47" t="n">
        <v>0.07000000000000001</v>
      </c>
      <c r="AB114" s="29">
        <f>H114*AA114</f>
        <v/>
      </c>
      <c r="AC114" s="41" t="n">
        <v>0.08</v>
      </c>
      <c r="AD114" s="29">
        <f>H114*AC114</f>
        <v/>
      </c>
      <c r="AE114" s="29">
        <f>AB114+AD114</f>
        <v/>
      </c>
      <c r="AF114" s="38">
        <f>AE114/H114</f>
        <v/>
      </c>
      <c r="AG114" s="39">
        <f>H114-O114-P114-Q114-R114-S114-T114-W114-Y114-Z114-M114-AL114</f>
        <v/>
      </c>
      <c r="AH114" s="29">
        <f>AG114-AE114</f>
        <v/>
      </c>
      <c r="AI114" s="41">
        <f>AH114/H114</f>
        <v/>
      </c>
      <c r="AJ114" s="41">
        <f>AH114/M114</f>
        <v/>
      </c>
      <c r="AK114" s="29">
        <f>(P114+R114+W114+Y114+Z114+M114)/(1-(N114+$H$4+(1-I114)*$H$3+$H$8+$H$11+AA114+AC114))</f>
        <v/>
      </c>
      <c r="AL114">
        <f>H114*$H$11</f>
        <v/>
      </c>
    </row>
    <row r="115" ht="28.5" customHeight="1" s="66">
      <c r="A115" s="21" t="inlineStr">
        <is>
          <t>ROUND LAB MUGWORT CALMING CLEANSER_150ml - Очищающая пенка для умывания лица от прыщей и акне</t>
        </is>
      </c>
      <c r="B115" s="58" t="n"/>
      <c r="C115" s="24" t="n"/>
      <c r="D115" s="29" t="n">
        <v>1422</v>
      </c>
      <c r="E115" s="49" t="n"/>
      <c r="F115" s="49" t="n"/>
      <c r="G115" s="49" t="n"/>
      <c r="H115" s="49">
        <f>(1.25*M115+P115+R115+W115+Y115+Z115)/(1-N115-$H$8-$H$4-(1-I115)*$H$3-$H$11-AA115-AC115)</f>
        <v/>
      </c>
      <c r="I115" s="28" t="n">
        <v>0.45</v>
      </c>
      <c r="J115" s="30">
        <f>H115*(1-I115)</f>
        <v/>
      </c>
      <c r="K115" s="31" t="n">
        <v>512.3200000000001</v>
      </c>
      <c r="L115" s="32">
        <f>$H$5</f>
        <v/>
      </c>
      <c r="M115" s="33">
        <f>K115+L115</f>
        <v/>
      </c>
      <c r="N115" s="34" t="n">
        <v>0.41</v>
      </c>
      <c r="O115" s="29">
        <f>H115*N115</f>
        <v/>
      </c>
      <c r="P115" s="35" t="n">
        <v>67</v>
      </c>
      <c r="Q115" s="29">
        <f>H115*$H$8</f>
        <v/>
      </c>
      <c r="R115" s="35" t="n">
        <v>25</v>
      </c>
      <c r="S115" s="29">
        <f>H115*$H$4</f>
        <v/>
      </c>
      <c r="T115" s="29">
        <f>J115*$H$3</f>
        <v/>
      </c>
      <c r="U115" s="36" t="n">
        <v>0.9</v>
      </c>
      <c r="V115" s="35" t="n">
        <v>67</v>
      </c>
      <c r="W115" s="29">
        <f>V115*(1-U115)</f>
        <v/>
      </c>
      <c r="X115" s="37" t="n">
        <v>0.8</v>
      </c>
      <c r="Y115" s="29">
        <f>$H$6*$H$7*X115</f>
        <v/>
      </c>
      <c r="Z115" s="33">
        <f>X115*($H$9+$H$10)</f>
        <v/>
      </c>
      <c r="AA115" s="34" t="n">
        <v>0.07000000000000001</v>
      </c>
      <c r="AB115" s="29">
        <f>H115*AA115</f>
        <v/>
      </c>
      <c r="AC115" s="36" t="n">
        <v>0.08</v>
      </c>
      <c r="AD115" s="29">
        <f>H115*AC115</f>
        <v/>
      </c>
      <c r="AE115" s="29">
        <f>AB115+AD115</f>
        <v/>
      </c>
      <c r="AF115" s="38">
        <f>AE115/H115</f>
        <v/>
      </c>
      <c r="AG115" s="39">
        <f>H115-O115-P115-Q115-R115-S115-T115-W115-Y115-Z115-M115-AL115</f>
        <v/>
      </c>
      <c r="AH115" s="40">
        <f>AG115-AE115</f>
        <v/>
      </c>
      <c r="AI115" s="41">
        <f>AH115/H115</f>
        <v/>
      </c>
      <c r="AJ115" s="42">
        <f>AH115/M115</f>
        <v/>
      </c>
      <c r="AK115" s="29">
        <f>(P115+R115+W115+Y115+Z115+M115)/(1-(N115+$H$4+(1-I115)*$H$3+$H$8+$H$11+AA115+AC115))</f>
        <v/>
      </c>
      <c r="AL115" s="29">
        <f>H115*$H$11</f>
        <v/>
      </c>
    </row>
    <row r="116" ht="28.5" customHeight="1" s="66">
      <c r="A116" s="44" t="inlineStr">
        <is>
          <t>ROUND LAB SOYBEAN PANTHENOL CREAM_80ml - Крем для лица с чёрной соей и пантенолом успокаивающий</t>
        </is>
      </c>
      <c r="B116" s="45" t="n"/>
      <c r="C116" s="45" t="inlineStr">
        <is>
          <t>добавлено в расчет: цена под ROI 25%, объем оценочный</t>
        </is>
      </c>
      <c r="D116" s="29" t="n">
        <v>150</v>
      </c>
      <c r="E116" s="29" t="n"/>
      <c r="F116" s="29" t="n"/>
      <c r="G116" s="29" t="n"/>
      <c r="H116" s="29">
        <f>(1.25*M116+P116+R116+W116+Y116+Z116)/(1-N116-$H$8-$H$4-(1-I116)*$H$3-$H$11-AA116-AC116)</f>
        <v/>
      </c>
      <c r="I116" s="46" t="n">
        <v>0.45</v>
      </c>
      <c r="J116" s="30">
        <f>H116*(1-I116)</f>
        <v/>
      </c>
      <c r="K116" s="32" t="n">
        <v>1161.41</v>
      </c>
      <c r="L116" s="32">
        <f>$H$5</f>
        <v/>
      </c>
      <c r="M116" s="33">
        <f>K116+L116</f>
        <v/>
      </c>
      <c r="N116" s="47" t="n">
        <v>0.41</v>
      </c>
      <c r="O116" s="29">
        <f>H116*N116</f>
        <v/>
      </c>
      <c r="P116" s="29" t="n">
        <v>63</v>
      </c>
      <c r="Q116" s="29">
        <f>H116*$H$8</f>
        <v/>
      </c>
      <c r="R116" s="29" t="n">
        <v>25</v>
      </c>
      <c r="S116" s="29">
        <f>H116*$H$4</f>
        <v/>
      </c>
      <c r="T116" s="29">
        <f>J116*$H$3</f>
        <v/>
      </c>
      <c r="U116" s="41" t="n">
        <v>0.9</v>
      </c>
      <c r="V116" s="29" t="n">
        <v>63</v>
      </c>
      <c r="W116" s="29">
        <f>V116*(1-U116)</f>
        <v/>
      </c>
      <c r="X116" s="48" t="n">
        <v>0.4</v>
      </c>
      <c r="Y116" s="29">
        <f>$H$6*$H$7*X116</f>
        <v/>
      </c>
      <c r="Z116" s="33">
        <f>X116*($H$9+$H$10)</f>
        <v/>
      </c>
      <c r="AA116" s="47" t="n">
        <v>0.07000000000000001</v>
      </c>
      <c r="AB116" s="29">
        <f>H116*AA116</f>
        <v/>
      </c>
      <c r="AC116" s="41" t="n">
        <v>0.08</v>
      </c>
      <c r="AD116" s="29">
        <f>H116*AC116</f>
        <v/>
      </c>
      <c r="AE116" s="29">
        <f>AB116+AD116</f>
        <v/>
      </c>
      <c r="AF116" s="38">
        <f>AE116/H116</f>
        <v/>
      </c>
      <c r="AG116" s="39">
        <f>H116-O116-P116-Q116-R116-S116-T116-W116-Y116-Z116-M116-AL116</f>
        <v/>
      </c>
      <c r="AH116" s="29">
        <f>AG116-AE116</f>
        <v/>
      </c>
      <c r="AI116" s="41">
        <f>AH116/H116</f>
        <v/>
      </c>
      <c r="AJ116" s="41">
        <f>AH116/M116</f>
        <v/>
      </c>
      <c r="AK116" s="29">
        <f>(P116+R116+W116+Y116+Z116+M116)/(1-(N116+$H$4+(1-I116)*$H$3+$H$8+$H$11+AA116+AC116))</f>
        <v/>
      </c>
      <c r="AL116">
        <f>H116*$H$11</f>
        <v/>
      </c>
    </row>
    <row r="117" ht="28.5" customHeight="1" s="66">
      <c r="A117" s="44" t="inlineStr">
        <is>
          <t>ROUND LAB PINE CALMING CICA AMPOULE_30ml - Сыворотка для жирной кожи лица увлажняющая с центеллой</t>
        </is>
      </c>
      <c r="B117" s="45" t="n"/>
      <c r="C117" s="45" t="inlineStr">
        <is>
          <t>добавлено в расчет: цена под ROI 25%, объем оценочный</t>
        </is>
      </c>
      <c r="D117" s="29" t="n">
        <v>37</v>
      </c>
      <c r="E117" s="29" t="n"/>
      <c r="F117" s="29" t="n"/>
      <c r="G117" s="29" t="n"/>
      <c r="H117" s="29">
        <f>(1.25*M117+P117+R117+W117+Y117+Z117)/(1-N117-$H$8-$H$4-(1-I117)*$H$3-$H$11-AA117-AC117)</f>
        <v/>
      </c>
      <c r="I117" s="46" t="n">
        <v>0.45</v>
      </c>
      <c r="J117" s="30">
        <f>H117*(1-I117)</f>
        <v/>
      </c>
      <c r="K117" s="32" t="n">
        <v>819.72</v>
      </c>
      <c r="L117" s="32">
        <f>$H$5</f>
        <v/>
      </c>
      <c r="M117" s="33">
        <f>K117+L117</f>
        <v/>
      </c>
      <c r="N117" s="47" t="n">
        <v>0.41</v>
      </c>
      <c r="O117" s="29">
        <f>H117*N117</f>
        <v/>
      </c>
      <c r="P117" s="29" t="n">
        <v>63</v>
      </c>
      <c r="Q117" s="29">
        <f>H117*$H$8</f>
        <v/>
      </c>
      <c r="R117" s="29" t="n">
        <v>25</v>
      </c>
      <c r="S117" s="29">
        <f>H117*$H$4</f>
        <v/>
      </c>
      <c r="T117" s="29">
        <f>J117*$H$3</f>
        <v/>
      </c>
      <c r="U117" s="41" t="n">
        <v>0.9</v>
      </c>
      <c r="V117" s="29" t="n">
        <v>63</v>
      </c>
      <c r="W117" s="29">
        <f>V117*(1-U117)</f>
        <v/>
      </c>
      <c r="X117" s="48" t="n">
        <v>0.38</v>
      </c>
      <c r="Y117" s="29">
        <f>$H$6*$H$7*X117</f>
        <v/>
      </c>
      <c r="Z117" s="33">
        <f>X117*($H$9+$H$10)</f>
        <v/>
      </c>
      <c r="AA117" s="47" t="n">
        <v>0.07000000000000001</v>
      </c>
      <c r="AB117" s="29">
        <f>H117*AA117</f>
        <v/>
      </c>
      <c r="AC117" s="41" t="n">
        <v>0.08</v>
      </c>
      <c r="AD117" s="29">
        <f>H117*AC117</f>
        <v/>
      </c>
      <c r="AE117" s="29">
        <f>AB117+AD117</f>
        <v/>
      </c>
      <c r="AF117" s="38">
        <f>AE117/H117</f>
        <v/>
      </c>
      <c r="AG117" s="39">
        <f>H117-O117-P117-Q117-R117-S117-T117-W117-Y117-Z117-M117-AL117</f>
        <v/>
      </c>
      <c r="AH117" s="29">
        <f>AG117-AE117</f>
        <v/>
      </c>
      <c r="AI117" s="41">
        <f>AH117/H117</f>
        <v/>
      </c>
      <c r="AJ117" s="41">
        <f>AH117/M117</f>
        <v/>
      </c>
      <c r="AK117" s="29">
        <f>(P117+R117+W117+Y117+Z117+M117)/(1-(N117+$H$4+(1-I117)*$H$3+$H$8+$H$11+AA117+AC117))</f>
        <v/>
      </c>
      <c r="AL117">
        <f>H117*$H$11</f>
        <v/>
      </c>
    </row>
    <row r="118" ht="14.25" customHeight="1" s="66">
      <c r="A118" s="21" t="inlineStr">
        <is>
          <t>ROUND LAB 1025 DOKDO TONER_200ml</t>
        </is>
      </c>
      <c r="B118" s="59" t="inlineStr">
        <is>
          <t>ФБО</t>
        </is>
      </c>
      <c r="C118" s="4" t="n"/>
      <c r="D118" s="29" t="n">
        <v>998</v>
      </c>
      <c r="E118" s="49" t="n">
        <v>3400</v>
      </c>
      <c r="F118" s="49" t="n">
        <v>260</v>
      </c>
      <c r="G118" s="49" t="n">
        <v>2</v>
      </c>
      <c r="H118" s="49" t="n">
        <v>3100</v>
      </c>
      <c r="I118" s="28" t="n">
        <v>0.45</v>
      </c>
      <c r="J118" s="30">
        <f>H118*(1-I118)</f>
        <v/>
      </c>
      <c r="K118" s="31" t="n">
        <v>463.19</v>
      </c>
      <c r="L118" s="32">
        <f>$H$5</f>
        <v/>
      </c>
      <c r="M118" s="33">
        <f>K118+L118</f>
        <v/>
      </c>
      <c r="N118" s="34" t="n">
        <v>0.41</v>
      </c>
      <c r="O118" s="29">
        <f>H118*N118</f>
        <v/>
      </c>
      <c r="P118" s="35" t="n">
        <v>74</v>
      </c>
      <c r="Q118" s="29">
        <f>H118*$H$8</f>
        <v/>
      </c>
      <c r="R118" s="35" t="n">
        <v>25</v>
      </c>
      <c r="S118" s="29">
        <f>H118*$H$4</f>
        <v/>
      </c>
      <c r="T118" s="29">
        <f>J118*$H$3</f>
        <v/>
      </c>
      <c r="U118" s="36" t="n">
        <v>0.9</v>
      </c>
      <c r="V118" s="35" t="n">
        <v>74</v>
      </c>
      <c r="W118" s="29">
        <f>V118*(1-U118)</f>
        <v/>
      </c>
      <c r="X118" s="37" t="n">
        <v>1.28</v>
      </c>
      <c r="Y118" s="29">
        <f>$H$6*$H$7*X118</f>
        <v/>
      </c>
      <c r="Z118" s="33">
        <f>X118*($H$9+$H$10)</f>
        <v/>
      </c>
      <c r="AA118" s="34" t="n">
        <v>0.07000000000000001</v>
      </c>
      <c r="AB118" s="29">
        <f>H118*AA118</f>
        <v/>
      </c>
      <c r="AC118" s="36" t="n">
        <v>0.08</v>
      </c>
      <c r="AD118" s="29">
        <f>H118*AC118</f>
        <v/>
      </c>
      <c r="AE118" s="29">
        <f>AB118+AD118</f>
        <v/>
      </c>
      <c r="AF118" s="38">
        <f>AE118/H118</f>
        <v/>
      </c>
      <c r="AG118" s="39">
        <f>H118-O118-P118-Q118-R118-S118-T118-W118-Y118-Z118-M118-AL118</f>
        <v/>
      </c>
      <c r="AH118" s="40">
        <f>AG118-AE118</f>
        <v/>
      </c>
      <c r="AI118" s="41">
        <f>AH118/H118</f>
        <v/>
      </c>
      <c r="AJ118" s="42">
        <f>AH118/M118</f>
        <v/>
      </c>
      <c r="AK118" s="29">
        <f>(P118+R118+W118+Y118+Z118+M118)/(1-(N118+$H$4+(1-I118)*$H$3+$H$8+$H$11+AA118+AC118))</f>
        <v/>
      </c>
      <c r="AL118" s="29">
        <f>H118*$H$11</f>
        <v/>
      </c>
    </row>
    <row r="119" ht="14.25" customHeight="1" s="66">
      <c r="A119" s="20" t="inlineStr">
        <is>
          <t>Косметика/SKIN1004</t>
        </is>
      </c>
      <c r="B119" s="19" t="n"/>
      <c r="C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  <c r="AA119" s="19" t="n"/>
      <c r="AB119" s="19" t="n"/>
      <c r="AC119" s="19" t="n"/>
      <c r="AD119" s="19" t="n"/>
      <c r="AE119" s="19" t="n"/>
      <c r="AF119" s="19" t="n"/>
      <c r="AG119" s="19" t="n"/>
      <c r="AH119" s="19" t="n"/>
      <c r="AI119" s="19" t="n"/>
      <c r="AJ119" s="19" t="n"/>
      <c r="AK119" s="19" t="n"/>
    </row>
    <row r="120" ht="28.5" customHeight="1" s="66">
      <c r="A120" s="44" t="inlineStr">
        <is>
          <t>SKIN1004 - Madagascar Centella Ampoule [30ml] / Сыворотка для лица успокаивающая из экстракта центеллы.</t>
        </is>
      </c>
      <c r="B120" s="45" t="n"/>
      <c r="C120" s="45" t="inlineStr">
        <is>
          <t>добавлено в расчет: цена под ROI 25%, объем оценочный</t>
        </is>
      </c>
      <c r="D120" s="29" t="n">
        <v>30</v>
      </c>
      <c r="E120" s="29" t="n"/>
      <c r="F120" s="29" t="n"/>
      <c r="G120" s="29" t="n"/>
      <c r="H120" s="29">
        <f>(1.25*M120+P120+R120+W120+Y120+Z120)/(1-N120-$H$8-$H$4-(1-I120)*$H$3-$H$11-AA120-AC120)</f>
        <v/>
      </c>
      <c r="I120" s="46" t="n">
        <v>0.45</v>
      </c>
      <c r="J120" s="30">
        <f>H120*(1-I120)</f>
        <v/>
      </c>
      <c r="K120" s="32" t="n">
        <v>367.89</v>
      </c>
      <c r="L120" s="32">
        <f>$H$5</f>
        <v/>
      </c>
      <c r="M120" s="33">
        <f>K120+L120</f>
        <v/>
      </c>
      <c r="N120" s="47" t="n">
        <v>0.41</v>
      </c>
      <c r="O120" s="29">
        <f>H120*N120</f>
        <v/>
      </c>
      <c r="P120" s="29" t="n">
        <v>63</v>
      </c>
      <c r="Q120" s="29">
        <f>H120*$H$8</f>
        <v/>
      </c>
      <c r="R120" s="29" t="n">
        <v>25</v>
      </c>
      <c r="S120" s="29">
        <f>H120*$H$4</f>
        <v/>
      </c>
      <c r="T120" s="29">
        <f>J120*$H$3</f>
        <v/>
      </c>
      <c r="U120" s="41" t="n">
        <v>0.9</v>
      </c>
      <c r="V120" s="29" t="n">
        <v>63</v>
      </c>
      <c r="W120" s="29">
        <f>V120*(1-U120)</f>
        <v/>
      </c>
      <c r="X120" s="48" t="n">
        <v>0.38</v>
      </c>
      <c r="Y120" s="29">
        <f>$H$6*$H$7*X120</f>
        <v/>
      </c>
      <c r="Z120" s="33">
        <f>X120*($H$9+$H$10)</f>
        <v/>
      </c>
      <c r="AA120" s="47" t="n">
        <v>0.07000000000000001</v>
      </c>
      <c r="AB120" s="29">
        <f>H120*AA120</f>
        <v/>
      </c>
      <c r="AC120" s="41" t="n">
        <v>0.08</v>
      </c>
      <c r="AD120" s="29">
        <f>H120*AC120</f>
        <v/>
      </c>
      <c r="AE120" s="29">
        <f>AB120+AD120</f>
        <v/>
      </c>
      <c r="AF120" s="38">
        <f>AE120/H120</f>
        <v/>
      </c>
      <c r="AG120" s="39">
        <f>H120-O120-P120-Q120-R120-S120-T120-W120-Y120-Z120-M120-AL120</f>
        <v/>
      </c>
      <c r="AH120" s="29">
        <f>AG120-AE120</f>
        <v/>
      </c>
      <c r="AI120" s="41">
        <f>AH120/H120</f>
        <v/>
      </c>
      <c r="AJ120" s="41">
        <f>AH120/M120</f>
        <v/>
      </c>
      <c r="AK120" s="29">
        <f>(P120+R120+W120+Y120+Z120+M120)/(1-(N120+$H$4+(1-I120)*$H$3+$H$8+$H$11+AA120+AC120))</f>
        <v/>
      </c>
      <c r="AL120">
        <f>H120*$H$11</f>
        <v/>
      </c>
    </row>
    <row r="121" ht="28.5" customHeight="1" s="66">
      <c r="A121" s="44" t="inlineStr">
        <is>
          <t>SKIN1004 - Madagascar Centella Hyalu-Cica Sleeping Pack [30ml] / Увлажняющая гиалуроновая ночная маска для сухой кожи</t>
        </is>
      </c>
      <c r="B121" s="45" t="n"/>
      <c r="C121" s="45" t="inlineStr">
        <is>
          <t>добавлено в расчет: цена под ROI 25%, объем оценочный</t>
        </is>
      </c>
      <c r="D121" s="29" t="n">
        <v>22</v>
      </c>
      <c r="E121" s="29" t="n"/>
      <c r="F121" s="29" t="n"/>
      <c r="G121" s="29" t="n"/>
      <c r="H121" s="29">
        <f>(1.25*M121+P121+R121+W121+Y121+Z121)/(1-N121-$H$8-$H$4-(1-I121)*$H$3-$H$11-AA121-AC121)</f>
        <v/>
      </c>
      <c r="I121" s="46" t="n">
        <v>0.45</v>
      </c>
      <c r="J121" s="30">
        <f>H121*(1-I121)</f>
        <v/>
      </c>
      <c r="K121" s="32" t="n">
        <v>294.15</v>
      </c>
      <c r="L121" s="32">
        <f>$H$5</f>
        <v/>
      </c>
      <c r="M121" s="33">
        <f>K121+L121</f>
        <v/>
      </c>
      <c r="N121" s="47" t="n">
        <v>0.41</v>
      </c>
      <c r="O121" s="29">
        <f>H121*N121</f>
        <v/>
      </c>
      <c r="P121" s="29" t="n">
        <v>63</v>
      </c>
      <c r="Q121" s="29">
        <f>H121*$H$8</f>
        <v/>
      </c>
      <c r="R121" s="29" t="n">
        <v>25</v>
      </c>
      <c r="S121" s="29">
        <f>H121*$H$4</f>
        <v/>
      </c>
      <c r="T121" s="29">
        <f>J121*$H$3</f>
        <v/>
      </c>
      <c r="U121" s="41" t="n">
        <v>0.9</v>
      </c>
      <c r="V121" s="29" t="n">
        <v>63</v>
      </c>
      <c r="W121" s="29">
        <f>V121*(1-U121)</f>
        <v/>
      </c>
      <c r="X121" s="48" t="n">
        <v>0.38</v>
      </c>
      <c r="Y121" s="29">
        <f>$H$6*$H$7*X121</f>
        <v/>
      </c>
      <c r="Z121" s="33">
        <f>X121*($H$9+$H$10)</f>
        <v/>
      </c>
      <c r="AA121" s="47" t="n">
        <v>0.07000000000000001</v>
      </c>
      <c r="AB121" s="29">
        <f>H121*AA121</f>
        <v/>
      </c>
      <c r="AC121" s="41" t="n">
        <v>0.08</v>
      </c>
      <c r="AD121" s="29">
        <f>H121*AC121</f>
        <v/>
      </c>
      <c r="AE121" s="29">
        <f>AB121+AD121</f>
        <v/>
      </c>
      <c r="AF121" s="38">
        <f>AE121/H121</f>
        <v/>
      </c>
      <c r="AG121" s="39">
        <f>H121-O121-P121-Q121-R121-S121-T121-W121-Y121-Z121-M121-AL121</f>
        <v/>
      </c>
      <c r="AH121" s="29">
        <f>AG121-AE121</f>
        <v/>
      </c>
      <c r="AI121" s="41">
        <f>AH121/H121</f>
        <v/>
      </c>
      <c r="AJ121" s="41">
        <f>AH121/M121</f>
        <v/>
      </c>
      <c r="AK121" s="29">
        <f>(P121+R121+W121+Y121+Z121+M121)/(1-(N121+$H$4+(1-I121)*$H$3+$H$8+$H$11+AA121+AC121))</f>
        <v/>
      </c>
      <c r="AL121">
        <f>H121*$H$11</f>
        <v/>
      </c>
    </row>
    <row r="122" ht="14.25" customHeight="1" s="66">
      <c r="A122" s="20" t="inlineStr">
        <is>
          <t>Косметика/SOMEBYMI</t>
        </is>
      </c>
      <c r="B122" s="19" t="n"/>
      <c r="C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  <c r="AA122" s="19" t="n"/>
      <c r="AB122" s="19" t="n"/>
      <c r="AC122" s="19" t="n"/>
      <c r="AD122" s="19" t="n"/>
      <c r="AE122" s="19" t="n"/>
      <c r="AF122" s="19" t="n"/>
      <c r="AG122" s="19" t="n"/>
      <c r="AH122" s="19" t="n"/>
      <c r="AI122" s="19" t="n"/>
      <c r="AJ122" s="19" t="n"/>
      <c r="AK122" s="19" t="n"/>
    </row>
    <row r="123" ht="28.5" customHeight="1" s="66">
      <c r="A123" s="44" t="inlineStr">
        <is>
          <t>SOME BY MI - AHA-BHA-PHA 30 Days Miracle Cleansing Bar [106g] / Мыло для проблемной кожи с aha bha кислотами</t>
        </is>
      </c>
      <c r="B123" s="45" t="n"/>
      <c r="C123" s="45" t="inlineStr">
        <is>
          <t>добавлено в расчет: цена под ROI 25%, объем оценочный</t>
        </is>
      </c>
      <c r="D123" s="29" t="n">
        <v>527</v>
      </c>
      <c r="E123" s="29" t="n"/>
      <c r="F123" s="29" t="n"/>
      <c r="G123" s="29" t="n"/>
      <c r="H123" s="29">
        <f>(1.25*M123+P123+R123+W123+Y123+Z123)/(1-N123-$H$8-$H$4-(1-I123)*$H$3-$H$11-AA123-AC123)</f>
        <v/>
      </c>
      <c r="I123" s="46" t="n">
        <v>0.45</v>
      </c>
      <c r="J123" s="30">
        <f>H123*(1-I123)</f>
        <v/>
      </c>
      <c r="K123" s="32" t="n">
        <v>549.71</v>
      </c>
      <c r="L123" s="32">
        <f>$H$5</f>
        <v/>
      </c>
      <c r="M123" s="33">
        <f>K123+L123</f>
        <v/>
      </c>
      <c r="N123" s="47" t="n">
        <v>0.41</v>
      </c>
      <c r="O123" s="29">
        <f>H123*N123</f>
        <v/>
      </c>
      <c r="P123" s="29" t="n">
        <v>63</v>
      </c>
      <c r="Q123" s="29">
        <f>H123*$H$8</f>
        <v/>
      </c>
      <c r="R123" s="29" t="n">
        <v>25</v>
      </c>
      <c r="S123" s="29">
        <f>H123*$H$4</f>
        <v/>
      </c>
      <c r="T123" s="29">
        <f>J123*$H$3</f>
        <v/>
      </c>
      <c r="U123" s="41" t="n">
        <v>0.9</v>
      </c>
      <c r="V123" s="29" t="n">
        <v>63</v>
      </c>
      <c r="W123" s="29">
        <f>V123*(1-U123)</f>
        <v/>
      </c>
      <c r="X123" s="48" t="n">
        <v>0.3</v>
      </c>
      <c r="Y123" s="29">
        <f>$H$6*$H$7*X123</f>
        <v/>
      </c>
      <c r="Z123" s="33">
        <f>X123*($H$9+$H$10)</f>
        <v/>
      </c>
      <c r="AA123" s="47" t="n">
        <v>0.07000000000000001</v>
      </c>
      <c r="AB123" s="29">
        <f>H123*AA123</f>
        <v/>
      </c>
      <c r="AC123" s="41" t="n">
        <v>0.08</v>
      </c>
      <c r="AD123" s="29">
        <f>H123*AC123</f>
        <v/>
      </c>
      <c r="AE123" s="29">
        <f>AB123+AD123</f>
        <v/>
      </c>
      <c r="AF123" s="38">
        <f>AE123/H123</f>
        <v/>
      </c>
      <c r="AG123" s="39">
        <f>H123-O123-P123-Q123-R123-S123-T123-W123-Y123-Z123-M123-AL123</f>
        <v/>
      </c>
      <c r="AH123" s="29">
        <f>AG123-AE123</f>
        <v/>
      </c>
      <c r="AI123" s="41">
        <f>AH123/H123</f>
        <v/>
      </c>
      <c r="AJ123" s="41">
        <f>AH123/M123</f>
        <v/>
      </c>
      <c r="AK123" s="29">
        <f>(P123+R123+W123+Y123+Z123+M123)/(1-(N123+$H$4+(1-I123)*$H$3+$H$8+$H$11+AA123+AC123))</f>
        <v/>
      </c>
      <c r="AL123">
        <f>H123*$H$11</f>
        <v/>
      </c>
    </row>
    <row r="124" ht="28.5" customHeight="1" s="66">
      <c r="A124" s="44" t="inlineStr">
        <is>
          <t>SOME BY MI - AHA-BHA-PHA 30 Days Miracle Cream [60g] / Крем для лица</t>
        </is>
      </c>
      <c r="B124" s="45" t="n"/>
      <c r="C124" s="45" t="inlineStr">
        <is>
          <t>добавлено в расчет: цена под ROI 25%, объем оценочный</t>
        </is>
      </c>
      <c r="D124" s="29" t="n">
        <v>55</v>
      </c>
      <c r="E124" s="29" t="n"/>
      <c r="F124" s="29" t="n"/>
      <c r="G124" s="29" t="n"/>
      <c r="H124" s="29">
        <f>(1.25*M124+P124+R124+W124+Y124+Z124)/(1-N124-$H$8-$H$4-(1-I124)*$H$3-$H$11-AA124-AC124)</f>
        <v/>
      </c>
      <c r="I124" s="46" t="n">
        <v>0.45</v>
      </c>
      <c r="J124" s="30">
        <f>H124*(1-I124)</f>
        <v/>
      </c>
      <c r="K124" s="32" t="n">
        <v>1057.2</v>
      </c>
      <c r="L124" s="32">
        <f>$H$5</f>
        <v/>
      </c>
      <c r="M124" s="33">
        <f>K124+L124</f>
        <v/>
      </c>
      <c r="N124" s="47" t="n">
        <v>0.41</v>
      </c>
      <c r="O124" s="29">
        <f>H124*N124</f>
        <v/>
      </c>
      <c r="P124" s="29" t="n">
        <v>63</v>
      </c>
      <c r="Q124" s="29">
        <f>H124*$H$8</f>
        <v/>
      </c>
      <c r="R124" s="29" t="n">
        <v>25</v>
      </c>
      <c r="S124" s="29">
        <f>H124*$H$4</f>
        <v/>
      </c>
      <c r="T124" s="29">
        <f>J124*$H$3</f>
        <v/>
      </c>
      <c r="U124" s="41" t="n">
        <v>0.9</v>
      </c>
      <c r="V124" s="29" t="n">
        <v>63</v>
      </c>
      <c r="W124" s="29">
        <f>V124*(1-U124)</f>
        <v/>
      </c>
      <c r="X124" s="48" t="n">
        <v>0.4</v>
      </c>
      <c r="Y124" s="29">
        <f>$H$6*$H$7*X124</f>
        <v/>
      </c>
      <c r="Z124" s="33">
        <f>X124*($H$9+$H$10)</f>
        <v/>
      </c>
      <c r="AA124" s="47" t="n">
        <v>0.07000000000000001</v>
      </c>
      <c r="AB124" s="29">
        <f>H124*AA124</f>
        <v/>
      </c>
      <c r="AC124" s="41" t="n">
        <v>0.08</v>
      </c>
      <c r="AD124" s="29">
        <f>H124*AC124</f>
        <v/>
      </c>
      <c r="AE124" s="29">
        <f>AB124+AD124</f>
        <v/>
      </c>
      <c r="AF124" s="38">
        <f>AE124/H124</f>
        <v/>
      </c>
      <c r="AG124" s="39">
        <f>H124-O124-P124-Q124-R124-S124-T124-W124-Y124-Z124-M124-AL124</f>
        <v/>
      </c>
      <c r="AH124" s="29">
        <f>AG124-AE124</f>
        <v/>
      </c>
      <c r="AI124" s="41">
        <f>AH124/H124</f>
        <v/>
      </c>
      <c r="AJ124" s="41">
        <f>AH124/M124</f>
        <v/>
      </c>
      <c r="AK124" s="29">
        <f>(P124+R124+W124+Y124+Z124+M124)/(1-(N124+$H$4+(1-I124)*$H$3+$H$8+$H$11+AA124+AC124))</f>
        <v/>
      </c>
      <c r="AL124">
        <f>H124*$H$11</f>
        <v/>
      </c>
    </row>
    <row r="125" ht="14.25" customHeight="1" s="66">
      <c r="A125" s="20" t="inlineStr">
        <is>
          <t>Косметика/TheOrdinary</t>
        </is>
      </c>
      <c r="B125" s="19" t="n"/>
      <c r="C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  <c r="AA125" s="19" t="n"/>
      <c r="AB125" s="19" t="n"/>
      <c r="AC125" s="19" t="n"/>
      <c r="AD125" s="19" t="n"/>
      <c r="AE125" s="19" t="n"/>
      <c r="AF125" s="19" t="n"/>
      <c r="AG125" s="19" t="n"/>
      <c r="AH125" s="19" t="n"/>
      <c r="AI125" s="19" t="n"/>
      <c r="AJ125" s="19" t="n"/>
      <c r="AK125" s="19" t="n"/>
    </row>
    <row r="126" ht="28.5" customHeight="1" s="66">
      <c r="A126" s="44" t="inlineStr">
        <is>
          <t>THE ORDINARY - Argireline Solution 10% [30ml] / Сыворотка для лица от прыщей и акне с ниацинамидом 10 %</t>
        </is>
      </c>
      <c r="B126" s="45" t="n"/>
      <c r="C126" s="45" t="inlineStr">
        <is>
          <t>добавлено в расчет: цена под ROI 25%, объем оценочный</t>
        </is>
      </c>
      <c r="D126" s="29" t="n">
        <v>117</v>
      </c>
      <c r="E126" s="29" t="n"/>
      <c r="F126" s="29" t="n"/>
      <c r="G126" s="29" t="n"/>
      <c r="H126" s="29">
        <f>(1.25*M126+P126+R126+W126+Y126+Z126)/(1-N126-$H$8-$H$4-(1-I126)*$H$3-$H$11-AA126-AC126)</f>
        <v/>
      </c>
      <c r="I126" s="46" t="n">
        <v>0.45</v>
      </c>
      <c r="J126" s="30">
        <f>H126*(1-I126)</f>
        <v/>
      </c>
      <c r="K126" s="32" t="n">
        <v>722.04</v>
      </c>
      <c r="L126" s="32">
        <f>$H$5</f>
        <v/>
      </c>
      <c r="M126" s="33">
        <f>K126+L126</f>
        <v/>
      </c>
      <c r="N126" s="47" t="n">
        <v>0.41</v>
      </c>
      <c r="O126" s="29">
        <f>H126*N126</f>
        <v/>
      </c>
      <c r="P126" s="29" t="n">
        <v>63</v>
      </c>
      <c r="Q126" s="29">
        <f>H126*$H$8</f>
        <v/>
      </c>
      <c r="R126" s="29" t="n">
        <v>25</v>
      </c>
      <c r="S126" s="29">
        <f>H126*$H$4</f>
        <v/>
      </c>
      <c r="T126" s="29">
        <f>J126*$H$3</f>
        <v/>
      </c>
      <c r="U126" s="41" t="n">
        <v>0.9</v>
      </c>
      <c r="V126" s="29" t="n">
        <v>63</v>
      </c>
      <c r="W126" s="29">
        <f>V126*(1-U126)</f>
        <v/>
      </c>
      <c r="X126" s="48" t="n">
        <v>0.38</v>
      </c>
      <c r="Y126" s="29">
        <f>$H$6*$H$7*X126</f>
        <v/>
      </c>
      <c r="Z126" s="33">
        <f>X126*($H$9+$H$10)</f>
        <v/>
      </c>
      <c r="AA126" s="47" t="n">
        <v>0.07000000000000001</v>
      </c>
      <c r="AB126" s="29">
        <f>H126*AA126</f>
        <v/>
      </c>
      <c r="AC126" s="41" t="n">
        <v>0.08</v>
      </c>
      <c r="AD126" s="29">
        <f>H126*AC126</f>
        <v/>
      </c>
      <c r="AE126" s="29">
        <f>AB126+AD126</f>
        <v/>
      </c>
      <c r="AF126" s="38">
        <f>AE126/H126</f>
        <v/>
      </c>
      <c r="AG126" s="39">
        <f>H126-O126-P126-Q126-R126-S126-T126-W126-Y126-Z126-M126-AL126</f>
        <v/>
      </c>
      <c r="AH126" s="29">
        <f>AG126-AE126</f>
        <v/>
      </c>
      <c r="AI126" s="41">
        <f>AH126/H126</f>
        <v/>
      </c>
      <c r="AJ126" s="41">
        <f>AH126/M126</f>
        <v/>
      </c>
      <c r="AK126" s="29">
        <f>(P126+R126+W126+Y126+Z126+M126)/(1-(N126+$H$4+(1-I126)*$H$3+$H$8+$H$11+AA126+AC126))</f>
        <v/>
      </c>
      <c r="AL126">
        <f>H126*$H$11</f>
        <v/>
      </c>
    </row>
    <row r="127" ht="28.5" customHeight="1" s="66">
      <c r="A127" s="44" t="inlineStr">
        <is>
          <t>THE ORDINARY - Glycolic Acid 7% Toning Solution [KOR] [240ml] / Тоник с гликолевой кислотой 7%</t>
        </is>
      </c>
      <c r="B127" s="45" t="n"/>
      <c r="C127" s="45" t="inlineStr">
        <is>
          <t>добавлено в расчет: цена под ROI 25%, объем оценочный</t>
        </is>
      </c>
      <c r="D127" s="29" t="n">
        <v>32</v>
      </c>
      <c r="E127" s="29" t="n"/>
      <c r="F127" s="29" t="n"/>
      <c r="G127" s="29" t="n"/>
      <c r="H127" s="29">
        <f>(1.25*M127+P127+R127+W127+Y127+Z127)/(1-N127-$H$8-$H$4-(1-I127)*$H$3-$H$11-AA127-AC127)</f>
        <v/>
      </c>
      <c r="I127" s="46" t="n">
        <v>0.45</v>
      </c>
      <c r="J127" s="30">
        <f>H127*(1-I127)</f>
        <v/>
      </c>
      <c r="K127" s="32" t="n">
        <v>845.49</v>
      </c>
      <c r="L127" s="32">
        <f>$H$5</f>
        <v/>
      </c>
      <c r="M127" s="33">
        <f>K127+L127</f>
        <v/>
      </c>
      <c r="N127" s="47" t="n">
        <v>0.41</v>
      </c>
      <c r="O127" s="29">
        <f>H127*N127</f>
        <v/>
      </c>
      <c r="P127" s="29" t="n">
        <v>67</v>
      </c>
      <c r="Q127" s="29">
        <f>H127*$H$8</f>
        <v/>
      </c>
      <c r="R127" s="29" t="n">
        <v>25</v>
      </c>
      <c r="S127" s="29">
        <f>H127*$H$4</f>
        <v/>
      </c>
      <c r="T127" s="29">
        <f>J127*$H$3</f>
        <v/>
      </c>
      <c r="U127" s="41" t="n">
        <v>0.9</v>
      </c>
      <c r="V127" s="29" t="n">
        <v>67</v>
      </c>
      <c r="W127" s="29">
        <f>V127*(1-U127)</f>
        <v/>
      </c>
      <c r="X127" s="48" t="n">
        <v>0.735</v>
      </c>
      <c r="Y127" s="29">
        <f>$H$6*$H$7*X127</f>
        <v/>
      </c>
      <c r="Z127" s="33">
        <f>X127*($H$9+$H$10)</f>
        <v/>
      </c>
      <c r="AA127" s="47" t="n">
        <v>0.07000000000000001</v>
      </c>
      <c r="AB127" s="29">
        <f>H127*AA127</f>
        <v/>
      </c>
      <c r="AC127" s="41" t="n">
        <v>0.08</v>
      </c>
      <c r="AD127" s="29">
        <f>H127*AC127</f>
        <v/>
      </c>
      <c r="AE127" s="29">
        <f>AB127+AD127</f>
        <v/>
      </c>
      <c r="AF127" s="38">
        <f>AE127/H127</f>
        <v/>
      </c>
      <c r="AG127" s="39">
        <f>H127-O127-P127-Q127-R127-S127-T127-W127-Y127-Z127-M127-AL127</f>
        <v/>
      </c>
      <c r="AH127" s="29">
        <f>AG127-AE127</f>
        <v/>
      </c>
      <c r="AI127" s="41">
        <f>AH127/H127</f>
        <v/>
      </c>
      <c r="AJ127" s="41">
        <f>AH127/M127</f>
        <v/>
      </c>
      <c r="AK127" s="29">
        <f>(P127+R127+W127+Y127+Z127+M127)/(1-(N127+$H$4+(1-I127)*$H$3+$H$8+$H$11+AA127+AC127))</f>
        <v/>
      </c>
      <c r="AL127">
        <f>H127*$H$11</f>
        <v/>
      </c>
    </row>
    <row r="128" ht="14.25" customHeight="1" s="66">
      <c r="A128" s="20" t="inlineStr">
        <is>
          <t>Косметика/CELIMAX</t>
        </is>
      </c>
      <c r="B128" s="19" t="n"/>
      <c r="C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  <c r="AA128" s="19" t="n"/>
      <c r="AB128" s="19" t="n"/>
      <c r="AC128" s="19" t="n"/>
      <c r="AD128" s="19" t="n"/>
      <c r="AE128" s="19" t="n"/>
      <c r="AF128" s="19" t="n"/>
      <c r="AG128" s="19" t="n"/>
      <c r="AH128" s="19" t="n"/>
      <c r="AI128" s="19" t="n"/>
      <c r="AJ128" s="19" t="n"/>
      <c r="AK128" s="19" t="n"/>
    </row>
    <row r="129" ht="14.25" customHeight="1" s="66">
      <c r="A129" s="21" t="inlineStr">
        <is>
          <t>Celimax Dual Barrier Creamy Toner</t>
        </is>
      </c>
      <c r="B129" s="52" t="inlineStr">
        <is>
          <t>ФБО</t>
        </is>
      </c>
      <c r="C129" s="24" t="n"/>
      <c r="D129" s="29" t="n">
        <v>4929</v>
      </c>
      <c r="E129" s="49" t="n">
        <v>2600</v>
      </c>
      <c r="F129" s="49" t="n">
        <v>5500</v>
      </c>
      <c r="G129" s="49" t="inlineStr">
        <is>
          <t>10-15</t>
        </is>
      </c>
      <c r="H129" s="49" t="n">
        <v>2450</v>
      </c>
      <c r="I129" s="28" t="n">
        <v>0.45</v>
      </c>
      <c r="J129" s="30">
        <f>H129*(1-I129)</f>
        <v/>
      </c>
      <c r="K129" s="31" t="n">
        <v>663.86</v>
      </c>
      <c r="L129" s="32">
        <f>$H$5</f>
        <v/>
      </c>
      <c r="M129" s="33">
        <f>K129+L129</f>
        <v/>
      </c>
      <c r="N129" s="34" t="n">
        <v>0.41</v>
      </c>
      <c r="O129" s="29">
        <f>H129*N129</f>
        <v/>
      </c>
      <c r="P129" s="35" t="n">
        <v>67</v>
      </c>
      <c r="Q129" s="29">
        <f>H129*$H$8</f>
        <v/>
      </c>
      <c r="R129" s="35" t="n">
        <v>25</v>
      </c>
      <c r="S129" s="29">
        <f>H129*$H$4</f>
        <v/>
      </c>
      <c r="T129" s="29">
        <f>J129*$H$3</f>
        <v/>
      </c>
      <c r="U129" s="36" t="n">
        <v>0.9</v>
      </c>
      <c r="V129" s="35" t="n">
        <v>67</v>
      </c>
      <c r="W129" s="29">
        <f>V129*(1-U129)</f>
        <v/>
      </c>
      <c r="X129" s="37" t="n">
        <v>0.735</v>
      </c>
      <c r="Y129" s="29">
        <f>$H$6*$H$7*X129</f>
        <v/>
      </c>
      <c r="Z129" s="33">
        <f>X129*($H$9+$H$10)</f>
        <v/>
      </c>
      <c r="AA129" s="34" t="n">
        <v>0.07000000000000001</v>
      </c>
      <c r="AB129" s="29">
        <f>H129*AA129</f>
        <v/>
      </c>
      <c r="AC129" s="36" t="n">
        <v>0.08</v>
      </c>
      <c r="AD129" s="29">
        <f>H129*AC129</f>
        <v/>
      </c>
      <c r="AE129" s="29">
        <f>AB129+AD129</f>
        <v/>
      </c>
      <c r="AF129" s="38">
        <f>AE129/H129</f>
        <v/>
      </c>
      <c r="AG129" s="39">
        <f>H129-O129-P129-Q129-R129-S129-T129-W129-Y129-Z129-M129-AL129</f>
        <v/>
      </c>
      <c r="AH129" s="40">
        <f>AG129-AE129</f>
        <v/>
      </c>
      <c r="AI129" s="41">
        <f>AH129/H129</f>
        <v/>
      </c>
      <c r="AJ129" s="42">
        <f>AH129/M129</f>
        <v/>
      </c>
      <c r="AK129" s="29">
        <f>(P129+R129+W129+Y129+Z129+M129)/(1-(N129+$H$4+(1-I129)*$H$3+$H$8+$H$11+AA129+AC129))</f>
        <v/>
      </c>
      <c r="AL129" s="29">
        <f>H129*$H$11</f>
        <v/>
      </c>
    </row>
    <row r="130" ht="28.5" customHeight="1" s="66">
      <c r="A130" s="21" t="inlineStr">
        <is>
          <t>CELIMAX THE VITA-A RETINAL SHOT TIGHTENING BOOSTER [15ml]/Подтягивающий бустер-крем с ретинолом для лица</t>
        </is>
      </c>
      <c r="B130" s="60" t="inlineStr">
        <is>
          <t>ФБО</t>
        </is>
      </c>
      <c r="C130" s="24" t="n"/>
      <c r="D130" s="29" t="n">
        <v>9768</v>
      </c>
      <c r="E130" s="49" t="n">
        <v>2250</v>
      </c>
      <c r="F130" s="49" t="n">
        <v>3000</v>
      </c>
      <c r="G130" s="49" t="n">
        <v>13</v>
      </c>
      <c r="H130" s="49" t="n">
        <v>2150</v>
      </c>
      <c r="I130" s="28" t="n">
        <v>0.45</v>
      </c>
      <c r="J130" s="30">
        <f>H130*(1-I130)</f>
        <v/>
      </c>
      <c r="K130" s="31" t="n">
        <v>512.1799999999999</v>
      </c>
      <c r="L130" s="32">
        <f>$H$5</f>
        <v/>
      </c>
      <c r="M130" s="33">
        <f>K130+L130</f>
        <v/>
      </c>
      <c r="N130" s="34" t="n">
        <v>0.41</v>
      </c>
      <c r="O130" s="29">
        <f>H130*N130</f>
        <v/>
      </c>
      <c r="P130" s="35" t="n">
        <v>56</v>
      </c>
      <c r="Q130" s="29">
        <f>H130*$H$8</f>
        <v/>
      </c>
      <c r="R130" s="35" t="n">
        <v>25</v>
      </c>
      <c r="S130" s="29">
        <f>H130*$H$4</f>
        <v/>
      </c>
      <c r="T130" s="29">
        <f>J130*$H$3</f>
        <v/>
      </c>
      <c r="U130" s="36" t="n">
        <v>0.9</v>
      </c>
      <c r="V130" s="35" t="n">
        <v>56</v>
      </c>
      <c r="W130" s="29">
        <f>V130*(1-U130)</f>
        <v/>
      </c>
      <c r="X130" s="37" t="n">
        <v>0.18</v>
      </c>
      <c r="Y130" s="29">
        <f>$H$6*$H$7*X130</f>
        <v/>
      </c>
      <c r="Z130" s="33">
        <f>X130*($H$9+$H$10)</f>
        <v/>
      </c>
      <c r="AA130" s="34" t="n">
        <v>0.07000000000000001</v>
      </c>
      <c r="AB130" s="29">
        <f>H130*AA130</f>
        <v/>
      </c>
      <c r="AC130" s="36" t="n">
        <v>0.08</v>
      </c>
      <c r="AD130" s="29">
        <f>H130*AC130</f>
        <v/>
      </c>
      <c r="AE130" s="29">
        <f>AB130+AD130</f>
        <v/>
      </c>
      <c r="AF130" s="38">
        <f>AE130/H130</f>
        <v/>
      </c>
      <c r="AG130" s="39">
        <f>H130-O130-P130-Q130-R130-S130-T130-W130-Y130-Z130-M130-AL130</f>
        <v/>
      </c>
      <c r="AH130" s="40">
        <f>AG130-AE130</f>
        <v/>
      </c>
      <c r="AI130" s="41">
        <f>AH130/H130</f>
        <v/>
      </c>
      <c r="AJ130" s="42">
        <f>AH130/M130</f>
        <v/>
      </c>
      <c r="AK130" s="29">
        <f>(P130+R130+W130+Y130+Z130+M130)/(1-(N130+$H$4+(1-I130)*$H$3+$H$8+$H$11+AA130+AC130))</f>
        <v/>
      </c>
      <c r="AL130" s="29">
        <f>H130*$H$11</f>
        <v/>
      </c>
    </row>
    <row r="131" ht="28.5" customHeight="1" s="66">
      <c r="A131" s="21" t="inlineStr">
        <is>
          <t>CELIMAX THE VITA-A RETINOL SHOT TIGHTENING SERUM [30ml]/Сыворотка с ретинолом и микроиглами для лица</t>
        </is>
      </c>
      <c r="B131" s="60" t="inlineStr">
        <is>
          <t>ФБО</t>
        </is>
      </c>
      <c r="C131" s="24" t="inlineStr">
        <is>
          <t>-</t>
        </is>
      </c>
      <c r="D131" s="29" t="n">
        <v>3564</v>
      </c>
      <c r="E131" s="49" t="n">
        <v>2450</v>
      </c>
      <c r="F131" s="49" t="n">
        <v>3500</v>
      </c>
      <c r="G131" s="49" t="n">
        <v>10</v>
      </c>
      <c r="H131" s="49" t="n">
        <v>2350</v>
      </c>
      <c r="I131" s="28" t="n">
        <v>0.45</v>
      </c>
      <c r="J131" s="30">
        <f>H131*(1-I131)</f>
        <v/>
      </c>
      <c r="K131" s="31" t="n">
        <v>532.1</v>
      </c>
      <c r="L131" s="32">
        <f>$H$5</f>
        <v/>
      </c>
      <c r="M131" s="33">
        <f>K131+L131</f>
        <v/>
      </c>
      <c r="N131" s="34" t="n">
        <v>0.41</v>
      </c>
      <c r="O131" s="29">
        <f>H131*N131</f>
        <v/>
      </c>
      <c r="P131" s="35" t="n">
        <v>63</v>
      </c>
      <c r="Q131" s="29">
        <f>H131*$H$8</f>
        <v/>
      </c>
      <c r="R131" s="35" t="n">
        <v>25</v>
      </c>
      <c r="S131" s="29">
        <f>H131*$H$4</f>
        <v/>
      </c>
      <c r="T131" s="29">
        <f>J131*$H$3</f>
        <v/>
      </c>
      <c r="U131" s="36" t="n">
        <v>0.9</v>
      </c>
      <c r="V131" s="35" t="n">
        <v>63</v>
      </c>
      <c r="W131" s="29">
        <f>V131*(1-U131)</f>
        <v/>
      </c>
      <c r="X131" s="37" t="n">
        <v>0.38</v>
      </c>
      <c r="Y131" s="29">
        <f>$H$6*$H$7*X131</f>
        <v/>
      </c>
      <c r="Z131" s="33">
        <f>X131*($H$9+$H$10)</f>
        <v/>
      </c>
      <c r="AA131" s="34" t="n">
        <v>0.07000000000000001</v>
      </c>
      <c r="AB131" s="29">
        <f>H131*AA131</f>
        <v/>
      </c>
      <c r="AC131" s="36" t="n">
        <v>0.08</v>
      </c>
      <c r="AD131" s="29">
        <f>H131*AC131</f>
        <v/>
      </c>
      <c r="AE131" s="29">
        <f>AB131+AD131</f>
        <v/>
      </c>
      <c r="AF131" s="38">
        <f>AE131/H131</f>
        <v/>
      </c>
      <c r="AG131" s="39">
        <f>H131-O131-P131-Q131-R131-S131-T131-W131-Y131-Z131-M131-AL131</f>
        <v/>
      </c>
      <c r="AH131" s="40">
        <f>AG131-AE131</f>
        <v/>
      </c>
      <c r="AI131" s="41">
        <f>AH131/H131</f>
        <v/>
      </c>
      <c r="AJ131" s="42">
        <f>AH131/M131</f>
        <v/>
      </c>
      <c r="AK131" s="29">
        <f>(P131+R131+W131+Y131+Z131+M131)/(1-(N131+$H$4+(1-I131)*$H$3+$H$8+$H$11+AA131+AC131))</f>
        <v/>
      </c>
      <c r="AL131" s="29">
        <f>H131*$H$11</f>
        <v/>
      </c>
    </row>
    <row r="132" ht="28.5" customHeight="1" s="66">
      <c r="A132" s="21" t="inlineStr">
        <is>
          <t>CELIMAX JI WOO GAE CICA BHA BLEMISH TONER PAD_10EA [30ml]/успокаивающие тонер-пэды</t>
        </is>
      </c>
      <c r="B132" s="4" t="n"/>
      <c r="C132" s="24" t="n"/>
      <c r="D132" s="29" t="n">
        <v>1696</v>
      </c>
      <c r="E132" s="49" t="n">
        <v>775</v>
      </c>
      <c r="F132" s="49" t="inlineStr">
        <is>
          <t>2 740</t>
        </is>
      </c>
      <c r="G132" s="49" t="n">
        <v>11</v>
      </c>
      <c r="H132" s="49" t="n">
        <v>745</v>
      </c>
      <c r="I132" s="28" t="n">
        <v>0.45</v>
      </c>
      <c r="J132" s="30">
        <f>H132*(1-I132)</f>
        <v/>
      </c>
      <c r="K132" s="31" t="n">
        <v>96.94</v>
      </c>
      <c r="L132" s="32">
        <f>$H$5</f>
        <v/>
      </c>
      <c r="M132" s="33">
        <f>K132+L132</f>
        <v/>
      </c>
      <c r="N132" s="34" t="n">
        <v>0.41</v>
      </c>
      <c r="O132" s="29">
        <f>H132*N132</f>
        <v/>
      </c>
      <c r="P132" s="35" t="n">
        <v>56</v>
      </c>
      <c r="Q132" s="29">
        <f>H132*$H$8</f>
        <v/>
      </c>
      <c r="R132" s="35" t="n">
        <v>25</v>
      </c>
      <c r="S132" s="29">
        <f>H132*$H$4</f>
        <v/>
      </c>
      <c r="T132" s="29">
        <f>J132*$H$3</f>
        <v/>
      </c>
      <c r="U132" s="36" t="n">
        <v>0.9</v>
      </c>
      <c r="V132" s="35" t="n">
        <v>56</v>
      </c>
      <c r="W132" s="29">
        <f>V132*(1-U132)</f>
        <v/>
      </c>
      <c r="X132" s="37" t="n">
        <v>0.14</v>
      </c>
      <c r="Y132" s="29">
        <f>$H$6*$H$7*X132</f>
        <v/>
      </c>
      <c r="Z132" s="33">
        <f>X132*($H$9+$H$10)</f>
        <v/>
      </c>
      <c r="AA132" s="34" t="n">
        <v>0.07000000000000001</v>
      </c>
      <c r="AB132" s="29">
        <f>H132*AA132</f>
        <v/>
      </c>
      <c r="AC132" s="36" t="n">
        <v>0.08</v>
      </c>
      <c r="AD132" s="29">
        <f>H132*AC132</f>
        <v/>
      </c>
      <c r="AE132" s="29">
        <f>AB132+AD132</f>
        <v/>
      </c>
      <c r="AF132" s="38">
        <f>AE132/H132</f>
        <v/>
      </c>
      <c r="AG132" s="39">
        <f>H132-O132-P132-Q132-R132-S132-T132-W132-Y132-Z132-M132-AL132</f>
        <v/>
      </c>
      <c r="AH132" s="40">
        <f>AG132-AE132</f>
        <v/>
      </c>
      <c r="AI132" s="41">
        <f>AH132/H132</f>
        <v/>
      </c>
      <c r="AJ132" s="42">
        <f>AH132/M132</f>
        <v/>
      </c>
      <c r="AK132" s="29">
        <f>(P132+R132+W132+Y132+Z132+M132)/(1-(N132+$H$4+(1-I132)*$H$3+$H$8+$H$11+AA132+AC132))</f>
        <v/>
      </c>
      <c r="AL132" s="29">
        <f>H132*$H$11</f>
        <v/>
      </c>
    </row>
    <row r="133" ht="28.5" customHeight="1" s="66">
      <c r="A133" s="44" t="inlineStr">
        <is>
          <t>CELIMAX PORE+DARK SPOT BRIGHTENING CREAM [35ml]/Крем для выравнивания тона и рельефа кожи лица</t>
        </is>
      </c>
      <c r="B133" s="45" t="n"/>
      <c r="C133" s="45" t="inlineStr">
        <is>
          <t>добавлено в расчет: цена под ROI 25%, объем оценочный</t>
        </is>
      </c>
      <c r="D133" s="29" t="n">
        <v>99</v>
      </c>
      <c r="E133" s="29" t="n"/>
      <c r="F133" s="29" t="n"/>
      <c r="G133" s="29" t="n"/>
      <c r="H133" s="29">
        <f>(1.25*M133+P133+R133+W133+Y133+Z133)/(1-N133-$H$8-$H$4-(1-I133)*$H$3-$H$11-AA133-AC133)</f>
        <v/>
      </c>
      <c r="I133" s="46" t="n">
        <v>0.45</v>
      </c>
      <c r="J133" s="30">
        <f>H133*(1-I133)</f>
        <v/>
      </c>
      <c r="K133" s="32" t="n">
        <v>623.4299999999999</v>
      </c>
      <c r="L133" s="32">
        <f>$H$5</f>
        <v/>
      </c>
      <c r="M133" s="33">
        <f>K133+L133</f>
        <v/>
      </c>
      <c r="N133" s="47" t="n">
        <v>0.41</v>
      </c>
      <c r="O133" s="29">
        <f>H133*N133</f>
        <v/>
      </c>
      <c r="P133" s="29" t="n">
        <v>63</v>
      </c>
      <c r="Q133" s="29">
        <f>H133*$H$8</f>
        <v/>
      </c>
      <c r="R133" s="29" t="n">
        <v>25</v>
      </c>
      <c r="S133" s="29">
        <f>H133*$H$4</f>
        <v/>
      </c>
      <c r="T133" s="29">
        <f>J133*$H$3</f>
        <v/>
      </c>
      <c r="U133" s="41" t="n">
        <v>0.9</v>
      </c>
      <c r="V133" s="29" t="n">
        <v>63</v>
      </c>
      <c r="W133" s="29">
        <f>V133*(1-U133)</f>
        <v/>
      </c>
      <c r="X133" s="48" t="n">
        <v>0.38</v>
      </c>
      <c r="Y133" s="29">
        <f>$H$6*$H$7*X133</f>
        <v/>
      </c>
      <c r="Z133" s="33">
        <f>X133*($H$9+$H$10)</f>
        <v/>
      </c>
      <c r="AA133" s="47" t="n">
        <v>0.07000000000000001</v>
      </c>
      <c r="AB133" s="29">
        <f>H133*AA133</f>
        <v/>
      </c>
      <c r="AC133" s="41" t="n">
        <v>0.08</v>
      </c>
      <c r="AD133" s="29">
        <f>H133*AC133</f>
        <v/>
      </c>
      <c r="AE133" s="29">
        <f>AB133+AD133</f>
        <v/>
      </c>
      <c r="AF133" s="38">
        <f>AE133/H133</f>
        <v/>
      </c>
      <c r="AG133" s="39">
        <f>H133-O133-P133-Q133-R133-S133-T133-W133-Y133-Z133-M133-AL133</f>
        <v/>
      </c>
      <c r="AH133" s="29">
        <f>AG133-AE133</f>
        <v/>
      </c>
      <c r="AI133" s="41">
        <f>AH133/H133</f>
        <v/>
      </c>
      <c r="AJ133" s="41">
        <f>AH133/M133</f>
        <v/>
      </c>
      <c r="AK133" s="29">
        <f>(P133+R133+W133+Y133+Z133+M133)/(1-(N133+$H$4+(1-I133)*$H$3+$H$8+$H$11+AA133+AC133))</f>
        <v/>
      </c>
      <c r="AL133">
        <f>H133*$H$11</f>
        <v/>
      </c>
    </row>
    <row r="134" ht="28.5" customHeight="1" s="66">
      <c r="A134" s="44" t="inlineStr">
        <is>
          <t>CELIMAX DUAL BARRIER SKIN WEARABLE CREAM [50ml]/Крем для восстановления защитного барьера кожи лица</t>
        </is>
      </c>
      <c r="B134" s="45" t="n"/>
      <c r="C134" s="45" t="inlineStr">
        <is>
          <t>добавлено в расчет: цена под ROI 25%, объем оценочный</t>
        </is>
      </c>
      <c r="D134" s="29" t="n">
        <v>446</v>
      </c>
      <c r="E134" s="29" t="n"/>
      <c r="F134" s="29" t="n"/>
      <c r="G134" s="29" t="n"/>
      <c r="H134" s="29">
        <f>(1.25*M134+P134+R134+W134+Y134+Z134)/(1-N134-$H$8-$H$4-(1-I134)*$H$3-$H$11-AA134-AC134)</f>
        <v/>
      </c>
      <c r="I134" s="46" t="n">
        <v>0.45</v>
      </c>
      <c r="J134" s="30">
        <f>H134*(1-I134)</f>
        <v/>
      </c>
      <c r="K134" s="32" t="n">
        <v>864.11</v>
      </c>
      <c r="L134" s="32">
        <f>$H$5</f>
        <v/>
      </c>
      <c r="M134" s="33">
        <f>K134+L134</f>
        <v/>
      </c>
      <c r="N134" s="47" t="n">
        <v>0.41</v>
      </c>
      <c r="O134" s="29">
        <f>H134*N134</f>
        <v/>
      </c>
      <c r="P134" s="29" t="n">
        <v>67</v>
      </c>
      <c r="Q134" s="29">
        <f>H134*$H$8</f>
        <v/>
      </c>
      <c r="R134" s="29" t="n">
        <v>25</v>
      </c>
      <c r="S134" s="29">
        <f>H134*$H$4</f>
        <v/>
      </c>
      <c r="T134" s="29">
        <f>J134*$H$3</f>
        <v/>
      </c>
      <c r="U134" s="41" t="n">
        <v>0.9</v>
      </c>
      <c r="V134" s="29" t="n">
        <v>67</v>
      </c>
      <c r="W134" s="29">
        <f>V134*(1-U134)</f>
        <v/>
      </c>
      <c r="X134" s="48" t="n">
        <v>0.5</v>
      </c>
      <c r="Y134" s="29">
        <f>$H$6*$H$7*X134</f>
        <v/>
      </c>
      <c r="Z134" s="33">
        <f>X134*($H$9+$H$10)</f>
        <v/>
      </c>
      <c r="AA134" s="47" t="n">
        <v>0.07000000000000001</v>
      </c>
      <c r="AB134" s="29">
        <f>H134*AA134</f>
        <v/>
      </c>
      <c r="AC134" s="41" t="n">
        <v>0.08</v>
      </c>
      <c r="AD134" s="29">
        <f>H134*AC134</f>
        <v/>
      </c>
      <c r="AE134" s="29">
        <f>AB134+AD134</f>
        <v/>
      </c>
      <c r="AF134" s="38">
        <f>AE134/H134</f>
        <v/>
      </c>
      <c r="AG134" s="39">
        <f>H134-O134-P134-Q134-R134-S134-T134-W134-Y134-Z134-M134-AL134</f>
        <v/>
      </c>
      <c r="AH134" s="29">
        <f>AG134-AE134</f>
        <v/>
      </c>
      <c r="AI134" s="41">
        <f>AH134/H134</f>
        <v/>
      </c>
      <c r="AJ134" s="41">
        <f>AH134/M134</f>
        <v/>
      </c>
      <c r="AK134" s="29">
        <f>(P134+R134+W134+Y134+Z134+M134)/(1-(N134+$H$4+(1-I134)*$H$3+$H$8+$H$11+AA134+AC134))</f>
        <v/>
      </c>
      <c r="AL134">
        <f>H134*$H$11</f>
        <v/>
      </c>
    </row>
    <row r="135" ht="28.5" customHeight="1" s="66">
      <c r="A135" s="21" t="inlineStr">
        <is>
          <t>CELIMAX JI WOO GAE CICA BHA BLEMISH TONER PAD [170ml / 60pads]/Тонер-пэды от воспалений</t>
        </is>
      </c>
      <c r="B135" s="4" t="n"/>
      <c r="C135" s="24" t="n"/>
      <c r="D135" s="29" t="n">
        <v>1620</v>
      </c>
      <c r="E135" s="49" t="n">
        <v>3450</v>
      </c>
      <c r="F135" s="49" t="inlineStr">
        <is>
          <t>1 820</t>
        </is>
      </c>
      <c r="G135" s="49" t="n">
        <v>11</v>
      </c>
      <c r="H135" s="49" t="n">
        <v>3150</v>
      </c>
      <c r="I135" s="28" t="n">
        <v>0.45</v>
      </c>
      <c r="J135" s="30">
        <f>H135*(1-I135)</f>
        <v/>
      </c>
      <c r="K135" s="31" t="n">
        <v>707.88</v>
      </c>
      <c r="L135" s="32">
        <f>$H$5</f>
        <v/>
      </c>
      <c r="M135" s="33">
        <f>K135+L135</f>
        <v/>
      </c>
      <c r="N135" s="34" t="n">
        <v>0.41</v>
      </c>
      <c r="O135" s="29">
        <f>H135*N135</f>
        <v/>
      </c>
      <c r="P135" s="35" t="n">
        <v>67</v>
      </c>
      <c r="Q135" s="29">
        <f>H135*$H$8</f>
        <v/>
      </c>
      <c r="R135" s="35" t="n">
        <v>25</v>
      </c>
      <c r="S135" s="29">
        <f>H135*$H$4</f>
        <v/>
      </c>
      <c r="T135" s="29">
        <f>J135*$H$3</f>
        <v/>
      </c>
      <c r="U135" s="36" t="n">
        <v>0.9</v>
      </c>
      <c r="V135" s="35" t="n">
        <v>67</v>
      </c>
      <c r="W135" s="29">
        <f>V135*(1-U135)</f>
        <v/>
      </c>
      <c r="X135" s="37" t="n">
        <v>0.96</v>
      </c>
      <c r="Y135" s="29">
        <f>$H$6*$H$7*X135</f>
        <v/>
      </c>
      <c r="Z135" s="33">
        <f>X135*($H$9+$H$10)</f>
        <v/>
      </c>
      <c r="AA135" s="34" t="n">
        <v>0.07000000000000001</v>
      </c>
      <c r="AB135" s="29">
        <f>H135*AA135</f>
        <v/>
      </c>
      <c r="AC135" s="36" t="n">
        <v>0.08</v>
      </c>
      <c r="AD135" s="29">
        <f>H135*AC135</f>
        <v/>
      </c>
      <c r="AE135" s="29">
        <f>AB135+AD135</f>
        <v/>
      </c>
      <c r="AF135" s="38">
        <f>AE135/H135</f>
        <v/>
      </c>
      <c r="AG135" s="39">
        <f>H135-O135-P135-Q135-R135-S135-T135-W135-Y135-Z135-M135-AL135</f>
        <v/>
      </c>
      <c r="AH135" s="40">
        <f>AG135-AE135</f>
        <v/>
      </c>
      <c r="AI135" s="41">
        <f>AH135/H135</f>
        <v/>
      </c>
      <c r="AJ135" s="42">
        <f>AH135/M135</f>
        <v/>
      </c>
      <c r="AK135" s="29">
        <f>(P135+R135+W135+Y135+Z135+M135)/(1-(N135+$H$4+(1-I135)*$H$3+$H$8+$H$11+AA135+AC135))</f>
        <v/>
      </c>
      <c r="AL135" s="29">
        <f>H135*$H$11</f>
        <v/>
      </c>
    </row>
    <row r="136" ht="28.5" customHeight="1" s="66">
      <c r="A136" s="44" t="inlineStr">
        <is>
          <t>CELIMAX THE REAL NONI ENERGY AMPOULE_30ML (NEW) [30ml]/Восстанавливающая сыворотка с экстрактом нони для лица</t>
        </is>
      </c>
      <c r="B136" s="45" t="n"/>
      <c r="C136" s="45" t="inlineStr">
        <is>
          <t>добавлено в расчет: цена под ROI 25%, объем оценочный</t>
        </is>
      </c>
      <c r="D136" s="29" t="n">
        <v>62</v>
      </c>
      <c r="E136" s="29" t="n"/>
      <c r="F136" s="29" t="n"/>
      <c r="G136" s="29" t="n"/>
      <c r="H136" s="29">
        <f>(1.25*M136+P136+R136+W136+Y136+Z136)/(1-N136-$H$8-$H$4-(1-I136)*$H$3-$H$11-AA136-AC136)</f>
        <v/>
      </c>
      <c r="I136" s="46" t="n">
        <v>0.45</v>
      </c>
      <c r="J136" s="30">
        <f>H136*(1-I136)</f>
        <v/>
      </c>
      <c r="K136" s="32" t="n">
        <v>763.83</v>
      </c>
      <c r="L136" s="32">
        <f>$H$5</f>
        <v/>
      </c>
      <c r="M136" s="33">
        <f>K136+L136</f>
        <v/>
      </c>
      <c r="N136" s="47" t="n">
        <v>0.41</v>
      </c>
      <c r="O136" s="29">
        <f>H136*N136</f>
        <v/>
      </c>
      <c r="P136" s="29" t="n">
        <v>63</v>
      </c>
      <c r="Q136" s="29">
        <f>H136*$H$8</f>
        <v/>
      </c>
      <c r="R136" s="29" t="n">
        <v>25</v>
      </c>
      <c r="S136" s="29">
        <f>H136*$H$4</f>
        <v/>
      </c>
      <c r="T136" s="29">
        <f>J136*$H$3</f>
        <v/>
      </c>
      <c r="U136" s="41" t="n">
        <v>0.9</v>
      </c>
      <c r="V136" s="29" t="n">
        <v>63</v>
      </c>
      <c r="W136" s="29">
        <f>V136*(1-U136)</f>
        <v/>
      </c>
      <c r="X136" s="48" t="n">
        <v>0.38</v>
      </c>
      <c r="Y136" s="29">
        <f>$H$6*$H$7*X136</f>
        <v/>
      </c>
      <c r="Z136" s="33">
        <f>X136*($H$9+$H$10)</f>
        <v/>
      </c>
      <c r="AA136" s="47" t="n">
        <v>0.07000000000000001</v>
      </c>
      <c r="AB136" s="29">
        <f>H136*AA136</f>
        <v/>
      </c>
      <c r="AC136" s="41" t="n">
        <v>0.08</v>
      </c>
      <c r="AD136" s="29">
        <f>H136*AC136</f>
        <v/>
      </c>
      <c r="AE136" s="29">
        <f>AB136+AD136</f>
        <v/>
      </c>
      <c r="AF136" s="38">
        <f>AE136/H136</f>
        <v/>
      </c>
      <c r="AG136" s="39">
        <f>H136-O136-P136-Q136-R136-S136-T136-W136-Y136-Z136-M136-AL136</f>
        <v/>
      </c>
      <c r="AH136" s="29">
        <f>AG136-AE136</f>
        <v/>
      </c>
      <c r="AI136" s="41">
        <f>AH136/H136</f>
        <v/>
      </c>
      <c r="AJ136" s="41">
        <f>AH136/M136</f>
        <v/>
      </c>
      <c r="AK136" s="29">
        <f>(P136+R136+W136+Y136+Z136+M136)/(1-(N136+$H$4+(1-I136)*$H$3+$H$8+$H$11+AA136+AC136))</f>
        <v/>
      </c>
      <c r="AL136">
        <f>H136*$H$11</f>
        <v/>
      </c>
    </row>
    <row r="137" ht="28.5" customHeight="1" s="66">
      <c r="A137" s="21" t="inlineStr">
        <is>
          <t>CELIMAX PORE+DARK SPOT BRIGHTENING PAD [100ml / 40pads]/Тонер-пэды для выравнивания тона и рельефа кожи</t>
        </is>
      </c>
      <c r="B137" s="4" t="n"/>
      <c r="C137" s="24" t="n"/>
      <c r="D137" s="29" t="n">
        <v>1795</v>
      </c>
      <c r="E137" s="49" t="n">
        <v>2880</v>
      </c>
      <c r="F137" s="49" t="inlineStr">
        <is>
          <t>1 640</t>
        </is>
      </c>
      <c r="G137" s="49" t="n">
        <v>21</v>
      </c>
      <c r="H137" s="49" t="n">
        <v>2580</v>
      </c>
      <c r="I137" s="28" t="n">
        <v>0.45</v>
      </c>
      <c r="J137" s="30">
        <f>H137*(1-I137)</f>
        <v/>
      </c>
      <c r="K137" s="31" t="n">
        <v>556.1799999999999</v>
      </c>
      <c r="L137" s="32">
        <f>$H$5</f>
        <v/>
      </c>
      <c r="M137" s="33">
        <f>K137+L137</f>
        <v/>
      </c>
      <c r="N137" s="34" t="n">
        <v>0.41</v>
      </c>
      <c r="O137" s="29">
        <f>H137*N137</f>
        <v/>
      </c>
      <c r="P137" s="35" t="n">
        <v>67</v>
      </c>
      <c r="Q137" s="29">
        <f>H137*$H$8</f>
        <v/>
      </c>
      <c r="R137" s="35" t="n">
        <v>25</v>
      </c>
      <c r="S137" s="29">
        <f>H137*$H$4</f>
        <v/>
      </c>
      <c r="T137" s="29">
        <f>J137*$H$3</f>
        <v/>
      </c>
      <c r="U137" s="36" t="n">
        <v>0.9</v>
      </c>
      <c r="V137" s="35" t="n">
        <v>67</v>
      </c>
      <c r="W137" s="29">
        <f>V137*(1-U137)</f>
        <v/>
      </c>
      <c r="X137" s="37" t="n">
        <v>0.57</v>
      </c>
      <c r="Y137" s="29">
        <f>$H$6*$H$7*X137</f>
        <v/>
      </c>
      <c r="Z137" s="33">
        <f>X137*($H$9+$H$10)</f>
        <v/>
      </c>
      <c r="AA137" s="34" t="n">
        <v>0.07000000000000001</v>
      </c>
      <c r="AB137" s="29">
        <f>H137*AA137</f>
        <v/>
      </c>
      <c r="AC137" s="36" t="n">
        <v>0.08</v>
      </c>
      <c r="AD137" s="29">
        <f>H137*AC137</f>
        <v/>
      </c>
      <c r="AE137" s="29">
        <f>AB137+AD137</f>
        <v/>
      </c>
      <c r="AF137" s="38">
        <f>AE137/H137</f>
        <v/>
      </c>
      <c r="AG137" s="39">
        <f>H137-O137-P137-Q137-R137-S137-T137-W137-Y137-Z137-M137-AL137</f>
        <v/>
      </c>
      <c r="AH137" s="40">
        <f>AG137-AE137</f>
        <v/>
      </c>
      <c r="AI137" s="41">
        <f>AH137/H137</f>
        <v/>
      </c>
      <c r="AJ137" s="42">
        <f>AH137/M137</f>
        <v/>
      </c>
      <c r="AK137" s="29">
        <f>(P137+R137+W137+Y137+Z137+M137)/(1-(N137+$H$4+(1-I137)*$H$3+$H$8+$H$11+AA137+AC137))</f>
        <v/>
      </c>
      <c r="AL137" s="29">
        <f>H137*$H$11</f>
        <v/>
      </c>
    </row>
    <row r="138" ht="28.5" customHeight="1" s="66">
      <c r="A138" s="44" t="inlineStr">
        <is>
          <t>CELIMAX PORE+DARK SPOT BRIGHTENING SERUM_30ml [30ml]/Сыворотка для выравнивания тона и рельефа кожи лица</t>
        </is>
      </c>
      <c r="B138" s="45" t="n"/>
      <c r="C138" s="45" t="inlineStr">
        <is>
          <t>добавлено в расчет: цена под ROI 25%, объем оценочный</t>
        </is>
      </c>
      <c r="D138" s="29" t="n">
        <v>124</v>
      </c>
      <c r="E138" s="29" t="n"/>
      <c r="F138" s="29" t="n"/>
      <c r="G138" s="29" t="n"/>
      <c r="H138" s="29">
        <f>(1.25*M138+P138+R138+W138+Y138+Z138)/(1-N138-$H$8-$H$4-(1-I138)*$H$3-$H$11-AA138-AC138)</f>
        <v/>
      </c>
      <c r="I138" s="46" t="n">
        <v>0.45</v>
      </c>
      <c r="J138" s="30">
        <f>H138*(1-I138)</f>
        <v/>
      </c>
      <c r="K138" s="32" t="n">
        <v>687.58</v>
      </c>
      <c r="L138" s="32">
        <f>$H$5</f>
        <v/>
      </c>
      <c r="M138" s="33">
        <f>K138+L138</f>
        <v/>
      </c>
      <c r="N138" s="47" t="n">
        <v>0.41</v>
      </c>
      <c r="O138" s="29">
        <f>H138*N138</f>
        <v/>
      </c>
      <c r="P138" s="29" t="n">
        <v>63</v>
      </c>
      <c r="Q138" s="29">
        <f>H138*$H$8</f>
        <v/>
      </c>
      <c r="R138" s="29" t="n">
        <v>25</v>
      </c>
      <c r="S138" s="29">
        <f>H138*$H$4</f>
        <v/>
      </c>
      <c r="T138" s="29">
        <f>J138*$H$3</f>
        <v/>
      </c>
      <c r="U138" s="41" t="n">
        <v>0.9</v>
      </c>
      <c r="V138" s="29" t="n">
        <v>63</v>
      </c>
      <c r="W138" s="29">
        <f>V138*(1-U138)</f>
        <v/>
      </c>
      <c r="X138" s="48" t="n">
        <v>0.38</v>
      </c>
      <c r="Y138" s="29">
        <f>$H$6*$H$7*X138</f>
        <v/>
      </c>
      <c r="Z138" s="33">
        <f>X138*($H$9+$H$10)</f>
        <v/>
      </c>
      <c r="AA138" s="47" t="n">
        <v>0.07000000000000001</v>
      </c>
      <c r="AB138" s="29">
        <f>H138*AA138</f>
        <v/>
      </c>
      <c r="AC138" s="41" t="n">
        <v>0.08</v>
      </c>
      <c r="AD138" s="29">
        <f>H138*AC138</f>
        <v/>
      </c>
      <c r="AE138" s="29">
        <f>AB138+AD138</f>
        <v/>
      </c>
      <c r="AF138" s="38">
        <f>AE138/H138</f>
        <v/>
      </c>
      <c r="AG138" s="39">
        <f>H138-O138-P138-Q138-R138-S138-T138-W138-Y138-Z138-M138-AL138</f>
        <v/>
      </c>
      <c r="AH138" s="29">
        <f>AG138-AE138</f>
        <v/>
      </c>
      <c r="AI138" s="41">
        <f>AH138/H138</f>
        <v/>
      </c>
      <c r="AJ138" s="41">
        <f>AH138/M138</f>
        <v/>
      </c>
      <c r="AK138" s="29">
        <f>(P138+R138+W138+Y138+Z138+M138)/(1-(N138+$H$4+(1-I138)*$H$3+$H$8+$H$11+AA138+AC138))</f>
        <v/>
      </c>
      <c r="AL138">
        <f>H138*$H$11</f>
        <v/>
      </c>
    </row>
    <row r="139" ht="28.5" customHeight="1" s="66">
      <c r="A139" s="44" t="inlineStr">
        <is>
          <t>CELIMAX THE REAL NONI MOISTURE BALANCING TONER (NEW) [150ml]/Восстанавливающий тонер с экстрактом нони</t>
        </is>
      </c>
      <c r="B139" s="45" t="n"/>
      <c r="C139" s="45" t="inlineStr">
        <is>
          <t>добавлено в расчет: цена под ROI 25%, объем оценочный</t>
        </is>
      </c>
      <c r="D139" s="29" t="n">
        <v>194</v>
      </c>
      <c r="E139" s="29" t="n"/>
      <c r="F139" s="29" t="n"/>
      <c r="G139" s="29" t="n"/>
      <c r="H139" s="29">
        <f>(1.25*M139+P139+R139+W139+Y139+Z139)/(1-N139-$H$8-$H$4-(1-I139)*$H$3-$H$11-AA139-AC139)</f>
        <v/>
      </c>
      <c r="I139" s="46" t="n">
        <v>0.45</v>
      </c>
      <c r="J139" s="30">
        <f>H139*(1-I139)</f>
        <v/>
      </c>
      <c r="K139" s="32" t="n">
        <v>719.58</v>
      </c>
      <c r="L139" s="32">
        <f>$H$5</f>
        <v/>
      </c>
      <c r="M139" s="33">
        <f>K139+L139</f>
        <v/>
      </c>
      <c r="N139" s="47" t="n">
        <v>0.41</v>
      </c>
      <c r="O139" s="29">
        <f>H139*N139</f>
        <v/>
      </c>
      <c r="P139" s="29" t="n">
        <v>67</v>
      </c>
      <c r="Q139" s="29">
        <f>H139*$H$8</f>
        <v/>
      </c>
      <c r="R139" s="29" t="n">
        <v>25</v>
      </c>
      <c r="S139" s="29">
        <f>H139*$H$4</f>
        <v/>
      </c>
      <c r="T139" s="29">
        <f>J139*$H$3</f>
        <v/>
      </c>
      <c r="U139" s="41" t="n">
        <v>0.9</v>
      </c>
      <c r="V139" s="29" t="n">
        <v>67</v>
      </c>
      <c r="W139" s="29">
        <f>V139*(1-U139)</f>
        <v/>
      </c>
      <c r="X139" s="48" t="n">
        <v>0.735</v>
      </c>
      <c r="Y139" s="29">
        <f>$H$6*$H$7*X139</f>
        <v/>
      </c>
      <c r="Z139" s="33">
        <f>X139*($H$9+$H$10)</f>
        <v/>
      </c>
      <c r="AA139" s="47" t="n">
        <v>0.07000000000000001</v>
      </c>
      <c r="AB139" s="29">
        <f>H139*AA139</f>
        <v/>
      </c>
      <c r="AC139" s="41" t="n">
        <v>0.08</v>
      </c>
      <c r="AD139" s="29">
        <f>H139*AC139</f>
        <v/>
      </c>
      <c r="AE139" s="29">
        <f>AB139+AD139</f>
        <v/>
      </c>
      <c r="AF139" s="38">
        <f>AE139/H139</f>
        <v/>
      </c>
      <c r="AG139" s="39">
        <f>H139-O139-P139-Q139-R139-S139-T139-W139-Y139-Z139-M139-AL139</f>
        <v/>
      </c>
      <c r="AH139" s="29">
        <f>AG139-AE139</f>
        <v/>
      </c>
      <c r="AI139" s="41">
        <f>AH139/H139</f>
        <v/>
      </c>
      <c r="AJ139" s="41">
        <f>AH139/M139</f>
        <v/>
      </c>
      <c r="AK139" s="29">
        <f>(P139+R139+W139+Y139+Z139+M139)/(1-(N139+$H$4+(1-I139)*$H$3+$H$8+$H$11+AA139+AC139))</f>
        <v/>
      </c>
      <c r="AL139">
        <f>H139*$H$11</f>
        <v/>
      </c>
    </row>
    <row r="140" ht="14.25" customHeight="1" s="66">
      <c r="A140" s="20" t="inlineStr">
        <is>
          <t>Косметика/VT</t>
        </is>
      </c>
      <c r="B140" s="19" t="n"/>
      <c r="C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  <c r="AA140" s="19" t="n"/>
      <c r="AB140" s="19" t="n"/>
      <c r="AC140" s="19" t="n"/>
      <c r="AD140" s="19" t="n"/>
      <c r="AE140" s="19" t="n"/>
      <c r="AF140" s="19" t="n"/>
      <c r="AG140" s="19" t="n"/>
      <c r="AH140" s="19" t="n"/>
      <c r="AI140" s="19" t="n"/>
      <c r="AJ140" s="19" t="n"/>
      <c r="AK140" s="19" t="n"/>
    </row>
    <row r="141" ht="14.25" customHeight="1" s="66">
      <c r="A141" s="21" t="inlineStr">
        <is>
          <t>VT PDRN ESSENCE 100 / Укрепляющая бустер-эссенция с ПДРН</t>
        </is>
      </c>
      <c r="B141" s="58" t="inlineStr">
        <is>
          <t>FBO</t>
        </is>
      </c>
      <c r="C141" s="24" t="n"/>
      <c r="D141" s="29" t="n">
        <v>1071</v>
      </c>
      <c r="E141" s="49" t="n">
        <v>6000</v>
      </c>
      <c r="F141" s="49" t="n">
        <v>500</v>
      </c>
      <c r="G141" s="49" t="n">
        <v>10</v>
      </c>
      <c r="H141" s="49" t="n">
        <v>5700</v>
      </c>
      <c r="I141" s="28" t="n">
        <v>0.45</v>
      </c>
      <c r="J141" s="30">
        <f>H141*(1-I141)</f>
        <v/>
      </c>
      <c r="K141" s="31" t="n">
        <v>1335.95</v>
      </c>
      <c r="L141" s="32">
        <f>$H$5</f>
        <v/>
      </c>
      <c r="M141" s="33">
        <f>K141+L141</f>
        <v/>
      </c>
      <c r="N141" s="34" t="n">
        <v>0.41</v>
      </c>
      <c r="O141" s="29">
        <f>H141*N141</f>
        <v/>
      </c>
      <c r="P141" s="35" t="n">
        <v>63</v>
      </c>
      <c r="Q141" s="29">
        <f>H141*$H$8</f>
        <v/>
      </c>
      <c r="R141" s="35" t="n">
        <v>25</v>
      </c>
      <c r="S141" s="29">
        <f>H141*$H$4</f>
        <v/>
      </c>
      <c r="T141" s="29">
        <f>J141*$H$3</f>
        <v/>
      </c>
      <c r="U141" s="36" t="n">
        <v>0.9</v>
      </c>
      <c r="V141" s="35" t="n">
        <v>63</v>
      </c>
      <c r="W141" s="29">
        <f>V141*(1-U141)</f>
        <v/>
      </c>
      <c r="X141" s="37" t="n">
        <v>0.3</v>
      </c>
      <c r="Y141" s="29">
        <f>$H$6*$H$7*X141</f>
        <v/>
      </c>
      <c r="Z141" s="33">
        <f>X141*($H$9+$H$10)</f>
        <v/>
      </c>
      <c r="AA141" s="34" t="n">
        <v>0.07000000000000001</v>
      </c>
      <c r="AB141" s="29">
        <f>H141*AA141</f>
        <v/>
      </c>
      <c r="AC141" s="36" t="n">
        <v>0.08</v>
      </c>
      <c r="AD141" s="29">
        <f>H141*AC141</f>
        <v/>
      </c>
      <c r="AE141" s="29">
        <f>AB141+AD141</f>
        <v/>
      </c>
      <c r="AF141" s="38">
        <f>AE141/H141</f>
        <v/>
      </c>
      <c r="AG141" s="39">
        <f>H141-O141-P141-Q141-R141-S141-T141-W141-Y141-Z141-M141-AL141</f>
        <v/>
      </c>
      <c r="AH141" s="40">
        <f>AG141-AE141</f>
        <v/>
      </c>
      <c r="AI141" s="41">
        <f>AH141/H141</f>
        <v/>
      </c>
      <c r="AJ141" s="42">
        <f>AH141/M141</f>
        <v/>
      </c>
      <c r="AK141" s="29">
        <f>(P141+R141+W141+Y141+Z141+M141)/(1-(N141+$H$4+(1-I141)*$H$3+$H$8+$H$11+AA141+AC141))</f>
        <v/>
      </c>
      <c r="AL141" s="29">
        <f>H141*$H$11</f>
        <v/>
      </c>
    </row>
    <row r="142" ht="14.25" customHeight="1" s="66">
      <c r="A142" s="21" t="inlineStr">
        <is>
          <t>VT REEDLE SHOT 100 / Бустер-сыворотка с микроиглами</t>
        </is>
      </c>
      <c r="B142" s="58" t="inlineStr">
        <is>
          <t xml:space="preserve">FBO </t>
        </is>
      </c>
      <c r="C142" s="24" t="n"/>
      <c r="D142" s="29" t="n">
        <v>543</v>
      </c>
      <c r="E142" s="49" t="n">
        <v>5900</v>
      </c>
      <c r="F142" s="49" t="n">
        <v>220</v>
      </c>
      <c r="G142" s="49" t="n">
        <v>11</v>
      </c>
      <c r="H142" s="49" t="n">
        <v>5600</v>
      </c>
      <c r="I142" s="28" t="n">
        <v>0.45</v>
      </c>
      <c r="J142" s="30">
        <f>H142*(1-I142)</f>
        <v/>
      </c>
      <c r="K142" s="31" t="n">
        <v>974.04</v>
      </c>
      <c r="L142" s="32">
        <f>$H$5</f>
        <v/>
      </c>
      <c r="M142" s="33">
        <f>K142+L142</f>
        <v/>
      </c>
      <c r="N142" s="34" t="n">
        <v>0.41</v>
      </c>
      <c r="O142" s="29">
        <f>H142*N142</f>
        <v/>
      </c>
      <c r="P142" s="35" t="n">
        <v>63</v>
      </c>
      <c r="Q142" s="29">
        <f>H142*$H$8</f>
        <v/>
      </c>
      <c r="R142" s="35" t="n">
        <v>25</v>
      </c>
      <c r="S142" s="29">
        <f>H142*$H$4</f>
        <v/>
      </c>
      <c r="T142" s="29">
        <f>J142*$H$3</f>
        <v/>
      </c>
      <c r="U142" s="36" t="n">
        <v>0.9</v>
      </c>
      <c r="V142" s="35" t="n">
        <v>63</v>
      </c>
      <c r="W142" s="29">
        <f>V142*(1-U142)</f>
        <v/>
      </c>
      <c r="X142" s="37" t="n">
        <v>0.4</v>
      </c>
      <c r="Y142" s="29">
        <f>$H$6*$H$7*X142</f>
        <v/>
      </c>
      <c r="Z142" s="33">
        <f>X142*($H$9+$H$10)</f>
        <v/>
      </c>
      <c r="AA142" s="34" t="n">
        <v>0.07000000000000001</v>
      </c>
      <c r="AB142" s="29">
        <f>H142*AA142</f>
        <v/>
      </c>
      <c r="AC142" s="36" t="n">
        <v>0.08</v>
      </c>
      <c r="AD142" s="29">
        <f>H142*AC142</f>
        <v/>
      </c>
      <c r="AE142" s="29">
        <f>AB142+AD142</f>
        <v/>
      </c>
      <c r="AF142" s="38">
        <f>AE142/H142</f>
        <v/>
      </c>
      <c r="AG142" s="39">
        <f>H142-O142-P142-Q142-R142-S142-T142-W142-Y142-Z142-M142-AL142</f>
        <v/>
      </c>
      <c r="AH142" s="40">
        <f>AG142-AE142</f>
        <v/>
      </c>
      <c r="AI142" s="41">
        <f>AH142/H142</f>
        <v/>
      </c>
      <c r="AJ142" s="42">
        <f>AH142/M142</f>
        <v/>
      </c>
      <c r="AK142" s="29">
        <f>(P142+R142+W142+Y142+Z142+M142)/(1-(N142+$H$4+(1-I142)*$H$3+$H$8+$H$11+AA142+AC142))</f>
        <v/>
      </c>
      <c r="AL142" s="29">
        <f>H142*$H$11</f>
        <v/>
      </c>
    </row>
    <row r="143" ht="14.25" customHeight="1" s="66">
      <c r="A143" s="44" t="inlineStr">
        <is>
          <t>Итого:</t>
        </is>
      </c>
      <c r="B143" s="45" t="n"/>
      <c r="C143" s="45" t="n"/>
      <c r="E143" s="29" t="n"/>
      <c r="F143" s="29" t="n"/>
      <c r="G143" s="29" t="n"/>
      <c r="H143" s="29" t="n"/>
      <c r="I143" s="46" t="n"/>
      <c r="J143" s="30" t="n"/>
      <c r="K143" s="32" t="n"/>
      <c r="L143" s="32" t="n"/>
      <c r="M143" s="33" t="n"/>
      <c r="N143" s="47" t="n"/>
      <c r="O143" s="29" t="n"/>
      <c r="P143" s="29" t="n"/>
      <c r="Q143" s="29" t="n"/>
      <c r="R143" s="29" t="n"/>
      <c r="S143" s="29" t="n"/>
      <c r="T143" s="29" t="n"/>
      <c r="U143" s="41" t="n"/>
      <c r="V143" s="29" t="n"/>
      <c r="W143" s="29" t="n"/>
      <c r="X143" s="48" t="n"/>
      <c r="Y143" s="29" t="n"/>
      <c r="Z143" s="33" t="n"/>
      <c r="AA143" s="47" t="n"/>
      <c r="AB143" s="29" t="n"/>
      <c r="AC143" s="41" t="n"/>
      <c r="AD143" s="29" t="n"/>
      <c r="AE143" s="29" t="n"/>
      <c r="AF143" s="38" t="n"/>
      <c r="AG143" s="39" t="n"/>
      <c r="AH143" s="29" t="n"/>
      <c r="AI143" s="41" t="n"/>
      <c r="AJ143" s="41" t="n"/>
      <c r="AK143" s="29" t="n"/>
    </row>
    <row r="144" ht="14.25" customHeight="1" s="66">
      <c r="A144" s="20" t="inlineStr">
        <is>
          <t>НЕ В ОСТАТКАХ (юнитка без строки в остатках)</t>
        </is>
      </c>
      <c r="B144" s="19" t="n"/>
      <c r="C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  <c r="AA144" s="19" t="n"/>
      <c r="AB144" s="19" t="n"/>
      <c r="AC144" s="19" t="n"/>
      <c r="AD144" s="19" t="n"/>
      <c r="AE144" s="19" t="n"/>
      <c r="AF144" s="19" t="n"/>
      <c r="AG144" s="19" t="n"/>
      <c r="AH144" s="19" t="n"/>
      <c r="AI144" s="19" t="n"/>
      <c r="AJ144" s="19" t="n"/>
      <c r="AK144" s="19" t="n"/>
    </row>
    <row r="145" ht="14.25" customHeight="1" s="66">
      <c r="A145" s="62" t="inlineStr">
        <is>
          <t>1025 DOKDO BUBBLE FOAM_150ml</t>
        </is>
      </c>
      <c r="B145" s="63" t="n">
        <v>600</v>
      </c>
      <c r="C145" s="64" t="n"/>
      <c r="D145" s="29" t="n">
        <v>0</v>
      </c>
      <c r="E145" s="49" t="n">
        <v>2650</v>
      </c>
      <c r="F145" s="49" t="n">
        <v>20</v>
      </c>
      <c r="G145" s="49" t="n">
        <v>2</v>
      </c>
      <c r="H145" s="49" t="n">
        <v>2500</v>
      </c>
      <c r="I145" s="28" t="n">
        <v>0.45</v>
      </c>
      <c r="J145" s="30">
        <f>H145*(1-I145)</f>
        <v/>
      </c>
      <c r="K145" s="31" t="n">
        <v>455</v>
      </c>
      <c r="L145" s="32">
        <f>$H$5</f>
        <v/>
      </c>
      <c r="M145" s="33">
        <f>K145+L145</f>
        <v/>
      </c>
      <c r="N145" s="34" t="n">
        <v>0.41</v>
      </c>
      <c r="O145" s="29">
        <f>H145*N145</f>
        <v/>
      </c>
      <c r="P145" s="35" t="n">
        <v>74</v>
      </c>
      <c r="Q145" s="29">
        <f>H145*$H$8</f>
        <v/>
      </c>
      <c r="R145" s="35" t="n">
        <v>25</v>
      </c>
      <c r="S145" s="29">
        <f>H145*$H$4</f>
        <v/>
      </c>
      <c r="T145" s="29">
        <f>J145*$H$3</f>
        <v/>
      </c>
      <c r="U145" s="36" t="n">
        <v>0.9</v>
      </c>
      <c r="V145" s="35" t="n">
        <v>74</v>
      </c>
      <c r="W145" s="29">
        <f>V145*(1-U145)</f>
        <v/>
      </c>
      <c r="X145" s="37" t="n">
        <v>1.28</v>
      </c>
      <c r="Y145" s="29">
        <f>$H$6*$H$7*X145</f>
        <v/>
      </c>
      <c r="Z145" s="33">
        <f>X145*($H$9+$H$10)</f>
        <v/>
      </c>
      <c r="AA145" s="34" t="n">
        <v>0.07000000000000001</v>
      </c>
      <c r="AB145" s="29">
        <f>H145*AA145</f>
        <v/>
      </c>
      <c r="AC145" s="36" t="n">
        <v>0.08</v>
      </c>
      <c r="AD145" s="29">
        <f>H145*AC145</f>
        <v/>
      </c>
      <c r="AE145" s="29">
        <f>AB145+AD145</f>
        <v/>
      </c>
      <c r="AF145" s="38">
        <f>AE145/H145</f>
        <v/>
      </c>
      <c r="AG145" s="39">
        <f>H145-O145-P145-Q145-R145-S145-T145-W145-Y145-Z145-M145-AL145</f>
        <v/>
      </c>
      <c r="AH145" s="40">
        <f>AG145-AE145</f>
        <v/>
      </c>
      <c r="AI145" s="41">
        <f>AH145/H145</f>
        <v/>
      </c>
      <c r="AJ145" s="42">
        <f>AH145/M145</f>
        <v/>
      </c>
      <c r="AK145" s="29">
        <f>(P145+R145+W145+Y145+Z145+M145)/(1-(N145+$H$4+(1-I145)*$H$3+$H$8+$H$11+AA145+AC145))</f>
        <v/>
      </c>
      <c r="AL145" s="29">
        <f>H145*$H$11</f>
        <v/>
      </c>
    </row>
    <row r="146" ht="14.25" customHeight="1" s="66">
      <c r="A146" s="62" t="inlineStr">
        <is>
          <t>MEDICUBE PDRN PINK PEPTIDE SERUM 30ml</t>
        </is>
      </c>
      <c r="B146" s="63" t="n">
        <v>320</v>
      </c>
      <c r="C146" s="4" t="n"/>
      <c r="D146" s="29" t="n">
        <v>0</v>
      </c>
      <c r="E146" s="49" t="n">
        <v>4880</v>
      </c>
      <c r="F146" s="49" t="n">
        <v>220</v>
      </c>
      <c r="G146" s="49" t="n">
        <v>10</v>
      </c>
      <c r="H146" s="49" t="n">
        <v>4580</v>
      </c>
      <c r="I146" s="28" t="n">
        <v>0.45</v>
      </c>
      <c r="J146" s="30">
        <f>H146*(1-I146)</f>
        <v/>
      </c>
      <c r="K146" s="31" t="n">
        <v>674</v>
      </c>
      <c r="L146" s="32">
        <f>$H$5</f>
        <v/>
      </c>
      <c r="M146" s="33">
        <f>K146+L146</f>
        <v/>
      </c>
      <c r="N146" s="34" t="n">
        <v>0.41</v>
      </c>
      <c r="O146" s="29">
        <f>H146*N146</f>
        <v/>
      </c>
      <c r="P146" s="35" t="n">
        <v>63</v>
      </c>
      <c r="Q146" s="29">
        <f>H146*$H$8</f>
        <v/>
      </c>
      <c r="R146" s="35" t="n">
        <v>25</v>
      </c>
      <c r="S146" s="29">
        <f>H146*$H$4</f>
        <v/>
      </c>
      <c r="T146" s="29">
        <f>J146*$H$3</f>
        <v/>
      </c>
      <c r="U146" s="36" t="n">
        <v>0.9</v>
      </c>
      <c r="V146" s="35" t="n">
        <v>63</v>
      </c>
      <c r="W146" s="29">
        <f>V146*(1-U146)</f>
        <v/>
      </c>
      <c r="X146" s="37" t="n">
        <v>0.4</v>
      </c>
      <c r="Y146" s="29">
        <f>$H$6*$H$7*X146</f>
        <v/>
      </c>
      <c r="Z146" s="33">
        <f>X146*($H$9+$H$10)</f>
        <v/>
      </c>
      <c r="AA146" s="34" t="n">
        <v>0.07000000000000001</v>
      </c>
      <c r="AB146" s="29">
        <f>H146*AA146</f>
        <v/>
      </c>
      <c r="AC146" s="36" t="n">
        <v>0.08</v>
      </c>
      <c r="AD146" s="29">
        <f>H146*AC146</f>
        <v/>
      </c>
      <c r="AE146" s="29">
        <f>AB146+AD146</f>
        <v/>
      </c>
      <c r="AF146" s="38">
        <f>AE146/H146</f>
        <v/>
      </c>
      <c r="AG146" s="39">
        <f>H146-O146-P146-Q146-R146-S146-T146-W146-Y146-Z146-M146-AL146</f>
        <v/>
      </c>
      <c r="AH146" s="40">
        <f>AG146-AE146</f>
        <v/>
      </c>
      <c r="AI146" s="41">
        <f>AH146/H146</f>
        <v/>
      </c>
      <c r="AJ146" s="42">
        <f>AH146/M146</f>
        <v/>
      </c>
      <c r="AK146" s="29">
        <f>(P146+R146+W146+Y146+Z146+M146)/(1-(N146+$H$4+(1-I146)*$H$3+$H$8+$H$11+AA146+AC146))</f>
        <v/>
      </c>
      <c r="AL146" s="29">
        <f>H146*$H$11</f>
        <v/>
      </c>
    </row>
    <row r="147" ht="14.25" customHeight="1" s="66">
      <c r="A147" s="62" t="inlineStr">
        <is>
          <t>MEDICUBE PDRN PINK EXOSOME SHOT SERUM 7500 30ml</t>
        </is>
      </c>
      <c r="B147" s="63" t="n">
        <v>400</v>
      </c>
      <c r="C147" s="65" t="n"/>
      <c r="D147" s="29" t="n">
        <v>0</v>
      </c>
      <c r="E147" s="49" t="n">
        <v>5000</v>
      </c>
      <c r="F147" s="49" t="n">
        <v>60</v>
      </c>
      <c r="G147" s="49" t="n">
        <v>10</v>
      </c>
      <c r="H147" s="49" t="n">
        <v>4700</v>
      </c>
      <c r="I147" s="28" t="n">
        <v>0.45</v>
      </c>
      <c r="J147" s="30">
        <f>H147*(1-I147)</f>
        <v/>
      </c>
      <c r="K147" s="31" t="n">
        <v>833</v>
      </c>
      <c r="L147" s="32">
        <f>$H$5</f>
        <v/>
      </c>
      <c r="M147" s="33">
        <f>K147+L147</f>
        <v/>
      </c>
      <c r="N147" s="34" t="n">
        <v>0.41</v>
      </c>
      <c r="O147" s="29">
        <f>H147*N147</f>
        <v/>
      </c>
      <c r="P147" s="35" t="n">
        <v>63</v>
      </c>
      <c r="Q147" s="29">
        <f>H147*$H$8</f>
        <v/>
      </c>
      <c r="R147" s="35" t="n">
        <v>25</v>
      </c>
      <c r="S147" s="29">
        <f>H147*$H$4</f>
        <v/>
      </c>
      <c r="T147" s="29">
        <f>J147*$H$3</f>
        <v/>
      </c>
      <c r="U147" s="36" t="n">
        <v>0.9</v>
      </c>
      <c r="V147" s="35" t="n">
        <v>63</v>
      </c>
      <c r="W147" s="29">
        <f>V147*(1-U147)</f>
        <v/>
      </c>
      <c r="X147" s="37" t="n">
        <v>0.4</v>
      </c>
      <c r="Y147" s="29">
        <f>$H$6*$H$7*X147</f>
        <v/>
      </c>
      <c r="Z147" s="33">
        <f>X147*($H$9+$H$10)</f>
        <v/>
      </c>
      <c r="AA147" s="34" t="n">
        <v>0.07000000000000001</v>
      </c>
      <c r="AB147" s="29">
        <f>H147*AA147</f>
        <v/>
      </c>
      <c r="AC147" s="36" t="n">
        <v>0.08</v>
      </c>
      <c r="AD147" s="29">
        <f>H147*AC147</f>
        <v/>
      </c>
      <c r="AE147" s="29">
        <f>AB147+AD147</f>
        <v/>
      </c>
      <c r="AF147" s="38">
        <f>AE147/H147</f>
        <v/>
      </c>
      <c r="AG147" s="39">
        <f>H147-O147-P147-Q147-R147-S147-T147-W147-Y147-Z147-M147-AL147</f>
        <v/>
      </c>
      <c r="AH147" s="40">
        <f>AG147-AE147</f>
        <v/>
      </c>
      <c r="AI147" s="41">
        <f>AH147/H147</f>
        <v/>
      </c>
      <c r="AJ147" s="42">
        <f>AH147/M147</f>
        <v/>
      </c>
      <c r="AK147" s="29">
        <f>(P147+R147+W147+Y147+Z147+M147)/(1-(N147+$H$4+(1-I147)*$H$3+$H$8+$H$11+AA147+AC147))</f>
        <v/>
      </c>
      <c r="AL147" s="29">
        <f>H147*$H$11</f>
        <v/>
      </c>
    </row>
    <row r="148" ht="14.25" customHeight="1" s="66">
      <c r="A148" s="62" t="inlineStr">
        <is>
          <t>MEDICUBE PDRN PINK EXOSOME SHOT SERUM 2000 30ml</t>
        </is>
      </c>
      <c r="B148" s="63" t="n">
        <v>300</v>
      </c>
      <c r="C148" s="4" t="n"/>
      <c r="D148" s="29" t="n">
        <v>0</v>
      </c>
      <c r="E148" s="49" t="n">
        <v>5150</v>
      </c>
      <c r="F148" s="49" t="n">
        <v>65</v>
      </c>
      <c r="G148" s="49" t="n">
        <v>5</v>
      </c>
      <c r="H148" s="49" t="n">
        <v>4850</v>
      </c>
      <c r="I148" s="28" t="n">
        <v>0.45</v>
      </c>
      <c r="J148" s="30">
        <f>H148*(1-I148)</f>
        <v/>
      </c>
      <c r="K148" s="31" t="n">
        <v>757</v>
      </c>
      <c r="L148" s="32">
        <f>$H$5</f>
        <v/>
      </c>
      <c r="M148" s="33">
        <f>K148+L148</f>
        <v/>
      </c>
      <c r="N148" s="34" t="n">
        <v>0.41</v>
      </c>
      <c r="O148" s="29">
        <f>H148*N148</f>
        <v/>
      </c>
      <c r="P148" s="35" t="n">
        <v>63</v>
      </c>
      <c r="Q148" s="29">
        <f>H148*$H$8</f>
        <v/>
      </c>
      <c r="R148" s="35" t="n">
        <v>25</v>
      </c>
      <c r="S148" s="29">
        <f>H148*$H$4</f>
        <v/>
      </c>
      <c r="T148" s="29">
        <f>J148*$H$3</f>
        <v/>
      </c>
      <c r="U148" s="36" t="n">
        <v>0.9</v>
      </c>
      <c r="V148" s="35" t="n">
        <v>63</v>
      </c>
      <c r="W148" s="29">
        <f>V148*(1-U148)</f>
        <v/>
      </c>
      <c r="X148" s="37" t="n">
        <v>0.4</v>
      </c>
      <c r="Y148" s="29">
        <f>$H$6*$H$7*X148</f>
        <v/>
      </c>
      <c r="Z148" s="33">
        <f>X148*($H$9+$H$10)</f>
        <v/>
      </c>
      <c r="AA148" s="34" t="n">
        <v>0.07000000000000001</v>
      </c>
      <c r="AB148" s="29">
        <f>H148*AA148</f>
        <v/>
      </c>
      <c r="AC148" s="36" t="n">
        <v>0.08</v>
      </c>
      <c r="AD148" s="29">
        <f>H148*AC148</f>
        <v/>
      </c>
      <c r="AE148" s="29">
        <f>AB148+AD148</f>
        <v/>
      </c>
      <c r="AF148" s="38">
        <f>AE148/H148</f>
        <v/>
      </c>
      <c r="AG148" s="39">
        <f>H148-O148-P148-Q148-R148-S148-T148-W148-Y148-Z148-M148-AL148</f>
        <v/>
      </c>
      <c r="AH148" s="40">
        <f>AG148-AE148</f>
        <v/>
      </c>
      <c r="AI148" s="41">
        <f>AH148/H148</f>
        <v/>
      </c>
      <c r="AJ148" s="42">
        <f>AH148/M148</f>
        <v/>
      </c>
      <c r="AK148" s="29">
        <f>(P148+R148+W148+Y148+Z148+M148)/(1-(N148+$H$4+(1-I148)*$H$3+$H$8+$H$11+AA148+AC148))</f>
        <v/>
      </c>
      <c r="AL148" s="29">
        <f>H148*$H$11</f>
        <v/>
      </c>
    </row>
    <row r="149" ht="14.25" customHeight="1" s="66">
      <c r="A149" s="62" t="inlineStr">
        <is>
          <t>MEDICUBE TXA NIACINAMIDE CAPSULE CREAM 55g</t>
        </is>
      </c>
      <c r="B149" s="63" t="n">
        <v>240</v>
      </c>
      <c r="C149" s="4" t="n"/>
      <c r="D149" s="29" t="n">
        <v>0</v>
      </c>
      <c r="E149" s="49" t="n">
        <v>6900</v>
      </c>
      <c r="F149" s="49" t="n">
        <v>25</v>
      </c>
      <c r="G149" s="49" t="n">
        <v>0</v>
      </c>
      <c r="H149" s="49" t="n">
        <v>6500</v>
      </c>
      <c r="I149" s="28" t="n">
        <v>0.45</v>
      </c>
      <c r="J149" s="30">
        <f>H149*(1-I149)</f>
        <v/>
      </c>
      <c r="K149" s="31" t="n">
        <v>922</v>
      </c>
      <c r="L149" s="32">
        <f>$H$5</f>
        <v/>
      </c>
      <c r="M149" s="33">
        <f>K149+L149</f>
        <v/>
      </c>
      <c r="N149" s="34" t="n">
        <v>0.41</v>
      </c>
      <c r="O149" s="29">
        <f>H149*N149</f>
        <v/>
      </c>
      <c r="P149" s="35" t="n">
        <v>63</v>
      </c>
      <c r="Q149" s="29">
        <f>H149*$H$8</f>
        <v/>
      </c>
      <c r="R149" s="35" t="n">
        <v>25</v>
      </c>
      <c r="S149" s="29">
        <f>H149*$H$4</f>
        <v/>
      </c>
      <c r="T149" s="29">
        <f>J149*$H$3</f>
        <v/>
      </c>
      <c r="U149" s="36" t="n">
        <v>0.9</v>
      </c>
      <c r="V149" s="35" t="n">
        <v>63</v>
      </c>
      <c r="W149" s="29">
        <f>V149*(1-U149)</f>
        <v/>
      </c>
      <c r="X149" s="37" t="n">
        <v>0.4</v>
      </c>
      <c r="Y149" s="29">
        <f>$H$6*$H$7*X149</f>
        <v/>
      </c>
      <c r="Z149" s="33">
        <f>X149*($H$9+$H$10)</f>
        <v/>
      </c>
      <c r="AA149" s="34" t="n">
        <v>0.07000000000000001</v>
      </c>
      <c r="AB149" s="29">
        <f>H149*AA149</f>
        <v/>
      </c>
      <c r="AC149" s="36" t="n">
        <v>0.08</v>
      </c>
      <c r="AD149" s="29">
        <f>H149*AC149</f>
        <v/>
      </c>
      <c r="AE149" s="29">
        <f>AB149+AD149</f>
        <v/>
      </c>
      <c r="AF149" s="38">
        <f>AE149/H149</f>
        <v/>
      </c>
      <c r="AG149" s="39">
        <f>H149-O149-P149-Q149-R149-S149-T149-W149-Y149-Z149-M149-AL149</f>
        <v/>
      </c>
      <c r="AH149" s="40">
        <f>AG149-AE149</f>
        <v/>
      </c>
      <c r="AI149" s="41">
        <f>AH149/H149</f>
        <v/>
      </c>
      <c r="AJ149" s="42">
        <f>AH149/M149</f>
        <v/>
      </c>
      <c r="AK149" s="29">
        <f>(P149+R149+W149+Y149+Z149+M149)/(1-(N149+$H$4+(1-I149)*$H$3+$H$8+$H$11+AA149+AC149))</f>
        <v/>
      </c>
      <c r="AL149" s="29">
        <f>H149*$H$11</f>
        <v/>
      </c>
    </row>
    <row r="150" ht="14.25" customHeight="1" s="66">
      <c r="A150" s="62" t="inlineStr">
        <is>
          <t>MEDICUBE PDRN PINK COLLAGEN CAPSULE CREAM 55g</t>
        </is>
      </c>
      <c r="B150" s="63" t="n">
        <v>160</v>
      </c>
      <c r="C150" s="4" t="n"/>
      <c r="D150" s="29" t="n">
        <v>0</v>
      </c>
      <c r="E150" s="49" t="n">
        <v>5270</v>
      </c>
      <c r="F150" s="49" t="n">
        <v>200</v>
      </c>
      <c r="G150" s="49" t="n">
        <v>17</v>
      </c>
      <c r="H150" s="49" t="n">
        <v>5000</v>
      </c>
      <c r="I150" s="28" t="n">
        <v>0.45</v>
      </c>
      <c r="J150" s="30">
        <f>H150*(1-I150)</f>
        <v/>
      </c>
      <c r="K150" s="31" t="n">
        <v>1019</v>
      </c>
      <c r="L150" s="32">
        <f>$H$5</f>
        <v/>
      </c>
      <c r="M150" s="33">
        <f>K150+L150</f>
        <v/>
      </c>
      <c r="N150" s="34" t="n">
        <v>0.41</v>
      </c>
      <c r="O150" s="29">
        <f>H150*N150</f>
        <v/>
      </c>
      <c r="P150" s="35" t="n">
        <v>63</v>
      </c>
      <c r="Q150" s="29">
        <f>H150*$H$8</f>
        <v/>
      </c>
      <c r="R150" s="35" t="n">
        <v>25</v>
      </c>
      <c r="S150" s="29">
        <f>H150*$H$4</f>
        <v/>
      </c>
      <c r="T150" s="29">
        <f>J150*$H$3</f>
        <v/>
      </c>
      <c r="U150" s="36" t="n">
        <v>0.9</v>
      </c>
      <c r="V150" s="35" t="n">
        <v>63</v>
      </c>
      <c r="W150" s="29">
        <f>V150*(1-U150)</f>
        <v/>
      </c>
      <c r="X150" s="37" t="n">
        <v>0.4</v>
      </c>
      <c r="Y150" s="29">
        <f>$H$6*$H$7*X150</f>
        <v/>
      </c>
      <c r="Z150" s="33">
        <f>X150*($H$9+$H$10)</f>
        <v/>
      </c>
      <c r="AA150" s="34" t="n">
        <v>0.07000000000000001</v>
      </c>
      <c r="AB150" s="29">
        <f>H150*AA150</f>
        <v/>
      </c>
      <c r="AC150" s="36" t="n">
        <v>0.08</v>
      </c>
      <c r="AD150" s="29">
        <f>H150*AC150</f>
        <v/>
      </c>
      <c r="AE150" s="29">
        <f>AB150+AD150</f>
        <v/>
      </c>
      <c r="AF150" s="38">
        <f>AE150/H150</f>
        <v/>
      </c>
      <c r="AG150" s="39">
        <f>H150-O150-P150-Q150-R150-S150-T150-W150-Y150-Z150-M150-AL150</f>
        <v/>
      </c>
      <c r="AH150" s="40">
        <f>AG150-AE150</f>
        <v/>
      </c>
      <c r="AI150" s="41">
        <f>AH150/H150</f>
        <v/>
      </c>
      <c r="AJ150" s="42">
        <f>AH150/M150</f>
        <v/>
      </c>
      <c r="AK150" s="29">
        <f>(P150+R150+W150+Y150+Z150+M150)/(1-(N150+$H$4+(1-I150)*$H$3+$H$8+$H$11+AA150+AC150))</f>
        <v/>
      </c>
      <c r="AL150" s="29">
        <f>H150*$H$11</f>
        <v/>
      </c>
    </row>
    <row r="151" ht="14.25" customHeight="1" s="66">
      <c r="A151" s="62" t="inlineStr">
        <is>
          <t>MEDICUBE PDRN PINK HYALURONIC MOISTURIZING CREAM 50ml</t>
        </is>
      </c>
      <c r="B151" s="63" t="n">
        <v>200</v>
      </c>
      <c r="C151" s="4" t="n"/>
      <c r="D151" s="29" t="n">
        <v>0</v>
      </c>
      <c r="E151" s="49" t="n">
        <v>3450</v>
      </c>
      <c r="F151" s="49" t="n">
        <v>100</v>
      </c>
      <c r="G151" s="49" t="n">
        <v>10</v>
      </c>
      <c r="H151" s="49" t="n">
        <v>3150</v>
      </c>
      <c r="I151" s="28" t="n">
        <v>0.45</v>
      </c>
      <c r="J151" s="30">
        <f>H151*(1-I151)</f>
        <v/>
      </c>
      <c r="K151" s="31" t="n">
        <v>670</v>
      </c>
      <c r="L151" s="32">
        <f>$H$5</f>
        <v/>
      </c>
      <c r="M151" s="33">
        <f>K151+L151</f>
        <v/>
      </c>
      <c r="N151" s="34" t="n">
        <v>0.41</v>
      </c>
      <c r="O151" s="29">
        <f>H151*N151</f>
        <v/>
      </c>
      <c r="P151" s="35" t="n">
        <v>63</v>
      </c>
      <c r="Q151" s="29">
        <f>H151*$H$8</f>
        <v/>
      </c>
      <c r="R151" s="35" t="n">
        <v>25</v>
      </c>
      <c r="S151" s="29">
        <f>H151*$H$4</f>
        <v/>
      </c>
      <c r="T151" s="29">
        <f>J151*$H$3</f>
        <v/>
      </c>
      <c r="U151" s="36" t="n">
        <v>0.9</v>
      </c>
      <c r="V151" s="35" t="n">
        <v>63</v>
      </c>
      <c r="W151" s="29">
        <f>V151*(1-U151)</f>
        <v/>
      </c>
      <c r="X151" s="37" t="n">
        <v>0.4</v>
      </c>
      <c r="Y151" s="29">
        <f>$H$6*$H$7*X151</f>
        <v/>
      </c>
      <c r="Z151" s="33">
        <f>X151*($H$9+$H$10)</f>
        <v/>
      </c>
      <c r="AA151" s="34" t="n">
        <v>0.07000000000000001</v>
      </c>
      <c r="AB151" s="29">
        <f>H151*AA151</f>
        <v/>
      </c>
      <c r="AC151" s="36" t="n">
        <v>0.08</v>
      </c>
      <c r="AD151" s="29">
        <f>H151*AC151</f>
        <v/>
      </c>
      <c r="AE151" s="29">
        <f>AB151+AD151</f>
        <v/>
      </c>
      <c r="AF151" s="38">
        <f>AE151/H151</f>
        <v/>
      </c>
      <c r="AG151" s="39">
        <f>H151-O151-P151-Q151-R151-S151-T151-W151-Y151-Z151-M151-AL151</f>
        <v/>
      </c>
      <c r="AH151" s="40">
        <f>AG151-AE151</f>
        <v/>
      </c>
      <c r="AI151" s="41">
        <f>AH151/H151</f>
        <v/>
      </c>
      <c r="AJ151" s="42">
        <f>AH151/M151</f>
        <v/>
      </c>
      <c r="AK151" s="29">
        <f>(P151+R151+W151+Y151+Z151+M151)/(1-(N151+$H$4+(1-I151)*$H$3+$H$8+$H$11+AA151+AC151))</f>
        <v/>
      </c>
      <c r="AL151" s="29">
        <f>H151*$H$11</f>
        <v/>
      </c>
    </row>
    <row r="152" ht="14.25" customHeight="1" s="66">
      <c r="A152" s="62" t="inlineStr">
        <is>
          <t>[Derma Factory] PDRN 4% Ampoule</t>
        </is>
      </c>
      <c r="B152" s="63" t="n">
        <v>1530</v>
      </c>
      <c r="C152" s="4" t="n"/>
      <c r="D152" s="29" t="n">
        <v>0</v>
      </c>
      <c r="E152" s="49" t="n">
        <v>3350</v>
      </c>
      <c r="F152" s="49" t="n">
        <v>400</v>
      </c>
      <c r="G152" s="49" t="n">
        <v>13</v>
      </c>
      <c r="H152" s="49" t="n">
        <v>3050</v>
      </c>
      <c r="I152" s="28" t="n">
        <v>0.45</v>
      </c>
      <c r="J152" s="30">
        <f>H152*(1-I152)</f>
        <v/>
      </c>
      <c r="K152" s="31" t="n">
        <v>407</v>
      </c>
      <c r="L152" s="32">
        <f>$H$5</f>
        <v/>
      </c>
      <c r="M152" s="33">
        <f>K152+L152</f>
        <v/>
      </c>
      <c r="N152" s="34" t="n">
        <v>0.41</v>
      </c>
      <c r="O152" s="29">
        <f>H152*N152</f>
        <v/>
      </c>
      <c r="P152" s="35" t="n">
        <v>63</v>
      </c>
      <c r="Q152" s="29">
        <f>H152*$H$8</f>
        <v/>
      </c>
      <c r="R152" s="35" t="n">
        <v>25</v>
      </c>
      <c r="S152" s="29">
        <f>H152*$H$4</f>
        <v/>
      </c>
      <c r="T152" s="29">
        <f>J152*$H$3</f>
        <v/>
      </c>
      <c r="U152" s="36" t="n">
        <v>0.9</v>
      </c>
      <c r="V152" s="35" t="n">
        <v>63</v>
      </c>
      <c r="W152" s="29">
        <f>V152*(1-U152)</f>
        <v/>
      </c>
      <c r="X152" s="37" t="n">
        <v>0.4</v>
      </c>
      <c r="Y152" s="29">
        <f>$H$6*$H$7*X152</f>
        <v/>
      </c>
      <c r="Z152" s="33">
        <f>X152*($H$9+$H$10)</f>
        <v/>
      </c>
      <c r="AA152" s="34" t="n">
        <v>0.07000000000000001</v>
      </c>
      <c r="AB152" s="29">
        <f>H152*AA152</f>
        <v/>
      </c>
      <c r="AC152" s="36" t="n">
        <v>0.08</v>
      </c>
      <c r="AD152" s="29">
        <f>H152*AC152</f>
        <v/>
      </c>
      <c r="AE152" s="29">
        <f>AB152+AD152</f>
        <v/>
      </c>
      <c r="AF152" s="38">
        <f>AE152/H152</f>
        <v/>
      </c>
      <c r="AG152" s="39">
        <f>H152-O152-P152-Q152-R152-S152-T152-W152-Y152-Z152-M152-AL152</f>
        <v/>
      </c>
      <c r="AH152" s="40">
        <f>AG152-AE152</f>
        <v/>
      </c>
      <c r="AI152" s="41">
        <f>AH152/H152</f>
        <v/>
      </c>
      <c r="AJ152" s="42">
        <f>AH152/M152</f>
        <v/>
      </c>
      <c r="AK152" s="29">
        <f>(P152+R152+W152+Y152+Z152+M152)/(1-(N152+$H$4+(1-I152)*$H$3+$H$8+$H$11+AA152+AC152))</f>
        <v/>
      </c>
      <c r="AL152" s="29">
        <f>H152*$H$11</f>
        <v/>
      </c>
    </row>
    <row r="153" ht="14.25" customHeight="1" s="66">
      <c r="A153" s="50" t="n"/>
    </row>
    <row r="154" ht="14.25" customHeight="1" s="66">
      <c r="A154" s="50" t="n"/>
    </row>
    <row r="155" ht="14.25" customHeight="1" s="66">
      <c r="A155" s="50" t="n"/>
    </row>
    <row r="156" ht="14.25" customHeight="1" s="66">
      <c r="A156" s="50" t="n"/>
    </row>
    <row r="157" ht="14.25" customHeight="1" s="66">
      <c r="A157" s="50" t="n"/>
    </row>
    <row r="158" ht="14.25" customHeight="1" s="66">
      <c r="A158" s="50" t="n"/>
    </row>
    <row r="159" ht="14.25" customHeight="1" s="66">
      <c r="A159" s="50" t="n"/>
    </row>
    <row r="160" ht="14.25" customHeight="1" s="66">
      <c r="A160" s="50" t="n"/>
    </row>
    <row r="161" ht="14.25" customHeight="1" s="66">
      <c r="A161" s="50" t="n"/>
    </row>
    <row r="162" ht="14.25" customHeight="1" s="66">
      <c r="A162" s="50" t="n"/>
    </row>
    <row r="163" ht="14.25" customHeight="1" s="66">
      <c r="A163" s="50" t="n"/>
    </row>
    <row r="164" ht="14.25" customHeight="1" s="66">
      <c r="A164" s="50" t="n"/>
    </row>
    <row r="165" ht="14.25" customHeight="1" s="66">
      <c r="A165" s="50" t="n"/>
    </row>
    <row r="166" ht="14.25" customHeight="1" s="66">
      <c r="A166" s="50" t="n"/>
    </row>
    <row r="167" ht="14.25" customHeight="1" s="66">
      <c r="A167" s="50" t="n"/>
    </row>
    <row r="168" ht="14.25" customHeight="1" s="66">
      <c r="A168" s="50" t="n"/>
    </row>
    <row r="169" ht="14.25" customHeight="1" s="66">
      <c r="A169" s="50" t="n"/>
    </row>
    <row r="170" ht="14.25" customHeight="1" s="66">
      <c r="A170" s="50" t="n"/>
    </row>
    <row r="171" ht="14.25" customHeight="1" s="66">
      <c r="A171" s="50" t="n"/>
    </row>
    <row r="172" ht="14.25" customHeight="1" s="66">
      <c r="A172" s="50" t="n"/>
    </row>
    <row r="173" ht="14.25" customHeight="1" s="66">
      <c r="A173" s="50" t="n"/>
    </row>
    <row r="174" ht="14.25" customHeight="1" s="66">
      <c r="A174" s="50" t="n"/>
    </row>
    <row r="175" ht="14.25" customHeight="1" s="66">
      <c r="A175" s="50" t="n"/>
    </row>
    <row r="176" ht="14.25" customHeight="1" s="66">
      <c r="A176" s="50" t="n"/>
    </row>
    <row r="177" ht="14.25" customHeight="1" s="66">
      <c r="A177" s="50" t="n"/>
    </row>
    <row r="178" ht="14.25" customHeight="1" s="66">
      <c r="A178" s="50" t="n"/>
    </row>
    <row r="179" ht="14.25" customHeight="1" s="66">
      <c r="A179" s="50" t="n"/>
    </row>
    <row r="180" ht="14.25" customHeight="1" s="66">
      <c r="A180" s="50" t="n"/>
    </row>
    <row r="181" ht="14.25" customHeight="1" s="66">
      <c r="A181" s="50" t="n"/>
    </row>
    <row r="182" ht="14.25" customHeight="1" s="66">
      <c r="A182" s="50" t="n"/>
    </row>
    <row r="183" ht="14.25" customHeight="1" s="66">
      <c r="A183" s="50" t="n"/>
    </row>
    <row r="184" ht="14.25" customHeight="1" s="66">
      <c r="A184" s="50" t="n"/>
    </row>
    <row r="185" ht="14.25" customHeight="1" s="66">
      <c r="A185" s="50" t="n"/>
    </row>
    <row r="186" ht="14.25" customHeight="1" s="66">
      <c r="A186" s="50" t="n"/>
    </row>
    <row r="187" ht="14.25" customHeight="1" s="66">
      <c r="A187" s="50" t="n"/>
    </row>
    <row r="188" ht="14.25" customHeight="1" s="66">
      <c r="A188" s="50" t="n"/>
    </row>
    <row r="189" ht="14.25" customHeight="1" s="66">
      <c r="A189" s="50" t="n"/>
    </row>
    <row r="190" ht="14.25" customHeight="1" s="66">
      <c r="A190" s="50" t="n"/>
    </row>
    <row r="191" ht="14.25" customHeight="1" s="66">
      <c r="A191" s="50" t="n"/>
    </row>
    <row r="192" ht="14.25" customHeight="1" s="66">
      <c r="A192" s="50" t="n"/>
    </row>
    <row r="193" ht="14.25" customHeight="1" s="66">
      <c r="A193" s="50" t="n"/>
    </row>
    <row r="194" ht="14.25" customHeight="1" s="66">
      <c r="A194" s="50" t="n"/>
    </row>
    <row r="195" ht="14.25" customHeight="1" s="66">
      <c r="A195" s="50" t="n"/>
    </row>
    <row r="196" ht="14.25" customHeight="1" s="66">
      <c r="A196" s="50" t="n"/>
    </row>
    <row r="197" ht="14.25" customHeight="1" s="66">
      <c r="A197" s="50" t="n"/>
    </row>
    <row r="198" ht="14.25" customHeight="1" s="66">
      <c r="A198" s="50" t="n"/>
    </row>
    <row r="199" ht="14.25" customHeight="1" s="66">
      <c r="A199" s="50" t="n"/>
    </row>
    <row r="200" ht="14.25" customHeight="1" s="66">
      <c r="A200" s="50" t="n"/>
    </row>
    <row r="201" ht="14.25" customHeight="1" s="66">
      <c r="A201" s="50" t="n"/>
    </row>
    <row r="202" ht="14.25" customHeight="1" s="66">
      <c r="A202" s="50" t="n"/>
    </row>
    <row r="203" ht="14.25" customHeight="1" s="66">
      <c r="A203" s="50" t="n"/>
    </row>
    <row r="204" ht="14.25" customHeight="1" s="66">
      <c r="A204" s="50" t="n"/>
    </row>
    <row r="205" ht="14.25" customHeight="1" s="66">
      <c r="A205" s="50" t="n"/>
    </row>
    <row r="206" ht="14.25" customHeight="1" s="66">
      <c r="A206" s="50" t="n"/>
    </row>
    <row r="207" ht="14.25" customHeight="1" s="66">
      <c r="A207" s="50" t="n"/>
    </row>
    <row r="208" ht="14.25" customHeight="1" s="66">
      <c r="A208" s="50" t="n"/>
    </row>
    <row r="209" ht="14.25" customHeight="1" s="66">
      <c r="A209" s="50" t="n"/>
    </row>
    <row r="210" ht="14.25" customHeight="1" s="66">
      <c r="A210" s="50" t="n"/>
    </row>
    <row r="211" ht="14.25" customHeight="1" s="66">
      <c r="A211" s="50" t="n"/>
    </row>
    <row r="212" ht="14.25" customHeight="1" s="66">
      <c r="A212" s="50" t="n"/>
    </row>
    <row r="213" ht="14.25" customHeight="1" s="66">
      <c r="A213" s="50" t="n"/>
    </row>
    <row r="214" ht="14.25" customHeight="1" s="66">
      <c r="A214" s="50" t="n"/>
    </row>
    <row r="215" ht="14.25" customHeight="1" s="66">
      <c r="A215" s="50" t="n"/>
    </row>
    <row r="216" ht="14.25" customHeight="1" s="66">
      <c r="A216" s="50" t="n"/>
    </row>
    <row r="217" ht="14.25" customHeight="1" s="66">
      <c r="A217" s="50" t="n"/>
    </row>
    <row r="218" ht="14.25" customHeight="1" s="66">
      <c r="A218" s="50" t="n"/>
    </row>
    <row r="219" ht="14.25" customHeight="1" s="66">
      <c r="A219" s="50" t="n"/>
    </row>
    <row r="220" ht="14.25" customHeight="1" s="66">
      <c r="A220" s="50" t="n"/>
    </row>
    <row r="221" ht="14.25" customHeight="1" s="66">
      <c r="A221" s="50" t="n"/>
    </row>
    <row r="222" ht="14.25" customHeight="1" s="66">
      <c r="A222" s="50" t="n"/>
    </row>
    <row r="223" ht="14.25" customHeight="1" s="66">
      <c r="A223" s="50" t="n"/>
    </row>
    <row r="224" ht="14.25" customHeight="1" s="66">
      <c r="A224" s="50" t="n"/>
    </row>
    <row r="225" ht="14.25" customHeight="1" s="66">
      <c r="A225" s="50" t="n"/>
    </row>
    <row r="226" ht="14.25" customHeight="1" s="66">
      <c r="A226" s="50" t="n"/>
    </row>
    <row r="227" ht="14.25" customHeight="1" s="66">
      <c r="A227" s="50" t="n"/>
    </row>
    <row r="228" ht="14.25" customHeight="1" s="66">
      <c r="A228" s="50" t="n"/>
    </row>
    <row r="229" ht="14.25" customHeight="1" s="66">
      <c r="A229" s="50" t="n"/>
    </row>
    <row r="230" ht="14.25" customHeight="1" s="66">
      <c r="A230" s="50" t="n"/>
    </row>
    <row r="231" ht="14.25" customHeight="1" s="66">
      <c r="A231" s="50" t="n"/>
    </row>
    <row r="232" ht="14.25" customHeight="1" s="66">
      <c r="A232" s="50" t="n"/>
    </row>
    <row r="233" ht="14.25" customHeight="1" s="66">
      <c r="A233" s="50" t="n"/>
    </row>
    <row r="234" ht="14.25" customHeight="1" s="66">
      <c r="A234" s="50" t="n"/>
    </row>
    <row r="235" ht="14.25" customHeight="1" s="66">
      <c r="A235" s="50" t="n"/>
    </row>
    <row r="236" ht="14.25" customHeight="1" s="66">
      <c r="A236" s="50" t="n"/>
    </row>
    <row r="237" ht="14.25" customHeight="1" s="66">
      <c r="A237" s="50" t="n"/>
    </row>
    <row r="238" ht="14.25" customHeight="1" s="66">
      <c r="A238" s="50" t="n"/>
    </row>
    <row r="239" ht="14.25" customHeight="1" s="66">
      <c r="A239" s="50" t="n"/>
    </row>
    <row r="240" ht="14.25" customHeight="1" s="66">
      <c r="A240" s="50" t="n"/>
    </row>
    <row r="241" ht="14.25" customHeight="1" s="66">
      <c r="A241" s="50" t="n"/>
    </row>
    <row r="242" ht="14.25" customHeight="1" s="66">
      <c r="A242" s="50" t="n"/>
    </row>
    <row r="243" ht="14.25" customHeight="1" s="66">
      <c r="A243" s="50" t="n"/>
    </row>
    <row r="244" ht="14.25" customHeight="1" s="66">
      <c r="A244" s="50" t="n"/>
    </row>
    <row r="245" ht="14.25" customHeight="1" s="66">
      <c r="A245" s="50" t="n"/>
    </row>
    <row r="246" ht="14.25" customHeight="1" s="66">
      <c r="A246" s="50" t="n"/>
    </row>
    <row r="247" ht="14.25" customHeight="1" s="66">
      <c r="A247" s="50" t="n"/>
    </row>
    <row r="248" ht="14.25" customHeight="1" s="66">
      <c r="A248" s="50" t="n"/>
    </row>
    <row r="249" ht="14.25" customHeight="1" s="66">
      <c r="A249" s="50" t="n"/>
    </row>
    <row r="250" ht="14.25" customHeight="1" s="66">
      <c r="A250" s="50" t="n"/>
    </row>
    <row r="251" ht="14.25" customHeight="1" s="66">
      <c r="A251" s="50" t="n"/>
    </row>
    <row r="252" ht="14.25" customHeight="1" s="66">
      <c r="A252" s="50" t="n"/>
    </row>
    <row r="253" ht="14.25" customHeight="1" s="66">
      <c r="A253" s="50" t="n"/>
    </row>
    <row r="254" ht="14.25" customHeight="1" s="66">
      <c r="A254" s="50" t="n"/>
    </row>
    <row r="255" ht="14.25" customHeight="1" s="66">
      <c r="A255" s="50" t="n"/>
    </row>
    <row r="256" ht="14.25" customHeight="1" s="66">
      <c r="A256" s="50" t="n"/>
    </row>
    <row r="257" ht="14.25" customHeight="1" s="66">
      <c r="A257" s="50" t="n"/>
    </row>
    <row r="258" ht="14.25" customHeight="1" s="66">
      <c r="A258" s="50" t="n"/>
    </row>
    <row r="259" ht="14.25" customHeight="1" s="66">
      <c r="A259" s="50" t="n"/>
    </row>
    <row r="260" ht="14.25" customHeight="1" s="66">
      <c r="A260" s="50" t="n"/>
    </row>
    <row r="261" ht="14.25" customHeight="1" s="66">
      <c r="A261" s="50" t="n"/>
    </row>
    <row r="262" ht="14.25" customHeight="1" s="66">
      <c r="A262" s="50" t="n"/>
    </row>
    <row r="263" ht="14.25" customHeight="1" s="66">
      <c r="A263" s="50" t="n"/>
    </row>
    <row r="264" ht="14.25" customHeight="1" s="66">
      <c r="A264" s="50" t="n"/>
    </row>
    <row r="265" ht="14.25" customHeight="1" s="66">
      <c r="A265" s="50" t="n"/>
    </row>
    <row r="266" ht="14.25" customHeight="1" s="66">
      <c r="A266" s="50" t="n"/>
    </row>
    <row r="267" ht="14.25" customHeight="1" s="66">
      <c r="A267" s="50" t="n"/>
    </row>
    <row r="268" ht="14.25" customHeight="1" s="66">
      <c r="A268" s="50" t="n"/>
    </row>
    <row r="269" ht="14.25" customHeight="1" s="66">
      <c r="A269" s="50" t="n"/>
    </row>
    <row r="270" ht="14.25" customHeight="1" s="66">
      <c r="A270" s="50" t="n"/>
    </row>
    <row r="271" ht="14.25" customHeight="1" s="66">
      <c r="A271" s="50" t="n"/>
    </row>
    <row r="272" ht="14.25" customHeight="1" s="66">
      <c r="A272" s="50" t="n"/>
    </row>
    <row r="273" ht="14.25" customHeight="1" s="66">
      <c r="A273" s="50" t="n"/>
    </row>
    <row r="274" ht="14.25" customHeight="1" s="66">
      <c r="A274" s="50" t="n"/>
    </row>
    <row r="275" ht="14.25" customHeight="1" s="66">
      <c r="A275" s="50" t="n"/>
    </row>
    <row r="276" ht="14.25" customHeight="1" s="66">
      <c r="A276" s="50" t="n"/>
    </row>
    <row r="277" ht="14.25" customHeight="1" s="66">
      <c r="A277" s="50" t="n"/>
    </row>
    <row r="278" ht="14.25" customHeight="1" s="66">
      <c r="A278" s="50" t="n"/>
    </row>
    <row r="279" ht="14.25" customHeight="1" s="66">
      <c r="A279" s="50" t="n"/>
    </row>
    <row r="280" ht="14.25" customHeight="1" s="66">
      <c r="A280" s="50" t="n"/>
    </row>
    <row r="281" ht="14.25" customHeight="1" s="66">
      <c r="A281" s="50" t="n"/>
    </row>
    <row r="282" ht="14.25" customHeight="1" s="66">
      <c r="A282" s="50" t="n"/>
    </row>
    <row r="283" ht="14.25" customHeight="1" s="66">
      <c r="A283" s="50" t="n"/>
    </row>
    <row r="284" ht="14.25" customHeight="1" s="66">
      <c r="A284" s="50" t="n"/>
    </row>
    <row r="285" ht="14.25" customHeight="1" s="66">
      <c r="A285" s="50" t="n"/>
    </row>
    <row r="286" ht="14.25" customHeight="1" s="66">
      <c r="A286" s="50" t="n"/>
    </row>
    <row r="287" ht="14.25" customHeight="1" s="66">
      <c r="A287" s="50" t="n"/>
    </row>
    <row r="288" ht="14.25" customHeight="1" s="66">
      <c r="A288" s="50" t="n"/>
    </row>
    <row r="289" ht="14.25" customHeight="1" s="66">
      <c r="A289" s="50" t="n"/>
    </row>
    <row r="290" ht="14.25" customHeight="1" s="66">
      <c r="A290" s="50" t="n"/>
    </row>
    <row r="291" ht="14.25" customHeight="1" s="66">
      <c r="A291" s="50" t="n"/>
    </row>
    <row r="292" ht="14.25" customHeight="1" s="66">
      <c r="A292" s="50" t="n"/>
    </row>
    <row r="293" ht="14.25" customHeight="1" s="66">
      <c r="A293" s="50" t="n"/>
    </row>
    <row r="294" ht="14.25" customHeight="1" s="66">
      <c r="A294" s="50" t="n"/>
    </row>
    <row r="295" ht="14.25" customHeight="1" s="66">
      <c r="A295" s="50" t="n"/>
    </row>
    <row r="296" ht="14.25" customHeight="1" s="66">
      <c r="A296" s="50" t="n"/>
    </row>
    <row r="297" ht="14.25" customHeight="1" s="66">
      <c r="A297" s="50" t="n"/>
    </row>
    <row r="298" ht="14.25" customHeight="1" s="66">
      <c r="A298" s="50" t="n"/>
    </row>
    <row r="299" ht="14.25" customHeight="1" s="66">
      <c r="A299" s="50" t="n"/>
    </row>
    <row r="300" ht="14.25" customHeight="1" s="66">
      <c r="A300" s="50" t="n"/>
    </row>
    <row r="301" ht="14.25" customHeight="1" s="66">
      <c r="A301" s="50" t="n"/>
    </row>
    <row r="302" ht="14.25" customHeight="1" s="66">
      <c r="A302" s="50" t="n"/>
    </row>
    <row r="303" ht="14.25" customHeight="1" s="66">
      <c r="A303" s="50" t="n"/>
    </row>
    <row r="304" ht="14.25" customHeight="1" s="66">
      <c r="A304" s="50" t="n"/>
    </row>
    <row r="305" ht="14.25" customHeight="1" s="66">
      <c r="A305" s="50" t="n"/>
    </row>
    <row r="306" ht="14.25" customHeight="1" s="66">
      <c r="A306" s="50" t="n"/>
    </row>
    <row r="307" ht="14.25" customHeight="1" s="66">
      <c r="A307" s="50" t="n"/>
    </row>
    <row r="308" ht="14.25" customHeight="1" s="66">
      <c r="A308" s="50" t="n"/>
    </row>
    <row r="309" ht="14.25" customHeight="1" s="66">
      <c r="A309" s="50" t="n"/>
    </row>
    <row r="310" ht="14.25" customHeight="1" s="66">
      <c r="A310" s="50" t="n"/>
    </row>
    <row r="311" ht="14.25" customHeight="1" s="66">
      <c r="A311" s="50" t="n"/>
    </row>
    <row r="312" ht="14.25" customHeight="1" s="66">
      <c r="A312" s="50" t="n"/>
    </row>
    <row r="313" ht="14.25" customHeight="1" s="66">
      <c r="A313" s="50" t="n"/>
    </row>
    <row r="314" ht="14.25" customHeight="1" s="66">
      <c r="A314" s="50" t="n"/>
    </row>
    <row r="315" ht="14.25" customHeight="1" s="66">
      <c r="A315" s="50" t="n"/>
    </row>
    <row r="316" ht="14.25" customHeight="1" s="66">
      <c r="A316" s="50" t="n"/>
    </row>
    <row r="317" ht="14.25" customHeight="1" s="66">
      <c r="A317" s="50" t="n"/>
    </row>
    <row r="318" ht="14.25" customHeight="1" s="66">
      <c r="A318" s="50" t="n"/>
    </row>
    <row r="319" ht="14.25" customHeight="1" s="66">
      <c r="A319" s="50" t="n"/>
    </row>
    <row r="320" ht="14.25" customHeight="1" s="66">
      <c r="A320" s="50" t="n"/>
    </row>
    <row r="321" ht="14.25" customHeight="1" s="66">
      <c r="A321" s="50" t="n"/>
    </row>
    <row r="322" ht="14.25" customHeight="1" s="66">
      <c r="A322" s="50" t="n"/>
    </row>
    <row r="323" ht="14.25" customHeight="1" s="66">
      <c r="A323" s="50" t="n"/>
    </row>
    <row r="324" ht="14.25" customHeight="1" s="66">
      <c r="A324" s="50" t="n"/>
    </row>
    <row r="325" ht="14.25" customHeight="1" s="66">
      <c r="A325" s="50" t="n"/>
    </row>
    <row r="326" ht="14.25" customHeight="1" s="66">
      <c r="A326" s="50" t="n"/>
    </row>
    <row r="327" ht="14.25" customHeight="1" s="66">
      <c r="A327" s="50" t="n"/>
    </row>
    <row r="328" ht="14.25" customHeight="1" s="66">
      <c r="A328" s="50" t="n"/>
    </row>
    <row r="329" ht="14.25" customHeight="1" s="66">
      <c r="A329" s="50" t="n"/>
    </row>
    <row r="330" ht="14.25" customHeight="1" s="66">
      <c r="A330" s="50" t="n"/>
    </row>
    <row r="331" ht="14.25" customHeight="1" s="66">
      <c r="A331" s="50" t="n"/>
    </row>
    <row r="332" ht="14.25" customHeight="1" s="66">
      <c r="A332" s="50" t="n"/>
    </row>
    <row r="333" ht="14.25" customHeight="1" s="66">
      <c r="A333" s="50" t="n"/>
    </row>
    <row r="334" ht="14.25" customHeight="1" s="66">
      <c r="A334" s="50" t="n"/>
    </row>
    <row r="335" ht="14.25" customHeight="1" s="66">
      <c r="A335" s="50" t="n"/>
    </row>
    <row r="336" ht="14.25" customHeight="1" s="66">
      <c r="A336" s="50" t="n"/>
    </row>
    <row r="337" ht="14.25" customHeight="1" s="66">
      <c r="A337" s="50" t="n"/>
    </row>
    <row r="338" ht="14.25" customHeight="1" s="66">
      <c r="A338" s="50" t="n"/>
    </row>
    <row r="339" ht="14.25" customHeight="1" s="66">
      <c r="A339" s="50" t="n"/>
    </row>
    <row r="340" ht="14.25" customHeight="1" s="66">
      <c r="A340" s="50" t="n"/>
    </row>
    <row r="341" ht="14.25" customHeight="1" s="66">
      <c r="A341" s="50" t="n"/>
    </row>
    <row r="342" ht="14.25" customHeight="1" s="66">
      <c r="A342" s="50" t="n"/>
    </row>
    <row r="343" ht="14.25" customHeight="1" s="66">
      <c r="A343" s="50" t="n"/>
    </row>
    <row r="344" ht="14.25" customHeight="1" s="66">
      <c r="A344" s="50" t="n"/>
    </row>
    <row r="345" ht="14.25" customHeight="1" s="66">
      <c r="A345" s="50" t="n"/>
    </row>
    <row r="346" ht="14.25" customHeight="1" s="66">
      <c r="A346" s="50" t="n"/>
    </row>
    <row r="347" ht="14.25" customHeight="1" s="66">
      <c r="A347" s="50" t="n"/>
    </row>
    <row r="348" ht="14.25" customHeight="1" s="66">
      <c r="A348" s="50" t="n"/>
    </row>
    <row r="349" ht="14.25" customHeight="1" s="66">
      <c r="A349" s="50" t="n"/>
    </row>
    <row r="350" ht="14.25" customHeight="1" s="66">
      <c r="A350" s="50" t="n"/>
    </row>
    <row r="351" ht="14.25" customHeight="1" s="66">
      <c r="A351" s="50" t="n"/>
    </row>
    <row r="352" ht="14.25" customHeight="1" s="66">
      <c r="A352" s="50" t="n"/>
    </row>
    <row r="353" ht="14.25" customHeight="1" s="66">
      <c r="A353" s="50" t="n"/>
    </row>
    <row r="354" ht="14.25" customHeight="1" s="66">
      <c r="A354" s="50" t="n"/>
    </row>
    <row r="355" ht="14.25" customHeight="1" s="66">
      <c r="A355" s="50" t="n"/>
    </row>
    <row r="356" ht="14.25" customHeight="1" s="66">
      <c r="A356" s="50" t="n"/>
    </row>
    <row r="357" ht="14.25" customHeight="1" s="66">
      <c r="A357" s="50" t="n"/>
    </row>
    <row r="358" ht="14.25" customHeight="1" s="66">
      <c r="A358" s="50" t="n"/>
    </row>
    <row r="359" ht="14.25" customHeight="1" s="66">
      <c r="A359" s="50" t="n"/>
    </row>
    <row r="360" ht="14.25" customHeight="1" s="66">
      <c r="A360" s="50" t="n"/>
    </row>
    <row r="361" ht="14.25" customHeight="1" s="66">
      <c r="A361" s="50" t="n"/>
    </row>
    <row r="362" ht="14.25" customHeight="1" s="66">
      <c r="A362" s="50" t="n"/>
    </row>
    <row r="363" ht="14.25" customHeight="1" s="66">
      <c r="A363" s="50" t="n"/>
    </row>
    <row r="364" ht="14.25" customHeight="1" s="66">
      <c r="A364" s="50" t="n"/>
    </row>
    <row r="365" ht="14.25" customHeight="1" s="66">
      <c r="A365" s="50" t="n"/>
    </row>
    <row r="366" ht="14.25" customHeight="1" s="66">
      <c r="A366" s="50" t="n"/>
    </row>
    <row r="367" ht="14.25" customHeight="1" s="66">
      <c r="A367" s="50" t="n"/>
    </row>
    <row r="368" ht="14.25" customHeight="1" s="66">
      <c r="A368" s="50" t="n"/>
    </row>
    <row r="369" ht="14.25" customHeight="1" s="66">
      <c r="A369" s="50" t="n"/>
    </row>
    <row r="370" ht="14.25" customHeight="1" s="66">
      <c r="A370" s="50" t="n"/>
    </row>
    <row r="371" ht="14.25" customHeight="1" s="66">
      <c r="A371" s="50" t="n"/>
    </row>
    <row r="372" ht="14.25" customHeight="1" s="66">
      <c r="A372" s="50" t="n"/>
    </row>
    <row r="373" ht="14.25" customHeight="1" s="66">
      <c r="A373" s="50" t="n"/>
    </row>
    <row r="374" ht="14.25" customHeight="1" s="66">
      <c r="A374" s="50" t="n"/>
    </row>
    <row r="375" ht="14.25" customHeight="1" s="66">
      <c r="A375" s="50" t="n"/>
    </row>
    <row r="376" ht="14.25" customHeight="1" s="66">
      <c r="A376" s="50" t="n"/>
    </row>
    <row r="377" ht="14.25" customHeight="1" s="66">
      <c r="A377" s="50" t="n"/>
    </row>
    <row r="378" ht="14.25" customHeight="1" s="66">
      <c r="A378" s="50" t="n"/>
    </row>
    <row r="379" ht="14.25" customHeight="1" s="66">
      <c r="A379" s="50" t="n"/>
    </row>
    <row r="380" ht="14.25" customHeight="1" s="66">
      <c r="A380" s="50" t="n"/>
    </row>
    <row r="381" ht="14.25" customHeight="1" s="66">
      <c r="A381" s="50" t="n"/>
    </row>
    <row r="382" ht="14.25" customHeight="1" s="66">
      <c r="A382" s="50" t="n"/>
    </row>
    <row r="383" ht="14.25" customHeight="1" s="66">
      <c r="A383" s="50" t="n"/>
    </row>
    <row r="384" ht="14.25" customHeight="1" s="66">
      <c r="A384" s="50" t="n"/>
    </row>
    <row r="385" ht="14.25" customHeight="1" s="66">
      <c r="A385" s="50" t="n"/>
    </row>
    <row r="386" ht="14.25" customHeight="1" s="66">
      <c r="A386" s="50" t="n"/>
    </row>
    <row r="387" ht="14.25" customHeight="1" s="66">
      <c r="A387" s="50" t="n"/>
    </row>
    <row r="388" ht="14.25" customHeight="1" s="66">
      <c r="A388" s="50" t="n"/>
    </row>
    <row r="389" ht="14.25" customHeight="1" s="66">
      <c r="A389" s="50" t="n"/>
    </row>
    <row r="390" ht="14.25" customHeight="1" s="66">
      <c r="A390" s="50" t="n"/>
    </row>
    <row r="391" ht="14.25" customHeight="1" s="66">
      <c r="A391" s="50" t="n"/>
    </row>
    <row r="392" ht="14.25" customHeight="1" s="66">
      <c r="A392" s="50" t="n"/>
    </row>
    <row r="393" ht="14.25" customHeight="1" s="66">
      <c r="A393" s="50" t="n"/>
    </row>
    <row r="394" ht="14.25" customHeight="1" s="66">
      <c r="A394" s="50" t="n"/>
    </row>
    <row r="395" ht="14.25" customHeight="1" s="66">
      <c r="A395" s="50" t="n"/>
    </row>
    <row r="396" ht="14.25" customHeight="1" s="66">
      <c r="A396" s="50" t="n"/>
    </row>
    <row r="397" ht="14.25" customHeight="1" s="66">
      <c r="A397" s="50" t="n"/>
    </row>
    <row r="398" ht="14.25" customHeight="1" s="66">
      <c r="A398" s="50" t="n"/>
    </row>
    <row r="399" ht="14.25" customHeight="1" s="66">
      <c r="A399" s="50" t="n"/>
    </row>
    <row r="400" ht="14.25" customHeight="1" s="66">
      <c r="A400" s="50" t="n"/>
    </row>
    <row r="401" ht="14.25" customHeight="1" s="66">
      <c r="A401" s="50" t="n"/>
    </row>
    <row r="402" ht="14.25" customHeight="1" s="66">
      <c r="A402" s="50" t="n"/>
    </row>
    <row r="403" ht="14.25" customHeight="1" s="66">
      <c r="A403" s="50" t="n"/>
    </row>
    <row r="404" ht="14.25" customHeight="1" s="66">
      <c r="A404" s="50" t="n"/>
    </row>
    <row r="405" ht="14.25" customHeight="1" s="66">
      <c r="A405" s="50" t="n"/>
    </row>
    <row r="406" ht="14.25" customHeight="1" s="66">
      <c r="A406" s="50" t="n"/>
    </row>
    <row r="407" ht="14.25" customHeight="1" s="66">
      <c r="A407" s="50" t="n"/>
    </row>
    <row r="408" ht="14.25" customHeight="1" s="66">
      <c r="A408" s="50" t="n"/>
    </row>
    <row r="409" ht="14.25" customHeight="1" s="66">
      <c r="A409" s="50" t="n"/>
    </row>
    <row r="410" ht="14.25" customHeight="1" s="66">
      <c r="A410" s="50" t="n"/>
    </row>
    <row r="411" ht="14.25" customHeight="1" s="66">
      <c r="A411" s="50" t="n"/>
    </row>
    <row r="412" ht="14.25" customHeight="1" s="66">
      <c r="A412" s="50" t="n"/>
    </row>
    <row r="413" ht="14.25" customHeight="1" s="66">
      <c r="A413" s="50" t="n"/>
    </row>
    <row r="414" ht="14.25" customHeight="1" s="66">
      <c r="A414" s="50" t="n"/>
    </row>
    <row r="415" ht="14.25" customHeight="1" s="66">
      <c r="A415" s="50" t="n"/>
    </row>
    <row r="416" ht="14.25" customHeight="1" s="66">
      <c r="A416" s="50" t="n"/>
    </row>
    <row r="417" ht="14.25" customHeight="1" s="66">
      <c r="A417" s="50" t="n"/>
    </row>
    <row r="418" ht="14.25" customHeight="1" s="66">
      <c r="A418" s="50" t="n"/>
    </row>
    <row r="419" ht="14.25" customHeight="1" s="66">
      <c r="A419" s="50" t="n"/>
    </row>
    <row r="420" ht="14.25" customHeight="1" s="66">
      <c r="A420" s="50" t="n"/>
    </row>
    <row r="421" ht="14.25" customHeight="1" s="66">
      <c r="A421" s="50" t="n"/>
    </row>
    <row r="422" ht="14.25" customHeight="1" s="66">
      <c r="A422" s="50" t="n"/>
    </row>
    <row r="423" ht="14.25" customHeight="1" s="66">
      <c r="A423" s="50" t="n"/>
    </row>
    <row r="424" ht="14.25" customHeight="1" s="66">
      <c r="A424" s="50" t="n"/>
    </row>
    <row r="425" ht="14.25" customHeight="1" s="66">
      <c r="A425" s="50" t="n"/>
    </row>
    <row r="426" ht="14.25" customHeight="1" s="66">
      <c r="A426" s="50" t="n"/>
    </row>
    <row r="427" ht="14.25" customHeight="1" s="66">
      <c r="A427" s="50" t="n"/>
    </row>
    <row r="428" ht="14.25" customHeight="1" s="66">
      <c r="A428" s="50" t="n"/>
    </row>
    <row r="429" ht="14.25" customHeight="1" s="66">
      <c r="A429" s="50" t="n"/>
    </row>
    <row r="430" ht="14.25" customHeight="1" s="66">
      <c r="A430" s="50" t="n"/>
    </row>
    <row r="431" ht="14.25" customHeight="1" s="66">
      <c r="A431" s="50" t="n"/>
    </row>
    <row r="432" ht="14.25" customHeight="1" s="66">
      <c r="A432" s="50" t="n"/>
    </row>
    <row r="433" ht="14.25" customHeight="1" s="66">
      <c r="A433" s="50" t="n"/>
    </row>
    <row r="434" ht="14.25" customHeight="1" s="66">
      <c r="A434" s="50" t="n"/>
    </row>
    <row r="435" ht="14.25" customHeight="1" s="66">
      <c r="A435" s="50" t="n"/>
    </row>
    <row r="436" ht="14.25" customHeight="1" s="66">
      <c r="A436" s="50" t="n"/>
    </row>
    <row r="437" ht="14.25" customHeight="1" s="66">
      <c r="A437" s="50" t="n"/>
    </row>
    <row r="438" ht="14.25" customHeight="1" s="66">
      <c r="A438" s="50" t="n"/>
    </row>
    <row r="439" ht="14.25" customHeight="1" s="66">
      <c r="A439" s="50" t="n"/>
    </row>
    <row r="440" ht="14.25" customHeight="1" s="66">
      <c r="A440" s="50" t="n"/>
    </row>
    <row r="441" ht="14.25" customHeight="1" s="66">
      <c r="A441" s="50" t="n"/>
    </row>
    <row r="442" ht="14.25" customHeight="1" s="66">
      <c r="A442" s="50" t="n"/>
    </row>
    <row r="443" ht="14.25" customHeight="1" s="66">
      <c r="A443" s="50" t="n"/>
    </row>
    <row r="444" ht="14.25" customHeight="1" s="66">
      <c r="A444" s="50" t="n"/>
    </row>
    <row r="445" ht="14.25" customHeight="1" s="66">
      <c r="A445" s="50" t="n"/>
    </row>
    <row r="446" ht="14.25" customHeight="1" s="66">
      <c r="A446" s="50" t="n"/>
    </row>
    <row r="447" ht="14.25" customHeight="1" s="66">
      <c r="A447" s="50" t="n"/>
    </row>
    <row r="448" ht="14.25" customHeight="1" s="66">
      <c r="A448" s="50" t="n"/>
    </row>
    <row r="449" ht="14.25" customHeight="1" s="66">
      <c r="A449" s="50" t="n"/>
    </row>
    <row r="450" ht="14.25" customHeight="1" s="66">
      <c r="A450" s="50" t="n"/>
    </row>
    <row r="451" ht="14.25" customHeight="1" s="66">
      <c r="A451" s="50" t="n"/>
    </row>
    <row r="452" ht="14.25" customHeight="1" s="66">
      <c r="A452" s="50" t="n"/>
    </row>
    <row r="453" ht="14.25" customHeight="1" s="66">
      <c r="A453" s="50" t="n"/>
    </row>
    <row r="454" ht="14.25" customHeight="1" s="66">
      <c r="A454" s="50" t="n"/>
    </row>
    <row r="455" ht="14.25" customHeight="1" s="66">
      <c r="A455" s="50" t="n"/>
    </row>
    <row r="456" ht="14.25" customHeight="1" s="66">
      <c r="A456" s="50" t="n"/>
    </row>
    <row r="457" ht="14.25" customHeight="1" s="66">
      <c r="A457" s="50" t="n"/>
    </row>
    <row r="458" ht="14.25" customHeight="1" s="66">
      <c r="A458" s="50" t="n"/>
    </row>
    <row r="459" ht="14.25" customHeight="1" s="66">
      <c r="A459" s="50" t="n"/>
    </row>
    <row r="460" ht="14.25" customHeight="1" s="66">
      <c r="A460" s="50" t="n"/>
    </row>
    <row r="461" ht="14.25" customHeight="1" s="66">
      <c r="A461" s="50" t="n"/>
    </row>
    <row r="462" ht="14.25" customHeight="1" s="66">
      <c r="A462" s="50" t="n"/>
    </row>
    <row r="463" ht="14.25" customHeight="1" s="66">
      <c r="A463" s="50" t="n"/>
    </row>
    <row r="464" ht="14.25" customHeight="1" s="66">
      <c r="A464" s="50" t="n"/>
    </row>
    <row r="465" ht="14.25" customHeight="1" s="66">
      <c r="A465" s="50" t="n"/>
    </row>
    <row r="466" ht="14.25" customHeight="1" s="66">
      <c r="A466" s="50" t="n"/>
    </row>
    <row r="467" ht="14.25" customHeight="1" s="66">
      <c r="A467" s="50" t="n"/>
    </row>
    <row r="468" ht="14.25" customHeight="1" s="66">
      <c r="A468" s="50" t="n"/>
    </row>
    <row r="469" ht="14.25" customHeight="1" s="66">
      <c r="A469" s="50" t="n"/>
    </row>
    <row r="470" ht="14.25" customHeight="1" s="66">
      <c r="A470" s="50" t="n"/>
    </row>
    <row r="471" ht="14.25" customHeight="1" s="66">
      <c r="A471" s="50" t="n"/>
    </row>
    <row r="472" ht="14.25" customHeight="1" s="66">
      <c r="A472" s="50" t="n"/>
    </row>
    <row r="473" ht="14.25" customHeight="1" s="66">
      <c r="A473" s="50" t="n"/>
    </row>
    <row r="474" ht="14.25" customHeight="1" s="66">
      <c r="A474" s="50" t="n"/>
    </row>
    <row r="475" ht="14.25" customHeight="1" s="66">
      <c r="A475" s="50" t="n"/>
    </row>
    <row r="476" ht="14.25" customHeight="1" s="66">
      <c r="A476" s="50" t="n"/>
    </row>
    <row r="477" ht="14.25" customHeight="1" s="66">
      <c r="A477" s="50" t="n"/>
    </row>
    <row r="478" ht="14.25" customHeight="1" s="66">
      <c r="A478" s="50" t="n"/>
    </row>
    <row r="479" ht="14.25" customHeight="1" s="66">
      <c r="A479" s="50" t="n"/>
    </row>
    <row r="480" ht="14.25" customHeight="1" s="66">
      <c r="A480" s="50" t="n"/>
    </row>
    <row r="481" ht="14.25" customHeight="1" s="66">
      <c r="A481" s="50" t="n"/>
    </row>
    <row r="482" ht="14.25" customHeight="1" s="66">
      <c r="A482" s="50" t="n"/>
    </row>
    <row r="483" ht="14.25" customHeight="1" s="66">
      <c r="A483" s="50" t="n"/>
    </row>
    <row r="484" ht="14.25" customHeight="1" s="66">
      <c r="A484" s="50" t="n"/>
    </row>
    <row r="485" ht="14.25" customHeight="1" s="66">
      <c r="A485" s="50" t="n"/>
    </row>
    <row r="486" ht="14.25" customHeight="1" s="66">
      <c r="A486" s="50" t="n"/>
    </row>
    <row r="487" ht="14.25" customHeight="1" s="66">
      <c r="A487" s="50" t="n"/>
    </row>
    <row r="488" ht="14.25" customHeight="1" s="66">
      <c r="A488" s="50" t="n"/>
    </row>
    <row r="489" ht="14.25" customHeight="1" s="66">
      <c r="A489" s="50" t="n"/>
    </row>
    <row r="490" ht="14.25" customHeight="1" s="66">
      <c r="A490" s="50" t="n"/>
    </row>
    <row r="491" ht="14.25" customHeight="1" s="66">
      <c r="A491" s="50" t="n"/>
    </row>
    <row r="492" ht="14.25" customHeight="1" s="66">
      <c r="A492" s="50" t="n"/>
    </row>
    <row r="493" ht="14.25" customHeight="1" s="66">
      <c r="A493" s="50" t="n"/>
    </row>
    <row r="494" ht="14.25" customHeight="1" s="66">
      <c r="A494" s="50" t="n"/>
    </row>
    <row r="495" ht="14.25" customHeight="1" s="66">
      <c r="A495" s="50" t="n"/>
    </row>
    <row r="496" ht="14.25" customHeight="1" s="66">
      <c r="A496" s="50" t="n"/>
    </row>
    <row r="497" ht="14.25" customHeight="1" s="66">
      <c r="A497" s="50" t="n"/>
    </row>
    <row r="498" ht="14.25" customHeight="1" s="66">
      <c r="A498" s="50" t="n"/>
    </row>
    <row r="499" ht="14.25" customHeight="1" s="66">
      <c r="A499" s="50" t="n"/>
    </row>
    <row r="500" ht="14.25" customHeight="1" s="66">
      <c r="A500" s="50" t="n"/>
    </row>
    <row r="501" ht="14.25" customHeight="1" s="66">
      <c r="A501" s="50" t="n"/>
    </row>
    <row r="502" ht="14.25" customHeight="1" s="66">
      <c r="A502" s="50" t="n"/>
    </row>
    <row r="503" ht="14.25" customHeight="1" s="66">
      <c r="A503" s="50" t="n"/>
    </row>
    <row r="504" ht="14.25" customHeight="1" s="66">
      <c r="A504" s="50" t="n"/>
    </row>
    <row r="505" ht="14.25" customHeight="1" s="66">
      <c r="A505" s="50" t="n"/>
    </row>
    <row r="506" ht="14.25" customHeight="1" s="66">
      <c r="A506" s="50" t="n"/>
    </row>
    <row r="507" ht="14.25" customHeight="1" s="66">
      <c r="A507" s="50" t="n"/>
    </row>
    <row r="508" ht="14.25" customHeight="1" s="66">
      <c r="A508" s="50" t="n"/>
    </row>
    <row r="509" ht="14.25" customHeight="1" s="66">
      <c r="A509" s="50" t="n"/>
    </row>
    <row r="510" ht="14.25" customHeight="1" s="66">
      <c r="A510" s="50" t="n"/>
    </row>
    <row r="511" ht="14.25" customHeight="1" s="66">
      <c r="A511" s="50" t="n"/>
    </row>
    <row r="512" ht="14.25" customHeight="1" s="66">
      <c r="A512" s="50" t="n"/>
    </row>
    <row r="513" ht="14.25" customHeight="1" s="66">
      <c r="A513" s="50" t="n"/>
    </row>
    <row r="514" ht="14.25" customHeight="1" s="66">
      <c r="A514" s="50" t="n"/>
    </row>
    <row r="515" ht="14.25" customHeight="1" s="66">
      <c r="A515" s="50" t="n"/>
    </row>
    <row r="516" ht="14.25" customHeight="1" s="66">
      <c r="A516" s="50" t="n"/>
    </row>
    <row r="517" ht="14.25" customHeight="1" s="66">
      <c r="A517" s="50" t="n"/>
    </row>
    <row r="518" ht="14.25" customHeight="1" s="66">
      <c r="A518" s="50" t="n"/>
    </row>
    <row r="519" ht="14.25" customHeight="1" s="66">
      <c r="A519" s="50" t="n"/>
    </row>
    <row r="520" ht="14.25" customHeight="1" s="66">
      <c r="A520" s="50" t="n"/>
    </row>
    <row r="521" ht="14.25" customHeight="1" s="66">
      <c r="A521" s="50" t="n"/>
    </row>
    <row r="522" ht="14.25" customHeight="1" s="66">
      <c r="A522" s="50" t="n"/>
    </row>
    <row r="523" ht="14.25" customHeight="1" s="66">
      <c r="A523" s="50" t="n"/>
    </row>
    <row r="524" ht="14.25" customHeight="1" s="66">
      <c r="A524" s="50" t="n"/>
    </row>
    <row r="525" ht="14.25" customHeight="1" s="66">
      <c r="A525" s="50" t="n"/>
    </row>
    <row r="526" ht="14.25" customHeight="1" s="66">
      <c r="A526" s="50" t="n"/>
    </row>
    <row r="527" ht="14.25" customHeight="1" s="66">
      <c r="A527" s="50" t="n"/>
    </row>
    <row r="528" ht="14.25" customHeight="1" s="66">
      <c r="A528" s="50" t="n"/>
    </row>
    <row r="529" ht="14.25" customHeight="1" s="66">
      <c r="A529" s="50" t="n"/>
    </row>
    <row r="530" ht="14.25" customHeight="1" s="66">
      <c r="A530" s="50" t="n"/>
    </row>
    <row r="531" ht="14.25" customHeight="1" s="66">
      <c r="A531" s="50" t="n"/>
    </row>
    <row r="532" ht="14.25" customHeight="1" s="66">
      <c r="A532" s="50" t="n"/>
    </row>
    <row r="533" ht="14.25" customHeight="1" s="66">
      <c r="A533" s="50" t="n"/>
    </row>
    <row r="534" ht="14.25" customHeight="1" s="66">
      <c r="A534" s="50" t="n"/>
    </row>
    <row r="535" ht="14.25" customHeight="1" s="66">
      <c r="A535" s="50" t="n"/>
    </row>
    <row r="536" ht="14.25" customHeight="1" s="66">
      <c r="A536" s="50" t="n"/>
    </row>
    <row r="537" ht="14.25" customHeight="1" s="66">
      <c r="A537" s="50" t="n"/>
    </row>
    <row r="538" ht="14.25" customHeight="1" s="66">
      <c r="A538" s="50" t="n"/>
    </row>
    <row r="539" ht="14.25" customHeight="1" s="66">
      <c r="A539" s="50" t="n"/>
    </row>
    <row r="540" ht="14.25" customHeight="1" s="66">
      <c r="A540" s="50" t="n"/>
    </row>
    <row r="541" ht="14.25" customHeight="1" s="66">
      <c r="A541" s="50" t="n"/>
    </row>
    <row r="542" ht="14.25" customHeight="1" s="66">
      <c r="A542" s="50" t="n"/>
    </row>
    <row r="543" ht="14.25" customHeight="1" s="66">
      <c r="A543" s="50" t="n"/>
    </row>
    <row r="544" ht="14.25" customHeight="1" s="66">
      <c r="A544" s="50" t="n"/>
    </row>
    <row r="545" ht="14.25" customHeight="1" s="66">
      <c r="A545" s="50" t="n"/>
    </row>
    <row r="546" ht="14.25" customHeight="1" s="66">
      <c r="A546" s="50" t="n"/>
    </row>
    <row r="547" ht="14.25" customHeight="1" s="66">
      <c r="A547" s="50" t="n"/>
    </row>
    <row r="548" ht="14.25" customHeight="1" s="66">
      <c r="A548" s="50" t="n"/>
    </row>
    <row r="549" ht="14.25" customHeight="1" s="66">
      <c r="A549" s="50" t="n"/>
    </row>
    <row r="550" ht="14.25" customHeight="1" s="66">
      <c r="A550" s="50" t="n"/>
    </row>
    <row r="551" ht="14.25" customHeight="1" s="66">
      <c r="A551" s="50" t="n"/>
    </row>
    <row r="552" ht="14.25" customHeight="1" s="66">
      <c r="A552" s="50" t="n"/>
    </row>
    <row r="553" ht="14.25" customHeight="1" s="66">
      <c r="A553" s="50" t="n"/>
    </row>
    <row r="554" ht="14.25" customHeight="1" s="66">
      <c r="A554" s="50" t="n"/>
    </row>
    <row r="555" ht="14.25" customHeight="1" s="66">
      <c r="A555" s="50" t="n"/>
    </row>
    <row r="556" ht="14.25" customHeight="1" s="66">
      <c r="A556" s="50" t="n"/>
    </row>
    <row r="557" ht="14.25" customHeight="1" s="66">
      <c r="A557" s="50" t="n"/>
    </row>
    <row r="558" ht="14.25" customHeight="1" s="66">
      <c r="A558" s="50" t="n"/>
    </row>
    <row r="559" ht="14.25" customHeight="1" s="66">
      <c r="A559" s="50" t="n"/>
    </row>
    <row r="560" ht="14.25" customHeight="1" s="66">
      <c r="A560" s="50" t="n"/>
    </row>
    <row r="561" ht="14.25" customHeight="1" s="66">
      <c r="A561" s="50" t="n"/>
    </row>
    <row r="562" ht="14.25" customHeight="1" s="66">
      <c r="A562" s="50" t="n"/>
    </row>
    <row r="563" ht="14.25" customHeight="1" s="66">
      <c r="A563" s="50" t="n"/>
    </row>
    <row r="564" ht="14.25" customHeight="1" s="66">
      <c r="A564" s="50" t="n"/>
    </row>
    <row r="565" ht="14.25" customHeight="1" s="66">
      <c r="A565" s="50" t="n"/>
    </row>
    <row r="566" ht="14.25" customHeight="1" s="66">
      <c r="A566" s="50" t="n"/>
    </row>
    <row r="567" ht="14.25" customHeight="1" s="66">
      <c r="A567" s="50" t="n"/>
    </row>
    <row r="568" ht="14.25" customHeight="1" s="66">
      <c r="A568" s="50" t="n"/>
    </row>
    <row r="569" ht="14.25" customHeight="1" s="66">
      <c r="A569" s="50" t="n"/>
    </row>
    <row r="570" ht="14.25" customHeight="1" s="66">
      <c r="A570" s="50" t="n"/>
    </row>
    <row r="571" ht="14.25" customHeight="1" s="66">
      <c r="A571" s="50" t="n"/>
    </row>
    <row r="572" ht="14.25" customHeight="1" s="66">
      <c r="A572" s="50" t="n"/>
    </row>
    <row r="573" ht="14.25" customHeight="1" s="66">
      <c r="A573" s="50" t="n"/>
    </row>
    <row r="574" ht="14.25" customHeight="1" s="66">
      <c r="A574" s="50" t="n"/>
    </row>
    <row r="575" ht="14.25" customHeight="1" s="66">
      <c r="A575" s="50" t="n"/>
    </row>
    <row r="576" ht="14.25" customHeight="1" s="66">
      <c r="A576" s="50" t="n"/>
    </row>
    <row r="577" ht="14.25" customHeight="1" s="66">
      <c r="A577" s="50" t="n"/>
    </row>
    <row r="578" ht="14.25" customHeight="1" s="66">
      <c r="A578" s="50" t="n"/>
    </row>
    <row r="579" ht="14.25" customHeight="1" s="66">
      <c r="A579" s="50" t="n"/>
    </row>
    <row r="580" ht="14.25" customHeight="1" s="66">
      <c r="A580" s="50" t="n"/>
    </row>
    <row r="581" ht="14.25" customHeight="1" s="66">
      <c r="A581" s="50" t="n"/>
    </row>
    <row r="582" ht="14.25" customHeight="1" s="66">
      <c r="A582" s="50" t="n"/>
    </row>
    <row r="583" ht="14.25" customHeight="1" s="66">
      <c r="A583" s="50" t="n"/>
    </row>
    <row r="584" ht="14.25" customHeight="1" s="66">
      <c r="A584" s="50" t="n"/>
    </row>
    <row r="585" ht="14.25" customHeight="1" s="66">
      <c r="A585" s="50" t="n"/>
    </row>
    <row r="586" ht="14.25" customHeight="1" s="66">
      <c r="A586" s="50" t="n"/>
    </row>
    <row r="587" ht="14.25" customHeight="1" s="66">
      <c r="A587" s="50" t="n"/>
    </row>
    <row r="588" ht="14.25" customHeight="1" s="66">
      <c r="A588" s="50" t="n"/>
    </row>
    <row r="589" ht="14.25" customHeight="1" s="66">
      <c r="A589" s="50" t="n"/>
    </row>
    <row r="590" ht="14.25" customHeight="1" s="66">
      <c r="A590" s="50" t="n"/>
    </row>
    <row r="591" ht="14.25" customHeight="1" s="66">
      <c r="A591" s="50" t="n"/>
    </row>
    <row r="592" ht="14.25" customHeight="1" s="66">
      <c r="A592" s="50" t="n"/>
    </row>
    <row r="593" ht="14.25" customHeight="1" s="66">
      <c r="A593" s="50" t="n"/>
    </row>
    <row r="594" ht="14.25" customHeight="1" s="66">
      <c r="A594" s="50" t="n"/>
    </row>
    <row r="595" ht="14.25" customHeight="1" s="66">
      <c r="A595" s="50" t="n"/>
    </row>
    <row r="596" ht="14.25" customHeight="1" s="66">
      <c r="A596" s="50" t="n"/>
    </row>
    <row r="597" ht="14.25" customHeight="1" s="66">
      <c r="A597" s="50" t="n"/>
    </row>
    <row r="598" ht="14.25" customHeight="1" s="66">
      <c r="A598" s="50" t="n"/>
    </row>
    <row r="599" ht="14.25" customHeight="1" s="66">
      <c r="A599" s="50" t="n"/>
    </row>
    <row r="600" ht="14.25" customHeight="1" s="66">
      <c r="A600" s="50" t="n"/>
    </row>
    <row r="601" ht="14.25" customHeight="1" s="66">
      <c r="A601" s="50" t="n"/>
    </row>
    <row r="602" ht="14.25" customHeight="1" s="66">
      <c r="A602" s="50" t="n"/>
    </row>
    <row r="603" ht="14.25" customHeight="1" s="66">
      <c r="A603" s="50" t="n"/>
    </row>
    <row r="604" ht="14.25" customHeight="1" s="66">
      <c r="A604" s="50" t="n"/>
    </row>
    <row r="605" ht="14.25" customHeight="1" s="66">
      <c r="A605" s="50" t="n"/>
    </row>
    <row r="606" ht="14.25" customHeight="1" s="66">
      <c r="A606" s="50" t="n"/>
    </row>
    <row r="607" ht="14.25" customHeight="1" s="66">
      <c r="A607" s="50" t="n"/>
    </row>
    <row r="608" ht="14.25" customHeight="1" s="66">
      <c r="A608" s="50" t="n"/>
    </row>
    <row r="609" ht="14.25" customHeight="1" s="66">
      <c r="A609" s="50" t="n"/>
    </row>
    <row r="610" ht="14.25" customHeight="1" s="66">
      <c r="A610" s="50" t="n"/>
    </row>
    <row r="611" ht="14.25" customHeight="1" s="66">
      <c r="A611" s="50" t="n"/>
    </row>
    <row r="612" ht="14.25" customHeight="1" s="66">
      <c r="A612" s="50" t="n"/>
    </row>
    <row r="613" ht="14.25" customHeight="1" s="66">
      <c r="A613" s="50" t="n"/>
    </row>
    <row r="614" ht="14.25" customHeight="1" s="66">
      <c r="A614" s="50" t="n"/>
    </row>
    <row r="615" ht="14.25" customHeight="1" s="66">
      <c r="A615" s="50" t="n"/>
    </row>
    <row r="616" ht="14.25" customHeight="1" s="66">
      <c r="A616" s="50" t="n"/>
    </row>
    <row r="617" ht="14.25" customHeight="1" s="66">
      <c r="A617" s="50" t="n"/>
    </row>
    <row r="618" ht="14.25" customHeight="1" s="66">
      <c r="A618" s="50" t="n"/>
    </row>
    <row r="619" ht="14.25" customHeight="1" s="66">
      <c r="A619" s="50" t="n"/>
    </row>
    <row r="620" ht="14.25" customHeight="1" s="66">
      <c r="A620" s="50" t="n"/>
    </row>
    <row r="621" ht="14.25" customHeight="1" s="66">
      <c r="A621" s="50" t="n"/>
    </row>
    <row r="622" ht="14.25" customHeight="1" s="66">
      <c r="A622" s="50" t="n"/>
    </row>
    <row r="623" ht="14.25" customHeight="1" s="66">
      <c r="A623" s="50" t="n"/>
    </row>
    <row r="624" ht="14.25" customHeight="1" s="66">
      <c r="A624" s="50" t="n"/>
    </row>
    <row r="625" ht="14.25" customHeight="1" s="66">
      <c r="A625" s="50" t="n"/>
    </row>
    <row r="626" ht="14.25" customHeight="1" s="66">
      <c r="A626" s="50" t="n"/>
    </row>
    <row r="627" ht="14.25" customHeight="1" s="66">
      <c r="A627" s="50" t="n"/>
    </row>
    <row r="628" ht="14.25" customHeight="1" s="66">
      <c r="A628" s="50" t="n"/>
    </row>
    <row r="629" ht="14.25" customHeight="1" s="66">
      <c r="A629" s="50" t="n"/>
    </row>
    <row r="630" ht="14.25" customHeight="1" s="66">
      <c r="A630" s="50" t="n"/>
    </row>
    <row r="631" ht="14.25" customHeight="1" s="66">
      <c r="A631" s="50" t="n"/>
    </row>
    <row r="632" ht="14.25" customHeight="1" s="66">
      <c r="A632" s="50" t="n"/>
    </row>
    <row r="633" ht="14.25" customHeight="1" s="66">
      <c r="A633" s="50" t="n"/>
    </row>
    <row r="634" ht="14.25" customHeight="1" s="66">
      <c r="A634" s="50" t="n"/>
    </row>
    <row r="635" ht="14.25" customHeight="1" s="66">
      <c r="A635" s="50" t="n"/>
    </row>
    <row r="636" ht="14.25" customHeight="1" s="66">
      <c r="A636" s="50" t="n"/>
    </row>
    <row r="637" ht="14.25" customHeight="1" s="66">
      <c r="A637" s="50" t="n"/>
    </row>
    <row r="638" ht="14.25" customHeight="1" s="66">
      <c r="A638" s="50" t="n"/>
    </row>
    <row r="639" ht="14.25" customHeight="1" s="66">
      <c r="A639" s="50" t="n"/>
    </row>
    <row r="640" ht="14.25" customHeight="1" s="66">
      <c r="A640" s="50" t="n"/>
    </row>
    <row r="641" ht="14.25" customHeight="1" s="66">
      <c r="A641" s="50" t="n"/>
    </row>
    <row r="642" ht="14.25" customHeight="1" s="66">
      <c r="A642" s="50" t="n"/>
    </row>
    <row r="643" ht="14.25" customHeight="1" s="66">
      <c r="A643" s="50" t="n"/>
    </row>
    <row r="644" ht="14.25" customHeight="1" s="66">
      <c r="A644" s="50" t="n"/>
    </row>
    <row r="645" ht="14.25" customHeight="1" s="66">
      <c r="A645" s="50" t="n"/>
    </row>
    <row r="646" ht="14.25" customHeight="1" s="66">
      <c r="A646" s="50" t="n"/>
    </row>
    <row r="647" ht="14.25" customHeight="1" s="66">
      <c r="A647" s="50" t="n"/>
    </row>
    <row r="648" ht="14.25" customHeight="1" s="66">
      <c r="A648" s="50" t="n"/>
    </row>
    <row r="649" ht="14.25" customHeight="1" s="66">
      <c r="A649" s="50" t="n"/>
    </row>
    <row r="650" ht="14.25" customHeight="1" s="66">
      <c r="A650" s="50" t="n"/>
    </row>
    <row r="651" ht="14.25" customHeight="1" s="66">
      <c r="A651" s="50" t="n"/>
    </row>
    <row r="652" ht="14.25" customHeight="1" s="66">
      <c r="A652" s="50" t="n"/>
    </row>
    <row r="653" ht="14.25" customHeight="1" s="66">
      <c r="A653" s="50" t="n"/>
    </row>
    <row r="654" ht="14.25" customHeight="1" s="66">
      <c r="A654" s="50" t="n"/>
    </row>
    <row r="655" ht="14.25" customHeight="1" s="66">
      <c r="A655" s="50" t="n"/>
    </row>
    <row r="656" ht="14.25" customHeight="1" s="66">
      <c r="A656" s="50" t="n"/>
    </row>
    <row r="657" ht="14.25" customHeight="1" s="66">
      <c r="A657" s="50" t="n"/>
    </row>
    <row r="658" ht="14.25" customHeight="1" s="66">
      <c r="A658" s="50" t="n"/>
    </row>
    <row r="659" ht="14.25" customHeight="1" s="66">
      <c r="A659" s="50" t="n"/>
    </row>
    <row r="660" ht="14.25" customHeight="1" s="66">
      <c r="A660" s="50" t="n"/>
    </row>
    <row r="661" ht="14.25" customHeight="1" s="66">
      <c r="A661" s="50" t="n"/>
    </row>
    <row r="662" ht="14.25" customHeight="1" s="66">
      <c r="A662" s="50" t="n"/>
    </row>
    <row r="663" ht="14.25" customHeight="1" s="66">
      <c r="A663" s="50" t="n"/>
    </row>
    <row r="664" ht="14.25" customHeight="1" s="66">
      <c r="A664" s="50" t="n"/>
    </row>
    <row r="665" ht="14.25" customHeight="1" s="66">
      <c r="A665" s="50" t="n"/>
    </row>
    <row r="666" ht="14.25" customHeight="1" s="66">
      <c r="A666" s="50" t="n"/>
    </row>
    <row r="667" ht="14.25" customHeight="1" s="66">
      <c r="A667" s="50" t="n"/>
    </row>
    <row r="668" ht="14.25" customHeight="1" s="66">
      <c r="A668" s="50" t="n"/>
    </row>
    <row r="669" ht="14.25" customHeight="1" s="66">
      <c r="A669" s="50" t="n"/>
    </row>
    <row r="670" ht="14.25" customHeight="1" s="66">
      <c r="A670" s="50" t="n"/>
    </row>
    <row r="671" ht="14.25" customHeight="1" s="66">
      <c r="A671" s="50" t="n"/>
    </row>
    <row r="672" ht="14.25" customHeight="1" s="66">
      <c r="A672" s="50" t="n"/>
    </row>
    <row r="673" ht="14.25" customHeight="1" s="66">
      <c r="A673" s="50" t="n"/>
    </row>
    <row r="674" ht="14.25" customHeight="1" s="66">
      <c r="A674" s="50" t="n"/>
    </row>
    <row r="675" ht="14.25" customHeight="1" s="66">
      <c r="A675" s="50" t="n"/>
    </row>
    <row r="676" ht="14.25" customHeight="1" s="66">
      <c r="A676" s="50" t="n"/>
    </row>
    <row r="677" ht="14.25" customHeight="1" s="66">
      <c r="A677" s="50" t="n"/>
    </row>
    <row r="678" ht="14.25" customHeight="1" s="66">
      <c r="A678" s="50" t="n"/>
    </row>
    <row r="679" ht="14.25" customHeight="1" s="66">
      <c r="A679" s="50" t="n"/>
    </row>
    <row r="680" ht="14.25" customHeight="1" s="66">
      <c r="A680" s="50" t="n"/>
    </row>
    <row r="681" ht="14.25" customHeight="1" s="66">
      <c r="A681" s="50" t="n"/>
    </row>
    <row r="682" ht="14.25" customHeight="1" s="66">
      <c r="A682" s="50" t="n"/>
    </row>
    <row r="683" ht="14.25" customHeight="1" s="66">
      <c r="A683" s="50" t="n"/>
    </row>
    <row r="684" ht="14.25" customHeight="1" s="66">
      <c r="A684" s="50" t="n"/>
    </row>
    <row r="685" ht="14.25" customHeight="1" s="66">
      <c r="A685" s="50" t="n"/>
    </row>
    <row r="686" ht="14.25" customHeight="1" s="66">
      <c r="A686" s="50" t="n"/>
    </row>
    <row r="687" ht="14.25" customHeight="1" s="66">
      <c r="A687" s="50" t="n"/>
    </row>
    <row r="688" ht="14.25" customHeight="1" s="66">
      <c r="A688" s="50" t="n"/>
    </row>
    <row r="689" ht="14.25" customHeight="1" s="66">
      <c r="A689" s="50" t="n"/>
    </row>
    <row r="690" ht="14.25" customHeight="1" s="66">
      <c r="A690" s="50" t="n"/>
    </row>
    <row r="691" ht="14.25" customHeight="1" s="66">
      <c r="A691" s="50" t="n"/>
    </row>
    <row r="692" ht="14.25" customHeight="1" s="66">
      <c r="A692" s="50" t="n"/>
    </row>
    <row r="693" ht="14.25" customHeight="1" s="66">
      <c r="A693" s="50" t="n"/>
    </row>
    <row r="694" ht="14.25" customHeight="1" s="66">
      <c r="A694" s="50" t="n"/>
    </row>
    <row r="695" ht="14.25" customHeight="1" s="66">
      <c r="A695" s="50" t="n"/>
    </row>
    <row r="696" ht="14.25" customHeight="1" s="66">
      <c r="A696" s="50" t="n"/>
    </row>
    <row r="697" ht="14.25" customHeight="1" s="66">
      <c r="A697" s="50" t="n"/>
    </row>
    <row r="698" ht="14.25" customHeight="1" s="66">
      <c r="A698" s="50" t="n"/>
    </row>
    <row r="699" ht="14.25" customHeight="1" s="66">
      <c r="A699" s="50" t="n"/>
    </row>
    <row r="700" ht="14.25" customHeight="1" s="66">
      <c r="A700" s="50" t="n"/>
    </row>
    <row r="701" ht="14.25" customHeight="1" s="66">
      <c r="A701" s="50" t="n"/>
    </row>
    <row r="702" ht="14.25" customHeight="1" s="66">
      <c r="A702" s="50" t="n"/>
    </row>
    <row r="703" ht="14.25" customHeight="1" s="66">
      <c r="A703" s="50" t="n"/>
    </row>
    <row r="704" ht="14.25" customHeight="1" s="66">
      <c r="A704" s="50" t="n"/>
    </row>
    <row r="705" ht="14.25" customHeight="1" s="66">
      <c r="A705" s="50" t="n"/>
    </row>
    <row r="706" ht="14.25" customHeight="1" s="66">
      <c r="A706" s="50" t="n"/>
    </row>
    <row r="707" ht="14.25" customHeight="1" s="66">
      <c r="A707" s="50" t="n"/>
    </row>
    <row r="708" ht="14.25" customHeight="1" s="66">
      <c r="A708" s="50" t="n"/>
    </row>
    <row r="709" ht="14.25" customHeight="1" s="66">
      <c r="A709" s="50" t="n"/>
    </row>
    <row r="710" ht="14.25" customHeight="1" s="66">
      <c r="A710" s="50" t="n"/>
    </row>
    <row r="711" ht="14.25" customHeight="1" s="66">
      <c r="A711" s="50" t="n"/>
    </row>
    <row r="712" ht="14.25" customHeight="1" s="66">
      <c r="A712" s="50" t="n"/>
    </row>
    <row r="713" ht="14.25" customHeight="1" s="66">
      <c r="A713" s="50" t="n"/>
    </row>
    <row r="714" ht="14.25" customHeight="1" s="66">
      <c r="A714" s="50" t="n"/>
    </row>
    <row r="715" ht="14.25" customHeight="1" s="66">
      <c r="A715" s="50" t="n"/>
    </row>
    <row r="716" ht="14.25" customHeight="1" s="66">
      <c r="A716" s="50" t="n"/>
    </row>
    <row r="717" ht="14.25" customHeight="1" s="66">
      <c r="A717" s="50" t="n"/>
    </row>
    <row r="718" ht="14.25" customHeight="1" s="66">
      <c r="A718" s="50" t="n"/>
    </row>
    <row r="719" ht="14.25" customHeight="1" s="66">
      <c r="A719" s="50" t="n"/>
    </row>
    <row r="720" ht="14.25" customHeight="1" s="66">
      <c r="A720" s="50" t="n"/>
    </row>
    <row r="721" ht="14.25" customHeight="1" s="66">
      <c r="A721" s="50" t="n"/>
    </row>
    <row r="722" ht="14.25" customHeight="1" s="66">
      <c r="A722" s="50" t="n"/>
    </row>
    <row r="723" ht="14.25" customHeight="1" s="66">
      <c r="A723" s="50" t="n"/>
    </row>
    <row r="724" ht="14.25" customHeight="1" s="66">
      <c r="A724" s="50" t="n"/>
    </row>
    <row r="725" ht="14.25" customHeight="1" s="66">
      <c r="A725" s="50" t="n"/>
    </row>
    <row r="726" ht="14.25" customHeight="1" s="66">
      <c r="A726" s="50" t="n"/>
    </row>
    <row r="727" ht="14.25" customHeight="1" s="66">
      <c r="A727" s="50" t="n"/>
    </row>
    <row r="728" ht="14.25" customHeight="1" s="66">
      <c r="A728" s="50" t="n"/>
    </row>
    <row r="729" ht="14.25" customHeight="1" s="66">
      <c r="A729" s="50" t="n"/>
    </row>
    <row r="730" ht="14.25" customHeight="1" s="66">
      <c r="A730" s="50" t="n"/>
    </row>
    <row r="731" ht="14.25" customHeight="1" s="66">
      <c r="A731" s="50" t="n"/>
    </row>
    <row r="732" ht="14.25" customHeight="1" s="66">
      <c r="A732" s="50" t="n"/>
    </row>
    <row r="733" ht="14.25" customHeight="1" s="66">
      <c r="A733" s="50" t="n"/>
    </row>
    <row r="734" ht="14.25" customHeight="1" s="66">
      <c r="A734" s="50" t="n"/>
    </row>
    <row r="735" ht="14.25" customHeight="1" s="66">
      <c r="A735" s="50" t="n"/>
    </row>
    <row r="736" ht="14.25" customHeight="1" s="66">
      <c r="A736" s="50" t="n"/>
    </row>
    <row r="737" ht="14.25" customHeight="1" s="66">
      <c r="A737" s="50" t="n"/>
    </row>
    <row r="738" ht="14.25" customHeight="1" s="66">
      <c r="A738" s="50" t="n"/>
    </row>
    <row r="739" ht="14.25" customHeight="1" s="66">
      <c r="A739" s="50" t="n"/>
    </row>
    <row r="740" ht="14.25" customHeight="1" s="66">
      <c r="A740" s="50" t="n"/>
    </row>
    <row r="741" ht="14.25" customHeight="1" s="66">
      <c r="A741" s="50" t="n"/>
    </row>
    <row r="742" ht="14.25" customHeight="1" s="66">
      <c r="A742" s="50" t="n"/>
    </row>
    <row r="743" ht="14.25" customHeight="1" s="66">
      <c r="A743" s="50" t="n"/>
    </row>
    <row r="744" ht="14.25" customHeight="1" s="66">
      <c r="A744" s="50" t="n"/>
    </row>
    <row r="745" ht="14.25" customHeight="1" s="66">
      <c r="A745" s="50" t="n"/>
    </row>
    <row r="746" ht="14.25" customHeight="1" s="66">
      <c r="A746" s="50" t="n"/>
    </row>
    <row r="747" ht="14.25" customHeight="1" s="66">
      <c r="A747" s="50" t="n"/>
    </row>
    <row r="748" ht="14.25" customHeight="1" s="66">
      <c r="A748" s="50" t="n"/>
    </row>
    <row r="749" ht="14.25" customHeight="1" s="66">
      <c r="A749" s="50" t="n"/>
    </row>
    <row r="750" ht="14.25" customHeight="1" s="66">
      <c r="A750" s="50" t="n"/>
    </row>
    <row r="751" ht="14.25" customHeight="1" s="66">
      <c r="A751" s="50" t="n"/>
    </row>
    <row r="752" ht="14.25" customHeight="1" s="66">
      <c r="A752" s="50" t="n"/>
    </row>
    <row r="753" ht="14.25" customHeight="1" s="66">
      <c r="A753" s="50" t="n"/>
    </row>
    <row r="754" ht="14.25" customHeight="1" s="66">
      <c r="A754" s="50" t="n"/>
    </row>
    <row r="755" ht="14.25" customHeight="1" s="66">
      <c r="A755" s="50" t="n"/>
    </row>
    <row r="756" ht="14.25" customHeight="1" s="66">
      <c r="A756" s="50" t="n"/>
    </row>
    <row r="757" ht="14.25" customHeight="1" s="66">
      <c r="A757" s="50" t="n"/>
    </row>
    <row r="758" ht="14.25" customHeight="1" s="66">
      <c r="A758" s="50" t="n"/>
    </row>
    <row r="759" ht="14.25" customHeight="1" s="66">
      <c r="A759" s="50" t="n"/>
    </row>
    <row r="760" ht="14.25" customHeight="1" s="66">
      <c r="A760" s="50" t="n"/>
    </row>
    <row r="761" ht="14.25" customHeight="1" s="66">
      <c r="A761" s="50" t="n"/>
    </row>
    <row r="762" ht="14.25" customHeight="1" s="66">
      <c r="A762" s="50" t="n"/>
    </row>
    <row r="763" ht="14.25" customHeight="1" s="66">
      <c r="A763" s="50" t="n"/>
    </row>
    <row r="764" ht="14.25" customHeight="1" s="66">
      <c r="A764" s="50" t="n"/>
    </row>
    <row r="765" ht="14.25" customHeight="1" s="66">
      <c r="A765" s="50" t="n"/>
    </row>
    <row r="766" ht="14.25" customHeight="1" s="66">
      <c r="A766" s="50" t="n"/>
    </row>
    <row r="767" ht="14.25" customHeight="1" s="66">
      <c r="A767" s="50" t="n"/>
    </row>
    <row r="768" ht="14.25" customHeight="1" s="66">
      <c r="A768" s="50" t="n"/>
    </row>
    <row r="769" ht="14.25" customHeight="1" s="66">
      <c r="A769" s="50" t="n"/>
    </row>
    <row r="770" ht="14.25" customHeight="1" s="66">
      <c r="A770" s="50" t="n"/>
    </row>
    <row r="771" ht="14.25" customHeight="1" s="66">
      <c r="A771" s="50" t="n"/>
    </row>
    <row r="772" ht="14.25" customHeight="1" s="66">
      <c r="A772" s="50" t="n"/>
    </row>
    <row r="773" ht="14.25" customHeight="1" s="66">
      <c r="A773" s="50" t="n"/>
    </row>
    <row r="774" ht="14.25" customHeight="1" s="66">
      <c r="A774" s="50" t="n"/>
    </row>
    <row r="775" ht="14.25" customHeight="1" s="66">
      <c r="A775" s="50" t="n"/>
    </row>
    <row r="776" ht="14.25" customHeight="1" s="66">
      <c r="A776" s="50" t="n"/>
    </row>
    <row r="777" ht="14.25" customHeight="1" s="66">
      <c r="A777" s="50" t="n"/>
    </row>
    <row r="778" ht="14.25" customHeight="1" s="66">
      <c r="A778" s="50" t="n"/>
    </row>
    <row r="779" ht="14.25" customHeight="1" s="66">
      <c r="A779" s="50" t="n"/>
    </row>
    <row r="780" ht="14.25" customHeight="1" s="66">
      <c r="A780" s="50" t="n"/>
    </row>
    <row r="781" ht="14.25" customHeight="1" s="66">
      <c r="A781" s="50" t="n"/>
    </row>
    <row r="782" ht="14.25" customHeight="1" s="66">
      <c r="A782" s="50" t="n"/>
    </row>
    <row r="783" ht="14.25" customHeight="1" s="66">
      <c r="A783" s="50" t="n"/>
    </row>
    <row r="784" ht="14.25" customHeight="1" s="66">
      <c r="A784" s="50" t="n"/>
    </row>
    <row r="785" ht="14.25" customHeight="1" s="66">
      <c r="A785" s="50" t="n"/>
    </row>
    <row r="786" ht="14.25" customHeight="1" s="66">
      <c r="A786" s="50" t="n"/>
    </row>
    <row r="787" ht="14.25" customHeight="1" s="66">
      <c r="A787" s="50" t="n"/>
    </row>
    <row r="788" ht="14.25" customHeight="1" s="66">
      <c r="A788" s="50" t="n"/>
    </row>
    <row r="789" ht="14.25" customHeight="1" s="66">
      <c r="A789" s="50" t="n"/>
    </row>
    <row r="790" ht="14.25" customHeight="1" s="66">
      <c r="A790" s="50" t="n"/>
    </row>
    <row r="791" ht="14.25" customHeight="1" s="66">
      <c r="A791" s="50" t="n"/>
    </row>
    <row r="792" ht="14.25" customHeight="1" s="66">
      <c r="A792" s="50" t="n"/>
    </row>
    <row r="793" ht="14.25" customHeight="1" s="66">
      <c r="A793" s="50" t="n"/>
    </row>
    <row r="794" ht="14.25" customHeight="1" s="66">
      <c r="A794" s="50" t="n"/>
    </row>
    <row r="795" ht="14.25" customHeight="1" s="66">
      <c r="A795" s="50" t="n"/>
    </row>
    <row r="796" ht="14.25" customHeight="1" s="66">
      <c r="A796" s="50" t="n"/>
    </row>
    <row r="797" ht="14.25" customHeight="1" s="66">
      <c r="A797" s="50" t="n"/>
    </row>
    <row r="798" ht="14.25" customHeight="1" s="66">
      <c r="A798" s="50" t="n"/>
    </row>
    <row r="799" ht="14.25" customHeight="1" s="66">
      <c r="A799" s="50" t="n"/>
    </row>
    <row r="800" ht="14.25" customHeight="1" s="66">
      <c r="A800" s="50" t="n"/>
    </row>
    <row r="801" ht="14.25" customHeight="1" s="66">
      <c r="A801" s="50" t="n"/>
    </row>
    <row r="802" ht="14.25" customHeight="1" s="66">
      <c r="A802" s="50" t="n"/>
    </row>
    <row r="803" ht="14.25" customHeight="1" s="66">
      <c r="A803" s="50" t="n"/>
    </row>
    <row r="804" ht="14.25" customHeight="1" s="66">
      <c r="A804" s="50" t="n"/>
    </row>
    <row r="805" ht="14.25" customHeight="1" s="66">
      <c r="A805" s="50" t="n"/>
    </row>
    <row r="806" ht="14.25" customHeight="1" s="66">
      <c r="A806" s="50" t="n"/>
    </row>
    <row r="807" ht="14.25" customHeight="1" s="66">
      <c r="A807" s="50" t="n"/>
    </row>
    <row r="808" ht="14.25" customHeight="1" s="66">
      <c r="A808" s="50" t="n"/>
    </row>
    <row r="809" ht="14.25" customHeight="1" s="66">
      <c r="A809" s="50" t="n"/>
    </row>
    <row r="810" ht="14.25" customHeight="1" s="66">
      <c r="A810" s="50" t="n"/>
    </row>
    <row r="811" ht="14.25" customHeight="1" s="66">
      <c r="A811" s="50" t="n"/>
    </row>
    <row r="812" ht="14.25" customHeight="1" s="66">
      <c r="A812" s="50" t="n"/>
    </row>
    <row r="813" ht="14.25" customHeight="1" s="66">
      <c r="A813" s="50" t="n"/>
    </row>
    <row r="814" ht="14.25" customHeight="1" s="66">
      <c r="A814" s="50" t="n"/>
    </row>
    <row r="815" ht="14.25" customHeight="1" s="66">
      <c r="A815" s="50" t="n"/>
    </row>
    <row r="816" ht="14.25" customHeight="1" s="66">
      <c r="A816" s="50" t="n"/>
    </row>
    <row r="817" ht="14.25" customHeight="1" s="66">
      <c r="A817" s="50" t="n"/>
    </row>
    <row r="818" ht="14.25" customHeight="1" s="66">
      <c r="A818" s="50" t="n"/>
    </row>
    <row r="819" ht="14.25" customHeight="1" s="66">
      <c r="A819" s="50" t="n"/>
    </row>
    <row r="820" ht="14.25" customHeight="1" s="66">
      <c r="A820" s="50" t="n"/>
    </row>
    <row r="821" ht="14.25" customHeight="1" s="66">
      <c r="A821" s="50" t="n"/>
    </row>
    <row r="822" ht="14.25" customHeight="1" s="66">
      <c r="A822" s="50" t="n"/>
    </row>
    <row r="823" ht="14.25" customHeight="1" s="66">
      <c r="A823" s="50" t="n"/>
    </row>
    <row r="824" ht="14.25" customHeight="1" s="66">
      <c r="A824" s="50" t="n"/>
    </row>
    <row r="825" ht="14.25" customHeight="1" s="66">
      <c r="A825" s="50" t="n"/>
    </row>
    <row r="826" ht="14.25" customHeight="1" s="66">
      <c r="A826" s="50" t="n"/>
    </row>
    <row r="827" ht="14.25" customHeight="1" s="66">
      <c r="A827" s="50" t="n"/>
    </row>
    <row r="828" ht="14.25" customHeight="1" s="66">
      <c r="A828" s="50" t="n"/>
    </row>
    <row r="829" ht="14.25" customHeight="1" s="66">
      <c r="A829" s="50" t="n"/>
    </row>
    <row r="830" ht="14.25" customHeight="1" s="66">
      <c r="A830" s="50" t="n"/>
    </row>
    <row r="831" ht="14.25" customHeight="1" s="66">
      <c r="A831" s="50" t="n"/>
    </row>
    <row r="832" ht="14.25" customHeight="1" s="66">
      <c r="A832" s="50" t="n"/>
    </row>
    <row r="833" ht="14.25" customHeight="1" s="66">
      <c r="A833" s="50" t="n"/>
    </row>
    <row r="834" ht="14.25" customHeight="1" s="66">
      <c r="A834" s="50" t="n"/>
    </row>
    <row r="835" ht="14.25" customHeight="1" s="66">
      <c r="A835" s="50" t="n"/>
    </row>
    <row r="836" ht="14.25" customHeight="1" s="66">
      <c r="A836" s="50" t="n"/>
    </row>
    <row r="837" ht="14.25" customHeight="1" s="66">
      <c r="A837" s="50" t="n"/>
    </row>
    <row r="838" ht="14.25" customHeight="1" s="66">
      <c r="A838" s="50" t="n"/>
    </row>
    <row r="839" ht="14.25" customHeight="1" s="66">
      <c r="A839" s="50" t="n"/>
    </row>
    <row r="840" ht="14.25" customHeight="1" s="66">
      <c r="A840" s="50" t="n"/>
    </row>
    <row r="841" ht="14.25" customHeight="1" s="66">
      <c r="A841" s="50" t="n"/>
    </row>
    <row r="842" ht="14.25" customHeight="1" s="66">
      <c r="A842" s="50" t="n"/>
    </row>
    <row r="843" ht="14.25" customHeight="1" s="66">
      <c r="A843" s="50" t="n"/>
    </row>
    <row r="844" ht="14.25" customHeight="1" s="66">
      <c r="A844" s="50" t="n"/>
    </row>
    <row r="845" ht="14.25" customHeight="1" s="66">
      <c r="A845" s="50" t="n"/>
    </row>
    <row r="846" ht="14.25" customHeight="1" s="66">
      <c r="A846" s="50" t="n"/>
    </row>
    <row r="847" ht="14.25" customHeight="1" s="66">
      <c r="A847" s="50" t="n"/>
    </row>
    <row r="848" ht="14.25" customHeight="1" s="66">
      <c r="A848" s="50" t="n"/>
    </row>
    <row r="849" ht="14.25" customHeight="1" s="66">
      <c r="A849" s="50" t="n"/>
    </row>
    <row r="850" ht="14.25" customHeight="1" s="66">
      <c r="A850" s="50" t="n"/>
    </row>
    <row r="851" ht="14.25" customHeight="1" s="66">
      <c r="A851" s="50" t="n"/>
    </row>
    <row r="852" ht="14.25" customHeight="1" s="66">
      <c r="A852" s="50" t="n"/>
    </row>
    <row r="853" ht="14.25" customHeight="1" s="66">
      <c r="A853" s="50" t="n"/>
    </row>
    <row r="854" ht="14.25" customHeight="1" s="66">
      <c r="A854" s="50" t="n"/>
    </row>
    <row r="855" ht="14.25" customHeight="1" s="66">
      <c r="A855" s="50" t="n"/>
    </row>
    <row r="856" ht="14.25" customHeight="1" s="66">
      <c r="A856" s="50" t="n"/>
    </row>
    <row r="857" ht="14.25" customHeight="1" s="66">
      <c r="A857" s="50" t="n"/>
    </row>
    <row r="858" ht="14.25" customHeight="1" s="66">
      <c r="A858" s="50" t="n"/>
    </row>
    <row r="859" ht="14.25" customHeight="1" s="66">
      <c r="A859" s="50" t="n"/>
    </row>
    <row r="860" ht="14.25" customHeight="1" s="66">
      <c r="A860" s="50" t="n"/>
    </row>
    <row r="861" ht="14.25" customHeight="1" s="66">
      <c r="A861" s="50" t="n"/>
    </row>
    <row r="862" ht="14.25" customHeight="1" s="66">
      <c r="A862" s="50" t="n"/>
    </row>
    <row r="863" ht="14.25" customHeight="1" s="66">
      <c r="A863" s="50" t="n"/>
    </row>
    <row r="864" ht="14.25" customHeight="1" s="66">
      <c r="A864" s="50" t="n"/>
    </row>
    <row r="865" ht="14.25" customHeight="1" s="66">
      <c r="A865" s="50" t="n"/>
    </row>
    <row r="866" ht="14.25" customHeight="1" s="66">
      <c r="A866" s="50" t="n"/>
    </row>
    <row r="867" ht="14.25" customHeight="1" s="66">
      <c r="A867" s="50" t="n"/>
    </row>
    <row r="868" ht="14.25" customHeight="1" s="66">
      <c r="A868" s="50" t="n"/>
    </row>
    <row r="869" ht="14.25" customHeight="1" s="66">
      <c r="A869" s="50" t="n"/>
    </row>
    <row r="870" ht="14.25" customHeight="1" s="66">
      <c r="A870" s="50" t="n"/>
    </row>
    <row r="871" ht="14.25" customHeight="1" s="66">
      <c r="A871" s="50" t="n"/>
    </row>
    <row r="872" ht="14.25" customHeight="1" s="66">
      <c r="A872" s="50" t="n"/>
    </row>
    <row r="873" ht="14.25" customHeight="1" s="66">
      <c r="A873" s="50" t="n"/>
    </row>
    <row r="874" ht="14.25" customHeight="1" s="66">
      <c r="A874" s="50" t="n"/>
    </row>
    <row r="875" ht="14.25" customHeight="1" s="66">
      <c r="A875" s="50" t="n"/>
    </row>
    <row r="876" ht="14.25" customHeight="1" s="66">
      <c r="A876" s="50" t="n"/>
    </row>
    <row r="877" ht="14.25" customHeight="1" s="66">
      <c r="A877" s="50" t="n"/>
    </row>
    <row r="878" ht="14.25" customHeight="1" s="66">
      <c r="A878" s="50" t="n"/>
    </row>
    <row r="879" ht="14.25" customHeight="1" s="66">
      <c r="A879" s="50" t="n"/>
    </row>
    <row r="880" ht="14.25" customHeight="1" s="66">
      <c r="A880" s="50" t="n"/>
    </row>
    <row r="881" ht="14.25" customHeight="1" s="66">
      <c r="A881" s="50" t="n"/>
    </row>
    <row r="882" ht="14.25" customHeight="1" s="66">
      <c r="A882" s="50" t="n"/>
    </row>
    <row r="883" ht="14.25" customHeight="1" s="66">
      <c r="A883" s="50" t="n"/>
    </row>
    <row r="884" ht="14.25" customHeight="1" s="66">
      <c r="A884" s="50" t="n"/>
    </row>
    <row r="885" ht="14.25" customHeight="1" s="66">
      <c r="A885" s="50" t="n"/>
    </row>
    <row r="886" ht="14.25" customHeight="1" s="66">
      <c r="A886" s="50" t="n"/>
    </row>
    <row r="887" ht="14.25" customHeight="1" s="66">
      <c r="A887" s="50" t="n"/>
    </row>
    <row r="888" ht="14.25" customHeight="1" s="66">
      <c r="A888" s="50" t="n"/>
    </row>
    <row r="889" ht="14.25" customHeight="1" s="66">
      <c r="A889" s="50" t="n"/>
    </row>
    <row r="890" ht="14.25" customHeight="1" s="66">
      <c r="A890" s="50" t="n"/>
    </row>
    <row r="891" ht="14.25" customHeight="1" s="66">
      <c r="A891" s="50" t="n"/>
    </row>
    <row r="892" ht="14.25" customHeight="1" s="66">
      <c r="A892" s="50" t="n"/>
    </row>
    <row r="893" ht="14.25" customHeight="1" s="66">
      <c r="A893" s="50" t="n"/>
    </row>
    <row r="894" ht="14.25" customHeight="1" s="66">
      <c r="A894" s="50" t="n"/>
    </row>
    <row r="895" ht="14.25" customHeight="1" s="66">
      <c r="A895" s="50" t="n"/>
    </row>
    <row r="896" ht="14.25" customHeight="1" s="66">
      <c r="A896" s="50" t="n"/>
    </row>
    <row r="897" ht="14.25" customHeight="1" s="66">
      <c r="A897" s="50" t="n"/>
    </row>
    <row r="898" ht="14.25" customHeight="1" s="66">
      <c r="A898" s="50" t="n"/>
    </row>
    <row r="899" ht="14.25" customHeight="1" s="66">
      <c r="A899" s="50" t="n"/>
    </row>
    <row r="900" ht="14.25" customHeight="1" s="66">
      <c r="A900" s="50" t="n"/>
    </row>
    <row r="901" ht="14.25" customHeight="1" s="66">
      <c r="A901" s="50" t="n"/>
    </row>
    <row r="902" ht="14.25" customHeight="1" s="66">
      <c r="A902" s="50" t="n"/>
    </row>
    <row r="903" ht="14.25" customHeight="1" s="66">
      <c r="A903" s="50" t="n"/>
    </row>
    <row r="904" ht="14.25" customHeight="1" s="66">
      <c r="A904" s="50" t="n"/>
    </row>
    <row r="905" ht="14.25" customHeight="1" s="66">
      <c r="A905" s="50" t="n"/>
    </row>
    <row r="906" ht="14.25" customHeight="1" s="66">
      <c r="A906" s="50" t="n"/>
    </row>
    <row r="907" ht="14.25" customHeight="1" s="66">
      <c r="A907" s="50" t="n"/>
    </row>
    <row r="908" ht="14.25" customHeight="1" s="66">
      <c r="A908" s="50" t="n"/>
    </row>
    <row r="909" ht="14.25" customHeight="1" s="66">
      <c r="A909" s="50" t="n"/>
    </row>
    <row r="910" ht="14.25" customHeight="1" s="66">
      <c r="A910" s="50" t="n"/>
    </row>
    <row r="911" ht="14.25" customHeight="1" s="66">
      <c r="A911" s="50" t="n"/>
    </row>
    <row r="912" ht="14.25" customHeight="1" s="66">
      <c r="A912" s="50" t="n"/>
    </row>
    <row r="913" ht="14.25" customHeight="1" s="66">
      <c r="A913" s="50" t="n"/>
    </row>
    <row r="914" ht="14.25" customHeight="1" s="66">
      <c r="A914" s="50" t="n"/>
    </row>
    <row r="915" ht="14.25" customHeight="1" s="66">
      <c r="A915" s="50" t="n"/>
    </row>
    <row r="916" ht="14.25" customHeight="1" s="66">
      <c r="A916" s="50" t="n"/>
    </row>
    <row r="917" ht="14.25" customHeight="1" s="66">
      <c r="A917" s="50" t="n"/>
    </row>
    <row r="918" ht="14.25" customHeight="1" s="66">
      <c r="A918" s="50" t="n"/>
    </row>
    <row r="919" ht="14.25" customHeight="1" s="66">
      <c r="A919" s="50" t="n"/>
    </row>
    <row r="920" ht="14.25" customHeight="1" s="66">
      <c r="A920" s="50" t="n"/>
    </row>
    <row r="921" ht="14.25" customHeight="1" s="66">
      <c r="A921" s="50" t="n"/>
    </row>
    <row r="922" ht="14.25" customHeight="1" s="66">
      <c r="A922" s="50" t="n"/>
    </row>
    <row r="923" ht="14.25" customHeight="1" s="66">
      <c r="A923" s="50" t="n"/>
    </row>
    <row r="924" ht="14.25" customHeight="1" s="66">
      <c r="A924" s="50" t="n"/>
    </row>
    <row r="925" ht="14.25" customHeight="1" s="66">
      <c r="A925" s="50" t="n"/>
    </row>
    <row r="926" ht="14.25" customHeight="1" s="66">
      <c r="A926" s="50" t="n"/>
    </row>
    <row r="927" ht="14.25" customHeight="1" s="66">
      <c r="A927" s="50" t="n"/>
    </row>
    <row r="928" ht="14.25" customHeight="1" s="66">
      <c r="A928" s="50" t="n"/>
    </row>
    <row r="929" ht="14.25" customHeight="1" s="66">
      <c r="A929" s="50" t="n"/>
    </row>
    <row r="930" ht="14.25" customHeight="1" s="66">
      <c r="A930" s="50" t="n"/>
    </row>
    <row r="931" ht="14.25" customHeight="1" s="66">
      <c r="A931" s="50" t="n"/>
    </row>
    <row r="932" ht="14.25" customHeight="1" s="66">
      <c r="A932" s="50" t="n"/>
    </row>
    <row r="933" ht="14.25" customHeight="1" s="66">
      <c r="A933" s="50" t="n"/>
    </row>
    <row r="934" ht="14.25" customHeight="1" s="66">
      <c r="A934" s="50" t="n"/>
    </row>
    <row r="935" ht="14.25" customHeight="1" s="66">
      <c r="A935" s="50" t="n"/>
    </row>
    <row r="936" ht="14.25" customHeight="1" s="66">
      <c r="A936" s="50" t="n"/>
    </row>
    <row r="937" ht="14.25" customHeight="1" s="66">
      <c r="A937" s="50" t="n"/>
    </row>
    <row r="938" ht="14.25" customHeight="1" s="66">
      <c r="A938" s="50" t="n"/>
    </row>
    <row r="939" ht="14.25" customHeight="1" s="66">
      <c r="A939" s="50" t="n"/>
    </row>
    <row r="940" ht="14.25" customHeight="1" s="66">
      <c r="A940" s="50" t="n"/>
    </row>
    <row r="941" ht="14.25" customHeight="1" s="66">
      <c r="A941" s="50" t="n"/>
    </row>
    <row r="942" ht="14.25" customHeight="1" s="66">
      <c r="A942" s="50" t="n"/>
    </row>
    <row r="943" ht="14.25" customHeight="1" s="66">
      <c r="A943" s="50" t="n"/>
    </row>
    <row r="944" ht="14.25" customHeight="1" s="66">
      <c r="A944" s="50" t="n"/>
    </row>
    <row r="945" ht="14.25" customHeight="1" s="66">
      <c r="A945" s="50" t="n"/>
    </row>
    <row r="946" ht="14.25" customHeight="1" s="66">
      <c r="A946" s="50" t="n"/>
    </row>
    <row r="947" ht="14.25" customHeight="1" s="66">
      <c r="A947" s="50" t="n"/>
    </row>
    <row r="948" ht="14.25" customHeight="1" s="66">
      <c r="A948" s="50" t="n"/>
    </row>
    <row r="949" ht="14.25" customHeight="1" s="66">
      <c r="A949" s="50" t="n"/>
    </row>
    <row r="950" ht="14.25" customHeight="1" s="66">
      <c r="A950" s="50" t="n"/>
    </row>
    <row r="951" ht="14.25" customHeight="1" s="66">
      <c r="A951" s="50" t="n"/>
    </row>
    <row r="952" ht="14.25" customHeight="1" s="66">
      <c r="A952" s="50" t="n"/>
    </row>
    <row r="953" ht="14.25" customHeight="1" s="66">
      <c r="A953" s="50" t="n"/>
    </row>
    <row r="954" ht="14.25" customHeight="1" s="66">
      <c r="A954" s="50" t="n"/>
    </row>
    <row r="955" ht="14.25" customHeight="1" s="66">
      <c r="A955" s="50" t="n"/>
    </row>
    <row r="956" ht="14.25" customHeight="1" s="66">
      <c r="A956" s="50" t="n"/>
    </row>
    <row r="957" ht="14.25" customHeight="1" s="66">
      <c r="A957" s="50" t="n"/>
    </row>
    <row r="958" ht="14.25" customHeight="1" s="66">
      <c r="A958" s="50" t="n"/>
    </row>
    <row r="959" ht="14.25" customHeight="1" s="66">
      <c r="A959" s="50" t="n"/>
    </row>
    <row r="960" ht="14.25" customHeight="1" s="66">
      <c r="A960" s="50" t="n"/>
    </row>
    <row r="961" ht="14.25" customHeight="1" s="66">
      <c r="A961" s="50" t="n"/>
    </row>
    <row r="962" ht="14.25" customHeight="1" s="66">
      <c r="A962" s="50" t="n"/>
    </row>
    <row r="963" ht="14.25" customHeight="1" s="66">
      <c r="A963" s="50" t="n"/>
    </row>
    <row r="964" ht="14.25" customHeight="1" s="66">
      <c r="A964" s="50" t="n"/>
    </row>
    <row r="965" ht="14.25" customHeight="1" s="66">
      <c r="A965" s="50" t="n"/>
    </row>
    <row r="966" ht="14.25" customHeight="1" s="66">
      <c r="A966" s="50" t="n"/>
    </row>
    <row r="967" ht="14.25" customHeight="1" s="66">
      <c r="A967" s="50" t="n"/>
    </row>
    <row r="968" ht="14.25" customHeight="1" s="66">
      <c r="A968" s="50" t="n"/>
    </row>
    <row r="969" ht="14.25" customHeight="1" s="66">
      <c r="A969" s="50" t="n"/>
    </row>
    <row r="970" ht="14.25" customHeight="1" s="66">
      <c r="A970" s="50" t="n"/>
    </row>
    <row r="971" ht="14.25" customHeight="1" s="66">
      <c r="A971" s="50" t="n"/>
    </row>
    <row r="972" ht="14.25" customHeight="1" s="66">
      <c r="A972" s="50" t="n"/>
    </row>
    <row r="973" ht="14.25" customHeight="1" s="66">
      <c r="A973" s="50" t="n"/>
    </row>
    <row r="974" ht="14.25" customHeight="1" s="66">
      <c r="A974" s="50" t="n"/>
    </row>
    <row r="975" ht="14.25" customHeight="1" s="66">
      <c r="A975" s="50" t="n"/>
    </row>
    <row r="976" ht="14.25" customHeight="1" s="66">
      <c r="A976" s="50" t="n"/>
    </row>
    <row r="977" ht="14.25" customHeight="1" s="66">
      <c r="A977" s="50" t="n"/>
    </row>
    <row r="978" ht="14.25" customHeight="1" s="66">
      <c r="A978" s="50" t="n"/>
    </row>
    <row r="979" ht="14.25" customHeight="1" s="66">
      <c r="A979" s="50" t="n"/>
    </row>
    <row r="980" ht="14.25" customHeight="1" s="66">
      <c r="A980" s="50" t="n"/>
    </row>
    <row r="981" ht="14.25" customHeight="1" s="66">
      <c r="A981" s="50" t="n"/>
    </row>
    <row r="982" ht="14.25" customHeight="1" s="66">
      <c r="A982" s="50" t="n"/>
    </row>
    <row r="983" ht="14.25" customHeight="1" s="66">
      <c r="A983" s="50" t="n"/>
    </row>
    <row r="984" ht="14.25" customHeight="1" s="66">
      <c r="A984" s="50" t="n"/>
    </row>
    <row r="985" ht="14.25" customHeight="1" s="66">
      <c r="A985" s="50" t="n"/>
    </row>
    <row r="986" ht="14.25" customHeight="1" s="66">
      <c r="A986" s="50" t="n"/>
    </row>
    <row r="987" ht="14.25" customHeight="1" s="66">
      <c r="A987" s="50" t="n"/>
    </row>
    <row r="988" ht="14.25" customHeight="1" s="66">
      <c r="A988" s="50" t="n"/>
    </row>
    <row r="989" ht="14.25" customHeight="1" s="66">
      <c r="A989" s="50" t="n"/>
    </row>
    <row r="990" ht="14.25" customHeight="1" s="66">
      <c r="A990" s="50" t="n"/>
    </row>
    <row r="991" ht="14.25" customHeight="1" s="66">
      <c r="A991" s="50" t="n"/>
    </row>
    <row r="992" ht="14.25" customHeight="1" s="66">
      <c r="A992" s="50" t="n"/>
    </row>
    <row r="993" ht="14.25" customHeight="1" s="66">
      <c r="A993" s="50" t="n"/>
    </row>
    <row r="994" ht="14.25" customHeight="1" s="66">
      <c r="A994" s="50" t="n"/>
    </row>
    <row r="995" ht="14.25" customHeight="1" s="66">
      <c r="A995" s="50" t="n"/>
    </row>
    <row r="996" ht="14.25" customHeight="1" s="66">
      <c r="A996" s="50" t="n"/>
    </row>
    <row r="997" ht="14.25" customHeight="1" s="66">
      <c r="A997" s="50" t="n"/>
    </row>
    <row r="998" ht="14.25" customHeight="1" s="66">
      <c r="A998" s="50" t="n"/>
    </row>
    <row r="999" ht="14.25" customHeight="1" s="66">
      <c r="A999" s="50" t="n"/>
    </row>
    <row r="1000" ht="14.25" customHeight="1" s="66">
      <c r="A1000" s="50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000"/>
  <sheetViews>
    <sheetView workbookViewId="0">
      <pane xSplit="10" ySplit="13" topLeftCell="K14" activePane="bottomRight" state="frozen"/>
      <selection pane="topRight" activeCell="K1" sqref="K1"/>
      <selection pane="bottomLeft" activeCell="A14" sqref="A14"/>
      <selection pane="bottomRight" activeCell="K14" sqref="K14"/>
    </sheetView>
  </sheetViews>
  <sheetFormatPr baseColWidth="8" defaultColWidth="14.43" defaultRowHeight="15" customHeight="1"/>
  <cols>
    <col width="31.86" customWidth="1" style="66" min="1" max="1"/>
    <col width="62.71" customWidth="1" style="66" min="2" max="2"/>
    <col width="20.57" customWidth="1" style="66" min="3" max="3"/>
    <col width="12.14" customWidth="1" style="66" min="4" max="4"/>
    <col width="18.86" customWidth="1" style="66" min="5" max="5"/>
    <col width="10" customWidth="1" style="66" min="6" max="6"/>
    <col width="11.14" customWidth="1" style="66" min="7" max="7"/>
    <col width="11.29" customWidth="1" style="66" min="8" max="8"/>
    <col width="10" customWidth="1" style="66" min="9" max="9"/>
    <col width="7.43" customWidth="1" style="66" min="10" max="10"/>
    <col width="8.57" customWidth="1" style="66" min="11" max="11"/>
    <col width="7.71" customWidth="1" style="66" min="12" max="12"/>
    <col width="9.859999999999999" customWidth="1" style="66" min="13" max="13"/>
    <col width="7.14" customWidth="1" style="66" min="14" max="14"/>
    <col width="9.43" customWidth="1" style="66" min="15" max="15"/>
    <col width="13.43" customWidth="1" style="66" min="16" max="16"/>
    <col width="13.29" customWidth="1" style="66" min="17" max="17"/>
    <col width="9.289999999999999" customWidth="1" style="66" min="18" max="18"/>
    <col width="9.43" customWidth="1" style="66" min="19" max="19"/>
    <col width="10" customWidth="1" style="66" min="20" max="20"/>
    <col width="6.43" customWidth="1" style="66" min="21" max="21"/>
    <col width="9" customWidth="1" style="66" min="22" max="22"/>
    <col width="8.289999999999999" customWidth="1" style="66" min="23" max="23"/>
    <col width="13" customWidth="1" style="66" min="24" max="24"/>
    <col width="9.43" customWidth="1" style="66" min="25" max="25"/>
    <col width="10" customWidth="1" style="66" min="26" max="26"/>
    <col width="13.43" customWidth="1" style="66" min="27" max="27"/>
    <col width="10" customWidth="1" style="66" min="28" max="28"/>
    <col width="13" customWidth="1" style="66" min="29" max="29"/>
    <col width="8.710000000000001" customWidth="1" style="66" min="30" max="30"/>
    <col width="13" customWidth="1" style="66" min="31" max="31"/>
    <col width="9" customWidth="1" style="66" min="32" max="32"/>
    <col width="6.86" customWidth="1" style="66" min="33" max="33"/>
    <col width="10.43" customWidth="1" style="66" min="34" max="34"/>
    <col width="8.57" customWidth="1" style="66" min="35" max="35"/>
    <col width="9.710000000000001" customWidth="1" style="66" min="36" max="36"/>
    <col width="6.43" customWidth="1" style="66" min="37" max="37"/>
    <col width="9.140000000000001" customWidth="1" style="66" min="38" max="38"/>
    <col width="13" customWidth="1" style="66" min="39" max="40"/>
    <col width="8.710000000000001" customWidth="1" style="66" min="41" max="41"/>
  </cols>
  <sheetData>
    <row r="1" ht="15" customHeight="1" s="66">
      <c r="A1" s="1" t="n"/>
      <c r="B1" s="1" t="inlineStr">
        <is>
          <t>ПАРАМЕТРЫ — меняй жёлтые ячейки, всё пересчитается</t>
        </is>
      </c>
      <c r="C1" s="1" t="n"/>
    </row>
    <row r="2" ht="14.25" customHeight="1" s="66">
      <c r="C2" s="4" t="n"/>
    </row>
    <row r="3" ht="14.25" customHeight="1" s="66">
      <c r="A3" s="4" t="n"/>
      <c r="B3" s="4" t="inlineStr">
        <is>
          <t>Налог с оборота</t>
        </is>
      </c>
      <c r="C3" s="4" t="n"/>
      <c r="J3" s="5" t="n">
        <v>0.07000000000000001</v>
      </c>
    </row>
    <row r="4" ht="14.25" customHeight="1" s="66">
      <c r="A4" s="4" t="n"/>
      <c r="B4" s="4" t="inlineStr">
        <is>
          <t>Эквайринг</t>
        </is>
      </c>
      <c r="C4" s="4" t="n"/>
      <c r="J4" s="10" t="n">
        <v>0.015</v>
      </c>
    </row>
    <row r="5" ht="14.25" customHeight="1" s="66">
      <c r="A5" s="4" t="n"/>
      <c r="B5" s="4" t="inlineStr">
        <is>
          <t>Фулфилмент, ₽/шт</t>
        </is>
      </c>
      <c r="C5" s="4" t="n"/>
      <c r="J5" s="7" t="n">
        <v>60</v>
      </c>
    </row>
    <row r="6" ht="14.25" customHeight="1" s="66">
      <c r="A6" s="4" t="n"/>
      <c r="B6" s="4" t="inlineStr">
        <is>
          <t>Хранение, ₽/л/день</t>
        </is>
      </c>
      <c r="C6" s="4" t="n"/>
      <c r="J6" s="8" t="n">
        <v>0.16</v>
      </c>
    </row>
    <row r="7" ht="14.25" customHeight="1" s="66">
      <c r="A7" s="4" t="n"/>
      <c r="B7" s="4" t="inlineStr">
        <is>
          <t>Дней хранения</t>
        </is>
      </c>
      <c r="C7" s="4" t="n"/>
      <c r="J7" s="7" t="n">
        <v>0</v>
      </c>
    </row>
    <row r="8" ht="14.25" customHeight="1" s="66">
      <c r="A8" s="4" t="n"/>
      <c r="B8" s="4" t="inlineStr">
        <is>
          <t>Наценка за нелокальные продажи %</t>
        </is>
      </c>
      <c r="C8" s="4" t="n"/>
      <c r="J8" s="10" t="n">
        <v>0.02</v>
      </c>
    </row>
    <row r="9" ht="14.25" customHeight="1" s="66">
      <c r="A9" s="4" t="n"/>
      <c r="B9" s="4" t="inlineStr">
        <is>
          <t>Кроссдок: обработка (склады/СЦ) ₽/л</t>
        </is>
      </c>
      <c r="C9" s="4" t="n"/>
      <c r="J9" s="8" t="n">
        <v>0.75</v>
      </c>
    </row>
    <row r="10" ht="14.25" customHeight="1" s="66">
      <c r="A10" s="4" t="n"/>
      <c r="B10" s="4" t="inlineStr">
        <is>
          <t>Кроссдок: перевозка ₽/л (средн. 26 скл.)</t>
        </is>
      </c>
      <c r="C10" s="4" t="n"/>
      <c r="J10" s="8" t="n">
        <v>4.423</v>
      </c>
    </row>
    <row r="11" ht="14.25" customHeight="1" s="66">
      <c r="B11" s="9" t="inlineStr">
        <is>
          <t>Подписка, %</t>
        </is>
      </c>
      <c r="C11" s="4" t="n"/>
      <c r="J11" s="10" t="n">
        <v>0.03</v>
      </c>
    </row>
    <row r="12" ht="14.25" customHeight="1" s="66">
      <c r="B12" s="9" t="inlineStr">
        <is>
          <t>Отгрузка на ПВЗ, ₽</t>
        </is>
      </c>
      <c r="C12" s="4" t="n"/>
      <c r="J12" s="7" t="n">
        <v>10</v>
      </c>
    </row>
    <row r="13" ht="31.5" customHeight="1" s="66">
      <c r="A13" s="11" t="inlineStr">
        <is>
          <t>Артикул SKU</t>
        </is>
      </c>
      <c r="B13" s="12" t="inlineStr">
        <is>
          <t>Товар</t>
        </is>
      </c>
      <c r="C13" s="12" t="n"/>
      <c r="D13" s="12" t="inlineStr">
        <is>
          <t>Заказ контейнер шт</t>
        </is>
      </c>
      <c r="E13" s="12" t="inlineStr">
        <is>
          <t>Комментарий</t>
        </is>
      </c>
      <c r="F13" s="12" t="inlineStr">
        <is>
          <t>Остаток</t>
        </is>
      </c>
      <c r="G13" s="12" t="inlineStr">
        <is>
          <t>Цена конкурента без СПП</t>
        </is>
      </c>
      <c r="H13" s="12" t="inlineStr">
        <is>
          <t>Кол-во продаж конкурент</t>
        </is>
      </c>
      <c r="I13" s="12" t="inlineStr">
        <is>
          <t>ДРР конкурент</t>
        </is>
      </c>
      <c r="J13" s="12" t="inlineStr">
        <is>
          <t>Цена наша без СПП</t>
        </is>
      </c>
      <c r="K13" s="13" t="inlineStr">
        <is>
          <t>СПП, %</t>
        </is>
      </c>
      <c r="L13" s="14" t="inlineStr">
        <is>
          <t>Цена с СПП</t>
        </is>
      </c>
      <c r="M13" s="12" t="inlineStr">
        <is>
          <t>Себест.</t>
        </is>
      </c>
      <c r="N13" s="12" t="inlineStr">
        <is>
          <t>Фулфилмент</t>
        </is>
      </c>
      <c r="O13" s="15" t="inlineStr">
        <is>
          <t>База затрат</t>
        </is>
      </c>
      <c r="P13" s="14" t="inlineStr">
        <is>
          <t>Комиссия %</t>
        </is>
      </c>
      <c r="Q13" s="12" t="inlineStr">
        <is>
          <t>Комиссия ₽</t>
        </is>
      </c>
      <c r="R13" s="12" t="inlineStr">
        <is>
          <t>Логистика</t>
        </is>
      </c>
      <c r="S13" s="12" t="inlineStr">
        <is>
          <t>Наценка нелок., ₽</t>
        </is>
      </c>
      <c r="T13" s="12" t="inlineStr">
        <is>
          <t>Доставка до ПВЗ</t>
        </is>
      </c>
      <c r="U13" s="12" t="inlineStr">
        <is>
          <t>Эквайринг</t>
        </is>
      </c>
      <c r="V13" s="12" t="inlineStr">
        <is>
          <t>Налог</t>
        </is>
      </c>
      <c r="W13" s="12" t="inlineStr">
        <is>
          <t>Выкуп %</t>
        </is>
      </c>
      <c r="X13" s="12" t="inlineStr">
        <is>
          <t>Обр.лог база</t>
        </is>
      </c>
      <c r="Y13" s="12" t="inlineStr">
        <is>
          <t>Обр.лог</t>
        </is>
      </c>
      <c r="Z13" s="12" t="inlineStr">
        <is>
          <t>Объём, л</t>
        </is>
      </c>
      <c r="AA13" s="12" t="inlineStr">
        <is>
          <t>Хранение</t>
        </is>
      </c>
      <c r="AB13" s="15" t="inlineStr">
        <is>
          <t>Кроссдок ср., ₽/ед</t>
        </is>
      </c>
      <c r="AC13" s="14" t="inlineStr">
        <is>
          <t>Оплата за клик, %</t>
        </is>
      </c>
      <c r="AD13" s="12" t="inlineStr">
        <is>
          <t>Оплата за клик ₽</t>
        </is>
      </c>
      <c r="AE13" s="12" t="inlineStr">
        <is>
          <t>Вывод в топ, %</t>
        </is>
      </c>
      <c r="AF13" s="12" t="inlineStr">
        <is>
          <t>Вывод в топ ₽</t>
        </is>
      </c>
      <c r="AG13" s="12" t="inlineStr">
        <is>
          <t>Реклама всего ₽</t>
        </is>
      </c>
      <c r="AH13" s="15" t="inlineStr">
        <is>
          <t>ДРР %</t>
        </is>
      </c>
      <c r="AI13" s="16" t="inlineStr">
        <is>
          <t>Маржа до рекл.</t>
        </is>
      </c>
      <c r="AJ13" s="12" t="inlineStr">
        <is>
          <t>Маржа/шт</t>
        </is>
      </c>
      <c r="AK13" s="12" t="inlineStr">
        <is>
          <t>Маржа % цены</t>
        </is>
      </c>
      <c r="AL13" s="12" t="inlineStr">
        <is>
          <t>ROI %</t>
        </is>
      </c>
      <c r="AM13" s="12" t="inlineStr">
        <is>
          <t>Цена безубыт.</t>
        </is>
      </c>
      <c r="AN13" s="12" t="inlineStr">
        <is>
          <t>Отгрузка на ПВЗ, ₽</t>
        </is>
      </c>
      <c r="AO13" s="12" t="inlineStr">
        <is>
          <t>Подписка, ₽</t>
        </is>
      </c>
    </row>
    <row r="14" ht="14.25" customHeight="1" s="66">
      <c r="A14" s="17" t="n"/>
      <c r="B14" s="18" t="inlineStr">
        <is>
          <t>Косметика/COSRX</t>
        </is>
      </c>
      <c r="C14" s="18" t="n"/>
      <c r="D14" s="19" t="n"/>
      <c r="E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  <c r="AI14" s="19" t="n"/>
      <c r="AJ14" s="19" t="n"/>
      <c r="AK14" s="19" t="n"/>
      <c r="AL14" s="19" t="n"/>
      <c r="AM14" s="19" t="n"/>
      <c r="AN14" s="19" t="n"/>
      <c r="AO14" s="19" t="n"/>
    </row>
    <row r="15" ht="28.5" customHeight="1" s="66">
      <c r="A15" s="50" t="n"/>
      <c r="B15" s="21" t="inlineStr">
        <is>
          <t>COSRX - Salicylic Acid Daily Gentle Cleanser [150ml] / Пенка с салициловой кислотой для проблемной кожи</t>
        </is>
      </c>
      <c r="C15" s="22" t="inlineStr">
        <is>
          <t>ФБС</t>
        </is>
      </c>
      <c r="D15" s="58" t="n"/>
      <c r="E15" s="24" t="n"/>
      <c r="F15" s="29" t="n">
        <v>180</v>
      </c>
      <c r="G15" s="49" t="n">
        <v>1680</v>
      </c>
      <c r="H15" s="49" t="n">
        <v>286</v>
      </c>
      <c r="I15" s="49" t="n">
        <v>22.3</v>
      </c>
      <c r="J15" s="27" t="n">
        <v>2889</v>
      </c>
      <c r="K15" s="28" t="n">
        <v>0.45</v>
      </c>
      <c r="L15" s="30">
        <f>J15*(1-K15)</f>
        <v/>
      </c>
      <c r="M15" s="31" t="n">
        <v>343.82</v>
      </c>
      <c r="N15" s="32">
        <f>$J$5</f>
        <v/>
      </c>
      <c r="O15" s="33">
        <f>M15+N15</f>
        <v/>
      </c>
      <c r="P15" s="34" t="n">
        <v>0.47</v>
      </c>
      <c r="Q15" s="29">
        <f>J15*P15</f>
        <v/>
      </c>
      <c r="R15" s="35" t="n">
        <v>67</v>
      </c>
      <c r="S15" s="29">
        <f>J15*$J$8</f>
        <v/>
      </c>
      <c r="T15" s="35" t="n">
        <v>25</v>
      </c>
      <c r="U15" s="29">
        <f>J15*$J$4</f>
        <v/>
      </c>
      <c r="V15" s="29">
        <f>L15*$J$3</f>
        <v/>
      </c>
      <c r="W15" s="36" t="n">
        <v>0.9</v>
      </c>
      <c r="X15" s="35" t="n">
        <v>67</v>
      </c>
      <c r="Y15" s="29">
        <f>X15*(1-W15)</f>
        <v/>
      </c>
      <c r="Z15" s="37" t="n">
        <v>0.63</v>
      </c>
      <c r="AA15" s="29">
        <f>$J$6*$J$7*Z15</f>
        <v/>
      </c>
      <c r="AB15" s="33">
        <f>Z15*($J$9+$J$10)</f>
        <v/>
      </c>
      <c r="AC15" s="34" t="n">
        <v>0.11</v>
      </c>
      <c r="AD15" s="29">
        <f>J15*AC15</f>
        <v/>
      </c>
      <c r="AE15" s="36" t="n">
        <v>0.11</v>
      </c>
      <c r="AF15" s="29">
        <f>J15*AE15</f>
        <v/>
      </c>
      <c r="AG15" s="29">
        <f>AD15+AF15</f>
        <v/>
      </c>
      <c r="AH15" s="38">
        <f>AG15/J15</f>
        <v/>
      </c>
      <c r="AI15" s="39">
        <f>J15-Q15-R15-S15-T15-U15-V15-Y15-AA15-AB15-O15-AN15-AO15</f>
        <v/>
      </c>
      <c r="AJ15" s="40">
        <f>AI15-AG15</f>
        <v/>
      </c>
      <c r="AK15" s="41">
        <f>AJ15/J15</f>
        <v/>
      </c>
      <c r="AL15" s="42">
        <f>AJ15/O15</f>
        <v/>
      </c>
      <c r="AM15" s="29">
        <f>(R15+T15+Y15+AA15+AB15+O15+AN15)/(1-(P15+$J$4+(1-K15)*$J$3+$J$8+$J$11+AC15+AE15))</f>
        <v/>
      </c>
      <c r="AN15" s="29">
        <f>$J$12</f>
        <v/>
      </c>
      <c r="AO15" s="29">
        <f>J15*$J$11</f>
        <v/>
      </c>
    </row>
    <row r="16" ht="14.25" customHeight="1" s="66">
      <c r="A16" s="17" t="n"/>
      <c r="B16" s="18" t="inlineStr">
        <is>
          <t>Косметика/DEOPROCE/DEOPROCE-SHAMPOO</t>
        </is>
      </c>
      <c r="C16" s="18" t="n"/>
      <c r="D16" s="19" t="n"/>
      <c r="E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  <c r="AL16" s="19" t="n"/>
      <c r="AM16" s="19" t="n"/>
      <c r="AN16" s="19" t="n"/>
      <c r="AO16" s="19" t="n"/>
    </row>
    <row r="17" ht="43.5" customHeight="1" s="66">
      <c r="A17" s="43" t="n"/>
      <c r="B17" s="44" t="inlineStr">
        <is>
          <t>DEOPROCE SHAMPOO - BLACK GARLIC INTENSME ENERGY [600ml] мягкая упаковка Шампунь с черным чесноком против выпадения волос</t>
        </is>
      </c>
      <c r="C17" s="21" t="inlineStr">
        <is>
          <t>ФБС</t>
        </is>
      </c>
      <c r="D17" s="45" t="n"/>
      <c r="E17" s="45" t="inlineStr">
        <is>
          <t>добавлено в расчет: цена под ROI 25%, объем оценочный</t>
        </is>
      </c>
      <c r="F17" s="29" t="n">
        <v>72</v>
      </c>
      <c r="G17" s="29" t="n"/>
      <c r="H17" s="29" t="n"/>
      <c r="I17" s="29" t="n"/>
      <c r="J17" s="29">
        <f>(1.25*O17+R17+T17+Y17+AA17+AB17+AN17)/(1-P17-$J$8-$J$4-(1-K17)*$J$3-$J$11-AC17-AE17)</f>
        <v/>
      </c>
      <c r="K17" s="46" t="n">
        <v>0.45</v>
      </c>
      <c r="L17" s="30">
        <f>J17*(1-K17)</f>
        <v/>
      </c>
      <c r="M17" s="32" t="n">
        <v>269.87</v>
      </c>
      <c r="N17" s="32">
        <f>$J$5</f>
        <v/>
      </c>
      <c r="O17" s="33">
        <f>M17+N17</f>
        <v/>
      </c>
      <c r="P17" s="47" t="n">
        <v>0.47</v>
      </c>
      <c r="Q17" s="29">
        <f>J17*P17</f>
        <v/>
      </c>
      <c r="R17" s="29" t="n">
        <v>75</v>
      </c>
      <c r="S17" s="29">
        <f>J17*$J$8</f>
        <v/>
      </c>
      <c r="T17" s="29" t="n">
        <v>25</v>
      </c>
      <c r="U17" s="29">
        <f>J17*$J$4</f>
        <v/>
      </c>
      <c r="V17" s="29">
        <f>L17*$J$3</f>
        <v/>
      </c>
      <c r="W17" s="41" t="n">
        <v>0.9</v>
      </c>
      <c r="X17" s="29" t="n">
        <v>75</v>
      </c>
      <c r="Y17" s="29">
        <f>X17*(1-W17)</f>
        <v/>
      </c>
      <c r="Z17" s="48" t="n">
        <v>2</v>
      </c>
      <c r="AA17" s="29">
        <f>$J$6*$J$7*Z17</f>
        <v/>
      </c>
      <c r="AB17" s="33">
        <f>Z17*($J$9+$J$10)</f>
        <v/>
      </c>
      <c r="AC17" s="47" t="n">
        <v>0.07000000000000001</v>
      </c>
      <c r="AD17" s="29">
        <f>J17*AC17</f>
        <v/>
      </c>
      <c r="AE17" s="41" t="n">
        <v>0.08</v>
      </c>
      <c r="AF17" s="29">
        <f>J17*AE17</f>
        <v/>
      </c>
      <c r="AG17" s="29">
        <f>AD17+AF17</f>
        <v/>
      </c>
      <c r="AH17" s="38">
        <f>AG17/J17</f>
        <v/>
      </c>
      <c r="AI17" s="39">
        <f>J17-Q17-R17-S17-T17-U17-V17-Y17-AA17-AB17-O17-AN17-AO17</f>
        <v/>
      </c>
      <c r="AJ17" s="29">
        <f>AI17-AG17</f>
        <v/>
      </c>
      <c r="AK17" s="41">
        <f>AJ17/J17</f>
        <v/>
      </c>
      <c r="AL17" s="41">
        <f>AJ17/O17</f>
        <v/>
      </c>
      <c r="AM17" s="29">
        <f>(R17+T17+Y17+AA17+AB17+O17+AN17)/(1-(P17+$J$4+(1-K17)*$J$3+$J$8+$J$11+AC17+AE17))</f>
        <v/>
      </c>
      <c r="AN17" s="29">
        <f>$J$12</f>
        <v/>
      </c>
      <c r="AO17" s="29">
        <f>J17*$J$11</f>
        <v/>
      </c>
    </row>
    <row r="18" ht="43.5" customHeight="1" s="66">
      <c r="A18" s="43" t="n"/>
      <c r="B18" s="44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C18" s="21" t="inlineStr">
        <is>
          <t>ФБС</t>
        </is>
      </c>
      <c r="D18" s="45" t="n"/>
      <c r="E18" s="45" t="inlineStr">
        <is>
          <t>добавлено в расчет: цена под ROI 25%, объем оценочный</t>
        </is>
      </c>
      <c r="F18" s="29" t="n">
        <v>19</v>
      </c>
      <c r="G18" s="29" t="n"/>
      <c r="H18" s="29" t="n"/>
      <c r="I18" s="29" t="n"/>
      <c r="J18" s="29">
        <f>(1.25*O18+R18+T18+Y18+AA18+AB18+AN18)/(1-P18-$J$8-$J$4-(1-K18)*$J$3-$J$11-AC18-AE18)</f>
        <v/>
      </c>
      <c r="K18" s="46" t="n">
        <v>0.45</v>
      </c>
      <c r="L18" s="30">
        <f>J18*(1-K18)</f>
        <v/>
      </c>
      <c r="M18" s="32" t="n">
        <v>314.85</v>
      </c>
      <c r="N18" s="32">
        <f>$J$5</f>
        <v/>
      </c>
      <c r="O18" s="33">
        <f>M18+N18</f>
        <v/>
      </c>
      <c r="P18" s="47" t="n">
        <v>0.47</v>
      </c>
      <c r="Q18" s="29">
        <f>J18*P18</f>
        <v/>
      </c>
      <c r="R18" s="29" t="n">
        <v>75</v>
      </c>
      <c r="S18" s="29">
        <f>J18*$J$8</f>
        <v/>
      </c>
      <c r="T18" s="29" t="n">
        <v>25</v>
      </c>
      <c r="U18" s="29">
        <f>J18*$J$4</f>
        <v/>
      </c>
      <c r="V18" s="29">
        <f>L18*$J$3</f>
        <v/>
      </c>
      <c r="W18" s="41" t="n">
        <v>0.9</v>
      </c>
      <c r="X18" s="29" t="n">
        <v>75</v>
      </c>
      <c r="Y18" s="29">
        <f>X18*(1-W18)</f>
        <v/>
      </c>
      <c r="Z18" s="48" t="n">
        <v>2</v>
      </c>
      <c r="AA18" s="29">
        <f>$J$6*$J$7*Z18</f>
        <v/>
      </c>
      <c r="AB18" s="33">
        <f>Z18*($J$9+$J$10)</f>
        <v/>
      </c>
      <c r="AC18" s="47" t="n">
        <v>0.07000000000000001</v>
      </c>
      <c r="AD18" s="29">
        <f>J18*AC18</f>
        <v/>
      </c>
      <c r="AE18" s="41" t="n">
        <v>0.08</v>
      </c>
      <c r="AF18" s="29">
        <f>J18*AE18</f>
        <v/>
      </c>
      <c r="AG18" s="29">
        <f>AD18+AF18</f>
        <v/>
      </c>
      <c r="AH18" s="38">
        <f>AG18/J18</f>
        <v/>
      </c>
      <c r="AI18" s="39">
        <f>J18-Q18-R18-S18-T18-U18-V18-Y18-AA18-AB18-O18-AN18-AO18</f>
        <v/>
      </c>
      <c r="AJ18" s="29">
        <f>AI18-AG18</f>
        <v/>
      </c>
      <c r="AK18" s="41">
        <f>AJ18/J18</f>
        <v/>
      </c>
      <c r="AL18" s="41">
        <f>AJ18/O18</f>
        <v/>
      </c>
      <c r="AM18" s="29">
        <f>(R18+T18+Y18+AA18+AB18+O18+AN18)/(1-(P18+$J$4+(1-K18)*$J$3+$J$8+$J$11+AC18+AE18))</f>
        <v/>
      </c>
      <c r="AN18" s="29">
        <f>$J$12</f>
        <v/>
      </c>
      <c r="AO18" s="29">
        <f>J18*$J$11</f>
        <v/>
      </c>
    </row>
    <row r="19" ht="28.5" customHeight="1" s="66">
      <c r="A19" s="50" t="n"/>
      <c r="B19" s="21" t="inlineStr">
        <is>
          <t>DEOPROCE SHAMPOO - BLACK GARLIC INTENSME ENERGY [200ml]/ Шампунь с черным чесноком против выпадения волос</t>
        </is>
      </c>
      <c r="C19" s="21" t="inlineStr">
        <is>
          <t>ФБС</t>
        </is>
      </c>
      <c r="D19" s="58" t="n"/>
      <c r="E19" s="24" t="n"/>
      <c r="F19" s="29" t="n">
        <v>370</v>
      </c>
      <c r="G19" s="49" t="n">
        <v>980</v>
      </c>
      <c r="H19" s="49" t="n">
        <v>8</v>
      </c>
      <c r="I19" s="49" t="n">
        <v>0</v>
      </c>
      <c r="J19" s="49" t="n">
        <v>1322</v>
      </c>
      <c r="K19" s="28" t="n">
        <v>0.45</v>
      </c>
      <c r="L19" s="30">
        <f>J19*(1-K19)</f>
        <v/>
      </c>
      <c r="M19" s="31" t="n">
        <v>151.13</v>
      </c>
      <c r="N19" s="32">
        <f>$J$5</f>
        <v/>
      </c>
      <c r="O19" s="33">
        <f>M19+N19</f>
        <v/>
      </c>
      <c r="P19" s="34" t="n">
        <v>0.47</v>
      </c>
      <c r="Q19" s="29">
        <f>J19*P19</f>
        <v/>
      </c>
      <c r="R19" s="35" t="n">
        <v>67</v>
      </c>
      <c r="S19" s="29">
        <f>J19*$J$8</f>
        <v/>
      </c>
      <c r="T19" s="35" t="n">
        <v>25</v>
      </c>
      <c r="U19" s="29">
        <f>J19*$J$4</f>
        <v/>
      </c>
      <c r="V19" s="29">
        <f>L19*$J$3</f>
        <v/>
      </c>
      <c r="W19" s="36" t="n">
        <v>0.9</v>
      </c>
      <c r="X19" s="35" t="n">
        <v>67</v>
      </c>
      <c r="Y19" s="29">
        <f>X19*(1-W19)</f>
        <v/>
      </c>
      <c r="Z19" s="37" t="n">
        <v>0.68</v>
      </c>
      <c r="AA19" s="29">
        <f>$J$6*$J$7*Z19</f>
        <v/>
      </c>
      <c r="AB19" s="33">
        <f>Z19*($J$9+$J$10)</f>
        <v/>
      </c>
      <c r="AC19" s="34" t="n">
        <v>0.07000000000000001</v>
      </c>
      <c r="AD19" s="29">
        <f>J19*AC19</f>
        <v/>
      </c>
      <c r="AE19" s="36" t="n">
        <v>0.08</v>
      </c>
      <c r="AF19" s="29">
        <f>J19*AE19</f>
        <v/>
      </c>
      <c r="AG19" s="29">
        <f>AD19+AF19</f>
        <v/>
      </c>
      <c r="AH19" s="38">
        <f>AG19/J19</f>
        <v/>
      </c>
      <c r="AI19" s="39">
        <f>J19-Q19-R19-S19-T19-U19-V19-Y19-AA19-AB19-O19-AN19-AO19</f>
        <v/>
      </c>
      <c r="AJ19" s="40">
        <f>AI19-AG19</f>
        <v/>
      </c>
      <c r="AK19" s="41">
        <f>AJ19/J19</f>
        <v/>
      </c>
      <c r="AL19" s="42">
        <f>AJ19/O19</f>
        <v/>
      </c>
      <c r="AM19" s="29">
        <f>(R19+T19+Y19+AA19+AB19+O19+AN19)/(1-(P19+$J$4+(1-K19)*$J$3+$J$8+$J$11+AC19+AE19))</f>
        <v/>
      </c>
      <c r="AN19" s="29">
        <f>$J$12</f>
        <v/>
      </c>
      <c r="AO19" s="29">
        <f>J19*$J$11</f>
        <v/>
      </c>
    </row>
    <row r="20" ht="14.25" customHeight="1" s="66">
      <c r="A20" s="17" t="n"/>
      <c r="B20" s="18" t="inlineStr">
        <is>
          <t>Косметика/DEOPROCE/НАБОР ШАМПУНЬ+БАЛЬЗАМ</t>
        </is>
      </c>
      <c r="C20" s="18" t="n"/>
      <c r="D20" s="19" t="n"/>
      <c r="E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  <c r="AL20" s="19" t="n"/>
      <c r="AM20" s="19" t="n"/>
      <c r="AN20" s="19" t="n"/>
      <c r="AO20" s="19" t="n"/>
    </row>
    <row r="21" ht="14.25" customHeight="1" s="66">
      <c r="A21" s="43" t="n"/>
      <c r="B21" s="44" t="inlineStr">
        <is>
          <t>DEOPROCE SHAMPOO+BALSAM - BLACK GARLIC[2000ml]</t>
        </is>
      </c>
      <c r="C21" s="44" t="n"/>
      <c r="D21" s="45" t="n"/>
      <c r="E21" s="45" t="inlineStr">
        <is>
          <t>добавлено в расчет: цена под ROI 25%, объем оценочный</t>
        </is>
      </c>
      <c r="F21" s="29" t="n">
        <v>447</v>
      </c>
      <c r="G21" s="29" t="n"/>
      <c r="H21" s="29" t="n"/>
      <c r="I21" s="29" t="n"/>
      <c r="J21" s="29">
        <f>(1.25*O21+R21+T21+Y21+AA21+AB21+AN21)/(1-P21-$J$8-$J$4-(1-K21)*$J$3-$J$11-AC21-AE21)</f>
        <v/>
      </c>
      <c r="K21" s="46" t="n">
        <v>0.45</v>
      </c>
      <c r="L21" s="30">
        <f>J21*(1-K21)</f>
        <v/>
      </c>
      <c r="M21" s="32" t="n">
        <v>726.85</v>
      </c>
      <c r="N21" s="32">
        <f>$J$5</f>
        <v/>
      </c>
      <c r="O21" s="33">
        <f>M21+N21</f>
        <v/>
      </c>
      <c r="P21" s="47" t="n">
        <v>0.47</v>
      </c>
      <c r="Q21" s="29">
        <f>J21*P21</f>
        <v/>
      </c>
      <c r="R21" s="29" t="n">
        <v>75</v>
      </c>
      <c r="S21" s="29">
        <f>J21*$J$8</f>
        <v/>
      </c>
      <c r="T21" s="29" t="n">
        <v>25</v>
      </c>
      <c r="U21" s="29">
        <f>J21*$J$4</f>
        <v/>
      </c>
      <c r="V21" s="29">
        <f>L21*$J$3</f>
        <v/>
      </c>
      <c r="W21" s="41" t="n">
        <v>0.9</v>
      </c>
      <c r="X21" s="29" t="n">
        <v>75</v>
      </c>
      <c r="Y21" s="29">
        <f>X21*(1-W21)</f>
        <v/>
      </c>
      <c r="Z21" s="48" t="n">
        <v>4</v>
      </c>
      <c r="AA21" s="29">
        <f>$J$6*$J$7*Z21</f>
        <v/>
      </c>
      <c r="AB21" s="33">
        <f>Z21*($J$9+$J$10)</f>
        <v/>
      </c>
      <c r="AC21" s="47" t="n">
        <v>0.07000000000000001</v>
      </c>
      <c r="AD21" s="29">
        <f>J21*AC21</f>
        <v/>
      </c>
      <c r="AE21" s="41" t="n">
        <v>0.08</v>
      </c>
      <c r="AF21" s="29">
        <f>J21*AE21</f>
        <v/>
      </c>
      <c r="AG21" s="29">
        <f>AD21+AF21</f>
        <v/>
      </c>
      <c r="AH21" s="38">
        <f>AG21/J21</f>
        <v/>
      </c>
      <c r="AI21" s="39">
        <f>J21-Q21-R21-S21-T21-U21-V21-Y21-AA21-AB21-O21-AN21-AO21</f>
        <v/>
      </c>
      <c r="AJ21" s="29">
        <f>AI21-AG21</f>
        <v/>
      </c>
      <c r="AK21" s="41">
        <f>AJ21/J21</f>
        <v/>
      </c>
      <c r="AL21" s="41">
        <f>AJ21/O21</f>
        <v/>
      </c>
      <c r="AM21" s="29">
        <f>(R21+T21+Y21+AA21+AB21+O21+AN21)/(1-(P21+$J$4+(1-K21)*$J$3+$J$8+$J$11+AC21+AE21))</f>
        <v/>
      </c>
      <c r="AN21" s="29">
        <f>$J$12</f>
        <v/>
      </c>
      <c r="AO21" s="29">
        <f>J21*$J$11</f>
        <v/>
      </c>
    </row>
    <row r="22" ht="14.25" customHeight="1" s="66">
      <c r="A22" s="17" t="n"/>
      <c r="B22" s="18" t="inlineStr">
        <is>
          <t>Косметика/DR.JART</t>
        </is>
      </c>
      <c r="C22" s="18" t="n"/>
      <c r="D22" s="19" t="n"/>
      <c r="E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  <c r="AK22" s="19" t="n"/>
      <c r="AL22" s="19" t="n"/>
      <c r="AM22" s="19" t="n"/>
      <c r="AN22" s="19" t="n"/>
      <c r="AO22" s="19" t="n"/>
    </row>
    <row r="23" ht="28.5" customHeight="1" s="66">
      <c r="A23" s="50" t="n"/>
      <c r="B23" s="21" t="inlineStr">
        <is>
          <t>DR. JART - Ctrl+A Teatreatment Toner [120ml] / Тонер тоник для лица увлажняющий с чайным деревом</t>
        </is>
      </c>
      <c r="C23" s="22" t="inlineStr">
        <is>
          <t>ФБС</t>
        </is>
      </c>
      <c r="D23" s="58" t="n"/>
      <c r="E23" s="24" t="n"/>
      <c r="F23" s="29" t="n">
        <v>180</v>
      </c>
      <c r="G23" s="49" t="n"/>
      <c r="H23" s="49" t="inlineStr">
        <is>
          <t>89 (Закончились)</t>
        </is>
      </c>
      <c r="I23" s="49" t="n">
        <v>9.199999999999999</v>
      </c>
      <c r="J23" s="49" t="n">
        <v>3412</v>
      </c>
      <c r="K23" s="28" t="n">
        <v>0.45</v>
      </c>
      <c r="L23" s="30">
        <f>J23*(1-K23)</f>
        <v/>
      </c>
      <c r="M23" s="31" t="n">
        <v>637.89</v>
      </c>
      <c r="N23" s="32">
        <f>$J$5</f>
        <v/>
      </c>
      <c r="O23" s="33">
        <f>M23+N23</f>
        <v/>
      </c>
      <c r="P23" s="34" t="n">
        <v>0.47</v>
      </c>
      <c r="Q23" s="29">
        <f>J23*P23</f>
        <v/>
      </c>
      <c r="R23" s="35" t="n">
        <v>63</v>
      </c>
      <c r="S23" s="29">
        <f>J23*$J$8</f>
        <v/>
      </c>
      <c r="T23" s="35" t="n">
        <v>25</v>
      </c>
      <c r="U23" s="29">
        <f>J23*$J$4</f>
        <v/>
      </c>
      <c r="V23" s="29">
        <f>L23*$J$3</f>
        <v/>
      </c>
      <c r="W23" s="36" t="n">
        <v>0.9</v>
      </c>
      <c r="X23" s="35" t="n">
        <v>63</v>
      </c>
      <c r="Y23" s="29">
        <f>X23*(1-W23)</f>
        <v/>
      </c>
      <c r="Z23" s="37" t="n">
        <v>0.33</v>
      </c>
      <c r="AA23" s="29">
        <f>$J$6*$J$7*Z23</f>
        <v/>
      </c>
      <c r="AB23" s="33">
        <f>Z23*($J$9+$J$10)</f>
        <v/>
      </c>
      <c r="AC23" s="34" t="n">
        <v>0.07000000000000001</v>
      </c>
      <c r="AD23" s="29">
        <f>J23*AC23</f>
        <v/>
      </c>
      <c r="AE23" s="36" t="n">
        <v>0.08</v>
      </c>
      <c r="AF23" s="29">
        <f>J23*AE23</f>
        <v/>
      </c>
      <c r="AG23" s="29">
        <f>AD23+AF23</f>
        <v/>
      </c>
      <c r="AH23" s="38">
        <f>AG23/J23</f>
        <v/>
      </c>
      <c r="AI23" s="39">
        <f>J23-Q23-R23-S23-T23-U23-V23-Y23-AA23-AB23-O23-AN23-AO23</f>
        <v/>
      </c>
      <c r="AJ23" s="40">
        <f>AI23-AG23</f>
        <v/>
      </c>
      <c r="AK23" s="41">
        <f>AJ23/J23</f>
        <v/>
      </c>
      <c r="AL23" s="42">
        <f>AJ23/O23</f>
        <v/>
      </c>
      <c r="AM23" s="29">
        <f>(R23+T23+Y23+AA23+AB23+O23+AN23)/(1-(P23+$J$4+(1-K23)*$J$3+$J$8+$J$11+AC23+AE23))</f>
        <v/>
      </c>
      <c r="AN23" s="29">
        <f>$J$12</f>
        <v/>
      </c>
      <c r="AO23" s="29">
        <f>J23*$J$11</f>
        <v/>
      </c>
    </row>
    <row r="24" ht="14.25" customHeight="1" s="66">
      <c r="A24" s="17" t="n"/>
      <c r="B24" s="18" t="inlineStr">
        <is>
          <t>Косметика/EKEL</t>
        </is>
      </c>
      <c r="C24" s="18" t="n"/>
      <c r="D24" s="19" t="n"/>
      <c r="E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</row>
    <row r="25" ht="28.5" customHeight="1" s="66">
      <c r="A25" s="50" t="n"/>
      <c r="B25" s="21" t="inlineStr">
        <is>
          <t>EKEL - Ampule Сream Сollagen [70ml] / Крем для лица ампульный с коллагеном</t>
        </is>
      </c>
      <c r="C25" s="22" t="inlineStr">
        <is>
          <t>ФБС</t>
        </is>
      </c>
      <c r="D25" s="58" t="n"/>
      <c r="E25" s="24" t="n"/>
      <c r="F25" s="29" t="n">
        <v>50</v>
      </c>
      <c r="G25" s="49" t="n">
        <v>1280</v>
      </c>
      <c r="H25" s="49" t="n">
        <v>4</v>
      </c>
      <c r="I25" s="49" t="n">
        <v>0</v>
      </c>
      <c r="J25" s="49" t="n">
        <v>1278</v>
      </c>
      <c r="K25" s="28" t="n">
        <v>0.45</v>
      </c>
      <c r="L25" s="30">
        <f>J25*(1-K25)</f>
        <v/>
      </c>
      <c r="M25" s="31" t="n">
        <v>142.13</v>
      </c>
      <c r="N25" s="32">
        <f>$J$5</f>
        <v/>
      </c>
      <c r="O25" s="33">
        <f>M25+N25</f>
        <v/>
      </c>
      <c r="P25" s="34" t="n">
        <v>0.47</v>
      </c>
      <c r="Q25" s="29">
        <f>J25*P25</f>
        <v/>
      </c>
      <c r="R25" s="35" t="n">
        <v>67</v>
      </c>
      <c r="S25" s="29">
        <f>J25*$J$8</f>
        <v/>
      </c>
      <c r="T25" s="35" t="n">
        <v>25</v>
      </c>
      <c r="U25" s="29">
        <f>J25*$J$4</f>
        <v/>
      </c>
      <c r="V25" s="29">
        <f>L25*$J$3</f>
        <v/>
      </c>
      <c r="W25" s="36" t="n">
        <v>0.9</v>
      </c>
      <c r="X25" s="35" t="n">
        <v>67</v>
      </c>
      <c r="Y25" s="29">
        <f>X25*(1-W25)</f>
        <v/>
      </c>
      <c r="Z25" s="37" t="n">
        <v>0.42</v>
      </c>
      <c r="AA25" s="29">
        <f>$J$6*$J$7*Z25</f>
        <v/>
      </c>
      <c r="AB25" s="33">
        <f>Z25*($J$9+$J$10)</f>
        <v/>
      </c>
      <c r="AC25" s="34" t="n">
        <v>0.07000000000000001</v>
      </c>
      <c r="AD25" s="29">
        <f>J25*AC25</f>
        <v/>
      </c>
      <c r="AE25" s="36" t="n">
        <v>0.08</v>
      </c>
      <c r="AF25" s="29">
        <f>J25*AE25</f>
        <v/>
      </c>
      <c r="AG25" s="29">
        <f>AD25+AF25</f>
        <v/>
      </c>
      <c r="AH25" s="38">
        <f>AG25/J25</f>
        <v/>
      </c>
      <c r="AI25" s="39">
        <f>J25-Q25-R25-S25-T25-U25-V25-Y25-AA25-AB25-O25-AN25-AO25</f>
        <v/>
      </c>
      <c r="AJ25" s="40">
        <f>AI25-AG25</f>
        <v/>
      </c>
      <c r="AK25" s="41">
        <f>AJ25/J25</f>
        <v/>
      </c>
      <c r="AL25" s="42">
        <f>AJ25/O25</f>
        <v/>
      </c>
      <c r="AM25" s="29">
        <f>(R25+T25+Y25+AA25+AB25+O25+AN25)/(1-(P25+$J$4+(1-K25)*$J$3+$J$8+$J$11+AC25+AE25))</f>
        <v/>
      </c>
      <c r="AN25" s="29">
        <f>$J$12</f>
        <v/>
      </c>
      <c r="AO25" s="29">
        <f>J25*$J$11</f>
        <v/>
      </c>
    </row>
    <row r="26" ht="14.25" customHeight="1" s="66">
      <c r="A26" s="17" t="n"/>
      <c r="B26" s="18" t="inlineStr">
        <is>
          <t>Косметика/ELIZAVECCA</t>
        </is>
      </c>
      <c r="C26" s="18" t="n"/>
      <c r="D26" s="19" t="n"/>
      <c r="E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9" t="n"/>
      <c r="AL26" s="19" t="n"/>
      <c r="AM26" s="19" t="n"/>
      <c r="AN26" s="19" t="n"/>
      <c r="AO26" s="19" t="n"/>
    </row>
    <row r="27" ht="28.5" customHeight="1" s="66">
      <c r="A27" s="50" t="n"/>
      <c r="B27" s="21" t="inlineStr">
        <is>
          <t>ELIZAVECCA - CER-100 Collagen Ceramide Coating Protein Treatment [100ml] / Коллагеновая маска для волос</t>
        </is>
      </c>
      <c r="C27" s="21" t="inlineStr">
        <is>
          <t>ФБС</t>
        </is>
      </c>
      <c r="D27" s="58" t="n"/>
      <c r="E27" s="24" t="n"/>
      <c r="F27" s="29" t="n">
        <v>453</v>
      </c>
      <c r="G27" s="49" t="n">
        <v>1315</v>
      </c>
      <c r="H27" s="49" t="n">
        <v>150</v>
      </c>
      <c r="I27" s="49" t="n">
        <v>0</v>
      </c>
      <c r="J27" s="49" t="n">
        <v>1713</v>
      </c>
      <c r="K27" s="28" t="n">
        <v>0.45</v>
      </c>
      <c r="L27" s="30">
        <f>J27*(1-K27)</f>
        <v/>
      </c>
      <c r="M27" s="31" t="n">
        <v>242.23</v>
      </c>
      <c r="N27" s="32">
        <f>$J$5</f>
        <v/>
      </c>
      <c r="O27" s="33">
        <f>M27+N27</f>
        <v/>
      </c>
      <c r="P27" s="34" t="n">
        <v>0.47</v>
      </c>
      <c r="Q27" s="29">
        <f>J27*P27</f>
        <v/>
      </c>
      <c r="R27" s="35" t="n">
        <v>67</v>
      </c>
      <c r="S27" s="29">
        <f>J27*$J$8</f>
        <v/>
      </c>
      <c r="T27" s="35" t="n">
        <v>25</v>
      </c>
      <c r="U27" s="29">
        <f>J27*$J$4</f>
        <v/>
      </c>
      <c r="V27" s="29">
        <f>L27*$J$3</f>
        <v/>
      </c>
      <c r="W27" s="36" t="n">
        <v>0.9</v>
      </c>
      <c r="X27" s="35" t="n">
        <v>67</v>
      </c>
      <c r="Y27" s="29">
        <f>X27*(1-W27)</f>
        <v/>
      </c>
      <c r="Z27" s="37" t="n">
        <v>0.46</v>
      </c>
      <c r="AA27" s="29">
        <f>$J$6*$J$7*Z27</f>
        <v/>
      </c>
      <c r="AB27" s="33">
        <f>Z27*($J$9+$J$10)</f>
        <v/>
      </c>
      <c r="AC27" s="34" t="n">
        <v>0.07000000000000001</v>
      </c>
      <c r="AD27" s="29">
        <f>J27*AC27</f>
        <v/>
      </c>
      <c r="AE27" s="36" t="n">
        <v>0.08</v>
      </c>
      <c r="AF27" s="29">
        <f>J27*AE27</f>
        <v/>
      </c>
      <c r="AG27" s="29">
        <f>AD27+AF27</f>
        <v/>
      </c>
      <c r="AH27" s="38">
        <f>AG27/J27</f>
        <v/>
      </c>
      <c r="AI27" s="39">
        <f>J27-Q27-R27-S27-T27-U27-V27-Y27-AA27-AB27-O27-AN27-AO27</f>
        <v/>
      </c>
      <c r="AJ27" s="40">
        <f>AI27-AG27</f>
        <v/>
      </c>
      <c r="AK27" s="41">
        <f>AJ27/J27</f>
        <v/>
      </c>
      <c r="AL27" s="42">
        <f>AJ27/O27</f>
        <v/>
      </c>
      <c r="AM27" s="29">
        <f>(R27+T27+Y27+AA27+AB27+O27+AN27)/(1-(P27+$J$4+(1-K27)*$J$3+$J$8+$J$11+AC27+AE27))</f>
        <v/>
      </c>
      <c r="AN27" s="29">
        <f>$J$12</f>
        <v/>
      </c>
      <c r="AO27" s="29">
        <f>J27*$J$11</f>
        <v/>
      </c>
    </row>
    <row r="28" ht="28.5" customHeight="1" s="66">
      <c r="A28" s="50" t="n"/>
      <c r="B28" s="21" t="inlineStr">
        <is>
          <t>ELIZAVECCA - Hell-Pore Galactomyces Pure Ample / Сыворотка для лица с экстрактом галактомисиса</t>
        </is>
      </c>
      <c r="C28" s="22" t="inlineStr">
        <is>
          <t>ФБС</t>
        </is>
      </c>
      <c r="D28" s="58" t="n"/>
      <c r="E28" s="24" t="inlineStr">
        <is>
          <t>не смогла найти с продажами</t>
        </is>
      </c>
      <c r="F28" s="29" t="n">
        <v>50</v>
      </c>
      <c r="G28" s="49" t="n"/>
      <c r="H28" s="49" t="n"/>
      <c r="I28" s="49" t="n"/>
      <c r="J28" s="49" t="n">
        <v>2586</v>
      </c>
      <c r="K28" s="28" t="n">
        <v>0.45</v>
      </c>
      <c r="L28" s="30">
        <f>J28*(1-K28)</f>
        <v/>
      </c>
      <c r="M28" s="31" t="n">
        <v>447.64</v>
      </c>
      <c r="N28" s="32">
        <f>$J$5</f>
        <v/>
      </c>
      <c r="O28" s="33">
        <f>M28+N28</f>
        <v/>
      </c>
      <c r="P28" s="34" t="n">
        <v>0.47</v>
      </c>
      <c r="Q28" s="29">
        <f>J28*P28</f>
        <v/>
      </c>
      <c r="R28" s="35" t="n">
        <v>63</v>
      </c>
      <c r="S28" s="29">
        <f>J28*$J$8</f>
        <v/>
      </c>
      <c r="T28" s="35" t="n">
        <v>25</v>
      </c>
      <c r="U28" s="29">
        <f>J28*$J$4</f>
        <v/>
      </c>
      <c r="V28" s="29">
        <f>L28*$J$3</f>
        <v/>
      </c>
      <c r="W28" s="36" t="n">
        <v>0.9</v>
      </c>
      <c r="X28" s="35" t="n">
        <v>63</v>
      </c>
      <c r="Y28" s="29">
        <f>X28*(1-W28)</f>
        <v/>
      </c>
      <c r="Z28" s="37" t="n">
        <v>0.3</v>
      </c>
      <c r="AA28" s="29">
        <f>$J$6*$J$7*Z28</f>
        <v/>
      </c>
      <c r="AB28" s="33">
        <f>Z28*($J$9+$J$10)</f>
        <v/>
      </c>
      <c r="AC28" s="34" t="n">
        <v>0.07000000000000001</v>
      </c>
      <c r="AD28" s="29">
        <f>J28*AC28</f>
        <v/>
      </c>
      <c r="AE28" s="36" t="n">
        <v>0.08</v>
      </c>
      <c r="AF28" s="29">
        <f>J28*AE28</f>
        <v/>
      </c>
      <c r="AG28" s="29">
        <f>AD28+AF28</f>
        <v/>
      </c>
      <c r="AH28" s="38">
        <f>AG28/J28</f>
        <v/>
      </c>
      <c r="AI28" s="39">
        <f>J28-Q28-R28-S28-T28-U28-V28-Y28-AA28-AB28-O28-AN28-AO28</f>
        <v/>
      </c>
      <c r="AJ28" s="40">
        <f>AI28-AG28</f>
        <v/>
      </c>
      <c r="AK28" s="41">
        <f>AJ28/J28</f>
        <v/>
      </c>
      <c r="AL28" s="42">
        <f>AJ28/O28</f>
        <v/>
      </c>
      <c r="AM28" s="29">
        <f>(R28+T28+Y28+AA28+AB28+O28+AN28)/(1-(P28+$J$4+(1-K28)*$J$3+$J$8+$J$11+AC28+AE28))</f>
        <v/>
      </c>
      <c r="AN28" s="29">
        <f>$J$12</f>
        <v/>
      </c>
      <c r="AO28" s="29">
        <f>J28*$J$11</f>
        <v/>
      </c>
    </row>
    <row r="29" ht="28.5" customHeight="1" s="66">
      <c r="A29" s="50" t="n"/>
      <c r="B29" s="21" t="inlineStr">
        <is>
          <t>ELIZAVECCA - Milky Piggy EGF elastic retinol [100ml] / Антивозрастной крем для лица с ретинолом и EGF</t>
        </is>
      </c>
      <c r="C29" s="22" t="inlineStr">
        <is>
          <t>ФБС</t>
        </is>
      </c>
      <c r="D29" s="58" t="n"/>
      <c r="E29" s="24" t="n"/>
      <c r="F29" s="29" t="n">
        <v>235</v>
      </c>
      <c r="G29" s="49" t="n">
        <v>1841</v>
      </c>
      <c r="H29" s="49" t="n">
        <v>47</v>
      </c>
      <c r="I29" s="49" t="n">
        <v>0</v>
      </c>
      <c r="J29" s="49" t="n">
        <v>3278</v>
      </c>
      <c r="K29" s="28" t="n">
        <v>0.45</v>
      </c>
      <c r="L29" s="30">
        <f>J29*(1-K29)</f>
        <v/>
      </c>
      <c r="M29" s="31" t="n">
        <v>602.1799999999999</v>
      </c>
      <c r="N29" s="32">
        <f>$J$5</f>
        <v/>
      </c>
      <c r="O29" s="33">
        <f>M29+N29</f>
        <v/>
      </c>
      <c r="P29" s="34" t="n">
        <v>0.47</v>
      </c>
      <c r="Q29" s="29">
        <f>J29*P29</f>
        <v/>
      </c>
      <c r="R29" s="35" t="n">
        <v>67</v>
      </c>
      <c r="S29" s="29">
        <f>J29*$J$8</f>
        <v/>
      </c>
      <c r="T29" s="35" t="n">
        <v>25</v>
      </c>
      <c r="U29" s="29">
        <f>J29*$J$4</f>
        <v/>
      </c>
      <c r="V29" s="29">
        <f>L29*$J$3</f>
        <v/>
      </c>
      <c r="W29" s="36" t="n">
        <v>0.9</v>
      </c>
      <c r="X29" s="35" t="n">
        <v>67</v>
      </c>
      <c r="Y29" s="29">
        <f>X29*(1-W29)</f>
        <v/>
      </c>
      <c r="Z29" s="37" t="n">
        <v>0.58</v>
      </c>
      <c r="AA29" s="29">
        <f>$J$6*$J$7*Z29</f>
        <v/>
      </c>
      <c r="AB29" s="33">
        <f>Z29*($J$9+$J$10)</f>
        <v/>
      </c>
      <c r="AC29" s="34" t="n">
        <v>0.07000000000000001</v>
      </c>
      <c r="AD29" s="29">
        <f>J29*AC29</f>
        <v/>
      </c>
      <c r="AE29" s="36" t="n">
        <v>0.08</v>
      </c>
      <c r="AF29" s="29">
        <f>J29*AE29</f>
        <v/>
      </c>
      <c r="AG29" s="29">
        <f>AD29+AF29</f>
        <v/>
      </c>
      <c r="AH29" s="38">
        <f>AG29/J29</f>
        <v/>
      </c>
      <c r="AI29" s="39">
        <f>J29-Q29-R29-S29-T29-U29-V29-Y29-AA29-AB29-O29-AN29-AO29</f>
        <v/>
      </c>
      <c r="AJ29" s="40">
        <f>AI29-AG29</f>
        <v/>
      </c>
      <c r="AK29" s="41">
        <f>AJ29/J29</f>
        <v/>
      </c>
      <c r="AL29" s="42">
        <f>AJ29/O29</f>
        <v/>
      </c>
      <c r="AM29" s="29">
        <f>(R29+T29+Y29+AA29+AB29+O29+AN29)/(1-(P29+$J$4+(1-K29)*$J$3+$J$8+$J$11+AC29+AE29))</f>
        <v/>
      </c>
      <c r="AN29" s="29">
        <f>$J$12</f>
        <v/>
      </c>
      <c r="AO29" s="29">
        <f>J29*$J$11</f>
        <v/>
      </c>
    </row>
    <row r="30" ht="14.25" customHeight="1" s="66">
      <c r="A30" s="17" t="n"/>
      <c r="B30" s="18" t="inlineStr">
        <is>
          <t>Косметика/ENOUGH</t>
        </is>
      </c>
      <c r="C30" s="18" t="n"/>
      <c r="D30" s="19" t="n"/>
      <c r="E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n"/>
      <c r="AL30" s="19" t="n"/>
      <c r="AM30" s="19" t="n"/>
      <c r="AN30" s="19" t="n"/>
      <c r="AO30" s="19" t="n"/>
    </row>
    <row r="31" ht="28.5" customHeight="1" s="66">
      <c r="A31" s="50" t="n">
        <v>5358217172</v>
      </c>
      <c r="B31" s="21" t="inlineStr">
        <is>
          <t>ENOUGH - Collagen Moisture Essential Cream [50ml] / Увлажняющий крем для лица с коллагеном</t>
        </is>
      </c>
      <c r="C31" s="51" t="inlineStr">
        <is>
          <t>ФБС</t>
        </is>
      </c>
      <c r="D31" s="58" t="n"/>
      <c r="E31" s="24" t="inlineStr">
        <is>
          <t>260-382 (много подделок)</t>
        </is>
      </c>
      <c r="F31" s="29" t="n">
        <v>8266</v>
      </c>
      <c r="G31" s="49" t="n">
        <v>424</v>
      </c>
      <c r="H31" s="49" t="n">
        <v>166</v>
      </c>
      <c r="I31" s="49" t="n">
        <v>17</v>
      </c>
      <c r="J31" s="49" t="n">
        <v>1367</v>
      </c>
      <c r="K31" s="28" t="n">
        <v>0.45</v>
      </c>
      <c r="L31" s="30">
        <f>J31*(1-K31)</f>
        <v/>
      </c>
      <c r="M31" s="31" t="n">
        <v>161.3</v>
      </c>
      <c r="N31" s="32">
        <f>$J$5</f>
        <v/>
      </c>
      <c r="O31" s="33">
        <f>M31+N31</f>
        <v/>
      </c>
      <c r="P31" s="34" t="n">
        <v>0.47</v>
      </c>
      <c r="Q31" s="29">
        <f>J31*P31</f>
        <v/>
      </c>
      <c r="R31" s="35" t="n">
        <v>67</v>
      </c>
      <c r="S31" s="29">
        <f>J31*$J$8</f>
        <v/>
      </c>
      <c r="T31" s="35" t="n">
        <v>25</v>
      </c>
      <c r="U31" s="29">
        <f>J31*$J$4</f>
        <v/>
      </c>
      <c r="V31" s="29">
        <f>L31*$J$3</f>
        <v/>
      </c>
      <c r="W31" s="36" t="n">
        <v>0.9</v>
      </c>
      <c r="X31" s="35" t="n">
        <v>67</v>
      </c>
      <c r="Y31" s="29">
        <f>X31*(1-W31)</f>
        <v/>
      </c>
      <c r="Z31" s="37" t="n">
        <v>0.72</v>
      </c>
      <c r="AA31" s="29">
        <f>$J$6*$J$7*Z31</f>
        <v/>
      </c>
      <c r="AB31" s="33">
        <f>Z31*($J$9+$J$10)</f>
        <v/>
      </c>
      <c r="AC31" s="34" t="n">
        <v>0.07000000000000001</v>
      </c>
      <c r="AD31" s="29">
        <f>J31*AC31</f>
        <v/>
      </c>
      <c r="AE31" s="36" t="n">
        <v>0.08</v>
      </c>
      <c r="AF31" s="29">
        <f>J31*AE31</f>
        <v/>
      </c>
      <c r="AG31" s="29">
        <f>AD31+AF31</f>
        <v/>
      </c>
      <c r="AH31" s="38">
        <f>AG31/J31</f>
        <v/>
      </c>
      <c r="AI31" s="39">
        <f>J31-Q31-R31-S31-T31-U31-V31-Y31-AA31-AB31-O31-AN31-AO31</f>
        <v/>
      </c>
      <c r="AJ31" s="40">
        <f>AI31-AG31</f>
        <v/>
      </c>
      <c r="AK31" s="41">
        <f>AJ31/J31</f>
        <v/>
      </c>
      <c r="AL31" s="42">
        <f>AJ31/O31</f>
        <v/>
      </c>
      <c r="AM31" s="29">
        <f>(R31+T31+Y31+AA31+AB31+O31+AN31)/(1-(P31+$J$4+(1-K31)*$J$3+$J$8+$J$11+AC31+AE31))</f>
        <v/>
      </c>
      <c r="AN31" s="29">
        <f>$J$12</f>
        <v/>
      </c>
      <c r="AO31" s="29">
        <f>J31*$J$11</f>
        <v/>
      </c>
    </row>
    <row r="32" ht="28.5" customHeight="1" s="66">
      <c r="A32" s="50" t="n"/>
      <c r="B32" s="21" t="inlineStr">
        <is>
          <t>ENOUGH - Collagen Whitening Moisture Cream 3in1 [50g] / Антивозрастной отбеливающий крем с коллагеном</t>
        </is>
      </c>
      <c r="C32" s="22" t="inlineStr">
        <is>
          <t>ФБС</t>
        </is>
      </c>
      <c r="D32" s="58" t="n"/>
      <c r="E32" s="24" t="n"/>
      <c r="F32" s="29" t="n">
        <v>761</v>
      </c>
      <c r="G32" s="49" t="n">
        <v>827</v>
      </c>
      <c r="H32" s="49" t="n">
        <v>96</v>
      </c>
      <c r="I32" s="49" t="n">
        <v>20</v>
      </c>
      <c r="J32" s="49" t="n">
        <v>1465</v>
      </c>
      <c r="K32" s="28" t="n">
        <v>0.45</v>
      </c>
      <c r="L32" s="30">
        <f>J32*(1-K32)</f>
        <v/>
      </c>
      <c r="M32" s="31" t="n">
        <v>183.88</v>
      </c>
      <c r="N32" s="32">
        <f>$J$5</f>
        <v/>
      </c>
      <c r="O32" s="33">
        <f>M32+N32</f>
        <v/>
      </c>
      <c r="P32" s="34" t="n">
        <v>0.47</v>
      </c>
      <c r="Q32" s="29">
        <f>J32*P32</f>
        <v/>
      </c>
      <c r="R32" s="35" t="n">
        <v>67</v>
      </c>
      <c r="S32" s="29">
        <f>J32*$J$8</f>
        <v/>
      </c>
      <c r="T32" s="35" t="n">
        <v>25</v>
      </c>
      <c r="U32" s="29">
        <f>J32*$J$4</f>
        <v/>
      </c>
      <c r="V32" s="29">
        <f>L32*$J$3</f>
        <v/>
      </c>
      <c r="W32" s="36" t="n">
        <v>0.9</v>
      </c>
      <c r="X32" s="35" t="n">
        <v>67</v>
      </c>
      <c r="Y32" s="29">
        <f>X32*(1-W32)</f>
        <v/>
      </c>
      <c r="Z32" s="37" t="n">
        <v>0.72</v>
      </c>
      <c r="AA32" s="29">
        <f>$J$6*$J$7*Z32</f>
        <v/>
      </c>
      <c r="AB32" s="33">
        <f>Z32*($J$9+$J$10)</f>
        <v/>
      </c>
      <c r="AC32" s="34" t="n">
        <v>0.07000000000000001</v>
      </c>
      <c r="AD32" s="29">
        <f>J32*AC32</f>
        <v/>
      </c>
      <c r="AE32" s="36" t="n">
        <v>0.08</v>
      </c>
      <c r="AF32" s="29">
        <f>J32*AE32</f>
        <v/>
      </c>
      <c r="AG32" s="29">
        <f>AD32+AF32</f>
        <v/>
      </c>
      <c r="AH32" s="38">
        <f>AG32/J32</f>
        <v/>
      </c>
      <c r="AI32" s="39">
        <f>J32-Q32-R32-S32-T32-U32-V32-Y32-AA32-AB32-O32-AN32-AO32</f>
        <v/>
      </c>
      <c r="AJ32" s="40">
        <f>AI32-AG32</f>
        <v/>
      </c>
      <c r="AK32" s="41">
        <f>AJ32/J32</f>
        <v/>
      </c>
      <c r="AL32" s="42">
        <f>AJ32/O32</f>
        <v/>
      </c>
      <c r="AM32" s="29">
        <f>(R32+T32+Y32+AA32+AB32+O32+AN32)/(1-(P32+$J$4+(1-K32)*$J$3+$J$8+$J$11+AC32+AE32))</f>
        <v/>
      </c>
      <c r="AN32" s="29">
        <f>$J$12</f>
        <v/>
      </c>
      <c r="AO32" s="29">
        <f>J32*$J$11</f>
        <v/>
      </c>
    </row>
    <row r="33" ht="28.5" customHeight="1" s="66">
      <c r="A33" s="50" t="n"/>
      <c r="B33" s="21" t="inlineStr">
        <is>
          <t>ENOUGH - Collagen Moisture Foundation [Tone 13] / Тональный крем для лица с коллагеном 13 тон</t>
        </is>
      </c>
      <c r="C33" s="22" t="inlineStr">
        <is>
          <t>ФБС</t>
        </is>
      </c>
      <c r="D33" s="58" t="n"/>
      <c r="E33" s="24" t="n"/>
      <c r="F33" s="29" t="n">
        <v>1089</v>
      </c>
      <c r="G33" s="49" t="n">
        <v>1980</v>
      </c>
      <c r="H33" s="49" t="n">
        <v>195</v>
      </c>
      <c r="I33" s="49" t="n">
        <v>8</v>
      </c>
      <c r="J33" s="49" t="n">
        <v>1600</v>
      </c>
      <c r="K33" s="28" t="n">
        <v>0.45</v>
      </c>
      <c r="L33" s="30">
        <f>J33*(1-K33)</f>
        <v/>
      </c>
      <c r="M33" s="31" t="n">
        <v>216.45</v>
      </c>
      <c r="N33" s="32">
        <f>$J$5</f>
        <v/>
      </c>
      <c r="O33" s="33">
        <f>M33+N33</f>
        <v/>
      </c>
      <c r="P33" s="34" t="n">
        <v>0.47</v>
      </c>
      <c r="Q33" s="29">
        <f>J33*P33</f>
        <v/>
      </c>
      <c r="R33" s="35" t="n">
        <v>67</v>
      </c>
      <c r="S33" s="29">
        <f>J33*$J$8</f>
        <v/>
      </c>
      <c r="T33" s="35" t="n">
        <v>25</v>
      </c>
      <c r="U33" s="29">
        <f>J33*$J$4</f>
        <v/>
      </c>
      <c r="V33" s="29">
        <f>L33*$J$3</f>
        <v/>
      </c>
      <c r="W33" s="36" t="n">
        <v>0.9</v>
      </c>
      <c r="X33" s="35" t="n">
        <v>67</v>
      </c>
      <c r="Y33" s="29">
        <f>X33*(1-W33)</f>
        <v/>
      </c>
      <c r="Z33" s="37" t="n">
        <v>0.4</v>
      </c>
      <c r="AA33" s="29">
        <f>$J$6*$J$7*Z33</f>
        <v/>
      </c>
      <c r="AB33" s="33">
        <f>Z33*($J$9+$J$10)</f>
        <v/>
      </c>
      <c r="AC33" s="34" t="n">
        <v>0.07000000000000001</v>
      </c>
      <c r="AD33" s="29">
        <f>J33*AC33</f>
        <v/>
      </c>
      <c r="AE33" s="36" t="n">
        <v>0.08</v>
      </c>
      <c r="AF33" s="29">
        <f>J33*AE33</f>
        <v/>
      </c>
      <c r="AG33" s="29">
        <f>AD33+AF33</f>
        <v/>
      </c>
      <c r="AH33" s="38">
        <f>AG33/J33</f>
        <v/>
      </c>
      <c r="AI33" s="39">
        <f>J33-Q33-R33-S33-T33-U33-V33-Y33-AA33-AB33-O33-AN33-AO33</f>
        <v/>
      </c>
      <c r="AJ33" s="40">
        <f>AI33-AG33</f>
        <v/>
      </c>
      <c r="AK33" s="41">
        <f>AJ33/J33</f>
        <v/>
      </c>
      <c r="AL33" s="42">
        <f>AJ33/O33</f>
        <v/>
      </c>
      <c r="AM33" s="29">
        <f>(R33+T33+Y33+AA33+AB33+O33+AN33)/(1-(P33+$J$4+(1-K33)*$J$3+$J$8+$J$11+AC33+AE33))</f>
        <v/>
      </c>
      <c r="AN33" s="29">
        <f>$J$12</f>
        <v/>
      </c>
      <c r="AO33" s="29">
        <f>J33*$J$11</f>
        <v/>
      </c>
    </row>
    <row r="34" ht="28.5" customHeight="1" s="66">
      <c r="A34" s="50" t="n"/>
      <c r="B34" s="21" t="inlineStr">
        <is>
          <t>ENOUGH - Collagen Moisture Foundation [Tone 21] / Тональный крем для лица с коллагеном 21 тон</t>
        </is>
      </c>
      <c r="C34" s="22" t="inlineStr">
        <is>
          <t>ФБС</t>
        </is>
      </c>
      <c r="D34" s="58" t="n"/>
      <c r="E34" s="24" t="n"/>
      <c r="F34" s="29" t="n">
        <v>2275</v>
      </c>
      <c r="G34" s="49" t="n">
        <v>1910</v>
      </c>
      <c r="H34" s="49" t="n">
        <v>121</v>
      </c>
      <c r="I34" s="49" t="n">
        <v>7.3</v>
      </c>
      <c r="J34" s="49" t="n">
        <v>1715</v>
      </c>
      <c r="K34" s="28" t="n">
        <v>0.45</v>
      </c>
      <c r="L34" s="30">
        <f>J34*(1-K34)</f>
        <v/>
      </c>
      <c r="M34" s="31" t="n">
        <v>242.88</v>
      </c>
      <c r="N34" s="32">
        <f>$J$5</f>
        <v/>
      </c>
      <c r="O34" s="33">
        <f>M34+N34</f>
        <v/>
      </c>
      <c r="P34" s="34" t="n">
        <v>0.47</v>
      </c>
      <c r="Q34" s="29">
        <f>J34*P34</f>
        <v/>
      </c>
      <c r="R34" s="35" t="n">
        <v>67</v>
      </c>
      <c r="S34" s="29">
        <f>J34*$J$8</f>
        <v/>
      </c>
      <c r="T34" s="35" t="n">
        <v>25</v>
      </c>
      <c r="U34" s="29">
        <f>J34*$J$4</f>
        <v/>
      </c>
      <c r="V34" s="29">
        <f>L34*$J$3</f>
        <v/>
      </c>
      <c r="W34" s="36" t="n">
        <v>0.9</v>
      </c>
      <c r="X34" s="35" t="n">
        <v>67</v>
      </c>
      <c r="Y34" s="29">
        <f>X34*(1-W34)</f>
        <v/>
      </c>
      <c r="Z34" s="37" t="n">
        <v>0.4</v>
      </c>
      <c r="AA34" s="29">
        <f>$J$6*$J$7*Z34</f>
        <v/>
      </c>
      <c r="AB34" s="33">
        <f>Z34*($J$9+$J$10)</f>
        <v/>
      </c>
      <c r="AC34" s="34" t="n">
        <v>0.07000000000000001</v>
      </c>
      <c r="AD34" s="29">
        <f>J34*AC34</f>
        <v/>
      </c>
      <c r="AE34" s="36" t="n">
        <v>0.08</v>
      </c>
      <c r="AF34" s="29">
        <f>J34*AE34</f>
        <v/>
      </c>
      <c r="AG34" s="29">
        <f>AD34+AF34</f>
        <v/>
      </c>
      <c r="AH34" s="38">
        <f>AG34/J34</f>
        <v/>
      </c>
      <c r="AI34" s="39">
        <f>J34-Q34-R34-S34-T34-U34-V34-Y34-AA34-AB34-O34-AN34-AO34</f>
        <v/>
      </c>
      <c r="AJ34" s="40">
        <f>AI34-AG34</f>
        <v/>
      </c>
      <c r="AK34" s="41">
        <f>AJ34/J34</f>
        <v/>
      </c>
      <c r="AL34" s="42">
        <f>AJ34/O34</f>
        <v/>
      </c>
      <c r="AM34" s="29">
        <f>(R34+T34+Y34+AA34+AB34+O34+AN34)/(1-(P34+$J$4+(1-K34)*$J$3+$J$8+$J$11+AC34+AE34))</f>
        <v/>
      </c>
      <c r="AN34" s="29">
        <f>$J$12</f>
        <v/>
      </c>
      <c r="AO34" s="29">
        <f>J34*$J$11</f>
        <v/>
      </c>
    </row>
    <row r="35" ht="28.5" customHeight="1" s="66">
      <c r="A35" s="50" t="n">
        <v>5357327448</v>
      </c>
      <c r="B35" s="21" t="inlineStr">
        <is>
          <t>ENOUGH - Gold Snail Moisture Foundation [Tone 13] / Тональный крем с муцином улитки 13 тон</t>
        </is>
      </c>
      <c r="C35" s="51" t="inlineStr">
        <is>
          <t>ФБС</t>
        </is>
      </c>
      <c r="D35" s="58" t="n"/>
      <c r="E35" s="24" t="n"/>
      <c r="F35" s="29" t="n">
        <v>95</v>
      </c>
      <c r="G35" s="49" t="n">
        <v>1456</v>
      </c>
      <c r="H35" s="49" t="n">
        <v>109</v>
      </c>
      <c r="I35" s="49" t="n">
        <v>9</v>
      </c>
      <c r="J35" s="49" t="n">
        <v>1727</v>
      </c>
      <c r="K35" s="28" t="n">
        <v>0.45</v>
      </c>
      <c r="L35" s="30">
        <f>J35*(1-K35)</f>
        <v/>
      </c>
      <c r="M35" s="31" t="n">
        <v>245.65</v>
      </c>
      <c r="N35" s="32">
        <f>$J$5</f>
        <v/>
      </c>
      <c r="O35" s="33">
        <f>M35+N35</f>
        <v/>
      </c>
      <c r="P35" s="34" t="n">
        <v>0.47</v>
      </c>
      <c r="Q35" s="29">
        <f>J35*P35</f>
        <v/>
      </c>
      <c r="R35" s="35" t="n">
        <v>67</v>
      </c>
      <c r="S35" s="29">
        <f>J35*$J$8</f>
        <v/>
      </c>
      <c r="T35" s="35" t="n">
        <v>25</v>
      </c>
      <c r="U35" s="29">
        <f>J35*$J$4</f>
        <v/>
      </c>
      <c r="V35" s="29">
        <f>L35*$J$3</f>
        <v/>
      </c>
      <c r="W35" s="36" t="n">
        <v>0.9</v>
      </c>
      <c r="X35" s="35" t="n">
        <v>67</v>
      </c>
      <c r="Y35" s="29">
        <f>X35*(1-W35)</f>
        <v/>
      </c>
      <c r="Z35" s="37" t="n">
        <v>0.4</v>
      </c>
      <c r="AA35" s="29">
        <f>$J$6*$J$7*Z35</f>
        <v/>
      </c>
      <c r="AB35" s="33">
        <f>Z35*($J$9+$J$10)</f>
        <v/>
      </c>
      <c r="AC35" s="34" t="n">
        <v>0.07000000000000001</v>
      </c>
      <c r="AD35" s="29">
        <f>J35*AC35</f>
        <v/>
      </c>
      <c r="AE35" s="36" t="n">
        <v>0.08</v>
      </c>
      <c r="AF35" s="29">
        <f>J35*AE35</f>
        <v/>
      </c>
      <c r="AG35" s="29">
        <f>AD35+AF35</f>
        <v/>
      </c>
      <c r="AH35" s="38">
        <f>AG35/J35</f>
        <v/>
      </c>
      <c r="AI35" s="39">
        <f>J35-Q35-R35-S35-T35-U35-V35-Y35-AA35-AB35-O35-AN35-AO35</f>
        <v/>
      </c>
      <c r="AJ35" s="40">
        <f>AI35-AG35</f>
        <v/>
      </c>
      <c r="AK35" s="41">
        <f>AJ35/J35</f>
        <v/>
      </c>
      <c r="AL35" s="42">
        <f>AJ35/O35</f>
        <v/>
      </c>
      <c r="AM35" s="29">
        <f>(R35+T35+Y35+AA35+AB35+O35+AN35)/(1-(P35+$J$4+(1-K35)*$J$3+$J$8+$J$11+AC35+AE35))</f>
        <v/>
      </c>
      <c r="AN35" s="29">
        <f>$J$12</f>
        <v/>
      </c>
      <c r="AO35" s="29">
        <f>J35*$J$11</f>
        <v/>
      </c>
    </row>
    <row r="36" ht="28.5" customHeight="1" s="66">
      <c r="A36" s="50" t="n">
        <v>5357325850</v>
      </c>
      <c r="B36" s="21" t="inlineStr">
        <is>
          <t>ENOUGH - Gold Snail Moisture Foundation [Tone 21] / Тональный крем с муцином улитки 21 тон</t>
        </is>
      </c>
      <c r="C36" s="51" t="inlineStr">
        <is>
          <t>ФБС</t>
        </is>
      </c>
      <c r="D36" s="58" t="n"/>
      <c r="E36" s="24" t="n"/>
      <c r="F36" s="29" t="n">
        <v>101</v>
      </c>
      <c r="G36" s="49" t="n">
        <v>1345</v>
      </c>
      <c r="H36" s="49" t="n">
        <v>114</v>
      </c>
      <c r="I36" s="49" t="n">
        <v>0</v>
      </c>
      <c r="J36" s="49" t="n">
        <v>1836</v>
      </c>
      <c r="K36" s="28" t="n">
        <v>0.45</v>
      </c>
      <c r="L36" s="30">
        <f>J36*(1-K36)</f>
        <v/>
      </c>
      <c r="M36" s="31" t="n">
        <v>270.81</v>
      </c>
      <c r="N36" s="32">
        <f>$J$5</f>
        <v/>
      </c>
      <c r="O36" s="33">
        <f>M36+N36</f>
        <v/>
      </c>
      <c r="P36" s="34" t="n">
        <v>0.47</v>
      </c>
      <c r="Q36" s="29">
        <f>J36*P36</f>
        <v/>
      </c>
      <c r="R36" s="35" t="n">
        <v>67</v>
      </c>
      <c r="S36" s="29">
        <f>J36*$J$8</f>
        <v/>
      </c>
      <c r="T36" s="35" t="n">
        <v>25</v>
      </c>
      <c r="U36" s="29">
        <f>J36*$J$4</f>
        <v/>
      </c>
      <c r="V36" s="29">
        <f>L36*$J$3</f>
        <v/>
      </c>
      <c r="W36" s="36" t="n">
        <v>0.9</v>
      </c>
      <c r="X36" s="35" t="n">
        <v>67</v>
      </c>
      <c r="Y36" s="29">
        <f>X36*(1-W36)</f>
        <v/>
      </c>
      <c r="Z36" s="37" t="n">
        <v>0.4</v>
      </c>
      <c r="AA36" s="29">
        <f>$J$6*$J$7*Z36</f>
        <v/>
      </c>
      <c r="AB36" s="33">
        <f>Z36*($J$9+$J$10)</f>
        <v/>
      </c>
      <c r="AC36" s="34" t="n">
        <v>0.07000000000000001</v>
      </c>
      <c r="AD36" s="29">
        <f>J36*AC36</f>
        <v/>
      </c>
      <c r="AE36" s="36" t="n">
        <v>0.08</v>
      </c>
      <c r="AF36" s="29">
        <f>J36*AE36</f>
        <v/>
      </c>
      <c r="AG36" s="29">
        <f>AD36+AF36</f>
        <v/>
      </c>
      <c r="AH36" s="38">
        <f>AG36/J36</f>
        <v/>
      </c>
      <c r="AI36" s="39">
        <f>J36-Q36-R36-S36-T36-U36-V36-Y36-AA36-AB36-O36-AN36-AO36</f>
        <v/>
      </c>
      <c r="AJ36" s="40">
        <f>AI36-AG36</f>
        <v/>
      </c>
      <c r="AK36" s="41">
        <f>AJ36/J36</f>
        <v/>
      </c>
      <c r="AL36" s="42">
        <f>AJ36/O36</f>
        <v/>
      </c>
      <c r="AM36" s="29">
        <f>(R36+T36+Y36+AA36+AB36+O36+AN36)/(1-(P36+$J$4+(1-K36)*$J$3+$J$8+$J$11+AC36+AE36))</f>
        <v/>
      </c>
      <c r="AN36" s="29">
        <f>$J$12</f>
        <v/>
      </c>
      <c r="AO36" s="29">
        <f>J36*$J$11</f>
        <v/>
      </c>
    </row>
    <row r="37" ht="28.5" customHeight="1" s="66">
      <c r="A37" s="50" t="n"/>
      <c r="B37" s="21" t="inlineStr">
        <is>
          <t>ENOUGH - Collagen 3in1 Whitening Moisture Foundation [Tone 13] / Тональный крем для лица с коллагеном 3в1 [13 тон]</t>
        </is>
      </c>
      <c r="C37" s="22" t="inlineStr">
        <is>
          <t>ФБС</t>
        </is>
      </c>
      <c r="D37" s="58" t="n"/>
      <c r="E37" s="24" t="n"/>
      <c r="F37" s="29" t="n">
        <v>247</v>
      </c>
      <c r="G37" s="49" t="n">
        <v>1732</v>
      </c>
      <c r="H37" s="49" t="n">
        <v>51</v>
      </c>
      <c r="I37" s="49" t="n">
        <v>9</v>
      </c>
      <c r="J37" s="49" t="n">
        <v>1694</v>
      </c>
      <c r="K37" s="28" t="n">
        <v>0.45</v>
      </c>
      <c r="L37" s="30">
        <f>J37*(1-K37)</f>
        <v/>
      </c>
      <c r="M37" s="31" t="n">
        <v>238.13</v>
      </c>
      <c r="N37" s="32">
        <f>$J$5</f>
        <v/>
      </c>
      <c r="O37" s="33">
        <f>M37+N37</f>
        <v/>
      </c>
      <c r="P37" s="34" t="n">
        <v>0.47</v>
      </c>
      <c r="Q37" s="29">
        <f>J37*P37</f>
        <v/>
      </c>
      <c r="R37" s="35" t="n">
        <v>67</v>
      </c>
      <c r="S37" s="29">
        <f>J37*$J$8</f>
        <v/>
      </c>
      <c r="T37" s="35" t="n">
        <v>25</v>
      </c>
      <c r="U37" s="29">
        <f>J37*$J$4</f>
        <v/>
      </c>
      <c r="V37" s="29">
        <f>L37*$J$3</f>
        <v/>
      </c>
      <c r="W37" s="36" t="n">
        <v>0.9</v>
      </c>
      <c r="X37" s="35" t="n">
        <v>67</v>
      </c>
      <c r="Y37" s="29">
        <f>X37*(1-W37)</f>
        <v/>
      </c>
      <c r="Z37" s="37" t="n">
        <v>0.4</v>
      </c>
      <c r="AA37" s="29">
        <f>$J$6*$J$7*Z37</f>
        <v/>
      </c>
      <c r="AB37" s="33">
        <f>Z37*($J$9+$J$10)</f>
        <v/>
      </c>
      <c r="AC37" s="34" t="n">
        <v>0.07000000000000001</v>
      </c>
      <c r="AD37" s="29">
        <f>J37*AC37</f>
        <v/>
      </c>
      <c r="AE37" s="36" t="n">
        <v>0.08</v>
      </c>
      <c r="AF37" s="29">
        <f>J37*AE37</f>
        <v/>
      </c>
      <c r="AG37" s="29">
        <f>AD37+AF37</f>
        <v/>
      </c>
      <c r="AH37" s="38">
        <f>AG37/J37</f>
        <v/>
      </c>
      <c r="AI37" s="39">
        <f>J37-Q37-R37-S37-T37-U37-V37-Y37-AA37-AB37-O37-AN37-AO37</f>
        <v/>
      </c>
      <c r="AJ37" s="40">
        <f>AI37-AG37</f>
        <v/>
      </c>
      <c r="AK37" s="41">
        <f>AJ37/J37</f>
        <v/>
      </c>
      <c r="AL37" s="42">
        <f>AJ37/O37</f>
        <v/>
      </c>
      <c r="AM37" s="29">
        <f>(R37+T37+Y37+AA37+AB37+O37+AN37)/(1-(P37+$J$4+(1-K37)*$J$3+$J$8+$J$11+AC37+AE37))</f>
        <v/>
      </c>
      <c r="AN37" s="29">
        <f>$J$12</f>
        <v/>
      </c>
      <c r="AO37" s="29">
        <f>J37*$J$11</f>
        <v/>
      </c>
    </row>
    <row r="38" ht="28.5" customHeight="1" s="66">
      <c r="A38" s="50" t="n"/>
      <c r="B38" s="21" t="inlineStr">
        <is>
          <t>ENOUGH - Collagen 3in1 Whitening Moisture Foundation [Tone 21] / Тональный крем для лица с коллагеном 3в1 [21 тон]</t>
        </is>
      </c>
      <c r="C38" s="22" t="inlineStr">
        <is>
          <t>ФБС</t>
        </is>
      </c>
      <c r="D38" s="58" t="n"/>
      <c r="E38" s="24" t="n"/>
      <c r="F38" s="29" t="n">
        <v>78</v>
      </c>
      <c r="G38" s="49" t="n">
        <v>1038</v>
      </c>
      <c r="H38" s="49" t="n">
        <v>65</v>
      </c>
      <c r="I38" s="49" t="n">
        <v>12</v>
      </c>
      <c r="J38" s="49" t="n">
        <v>1630</v>
      </c>
      <c r="K38" s="28" t="n">
        <v>0.45</v>
      </c>
      <c r="L38" s="30">
        <f>J38*(1-K38)</f>
        <v/>
      </c>
      <c r="M38" s="31" t="n">
        <v>223.35</v>
      </c>
      <c r="N38" s="32">
        <f>$J$5</f>
        <v/>
      </c>
      <c r="O38" s="33">
        <f>M38+N38</f>
        <v/>
      </c>
      <c r="P38" s="34" t="n">
        <v>0.47</v>
      </c>
      <c r="Q38" s="29">
        <f>J38*P38</f>
        <v/>
      </c>
      <c r="R38" s="35" t="n">
        <v>67</v>
      </c>
      <c r="S38" s="29">
        <f>J38*$J$8</f>
        <v/>
      </c>
      <c r="T38" s="35" t="n">
        <v>25</v>
      </c>
      <c r="U38" s="29">
        <f>J38*$J$4</f>
        <v/>
      </c>
      <c r="V38" s="29">
        <f>L38*$J$3</f>
        <v/>
      </c>
      <c r="W38" s="36" t="n">
        <v>0.9</v>
      </c>
      <c r="X38" s="35" t="n">
        <v>67</v>
      </c>
      <c r="Y38" s="29">
        <f>X38*(1-W38)</f>
        <v/>
      </c>
      <c r="Z38" s="37" t="n">
        <v>0.4</v>
      </c>
      <c r="AA38" s="29">
        <f>$J$6*$J$7*Z38</f>
        <v/>
      </c>
      <c r="AB38" s="33">
        <f>Z38*($J$9+$J$10)</f>
        <v/>
      </c>
      <c r="AC38" s="34" t="n">
        <v>0.07000000000000001</v>
      </c>
      <c r="AD38" s="29">
        <f>J38*AC38</f>
        <v/>
      </c>
      <c r="AE38" s="36" t="n">
        <v>0.08</v>
      </c>
      <c r="AF38" s="29">
        <f>J38*AE38</f>
        <v/>
      </c>
      <c r="AG38" s="29">
        <f>AD38+AF38</f>
        <v/>
      </c>
      <c r="AH38" s="38">
        <f>AG38/J38</f>
        <v/>
      </c>
      <c r="AI38" s="39">
        <f>J38-Q38-R38-S38-T38-U38-V38-Y38-AA38-AB38-O38-AN38-AO38</f>
        <v/>
      </c>
      <c r="AJ38" s="40">
        <f>AI38-AG38</f>
        <v/>
      </c>
      <c r="AK38" s="41">
        <f>AJ38/J38</f>
        <v/>
      </c>
      <c r="AL38" s="42">
        <f>AJ38/O38</f>
        <v/>
      </c>
      <c r="AM38" s="29">
        <f>(R38+T38+Y38+AA38+AB38+O38+AN38)/(1-(P38+$J$4+(1-K38)*$J$3+$J$8+$J$11+AC38+AE38))</f>
        <v/>
      </c>
      <c r="AN38" s="29">
        <f>$J$12</f>
        <v/>
      </c>
      <c r="AO38" s="29">
        <f>J38*$J$11</f>
        <v/>
      </c>
    </row>
    <row r="39" ht="28.5" customHeight="1" s="66">
      <c r="A39" s="50" t="n"/>
      <c r="B39" s="21" t="inlineStr">
        <is>
          <t>ENOUGH - Premium 8 Peptide Full Cover Perfect Foundation [Tone 13] / Тональный крем с пептидами 13 тон</t>
        </is>
      </c>
      <c r="C39" s="22" t="inlineStr">
        <is>
          <t>ФБС</t>
        </is>
      </c>
      <c r="D39" s="58" t="n"/>
      <c r="E39" s="24" t="n"/>
      <c r="F39" s="29" t="n">
        <v>463</v>
      </c>
      <c r="G39" s="49" t="n">
        <v>1330</v>
      </c>
      <c r="H39" s="49" t="n">
        <v>180</v>
      </c>
      <c r="I39" s="49" t="n">
        <v>0</v>
      </c>
      <c r="J39" s="49" t="n">
        <v>2119</v>
      </c>
      <c r="K39" s="28" t="n">
        <v>0.45</v>
      </c>
      <c r="L39" s="30">
        <f>J39*(1-K39)</f>
        <v/>
      </c>
      <c r="M39" s="31" t="n">
        <v>335.9</v>
      </c>
      <c r="N39" s="32">
        <f>$J$5</f>
        <v/>
      </c>
      <c r="O39" s="33">
        <f>M39+N39</f>
        <v/>
      </c>
      <c r="P39" s="34" t="n">
        <v>0.47</v>
      </c>
      <c r="Q39" s="29">
        <f>J39*P39</f>
        <v/>
      </c>
      <c r="R39" s="35" t="n">
        <v>67</v>
      </c>
      <c r="S39" s="29">
        <f>J39*$J$8</f>
        <v/>
      </c>
      <c r="T39" s="35" t="n">
        <v>25</v>
      </c>
      <c r="U39" s="29">
        <f>J39*$J$4</f>
        <v/>
      </c>
      <c r="V39" s="29">
        <f>L39*$J$3</f>
        <v/>
      </c>
      <c r="W39" s="36" t="n">
        <v>0.9</v>
      </c>
      <c r="X39" s="35" t="n">
        <v>67</v>
      </c>
      <c r="Y39" s="29">
        <f>X39*(1-W39)</f>
        <v/>
      </c>
      <c r="Z39" s="37" t="n">
        <v>0.4</v>
      </c>
      <c r="AA39" s="29">
        <f>$J$6*$J$7*Z39</f>
        <v/>
      </c>
      <c r="AB39" s="33">
        <f>Z39*($J$9+$J$10)</f>
        <v/>
      </c>
      <c r="AC39" s="34" t="n">
        <v>0.07000000000000001</v>
      </c>
      <c r="AD39" s="29">
        <f>J39*AC39</f>
        <v/>
      </c>
      <c r="AE39" s="36" t="n">
        <v>0.08</v>
      </c>
      <c r="AF39" s="29">
        <f>J39*AE39</f>
        <v/>
      </c>
      <c r="AG39" s="29">
        <f>AD39+AF39</f>
        <v/>
      </c>
      <c r="AH39" s="38">
        <f>AG39/J39</f>
        <v/>
      </c>
      <c r="AI39" s="39">
        <f>J39-Q39-R39-S39-T39-U39-V39-Y39-AA39-AB39-O39-AN39-AO39</f>
        <v/>
      </c>
      <c r="AJ39" s="40">
        <f>AI39-AG39</f>
        <v/>
      </c>
      <c r="AK39" s="41">
        <f>AJ39/J39</f>
        <v/>
      </c>
      <c r="AL39" s="42">
        <f>AJ39/O39</f>
        <v/>
      </c>
      <c r="AM39" s="29">
        <f>(R39+T39+Y39+AA39+AB39+O39+AN39)/(1-(P39+$J$4+(1-K39)*$J$3+$J$8+$J$11+AC39+AE39))</f>
        <v/>
      </c>
      <c r="AN39" s="29">
        <f>$J$12</f>
        <v/>
      </c>
      <c r="AO39" s="29">
        <f>J39*$J$11</f>
        <v/>
      </c>
    </row>
    <row r="40" ht="28.5" customHeight="1" s="66">
      <c r="A40" s="50" t="n"/>
      <c r="B40" s="21" t="inlineStr">
        <is>
          <t>ENOUGH - Premium 8 Peptide Full Cover Perfect Foundation [Tone 21] / Тональный крем с пептидами 21 тон</t>
        </is>
      </c>
      <c r="C40" s="22" t="inlineStr">
        <is>
          <t>ФБС</t>
        </is>
      </c>
      <c r="D40" s="58" t="n"/>
      <c r="E40" s="24" t="n"/>
      <c r="F40" s="29" t="n">
        <v>208</v>
      </c>
      <c r="G40" s="49" t="n">
        <v>1330</v>
      </c>
      <c r="H40" s="49" t="n">
        <v>265</v>
      </c>
      <c r="I40" s="49" t="n">
        <v>0</v>
      </c>
      <c r="J40" s="49" t="n">
        <v>1984</v>
      </c>
      <c r="K40" s="28" t="n">
        <v>0.45</v>
      </c>
      <c r="L40" s="30">
        <f>J40*(1-K40)</f>
        <v/>
      </c>
      <c r="M40" s="31" t="n">
        <v>304.77</v>
      </c>
      <c r="N40" s="32">
        <f>$J$5</f>
        <v/>
      </c>
      <c r="O40" s="33">
        <f>M40+N40</f>
        <v/>
      </c>
      <c r="P40" s="34" t="n">
        <v>0.47</v>
      </c>
      <c r="Q40" s="29">
        <f>J40*P40</f>
        <v/>
      </c>
      <c r="R40" s="35" t="n">
        <v>67</v>
      </c>
      <c r="S40" s="29">
        <f>J40*$J$8</f>
        <v/>
      </c>
      <c r="T40" s="35" t="n">
        <v>25</v>
      </c>
      <c r="U40" s="29">
        <f>J40*$J$4</f>
        <v/>
      </c>
      <c r="V40" s="29">
        <f>L40*$J$3</f>
        <v/>
      </c>
      <c r="W40" s="36" t="n">
        <v>0.9</v>
      </c>
      <c r="X40" s="35" t="n">
        <v>67</v>
      </c>
      <c r="Y40" s="29">
        <f>X40*(1-W40)</f>
        <v/>
      </c>
      <c r="Z40" s="37" t="n">
        <v>0.4</v>
      </c>
      <c r="AA40" s="29">
        <f>$J$6*$J$7*Z40</f>
        <v/>
      </c>
      <c r="AB40" s="33">
        <f>Z40*($J$9+$J$10)</f>
        <v/>
      </c>
      <c r="AC40" s="34" t="n">
        <v>0.07000000000000001</v>
      </c>
      <c r="AD40" s="29">
        <f>J40*AC40</f>
        <v/>
      </c>
      <c r="AE40" s="36" t="n">
        <v>0.08</v>
      </c>
      <c r="AF40" s="29">
        <f>J40*AE40</f>
        <v/>
      </c>
      <c r="AG40" s="29">
        <f>AD40+AF40</f>
        <v/>
      </c>
      <c r="AH40" s="38">
        <f>AG40/J40</f>
        <v/>
      </c>
      <c r="AI40" s="39">
        <f>J40-Q40-R40-S40-T40-U40-V40-Y40-AA40-AB40-O40-AN40-AO40</f>
        <v/>
      </c>
      <c r="AJ40" s="40">
        <f>AI40-AG40</f>
        <v/>
      </c>
      <c r="AK40" s="41">
        <f>AJ40/J40</f>
        <v/>
      </c>
      <c r="AL40" s="42">
        <f>AJ40/O40</f>
        <v/>
      </c>
      <c r="AM40" s="29">
        <f>(R40+T40+Y40+AA40+AB40+O40+AN40)/(1-(P40+$J$4+(1-K40)*$J$3+$J$8+$J$11+AC40+AE40))</f>
        <v/>
      </c>
      <c r="AN40" s="29">
        <f>$J$12</f>
        <v/>
      </c>
      <c r="AO40" s="29">
        <f>J40*$J$11</f>
        <v/>
      </c>
    </row>
    <row r="41" ht="28.5" customHeight="1" s="66">
      <c r="A41" s="50" t="n"/>
      <c r="B41" s="21" t="inlineStr">
        <is>
          <t>ENOUGH Collagen whitening cover tip concealer #01 [9g]/Консилер для лица (основная карточка) 4.5 рейтинг</t>
        </is>
      </c>
      <c r="C41" s="21" t="inlineStr">
        <is>
          <t>ФБС</t>
        </is>
      </c>
      <c r="D41" s="45" t="n"/>
      <c r="E41" s="45" t="inlineStr">
        <is>
          <t>добавлено в расчет: цена под ROI 25%, объем оценочный</t>
        </is>
      </c>
      <c r="F41" s="29" t="n">
        <v>593</v>
      </c>
      <c r="G41" s="29" t="n"/>
      <c r="H41" s="29" t="n"/>
      <c r="I41" s="29" t="n"/>
      <c r="J41" s="29">
        <f>(1.25*O41+R41+T41+Y41+AA41+AB41+AN41)/(1-P41-$J$8-$J$4-(1-K41)*$J$3-$J$11-AC41-AE41)</f>
        <v/>
      </c>
      <c r="K41" s="46" t="n">
        <v>0.45</v>
      </c>
      <c r="L41" s="30">
        <f>J41*(1-K41)</f>
        <v/>
      </c>
      <c r="M41" s="31" t="n">
        <v>183.24</v>
      </c>
      <c r="N41" s="32">
        <f>$J$5</f>
        <v/>
      </c>
      <c r="O41" s="33">
        <f>M41+N41</f>
        <v/>
      </c>
      <c r="P41" s="47" t="n">
        <v>0.47</v>
      </c>
      <c r="Q41" s="29">
        <f>J41*P41</f>
        <v/>
      </c>
      <c r="R41" s="29" t="n">
        <v>56</v>
      </c>
      <c r="S41" s="29">
        <f>J41*$J$8</f>
        <v/>
      </c>
      <c r="T41" s="29" t="n">
        <v>25</v>
      </c>
      <c r="U41" s="29">
        <f>J41*$J$4</f>
        <v/>
      </c>
      <c r="V41" s="29">
        <f>L41*$J$3</f>
        <v/>
      </c>
      <c r="W41" s="41" t="n">
        <v>0.9</v>
      </c>
      <c r="X41" s="29" t="n">
        <v>56</v>
      </c>
      <c r="Y41" s="29">
        <f>X41*(1-W41)</f>
        <v/>
      </c>
      <c r="Z41" s="48" t="n">
        <v>0.18</v>
      </c>
      <c r="AA41" s="29">
        <f>$J$6*$J$7*Z41</f>
        <v/>
      </c>
      <c r="AB41" s="33">
        <f>Z41*($J$9+$J$10)</f>
        <v/>
      </c>
      <c r="AC41" s="47" t="n">
        <v>0.07000000000000001</v>
      </c>
      <c r="AD41" s="29">
        <f>J41*AC41</f>
        <v/>
      </c>
      <c r="AE41" s="41" t="n">
        <v>0.08</v>
      </c>
      <c r="AF41" s="29">
        <f>J41*AE41</f>
        <v/>
      </c>
      <c r="AG41" s="29">
        <f>AD41+AF41</f>
        <v/>
      </c>
      <c r="AH41" s="38">
        <f>AG41/J41</f>
        <v/>
      </c>
      <c r="AI41" s="39">
        <f>J41-Q41-R41-S41-T41-U41-V41-Y41-AA41-AB41-O41-AN41-AO41</f>
        <v/>
      </c>
      <c r="AJ41" s="40">
        <f>AI41-AG41</f>
        <v/>
      </c>
      <c r="AK41" s="41">
        <f>AJ41/J41</f>
        <v/>
      </c>
      <c r="AL41" s="42">
        <f>AJ41/O41</f>
        <v/>
      </c>
      <c r="AM41" s="29">
        <f>(R41+T41+Y41+AA41+AB41+O41+AN41)/(1-(P41+$J$4+(1-K41)*$J$3+$J$8+$J$11+AC41+AE41))</f>
        <v/>
      </c>
      <c r="AN41" s="29">
        <f>$J$12</f>
        <v/>
      </c>
      <c r="AO41" s="29">
        <f>J41*$J$11</f>
        <v/>
      </c>
    </row>
    <row r="42" ht="28.5" customHeight="1" s="66">
      <c r="A42" s="50" t="n"/>
      <c r="B42" s="21" t="inlineStr">
        <is>
          <t>ENOUGH Collagen whitening cover tip concealer #02 [9g]/Консилер для лица (основная карточка)</t>
        </is>
      </c>
      <c r="C42" s="21" t="inlineStr">
        <is>
          <t>ФБС</t>
        </is>
      </c>
      <c r="D42" s="45" t="n"/>
      <c r="E42" s="45" t="inlineStr">
        <is>
          <t>добавлено в расчет: цена под ROI 25%, объем оценочный</t>
        </is>
      </c>
      <c r="F42" s="29" t="n">
        <v>757</v>
      </c>
      <c r="G42" s="29" t="n"/>
      <c r="H42" s="29" t="n"/>
      <c r="I42" s="29" t="n"/>
      <c r="J42" s="29">
        <f>(1.25*O42+R42+T42+Y42+AA42+AB42+AN42)/(1-P42-$J$8-$J$4-(1-K42)*$J$3-$J$11-AC42-AE42)</f>
        <v/>
      </c>
      <c r="K42" s="46" t="n">
        <v>0.45</v>
      </c>
      <c r="L42" s="30">
        <f>J42*(1-K42)</f>
        <v/>
      </c>
      <c r="M42" s="31" t="n">
        <v>183.24</v>
      </c>
      <c r="N42" s="32">
        <f>$J$5</f>
        <v/>
      </c>
      <c r="O42" s="33">
        <f>M42+N42</f>
        <v/>
      </c>
      <c r="P42" s="47" t="n">
        <v>0.47</v>
      </c>
      <c r="Q42" s="29">
        <f>J42*P42</f>
        <v/>
      </c>
      <c r="R42" s="29" t="n">
        <v>56</v>
      </c>
      <c r="S42" s="29">
        <f>J42*$J$8</f>
        <v/>
      </c>
      <c r="T42" s="29" t="n">
        <v>25</v>
      </c>
      <c r="U42" s="29">
        <f>J42*$J$4</f>
        <v/>
      </c>
      <c r="V42" s="29">
        <f>L42*$J$3</f>
        <v/>
      </c>
      <c r="W42" s="41" t="n">
        <v>0.9</v>
      </c>
      <c r="X42" s="29" t="n">
        <v>56</v>
      </c>
      <c r="Y42" s="29">
        <f>X42*(1-W42)</f>
        <v/>
      </c>
      <c r="Z42" s="48" t="n">
        <v>0.18</v>
      </c>
      <c r="AA42" s="29">
        <f>$J$6*$J$7*Z42</f>
        <v/>
      </c>
      <c r="AB42" s="33">
        <f>Z42*($J$9+$J$10)</f>
        <v/>
      </c>
      <c r="AC42" s="47" t="n">
        <v>0.07000000000000001</v>
      </c>
      <c r="AD42" s="29">
        <f>J42*AC42</f>
        <v/>
      </c>
      <c r="AE42" s="41" t="n">
        <v>0.08</v>
      </c>
      <c r="AF42" s="29">
        <f>J42*AE42</f>
        <v/>
      </c>
      <c r="AG42" s="29">
        <f>AD42+AF42</f>
        <v/>
      </c>
      <c r="AH42" s="38">
        <f>AG42/J42</f>
        <v/>
      </c>
      <c r="AI42" s="39">
        <f>J42-Q42-R42-S42-T42-U42-V42-Y42-AA42-AB42-O42-AN42-AO42</f>
        <v/>
      </c>
      <c r="AJ42" s="40">
        <f>AI42-AG42</f>
        <v/>
      </c>
      <c r="AK42" s="41">
        <f>AJ42/J42</f>
        <v/>
      </c>
      <c r="AL42" s="42">
        <f>AJ42/O42</f>
        <v/>
      </c>
      <c r="AM42" s="29">
        <f>(R42+T42+Y42+AA42+AB42+O42+AN42)/(1-(P42+$J$4+(1-K42)*$J$3+$J$8+$J$11+AC42+AE42))</f>
        <v/>
      </c>
      <c r="AN42" s="29">
        <f>$J$12</f>
        <v/>
      </c>
      <c r="AO42" s="29">
        <f>J42*$J$11</f>
        <v/>
      </c>
    </row>
    <row r="43" ht="28.5" customHeight="1" s="66">
      <c r="A43" s="50" t="n"/>
      <c r="B43" s="21" t="inlineStr">
        <is>
          <t>ENOUGH Collagen whitening cover tip concealer #03 [9g]/ Консилер для лица (основаная карточка)</t>
        </is>
      </c>
      <c r="C43" s="21" t="inlineStr">
        <is>
          <t>ФБС</t>
        </is>
      </c>
      <c r="D43" s="45" t="n"/>
      <c r="E43" s="45" t="inlineStr">
        <is>
          <t>добавлено в расчет: цена под ROI 25%, объем оценочный</t>
        </is>
      </c>
      <c r="F43" s="29" t="n">
        <v>810</v>
      </c>
      <c r="G43" s="29" t="n"/>
      <c r="H43" s="29" t="n"/>
      <c r="I43" s="29" t="n"/>
      <c r="J43" s="29">
        <f>(1.25*O43+R43+T43+Y43+AA43+AB43+AN43)/(1-P43-$J$8-$J$4-(1-K43)*$J$3-$J$11-AC43-AE43)</f>
        <v/>
      </c>
      <c r="K43" s="46" t="n">
        <v>0.45</v>
      </c>
      <c r="L43" s="30">
        <f>J43*(1-K43)</f>
        <v/>
      </c>
      <c r="M43" s="31" t="n">
        <v>183.24</v>
      </c>
      <c r="N43" s="32">
        <f>$J$5</f>
        <v/>
      </c>
      <c r="O43" s="33">
        <f>M43+N43</f>
        <v/>
      </c>
      <c r="P43" s="47" t="n">
        <v>0.47</v>
      </c>
      <c r="Q43" s="29">
        <f>J43*P43</f>
        <v/>
      </c>
      <c r="R43" s="29" t="n">
        <v>56</v>
      </c>
      <c r="S43" s="29">
        <f>J43*$J$8</f>
        <v/>
      </c>
      <c r="T43" s="29" t="n">
        <v>25</v>
      </c>
      <c r="U43" s="29">
        <f>J43*$J$4</f>
        <v/>
      </c>
      <c r="V43" s="29">
        <f>L43*$J$3</f>
        <v/>
      </c>
      <c r="W43" s="41" t="n">
        <v>0.9</v>
      </c>
      <c r="X43" s="29" t="n">
        <v>56</v>
      </c>
      <c r="Y43" s="29">
        <f>X43*(1-W43)</f>
        <v/>
      </c>
      <c r="Z43" s="48" t="n">
        <v>0.18</v>
      </c>
      <c r="AA43" s="29">
        <f>$J$6*$J$7*Z43</f>
        <v/>
      </c>
      <c r="AB43" s="33">
        <f>Z43*($J$9+$J$10)</f>
        <v/>
      </c>
      <c r="AC43" s="47" t="n">
        <v>0.07000000000000001</v>
      </c>
      <c r="AD43" s="29">
        <f>J43*AC43</f>
        <v/>
      </c>
      <c r="AE43" s="41" t="n">
        <v>0.08</v>
      </c>
      <c r="AF43" s="29">
        <f>J43*AE43</f>
        <v/>
      </c>
      <c r="AG43" s="29">
        <f>AD43+AF43</f>
        <v/>
      </c>
      <c r="AH43" s="38">
        <f>AG43/J43</f>
        <v/>
      </c>
      <c r="AI43" s="39">
        <f>J43-Q43-R43-S43-T43-U43-V43-Y43-AA43-AB43-O43-AN43-AO43</f>
        <v/>
      </c>
      <c r="AJ43" s="40">
        <f>AI43-AG43</f>
        <v/>
      </c>
      <c r="AK43" s="41">
        <f>AJ43/J43</f>
        <v/>
      </c>
      <c r="AL43" s="42">
        <f>AJ43/O43</f>
        <v/>
      </c>
      <c r="AM43" s="29">
        <f>(R43+T43+Y43+AA43+AB43+O43+AN43)/(1-(P43+$J$4+(1-K43)*$J$3+$J$8+$J$11+AC43+AE43))</f>
        <v/>
      </c>
      <c r="AN43" s="29">
        <f>$J$12</f>
        <v/>
      </c>
      <c r="AO43" s="29">
        <f>J43*$J$11</f>
        <v/>
      </c>
    </row>
    <row r="44" ht="28.5" customHeight="1" s="66">
      <c r="A44" s="50" t="n"/>
      <c r="B44" s="21" t="inlineStr">
        <is>
          <t>ENOUGH - Collagen Moisture BB Cream SPF47 PA+++ [50ml] / Увлажняющий BB крем с коллагеном</t>
        </is>
      </c>
      <c r="C44" s="21" t="inlineStr">
        <is>
          <t>ФБС</t>
        </is>
      </c>
      <c r="D44" s="58" t="n"/>
      <c r="E44" s="24" t="n"/>
      <c r="F44" s="29" t="n">
        <v>722</v>
      </c>
      <c r="G44" s="49" t="n"/>
      <c r="H44" s="49" t="n"/>
      <c r="I44" s="49" t="n"/>
      <c r="J44" s="49" t="n">
        <v>1464</v>
      </c>
      <c r="K44" s="28" t="n">
        <v>0.45</v>
      </c>
      <c r="L44" s="30">
        <f>J44*(1-K44)</f>
        <v/>
      </c>
      <c r="M44" s="31" t="n">
        <v>189.27</v>
      </c>
      <c r="N44" s="32">
        <f>$J$5</f>
        <v/>
      </c>
      <c r="O44" s="33">
        <f>M44+N44</f>
        <v/>
      </c>
      <c r="P44" s="34" t="n">
        <v>0.47</v>
      </c>
      <c r="Q44" s="29">
        <f>J44*P44</f>
        <v/>
      </c>
      <c r="R44" s="35" t="n">
        <v>63</v>
      </c>
      <c r="S44" s="29">
        <f>J44*$J$8</f>
        <v/>
      </c>
      <c r="T44" s="35" t="n">
        <v>25</v>
      </c>
      <c r="U44" s="29">
        <f>J44*$J$4</f>
        <v/>
      </c>
      <c r="V44" s="29">
        <f>L44*$J$3</f>
        <v/>
      </c>
      <c r="W44" s="36" t="n">
        <v>0.9</v>
      </c>
      <c r="X44" s="35" t="n">
        <v>63</v>
      </c>
      <c r="Y44" s="29">
        <f>X44*(1-W44)</f>
        <v/>
      </c>
      <c r="Z44" s="37" t="n">
        <v>0.28</v>
      </c>
      <c r="AA44" s="29">
        <f>$J$6*$J$7*Z44</f>
        <v/>
      </c>
      <c r="AB44" s="33">
        <f>Z44*($J$9+$J$10)</f>
        <v/>
      </c>
      <c r="AC44" s="34" t="n">
        <v>0.07000000000000001</v>
      </c>
      <c r="AD44" s="29">
        <f>J44*AC44</f>
        <v/>
      </c>
      <c r="AE44" s="36" t="n">
        <v>0.08</v>
      </c>
      <c r="AF44" s="29">
        <f>J44*AE44</f>
        <v/>
      </c>
      <c r="AG44" s="29">
        <f>AD44+AF44</f>
        <v/>
      </c>
      <c r="AH44" s="38">
        <f>AG44/J44</f>
        <v/>
      </c>
      <c r="AI44" s="39">
        <f>J44-Q44-R44-S44-T44-U44-V44-Y44-AA44-AB44-O44-AN44-AO44</f>
        <v/>
      </c>
      <c r="AJ44" s="40">
        <f>AI44-AG44</f>
        <v/>
      </c>
      <c r="AK44" s="41">
        <f>AJ44/J44</f>
        <v/>
      </c>
      <c r="AL44" s="42">
        <f>AJ44/O44</f>
        <v/>
      </c>
      <c r="AM44" s="29">
        <f>(R44+T44+Y44+AA44+AB44+O44+AN44)/(1-(P44+$J$4+(1-K44)*$J$3+$J$8+$J$11+AC44+AE44))</f>
        <v/>
      </c>
      <c r="AN44" s="29">
        <f>$J$12</f>
        <v/>
      </c>
      <c r="AO44" s="29">
        <f>J44*$J$11</f>
        <v/>
      </c>
    </row>
    <row r="45" ht="14.25" customHeight="1" s="66">
      <c r="A45" s="17" t="n"/>
      <c r="B45" s="18" t="inlineStr">
        <is>
          <t>Косметика/ETUDEHOUSE</t>
        </is>
      </c>
      <c r="C45" s="18" t="n"/>
      <c r="D45" s="19" t="n"/>
      <c r="E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9" t="n"/>
      <c r="AJ45" s="19" t="n"/>
      <c r="AK45" s="19" t="n"/>
      <c r="AL45" s="19" t="n"/>
      <c r="AM45" s="19" t="n"/>
      <c r="AN45" s="19" t="n"/>
      <c r="AO45" s="19" t="n"/>
    </row>
    <row r="46" ht="28.5" customHeight="1" s="66">
      <c r="A46" s="50" t="n"/>
      <c r="B46" s="21" t="inlineStr">
        <is>
          <t>ETUDE - Baking Powder Crunch Pore Scrub [200ml] / Очищающий скраб для лица с содой</t>
        </is>
      </c>
      <c r="C46" s="22" t="inlineStr">
        <is>
          <t>ФБС</t>
        </is>
      </c>
      <c r="D46" s="58" t="n"/>
      <c r="E46" s="24" t="n"/>
      <c r="F46" s="29" t="n">
        <v>221</v>
      </c>
      <c r="G46" s="49" t="n">
        <v>1730</v>
      </c>
      <c r="H46" s="49" t="n">
        <v>300</v>
      </c>
      <c r="I46" s="49" t="n">
        <v>5</v>
      </c>
      <c r="J46" s="49" t="n">
        <v>1889</v>
      </c>
      <c r="K46" s="28" t="n">
        <v>0.45</v>
      </c>
      <c r="L46" s="30">
        <f>J46*(1-K46)</f>
        <v/>
      </c>
      <c r="M46" s="31" t="n">
        <v>361.03</v>
      </c>
      <c r="N46" s="32">
        <f>$J$5</f>
        <v/>
      </c>
      <c r="O46" s="33">
        <f>M46+N46</f>
        <v/>
      </c>
      <c r="P46" s="34" t="n">
        <v>0.47</v>
      </c>
      <c r="Q46" s="29">
        <f>J46*P46</f>
        <v/>
      </c>
      <c r="R46" s="35" t="n">
        <v>67</v>
      </c>
      <c r="S46" s="29">
        <f>J46*$J$8</f>
        <v/>
      </c>
      <c r="T46" s="35" t="n">
        <v>25</v>
      </c>
      <c r="U46" s="29">
        <f>J46*$J$4</f>
        <v/>
      </c>
      <c r="V46" s="29">
        <f>L46*$J$3</f>
        <v/>
      </c>
      <c r="W46" s="36" t="n">
        <v>0.9</v>
      </c>
      <c r="X46" s="35" t="n">
        <v>67</v>
      </c>
      <c r="Y46" s="29">
        <f>X46*(1-W46)</f>
        <v/>
      </c>
      <c r="Z46" s="37" t="n">
        <v>0.5600000000000001</v>
      </c>
      <c r="AA46" s="29">
        <f>$J$6*$J$7*Z46</f>
        <v/>
      </c>
      <c r="AB46" s="33">
        <f>Z46*($J$9+$J$10)</f>
        <v/>
      </c>
      <c r="AC46" s="34" t="n">
        <v>0.05</v>
      </c>
      <c r="AD46" s="29">
        <f>J46*AC46</f>
        <v/>
      </c>
      <c r="AE46" s="36" t="n">
        <v>0.05</v>
      </c>
      <c r="AF46" s="29">
        <f>J46*AE46</f>
        <v/>
      </c>
      <c r="AG46" s="29">
        <f>AD46+AF46</f>
        <v/>
      </c>
      <c r="AH46" s="38">
        <f>AG46/J46</f>
        <v/>
      </c>
      <c r="AI46" s="39">
        <f>J46-Q46-R46-S46-T46-U46-V46-Y46-AA46-AB46-O46-AN46-AO46</f>
        <v/>
      </c>
      <c r="AJ46" s="40">
        <f>AI46-AG46</f>
        <v/>
      </c>
      <c r="AK46" s="41">
        <f>AJ46/J46</f>
        <v/>
      </c>
      <c r="AL46" s="42">
        <f>AJ46/O46</f>
        <v/>
      </c>
      <c r="AM46" s="29">
        <f>(R46+T46+Y46+AA46+AB46+O46+AN46)/(1-(P46+$J$4+(1-K46)*$J$3+$J$8+$J$11+AC46+AE46))</f>
        <v/>
      </c>
      <c r="AN46" s="29">
        <f>$J$12</f>
        <v/>
      </c>
      <c r="AO46" s="29">
        <f>J46*$J$11</f>
        <v/>
      </c>
    </row>
    <row r="47" ht="28.5" customHeight="1" s="66">
      <c r="A47" s="50" t="n"/>
      <c r="B47" s="21" t="inlineStr">
        <is>
          <t>ETUDE - Baking Powder BB Deep Cleansing Foam [160ml] / Пенка с содой для глубокого очищения и снятия макияжа</t>
        </is>
      </c>
      <c r="C47" s="22" t="inlineStr">
        <is>
          <t>ФБС</t>
        </is>
      </c>
      <c r="D47" s="58" t="n"/>
      <c r="E47" s="24" t="n"/>
      <c r="F47" s="29" t="n">
        <v>228</v>
      </c>
      <c r="G47" s="49" t="n">
        <v>1870</v>
      </c>
      <c r="H47" s="49" t="n">
        <v>230</v>
      </c>
      <c r="I47" s="49" t="n">
        <v>8</v>
      </c>
      <c r="J47" s="49" t="n">
        <v>1746</v>
      </c>
      <c r="K47" s="28" t="n">
        <v>0.45</v>
      </c>
      <c r="L47" s="30">
        <f>J47*(1-K47)</f>
        <v/>
      </c>
      <c r="M47" s="31" t="n">
        <v>292.89</v>
      </c>
      <c r="N47" s="32">
        <f>$J$5</f>
        <v/>
      </c>
      <c r="O47" s="33">
        <f>M47+N47</f>
        <v/>
      </c>
      <c r="P47" s="34" t="n">
        <v>0.47</v>
      </c>
      <c r="Q47" s="29">
        <f>J47*P47</f>
        <v/>
      </c>
      <c r="R47" s="35" t="n">
        <v>67</v>
      </c>
      <c r="S47" s="29">
        <f>J47*$J$8</f>
        <v/>
      </c>
      <c r="T47" s="35" t="n">
        <v>25</v>
      </c>
      <c r="U47" s="29">
        <f>J47*$J$4</f>
        <v/>
      </c>
      <c r="V47" s="29">
        <f>L47*$J$3</f>
        <v/>
      </c>
      <c r="W47" s="36" t="n">
        <v>0.9</v>
      </c>
      <c r="X47" s="35" t="n">
        <v>67</v>
      </c>
      <c r="Y47" s="29">
        <f>X47*(1-W47)</f>
        <v/>
      </c>
      <c r="Z47" s="37" t="n">
        <v>0.5600000000000001</v>
      </c>
      <c r="AA47" s="29">
        <f>$J$6*$J$7*Z47</f>
        <v/>
      </c>
      <c r="AB47" s="33">
        <f>Z47*($J$9+$J$10)</f>
        <v/>
      </c>
      <c r="AC47" s="34" t="n">
        <v>0.07000000000000001</v>
      </c>
      <c r="AD47" s="29">
        <f>J47*AC47</f>
        <v/>
      </c>
      <c r="AE47" s="36" t="n">
        <v>0.05</v>
      </c>
      <c r="AF47" s="29">
        <f>J47*AE47</f>
        <v/>
      </c>
      <c r="AG47" s="29">
        <f>AD47+AF47</f>
        <v/>
      </c>
      <c r="AH47" s="38">
        <f>AG47/J47</f>
        <v/>
      </c>
      <c r="AI47" s="39">
        <f>J47-Q47-R47-S47-T47-U47-V47-Y47-AA47-AB47-O47-AN47-AO47</f>
        <v/>
      </c>
      <c r="AJ47" s="40">
        <f>AI47-AG47</f>
        <v/>
      </c>
      <c r="AK47" s="41">
        <f>AJ47/J47</f>
        <v/>
      </c>
      <c r="AL47" s="42">
        <f>AJ47/O47</f>
        <v/>
      </c>
      <c r="AM47" s="29">
        <f>(R47+T47+Y47+AA47+AB47+O47+AN47)/(1-(P47+$J$4+(1-K47)*$J$3+$J$8+$J$11+AC47+AE47))</f>
        <v/>
      </c>
      <c r="AN47" s="29">
        <f>$J$12</f>
        <v/>
      </c>
      <c r="AO47" s="29">
        <f>J47*$J$11</f>
        <v/>
      </c>
    </row>
    <row r="48" ht="28.5" customHeight="1" s="66">
      <c r="A48" s="50" t="n"/>
      <c r="B48" s="21" t="inlineStr">
        <is>
          <t>ETUDE - Baking Powder Crunch Pore Scrub [24*7ml] / Очищающий скраб для лица с содой</t>
        </is>
      </c>
      <c r="C48" s="22" t="inlineStr">
        <is>
          <t>ФБС</t>
        </is>
      </c>
      <c r="D48" s="58" t="n"/>
      <c r="E48" s="24" t="n"/>
      <c r="F48" s="29" t="n">
        <v>221</v>
      </c>
      <c r="G48" s="49" t="n">
        <v>1900</v>
      </c>
      <c r="H48" s="49" t="n">
        <v>60</v>
      </c>
      <c r="I48" s="49" t="n">
        <v>10</v>
      </c>
      <c r="J48" s="49" t="n">
        <v>2387</v>
      </c>
      <c r="K48" s="28" t="n">
        <v>0.45</v>
      </c>
      <c r="L48" s="30">
        <f>J48*(1-K48)</f>
        <v/>
      </c>
      <c r="M48" s="31" t="n">
        <v>389.99</v>
      </c>
      <c r="N48" s="32">
        <f>$J$5</f>
        <v/>
      </c>
      <c r="O48" s="33">
        <f>M48+N48</f>
        <v/>
      </c>
      <c r="P48" s="34" t="n">
        <v>0.47</v>
      </c>
      <c r="Q48" s="29">
        <f>J48*P48</f>
        <v/>
      </c>
      <c r="R48" s="35" t="n">
        <v>72</v>
      </c>
      <c r="S48" s="29">
        <f>J48*$J$8</f>
        <v/>
      </c>
      <c r="T48" s="35" t="n">
        <v>25</v>
      </c>
      <c r="U48" s="29">
        <f>J48*$J$4</f>
        <v/>
      </c>
      <c r="V48" s="29">
        <f>L48*$J$3</f>
        <v/>
      </c>
      <c r="W48" s="36" t="n">
        <v>0.9</v>
      </c>
      <c r="X48" s="35" t="n">
        <v>72</v>
      </c>
      <c r="Y48" s="29">
        <f>X48*(1-W48)</f>
        <v/>
      </c>
      <c r="Z48" s="37" t="n">
        <v>1.15</v>
      </c>
      <c r="AA48" s="29">
        <f>$J$6*$J$7*Z48</f>
        <v/>
      </c>
      <c r="AB48" s="33">
        <f>Z48*($J$9+$J$10)</f>
        <v/>
      </c>
      <c r="AC48" s="34" t="n">
        <v>0.07000000000000001</v>
      </c>
      <c r="AD48" s="29">
        <f>J48*AC48</f>
        <v/>
      </c>
      <c r="AE48" s="36" t="n">
        <v>0.08</v>
      </c>
      <c r="AF48" s="29">
        <f>J48*AE48</f>
        <v/>
      </c>
      <c r="AG48" s="29">
        <f>AD48+AF48</f>
        <v/>
      </c>
      <c r="AH48" s="38">
        <f>AG48/J48</f>
        <v/>
      </c>
      <c r="AI48" s="39">
        <f>J48-Q48-R48-S48-T48-U48-V48-Y48-AA48-AB48-O48-AN48-AO48</f>
        <v/>
      </c>
      <c r="AJ48" s="40">
        <f>AI48-AG48</f>
        <v/>
      </c>
      <c r="AK48" s="41">
        <f>AJ48/J48</f>
        <v/>
      </c>
      <c r="AL48" s="42">
        <f>AJ48/O48</f>
        <v/>
      </c>
      <c r="AM48" s="29">
        <f>(R48+T48+Y48+AA48+AB48+O48+AN48)/(1-(P48+$J$4+(1-K48)*$J$3+$J$8+$J$11+AC48+AE48))</f>
        <v/>
      </c>
      <c r="AN48" s="29">
        <f>$J$12</f>
        <v/>
      </c>
      <c r="AO48" s="29">
        <f>J48*$J$11</f>
        <v/>
      </c>
    </row>
    <row r="49" ht="14.25" customHeight="1" s="66">
      <c r="A49" s="17" t="n"/>
      <c r="B49" s="18" t="inlineStr">
        <is>
          <t>Косметика/FARMSTAY</t>
        </is>
      </c>
      <c r="C49" s="18" t="n"/>
      <c r="D49" s="19" t="n"/>
      <c r="E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19" t="n"/>
      <c r="AF49" s="19" t="n"/>
      <c r="AG49" s="19" t="n"/>
      <c r="AH49" s="19" t="n"/>
      <c r="AI49" s="19" t="n"/>
      <c r="AJ49" s="19" t="n"/>
      <c r="AK49" s="19" t="n"/>
      <c r="AL49" s="19" t="n"/>
      <c r="AM49" s="19" t="n"/>
      <c r="AN49" s="19" t="n"/>
      <c r="AO49" s="19" t="n"/>
    </row>
    <row r="50" ht="14.25" customHeight="1" s="66">
      <c r="A50" s="50" t="n"/>
      <c r="B50" s="21" t="inlineStr">
        <is>
          <t>FARMSTAY COLLAGEN&amp;HYALURONIC ACID ALL-IN ONE</t>
        </is>
      </c>
      <c r="C50" s="22" t="inlineStr">
        <is>
          <t>ФБС</t>
        </is>
      </c>
      <c r="D50" s="58" t="n"/>
      <c r="E50" s="24" t="inlineStr">
        <is>
          <t>только Holika продает на Озон</t>
        </is>
      </c>
      <c r="F50" s="29" t="n">
        <v>6611</v>
      </c>
      <c r="G50" s="49" t="n">
        <v>3850</v>
      </c>
      <c r="H50" s="49" t="n">
        <v>127</v>
      </c>
      <c r="I50" s="49" t="n">
        <v>6</v>
      </c>
      <c r="J50" s="49" t="n">
        <v>2178</v>
      </c>
      <c r="K50" s="28" t="n">
        <v>0.45</v>
      </c>
      <c r="L50" s="30">
        <f>J50*(1-K50)</f>
        <v/>
      </c>
      <c r="M50" s="31" t="n">
        <v>347.76</v>
      </c>
      <c r="N50" s="32">
        <f>$J$5</f>
        <v/>
      </c>
      <c r="O50" s="33">
        <f>M50+N50</f>
        <v/>
      </c>
      <c r="P50" s="34" t="n">
        <v>0.47</v>
      </c>
      <c r="Q50" s="29">
        <f>J50*P50</f>
        <v/>
      </c>
      <c r="R50" s="35" t="n">
        <v>67</v>
      </c>
      <c r="S50" s="29">
        <f>J50*$J$8</f>
        <v/>
      </c>
      <c r="T50" s="35" t="n">
        <v>25</v>
      </c>
      <c r="U50" s="29">
        <f>J50*$J$4</f>
        <v/>
      </c>
      <c r="V50" s="29">
        <f>L50*$J$3</f>
        <v/>
      </c>
      <c r="W50" s="36" t="n">
        <v>0.9</v>
      </c>
      <c r="X50" s="35" t="n">
        <v>67</v>
      </c>
      <c r="Y50" s="29">
        <f>X50*(1-W50)</f>
        <v/>
      </c>
      <c r="Z50" s="37" t="n">
        <v>0.832</v>
      </c>
      <c r="AA50" s="29">
        <f>$J$6*$J$7*Z50</f>
        <v/>
      </c>
      <c r="AB50" s="33">
        <f>Z50*($J$9+$J$10)</f>
        <v/>
      </c>
      <c r="AC50" s="34" t="n">
        <v>0.07000000000000001</v>
      </c>
      <c r="AD50" s="29">
        <f>J50*AC50</f>
        <v/>
      </c>
      <c r="AE50" s="36" t="n">
        <v>0.08</v>
      </c>
      <c r="AF50" s="29">
        <f>J50*AE50</f>
        <v/>
      </c>
      <c r="AG50" s="29">
        <f>AD50+AF50</f>
        <v/>
      </c>
      <c r="AH50" s="38">
        <f>AG50/J50</f>
        <v/>
      </c>
      <c r="AI50" s="39">
        <f>J50-Q50-R50-S50-T50-U50-V50-Y50-AA50-AB50-O50-AN50-AO50</f>
        <v/>
      </c>
      <c r="AJ50" s="40">
        <f>AI50-AG50</f>
        <v/>
      </c>
      <c r="AK50" s="41">
        <f>AJ50/J50</f>
        <v/>
      </c>
      <c r="AL50" s="42">
        <f>AJ50/O50</f>
        <v/>
      </c>
      <c r="AM50" s="29">
        <f>(R50+T50+Y50+AA50+AB50+O50+AN50)/(1-(P50+$J$4+(1-K50)*$J$3+$J$8+$J$11+AC50+AE50))</f>
        <v/>
      </c>
      <c r="AN50" s="29">
        <f>$J$12</f>
        <v/>
      </c>
      <c r="AO50" s="29">
        <f>J50*$J$11</f>
        <v/>
      </c>
    </row>
    <row r="51" ht="28.5" customHeight="1" s="66">
      <c r="A51" s="50" t="n"/>
      <c r="B51" s="21" t="inlineStr">
        <is>
          <t>FARMSTAY - Black Garlic Nourishing Shampoo [530ml] / Шампунь-кондиционер 2в1 с экстрактом черного чеснока</t>
        </is>
      </c>
      <c r="C51" s="22" t="inlineStr">
        <is>
          <t>ФБС</t>
        </is>
      </c>
      <c r="D51" s="58" t="n"/>
      <c r="E51" s="24" t="inlineStr">
        <is>
          <t>только Holika продает на Озон</t>
        </is>
      </c>
      <c r="F51" s="29" t="n">
        <v>3360</v>
      </c>
      <c r="G51" s="49" t="n">
        <v>2156</v>
      </c>
      <c r="H51" s="49" t="n">
        <v>46</v>
      </c>
      <c r="I51" s="49" t="n">
        <v>5</v>
      </c>
      <c r="J51" s="49" t="n">
        <v>2442</v>
      </c>
      <c r="K51" s="28" t="n">
        <v>0.45</v>
      </c>
      <c r="L51" s="30">
        <f>J51*(1-K51)</f>
        <v/>
      </c>
      <c r="M51" s="31" t="n">
        <v>396.72</v>
      </c>
      <c r="N51" s="32">
        <f>$J$5</f>
        <v/>
      </c>
      <c r="O51" s="33">
        <f>M51+N51</f>
        <v/>
      </c>
      <c r="P51" s="34" t="n">
        <v>0.47</v>
      </c>
      <c r="Q51" s="29">
        <f>J51*P51</f>
        <v/>
      </c>
      <c r="R51" s="35" t="n">
        <v>75</v>
      </c>
      <c r="S51" s="29">
        <f>J51*$J$8</f>
        <v/>
      </c>
      <c r="T51" s="35" t="n">
        <v>25</v>
      </c>
      <c r="U51" s="29">
        <f>J51*$J$4</f>
        <v/>
      </c>
      <c r="V51" s="29">
        <f>L51*$J$3</f>
        <v/>
      </c>
      <c r="W51" s="36" t="n">
        <v>0.9</v>
      </c>
      <c r="X51" s="35" t="n">
        <v>75</v>
      </c>
      <c r="Y51" s="29">
        <f>X51*(1-W51)</f>
        <v/>
      </c>
      <c r="Z51" s="37" t="n">
        <v>1.89</v>
      </c>
      <c r="AA51" s="29">
        <f>$J$6*$J$7*Z51</f>
        <v/>
      </c>
      <c r="AB51" s="33">
        <f>Z51*($J$9+$J$10)</f>
        <v/>
      </c>
      <c r="AC51" s="34" t="n">
        <v>0.07000000000000001</v>
      </c>
      <c r="AD51" s="29">
        <f>J51*AC51</f>
        <v/>
      </c>
      <c r="AE51" s="36" t="n">
        <v>0.08</v>
      </c>
      <c r="AF51" s="29">
        <f>J51*AE51</f>
        <v/>
      </c>
      <c r="AG51" s="29">
        <f>AD51+AF51</f>
        <v/>
      </c>
      <c r="AH51" s="38">
        <f>AG51/J51</f>
        <v/>
      </c>
      <c r="AI51" s="39">
        <f>J51-Q51-R51-S51-T51-U51-V51-Y51-AA51-AB51-O51-AN51-AO51</f>
        <v/>
      </c>
      <c r="AJ51" s="40">
        <f>AI51-AG51</f>
        <v/>
      </c>
      <c r="AK51" s="41">
        <f>AJ51/J51</f>
        <v/>
      </c>
      <c r="AL51" s="42">
        <f>AJ51/O51</f>
        <v/>
      </c>
      <c r="AM51" s="29">
        <f>(R51+T51+Y51+AA51+AB51+O51+AN51)/(1-(P51+$J$4+(1-K51)*$J$3+$J$8+$J$11+AC51+AE51))</f>
        <v/>
      </c>
      <c r="AN51" s="29">
        <f>$J$12</f>
        <v/>
      </c>
      <c r="AO51" s="29">
        <f>J51*$J$11</f>
        <v/>
      </c>
    </row>
    <row r="52" ht="28.5" customHeight="1" s="66">
      <c r="A52" s="50" t="n"/>
      <c r="B52" s="21" t="inlineStr">
        <is>
          <t>FARMSTAY - Gold Snail Premium Cream [50ml] / Омолаживающий крем с муцином улитки и коллоидным золотом</t>
        </is>
      </c>
      <c r="C52" s="22" t="inlineStr">
        <is>
          <t>ФБС</t>
        </is>
      </c>
      <c r="D52" s="58" t="n"/>
      <c r="E52" s="24" t="inlineStr">
        <is>
          <t>не смогла найти с продажами</t>
        </is>
      </c>
      <c r="F52" s="29" t="n">
        <v>1104</v>
      </c>
      <c r="G52" s="49" t="n"/>
      <c r="H52" s="49" t="n"/>
      <c r="I52" s="49" t="n"/>
      <c r="J52" s="49" t="n">
        <v>2538</v>
      </c>
      <c r="K52" s="28" t="n">
        <v>0.45</v>
      </c>
      <c r="L52" s="30">
        <f>J52*(1-K52)</f>
        <v/>
      </c>
      <c r="M52" s="31" t="n">
        <v>431.05</v>
      </c>
      <c r="N52" s="32">
        <f>$J$5</f>
        <v/>
      </c>
      <c r="O52" s="33">
        <f>M52+N52</f>
        <v/>
      </c>
      <c r="P52" s="34" t="n">
        <v>0.47</v>
      </c>
      <c r="Q52" s="29">
        <f>J52*P52</f>
        <v/>
      </c>
      <c r="R52" s="35" t="n">
        <v>67</v>
      </c>
      <c r="S52" s="29">
        <f>J52*$J$8</f>
        <v/>
      </c>
      <c r="T52" s="35" t="n">
        <v>25</v>
      </c>
      <c r="U52" s="29">
        <f>J52*$J$4</f>
        <v/>
      </c>
      <c r="V52" s="29">
        <f>L52*$J$3</f>
        <v/>
      </c>
      <c r="W52" s="36" t="n">
        <v>0.9</v>
      </c>
      <c r="X52" s="35" t="n">
        <v>67</v>
      </c>
      <c r="Y52" s="29">
        <f>X52*(1-W52)</f>
        <v/>
      </c>
      <c r="Z52" s="37" t="n">
        <v>0.73</v>
      </c>
      <c r="AA52" s="29">
        <f>$J$6*$J$7*Z52</f>
        <v/>
      </c>
      <c r="AB52" s="33">
        <f>Z52*($J$9+$J$10)</f>
        <v/>
      </c>
      <c r="AC52" s="34" t="n">
        <v>0.07000000000000001</v>
      </c>
      <c r="AD52" s="29">
        <f>J52*AC52</f>
        <v/>
      </c>
      <c r="AE52" s="36" t="n">
        <v>0.08</v>
      </c>
      <c r="AF52" s="29">
        <f>J52*AE52</f>
        <v/>
      </c>
      <c r="AG52" s="29">
        <f>AD52+AF52</f>
        <v/>
      </c>
      <c r="AH52" s="38">
        <f>AG52/J52</f>
        <v/>
      </c>
      <c r="AI52" s="39">
        <f>J52-Q52-R52-S52-T52-U52-V52-Y52-AA52-AB52-O52-AN52-AO52</f>
        <v/>
      </c>
      <c r="AJ52" s="40">
        <f>AI52-AG52</f>
        <v/>
      </c>
      <c r="AK52" s="41">
        <f>AJ52/J52</f>
        <v/>
      </c>
      <c r="AL52" s="42">
        <f>AJ52/O52</f>
        <v/>
      </c>
      <c r="AM52" s="29">
        <f>(R52+T52+Y52+AA52+AB52+O52+AN52)/(1-(P52+$J$4+(1-K52)*$J$3+$J$8+$J$11+AC52+AE52))</f>
        <v/>
      </c>
      <c r="AN52" s="29">
        <f>$J$12</f>
        <v/>
      </c>
      <c r="AO52" s="29">
        <f>J52*$J$11</f>
        <v/>
      </c>
    </row>
    <row r="53" ht="28.5" customHeight="1" s="66">
      <c r="A53" s="50" t="n">
        <v>5358217994</v>
      </c>
      <c r="B53" s="21" t="inlineStr">
        <is>
          <t>FARMSTAY - Escargot Noblesse Intensive Cream [50g] / Крем с муцином королевской улитки</t>
        </is>
      </c>
      <c r="C53" s="51" t="inlineStr">
        <is>
          <t>ФБС</t>
        </is>
      </c>
      <c r="D53" s="58" t="n"/>
      <c r="E53" s="24" t="inlineStr">
        <is>
          <t>только Holika продает на Озон</t>
        </is>
      </c>
      <c r="F53" s="29" t="n">
        <v>964</v>
      </c>
      <c r="G53" s="49" t="n">
        <v>3070</v>
      </c>
      <c r="H53" s="49" t="n">
        <v>48</v>
      </c>
      <c r="I53" s="49" t="n">
        <v>6.6</v>
      </c>
      <c r="J53" s="49" t="n">
        <v>2032</v>
      </c>
      <c r="K53" s="28" t="n">
        <v>0.45</v>
      </c>
      <c r="L53" s="30">
        <f>J53*(1-K53)</f>
        <v/>
      </c>
      <c r="M53" s="31" t="n">
        <v>313.84</v>
      </c>
      <c r="N53" s="32">
        <f>$J$5</f>
        <v/>
      </c>
      <c r="O53" s="33">
        <f>M53+N53</f>
        <v/>
      </c>
      <c r="P53" s="34" t="n">
        <v>0.47</v>
      </c>
      <c r="Q53" s="29">
        <f>J53*P53</f>
        <v/>
      </c>
      <c r="R53" s="35" t="n">
        <v>67</v>
      </c>
      <c r="S53" s="29">
        <f>J53*$J$8</f>
        <v/>
      </c>
      <c r="T53" s="35" t="n">
        <v>25</v>
      </c>
      <c r="U53" s="29">
        <f>J53*$J$4</f>
        <v/>
      </c>
      <c r="V53" s="29">
        <f>L53*$J$3</f>
        <v/>
      </c>
      <c r="W53" s="36" t="n">
        <v>0.9</v>
      </c>
      <c r="X53" s="35" t="n">
        <v>67</v>
      </c>
      <c r="Y53" s="29">
        <f>X53*(1-W53)</f>
        <v/>
      </c>
      <c r="Z53" s="37" t="n">
        <v>0.86</v>
      </c>
      <c r="AA53" s="29">
        <f>$J$6*$J$7*Z53</f>
        <v/>
      </c>
      <c r="AB53" s="33">
        <f>Z53*($J$9+$J$10)</f>
        <v/>
      </c>
      <c r="AC53" s="34" t="n">
        <v>0.07000000000000001</v>
      </c>
      <c r="AD53" s="29">
        <f>J53*AC53</f>
        <v/>
      </c>
      <c r="AE53" s="36" t="n">
        <v>0.08</v>
      </c>
      <c r="AF53" s="29">
        <f>J53*AE53</f>
        <v/>
      </c>
      <c r="AG53" s="29">
        <f>AD53+AF53</f>
        <v/>
      </c>
      <c r="AH53" s="38">
        <f>AG53/J53</f>
        <v/>
      </c>
      <c r="AI53" s="39">
        <f>J53-Q53-R53-S53-T53-U53-V53-Y53-AA53-AB53-O53-AN53-AO53</f>
        <v/>
      </c>
      <c r="AJ53" s="40">
        <f>AI53-AG53</f>
        <v/>
      </c>
      <c r="AK53" s="41">
        <f>AJ53/J53</f>
        <v/>
      </c>
      <c r="AL53" s="42">
        <f>AJ53/O53</f>
        <v/>
      </c>
      <c r="AM53" s="29">
        <f>(R53+T53+Y53+AA53+AB53+O53+AN53)/(1-(P53+$J$4+(1-K53)*$J$3+$J$8+$J$11+AC53+AE53))</f>
        <v/>
      </c>
      <c r="AN53" s="29">
        <f>$J$12</f>
        <v/>
      </c>
      <c r="AO53" s="29">
        <f>J53*$J$11</f>
        <v/>
      </c>
    </row>
    <row r="54" ht="28.5" customHeight="1" s="66">
      <c r="A54" s="50" t="n"/>
      <c r="B54" s="21" t="inlineStr">
        <is>
          <t xml:space="preserve">FARMSTAY ESCARGOT NOBLESSE INTENSIVE AMPOULE/ сыворотка с улиткой </t>
        </is>
      </c>
      <c r="C54" s="22" t="inlineStr">
        <is>
          <t>ФБС</t>
        </is>
      </c>
      <c r="D54" s="58" t="n"/>
      <c r="E54" s="24" t="n"/>
      <c r="F54" s="29" t="n">
        <v>964</v>
      </c>
      <c r="G54" s="49" t="n">
        <v>3820</v>
      </c>
      <c r="H54" s="49" t="n">
        <v>22</v>
      </c>
      <c r="I54" s="49" t="n">
        <v>7</v>
      </c>
      <c r="J54" s="49" t="n">
        <v>2364</v>
      </c>
      <c r="K54" s="28" t="n">
        <v>0.45</v>
      </c>
      <c r="L54" s="30">
        <f>J54*(1-K54)</f>
        <v/>
      </c>
      <c r="M54" s="31" t="n">
        <v>390.46</v>
      </c>
      <c r="N54" s="32">
        <f>$J$5</f>
        <v/>
      </c>
      <c r="O54" s="33">
        <f>M54+N54</f>
        <v/>
      </c>
      <c r="P54" s="34" t="n">
        <v>0.47</v>
      </c>
      <c r="Q54" s="29">
        <f>J54*P54</f>
        <v/>
      </c>
      <c r="R54" s="35" t="n">
        <v>67</v>
      </c>
      <c r="S54" s="29">
        <f>J54*$J$8</f>
        <v/>
      </c>
      <c r="T54" s="35" t="n">
        <v>25</v>
      </c>
      <c r="U54" s="29">
        <f>J54*$J$4</f>
        <v/>
      </c>
      <c r="V54" s="29">
        <f>L54*$J$3</f>
        <v/>
      </c>
      <c r="W54" s="36" t="n">
        <v>0.9</v>
      </c>
      <c r="X54" s="35" t="n">
        <v>67</v>
      </c>
      <c r="Y54" s="29">
        <f>X54*(1-W54)</f>
        <v/>
      </c>
      <c r="Z54" s="37" t="n">
        <v>0.86</v>
      </c>
      <c r="AA54" s="29">
        <f>$J$6*$J$7*Z54</f>
        <v/>
      </c>
      <c r="AB54" s="33">
        <f>Z54*($J$9+$J$10)</f>
        <v/>
      </c>
      <c r="AC54" s="34" t="n">
        <v>0.07000000000000001</v>
      </c>
      <c r="AD54" s="29">
        <f>J54*AC54</f>
        <v/>
      </c>
      <c r="AE54" s="36" t="n">
        <v>0.08</v>
      </c>
      <c r="AF54" s="29">
        <f>J54*AE54</f>
        <v/>
      </c>
      <c r="AG54" s="29">
        <f>AD54+AF54</f>
        <v/>
      </c>
      <c r="AH54" s="38">
        <f>AG54/J54</f>
        <v/>
      </c>
      <c r="AI54" s="39">
        <f>J54-Q54-R54-S54-T54-U54-V54-Y54-AA54-AB54-O54-AN54-AO54</f>
        <v/>
      </c>
      <c r="AJ54" s="40">
        <f>AI54-AG54</f>
        <v/>
      </c>
      <c r="AK54" s="41">
        <f>AJ54/J54</f>
        <v/>
      </c>
      <c r="AL54" s="42">
        <f>AJ54/O54</f>
        <v/>
      </c>
      <c r="AM54" s="29">
        <f>(R54+T54+Y54+AA54+AB54+O54+AN54)/(1-(P54+$J$4+(1-K54)*$J$3+$J$8+$J$11+AC54+AE54))</f>
        <v/>
      </c>
      <c r="AN54" s="29">
        <f>$J$12</f>
        <v/>
      </c>
      <c r="AO54" s="29">
        <f>J54*$J$11</f>
        <v/>
      </c>
    </row>
    <row r="55" ht="28.5" customHeight="1" s="66">
      <c r="A55" s="50" t="n"/>
      <c r="B55" s="21" t="inlineStr">
        <is>
          <t>FARMSTAY - Argan Oil Complete Volume Up Shampoo &amp; Conditioner [530ml] / Шампунь-кондиционер с аргановым маслом</t>
        </is>
      </c>
      <c r="C55" s="22" t="inlineStr">
        <is>
          <t>ФБС</t>
        </is>
      </c>
      <c r="D55" s="58" t="n"/>
      <c r="E55" s="24" t="n"/>
      <c r="F55" s="29" t="n">
        <v>2535</v>
      </c>
      <c r="G55" s="49" t="n">
        <v>2000</v>
      </c>
      <c r="H55" s="49" t="n">
        <v>23</v>
      </c>
      <c r="I55" s="49" t="n">
        <v>1</v>
      </c>
      <c r="J55" s="49" t="n">
        <v>2448</v>
      </c>
      <c r="K55" s="28" t="n">
        <v>0.45</v>
      </c>
      <c r="L55" s="30">
        <f>J55*(1-K55)</f>
        <v/>
      </c>
      <c r="M55" s="31" t="n">
        <v>400.76</v>
      </c>
      <c r="N55" s="32">
        <f>$J$5</f>
        <v/>
      </c>
      <c r="O55" s="33">
        <f>M55+N55</f>
        <v/>
      </c>
      <c r="P55" s="34" t="n">
        <v>0.47</v>
      </c>
      <c r="Q55" s="29">
        <f>J55*P55</f>
        <v/>
      </c>
      <c r="R55" s="35" t="n">
        <v>75</v>
      </c>
      <c r="S55" s="29">
        <f>J55*$J$8</f>
        <v/>
      </c>
      <c r="T55" s="35" t="n">
        <v>25</v>
      </c>
      <c r="U55" s="29">
        <f>J55*$J$4</f>
        <v/>
      </c>
      <c r="V55" s="29">
        <f>L55*$J$3</f>
        <v/>
      </c>
      <c r="W55" s="36" t="n">
        <v>0.9</v>
      </c>
      <c r="X55" s="35" t="n">
        <v>75</v>
      </c>
      <c r="Y55" s="29">
        <f>X55*(1-W55)</f>
        <v/>
      </c>
      <c r="Z55" s="37" t="n">
        <v>1.26</v>
      </c>
      <c r="AA55" s="29">
        <f>$J$6*$J$7*Z55</f>
        <v/>
      </c>
      <c r="AB55" s="33">
        <f>Z55*($J$9+$J$10)</f>
        <v/>
      </c>
      <c r="AC55" s="34" t="n">
        <v>0.07000000000000001</v>
      </c>
      <c r="AD55" s="29">
        <f>J55*AC55</f>
        <v/>
      </c>
      <c r="AE55" s="36" t="n">
        <v>0.08</v>
      </c>
      <c r="AF55" s="29">
        <f>J55*AE55</f>
        <v/>
      </c>
      <c r="AG55" s="29">
        <f>AD55+AF55</f>
        <v/>
      </c>
      <c r="AH55" s="38">
        <f>AG55/J55</f>
        <v/>
      </c>
      <c r="AI55" s="39">
        <f>J55-Q55-R55-S55-T55-U55-V55-Y55-AA55-AB55-O55-AN55-AO55</f>
        <v/>
      </c>
      <c r="AJ55" s="40">
        <f>AI55-AG55</f>
        <v/>
      </c>
      <c r="AK55" s="41">
        <f>AJ55/J55</f>
        <v/>
      </c>
      <c r="AL55" s="42">
        <f>AJ55/O55</f>
        <v/>
      </c>
      <c r="AM55" s="29">
        <f>(R55+T55+Y55+AA55+AB55+O55+AN55)/(1-(P55+$J$4+(1-K55)*$J$3+$J$8+$J$11+AC55+AE55))</f>
        <v/>
      </c>
      <c r="AN55" s="29">
        <f>$J$12</f>
        <v/>
      </c>
      <c r="AO55" s="29">
        <f>J55*$J$11</f>
        <v/>
      </c>
    </row>
    <row r="56" ht="28.5" customHeight="1" s="66">
      <c r="A56" s="50" t="n"/>
      <c r="B56" s="21" t="inlineStr">
        <is>
          <t>FARMSTAY - Collagen Water Full Shampoo &amp; Conditioner [530ml] / Шампунь-кондиционер 2в1 с коллагеном</t>
        </is>
      </c>
      <c r="C56" s="22" t="inlineStr">
        <is>
          <t>ФБС</t>
        </is>
      </c>
      <c r="D56" s="58" t="n"/>
      <c r="E56" s="24" t="n"/>
      <c r="F56" s="29" t="n">
        <v>484</v>
      </c>
      <c r="G56" s="49" t="n">
        <v>2128</v>
      </c>
      <c r="H56" s="49" t="n">
        <v>22</v>
      </c>
      <c r="I56" s="49" t="n">
        <v>7.5</v>
      </c>
      <c r="J56" s="49" t="n">
        <v>2431</v>
      </c>
      <c r="K56" s="28" t="n">
        <v>0.45</v>
      </c>
      <c r="L56" s="30">
        <f>J56*(1-K56)</f>
        <v/>
      </c>
      <c r="M56" s="31" t="n">
        <v>396.72</v>
      </c>
      <c r="N56" s="32">
        <f>$J$5</f>
        <v/>
      </c>
      <c r="O56" s="33">
        <f>M56+N56</f>
        <v/>
      </c>
      <c r="P56" s="34" t="n">
        <v>0.47</v>
      </c>
      <c r="Q56" s="29">
        <f>J56*P56</f>
        <v/>
      </c>
      <c r="R56" s="35" t="n">
        <v>75</v>
      </c>
      <c r="S56" s="29">
        <f>J56*$J$8</f>
        <v/>
      </c>
      <c r="T56" s="35" t="n">
        <v>25</v>
      </c>
      <c r="U56" s="29">
        <f>J56*$J$4</f>
        <v/>
      </c>
      <c r="V56" s="29">
        <f>L56*$J$3</f>
        <v/>
      </c>
      <c r="W56" s="36" t="n">
        <v>0.9</v>
      </c>
      <c r="X56" s="35" t="n">
        <v>75</v>
      </c>
      <c r="Y56" s="29">
        <f>X56*(1-W56)</f>
        <v/>
      </c>
      <c r="Z56" s="37" t="n">
        <v>1.26</v>
      </c>
      <c r="AA56" s="29">
        <f>$J$6*$J$7*Z56</f>
        <v/>
      </c>
      <c r="AB56" s="33">
        <f>Z56*($J$9+$J$10)</f>
        <v/>
      </c>
      <c r="AC56" s="34" t="n">
        <v>0.07000000000000001</v>
      </c>
      <c r="AD56" s="29">
        <f>J56*AC56</f>
        <v/>
      </c>
      <c r="AE56" s="36" t="n">
        <v>0.08</v>
      </c>
      <c r="AF56" s="29">
        <f>J56*AE56</f>
        <v/>
      </c>
      <c r="AG56" s="29">
        <f>AD56+AF56</f>
        <v/>
      </c>
      <c r="AH56" s="38">
        <f>AG56/J56</f>
        <v/>
      </c>
      <c r="AI56" s="39">
        <f>J56-Q56-R56-S56-T56-U56-V56-Y56-AA56-AB56-O56-AN56-AO56</f>
        <v/>
      </c>
      <c r="AJ56" s="40">
        <f>AI56-AG56</f>
        <v/>
      </c>
      <c r="AK56" s="41">
        <f>AJ56/J56</f>
        <v/>
      </c>
      <c r="AL56" s="42">
        <f>AJ56/O56</f>
        <v/>
      </c>
      <c r="AM56" s="29">
        <f>(R56+T56+Y56+AA56+AB56+O56+AN56)/(1-(P56+$J$4+(1-K56)*$J$3+$J$8+$J$11+AC56+AE56))</f>
        <v/>
      </c>
      <c r="AN56" s="29">
        <f>$J$12</f>
        <v/>
      </c>
      <c r="AO56" s="29">
        <f>J56*$J$11</f>
        <v/>
      </c>
    </row>
    <row r="57" ht="28.5" customHeight="1" s="66">
      <c r="A57" s="50" t="n"/>
      <c r="B57" s="21" t="inlineStr">
        <is>
          <t>FARMSTAY - Collagen Water Full Moist Rolling Eye Serum [25ml] / Сыворотка роллер для глаз</t>
        </is>
      </c>
      <c r="C57" s="22" t="inlineStr">
        <is>
          <t>ФБС</t>
        </is>
      </c>
      <c r="D57" s="58" t="n"/>
      <c r="E57" s="24" t="n"/>
      <c r="F57" s="29" t="n">
        <v>484</v>
      </c>
      <c r="G57" s="49" t="n">
        <v>2145</v>
      </c>
      <c r="H57" s="49" t="n">
        <v>48</v>
      </c>
      <c r="I57" s="49" t="n">
        <v>5</v>
      </c>
      <c r="J57" s="49" t="n">
        <v>1647</v>
      </c>
      <c r="K57" s="28" t="n">
        <v>0.45</v>
      </c>
      <c r="L57" s="30">
        <f>J57*(1-K57)</f>
        <v/>
      </c>
      <c r="M57" s="31" t="n">
        <v>231.73</v>
      </c>
      <c r="N57" s="32">
        <f>$J$5</f>
        <v/>
      </c>
      <c r="O57" s="33">
        <f>M57+N57</f>
        <v/>
      </c>
      <c r="P57" s="34" t="n">
        <v>0.47</v>
      </c>
      <c r="Q57" s="29">
        <f>J57*P57</f>
        <v/>
      </c>
      <c r="R57" s="35" t="n">
        <v>63</v>
      </c>
      <c r="S57" s="29">
        <f>J57*$J$8</f>
        <v/>
      </c>
      <c r="T57" s="35" t="n">
        <v>25</v>
      </c>
      <c r="U57" s="29">
        <f>J57*$J$4</f>
        <v/>
      </c>
      <c r="V57" s="29">
        <f>L57*$J$3</f>
        <v/>
      </c>
      <c r="W57" s="36" t="n">
        <v>0.9</v>
      </c>
      <c r="X57" s="35" t="n">
        <v>63</v>
      </c>
      <c r="Y57" s="29">
        <f>X57*(1-W57)</f>
        <v/>
      </c>
      <c r="Z57" s="37" t="n">
        <v>0.22</v>
      </c>
      <c r="AA57" s="29">
        <f>$J$6*$J$7*Z57</f>
        <v/>
      </c>
      <c r="AB57" s="33">
        <f>Z57*($J$9+$J$10)</f>
        <v/>
      </c>
      <c r="AC57" s="34" t="n">
        <v>0.07000000000000001</v>
      </c>
      <c r="AD57" s="29">
        <f>J57*AC57</f>
        <v/>
      </c>
      <c r="AE57" s="36" t="n">
        <v>0.08</v>
      </c>
      <c r="AF57" s="29">
        <f>J57*AE57</f>
        <v/>
      </c>
      <c r="AG57" s="29">
        <f>AD57+AF57</f>
        <v/>
      </c>
      <c r="AH57" s="38">
        <f>AG57/J57</f>
        <v/>
      </c>
      <c r="AI57" s="39">
        <f>J57-Q57-R57-S57-T57-U57-V57-Y57-AA57-AB57-O57-AN57-AO57</f>
        <v/>
      </c>
      <c r="AJ57" s="40">
        <f>AI57-AG57</f>
        <v/>
      </c>
      <c r="AK57" s="41">
        <f>AJ57/J57</f>
        <v/>
      </c>
      <c r="AL57" s="42">
        <f>AJ57/O57</f>
        <v/>
      </c>
      <c r="AM57" s="29">
        <f>(R57+T57+Y57+AA57+AB57+O57+AN57)/(1-(P57+$J$4+(1-K57)*$J$3+$J$8+$J$11+AC57+AE57))</f>
        <v/>
      </c>
      <c r="AN57" s="29">
        <f>$J$12</f>
        <v/>
      </c>
      <c r="AO57" s="29">
        <f>J57*$J$11</f>
        <v/>
      </c>
    </row>
    <row r="58" ht="28.5" customHeight="1" s="66">
      <c r="A58" s="50" t="n">
        <v>5358217491</v>
      </c>
      <c r="B58" s="21" t="inlineStr">
        <is>
          <t>FARMSTAY - Collagen Water Full Moist Cream [100g] / Увлажняющий крем с коллагеном</t>
        </is>
      </c>
      <c r="C58" s="51" t="inlineStr">
        <is>
          <t>ФБС</t>
        </is>
      </c>
      <c r="D58" s="58" t="n"/>
      <c r="E58" s="24" t="n"/>
      <c r="F58" s="29" t="n">
        <v>287</v>
      </c>
      <c r="G58" s="49" t="n">
        <v>4300</v>
      </c>
      <c r="H58" s="49" t="n">
        <v>29</v>
      </c>
      <c r="I58" s="49" t="n">
        <v>7</v>
      </c>
      <c r="J58" s="49" t="n">
        <v>2767</v>
      </c>
      <c r="K58" s="28" t="n">
        <v>0.45</v>
      </c>
      <c r="L58" s="30">
        <f>J58*(1-K58)</f>
        <v/>
      </c>
      <c r="M58" s="31" t="n">
        <v>484.42</v>
      </c>
      <c r="N58" s="32">
        <f>$J$5</f>
        <v/>
      </c>
      <c r="O58" s="33">
        <f>M58+N58</f>
        <v/>
      </c>
      <c r="P58" s="34" t="n">
        <v>0.47</v>
      </c>
      <c r="Q58" s="29">
        <f>J58*P58</f>
        <v/>
      </c>
      <c r="R58" s="35" t="n">
        <v>67</v>
      </c>
      <c r="S58" s="29">
        <f>J58*$J$8</f>
        <v/>
      </c>
      <c r="T58" s="35" t="n">
        <v>25</v>
      </c>
      <c r="U58" s="29">
        <f>J58*$J$4</f>
        <v/>
      </c>
      <c r="V58" s="29">
        <f>L58*$J$3</f>
        <v/>
      </c>
      <c r="W58" s="36" t="n">
        <v>0.9</v>
      </c>
      <c r="X58" s="35" t="n">
        <v>67</v>
      </c>
      <c r="Y58" s="29">
        <f>X58*(1-W58)</f>
        <v/>
      </c>
      <c r="Z58" s="37" t="n">
        <v>0.57</v>
      </c>
      <c r="AA58" s="29">
        <f>$J$6*$J$7*Z58</f>
        <v/>
      </c>
      <c r="AB58" s="33">
        <f>Z58*($J$9+$J$10)</f>
        <v/>
      </c>
      <c r="AC58" s="34" t="n">
        <v>0.07000000000000001</v>
      </c>
      <c r="AD58" s="29">
        <f>J58*AC58</f>
        <v/>
      </c>
      <c r="AE58" s="36" t="n">
        <v>0.08</v>
      </c>
      <c r="AF58" s="29">
        <f>J58*AE58</f>
        <v/>
      </c>
      <c r="AG58" s="29">
        <f>AD58+AF58</f>
        <v/>
      </c>
      <c r="AH58" s="38">
        <f>AG58/J58</f>
        <v/>
      </c>
      <c r="AI58" s="39">
        <f>J58-Q58-R58-S58-T58-U58-V58-Y58-AA58-AB58-O58-AN58-AO58</f>
        <v/>
      </c>
      <c r="AJ58" s="40">
        <f>AI58-AG58</f>
        <v/>
      </c>
      <c r="AK58" s="41">
        <f>AJ58/J58</f>
        <v/>
      </c>
      <c r="AL58" s="42">
        <f>AJ58/O58</f>
        <v/>
      </c>
      <c r="AM58" s="29">
        <f>(R58+T58+Y58+AA58+AB58+O58+AN58)/(1-(P58+$J$4+(1-K58)*$J$3+$J$8+$J$11+AC58+AE58))</f>
        <v/>
      </c>
      <c r="AN58" s="29">
        <f>$J$12</f>
        <v/>
      </c>
      <c r="AO58" s="29">
        <f>J58*$J$11</f>
        <v/>
      </c>
    </row>
    <row r="59" ht="28.5" customHeight="1" s="66">
      <c r="A59" s="50" t="n">
        <v>5369902609</v>
      </c>
      <c r="B59" s="21" t="inlineStr">
        <is>
          <t xml:space="preserve">FARMSTAY - Collagen Pure Cleansing Foam [180ml]/Пенка для умывания </t>
        </is>
      </c>
      <c r="C59" s="51" t="inlineStr">
        <is>
          <t>ФБС</t>
        </is>
      </c>
      <c r="D59" s="58" t="n"/>
      <c r="E59" s="24" t="n"/>
      <c r="F59" s="29" t="n">
        <v>515</v>
      </c>
      <c r="G59" s="49" t="n">
        <v>1100</v>
      </c>
      <c r="H59" s="49" t="n">
        <v>163</v>
      </c>
      <c r="I59" s="49" t="n">
        <v>4.5</v>
      </c>
      <c r="J59" s="49" t="n">
        <v>1365</v>
      </c>
      <c r="K59" s="28" t="n">
        <v>0.45</v>
      </c>
      <c r="L59" s="30">
        <f>J59*(1-K59)</f>
        <v/>
      </c>
      <c r="M59" s="31" t="n">
        <v>161.47</v>
      </c>
      <c r="N59" s="32">
        <f>$J$5</f>
        <v/>
      </c>
      <c r="O59" s="33">
        <f>M59+N59</f>
        <v/>
      </c>
      <c r="P59" s="34" t="n">
        <v>0.47</v>
      </c>
      <c r="Q59" s="29">
        <f>J59*P59</f>
        <v/>
      </c>
      <c r="R59" s="35" t="n">
        <v>67</v>
      </c>
      <c r="S59" s="29">
        <f>J59*$J$8</f>
        <v/>
      </c>
      <c r="T59" s="35" t="n">
        <v>25</v>
      </c>
      <c r="U59" s="29">
        <f>J59*$J$4</f>
        <v/>
      </c>
      <c r="V59" s="29">
        <f>L59*$J$3</f>
        <v/>
      </c>
      <c r="W59" s="36" t="n">
        <v>0.9</v>
      </c>
      <c r="X59" s="35" t="n">
        <v>67</v>
      </c>
      <c r="Y59" s="29">
        <f>X59*(1-W59)</f>
        <v/>
      </c>
      <c r="Z59" s="37" t="n">
        <v>0.57</v>
      </c>
      <c r="AA59" s="29">
        <f>$J$6*$J$7*Z59</f>
        <v/>
      </c>
      <c r="AB59" s="33">
        <f>Z59*($J$9+$J$10)</f>
        <v/>
      </c>
      <c r="AC59" s="34" t="n">
        <v>0.07000000000000001</v>
      </c>
      <c r="AD59" s="29">
        <f>J59*AC59</f>
        <v/>
      </c>
      <c r="AE59" s="36" t="n">
        <v>0.08</v>
      </c>
      <c r="AF59" s="29">
        <f>J59*AE59</f>
        <v/>
      </c>
      <c r="AG59" s="29">
        <f>AD59+AF59</f>
        <v/>
      </c>
      <c r="AH59" s="38">
        <f>AG59/J59</f>
        <v/>
      </c>
      <c r="AI59" s="39">
        <f>J59-Q59-R59-S59-T59-U59-V59-Y59-AA59-AB59-O59-AN59-AO59</f>
        <v/>
      </c>
      <c r="AJ59" s="40">
        <f>AI59-AG59</f>
        <v/>
      </c>
      <c r="AK59" s="41">
        <f>AJ59/J59</f>
        <v/>
      </c>
      <c r="AL59" s="42">
        <f>AJ59/O59</f>
        <v/>
      </c>
      <c r="AM59" s="29">
        <f>(R59+T59+Y59+AA59+AB59+O59+AN59)/(1-(P59+$J$4+(1-K59)*$J$3+$J$8+$J$11+AC59+AE59))</f>
        <v/>
      </c>
      <c r="AN59" s="29">
        <f>$J$12</f>
        <v/>
      </c>
      <c r="AO59" s="29">
        <f>J59*$J$11</f>
        <v/>
      </c>
    </row>
    <row r="60" ht="14.25" customHeight="1" s="66">
      <c r="A60" s="17" t="n"/>
      <c r="B60" s="18" t="inlineStr">
        <is>
          <t>Косметика/HEIMISH</t>
        </is>
      </c>
      <c r="C60" s="18" t="n"/>
      <c r="D60" s="19" t="n"/>
      <c r="E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  <c r="AA60" s="19" t="n"/>
      <c r="AB60" s="19" t="n"/>
      <c r="AC60" s="19" t="n"/>
      <c r="AD60" s="19" t="n"/>
      <c r="AE60" s="19" t="n"/>
      <c r="AF60" s="19" t="n"/>
      <c r="AG60" s="19" t="n"/>
      <c r="AH60" s="19" t="n"/>
      <c r="AI60" s="19" t="n"/>
      <c r="AJ60" s="19" t="n"/>
      <c r="AK60" s="19" t="n"/>
      <c r="AL60" s="19" t="n"/>
      <c r="AM60" s="19" t="n"/>
      <c r="AN60" s="19" t="n"/>
      <c r="AO60" s="19" t="n"/>
    </row>
    <row r="61" ht="28.5" customHeight="1" s="66">
      <c r="A61" s="50" t="n"/>
      <c r="B61" s="21" t="inlineStr">
        <is>
          <t>HEIMISH - Artless Glow Base SPF50+ PA+++(Renew) [40ml] / База под макияж SPF50+ PA+++</t>
        </is>
      </c>
      <c r="C61" s="22" t="inlineStr">
        <is>
          <t>ФБС</t>
        </is>
      </c>
      <c r="D61" s="58" t="n"/>
      <c r="E61" s="24" t="n"/>
      <c r="F61" s="29" t="n">
        <v>1025</v>
      </c>
      <c r="G61" s="49" t="n">
        <v>2980</v>
      </c>
      <c r="H61" s="49" t="n">
        <v>100</v>
      </c>
      <c r="I61" s="49" t="n">
        <v>0</v>
      </c>
      <c r="J61" s="49" t="n">
        <v>3350</v>
      </c>
      <c r="K61" s="28" t="n">
        <v>0.45</v>
      </c>
      <c r="L61" s="30">
        <f>J61*(1-K61)</f>
        <v/>
      </c>
      <c r="M61" s="31" t="n">
        <v>770.48</v>
      </c>
      <c r="N61" s="32">
        <f>$J$5</f>
        <v/>
      </c>
      <c r="O61" s="33">
        <f>M61+N61</f>
        <v/>
      </c>
      <c r="P61" s="34" t="n">
        <v>0.47</v>
      </c>
      <c r="Q61" s="29">
        <f>J61*P61</f>
        <v/>
      </c>
      <c r="R61" s="35" t="n">
        <v>56</v>
      </c>
      <c r="S61" s="29">
        <f>J61*$J$8</f>
        <v/>
      </c>
      <c r="T61" s="35" t="n">
        <v>25</v>
      </c>
      <c r="U61" s="29">
        <f>J61*$J$4</f>
        <v/>
      </c>
      <c r="V61" s="29">
        <f>L61*$J$3</f>
        <v/>
      </c>
      <c r="W61" s="36" t="n">
        <v>0.9</v>
      </c>
      <c r="X61" s="35" t="n">
        <v>56</v>
      </c>
      <c r="Y61" s="29">
        <f>X61*(1-W61)</f>
        <v/>
      </c>
      <c r="Z61" s="37" t="n">
        <v>0.14</v>
      </c>
      <c r="AA61" s="29">
        <f>$J$6*$J$7*Z61</f>
        <v/>
      </c>
      <c r="AB61" s="33">
        <f>Z61*($J$9+$J$10)</f>
        <v/>
      </c>
      <c r="AC61" s="34" t="n">
        <v>0.05</v>
      </c>
      <c r="AD61" s="29">
        <f>J61*AC61</f>
        <v/>
      </c>
      <c r="AE61" s="36" t="n">
        <v>0.05</v>
      </c>
      <c r="AF61" s="29">
        <f>J61*AE61</f>
        <v/>
      </c>
      <c r="AG61" s="29">
        <f>AD61+AF61</f>
        <v/>
      </c>
      <c r="AH61" s="38">
        <f>AG61/J61</f>
        <v/>
      </c>
      <c r="AI61" s="39">
        <f>J61-Q61-R61-S61-T61-U61-V61-Y61-AA61-AB61-O61-AN61-AO61</f>
        <v/>
      </c>
      <c r="AJ61" s="40">
        <f>AI61-AG61</f>
        <v/>
      </c>
      <c r="AK61" s="41">
        <f>AJ61/J61</f>
        <v/>
      </c>
      <c r="AL61" s="42">
        <f>AJ61/O61</f>
        <v/>
      </c>
      <c r="AM61" s="29">
        <f>(R61+T61+Y61+AA61+AB61+O61+AN61)/(1-(P61+$J$4+(1-K61)*$J$3+$J$8+$J$11+AC61+AE61))</f>
        <v/>
      </c>
      <c r="AN61" s="29">
        <f>$J$12</f>
        <v/>
      </c>
      <c r="AO61" s="29">
        <f>J61*$J$11</f>
        <v/>
      </c>
    </row>
    <row r="62" ht="14.25" customHeight="1" s="66">
      <c r="A62" s="17" t="n"/>
      <c r="B62" s="18" t="inlineStr">
        <is>
          <t>Косметика/JIGOTT/JIGOTT-CREAM</t>
        </is>
      </c>
      <c r="C62" s="18" t="n"/>
      <c r="D62" s="19" t="n"/>
      <c r="E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  <c r="AA62" s="19" t="n"/>
      <c r="AB62" s="19" t="n"/>
      <c r="AC62" s="19" t="n"/>
      <c r="AD62" s="19" t="n"/>
      <c r="AE62" s="19" t="n"/>
      <c r="AF62" s="19" t="n"/>
      <c r="AG62" s="19" t="n"/>
      <c r="AH62" s="19" t="n"/>
      <c r="AI62" s="19" t="n"/>
      <c r="AJ62" s="19" t="n"/>
      <c r="AK62" s="19" t="n"/>
      <c r="AL62" s="19" t="n"/>
      <c r="AM62" s="19" t="n"/>
      <c r="AN62" s="19" t="n"/>
      <c r="AO62" s="19" t="n"/>
    </row>
    <row r="63" ht="28.5" customHeight="1" s="66">
      <c r="A63" s="50" t="n">
        <v>5358217946</v>
      </c>
      <c r="B63" s="21" t="inlineStr">
        <is>
          <t>JIGOTT - Snail Lifting Cream [70ml] / Крем для лица увлажняющий антивозрастной</t>
        </is>
      </c>
      <c r="C63" s="21" t="inlineStr">
        <is>
          <t>ФБС</t>
        </is>
      </c>
      <c r="D63" s="58" t="n"/>
      <c r="E63" s="24" t="n"/>
      <c r="F63" s="29" t="n">
        <v>7668</v>
      </c>
      <c r="G63" s="49" t="n">
        <v>980</v>
      </c>
      <c r="H63" s="49" t="n">
        <v>160</v>
      </c>
      <c r="I63" s="49" t="n">
        <v>4.5</v>
      </c>
      <c r="J63" s="49" t="n">
        <v>1539</v>
      </c>
      <c r="K63" s="28" t="n">
        <v>0.45</v>
      </c>
      <c r="L63" s="30">
        <f>J63*(1-K63)</f>
        <v/>
      </c>
      <c r="M63" s="31" t="n">
        <v>202.27</v>
      </c>
      <c r="N63" s="32">
        <f>$J$5</f>
        <v/>
      </c>
      <c r="O63" s="33">
        <f>M63+N63</f>
        <v/>
      </c>
      <c r="P63" s="34" t="n">
        <v>0.47</v>
      </c>
      <c r="Q63" s="29">
        <f>J63*P63</f>
        <v/>
      </c>
      <c r="R63" s="35" t="n">
        <v>67</v>
      </c>
      <c r="S63" s="29">
        <f>J63*$J$8</f>
        <v/>
      </c>
      <c r="T63" s="35" t="n">
        <v>25</v>
      </c>
      <c r="U63" s="29">
        <f>J63*$J$4</f>
        <v/>
      </c>
      <c r="V63" s="29">
        <f>L63*$J$3</f>
        <v/>
      </c>
      <c r="W63" s="36" t="n">
        <v>0.9</v>
      </c>
      <c r="X63" s="35" t="n">
        <v>67</v>
      </c>
      <c r="Y63" s="29">
        <f>X63*(1-W63)</f>
        <v/>
      </c>
      <c r="Z63" s="37" t="n">
        <v>0.42</v>
      </c>
      <c r="AA63" s="29">
        <f>$J$6*$J$7*Z63</f>
        <v/>
      </c>
      <c r="AB63" s="33">
        <f>Z63*($J$9+$J$10)</f>
        <v/>
      </c>
      <c r="AC63" s="34" t="n">
        <v>0.07000000000000001</v>
      </c>
      <c r="AD63" s="29">
        <f>J63*AC63</f>
        <v/>
      </c>
      <c r="AE63" s="36" t="n">
        <v>0.08</v>
      </c>
      <c r="AF63" s="29">
        <f>J63*AE63</f>
        <v/>
      </c>
      <c r="AG63" s="29">
        <f>AD63+AF63</f>
        <v/>
      </c>
      <c r="AH63" s="38">
        <f>AG63/J63</f>
        <v/>
      </c>
      <c r="AI63" s="39">
        <f>J63-Q63-R63-S63-T63-U63-V63-Y63-AA63-AB63-O63-AN63-AO63</f>
        <v/>
      </c>
      <c r="AJ63" s="40">
        <f>AI63-AG63</f>
        <v/>
      </c>
      <c r="AK63" s="41">
        <f>AJ63/J63</f>
        <v/>
      </c>
      <c r="AL63" s="42">
        <f>AJ63/O63</f>
        <v/>
      </c>
      <c r="AM63" s="29">
        <f>(R63+T63+Y63+AA63+AB63+O63+AN63)/(1-(P63+$J$4+(1-K63)*$J$3+$J$8+$J$11+AC63+AE63))</f>
        <v/>
      </c>
      <c r="AN63" s="29">
        <f>$J$12</f>
        <v/>
      </c>
      <c r="AO63" s="29">
        <f>J63*$J$11</f>
        <v/>
      </c>
    </row>
    <row r="64" ht="28.5" customHeight="1" s="66">
      <c r="A64" s="50" t="n">
        <v>5358217452</v>
      </c>
      <c r="B64" s="21" t="inlineStr">
        <is>
          <t>JIGOTT - Snail Reparing Cream [100ml] / Крем для лица увлажняющий антивозрастной с муцином улитки</t>
        </is>
      </c>
      <c r="C64" s="51" t="inlineStr">
        <is>
          <t>ФБС</t>
        </is>
      </c>
      <c r="D64" s="58" t="n"/>
      <c r="E64" s="24" t="n"/>
      <c r="F64" s="29" t="n">
        <v>1241</v>
      </c>
      <c r="G64" s="49" t="n">
        <v>1030</v>
      </c>
      <c r="H64" s="49" t="n">
        <v>153</v>
      </c>
      <c r="I64" s="49" t="n">
        <v>5</v>
      </c>
      <c r="J64" s="49" t="n">
        <v>1471</v>
      </c>
      <c r="K64" s="28" t="n">
        <v>0.45</v>
      </c>
      <c r="L64" s="30">
        <f>J64*(1-K64)</f>
        <v/>
      </c>
      <c r="M64" s="31" t="n">
        <v>185.86</v>
      </c>
      <c r="N64" s="32">
        <f>$J$5</f>
        <v/>
      </c>
      <c r="O64" s="33">
        <f>M64+N64</f>
        <v/>
      </c>
      <c r="P64" s="34" t="n">
        <v>0.47</v>
      </c>
      <c r="Q64" s="29">
        <f>J64*P64</f>
        <v/>
      </c>
      <c r="R64" s="35" t="n">
        <v>67</v>
      </c>
      <c r="S64" s="29">
        <f>J64*$J$8</f>
        <v/>
      </c>
      <c r="T64" s="35" t="n">
        <v>25</v>
      </c>
      <c r="U64" s="29">
        <f>J64*$J$4</f>
        <v/>
      </c>
      <c r="V64" s="29">
        <f>L64*$J$3</f>
        <v/>
      </c>
      <c r="W64" s="36" t="n">
        <v>0.9</v>
      </c>
      <c r="X64" s="35" t="n">
        <v>67</v>
      </c>
      <c r="Y64" s="29">
        <f>X64*(1-W64)</f>
        <v/>
      </c>
      <c r="Z64" s="37" t="n">
        <v>0.57</v>
      </c>
      <c r="AA64" s="29">
        <f>$J$6*$J$7*Z64</f>
        <v/>
      </c>
      <c r="AB64" s="33">
        <f>Z64*($J$9+$J$10)</f>
        <v/>
      </c>
      <c r="AC64" s="34" t="n">
        <v>0.07000000000000001</v>
      </c>
      <c r="AD64" s="29">
        <f>J64*AC64</f>
        <v/>
      </c>
      <c r="AE64" s="36" t="n">
        <v>0.08</v>
      </c>
      <c r="AF64" s="29">
        <f>J64*AE64</f>
        <v/>
      </c>
      <c r="AG64" s="29">
        <f>AD64+AF64</f>
        <v/>
      </c>
      <c r="AH64" s="38">
        <f>AG64/J64</f>
        <v/>
      </c>
      <c r="AI64" s="39">
        <f>J64-Q64-R64-S64-T64-U64-V64-Y64-AA64-AB64-O64-AN64-AO64</f>
        <v/>
      </c>
      <c r="AJ64" s="40">
        <f>AI64-AG64</f>
        <v/>
      </c>
      <c r="AK64" s="41">
        <f>AJ64/J64</f>
        <v/>
      </c>
      <c r="AL64" s="42">
        <f>AJ64/O64</f>
        <v/>
      </c>
      <c r="AM64" s="29">
        <f>(R64+T64+Y64+AA64+AB64+O64+AN64)/(1-(P64+$J$4+(1-K64)*$J$3+$J$8+$J$11+AC64+AE64))</f>
        <v/>
      </c>
      <c r="AN64" s="29">
        <f>$J$12</f>
        <v/>
      </c>
      <c r="AO64" s="29">
        <f>J64*$J$11</f>
        <v/>
      </c>
    </row>
    <row r="65" ht="28.5" customHeight="1" s="66">
      <c r="A65" s="50" t="n">
        <v>5358217202</v>
      </c>
      <c r="B65" s="21" t="inlineStr">
        <is>
          <t>JIGOTT - Birds Nest Firming Cream [70ml] / Антивозрастной крем с экстрактом ласточкиного гнезда</t>
        </is>
      </c>
      <c r="C65" s="51" t="inlineStr">
        <is>
          <t>ФБС</t>
        </is>
      </c>
      <c r="D65" s="58" t="n"/>
      <c r="E65" s="24" t="n"/>
      <c r="F65" s="29" t="n">
        <v>1814</v>
      </c>
      <c r="G65" s="49" t="n">
        <v>1040</v>
      </c>
      <c r="H65" s="49" t="n">
        <v>49</v>
      </c>
      <c r="I65" s="49" t="n">
        <v>4</v>
      </c>
      <c r="J65" s="49" t="n">
        <v>1539</v>
      </c>
      <c r="K65" s="28" t="n">
        <v>0.45</v>
      </c>
      <c r="L65" s="30">
        <f>J65*(1-K65)</f>
        <v/>
      </c>
      <c r="M65" s="31" t="n">
        <v>202.27</v>
      </c>
      <c r="N65" s="32">
        <f>$J$5</f>
        <v/>
      </c>
      <c r="O65" s="33">
        <f>M65+N65</f>
        <v/>
      </c>
      <c r="P65" s="34" t="n">
        <v>0.47</v>
      </c>
      <c r="Q65" s="29">
        <f>J65*P65</f>
        <v/>
      </c>
      <c r="R65" s="35" t="n">
        <v>67</v>
      </c>
      <c r="S65" s="29">
        <f>J65*$J$8</f>
        <v/>
      </c>
      <c r="T65" s="35" t="n">
        <v>25</v>
      </c>
      <c r="U65" s="29">
        <f>J65*$J$4</f>
        <v/>
      </c>
      <c r="V65" s="29">
        <f>L65*$J$3</f>
        <v/>
      </c>
      <c r="W65" s="36" t="n">
        <v>0.9</v>
      </c>
      <c r="X65" s="35" t="n">
        <v>67</v>
      </c>
      <c r="Y65" s="29">
        <f>X65*(1-W65)</f>
        <v/>
      </c>
      <c r="Z65" s="37" t="n">
        <v>0.42</v>
      </c>
      <c r="AA65" s="29">
        <f>$J$6*$J$7*Z65</f>
        <v/>
      </c>
      <c r="AB65" s="33">
        <f>Z65*($J$9+$J$10)</f>
        <v/>
      </c>
      <c r="AC65" s="34" t="n">
        <v>0.07000000000000001</v>
      </c>
      <c r="AD65" s="29">
        <f>J65*AC65</f>
        <v/>
      </c>
      <c r="AE65" s="36" t="n">
        <v>0.08</v>
      </c>
      <c r="AF65" s="29">
        <f>J65*AE65</f>
        <v/>
      </c>
      <c r="AG65" s="29">
        <f>AD65+AF65</f>
        <v/>
      </c>
      <c r="AH65" s="38">
        <f>AG65/J65</f>
        <v/>
      </c>
      <c r="AI65" s="39">
        <f>J65-Q65-R65-S65-T65-U65-V65-Y65-AA65-AB65-O65-AN65-AO65</f>
        <v/>
      </c>
      <c r="AJ65" s="40">
        <f>AI65-AG65</f>
        <v/>
      </c>
      <c r="AK65" s="41">
        <f>AJ65/J65</f>
        <v/>
      </c>
      <c r="AL65" s="42">
        <f>AJ65/O65</f>
        <v/>
      </c>
      <c r="AM65" s="29">
        <f>(R65+T65+Y65+AA65+AB65+O65+AN65)/(1-(P65+$J$4+(1-K65)*$J$3+$J$8+$J$11+AC65+AE65))</f>
        <v/>
      </c>
      <c r="AN65" s="29">
        <f>$J$12</f>
        <v/>
      </c>
      <c r="AO65" s="29">
        <f>J65*$J$11</f>
        <v/>
      </c>
    </row>
    <row r="66" ht="14.25" customHeight="1" s="66">
      <c r="A66" s="17" t="n"/>
      <c r="B66" s="18" t="inlineStr">
        <is>
          <t>Косметика/JIGOTT/JIGOTT-MASK</t>
        </is>
      </c>
      <c r="C66" s="18" t="n"/>
      <c r="D66" s="19" t="n"/>
      <c r="E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  <c r="AA66" s="19" t="n"/>
      <c r="AB66" s="19" t="n"/>
      <c r="AC66" s="19" t="n"/>
      <c r="AD66" s="19" t="n"/>
      <c r="AE66" s="19" t="n"/>
      <c r="AF66" s="19" t="n"/>
      <c r="AG66" s="19" t="n"/>
      <c r="AH66" s="19" t="n"/>
      <c r="AI66" s="19" t="n"/>
      <c r="AJ66" s="19" t="n"/>
      <c r="AK66" s="19" t="n"/>
      <c r="AL66" s="19" t="n"/>
      <c r="AM66" s="19" t="n"/>
      <c r="AN66" s="19" t="n"/>
      <c r="AO66" s="19" t="n"/>
    </row>
    <row r="67" ht="14.25" customHeight="1" s="66">
      <c r="A67" s="43" t="n"/>
      <c r="B67" s="44" t="inlineStr">
        <is>
          <t>JIGOTT - Ассорти набор масок [27ml х 15]</t>
        </is>
      </c>
      <c r="C67" s="44" t="n"/>
      <c r="D67" s="45" t="n"/>
      <c r="E67" s="45" t="inlineStr">
        <is>
          <t>добавлено в расчет: цена под ROI 25%, объем оценочный</t>
        </is>
      </c>
      <c r="F67" s="29" t="n">
        <v>1350</v>
      </c>
      <c r="G67" s="29" t="n"/>
      <c r="H67" s="29" t="n"/>
      <c r="I67" s="29" t="n"/>
      <c r="J67" s="29">
        <f>(1.25*O67+R67+T67+Y67+AA67+AB67+AN67)/(1-P67-$J$8-$J$4-(1-K67)*$J$3-$J$11-AC67-AE67)</f>
        <v/>
      </c>
      <c r="K67" s="46" t="n">
        <v>0.45</v>
      </c>
      <c r="L67" s="30">
        <f>J67*(1-K67)</f>
        <v/>
      </c>
      <c r="M67" s="32" t="n">
        <v>334.05</v>
      </c>
      <c r="N67" s="32">
        <f>$J$5</f>
        <v/>
      </c>
      <c r="O67" s="33">
        <f>M67+N67</f>
        <v/>
      </c>
      <c r="P67" s="47" t="n">
        <v>0.47</v>
      </c>
      <c r="Q67" s="29">
        <f>J67*P67</f>
        <v/>
      </c>
      <c r="R67" s="29" t="n">
        <v>75</v>
      </c>
      <c r="S67" s="29">
        <f>J67*$J$8</f>
        <v/>
      </c>
      <c r="T67" s="29" t="n">
        <v>25</v>
      </c>
      <c r="U67" s="29">
        <f>J67*$J$4</f>
        <v/>
      </c>
      <c r="V67" s="29">
        <f>L67*$J$3</f>
        <v/>
      </c>
      <c r="W67" s="41" t="n">
        <v>0.9</v>
      </c>
      <c r="X67" s="29" t="n">
        <v>75</v>
      </c>
      <c r="Y67" s="29">
        <f>X67*(1-W67)</f>
        <v/>
      </c>
      <c r="Z67" s="48" t="n">
        <v>1.6</v>
      </c>
      <c r="AA67" s="29">
        <f>$J$6*$J$7*Z67</f>
        <v/>
      </c>
      <c r="AB67" s="33">
        <f>Z67*($J$9+$J$10)</f>
        <v/>
      </c>
      <c r="AC67" s="47" t="n">
        <v>0.07000000000000001</v>
      </c>
      <c r="AD67" s="29">
        <f>J67*AC67</f>
        <v/>
      </c>
      <c r="AE67" s="41" t="n">
        <v>0.08</v>
      </c>
      <c r="AF67" s="29">
        <f>J67*AE67</f>
        <v/>
      </c>
      <c r="AG67" s="29">
        <f>AD67+AF67</f>
        <v/>
      </c>
      <c r="AH67" s="38">
        <f>AG67/J67</f>
        <v/>
      </c>
      <c r="AI67" s="39">
        <f>J67-Q67-R67-S67-T67-U67-V67-Y67-AA67-AB67-O67-AN67-AO67</f>
        <v/>
      </c>
      <c r="AJ67" s="29">
        <f>AI67-AG67</f>
        <v/>
      </c>
      <c r="AK67" s="41">
        <f>AJ67/J67</f>
        <v/>
      </c>
      <c r="AL67" s="41">
        <f>AJ67/O67</f>
        <v/>
      </c>
      <c r="AM67" s="29">
        <f>(R67+T67+Y67+AA67+AB67+O67+AN67)/(1-(P67+$J$4+(1-K67)*$J$3+$J$8+$J$11+AC67+AE67))</f>
        <v/>
      </c>
      <c r="AN67" s="29">
        <f>$J$12</f>
        <v/>
      </c>
      <c r="AO67" s="29">
        <f>J67*$J$11</f>
        <v/>
      </c>
    </row>
    <row r="68" ht="14.25" customHeight="1" s="66">
      <c r="A68" s="17" t="n"/>
      <c r="B68" s="18" t="inlineStr">
        <is>
          <t>Косметика/JIGOTT/JIGOTT-TONER</t>
        </is>
      </c>
      <c r="C68" s="18" t="n"/>
      <c r="D68" s="19" t="n"/>
      <c r="E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  <c r="AA68" s="19" t="n"/>
      <c r="AB68" s="19" t="n"/>
      <c r="AC68" s="19" t="n"/>
      <c r="AD68" s="19" t="n"/>
      <c r="AE68" s="19" t="n"/>
      <c r="AF68" s="19" t="n"/>
      <c r="AG68" s="19" t="n"/>
      <c r="AH68" s="19" t="n"/>
      <c r="AI68" s="19" t="n"/>
      <c r="AJ68" s="19" t="n"/>
      <c r="AK68" s="19" t="n"/>
      <c r="AL68" s="19" t="n"/>
      <c r="AM68" s="19" t="n"/>
      <c r="AN68" s="19" t="n"/>
      <c r="AO68" s="19" t="n"/>
    </row>
    <row r="69" ht="28.5" customHeight="1" s="66">
      <c r="A69" s="50" t="n"/>
      <c r="B69" s="21" t="inlineStr">
        <is>
          <t>JIGOTT - Ultimate Real Collagen Toner [300ml] / тонер с коллагеном антивозрастной</t>
        </is>
      </c>
      <c r="C69" s="22" t="inlineStr">
        <is>
          <t>ФБС</t>
        </is>
      </c>
      <c r="D69" s="58" t="n"/>
      <c r="E69" s="24" t="n"/>
      <c r="F69" s="29" t="n">
        <v>1296</v>
      </c>
      <c r="G69" s="49" t="n">
        <v>1140</v>
      </c>
      <c r="H69" s="49" t="n">
        <v>131</v>
      </c>
      <c r="I69" s="49" t="n">
        <v>0</v>
      </c>
      <c r="J69" s="49" t="n">
        <v>1823</v>
      </c>
      <c r="K69" s="28" t="n">
        <v>0.45</v>
      </c>
      <c r="L69" s="30">
        <f>J69*(1-K69)</f>
        <v/>
      </c>
      <c r="M69" s="31" t="n">
        <v>265.36</v>
      </c>
      <c r="N69" s="32">
        <f>$J$5</f>
        <v/>
      </c>
      <c r="O69" s="33">
        <f>M69+N69</f>
        <v/>
      </c>
      <c r="P69" s="34" t="n">
        <v>0.47</v>
      </c>
      <c r="Q69" s="29">
        <f>J69*P69</f>
        <v/>
      </c>
      <c r="R69" s="35" t="n">
        <v>67</v>
      </c>
      <c r="S69" s="29">
        <f>J69*$J$8</f>
        <v/>
      </c>
      <c r="T69" s="35" t="n">
        <v>25</v>
      </c>
      <c r="U69" s="29">
        <f>J69*$J$4</f>
        <v/>
      </c>
      <c r="V69" s="29">
        <f>L69*$J$3</f>
        <v/>
      </c>
      <c r="W69" s="36" t="n">
        <v>0.9</v>
      </c>
      <c r="X69" s="35" t="n">
        <v>67</v>
      </c>
      <c r="Y69" s="29">
        <f>X69*(1-W69)</f>
        <v/>
      </c>
      <c r="Z69" s="37" t="n">
        <v>0.93</v>
      </c>
      <c r="AA69" s="29">
        <f>$J$6*$J$7*Z69</f>
        <v/>
      </c>
      <c r="AB69" s="33">
        <f>Z69*($J$9+$J$10)</f>
        <v/>
      </c>
      <c r="AC69" s="34" t="n">
        <v>0.07000000000000001</v>
      </c>
      <c r="AD69" s="29">
        <f>J69*AC69</f>
        <v/>
      </c>
      <c r="AE69" s="36" t="n">
        <v>0.08</v>
      </c>
      <c r="AF69" s="29">
        <f>J69*AE69</f>
        <v/>
      </c>
      <c r="AG69" s="29">
        <f>AD69+AF69</f>
        <v/>
      </c>
      <c r="AH69" s="38">
        <f>AG69/J69</f>
        <v/>
      </c>
      <c r="AI69" s="39">
        <f>J69-Q69-R69-S69-T69-U69-V69-Y69-AA69-AB69-O69-AN69-AO69</f>
        <v/>
      </c>
      <c r="AJ69" s="40">
        <f>AI69-AG69</f>
        <v/>
      </c>
      <c r="AK69" s="41">
        <f>AJ69/J69</f>
        <v/>
      </c>
      <c r="AL69" s="42">
        <f>AJ69/O69</f>
        <v/>
      </c>
      <c r="AM69" s="29">
        <f>(R69+T69+Y69+AA69+AB69+O69+AN69)/(1-(P69+$J$4+(1-K69)*$J$3+$J$8+$J$11+AC69+AE69))</f>
        <v/>
      </c>
      <c r="AN69" s="29">
        <f>$J$12</f>
        <v/>
      </c>
      <c r="AO69" s="29">
        <f>J69*$J$11</f>
        <v/>
      </c>
    </row>
    <row r="70" ht="28.5" customHeight="1" s="66">
      <c r="A70" s="50" t="n"/>
      <c r="B70" s="21" t="inlineStr">
        <is>
          <t>JIGOTT - Daily Real Cica Toner [300ml] / Тонер для лица с центеллой азиатской</t>
        </is>
      </c>
      <c r="C70" s="22" t="inlineStr">
        <is>
          <t>ФБС</t>
        </is>
      </c>
      <c r="D70" s="58" t="n"/>
      <c r="E70" s="24" t="n"/>
      <c r="F70" s="29" t="n">
        <v>1468</v>
      </c>
      <c r="G70" s="49" t="n">
        <v>1140</v>
      </c>
      <c r="H70" s="49" t="n">
        <v>191</v>
      </c>
      <c r="I70" s="49" t="n">
        <v>0</v>
      </c>
      <c r="J70" s="49" t="n">
        <v>1823</v>
      </c>
      <c r="K70" s="28" t="n">
        <v>0.45</v>
      </c>
      <c r="L70" s="30">
        <f>J70*(1-K70)</f>
        <v/>
      </c>
      <c r="M70" s="31" t="n">
        <v>265.36</v>
      </c>
      <c r="N70" s="32">
        <f>$J$5</f>
        <v/>
      </c>
      <c r="O70" s="33">
        <f>M70+N70</f>
        <v/>
      </c>
      <c r="P70" s="34" t="n">
        <v>0.47</v>
      </c>
      <c r="Q70" s="29">
        <f>J70*P70</f>
        <v/>
      </c>
      <c r="R70" s="35" t="n">
        <v>67</v>
      </c>
      <c r="S70" s="29">
        <f>J70*$J$8</f>
        <v/>
      </c>
      <c r="T70" s="35" t="n">
        <v>25</v>
      </c>
      <c r="U70" s="29">
        <f>J70*$J$4</f>
        <v/>
      </c>
      <c r="V70" s="29">
        <f>L70*$J$3</f>
        <v/>
      </c>
      <c r="W70" s="36" t="n">
        <v>0.9</v>
      </c>
      <c r="X70" s="35" t="n">
        <v>67</v>
      </c>
      <c r="Y70" s="29">
        <f>X70*(1-W70)</f>
        <v/>
      </c>
      <c r="Z70" s="37" t="n">
        <v>0.93</v>
      </c>
      <c r="AA70" s="29">
        <f>$J$6*$J$7*Z70</f>
        <v/>
      </c>
      <c r="AB70" s="33">
        <f>Z70*($J$9+$J$10)</f>
        <v/>
      </c>
      <c r="AC70" s="34" t="n">
        <v>0.07000000000000001</v>
      </c>
      <c r="AD70" s="29">
        <f>J70*AC70</f>
        <v/>
      </c>
      <c r="AE70" s="36" t="n">
        <v>0.08</v>
      </c>
      <c r="AF70" s="29">
        <f>J70*AE70</f>
        <v/>
      </c>
      <c r="AG70" s="29">
        <f>AD70+AF70</f>
        <v/>
      </c>
      <c r="AH70" s="38">
        <f>AG70/J70</f>
        <v/>
      </c>
      <c r="AI70" s="39">
        <f>J70-Q70-R70-S70-T70-U70-V70-Y70-AA70-AB70-O70-AN70-AO70</f>
        <v/>
      </c>
      <c r="AJ70" s="40">
        <f>AI70-AG70</f>
        <v/>
      </c>
      <c r="AK70" s="41">
        <f>AJ70/J70</f>
        <v/>
      </c>
      <c r="AL70" s="42">
        <f>AJ70/O70</f>
        <v/>
      </c>
      <c r="AM70" s="29">
        <f>(R70+T70+Y70+AA70+AB70+O70+AN70)/(1-(P70+$J$4+(1-K70)*$J$3+$J$8+$J$11+AC70+AE70))</f>
        <v/>
      </c>
      <c r="AN70" s="29">
        <f>$J$12</f>
        <v/>
      </c>
      <c r="AO70" s="29">
        <f>J70*$J$11</f>
        <v/>
      </c>
    </row>
    <row r="71" ht="28.5" customHeight="1" s="66">
      <c r="A71" s="50" t="n"/>
      <c r="B71" s="21" t="inlineStr">
        <is>
          <t>JIGOTT - Aura Secret Hyaluronec Acid Toner [300ml] / Тонер с гиалуроновой кислотой антивозрастной</t>
        </is>
      </c>
      <c r="C71" s="22" t="inlineStr">
        <is>
          <t>ФБС</t>
        </is>
      </c>
      <c r="D71" s="58" t="n"/>
      <c r="E71" s="24" t="n"/>
      <c r="F71" s="29" t="n">
        <v>424</v>
      </c>
      <c r="G71" s="49" t="n">
        <v>975</v>
      </c>
      <c r="H71" s="49" t="n">
        <v>77</v>
      </c>
      <c r="I71" s="49" t="n">
        <v>0</v>
      </c>
      <c r="J71" s="49" t="n">
        <v>1823</v>
      </c>
      <c r="K71" s="28" t="n">
        <v>0.45</v>
      </c>
      <c r="L71" s="30">
        <f>J71*(1-K71)</f>
        <v/>
      </c>
      <c r="M71" s="31" t="n">
        <v>265.36</v>
      </c>
      <c r="N71" s="32">
        <f>$J$5</f>
        <v/>
      </c>
      <c r="O71" s="33">
        <f>M71+N71</f>
        <v/>
      </c>
      <c r="P71" s="34" t="n">
        <v>0.47</v>
      </c>
      <c r="Q71" s="29">
        <f>J71*P71</f>
        <v/>
      </c>
      <c r="R71" s="35" t="n">
        <v>67</v>
      </c>
      <c r="S71" s="29">
        <f>J71*$J$8</f>
        <v/>
      </c>
      <c r="T71" s="35" t="n">
        <v>25</v>
      </c>
      <c r="U71" s="29">
        <f>J71*$J$4</f>
        <v/>
      </c>
      <c r="V71" s="29">
        <f>L71*$J$3</f>
        <v/>
      </c>
      <c r="W71" s="36" t="n">
        <v>0.9</v>
      </c>
      <c r="X71" s="35" t="n">
        <v>67</v>
      </c>
      <c r="Y71" s="29">
        <f>X71*(1-W71)</f>
        <v/>
      </c>
      <c r="Z71" s="37" t="n">
        <v>0.93</v>
      </c>
      <c r="AA71" s="29">
        <f>$J$6*$J$7*Z71</f>
        <v/>
      </c>
      <c r="AB71" s="33">
        <f>Z71*($J$9+$J$10)</f>
        <v/>
      </c>
      <c r="AC71" s="34" t="n">
        <v>0.07000000000000001</v>
      </c>
      <c r="AD71" s="29">
        <f>J71*AC71</f>
        <v/>
      </c>
      <c r="AE71" s="36" t="n">
        <v>0.08</v>
      </c>
      <c r="AF71" s="29">
        <f>J71*AE71</f>
        <v/>
      </c>
      <c r="AG71" s="29">
        <f>AD71+AF71</f>
        <v/>
      </c>
      <c r="AH71" s="38">
        <f>AG71/J71</f>
        <v/>
      </c>
      <c r="AI71" s="39">
        <f>J71-Q71-R71-S71-T71-U71-V71-Y71-AA71-AB71-O71-AN71-AO71</f>
        <v/>
      </c>
      <c r="AJ71" s="40">
        <f>AI71-AG71</f>
        <v/>
      </c>
      <c r="AK71" s="41">
        <f>AJ71/J71</f>
        <v/>
      </c>
      <c r="AL71" s="42">
        <f>AJ71/O71</f>
        <v/>
      </c>
      <c r="AM71" s="29">
        <f>(R71+T71+Y71+AA71+AB71+O71+AN71)/(1-(P71+$J$4+(1-K71)*$J$3+$J$8+$J$11+AC71+AE71))</f>
        <v/>
      </c>
      <c r="AN71" s="29">
        <f>$J$12</f>
        <v/>
      </c>
      <c r="AO71" s="29">
        <f>J71*$J$11</f>
        <v/>
      </c>
    </row>
    <row r="72" ht="28.5" customHeight="1" s="66">
      <c r="A72" s="50" t="n"/>
      <c r="B72" s="21" t="inlineStr">
        <is>
          <t>JIGOTT - Moisture Real Aloe Vera Toner [300ml] / Тонер для лица увлажняющий с экстрактом алоэ</t>
        </is>
      </c>
      <c r="C72" s="22" t="inlineStr">
        <is>
          <t>ФБС</t>
        </is>
      </c>
      <c r="D72" s="58" t="n"/>
      <c r="E72" s="24" t="n"/>
      <c r="F72" s="29" t="n">
        <v>356</v>
      </c>
      <c r="G72" s="49" t="n">
        <v>1100</v>
      </c>
      <c r="H72" s="49" t="n">
        <v>169</v>
      </c>
      <c r="I72" s="49" t="n">
        <v>8</v>
      </c>
      <c r="J72" s="49" t="n">
        <v>1823</v>
      </c>
      <c r="K72" s="28" t="n">
        <v>0.45</v>
      </c>
      <c r="L72" s="30">
        <f>J72*(1-K72)</f>
        <v/>
      </c>
      <c r="M72" s="31" t="n">
        <v>265.36</v>
      </c>
      <c r="N72" s="32">
        <f>$J$5</f>
        <v/>
      </c>
      <c r="O72" s="33">
        <f>M72+N72</f>
        <v/>
      </c>
      <c r="P72" s="34" t="n">
        <v>0.47</v>
      </c>
      <c r="Q72" s="29">
        <f>J72*P72</f>
        <v/>
      </c>
      <c r="R72" s="35" t="n">
        <v>67</v>
      </c>
      <c r="S72" s="29">
        <f>J72*$J$8</f>
        <v/>
      </c>
      <c r="T72" s="35" t="n">
        <v>25</v>
      </c>
      <c r="U72" s="29">
        <f>J72*$J$4</f>
        <v/>
      </c>
      <c r="V72" s="29">
        <f>L72*$J$3</f>
        <v/>
      </c>
      <c r="W72" s="36" t="n">
        <v>0.9</v>
      </c>
      <c r="X72" s="35" t="n">
        <v>67</v>
      </c>
      <c r="Y72" s="29">
        <f>X72*(1-W72)</f>
        <v/>
      </c>
      <c r="Z72" s="37" t="n">
        <v>0.93</v>
      </c>
      <c r="AA72" s="29">
        <f>$J$6*$J$7*Z72</f>
        <v/>
      </c>
      <c r="AB72" s="33">
        <f>Z72*($J$9+$J$10)</f>
        <v/>
      </c>
      <c r="AC72" s="34" t="n">
        <v>0.07000000000000001</v>
      </c>
      <c r="AD72" s="29">
        <f>J72*AC72</f>
        <v/>
      </c>
      <c r="AE72" s="36" t="n">
        <v>0.08</v>
      </c>
      <c r="AF72" s="29">
        <f>J72*AE72</f>
        <v/>
      </c>
      <c r="AG72" s="29">
        <f>AD72+AF72</f>
        <v/>
      </c>
      <c r="AH72" s="38">
        <f>AG72/J72</f>
        <v/>
      </c>
      <c r="AI72" s="39">
        <f>J72-Q72-R72-S72-T72-U72-V72-Y72-AA72-AB72-O72-AN72-AO72</f>
        <v/>
      </c>
      <c r="AJ72" s="40">
        <f>AI72-AG72</f>
        <v/>
      </c>
      <c r="AK72" s="41">
        <f>AJ72/J72</f>
        <v/>
      </c>
      <c r="AL72" s="42">
        <f>AJ72/O72</f>
        <v/>
      </c>
      <c r="AM72" s="29">
        <f>(R72+T72+Y72+AA72+AB72+O72+AN72)/(1-(P72+$J$4+(1-K72)*$J$3+$J$8+$J$11+AC72+AE72))</f>
        <v/>
      </c>
      <c r="AN72" s="29">
        <f>$J$12</f>
        <v/>
      </c>
      <c r="AO72" s="29">
        <f>J72*$J$11</f>
        <v/>
      </c>
    </row>
    <row r="73" ht="14.25" customHeight="1" s="66">
      <c r="A73" s="17" t="n"/>
      <c r="B73" s="18" t="inlineStr">
        <is>
          <t>Косметика/JMSOLUTION/JM-MASKPACKBLACK</t>
        </is>
      </c>
      <c r="C73" s="18" t="n"/>
      <c r="D73" s="19" t="n"/>
      <c r="E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  <c r="AA73" s="19" t="n"/>
      <c r="AB73" s="19" t="n"/>
      <c r="AC73" s="19" t="n"/>
      <c r="AD73" s="19" t="n"/>
      <c r="AE73" s="19" t="n"/>
      <c r="AF73" s="19" t="n"/>
      <c r="AG73" s="19" t="n"/>
      <c r="AH73" s="19" t="n"/>
      <c r="AI73" s="19" t="n"/>
      <c r="AJ73" s="19" t="n"/>
      <c r="AK73" s="19" t="n"/>
      <c r="AL73" s="19" t="n"/>
      <c r="AM73" s="19" t="n"/>
      <c r="AN73" s="19" t="n"/>
      <c r="AO73" s="19" t="n"/>
    </row>
    <row r="74" ht="28.5" customHeight="1" s="66">
      <c r="A74" s="50" t="n"/>
      <c r="B74" s="21" t="inlineStr">
        <is>
          <t>JMSOLUTION - MASK PACK BLACK [30ml*10ea] - ассорти набор 10шт в упаковке</t>
        </is>
      </c>
      <c r="C74" s="22" t="inlineStr">
        <is>
          <t>ФБС</t>
        </is>
      </c>
      <c r="D74" s="58" t="n"/>
      <c r="E74" s="24" t="n"/>
      <c r="F74" s="29" t="n">
        <v>1039</v>
      </c>
      <c r="G74" s="49" t="n">
        <v>2340</v>
      </c>
      <c r="H74" s="49" t="inlineStr">
        <is>
          <t>51 (закончились)</t>
        </is>
      </c>
      <c r="I74" s="49" t="n">
        <v>4</v>
      </c>
      <c r="J74" s="49" t="n">
        <v>2707</v>
      </c>
      <c r="K74" s="28" t="n">
        <v>0.45</v>
      </c>
      <c r="L74" s="30">
        <f>J74*(1-K74)</f>
        <v/>
      </c>
      <c r="M74" s="31" t="n">
        <v>463.2</v>
      </c>
      <c r="N74" s="32">
        <f>$J$5</f>
        <v/>
      </c>
      <c r="O74" s="33">
        <f>M74+N74</f>
        <v/>
      </c>
      <c r="P74" s="34" t="n">
        <v>0.47</v>
      </c>
      <c r="Q74" s="29">
        <f>J74*P74</f>
        <v/>
      </c>
      <c r="R74" s="35" t="n">
        <v>72</v>
      </c>
      <c r="S74" s="29">
        <f>J74*$J$8</f>
        <v/>
      </c>
      <c r="T74" s="35" t="n">
        <v>25</v>
      </c>
      <c r="U74" s="29">
        <f>J74*$J$4</f>
        <v/>
      </c>
      <c r="V74" s="29">
        <f>L74*$J$3</f>
        <v/>
      </c>
      <c r="W74" s="36" t="n">
        <v>0.9</v>
      </c>
      <c r="X74" s="35" t="n">
        <v>72</v>
      </c>
      <c r="Y74" s="29">
        <f>X74*(1-W74)</f>
        <v/>
      </c>
      <c r="Z74" s="37" t="n">
        <v>1.25</v>
      </c>
      <c r="AA74" s="29">
        <f>$J$6*$J$7*Z74</f>
        <v/>
      </c>
      <c r="AB74" s="33">
        <f>Z74*($J$9+$J$10)</f>
        <v/>
      </c>
      <c r="AC74" s="34" t="n">
        <v>0.07000000000000001</v>
      </c>
      <c r="AD74" s="29">
        <f>J74*AC74</f>
        <v/>
      </c>
      <c r="AE74" s="36" t="n">
        <v>0.08</v>
      </c>
      <c r="AF74" s="29">
        <f>J74*AE74</f>
        <v/>
      </c>
      <c r="AG74" s="29">
        <f>AD74+AF74</f>
        <v/>
      </c>
      <c r="AH74" s="38">
        <f>AG74/J74</f>
        <v/>
      </c>
      <c r="AI74" s="39">
        <f>J74-Q74-R74-S74-T74-U74-V74-Y74-AA74-AB74-O74-AN74-AO74</f>
        <v/>
      </c>
      <c r="AJ74" s="40">
        <f>AI74-AG74</f>
        <v/>
      </c>
      <c r="AK74" s="41">
        <f>AJ74/J74</f>
        <v/>
      </c>
      <c r="AL74" s="42">
        <f>AJ74/O74</f>
        <v/>
      </c>
      <c r="AM74" s="29">
        <f>(R74+T74+Y74+AA74+AB74+O74+AN74)/(1-(P74+$J$4+(1-K74)*$J$3+$J$8+$J$11+AC74+AE74))</f>
        <v/>
      </c>
      <c r="AN74" s="29">
        <f>$J$12</f>
        <v/>
      </c>
      <c r="AO74" s="29">
        <f>J74*$J$11</f>
        <v/>
      </c>
    </row>
    <row r="75" ht="14.25" customHeight="1" s="66">
      <c r="A75" s="17" t="n"/>
      <c r="B75" s="18" t="inlineStr">
        <is>
          <t>Косметика/JMSOLUTION/JM-MASKPACKDISNEY</t>
        </is>
      </c>
      <c r="C75" s="18" t="n"/>
      <c r="D75" s="19" t="n"/>
      <c r="E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  <c r="AA75" s="19" t="n"/>
      <c r="AB75" s="19" t="n"/>
      <c r="AC75" s="19" t="n"/>
      <c r="AD75" s="19" t="n"/>
      <c r="AE75" s="19" t="n"/>
      <c r="AF75" s="19" t="n"/>
      <c r="AG75" s="19" t="n"/>
      <c r="AH75" s="19" t="n"/>
      <c r="AI75" s="19" t="n"/>
      <c r="AJ75" s="19" t="n"/>
      <c r="AK75" s="19" t="n"/>
      <c r="AL75" s="19" t="n"/>
      <c r="AM75" s="19" t="n"/>
      <c r="AN75" s="19" t="n"/>
      <c r="AO75" s="19" t="n"/>
    </row>
    <row r="76" ht="14.25" customHeight="1" s="66">
      <c r="A76" s="50" t="n"/>
      <c r="B76" s="21" t="inlineStr">
        <is>
          <t>JMSOLUTION - MASK PACK DISNEY [30ml*10ea] - ассорти набор из 10шт</t>
        </is>
      </c>
      <c r="C76" s="22" t="inlineStr">
        <is>
          <t>ФБС</t>
        </is>
      </c>
      <c r="D76" s="58" t="n"/>
      <c r="E76" s="24" t="inlineStr">
        <is>
          <t>нет таких наборов</t>
        </is>
      </c>
      <c r="F76" s="29" t="n">
        <v>835</v>
      </c>
      <c r="G76" s="49" t="n"/>
      <c r="H76" s="49" t="n"/>
      <c r="I76" s="49" t="n"/>
      <c r="J76" s="49" t="n">
        <v>2707</v>
      </c>
      <c r="K76" s="28" t="n">
        <v>0.45</v>
      </c>
      <c r="L76" s="30">
        <f>J76*(1-K76)</f>
        <v/>
      </c>
      <c r="M76" s="31" t="n">
        <v>463.2</v>
      </c>
      <c r="N76" s="32">
        <f>$J$5</f>
        <v/>
      </c>
      <c r="O76" s="33">
        <f>M76+N76</f>
        <v/>
      </c>
      <c r="P76" s="34" t="n">
        <v>0.47</v>
      </c>
      <c r="Q76" s="29">
        <f>J76*P76</f>
        <v/>
      </c>
      <c r="R76" s="35" t="n">
        <v>72</v>
      </c>
      <c r="S76" s="29">
        <f>J76*$J$8</f>
        <v/>
      </c>
      <c r="T76" s="35" t="n">
        <v>25</v>
      </c>
      <c r="U76" s="29">
        <f>J76*$J$4</f>
        <v/>
      </c>
      <c r="V76" s="29">
        <f>L76*$J$3</f>
        <v/>
      </c>
      <c r="W76" s="36" t="n">
        <v>0.9</v>
      </c>
      <c r="X76" s="35" t="n">
        <v>72</v>
      </c>
      <c r="Y76" s="29">
        <f>X76*(1-W76)</f>
        <v/>
      </c>
      <c r="Z76" s="37" t="n">
        <v>1.25</v>
      </c>
      <c r="AA76" s="29">
        <f>$J$6*$J$7*Z76</f>
        <v/>
      </c>
      <c r="AB76" s="33">
        <f>Z76*($J$9+$J$10)</f>
        <v/>
      </c>
      <c r="AC76" s="34" t="n">
        <v>0.07000000000000001</v>
      </c>
      <c r="AD76" s="29">
        <f>J76*AC76</f>
        <v/>
      </c>
      <c r="AE76" s="36" t="n">
        <v>0.08</v>
      </c>
      <c r="AF76" s="29">
        <f>J76*AE76</f>
        <v/>
      </c>
      <c r="AG76" s="29">
        <f>AD76+AF76</f>
        <v/>
      </c>
      <c r="AH76" s="38">
        <f>AG76/J76</f>
        <v/>
      </c>
      <c r="AI76" s="39">
        <f>J76-Q76-R76-S76-T76-U76-V76-Y76-AA76-AB76-O76-AN76-AO76</f>
        <v/>
      </c>
      <c r="AJ76" s="40">
        <f>AI76-AG76</f>
        <v/>
      </c>
      <c r="AK76" s="41">
        <f>AJ76/J76</f>
        <v/>
      </c>
      <c r="AL76" s="42">
        <f>AJ76/O76</f>
        <v/>
      </c>
      <c r="AM76" s="29">
        <f>(R76+T76+Y76+AA76+AB76+O76+AN76)/(1-(P76+$J$4+(1-K76)*$J$3+$J$8+$J$11+AC76+AE76))</f>
        <v/>
      </c>
      <c r="AN76" s="29">
        <f>$J$12</f>
        <v/>
      </c>
      <c r="AO76" s="29">
        <f>J76*$J$11</f>
        <v/>
      </c>
    </row>
    <row r="77" ht="14.25" customHeight="1" s="66">
      <c r="A77" s="17" t="n"/>
      <c r="B77" s="18" t="inlineStr">
        <is>
          <t>Косметика/LEBELAGE</t>
        </is>
      </c>
      <c r="C77" s="18" t="n"/>
      <c r="D77" s="19" t="n"/>
      <c r="E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  <c r="AA77" s="19" t="n"/>
      <c r="AB77" s="19" t="n"/>
      <c r="AC77" s="19" t="n"/>
      <c r="AD77" s="19" t="n"/>
      <c r="AE77" s="19" t="n"/>
      <c r="AF77" s="19" t="n"/>
      <c r="AG77" s="19" t="n"/>
      <c r="AH77" s="19" t="n"/>
      <c r="AI77" s="19" t="n"/>
      <c r="AJ77" s="19" t="n"/>
      <c r="AK77" s="19" t="n"/>
      <c r="AL77" s="19" t="n"/>
      <c r="AM77" s="19" t="n"/>
      <c r="AN77" s="19" t="n"/>
      <c r="AO77" s="19" t="n"/>
    </row>
    <row r="78" ht="28.5" customHeight="1" s="66">
      <c r="A78" s="50" t="n"/>
      <c r="B78" s="21" t="inlineStr">
        <is>
          <t>LEBELAGE - Dr. Peptide Derma Eye Cream [40ml] / Крем для глаз антивозрастной с пептидами</t>
        </is>
      </c>
      <c r="C78" s="22" t="inlineStr">
        <is>
          <t>ФБС</t>
        </is>
      </c>
      <c r="D78" s="58" t="n"/>
      <c r="E78" s="24" t="n"/>
      <c r="F78" s="29" t="n">
        <v>410</v>
      </c>
      <c r="G78" s="49" t="n">
        <v>667</v>
      </c>
      <c r="H78" s="49" t="n">
        <v>1738</v>
      </c>
      <c r="I78" s="49" t="n">
        <v>22</v>
      </c>
      <c r="J78" s="49" t="n">
        <v>1112</v>
      </c>
      <c r="K78" s="28" t="n">
        <v>0.45</v>
      </c>
      <c r="L78" s="30">
        <f>J78*(1-K78)</f>
        <v/>
      </c>
      <c r="M78" s="31" t="n">
        <v>108.15</v>
      </c>
      <c r="N78" s="32">
        <f>$J$5</f>
        <v/>
      </c>
      <c r="O78" s="33">
        <f>M78+N78</f>
        <v/>
      </c>
      <c r="P78" s="34" t="n">
        <v>0.47</v>
      </c>
      <c r="Q78" s="29">
        <f>J78*P78</f>
        <v/>
      </c>
      <c r="R78" s="35" t="n">
        <v>63</v>
      </c>
      <c r="S78" s="29">
        <f>J78*$J$8</f>
        <v/>
      </c>
      <c r="T78" s="35" t="n">
        <v>25</v>
      </c>
      <c r="U78" s="29">
        <f>J78*$J$4</f>
        <v/>
      </c>
      <c r="V78" s="29">
        <f>L78*$J$3</f>
        <v/>
      </c>
      <c r="W78" s="36" t="n">
        <v>0.9</v>
      </c>
      <c r="X78" s="35" t="n">
        <v>63</v>
      </c>
      <c r="Y78" s="29">
        <f>X78*(1-W78)</f>
        <v/>
      </c>
      <c r="Z78" s="37" t="n">
        <v>0.27</v>
      </c>
      <c r="AA78" s="29">
        <f>$J$6*$J$7*Z78</f>
        <v/>
      </c>
      <c r="AB78" s="33">
        <f>Z78*($J$9+$J$10)</f>
        <v/>
      </c>
      <c r="AC78" s="34" t="n">
        <v>0.07000000000000001</v>
      </c>
      <c r="AD78" s="29">
        <f>J78*AC78</f>
        <v/>
      </c>
      <c r="AE78" s="36" t="n">
        <v>0.08</v>
      </c>
      <c r="AF78" s="29">
        <f>J78*AE78</f>
        <v/>
      </c>
      <c r="AG78" s="29">
        <f>AD78+AF78</f>
        <v/>
      </c>
      <c r="AH78" s="38">
        <f>AG78/J78</f>
        <v/>
      </c>
      <c r="AI78" s="39">
        <f>J78-Q78-R78-S78-T78-U78-V78-Y78-AA78-AB78-O78-AN78-AO78</f>
        <v/>
      </c>
      <c r="AJ78" s="40">
        <f>AI78-AG78</f>
        <v/>
      </c>
      <c r="AK78" s="41">
        <f>AJ78/J78</f>
        <v/>
      </c>
      <c r="AL78" s="42">
        <f>AJ78/O78</f>
        <v/>
      </c>
      <c r="AM78" s="29">
        <f>(R78+T78+Y78+AA78+AB78+O78+AN78)/(1-(P78+$J$4+(1-K78)*$J$3+$J$8+$J$11+AC78+AE78))</f>
        <v/>
      </c>
      <c r="AN78" s="29">
        <f>$J$12</f>
        <v/>
      </c>
      <c r="AO78" s="29">
        <f>J78*$J$11</f>
        <v/>
      </c>
    </row>
    <row r="79" ht="15.75" customHeight="1" s="66">
      <c r="A79" s="17" t="n"/>
      <c r="B79" s="18" t="inlineStr">
        <is>
          <t>Косметика/LANEIGE</t>
        </is>
      </c>
      <c r="C79" s="18" t="n"/>
      <c r="D79" s="19" t="n"/>
      <c r="E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  <c r="AA79" s="19" t="n"/>
      <c r="AB79" s="19" t="n"/>
      <c r="AC79" s="19" t="n"/>
      <c r="AD79" s="19" t="n"/>
      <c r="AE79" s="19" t="n"/>
      <c r="AF79" s="19" t="n"/>
      <c r="AG79" s="19" t="n"/>
      <c r="AH79" s="19" t="n"/>
      <c r="AI79" s="19" t="n"/>
      <c r="AJ79" s="19" t="n"/>
      <c r="AK79" s="19" t="n"/>
      <c r="AL79" s="19" t="n"/>
      <c r="AM79" s="19" t="n"/>
      <c r="AN79" s="19" t="n"/>
      <c r="AO79" s="19" t="n"/>
    </row>
    <row r="80" ht="14.25" customHeight="1" s="66">
      <c r="A80" s="50" t="n"/>
      <c r="B80" s="21" t="inlineStr">
        <is>
          <t>LANEIGE LIP SLEEPING MASK-BERRY [3g]</t>
        </is>
      </c>
      <c r="C80" s="21" t="inlineStr">
        <is>
          <t>ФБС</t>
        </is>
      </c>
      <c r="D80" s="58" t="n"/>
      <c r="E80" s="24" t="n"/>
      <c r="F80" s="29" t="n">
        <v>341</v>
      </c>
      <c r="G80" s="49" t="n">
        <v>1470</v>
      </c>
      <c r="H80" s="49" t="n">
        <v>568</v>
      </c>
      <c r="I80" s="49" t="n">
        <v>10</v>
      </c>
      <c r="J80" s="49" t="n">
        <v>1182</v>
      </c>
      <c r="K80" s="28" t="n">
        <v>0.45</v>
      </c>
      <c r="L80" s="30">
        <f>J80*(1-K80)</f>
        <v/>
      </c>
      <c r="M80" s="31" t="n">
        <v>130.86</v>
      </c>
      <c r="N80" s="32">
        <f>$J$5</f>
        <v/>
      </c>
      <c r="O80" s="33">
        <f>M80+N80</f>
        <v/>
      </c>
      <c r="P80" s="34" t="n">
        <v>0.47</v>
      </c>
      <c r="Q80" s="29">
        <f>J80*P80</f>
        <v/>
      </c>
      <c r="R80" s="35" t="n">
        <v>56</v>
      </c>
      <c r="S80" s="29">
        <f>J80*$J$8</f>
        <v/>
      </c>
      <c r="T80" s="35" t="n">
        <v>25</v>
      </c>
      <c r="U80" s="29">
        <f>J80*$J$4</f>
        <v/>
      </c>
      <c r="V80" s="29">
        <f>L80*$J$3</f>
        <v/>
      </c>
      <c r="W80" s="36" t="n">
        <v>0.9</v>
      </c>
      <c r="X80" s="35" t="n">
        <v>56</v>
      </c>
      <c r="Y80" s="29">
        <f>X80*(1-W80)</f>
        <v/>
      </c>
      <c r="Z80" s="37" t="n">
        <v>0.2</v>
      </c>
      <c r="AA80" s="29">
        <f>$J$6*$J$7*Z80</f>
        <v/>
      </c>
      <c r="AB80" s="33">
        <f>Z80*($J$9+$J$10)</f>
        <v/>
      </c>
      <c r="AC80" s="34" t="n">
        <v>0.07000000000000001</v>
      </c>
      <c r="AD80" s="29">
        <f>J80*AC80</f>
        <v/>
      </c>
      <c r="AE80" s="36" t="n">
        <v>0.08</v>
      </c>
      <c r="AF80" s="29">
        <f>J80*AE80</f>
        <v/>
      </c>
      <c r="AG80" s="29">
        <f>AD80+AF80</f>
        <v/>
      </c>
      <c r="AH80" s="38">
        <f>AG80/J80</f>
        <v/>
      </c>
      <c r="AI80" s="39">
        <f>J80-Q80-R80-S80-T80-U80-V80-Y80-AA80-AB80-O80-AN80-AO80</f>
        <v/>
      </c>
      <c r="AJ80" s="40">
        <f>AI80-AG80</f>
        <v/>
      </c>
      <c r="AK80" s="41">
        <f>AJ80/J80</f>
        <v/>
      </c>
      <c r="AL80" s="42">
        <f>AJ80/O80</f>
        <v/>
      </c>
      <c r="AM80" s="29">
        <f>(R80+T80+Y80+AA80+AB80+O80+AN80)/(1-(P80+$J$4+(1-K80)*$J$3+$J$8+$J$11+AC80+AE80))</f>
        <v/>
      </c>
      <c r="AN80" s="29">
        <f>$J$12</f>
        <v/>
      </c>
      <c r="AO80" s="29">
        <f>J80*$J$11</f>
        <v/>
      </c>
    </row>
    <row r="81" ht="14.25" customHeight="1" s="66">
      <c r="A81" s="17" t="n"/>
      <c r="B81" s="18" t="inlineStr">
        <is>
          <t>Косметика/MANYO</t>
        </is>
      </c>
      <c r="C81" s="18" t="n"/>
      <c r="D81" s="19" t="n"/>
      <c r="E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  <c r="AA81" s="19" t="n"/>
      <c r="AB81" s="19" t="n"/>
      <c r="AC81" s="19" t="n"/>
      <c r="AD81" s="19" t="n"/>
      <c r="AE81" s="19" t="n"/>
      <c r="AF81" s="19" t="n"/>
      <c r="AG81" s="19" t="n"/>
      <c r="AH81" s="19" t="n"/>
      <c r="AI81" s="19" t="n"/>
      <c r="AJ81" s="19" t="n"/>
      <c r="AK81" s="19" t="n"/>
      <c r="AL81" s="19" t="n"/>
      <c r="AM81" s="19" t="n"/>
      <c r="AN81" s="19" t="n"/>
      <c r="AO81" s="19" t="n"/>
    </row>
    <row r="82" ht="28.5" customHeight="1" s="66">
      <c r="A82" s="50" t="n">
        <v>5368879752</v>
      </c>
      <c r="B82" s="21" t="inlineStr">
        <is>
          <t>MANYO - Bifida Biome Complex Ampoule [50ml] / Антивозрастная сыворотка для лица</t>
        </is>
      </c>
      <c r="C82" s="51" t="n"/>
      <c r="D82" s="58" t="n"/>
      <c r="E82" s="24" t="n"/>
      <c r="F82" s="29" t="n">
        <v>1473</v>
      </c>
      <c r="G82" s="49" t="n">
        <v>5800</v>
      </c>
      <c r="H82" s="49" t="n">
        <v>152</v>
      </c>
      <c r="I82" s="49" t="n">
        <v>0</v>
      </c>
      <c r="J82" s="49">
        <f>(1.25*O82+R82+T82+Y82+AA82+AB82+AN82)/(1-P82-$J$8-$J$4-(1-K82)*$J$3-$J$11-AC82-AE82)</f>
        <v/>
      </c>
      <c r="K82" s="28" t="n">
        <v>0.45</v>
      </c>
      <c r="L82" s="30">
        <f>J82*(1-K82)</f>
        <v/>
      </c>
      <c r="M82" s="31" t="n">
        <v>899.78</v>
      </c>
      <c r="N82" s="32">
        <f>$J$5</f>
        <v/>
      </c>
      <c r="O82" s="33">
        <f>M82+N82</f>
        <v/>
      </c>
      <c r="P82" s="34" t="n">
        <v>0.47</v>
      </c>
      <c r="Q82" s="29">
        <f>J82*P82</f>
        <v/>
      </c>
      <c r="R82" s="35" t="n">
        <v>63</v>
      </c>
      <c r="S82" s="29">
        <f>J82*$J$8</f>
        <v/>
      </c>
      <c r="T82" s="35" t="n">
        <v>25</v>
      </c>
      <c r="U82" s="29">
        <f>J82*$J$4</f>
        <v/>
      </c>
      <c r="V82" s="29">
        <f>L82*$J$3</f>
        <v/>
      </c>
      <c r="W82" s="36" t="n">
        <v>0.9</v>
      </c>
      <c r="X82" s="35" t="n">
        <v>63</v>
      </c>
      <c r="Y82" s="29">
        <f>X82*(1-W82)</f>
        <v/>
      </c>
      <c r="Z82" s="37" t="n">
        <v>0.3</v>
      </c>
      <c r="AA82" s="29">
        <f>$J$6*$J$7*Z82</f>
        <v/>
      </c>
      <c r="AB82" s="33">
        <f>Z82*($J$9+$J$10)</f>
        <v/>
      </c>
      <c r="AC82" s="34" t="n">
        <v>0.025</v>
      </c>
      <c r="AD82" s="29">
        <f>J82*AC82</f>
        <v/>
      </c>
      <c r="AE82" s="36" t="n">
        <v>0.025</v>
      </c>
      <c r="AF82" s="29">
        <f>J82*AE82</f>
        <v/>
      </c>
      <c r="AG82" s="29">
        <f>AD82+AF82</f>
        <v/>
      </c>
      <c r="AH82" s="38">
        <f>AG82/J82</f>
        <v/>
      </c>
      <c r="AI82" s="39">
        <f>J82-Q82-R82-S82-T82-U82-V82-Y82-AA82-AB82-O82-AN82-AO82</f>
        <v/>
      </c>
      <c r="AJ82" s="40">
        <f>AI82-AG82</f>
        <v/>
      </c>
      <c r="AK82" s="41">
        <f>AJ82/J82</f>
        <v/>
      </c>
      <c r="AL82" s="42">
        <f>AJ82/O82</f>
        <v/>
      </c>
      <c r="AM82" s="29">
        <f>(R82+T82+Y82+AA82+AB82+O82+AN82)/(1-(P82+$J$4+(1-K82)*$J$3+$J$8+$J$11+AC82+AE82))</f>
        <v/>
      </c>
      <c r="AN82" s="29">
        <f>$J$12</f>
        <v/>
      </c>
      <c r="AO82" s="29">
        <f>J82*$J$11</f>
        <v/>
      </c>
    </row>
    <row r="83" ht="28.5" customHeight="1" s="66">
      <c r="A83" s="50" t="n"/>
      <c r="B83" s="21" t="inlineStr">
        <is>
          <t>MANYO - Galac Whitening Vita Serum [50ml] / Осветляющая сыворотка с Витамином C</t>
        </is>
      </c>
      <c r="C83" s="21" t="n"/>
      <c r="D83" s="58" t="n"/>
      <c r="E83" s="24" t="inlineStr">
        <is>
          <t>-</t>
        </is>
      </c>
      <c r="F83" s="29" t="n">
        <v>854</v>
      </c>
      <c r="G83" s="49" t="n">
        <v>4000</v>
      </c>
      <c r="H83" s="49" t="n">
        <v>163</v>
      </c>
      <c r="I83" s="49" t="n">
        <v>0</v>
      </c>
      <c r="J83" s="49">
        <f>(1.25*O83+R83+T83+Y83+AA83+AB83+AN83)/(1-P83-$J$8-$J$4-(1-K83)*$J$3-$J$11-AC83-AE83)</f>
        <v/>
      </c>
      <c r="K83" s="28" t="n">
        <v>0.45</v>
      </c>
      <c r="L83" s="30">
        <f>J83*(1-K83)</f>
        <v/>
      </c>
      <c r="M83" s="31" t="n">
        <v>646.83</v>
      </c>
      <c r="N83" s="32">
        <f>$J$5</f>
        <v/>
      </c>
      <c r="O83" s="33">
        <f>M83+N83</f>
        <v/>
      </c>
      <c r="P83" s="34" t="n">
        <v>0.47</v>
      </c>
      <c r="Q83" s="29">
        <f>J83*P83</f>
        <v/>
      </c>
      <c r="R83" s="35" t="n">
        <v>56</v>
      </c>
      <c r="S83" s="29">
        <f>J83*$J$8</f>
        <v/>
      </c>
      <c r="T83" s="35" t="n">
        <v>25</v>
      </c>
      <c r="U83" s="29">
        <f>J83*$J$4</f>
        <v/>
      </c>
      <c r="V83" s="29">
        <f>L83*$J$3</f>
        <v/>
      </c>
      <c r="W83" s="36" t="n">
        <v>0.9</v>
      </c>
      <c r="X83" s="35" t="n">
        <v>56</v>
      </c>
      <c r="Y83" s="29">
        <f>X83*(1-W83)</f>
        <v/>
      </c>
      <c r="Z83" s="37" t="n">
        <v>0.19</v>
      </c>
      <c r="AA83" s="29">
        <f>$J$6*$J$7*Z83</f>
        <v/>
      </c>
      <c r="AB83" s="33">
        <f>Z83*($J$9+$J$10)</f>
        <v/>
      </c>
      <c r="AC83" s="34" t="n">
        <v>0.025</v>
      </c>
      <c r="AD83" s="29">
        <f>J83*AC83</f>
        <v/>
      </c>
      <c r="AE83" s="36" t="n">
        <v>0.025</v>
      </c>
      <c r="AF83" s="29">
        <f>J83*AE83</f>
        <v/>
      </c>
      <c r="AG83" s="29">
        <f>AD83+AF83</f>
        <v/>
      </c>
      <c r="AH83" s="38">
        <f>AG83/J83</f>
        <v/>
      </c>
      <c r="AI83" s="39">
        <f>J83-Q83-R83-S83-T83-U83-V83-Y83-AA83-AB83-O83-AN83-AO83</f>
        <v/>
      </c>
      <c r="AJ83" s="40">
        <f>AI83-AG83</f>
        <v/>
      </c>
      <c r="AK83" s="41">
        <f>AJ83/J83</f>
        <v/>
      </c>
      <c r="AL83" s="42">
        <f>AJ83/O83</f>
        <v/>
      </c>
      <c r="AM83" s="29">
        <f>(R83+T83+Y83+AA83+AB83+O83+AN83)/(1-(P83+$J$4+(1-K83)*$J$3+$J$8+$J$11+AC83+AE83))</f>
        <v/>
      </c>
      <c r="AN83" s="29">
        <f>$J$12</f>
        <v/>
      </c>
      <c r="AO83" s="29">
        <f>J83*$J$11</f>
        <v/>
      </c>
    </row>
    <row r="84" ht="28.5" customHeight="1" s="66">
      <c r="A84" s="50" t="n"/>
      <c r="B84" s="21" t="inlineStr">
        <is>
          <t>MANYO - Bifida Biome Ampoule Lotion [300ml] / Укрепляющий лосьон с бифидобактериями</t>
        </is>
      </c>
      <c r="C84" s="21" t="n"/>
      <c r="D84" s="58" t="n"/>
      <c r="E84" s="24" t="inlineStr">
        <is>
          <t>нет у официала</t>
        </is>
      </c>
      <c r="F84" s="29" t="n">
        <v>756</v>
      </c>
      <c r="G84" s="49" t="n">
        <v>4000</v>
      </c>
      <c r="H84" s="49" t="n">
        <v>140</v>
      </c>
      <c r="I84" s="49" t="n">
        <v>0</v>
      </c>
      <c r="J84" s="49">
        <f>(1.25*O84+R84+T84+Y84+AA84+AB84+AN84)/(1-P84-$J$8-$J$4-(1-K84)*$J$3-$J$11-AC84-AE84)</f>
        <v/>
      </c>
      <c r="K84" s="28" t="n">
        <v>0.45</v>
      </c>
      <c r="L84" s="30">
        <f>J84*(1-K84)</f>
        <v/>
      </c>
      <c r="M84" s="31" t="n">
        <v>735.34</v>
      </c>
      <c r="N84" s="32">
        <f>$J$5</f>
        <v/>
      </c>
      <c r="O84" s="33">
        <f>M84+N84</f>
        <v/>
      </c>
      <c r="P84" s="34" t="n">
        <v>0.47</v>
      </c>
      <c r="Q84" s="29">
        <f>J84*P84</f>
        <v/>
      </c>
      <c r="R84" s="35" t="n">
        <v>67</v>
      </c>
      <c r="S84" s="29">
        <f>J84*$J$8</f>
        <v/>
      </c>
      <c r="T84" s="35" t="n">
        <v>25</v>
      </c>
      <c r="U84" s="29">
        <f>J84*$J$4</f>
        <v/>
      </c>
      <c r="V84" s="29">
        <f>L84*$J$3</f>
        <v/>
      </c>
      <c r="W84" s="36" t="n">
        <v>0.9</v>
      </c>
      <c r="X84" s="35" t="n">
        <v>67</v>
      </c>
      <c r="Y84" s="29">
        <f>X84*(1-W84)</f>
        <v/>
      </c>
      <c r="Z84" s="37" t="n">
        <v>0.61</v>
      </c>
      <c r="AA84" s="29">
        <f>$J$6*$J$7*Z84</f>
        <v/>
      </c>
      <c r="AB84" s="33">
        <f>Z84*($J$9+$J$10)</f>
        <v/>
      </c>
      <c r="AC84" s="34" t="n">
        <v>0.025</v>
      </c>
      <c r="AD84" s="29">
        <f>J84*AC84</f>
        <v/>
      </c>
      <c r="AE84" s="36" t="n">
        <v>0.025</v>
      </c>
      <c r="AF84" s="29">
        <f>J84*AE84</f>
        <v/>
      </c>
      <c r="AG84" s="29">
        <f>AD84+AF84</f>
        <v/>
      </c>
      <c r="AH84" s="38">
        <f>AG84/J84</f>
        <v/>
      </c>
      <c r="AI84" s="39">
        <f>J84-Q84-R84-S84-T84-U84-V84-Y84-AA84-AB84-O84-AN84-AO84</f>
        <v/>
      </c>
      <c r="AJ84" s="40">
        <f>AI84-AG84</f>
        <v/>
      </c>
      <c r="AK84" s="41">
        <f>AJ84/J84</f>
        <v/>
      </c>
      <c r="AL84" s="42">
        <f>AJ84/O84</f>
        <v/>
      </c>
      <c r="AM84" s="29">
        <f>(R84+T84+Y84+AA84+AB84+O84+AN84)/(1-(P84+$J$4+(1-K84)*$J$3+$J$8+$J$11+AC84+AE84))</f>
        <v/>
      </c>
      <c r="AN84" s="29">
        <f>$J$12</f>
        <v/>
      </c>
      <c r="AO84" s="29">
        <f>J84*$J$11</f>
        <v/>
      </c>
    </row>
    <row r="85" ht="28.5" customHeight="1" s="66">
      <c r="A85" s="50" t="n"/>
      <c r="B85" s="21" t="inlineStr">
        <is>
          <t>MANYO - Pure Cleansing Oil [200ml] / Гидрофильное масло для глубокого очищения</t>
        </is>
      </c>
      <c r="C85" s="21" t="n"/>
      <c r="D85" s="58" t="n"/>
      <c r="E85" s="24" t="inlineStr">
        <is>
          <t>-</t>
        </is>
      </c>
      <c r="F85" s="29" t="n">
        <v>243</v>
      </c>
      <c r="G85" s="49" t="n">
        <v>4000</v>
      </c>
      <c r="H85" s="49" t="n">
        <v>60</v>
      </c>
      <c r="I85" s="49" t="n">
        <v>0</v>
      </c>
      <c r="J85" s="49">
        <f>(1.25*O85+R85+T85+Y85+AA85+AB85+AN85)/(1-P85-$J$8-$J$4-(1-K85)*$J$3-$J$11-AC85-AE85)</f>
        <v/>
      </c>
      <c r="K85" s="28" t="n">
        <v>0.45</v>
      </c>
      <c r="L85" s="30">
        <f>J85*(1-K85)</f>
        <v/>
      </c>
      <c r="M85" s="31" t="n">
        <v>853</v>
      </c>
      <c r="N85" s="32">
        <f>$J$5</f>
        <v/>
      </c>
      <c r="O85" s="33">
        <f>M85+N85</f>
        <v/>
      </c>
      <c r="P85" s="34" t="n">
        <v>0.47</v>
      </c>
      <c r="Q85" s="29">
        <f>J85*P85</f>
        <v/>
      </c>
      <c r="R85" s="35" t="n">
        <v>67</v>
      </c>
      <c r="S85" s="29">
        <f>J85*$J$8</f>
        <v/>
      </c>
      <c r="T85" s="35" t="n">
        <v>25</v>
      </c>
      <c r="U85" s="29">
        <f>J85*$J$4</f>
        <v/>
      </c>
      <c r="V85" s="29">
        <f>L85*$J$3</f>
        <v/>
      </c>
      <c r="W85" s="36" t="n">
        <v>0.9</v>
      </c>
      <c r="X85" s="35" t="n">
        <v>67</v>
      </c>
      <c r="Y85" s="29">
        <f>X85*(1-W85)</f>
        <v/>
      </c>
      <c r="Z85" s="37" t="n">
        <v>0.5</v>
      </c>
      <c r="AA85" s="29">
        <f>$J$6*$J$7*Z85</f>
        <v/>
      </c>
      <c r="AB85" s="33">
        <f>Z85*($J$9+$J$10)</f>
        <v/>
      </c>
      <c r="AC85" s="34" t="n">
        <v>0.025</v>
      </c>
      <c r="AD85" s="29">
        <f>J85*AC85</f>
        <v/>
      </c>
      <c r="AE85" s="36" t="n">
        <v>0.025</v>
      </c>
      <c r="AF85" s="29">
        <f>J85*AE85</f>
        <v/>
      </c>
      <c r="AG85" s="29">
        <f>AD85+AF85</f>
        <v/>
      </c>
      <c r="AH85" s="38">
        <f>AG85/J85</f>
        <v/>
      </c>
      <c r="AI85" s="39">
        <f>J85-Q85-R85-S85-T85-U85-V85-Y85-AA85-AB85-O85-AN85-AO85</f>
        <v/>
      </c>
      <c r="AJ85" s="40">
        <f>AI85-AG85</f>
        <v/>
      </c>
      <c r="AK85" s="41">
        <f>AJ85/J85</f>
        <v/>
      </c>
      <c r="AL85" s="42">
        <f>AJ85/O85</f>
        <v/>
      </c>
      <c r="AM85" s="29">
        <f>(R85+T85+Y85+AA85+AB85+O85+AN85)/(1-(P85+$J$4+(1-K85)*$J$3+$J$8+$J$11+AC85+AE85))</f>
        <v/>
      </c>
      <c r="AN85" s="29">
        <f>$J$12</f>
        <v/>
      </c>
      <c r="AO85" s="29">
        <f>J85*$J$11</f>
        <v/>
      </c>
    </row>
    <row r="86" ht="28.5" customHeight="1" s="66">
      <c r="A86" s="50" t="n"/>
      <c r="B86" s="21" t="inlineStr">
        <is>
          <t>MANYO BIFIDA COMPLEX AMPOULE GEL CLEANSER [400ml] / Гель для умывания с бифидобактериями</t>
        </is>
      </c>
      <c r="C86" s="21" t="n"/>
      <c r="D86" s="58" t="n"/>
      <c r="E86" s="24" t="inlineStr">
        <is>
          <t>-</t>
        </is>
      </c>
      <c r="F86" s="29" t="n">
        <v>814</v>
      </c>
      <c r="G86" s="49" t="n">
        <v>4800</v>
      </c>
      <c r="H86" s="49" t="n">
        <v>20</v>
      </c>
      <c r="I86" s="49" t="n">
        <v>0</v>
      </c>
      <c r="J86" s="49">
        <f>(1.25*O86+R86+T86+Y86+AA86+AB86+AN86)/(1-P86-$J$8-$J$4-(1-K86)*$J$3-$J$11-AC86-AE86)</f>
        <v/>
      </c>
      <c r="K86" s="28" t="n">
        <v>0.45</v>
      </c>
      <c r="L86" s="30">
        <f>J86*(1-K86)</f>
        <v/>
      </c>
      <c r="M86" s="31" t="n">
        <v>650</v>
      </c>
      <c r="N86" s="32">
        <f>$J$5</f>
        <v/>
      </c>
      <c r="O86" s="33">
        <f>M86+N86</f>
        <v/>
      </c>
      <c r="P86" s="34" t="n">
        <v>0.47</v>
      </c>
      <c r="Q86" s="29">
        <f>J86*P86</f>
        <v/>
      </c>
      <c r="R86" s="35" t="n">
        <v>75</v>
      </c>
      <c r="S86" s="29">
        <f>J86*$J$8</f>
        <v/>
      </c>
      <c r="T86" s="35" t="n">
        <v>25</v>
      </c>
      <c r="U86" s="29">
        <f>J86*$J$4</f>
        <v/>
      </c>
      <c r="V86" s="29">
        <f>L86*$J$3</f>
        <v/>
      </c>
      <c r="W86" s="36" t="n">
        <v>0.9</v>
      </c>
      <c r="X86" s="35" t="n">
        <v>75</v>
      </c>
      <c r="Y86" s="29">
        <f>X86*(1-W86)</f>
        <v/>
      </c>
      <c r="Z86" s="37" t="n">
        <v>0.931</v>
      </c>
      <c r="AA86" s="29">
        <f>$J$6*$J$7*Z86</f>
        <v/>
      </c>
      <c r="AB86" s="33">
        <f>Z86*($J$9+$J$10)</f>
        <v/>
      </c>
      <c r="AC86" s="34" t="n">
        <v>0.025</v>
      </c>
      <c r="AD86" s="29">
        <f>J86*AC86</f>
        <v/>
      </c>
      <c r="AE86" s="36" t="n">
        <v>0.025</v>
      </c>
      <c r="AF86" s="29">
        <f>J86*AE86</f>
        <v/>
      </c>
      <c r="AG86" s="29">
        <f>AD86+AF86</f>
        <v/>
      </c>
      <c r="AH86" s="38">
        <f>AG86/J86</f>
        <v/>
      </c>
      <c r="AI86" s="39">
        <f>J86-Q86-R86-S86-T86-U86-V86-Y86-AA86-AB86-O86-AN86-AO86</f>
        <v/>
      </c>
      <c r="AJ86" s="40">
        <f>AI86-AG86</f>
        <v/>
      </c>
      <c r="AK86" s="41">
        <f>AJ86/J86</f>
        <v/>
      </c>
      <c r="AL86" s="42">
        <f>AJ86/O86</f>
        <v/>
      </c>
      <c r="AM86" s="29">
        <f>(R86+T86+Y86+AA86+AB86+O86+AN86)/(1-(P86+$J$4+(1-K86)*$J$3+$J$8+$J$11+AC86+AE86))</f>
        <v/>
      </c>
      <c r="AN86" s="29">
        <f>$J$12</f>
        <v/>
      </c>
      <c r="AO86" s="29">
        <f>J86*$J$11</f>
        <v/>
      </c>
    </row>
    <row r="87" ht="28.5" customHeight="1" s="66">
      <c r="A87" s="50" t="n"/>
      <c r="B87" s="21" t="inlineStr">
        <is>
          <t>MANYO BIFIDA INFUSION SHOT AMPOULE 1DX [50ml] / Сыворотка с микроиглами и пробиотиками</t>
        </is>
      </c>
      <c r="C87" s="21" t="n"/>
      <c r="D87" s="58" t="n"/>
      <c r="E87" s="24" t="n"/>
      <c r="F87" s="29" t="n">
        <v>786</v>
      </c>
      <c r="G87" s="49" t="n">
        <v>3800</v>
      </c>
      <c r="H87" s="49" t="n">
        <v>370</v>
      </c>
      <c r="I87" s="49" t="n">
        <v>0</v>
      </c>
      <c r="J87" s="49">
        <f>(1.25*O87+R87+T87+Y87+AA87+AB87+AN87)/(1-P87-$J$8-$J$4-(1-K87)*$J$3-$J$11-AC87-AE87)</f>
        <v/>
      </c>
      <c r="K87" s="28" t="n">
        <v>0.45</v>
      </c>
      <c r="L87" s="30">
        <f>J87*(1-K87)</f>
        <v/>
      </c>
      <c r="M87" s="31" t="n">
        <v>899.78</v>
      </c>
      <c r="N87" s="32">
        <f>$J$5</f>
        <v/>
      </c>
      <c r="O87" s="33">
        <f>M87+N87</f>
        <v/>
      </c>
      <c r="P87" s="34" t="n">
        <v>0.47</v>
      </c>
      <c r="Q87" s="29">
        <f>J87*P87</f>
        <v/>
      </c>
      <c r="R87" s="35" t="n">
        <v>63</v>
      </c>
      <c r="S87" s="29">
        <f>J87*$J$8</f>
        <v/>
      </c>
      <c r="T87" s="35" t="n">
        <v>25</v>
      </c>
      <c r="U87" s="29">
        <f>J87*$J$4</f>
        <v/>
      </c>
      <c r="V87" s="29">
        <f>L87*$J$3</f>
        <v/>
      </c>
      <c r="W87" s="36" t="n">
        <v>0.9</v>
      </c>
      <c r="X87" s="35" t="n">
        <v>63</v>
      </c>
      <c r="Y87" s="29">
        <f>X87*(1-W87)</f>
        <v/>
      </c>
      <c r="Z87" s="37" t="n">
        <v>0.3</v>
      </c>
      <c r="AA87" s="29">
        <f>$J$6*$J$7*Z87</f>
        <v/>
      </c>
      <c r="AB87" s="33">
        <f>Z87*($J$9+$J$10)</f>
        <v/>
      </c>
      <c r="AC87" s="34" t="n">
        <v>0.025</v>
      </c>
      <c r="AD87" s="29">
        <f>J87*AC87</f>
        <v/>
      </c>
      <c r="AE87" s="36" t="n">
        <v>0.025</v>
      </c>
      <c r="AF87" s="29">
        <f>J87*AE87</f>
        <v/>
      </c>
      <c r="AG87" s="29">
        <f>AD87+AF87</f>
        <v/>
      </c>
      <c r="AH87" s="38">
        <f>AG87/J87</f>
        <v/>
      </c>
      <c r="AI87" s="39">
        <f>J87-Q87-R87-S87-T87-U87-V87-Y87-AA87-AB87-O87-AN87-AO87</f>
        <v/>
      </c>
      <c r="AJ87" s="40">
        <f>AI87-AG87</f>
        <v/>
      </c>
      <c r="AK87" s="41">
        <f>AJ87/J87</f>
        <v/>
      </c>
      <c r="AL87" s="42">
        <f>AJ87/O87</f>
        <v/>
      </c>
      <c r="AM87" s="29">
        <f>(R87+T87+Y87+AA87+AB87+O87+AN87)/(1-(P87+$J$4+(1-K87)*$J$3+$J$8+$J$11+AC87+AE87))</f>
        <v/>
      </c>
      <c r="AN87" s="29">
        <f>$J$12</f>
        <v/>
      </c>
      <c r="AO87" s="29">
        <f>J87*$J$11</f>
        <v/>
      </c>
    </row>
    <row r="88" ht="14.25" customHeight="1" s="66">
      <c r="A88" s="17" t="n"/>
      <c r="B88" s="18" t="inlineStr">
        <is>
          <t>Косметика/MASIL</t>
        </is>
      </c>
      <c r="C88" s="18" t="n"/>
      <c r="D88" s="19" t="n"/>
      <c r="E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  <c r="AA88" s="19" t="n"/>
      <c r="AB88" s="19" t="n"/>
      <c r="AC88" s="19" t="n"/>
      <c r="AD88" s="19" t="n"/>
      <c r="AE88" s="19" t="n"/>
      <c r="AF88" s="19" t="n"/>
      <c r="AG88" s="19" t="n"/>
      <c r="AH88" s="19" t="n"/>
      <c r="AI88" s="19" t="n"/>
      <c r="AJ88" s="19" t="n"/>
      <c r="AK88" s="19" t="n"/>
      <c r="AL88" s="19" t="n"/>
      <c r="AM88" s="19" t="n"/>
      <c r="AN88" s="19" t="n"/>
      <c r="AO88" s="19" t="n"/>
    </row>
    <row r="89" ht="14.25" customHeight="1" s="66">
      <c r="A89" s="43" t="n"/>
      <c r="B89" s="44" t="inlineStr">
        <is>
          <t>MASIL - 8 Seconds Salon Hair Mask 350ml Set [350ml+8ml*2]</t>
        </is>
      </c>
      <c r="C89" s="44" t="inlineStr">
        <is>
          <t>ФБС</t>
        </is>
      </c>
      <c r="D89" s="45" t="n"/>
      <c r="E89" s="45" t="inlineStr">
        <is>
          <t>добавлено в расчет: цена под ROI 25%, объем оценочный</t>
        </is>
      </c>
      <c r="F89" s="29" t="n">
        <v>119</v>
      </c>
      <c r="G89" s="29" t="n"/>
      <c r="H89" s="29" t="n"/>
      <c r="I89" s="29" t="n"/>
      <c r="J89" s="29">
        <f>(1.25*O89+R89+T89+Y89+AA89+AB89+AN89)/(1-P89-$J$8-$J$4-(1-K89)*$J$3-$J$11-AC89-AE89)</f>
        <v/>
      </c>
      <c r="K89" s="46" t="n">
        <v>0.45</v>
      </c>
      <c r="L89" s="30">
        <f>J89*(1-K89)</f>
        <v/>
      </c>
      <c r="M89" s="32" t="n">
        <v>669.05</v>
      </c>
      <c r="N89" s="32">
        <f>$J$5</f>
        <v/>
      </c>
      <c r="O89" s="33">
        <f>M89+N89</f>
        <v/>
      </c>
      <c r="P89" s="47" t="n">
        <v>0.47</v>
      </c>
      <c r="Q89" s="29">
        <f>J89*P89</f>
        <v/>
      </c>
      <c r="R89" s="29" t="n">
        <v>72</v>
      </c>
      <c r="S89" s="29">
        <f>J89*$J$8</f>
        <v/>
      </c>
      <c r="T89" s="29" t="n">
        <v>25</v>
      </c>
      <c r="U89" s="29">
        <f>J89*$J$4</f>
        <v/>
      </c>
      <c r="V89" s="29">
        <f>L89*$J$3</f>
        <v/>
      </c>
      <c r="W89" s="41" t="n">
        <v>0.9</v>
      </c>
      <c r="X89" s="29" t="n">
        <v>72</v>
      </c>
      <c r="Y89" s="29">
        <f>X89*(1-W89)</f>
        <v/>
      </c>
      <c r="Z89" s="48" t="n">
        <v>1.2</v>
      </c>
      <c r="AA89" s="29">
        <f>$J$6*$J$7*Z89</f>
        <v/>
      </c>
      <c r="AB89" s="33">
        <f>Z89*($J$9+$J$10)</f>
        <v/>
      </c>
      <c r="AC89" s="47" t="n">
        <v>0.07000000000000001</v>
      </c>
      <c r="AD89" s="29">
        <f>J89*AC89</f>
        <v/>
      </c>
      <c r="AE89" s="41" t="n">
        <v>0.08</v>
      </c>
      <c r="AF89" s="29">
        <f>J89*AE89</f>
        <v/>
      </c>
      <c r="AG89" s="29">
        <f>AD89+AF89</f>
        <v/>
      </c>
      <c r="AH89" s="38">
        <f>AG89/J89</f>
        <v/>
      </c>
      <c r="AI89" s="39">
        <f>J89-Q89-R89-S89-T89-U89-V89-Y89-AA89-AB89-O89-AN89-AO89</f>
        <v/>
      </c>
      <c r="AJ89" s="29">
        <f>AI89-AG89</f>
        <v/>
      </c>
      <c r="AK89" s="41">
        <f>AJ89/J89</f>
        <v/>
      </c>
      <c r="AL89" s="41">
        <f>AJ89/O89</f>
        <v/>
      </c>
      <c r="AM89" s="29">
        <f>(R89+T89+Y89+AA89+AB89+O89+AN89)/(1-(P89+$J$4+(1-K89)*$J$3+$J$8+$J$11+AC89+AE89))</f>
        <v/>
      </c>
      <c r="AN89" s="29">
        <f>$J$12</f>
        <v/>
      </c>
      <c r="AO89" s="29">
        <f>J89*$J$11</f>
        <v/>
      </c>
    </row>
    <row r="90" ht="14.25" customHeight="1" s="66">
      <c r="A90" s="17" t="n"/>
      <c r="B90" s="18" t="inlineStr">
        <is>
          <t>Косметика/PETITFEE/PETITFEE-EYEPATCH</t>
        </is>
      </c>
      <c r="C90" s="18" t="n"/>
      <c r="D90" s="19" t="n"/>
      <c r="E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  <c r="AA90" s="19" t="n"/>
      <c r="AB90" s="19" t="n"/>
      <c r="AC90" s="19" t="n"/>
      <c r="AD90" s="19" t="n"/>
      <c r="AE90" s="19" t="n"/>
      <c r="AF90" s="19" t="n"/>
      <c r="AG90" s="19" t="n"/>
      <c r="AH90" s="19" t="n"/>
      <c r="AI90" s="19" t="n"/>
      <c r="AJ90" s="19" t="n"/>
      <c r="AK90" s="19" t="n"/>
      <c r="AL90" s="19" t="n"/>
      <c r="AM90" s="19" t="n"/>
      <c r="AN90" s="19" t="n"/>
      <c r="AO90" s="19" t="n"/>
    </row>
    <row r="91" ht="28.5" customHeight="1" s="66">
      <c r="A91" s="50" t="n"/>
      <c r="B91" s="21" t="inlineStr">
        <is>
          <t>PETITFEE - Collagen &amp; CoQ10 Hydrogel Eye Patch [60ea] / Гидрогелевые патчи для глаз с коллагеном и коэнзимом Q10</t>
        </is>
      </c>
      <c r="C91" s="22" t="inlineStr">
        <is>
          <t>ФБС</t>
        </is>
      </c>
      <c r="D91" s="58" t="n"/>
      <c r="E91" s="24" t="n"/>
      <c r="F91" s="56" t="n">
        <v>1008</v>
      </c>
      <c r="G91" s="49" t="n">
        <v>1818</v>
      </c>
      <c r="H91" s="49" t="n">
        <v>734</v>
      </c>
      <c r="I91" s="49" t="n">
        <v>16</v>
      </c>
      <c r="J91" s="49" t="n">
        <v>2336</v>
      </c>
      <c r="K91" s="28" t="n">
        <v>0.45</v>
      </c>
      <c r="L91" s="30">
        <f>J91*(1-K91)</f>
        <v/>
      </c>
      <c r="M91" s="31" t="n">
        <v>385.05</v>
      </c>
      <c r="N91" s="32">
        <f>$J$5</f>
        <v/>
      </c>
      <c r="O91" s="33">
        <f>M91+N91</f>
        <v/>
      </c>
      <c r="P91" s="34" t="n">
        <v>0.47</v>
      </c>
      <c r="Q91" s="29">
        <f>J91*P91</f>
        <v/>
      </c>
      <c r="R91" s="35" t="n">
        <v>67</v>
      </c>
      <c r="S91" s="29">
        <f>J91*$J$8</f>
        <v/>
      </c>
      <c r="T91" s="35" t="n">
        <v>25</v>
      </c>
      <c r="U91" s="29">
        <f>J91*$J$4</f>
        <v/>
      </c>
      <c r="V91" s="29">
        <f>L91*$J$3</f>
        <v/>
      </c>
      <c r="W91" s="36" t="n">
        <v>0.9</v>
      </c>
      <c r="X91" s="35" t="n">
        <v>67</v>
      </c>
      <c r="Y91" s="29">
        <f>X91*(1-W91)</f>
        <v/>
      </c>
      <c r="Z91" s="37" t="n">
        <v>0.6</v>
      </c>
      <c r="AA91" s="29">
        <f>$J$6*$J$7*Z91</f>
        <v/>
      </c>
      <c r="AB91" s="33">
        <f>Z91*($J$9+$J$10)</f>
        <v/>
      </c>
      <c r="AC91" s="34" t="n">
        <v>0.07000000000000001</v>
      </c>
      <c r="AD91" s="29">
        <f>J91*AC91</f>
        <v/>
      </c>
      <c r="AE91" s="36" t="n">
        <v>0.08</v>
      </c>
      <c r="AF91" s="29">
        <f>J91*AE91</f>
        <v/>
      </c>
      <c r="AG91" s="29">
        <f>AD91+AF91</f>
        <v/>
      </c>
      <c r="AH91" s="38">
        <f>AG91/J91</f>
        <v/>
      </c>
      <c r="AI91" s="39">
        <f>J91-Q91-R91-S91-T91-U91-V91-Y91-AA91-AB91-O91-AN91-AO91</f>
        <v/>
      </c>
      <c r="AJ91" s="40">
        <f>AI91-AG91</f>
        <v/>
      </c>
      <c r="AK91" s="41">
        <f>AJ91/J91</f>
        <v/>
      </c>
      <c r="AL91" s="42">
        <f>AJ91/O91</f>
        <v/>
      </c>
      <c r="AM91" s="29">
        <f>(R91+T91+Y91+AA91+AB91+O91+AN91)/(1-(P91+$J$4+(1-K91)*$J$3+$J$8+$J$11+AC91+AE91))</f>
        <v/>
      </c>
      <c r="AN91" s="29">
        <f>$J$12</f>
        <v/>
      </c>
      <c r="AO91" s="29">
        <f>J91*$J$11</f>
        <v/>
      </c>
    </row>
    <row r="92" ht="28.5" customHeight="1" s="66">
      <c r="A92" s="50" t="n"/>
      <c r="B92" s="21" t="inlineStr">
        <is>
          <t>PETITFEE - Bera Glucan Deep Firming Eye Patch [60ea] / Тканевые патчи для век увлажняющие</t>
        </is>
      </c>
      <c r="C92" s="22" t="inlineStr">
        <is>
          <t>ФБС</t>
        </is>
      </c>
      <c r="D92" s="58" t="n"/>
      <c r="E92" s="24" t="n"/>
      <c r="F92" s="29" t="n">
        <v>587</v>
      </c>
      <c r="G92" s="49" t="n"/>
      <c r="H92" s="49" t="n"/>
      <c r="I92" s="49" t="n"/>
      <c r="J92" s="49" t="n">
        <v>2783</v>
      </c>
      <c r="K92" s="28" t="n">
        <v>0.45</v>
      </c>
      <c r="L92" s="30">
        <f>J92*(1-K92)</f>
        <v/>
      </c>
      <c r="M92" s="31" t="n">
        <v>486.69</v>
      </c>
      <c r="N92" s="32">
        <f>$J$5</f>
        <v/>
      </c>
      <c r="O92" s="33">
        <f>M92+N92</f>
        <v/>
      </c>
      <c r="P92" s="34" t="n">
        <v>0.47</v>
      </c>
      <c r="Q92" s="29">
        <f>J92*P92</f>
        <v/>
      </c>
      <c r="R92" s="35" t="n">
        <v>67</v>
      </c>
      <c r="S92" s="29">
        <f>J92*$J$8</f>
        <v/>
      </c>
      <c r="T92" s="35" t="n">
        <v>25</v>
      </c>
      <c r="U92" s="29">
        <f>J92*$J$4</f>
        <v/>
      </c>
      <c r="V92" s="29">
        <f>L92*$J$3</f>
        <v/>
      </c>
      <c r="W92" s="36" t="n">
        <v>0.9</v>
      </c>
      <c r="X92" s="35" t="n">
        <v>67</v>
      </c>
      <c r="Y92" s="29">
        <f>X92*(1-W92)</f>
        <v/>
      </c>
      <c r="Z92" s="37" t="n">
        <v>0.93</v>
      </c>
      <c r="AA92" s="29">
        <f>$J$6*$J$7*Z92</f>
        <v/>
      </c>
      <c r="AB92" s="33">
        <f>Z92*($J$9+$J$10)</f>
        <v/>
      </c>
      <c r="AC92" s="34" t="n">
        <v>0.07000000000000001</v>
      </c>
      <c r="AD92" s="29">
        <f>J92*AC92</f>
        <v/>
      </c>
      <c r="AE92" s="36" t="n">
        <v>0.08</v>
      </c>
      <c r="AF92" s="29">
        <f>J92*AE92</f>
        <v/>
      </c>
      <c r="AG92" s="29">
        <f>AD92+AF92</f>
        <v/>
      </c>
      <c r="AH92" s="38">
        <f>AG92/J92</f>
        <v/>
      </c>
      <c r="AI92" s="39">
        <f>J92-Q92-R92-S92-T92-U92-V92-Y92-AA92-AB92-O92-AN92-AO92</f>
        <v/>
      </c>
      <c r="AJ92" s="40">
        <f>AI92-AG92</f>
        <v/>
      </c>
      <c r="AK92" s="41">
        <f>AJ92/J92</f>
        <v/>
      </c>
      <c r="AL92" s="42">
        <f>AJ92/O92</f>
        <v/>
      </c>
      <c r="AM92" s="29">
        <f>(R92+T92+Y92+AA92+AB92+O92+AN92)/(1-(P92+$J$4+(1-K92)*$J$3+$J$8+$J$11+AC92+AE92))</f>
        <v/>
      </c>
      <c r="AN92" s="29">
        <f>$J$12</f>
        <v/>
      </c>
      <c r="AO92" s="29">
        <f>J92*$J$11</f>
        <v/>
      </c>
    </row>
    <row r="93" ht="28.5" customHeight="1" s="66">
      <c r="A93" s="50" t="n"/>
      <c r="B93" s="21" t="inlineStr">
        <is>
          <t>PETITFEE - Artichoke Soothing Hydrogel Eye Patch [60ea] / Смягчающие гидрогелевые патчи для глаз с экстрактом артишока</t>
        </is>
      </c>
      <c r="C93" s="22" t="inlineStr">
        <is>
          <t>ФБС</t>
        </is>
      </c>
      <c r="D93" s="58" t="n"/>
      <c r="E93" s="24" t="n"/>
      <c r="F93" s="29" t="n">
        <v>300</v>
      </c>
      <c r="G93" s="49" t="n"/>
      <c r="H93" s="49" t="n"/>
      <c r="I93" s="49" t="n"/>
      <c r="J93" s="49" t="n">
        <v>2468</v>
      </c>
      <c r="K93" s="28" t="n">
        <v>0.45</v>
      </c>
      <c r="L93" s="30">
        <f>J93*(1-K93)</f>
        <v/>
      </c>
      <c r="M93" s="31" t="n">
        <v>415.46</v>
      </c>
      <c r="N93" s="32">
        <f>$J$5</f>
        <v/>
      </c>
      <c r="O93" s="33">
        <f>M93+N93</f>
        <v/>
      </c>
      <c r="P93" s="34" t="n">
        <v>0.47</v>
      </c>
      <c r="Q93" s="29">
        <f>J93*P93</f>
        <v/>
      </c>
      <c r="R93" s="35" t="n">
        <v>67</v>
      </c>
      <c r="S93" s="29">
        <f>J93*$J$8</f>
        <v/>
      </c>
      <c r="T93" s="35" t="n">
        <v>25</v>
      </c>
      <c r="U93" s="29">
        <f>J93*$J$4</f>
        <v/>
      </c>
      <c r="V93" s="29">
        <f>L93*$J$3</f>
        <v/>
      </c>
      <c r="W93" s="36" t="n">
        <v>0.9</v>
      </c>
      <c r="X93" s="35" t="n">
        <v>67</v>
      </c>
      <c r="Y93" s="29">
        <f>X93*(1-W93)</f>
        <v/>
      </c>
      <c r="Z93" s="37" t="n">
        <v>0.6</v>
      </c>
      <c r="AA93" s="29">
        <f>$J$6*$J$7*Z93</f>
        <v/>
      </c>
      <c r="AB93" s="33">
        <f>Z93*($J$9+$J$10)</f>
        <v/>
      </c>
      <c r="AC93" s="34" t="n">
        <v>0.07000000000000001</v>
      </c>
      <c r="AD93" s="29">
        <f>J93*AC93</f>
        <v/>
      </c>
      <c r="AE93" s="36" t="n">
        <v>0.08</v>
      </c>
      <c r="AF93" s="29">
        <f>J93*AE93</f>
        <v/>
      </c>
      <c r="AG93" s="29">
        <f>AD93+AF93</f>
        <v/>
      </c>
      <c r="AH93" s="38">
        <f>AG93/J93</f>
        <v/>
      </c>
      <c r="AI93" s="39">
        <f>J93-Q93-R93-S93-T93-U93-V93-Y93-AA93-AB93-O93-AN93-AO93</f>
        <v/>
      </c>
      <c r="AJ93" s="40">
        <f>AI93-AG93</f>
        <v/>
      </c>
      <c r="AK93" s="41">
        <f>AJ93/J93</f>
        <v/>
      </c>
      <c r="AL93" s="42">
        <f>AJ93/O93</f>
        <v/>
      </c>
      <c r="AM93" s="29">
        <f>(R93+T93+Y93+AA93+AB93+O93+AN93)/(1-(P93+$J$4+(1-K93)*$J$3+$J$8+$J$11+AC93+AE93))</f>
        <v/>
      </c>
      <c r="AN93" s="29">
        <f>$J$12</f>
        <v/>
      </c>
      <c r="AO93" s="29">
        <f>J93*$J$11</f>
        <v/>
      </c>
    </row>
    <row r="94" ht="14.25" customHeight="1" s="66">
      <c r="A94" s="50" t="n"/>
      <c r="B94" s="21" t="inlineStr">
        <is>
          <t>PETITFEE - Aura Quartz Hydrogel Eye Patch [60ea]</t>
        </is>
      </c>
      <c r="C94" s="22" t="inlineStr">
        <is>
          <t>ФБС</t>
        </is>
      </c>
      <c r="D94" s="58" t="n"/>
      <c r="E94" s="24" t="n"/>
      <c r="F94" s="29" t="n">
        <v>95</v>
      </c>
      <c r="G94" s="49" t="n"/>
      <c r="H94" s="49" t="n"/>
      <c r="I94" s="49" t="n"/>
      <c r="J94" s="49" t="n">
        <v>3237</v>
      </c>
      <c r="K94" s="28" t="n">
        <v>0.45</v>
      </c>
      <c r="L94" s="30">
        <f>J94*(1-K94)</f>
        <v/>
      </c>
      <c r="M94" s="31" t="n">
        <v>591.29</v>
      </c>
      <c r="N94" s="32">
        <f>$J$5</f>
        <v/>
      </c>
      <c r="O94" s="33">
        <f>M94+N94</f>
        <v/>
      </c>
      <c r="P94" s="34" t="n">
        <v>0.47</v>
      </c>
      <c r="Q94" s="29">
        <f>J94*P94</f>
        <v/>
      </c>
      <c r="R94" s="35" t="n">
        <v>67</v>
      </c>
      <c r="S94" s="29">
        <f>J94*$J$8</f>
        <v/>
      </c>
      <c r="T94" s="35" t="n">
        <v>25</v>
      </c>
      <c r="U94" s="29">
        <f>J94*$J$4</f>
        <v/>
      </c>
      <c r="V94" s="29">
        <f>L94*$J$3</f>
        <v/>
      </c>
      <c r="W94" s="36" t="n">
        <v>0.9</v>
      </c>
      <c r="X94" s="35" t="n">
        <v>67</v>
      </c>
      <c r="Y94" s="29">
        <f>X94*(1-W94)</f>
        <v/>
      </c>
      <c r="Z94" s="37" t="n">
        <v>0.93</v>
      </c>
      <c r="AA94" s="29">
        <f>$J$6*$J$7*Z94</f>
        <v/>
      </c>
      <c r="AB94" s="33">
        <f>Z94*($J$9+$J$10)</f>
        <v/>
      </c>
      <c r="AC94" s="34" t="n">
        <v>0.07000000000000001</v>
      </c>
      <c r="AD94" s="29">
        <f>J94*AC94</f>
        <v/>
      </c>
      <c r="AE94" s="36" t="n">
        <v>0.08</v>
      </c>
      <c r="AF94" s="29">
        <f>J94*AE94</f>
        <v/>
      </c>
      <c r="AG94" s="29">
        <f>AD94+AF94</f>
        <v/>
      </c>
      <c r="AH94" s="38">
        <f>AG94/J94</f>
        <v/>
      </c>
      <c r="AI94" s="39">
        <f>J94-Q94-R94-S94-T94-U94-V94-Y94-AA94-AB94-O94-AN94-AO94</f>
        <v/>
      </c>
      <c r="AJ94" s="40">
        <f>AI94-AG94</f>
        <v/>
      </c>
      <c r="AK94" s="41">
        <f>AJ94/J94</f>
        <v/>
      </c>
      <c r="AL94" s="42">
        <f>AJ94/O94</f>
        <v/>
      </c>
      <c r="AM94" s="29">
        <f>(R94+T94+Y94+AA94+AB94+O94+AN94)/(1-(P94+$J$4+(1-K94)*$J$3+$J$8+$J$11+AC94+AE94))</f>
        <v/>
      </c>
      <c r="AN94" s="29">
        <f>$J$12</f>
        <v/>
      </c>
      <c r="AO94" s="29">
        <f>J94*$J$11</f>
        <v/>
      </c>
    </row>
    <row r="95" ht="28.5" customHeight="1" s="66">
      <c r="A95" s="50" t="n"/>
      <c r="B95" s="21" t="inlineStr">
        <is>
          <t>PETITFEE - Cacao Energizing Hydrogel Eye Patch [60ea] / Тонизирующие гидрогелевые патчи для глаз с экстрактом какао</t>
        </is>
      </c>
      <c r="C95" s="22" t="inlineStr">
        <is>
          <t>ФБС</t>
        </is>
      </c>
      <c r="D95" s="58" t="n"/>
      <c r="E95" s="24" t="n"/>
      <c r="F95" s="29" t="n">
        <v>713</v>
      </c>
      <c r="G95" s="49" t="n"/>
      <c r="H95" s="49" t="n"/>
      <c r="I95" s="49" t="n"/>
      <c r="J95" s="49" t="n">
        <v>2468</v>
      </c>
      <c r="K95" s="28" t="n">
        <v>0.45</v>
      </c>
      <c r="L95" s="30">
        <f>J95*(1-K95)</f>
        <v/>
      </c>
      <c r="M95" s="31" t="n">
        <v>415.46</v>
      </c>
      <c r="N95" s="32">
        <f>$J$5</f>
        <v/>
      </c>
      <c r="O95" s="33">
        <f>M95+N95</f>
        <v/>
      </c>
      <c r="P95" s="34" t="n">
        <v>0.47</v>
      </c>
      <c r="Q95" s="29">
        <f>J95*P95</f>
        <v/>
      </c>
      <c r="R95" s="35" t="n">
        <v>67</v>
      </c>
      <c r="S95" s="29">
        <f>J95*$J$8</f>
        <v/>
      </c>
      <c r="T95" s="35" t="n">
        <v>25</v>
      </c>
      <c r="U95" s="29">
        <f>J95*$J$4</f>
        <v/>
      </c>
      <c r="V95" s="29">
        <f>L95*$J$3</f>
        <v/>
      </c>
      <c r="W95" s="36" t="n">
        <v>0.9</v>
      </c>
      <c r="X95" s="35" t="n">
        <v>67</v>
      </c>
      <c r="Y95" s="29">
        <f>X95*(1-W95)</f>
        <v/>
      </c>
      <c r="Z95" s="37" t="n">
        <v>0.6</v>
      </c>
      <c r="AA95" s="29">
        <f>$J$6*$J$7*Z95</f>
        <v/>
      </c>
      <c r="AB95" s="33">
        <f>Z95*($J$9+$J$10)</f>
        <v/>
      </c>
      <c r="AC95" s="34" t="n">
        <v>0.07000000000000001</v>
      </c>
      <c r="AD95" s="29">
        <f>J95*AC95</f>
        <v/>
      </c>
      <c r="AE95" s="36" t="n">
        <v>0.08</v>
      </c>
      <c r="AF95" s="29">
        <f>J95*AE95</f>
        <v/>
      </c>
      <c r="AG95" s="29">
        <f>AD95+AF95</f>
        <v/>
      </c>
      <c r="AH95" s="38">
        <f>AG95/J95</f>
        <v/>
      </c>
      <c r="AI95" s="39">
        <f>J95-Q95-R95-S95-T95-U95-V95-Y95-AA95-AB95-O95-AN95-AO95</f>
        <v/>
      </c>
      <c r="AJ95" s="40">
        <f>AI95-AG95</f>
        <v/>
      </c>
      <c r="AK95" s="41">
        <f>AJ95/J95</f>
        <v/>
      </c>
      <c r="AL95" s="42">
        <f>AJ95/O95</f>
        <v/>
      </c>
      <c r="AM95" s="29">
        <f>(R95+T95+Y95+AA95+AB95+O95+AN95)/(1-(P95+$J$4+(1-K95)*$J$3+$J$8+$J$11+AC95+AE95))</f>
        <v/>
      </c>
      <c r="AN95" s="29">
        <f>$J$12</f>
        <v/>
      </c>
      <c r="AO95" s="29">
        <f>J95*$J$11</f>
        <v/>
      </c>
    </row>
    <row r="96" ht="28.5" customHeight="1" s="66">
      <c r="A96" s="50" t="n"/>
      <c r="B96" s="21" t="inlineStr">
        <is>
          <t>PETITFEE - Chamomile Lightening Hydrogel Eye Patch [60ea] / Успокаивающие гидрогелевые патчи для глаз с экстрактом ромашки</t>
        </is>
      </c>
      <c r="C96" s="22" t="inlineStr">
        <is>
          <t>ФБС</t>
        </is>
      </c>
      <c r="D96" s="58" t="n"/>
      <c r="E96" s="24" t="n"/>
      <c r="F96" s="29" t="n">
        <v>288</v>
      </c>
      <c r="G96" s="49" t="n"/>
      <c r="H96" s="49" t="n"/>
      <c r="I96" s="49" t="n"/>
      <c r="J96" s="49" t="n">
        <v>2468</v>
      </c>
      <c r="K96" s="28" t="n">
        <v>0.45</v>
      </c>
      <c r="L96" s="30">
        <f>J96*(1-K96)</f>
        <v/>
      </c>
      <c r="M96" s="31" t="n">
        <v>415.46</v>
      </c>
      <c r="N96" s="32">
        <f>$J$5</f>
        <v/>
      </c>
      <c r="O96" s="33">
        <f>M96+N96</f>
        <v/>
      </c>
      <c r="P96" s="34" t="n">
        <v>0.47</v>
      </c>
      <c r="Q96" s="29">
        <f>J96*P96</f>
        <v/>
      </c>
      <c r="R96" s="35" t="n">
        <v>67</v>
      </c>
      <c r="S96" s="29">
        <f>J96*$J$8</f>
        <v/>
      </c>
      <c r="T96" s="35" t="n">
        <v>25</v>
      </c>
      <c r="U96" s="29">
        <f>J96*$J$4</f>
        <v/>
      </c>
      <c r="V96" s="29">
        <f>L96*$J$3</f>
        <v/>
      </c>
      <c r="W96" s="36" t="n">
        <v>0.9</v>
      </c>
      <c r="X96" s="35" t="n">
        <v>67</v>
      </c>
      <c r="Y96" s="29">
        <f>X96*(1-W96)</f>
        <v/>
      </c>
      <c r="Z96" s="37" t="n">
        <v>0.6</v>
      </c>
      <c r="AA96" s="29">
        <f>$J$6*$J$7*Z96</f>
        <v/>
      </c>
      <c r="AB96" s="33">
        <f>Z96*($J$9+$J$10)</f>
        <v/>
      </c>
      <c r="AC96" s="34" t="n">
        <v>0.07000000000000001</v>
      </c>
      <c r="AD96" s="29">
        <f>J96*AC96</f>
        <v/>
      </c>
      <c r="AE96" s="36" t="n">
        <v>0.08</v>
      </c>
      <c r="AF96" s="29">
        <f>J96*AE96</f>
        <v/>
      </c>
      <c r="AG96" s="29">
        <f>AD96+AF96</f>
        <v/>
      </c>
      <c r="AH96" s="38">
        <f>AG96/J96</f>
        <v/>
      </c>
      <c r="AI96" s="39">
        <f>J96-Q96-R96-S96-T96-U96-V96-Y96-AA96-AB96-O96-AN96-AO96</f>
        <v/>
      </c>
      <c r="AJ96" s="40">
        <f>AI96-AG96</f>
        <v/>
      </c>
      <c r="AK96" s="41">
        <f>AJ96/J96</f>
        <v/>
      </c>
      <c r="AL96" s="42">
        <f>AJ96/O96</f>
        <v/>
      </c>
      <c r="AM96" s="29">
        <f>(R96+T96+Y96+AA96+AB96+O96+AN96)/(1-(P96+$J$4+(1-K96)*$J$3+$J$8+$J$11+AC96+AE96))</f>
        <v/>
      </c>
      <c r="AN96" s="29">
        <f>$J$12</f>
        <v/>
      </c>
      <c r="AO96" s="29">
        <f>J96*$J$11</f>
        <v/>
      </c>
    </row>
    <row r="97" ht="28.5" customHeight="1" s="66">
      <c r="A97" s="50" t="n"/>
      <c r="B97" s="21" t="inlineStr">
        <is>
          <t>PETITFEE - Gold &amp; EGF Hydrogel Eye &amp; Spot Patch [60ea]/ гидрогелевые патчи с золотом и EGF</t>
        </is>
      </c>
      <c r="C97" s="22" t="inlineStr">
        <is>
          <t>ФБС</t>
        </is>
      </c>
      <c r="D97" s="58" t="n"/>
      <c r="E97" s="24" t="n"/>
      <c r="F97" s="29" t="n">
        <v>72</v>
      </c>
      <c r="G97" s="49" t="n"/>
      <c r="H97" s="49" t="n"/>
      <c r="I97" s="49" t="n"/>
      <c r="J97" s="49" t="n">
        <v>2336</v>
      </c>
      <c r="K97" s="28" t="n">
        <v>0.45</v>
      </c>
      <c r="L97" s="30">
        <f>J97*(1-K97)</f>
        <v/>
      </c>
      <c r="M97" s="31" t="n">
        <v>385.05</v>
      </c>
      <c r="N97" s="32">
        <f>$J$5</f>
        <v/>
      </c>
      <c r="O97" s="33">
        <f>M97+N97</f>
        <v/>
      </c>
      <c r="P97" s="34" t="n">
        <v>0.47</v>
      </c>
      <c r="Q97" s="29">
        <f>J97*P97</f>
        <v/>
      </c>
      <c r="R97" s="35" t="n">
        <v>67</v>
      </c>
      <c r="S97" s="29">
        <f>J97*$J$8</f>
        <v/>
      </c>
      <c r="T97" s="35" t="n">
        <v>25</v>
      </c>
      <c r="U97" s="29">
        <f>J97*$J$4</f>
        <v/>
      </c>
      <c r="V97" s="29">
        <f>L97*$J$3</f>
        <v/>
      </c>
      <c r="W97" s="36" t="n">
        <v>0.9</v>
      </c>
      <c r="X97" s="35" t="n">
        <v>67</v>
      </c>
      <c r="Y97" s="29">
        <f>X97*(1-W97)</f>
        <v/>
      </c>
      <c r="Z97" s="37" t="n">
        <v>0.6</v>
      </c>
      <c r="AA97" s="29">
        <f>$J$6*$J$7*Z97</f>
        <v/>
      </c>
      <c r="AB97" s="33">
        <f>Z97*($J$9+$J$10)</f>
        <v/>
      </c>
      <c r="AC97" s="34" t="n">
        <v>0.07000000000000001</v>
      </c>
      <c r="AD97" s="29">
        <f>J97*AC97</f>
        <v/>
      </c>
      <c r="AE97" s="36" t="n">
        <v>0.08</v>
      </c>
      <c r="AF97" s="29">
        <f>J97*AE97</f>
        <v/>
      </c>
      <c r="AG97" s="29">
        <f>AD97+AF97</f>
        <v/>
      </c>
      <c r="AH97" s="38">
        <f>AG97/J97</f>
        <v/>
      </c>
      <c r="AI97" s="39">
        <f>J97-Q97-R97-S97-T97-U97-V97-Y97-AA97-AB97-O97-AN97-AO97</f>
        <v/>
      </c>
      <c r="AJ97" s="40">
        <f>AI97-AG97</f>
        <v/>
      </c>
      <c r="AK97" s="41">
        <f>AJ97/J97</f>
        <v/>
      </c>
      <c r="AL97" s="42">
        <f>AJ97/O97</f>
        <v/>
      </c>
      <c r="AM97" s="29">
        <f>(R97+T97+Y97+AA97+AB97+O97+AN97)/(1-(P97+$J$4+(1-K97)*$J$3+$J$8+$J$11+AC97+AE97))</f>
        <v/>
      </c>
      <c r="AN97" s="29">
        <f>$J$12</f>
        <v/>
      </c>
      <c r="AO97" s="29">
        <f>J97*$J$11</f>
        <v/>
      </c>
    </row>
    <row r="98" ht="28.5" customHeight="1" s="66">
      <c r="A98" s="50" t="n"/>
      <c r="B98" s="21" t="inlineStr">
        <is>
          <t>PETITFEE - Pink Vita Brightening Eye Patch [60ea] / Тканевые патчи для век увлажняющие</t>
        </is>
      </c>
      <c r="C98" s="22" t="inlineStr">
        <is>
          <t>ФБС</t>
        </is>
      </c>
      <c r="D98" s="58" t="n"/>
      <c r="E98" s="24" t="n"/>
      <c r="F98" s="29" t="n">
        <v>267</v>
      </c>
      <c r="G98" s="49" t="n"/>
      <c r="H98" s="49" t="n"/>
      <c r="I98" s="49" t="n"/>
      <c r="J98" s="49" t="n">
        <v>2783</v>
      </c>
      <c r="K98" s="28" t="n">
        <v>0.45</v>
      </c>
      <c r="L98" s="30">
        <f>J98*(1-K98)</f>
        <v/>
      </c>
      <c r="M98" s="31" t="n">
        <v>486.69</v>
      </c>
      <c r="N98" s="32">
        <f>$J$5</f>
        <v/>
      </c>
      <c r="O98" s="33">
        <f>M98+N98</f>
        <v/>
      </c>
      <c r="P98" s="34" t="n">
        <v>0.47</v>
      </c>
      <c r="Q98" s="29">
        <f>J98*P98</f>
        <v/>
      </c>
      <c r="R98" s="35" t="n">
        <v>67</v>
      </c>
      <c r="S98" s="29">
        <f>J98*$J$8</f>
        <v/>
      </c>
      <c r="T98" s="35" t="n">
        <v>25</v>
      </c>
      <c r="U98" s="29">
        <f>J98*$J$4</f>
        <v/>
      </c>
      <c r="V98" s="29">
        <f>L98*$J$3</f>
        <v/>
      </c>
      <c r="W98" s="36" t="n">
        <v>0.9</v>
      </c>
      <c r="X98" s="35" t="n">
        <v>67</v>
      </c>
      <c r="Y98" s="29">
        <f>X98*(1-W98)</f>
        <v/>
      </c>
      <c r="Z98" s="37" t="n">
        <v>0.93</v>
      </c>
      <c r="AA98" s="29">
        <f>$J$6*$J$7*Z98</f>
        <v/>
      </c>
      <c r="AB98" s="33">
        <f>Z98*($J$9+$J$10)</f>
        <v/>
      </c>
      <c r="AC98" s="34" t="n">
        <v>0.07000000000000001</v>
      </c>
      <c r="AD98" s="29">
        <f>J98*AC98</f>
        <v/>
      </c>
      <c r="AE98" s="36" t="n">
        <v>0.08</v>
      </c>
      <c r="AF98" s="29">
        <f>J98*AE98</f>
        <v/>
      </c>
      <c r="AG98" s="29">
        <f>AD98+AF98</f>
        <v/>
      </c>
      <c r="AH98" s="38">
        <f>AG98/J98</f>
        <v/>
      </c>
      <c r="AI98" s="39">
        <f>J98-Q98-R98-S98-T98-U98-V98-Y98-AA98-AB98-O98-AN98-AO98</f>
        <v/>
      </c>
      <c r="AJ98" s="40">
        <f>AI98-AG98</f>
        <v/>
      </c>
      <c r="AK98" s="41">
        <f>AJ98/J98</f>
        <v/>
      </c>
      <c r="AL98" s="42">
        <f>AJ98/O98</f>
        <v/>
      </c>
      <c r="AM98" s="29">
        <f>(R98+T98+Y98+AA98+AB98+O98+AN98)/(1-(P98+$J$4+(1-K98)*$J$3+$J$8+$J$11+AC98+AE98))</f>
        <v/>
      </c>
      <c r="AN98" s="29">
        <f>$J$12</f>
        <v/>
      </c>
      <c r="AO98" s="29">
        <f>J98*$J$11</f>
        <v/>
      </c>
    </row>
    <row r="99" ht="28.5" customHeight="1" s="66">
      <c r="A99" s="50" t="n"/>
      <c r="B99" s="21" t="inlineStr">
        <is>
          <t>PETITFEE - Black Pearl &amp; Gold Hydrogel Eye Patch [60ea] / Гидрогелевые патчи для глаз с черным жемчугом и золотом</t>
        </is>
      </c>
      <c r="C99" s="22" t="inlineStr">
        <is>
          <t>ФБС</t>
        </is>
      </c>
      <c r="D99" s="58" t="n"/>
      <c r="E99" s="24" t="n"/>
      <c r="F99" s="29" t="n">
        <v>909</v>
      </c>
      <c r="G99" s="49" t="n">
        <v>1780</v>
      </c>
      <c r="H99" s="49" t="n">
        <v>489</v>
      </c>
      <c r="I99" s="49" t="n">
        <v>16</v>
      </c>
      <c r="J99" s="49" t="n">
        <v>2347</v>
      </c>
      <c r="K99" s="28" t="n">
        <v>0.45</v>
      </c>
      <c r="L99" s="30">
        <f>J99*(1-K99)</f>
        <v/>
      </c>
      <c r="M99" s="31" t="n">
        <v>387.67</v>
      </c>
      <c r="N99" s="32">
        <f>$J$5</f>
        <v/>
      </c>
      <c r="O99" s="33">
        <f>M99+N99</f>
        <v/>
      </c>
      <c r="P99" s="34" t="n">
        <v>0.47</v>
      </c>
      <c r="Q99" s="29">
        <f>J99*P99</f>
        <v/>
      </c>
      <c r="R99" s="35" t="n">
        <v>67</v>
      </c>
      <c r="S99" s="29">
        <f>J99*$J$8</f>
        <v/>
      </c>
      <c r="T99" s="35" t="n">
        <v>25</v>
      </c>
      <c r="U99" s="29">
        <f>J99*$J$4</f>
        <v/>
      </c>
      <c r="V99" s="29">
        <f>L99*$J$3</f>
        <v/>
      </c>
      <c r="W99" s="36" t="n">
        <v>0.9</v>
      </c>
      <c r="X99" s="35" t="n">
        <v>67</v>
      </c>
      <c r="Y99" s="29">
        <f>X99*(1-W99)</f>
        <v/>
      </c>
      <c r="Z99" s="37" t="n">
        <v>0.6</v>
      </c>
      <c r="AA99" s="29">
        <f>$J$6*$J$7*Z99</f>
        <v/>
      </c>
      <c r="AB99" s="33">
        <f>Z99*($J$9+$J$10)</f>
        <v/>
      </c>
      <c r="AC99" s="34" t="n">
        <v>0.07000000000000001</v>
      </c>
      <c r="AD99" s="29">
        <f>J99*AC99</f>
        <v/>
      </c>
      <c r="AE99" s="36" t="n">
        <v>0.08</v>
      </c>
      <c r="AF99" s="29">
        <f>J99*AE99</f>
        <v/>
      </c>
      <c r="AG99" s="29">
        <f>AD99+AF99</f>
        <v/>
      </c>
      <c r="AH99" s="38">
        <f>AG99/J99</f>
        <v/>
      </c>
      <c r="AI99" s="39">
        <f>J99-Q99-R99-S99-T99-U99-V99-Y99-AA99-AB99-O99-AN99-AO99</f>
        <v/>
      </c>
      <c r="AJ99" s="40">
        <f>AI99-AG99</f>
        <v/>
      </c>
      <c r="AK99" s="41">
        <f>AJ99/J99</f>
        <v/>
      </c>
      <c r="AL99" s="42">
        <f>AJ99/O99</f>
        <v/>
      </c>
      <c r="AM99" s="29">
        <f>(R99+T99+Y99+AA99+AB99+O99+AN99)/(1-(P99+$J$4+(1-K99)*$J$3+$J$8+$J$11+AC99+AE99))</f>
        <v/>
      </c>
      <c r="AN99" s="29">
        <f>$J$12</f>
        <v/>
      </c>
      <c r="AO99" s="29">
        <f>J99*$J$11</f>
        <v/>
      </c>
    </row>
    <row r="100" ht="28.5" customHeight="1" s="66">
      <c r="A100" s="50" t="n"/>
      <c r="B100" s="21" t="inlineStr">
        <is>
          <t>PETITFEE - Agave Cooling Hydrogel Eye Patch [60ea] / Охлаждающие гидрогелевые патчи для глаз с экстрактом агавы</t>
        </is>
      </c>
      <c r="C100" s="22" t="inlineStr">
        <is>
          <t>ФБС</t>
        </is>
      </c>
      <c r="D100" s="58" t="n"/>
      <c r="E100" s="24" t="n"/>
      <c r="F100" s="29" t="n">
        <v>933</v>
      </c>
      <c r="G100" s="49" t="n">
        <v>1730</v>
      </c>
      <c r="H100" s="49" t="n">
        <v>568</v>
      </c>
      <c r="I100" s="49" t="n">
        <v>17</v>
      </c>
      <c r="J100" s="49" t="n">
        <v>2468</v>
      </c>
      <c r="K100" s="28" t="n">
        <v>0.45</v>
      </c>
      <c r="L100" s="30">
        <f>J100*(1-K100)</f>
        <v/>
      </c>
      <c r="M100" s="31" t="n">
        <v>415.46</v>
      </c>
      <c r="N100" s="32">
        <f>$J$5</f>
        <v/>
      </c>
      <c r="O100" s="33">
        <f>M100+N100</f>
        <v/>
      </c>
      <c r="P100" s="34" t="n">
        <v>0.47</v>
      </c>
      <c r="Q100" s="29">
        <f>J100*P100</f>
        <v/>
      </c>
      <c r="R100" s="35" t="n">
        <v>67</v>
      </c>
      <c r="S100" s="29">
        <f>J100*$J$8</f>
        <v/>
      </c>
      <c r="T100" s="35" t="n">
        <v>25</v>
      </c>
      <c r="U100" s="29">
        <f>J100*$J$4</f>
        <v/>
      </c>
      <c r="V100" s="29">
        <f>L100*$J$3</f>
        <v/>
      </c>
      <c r="W100" s="36" t="n">
        <v>0.9</v>
      </c>
      <c r="X100" s="35" t="n">
        <v>67</v>
      </c>
      <c r="Y100" s="29">
        <f>X100*(1-W100)</f>
        <v/>
      </c>
      <c r="Z100" s="37" t="n">
        <v>0.6</v>
      </c>
      <c r="AA100" s="29">
        <f>$J$6*$J$7*Z100</f>
        <v/>
      </c>
      <c r="AB100" s="33">
        <f>Z100*($J$9+$J$10)</f>
        <v/>
      </c>
      <c r="AC100" s="34" t="n">
        <v>0.07000000000000001</v>
      </c>
      <c r="AD100" s="29">
        <f>J100*AC100</f>
        <v/>
      </c>
      <c r="AE100" s="36" t="n">
        <v>0.08</v>
      </c>
      <c r="AF100" s="29">
        <f>J100*AE100</f>
        <v/>
      </c>
      <c r="AG100" s="29">
        <f>AD100+AF100</f>
        <v/>
      </c>
      <c r="AH100" s="38">
        <f>AG100/J100</f>
        <v/>
      </c>
      <c r="AI100" s="39">
        <f>J100-Q100-R100-S100-T100-U100-V100-Y100-AA100-AB100-O100-AN100-AO100</f>
        <v/>
      </c>
      <c r="AJ100" s="40">
        <f>AI100-AG100</f>
        <v/>
      </c>
      <c r="AK100" s="41">
        <f>AJ100/J100</f>
        <v/>
      </c>
      <c r="AL100" s="42">
        <f>AJ100/O100</f>
        <v/>
      </c>
      <c r="AM100" s="29">
        <f>(R100+T100+Y100+AA100+AB100+O100+AN100)/(1-(P100+$J$4+(1-K100)*$J$3+$J$8+$J$11+AC100+AE100))</f>
        <v/>
      </c>
      <c r="AN100" s="29">
        <f>$J$12</f>
        <v/>
      </c>
      <c r="AO100" s="29">
        <f>J100*$J$11</f>
        <v/>
      </c>
    </row>
    <row r="101" ht="28.5" customHeight="1" s="66">
      <c r="A101" s="50" t="n"/>
      <c r="B101" s="21" t="inlineStr">
        <is>
          <t>PETITFEE - Gold &amp; Snail Hydrogel Eye Patch [60ea] / Гидрогелевые патчи для глаз с золотом и улиткой</t>
        </is>
      </c>
      <c r="C101" s="22" t="inlineStr">
        <is>
          <t>ФБС</t>
        </is>
      </c>
      <c r="D101" s="58" t="n"/>
      <c r="E101" s="24" t="n"/>
      <c r="F101" s="29" t="n">
        <v>909</v>
      </c>
      <c r="G101" s="49" t="n">
        <v>1740</v>
      </c>
      <c r="H101" s="49" t="n">
        <v>150</v>
      </c>
      <c r="I101" s="49" t="n">
        <v>7</v>
      </c>
      <c r="J101" s="49" t="n">
        <v>2468</v>
      </c>
      <c r="K101" s="28" t="n">
        <v>0.45</v>
      </c>
      <c r="L101" s="30">
        <f>J101*(1-K101)</f>
        <v/>
      </c>
      <c r="M101" s="31" t="n">
        <v>415.46</v>
      </c>
      <c r="N101" s="32">
        <f>$J$5</f>
        <v/>
      </c>
      <c r="O101" s="33">
        <f>M101+N101</f>
        <v/>
      </c>
      <c r="P101" s="34" t="n">
        <v>0.47</v>
      </c>
      <c r="Q101" s="29">
        <f>J101*P101</f>
        <v/>
      </c>
      <c r="R101" s="35" t="n">
        <v>67</v>
      </c>
      <c r="S101" s="29">
        <f>J101*$J$8</f>
        <v/>
      </c>
      <c r="T101" s="35" t="n">
        <v>25</v>
      </c>
      <c r="U101" s="29">
        <f>J101*$J$4</f>
        <v/>
      </c>
      <c r="V101" s="29">
        <f>L101*$J$3</f>
        <v/>
      </c>
      <c r="W101" s="36" t="n">
        <v>0.9</v>
      </c>
      <c r="X101" s="35" t="n">
        <v>67</v>
      </c>
      <c r="Y101" s="29">
        <f>X101*(1-W101)</f>
        <v/>
      </c>
      <c r="Z101" s="37" t="n">
        <v>0.6</v>
      </c>
      <c r="AA101" s="29">
        <f>$J$6*$J$7*Z101</f>
        <v/>
      </c>
      <c r="AB101" s="33">
        <f>Z101*($J$9+$J$10)</f>
        <v/>
      </c>
      <c r="AC101" s="34" t="n">
        <v>0.07000000000000001</v>
      </c>
      <c r="AD101" s="29">
        <f>J101*AC101</f>
        <v/>
      </c>
      <c r="AE101" s="36" t="n">
        <v>0.08</v>
      </c>
      <c r="AF101" s="29">
        <f>J101*AE101</f>
        <v/>
      </c>
      <c r="AG101" s="29">
        <f>AD101+AF101</f>
        <v/>
      </c>
      <c r="AH101" s="38">
        <f>AG101/J101</f>
        <v/>
      </c>
      <c r="AI101" s="39">
        <f>J101-Q101-R101-S101-T101-U101-V101-Y101-AA101-AB101-O101-AN101-AO101</f>
        <v/>
      </c>
      <c r="AJ101" s="40">
        <f>AI101-AG101</f>
        <v/>
      </c>
      <c r="AK101" s="41">
        <f>AJ101/J101</f>
        <v/>
      </c>
      <c r="AL101" s="42">
        <f>AJ101/O101</f>
        <v/>
      </c>
      <c r="AM101" s="29">
        <f>(R101+T101+Y101+AA101+AB101+O101+AN101)/(1-(P101+$J$4+(1-K101)*$J$3+$J$8+$J$11+AC101+AE101))</f>
        <v/>
      </c>
      <c r="AN101" s="29">
        <f>$J$12</f>
        <v/>
      </c>
      <c r="AO101" s="29">
        <f>J101*$J$11</f>
        <v/>
      </c>
    </row>
    <row r="102" ht="28.5" customHeight="1" s="66">
      <c r="A102" s="50" t="n"/>
      <c r="B102" s="21" t="inlineStr">
        <is>
          <t>PETITFEE - Gold Hydrogel Eye Patch [60ea] / гидрогелевые патчи для глаз с золотом</t>
        </is>
      </c>
      <c r="C102" s="22" t="inlineStr">
        <is>
          <t>ФБС</t>
        </is>
      </c>
      <c r="D102" s="58" t="n"/>
      <c r="E102" s="24" t="n"/>
      <c r="F102" s="29" t="n">
        <v>700</v>
      </c>
      <c r="G102" s="49" t="n">
        <v>1930</v>
      </c>
      <c r="H102" s="49" t="n">
        <v>128</v>
      </c>
      <c r="I102" s="49" t="n">
        <v>2.2</v>
      </c>
      <c r="J102" s="49" t="n">
        <v>2468</v>
      </c>
      <c r="K102" s="28" t="n">
        <v>0.45</v>
      </c>
      <c r="L102" s="30">
        <f>J102*(1-K102)</f>
        <v/>
      </c>
      <c r="M102" s="31" t="n">
        <v>415.46</v>
      </c>
      <c r="N102" s="32">
        <f>$J$5</f>
        <v/>
      </c>
      <c r="O102" s="33">
        <f>M102+N102</f>
        <v/>
      </c>
      <c r="P102" s="34" t="n">
        <v>0.47</v>
      </c>
      <c r="Q102" s="29">
        <f>J102*P102</f>
        <v/>
      </c>
      <c r="R102" s="35" t="n">
        <v>67</v>
      </c>
      <c r="S102" s="29">
        <f>J102*$J$8</f>
        <v/>
      </c>
      <c r="T102" s="35" t="n">
        <v>25</v>
      </c>
      <c r="U102" s="29">
        <f>J102*$J$4</f>
        <v/>
      </c>
      <c r="V102" s="29">
        <f>L102*$J$3</f>
        <v/>
      </c>
      <c r="W102" s="36" t="n">
        <v>0.9</v>
      </c>
      <c r="X102" s="35" t="n">
        <v>67</v>
      </c>
      <c r="Y102" s="29">
        <f>X102*(1-W102)</f>
        <v/>
      </c>
      <c r="Z102" s="37" t="n">
        <v>0.6</v>
      </c>
      <c r="AA102" s="29">
        <f>$J$6*$J$7*Z102</f>
        <v/>
      </c>
      <c r="AB102" s="33">
        <f>Z102*($J$9+$J$10)</f>
        <v/>
      </c>
      <c r="AC102" s="34" t="n">
        <v>0.07000000000000001</v>
      </c>
      <c r="AD102" s="29">
        <f>J102*AC102</f>
        <v/>
      </c>
      <c r="AE102" s="36" t="n">
        <v>0.08</v>
      </c>
      <c r="AF102" s="29">
        <f>J102*AE102</f>
        <v/>
      </c>
      <c r="AG102" s="29">
        <f>AD102+AF102</f>
        <v/>
      </c>
      <c r="AH102" s="38">
        <f>AG102/J102</f>
        <v/>
      </c>
      <c r="AI102" s="39">
        <f>J102-Q102-R102-S102-T102-U102-V102-Y102-AA102-AB102-O102-AN102-AO102</f>
        <v/>
      </c>
      <c r="AJ102" s="40">
        <f>AI102-AG102</f>
        <v/>
      </c>
      <c r="AK102" s="41">
        <f>AJ102/J102</f>
        <v/>
      </c>
      <c r="AL102" s="42">
        <f>AJ102/O102</f>
        <v/>
      </c>
      <c r="AM102" s="29">
        <f>(R102+T102+Y102+AA102+AB102+O102+AN102)/(1-(P102+$J$4+(1-K102)*$J$3+$J$8+$J$11+AC102+AE102))</f>
        <v/>
      </c>
      <c r="AN102" s="29">
        <f>$J$12</f>
        <v/>
      </c>
      <c r="AO102" s="29">
        <f>J102*$J$11</f>
        <v/>
      </c>
    </row>
    <row r="103" ht="28.5" customHeight="1" s="66">
      <c r="A103" s="43" t="n"/>
      <c r="B103" s="44" t="inlineStr">
        <is>
          <t>PETITFEE - Black Pearl &amp; Gold Hydrogel Eye Patch [1 pairs]/ Гидрогелевые патчи для глаз с черным жемчугом и золотом 1 пара</t>
        </is>
      </c>
      <c r="C103" s="44" t="n"/>
      <c r="D103" s="45" t="n"/>
      <c r="E103" s="45" t="inlineStr">
        <is>
          <t>добавлено в расчет: цена под ROI 25%, объем оценочный</t>
        </is>
      </c>
      <c r="F103" s="29" t="n">
        <v>320</v>
      </c>
      <c r="G103" s="29" t="n"/>
      <c r="H103" s="29" t="n"/>
      <c r="I103" s="29" t="n"/>
      <c r="J103" s="29">
        <f>(1.25*O103+R103+T103+Y103+AA103+AB103+AN103)/(1-P103-$J$8-$J$4-(1-K103)*$J$3-$J$11-AC103-AE103)</f>
        <v/>
      </c>
      <c r="K103" s="46" t="n">
        <v>0.45</v>
      </c>
      <c r="L103" s="30">
        <f>J103*(1-K103)</f>
        <v/>
      </c>
      <c r="M103" s="32" t="n">
        <v>71.23999999999999</v>
      </c>
      <c r="N103" s="32">
        <f>$J$5</f>
        <v/>
      </c>
      <c r="O103" s="33">
        <f>M103+N103</f>
        <v/>
      </c>
      <c r="P103" s="47" t="n">
        <v>0.47</v>
      </c>
      <c r="Q103" s="29">
        <f>J103*P103</f>
        <v/>
      </c>
      <c r="R103" s="29" t="n">
        <v>56</v>
      </c>
      <c r="S103" s="29">
        <f>J103*$J$8</f>
        <v/>
      </c>
      <c r="T103" s="29" t="n">
        <v>25</v>
      </c>
      <c r="U103" s="29">
        <f>J103*$J$4</f>
        <v/>
      </c>
      <c r="V103" s="29">
        <f>L103*$J$3</f>
        <v/>
      </c>
      <c r="W103" s="41" t="n">
        <v>0.9</v>
      </c>
      <c r="X103" s="29" t="n">
        <v>56</v>
      </c>
      <c r="Y103" s="29">
        <f>X103*(1-W103)</f>
        <v/>
      </c>
      <c r="Z103" s="48" t="n">
        <v>0.05</v>
      </c>
      <c r="AA103" s="29">
        <f>$J$6*$J$7*Z103</f>
        <v/>
      </c>
      <c r="AB103" s="33">
        <f>Z103*($J$9+$J$10)</f>
        <v/>
      </c>
      <c r="AC103" s="47" t="n">
        <v>0.07000000000000001</v>
      </c>
      <c r="AD103" s="29">
        <f>J103*AC103</f>
        <v/>
      </c>
      <c r="AE103" s="41" t="n">
        <v>0.08</v>
      </c>
      <c r="AF103" s="29">
        <f>J103*AE103</f>
        <v/>
      </c>
      <c r="AG103" s="29">
        <f>AD103+AF103</f>
        <v/>
      </c>
      <c r="AH103" s="38">
        <f>AG103/J103</f>
        <v/>
      </c>
      <c r="AI103" s="39">
        <f>J103-Q103-R103-S103-T103-U103-V103-Y103-AA103-AB103-O103-AN103-AO103</f>
        <v/>
      </c>
      <c r="AJ103" s="29">
        <f>AI103-AG103</f>
        <v/>
      </c>
      <c r="AK103" s="41">
        <f>AJ103/J103</f>
        <v/>
      </c>
      <c r="AL103" s="41">
        <f>AJ103/O103</f>
        <v/>
      </c>
      <c r="AM103" s="29">
        <f>(R103+T103+Y103+AA103+AB103+O103+AN103)/(1-(P103+$J$4+(1-K103)*$J$3+$J$8+$J$11+AC103+AE103))</f>
        <v/>
      </c>
      <c r="AN103" s="29">
        <f>$J$12</f>
        <v/>
      </c>
      <c r="AO103" s="29">
        <f>J103*$J$11</f>
        <v/>
      </c>
    </row>
    <row r="104" ht="28.5" customHeight="1" s="66">
      <c r="A104" s="43" t="n"/>
      <c r="B104" s="44" t="inlineStr">
        <is>
          <t>PETITFEE - Gold Hydrogel Eye Patch [1 Pairs] / гидрогелевые патчи для глаз с золотом 1 пара</t>
        </is>
      </c>
      <c r="C104" s="44" t="n"/>
      <c r="D104" s="45" t="n"/>
      <c r="E104" s="45" t="inlineStr">
        <is>
          <t>добавлено в расчет: цена под ROI 25%, объем оценочный</t>
        </is>
      </c>
      <c r="F104" s="29" t="n">
        <v>428</v>
      </c>
      <c r="G104" s="29" t="n"/>
      <c r="H104" s="29" t="n"/>
      <c r="I104" s="29" t="n"/>
      <c r="J104" s="29">
        <f>(1.25*O104+R104+T104+Y104+AA104+AB104+AN104)/(1-P104-$J$8-$J$4-(1-K104)*$J$3-$J$11-AC104-AE104)</f>
        <v/>
      </c>
      <c r="K104" s="46" t="n">
        <v>0.45</v>
      </c>
      <c r="L104" s="30">
        <f>J104*(1-K104)</f>
        <v/>
      </c>
      <c r="M104" s="32" t="n">
        <v>71.23999999999999</v>
      </c>
      <c r="N104" s="32">
        <f>$J$5</f>
        <v/>
      </c>
      <c r="O104" s="33">
        <f>M104+N104</f>
        <v/>
      </c>
      <c r="P104" s="47" t="n">
        <v>0.47</v>
      </c>
      <c r="Q104" s="29">
        <f>J104*P104</f>
        <v/>
      </c>
      <c r="R104" s="29" t="n">
        <v>56</v>
      </c>
      <c r="S104" s="29">
        <f>J104*$J$8</f>
        <v/>
      </c>
      <c r="T104" s="29" t="n">
        <v>25</v>
      </c>
      <c r="U104" s="29">
        <f>J104*$J$4</f>
        <v/>
      </c>
      <c r="V104" s="29">
        <f>L104*$J$3</f>
        <v/>
      </c>
      <c r="W104" s="41" t="n">
        <v>0.9</v>
      </c>
      <c r="X104" s="29" t="n">
        <v>56</v>
      </c>
      <c r="Y104" s="29">
        <f>X104*(1-W104)</f>
        <v/>
      </c>
      <c r="Z104" s="48" t="n">
        <v>0.05</v>
      </c>
      <c r="AA104" s="29">
        <f>$J$6*$J$7*Z104</f>
        <v/>
      </c>
      <c r="AB104" s="33">
        <f>Z104*($J$9+$J$10)</f>
        <v/>
      </c>
      <c r="AC104" s="47" t="n">
        <v>0.07000000000000001</v>
      </c>
      <c r="AD104" s="29">
        <f>J104*AC104</f>
        <v/>
      </c>
      <c r="AE104" s="41" t="n">
        <v>0.08</v>
      </c>
      <c r="AF104" s="29">
        <f>J104*AE104</f>
        <v/>
      </c>
      <c r="AG104" s="29">
        <f>AD104+AF104</f>
        <v/>
      </c>
      <c r="AH104" s="38">
        <f>AG104/J104</f>
        <v/>
      </c>
      <c r="AI104" s="39">
        <f>J104-Q104-R104-S104-T104-U104-V104-Y104-AA104-AB104-O104-AN104-AO104</f>
        <v/>
      </c>
      <c r="AJ104" s="29">
        <f>AI104-AG104</f>
        <v/>
      </c>
      <c r="AK104" s="41">
        <f>AJ104/J104</f>
        <v/>
      </c>
      <c r="AL104" s="41">
        <f>AJ104/O104</f>
        <v/>
      </c>
      <c r="AM104" s="29">
        <f>(R104+T104+Y104+AA104+AB104+O104+AN104)/(1-(P104+$J$4+(1-K104)*$J$3+$J$8+$J$11+AC104+AE104))</f>
        <v/>
      </c>
      <c r="AN104" s="29">
        <f>$J$12</f>
        <v/>
      </c>
      <c r="AO104" s="29">
        <f>J104*$J$11</f>
        <v/>
      </c>
    </row>
    <row r="105" ht="14.25" customHeight="1" s="66">
      <c r="A105" s="17" t="n"/>
      <c r="B105" s="18" t="inlineStr">
        <is>
          <t>Косметика/PETITFEE/PETITFEE-FACEMASK</t>
        </is>
      </c>
      <c r="C105" s="18" t="n"/>
      <c r="D105" s="19" t="n"/>
      <c r="E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  <c r="AA105" s="19" t="n"/>
      <c r="AB105" s="19" t="n"/>
      <c r="AC105" s="19" t="n"/>
      <c r="AD105" s="19" t="n"/>
      <c r="AE105" s="19" t="n"/>
      <c r="AF105" s="19" t="n"/>
      <c r="AG105" s="19" t="n"/>
      <c r="AH105" s="19" t="n"/>
      <c r="AI105" s="19" t="n"/>
      <c r="AJ105" s="19" t="n"/>
      <c r="AK105" s="19" t="n"/>
      <c r="AL105" s="19" t="n"/>
      <c r="AM105" s="19" t="n"/>
      <c r="AN105" s="19" t="n"/>
      <c r="AO105" s="19" t="n"/>
    </row>
    <row r="106" ht="28.5" customHeight="1" s="66">
      <c r="A106" s="50" t="n"/>
      <c r="B106" s="21" t="inlineStr">
        <is>
          <t>PETITFEE - Agave Cooling Hydrogel Face Mask [5pcs] / Охлаждающая гидрогелевая маска для лица с экстрактом агавы</t>
        </is>
      </c>
      <c r="C106" s="44" t="inlineStr">
        <is>
          <t>ФБС</t>
        </is>
      </c>
      <c r="D106" s="58" t="n"/>
      <c r="E106" s="24" t="n"/>
      <c r="F106" s="29" t="n">
        <v>951</v>
      </c>
      <c r="G106" s="49" t="n">
        <v>2480</v>
      </c>
      <c r="H106" s="49" t="n">
        <v>293</v>
      </c>
      <c r="I106" s="49" t="n">
        <v>21</v>
      </c>
      <c r="J106" s="49" t="n">
        <v>2805</v>
      </c>
      <c r="K106" s="28" t="n">
        <v>0.45</v>
      </c>
      <c r="L106" s="30">
        <f>J106*(1-K106)</f>
        <v/>
      </c>
      <c r="M106" s="31" t="n">
        <v>486.41</v>
      </c>
      <c r="N106" s="32">
        <f>$J$5</f>
        <v/>
      </c>
      <c r="O106" s="33">
        <f>M106+N106</f>
        <v/>
      </c>
      <c r="P106" s="34" t="n">
        <v>0.47</v>
      </c>
      <c r="Q106" s="29">
        <f>J106*P106</f>
        <v/>
      </c>
      <c r="R106" s="35" t="n">
        <v>72</v>
      </c>
      <c r="S106" s="29">
        <f>J106*$J$8</f>
        <v/>
      </c>
      <c r="T106" s="35" t="n">
        <v>25</v>
      </c>
      <c r="U106" s="29">
        <f>J106*$J$4</f>
        <v/>
      </c>
      <c r="V106" s="29">
        <f>L106*$J$3</f>
        <v/>
      </c>
      <c r="W106" s="36" t="n">
        <v>0.9</v>
      </c>
      <c r="X106" s="35" t="n">
        <v>72</v>
      </c>
      <c r="Y106" s="29">
        <f>X106*(1-W106)</f>
        <v/>
      </c>
      <c r="Z106" s="37" t="n">
        <v>1.1</v>
      </c>
      <c r="AA106" s="29">
        <f>$J$6*$J$7*Z106</f>
        <v/>
      </c>
      <c r="AB106" s="33">
        <f>Z106*($J$9+$J$10)</f>
        <v/>
      </c>
      <c r="AC106" s="34" t="n">
        <v>0.07000000000000001</v>
      </c>
      <c r="AD106" s="29">
        <f>J106*AC106</f>
        <v/>
      </c>
      <c r="AE106" s="36" t="n">
        <v>0.08</v>
      </c>
      <c r="AF106" s="29">
        <f>J106*AE106</f>
        <v/>
      </c>
      <c r="AG106" s="29">
        <f>AD106+AF106</f>
        <v/>
      </c>
      <c r="AH106" s="38">
        <f>AG106/J106</f>
        <v/>
      </c>
      <c r="AI106" s="39">
        <f>J106-Q106-R106-S106-T106-U106-V106-Y106-AA106-AB106-O106-AN106-AO106</f>
        <v/>
      </c>
      <c r="AJ106" s="40">
        <f>AI106-AG106</f>
        <v/>
      </c>
      <c r="AK106" s="41">
        <f>AJ106/J106</f>
        <v/>
      </c>
      <c r="AL106" s="42">
        <f>AJ106/O106</f>
        <v/>
      </c>
      <c r="AM106" s="29">
        <f>(R106+T106+Y106+AA106+AB106+O106+AN106)/(1-(P106+$J$4+(1-K106)*$J$3+$J$8+$J$11+AC106+AE106))</f>
        <v/>
      </c>
      <c r="AN106" s="29">
        <f>$J$12</f>
        <v/>
      </c>
      <c r="AO106" s="29">
        <f>J106*$J$11</f>
        <v/>
      </c>
    </row>
    <row r="107" ht="28.5" customHeight="1" s="66">
      <c r="A107" s="50" t="n"/>
      <c r="B107" s="21" t="inlineStr">
        <is>
          <t>PETITFEE - Gold Hydrogel Mask Pack [5pcs] / Гидрогелевая маска для лица с золотом</t>
        </is>
      </c>
      <c r="C107" s="22" t="inlineStr">
        <is>
          <t>ФБС</t>
        </is>
      </c>
      <c r="D107" s="58" t="n"/>
      <c r="E107" s="24" t="n"/>
      <c r="F107" s="29" t="n">
        <v>734</v>
      </c>
      <c r="G107" s="49" t="n">
        <v>2570</v>
      </c>
      <c r="H107" s="49" t="n">
        <v>121</v>
      </c>
      <c r="I107" s="49" t="n">
        <v>12</v>
      </c>
      <c r="J107" s="49" t="n">
        <v>2895</v>
      </c>
      <c r="K107" s="28" t="n">
        <v>0.45</v>
      </c>
      <c r="L107" s="30">
        <f>J107*(1-K107)</f>
        <v/>
      </c>
      <c r="M107" s="31" t="n">
        <v>507.16</v>
      </c>
      <c r="N107" s="32">
        <f>$J$5</f>
        <v/>
      </c>
      <c r="O107" s="33">
        <f>M107+N107</f>
        <v/>
      </c>
      <c r="P107" s="34" t="n">
        <v>0.47</v>
      </c>
      <c r="Q107" s="29">
        <f>J107*P107</f>
        <v/>
      </c>
      <c r="R107" s="35" t="n">
        <v>72</v>
      </c>
      <c r="S107" s="29">
        <f>J107*$J$8</f>
        <v/>
      </c>
      <c r="T107" s="35" t="n">
        <v>25</v>
      </c>
      <c r="U107" s="29">
        <f>J107*$J$4</f>
        <v/>
      </c>
      <c r="V107" s="29">
        <f>L107*$J$3</f>
        <v/>
      </c>
      <c r="W107" s="36" t="n">
        <v>0.9</v>
      </c>
      <c r="X107" s="35" t="n">
        <v>72</v>
      </c>
      <c r="Y107" s="29">
        <f>X107*(1-W107)</f>
        <v/>
      </c>
      <c r="Z107" s="37" t="n">
        <v>1.1</v>
      </c>
      <c r="AA107" s="29">
        <f>$J$6*$J$7*Z107</f>
        <v/>
      </c>
      <c r="AB107" s="33">
        <f>Z107*($J$9+$J$10)</f>
        <v/>
      </c>
      <c r="AC107" s="34" t="n">
        <v>0.07000000000000001</v>
      </c>
      <c r="AD107" s="29">
        <f>J107*AC107</f>
        <v/>
      </c>
      <c r="AE107" s="36" t="n">
        <v>0.08</v>
      </c>
      <c r="AF107" s="29">
        <f>J107*AE107</f>
        <v/>
      </c>
      <c r="AG107" s="29">
        <f>AD107+AF107</f>
        <v/>
      </c>
      <c r="AH107" s="38">
        <f>AG107/J107</f>
        <v/>
      </c>
      <c r="AI107" s="39">
        <f>J107-Q107-R107-S107-T107-U107-V107-Y107-AA107-AB107-O107-AN107-AO107</f>
        <v/>
      </c>
      <c r="AJ107" s="40">
        <f>AI107-AG107</f>
        <v/>
      </c>
      <c r="AK107" s="41">
        <f>AJ107/J107</f>
        <v/>
      </c>
      <c r="AL107" s="42">
        <f>AJ107/O107</f>
        <v/>
      </c>
      <c r="AM107" s="29">
        <f>(R107+T107+Y107+AA107+AB107+O107+AN107)/(1-(P107+$J$4+(1-K107)*$J$3+$J$8+$J$11+AC107+AE107))</f>
        <v/>
      </c>
      <c r="AN107" s="29">
        <f>$J$12</f>
        <v/>
      </c>
      <c r="AO107" s="29">
        <f>J107*$J$11</f>
        <v/>
      </c>
    </row>
    <row r="108" ht="28.5" customHeight="1" s="66">
      <c r="A108" s="50" t="n"/>
      <c r="B108" s="21" t="inlineStr">
        <is>
          <t>PETITFEE - Cacao Energizing Hydrogel Mask Pack [5pcs] / Тонизирующая гидрогелевая маска для лица с экстрактом какао</t>
        </is>
      </c>
      <c r="C108" s="22" t="inlineStr">
        <is>
          <t>ФБС</t>
        </is>
      </c>
      <c r="D108" s="58" t="n"/>
      <c r="E108" s="24" t="n"/>
      <c r="F108" s="29" t="n">
        <v>619</v>
      </c>
      <c r="G108" s="49" t="n">
        <v>2680</v>
      </c>
      <c r="H108" s="49" t="n">
        <v>38</v>
      </c>
      <c r="I108" s="49" t="n">
        <v>9.699999999999999</v>
      </c>
      <c r="J108" s="49" t="n">
        <v>2850</v>
      </c>
      <c r="K108" s="28" t="n">
        <v>0.45</v>
      </c>
      <c r="L108" s="30">
        <f>J108*(1-K108)</f>
        <v/>
      </c>
      <c r="M108" s="31" t="n">
        <v>496.86</v>
      </c>
      <c r="N108" s="32">
        <f>$J$5</f>
        <v/>
      </c>
      <c r="O108" s="33">
        <f>M108+N108</f>
        <v/>
      </c>
      <c r="P108" s="34" t="n">
        <v>0.47</v>
      </c>
      <c r="Q108" s="29">
        <f>J108*P108</f>
        <v/>
      </c>
      <c r="R108" s="35" t="n">
        <v>72</v>
      </c>
      <c r="S108" s="29">
        <f>J108*$J$8</f>
        <v/>
      </c>
      <c r="T108" s="35" t="n">
        <v>25</v>
      </c>
      <c r="U108" s="29">
        <f>J108*$J$4</f>
        <v/>
      </c>
      <c r="V108" s="29">
        <f>L108*$J$3</f>
        <v/>
      </c>
      <c r="W108" s="36" t="n">
        <v>0.9</v>
      </c>
      <c r="X108" s="35" t="n">
        <v>72</v>
      </c>
      <c r="Y108" s="29">
        <f>X108*(1-W108)</f>
        <v/>
      </c>
      <c r="Z108" s="37" t="n">
        <v>1.1</v>
      </c>
      <c r="AA108" s="29">
        <f>$J$6*$J$7*Z108</f>
        <v/>
      </c>
      <c r="AB108" s="33">
        <f>Z108*($J$9+$J$10)</f>
        <v/>
      </c>
      <c r="AC108" s="34" t="n">
        <v>0.07000000000000001</v>
      </c>
      <c r="AD108" s="29">
        <f>J108*AC108</f>
        <v/>
      </c>
      <c r="AE108" s="36" t="n">
        <v>0.08</v>
      </c>
      <c r="AF108" s="29">
        <f>J108*AE108</f>
        <v/>
      </c>
      <c r="AG108" s="29">
        <f>AD108+AF108</f>
        <v/>
      </c>
      <c r="AH108" s="38">
        <f>AG108/J108</f>
        <v/>
      </c>
      <c r="AI108" s="39">
        <f>J108-Q108-R108-S108-T108-U108-V108-Y108-AA108-AB108-O108-AN108-AO108</f>
        <v/>
      </c>
      <c r="AJ108" s="40">
        <f>AI108-AG108</f>
        <v/>
      </c>
      <c r="AK108" s="41">
        <f>AJ108/J108</f>
        <v/>
      </c>
      <c r="AL108" s="42">
        <f>AJ108/O108</f>
        <v/>
      </c>
      <c r="AM108" s="29">
        <f>(R108+T108+Y108+AA108+AB108+O108+AN108)/(1-(P108+$J$4+(1-K108)*$J$3+$J$8+$J$11+AC108+AE108))</f>
        <v/>
      </c>
      <c r="AN108" s="29">
        <f>$J$12</f>
        <v/>
      </c>
      <c r="AO108" s="29">
        <f>J108*$J$11</f>
        <v/>
      </c>
    </row>
    <row r="109" ht="28.5" customHeight="1" s="66">
      <c r="A109" s="50" t="n"/>
      <c r="B109" s="21" t="inlineStr">
        <is>
          <t>PETITFEE - Artichoke Soothing Hydrogel Face Mask [5pcs] / Смягчающая гидрогелевая маска для лица с экстрактом артишока</t>
        </is>
      </c>
      <c r="C109" s="22" t="inlineStr">
        <is>
          <t>ФБС</t>
        </is>
      </c>
      <c r="D109" s="58" t="n"/>
      <c r="E109" s="24" t="n"/>
      <c r="F109" s="29" t="n">
        <v>542</v>
      </c>
      <c r="G109" s="49" t="n">
        <v>2420</v>
      </c>
      <c r="H109" s="49" t="n">
        <v>409</v>
      </c>
      <c r="I109" s="49" t="n">
        <v>23</v>
      </c>
      <c r="J109" s="49" t="n">
        <v>2858</v>
      </c>
      <c r="K109" s="28" t="n">
        <v>0.45</v>
      </c>
      <c r="L109" s="30">
        <f>J109*(1-K109)</f>
        <v/>
      </c>
      <c r="M109" s="31" t="n">
        <v>498.54</v>
      </c>
      <c r="N109" s="32">
        <f>$J$5</f>
        <v/>
      </c>
      <c r="O109" s="33">
        <f>M109+N109</f>
        <v/>
      </c>
      <c r="P109" s="34" t="n">
        <v>0.47</v>
      </c>
      <c r="Q109" s="29">
        <f>J109*P109</f>
        <v/>
      </c>
      <c r="R109" s="35" t="n">
        <v>72</v>
      </c>
      <c r="S109" s="29">
        <f>J109*$J$8</f>
        <v/>
      </c>
      <c r="T109" s="35" t="n">
        <v>25</v>
      </c>
      <c r="U109" s="29">
        <f>J109*$J$4</f>
        <v/>
      </c>
      <c r="V109" s="29">
        <f>L109*$J$3</f>
        <v/>
      </c>
      <c r="W109" s="36" t="n">
        <v>0.9</v>
      </c>
      <c r="X109" s="35" t="n">
        <v>72</v>
      </c>
      <c r="Y109" s="29">
        <f>X109*(1-W109)</f>
        <v/>
      </c>
      <c r="Z109" s="37" t="n">
        <v>1.1</v>
      </c>
      <c r="AA109" s="29">
        <f>$J$6*$J$7*Z109</f>
        <v/>
      </c>
      <c r="AB109" s="33">
        <f>Z109*($J$9+$J$10)</f>
        <v/>
      </c>
      <c r="AC109" s="34" t="n">
        <v>0.07000000000000001</v>
      </c>
      <c r="AD109" s="29">
        <f>J109*AC109</f>
        <v/>
      </c>
      <c r="AE109" s="36" t="n">
        <v>0.08</v>
      </c>
      <c r="AF109" s="29">
        <f>J109*AE109</f>
        <v/>
      </c>
      <c r="AG109" s="29">
        <f>AD109+AF109</f>
        <v/>
      </c>
      <c r="AH109" s="38">
        <f>AG109/J109</f>
        <v/>
      </c>
      <c r="AI109" s="39">
        <f>J109-Q109-R109-S109-T109-U109-V109-Y109-AA109-AB109-O109-AN109-AO109</f>
        <v/>
      </c>
      <c r="AJ109" s="40">
        <f>AI109-AG109</f>
        <v/>
      </c>
      <c r="AK109" s="41">
        <f>AJ109/J109</f>
        <v/>
      </c>
      <c r="AL109" s="42">
        <f>AJ109/O109</f>
        <v/>
      </c>
      <c r="AM109" s="29">
        <f>(R109+T109+Y109+AA109+AB109+O109+AN109)/(1-(P109+$J$4+(1-K109)*$J$3+$J$8+$J$11+AC109+AE109))</f>
        <v/>
      </c>
      <c r="AN109" s="29">
        <f>$J$12</f>
        <v/>
      </c>
      <c r="AO109" s="29">
        <f>J109*$J$11</f>
        <v/>
      </c>
    </row>
    <row r="110" ht="28.5" customHeight="1" s="66">
      <c r="A110" s="50" t="n"/>
      <c r="B110" s="21" t="inlineStr">
        <is>
          <t>PETITFEE - Gold &amp; Snail Hydrogel Mask Pack [5pcs] / Гидрогелевая маска для лица с золотом и экстрактом улитки</t>
        </is>
      </c>
      <c r="C110" s="44" t="inlineStr">
        <is>
          <t>ФБС</t>
        </is>
      </c>
      <c r="D110" s="58" t="n"/>
      <c r="E110" s="24" t="n"/>
      <c r="F110" s="29" t="n">
        <v>453</v>
      </c>
      <c r="G110" s="49" t="n">
        <v>2280</v>
      </c>
      <c r="H110" s="49" t="n">
        <v>19</v>
      </c>
      <c r="I110" s="49" t="n">
        <v>8</v>
      </c>
      <c r="J110" s="49" t="n">
        <v>2769</v>
      </c>
      <c r="K110" s="28" t="n">
        <v>0.45</v>
      </c>
      <c r="L110" s="30">
        <f>J110*(1-K110)</f>
        <v/>
      </c>
      <c r="M110" s="31" t="n">
        <v>478.17</v>
      </c>
      <c r="N110" s="32">
        <f>$J$5</f>
        <v/>
      </c>
      <c r="O110" s="33">
        <f>M110+N110</f>
        <v/>
      </c>
      <c r="P110" s="34" t="n">
        <v>0.47</v>
      </c>
      <c r="Q110" s="29">
        <f>J110*P110</f>
        <v/>
      </c>
      <c r="R110" s="35" t="n">
        <v>72</v>
      </c>
      <c r="S110" s="29">
        <f>J110*$J$8</f>
        <v/>
      </c>
      <c r="T110" s="35" t="n">
        <v>25</v>
      </c>
      <c r="U110" s="29">
        <f>J110*$J$4</f>
        <v/>
      </c>
      <c r="V110" s="29">
        <f>L110*$J$3</f>
        <v/>
      </c>
      <c r="W110" s="36" t="n">
        <v>0.9</v>
      </c>
      <c r="X110" s="35" t="n">
        <v>72</v>
      </c>
      <c r="Y110" s="29">
        <f>X110*(1-W110)</f>
        <v/>
      </c>
      <c r="Z110" s="37" t="n">
        <v>1.1</v>
      </c>
      <c r="AA110" s="29">
        <f>$J$6*$J$7*Z110</f>
        <v/>
      </c>
      <c r="AB110" s="33">
        <f>Z110*($J$9+$J$10)</f>
        <v/>
      </c>
      <c r="AC110" s="34" t="n">
        <v>0.07000000000000001</v>
      </c>
      <c r="AD110" s="29">
        <f>J110*AC110</f>
        <v/>
      </c>
      <c r="AE110" s="36" t="n">
        <v>0.08</v>
      </c>
      <c r="AF110" s="29">
        <f>J110*AE110</f>
        <v/>
      </c>
      <c r="AG110" s="29">
        <f>AD110+AF110</f>
        <v/>
      </c>
      <c r="AH110" s="38">
        <f>AG110/J110</f>
        <v/>
      </c>
      <c r="AI110" s="39">
        <f>J110-Q110-R110-S110-T110-U110-V110-Y110-AA110-AB110-O110-AN110-AO110</f>
        <v/>
      </c>
      <c r="AJ110" s="40">
        <f>AI110-AG110</f>
        <v/>
      </c>
      <c r="AK110" s="41">
        <f>AJ110/J110</f>
        <v/>
      </c>
      <c r="AL110" s="42">
        <f>AJ110/O110</f>
        <v/>
      </c>
      <c r="AM110" s="29">
        <f>(R110+T110+Y110+AA110+AB110+O110+AN110)/(1-(P110+$J$4+(1-K110)*$J$3+$J$8+$J$11+AC110+AE110))</f>
        <v/>
      </c>
      <c r="AN110" s="29">
        <f>$J$12</f>
        <v/>
      </c>
      <c r="AO110" s="29">
        <f>J110*$J$11</f>
        <v/>
      </c>
    </row>
    <row r="111" ht="28.5" customHeight="1" s="66">
      <c r="A111" s="50" t="n"/>
      <c r="B111" s="21" t="inlineStr">
        <is>
          <t>PETITFEE - Black Pearl &amp; Gold Hydrogel Mask Pack [5pcs] / Гидрогелевая маска для лица с черным жемчугом и золотом</t>
        </is>
      </c>
      <c r="C111" s="22" t="inlineStr">
        <is>
          <t>ФБС</t>
        </is>
      </c>
      <c r="D111" s="58" t="n"/>
      <c r="E111" s="24" t="n"/>
      <c r="F111" s="29" t="n">
        <v>543</v>
      </c>
      <c r="G111" s="49" t="n">
        <v>2225</v>
      </c>
      <c r="H111" s="49" t="n">
        <v>156</v>
      </c>
      <c r="I111" s="49" t="n">
        <v>23</v>
      </c>
      <c r="J111" s="49" t="n">
        <v>2769</v>
      </c>
      <c r="K111" s="28" t="n">
        <v>0.45</v>
      </c>
      <c r="L111" s="30">
        <f>J111*(1-K111)</f>
        <v/>
      </c>
      <c r="M111" s="31" t="n">
        <v>478.05</v>
      </c>
      <c r="N111" s="32">
        <f>$J$5</f>
        <v/>
      </c>
      <c r="O111" s="33">
        <f>M111+N111</f>
        <v/>
      </c>
      <c r="P111" s="34" t="n">
        <v>0.47</v>
      </c>
      <c r="Q111" s="29">
        <f>J111*P111</f>
        <v/>
      </c>
      <c r="R111" s="35" t="n">
        <v>72</v>
      </c>
      <c r="S111" s="29">
        <f>J111*$J$8</f>
        <v/>
      </c>
      <c r="T111" s="35" t="n">
        <v>25</v>
      </c>
      <c r="U111" s="29">
        <f>J111*$J$4</f>
        <v/>
      </c>
      <c r="V111" s="29">
        <f>L111*$J$3</f>
        <v/>
      </c>
      <c r="W111" s="36" t="n">
        <v>0.9</v>
      </c>
      <c r="X111" s="35" t="n">
        <v>72</v>
      </c>
      <c r="Y111" s="29">
        <f>X111*(1-W111)</f>
        <v/>
      </c>
      <c r="Z111" s="37" t="n">
        <v>1.1</v>
      </c>
      <c r="AA111" s="29">
        <f>$J$6*$J$7*Z111</f>
        <v/>
      </c>
      <c r="AB111" s="33">
        <f>Z111*($J$9+$J$10)</f>
        <v/>
      </c>
      <c r="AC111" s="34" t="n">
        <v>0.07000000000000001</v>
      </c>
      <c r="AD111" s="29">
        <f>J111*AC111</f>
        <v/>
      </c>
      <c r="AE111" s="36" t="n">
        <v>0.08</v>
      </c>
      <c r="AF111" s="29">
        <f>J111*AE111</f>
        <v/>
      </c>
      <c r="AG111" s="29">
        <f>AD111+AF111</f>
        <v/>
      </c>
      <c r="AH111" s="38">
        <f>AG111/J111</f>
        <v/>
      </c>
      <c r="AI111" s="39">
        <f>J111-Q111-R111-S111-T111-U111-V111-Y111-AA111-AB111-O111-AN111-AO111</f>
        <v/>
      </c>
      <c r="AJ111" s="40">
        <f>AI111-AG111</f>
        <v/>
      </c>
      <c r="AK111" s="41">
        <f>AJ111/J111</f>
        <v/>
      </c>
      <c r="AL111" s="42">
        <f>AJ111/O111</f>
        <v/>
      </c>
      <c r="AM111" s="29">
        <f>(R111+T111+Y111+AA111+AB111+O111+AN111)/(1-(P111+$J$4+(1-K111)*$J$3+$J$8+$J$11+AC111+AE111))</f>
        <v/>
      </c>
      <c r="AN111" s="29">
        <f>$J$12</f>
        <v/>
      </c>
      <c r="AO111" s="29">
        <f>J111*$J$11</f>
        <v/>
      </c>
    </row>
    <row r="112" ht="14.25" customHeight="1" s="66">
      <c r="A112" s="17" t="n"/>
      <c r="B112" s="18" t="inlineStr">
        <is>
          <t>Косметика/ROUND LAB</t>
        </is>
      </c>
      <c r="C112" s="18" t="n"/>
      <c r="D112" s="19" t="n"/>
      <c r="E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  <c r="AA112" s="19" t="n"/>
      <c r="AB112" s="19" t="n"/>
      <c r="AC112" s="19" t="n"/>
      <c r="AD112" s="19" t="n"/>
      <c r="AE112" s="19" t="n"/>
      <c r="AF112" s="19" t="n"/>
      <c r="AG112" s="19" t="n"/>
      <c r="AH112" s="19" t="n"/>
      <c r="AI112" s="19" t="n"/>
      <c r="AJ112" s="19" t="n"/>
      <c r="AK112" s="19" t="n"/>
      <c r="AL112" s="19" t="n"/>
      <c r="AM112" s="19" t="n"/>
      <c r="AN112" s="19" t="n"/>
      <c r="AO112" s="19" t="n"/>
    </row>
    <row r="113" ht="14.25" customHeight="1" s="66">
      <c r="A113" s="50" t="n"/>
      <c r="B113" s="21" t="inlineStr">
        <is>
          <t>ROUND LAB 1025 DOKDO CLEANSER_150ml</t>
        </is>
      </c>
      <c r="C113" s="21" t="n"/>
      <c r="D113" s="58" t="n"/>
      <c r="E113" s="24" t="n"/>
      <c r="F113" s="29" t="n">
        <v>7158</v>
      </c>
      <c r="G113" s="49" t="n">
        <v>2335</v>
      </c>
      <c r="H113" s="49" t="n">
        <v>4000</v>
      </c>
      <c r="I113" s="49" t="n">
        <v>3</v>
      </c>
      <c r="J113" s="49">
        <f>(1.25*O113+R113+T113+Y113+AA113+AB113+AN113)/(1-P113-$J$8-$J$4-(1-K113)*$J$3-$J$11-AC113-AE113)</f>
        <v/>
      </c>
      <c r="K113" s="28" t="n">
        <v>0.45</v>
      </c>
      <c r="L113" s="30">
        <f>J113*(1-K113)</f>
        <v/>
      </c>
      <c r="M113" s="31" t="n">
        <v>463.19</v>
      </c>
      <c r="N113" s="32">
        <f>$J$5</f>
        <v/>
      </c>
      <c r="O113" s="33">
        <f>M113+N113</f>
        <v/>
      </c>
      <c r="P113" s="34" t="n">
        <v>0.47</v>
      </c>
      <c r="Q113" s="29">
        <f>J113*P113</f>
        <v/>
      </c>
      <c r="R113" s="35" t="n">
        <v>74</v>
      </c>
      <c r="S113" s="29">
        <f>J113*$J$8</f>
        <v/>
      </c>
      <c r="T113" s="35" t="n">
        <v>25</v>
      </c>
      <c r="U113" s="29">
        <f>J113*$J$4</f>
        <v/>
      </c>
      <c r="V113" s="29">
        <f>L113*$J$3</f>
        <v/>
      </c>
      <c r="W113" s="36" t="n">
        <v>0.9</v>
      </c>
      <c r="X113" s="35" t="n">
        <v>74</v>
      </c>
      <c r="Y113" s="29">
        <f>X113*(1-W113)</f>
        <v/>
      </c>
      <c r="Z113" s="37" t="n">
        <v>1.28</v>
      </c>
      <c r="AA113" s="29">
        <f>$J$6*$J$7*Z113</f>
        <v/>
      </c>
      <c r="AB113" s="33">
        <f>Z113*($J$9+$J$10)</f>
        <v/>
      </c>
      <c r="AC113" s="34" t="n">
        <v>0.07000000000000001</v>
      </c>
      <c r="AD113" s="29">
        <f>J113*AC113</f>
        <v/>
      </c>
      <c r="AE113" s="36" t="n">
        <v>0.08</v>
      </c>
      <c r="AF113" s="29">
        <f>J113*AE113</f>
        <v/>
      </c>
      <c r="AG113" s="29">
        <f>AD113+AF113</f>
        <v/>
      </c>
      <c r="AH113" s="38">
        <f>AG113/J113</f>
        <v/>
      </c>
      <c r="AI113" s="39">
        <f>J113-Q113-R113-S113-T113-U113-V113-Y113-AA113-AB113-O113-AN113-AO113</f>
        <v/>
      </c>
      <c r="AJ113" s="40">
        <f>AI113-AG113</f>
        <v/>
      </c>
      <c r="AK113" s="41">
        <f>AJ113/J113</f>
        <v/>
      </c>
      <c r="AL113" s="42">
        <f>AJ113/O113</f>
        <v/>
      </c>
      <c r="AM113" s="29">
        <f>(R113+T113+Y113+AA113+AB113+O113+AN113)/(1-(P113+$J$4+(1-K113)*$J$3+$J$8+$J$11+AC113+AE113))</f>
        <v/>
      </c>
      <c r="AN113" s="29">
        <f>$J$12</f>
        <v/>
      </c>
      <c r="AO113" s="29">
        <f>J113*$J$11</f>
        <v/>
      </c>
    </row>
    <row r="114" ht="28.5" customHeight="1" s="66">
      <c r="A114" s="43" t="n"/>
      <c r="B114" s="44" t="inlineStr">
        <is>
          <t>ROUND LAB BIRCH JUICE MOISTURIZING CREAM_80ml -Увлажняющий крем с березовым соком</t>
        </is>
      </c>
      <c r="C114" s="44" t="inlineStr">
        <is>
          <t>ФБС</t>
        </is>
      </c>
      <c r="D114" s="45" t="n"/>
      <c r="E114" s="45" t="inlineStr">
        <is>
          <t>добавлено в расчет: цена под ROI 25%, объем оценочный</t>
        </is>
      </c>
      <c r="F114" s="29" t="n">
        <v>260</v>
      </c>
      <c r="G114" s="29" t="n"/>
      <c r="H114" s="29" t="n"/>
      <c r="I114" s="29" t="n"/>
      <c r="J114" s="29">
        <f>(1.25*O114+R114+T114+Y114+AA114+AB114+AN114)/(1-P114-$J$8-$J$4-(1-K114)*$J$3-$J$11-AC114-AE114)</f>
        <v/>
      </c>
      <c r="K114" s="46" t="n">
        <v>0.45</v>
      </c>
      <c r="L114" s="30">
        <f>J114*(1-K114)</f>
        <v/>
      </c>
      <c r="M114" s="32" t="n">
        <v>1092.96</v>
      </c>
      <c r="N114" s="32">
        <f>$J$5</f>
        <v/>
      </c>
      <c r="O114" s="33">
        <f>M114+N114</f>
        <v/>
      </c>
      <c r="P114" s="47" t="n">
        <v>0.47</v>
      </c>
      <c r="Q114" s="29">
        <f>J114*P114</f>
        <v/>
      </c>
      <c r="R114" s="29" t="n">
        <v>63</v>
      </c>
      <c r="S114" s="29">
        <f>J114*$J$8</f>
        <v/>
      </c>
      <c r="T114" s="29" t="n">
        <v>25</v>
      </c>
      <c r="U114" s="29">
        <f>J114*$J$4</f>
        <v/>
      </c>
      <c r="V114" s="29">
        <f>L114*$J$3</f>
        <v/>
      </c>
      <c r="W114" s="41" t="n">
        <v>0.9</v>
      </c>
      <c r="X114" s="29" t="n">
        <v>63</v>
      </c>
      <c r="Y114" s="29">
        <f>X114*(1-W114)</f>
        <v/>
      </c>
      <c r="Z114" s="48" t="n">
        <v>0.4</v>
      </c>
      <c r="AA114" s="29">
        <f>$J$6*$J$7*Z114</f>
        <v/>
      </c>
      <c r="AB114" s="33">
        <f>Z114*($J$9+$J$10)</f>
        <v/>
      </c>
      <c r="AC114" s="47" t="n">
        <v>0.07000000000000001</v>
      </c>
      <c r="AD114" s="29">
        <f>J114*AC114</f>
        <v/>
      </c>
      <c r="AE114" s="41" t="n">
        <v>0.08</v>
      </c>
      <c r="AF114" s="29">
        <f>J114*AE114</f>
        <v/>
      </c>
      <c r="AG114" s="29">
        <f>AD114+AF114</f>
        <v/>
      </c>
      <c r="AH114" s="38">
        <f>AG114/J114</f>
        <v/>
      </c>
      <c r="AI114" s="39">
        <f>J114-Q114-R114-S114-T114-U114-V114-Y114-AA114-AB114-O114-AN114-AO114</f>
        <v/>
      </c>
      <c r="AJ114" s="29">
        <f>AI114-AG114</f>
        <v/>
      </c>
      <c r="AK114" s="41">
        <f>AJ114/J114</f>
        <v/>
      </c>
      <c r="AL114" s="41">
        <f>AJ114/O114</f>
        <v/>
      </c>
      <c r="AM114" s="29">
        <f>(R114+T114+Y114+AA114+AB114+O114+AN114)/(1-(P114+$J$4+(1-K114)*$J$3+$J$8+$J$11+AC114+AE114))</f>
        <v/>
      </c>
      <c r="AN114" s="29">
        <f>$J$12</f>
        <v/>
      </c>
      <c r="AO114" s="29">
        <f>J114*$J$11</f>
        <v/>
      </c>
    </row>
    <row r="115" ht="28.5" customHeight="1" s="66">
      <c r="A115" s="50" t="n"/>
      <c r="B115" s="21" t="inlineStr">
        <is>
          <t>ROUND LAB MUGWORT CALMING CLEANSER_150ml - Очищающая пенка для умывания лица от прыщей и акне</t>
        </is>
      </c>
      <c r="C115" s="21" t="n"/>
      <c r="D115" s="58" t="n"/>
      <c r="E115" s="24" t="n"/>
      <c r="F115" s="29" t="n">
        <v>1422</v>
      </c>
      <c r="G115" s="49" t="n"/>
      <c r="H115" s="49" t="n"/>
      <c r="I115" s="49" t="n"/>
      <c r="J115" s="49">
        <f>(1.25*O115+R115+T115+Y115+AA115+AB115+AN115)/(1-P115-$J$8-$J$4-(1-K115)*$J$3-$J$11-AC115-AE115)</f>
        <v/>
      </c>
      <c r="K115" s="28" t="n">
        <v>0.45</v>
      </c>
      <c r="L115" s="30">
        <f>J115*(1-K115)</f>
        <v/>
      </c>
      <c r="M115" s="31" t="n">
        <v>512.3200000000001</v>
      </c>
      <c r="N115" s="32">
        <f>$J$5</f>
        <v/>
      </c>
      <c r="O115" s="33">
        <f>M115+N115</f>
        <v/>
      </c>
      <c r="P115" s="34" t="n">
        <v>0.47</v>
      </c>
      <c r="Q115" s="29">
        <f>J115*P115</f>
        <v/>
      </c>
      <c r="R115" s="35" t="n">
        <v>67</v>
      </c>
      <c r="S115" s="29">
        <f>J115*$J$8</f>
        <v/>
      </c>
      <c r="T115" s="35" t="n">
        <v>25</v>
      </c>
      <c r="U115" s="29">
        <f>J115*$J$4</f>
        <v/>
      </c>
      <c r="V115" s="29">
        <f>L115*$J$3</f>
        <v/>
      </c>
      <c r="W115" s="36" t="n">
        <v>0.9</v>
      </c>
      <c r="X115" s="35" t="n">
        <v>67</v>
      </c>
      <c r="Y115" s="29">
        <f>X115*(1-W115)</f>
        <v/>
      </c>
      <c r="Z115" s="37" t="n">
        <v>0.8</v>
      </c>
      <c r="AA115" s="29">
        <f>$J$6*$J$7*Z115</f>
        <v/>
      </c>
      <c r="AB115" s="33">
        <f>Z115*($J$9+$J$10)</f>
        <v/>
      </c>
      <c r="AC115" s="34" t="n">
        <v>0.07000000000000001</v>
      </c>
      <c r="AD115" s="29">
        <f>J115*AC115</f>
        <v/>
      </c>
      <c r="AE115" s="36" t="n">
        <v>0.08</v>
      </c>
      <c r="AF115" s="29">
        <f>J115*AE115</f>
        <v/>
      </c>
      <c r="AG115" s="29">
        <f>AD115+AF115</f>
        <v/>
      </c>
      <c r="AH115" s="38">
        <f>AG115/J115</f>
        <v/>
      </c>
      <c r="AI115" s="39">
        <f>J115-Q115-R115-S115-T115-U115-V115-Y115-AA115-AB115-O115-AN115-AO115</f>
        <v/>
      </c>
      <c r="AJ115" s="40">
        <f>AI115-AG115</f>
        <v/>
      </c>
      <c r="AK115" s="41">
        <f>AJ115/J115</f>
        <v/>
      </c>
      <c r="AL115" s="42">
        <f>AJ115/O115</f>
        <v/>
      </c>
      <c r="AM115" s="29">
        <f>(R115+T115+Y115+AA115+AB115+O115+AN115)/(1-(P115+$J$4+(1-K115)*$J$3+$J$8+$J$11+AC115+AE115))</f>
        <v/>
      </c>
      <c r="AN115" s="29">
        <f>$J$12</f>
        <v/>
      </c>
      <c r="AO115" s="29">
        <f>J115*$J$11</f>
        <v/>
      </c>
    </row>
    <row r="116" ht="28.5" customHeight="1" s="66">
      <c r="A116" s="43" t="n"/>
      <c r="B116" s="44" t="inlineStr">
        <is>
          <t>ROUND LAB SOYBEAN PANTHENOL CREAM_80ml - Крем для лица с чёрной соей и пантенолом успокаивающий</t>
        </is>
      </c>
      <c r="C116" s="44" t="inlineStr">
        <is>
          <t>ФБС</t>
        </is>
      </c>
      <c r="D116" s="45" t="n"/>
      <c r="E116" s="45" t="inlineStr">
        <is>
          <t>добавлено в расчет: цена под ROI 25%, объем оценочный</t>
        </is>
      </c>
      <c r="F116" s="29" t="n">
        <v>150</v>
      </c>
      <c r="G116" s="29" t="n"/>
      <c r="H116" s="29" t="n"/>
      <c r="I116" s="29" t="n"/>
      <c r="J116" s="29">
        <f>(1.25*O116+R116+T116+Y116+AA116+AB116+AN116)/(1-P116-$J$8-$J$4-(1-K116)*$J$3-$J$11-AC116-AE116)</f>
        <v/>
      </c>
      <c r="K116" s="46" t="n">
        <v>0.45</v>
      </c>
      <c r="L116" s="30">
        <f>J116*(1-K116)</f>
        <v/>
      </c>
      <c r="M116" s="32" t="n">
        <v>1161.41</v>
      </c>
      <c r="N116" s="32">
        <f>$J$5</f>
        <v/>
      </c>
      <c r="O116" s="33">
        <f>M116+N116</f>
        <v/>
      </c>
      <c r="P116" s="47" t="n">
        <v>0.47</v>
      </c>
      <c r="Q116" s="29">
        <f>J116*P116</f>
        <v/>
      </c>
      <c r="R116" s="29" t="n">
        <v>63</v>
      </c>
      <c r="S116" s="29">
        <f>J116*$J$8</f>
        <v/>
      </c>
      <c r="T116" s="29" t="n">
        <v>25</v>
      </c>
      <c r="U116" s="29">
        <f>J116*$J$4</f>
        <v/>
      </c>
      <c r="V116" s="29">
        <f>L116*$J$3</f>
        <v/>
      </c>
      <c r="W116" s="41" t="n">
        <v>0.9</v>
      </c>
      <c r="X116" s="29" t="n">
        <v>63</v>
      </c>
      <c r="Y116" s="29">
        <f>X116*(1-W116)</f>
        <v/>
      </c>
      <c r="Z116" s="48" t="n">
        <v>0.4</v>
      </c>
      <c r="AA116" s="29">
        <f>$J$6*$J$7*Z116</f>
        <v/>
      </c>
      <c r="AB116" s="33">
        <f>Z116*($J$9+$J$10)</f>
        <v/>
      </c>
      <c r="AC116" s="47" t="n">
        <v>0.07000000000000001</v>
      </c>
      <c r="AD116" s="29">
        <f>J116*AC116</f>
        <v/>
      </c>
      <c r="AE116" s="41" t="n">
        <v>0.08</v>
      </c>
      <c r="AF116" s="29">
        <f>J116*AE116</f>
        <v/>
      </c>
      <c r="AG116" s="29">
        <f>AD116+AF116</f>
        <v/>
      </c>
      <c r="AH116" s="38">
        <f>AG116/J116</f>
        <v/>
      </c>
      <c r="AI116" s="39">
        <f>J116-Q116-R116-S116-T116-U116-V116-Y116-AA116-AB116-O116-AN116-AO116</f>
        <v/>
      </c>
      <c r="AJ116" s="29">
        <f>AI116-AG116</f>
        <v/>
      </c>
      <c r="AK116" s="41">
        <f>AJ116/J116</f>
        <v/>
      </c>
      <c r="AL116" s="41">
        <f>AJ116/O116</f>
        <v/>
      </c>
      <c r="AM116" s="29">
        <f>(R116+T116+Y116+AA116+AB116+O116+AN116)/(1-(P116+$J$4+(1-K116)*$J$3+$J$8+$J$11+AC116+AE116))</f>
        <v/>
      </c>
      <c r="AN116" s="29">
        <f>$J$12</f>
        <v/>
      </c>
      <c r="AO116" s="29">
        <f>J116*$J$11</f>
        <v/>
      </c>
    </row>
    <row r="117" ht="28.5" customHeight="1" s="66">
      <c r="A117" s="43" t="n"/>
      <c r="B117" s="44" t="inlineStr">
        <is>
          <t>ROUND LAB PINE CALMING CICA AMPOULE_30ml - Сыворотка для жирной кожи лица увлажняющая с центеллой</t>
        </is>
      </c>
      <c r="C117" s="44" t="inlineStr">
        <is>
          <t>ФБС</t>
        </is>
      </c>
      <c r="D117" s="45" t="n"/>
      <c r="E117" s="45" t="inlineStr">
        <is>
          <t>добавлено в расчет: цена под ROI 25%, объем оценочный</t>
        </is>
      </c>
      <c r="F117" s="29" t="n">
        <v>37</v>
      </c>
      <c r="G117" s="29" t="n"/>
      <c r="H117" s="29" t="n"/>
      <c r="I117" s="29" t="n"/>
      <c r="J117" s="29">
        <f>(1.25*O117+R117+T117+Y117+AA117+AB117+AN117)/(1-P117-$J$8-$J$4-(1-K117)*$J$3-$J$11-AC117-AE117)</f>
        <v/>
      </c>
      <c r="K117" s="46" t="n">
        <v>0.45</v>
      </c>
      <c r="L117" s="30">
        <f>J117*(1-K117)</f>
        <v/>
      </c>
      <c r="M117" s="32" t="n">
        <v>819.72</v>
      </c>
      <c r="N117" s="32">
        <f>$J$5</f>
        <v/>
      </c>
      <c r="O117" s="33">
        <f>M117+N117</f>
        <v/>
      </c>
      <c r="P117" s="47" t="n">
        <v>0.47</v>
      </c>
      <c r="Q117" s="29">
        <f>J117*P117</f>
        <v/>
      </c>
      <c r="R117" s="29" t="n">
        <v>63</v>
      </c>
      <c r="S117" s="29">
        <f>J117*$J$8</f>
        <v/>
      </c>
      <c r="T117" s="29" t="n">
        <v>25</v>
      </c>
      <c r="U117" s="29">
        <f>J117*$J$4</f>
        <v/>
      </c>
      <c r="V117" s="29">
        <f>L117*$J$3</f>
        <v/>
      </c>
      <c r="W117" s="41" t="n">
        <v>0.9</v>
      </c>
      <c r="X117" s="29" t="n">
        <v>63</v>
      </c>
      <c r="Y117" s="29">
        <f>X117*(1-W117)</f>
        <v/>
      </c>
      <c r="Z117" s="48" t="n">
        <v>0.38</v>
      </c>
      <c r="AA117" s="29">
        <f>$J$6*$J$7*Z117</f>
        <v/>
      </c>
      <c r="AB117" s="33">
        <f>Z117*($J$9+$J$10)</f>
        <v/>
      </c>
      <c r="AC117" s="47" t="n">
        <v>0.07000000000000001</v>
      </c>
      <c r="AD117" s="29">
        <f>J117*AC117</f>
        <v/>
      </c>
      <c r="AE117" s="41" t="n">
        <v>0.08</v>
      </c>
      <c r="AF117" s="29">
        <f>J117*AE117</f>
        <v/>
      </c>
      <c r="AG117" s="29">
        <f>AD117+AF117</f>
        <v/>
      </c>
      <c r="AH117" s="38">
        <f>AG117/J117</f>
        <v/>
      </c>
      <c r="AI117" s="39">
        <f>J117-Q117-R117-S117-T117-U117-V117-Y117-AA117-AB117-O117-AN117-AO117</f>
        <v/>
      </c>
      <c r="AJ117" s="29">
        <f>AI117-AG117</f>
        <v/>
      </c>
      <c r="AK117" s="41">
        <f>AJ117/J117</f>
        <v/>
      </c>
      <c r="AL117" s="41">
        <f>AJ117/O117</f>
        <v/>
      </c>
      <c r="AM117" s="29">
        <f>(R117+T117+Y117+AA117+AB117+O117+AN117)/(1-(P117+$J$4+(1-K117)*$J$3+$J$8+$J$11+AC117+AE117))</f>
        <v/>
      </c>
      <c r="AN117" s="29">
        <f>$J$12</f>
        <v/>
      </c>
      <c r="AO117" s="29">
        <f>J117*$J$11</f>
        <v/>
      </c>
    </row>
    <row r="118" ht="14.25" customHeight="1" s="66">
      <c r="A118" s="50" t="n"/>
      <c r="B118" s="21" t="inlineStr">
        <is>
          <t>ROUND LAB 1025 DOKDO TONER_200ml</t>
        </is>
      </c>
      <c r="C118" s="50" t="n"/>
      <c r="D118" s="57" t="n"/>
      <c r="E118" s="4" t="n"/>
      <c r="F118" s="29" t="n">
        <v>998</v>
      </c>
      <c r="G118" s="49" t="n">
        <v>3400</v>
      </c>
      <c r="H118" s="49" t="n">
        <v>260</v>
      </c>
      <c r="I118" s="49" t="n">
        <v>2</v>
      </c>
      <c r="J118" s="49">
        <f>(1.25*O118+R118+T118+Y118+AA118+AB118+AN118)/(1-P118-$J$8-$J$4-(1-K118)*$J$3-$J$11-AC118-AE118)</f>
        <v/>
      </c>
      <c r="K118" s="28" t="n">
        <v>0.45</v>
      </c>
      <c r="L118" s="30">
        <f>J118*(1-K118)</f>
        <v/>
      </c>
      <c r="M118" s="31" t="n">
        <v>463.19</v>
      </c>
      <c r="N118" s="32">
        <f>$J$5</f>
        <v/>
      </c>
      <c r="O118" s="33">
        <f>M118+N118</f>
        <v/>
      </c>
      <c r="P118" s="34" t="n">
        <v>0.47</v>
      </c>
      <c r="Q118" s="29">
        <f>J118*P118</f>
        <v/>
      </c>
      <c r="R118" s="35" t="n">
        <v>74</v>
      </c>
      <c r="S118" s="29">
        <f>J118*$J$8</f>
        <v/>
      </c>
      <c r="T118" s="35" t="n">
        <v>25</v>
      </c>
      <c r="U118" s="29">
        <f>J118*$J$4</f>
        <v/>
      </c>
      <c r="V118" s="29">
        <f>L118*$J$3</f>
        <v/>
      </c>
      <c r="W118" s="36" t="n">
        <v>0.9</v>
      </c>
      <c r="X118" s="35" t="n">
        <v>74</v>
      </c>
      <c r="Y118" s="29">
        <f>X118*(1-W118)</f>
        <v/>
      </c>
      <c r="Z118" s="37" t="n">
        <v>1.28</v>
      </c>
      <c r="AA118" s="29">
        <f>$J$6*$J$7*Z118</f>
        <v/>
      </c>
      <c r="AB118" s="33">
        <f>Z118*($J$9+$J$10)</f>
        <v/>
      </c>
      <c r="AC118" s="34" t="n">
        <v>0.07000000000000001</v>
      </c>
      <c r="AD118" s="29">
        <f>J118*AC118</f>
        <v/>
      </c>
      <c r="AE118" s="36" t="n">
        <v>0.08</v>
      </c>
      <c r="AF118" s="29">
        <f>J118*AE118</f>
        <v/>
      </c>
      <c r="AG118" s="29">
        <f>AD118+AF118</f>
        <v/>
      </c>
      <c r="AH118" s="38">
        <f>AG118/J118</f>
        <v/>
      </c>
      <c r="AI118" s="39">
        <f>J118-Q118-R118-S118-T118-U118-V118-Y118-AA118-AB118-O118-AN118-AO118</f>
        <v/>
      </c>
      <c r="AJ118" s="40">
        <f>AI118-AG118</f>
        <v/>
      </c>
      <c r="AK118" s="41">
        <f>AJ118/J118</f>
        <v/>
      </c>
      <c r="AL118" s="42">
        <f>AJ118/O118</f>
        <v/>
      </c>
      <c r="AM118" s="29">
        <f>(R118+T118+Y118+AA118+AB118+O118+AN118)/(1-(P118+$J$4+(1-K118)*$J$3+$J$8+$J$11+AC118+AE118))</f>
        <v/>
      </c>
      <c r="AN118" s="29">
        <f>$J$12</f>
        <v/>
      </c>
      <c r="AO118" s="29">
        <f>J118*$J$11</f>
        <v/>
      </c>
    </row>
    <row r="119" ht="14.25" customHeight="1" s="66">
      <c r="A119" s="17" t="n"/>
      <c r="B119" s="18" t="inlineStr">
        <is>
          <t>Косметика/SKIN1004</t>
        </is>
      </c>
      <c r="C119" s="18" t="n"/>
      <c r="D119" s="19" t="n"/>
      <c r="E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  <c r="AA119" s="19" t="n"/>
      <c r="AB119" s="19" t="n"/>
      <c r="AC119" s="19" t="n"/>
      <c r="AD119" s="19" t="n"/>
      <c r="AE119" s="19" t="n"/>
      <c r="AF119" s="19" t="n"/>
      <c r="AG119" s="19" t="n"/>
      <c r="AH119" s="19" t="n"/>
      <c r="AI119" s="19" t="n"/>
      <c r="AJ119" s="19" t="n"/>
      <c r="AK119" s="19" t="n"/>
      <c r="AL119" s="19" t="n"/>
      <c r="AM119" s="19" t="n"/>
      <c r="AN119" s="19" t="n"/>
      <c r="AO119" s="19" t="n"/>
    </row>
    <row r="120" ht="28.5" customHeight="1" s="66">
      <c r="A120" s="43" t="n"/>
      <c r="B120" s="44" t="inlineStr">
        <is>
          <t>SKIN1004 - Madagascar Centella Ampoule [30ml] / Сыворотка для лица успокаивающая из экстракта центеллы.</t>
        </is>
      </c>
      <c r="C120" s="44" t="inlineStr">
        <is>
          <t>ФБС</t>
        </is>
      </c>
      <c r="D120" s="45" t="n"/>
      <c r="E120" s="45" t="inlineStr">
        <is>
          <t>добавлено в расчет: цена под ROI 25%, объем оценочный</t>
        </is>
      </c>
      <c r="F120" s="29" t="n">
        <v>30</v>
      </c>
      <c r="G120" s="29" t="n"/>
      <c r="H120" s="29" t="n"/>
      <c r="I120" s="29" t="n"/>
      <c r="J120" s="29">
        <f>(1.25*O120+R120+T120+Y120+AA120+AB120+AN120)/(1-P120-$J$8-$J$4-(1-K120)*$J$3-$J$11-AC120-AE120)</f>
        <v/>
      </c>
      <c r="K120" s="46" t="n">
        <v>0.45</v>
      </c>
      <c r="L120" s="30">
        <f>J120*(1-K120)</f>
        <v/>
      </c>
      <c r="M120" s="32" t="n">
        <v>367.89</v>
      </c>
      <c r="N120" s="32">
        <f>$J$5</f>
        <v/>
      </c>
      <c r="O120" s="33">
        <f>M120+N120</f>
        <v/>
      </c>
      <c r="P120" s="47" t="n">
        <v>0.47</v>
      </c>
      <c r="Q120" s="29">
        <f>J120*P120</f>
        <v/>
      </c>
      <c r="R120" s="29" t="n">
        <v>63</v>
      </c>
      <c r="S120" s="29">
        <f>J120*$J$8</f>
        <v/>
      </c>
      <c r="T120" s="29" t="n">
        <v>25</v>
      </c>
      <c r="U120" s="29">
        <f>J120*$J$4</f>
        <v/>
      </c>
      <c r="V120" s="29">
        <f>L120*$J$3</f>
        <v/>
      </c>
      <c r="W120" s="41" t="n">
        <v>0.9</v>
      </c>
      <c r="X120" s="29" t="n">
        <v>63</v>
      </c>
      <c r="Y120" s="29">
        <f>X120*(1-W120)</f>
        <v/>
      </c>
      <c r="Z120" s="48" t="n">
        <v>0.38</v>
      </c>
      <c r="AA120" s="29">
        <f>$J$6*$J$7*Z120</f>
        <v/>
      </c>
      <c r="AB120" s="33">
        <f>Z120*($J$9+$J$10)</f>
        <v/>
      </c>
      <c r="AC120" s="47" t="n">
        <v>0.07000000000000001</v>
      </c>
      <c r="AD120" s="29">
        <f>J120*AC120</f>
        <v/>
      </c>
      <c r="AE120" s="41" t="n">
        <v>0.08</v>
      </c>
      <c r="AF120" s="29">
        <f>J120*AE120</f>
        <v/>
      </c>
      <c r="AG120" s="29">
        <f>AD120+AF120</f>
        <v/>
      </c>
      <c r="AH120" s="38">
        <f>AG120/J120</f>
        <v/>
      </c>
      <c r="AI120" s="39">
        <f>J120-Q120-R120-S120-T120-U120-V120-Y120-AA120-AB120-O120-AN120-AO120</f>
        <v/>
      </c>
      <c r="AJ120" s="29">
        <f>AI120-AG120</f>
        <v/>
      </c>
      <c r="AK120" s="41">
        <f>AJ120/J120</f>
        <v/>
      </c>
      <c r="AL120" s="41">
        <f>AJ120/O120</f>
        <v/>
      </c>
      <c r="AM120" s="29">
        <f>(R120+T120+Y120+AA120+AB120+O120+AN120)/(1-(P120+$J$4+(1-K120)*$J$3+$J$8+$J$11+AC120+AE120))</f>
        <v/>
      </c>
      <c r="AN120" s="29">
        <f>$J$12</f>
        <v/>
      </c>
      <c r="AO120" s="29">
        <f>J120*$J$11</f>
        <v/>
      </c>
    </row>
    <row r="121" ht="28.5" customHeight="1" s="66">
      <c r="A121" s="43" t="n"/>
      <c r="B121" s="44" t="inlineStr">
        <is>
          <t>SKIN1004 - Madagascar Centella Hyalu-Cica Sleeping Pack [30ml] / Увлажняющая гиалуроновая ночная маска для сухой кожи</t>
        </is>
      </c>
      <c r="C121" s="44" t="inlineStr">
        <is>
          <t>ФБС</t>
        </is>
      </c>
      <c r="D121" s="45" t="n"/>
      <c r="E121" s="45" t="inlineStr">
        <is>
          <t>добавлено в расчет: цена под ROI 25%, объем оценочный</t>
        </is>
      </c>
      <c r="F121" s="29" t="n">
        <v>22</v>
      </c>
      <c r="G121" s="29" t="n"/>
      <c r="H121" s="29" t="n"/>
      <c r="I121" s="29" t="n"/>
      <c r="J121" s="29">
        <f>(1.25*O121+R121+T121+Y121+AA121+AB121+AN121)/(1-P121-$J$8-$J$4-(1-K121)*$J$3-$J$11-AC121-AE121)</f>
        <v/>
      </c>
      <c r="K121" s="46" t="n">
        <v>0.45</v>
      </c>
      <c r="L121" s="30">
        <f>J121*(1-K121)</f>
        <v/>
      </c>
      <c r="M121" s="32" t="n">
        <v>294.15</v>
      </c>
      <c r="N121" s="32">
        <f>$J$5</f>
        <v/>
      </c>
      <c r="O121" s="33">
        <f>M121+N121</f>
        <v/>
      </c>
      <c r="P121" s="47" t="n">
        <v>0.47</v>
      </c>
      <c r="Q121" s="29">
        <f>J121*P121</f>
        <v/>
      </c>
      <c r="R121" s="29" t="n">
        <v>63</v>
      </c>
      <c r="S121" s="29">
        <f>J121*$J$8</f>
        <v/>
      </c>
      <c r="T121" s="29" t="n">
        <v>25</v>
      </c>
      <c r="U121" s="29">
        <f>J121*$J$4</f>
        <v/>
      </c>
      <c r="V121" s="29">
        <f>L121*$J$3</f>
        <v/>
      </c>
      <c r="W121" s="41" t="n">
        <v>0.9</v>
      </c>
      <c r="X121" s="29" t="n">
        <v>63</v>
      </c>
      <c r="Y121" s="29">
        <f>X121*(1-W121)</f>
        <v/>
      </c>
      <c r="Z121" s="48" t="n">
        <v>0.38</v>
      </c>
      <c r="AA121" s="29">
        <f>$J$6*$J$7*Z121</f>
        <v/>
      </c>
      <c r="AB121" s="33">
        <f>Z121*($J$9+$J$10)</f>
        <v/>
      </c>
      <c r="AC121" s="47" t="n">
        <v>0.07000000000000001</v>
      </c>
      <c r="AD121" s="29">
        <f>J121*AC121</f>
        <v/>
      </c>
      <c r="AE121" s="41" t="n">
        <v>0.08</v>
      </c>
      <c r="AF121" s="29">
        <f>J121*AE121</f>
        <v/>
      </c>
      <c r="AG121" s="29">
        <f>AD121+AF121</f>
        <v/>
      </c>
      <c r="AH121" s="38">
        <f>AG121/J121</f>
        <v/>
      </c>
      <c r="AI121" s="39">
        <f>J121-Q121-R121-S121-T121-U121-V121-Y121-AA121-AB121-O121-AN121-AO121</f>
        <v/>
      </c>
      <c r="AJ121" s="29">
        <f>AI121-AG121</f>
        <v/>
      </c>
      <c r="AK121" s="41">
        <f>AJ121/J121</f>
        <v/>
      </c>
      <c r="AL121" s="41">
        <f>AJ121/O121</f>
        <v/>
      </c>
      <c r="AM121" s="29">
        <f>(R121+T121+Y121+AA121+AB121+O121+AN121)/(1-(P121+$J$4+(1-K121)*$J$3+$J$8+$J$11+AC121+AE121))</f>
        <v/>
      </c>
      <c r="AN121" s="29">
        <f>$J$12</f>
        <v/>
      </c>
      <c r="AO121" s="29">
        <f>J121*$J$11</f>
        <v/>
      </c>
    </row>
    <row r="122" ht="14.25" customHeight="1" s="66">
      <c r="A122" s="17" t="n"/>
      <c r="B122" s="18" t="inlineStr">
        <is>
          <t>Косметика/SOMEBYMI</t>
        </is>
      </c>
      <c r="C122" s="18" t="n"/>
      <c r="D122" s="19" t="n"/>
      <c r="E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  <c r="AA122" s="19" t="n"/>
      <c r="AB122" s="19" t="n"/>
      <c r="AC122" s="19" t="n"/>
      <c r="AD122" s="19" t="n"/>
      <c r="AE122" s="19" t="n"/>
      <c r="AF122" s="19" t="n"/>
      <c r="AG122" s="19" t="n"/>
      <c r="AH122" s="19" t="n"/>
      <c r="AI122" s="19" t="n"/>
      <c r="AJ122" s="19" t="n"/>
      <c r="AK122" s="19" t="n"/>
      <c r="AL122" s="19" t="n"/>
      <c r="AM122" s="19" t="n"/>
      <c r="AN122" s="19" t="n"/>
      <c r="AO122" s="19" t="n"/>
    </row>
    <row r="123" ht="28.5" customHeight="1" s="66">
      <c r="A123" s="43" t="n"/>
      <c r="B123" s="44" t="inlineStr">
        <is>
          <t>SOME BY MI - AHA-BHA-PHA 30 Days Miracle Cleansing Bar [106g] / Мыло для проблемной кожи с aha bha кислотами</t>
        </is>
      </c>
      <c r="C123" s="44" t="n"/>
      <c r="D123" s="45" t="n"/>
      <c r="E123" s="45" t="inlineStr">
        <is>
          <t>добавлено в расчет: цена под ROI 25%, объем оценочный</t>
        </is>
      </c>
      <c r="F123" s="29" t="n">
        <v>527</v>
      </c>
      <c r="G123" s="29" t="n"/>
      <c r="H123" s="29" t="n"/>
      <c r="I123" s="29" t="n"/>
      <c r="J123" s="29">
        <f>(1.25*O123+R123+T123+Y123+AA123+AB123+AN123)/(1-P123-$J$8-$J$4-(1-K123)*$J$3-$J$11-AC123-AE123)</f>
        <v/>
      </c>
      <c r="K123" s="46" t="n">
        <v>0.45</v>
      </c>
      <c r="L123" s="30">
        <f>J123*(1-K123)</f>
        <v/>
      </c>
      <c r="M123" s="32" t="n">
        <v>549.71</v>
      </c>
      <c r="N123" s="32">
        <f>$J$5</f>
        <v/>
      </c>
      <c r="O123" s="33">
        <f>M123+N123</f>
        <v/>
      </c>
      <c r="P123" s="47" t="n">
        <v>0.47</v>
      </c>
      <c r="Q123" s="29">
        <f>J123*P123</f>
        <v/>
      </c>
      <c r="R123" s="29" t="n">
        <v>63</v>
      </c>
      <c r="S123" s="29">
        <f>J123*$J$8</f>
        <v/>
      </c>
      <c r="T123" s="29" t="n">
        <v>25</v>
      </c>
      <c r="U123" s="29">
        <f>J123*$J$4</f>
        <v/>
      </c>
      <c r="V123" s="29">
        <f>L123*$J$3</f>
        <v/>
      </c>
      <c r="W123" s="41" t="n">
        <v>0.9</v>
      </c>
      <c r="X123" s="29" t="n">
        <v>63</v>
      </c>
      <c r="Y123" s="29">
        <f>X123*(1-W123)</f>
        <v/>
      </c>
      <c r="Z123" s="48" t="n">
        <v>0.3</v>
      </c>
      <c r="AA123" s="29">
        <f>$J$6*$J$7*Z123</f>
        <v/>
      </c>
      <c r="AB123" s="33">
        <f>Z123*($J$9+$J$10)</f>
        <v/>
      </c>
      <c r="AC123" s="47" t="n">
        <v>0.07000000000000001</v>
      </c>
      <c r="AD123" s="29">
        <f>J123*AC123</f>
        <v/>
      </c>
      <c r="AE123" s="41" t="n">
        <v>0.08</v>
      </c>
      <c r="AF123" s="29">
        <f>J123*AE123</f>
        <v/>
      </c>
      <c r="AG123" s="29">
        <f>AD123+AF123</f>
        <v/>
      </c>
      <c r="AH123" s="38">
        <f>AG123/J123</f>
        <v/>
      </c>
      <c r="AI123" s="39">
        <f>J123-Q123-R123-S123-T123-U123-V123-Y123-AA123-AB123-O123-AN123-AO123</f>
        <v/>
      </c>
      <c r="AJ123" s="29">
        <f>AI123-AG123</f>
        <v/>
      </c>
      <c r="AK123" s="41">
        <f>AJ123/J123</f>
        <v/>
      </c>
      <c r="AL123" s="41">
        <f>AJ123/O123</f>
        <v/>
      </c>
      <c r="AM123" s="29">
        <f>(R123+T123+Y123+AA123+AB123+O123+AN123)/(1-(P123+$J$4+(1-K123)*$J$3+$J$8+$J$11+AC123+AE123))</f>
        <v/>
      </c>
      <c r="AN123" s="29">
        <f>$J$12</f>
        <v/>
      </c>
      <c r="AO123" s="29">
        <f>J123*$J$11</f>
        <v/>
      </c>
    </row>
    <row r="124" ht="28.5" customHeight="1" s="66">
      <c r="A124" s="43" t="n"/>
      <c r="B124" s="44" t="inlineStr">
        <is>
          <t>SOME BY MI - AHA-BHA-PHA 30 Days Miracle Cream [60g] / Крем для лица</t>
        </is>
      </c>
      <c r="C124" s="44" t="n"/>
      <c r="D124" s="45" t="n"/>
      <c r="E124" s="45" t="inlineStr">
        <is>
          <t>добавлено в расчет: цена под ROI 25%, объем оценочный</t>
        </is>
      </c>
      <c r="F124" s="29" t="n">
        <v>55</v>
      </c>
      <c r="G124" s="29" t="n"/>
      <c r="H124" s="29" t="n"/>
      <c r="I124" s="29" t="n"/>
      <c r="J124" s="29">
        <f>(1.25*O124+R124+T124+Y124+AA124+AB124+AN124)/(1-P124-$J$8-$J$4-(1-K124)*$J$3-$J$11-AC124-AE124)</f>
        <v/>
      </c>
      <c r="K124" s="46" t="n">
        <v>0.45</v>
      </c>
      <c r="L124" s="30">
        <f>J124*(1-K124)</f>
        <v/>
      </c>
      <c r="M124" s="32" t="n">
        <v>1057.2</v>
      </c>
      <c r="N124" s="32">
        <f>$J$5</f>
        <v/>
      </c>
      <c r="O124" s="33">
        <f>M124+N124</f>
        <v/>
      </c>
      <c r="P124" s="47" t="n">
        <v>0.47</v>
      </c>
      <c r="Q124" s="29">
        <f>J124*P124</f>
        <v/>
      </c>
      <c r="R124" s="29" t="n">
        <v>63</v>
      </c>
      <c r="S124" s="29">
        <f>J124*$J$8</f>
        <v/>
      </c>
      <c r="T124" s="29" t="n">
        <v>25</v>
      </c>
      <c r="U124" s="29">
        <f>J124*$J$4</f>
        <v/>
      </c>
      <c r="V124" s="29">
        <f>L124*$J$3</f>
        <v/>
      </c>
      <c r="W124" s="41" t="n">
        <v>0.9</v>
      </c>
      <c r="X124" s="29" t="n">
        <v>63</v>
      </c>
      <c r="Y124" s="29">
        <f>X124*(1-W124)</f>
        <v/>
      </c>
      <c r="Z124" s="48" t="n">
        <v>0.4</v>
      </c>
      <c r="AA124" s="29">
        <f>$J$6*$J$7*Z124</f>
        <v/>
      </c>
      <c r="AB124" s="33">
        <f>Z124*($J$9+$J$10)</f>
        <v/>
      </c>
      <c r="AC124" s="47" t="n">
        <v>0.07000000000000001</v>
      </c>
      <c r="AD124" s="29">
        <f>J124*AC124</f>
        <v/>
      </c>
      <c r="AE124" s="41" t="n">
        <v>0.08</v>
      </c>
      <c r="AF124" s="29">
        <f>J124*AE124</f>
        <v/>
      </c>
      <c r="AG124" s="29">
        <f>AD124+AF124</f>
        <v/>
      </c>
      <c r="AH124" s="38">
        <f>AG124/J124</f>
        <v/>
      </c>
      <c r="AI124" s="39">
        <f>J124-Q124-R124-S124-T124-U124-V124-Y124-AA124-AB124-O124-AN124-AO124</f>
        <v/>
      </c>
      <c r="AJ124" s="29">
        <f>AI124-AG124</f>
        <v/>
      </c>
      <c r="AK124" s="41">
        <f>AJ124/J124</f>
        <v/>
      </c>
      <c r="AL124" s="41">
        <f>AJ124/O124</f>
        <v/>
      </c>
      <c r="AM124" s="29">
        <f>(R124+T124+Y124+AA124+AB124+O124+AN124)/(1-(P124+$J$4+(1-K124)*$J$3+$J$8+$J$11+AC124+AE124))</f>
        <v/>
      </c>
      <c r="AN124" s="29">
        <f>$J$12</f>
        <v/>
      </c>
      <c r="AO124" s="29">
        <f>J124*$J$11</f>
        <v/>
      </c>
    </row>
    <row r="125" ht="14.25" customHeight="1" s="66">
      <c r="A125" s="17" t="n"/>
      <c r="B125" s="18" t="inlineStr">
        <is>
          <t>Косметика/TheOrdinary</t>
        </is>
      </c>
      <c r="C125" s="18" t="n"/>
      <c r="D125" s="19" t="n"/>
      <c r="E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  <c r="AA125" s="19" t="n"/>
      <c r="AB125" s="19" t="n"/>
      <c r="AC125" s="19" t="n"/>
      <c r="AD125" s="19" t="n"/>
      <c r="AE125" s="19" t="n"/>
      <c r="AF125" s="19" t="n"/>
      <c r="AG125" s="19" t="n"/>
      <c r="AH125" s="19" t="n"/>
      <c r="AI125" s="19" t="n"/>
      <c r="AJ125" s="19" t="n"/>
      <c r="AK125" s="19" t="n"/>
      <c r="AL125" s="19" t="n"/>
      <c r="AM125" s="19" t="n"/>
      <c r="AN125" s="19" t="n"/>
      <c r="AO125" s="19" t="n"/>
    </row>
    <row r="126" ht="28.5" customHeight="1" s="66">
      <c r="A126" s="43" t="n"/>
      <c r="B126" s="44" t="inlineStr">
        <is>
          <t>THE ORDINARY - Argireline Solution 10% [30ml] / Сыворотка для лица от прыщей и акне с ниацинамидом 10 %</t>
        </is>
      </c>
      <c r="C126" s="44" t="n"/>
      <c r="D126" s="45" t="n"/>
      <c r="E126" s="45" t="inlineStr">
        <is>
          <t>добавлено в расчет: цена под ROI 25%, объем оценочный</t>
        </is>
      </c>
      <c r="F126" s="29" t="n">
        <v>117</v>
      </c>
      <c r="G126" s="29" t="n"/>
      <c r="H126" s="29" t="n"/>
      <c r="I126" s="29" t="n"/>
      <c r="J126" s="29">
        <f>(1.25*O126+R126+T126+Y126+AA126+AB126+AN126)/(1-P126-$J$8-$J$4-(1-K126)*$J$3-$J$11-AC126-AE126)</f>
        <v/>
      </c>
      <c r="K126" s="46" t="n">
        <v>0.45</v>
      </c>
      <c r="L126" s="30">
        <f>J126*(1-K126)</f>
        <v/>
      </c>
      <c r="M126" s="32" t="n">
        <v>722.04</v>
      </c>
      <c r="N126" s="32">
        <f>$J$5</f>
        <v/>
      </c>
      <c r="O126" s="33">
        <f>M126+N126</f>
        <v/>
      </c>
      <c r="P126" s="47" t="n">
        <v>0.47</v>
      </c>
      <c r="Q126" s="29">
        <f>J126*P126</f>
        <v/>
      </c>
      <c r="R126" s="29" t="n">
        <v>63</v>
      </c>
      <c r="S126" s="29">
        <f>J126*$J$8</f>
        <v/>
      </c>
      <c r="T126" s="29" t="n">
        <v>25</v>
      </c>
      <c r="U126" s="29">
        <f>J126*$J$4</f>
        <v/>
      </c>
      <c r="V126" s="29">
        <f>L126*$J$3</f>
        <v/>
      </c>
      <c r="W126" s="41" t="n">
        <v>0.9</v>
      </c>
      <c r="X126" s="29" t="n">
        <v>63</v>
      </c>
      <c r="Y126" s="29">
        <f>X126*(1-W126)</f>
        <v/>
      </c>
      <c r="Z126" s="48" t="n">
        <v>0.38</v>
      </c>
      <c r="AA126" s="29">
        <f>$J$6*$J$7*Z126</f>
        <v/>
      </c>
      <c r="AB126" s="33">
        <f>Z126*($J$9+$J$10)</f>
        <v/>
      </c>
      <c r="AC126" s="47" t="n">
        <v>0.07000000000000001</v>
      </c>
      <c r="AD126" s="29">
        <f>J126*AC126</f>
        <v/>
      </c>
      <c r="AE126" s="41" t="n">
        <v>0.08</v>
      </c>
      <c r="AF126" s="29">
        <f>J126*AE126</f>
        <v/>
      </c>
      <c r="AG126" s="29">
        <f>AD126+AF126</f>
        <v/>
      </c>
      <c r="AH126" s="38">
        <f>AG126/J126</f>
        <v/>
      </c>
      <c r="AI126" s="39">
        <f>J126-Q126-R126-S126-T126-U126-V126-Y126-AA126-AB126-O126-AN126-AO126</f>
        <v/>
      </c>
      <c r="AJ126" s="29">
        <f>AI126-AG126</f>
        <v/>
      </c>
      <c r="AK126" s="41">
        <f>AJ126/J126</f>
        <v/>
      </c>
      <c r="AL126" s="41">
        <f>AJ126/O126</f>
        <v/>
      </c>
      <c r="AM126" s="29">
        <f>(R126+T126+Y126+AA126+AB126+O126+AN126)/(1-(P126+$J$4+(1-K126)*$J$3+$J$8+$J$11+AC126+AE126))</f>
        <v/>
      </c>
      <c r="AN126" s="29">
        <f>$J$12</f>
        <v/>
      </c>
      <c r="AO126" s="29">
        <f>J126*$J$11</f>
        <v/>
      </c>
    </row>
    <row r="127" ht="28.5" customHeight="1" s="66">
      <c r="A127" s="43" t="n"/>
      <c r="B127" s="44" t="inlineStr">
        <is>
          <t>THE ORDINARY - Glycolic Acid 7% Toning Solution [KOR] [240ml] / Тоник с гликолевой кислотой 7%</t>
        </is>
      </c>
      <c r="C127" s="44" t="n"/>
      <c r="D127" s="45" t="n"/>
      <c r="E127" s="45" t="inlineStr">
        <is>
          <t>добавлено в расчет: цена под ROI 25%, объем оценочный</t>
        </is>
      </c>
      <c r="F127" s="29" t="n">
        <v>32</v>
      </c>
      <c r="G127" s="29" t="n"/>
      <c r="H127" s="29" t="n"/>
      <c r="I127" s="29" t="n"/>
      <c r="J127" s="29">
        <f>(1.25*O127+R127+T127+Y127+AA127+AB127+AN127)/(1-P127-$J$8-$J$4-(1-K127)*$J$3-$J$11-AC127-AE127)</f>
        <v/>
      </c>
      <c r="K127" s="46" t="n">
        <v>0.45</v>
      </c>
      <c r="L127" s="30">
        <f>J127*(1-K127)</f>
        <v/>
      </c>
      <c r="M127" s="32" t="n">
        <v>845.49</v>
      </c>
      <c r="N127" s="32">
        <f>$J$5</f>
        <v/>
      </c>
      <c r="O127" s="33">
        <f>M127+N127</f>
        <v/>
      </c>
      <c r="P127" s="47" t="n">
        <v>0.47</v>
      </c>
      <c r="Q127" s="29">
        <f>J127*P127</f>
        <v/>
      </c>
      <c r="R127" s="29" t="n">
        <v>67</v>
      </c>
      <c r="S127" s="29">
        <f>J127*$J$8</f>
        <v/>
      </c>
      <c r="T127" s="29" t="n">
        <v>25</v>
      </c>
      <c r="U127" s="29">
        <f>J127*$J$4</f>
        <v/>
      </c>
      <c r="V127" s="29">
        <f>L127*$J$3</f>
        <v/>
      </c>
      <c r="W127" s="41" t="n">
        <v>0.9</v>
      </c>
      <c r="X127" s="29" t="n">
        <v>67</v>
      </c>
      <c r="Y127" s="29">
        <f>X127*(1-W127)</f>
        <v/>
      </c>
      <c r="Z127" s="48" t="n">
        <v>0.735</v>
      </c>
      <c r="AA127" s="29">
        <f>$J$6*$J$7*Z127</f>
        <v/>
      </c>
      <c r="AB127" s="33">
        <f>Z127*($J$9+$J$10)</f>
        <v/>
      </c>
      <c r="AC127" s="47" t="n">
        <v>0.07000000000000001</v>
      </c>
      <c r="AD127" s="29">
        <f>J127*AC127</f>
        <v/>
      </c>
      <c r="AE127" s="41" t="n">
        <v>0.08</v>
      </c>
      <c r="AF127" s="29">
        <f>J127*AE127</f>
        <v/>
      </c>
      <c r="AG127" s="29">
        <f>AD127+AF127</f>
        <v/>
      </c>
      <c r="AH127" s="38">
        <f>AG127/J127</f>
        <v/>
      </c>
      <c r="AI127" s="39">
        <f>J127-Q127-R127-S127-T127-U127-V127-Y127-AA127-AB127-O127-AN127-AO127</f>
        <v/>
      </c>
      <c r="AJ127" s="29">
        <f>AI127-AG127</f>
        <v/>
      </c>
      <c r="AK127" s="41">
        <f>AJ127/J127</f>
        <v/>
      </c>
      <c r="AL127" s="41">
        <f>AJ127/O127</f>
        <v/>
      </c>
      <c r="AM127" s="29">
        <f>(R127+T127+Y127+AA127+AB127+O127+AN127)/(1-(P127+$J$4+(1-K127)*$J$3+$J$8+$J$11+AC127+AE127))</f>
        <v/>
      </c>
      <c r="AN127" s="29">
        <f>$J$12</f>
        <v/>
      </c>
      <c r="AO127" s="29">
        <f>J127*$J$11</f>
        <v/>
      </c>
    </row>
    <row r="128" ht="14.25" customHeight="1" s="66">
      <c r="A128" s="17" t="n"/>
      <c r="B128" s="18" t="inlineStr">
        <is>
          <t>Косметика/CELIMAX</t>
        </is>
      </c>
      <c r="C128" s="18" t="n"/>
      <c r="D128" s="19" t="n"/>
      <c r="E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  <c r="AA128" s="19" t="n"/>
      <c r="AB128" s="19" t="n"/>
      <c r="AC128" s="19" t="n"/>
      <c r="AD128" s="19" t="n"/>
      <c r="AE128" s="19" t="n"/>
      <c r="AF128" s="19" t="n"/>
      <c r="AG128" s="19" t="n"/>
      <c r="AH128" s="19" t="n"/>
      <c r="AI128" s="19" t="n"/>
      <c r="AJ128" s="19" t="n"/>
      <c r="AK128" s="19" t="n"/>
      <c r="AL128" s="19" t="n"/>
      <c r="AM128" s="19" t="n"/>
      <c r="AN128" s="19" t="n"/>
      <c r="AO128" s="19" t="n"/>
    </row>
    <row r="129" ht="14.25" customHeight="1" s="66">
      <c r="A129" s="50" t="n"/>
      <c r="B129" s="21" t="inlineStr">
        <is>
          <t>Celimax Dual Barrier Creamy Toner</t>
        </is>
      </c>
      <c r="C129" s="21" t="n"/>
      <c r="D129" s="58" t="n"/>
      <c r="E129" s="24" t="n"/>
      <c r="F129" s="29" t="n">
        <v>4929</v>
      </c>
      <c r="G129" s="49" t="n">
        <v>2600</v>
      </c>
      <c r="H129" s="49" t="n">
        <v>5500</v>
      </c>
      <c r="I129" s="49" t="inlineStr">
        <is>
          <t>10-15</t>
        </is>
      </c>
      <c r="J129" s="49">
        <f>(1.25*O129+R129+T129+Y129+AA129+AB129+AN129)/(1-P129-$J$8-$J$4-(1-K129)*$J$3-$J$11-AC129-AE129)</f>
        <v/>
      </c>
      <c r="K129" s="28" t="n">
        <v>0.45</v>
      </c>
      <c r="L129" s="30">
        <f>J129*(1-K129)</f>
        <v/>
      </c>
      <c r="M129" s="31" t="n">
        <v>663.86</v>
      </c>
      <c r="N129" s="32">
        <f>$J$5</f>
        <v/>
      </c>
      <c r="O129" s="33">
        <f>M129+N129</f>
        <v/>
      </c>
      <c r="P129" s="34" t="n">
        <v>0.47</v>
      </c>
      <c r="Q129" s="29">
        <f>J129*P129</f>
        <v/>
      </c>
      <c r="R129" s="35" t="n">
        <v>67</v>
      </c>
      <c r="S129" s="29">
        <f>J129*$J$8</f>
        <v/>
      </c>
      <c r="T129" s="35" t="n">
        <v>25</v>
      </c>
      <c r="U129" s="29">
        <f>J129*$J$4</f>
        <v/>
      </c>
      <c r="V129" s="29">
        <f>L129*$J$3</f>
        <v/>
      </c>
      <c r="W129" s="36" t="n">
        <v>0.9</v>
      </c>
      <c r="X129" s="35" t="n">
        <v>67</v>
      </c>
      <c r="Y129" s="29">
        <f>X129*(1-W129)</f>
        <v/>
      </c>
      <c r="Z129" s="37" t="n">
        <v>0.735</v>
      </c>
      <c r="AA129" s="29">
        <f>$J$6*$J$7*Z129</f>
        <v/>
      </c>
      <c r="AB129" s="33">
        <f>Z129*($J$9+$J$10)</f>
        <v/>
      </c>
      <c r="AC129" s="34" t="n">
        <v>0.07000000000000001</v>
      </c>
      <c r="AD129" s="29">
        <f>J129*AC129</f>
        <v/>
      </c>
      <c r="AE129" s="36" t="n">
        <v>0.08</v>
      </c>
      <c r="AF129" s="29">
        <f>J129*AE129</f>
        <v/>
      </c>
      <c r="AG129" s="29">
        <f>AD129+AF129</f>
        <v/>
      </c>
      <c r="AH129" s="38">
        <f>AG129/J129</f>
        <v/>
      </c>
      <c r="AI129" s="39">
        <f>J129-Q129-R129-S129-T129-U129-V129-Y129-AA129-AB129-O129-AN129-AO129</f>
        <v/>
      </c>
      <c r="AJ129" s="40">
        <f>AI129-AG129</f>
        <v/>
      </c>
      <c r="AK129" s="41">
        <f>AJ129/J129</f>
        <v/>
      </c>
      <c r="AL129" s="42">
        <f>AJ129/O129</f>
        <v/>
      </c>
      <c r="AM129" s="29">
        <f>(R129+T129+Y129+AA129+AB129+O129+AN129)/(1-(P129+$J$4+(1-K129)*$J$3+$J$8+$J$11+AC129+AE129))</f>
        <v/>
      </c>
      <c r="AN129" s="29">
        <f>$J$12</f>
        <v/>
      </c>
      <c r="AO129" s="29">
        <f>J129*$J$11</f>
        <v/>
      </c>
    </row>
    <row r="130" ht="28.5" customHeight="1" s="66">
      <c r="A130" s="50" t="n"/>
      <c r="B130" s="21" t="inlineStr">
        <is>
          <t>CELIMAX THE VITA-A RETINAL SHOT TIGHTENING BOOSTER [15ml]/Подтягивающий бустер-крем с ретинолом для лица</t>
        </is>
      </c>
      <c r="C130" s="50" t="n"/>
      <c r="D130" s="4" t="n"/>
      <c r="E130" s="24" t="n"/>
      <c r="F130" s="29" t="n">
        <v>9768</v>
      </c>
      <c r="G130" s="49" t="n">
        <v>2250</v>
      </c>
      <c r="H130" s="49" t="n">
        <v>3000</v>
      </c>
      <c r="I130" s="49" t="n">
        <v>13</v>
      </c>
      <c r="J130" s="49">
        <f>(1.25*O130+R130+T130+Y130+AA130+AB130+AN130)/(1-P130-$J$8-$J$4-(1-K130)*$J$3-$J$11-AC130-AE130)</f>
        <v/>
      </c>
      <c r="K130" s="28" t="n">
        <v>0.45</v>
      </c>
      <c r="L130" s="30">
        <f>J130*(1-K130)</f>
        <v/>
      </c>
      <c r="M130" s="31" t="n">
        <v>512.1799999999999</v>
      </c>
      <c r="N130" s="32">
        <f>$J$5</f>
        <v/>
      </c>
      <c r="O130" s="33">
        <f>M130+N130</f>
        <v/>
      </c>
      <c r="P130" s="34" t="n">
        <v>0.47</v>
      </c>
      <c r="Q130" s="29">
        <f>J130*P130</f>
        <v/>
      </c>
      <c r="R130" s="35" t="n">
        <v>56</v>
      </c>
      <c r="S130" s="29">
        <f>J130*$J$8</f>
        <v/>
      </c>
      <c r="T130" s="35" t="n">
        <v>25</v>
      </c>
      <c r="U130" s="29">
        <f>J130*$J$4</f>
        <v/>
      </c>
      <c r="V130" s="29">
        <f>L130*$J$3</f>
        <v/>
      </c>
      <c r="W130" s="36" t="n">
        <v>0.9</v>
      </c>
      <c r="X130" s="35" t="n">
        <v>56</v>
      </c>
      <c r="Y130" s="29">
        <f>X130*(1-W130)</f>
        <v/>
      </c>
      <c r="Z130" s="37" t="n">
        <v>0.18</v>
      </c>
      <c r="AA130" s="29">
        <f>$J$6*$J$7*Z130</f>
        <v/>
      </c>
      <c r="AB130" s="33">
        <f>Z130*($J$9+$J$10)</f>
        <v/>
      </c>
      <c r="AC130" s="34" t="n">
        <v>0.07000000000000001</v>
      </c>
      <c r="AD130" s="29">
        <f>J130*AC130</f>
        <v/>
      </c>
      <c r="AE130" s="36" t="n">
        <v>0.08</v>
      </c>
      <c r="AF130" s="29">
        <f>J130*AE130</f>
        <v/>
      </c>
      <c r="AG130" s="29">
        <f>AD130+AF130</f>
        <v/>
      </c>
      <c r="AH130" s="38">
        <f>AG130/J130</f>
        <v/>
      </c>
      <c r="AI130" s="39">
        <f>J130-Q130-R130-S130-T130-U130-V130-Y130-AA130-AB130-O130-AN130-AO130</f>
        <v/>
      </c>
      <c r="AJ130" s="40">
        <f>AI130-AG130</f>
        <v/>
      </c>
      <c r="AK130" s="41">
        <f>AJ130/J130</f>
        <v/>
      </c>
      <c r="AL130" s="42">
        <f>AJ130/O130</f>
        <v/>
      </c>
      <c r="AM130" s="29">
        <f>(R130+T130+Y130+AA130+AB130+O130+AN130)/(1-(P130+$J$4+(1-K130)*$J$3+$J$8+$J$11+AC130+AE130))</f>
        <v/>
      </c>
      <c r="AN130" s="29">
        <f>$J$12</f>
        <v/>
      </c>
      <c r="AO130" s="29">
        <f>J130*$J$11</f>
        <v/>
      </c>
    </row>
    <row r="131" ht="28.5" customHeight="1" s="66">
      <c r="A131" s="50" t="n"/>
      <c r="B131" s="21" t="inlineStr">
        <is>
          <t>CELIMAX THE VITA-A RETINOL SHOT TIGHTENING SERUM [30ml]/Сыворотка с ретинолом и микроиглами для лица</t>
        </is>
      </c>
      <c r="C131" s="50" t="n"/>
      <c r="D131" s="4" t="n"/>
      <c r="E131" s="24" t="inlineStr">
        <is>
          <t>-</t>
        </is>
      </c>
      <c r="F131" s="29" t="n">
        <v>3564</v>
      </c>
      <c r="G131" s="49" t="n">
        <v>2450</v>
      </c>
      <c r="H131" s="49" t="n">
        <v>3500</v>
      </c>
      <c r="I131" s="49" t="n">
        <v>10</v>
      </c>
      <c r="J131" s="49">
        <f>(1.25*O131+R131+T131+Y131+AA131+AB131+AN131)/(1-P131-$J$8-$J$4-(1-K131)*$J$3-$J$11-AC131-AE131)</f>
        <v/>
      </c>
      <c r="K131" s="28" t="n">
        <v>0.45</v>
      </c>
      <c r="L131" s="30">
        <f>J131*(1-K131)</f>
        <v/>
      </c>
      <c r="M131" s="31" t="n">
        <v>532.1</v>
      </c>
      <c r="N131" s="32">
        <f>$J$5</f>
        <v/>
      </c>
      <c r="O131" s="33">
        <f>M131+N131</f>
        <v/>
      </c>
      <c r="P131" s="34" t="n">
        <v>0.47</v>
      </c>
      <c r="Q131" s="29">
        <f>J131*P131</f>
        <v/>
      </c>
      <c r="R131" s="35" t="n">
        <v>63</v>
      </c>
      <c r="S131" s="29">
        <f>J131*$J$8</f>
        <v/>
      </c>
      <c r="T131" s="35" t="n">
        <v>25</v>
      </c>
      <c r="U131" s="29">
        <f>J131*$J$4</f>
        <v/>
      </c>
      <c r="V131" s="29">
        <f>L131*$J$3</f>
        <v/>
      </c>
      <c r="W131" s="36" t="n">
        <v>0.9</v>
      </c>
      <c r="X131" s="35" t="n">
        <v>63</v>
      </c>
      <c r="Y131" s="29">
        <f>X131*(1-W131)</f>
        <v/>
      </c>
      <c r="Z131" s="37" t="n">
        <v>0.38</v>
      </c>
      <c r="AA131" s="29">
        <f>$J$6*$J$7*Z131</f>
        <v/>
      </c>
      <c r="AB131" s="33">
        <f>Z131*($J$9+$J$10)</f>
        <v/>
      </c>
      <c r="AC131" s="34" t="n">
        <v>0.07000000000000001</v>
      </c>
      <c r="AD131" s="29">
        <f>J131*AC131</f>
        <v/>
      </c>
      <c r="AE131" s="36" t="n">
        <v>0.08</v>
      </c>
      <c r="AF131" s="29">
        <f>J131*AE131</f>
        <v/>
      </c>
      <c r="AG131" s="29">
        <f>AD131+AF131</f>
        <v/>
      </c>
      <c r="AH131" s="38">
        <f>AG131/J131</f>
        <v/>
      </c>
      <c r="AI131" s="39">
        <f>J131-Q131-R131-S131-T131-U131-V131-Y131-AA131-AB131-O131-AN131-AO131</f>
        <v/>
      </c>
      <c r="AJ131" s="40">
        <f>AI131-AG131</f>
        <v/>
      </c>
      <c r="AK131" s="41">
        <f>AJ131/J131</f>
        <v/>
      </c>
      <c r="AL131" s="42">
        <f>AJ131/O131</f>
        <v/>
      </c>
      <c r="AM131" s="29">
        <f>(R131+T131+Y131+AA131+AB131+O131+AN131)/(1-(P131+$J$4+(1-K131)*$J$3+$J$8+$J$11+AC131+AE131))</f>
        <v/>
      </c>
      <c r="AN131" s="29">
        <f>$J$12</f>
        <v/>
      </c>
      <c r="AO131" s="29">
        <f>J131*$J$11</f>
        <v/>
      </c>
    </row>
    <row r="132" ht="28.5" customHeight="1" s="66">
      <c r="A132" s="50" t="n"/>
      <c r="B132" s="21" t="inlineStr">
        <is>
          <t>CELIMAX JI WOO GAE CICA BHA BLEMISH TONER PAD_10EA [30ml]/успокаивающие тонер-пэды</t>
        </is>
      </c>
      <c r="C132" s="50" t="n"/>
      <c r="D132" s="4" t="n"/>
      <c r="E132" s="24" t="n"/>
      <c r="F132" s="29" t="n">
        <v>1696</v>
      </c>
      <c r="G132" s="49" t="n">
        <v>775</v>
      </c>
      <c r="H132" s="49" t="inlineStr">
        <is>
          <t>2 740</t>
        </is>
      </c>
      <c r="I132" s="49" t="n">
        <v>11</v>
      </c>
      <c r="J132" s="49">
        <f>(1.25*O132+R132+T132+Y132+AA132+AB132+AN132)/(1-P132-$J$8-$J$4-(1-K132)*$J$3-$J$11-AC132-AE132)</f>
        <v/>
      </c>
      <c r="K132" s="28" t="n">
        <v>0.45</v>
      </c>
      <c r="L132" s="30">
        <f>J132*(1-K132)</f>
        <v/>
      </c>
      <c r="M132" s="31" t="n">
        <v>96.94</v>
      </c>
      <c r="N132" s="32">
        <f>$J$5</f>
        <v/>
      </c>
      <c r="O132" s="33">
        <f>M132+N132</f>
        <v/>
      </c>
      <c r="P132" s="34" t="n">
        <v>0.47</v>
      </c>
      <c r="Q132" s="29">
        <f>J132*P132</f>
        <v/>
      </c>
      <c r="R132" s="35" t="n">
        <v>56</v>
      </c>
      <c r="S132" s="29">
        <f>J132*$J$8</f>
        <v/>
      </c>
      <c r="T132" s="35" t="n">
        <v>25</v>
      </c>
      <c r="U132" s="29">
        <f>J132*$J$4</f>
        <v/>
      </c>
      <c r="V132" s="29">
        <f>L132*$J$3</f>
        <v/>
      </c>
      <c r="W132" s="36" t="n">
        <v>0.9</v>
      </c>
      <c r="X132" s="35" t="n">
        <v>56</v>
      </c>
      <c r="Y132" s="29">
        <f>X132*(1-W132)</f>
        <v/>
      </c>
      <c r="Z132" s="37" t="n">
        <v>0.14</v>
      </c>
      <c r="AA132" s="29">
        <f>$J$6*$J$7*Z132</f>
        <v/>
      </c>
      <c r="AB132" s="33">
        <f>Z132*($J$9+$J$10)</f>
        <v/>
      </c>
      <c r="AC132" s="34" t="n">
        <v>0.07000000000000001</v>
      </c>
      <c r="AD132" s="29">
        <f>J132*AC132</f>
        <v/>
      </c>
      <c r="AE132" s="36" t="n">
        <v>0.08</v>
      </c>
      <c r="AF132" s="29">
        <f>J132*AE132</f>
        <v/>
      </c>
      <c r="AG132" s="29">
        <f>AD132+AF132</f>
        <v/>
      </c>
      <c r="AH132" s="38">
        <f>AG132/J132</f>
        <v/>
      </c>
      <c r="AI132" s="39">
        <f>J132-Q132-R132-S132-T132-U132-V132-Y132-AA132-AB132-O132-AN132-AO132</f>
        <v/>
      </c>
      <c r="AJ132" s="40">
        <f>AI132-AG132</f>
        <v/>
      </c>
      <c r="AK132" s="41">
        <f>AJ132/J132</f>
        <v/>
      </c>
      <c r="AL132" s="42">
        <f>AJ132/O132</f>
        <v/>
      </c>
      <c r="AM132" s="29">
        <f>(R132+T132+Y132+AA132+AB132+O132+AN132)/(1-(P132+$J$4+(1-K132)*$J$3+$J$8+$J$11+AC132+AE132))</f>
        <v/>
      </c>
      <c r="AN132" s="29">
        <f>$J$12</f>
        <v/>
      </c>
      <c r="AO132" s="29">
        <f>J132*$J$11</f>
        <v/>
      </c>
    </row>
    <row r="133" ht="28.5" customHeight="1" s="66">
      <c r="A133" s="43" t="n"/>
      <c r="B133" s="44" t="inlineStr">
        <is>
          <t>CELIMAX PORE+DARK SPOT BRIGHTENING CREAM [35ml]/Крем для выравнивания тона и рельефа кожи лица</t>
        </is>
      </c>
      <c r="C133" s="44" t="inlineStr">
        <is>
          <t>ФБС</t>
        </is>
      </c>
      <c r="D133" s="45" t="n"/>
      <c r="E133" s="45" t="inlineStr">
        <is>
          <t>добавлено в расчет: цена под ROI 25%, объем оценочный</t>
        </is>
      </c>
      <c r="F133" s="29" t="n">
        <v>99</v>
      </c>
      <c r="G133" s="29" t="n"/>
      <c r="H133" s="29" t="n"/>
      <c r="I133" s="29" t="n"/>
      <c r="J133" s="29">
        <f>(1.25*O133+R133+T133+Y133+AA133+AB133+AN133)/(1-P133-$J$8-$J$4-(1-K133)*$J$3-$J$11-AC133-AE133)</f>
        <v/>
      </c>
      <c r="K133" s="46" t="n">
        <v>0.45</v>
      </c>
      <c r="L133" s="30">
        <f>J133*(1-K133)</f>
        <v/>
      </c>
      <c r="M133" s="32" t="n">
        <v>623.4299999999999</v>
      </c>
      <c r="N133" s="32">
        <f>$J$5</f>
        <v/>
      </c>
      <c r="O133" s="33">
        <f>M133+N133</f>
        <v/>
      </c>
      <c r="P133" s="47" t="n">
        <v>0.47</v>
      </c>
      <c r="Q133" s="29">
        <f>J133*P133</f>
        <v/>
      </c>
      <c r="R133" s="29" t="n">
        <v>63</v>
      </c>
      <c r="S133" s="29">
        <f>J133*$J$8</f>
        <v/>
      </c>
      <c r="T133" s="29" t="n">
        <v>25</v>
      </c>
      <c r="U133" s="29">
        <f>J133*$J$4</f>
        <v/>
      </c>
      <c r="V133" s="29">
        <f>L133*$J$3</f>
        <v/>
      </c>
      <c r="W133" s="41" t="n">
        <v>0.9</v>
      </c>
      <c r="X133" s="29" t="n">
        <v>63</v>
      </c>
      <c r="Y133" s="29">
        <f>X133*(1-W133)</f>
        <v/>
      </c>
      <c r="Z133" s="48" t="n">
        <v>0.38</v>
      </c>
      <c r="AA133" s="29">
        <f>$J$6*$J$7*Z133</f>
        <v/>
      </c>
      <c r="AB133" s="33">
        <f>Z133*($J$9+$J$10)</f>
        <v/>
      </c>
      <c r="AC133" s="47" t="n">
        <v>0.07000000000000001</v>
      </c>
      <c r="AD133" s="29">
        <f>J133*AC133</f>
        <v/>
      </c>
      <c r="AE133" s="41" t="n">
        <v>0.08</v>
      </c>
      <c r="AF133" s="29">
        <f>J133*AE133</f>
        <v/>
      </c>
      <c r="AG133" s="29">
        <f>AD133+AF133</f>
        <v/>
      </c>
      <c r="AH133" s="38">
        <f>AG133/J133</f>
        <v/>
      </c>
      <c r="AI133" s="39">
        <f>J133-Q133-R133-S133-T133-U133-V133-Y133-AA133-AB133-O133-AN133-AO133</f>
        <v/>
      </c>
      <c r="AJ133" s="29">
        <f>AI133-AG133</f>
        <v/>
      </c>
      <c r="AK133" s="41">
        <f>AJ133/J133</f>
        <v/>
      </c>
      <c r="AL133" s="41">
        <f>AJ133/O133</f>
        <v/>
      </c>
      <c r="AM133" s="29">
        <f>(R133+T133+Y133+AA133+AB133+O133+AN133)/(1-(P133+$J$4+(1-K133)*$J$3+$J$8+$J$11+AC133+AE133))</f>
        <v/>
      </c>
      <c r="AN133" s="29">
        <f>$J$12</f>
        <v/>
      </c>
      <c r="AO133" s="29">
        <f>J133*$J$11</f>
        <v/>
      </c>
    </row>
    <row r="134" ht="28.5" customHeight="1" s="66">
      <c r="A134" s="43" t="n"/>
      <c r="B134" s="44" t="inlineStr">
        <is>
          <t>CELIMAX DUAL BARRIER SKIN WEARABLE CREAM [50ml]/Крем для восстановления защитного барьера кожи лица</t>
        </is>
      </c>
      <c r="C134" s="44" t="inlineStr">
        <is>
          <t>ФБС</t>
        </is>
      </c>
      <c r="D134" s="45" t="n"/>
      <c r="E134" s="45" t="inlineStr">
        <is>
          <t>добавлено в расчет: цена под ROI 25%, объем оценочный</t>
        </is>
      </c>
      <c r="F134" s="29" t="n">
        <v>446</v>
      </c>
      <c r="G134" s="29" t="n"/>
      <c r="H134" s="29" t="n"/>
      <c r="I134" s="29" t="n"/>
      <c r="J134" s="29">
        <f>(1.25*O134+R134+T134+Y134+AA134+AB134+AN134)/(1-P134-$J$8-$J$4-(1-K134)*$J$3-$J$11-AC134-AE134)</f>
        <v/>
      </c>
      <c r="K134" s="46" t="n">
        <v>0.45</v>
      </c>
      <c r="L134" s="30">
        <f>J134*(1-K134)</f>
        <v/>
      </c>
      <c r="M134" s="32" t="n">
        <v>864.11</v>
      </c>
      <c r="N134" s="32">
        <f>$J$5</f>
        <v/>
      </c>
      <c r="O134" s="33">
        <f>M134+N134</f>
        <v/>
      </c>
      <c r="P134" s="47" t="n">
        <v>0.47</v>
      </c>
      <c r="Q134" s="29">
        <f>J134*P134</f>
        <v/>
      </c>
      <c r="R134" s="29" t="n">
        <v>67</v>
      </c>
      <c r="S134" s="29">
        <f>J134*$J$8</f>
        <v/>
      </c>
      <c r="T134" s="29" t="n">
        <v>25</v>
      </c>
      <c r="U134" s="29">
        <f>J134*$J$4</f>
        <v/>
      </c>
      <c r="V134" s="29">
        <f>L134*$J$3</f>
        <v/>
      </c>
      <c r="W134" s="41" t="n">
        <v>0.9</v>
      </c>
      <c r="X134" s="29" t="n">
        <v>67</v>
      </c>
      <c r="Y134" s="29">
        <f>X134*(1-W134)</f>
        <v/>
      </c>
      <c r="Z134" s="48" t="n">
        <v>0.5</v>
      </c>
      <c r="AA134" s="29">
        <f>$J$6*$J$7*Z134</f>
        <v/>
      </c>
      <c r="AB134" s="33">
        <f>Z134*($J$9+$J$10)</f>
        <v/>
      </c>
      <c r="AC134" s="47" t="n">
        <v>0.07000000000000001</v>
      </c>
      <c r="AD134" s="29">
        <f>J134*AC134</f>
        <v/>
      </c>
      <c r="AE134" s="41" t="n">
        <v>0.08</v>
      </c>
      <c r="AF134" s="29">
        <f>J134*AE134</f>
        <v/>
      </c>
      <c r="AG134" s="29">
        <f>AD134+AF134</f>
        <v/>
      </c>
      <c r="AH134" s="38">
        <f>AG134/J134</f>
        <v/>
      </c>
      <c r="AI134" s="39">
        <f>J134-Q134-R134-S134-T134-U134-V134-Y134-AA134-AB134-O134-AN134-AO134</f>
        <v/>
      </c>
      <c r="AJ134" s="29">
        <f>AI134-AG134</f>
        <v/>
      </c>
      <c r="AK134" s="41">
        <f>AJ134/J134</f>
        <v/>
      </c>
      <c r="AL134" s="41">
        <f>AJ134/O134</f>
        <v/>
      </c>
      <c r="AM134" s="29">
        <f>(R134+T134+Y134+AA134+AB134+O134+AN134)/(1-(P134+$J$4+(1-K134)*$J$3+$J$8+$J$11+AC134+AE134))</f>
        <v/>
      </c>
      <c r="AN134" s="29">
        <f>$J$12</f>
        <v/>
      </c>
      <c r="AO134" s="29">
        <f>J134*$J$11</f>
        <v/>
      </c>
    </row>
    <row r="135" ht="28.5" customHeight="1" s="66">
      <c r="A135" s="50" t="n"/>
      <c r="B135" s="21" t="inlineStr">
        <is>
          <t>CELIMAX JI WOO GAE CICA BHA BLEMISH TONER PAD [170ml / 60pads]/Тонер-пэды от воспалений</t>
        </is>
      </c>
      <c r="C135" s="50" t="n"/>
      <c r="D135" s="4" t="n"/>
      <c r="E135" s="24" t="n"/>
      <c r="F135" s="29" t="n">
        <v>1620</v>
      </c>
      <c r="G135" s="49" t="n">
        <v>3450</v>
      </c>
      <c r="H135" s="49" t="inlineStr">
        <is>
          <t>1 820</t>
        </is>
      </c>
      <c r="I135" s="49" t="n">
        <v>11</v>
      </c>
      <c r="J135" s="49">
        <f>(1.25*O135+R135+T135+Y135+AA135+AB135+AN135)/(1-P135-$J$8-$J$4-(1-K135)*$J$3-$J$11-AC135-AE135)</f>
        <v/>
      </c>
      <c r="K135" s="28" t="n">
        <v>0.45</v>
      </c>
      <c r="L135" s="30">
        <f>J135*(1-K135)</f>
        <v/>
      </c>
      <c r="M135" s="31" t="n">
        <v>707.88</v>
      </c>
      <c r="N135" s="32">
        <f>$J$5</f>
        <v/>
      </c>
      <c r="O135" s="33">
        <f>M135+N135</f>
        <v/>
      </c>
      <c r="P135" s="34" t="n">
        <v>0.47</v>
      </c>
      <c r="Q135" s="29">
        <f>J135*P135</f>
        <v/>
      </c>
      <c r="R135" s="35" t="n">
        <v>67</v>
      </c>
      <c r="S135" s="29">
        <f>J135*$J$8</f>
        <v/>
      </c>
      <c r="T135" s="35" t="n">
        <v>25</v>
      </c>
      <c r="U135" s="29">
        <f>J135*$J$4</f>
        <v/>
      </c>
      <c r="V135" s="29">
        <f>L135*$J$3</f>
        <v/>
      </c>
      <c r="W135" s="36" t="n">
        <v>0.9</v>
      </c>
      <c r="X135" s="35" t="n">
        <v>67</v>
      </c>
      <c r="Y135" s="29">
        <f>X135*(1-W135)</f>
        <v/>
      </c>
      <c r="Z135" s="37" t="n">
        <v>0.96</v>
      </c>
      <c r="AA135" s="29">
        <f>$J$6*$J$7*Z135</f>
        <v/>
      </c>
      <c r="AB135" s="33">
        <f>Z135*($J$9+$J$10)</f>
        <v/>
      </c>
      <c r="AC135" s="34" t="n">
        <v>0.07000000000000001</v>
      </c>
      <c r="AD135" s="29">
        <f>J135*AC135</f>
        <v/>
      </c>
      <c r="AE135" s="36" t="n">
        <v>0.08</v>
      </c>
      <c r="AF135" s="29">
        <f>J135*AE135</f>
        <v/>
      </c>
      <c r="AG135" s="29">
        <f>AD135+AF135</f>
        <v/>
      </c>
      <c r="AH135" s="38">
        <f>AG135/J135</f>
        <v/>
      </c>
      <c r="AI135" s="39">
        <f>J135-Q135-R135-S135-T135-U135-V135-Y135-AA135-AB135-O135-AN135-AO135</f>
        <v/>
      </c>
      <c r="AJ135" s="40">
        <f>AI135-AG135</f>
        <v/>
      </c>
      <c r="AK135" s="41">
        <f>AJ135/J135</f>
        <v/>
      </c>
      <c r="AL135" s="42">
        <f>AJ135/O135</f>
        <v/>
      </c>
      <c r="AM135" s="29">
        <f>(R135+T135+Y135+AA135+AB135+O135+AN135)/(1-(P135+$J$4+(1-K135)*$J$3+$J$8+$J$11+AC135+AE135))</f>
        <v/>
      </c>
      <c r="AN135" s="29">
        <f>$J$12</f>
        <v/>
      </c>
      <c r="AO135" s="29">
        <f>J135*$J$11</f>
        <v/>
      </c>
    </row>
    <row r="136" ht="28.5" customHeight="1" s="66">
      <c r="A136" s="43" t="n"/>
      <c r="B136" s="44" t="inlineStr">
        <is>
          <t>CELIMAX THE REAL NONI ENERGY AMPOULE_30ML (NEW) [30ml]/Восстанавливающая сыворотка с экстрактом нони для лица</t>
        </is>
      </c>
      <c r="C136" s="44" t="inlineStr">
        <is>
          <t>ФБС</t>
        </is>
      </c>
      <c r="D136" s="45" t="n"/>
      <c r="E136" s="45" t="inlineStr">
        <is>
          <t>добавлено в расчет: цена под ROI 25%, объем оценочный</t>
        </is>
      </c>
      <c r="F136" s="29" t="n">
        <v>62</v>
      </c>
      <c r="G136" s="29" t="n"/>
      <c r="H136" s="29" t="n"/>
      <c r="I136" s="29" t="n"/>
      <c r="J136" s="29">
        <f>(1.25*O136+R136+T136+Y136+AA136+AB136+AN136)/(1-P136-$J$8-$J$4-(1-K136)*$J$3-$J$11-AC136-AE136)</f>
        <v/>
      </c>
      <c r="K136" s="46" t="n">
        <v>0.45</v>
      </c>
      <c r="L136" s="30">
        <f>J136*(1-K136)</f>
        <v/>
      </c>
      <c r="M136" s="32" t="n">
        <v>763.83</v>
      </c>
      <c r="N136" s="32">
        <f>$J$5</f>
        <v/>
      </c>
      <c r="O136" s="33">
        <f>M136+N136</f>
        <v/>
      </c>
      <c r="P136" s="47" t="n">
        <v>0.47</v>
      </c>
      <c r="Q136" s="29">
        <f>J136*P136</f>
        <v/>
      </c>
      <c r="R136" s="29" t="n">
        <v>63</v>
      </c>
      <c r="S136" s="29">
        <f>J136*$J$8</f>
        <v/>
      </c>
      <c r="T136" s="29" t="n">
        <v>25</v>
      </c>
      <c r="U136" s="29">
        <f>J136*$J$4</f>
        <v/>
      </c>
      <c r="V136" s="29">
        <f>L136*$J$3</f>
        <v/>
      </c>
      <c r="W136" s="41" t="n">
        <v>0.9</v>
      </c>
      <c r="X136" s="29" t="n">
        <v>63</v>
      </c>
      <c r="Y136" s="29">
        <f>X136*(1-W136)</f>
        <v/>
      </c>
      <c r="Z136" s="48" t="n">
        <v>0.38</v>
      </c>
      <c r="AA136" s="29">
        <f>$J$6*$J$7*Z136</f>
        <v/>
      </c>
      <c r="AB136" s="33">
        <f>Z136*($J$9+$J$10)</f>
        <v/>
      </c>
      <c r="AC136" s="47" t="n">
        <v>0.07000000000000001</v>
      </c>
      <c r="AD136" s="29">
        <f>J136*AC136</f>
        <v/>
      </c>
      <c r="AE136" s="41" t="n">
        <v>0.08</v>
      </c>
      <c r="AF136" s="29">
        <f>J136*AE136</f>
        <v/>
      </c>
      <c r="AG136" s="29">
        <f>AD136+AF136</f>
        <v/>
      </c>
      <c r="AH136" s="38">
        <f>AG136/J136</f>
        <v/>
      </c>
      <c r="AI136" s="39">
        <f>J136-Q136-R136-S136-T136-U136-V136-Y136-AA136-AB136-O136-AN136-AO136</f>
        <v/>
      </c>
      <c r="AJ136" s="29">
        <f>AI136-AG136</f>
        <v/>
      </c>
      <c r="AK136" s="41">
        <f>AJ136/J136</f>
        <v/>
      </c>
      <c r="AL136" s="41">
        <f>AJ136/O136</f>
        <v/>
      </c>
      <c r="AM136" s="29">
        <f>(R136+T136+Y136+AA136+AB136+O136+AN136)/(1-(P136+$J$4+(1-K136)*$J$3+$J$8+$J$11+AC136+AE136))</f>
        <v/>
      </c>
      <c r="AN136" s="29">
        <f>$J$12</f>
        <v/>
      </c>
      <c r="AO136" s="29">
        <f>J136*$J$11</f>
        <v/>
      </c>
    </row>
    <row r="137" ht="28.5" customHeight="1" s="66">
      <c r="A137" s="50" t="n"/>
      <c r="B137" s="21" t="inlineStr">
        <is>
          <t>CELIMAX PORE+DARK SPOT BRIGHTENING PAD [100ml / 40pads]/Тонер-пэды для выравнивания тона и рельефа кожи</t>
        </is>
      </c>
      <c r="C137" s="50" t="n"/>
      <c r="D137" s="4" t="n"/>
      <c r="E137" s="24" t="n"/>
      <c r="F137" s="29" t="n">
        <v>1795</v>
      </c>
      <c r="G137" s="49" t="n">
        <v>2880</v>
      </c>
      <c r="H137" s="49" t="inlineStr">
        <is>
          <t>1 640</t>
        </is>
      </c>
      <c r="I137" s="49" t="n">
        <v>21</v>
      </c>
      <c r="J137" s="49">
        <f>(1.25*O137+R137+T137+Y137+AA137+AB137+AN137)/(1-P137-$J$8-$J$4-(1-K137)*$J$3-$J$11-AC137-AE137)</f>
        <v/>
      </c>
      <c r="K137" s="28" t="n">
        <v>0.45</v>
      </c>
      <c r="L137" s="30">
        <f>J137*(1-K137)</f>
        <v/>
      </c>
      <c r="M137" s="31" t="n">
        <v>556.1799999999999</v>
      </c>
      <c r="N137" s="32">
        <f>$J$5</f>
        <v/>
      </c>
      <c r="O137" s="33">
        <f>M137+N137</f>
        <v/>
      </c>
      <c r="P137" s="34" t="n">
        <v>0.47</v>
      </c>
      <c r="Q137" s="29">
        <f>J137*P137</f>
        <v/>
      </c>
      <c r="R137" s="35" t="n">
        <v>67</v>
      </c>
      <c r="S137" s="29">
        <f>J137*$J$8</f>
        <v/>
      </c>
      <c r="T137" s="35" t="n">
        <v>25</v>
      </c>
      <c r="U137" s="29">
        <f>J137*$J$4</f>
        <v/>
      </c>
      <c r="V137" s="29">
        <f>L137*$J$3</f>
        <v/>
      </c>
      <c r="W137" s="36" t="n">
        <v>0.9</v>
      </c>
      <c r="X137" s="35" t="n">
        <v>67</v>
      </c>
      <c r="Y137" s="29">
        <f>X137*(1-W137)</f>
        <v/>
      </c>
      <c r="Z137" s="37" t="n">
        <v>0.57</v>
      </c>
      <c r="AA137" s="29">
        <f>$J$6*$J$7*Z137</f>
        <v/>
      </c>
      <c r="AB137" s="33">
        <f>Z137*($J$9+$J$10)</f>
        <v/>
      </c>
      <c r="AC137" s="34" t="n">
        <v>0.07000000000000001</v>
      </c>
      <c r="AD137" s="29">
        <f>J137*AC137</f>
        <v/>
      </c>
      <c r="AE137" s="36" t="n">
        <v>0.08</v>
      </c>
      <c r="AF137" s="29">
        <f>J137*AE137</f>
        <v/>
      </c>
      <c r="AG137" s="29">
        <f>AD137+AF137</f>
        <v/>
      </c>
      <c r="AH137" s="38">
        <f>AG137/J137</f>
        <v/>
      </c>
      <c r="AI137" s="39">
        <f>J137-Q137-R137-S137-T137-U137-V137-Y137-AA137-AB137-O137-AN137-AO137</f>
        <v/>
      </c>
      <c r="AJ137" s="40">
        <f>AI137-AG137</f>
        <v/>
      </c>
      <c r="AK137" s="41">
        <f>AJ137/J137</f>
        <v/>
      </c>
      <c r="AL137" s="42">
        <f>AJ137/O137</f>
        <v/>
      </c>
      <c r="AM137" s="29">
        <f>(R137+T137+Y137+AA137+AB137+O137+AN137)/(1-(P137+$J$4+(1-K137)*$J$3+$J$8+$J$11+AC137+AE137))</f>
        <v/>
      </c>
      <c r="AN137" s="29">
        <f>$J$12</f>
        <v/>
      </c>
      <c r="AO137" s="29">
        <f>J137*$J$11</f>
        <v/>
      </c>
    </row>
    <row r="138" ht="28.5" customHeight="1" s="66">
      <c r="A138" s="43" t="n"/>
      <c r="B138" s="44" t="inlineStr">
        <is>
          <t>CELIMAX PORE+DARK SPOT BRIGHTENING SERUM_30ml [30ml]/Сыворотка для выравнивания тона и рельефа кожи лица</t>
        </is>
      </c>
      <c r="C138" s="44" t="inlineStr">
        <is>
          <t>ФБС</t>
        </is>
      </c>
      <c r="D138" s="45" t="n"/>
      <c r="E138" s="45" t="inlineStr">
        <is>
          <t>добавлено в расчет: цена под ROI 25%, объем оценочный</t>
        </is>
      </c>
      <c r="F138" s="29" t="n">
        <v>124</v>
      </c>
      <c r="G138" s="29" t="n"/>
      <c r="H138" s="29" t="n"/>
      <c r="I138" s="29" t="n"/>
      <c r="J138" s="29">
        <f>(1.25*O138+R138+T138+Y138+AA138+AB138+AN138)/(1-P138-$J$8-$J$4-(1-K138)*$J$3-$J$11-AC138-AE138)</f>
        <v/>
      </c>
      <c r="K138" s="46" t="n">
        <v>0.45</v>
      </c>
      <c r="L138" s="30">
        <f>J138*(1-K138)</f>
        <v/>
      </c>
      <c r="M138" s="32" t="n">
        <v>687.58</v>
      </c>
      <c r="N138" s="32">
        <f>$J$5</f>
        <v/>
      </c>
      <c r="O138" s="33">
        <f>M138+N138</f>
        <v/>
      </c>
      <c r="P138" s="47" t="n">
        <v>0.47</v>
      </c>
      <c r="Q138" s="29">
        <f>J138*P138</f>
        <v/>
      </c>
      <c r="R138" s="29" t="n">
        <v>63</v>
      </c>
      <c r="S138" s="29">
        <f>J138*$J$8</f>
        <v/>
      </c>
      <c r="T138" s="29" t="n">
        <v>25</v>
      </c>
      <c r="U138" s="29">
        <f>J138*$J$4</f>
        <v/>
      </c>
      <c r="V138" s="29">
        <f>L138*$J$3</f>
        <v/>
      </c>
      <c r="W138" s="41" t="n">
        <v>0.9</v>
      </c>
      <c r="X138" s="29" t="n">
        <v>63</v>
      </c>
      <c r="Y138" s="29">
        <f>X138*(1-W138)</f>
        <v/>
      </c>
      <c r="Z138" s="48" t="n">
        <v>0.38</v>
      </c>
      <c r="AA138" s="29">
        <f>$J$6*$J$7*Z138</f>
        <v/>
      </c>
      <c r="AB138" s="33">
        <f>Z138*($J$9+$J$10)</f>
        <v/>
      </c>
      <c r="AC138" s="47" t="n">
        <v>0.07000000000000001</v>
      </c>
      <c r="AD138" s="29">
        <f>J138*AC138</f>
        <v/>
      </c>
      <c r="AE138" s="41" t="n">
        <v>0.08</v>
      </c>
      <c r="AF138" s="29">
        <f>J138*AE138</f>
        <v/>
      </c>
      <c r="AG138" s="29">
        <f>AD138+AF138</f>
        <v/>
      </c>
      <c r="AH138" s="38">
        <f>AG138/J138</f>
        <v/>
      </c>
      <c r="AI138" s="39">
        <f>J138-Q138-R138-S138-T138-U138-V138-Y138-AA138-AB138-O138-AN138-AO138</f>
        <v/>
      </c>
      <c r="AJ138" s="29">
        <f>AI138-AG138</f>
        <v/>
      </c>
      <c r="AK138" s="41">
        <f>AJ138/J138</f>
        <v/>
      </c>
      <c r="AL138" s="41">
        <f>AJ138/O138</f>
        <v/>
      </c>
      <c r="AM138" s="29">
        <f>(R138+T138+Y138+AA138+AB138+O138+AN138)/(1-(P138+$J$4+(1-K138)*$J$3+$J$8+$J$11+AC138+AE138))</f>
        <v/>
      </c>
      <c r="AN138" s="29">
        <f>$J$12</f>
        <v/>
      </c>
      <c r="AO138" s="29">
        <f>J138*$J$11</f>
        <v/>
      </c>
    </row>
    <row r="139" ht="28.5" customHeight="1" s="66">
      <c r="A139" s="43" t="n"/>
      <c r="B139" s="44" t="inlineStr">
        <is>
          <t>CELIMAX THE REAL NONI MOISTURE BALANCING TONER (NEW) [150ml]/Восстанавливающий тонер с экстрактом нони</t>
        </is>
      </c>
      <c r="C139" s="44" t="inlineStr">
        <is>
          <t>ФБС</t>
        </is>
      </c>
      <c r="D139" s="45" t="n"/>
      <c r="E139" s="45" t="inlineStr">
        <is>
          <t>добавлено в расчет: цена под ROI 25%, объем оценочный</t>
        </is>
      </c>
      <c r="F139" s="29" t="n">
        <v>194</v>
      </c>
      <c r="G139" s="29" t="n"/>
      <c r="H139" s="29" t="n"/>
      <c r="I139" s="29" t="n"/>
      <c r="J139" s="29">
        <f>(1.25*O139+R139+T139+Y139+AA139+AB139+AN139)/(1-P139-$J$8-$J$4-(1-K139)*$J$3-$J$11-AC139-AE139)</f>
        <v/>
      </c>
      <c r="K139" s="46" t="n">
        <v>0.45</v>
      </c>
      <c r="L139" s="30">
        <f>J139*(1-K139)</f>
        <v/>
      </c>
      <c r="M139" s="32" t="n">
        <v>719.58</v>
      </c>
      <c r="N139" s="32">
        <f>$J$5</f>
        <v/>
      </c>
      <c r="O139" s="33">
        <f>M139+N139</f>
        <v/>
      </c>
      <c r="P139" s="47" t="n">
        <v>0.47</v>
      </c>
      <c r="Q139" s="29">
        <f>J139*P139</f>
        <v/>
      </c>
      <c r="R139" s="29" t="n">
        <v>67</v>
      </c>
      <c r="S139" s="29">
        <f>J139*$J$8</f>
        <v/>
      </c>
      <c r="T139" s="29" t="n">
        <v>25</v>
      </c>
      <c r="U139" s="29">
        <f>J139*$J$4</f>
        <v/>
      </c>
      <c r="V139" s="29">
        <f>L139*$J$3</f>
        <v/>
      </c>
      <c r="W139" s="41" t="n">
        <v>0.9</v>
      </c>
      <c r="X139" s="29" t="n">
        <v>67</v>
      </c>
      <c r="Y139" s="29">
        <f>X139*(1-W139)</f>
        <v/>
      </c>
      <c r="Z139" s="48" t="n">
        <v>0.735</v>
      </c>
      <c r="AA139" s="29">
        <f>$J$6*$J$7*Z139</f>
        <v/>
      </c>
      <c r="AB139" s="33">
        <f>Z139*($J$9+$J$10)</f>
        <v/>
      </c>
      <c r="AC139" s="47" t="n">
        <v>0.07000000000000001</v>
      </c>
      <c r="AD139" s="29">
        <f>J139*AC139</f>
        <v/>
      </c>
      <c r="AE139" s="41" t="n">
        <v>0.08</v>
      </c>
      <c r="AF139" s="29">
        <f>J139*AE139</f>
        <v/>
      </c>
      <c r="AG139" s="29">
        <f>AD139+AF139</f>
        <v/>
      </c>
      <c r="AH139" s="38">
        <f>AG139/J139</f>
        <v/>
      </c>
      <c r="AI139" s="39">
        <f>J139-Q139-R139-S139-T139-U139-V139-Y139-AA139-AB139-O139-AN139-AO139</f>
        <v/>
      </c>
      <c r="AJ139" s="29">
        <f>AI139-AG139</f>
        <v/>
      </c>
      <c r="AK139" s="41">
        <f>AJ139/J139</f>
        <v/>
      </c>
      <c r="AL139" s="41">
        <f>AJ139/O139</f>
        <v/>
      </c>
      <c r="AM139" s="29">
        <f>(R139+T139+Y139+AA139+AB139+O139+AN139)/(1-(P139+$J$4+(1-K139)*$J$3+$J$8+$J$11+AC139+AE139))</f>
        <v/>
      </c>
      <c r="AN139" s="29">
        <f>$J$12</f>
        <v/>
      </c>
      <c r="AO139" s="29">
        <f>J139*$J$11</f>
        <v/>
      </c>
    </row>
    <row r="140" ht="14.25" customHeight="1" s="66">
      <c r="A140" s="17" t="n"/>
      <c r="B140" s="18" t="inlineStr">
        <is>
          <t>Косметика/VT</t>
        </is>
      </c>
      <c r="C140" s="18" t="n"/>
      <c r="D140" s="19" t="n"/>
      <c r="E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  <c r="AA140" s="19" t="n"/>
      <c r="AB140" s="19" t="n"/>
      <c r="AC140" s="19" t="n"/>
      <c r="AD140" s="19" t="n"/>
      <c r="AE140" s="19" t="n"/>
      <c r="AF140" s="19" t="n"/>
      <c r="AG140" s="19" t="n"/>
      <c r="AH140" s="19" t="n"/>
      <c r="AI140" s="19" t="n"/>
      <c r="AJ140" s="19" t="n"/>
      <c r="AK140" s="19" t="n"/>
      <c r="AL140" s="19" t="n"/>
      <c r="AM140" s="19" t="n"/>
      <c r="AN140" s="19" t="n"/>
      <c r="AO140" s="19" t="n"/>
    </row>
    <row r="141" ht="14.25" customHeight="1" s="66">
      <c r="A141" s="50" t="n"/>
      <c r="B141" s="21" t="inlineStr">
        <is>
          <t>VT PDRN ESSENCE 100 / Укрепляющая бустер-эссенция с ПДРН</t>
        </is>
      </c>
      <c r="C141" s="21" t="n"/>
      <c r="D141" s="58" t="n"/>
      <c r="E141" s="24" t="n"/>
      <c r="F141" s="29" t="n">
        <v>1071</v>
      </c>
      <c r="G141" s="49" t="n">
        <v>6000</v>
      </c>
      <c r="H141" s="49" t="n">
        <v>500</v>
      </c>
      <c r="I141" s="49" t="n">
        <v>10</v>
      </c>
      <c r="J141" s="49">
        <f>(1.25*O141+R141+T141+Y141+AA141+AB141+AN141)/(1-P141-$J$8-$J$4-(1-K141)*$J$3-$J$11-AC141-AE141)</f>
        <v/>
      </c>
      <c r="K141" s="28" t="n">
        <v>0.45</v>
      </c>
      <c r="L141" s="30">
        <f>J141*(1-K141)</f>
        <v/>
      </c>
      <c r="M141" s="31" t="n">
        <v>1335.95</v>
      </c>
      <c r="N141" s="32">
        <f>$J$5</f>
        <v/>
      </c>
      <c r="O141" s="33">
        <f>M141+N141</f>
        <v/>
      </c>
      <c r="P141" s="34" t="n">
        <v>0.47</v>
      </c>
      <c r="Q141" s="29">
        <f>J141*P141</f>
        <v/>
      </c>
      <c r="R141" s="35" t="n">
        <v>63</v>
      </c>
      <c r="S141" s="29">
        <f>J141*$J$8</f>
        <v/>
      </c>
      <c r="T141" s="35" t="n">
        <v>25</v>
      </c>
      <c r="U141" s="29">
        <f>J141*$J$4</f>
        <v/>
      </c>
      <c r="V141" s="29">
        <f>L141*$J$3</f>
        <v/>
      </c>
      <c r="W141" s="36" t="n">
        <v>0.9</v>
      </c>
      <c r="X141" s="35" t="n">
        <v>63</v>
      </c>
      <c r="Y141" s="29">
        <f>X141*(1-W141)</f>
        <v/>
      </c>
      <c r="Z141" s="37" t="n">
        <v>0.3</v>
      </c>
      <c r="AA141" s="29">
        <f>$J$6*$J$7*Z141</f>
        <v/>
      </c>
      <c r="AB141" s="33">
        <f>Z141*($J$9+$J$10)</f>
        <v/>
      </c>
      <c r="AC141" s="34" t="n">
        <v>0.07000000000000001</v>
      </c>
      <c r="AD141" s="29">
        <f>J141*AC141</f>
        <v/>
      </c>
      <c r="AE141" s="36" t="n">
        <v>0.08</v>
      </c>
      <c r="AF141" s="29">
        <f>J141*AE141</f>
        <v/>
      </c>
      <c r="AG141" s="29">
        <f>AD141+AF141</f>
        <v/>
      </c>
      <c r="AH141" s="38">
        <f>AG141/J141</f>
        <v/>
      </c>
      <c r="AI141" s="39">
        <f>J141-Q141-R141-S141-T141-U141-V141-Y141-AA141-AB141-O141-AN141-AO141</f>
        <v/>
      </c>
      <c r="AJ141" s="40">
        <f>AI141-AG141</f>
        <v/>
      </c>
      <c r="AK141" s="41">
        <f>AJ141/J141</f>
        <v/>
      </c>
      <c r="AL141" s="42">
        <f>AJ141/O141</f>
        <v/>
      </c>
      <c r="AM141" s="29">
        <f>(R141+T141+Y141+AA141+AB141+O141+AN141)/(1-(P141+$J$4+(1-K141)*$J$3+$J$8+$J$11+AC141+AE141))</f>
        <v/>
      </c>
      <c r="AN141" s="29">
        <f>$J$12</f>
        <v/>
      </c>
      <c r="AO141" s="29">
        <f>J141*$J$11</f>
        <v/>
      </c>
    </row>
    <row r="142" ht="14.25" customHeight="1" s="66">
      <c r="A142" s="50" t="n"/>
      <c r="B142" s="21" t="inlineStr">
        <is>
          <t>VT REEDLE SHOT 100 / Бустер-сыворотка с микроиглами</t>
        </is>
      </c>
      <c r="C142" s="21" t="n"/>
      <c r="D142" s="58" t="n"/>
      <c r="E142" s="24" t="n"/>
      <c r="F142" s="29" t="n">
        <v>543</v>
      </c>
      <c r="G142" s="49" t="n">
        <v>5900</v>
      </c>
      <c r="H142" s="49" t="n">
        <v>220</v>
      </c>
      <c r="I142" s="49" t="n">
        <v>11</v>
      </c>
      <c r="J142" s="49">
        <f>(1.25*O142+R142+T142+Y142+AA142+AB142+AN142)/(1-P142-$J$8-$J$4-(1-K142)*$J$3-$J$11-AC142-AE142)</f>
        <v/>
      </c>
      <c r="K142" s="28" t="n">
        <v>0.45</v>
      </c>
      <c r="L142" s="30">
        <f>J142*(1-K142)</f>
        <v/>
      </c>
      <c r="M142" s="31" t="n">
        <v>974.04</v>
      </c>
      <c r="N142" s="32">
        <f>$J$5</f>
        <v/>
      </c>
      <c r="O142" s="33">
        <f>M142+N142</f>
        <v/>
      </c>
      <c r="P142" s="34" t="n">
        <v>0.47</v>
      </c>
      <c r="Q142" s="29">
        <f>J142*P142</f>
        <v/>
      </c>
      <c r="R142" s="35" t="n">
        <v>63</v>
      </c>
      <c r="S142" s="29">
        <f>J142*$J$8</f>
        <v/>
      </c>
      <c r="T142" s="35" t="n">
        <v>25</v>
      </c>
      <c r="U142" s="29">
        <f>J142*$J$4</f>
        <v/>
      </c>
      <c r="V142" s="29">
        <f>L142*$J$3</f>
        <v/>
      </c>
      <c r="W142" s="36" t="n">
        <v>0.9</v>
      </c>
      <c r="X142" s="35" t="n">
        <v>63</v>
      </c>
      <c r="Y142" s="29">
        <f>X142*(1-W142)</f>
        <v/>
      </c>
      <c r="Z142" s="37" t="n">
        <v>0.4</v>
      </c>
      <c r="AA142" s="29">
        <f>$J$6*$J$7*Z142</f>
        <v/>
      </c>
      <c r="AB142" s="33">
        <f>Z142*($J$9+$J$10)</f>
        <v/>
      </c>
      <c r="AC142" s="34" t="n">
        <v>0.07000000000000001</v>
      </c>
      <c r="AD142" s="29">
        <f>J142*AC142</f>
        <v/>
      </c>
      <c r="AE142" s="36" t="n">
        <v>0.08</v>
      </c>
      <c r="AF142" s="29">
        <f>J142*AE142</f>
        <v/>
      </c>
      <c r="AG142" s="29">
        <f>AD142+AF142</f>
        <v/>
      </c>
      <c r="AH142" s="38">
        <f>AG142/J142</f>
        <v/>
      </c>
      <c r="AI142" s="39">
        <f>J142-Q142-R142-S142-T142-U142-V142-Y142-AA142-AB142-O142-AN142-AO142</f>
        <v/>
      </c>
      <c r="AJ142" s="40">
        <f>AI142-AG142</f>
        <v/>
      </c>
      <c r="AK142" s="41">
        <f>AJ142/J142</f>
        <v/>
      </c>
      <c r="AL142" s="42">
        <f>AJ142/O142</f>
        <v/>
      </c>
      <c r="AM142" s="29">
        <f>(R142+T142+Y142+AA142+AB142+O142+AN142)/(1-(P142+$J$4+(1-K142)*$J$3+$J$8+$J$11+AC142+AE142))</f>
        <v/>
      </c>
      <c r="AN142" s="29">
        <f>$J$12</f>
        <v/>
      </c>
      <c r="AO142" s="29">
        <f>J142*$J$11</f>
        <v/>
      </c>
    </row>
    <row r="143" ht="14.25" customHeight="1" s="66">
      <c r="A143" s="43" t="n"/>
      <c r="B143" s="44" t="inlineStr">
        <is>
          <t>Итого:</t>
        </is>
      </c>
      <c r="C143" s="44" t="n"/>
      <c r="D143" s="45" t="n"/>
      <c r="E143" s="45" t="n"/>
      <c r="G143" s="29" t="n"/>
      <c r="H143" s="29" t="n"/>
      <c r="I143" s="29" t="n"/>
      <c r="J143" s="29" t="n"/>
      <c r="K143" s="46" t="n"/>
      <c r="L143" s="30" t="n"/>
      <c r="M143" s="32" t="n"/>
      <c r="N143" s="32" t="n"/>
      <c r="O143" s="33" t="n"/>
      <c r="P143" s="47" t="n"/>
      <c r="Q143" s="29" t="n"/>
      <c r="R143" s="29" t="n"/>
      <c r="S143" s="29" t="n"/>
      <c r="T143" s="29" t="n"/>
      <c r="U143" s="29" t="n"/>
      <c r="V143" s="29" t="n"/>
      <c r="W143" s="41" t="n"/>
      <c r="X143" s="29" t="n"/>
      <c r="Y143" s="29" t="n"/>
      <c r="Z143" s="48" t="n"/>
      <c r="AA143" s="29" t="n"/>
      <c r="AB143" s="33" t="n"/>
      <c r="AC143" s="47" t="n"/>
      <c r="AD143" s="29" t="n"/>
      <c r="AE143" s="41" t="n"/>
      <c r="AF143" s="29" t="n"/>
      <c r="AG143" s="29" t="n"/>
      <c r="AH143" s="38" t="n"/>
      <c r="AI143" s="39" t="n"/>
      <c r="AJ143" s="29" t="n"/>
      <c r="AK143" s="41" t="n"/>
      <c r="AL143" s="41" t="n"/>
      <c r="AM143" s="29" t="n"/>
      <c r="AN143" s="29" t="n"/>
      <c r="AO143" s="29" t="n"/>
    </row>
    <row r="144" ht="14.25" customHeight="1" s="66">
      <c r="A144" s="17" t="n"/>
      <c r="B144" s="18" t="inlineStr">
        <is>
          <t>НЕ В ОСТАТКАХ (юнитка без строки в остатках)</t>
        </is>
      </c>
      <c r="C144" s="18" t="n"/>
      <c r="D144" s="19" t="n"/>
      <c r="E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  <c r="AA144" s="19" t="n"/>
      <c r="AB144" s="19" t="n"/>
      <c r="AC144" s="19" t="n"/>
      <c r="AD144" s="19" t="n"/>
      <c r="AE144" s="19" t="n"/>
      <c r="AF144" s="19" t="n"/>
      <c r="AG144" s="19" t="n"/>
      <c r="AH144" s="19" t="n"/>
      <c r="AI144" s="19" t="n"/>
      <c r="AJ144" s="19" t="n"/>
      <c r="AK144" s="19" t="n"/>
      <c r="AL144" s="19" t="n"/>
      <c r="AM144" s="19" t="n"/>
      <c r="AN144" s="19" t="n"/>
      <c r="AO144" s="19" t="n"/>
    </row>
    <row r="145" ht="14.25" customHeight="1" s="66">
      <c r="A145" s="61" t="n"/>
      <c r="B145" s="62" t="inlineStr">
        <is>
          <t>1025 DOKDO BUBBLE FOAM_150ml</t>
        </is>
      </c>
      <c r="C145" s="62" t="n"/>
      <c r="D145" s="63" t="n">
        <v>600</v>
      </c>
      <c r="E145" s="64" t="n"/>
      <c r="F145" s="29" t="n">
        <v>0</v>
      </c>
      <c r="G145" s="49" t="n">
        <v>2650</v>
      </c>
      <c r="H145" s="49" t="n">
        <v>20</v>
      </c>
      <c r="I145" s="49" t="n">
        <v>2</v>
      </c>
      <c r="J145" s="49">
        <f>(1.25*O145+R145+T145+Y145+AA145+AB145+AN145)/(1-P145-$J$8-$J$4-(1-K145)*$J$3-$J$11-AC145-AE145)</f>
        <v/>
      </c>
      <c r="K145" s="28" t="n">
        <v>0.45</v>
      </c>
      <c r="L145" s="30">
        <f>J145*(1-K145)</f>
        <v/>
      </c>
      <c r="M145" s="31" t="n">
        <v>455</v>
      </c>
      <c r="N145" s="32">
        <f>$J$5</f>
        <v/>
      </c>
      <c r="O145" s="33">
        <f>M145+N145</f>
        <v/>
      </c>
      <c r="P145" s="34" t="n">
        <v>0.47</v>
      </c>
      <c r="Q145" s="29">
        <f>J145*P145</f>
        <v/>
      </c>
      <c r="R145" s="35" t="n">
        <v>74</v>
      </c>
      <c r="S145" s="29">
        <f>J145*$J$8</f>
        <v/>
      </c>
      <c r="T145" s="35" t="n">
        <v>25</v>
      </c>
      <c r="U145" s="29">
        <f>J145*$J$4</f>
        <v/>
      </c>
      <c r="V145" s="29">
        <f>L145*$J$3</f>
        <v/>
      </c>
      <c r="W145" s="36" t="n">
        <v>0.9</v>
      </c>
      <c r="X145" s="35" t="n">
        <v>74</v>
      </c>
      <c r="Y145" s="29">
        <f>X145*(1-W145)</f>
        <v/>
      </c>
      <c r="Z145" s="37" t="n">
        <v>1.28</v>
      </c>
      <c r="AA145" s="29">
        <f>$J$6*$J$7*Z145</f>
        <v/>
      </c>
      <c r="AB145" s="33">
        <f>Z145*($J$9+$J$10)</f>
        <v/>
      </c>
      <c r="AC145" s="34" t="n">
        <v>0.07000000000000001</v>
      </c>
      <c r="AD145" s="29">
        <f>J145*AC145</f>
        <v/>
      </c>
      <c r="AE145" s="36" t="n">
        <v>0.08</v>
      </c>
      <c r="AF145" s="29">
        <f>J145*AE145</f>
        <v/>
      </c>
      <c r="AG145" s="29">
        <f>AD145+AF145</f>
        <v/>
      </c>
      <c r="AH145" s="38">
        <f>AG145/J145</f>
        <v/>
      </c>
      <c r="AI145" s="39">
        <f>J145-Q145-R145-S145-T145-U145-V145-Y145-AA145-AB145-O145-AN145-AO145</f>
        <v/>
      </c>
      <c r="AJ145" s="40">
        <f>AI145-AG145</f>
        <v/>
      </c>
      <c r="AK145" s="41">
        <f>AJ145/J145</f>
        <v/>
      </c>
      <c r="AL145" s="42">
        <f>AJ145/O145</f>
        <v/>
      </c>
      <c r="AM145" s="29">
        <f>(R145+T145+Y145+AA145+AB145+O145+AN145)/(1-(P145+$J$4+(1-K145)*$J$3+$J$8+$J$11+AC145+AE145))</f>
        <v/>
      </c>
      <c r="AN145" s="29">
        <f>$J$12</f>
        <v/>
      </c>
      <c r="AO145" s="29">
        <f>J145*$J$11</f>
        <v/>
      </c>
    </row>
    <row r="146" ht="14.25" customHeight="1" s="66">
      <c r="A146" s="61" t="n"/>
      <c r="B146" s="62" t="inlineStr">
        <is>
          <t>MEDICUBE PDRN PINK PEPTIDE SERUM 30ml</t>
        </is>
      </c>
      <c r="C146" s="62" t="n"/>
      <c r="D146" s="63" t="n">
        <v>320</v>
      </c>
      <c r="E146" s="4" t="n"/>
      <c r="F146" s="29" t="n">
        <v>0</v>
      </c>
      <c r="G146" s="49" t="n">
        <v>4880</v>
      </c>
      <c r="H146" s="49" t="n">
        <v>220</v>
      </c>
      <c r="I146" s="49" t="n">
        <v>10</v>
      </c>
      <c r="J146" s="49">
        <f>(1.25*O146+R146+T146+Y146+AA146+AB146+AN146)/(1-P146-$J$8-$J$4-(1-K146)*$J$3-$J$11-AC146-AE146)</f>
        <v/>
      </c>
      <c r="K146" s="28" t="n">
        <v>0.45</v>
      </c>
      <c r="L146" s="30">
        <f>J146*(1-K146)</f>
        <v/>
      </c>
      <c r="M146" s="31" t="n">
        <v>674</v>
      </c>
      <c r="N146" s="32">
        <f>$J$5</f>
        <v/>
      </c>
      <c r="O146" s="33">
        <f>M146+N146</f>
        <v/>
      </c>
      <c r="P146" s="34" t="n">
        <v>0.47</v>
      </c>
      <c r="Q146" s="29">
        <f>J146*P146</f>
        <v/>
      </c>
      <c r="R146" s="35" t="n">
        <v>63</v>
      </c>
      <c r="S146" s="29">
        <f>J146*$J$8</f>
        <v/>
      </c>
      <c r="T146" s="35" t="n">
        <v>25</v>
      </c>
      <c r="U146" s="29">
        <f>J146*$J$4</f>
        <v/>
      </c>
      <c r="V146" s="29">
        <f>L146*$J$3</f>
        <v/>
      </c>
      <c r="W146" s="36" t="n">
        <v>0.9</v>
      </c>
      <c r="X146" s="35" t="n">
        <v>63</v>
      </c>
      <c r="Y146" s="29">
        <f>X146*(1-W146)</f>
        <v/>
      </c>
      <c r="Z146" s="37" t="n">
        <v>0.4</v>
      </c>
      <c r="AA146" s="29">
        <f>$J$6*$J$7*Z146</f>
        <v/>
      </c>
      <c r="AB146" s="33">
        <f>Z146*($J$9+$J$10)</f>
        <v/>
      </c>
      <c r="AC146" s="34" t="n">
        <v>0.07000000000000001</v>
      </c>
      <c r="AD146" s="29">
        <f>J146*AC146</f>
        <v/>
      </c>
      <c r="AE146" s="36" t="n">
        <v>0.08</v>
      </c>
      <c r="AF146" s="29">
        <f>J146*AE146</f>
        <v/>
      </c>
      <c r="AG146" s="29">
        <f>AD146+AF146</f>
        <v/>
      </c>
      <c r="AH146" s="38">
        <f>AG146/J146</f>
        <v/>
      </c>
      <c r="AI146" s="39">
        <f>J146-Q146-R146-S146-T146-U146-V146-Y146-AA146-AB146-O146-AN146-AO146</f>
        <v/>
      </c>
      <c r="AJ146" s="40">
        <f>AI146-AG146</f>
        <v/>
      </c>
      <c r="AK146" s="41">
        <f>AJ146/J146</f>
        <v/>
      </c>
      <c r="AL146" s="42">
        <f>AJ146/O146</f>
        <v/>
      </c>
      <c r="AM146" s="29">
        <f>(R146+T146+Y146+AA146+AB146+O146+AN146)/(1-(P146+$J$4+(1-K146)*$J$3+$J$8+$J$11+AC146+AE146))</f>
        <v/>
      </c>
      <c r="AN146" s="29">
        <f>$J$12</f>
        <v/>
      </c>
      <c r="AO146" s="29">
        <f>J146*$J$11</f>
        <v/>
      </c>
    </row>
    <row r="147" ht="14.25" customHeight="1" s="66">
      <c r="A147" s="61" t="n"/>
      <c r="B147" s="62" t="inlineStr">
        <is>
          <t>MEDICUBE PDRN PINK EXOSOME SHOT SERUM 7500 30ml</t>
        </is>
      </c>
      <c r="C147" s="62" t="n"/>
      <c r="D147" s="63" t="n">
        <v>400</v>
      </c>
      <c r="E147" s="65" t="n"/>
      <c r="F147" s="29" t="n">
        <v>0</v>
      </c>
      <c r="G147" s="49" t="n">
        <v>5000</v>
      </c>
      <c r="H147" s="49" t="n">
        <v>60</v>
      </c>
      <c r="I147" s="49" t="n">
        <v>10</v>
      </c>
      <c r="J147" s="49">
        <f>(1.25*O147+R147+T147+Y147+AA147+AB147+AN147)/(1-P147-$J$8-$J$4-(1-K147)*$J$3-$J$11-AC147-AE147)</f>
        <v/>
      </c>
      <c r="K147" s="28" t="n">
        <v>0.45</v>
      </c>
      <c r="L147" s="30">
        <f>J147*(1-K147)</f>
        <v/>
      </c>
      <c r="M147" s="31" t="n">
        <v>833</v>
      </c>
      <c r="N147" s="32">
        <f>$J$5</f>
        <v/>
      </c>
      <c r="O147" s="33">
        <f>M147+N147</f>
        <v/>
      </c>
      <c r="P147" s="34" t="n">
        <v>0.47</v>
      </c>
      <c r="Q147" s="29">
        <f>J147*P147</f>
        <v/>
      </c>
      <c r="R147" s="35" t="n">
        <v>63</v>
      </c>
      <c r="S147" s="29">
        <f>J147*$J$8</f>
        <v/>
      </c>
      <c r="T147" s="35" t="n">
        <v>25</v>
      </c>
      <c r="U147" s="29">
        <f>J147*$J$4</f>
        <v/>
      </c>
      <c r="V147" s="29">
        <f>L147*$J$3</f>
        <v/>
      </c>
      <c r="W147" s="36" t="n">
        <v>0.9</v>
      </c>
      <c r="X147" s="35" t="n">
        <v>63</v>
      </c>
      <c r="Y147" s="29">
        <f>X147*(1-W147)</f>
        <v/>
      </c>
      <c r="Z147" s="37" t="n">
        <v>0.4</v>
      </c>
      <c r="AA147" s="29">
        <f>$J$6*$J$7*Z147</f>
        <v/>
      </c>
      <c r="AB147" s="33">
        <f>Z147*($J$9+$J$10)</f>
        <v/>
      </c>
      <c r="AC147" s="34" t="n">
        <v>0.07000000000000001</v>
      </c>
      <c r="AD147" s="29">
        <f>J147*AC147</f>
        <v/>
      </c>
      <c r="AE147" s="36" t="n">
        <v>0.08</v>
      </c>
      <c r="AF147" s="29">
        <f>J147*AE147</f>
        <v/>
      </c>
      <c r="AG147" s="29">
        <f>AD147+AF147</f>
        <v/>
      </c>
      <c r="AH147" s="38">
        <f>AG147/J147</f>
        <v/>
      </c>
      <c r="AI147" s="39">
        <f>J147-Q147-R147-S147-T147-U147-V147-Y147-AA147-AB147-O147-AN147-AO147</f>
        <v/>
      </c>
      <c r="AJ147" s="40">
        <f>AI147-AG147</f>
        <v/>
      </c>
      <c r="AK147" s="41">
        <f>AJ147/J147</f>
        <v/>
      </c>
      <c r="AL147" s="42">
        <f>AJ147/O147</f>
        <v/>
      </c>
      <c r="AM147" s="29">
        <f>(R147+T147+Y147+AA147+AB147+O147+AN147)/(1-(P147+$J$4+(1-K147)*$J$3+$J$8+$J$11+AC147+AE147))</f>
        <v/>
      </c>
      <c r="AN147" s="29">
        <f>$J$12</f>
        <v/>
      </c>
      <c r="AO147" s="29">
        <f>J147*$J$11</f>
        <v/>
      </c>
    </row>
    <row r="148" ht="14.25" customHeight="1" s="66">
      <c r="A148" s="61" t="n"/>
      <c r="B148" s="62" t="inlineStr">
        <is>
          <t>MEDICUBE PDRN PINK EXOSOME SHOT SERUM 2000 30ml</t>
        </is>
      </c>
      <c r="C148" s="62" t="n"/>
      <c r="D148" s="63" t="n">
        <v>300</v>
      </c>
      <c r="E148" s="4" t="n"/>
      <c r="F148" s="29" t="n">
        <v>0</v>
      </c>
      <c r="G148" s="49" t="n">
        <v>5150</v>
      </c>
      <c r="H148" s="49" t="n">
        <v>65</v>
      </c>
      <c r="I148" s="49" t="n">
        <v>5</v>
      </c>
      <c r="J148" s="49">
        <f>(1.25*O148+R148+T148+Y148+AA148+AB148+AN148)/(1-P148-$J$8-$J$4-(1-K148)*$J$3-$J$11-AC148-AE148)</f>
        <v/>
      </c>
      <c r="K148" s="28" t="n">
        <v>0.45</v>
      </c>
      <c r="L148" s="30">
        <f>J148*(1-K148)</f>
        <v/>
      </c>
      <c r="M148" s="31" t="n">
        <v>757</v>
      </c>
      <c r="N148" s="32">
        <f>$J$5</f>
        <v/>
      </c>
      <c r="O148" s="33">
        <f>M148+N148</f>
        <v/>
      </c>
      <c r="P148" s="34" t="n">
        <v>0.47</v>
      </c>
      <c r="Q148" s="29">
        <f>J148*P148</f>
        <v/>
      </c>
      <c r="R148" s="35" t="n">
        <v>63</v>
      </c>
      <c r="S148" s="29">
        <f>J148*$J$8</f>
        <v/>
      </c>
      <c r="T148" s="35" t="n">
        <v>25</v>
      </c>
      <c r="U148" s="29">
        <f>J148*$J$4</f>
        <v/>
      </c>
      <c r="V148" s="29">
        <f>L148*$J$3</f>
        <v/>
      </c>
      <c r="W148" s="36" t="n">
        <v>0.9</v>
      </c>
      <c r="X148" s="35" t="n">
        <v>63</v>
      </c>
      <c r="Y148" s="29">
        <f>X148*(1-W148)</f>
        <v/>
      </c>
      <c r="Z148" s="37" t="n">
        <v>0.4</v>
      </c>
      <c r="AA148" s="29">
        <f>$J$6*$J$7*Z148</f>
        <v/>
      </c>
      <c r="AB148" s="33">
        <f>Z148*($J$9+$J$10)</f>
        <v/>
      </c>
      <c r="AC148" s="34" t="n">
        <v>0.07000000000000001</v>
      </c>
      <c r="AD148" s="29">
        <f>J148*AC148</f>
        <v/>
      </c>
      <c r="AE148" s="36" t="n">
        <v>0.08</v>
      </c>
      <c r="AF148" s="29">
        <f>J148*AE148</f>
        <v/>
      </c>
      <c r="AG148" s="29">
        <f>AD148+AF148</f>
        <v/>
      </c>
      <c r="AH148" s="38">
        <f>AG148/J148</f>
        <v/>
      </c>
      <c r="AI148" s="39">
        <f>J148-Q148-R148-S148-T148-U148-V148-Y148-AA148-AB148-O148-AN148-AO148</f>
        <v/>
      </c>
      <c r="AJ148" s="40">
        <f>AI148-AG148</f>
        <v/>
      </c>
      <c r="AK148" s="41">
        <f>AJ148/J148</f>
        <v/>
      </c>
      <c r="AL148" s="42">
        <f>AJ148/O148</f>
        <v/>
      </c>
      <c r="AM148" s="29">
        <f>(R148+T148+Y148+AA148+AB148+O148+AN148)/(1-(P148+$J$4+(1-K148)*$J$3+$J$8+$J$11+AC148+AE148))</f>
        <v/>
      </c>
      <c r="AN148" s="29">
        <f>$J$12</f>
        <v/>
      </c>
      <c r="AO148" s="29">
        <f>J148*$J$11</f>
        <v/>
      </c>
    </row>
    <row r="149" ht="14.25" customHeight="1" s="66">
      <c r="A149" s="61" t="n"/>
      <c r="B149" s="62" t="inlineStr">
        <is>
          <t>MEDICUBE TXA NIACINAMIDE CAPSULE CREAM 55g</t>
        </is>
      </c>
      <c r="C149" s="62" t="n"/>
      <c r="D149" s="63" t="n">
        <v>240</v>
      </c>
      <c r="E149" s="4" t="n"/>
      <c r="F149" s="29" t="n">
        <v>0</v>
      </c>
      <c r="G149" s="49" t="n">
        <v>6900</v>
      </c>
      <c r="H149" s="49" t="n">
        <v>25</v>
      </c>
      <c r="I149" s="49" t="n">
        <v>0</v>
      </c>
      <c r="J149" s="49">
        <f>(1.25*O149+R149+T149+Y149+AA149+AB149+AN149)/(1-P149-$J$8-$J$4-(1-K149)*$J$3-$J$11-AC149-AE149)</f>
        <v/>
      </c>
      <c r="K149" s="28" t="n">
        <v>0.45</v>
      </c>
      <c r="L149" s="30">
        <f>J149*(1-K149)</f>
        <v/>
      </c>
      <c r="M149" s="31" t="n">
        <v>922</v>
      </c>
      <c r="N149" s="32">
        <f>$J$5</f>
        <v/>
      </c>
      <c r="O149" s="33">
        <f>M149+N149</f>
        <v/>
      </c>
      <c r="P149" s="34" t="n">
        <v>0.47</v>
      </c>
      <c r="Q149" s="29">
        <f>J149*P149</f>
        <v/>
      </c>
      <c r="R149" s="35" t="n">
        <v>63</v>
      </c>
      <c r="S149" s="29">
        <f>J149*$J$8</f>
        <v/>
      </c>
      <c r="T149" s="35" t="n">
        <v>25</v>
      </c>
      <c r="U149" s="29">
        <f>J149*$J$4</f>
        <v/>
      </c>
      <c r="V149" s="29">
        <f>L149*$J$3</f>
        <v/>
      </c>
      <c r="W149" s="36" t="n">
        <v>0.9</v>
      </c>
      <c r="X149" s="35" t="n">
        <v>63</v>
      </c>
      <c r="Y149" s="29">
        <f>X149*(1-W149)</f>
        <v/>
      </c>
      <c r="Z149" s="37" t="n">
        <v>0.4</v>
      </c>
      <c r="AA149" s="29">
        <f>$J$6*$J$7*Z149</f>
        <v/>
      </c>
      <c r="AB149" s="33">
        <f>Z149*($J$9+$J$10)</f>
        <v/>
      </c>
      <c r="AC149" s="34" t="n">
        <v>0.07000000000000001</v>
      </c>
      <c r="AD149" s="29">
        <f>J149*AC149</f>
        <v/>
      </c>
      <c r="AE149" s="36" t="n">
        <v>0.08</v>
      </c>
      <c r="AF149" s="29">
        <f>J149*AE149</f>
        <v/>
      </c>
      <c r="AG149" s="29">
        <f>AD149+AF149</f>
        <v/>
      </c>
      <c r="AH149" s="38">
        <f>AG149/J149</f>
        <v/>
      </c>
      <c r="AI149" s="39">
        <f>J149-Q149-R149-S149-T149-U149-V149-Y149-AA149-AB149-O149-AN149-AO149</f>
        <v/>
      </c>
      <c r="AJ149" s="40">
        <f>AI149-AG149</f>
        <v/>
      </c>
      <c r="AK149" s="41">
        <f>AJ149/J149</f>
        <v/>
      </c>
      <c r="AL149" s="42">
        <f>AJ149/O149</f>
        <v/>
      </c>
      <c r="AM149" s="29">
        <f>(R149+T149+Y149+AA149+AB149+O149+AN149)/(1-(P149+$J$4+(1-K149)*$J$3+$J$8+$J$11+AC149+AE149))</f>
        <v/>
      </c>
      <c r="AN149" s="29">
        <f>$J$12</f>
        <v/>
      </c>
      <c r="AO149" s="29">
        <f>J149*$J$11</f>
        <v/>
      </c>
    </row>
    <row r="150" ht="14.25" customHeight="1" s="66">
      <c r="A150" s="61" t="n"/>
      <c r="B150" s="62" t="inlineStr">
        <is>
          <t>MEDICUBE PDRN PINK COLLAGEN CAPSULE CREAM 55g</t>
        </is>
      </c>
      <c r="C150" s="62" t="n"/>
      <c r="D150" s="63" t="n">
        <v>160</v>
      </c>
      <c r="E150" s="4" t="n"/>
      <c r="F150" s="29" t="n">
        <v>0</v>
      </c>
      <c r="G150" s="49" t="n">
        <v>5270</v>
      </c>
      <c r="H150" s="49" t="n">
        <v>200</v>
      </c>
      <c r="I150" s="49" t="n">
        <v>17</v>
      </c>
      <c r="J150" s="49">
        <f>(1.25*O150+R150+T150+Y150+AA150+AB150+AN150)/(1-P150-$J$8-$J$4-(1-K150)*$J$3-$J$11-AC150-AE150)</f>
        <v/>
      </c>
      <c r="K150" s="28" t="n">
        <v>0.45</v>
      </c>
      <c r="L150" s="30">
        <f>J150*(1-K150)</f>
        <v/>
      </c>
      <c r="M150" s="31" t="n">
        <v>1019</v>
      </c>
      <c r="N150" s="32">
        <f>$J$5</f>
        <v/>
      </c>
      <c r="O150" s="33">
        <f>M150+N150</f>
        <v/>
      </c>
      <c r="P150" s="34" t="n">
        <v>0.47</v>
      </c>
      <c r="Q150" s="29">
        <f>J150*P150</f>
        <v/>
      </c>
      <c r="R150" s="35" t="n">
        <v>63</v>
      </c>
      <c r="S150" s="29">
        <f>J150*$J$8</f>
        <v/>
      </c>
      <c r="T150" s="35" t="n">
        <v>25</v>
      </c>
      <c r="U150" s="29">
        <f>J150*$J$4</f>
        <v/>
      </c>
      <c r="V150" s="29">
        <f>L150*$J$3</f>
        <v/>
      </c>
      <c r="W150" s="36" t="n">
        <v>0.9</v>
      </c>
      <c r="X150" s="35" t="n">
        <v>63</v>
      </c>
      <c r="Y150" s="29">
        <f>X150*(1-W150)</f>
        <v/>
      </c>
      <c r="Z150" s="37" t="n">
        <v>0.4</v>
      </c>
      <c r="AA150" s="29">
        <f>$J$6*$J$7*Z150</f>
        <v/>
      </c>
      <c r="AB150" s="33">
        <f>Z150*($J$9+$J$10)</f>
        <v/>
      </c>
      <c r="AC150" s="34" t="n">
        <v>0.07000000000000001</v>
      </c>
      <c r="AD150" s="29">
        <f>J150*AC150</f>
        <v/>
      </c>
      <c r="AE150" s="36" t="n">
        <v>0.08</v>
      </c>
      <c r="AF150" s="29">
        <f>J150*AE150</f>
        <v/>
      </c>
      <c r="AG150" s="29">
        <f>AD150+AF150</f>
        <v/>
      </c>
      <c r="AH150" s="38">
        <f>AG150/J150</f>
        <v/>
      </c>
      <c r="AI150" s="39">
        <f>J150-Q150-R150-S150-T150-U150-V150-Y150-AA150-AB150-O150-AN150-AO150</f>
        <v/>
      </c>
      <c r="AJ150" s="40">
        <f>AI150-AG150</f>
        <v/>
      </c>
      <c r="AK150" s="41">
        <f>AJ150/J150</f>
        <v/>
      </c>
      <c r="AL150" s="42">
        <f>AJ150/O150</f>
        <v/>
      </c>
      <c r="AM150" s="29">
        <f>(R150+T150+Y150+AA150+AB150+O150+AN150)/(1-(P150+$J$4+(1-K150)*$J$3+$J$8+$J$11+AC150+AE150))</f>
        <v/>
      </c>
      <c r="AN150" s="29">
        <f>$J$12</f>
        <v/>
      </c>
      <c r="AO150" s="29">
        <f>J150*$J$11</f>
        <v/>
      </c>
    </row>
    <row r="151" ht="14.25" customHeight="1" s="66">
      <c r="A151" s="61" t="n"/>
      <c r="B151" s="62" t="inlineStr">
        <is>
          <t>MEDICUBE PDRN PINK HYALURONIC MOISTURIZING CREAM 50ml</t>
        </is>
      </c>
      <c r="C151" s="62" t="n"/>
      <c r="D151" s="63" t="n">
        <v>200</v>
      </c>
      <c r="E151" s="4" t="n"/>
      <c r="F151" s="29" t="n">
        <v>0</v>
      </c>
      <c r="G151" s="49" t="n">
        <v>3450</v>
      </c>
      <c r="H151" s="49" t="n">
        <v>100</v>
      </c>
      <c r="I151" s="49" t="n">
        <v>10</v>
      </c>
      <c r="J151" s="49">
        <f>(1.25*O151+R151+T151+Y151+AA151+AB151+AN151)/(1-P151-$J$8-$J$4-(1-K151)*$J$3-$J$11-AC151-AE151)</f>
        <v/>
      </c>
      <c r="K151" s="28" t="n">
        <v>0.45</v>
      </c>
      <c r="L151" s="30">
        <f>J151*(1-K151)</f>
        <v/>
      </c>
      <c r="M151" s="31" t="n">
        <v>670</v>
      </c>
      <c r="N151" s="32">
        <f>$J$5</f>
        <v/>
      </c>
      <c r="O151" s="33">
        <f>M151+N151</f>
        <v/>
      </c>
      <c r="P151" s="34" t="n">
        <v>0.47</v>
      </c>
      <c r="Q151" s="29">
        <f>J151*P151</f>
        <v/>
      </c>
      <c r="R151" s="35" t="n">
        <v>63</v>
      </c>
      <c r="S151" s="29">
        <f>J151*$J$8</f>
        <v/>
      </c>
      <c r="T151" s="35" t="n">
        <v>25</v>
      </c>
      <c r="U151" s="29">
        <f>J151*$J$4</f>
        <v/>
      </c>
      <c r="V151" s="29">
        <f>L151*$J$3</f>
        <v/>
      </c>
      <c r="W151" s="36" t="n">
        <v>0.9</v>
      </c>
      <c r="X151" s="35" t="n">
        <v>63</v>
      </c>
      <c r="Y151" s="29">
        <f>X151*(1-W151)</f>
        <v/>
      </c>
      <c r="Z151" s="37" t="n">
        <v>0.4</v>
      </c>
      <c r="AA151" s="29">
        <f>$J$6*$J$7*Z151</f>
        <v/>
      </c>
      <c r="AB151" s="33">
        <f>Z151*($J$9+$J$10)</f>
        <v/>
      </c>
      <c r="AC151" s="34" t="n">
        <v>0.07000000000000001</v>
      </c>
      <c r="AD151" s="29">
        <f>J151*AC151</f>
        <v/>
      </c>
      <c r="AE151" s="36" t="n">
        <v>0.08</v>
      </c>
      <c r="AF151" s="29">
        <f>J151*AE151</f>
        <v/>
      </c>
      <c r="AG151" s="29">
        <f>AD151+AF151</f>
        <v/>
      </c>
      <c r="AH151" s="38">
        <f>AG151/J151</f>
        <v/>
      </c>
      <c r="AI151" s="39">
        <f>J151-Q151-R151-S151-T151-U151-V151-Y151-AA151-AB151-O151-AN151-AO151</f>
        <v/>
      </c>
      <c r="AJ151" s="40">
        <f>AI151-AG151</f>
        <v/>
      </c>
      <c r="AK151" s="41">
        <f>AJ151/J151</f>
        <v/>
      </c>
      <c r="AL151" s="42">
        <f>AJ151/O151</f>
        <v/>
      </c>
      <c r="AM151" s="29">
        <f>(R151+T151+Y151+AA151+AB151+O151+AN151)/(1-(P151+$J$4+(1-K151)*$J$3+$J$8+$J$11+AC151+AE151))</f>
        <v/>
      </c>
      <c r="AN151" s="29">
        <f>$J$12</f>
        <v/>
      </c>
      <c r="AO151" s="29">
        <f>J151*$J$11</f>
        <v/>
      </c>
    </row>
    <row r="152" ht="14.25" customHeight="1" s="66">
      <c r="A152" s="61" t="n"/>
      <c r="B152" s="62" t="inlineStr">
        <is>
          <t>[Derma Factory] PDRN 4% Ampoule</t>
        </is>
      </c>
      <c r="C152" s="62" t="n"/>
      <c r="D152" s="63" t="n">
        <v>1530</v>
      </c>
      <c r="E152" s="4" t="n"/>
      <c r="F152" s="29" t="n">
        <v>0</v>
      </c>
      <c r="G152" s="49" t="n">
        <v>3350</v>
      </c>
      <c r="H152" s="49" t="n">
        <v>400</v>
      </c>
      <c r="I152" s="49" t="n">
        <v>13</v>
      </c>
      <c r="J152" s="49">
        <f>(1.25*O152+R152+T152+Y152+AA152+AB152+AN152)/(1-P152-$J$8-$J$4-(1-K152)*$J$3-$J$11-AC152-AE152)</f>
        <v/>
      </c>
      <c r="K152" s="28" t="n">
        <v>0.45</v>
      </c>
      <c r="L152" s="30">
        <f>J152*(1-K152)</f>
        <v/>
      </c>
      <c r="M152" s="31" t="n">
        <v>407</v>
      </c>
      <c r="N152" s="32">
        <f>$J$5</f>
        <v/>
      </c>
      <c r="O152" s="33">
        <f>M152+N152</f>
        <v/>
      </c>
      <c r="P152" s="34" t="n">
        <v>0.47</v>
      </c>
      <c r="Q152" s="29">
        <f>J152*P152</f>
        <v/>
      </c>
      <c r="R152" s="35" t="n">
        <v>63</v>
      </c>
      <c r="S152" s="29">
        <f>J152*$J$8</f>
        <v/>
      </c>
      <c r="T152" s="35" t="n">
        <v>25</v>
      </c>
      <c r="U152" s="29">
        <f>J152*$J$4</f>
        <v/>
      </c>
      <c r="V152" s="29">
        <f>L152*$J$3</f>
        <v/>
      </c>
      <c r="W152" s="36" t="n">
        <v>0.9</v>
      </c>
      <c r="X152" s="35" t="n">
        <v>63</v>
      </c>
      <c r="Y152" s="29">
        <f>X152*(1-W152)</f>
        <v/>
      </c>
      <c r="Z152" s="37" t="n">
        <v>0.4</v>
      </c>
      <c r="AA152" s="29">
        <f>$J$6*$J$7*Z152</f>
        <v/>
      </c>
      <c r="AB152" s="33">
        <f>Z152*($J$9+$J$10)</f>
        <v/>
      </c>
      <c r="AC152" s="34" t="n">
        <v>0.07000000000000001</v>
      </c>
      <c r="AD152" s="29">
        <f>J152*AC152</f>
        <v/>
      </c>
      <c r="AE152" s="36" t="n">
        <v>0.08</v>
      </c>
      <c r="AF152" s="29">
        <f>J152*AE152</f>
        <v/>
      </c>
      <c r="AG152" s="29">
        <f>AD152+AF152</f>
        <v/>
      </c>
      <c r="AH152" s="38">
        <f>AG152/J152</f>
        <v/>
      </c>
      <c r="AI152" s="39">
        <f>J152-Q152-R152-S152-T152-U152-V152-Y152-AA152-AB152-O152-AN152-AO152</f>
        <v/>
      </c>
      <c r="AJ152" s="40">
        <f>AI152-AG152</f>
        <v/>
      </c>
      <c r="AK152" s="41">
        <f>AJ152/J152</f>
        <v/>
      </c>
      <c r="AL152" s="42">
        <f>AJ152/O152</f>
        <v/>
      </c>
      <c r="AM152" s="29">
        <f>(R152+T152+Y152+AA152+AB152+O152+AN152)/(1-(P152+$J$4+(1-K152)*$J$3+$J$8+$J$11+AC152+AE152))</f>
        <v/>
      </c>
      <c r="AN152" s="29">
        <f>$J$12</f>
        <v/>
      </c>
      <c r="AO152" s="29">
        <f>J152*$J$11</f>
        <v/>
      </c>
    </row>
    <row r="153" ht="14.25" customHeight="1" s="66">
      <c r="C153" s="4" t="n"/>
    </row>
    <row r="154" ht="14.25" customHeight="1" s="66">
      <c r="C154" s="4" t="n"/>
    </row>
    <row r="155" ht="14.25" customHeight="1" s="66">
      <c r="C155" s="4" t="n"/>
    </row>
    <row r="156" ht="14.25" customHeight="1" s="66">
      <c r="C156" s="4" t="n"/>
    </row>
    <row r="157" ht="14.25" customHeight="1" s="66">
      <c r="C157" s="4" t="n"/>
    </row>
    <row r="158" ht="14.25" customHeight="1" s="66">
      <c r="C158" s="4" t="n"/>
    </row>
    <row r="159" ht="14.25" customHeight="1" s="66">
      <c r="C159" s="4" t="n"/>
    </row>
    <row r="160" ht="14.25" customHeight="1" s="66">
      <c r="C160" s="4" t="n"/>
    </row>
    <row r="161" ht="14.25" customHeight="1" s="66">
      <c r="C161" s="4" t="n"/>
    </row>
    <row r="162" ht="14.25" customHeight="1" s="66">
      <c r="C162" s="4" t="n"/>
    </row>
    <row r="163" ht="14.25" customHeight="1" s="66">
      <c r="C163" s="4" t="n"/>
    </row>
    <row r="164" ht="14.25" customHeight="1" s="66">
      <c r="C164" s="4" t="n"/>
    </row>
    <row r="165" ht="14.25" customHeight="1" s="66">
      <c r="C165" s="4" t="n"/>
    </row>
    <row r="166" ht="14.25" customHeight="1" s="66">
      <c r="C166" s="4" t="n"/>
    </row>
    <row r="167" ht="14.25" customHeight="1" s="66">
      <c r="C167" s="4" t="n"/>
    </row>
    <row r="168" ht="14.25" customHeight="1" s="66">
      <c r="C168" s="4" t="n"/>
    </row>
    <row r="169" ht="14.25" customHeight="1" s="66">
      <c r="C169" s="4" t="n"/>
    </row>
    <row r="170" ht="14.25" customHeight="1" s="66">
      <c r="C170" s="4" t="n"/>
    </row>
    <row r="171" ht="14.25" customHeight="1" s="66">
      <c r="C171" s="4" t="n"/>
    </row>
    <row r="172" ht="14.25" customHeight="1" s="66">
      <c r="C172" s="4" t="n"/>
    </row>
    <row r="173" ht="14.25" customHeight="1" s="66">
      <c r="C173" s="4" t="n"/>
    </row>
    <row r="174" ht="14.25" customHeight="1" s="66">
      <c r="C174" s="4" t="n"/>
    </row>
    <row r="175" ht="14.25" customHeight="1" s="66">
      <c r="C175" s="4" t="n"/>
    </row>
    <row r="176" ht="14.25" customHeight="1" s="66">
      <c r="C176" s="4" t="n"/>
    </row>
    <row r="177" ht="14.25" customHeight="1" s="66">
      <c r="C177" s="4" t="n"/>
    </row>
    <row r="178" ht="14.25" customHeight="1" s="66">
      <c r="C178" s="4" t="n"/>
    </row>
    <row r="179" ht="14.25" customHeight="1" s="66">
      <c r="C179" s="4" t="n"/>
    </row>
    <row r="180" ht="14.25" customHeight="1" s="66">
      <c r="C180" s="4" t="n"/>
    </row>
    <row r="181" ht="14.25" customHeight="1" s="66">
      <c r="C181" s="4" t="n"/>
    </row>
    <row r="182" ht="14.25" customHeight="1" s="66">
      <c r="C182" s="4" t="n"/>
    </row>
    <row r="183" ht="14.25" customHeight="1" s="66">
      <c r="C183" s="4" t="n"/>
    </row>
    <row r="184" ht="14.25" customHeight="1" s="66">
      <c r="C184" s="4" t="n"/>
    </row>
    <row r="185" ht="14.25" customHeight="1" s="66">
      <c r="C185" s="4" t="n"/>
    </row>
    <row r="186" ht="14.25" customHeight="1" s="66">
      <c r="C186" s="4" t="n"/>
    </row>
    <row r="187" ht="14.25" customHeight="1" s="66">
      <c r="C187" s="4" t="n"/>
    </row>
    <row r="188" ht="14.25" customHeight="1" s="66">
      <c r="C188" s="4" t="n"/>
    </row>
    <row r="189" ht="14.25" customHeight="1" s="66">
      <c r="C189" s="4" t="n"/>
    </row>
    <row r="190" ht="14.25" customHeight="1" s="66">
      <c r="C190" s="4" t="n"/>
    </row>
    <row r="191" ht="14.25" customHeight="1" s="66">
      <c r="C191" s="4" t="n"/>
    </row>
    <row r="192" ht="14.25" customHeight="1" s="66">
      <c r="C192" s="4" t="n"/>
    </row>
    <row r="193" ht="14.25" customHeight="1" s="66">
      <c r="C193" s="4" t="n"/>
    </row>
    <row r="194" ht="14.25" customHeight="1" s="66">
      <c r="C194" s="4" t="n"/>
    </row>
    <row r="195" ht="14.25" customHeight="1" s="66">
      <c r="C195" s="4" t="n"/>
    </row>
    <row r="196" ht="14.25" customHeight="1" s="66">
      <c r="C196" s="4" t="n"/>
    </row>
    <row r="197" ht="14.25" customHeight="1" s="66">
      <c r="C197" s="4" t="n"/>
    </row>
    <row r="198" ht="14.25" customHeight="1" s="66">
      <c r="C198" s="4" t="n"/>
    </row>
    <row r="199" ht="14.25" customHeight="1" s="66">
      <c r="C199" s="4" t="n"/>
    </row>
    <row r="200" ht="14.25" customHeight="1" s="66">
      <c r="C200" s="4" t="n"/>
    </row>
    <row r="201" ht="14.25" customHeight="1" s="66">
      <c r="C201" s="4" t="n"/>
    </row>
    <row r="202" ht="14.25" customHeight="1" s="66">
      <c r="C202" s="4" t="n"/>
    </row>
    <row r="203" ht="14.25" customHeight="1" s="66">
      <c r="C203" s="4" t="n"/>
    </row>
    <row r="204" ht="14.25" customHeight="1" s="66">
      <c r="C204" s="4" t="n"/>
    </row>
    <row r="205" ht="14.25" customHeight="1" s="66">
      <c r="C205" s="4" t="n"/>
    </row>
    <row r="206" ht="14.25" customHeight="1" s="66">
      <c r="C206" s="4" t="n"/>
    </row>
    <row r="207" ht="14.25" customHeight="1" s="66">
      <c r="C207" s="4" t="n"/>
    </row>
    <row r="208" ht="14.25" customHeight="1" s="66">
      <c r="C208" s="4" t="n"/>
    </row>
    <row r="209" ht="14.25" customHeight="1" s="66">
      <c r="C209" s="4" t="n"/>
    </row>
    <row r="210" ht="14.25" customHeight="1" s="66">
      <c r="C210" s="4" t="n"/>
    </row>
    <row r="211" ht="14.25" customHeight="1" s="66">
      <c r="C211" s="4" t="n"/>
    </row>
    <row r="212" ht="14.25" customHeight="1" s="66">
      <c r="C212" s="4" t="n"/>
    </row>
    <row r="213" ht="14.25" customHeight="1" s="66">
      <c r="C213" s="4" t="n"/>
    </row>
    <row r="214" ht="14.25" customHeight="1" s="66">
      <c r="C214" s="4" t="n"/>
    </row>
    <row r="215" ht="14.25" customHeight="1" s="66">
      <c r="C215" s="4" t="n"/>
    </row>
    <row r="216" ht="14.25" customHeight="1" s="66">
      <c r="C216" s="4" t="n"/>
    </row>
    <row r="217" ht="14.25" customHeight="1" s="66">
      <c r="C217" s="4" t="n"/>
    </row>
    <row r="218" ht="14.25" customHeight="1" s="66">
      <c r="C218" s="4" t="n"/>
    </row>
    <row r="219" ht="14.25" customHeight="1" s="66">
      <c r="C219" s="4" t="n"/>
    </row>
    <row r="220" ht="14.25" customHeight="1" s="66">
      <c r="C220" s="4" t="n"/>
    </row>
    <row r="221" ht="14.25" customHeight="1" s="66">
      <c r="C221" s="4" t="n"/>
    </row>
    <row r="222" ht="14.25" customHeight="1" s="66">
      <c r="C222" s="4" t="n"/>
    </row>
    <row r="223" ht="14.25" customHeight="1" s="66">
      <c r="C223" s="4" t="n"/>
    </row>
    <row r="224" ht="14.25" customHeight="1" s="66">
      <c r="C224" s="4" t="n"/>
    </row>
    <row r="225" ht="14.25" customHeight="1" s="66">
      <c r="C225" s="4" t="n"/>
    </row>
    <row r="226" ht="14.25" customHeight="1" s="66">
      <c r="C226" s="4" t="n"/>
    </row>
    <row r="227" ht="14.25" customHeight="1" s="66">
      <c r="C227" s="4" t="n"/>
    </row>
    <row r="228" ht="14.25" customHeight="1" s="66">
      <c r="C228" s="4" t="n"/>
    </row>
    <row r="229" ht="14.25" customHeight="1" s="66">
      <c r="C229" s="4" t="n"/>
    </row>
    <row r="230" ht="14.25" customHeight="1" s="66">
      <c r="C230" s="4" t="n"/>
    </row>
    <row r="231" ht="14.25" customHeight="1" s="66">
      <c r="C231" s="4" t="n"/>
    </row>
    <row r="232" ht="14.25" customHeight="1" s="66">
      <c r="C232" s="4" t="n"/>
    </row>
    <row r="233" ht="14.25" customHeight="1" s="66">
      <c r="C233" s="4" t="n"/>
    </row>
    <row r="234" ht="14.25" customHeight="1" s="66">
      <c r="C234" s="4" t="n"/>
    </row>
    <row r="235" ht="14.25" customHeight="1" s="66">
      <c r="C235" s="4" t="n"/>
    </row>
    <row r="236" ht="14.25" customHeight="1" s="66">
      <c r="C236" s="4" t="n"/>
    </row>
    <row r="237" ht="14.25" customHeight="1" s="66">
      <c r="C237" s="4" t="n"/>
    </row>
    <row r="238" ht="14.25" customHeight="1" s="66">
      <c r="C238" s="4" t="n"/>
    </row>
    <row r="239" ht="14.25" customHeight="1" s="66">
      <c r="C239" s="4" t="n"/>
    </row>
    <row r="240" ht="14.25" customHeight="1" s="66">
      <c r="C240" s="4" t="n"/>
    </row>
    <row r="241" ht="14.25" customHeight="1" s="66">
      <c r="C241" s="4" t="n"/>
    </row>
    <row r="242" ht="14.25" customHeight="1" s="66">
      <c r="C242" s="4" t="n"/>
    </row>
    <row r="243" ht="14.25" customHeight="1" s="66">
      <c r="C243" s="4" t="n"/>
    </row>
    <row r="244" ht="14.25" customHeight="1" s="66">
      <c r="C244" s="4" t="n"/>
    </row>
    <row r="245" ht="14.25" customHeight="1" s="66">
      <c r="C245" s="4" t="n"/>
    </row>
    <row r="246" ht="14.25" customHeight="1" s="66">
      <c r="C246" s="4" t="n"/>
    </row>
    <row r="247" ht="14.25" customHeight="1" s="66">
      <c r="C247" s="4" t="n"/>
    </row>
    <row r="248" ht="14.25" customHeight="1" s="66">
      <c r="C248" s="4" t="n"/>
    </row>
    <row r="249" ht="14.25" customHeight="1" s="66">
      <c r="C249" s="4" t="n"/>
    </row>
    <row r="250" ht="14.25" customHeight="1" s="66">
      <c r="C250" s="4" t="n"/>
    </row>
    <row r="251" ht="14.25" customHeight="1" s="66">
      <c r="C251" s="4" t="n"/>
    </row>
    <row r="252" ht="14.25" customHeight="1" s="66">
      <c r="C252" s="4" t="n"/>
    </row>
    <row r="253" ht="14.25" customHeight="1" s="66">
      <c r="C253" s="4" t="n"/>
    </row>
    <row r="254" ht="14.25" customHeight="1" s="66">
      <c r="C254" s="4" t="n"/>
    </row>
    <row r="255" ht="14.25" customHeight="1" s="66">
      <c r="C255" s="4" t="n"/>
    </row>
    <row r="256" ht="14.25" customHeight="1" s="66">
      <c r="C256" s="4" t="n"/>
    </row>
    <row r="257" ht="14.25" customHeight="1" s="66">
      <c r="C257" s="4" t="n"/>
    </row>
    <row r="258" ht="14.25" customHeight="1" s="66">
      <c r="C258" s="4" t="n"/>
    </row>
    <row r="259" ht="14.25" customHeight="1" s="66">
      <c r="C259" s="4" t="n"/>
    </row>
    <row r="260" ht="14.25" customHeight="1" s="66">
      <c r="C260" s="4" t="n"/>
    </row>
    <row r="261" ht="14.25" customHeight="1" s="66">
      <c r="C261" s="4" t="n"/>
    </row>
    <row r="262" ht="14.25" customHeight="1" s="66">
      <c r="C262" s="4" t="n"/>
    </row>
    <row r="263" ht="14.25" customHeight="1" s="66">
      <c r="C263" s="4" t="n"/>
    </row>
    <row r="264" ht="14.25" customHeight="1" s="66">
      <c r="C264" s="4" t="n"/>
    </row>
    <row r="265" ht="14.25" customHeight="1" s="66">
      <c r="C265" s="4" t="n"/>
    </row>
    <row r="266" ht="14.25" customHeight="1" s="66">
      <c r="C266" s="4" t="n"/>
    </row>
    <row r="267" ht="14.25" customHeight="1" s="66">
      <c r="C267" s="4" t="n"/>
    </row>
    <row r="268" ht="14.25" customHeight="1" s="66">
      <c r="C268" s="4" t="n"/>
    </row>
    <row r="269" ht="14.25" customHeight="1" s="66">
      <c r="C269" s="4" t="n"/>
    </row>
    <row r="270" ht="14.25" customHeight="1" s="66">
      <c r="C270" s="4" t="n"/>
    </row>
    <row r="271" ht="14.25" customHeight="1" s="66">
      <c r="C271" s="4" t="n"/>
    </row>
    <row r="272" ht="14.25" customHeight="1" s="66">
      <c r="C272" s="4" t="n"/>
    </row>
    <row r="273" ht="14.25" customHeight="1" s="66">
      <c r="C273" s="4" t="n"/>
    </row>
    <row r="274" ht="14.25" customHeight="1" s="66">
      <c r="C274" s="4" t="n"/>
    </row>
    <row r="275" ht="14.25" customHeight="1" s="66">
      <c r="C275" s="4" t="n"/>
    </row>
    <row r="276" ht="14.25" customHeight="1" s="66">
      <c r="C276" s="4" t="n"/>
    </row>
    <row r="277" ht="14.25" customHeight="1" s="66">
      <c r="C277" s="4" t="n"/>
    </row>
    <row r="278" ht="14.25" customHeight="1" s="66">
      <c r="C278" s="4" t="n"/>
    </row>
    <row r="279" ht="14.25" customHeight="1" s="66">
      <c r="C279" s="4" t="n"/>
    </row>
    <row r="280" ht="14.25" customHeight="1" s="66">
      <c r="C280" s="4" t="n"/>
    </row>
    <row r="281" ht="14.25" customHeight="1" s="66">
      <c r="C281" s="4" t="n"/>
    </row>
    <row r="282" ht="14.25" customHeight="1" s="66">
      <c r="C282" s="4" t="n"/>
    </row>
    <row r="283" ht="14.25" customHeight="1" s="66">
      <c r="C283" s="4" t="n"/>
    </row>
    <row r="284" ht="14.25" customHeight="1" s="66">
      <c r="C284" s="4" t="n"/>
    </row>
    <row r="285" ht="14.25" customHeight="1" s="66">
      <c r="C285" s="4" t="n"/>
    </row>
    <row r="286" ht="14.25" customHeight="1" s="66">
      <c r="C286" s="4" t="n"/>
    </row>
    <row r="287" ht="14.25" customHeight="1" s="66">
      <c r="C287" s="4" t="n"/>
    </row>
    <row r="288" ht="14.25" customHeight="1" s="66">
      <c r="C288" s="4" t="n"/>
    </row>
    <row r="289" ht="14.25" customHeight="1" s="66">
      <c r="C289" s="4" t="n"/>
    </row>
    <row r="290" ht="14.25" customHeight="1" s="66">
      <c r="C290" s="4" t="n"/>
    </row>
    <row r="291" ht="14.25" customHeight="1" s="66">
      <c r="C291" s="4" t="n"/>
    </row>
    <row r="292" ht="14.25" customHeight="1" s="66">
      <c r="C292" s="4" t="n"/>
    </row>
    <row r="293" ht="14.25" customHeight="1" s="66">
      <c r="C293" s="4" t="n"/>
    </row>
    <row r="294" ht="14.25" customHeight="1" s="66">
      <c r="C294" s="4" t="n"/>
    </row>
    <row r="295" ht="14.25" customHeight="1" s="66">
      <c r="C295" s="4" t="n"/>
    </row>
    <row r="296" ht="14.25" customHeight="1" s="66">
      <c r="C296" s="4" t="n"/>
    </row>
    <row r="297" ht="14.25" customHeight="1" s="66">
      <c r="C297" s="4" t="n"/>
    </row>
    <row r="298" ht="14.25" customHeight="1" s="66">
      <c r="C298" s="4" t="n"/>
    </row>
    <row r="299" ht="14.25" customHeight="1" s="66">
      <c r="C299" s="4" t="n"/>
    </row>
    <row r="300" ht="14.25" customHeight="1" s="66">
      <c r="C300" s="4" t="n"/>
    </row>
    <row r="301" ht="14.25" customHeight="1" s="66">
      <c r="C301" s="4" t="n"/>
    </row>
    <row r="302" ht="14.25" customHeight="1" s="66">
      <c r="C302" s="4" t="n"/>
    </row>
    <row r="303" ht="14.25" customHeight="1" s="66">
      <c r="C303" s="4" t="n"/>
    </row>
    <row r="304" ht="14.25" customHeight="1" s="66">
      <c r="C304" s="4" t="n"/>
    </row>
    <row r="305" ht="14.25" customHeight="1" s="66">
      <c r="C305" s="4" t="n"/>
    </row>
    <row r="306" ht="14.25" customHeight="1" s="66">
      <c r="C306" s="4" t="n"/>
    </row>
    <row r="307" ht="14.25" customHeight="1" s="66">
      <c r="C307" s="4" t="n"/>
    </row>
    <row r="308" ht="14.25" customHeight="1" s="66">
      <c r="C308" s="4" t="n"/>
    </row>
    <row r="309" ht="14.25" customHeight="1" s="66">
      <c r="C309" s="4" t="n"/>
    </row>
    <row r="310" ht="14.25" customHeight="1" s="66">
      <c r="C310" s="4" t="n"/>
    </row>
    <row r="311" ht="14.25" customHeight="1" s="66">
      <c r="C311" s="4" t="n"/>
    </row>
    <row r="312" ht="14.25" customHeight="1" s="66">
      <c r="C312" s="4" t="n"/>
    </row>
    <row r="313" ht="14.25" customHeight="1" s="66">
      <c r="C313" s="4" t="n"/>
    </row>
    <row r="314" ht="14.25" customHeight="1" s="66">
      <c r="C314" s="4" t="n"/>
    </row>
    <row r="315" ht="14.25" customHeight="1" s="66">
      <c r="C315" s="4" t="n"/>
    </row>
    <row r="316" ht="14.25" customHeight="1" s="66">
      <c r="C316" s="4" t="n"/>
    </row>
    <row r="317" ht="14.25" customHeight="1" s="66">
      <c r="C317" s="4" t="n"/>
    </row>
    <row r="318" ht="14.25" customHeight="1" s="66">
      <c r="C318" s="4" t="n"/>
    </row>
    <row r="319" ht="14.25" customHeight="1" s="66">
      <c r="C319" s="4" t="n"/>
    </row>
    <row r="320" ht="14.25" customHeight="1" s="66">
      <c r="C320" s="4" t="n"/>
    </row>
    <row r="321" ht="14.25" customHeight="1" s="66">
      <c r="C321" s="4" t="n"/>
    </row>
    <row r="322" ht="14.25" customHeight="1" s="66">
      <c r="C322" s="4" t="n"/>
    </row>
    <row r="323" ht="14.25" customHeight="1" s="66">
      <c r="C323" s="4" t="n"/>
    </row>
    <row r="324" ht="14.25" customHeight="1" s="66">
      <c r="C324" s="4" t="n"/>
    </row>
    <row r="325" ht="14.25" customHeight="1" s="66">
      <c r="C325" s="4" t="n"/>
    </row>
    <row r="326" ht="14.25" customHeight="1" s="66">
      <c r="C326" s="4" t="n"/>
    </row>
    <row r="327" ht="14.25" customHeight="1" s="66">
      <c r="C327" s="4" t="n"/>
    </row>
    <row r="328" ht="14.25" customHeight="1" s="66">
      <c r="C328" s="4" t="n"/>
    </row>
    <row r="329" ht="14.25" customHeight="1" s="66">
      <c r="C329" s="4" t="n"/>
    </row>
    <row r="330" ht="14.25" customHeight="1" s="66">
      <c r="C330" s="4" t="n"/>
    </row>
    <row r="331" ht="14.25" customHeight="1" s="66">
      <c r="C331" s="4" t="n"/>
    </row>
    <row r="332" ht="14.25" customHeight="1" s="66">
      <c r="C332" s="4" t="n"/>
    </row>
    <row r="333" ht="14.25" customHeight="1" s="66">
      <c r="C333" s="4" t="n"/>
    </row>
    <row r="334" ht="14.25" customHeight="1" s="66">
      <c r="C334" s="4" t="n"/>
    </row>
    <row r="335" ht="14.25" customHeight="1" s="66">
      <c r="C335" s="4" t="n"/>
    </row>
    <row r="336" ht="14.25" customHeight="1" s="66">
      <c r="C336" s="4" t="n"/>
    </row>
    <row r="337" ht="14.25" customHeight="1" s="66">
      <c r="C337" s="4" t="n"/>
    </row>
    <row r="338" ht="14.25" customHeight="1" s="66">
      <c r="C338" s="4" t="n"/>
    </row>
    <row r="339" ht="14.25" customHeight="1" s="66">
      <c r="C339" s="4" t="n"/>
    </row>
    <row r="340" ht="14.25" customHeight="1" s="66">
      <c r="C340" s="4" t="n"/>
    </row>
    <row r="341" ht="14.25" customHeight="1" s="66">
      <c r="C341" s="4" t="n"/>
    </row>
    <row r="342" ht="14.25" customHeight="1" s="66">
      <c r="C342" s="4" t="n"/>
    </row>
    <row r="343" ht="14.25" customHeight="1" s="66">
      <c r="C343" s="4" t="n"/>
    </row>
    <row r="344" ht="14.25" customHeight="1" s="66">
      <c r="C344" s="4" t="n"/>
    </row>
    <row r="345" ht="14.25" customHeight="1" s="66">
      <c r="C345" s="4" t="n"/>
    </row>
    <row r="346" ht="14.25" customHeight="1" s="66">
      <c r="C346" s="4" t="n"/>
    </row>
    <row r="347" ht="14.25" customHeight="1" s="66">
      <c r="C347" s="4" t="n"/>
    </row>
    <row r="348" ht="14.25" customHeight="1" s="66">
      <c r="C348" s="4" t="n"/>
    </row>
    <row r="349" ht="14.25" customHeight="1" s="66">
      <c r="C349" s="4" t="n"/>
    </row>
    <row r="350" ht="14.25" customHeight="1" s="66">
      <c r="C350" s="4" t="n"/>
    </row>
    <row r="351" ht="14.25" customHeight="1" s="66">
      <c r="C351" s="4" t="n"/>
    </row>
    <row r="352" ht="14.25" customHeight="1" s="66">
      <c r="C352" s="4" t="n"/>
    </row>
    <row r="353" ht="14.25" customHeight="1" s="66">
      <c r="C353" s="4" t="n"/>
    </row>
    <row r="354" ht="14.25" customHeight="1" s="66">
      <c r="C354" s="4" t="n"/>
    </row>
    <row r="355" ht="14.25" customHeight="1" s="66">
      <c r="C355" s="4" t="n"/>
    </row>
    <row r="356" ht="14.25" customHeight="1" s="66">
      <c r="C356" s="4" t="n"/>
    </row>
    <row r="357" ht="14.25" customHeight="1" s="66">
      <c r="C357" s="4" t="n"/>
    </row>
    <row r="358" ht="14.25" customHeight="1" s="66">
      <c r="C358" s="4" t="n"/>
    </row>
    <row r="359" ht="14.25" customHeight="1" s="66">
      <c r="C359" s="4" t="n"/>
    </row>
    <row r="360" ht="14.25" customHeight="1" s="66">
      <c r="C360" s="4" t="n"/>
    </row>
    <row r="361" ht="14.25" customHeight="1" s="66">
      <c r="C361" s="4" t="n"/>
    </row>
    <row r="362" ht="14.25" customHeight="1" s="66">
      <c r="C362" s="4" t="n"/>
    </row>
    <row r="363" ht="14.25" customHeight="1" s="66">
      <c r="C363" s="4" t="n"/>
    </row>
    <row r="364" ht="14.25" customHeight="1" s="66">
      <c r="C364" s="4" t="n"/>
    </row>
    <row r="365" ht="14.25" customHeight="1" s="66">
      <c r="C365" s="4" t="n"/>
    </row>
    <row r="366" ht="14.25" customHeight="1" s="66">
      <c r="C366" s="4" t="n"/>
    </row>
    <row r="367" ht="14.25" customHeight="1" s="66">
      <c r="C367" s="4" t="n"/>
    </row>
    <row r="368" ht="14.25" customHeight="1" s="66">
      <c r="C368" s="4" t="n"/>
    </row>
    <row r="369" ht="14.25" customHeight="1" s="66">
      <c r="C369" s="4" t="n"/>
    </row>
    <row r="370" ht="14.25" customHeight="1" s="66">
      <c r="C370" s="4" t="n"/>
    </row>
    <row r="371" ht="14.25" customHeight="1" s="66">
      <c r="C371" s="4" t="n"/>
    </row>
    <row r="372" ht="14.25" customHeight="1" s="66">
      <c r="C372" s="4" t="n"/>
    </row>
    <row r="373" ht="14.25" customHeight="1" s="66">
      <c r="C373" s="4" t="n"/>
    </row>
    <row r="374" ht="14.25" customHeight="1" s="66">
      <c r="C374" s="4" t="n"/>
    </row>
    <row r="375" ht="14.25" customHeight="1" s="66">
      <c r="C375" s="4" t="n"/>
    </row>
    <row r="376" ht="14.25" customHeight="1" s="66">
      <c r="C376" s="4" t="n"/>
    </row>
    <row r="377" ht="14.25" customHeight="1" s="66">
      <c r="C377" s="4" t="n"/>
    </row>
    <row r="378" ht="14.25" customHeight="1" s="66">
      <c r="C378" s="4" t="n"/>
    </row>
    <row r="379" ht="14.25" customHeight="1" s="66">
      <c r="C379" s="4" t="n"/>
    </row>
    <row r="380" ht="14.25" customHeight="1" s="66">
      <c r="C380" s="4" t="n"/>
    </row>
    <row r="381" ht="14.25" customHeight="1" s="66">
      <c r="C381" s="4" t="n"/>
    </row>
    <row r="382" ht="14.25" customHeight="1" s="66">
      <c r="C382" s="4" t="n"/>
    </row>
    <row r="383" ht="14.25" customHeight="1" s="66">
      <c r="C383" s="4" t="n"/>
    </row>
    <row r="384" ht="14.25" customHeight="1" s="66">
      <c r="C384" s="4" t="n"/>
    </row>
    <row r="385" ht="14.25" customHeight="1" s="66">
      <c r="C385" s="4" t="n"/>
    </row>
    <row r="386" ht="14.25" customHeight="1" s="66">
      <c r="C386" s="4" t="n"/>
    </row>
    <row r="387" ht="14.25" customHeight="1" s="66">
      <c r="C387" s="4" t="n"/>
    </row>
    <row r="388" ht="14.25" customHeight="1" s="66">
      <c r="C388" s="4" t="n"/>
    </row>
    <row r="389" ht="14.25" customHeight="1" s="66">
      <c r="C389" s="4" t="n"/>
    </row>
    <row r="390" ht="14.25" customHeight="1" s="66">
      <c r="C390" s="4" t="n"/>
    </row>
    <row r="391" ht="14.25" customHeight="1" s="66">
      <c r="C391" s="4" t="n"/>
    </row>
    <row r="392" ht="14.25" customHeight="1" s="66">
      <c r="C392" s="4" t="n"/>
    </row>
    <row r="393" ht="14.25" customHeight="1" s="66">
      <c r="C393" s="4" t="n"/>
    </row>
    <row r="394" ht="14.25" customHeight="1" s="66">
      <c r="C394" s="4" t="n"/>
    </row>
    <row r="395" ht="14.25" customHeight="1" s="66">
      <c r="C395" s="4" t="n"/>
    </row>
    <row r="396" ht="14.25" customHeight="1" s="66">
      <c r="C396" s="4" t="n"/>
    </row>
    <row r="397" ht="14.25" customHeight="1" s="66">
      <c r="C397" s="4" t="n"/>
    </row>
    <row r="398" ht="14.25" customHeight="1" s="66">
      <c r="C398" s="4" t="n"/>
    </row>
    <row r="399" ht="14.25" customHeight="1" s="66">
      <c r="C399" s="4" t="n"/>
    </row>
    <row r="400" ht="14.25" customHeight="1" s="66">
      <c r="C400" s="4" t="n"/>
    </row>
    <row r="401" ht="14.25" customHeight="1" s="66">
      <c r="C401" s="4" t="n"/>
    </row>
    <row r="402" ht="14.25" customHeight="1" s="66">
      <c r="C402" s="4" t="n"/>
    </row>
    <row r="403" ht="14.25" customHeight="1" s="66">
      <c r="C403" s="4" t="n"/>
    </row>
    <row r="404" ht="14.25" customHeight="1" s="66">
      <c r="C404" s="4" t="n"/>
    </row>
    <row r="405" ht="14.25" customHeight="1" s="66">
      <c r="C405" s="4" t="n"/>
    </row>
    <row r="406" ht="14.25" customHeight="1" s="66">
      <c r="C406" s="4" t="n"/>
    </row>
    <row r="407" ht="14.25" customHeight="1" s="66">
      <c r="C407" s="4" t="n"/>
    </row>
    <row r="408" ht="14.25" customHeight="1" s="66">
      <c r="C408" s="4" t="n"/>
    </row>
    <row r="409" ht="14.25" customHeight="1" s="66">
      <c r="C409" s="4" t="n"/>
    </row>
    <row r="410" ht="14.25" customHeight="1" s="66">
      <c r="C410" s="4" t="n"/>
    </row>
    <row r="411" ht="14.25" customHeight="1" s="66">
      <c r="C411" s="4" t="n"/>
    </row>
    <row r="412" ht="14.25" customHeight="1" s="66">
      <c r="C412" s="4" t="n"/>
    </row>
    <row r="413" ht="14.25" customHeight="1" s="66">
      <c r="C413" s="4" t="n"/>
    </row>
    <row r="414" ht="14.25" customHeight="1" s="66">
      <c r="C414" s="4" t="n"/>
    </row>
    <row r="415" ht="14.25" customHeight="1" s="66">
      <c r="C415" s="4" t="n"/>
    </row>
    <row r="416" ht="14.25" customHeight="1" s="66">
      <c r="C416" s="4" t="n"/>
    </row>
    <row r="417" ht="14.25" customHeight="1" s="66">
      <c r="C417" s="4" t="n"/>
    </row>
    <row r="418" ht="14.25" customHeight="1" s="66">
      <c r="C418" s="4" t="n"/>
    </row>
    <row r="419" ht="14.25" customHeight="1" s="66">
      <c r="C419" s="4" t="n"/>
    </row>
    <row r="420" ht="14.25" customHeight="1" s="66">
      <c r="C420" s="4" t="n"/>
    </row>
    <row r="421" ht="14.25" customHeight="1" s="66">
      <c r="C421" s="4" t="n"/>
    </row>
    <row r="422" ht="14.25" customHeight="1" s="66">
      <c r="C422" s="4" t="n"/>
    </row>
    <row r="423" ht="14.25" customHeight="1" s="66">
      <c r="C423" s="4" t="n"/>
    </row>
    <row r="424" ht="14.25" customHeight="1" s="66">
      <c r="C424" s="4" t="n"/>
    </row>
    <row r="425" ht="14.25" customHeight="1" s="66">
      <c r="C425" s="4" t="n"/>
    </row>
    <row r="426" ht="14.25" customHeight="1" s="66">
      <c r="C426" s="4" t="n"/>
    </row>
    <row r="427" ht="14.25" customHeight="1" s="66">
      <c r="C427" s="4" t="n"/>
    </row>
    <row r="428" ht="14.25" customHeight="1" s="66">
      <c r="C428" s="4" t="n"/>
    </row>
    <row r="429" ht="14.25" customHeight="1" s="66">
      <c r="C429" s="4" t="n"/>
    </row>
    <row r="430" ht="14.25" customHeight="1" s="66">
      <c r="C430" s="4" t="n"/>
    </row>
    <row r="431" ht="14.25" customHeight="1" s="66">
      <c r="C431" s="4" t="n"/>
    </row>
    <row r="432" ht="14.25" customHeight="1" s="66">
      <c r="C432" s="4" t="n"/>
    </row>
    <row r="433" ht="14.25" customHeight="1" s="66">
      <c r="C433" s="4" t="n"/>
    </row>
    <row r="434" ht="14.25" customHeight="1" s="66">
      <c r="C434" s="4" t="n"/>
    </row>
    <row r="435" ht="14.25" customHeight="1" s="66">
      <c r="C435" s="4" t="n"/>
    </row>
    <row r="436" ht="14.25" customHeight="1" s="66">
      <c r="C436" s="4" t="n"/>
    </row>
    <row r="437" ht="14.25" customHeight="1" s="66">
      <c r="C437" s="4" t="n"/>
    </row>
    <row r="438" ht="14.25" customHeight="1" s="66">
      <c r="C438" s="4" t="n"/>
    </row>
    <row r="439" ht="14.25" customHeight="1" s="66">
      <c r="C439" s="4" t="n"/>
    </row>
    <row r="440" ht="14.25" customHeight="1" s="66">
      <c r="C440" s="4" t="n"/>
    </row>
    <row r="441" ht="14.25" customHeight="1" s="66">
      <c r="C441" s="4" t="n"/>
    </row>
    <row r="442" ht="14.25" customHeight="1" s="66">
      <c r="C442" s="4" t="n"/>
    </row>
    <row r="443" ht="14.25" customHeight="1" s="66">
      <c r="C443" s="4" t="n"/>
    </row>
    <row r="444" ht="14.25" customHeight="1" s="66">
      <c r="C444" s="4" t="n"/>
    </row>
    <row r="445" ht="14.25" customHeight="1" s="66">
      <c r="C445" s="4" t="n"/>
    </row>
    <row r="446" ht="14.25" customHeight="1" s="66">
      <c r="C446" s="4" t="n"/>
    </row>
    <row r="447" ht="14.25" customHeight="1" s="66">
      <c r="C447" s="4" t="n"/>
    </row>
    <row r="448" ht="14.25" customHeight="1" s="66">
      <c r="C448" s="4" t="n"/>
    </row>
    <row r="449" ht="14.25" customHeight="1" s="66">
      <c r="C449" s="4" t="n"/>
    </row>
    <row r="450" ht="14.25" customHeight="1" s="66">
      <c r="C450" s="4" t="n"/>
    </row>
    <row r="451" ht="14.25" customHeight="1" s="66">
      <c r="C451" s="4" t="n"/>
    </row>
    <row r="452" ht="14.25" customHeight="1" s="66">
      <c r="C452" s="4" t="n"/>
    </row>
    <row r="453" ht="14.25" customHeight="1" s="66">
      <c r="C453" s="4" t="n"/>
    </row>
    <row r="454" ht="14.25" customHeight="1" s="66">
      <c r="C454" s="4" t="n"/>
    </row>
    <row r="455" ht="14.25" customHeight="1" s="66">
      <c r="C455" s="4" t="n"/>
    </row>
    <row r="456" ht="14.25" customHeight="1" s="66">
      <c r="C456" s="4" t="n"/>
    </row>
    <row r="457" ht="14.25" customHeight="1" s="66">
      <c r="C457" s="4" t="n"/>
    </row>
    <row r="458" ht="14.25" customHeight="1" s="66">
      <c r="C458" s="4" t="n"/>
    </row>
    <row r="459" ht="14.25" customHeight="1" s="66">
      <c r="C459" s="4" t="n"/>
    </row>
    <row r="460" ht="14.25" customHeight="1" s="66">
      <c r="C460" s="4" t="n"/>
    </row>
    <row r="461" ht="14.25" customHeight="1" s="66">
      <c r="C461" s="4" t="n"/>
    </row>
    <row r="462" ht="14.25" customHeight="1" s="66">
      <c r="C462" s="4" t="n"/>
    </row>
    <row r="463" ht="14.25" customHeight="1" s="66">
      <c r="C463" s="4" t="n"/>
    </row>
    <row r="464" ht="14.25" customHeight="1" s="66">
      <c r="C464" s="4" t="n"/>
    </row>
    <row r="465" ht="14.25" customHeight="1" s="66">
      <c r="C465" s="4" t="n"/>
    </row>
    <row r="466" ht="14.25" customHeight="1" s="66">
      <c r="C466" s="4" t="n"/>
    </row>
    <row r="467" ht="14.25" customHeight="1" s="66">
      <c r="C467" s="4" t="n"/>
    </row>
    <row r="468" ht="14.25" customHeight="1" s="66">
      <c r="C468" s="4" t="n"/>
    </row>
    <row r="469" ht="14.25" customHeight="1" s="66">
      <c r="C469" s="4" t="n"/>
    </row>
    <row r="470" ht="14.25" customHeight="1" s="66">
      <c r="C470" s="4" t="n"/>
    </row>
    <row r="471" ht="14.25" customHeight="1" s="66">
      <c r="C471" s="4" t="n"/>
    </row>
    <row r="472" ht="14.25" customHeight="1" s="66">
      <c r="C472" s="4" t="n"/>
    </row>
    <row r="473" ht="14.25" customHeight="1" s="66">
      <c r="C473" s="4" t="n"/>
    </row>
    <row r="474" ht="14.25" customHeight="1" s="66">
      <c r="C474" s="4" t="n"/>
    </row>
    <row r="475" ht="14.25" customHeight="1" s="66">
      <c r="C475" s="4" t="n"/>
    </row>
    <row r="476" ht="14.25" customHeight="1" s="66">
      <c r="C476" s="4" t="n"/>
    </row>
    <row r="477" ht="14.25" customHeight="1" s="66">
      <c r="C477" s="4" t="n"/>
    </row>
    <row r="478" ht="14.25" customHeight="1" s="66">
      <c r="C478" s="4" t="n"/>
    </row>
    <row r="479" ht="14.25" customHeight="1" s="66">
      <c r="C479" s="4" t="n"/>
    </row>
    <row r="480" ht="14.25" customHeight="1" s="66">
      <c r="C480" s="4" t="n"/>
    </row>
    <row r="481" ht="14.25" customHeight="1" s="66">
      <c r="C481" s="4" t="n"/>
    </row>
    <row r="482" ht="14.25" customHeight="1" s="66">
      <c r="C482" s="4" t="n"/>
    </row>
    <row r="483" ht="14.25" customHeight="1" s="66">
      <c r="C483" s="4" t="n"/>
    </row>
    <row r="484" ht="14.25" customHeight="1" s="66">
      <c r="C484" s="4" t="n"/>
    </row>
    <row r="485" ht="14.25" customHeight="1" s="66">
      <c r="C485" s="4" t="n"/>
    </row>
    <row r="486" ht="14.25" customHeight="1" s="66">
      <c r="C486" s="4" t="n"/>
    </row>
    <row r="487" ht="14.25" customHeight="1" s="66">
      <c r="C487" s="4" t="n"/>
    </row>
    <row r="488" ht="14.25" customHeight="1" s="66">
      <c r="C488" s="4" t="n"/>
    </row>
    <row r="489" ht="14.25" customHeight="1" s="66">
      <c r="C489" s="4" t="n"/>
    </row>
    <row r="490" ht="14.25" customHeight="1" s="66">
      <c r="C490" s="4" t="n"/>
    </row>
    <row r="491" ht="14.25" customHeight="1" s="66">
      <c r="C491" s="4" t="n"/>
    </row>
    <row r="492" ht="14.25" customHeight="1" s="66">
      <c r="C492" s="4" t="n"/>
    </row>
    <row r="493" ht="14.25" customHeight="1" s="66">
      <c r="C493" s="4" t="n"/>
    </row>
    <row r="494" ht="14.25" customHeight="1" s="66">
      <c r="C494" s="4" t="n"/>
    </row>
    <row r="495" ht="14.25" customHeight="1" s="66">
      <c r="C495" s="4" t="n"/>
    </row>
    <row r="496" ht="14.25" customHeight="1" s="66">
      <c r="C496" s="4" t="n"/>
    </row>
    <row r="497" ht="14.25" customHeight="1" s="66">
      <c r="C497" s="4" t="n"/>
    </row>
    <row r="498" ht="14.25" customHeight="1" s="66">
      <c r="C498" s="4" t="n"/>
    </row>
    <row r="499" ht="14.25" customHeight="1" s="66">
      <c r="C499" s="4" t="n"/>
    </row>
    <row r="500" ht="14.25" customHeight="1" s="66">
      <c r="C500" s="4" t="n"/>
    </row>
    <row r="501" ht="14.25" customHeight="1" s="66">
      <c r="C501" s="4" t="n"/>
    </row>
    <row r="502" ht="14.25" customHeight="1" s="66">
      <c r="C502" s="4" t="n"/>
    </row>
    <row r="503" ht="14.25" customHeight="1" s="66">
      <c r="C503" s="4" t="n"/>
    </row>
    <row r="504" ht="14.25" customHeight="1" s="66">
      <c r="C504" s="4" t="n"/>
    </row>
    <row r="505" ht="14.25" customHeight="1" s="66">
      <c r="C505" s="4" t="n"/>
    </row>
    <row r="506" ht="14.25" customHeight="1" s="66">
      <c r="C506" s="4" t="n"/>
    </row>
    <row r="507" ht="14.25" customHeight="1" s="66">
      <c r="C507" s="4" t="n"/>
    </row>
    <row r="508" ht="14.25" customHeight="1" s="66">
      <c r="C508" s="4" t="n"/>
    </row>
    <row r="509" ht="14.25" customHeight="1" s="66">
      <c r="C509" s="4" t="n"/>
    </row>
    <row r="510" ht="14.25" customHeight="1" s="66">
      <c r="C510" s="4" t="n"/>
    </row>
    <row r="511" ht="14.25" customHeight="1" s="66">
      <c r="C511" s="4" t="n"/>
    </row>
    <row r="512" ht="14.25" customHeight="1" s="66">
      <c r="C512" s="4" t="n"/>
    </row>
    <row r="513" ht="14.25" customHeight="1" s="66">
      <c r="C513" s="4" t="n"/>
    </row>
    <row r="514" ht="14.25" customHeight="1" s="66">
      <c r="C514" s="4" t="n"/>
    </row>
    <row r="515" ht="14.25" customHeight="1" s="66">
      <c r="C515" s="4" t="n"/>
    </row>
    <row r="516" ht="14.25" customHeight="1" s="66">
      <c r="C516" s="4" t="n"/>
    </row>
    <row r="517" ht="14.25" customHeight="1" s="66">
      <c r="C517" s="4" t="n"/>
    </row>
    <row r="518" ht="14.25" customHeight="1" s="66">
      <c r="C518" s="4" t="n"/>
    </row>
    <row r="519" ht="14.25" customHeight="1" s="66">
      <c r="C519" s="4" t="n"/>
    </row>
    <row r="520" ht="14.25" customHeight="1" s="66">
      <c r="C520" s="4" t="n"/>
    </row>
    <row r="521" ht="14.25" customHeight="1" s="66">
      <c r="C521" s="4" t="n"/>
    </row>
    <row r="522" ht="14.25" customHeight="1" s="66">
      <c r="C522" s="4" t="n"/>
    </row>
    <row r="523" ht="14.25" customHeight="1" s="66">
      <c r="C523" s="4" t="n"/>
    </row>
    <row r="524" ht="14.25" customHeight="1" s="66">
      <c r="C524" s="4" t="n"/>
    </row>
    <row r="525" ht="14.25" customHeight="1" s="66">
      <c r="C525" s="4" t="n"/>
    </row>
    <row r="526" ht="14.25" customHeight="1" s="66">
      <c r="C526" s="4" t="n"/>
    </row>
    <row r="527" ht="14.25" customHeight="1" s="66">
      <c r="C527" s="4" t="n"/>
    </row>
    <row r="528" ht="14.25" customHeight="1" s="66">
      <c r="C528" s="4" t="n"/>
    </row>
    <row r="529" ht="14.25" customHeight="1" s="66">
      <c r="C529" s="4" t="n"/>
    </row>
    <row r="530" ht="14.25" customHeight="1" s="66">
      <c r="C530" s="4" t="n"/>
    </row>
    <row r="531" ht="14.25" customHeight="1" s="66">
      <c r="C531" s="4" t="n"/>
    </row>
    <row r="532" ht="14.25" customHeight="1" s="66">
      <c r="C532" s="4" t="n"/>
    </row>
    <row r="533" ht="14.25" customHeight="1" s="66">
      <c r="C533" s="4" t="n"/>
    </row>
    <row r="534" ht="14.25" customHeight="1" s="66">
      <c r="C534" s="4" t="n"/>
    </row>
    <row r="535" ht="14.25" customHeight="1" s="66">
      <c r="C535" s="4" t="n"/>
    </row>
    <row r="536" ht="14.25" customHeight="1" s="66">
      <c r="C536" s="4" t="n"/>
    </row>
    <row r="537" ht="14.25" customHeight="1" s="66">
      <c r="C537" s="4" t="n"/>
    </row>
    <row r="538" ht="14.25" customHeight="1" s="66">
      <c r="C538" s="4" t="n"/>
    </row>
    <row r="539" ht="14.25" customHeight="1" s="66">
      <c r="C539" s="4" t="n"/>
    </row>
    <row r="540" ht="14.25" customHeight="1" s="66">
      <c r="C540" s="4" t="n"/>
    </row>
    <row r="541" ht="14.25" customHeight="1" s="66">
      <c r="C541" s="4" t="n"/>
    </row>
    <row r="542" ht="14.25" customHeight="1" s="66">
      <c r="C542" s="4" t="n"/>
    </row>
    <row r="543" ht="14.25" customHeight="1" s="66">
      <c r="C543" s="4" t="n"/>
    </row>
    <row r="544" ht="14.25" customHeight="1" s="66">
      <c r="C544" s="4" t="n"/>
    </row>
    <row r="545" ht="14.25" customHeight="1" s="66">
      <c r="C545" s="4" t="n"/>
    </row>
    <row r="546" ht="14.25" customHeight="1" s="66">
      <c r="C546" s="4" t="n"/>
    </row>
    <row r="547" ht="14.25" customHeight="1" s="66">
      <c r="C547" s="4" t="n"/>
    </row>
    <row r="548" ht="14.25" customHeight="1" s="66">
      <c r="C548" s="4" t="n"/>
    </row>
    <row r="549" ht="14.25" customHeight="1" s="66">
      <c r="C549" s="4" t="n"/>
    </row>
    <row r="550" ht="14.25" customHeight="1" s="66">
      <c r="C550" s="4" t="n"/>
    </row>
    <row r="551" ht="14.25" customHeight="1" s="66">
      <c r="C551" s="4" t="n"/>
    </row>
    <row r="552" ht="14.25" customHeight="1" s="66">
      <c r="C552" s="4" t="n"/>
    </row>
    <row r="553" ht="14.25" customHeight="1" s="66">
      <c r="C553" s="4" t="n"/>
    </row>
    <row r="554" ht="14.25" customHeight="1" s="66">
      <c r="C554" s="4" t="n"/>
    </row>
    <row r="555" ht="14.25" customHeight="1" s="66">
      <c r="C555" s="4" t="n"/>
    </row>
    <row r="556" ht="14.25" customHeight="1" s="66">
      <c r="C556" s="4" t="n"/>
    </row>
    <row r="557" ht="14.25" customHeight="1" s="66">
      <c r="C557" s="4" t="n"/>
    </row>
    <row r="558" ht="14.25" customHeight="1" s="66">
      <c r="C558" s="4" t="n"/>
    </row>
    <row r="559" ht="14.25" customHeight="1" s="66">
      <c r="C559" s="4" t="n"/>
    </row>
    <row r="560" ht="14.25" customHeight="1" s="66">
      <c r="C560" s="4" t="n"/>
    </row>
    <row r="561" ht="14.25" customHeight="1" s="66">
      <c r="C561" s="4" t="n"/>
    </row>
    <row r="562" ht="14.25" customHeight="1" s="66">
      <c r="C562" s="4" t="n"/>
    </row>
    <row r="563" ht="14.25" customHeight="1" s="66">
      <c r="C563" s="4" t="n"/>
    </row>
    <row r="564" ht="14.25" customHeight="1" s="66">
      <c r="C564" s="4" t="n"/>
    </row>
    <row r="565" ht="14.25" customHeight="1" s="66">
      <c r="C565" s="4" t="n"/>
    </row>
    <row r="566" ht="14.25" customHeight="1" s="66">
      <c r="C566" s="4" t="n"/>
    </row>
    <row r="567" ht="14.25" customHeight="1" s="66">
      <c r="C567" s="4" t="n"/>
    </row>
    <row r="568" ht="14.25" customHeight="1" s="66">
      <c r="C568" s="4" t="n"/>
    </row>
    <row r="569" ht="14.25" customHeight="1" s="66">
      <c r="C569" s="4" t="n"/>
    </row>
    <row r="570" ht="14.25" customHeight="1" s="66">
      <c r="C570" s="4" t="n"/>
    </row>
    <row r="571" ht="14.25" customHeight="1" s="66">
      <c r="C571" s="4" t="n"/>
    </row>
    <row r="572" ht="14.25" customHeight="1" s="66">
      <c r="C572" s="4" t="n"/>
    </row>
    <row r="573" ht="14.25" customHeight="1" s="66">
      <c r="C573" s="4" t="n"/>
    </row>
    <row r="574" ht="14.25" customHeight="1" s="66">
      <c r="C574" s="4" t="n"/>
    </row>
    <row r="575" ht="14.25" customHeight="1" s="66">
      <c r="C575" s="4" t="n"/>
    </row>
    <row r="576" ht="14.25" customHeight="1" s="66">
      <c r="C576" s="4" t="n"/>
    </row>
    <row r="577" ht="14.25" customHeight="1" s="66">
      <c r="C577" s="4" t="n"/>
    </row>
    <row r="578" ht="14.25" customHeight="1" s="66">
      <c r="C578" s="4" t="n"/>
    </row>
    <row r="579" ht="14.25" customHeight="1" s="66">
      <c r="C579" s="4" t="n"/>
    </row>
    <row r="580" ht="14.25" customHeight="1" s="66">
      <c r="C580" s="4" t="n"/>
    </row>
    <row r="581" ht="14.25" customHeight="1" s="66">
      <c r="C581" s="4" t="n"/>
    </row>
    <row r="582" ht="14.25" customHeight="1" s="66">
      <c r="C582" s="4" t="n"/>
    </row>
    <row r="583" ht="14.25" customHeight="1" s="66">
      <c r="C583" s="4" t="n"/>
    </row>
    <row r="584" ht="14.25" customHeight="1" s="66">
      <c r="C584" s="4" t="n"/>
    </row>
    <row r="585" ht="14.25" customHeight="1" s="66">
      <c r="C585" s="4" t="n"/>
    </row>
    <row r="586" ht="14.25" customHeight="1" s="66">
      <c r="C586" s="4" t="n"/>
    </row>
    <row r="587" ht="14.25" customHeight="1" s="66">
      <c r="C587" s="4" t="n"/>
    </row>
    <row r="588" ht="14.25" customHeight="1" s="66">
      <c r="C588" s="4" t="n"/>
    </row>
    <row r="589" ht="14.25" customHeight="1" s="66">
      <c r="C589" s="4" t="n"/>
    </row>
    <row r="590" ht="14.25" customHeight="1" s="66">
      <c r="C590" s="4" t="n"/>
    </row>
    <row r="591" ht="14.25" customHeight="1" s="66">
      <c r="C591" s="4" t="n"/>
    </row>
    <row r="592" ht="14.25" customHeight="1" s="66">
      <c r="C592" s="4" t="n"/>
    </row>
    <row r="593" ht="14.25" customHeight="1" s="66">
      <c r="C593" s="4" t="n"/>
    </row>
    <row r="594" ht="14.25" customHeight="1" s="66">
      <c r="C594" s="4" t="n"/>
    </row>
    <row r="595" ht="14.25" customHeight="1" s="66">
      <c r="C595" s="4" t="n"/>
    </row>
    <row r="596" ht="14.25" customHeight="1" s="66">
      <c r="C596" s="4" t="n"/>
    </row>
    <row r="597" ht="14.25" customHeight="1" s="66">
      <c r="C597" s="4" t="n"/>
    </row>
    <row r="598" ht="14.25" customHeight="1" s="66">
      <c r="C598" s="4" t="n"/>
    </row>
    <row r="599" ht="14.25" customHeight="1" s="66">
      <c r="C599" s="4" t="n"/>
    </row>
    <row r="600" ht="14.25" customHeight="1" s="66">
      <c r="C600" s="4" t="n"/>
    </row>
    <row r="601" ht="14.25" customHeight="1" s="66">
      <c r="C601" s="4" t="n"/>
    </row>
    <row r="602" ht="14.25" customHeight="1" s="66">
      <c r="C602" s="4" t="n"/>
    </row>
    <row r="603" ht="14.25" customHeight="1" s="66">
      <c r="C603" s="4" t="n"/>
    </row>
    <row r="604" ht="14.25" customHeight="1" s="66">
      <c r="C604" s="4" t="n"/>
    </row>
    <row r="605" ht="14.25" customHeight="1" s="66">
      <c r="C605" s="4" t="n"/>
    </row>
    <row r="606" ht="14.25" customHeight="1" s="66">
      <c r="C606" s="4" t="n"/>
    </row>
    <row r="607" ht="14.25" customHeight="1" s="66">
      <c r="C607" s="4" t="n"/>
    </row>
    <row r="608" ht="14.25" customHeight="1" s="66">
      <c r="C608" s="4" t="n"/>
    </row>
    <row r="609" ht="14.25" customHeight="1" s="66">
      <c r="C609" s="4" t="n"/>
    </row>
    <row r="610" ht="14.25" customHeight="1" s="66">
      <c r="C610" s="4" t="n"/>
    </row>
    <row r="611" ht="14.25" customHeight="1" s="66">
      <c r="C611" s="4" t="n"/>
    </row>
    <row r="612" ht="14.25" customHeight="1" s="66">
      <c r="C612" s="4" t="n"/>
    </row>
    <row r="613" ht="14.25" customHeight="1" s="66">
      <c r="C613" s="4" t="n"/>
    </row>
    <row r="614" ht="14.25" customHeight="1" s="66">
      <c r="C614" s="4" t="n"/>
    </row>
    <row r="615" ht="14.25" customHeight="1" s="66">
      <c r="C615" s="4" t="n"/>
    </row>
    <row r="616" ht="14.25" customHeight="1" s="66">
      <c r="C616" s="4" t="n"/>
    </row>
    <row r="617" ht="14.25" customHeight="1" s="66">
      <c r="C617" s="4" t="n"/>
    </row>
    <row r="618" ht="14.25" customHeight="1" s="66">
      <c r="C618" s="4" t="n"/>
    </row>
    <row r="619" ht="14.25" customHeight="1" s="66">
      <c r="C619" s="4" t="n"/>
    </row>
    <row r="620" ht="14.25" customHeight="1" s="66">
      <c r="C620" s="4" t="n"/>
    </row>
    <row r="621" ht="14.25" customHeight="1" s="66">
      <c r="C621" s="4" t="n"/>
    </row>
    <row r="622" ht="14.25" customHeight="1" s="66">
      <c r="C622" s="4" t="n"/>
    </row>
    <row r="623" ht="14.25" customHeight="1" s="66">
      <c r="C623" s="4" t="n"/>
    </row>
    <row r="624" ht="14.25" customHeight="1" s="66">
      <c r="C624" s="4" t="n"/>
    </row>
    <row r="625" ht="14.25" customHeight="1" s="66">
      <c r="C625" s="4" t="n"/>
    </row>
    <row r="626" ht="14.25" customHeight="1" s="66">
      <c r="C626" s="4" t="n"/>
    </row>
    <row r="627" ht="14.25" customHeight="1" s="66">
      <c r="C627" s="4" t="n"/>
    </row>
    <row r="628" ht="14.25" customHeight="1" s="66">
      <c r="C628" s="4" t="n"/>
    </row>
    <row r="629" ht="14.25" customHeight="1" s="66">
      <c r="C629" s="4" t="n"/>
    </row>
    <row r="630" ht="14.25" customHeight="1" s="66">
      <c r="C630" s="4" t="n"/>
    </row>
    <row r="631" ht="14.25" customHeight="1" s="66">
      <c r="C631" s="4" t="n"/>
    </row>
    <row r="632" ht="14.25" customHeight="1" s="66">
      <c r="C632" s="4" t="n"/>
    </row>
    <row r="633" ht="14.25" customHeight="1" s="66">
      <c r="C633" s="4" t="n"/>
    </row>
    <row r="634" ht="14.25" customHeight="1" s="66">
      <c r="C634" s="4" t="n"/>
    </row>
    <row r="635" ht="14.25" customHeight="1" s="66">
      <c r="C635" s="4" t="n"/>
    </row>
    <row r="636" ht="14.25" customHeight="1" s="66">
      <c r="C636" s="4" t="n"/>
    </row>
    <row r="637" ht="14.25" customHeight="1" s="66">
      <c r="C637" s="4" t="n"/>
    </row>
    <row r="638" ht="14.25" customHeight="1" s="66">
      <c r="C638" s="4" t="n"/>
    </row>
    <row r="639" ht="14.25" customHeight="1" s="66">
      <c r="C639" s="4" t="n"/>
    </row>
    <row r="640" ht="14.25" customHeight="1" s="66">
      <c r="C640" s="4" t="n"/>
    </row>
    <row r="641" ht="14.25" customHeight="1" s="66">
      <c r="C641" s="4" t="n"/>
    </row>
    <row r="642" ht="14.25" customHeight="1" s="66">
      <c r="C642" s="4" t="n"/>
    </row>
    <row r="643" ht="14.25" customHeight="1" s="66">
      <c r="C643" s="4" t="n"/>
    </row>
    <row r="644" ht="14.25" customHeight="1" s="66">
      <c r="C644" s="4" t="n"/>
    </row>
    <row r="645" ht="14.25" customHeight="1" s="66">
      <c r="C645" s="4" t="n"/>
    </row>
    <row r="646" ht="14.25" customHeight="1" s="66">
      <c r="C646" s="4" t="n"/>
    </row>
    <row r="647" ht="14.25" customHeight="1" s="66">
      <c r="C647" s="4" t="n"/>
    </row>
    <row r="648" ht="14.25" customHeight="1" s="66">
      <c r="C648" s="4" t="n"/>
    </row>
    <row r="649" ht="14.25" customHeight="1" s="66">
      <c r="C649" s="4" t="n"/>
    </row>
    <row r="650" ht="14.25" customHeight="1" s="66">
      <c r="C650" s="4" t="n"/>
    </row>
    <row r="651" ht="14.25" customHeight="1" s="66">
      <c r="C651" s="4" t="n"/>
    </row>
    <row r="652" ht="14.25" customHeight="1" s="66">
      <c r="C652" s="4" t="n"/>
    </row>
    <row r="653" ht="14.25" customHeight="1" s="66">
      <c r="C653" s="4" t="n"/>
    </row>
    <row r="654" ht="14.25" customHeight="1" s="66">
      <c r="C654" s="4" t="n"/>
    </row>
    <row r="655" ht="14.25" customHeight="1" s="66">
      <c r="C655" s="4" t="n"/>
    </row>
    <row r="656" ht="14.25" customHeight="1" s="66">
      <c r="C656" s="4" t="n"/>
    </row>
    <row r="657" ht="14.25" customHeight="1" s="66">
      <c r="C657" s="4" t="n"/>
    </row>
    <row r="658" ht="14.25" customHeight="1" s="66">
      <c r="C658" s="4" t="n"/>
    </row>
    <row r="659" ht="14.25" customHeight="1" s="66">
      <c r="C659" s="4" t="n"/>
    </row>
    <row r="660" ht="14.25" customHeight="1" s="66">
      <c r="C660" s="4" t="n"/>
    </row>
    <row r="661" ht="14.25" customHeight="1" s="66">
      <c r="C661" s="4" t="n"/>
    </row>
    <row r="662" ht="14.25" customHeight="1" s="66">
      <c r="C662" s="4" t="n"/>
    </row>
    <row r="663" ht="14.25" customHeight="1" s="66">
      <c r="C663" s="4" t="n"/>
    </row>
    <row r="664" ht="14.25" customHeight="1" s="66">
      <c r="C664" s="4" t="n"/>
    </row>
    <row r="665" ht="14.25" customHeight="1" s="66">
      <c r="C665" s="4" t="n"/>
    </row>
    <row r="666" ht="14.25" customHeight="1" s="66">
      <c r="C666" s="4" t="n"/>
    </row>
    <row r="667" ht="14.25" customHeight="1" s="66">
      <c r="C667" s="4" t="n"/>
    </row>
    <row r="668" ht="14.25" customHeight="1" s="66">
      <c r="C668" s="4" t="n"/>
    </row>
    <row r="669" ht="14.25" customHeight="1" s="66">
      <c r="C669" s="4" t="n"/>
    </row>
    <row r="670" ht="14.25" customHeight="1" s="66">
      <c r="C670" s="4" t="n"/>
    </row>
    <row r="671" ht="14.25" customHeight="1" s="66">
      <c r="C671" s="4" t="n"/>
    </row>
    <row r="672" ht="14.25" customHeight="1" s="66">
      <c r="C672" s="4" t="n"/>
    </row>
    <row r="673" ht="14.25" customHeight="1" s="66">
      <c r="C673" s="4" t="n"/>
    </row>
    <row r="674" ht="14.25" customHeight="1" s="66">
      <c r="C674" s="4" t="n"/>
    </row>
    <row r="675" ht="14.25" customHeight="1" s="66">
      <c r="C675" s="4" t="n"/>
    </row>
    <row r="676" ht="14.25" customHeight="1" s="66">
      <c r="C676" s="4" t="n"/>
    </row>
    <row r="677" ht="14.25" customHeight="1" s="66">
      <c r="C677" s="4" t="n"/>
    </row>
    <row r="678" ht="14.25" customHeight="1" s="66">
      <c r="C678" s="4" t="n"/>
    </row>
    <row r="679" ht="14.25" customHeight="1" s="66">
      <c r="C679" s="4" t="n"/>
    </row>
    <row r="680" ht="14.25" customHeight="1" s="66">
      <c r="C680" s="4" t="n"/>
    </row>
    <row r="681" ht="14.25" customHeight="1" s="66">
      <c r="C681" s="4" t="n"/>
    </row>
    <row r="682" ht="14.25" customHeight="1" s="66">
      <c r="C682" s="4" t="n"/>
    </row>
    <row r="683" ht="14.25" customHeight="1" s="66">
      <c r="C683" s="4" t="n"/>
    </row>
    <row r="684" ht="14.25" customHeight="1" s="66">
      <c r="C684" s="4" t="n"/>
    </row>
    <row r="685" ht="14.25" customHeight="1" s="66">
      <c r="C685" s="4" t="n"/>
    </row>
    <row r="686" ht="14.25" customHeight="1" s="66">
      <c r="C686" s="4" t="n"/>
    </row>
    <row r="687" ht="14.25" customHeight="1" s="66">
      <c r="C687" s="4" t="n"/>
    </row>
    <row r="688" ht="14.25" customHeight="1" s="66">
      <c r="C688" s="4" t="n"/>
    </row>
    <row r="689" ht="14.25" customHeight="1" s="66">
      <c r="C689" s="4" t="n"/>
    </row>
    <row r="690" ht="14.25" customHeight="1" s="66">
      <c r="C690" s="4" t="n"/>
    </row>
    <row r="691" ht="14.25" customHeight="1" s="66">
      <c r="C691" s="4" t="n"/>
    </row>
    <row r="692" ht="14.25" customHeight="1" s="66">
      <c r="C692" s="4" t="n"/>
    </row>
    <row r="693" ht="14.25" customHeight="1" s="66">
      <c r="C693" s="4" t="n"/>
    </row>
    <row r="694" ht="14.25" customHeight="1" s="66">
      <c r="C694" s="4" t="n"/>
    </row>
    <row r="695" ht="14.25" customHeight="1" s="66">
      <c r="C695" s="4" t="n"/>
    </row>
    <row r="696" ht="14.25" customHeight="1" s="66">
      <c r="C696" s="4" t="n"/>
    </row>
    <row r="697" ht="14.25" customHeight="1" s="66">
      <c r="C697" s="4" t="n"/>
    </row>
    <row r="698" ht="14.25" customHeight="1" s="66">
      <c r="C698" s="4" t="n"/>
    </row>
    <row r="699" ht="14.25" customHeight="1" s="66">
      <c r="C699" s="4" t="n"/>
    </row>
    <row r="700" ht="14.25" customHeight="1" s="66">
      <c r="C700" s="4" t="n"/>
    </row>
    <row r="701" ht="14.25" customHeight="1" s="66">
      <c r="C701" s="4" t="n"/>
    </row>
    <row r="702" ht="14.25" customHeight="1" s="66">
      <c r="C702" s="4" t="n"/>
    </row>
    <row r="703" ht="14.25" customHeight="1" s="66">
      <c r="C703" s="4" t="n"/>
    </row>
    <row r="704" ht="14.25" customHeight="1" s="66">
      <c r="C704" s="4" t="n"/>
    </row>
    <row r="705" ht="14.25" customHeight="1" s="66">
      <c r="C705" s="4" t="n"/>
    </row>
    <row r="706" ht="14.25" customHeight="1" s="66">
      <c r="C706" s="4" t="n"/>
    </row>
    <row r="707" ht="14.25" customHeight="1" s="66">
      <c r="C707" s="4" t="n"/>
    </row>
    <row r="708" ht="14.25" customHeight="1" s="66">
      <c r="C708" s="4" t="n"/>
    </row>
    <row r="709" ht="14.25" customHeight="1" s="66">
      <c r="C709" s="4" t="n"/>
    </row>
    <row r="710" ht="14.25" customHeight="1" s="66">
      <c r="C710" s="4" t="n"/>
    </row>
    <row r="711" ht="14.25" customHeight="1" s="66">
      <c r="C711" s="4" t="n"/>
    </row>
    <row r="712" ht="14.25" customHeight="1" s="66">
      <c r="C712" s="4" t="n"/>
    </row>
    <row r="713" ht="14.25" customHeight="1" s="66">
      <c r="C713" s="4" t="n"/>
    </row>
    <row r="714" ht="14.25" customHeight="1" s="66">
      <c r="C714" s="4" t="n"/>
    </row>
    <row r="715" ht="14.25" customHeight="1" s="66">
      <c r="C715" s="4" t="n"/>
    </row>
    <row r="716" ht="14.25" customHeight="1" s="66">
      <c r="C716" s="4" t="n"/>
    </row>
    <row r="717" ht="14.25" customHeight="1" s="66">
      <c r="C717" s="4" t="n"/>
    </row>
    <row r="718" ht="14.25" customHeight="1" s="66">
      <c r="C718" s="4" t="n"/>
    </row>
    <row r="719" ht="14.25" customHeight="1" s="66">
      <c r="C719" s="4" t="n"/>
    </row>
    <row r="720" ht="14.25" customHeight="1" s="66">
      <c r="C720" s="4" t="n"/>
    </row>
    <row r="721" ht="14.25" customHeight="1" s="66">
      <c r="C721" s="4" t="n"/>
    </row>
    <row r="722" ht="14.25" customHeight="1" s="66">
      <c r="C722" s="4" t="n"/>
    </row>
    <row r="723" ht="14.25" customHeight="1" s="66">
      <c r="C723" s="4" t="n"/>
    </row>
    <row r="724" ht="14.25" customHeight="1" s="66">
      <c r="C724" s="4" t="n"/>
    </row>
    <row r="725" ht="14.25" customHeight="1" s="66">
      <c r="C725" s="4" t="n"/>
    </row>
    <row r="726" ht="14.25" customHeight="1" s="66">
      <c r="C726" s="4" t="n"/>
    </row>
    <row r="727" ht="14.25" customHeight="1" s="66">
      <c r="C727" s="4" t="n"/>
    </row>
    <row r="728" ht="14.25" customHeight="1" s="66">
      <c r="C728" s="4" t="n"/>
    </row>
    <row r="729" ht="14.25" customHeight="1" s="66">
      <c r="C729" s="4" t="n"/>
    </row>
    <row r="730" ht="14.25" customHeight="1" s="66">
      <c r="C730" s="4" t="n"/>
    </row>
    <row r="731" ht="14.25" customHeight="1" s="66">
      <c r="C731" s="4" t="n"/>
    </row>
    <row r="732" ht="14.25" customHeight="1" s="66">
      <c r="C732" s="4" t="n"/>
    </row>
    <row r="733" ht="14.25" customHeight="1" s="66">
      <c r="C733" s="4" t="n"/>
    </row>
    <row r="734" ht="14.25" customHeight="1" s="66">
      <c r="C734" s="4" t="n"/>
    </row>
    <row r="735" ht="14.25" customHeight="1" s="66">
      <c r="C735" s="4" t="n"/>
    </row>
    <row r="736" ht="14.25" customHeight="1" s="66">
      <c r="C736" s="4" t="n"/>
    </row>
    <row r="737" ht="14.25" customHeight="1" s="66">
      <c r="C737" s="4" t="n"/>
    </row>
    <row r="738" ht="14.25" customHeight="1" s="66">
      <c r="C738" s="4" t="n"/>
    </row>
    <row r="739" ht="14.25" customHeight="1" s="66">
      <c r="C739" s="4" t="n"/>
    </row>
    <row r="740" ht="14.25" customHeight="1" s="66">
      <c r="C740" s="4" t="n"/>
    </row>
    <row r="741" ht="14.25" customHeight="1" s="66">
      <c r="C741" s="4" t="n"/>
    </row>
    <row r="742" ht="14.25" customHeight="1" s="66">
      <c r="C742" s="4" t="n"/>
    </row>
    <row r="743" ht="14.25" customHeight="1" s="66">
      <c r="C743" s="4" t="n"/>
    </row>
    <row r="744" ht="14.25" customHeight="1" s="66">
      <c r="C744" s="4" t="n"/>
    </row>
    <row r="745" ht="14.25" customHeight="1" s="66">
      <c r="C745" s="4" t="n"/>
    </row>
    <row r="746" ht="14.25" customHeight="1" s="66">
      <c r="C746" s="4" t="n"/>
    </row>
    <row r="747" ht="14.25" customHeight="1" s="66">
      <c r="C747" s="4" t="n"/>
    </row>
    <row r="748" ht="14.25" customHeight="1" s="66">
      <c r="C748" s="4" t="n"/>
    </row>
    <row r="749" ht="14.25" customHeight="1" s="66">
      <c r="C749" s="4" t="n"/>
    </row>
    <row r="750" ht="14.25" customHeight="1" s="66">
      <c r="C750" s="4" t="n"/>
    </row>
    <row r="751" ht="14.25" customHeight="1" s="66">
      <c r="C751" s="4" t="n"/>
    </row>
    <row r="752" ht="14.25" customHeight="1" s="66">
      <c r="C752" s="4" t="n"/>
    </row>
    <row r="753" ht="14.25" customHeight="1" s="66">
      <c r="C753" s="4" t="n"/>
    </row>
    <row r="754" ht="14.25" customHeight="1" s="66">
      <c r="C754" s="4" t="n"/>
    </row>
    <row r="755" ht="14.25" customHeight="1" s="66">
      <c r="C755" s="4" t="n"/>
    </row>
    <row r="756" ht="14.25" customHeight="1" s="66">
      <c r="C756" s="4" t="n"/>
    </row>
    <row r="757" ht="14.25" customHeight="1" s="66">
      <c r="C757" s="4" t="n"/>
    </row>
    <row r="758" ht="14.25" customHeight="1" s="66">
      <c r="C758" s="4" t="n"/>
    </row>
    <row r="759" ht="14.25" customHeight="1" s="66">
      <c r="C759" s="4" t="n"/>
    </row>
    <row r="760" ht="14.25" customHeight="1" s="66">
      <c r="C760" s="4" t="n"/>
    </row>
    <row r="761" ht="14.25" customHeight="1" s="66">
      <c r="C761" s="4" t="n"/>
    </row>
    <row r="762" ht="14.25" customHeight="1" s="66">
      <c r="C762" s="4" t="n"/>
    </row>
    <row r="763" ht="14.25" customHeight="1" s="66">
      <c r="C763" s="4" t="n"/>
    </row>
    <row r="764" ht="14.25" customHeight="1" s="66">
      <c r="C764" s="4" t="n"/>
    </row>
    <row r="765" ht="14.25" customHeight="1" s="66">
      <c r="C765" s="4" t="n"/>
    </row>
    <row r="766" ht="14.25" customHeight="1" s="66">
      <c r="C766" s="4" t="n"/>
    </row>
    <row r="767" ht="14.25" customHeight="1" s="66">
      <c r="C767" s="4" t="n"/>
    </row>
    <row r="768" ht="14.25" customHeight="1" s="66">
      <c r="C768" s="4" t="n"/>
    </row>
    <row r="769" ht="14.25" customHeight="1" s="66">
      <c r="C769" s="4" t="n"/>
    </row>
    <row r="770" ht="14.25" customHeight="1" s="66">
      <c r="C770" s="4" t="n"/>
    </row>
    <row r="771" ht="14.25" customHeight="1" s="66">
      <c r="C771" s="4" t="n"/>
    </row>
    <row r="772" ht="14.25" customHeight="1" s="66">
      <c r="C772" s="4" t="n"/>
    </row>
    <row r="773" ht="14.25" customHeight="1" s="66">
      <c r="C773" s="4" t="n"/>
    </row>
    <row r="774" ht="14.25" customHeight="1" s="66">
      <c r="C774" s="4" t="n"/>
    </row>
    <row r="775" ht="14.25" customHeight="1" s="66">
      <c r="C775" s="4" t="n"/>
    </row>
    <row r="776" ht="14.25" customHeight="1" s="66">
      <c r="C776" s="4" t="n"/>
    </row>
    <row r="777" ht="14.25" customHeight="1" s="66">
      <c r="C777" s="4" t="n"/>
    </row>
    <row r="778" ht="14.25" customHeight="1" s="66">
      <c r="C778" s="4" t="n"/>
    </row>
    <row r="779" ht="14.25" customHeight="1" s="66">
      <c r="C779" s="4" t="n"/>
    </row>
    <row r="780" ht="14.25" customHeight="1" s="66">
      <c r="C780" s="4" t="n"/>
    </row>
    <row r="781" ht="14.25" customHeight="1" s="66">
      <c r="C781" s="4" t="n"/>
    </row>
    <row r="782" ht="14.25" customHeight="1" s="66">
      <c r="C782" s="4" t="n"/>
    </row>
    <row r="783" ht="14.25" customHeight="1" s="66">
      <c r="C783" s="4" t="n"/>
    </row>
    <row r="784" ht="14.25" customHeight="1" s="66">
      <c r="C784" s="4" t="n"/>
    </row>
    <row r="785" ht="14.25" customHeight="1" s="66">
      <c r="C785" s="4" t="n"/>
    </row>
    <row r="786" ht="14.25" customHeight="1" s="66">
      <c r="C786" s="4" t="n"/>
    </row>
    <row r="787" ht="14.25" customHeight="1" s="66">
      <c r="C787" s="4" t="n"/>
    </row>
    <row r="788" ht="14.25" customHeight="1" s="66">
      <c r="C788" s="4" t="n"/>
    </row>
    <row r="789" ht="14.25" customHeight="1" s="66">
      <c r="C789" s="4" t="n"/>
    </row>
    <row r="790" ht="14.25" customHeight="1" s="66">
      <c r="C790" s="4" t="n"/>
    </row>
    <row r="791" ht="14.25" customHeight="1" s="66">
      <c r="C791" s="4" t="n"/>
    </row>
    <row r="792" ht="14.25" customHeight="1" s="66">
      <c r="C792" s="4" t="n"/>
    </row>
    <row r="793" ht="14.25" customHeight="1" s="66">
      <c r="C793" s="4" t="n"/>
    </row>
    <row r="794" ht="14.25" customHeight="1" s="66">
      <c r="C794" s="4" t="n"/>
    </row>
    <row r="795" ht="14.25" customHeight="1" s="66">
      <c r="C795" s="4" t="n"/>
    </row>
    <row r="796" ht="14.25" customHeight="1" s="66">
      <c r="C796" s="4" t="n"/>
    </row>
    <row r="797" ht="14.25" customHeight="1" s="66">
      <c r="C797" s="4" t="n"/>
    </row>
    <row r="798" ht="14.25" customHeight="1" s="66">
      <c r="C798" s="4" t="n"/>
    </row>
    <row r="799" ht="14.25" customHeight="1" s="66">
      <c r="C799" s="4" t="n"/>
    </row>
    <row r="800" ht="14.25" customHeight="1" s="66">
      <c r="C800" s="4" t="n"/>
    </row>
    <row r="801" ht="14.25" customHeight="1" s="66">
      <c r="C801" s="4" t="n"/>
    </row>
    <row r="802" ht="14.25" customHeight="1" s="66">
      <c r="C802" s="4" t="n"/>
    </row>
    <row r="803" ht="14.25" customHeight="1" s="66">
      <c r="C803" s="4" t="n"/>
    </row>
    <row r="804" ht="14.25" customHeight="1" s="66">
      <c r="C804" s="4" t="n"/>
    </row>
    <row r="805" ht="14.25" customHeight="1" s="66">
      <c r="C805" s="4" t="n"/>
    </row>
    <row r="806" ht="14.25" customHeight="1" s="66">
      <c r="C806" s="4" t="n"/>
    </row>
    <row r="807" ht="14.25" customHeight="1" s="66">
      <c r="C807" s="4" t="n"/>
    </row>
    <row r="808" ht="14.25" customHeight="1" s="66">
      <c r="C808" s="4" t="n"/>
    </row>
    <row r="809" ht="14.25" customHeight="1" s="66">
      <c r="C809" s="4" t="n"/>
    </row>
    <row r="810" ht="14.25" customHeight="1" s="66">
      <c r="C810" s="4" t="n"/>
    </row>
    <row r="811" ht="14.25" customHeight="1" s="66">
      <c r="C811" s="4" t="n"/>
    </row>
    <row r="812" ht="14.25" customHeight="1" s="66">
      <c r="C812" s="4" t="n"/>
    </row>
    <row r="813" ht="14.25" customHeight="1" s="66">
      <c r="C813" s="4" t="n"/>
    </row>
    <row r="814" ht="14.25" customHeight="1" s="66">
      <c r="C814" s="4" t="n"/>
    </row>
    <row r="815" ht="14.25" customHeight="1" s="66">
      <c r="C815" s="4" t="n"/>
    </row>
    <row r="816" ht="14.25" customHeight="1" s="66">
      <c r="C816" s="4" t="n"/>
    </row>
    <row r="817" ht="14.25" customHeight="1" s="66">
      <c r="C817" s="4" t="n"/>
    </row>
    <row r="818" ht="14.25" customHeight="1" s="66">
      <c r="C818" s="4" t="n"/>
    </row>
    <row r="819" ht="14.25" customHeight="1" s="66">
      <c r="C819" s="4" t="n"/>
    </row>
    <row r="820" ht="14.25" customHeight="1" s="66">
      <c r="C820" s="4" t="n"/>
    </row>
    <row r="821" ht="14.25" customHeight="1" s="66">
      <c r="C821" s="4" t="n"/>
    </row>
    <row r="822" ht="14.25" customHeight="1" s="66">
      <c r="C822" s="4" t="n"/>
    </row>
    <row r="823" ht="14.25" customHeight="1" s="66">
      <c r="C823" s="4" t="n"/>
    </row>
    <row r="824" ht="14.25" customHeight="1" s="66">
      <c r="C824" s="4" t="n"/>
    </row>
    <row r="825" ht="14.25" customHeight="1" s="66">
      <c r="C825" s="4" t="n"/>
    </row>
    <row r="826" ht="14.25" customHeight="1" s="66">
      <c r="C826" s="4" t="n"/>
    </row>
    <row r="827" ht="14.25" customHeight="1" s="66">
      <c r="C827" s="4" t="n"/>
    </row>
    <row r="828" ht="14.25" customHeight="1" s="66">
      <c r="C828" s="4" t="n"/>
    </row>
    <row r="829" ht="14.25" customHeight="1" s="66">
      <c r="C829" s="4" t="n"/>
    </row>
    <row r="830" ht="14.25" customHeight="1" s="66">
      <c r="C830" s="4" t="n"/>
    </row>
    <row r="831" ht="14.25" customHeight="1" s="66">
      <c r="C831" s="4" t="n"/>
    </row>
    <row r="832" ht="14.25" customHeight="1" s="66">
      <c r="C832" s="4" t="n"/>
    </row>
    <row r="833" ht="14.25" customHeight="1" s="66">
      <c r="C833" s="4" t="n"/>
    </row>
    <row r="834" ht="14.25" customHeight="1" s="66">
      <c r="C834" s="4" t="n"/>
    </row>
    <row r="835" ht="14.25" customHeight="1" s="66">
      <c r="C835" s="4" t="n"/>
    </row>
    <row r="836" ht="14.25" customHeight="1" s="66">
      <c r="C836" s="4" t="n"/>
    </row>
    <row r="837" ht="14.25" customHeight="1" s="66">
      <c r="C837" s="4" t="n"/>
    </row>
    <row r="838" ht="14.25" customHeight="1" s="66">
      <c r="C838" s="4" t="n"/>
    </row>
    <row r="839" ht="14.25" customHeight="1" s="66">
      <c r="C839" s="4" t="n"/>
    </row>
    <row r="840" ht="14.25" customHeight="1" s="66">
      <c r="C840" s="4" t="n"/>
    </row>
    <row r="841" ht="14.25" customHeight="1" s="66">
      <c r="C841" s="4" t="n"/>
    </row>
    <row r="842" ht="14.25" customHeight="1" s="66">
      <c r="C842" s="4" t="n"/>
    </row>
    <row r="843" ht="14.25" customHeight="1" s="66">
      <c r="C843" s="4" t="n"/>
    </row>
    <row r="844" ht="14.25" customHeight="1" s="66">
      <c r="C844" s="4" t="n"/>
    </row>
    <row r="845" ht="14.25" customHeight="1" s="66">
      <c r="C845" s="4" t="n"/>
    </row>
    <row r="846" ht="14.25" customHeight="1" s="66">
      <c r="C846" s="4" t="n"/>
    </row>
    <row r="847" ht="14.25" customHeight="1" s="66">
      <c r="C847" s="4" t="n"/>
    </row>
    <row r="848" ht="14.25" customHeight="1" s="66">
      <c r="C848" s="4" t="n"/>
    </row>
    <row r="849" ht="14.25" customHeight="1" s="66">
      <c r="C849" s="4" t="n"/>
    </row>
    <row r="850" ht="14.25" customHeight="1" s="66">
      <c r="C850" s="4" t="n"/>
    </row>
    <row r="851" ht="14.25" customHeight="1" s="66">
      <c r="C851" s="4" t="n"/>
    </row>
    <row r="852" ht="14.25" customHeight="1" s="66">
      <c r="C852" s="4" t="n"/>
    </row>
    <row r="853" ht="14.25" customHeight="1" s="66">
      <c r="C853" s="4" t="n"/>
    </row>
    <row r="854" ht="14.25" customHeight="1" s="66">
      <c r="C854" s="4" t="n"/>
    </row>
    <row r="855" ht="14.25" customHeight="1" s="66">
      <c r="C855" s="4" t="n"/>
    </row>
    <row r="856" ht="14.25" customHeight="1" s="66">
      <c r="C856" s="4" t="n"/>
    </row>
    <row r="857" ht="14.25" customHeight="1" s="66">
      <c r="C857" s="4" t="n"/>
    </row>
    <row r="858" ht="14.25" customHeight="1" s="66">
      <c r="C858" s="4" t="n"/>
    </row>
    <row r="859" ht="14.25" customHeight="1" s="66">
      <c r="C859" s="4" t="n"/>
    </row>
    <row r="860" ht="14.25" customHeight="1" s="66">
      <c r="C860" s="4" t="n"/>
    </row>
    <row r="861" ht="14.25" customHeight="1" s="66">
      <c r="C861" s="4" t="n"/>
    </row>
    <row r="862" ht="14.25" customHeight="1" s="66">
      <c r="C862" s="4" t="n"/>
    </row>
    <row r="863" ht="14.25" customHeight="1" s="66">
      <c r="C863" s="4" t="n"/>
    </row>
    <row r="864" ht="14.25" customHeight="1" s="66">
      <c r="C864" s="4" t="n"/>
    </row>
    <row r="865" ht="14.25" customHeight="1" s="66">
      <c r="C865" s="4" t="n"/>
    </row>
    <row r="866" ht="14.25" customHeight="1" s="66">
      <c r="C866" s="4" t="n"/>
    </row>
    <row r="867" ht="14.25" customHeight="1" s="66">
      <c r="C867" s="4" t="n"/>
    </row>
    <row r="868" ht="14.25" customHeight="1" s="66">
      <c r="C868" s="4" t="n"/>
    </row>
    <row r="869" ht="14.25" customHeight="1" s="66">
      <c r="C869" s="4" t="n"/>
    </row>
    <row r="870" ht="14.25" customHeight="1" s="66">
      <c r="C870" s="4" t="n"/>
    </row>
    <row r="871" ht="14.25" customHeight="1" s="66">
      <c r="C871" s="4" t="n"/>
    </row>
    <row r="872" ht="14.25" customHeight="1" s="66">
      <c r="C872" s="4" t="n"/>
    </row>
    <row r="873" ht="14.25" customHeight="1" s="66">
      <c r="C873" s="4" t="n"/>
    </row>
    <row r="874" ht="14.25" customHeight="1" s="66">
      <c r="C874" s="4" t="n"/>
    </row>
    <row r="875" ht="14.25" customHeight="1" s="66">
      <c r="C875" s="4" t="n"/>
    </row>
    <row r="876" ht="14.25" customHeight="1" s="66">
      <c r="C876" s="4" t="n"/>
    </row>
    <row r="877" ht="14.25" customHeight="1" s="66">
      <c r="C877" s="4" t="n"/>
    </row>
    <row r="878" ht="14.25" customHeight="1" s="66">
      <c r="C878" s="4" t="n"/>
    </row>
    <row r="879" ht="14.25" customHeight="1" s="66">
      <c r="C879" s="4" t="n"/>
    </row>
    <row r="880" ht="14.25" customHeight="1" s="66">
      <c r="C880" s="4" t="n"/>
    </row>
    <row r="881" ht="14.25" customHeight="1" s="66">
      <c r="C881" s="4" t="n"/>
    </row>
    <row r="882" ht="14.25" customHeight="1" s="66">
      <c r="C882" s="4" t="n"/>
    </row>
    <row r="883" ht="14.25" customHeight="1" s="66">
      <c r="C883" s="4" t="n"/>
    </row>
    <row r="884" ht="14.25" customHeight="1" s="66">
      <c r="C884" s="4" t="n"/>
    </row>
    <row r="885" ht="14.25" customHeight="1" s="66">
      <c r="C885" s="4" t="n"/>
    </row>
    <row r="886" ht="14.25" customHeight="1" s="66">
      <c r="C886" s="4" t="n"/>
    </row>
    <row r="887" ht="14.25" customHeight="1" s="66">
      <c r="C887" s="4" t="n"/>
    </row>
    <row r="888" ht="14.25" customHeight="1" s="66">
      <c r="C888" s="4" t="n"/>
    </row>
    <row r="889" ht="14.25" customHeight="1" s="66">
      <c r="C889" s="4" t="n"/>
    </row>
    <row r="890" ht="14.25" customHeight="1" s="66">
      <c r="C890" s="4" t="n"/>
    </row>
    <row r="891" ht="14.25" customHeight="1" s="66">
      <c r="C891" s="4" t="n"/>
    </row>
    <row r="892" ht="14.25" customHeight="1" s="66">
      <c r="C892" s="4" t="n"/>
    </row>
    <row r="893" ht="14.25" customHeight="1" s="66">
      <c r="C893" s="4" t="n"/>
    </row>
    <row r="894" ht="14.25" customHeight="1" s="66">
      <c r="C894" s="4" t="n"/>
    </row>
    <row r="895" ht="14.25" customHeight="1" s="66">
      <c r="C895" s="4" t="n"/>
    </row>
    <row r="896" ht="14.25" customHeight="1" s="66">
      <c r="C896" s="4" t="n"/>
    </row>
    <row r="897" ht="14.25" customHeight="1" s="66">
      <c r="C897" s="4" t="n"/>
    </row>
    <row r="898" ht="14.25" customHeight="1" s="66">
      <c r="C898" s="4" t="n"/>
    </row>
    <row r="899" ht="14.25" customHeight="1" s="66">
      <c r="C899" s="4" t="n"/>
    </row>
    <row r="900" ht="14.25" customHeight="1" s="66">
      <c r="C900" s="4" t="n"/>
    </row>
    <row r="901" ht="14.25" customHeight="1" s="66">
      <c r="C901" s="4" t="n"/>
    </row>
    <row r="902" ht="14.25" customHeight="1" s="66">
      <c r="C902" s="4" t="n"/>
    </row>
    <row r="903" ht="14.25" customHeight="1" s="66">
      <c r="C903" s="4" t="n"/>
    </row>
    <row r="904" ht="14.25" customHeight="1" s="66">
      <c r="C904" s="4" t="n"/>
    </row>
    <row r="905" ht="14.25" customHeight="1" s="66">
      <c r="C905" s="4" t="n"/>
    </row>
    <row r="906" ht="14.25" customHeight="1" s="66">
      <c r="C906" s="4" t="n"/>
    </row>
    <row r="907" ht="14.25" customHeight="1" s="66">
      <c r="C907" s="4" t="n"/>
    </row>
    <row r="908" ht="14.25" customHeight="1" s="66">
      <c r="C908" s="4" t="n"/>
    </row>
    <row r="909" ht="14.25" customHeight="1" s="66">
      <c r="C909" s="4" t="n"/>
    </row>
    <row r="910" ht="14.25" customHeight="1" s="66">
      <c r="C910" s="4" t="n"/>
    </row>
    <row r="911" ht="14.25" customHeight="1" s="66">
      <c r="C911" s="4" t="n"/>
    </row>
    <row r="912" ht="14.25" customHeight="1" s="66">
      <c r="C912" s="4" t="n"/>
    </row>
    <row r="913" ht="14.25" customHeight="1" s="66">
      <c r="C913" s="4" t="n"/>
    </row>
    <row r="914" ht="14.25" customHeight="1" s="66">
      <c r="C914" s="4" t="n"/>
    </row>
    <row r="915" ht="14.25" customHeight="1" s="66">
      <c r="C915" s="4" t="n"/>
    </row>
    <row r="916" ht="14.25" customHeight="1" s="66">
      <c r="C916" s="4" t="n"/>
    </row>
    <row r="917" ht="14.25" customHeight="1" s="66">
      <c r="C917" s="4" t="n"/>
    </row>
    <row r="918" ht="14.25" customHeight="1" s="66">
      <c r="C918" s="4" t="n"/>
    </row>
    <row r="919" ht="14.25" customHeight="1" s="66">
      <c r="C919" s="4" t="n"/>
    </row>
    <row r="920" ht="14.25" customHeight="1" s="66">
      <c r="C920" s="4" t="n"/>
    </row>
    <row r="921" ht="14.25" customHeight="1" s="66">
      <c r="C921" s="4" t="n"/>
    </row>
    <row r="922" ht="14.25" customHeight="1" s="66">
      <c r="C922" s="4" t="n"/>
    </row>
    <row r="923" ht="14.25" customHeight="1" s="66">
      <c r="C923" s="4" t="n"/>
    </row>
    <row r="924" ht="14.25" customHeight="1" s="66">
      <c r="C924" s="4" t="n"/>
    </row>
    <row r="925" ht="14.25" customHeight="1" s="66">
      <c r="C925" s="4" t="n"/>
    </row>
    <row r="926" ht="14.25" customHeight="1" s="66">
      <c r="C926" s="4" t="n"/>
    </row>
    <row r="927" ht="14.25" customHeight="1" s="66">
      <c r="C927" s="4" t="n"/>
    </row>
    <row r="928" ht="14.25" customHeight="1" s="66">
      <c r="C928" s="4" t="n"/>
    </row>
    <row r="929" ht="14.25" customHeight="1" s="66">
      <c r="C929" s="4" t="n"/>
    </row>
    <row r="930" ht="14.25" customHeight="1" s="66">
      <c r="C930" s="4" t="n"/>
    </row>
    <row r="931" ht="14.25" customHeight="1" s="66">
      <c r="C931" s="4" t="n"/>
    </row>
    <row r="932" ht="14.25" customHeight="1" s="66">
      <c r="C932" s="4" t="n"/>
    </row>
    <row r="933" ht="14.25" customHeight="1" s="66">
      <c r="C933" s="4" t="n"/>
    </row>
    <row r="934" ht="14.25" customHeight="1" s="66">
      <c r="C934" s="4" t="n"/>
    </row>
    <row r="935" ht="14.25" customHeight="1" s="66">
      <c r="C935" s="4" t="n"/>
    </row>
    <row r="936" ht="14.25" customHeight="1" s="66">
      <c r="C936" s="4" t="n"/>
    </row>
    <row r="937" ht="14.25" customHeight="1" s="66">
      <c r="C937" s="4" t="n"/>
    </row>
    <row r="938" ht="14.25" customHeight="1" s="66">
      <c r="C938" s="4" t="n"/>
    </row>
    <row r="939" ht="14.25" customHeight="1" s="66">
      <c r="C939" s="4" t="n"/>
    </row>
    <row r="940" ht="14.25" customHeight="1" s="66">
      <c r="C940" s="4" t="n"/>
    </row>
    <row r="941" ht="14.25" customHeight="1" s="66">
      <c r="C941" s="4" t="n"/>
    </row>
    <row r="942" ht="14.25" customHeight="1" s="66">
      <c r="C942" s="4" t="n"/>
    </row>
    <row r="943" ht="14.25" customHeight="1" s="66">
      <c r="C943" s="4" t="n"/>
    </row>
    <row r="944" ht="14.25" customHeight="1" s="66">
      <c r="C944" s="4" t="n"/>
    </row>
    <row r="945" ht="14.25" customHeight="1" s="66">
      <c r="C945" s="4" t="n"/>
    </row>
    <row r="946" ht="14.25" customHeight="1" s="66">
      <c r="C946" s="4" t="n"/>
    </row>
    <row r="947" ht="14.25" customHeight="1" s="66">
      <c r="C947" s="4" t="n"/>
    </row>
    <row r="948" ht="14.25" customHeight="1" s="66">
      <c r="C948" s="4" t="n"/>
    </row>
    <row r="949" ht="14.25" customHeight="1" s="66">
      <c r="C949" s="4" t="n"/>
    </row>
    <row r="950" ht="14.25" customHeight="1" s="66">
      <c r="C950" s="4" t="n"/>
    </row>
    <row r="951" ht="14.25" customHeight="1" s="66">
      <c r="C951" s="4" t="n"/>
    </row>
    <row r="952" ht="14.25" customHeight="1" s="66">
      <c r="C952" s="4" t="n"/>
    </row>
    <row r="953" ht="14.25" customHeight="1" s="66">
      <c r="C953" s="4" t="n"/>
    </row>
    <row r="954" ht="14.25" customHeight="1" s="66">
      <c r="C954" s="4" t="n"/>
    </row>
    <row r="955" ht="14.25" customHeight="1" s="66">
      <c r="C955" s="4" t="n"/>
    </row>
    <row r="956" ht="14.25" customHeight="1" s="66">
      <c r="C956" s="4" t="n"/>
    </row>
    <row r="957" ht="14.25" customHeight="1" s="66">
      <c r="C957" s="4" t="n"/>
    </row>
    <row r="958" ht="14.25" customHeight="1" s="66">
      <c r="C958" s="4" t="n"/>
    </row>
    <row r="959" ht="14.25" customHeight="1" s="66">
      <c r="C959" s="4" t="n"/>
    </row>
    <row r="960" ht="14.25" customHeight="1" s="66">
      <c r="C960" s="4" t="n"/>
    </row>
    <row r="961" ht="14.25" customHeight="1" s="66">
      <c r="C961" s="4" t="n"/>
    </row>
    <row r="962" ht="14.25" customHeight="1" s="66">
      <c r="C962" s="4" t="n"/>
    </row>
    <row r="963" ht="14.25" customHeight="1" s="66">
      <c r="C963" s="4" t="n"/>
    </row>
    <row r="964" ht="14.25" customHeight="1" s="66">
      <c r="C964" s="4" t="n"/>
    </row>
    <row r="965" ht="14.25" customHeight="1" s="66">
      <c r="C965" s="4" t="n"/>
    </row>
    <row r="966" ht="14.25" customHeight="1" s="66">
      <c r="C966" s="4" t="n"/>
    </row>
    <row r="967" ht="14.25" customHeight="1" s="66">
      <c r="C967" s="4" t="n"/>
    </row>
    <row r="968" ht="14.25" customHeight="1" s="66">
      <c r="C968" s="4" t="n"/>
    </row>
    <row r="969" ht="14.25" customHeight="1" s="66">
      <c r="C969" s="4" t="n"/>
    </row>
    <row r="970" ht="14.25" customHeight="1" s="66">
      <c r="C970" s="4" t="n"/>
    </row>
    <row r="971" ht="14.25" customHeight="1" s="66">
      <c r="C971" s="4" t="n"/>
    </row>
    <row r="972" ht="14.25" customHeight="1" s="66">
      <c r="C972" s="4" t="n"/>
    </row>
    <row r="973" ht="14.25" customHeight="1" s="66">
      <c r="C973" s="4" t="n"/>
    </row>
    <row r="974" ht="14.25" customHeight="1" s="66">
      <c r="C974" s="4" t="n"/>
    </row>
    <row r="975" ht="14.25" customHeight="1" s="66">
      <c r="C975" s="4" t="n"/>
    </row>
    <row r="976" ht="14.25" customHeight="1" s="66">
      <c r="C976" s="4" t="n"/>
    </row>
    <row r="977" ht="14.25" customHeight="1" s="66">
      <c r="C977" s="4" t="n"/>
    </row>
    <row r="978" ht="14.25" customHeight="1" s="66">
      <c r="C978" s="4" t="n"/>
    </row>
    <row r="979" ht="14.25" customHeight="1" s="66">
      <c r="C979" s="4" t="n"/>
    </row>
    <row r="980" ht="14.25" customHeight="1" s="66">
      <c r="C980" s="4" t="n"/>
    </row>
    <row r="981" ht="14.25" customHeight="1" s="66">
      <c r="C981" s="4" t="n"/>
    </row>
    <row r="982" ht="14.25" customHeight="1" s="66">
      <c r="C982" s="4" t="n"/>
    </row>
    <row r="983" ht="14.25" customHeight="1" s="66">
      <c r="C983" s="4" t="n"/>
    </row>
    <row r="984" ht="14.25" customHeight="1" s="66">
      <c r="C984" s="4" t="n"/>
    </row>
    <row r="985" ht="14.25" customHeight="1" s="66">
      <c r="C985" s="4" t="n"/>
    </row>
    <row r="986" ht="14.25" customHeight="1" s="66">
      <c r="C986" s="4" t="n"/>
    </row>
    <row r="987" ht="14.25" customHeight="1" s="66">
      <c r="C987" s="4" t="n"/>
    </row>
    <row r="988" ht="14.25" customHeight="1" s="66">
      <c r="C988" s="4" t="n"/>
    </row>
    <row r="989" ht="14.25" customHeight="1" s="66">
      <c r="C989" s="4" t="n"/>
    </row>
    <row r="990" ht="14.25" customHeight="1" s="66">
      <c r="C990" s="4" t="n"/>
    </row>
    <row r="991" ht="14.25" customHeight="1" s="66">
      <c r="C991" s="4" t="n"/>
    </row>
    <row r="992" ht="14.25" customHeight="1" s="66">
      <c r="C992" s="4" t="n"/>
    </row>
    <row r="993" ht="14.25" customHeight="1" s="66">
      <c r="C993" s="4" t="n"/>
    </row>
    <row r="994" ht="14.25" customHeight="1" s="66">
      <c r="C994" s="4" t="n"/>
    </row>
    <row r="995" ht="14.25" customHeight="1" s="66">
      <c r="C995" s="4" t="n"/>
    </row>
    <row r="996" ht="14.25" customHeight="1" s="66">
      <c r="C996" s="4" t="n"/>
    </row>
    <row r="997" ht="14.25" customHeight="1" s="66">
      <c r="C997" s="4" t="n"/>
    </row>
    <row r="998" ht="14.25" customHeight="1" s="66">
      <c r="C998" s="4" t="n"/>
    </row>
    <row r="999" ht="14.25" customHeight="1" s="66">
      <c r="C999" s="4" t="n"/>
    </row>
    <row r="1000" ht="14.25" customHeight="1" s="66">
      <c r="C1000" s="4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2026-08-05T12:06:27Z</dcterms:created>
  <dcterms:modified xsi:type="dcterms:W3CDTF">2026-08-17T14:17:50Z</dcterms:modified>
</cp:coreProperties>
</file>
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ЁТСЯ НА СКЛАД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Наименование</t>
        </is>
      </c>
      <c r="B1" s="1" t="inlineStr">
        <is>
          <t>Остаётся, шт</t>
        </is>
      </c>
      <c r="C1" s="1" t="inlineStr">
        <is>
          <t>Всего было, шт</t>
        </is>
      </c>
      <c r="D1" s="1" t="inlineStr">
        <is>
          <t>Забирают, шт</t>
        </is>
      </c>
      <c r="E1" s="1" t="inlineStr">
        <is>
          <t>Себестоимость, руб</t>
        </is>
      </c>
      <c r="F1" s="1" t="inlineStr">
        <is>
          <t>Срок годности</t>
        </is>
      </c>
      <c r="G1" s="1" t="inlineStr">
        <is>
          <t>Сумма остатка, руб</t>
        </is>
      </c>
    </row>
    <row r="2">
      <c r="A2" t="inlineStr">
        <is>
          <t>ENOUGH - Collagen Moisture Essential Cream [50ml] / Увлажняющий крем для лица с коллагеном</t>
        </is>
      </c>
      <c r="B2" s="2" t="n">
        <v>5340</v>
      </c>
      <c r="C2" s="2" t="n">
        <v>7340</v>
      </c>
      <c r="D2" s="2" t="n">
        <v>2000</v>
      </c>
      <c r="E2" s="2" t="n">
        <v>177.43</v>
      </c>
      <c r="F2" t="n">
        <v>2028</v>
      </c>
      <c r="G2" s="2">
        <f>B2*E2</f>
        <v/>
      </c>
    </row>
    <row r="3">
      <c r="A3" t="inlineStr">
        <is>
          <t>ENOUGH Collagen whitening cover tip concealer #02 [9g]/Консилер для лица (основная карточка)</t>
        </is>
      </c>
      <c r="B3" s="2" t="n">
        <v>100</v>
      </c>
      <c r="C3" s="2" t="n">
        <v>300</v>
      </c>
      <c r="D3" s="2" t="n">
        <v>200</v>
      </c>
      <c r="E3" s="2" t="n">
        <v>201.564</v>
      </c>
      <c r="F3" t="n">
        <v>6.2027</v>
      </c>
      <c r="G3" s="2">
        <f>B3*E3</f>
        <v/>
      </c>
    </row>
    <row r="4">
      <c r="A4" t="inlineStr">
        <is>
          <t>ENOUGH Collagen whitening cover tip concealer #03 [9g]/ Консилер для лица (основаная карточка)</t>
        </is>
      </c>
      <c r="B4" s="2" t="n">
        <v>260</v>
      </c>
      <c r="C4" s="2" t="n">
        <v>260</v>
      </c>
      <c r="D4" s="2" t="n"/>
      <c r="E4" s="2" t="n">
        <v>201.564</v>
      </c>
      <c r="F4" t="n">
        <v>6.2027</v>
      </c>
      <c r="G4" s="2">
        <f>B4*E4</f>
        <v/>
      </c>
    </row>
    <row r="5">
      <c r="A5" t="inlineStr">
        <is>
          <t>ETUDE - Baking Powder Crunch Pore Scrub [200ml] / Очищающий скраб для лица с содой</t>
        </is>
      </c>
      <c r="B5" s="2" t="n">
        <v>4279</v>
      </c>
      <c r="C5" s="2" t="n">
        <v>7279</v>
      </c>
      <c r="D5" s="2" t="n">
        <v>3000</v>
      </c>
      <c r="E5" s="2" t="n">
        <v>397.133</v>
      </c>
      <c r="F5" t="n">
        <v>2028</v>
      </c>
      <c r="G5" s="2">
        <f>B5*E5</f>
        <v/>
      </c>
    </row>
    <row r="6">
      <c r="A6" t="inlineStr">
        <is>
          <t>FARMSTAY - Collagen &amp; Hyaluronic Acid All-In One Ampoule [250ml] / Сыворотка с коллагеном и гиалуроновой кислотой</t>
        </is>
      </c>
      <c r="B6" s="2" t="n">
        <v>3179</v>
      </c>
      <c r="C6" s="2" t="n">
        <v>6179</v>
      </c>
      <c r="D6" s="2" t="n">
        <v>3000</v>
      </c>
      <c r="E6" s="2" t="n">
        <v>382.536</v>
      </c>
      <c r="F6" t="n">
        <v>2028</v>
      </c>
      <c r="G6" s="2">
        <f>B6*E6</f>
        <v/>
      </c>
    </row>
    <row r="7">
      <c r="A7" t="inlineStr">
        <is>
          <t>FARMSTAY - Black Garlic Nourishing Shampoo [530ml] / Шампунь-кондиционер 2в1 с экстрактом черного чеснока</t>
        </is>
      </c>
      <c r="B7" s="2" t="n">
        <v>2839</v>
      </c>
      <c r="C7" s="2" t="n">
        <v>3239</v>
      </c>
      <c r="D7" s="2" t="n">
        <v>400</v>
      </c>
      <c r="E7" s="2" t="n">
        <v>436.392</v>
      </c>
      <c r="F7" t="n">
        <v>2028</v>
      </c>
      <c r="G7" s="2">
        <f>B7*E7</f>
        <v/>
      </c>
    </row>
    <row r="8">
      <c r="A8" t="inlineStr">
        <is>
          <t>FARMSTAY - Escargot Noblesse Intensive Cream [50g] / Крем с муцином королевской улитки</t>
        </is>
      </c>
      <c r="B8" s="2" t="n">
        <v>860</v>
      </c>
      <c r="C8" s="2" t="n">
        <v>860</v>
      </c>
      <c r="D8" s="2" t="n">
        <v>0</v>
      </c>
      <c r="E8" s="2" t="n">
        <v>345.224</v>
      </c>
      <c r="F8" t="n">
        <v>2028</v>
      </c>
      <c r="G8" s="2">
        <f>B8*E8</f>
        <v/>
      </c>
    </row>
    <row r="9">
      <c r="A9" t="inlineStr">
        <is>
          <t>FARMSTAY ESCARGOT NOBLESSE INTENSIVE AMPOULE/ сыворотка с улиткой</t>
        </is>
      </c>
      <c r="B9" s="2" t="n">
        <v>501</v>
      </c>
      <c r="C9" s="2" t="n">
        <v>901</v>
      </c>
      <c r="D9" s="2" t="n">
        <v>400</v>
      </c>
      <c r="E9" s="2" t="n">
        <v>429.506</v>
      </c>
      <c r="F9" t="n">
        <v>2028</v>
      </c>
      <c r="G9" s="2">
        <f>B9*E9</f>
        <v/>
      </c>
    </row>
    <row r="10">
      <c r="A10" t="inlineStr">
        <is>
          <t>FARMSTAY - Argan Oil Complete Volume Up Shampoo &amp; Conditioner [530ml] / Шампунь-кондиционер с аргановым маслом</t>
        </is>
      </c>
      <c r="B10" s="2" t="n">
        <v>1635</v>
      </c>
      <c r="C10" s="2" t="n">
        <v>2435</v>
      </c>
      <c r="D10" s="2" t="n">
        <v>800</v>
      </c>
      <c r="E10" s="2" t="n">
        <v>440.836</v>
      </c>
      <c r="F10" t="n">
        <v>2028</v>
      </c>
      <c r="G10" s="2">
        <f>B10*E10</f>
        <v/>
      </c>
    </row>
    <row r="11">
      <c r="A11" t="inlineStr">
        <is>
          <t>FARMSTAY - Collagen Water Full Shampoo &amp; Conditioner [530ml] / Шампунь-кондиционер 2в1 с коллагеном</t>
        </is>
      </c>
      <c r="B11" s="2" t="n">
        <v>2493</v>
      </c>
      <c r="C11" s="2" t="n">
        <v>3493</v>
      </c>
      <c r="D11" s="2" t="n">
        <v>1000</v>
      </c>
      <c r="E11" s="2" t="n">
        <v>436.392</v>
      </c>
      <c r="F11" t="n">
        <v>2028</v>
      </c>
      <c r="G11" s="2">
        <f>B11*E11</f>
        <v/>
      </c>
    </row>
    <row r="12">
      <c r="A12" t="inlineStr">
        <is>
          <t>HEIMISH - Artless Glow Base SPF50+ PA+++(Renew) [40ml] / База под макияж SPF50+ PA+++</t>
        </is>
      </c>
      <c r="B12" s="2" t="n">
        <v>741</v>
      </c>
      <c r="C12" s="2" t="n">
        <v>941</v>
      </c>
      <c r="D12" s="2" t="n">
        <v>200</v>
      </c>
      <c r="E12" s="2" t="n">
        <v>847.528</v>
      </c>
      <c r="F12" t="n">
        <v>2028</v>
      </c>
      <c r="G12" s="2">
        <f>B12*E12</f>
        <v/>
      </c>
    </row>
    <row r="13">
      <c r="A13" t="inlineStr">
        <is>
          <t>JIGOTT - Snail Lifting Cream [70ml] / Крем для лица увлажняющий антивозрастной</t>
        </is>
      </c>
      <c r="B13" s="2" t="n">
        <v>7063</v>
      </c>
      <c r="C13" s="2" t="n">
        <v>7463</v>
      </c>
      <c r="D13" s="2" t="n">
        <v>400</v>
      </c>
      <c r="E13" s="2" t="n">
        <v>222.497</v>
      </c>
      <c r="F13" t="n">
        <v>2028</v>
      </c>
      <c r="G13" s="2">
        <f>B13*E13</f>
        <v/>
      </c>
    </row>
    <row r="14">
      <c r="A14" t="inlineStr">
        <is>
          <t>JIGOTT - Birds Nest Firming Cream [70ml] / Антивозрастной крем с экстрактом ласточкиного гнезда</t>
        </is>
      </c>
      <c r="B14" s="2" t="n">
        <v>814</v>
      </c>
      <c r="C14" s="2" t="n">
        <v>1614</v>
      </c>
      <c r="D14" s="2" t="n">
        <v>800</v>
      </c>
      <c r="E14" s="2" t="n">
        <v>222.497</v>
      </c>
      <c r="F14" t="n">
        <v>2028</v>
      </c>
      <c r="G14" s="2">
        <f>B14*E14</f>
        <v/>
      </c>
    </row>
    <row r="15">
      <c r="A15" t="inlineStr">
        <is>
          <t>JIGOTT - Aloe Real Ampoule Mask [27ml] / Ампульная маска с экстрактом алое</t>
        </is>
      </c>
      <c r="B15" s="2" t="n">
        <v>1190</v>
      </c>
      <c r="C15" s="2" t="n">
        <v>1190</v>
      </c>
      <c r="D15" s="2" t="n"/>
      <c r="E15" s="2" t="n">
        <v>25</v>
      </c>
      <c r="F15" t="n">
        <v>2028</v>
      </c>
      <c r="G15" s="2">
        <f>B15*E15</f>
        <v/>
      </c>
    </row>
    <row r="16">
      <c r="A16" t="inlineStr">
        <is>
          <t>JIGOTT - Black Snail Real Ampoule Mask [27ml] / Ампульная маска с экстрактом слизи черной улитки</t>
        </is>
      </c>
      <c r="B16" s="2" t="n">
        <v>1190</v>
      </c>
      <c r="C16" s="2" t="n">
        <v>1190</v>
      </c>
      <c r="D16" s="2" t="n"/>
      <c r="E16" s="2" t="n">
        <v>25</v>
      </c>
      <c r="F16" t="n">
        <v>2028</v>
      </c>
      <c r="G16" s="2">
        <f>B16*E16</f>
        <v/>
      </c>
    </row>
    <row r="17">
      <c r="A17" t="inlineStr">
        <is>
          <t>JIGOTT - Camellia Real Ampoule Mask [27ml] / Ампульная маска с экстрактом камелии</t>
        </is>
      </c>
      <c r="B17" s="2" t="n">
        <v>1190</v>
      </c>
      <c r="C17" s="2" t="n">
        <v>1190</v>
      </c>
      <c r="D17" s="2" t="n"/>
      <c r="E17" s="2" t="n">
        <v>25</v>
      </c>
      <c r="F17" t="n">
        <v>2028</v>
      </c>
      <c r="G17" s="2">
        <f>B17*E17</f>
        <v/>
      </c>
    </row>
    <row r="18">
      <c r="A18" t="inlineStr">
        <is>
          <t>JIGOTT - Caviar Real Ampoule Mask [27ml] / Ампульная маска с экстрактом икры</t>
        </is>
      </c>
      <c r="B18" s="2" t="n">
        <v>1190</v>
      </c>
      <c r="C18" s="2" t="n">
        <v>1190</v>
      </c>
      <c r="D18" s="2" t="n"/>
      <c r="E18" s="2" t="n">
        <v>25</v>
      </c>
      <c r="F18" t="n">
        <v>2028</v>
      </c>
      <c r="G18" s="2">
        <f>B18*E18</f>
        <v/>
      </c>
    </row>
    <row r="19">
      <c r="A19" t="inlineStr">
        <is>
          <t>JIGOTT - Collagen Real Ampoule Mask [27ml] / Ампульная маска с коллагеном</t>
        </is>
      </c>
      <c r="B19" s="2" t="n">
        <v>1190</v>
      </c>
      <c r="C19" s="2" t="n">
        <v>1190</v>
      </c>
      <c r="D19" s="2" t="n"/>
      <c r="E19" s="2" t="n">
        <v>25</v>
      </c>
      <c r="F19" t="n">
        <v>2028</v>
      </c>
      <c r="G19" s="2">
        <f>B19*E19</f>
        <v/>
      </c>
    </row>
    <row r="20">
      <c r="A20" t="inlineStr">
        <is>
          <t>JIGOTT - Cucumber Real Ampoule Mask [27ml] / Тканевая маска с экстрактом огурца</t>
        </is>
      </c>
      <c r="B20" s="2" t="n">
        <v>1190</v>
      </c>
      <c r="C20" s="2" t="n">
        <v>1190</v>
      </c>
      <c r="D20" s="2" t="n"/>
      <c r="E20" s="2" t="n">
        <v>25</v>
      </c>
      <c r="F20" t="n">
        <v>2028</v>
      </c>
      <c r="G20" s="2">
        <f>B20*E20</f>
        <v/>
      </c>
    </row>
    <row r="21">
      <c r="A21" t="inlineStr">
        <is>
          <t>JIGOTT - Green Tea Real Ampoule Mask [27ml] / Ампульная маска с экстрактом зеленого чая</t>
        </is>
      </c>
      <c r="B21" s="2" t="n">
        <v>1190</v>
      </c>
      <c r="C21" s="2" t="n">
        <v>1190</v>
      </c>
      <c r="D21" s="2" t="n"/>
      <c r="E21" s="2" t="n">
        <v>25</v>
      </c>
      <c r="F21" t="n">
        <v>2028</v>
      </c>
      <c r="G21" s="2">
        <f>B21*E21</f>
        <v/>
      </c>
    </row>
    <row r="22">
      <c r="A22" t="inlineStr">
        <is>
          <t>JIGOTT - Honey Real Ampoule Mask [27ml] / Ампульная маска с экстрактом меда</t>
        </is>
      </c>
      <c r="B22" s="2" t="n">
        <v>1190</v>
      </c>
      <c r="C22" s="2" t="n">
        <v>1190</v>
      </c>
      <c r="D22" s="2" t="n"/>
      <c r="E22" s="2" t="n">
        <v>25</v>
      </c>
      <c r="F22" t="n">
        <v>2028</v>
      </c>
      <c r="G22" s="2">
        <f>B22*E22</f>
        <v/>
      </c>
    </row>
    <row r="23">
      <c r="A23" t="inlineStr">
        <is>
          <t>JIGOTT - Hyaluronic Acid Real Ampoule Mask [27ml] / Ампульная маска с гиалуроновой кислотой</t>
        </is>
      </c>
      <c r="B23" s="2" t="n">
        <v>1190</v>
      </c>
      <c r="C23" s="2" t="n">
        <v>1190</v>
      </c>
      <c r="D23" s="2" t="n"/>
      <c r="E23" s="2" t="n">
        <v>25</v>
      </c>
      <c r="F23" t="n">
        <v>2028</v>
      </c>
      <c r="G23" s="2">
        <f>B23*E23</f>
        <v/>
      </c>
    </row>
    <row r="24">
      <c r="A24" t="inlineStr">
        <is>
          <t>JIGOTT - Lotus Real Ampoule Mask [27ml] / Ампульная маска с экстрактом лотоса</t>
        </is>
      </c>
      <c r="B24" s="2" t="n">
        <v>1190</v>
      </c>
      <c r="C24" s="2" t="n">
        <v>1190</v>
      </c>
      <c r="D24" s="2" t="n"/>
      <c r="E24" s="2" t="n">
        <v>25</v>
      </c>
      <c r="F24" t="n">
        <v>2028</v>
      </c>
      <c r="G24" s="2">
        <f>B24*E24</f>
        <v/>
      </c>
    </row>
    <row r="25">
      <c r="A25" t="inlineStr">
        <is>
          <t>JIGOTT - Pearl Real Ampoule Mask [27ml] / ампульная маска для лица с жемчугом</t>
        </is>
      </c>
      <c r="B25" s="2" t="n">
        <v>1190</v>
      </c>
      <c r="C25" s="2" t="n">
        <v>1190</v>
      </c>
      <c r="D25" s="2" t="n"/>
      <c r="E25" s="2" t="n">
        <v>25</v>
      </c>
      <c r="F25" t="n">
        <v>2028</v>
      </c>
      <c r="G25" s="2">
        <f>B25*E25</f>
        <v/>
      </c>
    </row>
    <row r="26">
      <c r="A26" t="inlineStr">
        <is>
          <t>JIGOTT - Placenta Real Ampoule Mask [27ml] / Ампульная маска с плацентой</t>
        </is>
      </c>
      <c r="B26" s="2" t="n">
        <v>1190</v>
      </c>
      <c r="C26" s="2" t="n">
        <v>1190</v>
      </c>
      <c r="D26" s="2" t="n"/>
      <c r="E26" s="2" t="n">
        <v>25</v>
      </c>
      <c r="F26" t="n">
        <v>2028</v>
      </c>
      <c r="G26" s="2">
        <f>B26*E26</f>
        <v/>
      </c>
    </row>
    <row r="27">
      <c r="A27" t="inlineStr">
        <is>
          <t>JIGOTT - Pomegranate Real Ampoule Mask [27ml] / Ампульная маска с экстрактом граната</t>
        </is>
      </c>
      <c r="B27" s="2" t="n">
        <v>1190</v>
      </c>
      <c r="C27" s="2" t="n">
        <v>1190</v>
      </c>
      <c r="D27" s="2" t="n"/>
      <c r="E27" s="2" t="n">
        <v>25</v>
      </c>
      <c r="F27" t="n">
        <v>2028</v>
      </c>
      <c r="G27" s="2">
        <f>B27*E27</f>
        <v/>
      </c>
    </row>
    <row r="28">
      <c r="A28" t="inlineStr">
        <is>
          <t>JIGOTT - Potato Real Ampoule Mask [27ml] / Ампульная маска с экстрактом картофеля</t>
        </is>
      </c>
      <c r="B28" s="2" t="n">
        <v>1190</v>
      </c>
      <c r="C28" s="2" t="n">
        <v>1190</v>
      </c>
      <c r="D28" s="2" t="n"/>
      <c r="E28" s="2" t="n">
        <v>25</v>
      </c>
      <c r="F28" t="n">
        <v>2028</v>
      </c>
      <c r="G28" s="2">
        <f>B28*E28</f>
        <v/>
      </c>
    </row>
    <row r="29">
      <c r="A29" t="inlineStr">
        <is>
          <t>JIGOTT - Red Ginseng Real Ampoule Mask [27ml] / Ампульная маска с красным женьшенем</t>
        </is>
      </c>
      <c r="B29" s="2" t="n">
        <v>1190</v>
      </c>
      <c r="C29" s="2" t="n">
        <v>1190</v>
      </c>
      <c r="D29" s="2" t="n"/>
      <c r="E29" s="2" t="n">
        <v>25</v>
      </c>
      <c r="F29" t="n">
        <v>2028</v>
      </c>
      <c r="G29" s="2">
        <f>B29*E29</f>
        <v/>
      </c>
    </row>
    <row r="30">
      <c r="A30" t="inlineStr">
        <is>
          <t>JIGOTT - Vitamin Real Ampoule Mask [27ml] / Ампульная маска с витаминами</t>
        </is>
      </c>
      <c r="B30" s="2" t="n">
        <v>1190</v>
      </c>
      <c r="C30" s="2" t="n">
        <v>1190</v>
      </c>
      <c r="D30" s="2" t="n"/>
      <c r="E30" s="2" t="n">
        <v>25</v>
      </c>
      <c r="F30" t="n">
        <v>2028</v>
      </c>
      <c r="G30" s="2">
        <f>B30*E30</f>
        <v/>
      </c>
    </row>
    <row r="31">
      <c r="A31" t="inlineStr">
        <is>
          <t>JIGOTT - Ultimate Real Collagen Toner [300ml] / тонер с коллагеном антивозрастной</t>
        </is>
      </c>
      <c r="B31" s="2" t="n">
        <v>600</v>
      </c>
      <c r="C31" s="2" t="n">
        <v>800</v>
      </c>
      <c r="D31" s="2" t="n">
        <v>200</v>
      </c>
      <c r="E31" s="2" t="n">
        <v>291.896</v>
      </c>
      <c r="F31" t="n">
        <v>2028</v>
      </c>
      <c r="G31" s="2">
        <f>B31*E31</f>
        <v/>
      </c>
    </row>
    <row r="32">
      <c r="A32" t="inlineStr">
        <is>
          <t>JIGOTT - Daily Real Cica Toner [300ml] / Тонер для лица с центеллой азиатской</t>
        </is>
      </c>
      <c r="B32" s="2" t="n">
        <v>600</v>
      </c>
      <c r="C32" s="2" t="n">
        <v>800</v>
      </c>
      <c r="D32" s="2" t="n">
        <v>200</v>
      </c>
      <c r="E32" s="2" t="n">
        <v>291.896</v>
      </c>
      <c r="F32" t="n">
        <v>2028</v>
      </c>
      <c r="G32" s="2">
        <f>B32*E32</f>
        <v/>
      </c>
    </row>
    <row r="33">
      <c r="A33" t="inlineStr">
        <is>
          <t>JMSOLUTION ACTIVE BLACK CAVIAR MASK [30ml*10ea] / Ультратонкая тканевая маска с черной икрой</t>
        </is>
      </c>
      <c r="B33" s="2" t="n">
        <v>70</v>
      </c>
      <c r="C33" s="2" t="n">
        <v>110</v>
      </c>
      <c r="D33" s="2" t="n">
        <v>40</v>
      </c>
      <c r="E33" s="2" t="n">
        <v>376.497</v>
      </c>
      <c r="F33" t="n">
        <v>2028</v>
      </c>
      <c r="G33" s="2">
        <f>B33*E33</f>
        <v/>
      </c>
    </row>
    <row r="34">
      <c r="A34" t="inlineStr">
        <is>
          <t>JMSOLUTION - Active Golden Caviar Nourishing Mask [30ml*10ea] / Ультратонкая тканевая маска с золотом и икрой</t>
        </is>
      </c>
      <c r="B34" s="2" t="n">
        <v>70</v>
      </c>
      <c r="C34" s="2" t="n">
        <v>110</v>
      </c>
      <c r="D34" s="2" t="n">
        <v>40</v>
      </c>
      <c r="E34" s="2" t="n">
        <v>376.497</v>
      </c>
      <c r="F34" t="n">
        <v>2028</v>
      </c>
      <c r="G34" s="2">
        <f>B34*E34</f>
        <v/>
      </c>
    </row>
    <row r="35">
      <c r="A35" t="inlineStr">
        <is>
          <t>JMSOLUTION - Active Jellyfish Vital Mask [30ml*10ea] / Ультратонкая тканевая маска с экстрактом медузы</t>
        </is>
      </c>
      <c r="B35" s="2" t="n">
        <v>70</v>
      </c>
      <c r="C35" s="2" t="n">
        <v>110</v>
      </c>
      <c r="D35" s="2" t="n">
        <v>40</v>
      </c>
      <c r="E35" s="2" t="n">
        <v>376.497</v>
      </c>
      <c r="F35" t="n">
        <v>2028</v>
      </c>
      <c r="G35" s="2">
        <f>B35*E35</f>
        <v/>
      </c>
    </row>
    <row r="36">
      <c r="A36" t="inlineStr">
        <is>
          <t>JMSOLUTION - Active Birds Nest Moisture Mask [30ml*10ea] / Ультратонкая тканевая маска с ласточкиным гнездом</t>
        </is>
      </c>
      <c r="B36" s="2" t="n">
        <v>70</v>
      </c>
      <c r="C36" s="2" t="n">
        <v>110</v>
      </c>
      <c r="D36" s="2" t="n">
        <v>40</v>
      </c>
      <c r="E36" s="2" t="n">
        <v>376.497</v>
      </c>
      <c r="F36" t="n">
        <v>2028</v>
      </c>
      <c r="G36" s="2">
        <f>B36*E36</f>
        <v/>
      </c>
    </row>
    <row r="37">
      <c r="A37" t="inlineStr">
        <is>
          <t>JMSOLUTION GLORY AQUA FULLERENE MASK DELUXE</t>
        </is>
      </c>
      <c r="B37" s="2" t="n">
        <v>70</v>
      </c>
      <c r="C37" s="2" t="n">
        <v>110</v>
      </c>
      <c r="D37" s="2" t="n">
        <v>40</v>
      </c>
      <c r="E37" s="2" t="n">
        <v>495.385</v>
      </c>
      <c r="F37" t="n">
        <v>2028</v>
      </c>
      <c r="G37" s="2">
        <f>B37*E37</f>
        <v/>
      </c>
    </row>
    <row r="38">
      <c r="A38" t="inlineStr">
        <is>
          <t>JMSOLUTION  JMSOLUTION - Glory Aqua TOCOPHEROL VITAMIN C MASK PLUS [30ml*10ea] / Тканевая маска</t>
        </is>
      </c>
      <c r="B38" s="2" t="n">
        <v>70</v>
      </c>
      <c r="C38" s="2" t="n">
        <v>110</v>
      </c>
      <c r="D38" s="2" t="n">
        <v>40</v>
      </c>
      <c r="E38" s="2" t="n">
        <v>495.385</v>
      </c>
      <c r="F38" t="n">
        <v>2028</v>
      </c>
      <c r="G38" s="2">
        <f>B38*E38</f>
        <v/>
      </c>
    </row>
    <row r="39">
      <c r="A39" t="inlineStr">
        <is>
          <t>JMSOLUTION PANTHELENE INTENSIVE BARRIER MASK</t>
        </is>
      </c>
      <c r="B39" s="2" t="n">
        <v>70</v>
      </c>
      <c r="C39" s="2" t="n">
        <v>110</v>
      </c>
      <c r="D39" s="2" t="n">
        <v>40</v>
      </c>
      <c r="E39" s="2" t="n">
        <v>495.385</v>
      </c>
      <c r="F39" t="n">
        <v>2028</v>
      </c>
      <c r="G39" s="2">
        <f>B39*E39</f>
        <v/>
      </c>
    </row>
    <row r="40">
      <c r="A40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40" s="2" t="n">
        <v>70</v>
      </c>
      <c r="C40" s="2" t="n">
        <v>110</v>
      </c>
      <c r="D40" s="2" t="n">
        <v>40</v>
      </c>
      <c r="E40" s="2" t="n">
        <v>350.295</v>
      </c>
      <c r="F40" t="n">
        <v>2028</v>
      </c>
      <c r="G40" s="2">
        <f>B40*E40</f>
        <v/>
      </c>
    </row>
    <row r="41">
      <c r="A41" t="inlineStr">
        <is>
          <t>JMSOLUTION - Water Luminous S.O.S. Ringer Mask Black [35ml*10ea] / Ультраувлажняющая тканевая маска</t>
        </is>
      </c>
      <c r="B41" s="2" t="n">
        <v>70</v>
      </c>
      <c r="C41" s="2" t="n">
        <v>110</v>
      </c>
      <c r="D41" s="2" t="n">
        <v>40</v>
      </c>
      <c r="E41" s="2" t="n">
        <v>495.385</v>
      </c>
      <c r="F41" t="n">
        <v>2028</v>
      </c>
      <c r="G41" s="2">
        <f>B41*E41</f>
        <v/>
      </c>
    </row>
    <row r="42">
      <c r="A42" t="inlineStr">
        <is>
          <t>JMSOLUTION GREEN DEAR TIGER CICA MASK PURE 30ml*10ea / Регенерирующая маска для лица с центеллой</t>
        </is>
      </c>
      <c r="B42" s="2" t="n">
        <v>70</v>
      </c>
      <c r="C42" s="2" t="n">
        <v>110</v>
      </c>
      <c r="D42" s="2" t="n">
        <v>40</v>
      </c>
      <c r="E42" s="2" t="n">
        <v>376.497</v>
      </c>
      <c r="F42" t="n">
        <v>2028</v>
      </c>
      <c r="G42" s="2">
        <f>B42*E42</f>
        <v/>
      </c>
    </row>
    <row r="43">
      <c r="A43" t="inlineStr">
        <is>
          <t>JMSOLUTION - MASK PACK DISNEY [30ml*10ea] - ассорти набор из 10шт</t>
        </is>
      </c>
      <c r="B43" s="2" t="n">
        <v>432</v>
      </c>
      <c r="C43" s="2" t="n">
        <v>832</v>
      </c>
      <c r="D43" s="2" t="n">
        <v>400</v>
      </c>
      <c r="E43" s="2" t="n">
        <v>509.52</v>
      </c>
      <c r="F43" t="n">
        <v>2028</v>
      </c>
      <c r="G43" s="2">
        <f>B43*E43</f>
        <v/>
      </c>
    </row>
    <row r="44">
      <c r="A44" t="inlineStr">
        <is>
          <t>LEBELAGE - Dr. Peptide Derma Eye Cream [40ml] / Крем для глаз антивозрастной с пептидами</t>
        </is>
      </c>
      <c r="B44" s="2" t="n">
        <v>200</v>
      </c>
      <c r="C44" s="2" t="n">
        <v>400</v>
      </c>
      <c r="D44" s="2" t="n">
        <v>200</v>
      </c>
      <c r="E44" s="2" t="n">
        <v>118.965</v>
      </c>
      <c r="F44" t="inlineStr">
        <is>
          <t>02,2028</t>
        </is>
      </c>
      <c r="G44" s="2">
        <f>B44*E44</f>
        <v/>
      </c>
    </row>
    <row r="45">
      <c r="A45" t="inlineStr">
        <is>
          <t>MANYO BIFIDA INFUSION SHOT AMPOULE 1DX [50ml] / Сыворотка с микроиглами и пробиотиками</t>
        </is>
      </c>
      <c r="B45" s="2" t="n">
        <v>614</v>
      </c>
      <c r="C45" s="2" t="n">
        <v>614</v>
      </c>
      <c r="D45" s="2" t="n"/>
      <c r="E45" s="2" t="n">
        <v>1096.425</v>
      </c>
      <c r="F45" t="n">
        <v>2028</v>
      </c>
      <c r="G45" s="2">
        <f>B45*E45</f>
        <v/>
      </c>
    </row>
    <row r="46">
      <c r="A46" t="inlineStr">
        <is>
          <t>ROUND LAB 1025 DOKDO CLEANSER_150ml - Увлажняющая пенка для умывания лица</t>
        </is>
      </c>
      <c r="B46" s="2" t="n">
        <v>6126</v>
      </c>
      <c r="C46" s="2" t="n">
        <v>7126</v>
      </c>
      <c r="D46" s="2" t="n">
        <v>1000</v>
      </c>
      <c r="E46" s="2" t="n">
        <v>509.509</v>
      </c>
      <c r="F46" t="n">
        <v>2028</v>
      </c>
      <c r="G46" s="2">
        <f>B46*E46</f>
        <v/>
      </c>
    </row>
    <row r="47">
      <c r="A47" t="inlineStr">
        <is>
          <t>ROUND LAB MUGWORT CALMING CLEANSER_150ml - Очищающая пенка для умывания лица от прыщей и акне</t>
        </is>
      </c>
      <c r="B47" s="2" t="n">
        <v>822</v>
      </c>
      <c r="C47" s="2" t="n">
        <v>1422</v>
      </c>
      <c r="D47" s="2" t="n">
        <v>600</v>
      </c>
      <c r="E47" s="2" t="n">
        <v>563.552</v>
      </c>
      <c r="F47" t="n">
        <v>2028</v>
      </c>
      <c r="G47" s="2">
        <f>B47*E47</f>
        <v/>
      </c>
    </row>
    <row r="48">
      <c r="A48" t="inlineStr">
        <is>
          <t>ROUND LAB 1025 DOKDO TONER_200ml / Отшелушивающий тоник с морской водой</t>
        </is>
      </c>
      <c r="B48" s="2" t="n">
        <v>566</v>
      </c>
      <c r="C48" s="2" t="n">
        <v>966</v>
      </c>
      <c r="D48" s="2" t="n">
        <v>400</v>
      </c>
      <c r="E48" s="2" t="n">
        <v>533.423</v>
      </c>
      <c r="F48" t="n">
        <v>2028</v>
      </c>
      <c r="G48" s="2">
        <f>B48*E48</f>
        <v/>
      </c>
    </row>
    <row r="49">
      <c r="A49" t="inlineStr">
        <is>
          <t>SOME BY MI - AHA-BHA-PHA 30 Days Miracle Cream [60g] / Крем для лица</t>
        </is>
      </c>
      <c r="B49" s="2" t="n">
        <v>55</v>
      </c>
      <c r="C49" s="2" t="n">
        <v>55</v>
      </c>
      <c r="D49" s="2" t="n"/>
      <c r="E49" s="2" t="n">
        <v>1162.92</v>
      </c>
      <c r="F49" t="inlineStr">
        <is>
          <t>12,2026</t>
        </is>
      </c>
      <c r="G49" s="2">
        <f>B49*E49</f>
        <v/>
      </c>
    </row>
    <row r="50">
      <c r="A50" t="inlineStr">
        <is>
          <t>THE ORDINARY - Glycolic Acid 7% Toning Solution [KOR] [240ml] / Тоник с гликолевой кислотой 7%</t>
        </is>
      </c>
      <c r="B50" s="2" t="n">
        <v>31</v>
      </c>
      <c r="C50" s="2" t="n">
        <v>31</v>
      </c>
      <c r="D50" s="2" t="n"/>
      <c r="E50" s="2" t="n">
        <v>930.039</v>
      </c>
      <c r="F50" t="inlineStr">
        <is>
          <t>12,2026</t>
        </is>
      </c>
      <c r="G50" s="2">
        <f>B50*E50</f>
        <v/>
      </c>
    </row>
    <row r="51">
      <c r="A51" t="inlineStr">
        <is>
          <t>Celimax Dual Barrier Creamy Toner, тонер 150 мл</t>
        </is>
      </c>
      <c r="B51" s="2" t="n">
        <v>1520</v>
      </c>
      <c r="C51" s="2" t="n">
        <v>4520</v>
      </c>
      <c r="D51" s="2" t="n">
        <v>3000</v>
      </c>
      <c r="E51" s="2" t="n">
        <v>730.246</v>
      </c>
      <c r="F51" t="n">
        <v>2028</v>
      </c>
      <c r="G51" s="2">
        <f>B51*E51</f>
        <v/>
      </c>
    </row>
    <row r="52">
      <c r="A52" t="inlineStr">
        <is>
          <t>CELIMAX THE VITA-A RETINAL SHOT TIGHTENING BOOSTER [15ml]/Подтягивающий бустер-крем с ретинолом для лица</t>
        </is>
      </c>
      <c r="B52" s="2" t="n">
        <v>6493</v>
      </c>
      <c r="C52" s="2" t="n">
        <v>9493</v>
      </c>
      <c r="D52" s="2" t="n">
        <v>3000</v>
      </c>
      <c r="E52" s="2" t="n">
        <v>563.3979999999999</v>
      </c>
      <c r="F52" t="n">
        <v>2028</v>
      </c>
      <c r="G52" s="2">
        <f>B52*E52</f>
        <v/>
      </c>
    </row>
    <row r="53">
      <c r="A53" t="inlineStr">
        <is>
          <t>CELIMAX THE VITA-A RETINOL SHOT TIGHTENING SERUM [30ml]/Сыворотка с ретинолом и микроиглами для лица</t>
        </is>
      </c>
      <c r="B53" s="2" t="n">
        <v>112</v>
      </c>
      <c r="C53" s="2" t="n">
        <v>3112</v>
      </c>
      <c r="D53" s="2" t="n">
        <v>3000</v>
      </c>
      <c r="E53" s="2" t="n">
        <v>585.3100000000001</v>
      </c>
      <c r="F53" t="n">
        <v>2028</v>
      </c>
      <c r="G53" s="2">
        <f>B53*E53</f>
        <v/>
      </c>
    </row>
    <row r="54">
      <c r="A54" t="inlineStr">
        <is>
          <t>CELIMAX DUAL BARRIER SKIN WEARABLE CREAM [50ml]/Крем для восстановления защитного барьера кожи лица</t>
        </is>
      </c>
      <c r="B54" s="2" t="n">
        <v>90</v>
      </c>
      <c r="C54" s="2" t="n">
        <v>90</v>
      </c>
      <c r="D54" s="2" t="n"/>
      <c r="E54" s="2" t="n">
        <v>950.521</v>
      </c>
      <c r="F54" t="n">
        <v>12.2027</v>
      </c>
      <c r="G54" s="2">
        <f>B54*E54</f>
        <v/>
      </c>
    </row>
    <row r="55">
      <c r="A55" t="inlineStr">
        <is>
          <t>CELIMAX JI WOO GAE CICA BHA BLEMISH TONER PAD [170ml / 60pads]/Тонер-пэды от воспалений</t>
        </is>
      </c>
      <c r="B55" s="2" t="n">
        <v>1500</v>
      </c>
      <c r="C55" s="2" t="n">
        <v>1500</v>
      </c>
      <c r="D55" s="2" t="n"/>
      <c r="E55" s="2" t="n">
        <v>778.668</v>
      </c>
      <c r="F55" t="n">
        <v>2028</v>
      </c>
      <c r="G55" s="2">
        <f>B55*E55</f>
        <v/>
      </c>
    </row>
    <row r="56">
      <c r="A56" t="inlineStr">
        <is>
          <t>CELIMAX THE REAL NONI ENERGY AMPOULE_30ML (NEW) [30ml]/Восстанавливающая сыворотка с экстрактом нони для лица</t>
        </is>
      </c>
      <c r="B56" s="2" t="n">
        <v>57</v>
      </c>
      <c r="C56" s="2" t="n">
        <v>57</v>
      </c>
      <c r="D56" s="2" t="n"/>
      <c r="E56" s="2" t="n">
        <v>840.213</v>
      </c>
      <c r="F56" t="n">
        <v>2028</v>
      </c>
      <c r="G56" s="2">
        <f>B56*E56</f>
        <v/>
      </c>
    </row>
    <row r="57">
      <c r="A57" t="inlineStr">
        <is>
          <t>CELIMAX PORE+DARK SPOT BRIGHTENING PAD [100ml / 40pads]/Тонер-пэды для выравнивания тона и рельефа кожи</t>
        </is>
      </c>
      <c r="B57" s="2" t="n">
        <v>1075</v>
      </c>
      <c r="C57" s="2" t="n">
        <v>1375</v>
      </c>
      <c r="D57" s="2" t="n">
        <v>300</v>
      </c>
      <c r="E57" s="2" t="n">
        <v>611.798</v>
      </c>
      <c r="F57" t="n">
        <v>2028</v>
      </c>
      <c r="G57" s="2">
        <f>B57*E57</f>
        <v/>
      </c>
    </row>
    <row r="58">
      <c r="A58" t="inlineStr">
        <is>
          <t>VT PDRN ESSENCE 100 / Укрепляющая бустер-эссенция с ПДРН</t>
        </is>
      </c>
      <c r="B58" s="2" t="n">
        <v>609</v>
      </c>
      <c r="C58" s="2" t="n">
        <v>1009</v>
      </c>
      <c r="D58" s="2" t="n">
        <v>400</v>
      </c>
      <c r="E58" s="2" t="n">
        <v>1469.545</v>
      </c>
      <c r="F58" t="n">
        <v>2028</v>
      </c>
      <c r="G58" s="2">
        <f>B58*E58</f>
        <v/>
      </c>
    </row>
    <row r="59">
      <c r="A59" s="3" t="inlineStr">
        <is>
          <t>ИТОГО</t>
        </is>
      </c>
      <c r="B59" s="4">
        <f>SUM(B2:B58)</f>
        <v/>
      </c>
      <c r="G59" s="4">
        <f>SUM(G2:G58)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2026-09-01T00:21:41Z</dcterms:created>
  <dcterms:modified xmlns:dcterms="http://purl.org/dc/terms/" xmlns:xsi="http://www.w3.org/2001/XMLSchema-instance" xsi:type="dcterms:W3CDTF">2026-09-01T00:21:41Z</dcterms:modified>
</cp:coreProperties>
</file>
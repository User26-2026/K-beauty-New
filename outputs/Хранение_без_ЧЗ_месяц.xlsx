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Хранение без ЧЗ (месяц)" sheetId="1" state="visible" r:id="rId1"/>
    <sheet name="Данные хранения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4" fontId="0" fillId="0" borderId="1" pivotButton="0" quotePrefix="0" xfId="0"/>
    <xf numFmtId="0" fontId="2" fillId="0" borderId="0" pivotButton="0" quotePrefix="0" xfId="0"/>
    <xf numFmtId="4" fontId="2" fillId="3" borderId="0" pivotButton="0" quotePrefix="0" xfId="0"/>
    <xf numFmtId="0" fontId="3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2" customWidth="1" min="2" max="2"/>
    <col width="16" customWidth="1" min="3" max="3"/>
    <col width="18" customWidth="1" min="4" max="4"/>
    <col width="18" customWidth="1" min="5" max="5"/>
    <col width="20" customWidth="1" min="6" max="6"/>
  </cols>
  <sheetData>
    <row r="1">
      <c r="A1" s="1" t="inlineStr">
        <is>
          <t>Артикул ВБ</t>
        </is>
      </c>
      <c r="B1" s="1" t="inlineStr">
        <is>
          <t>Наименование</t>
        </is>
      </c>
      <c r="C1" s="1" t="inlineStr">
        <is>
          <t>Остаток без ЧЗ, шт</t>
        </is>
      </c>
      <c r="D1" s="1" t="inlineStr">
        <is>
          <t>Хранение в день за ед., руб (ВПР)</t>
        </is>
      </c>
      <c r="E1" s="1" t="inlineStr">
        <is>
          <t>Хранение в месяц за ед., руб</t>
        </is>
      </c>
      <c r="F1" s="1" t="inlineStr">
        <is>
          <t>Хранение в месяц всего, руб</t>
        </is>
      </c>
    </row>
    <row r="2">
      <c r="A2" s="2" t="n">
        <v>204258828</v>
      </c>
      <c r="B2" s="2" t="inlineStr">
        <is>
          <t>COSRX - Salicylic Acid Daily Gentle Cleanser [150ml] / Пенка с салициловой кислотой для проблемной кожи</t>
        </is>
      </c>
      <c r="C2" s="3" t="n">
        <v>556</v>
      </c>
      <c r="D2" s="4">
        <f>VLOOKUP(A2,'Данные хранения'!$A$2:$B$205,2,0)</f>
        <v/>
      </c>
      <c r="E2" s="4">
        <f>D2*30</f>
        <v/>
      </c>
      <c r="F2" s="4">
        <f>E2*C2</f>
        <v/>
      </c>
    </row>
    <row r="3">
      <c r="A3" s="2" t="n">
        <v>214304883</v>
      </c>
      <c r="B3" s="2" t="inlineStr">
        <is>
          <t>DEOPROCE - SNAIL RECOVERY CREAM [100g] / Крем восстанавливающий с муцином улитки</t>
        </is>
      </c>
      <c r="C3" s="3" t="n">
        <v>73</v>
      </c>
      <c r="D3" s="4">
        <f>VLOOKUP(A3,'Данные хранения'!$A$2:$B$205,2,0)</f>
        <v/>
      </c>
      <c r="E3" s="4">
        <f>D3*30</f>
        <v/>
      </c>
      <c r="F3" s="4">
        <f>E3*C3</f>
        <v/>
      </c>
    </row>
    <row r="4">
      <c r="A4" s="2" t="n">
        <v>608837066</v>
      </c>
      <c r="B4" s="2" t="inlineStr">
        <is>
          <t>DEOPROCE SHAMPOO - BLACK GARLIC INTENSME ENERGY [600ml] мягкая упаковка Шампунь с черным чесноком против выпадения волос</t>
        </is>
      </c>
      <c r="C4" s="3" t="n">
        <v>125</v>
      </c>
      <c r="D4" s="4">
        <f>VLOOKUP(A4,'Данные хранения'!$A$2:$B$205,2,0)</f>
        <v/>
      </c>
      <c r="E4" s="4">
        <f>D4*30</f>
        <v/>
      </c>
      <c r="F4" s="4">
        <f>E4*C4</f>
        <v/>
      </c>
    </row>
    <row r="5">
      <c r="A5" s="2" t="n">
        <v>608624295</v>
      </c>
      <c r="B5" s="2" t="inlineStr">
        <is>
          <t>DEOPROCE SHAMPOO - BLACK GARLIC INTENSME ENERGY [600ml] мягкая упаковка с колпачком,Шампунь с черным чесноком против выпадения волос</t>
        </is>
      </c>
      <c r="C5" s="3" t="n">
        <v>144</v>
      </c>
      <c r="D5" s="4">
        <f>VLOOKUP(A5,'Данные хранения'!$A$2:$B$205,2,0)</f>
        <v/>
      </c>
      <c r="E5" s="4">
        <f>D5*30</f>
        <v/>
      </c>
      <c r="F5" s="4">
        <f>E5*C5</f>
        <v/>
      </c>
    </row>
    <row r="6">
      <c r="A6" s="2" t="n">
        <v>608841921</v>
      </c>
      <c r="B6" s="2" t="inlineStr">
        <is>
          <t>DEOPROCE SHAMPOO - BLACK GARLIC INTENSME ENERGY [200ml]/ Шампунь с черным чесноком против выпадения волос</t>
        </is>
      </c>
      <c r="C6" s="3" t="n">
        <v>550</v>
      </c>
      <c r="D6" s="4">
        <f>VLOOKUP(A6,'Данные хранения'!$A$2:$B$205,2,0)</f>
        <v/>
      </c>
      <c r="E6" s="4">
        <f>D6*30</f>
        <v/>
      </c>
      <c r="F6" s="4">
        <f>E6*C6</f>
        <v/>
      </c>
    </row>
    <row r="7">
      <c r="A7" s="2" t="n">
        <v>214305722</v>
      </c>
      <c r="B7" s="2" t="inlineStr">
        <is>
          <t>DEOPROCE SHAMPOO+BALSAM - BLACK GARLIC[2000ml]</t>
        </is>
      </c>
      <c r="C7" s="3" t="n">
        <v>610</v>
      </c>
      <c r="D7" s="4">
        <f>VLOOKUP(A7,'Данные хранения'!$A$2:$B$205,2,0)</f>
        <v/>
      </c>
      <c r="E7" s="4">
        <f>D7*30</f>
        <v/>
      </c>
      <c r="F7" s="4">
        <f>E7*C7</f>
        <v/>
      </c>
    </row>
    <row r="8">
      <c r="A8" s="2" t="n">
        <v>208202076</v>
      </c>
      <c r="B8" s="2" t="inlineStr">
        <is>
          <t>EKEL - Ampule Сream Сollagen [70ml] / Крем для лица ампульный с коллагеном</t>
        </is>
      </c>
      <c r="C8" s="3" t="n">
        <v>186</v>
      </c>
      <c r="D8" s="4">
        <f>VLOOKUP(A8,'Данные хранения'!$A$2:$B$205,2,0)</f>
        <v/>
      </c>
      <c r="E8" s="4">
        <f>D8*30</f>
        <v/>
      </c>
      <c r="F8" s="4">
        <f>E8*C8</f>
        <v/>
      </c>
    </row>
    <row r="9">
      <c r="A9" s="2" t="n">
        <v>207796563</v>
      </c>
      <c r="B9" s="2" t="inlineStr">
        <is>
          <t>ELIZAVECCA - Aqua Hyaluronic Acid Water Drop Cream / Увлажняющий крем для лица с гиалуроновой кислотой</t>
        </is>
      </c>
      <c r="C9" s="3" t="n">
        <v>100</v>
      </c>
      <c r="D9" s="4">
        <f>VLOOKUP(A9,'Данные хранения'!$A$2:$B$205,2,0)</f>
        <v/>
      </c>
      <c r="E9" s="4">
        <f>D9*30</f>
        <v/>
      </c>
      <c r="F9" s="4">
        <f>E9*C9</f>
        <v/>
      </c>
    </row>
    <row r="10">
      <c r="A10" s="2" t="n">
        <v>207796350</v>
      </c>
      <c r="B10" s="2" t="inlineStr">
        <is>
          <t>ELIZAVECCA - CER-100 Collagen Ceramide Coating Protein Treatment [100ml] / Коллагеновая маска для волос</t>
        </is>
      </c>
      <c r="C10" s="3" t="n">
        <v>496</v>
      </c>
      <c r="D10" s="4">
        <f>VLOOKUP(A10,'Данные хранения'!$A$2:$B$205,2,0)</f>
        <v/>
      </c>
      <c r="E10" s="4">
        <f>D10*30</f>
        <v/>
      </c>
      <c r="F10" s="4">
        <f>E10*C10</f>
        <v/>
      </c>
    </row>
    <row r="11">
      <c r="A11" s="2" t="n">
        <v>206057411</v>
      </c>
      <c r="B11" s="2" t="inlineStr">
        <is>
          <t>ELIZAVECCA - Hell pore clean up aha fruit toner [ 200ml] / Пилинг-тоник с фруктовыми кислотами</t>
        </is>
      </c>
      <c r="C11" s="3" t="n">
        <v>180</v>
      </c>
      <c r="D11" s="4">
        <f>VLOOKUP(A11,'Данные хранения'!$A$2:$B$205,2,0)</f>
        <v/>
      </c>
      <c r="E11" s="4">
        <f>D11*30</f>
        <v/>
      </c>
      <c r="F11" s="4">
        <f>E11*C11</f>
        <v/>
      </c>
    </row>
    <row r="12">
      <c r="A12" s="2" t="n">
        <v>206058262</v>
      </c>
      <c r="B12" s="2" t="inlineStr">
        <is>
          <t>ELIZAVECCA - Hell-Pore Galactomyces Pure Ample / Сыворотка для лица с экстрактом галактомисиса</t>
        </is>
      </c>
      <c r="C12" s="3" t="n">
        <v>50</v>
      </c>
      <c r="D12" s="4">
        <f>VLOOKUP(A12,'Данные хранения'!$A$2:$B$205,2,0)</f>
        <v/>
      </c>
      <c r="E12" s="4">
        <f>D12*30</f>
        <v/>
      </c>
      <c r="F12" s="4">
        <f>E12*C12</f>
        <v/>
      </c>
    </row>
    <row r="13">
      <c r="A13" s="2" t="n">
        <v>190160008</v>
      </c>
      <c r="B13" s="2" t="inlineStr">
        <is>
          <t>ELIZAVECCA - Milky Piggy EGF elastic retinol [100ml] / Антивозрастной крем для лица с ретинолом и EGF</t>
        </is>
      </c>
      <c r="C13" s="3" t="n">
        <v>345</v>
      </c>
      <c r="D13" s="4">
        <f>VLOOKUP(A13,'Данные хранения'!$A$2:$B$205,2,0)</f>
        <v/>
      </c>
      <c r="E13" s="4">
        <f>D13*30</f>
        <v/>
      </c>
      <c r="F13" s="4">
        <f>E13*C13</f>
        <v/>
      </c>
    </row>
    <row r="14">
      <c r="A14" s="2" t="n">
        <v>238416010</v>
      </c>
      <c r="B14" s="2" t="inlineStr">
        <is>
          <t>ENOUGH - Collagen Whitening Moisture Cream 3in1 [50g] / Антивозрастной отбеливающий крем с коллагеном</t>
        </is>
      </c>
      <c r="C14" s="3" t="n">
        <v>0</v>
      </c>
      <c r="D14" s="4">
        <f>VLOOKUP(A14,'Данные хранения'!$A$2:$B$205,2,0)</f>
        <v/>
      </c>
      <c r="E14" s="4">
        <f>D14*30</f>
        <v/>
      </c>
      <c r="F14" s="4">
        <f>E14*C14</f>
        <v/>
      </c>
    </row>
    <row r="15">
      <c r="A15" s="2" t="n">
        <v>150925321</v>
      </c>
      <c r="B15" s="2" t="inlineStr">
        <is>
          <t>ENOUGH - Collagen Moisture Foundation [Tone 13] / Тональный крем для лица с коллагеном 13 тон</t>
        </is>
      </c>
      <c r="C15" s="3" t="n">
        <v>0</v>
      </c>
      <c r="D15" s="4">
        <f>VLOOKUP(A15,'Данные хранения'!$A$2:$B$205,2,0)</f>
        <v/>
      </c>
      <c r="E15" s="4">
        <f>D15*30</f>
        <v/>
      </c>
      <c r="F15" s="4">
        <f>E15*C15</f>
        <v/>
      </c>
    </row>
    <row r="16">
      <c r="A16" s="2" t="n">
        <v>150925322</v>
      </c>
      <c r="B16" s="2" t="inlineStr">
        <is>
          <t>ENOUGH - Collagen Moisture Foundation [Tone 21] / Тональный крем для лица с коллагеном 21 тон</t>
        </is>
      </c>
      <c r="C16" s="3" t="n">
        <v>0</v>
      </c>
      <c r="D16" s="4">
        <f>VLOOKUP(A16,'Данные хранения'!$A$2:$B$205,2,0)</f>
        <v/>
      </c>
      <c r="E16" s="4">
        <f>D16*30</f>
        <v/>
      </c>
      <c r="F16" s="4">
        <f>E16*C16</f>
        <v/>
      </c>
    </row>
    <row r="17">
      <c r="A17" s="2" t="n">
        <v>611747838</v>
      </c>
      <c r="B17" s="2" t="inlineStr">
        <is>
          <t>ENOUGH - Collagen Moisture Foundation [Tone 23] / Тональный крем для лица с коллагеном 23 тон</t>
        </is>
      </c>
      <c r="C17" s="3" t="n">
        <v>0</v>
      </c>
      <c r="D17" s="4">
        <f>VLOOKUP(A17,'Данные хранения'!$A$2:$B$205,2,0)</f>
        <v/>
      </c>
      <c r="E17" s="4">
        <f>D17*30</f>
        <v/>
      </c>
      <c r="F17" s="4">
        <f>E17*C17</f>
        <v/>
      </c>
    </row>
    <row r="18">
      <c r="A18" s="2" t="n">
        <v>151132051</v>
      </c>
      <c r="B18" s="2" t="inlineStr">
        <is>
          <t>ENOUGH - Collagen 3in1 Whitening Moisture Foundation [Tone 13] / Тональный крем для лица с коллагеном 3в1 [13 тон]</t>
        </is>
      </c>
      <c r="C18" s="3" t="n">
        <v>511</v>
      </c>
      <c r="D18" s="4">
        <f>VLOOKUP(A18,'Данные хранения'!$A$2:$B$205,2,0)</f>
        <v/>
      </c>
      <c r="E18" s="4">
        <f>D18*30</f>
        <v/>
      </c>
      <c r="F18" s="4">
        <f>E18*C18</f>
        <v/>
      </c>
    </row>
    <row r="19">
      <c r="A19" s="2" t="n">
        <v>151132052</v>
      </c>
      <c r="B19" s="2" t="inlineStr">
        <is>
          <t>ENOUGH - Collagen 3in1 Whitening Moisture Foundation [Tone 21] / Тональный крем для лица с коллагеном 3в1 [21 тон]</t>
        </is>
      </c>
      <c r="C19" s="3" t="n">
        <v>86</v>
      </c>
      <c r="D19" s="4">
        <f>VLOOKUP(A19,'Данные хранения'!$A$2:$B$205,2,0)</f>
        <v/>
      </c>
      <c r="E19" s="4">
        <f>D19*30</f>
        <v/>
      </c>
      <c r="F19" s="4">
        <f>E19*C19</f>
        <v/>
      </c>
    </row>
    <row r="20">
      <c r="A20" s="2" t="n">
        <v>170198738</v>
      </c>
      <c r="B20" s="2" t="inlineStr">
        <is>
          <t>ENOUGH - Premium 8 Peptide Full Cover Perfect Foundation [Tone 13] / Тональный крем с пептидами 13 тон</t>
        </is>
      </c>
      <c r="C20" s="3" t="n">
        <v>0</v>
      </c>
      <c r="D20" s="4">
        <f>VLOOKUP(A20,'Данные хранения'!$A$2:$B$205,2,0)</f>
        <v/>
      </c>
      <c r="E20" s="4">
        <f>D20*30</f>
        <v/>
      </c>
      <c r="F20" s="4">
        <f>E20*C20</f>
        <v/>
      </c>
    </row>
    <row r="21">
      <c r="A21" s="2" t="n">
        <v>170198337</v>
      </c>
      <c r="B21" s="2" t="inlineStr">
        <is>
          <t>ENOUGH - Premium 8 Peptide Full Cover Perfect Foundation [Tone 21] / Тональный крем с пептидами 21 тон</t>
        </is>
      </c>
      <c r="C21" s="3" t="n">
        <v>577</v>
      </c>
      <c r="D21" s="4">
        <f>VLOOKUP(A21,'Данные хранения'!$A$2:$B$205,2,0)</f>
        <v/>
      </c>
      <c r="E21" s="4">
        <f>D21*30</f>
        <v/>
      </c>
      <c r="F21" s="4">
        <f>E21*C21</f>
        <v/>
      </c>
    </row>
    <row r="22">
      <c r="A22" s="2" t="n">
        <v>170198180</v>
      </c>
      <c r="B22" s="2" t="inlineStr">
        <is>
          <t>ENOUGH - Premium Rich Gold Double Wear Radiance Foundation [Tone 13] / Тональный крем с частичками золота 13 тон</t>
        </is>
      </c>
      <c r="C22" s="3" t="n">
        <v>235</v>
      </c>
      <c r="D22" s="4">
        <f>VLOOKUP(A22,'Данные хранения'!$A$2:$B$205,2,0)</f>
        <v/>
      </c>
      <c r="E22" s="4">
        <f>D22*30</f>
        <v/>
      </c>
      <c r="F22" s="4">
        <f>E22*C22</f>
        <v/>
      </c>
    </row>
    <row r="23">
      <c r="A23" s="2" t="n">
        <v>170198109</v>
      </c>
      <c r="B23" s="2" t="inlineStr">
        <is>
          <t>ENOUGH - Premium Rich Gold Double Wear Radiance Foundation [Tone 21] / Тональный крем с частичками золота 21 тон</t>
        </is>
      </c>
      <c r="C23" s="3" t="n">
        <v>30</v>
      </c>
      <c r="D23" s="4">
        <f>VLOOKUP(A23,'Данные хранения'!$A$2:$B$205,2,0)</f>
        <v/>
      </c>
      <c r="E23" s="4">
        <f>D23*30</f>
        <v/>
      </c>
      <c r="F23" s="4">
        <f>E23*C23</f>
        <v/>
      </c>
    </row>
    <row r="24">
      <c r="A24" s="2" t="n">
        <v>212889025</v>
      </c>
      <c r="B24" s="2" t="inlineStr">
        <is>
          <t>ENOUGH Collagen whitening cover tip concealer #01 [9g]/Консилер для лица (новая карточка)</t>
        </is>
      </c>
      <c r="C24" s="3" t="n">
        <v>794</v>
      </c>
      <c r="D24" s="4">
        <f>VLOOKUP(A24,'Данные хранения'!$A$2:$B$205,2,0)</f>
        <v/>
      </c>
      <c r="E24" s="4">
        <f>D24*30</f>
        <v/>
      </c>
      <c r="F24" s="4">
        <f>E24*C24</f>
        <v/>
      </c>
    </row>
    <row r="25">
      <c r="A25" s="2" t="n">
        <v>212889027</v>
      </c>
      <c r="B25" s="2" t="inlineStr">
        <is>
          <t>ENOUGH Collagen whitening cover tip concealer #02 [9g]/Консилер для лица (новая карточка)</t>
        </is>
      </c>
      <c r="C25" s="3" t="n">
        <v>864</v>
      </c>
      <c r="D25" s="4">
        <f>VLOOKUP(A25,'Данные хранения'!$A$2:$B$205,2,0)</f>
        <v/>
      </c>
      <c r="E25" s="4">
        <f>D25*30</f>
        <v/>
      </c>
      <c r="F25" s="4">
        <f>E25*C25</f>
        <v/>
      </c>
    </row>
    <row r="26">
      <c r="A26" s="2" t="n">
        <v>212889028</v>
      </c>
      <c r="B26" s="2" t="inlineStr">
        <is>
          <t>ENOUGH Collagen whitening cover tip concealer #03 [9g]/ Консилер для лица (новая карточка)</t>
        </is>
      </c>
      <c r="C26" s="3" t="n">
        <v>935</v>
      </c>
      <c r="D26" s="4">
        <f>VLOOKUP(A26,'Данные хранения'!$A$2:$B$205,2,0)</f>
        <v/>
      </c>
      <c r="E26" s="4">
        <f>D26*30</f>
        <v/>
      </c>
      <c r="F26" s="4">
        <f>E26*C26</f>
        <v/>
      </c>
    </row>
    <row r="27">
      <c r="A27" s="2" t="n">
        <v>238358954</v>
      </c>
      <c r="B27" s="2" t="inlineStr">
        <is>
          <t>ENOUGH - Collagen 3in1 Sun Cream SPF50 PA+++ [50ml] / отбеливающий увлажняющий солнцезащитный крем 3в1</t>
        </is>
      </c>
      <c r="C27" s="3" t="n">
        <v>373</v>
      </c>
      <c r="D27" s="4">
        <f>VLOOKUP(A27,'Данные хранения'!$A$2:$B$205,2,0)</f>
        <v/>
      </c>
      <c r="E27" s="4">
        <f>D27*30</f>
        <v/>
      </c>
      <c r="F27" s="4">
        <f>E27*C27</f>
        <v/>
      </c>
    </row>
    <row r="28">
      <c r="A28" s="2" t="n">
        <v>238413828</v>
      </c>
      <c r="B28" s="2" t="inlineStr">
        <is>
          <t>ENOUGH - Collagen Moisture BB Cream SPF47 PA+++ [50ml] / Увлажняющий BB крем с коллагеном</t>
        </is>
      </c>
      <c r="C28" s="3" t="n">
        <v>725</v>
      </c>
      <c r="D28" s="4">
        <f>VLOOKUP(A28,'Данные хранения'!$A$2:$B$205,2,0)</f>
        <v/>
      </c>
      <c r="E28" s="4">
        <f>D28*30</f>
        <v/>
      </c>
      <c r="F28" s="4">
        <f>E28*C28</f>
        <v/>
      </c>
    </row>
    <row r="29">
      <c r="A29" s="2" t="n">
        <v>154160085</v>
      </c>
      <c r="B29" s="2" t="inlineStr">
        <is>
          <t>ETUDE - Baking Powder Crunch Pore Scrub [24*7ml] / Очищающий скраб для лица с содой</t>
        </is>
      </c>
      <c r="C29" s="3" t="n">
        <v>264</v>
      </c>
      <c r="D29" s="4">
        <f>VLOOKUP(A29,'Данные хранения'!$A$2:$B$205,2,0)</f>
        <v/>
      </c>
      <c r="E29" s="4">
        <f>D29*30</f>
        <v/>
      </c>
      <c r="F29" s="4">
        <f>E29*C29</f>
        <v/>
      </c>
    </row>
    <row r="30">
      <c r="A30" s="2" t="n">
        <v>207476309</v>
      </c>
      <c r="B30" s="2" t="inlineStr">
        <is>
          <t>FARMSTAY - Argan Oil Complete Volume Up Shampoo &amp; Conditioner [530ml] / Шампунь-кондиционер с аргановым маслом</t>
        </is>
      </c>
      <c r="C30" s="3" t="n">
        <v>0</v>
      </c>
      <c r="D30" s="4">
        <f>VLOOKUP(A30,'Данные хранения'!$A$2:$B$205,2,0)</f>
        <v/>
      </c>
      <c r="E30" s="4">
        <f>D30*30</f>
        <v/>
      </c>
      <c r="F30" s="4">
        <f>E30*C30</f>
        <v/>
      </c>
    </row>
    <row r="31">
      <c r="A31" s="2" t="n">
        <v>207475898</v>
      </c>
      <c r="B31" s="2" t="inlineStr">
        <is>
          <t>FARMSTAY - Collagen Water Full Shampoo &amp; Conditioner [530ml] / Шампунь-кондиционер 2в1 с коллагеном</t>
        </is>
      </c>
      <c r="C31" s="3" t="n">
        <v>0</v>
      </c>
      <c r="D31" s="4">
        <f>VLOOKUP(A31,'Данные хранения'!$A$2:$B$205,2,0)</f>
        <v/>
      </c>
      <c r="E31" s="4">
        <f>D31*30</f>
        <v/>
      </c>
      <c r="F31" s="4">
        <f>E31*C31</f>
        <v/>
      </c>
    </row>
    <row r="32">
      <c r="A32" s="2" t="n">
        <v>207477077</v>
      </c>
      <c r="B32" s="2" t="inlineStr">
        <is>
          <t>FARMSTAY - Collagen Water Full Moist Cream [100g] / Увлажняющий крем с коллагеном</t>
        </is>
      </c>
      <c r="C32" s="3" t="n">
        <v>595</v>
      </c>
      <c r="D32" s="4">
        <f>VLOOKUP(A32,'Данные хранения'!$A$2:$B$205,2,0)</f>
        <v/>
      </c>
      <c r="E32" s="4">
        <f>D32*30</f>
        <v/>
      </c>
      <c r="F32" s="4">
        <f>E32*C32</f>
        <v/>
      </c>
    </row>
    <row r="33">
      <c r="A33" s="2" t="n">
        <v>207476777</v>
      </c>
      <c r="B33" s="2" t="inlineStr">
        <is>
          <t>FARMSTAY - Collagen Pure Cleansing Foam [180ml]/Пенка для умывания</t>
        </is>
      </c>
      <c r="C33" s="3" t="n">
        <v>515</v>
      </c>
      <c r="D33" s="4">
        <f>VLOOKUP(A33,'Данные хранения'!$A$2:$B$205,2,0)</f>
        <v/>
      </c>
      <c r="E33" s="4">
        <f>D33*30</f>
        <v/>
      </c>
      <c r="F33" s="4">
        <f>E33*C33</f>
        <v/>
      </c>
    </row>
    <row r="34">
      <c r="A34" s="2" t="n">
        <v>206126372</v>
      </c>
      <c r="B34" s="2" t="inlineStr">
        <is>
          <t>I'm Sorry For My Skin - Age Capture Vitalizer Cream / Увлажняющий капсульный крем</t>
        </is>
      </c>
      <c r="C34" s="3" t="n">
        <v>109</v>
      </c>
      <c r="D34" s="4">
        <f>VLOOKUP(A34,'Данные хранения'!$A$2:$B$205,2,0)</f>
        <v/>
      </c>
      <c r="E34" s="4">
        <f>D34*30</f>
        <v/>
      </c>
      <c r="F34" s="4">
        <f>E34*C34</f>
        <v/>
      </c>
    </row>
    <row r="35">
      <c r="A35" s="2" t="n">
        <v>207818000</v>
      </c>
      <c r="B35" s="2" t="inlineStr">
        <is>
          <t>ISNTREE - Chestnut AHA 8% Clear Essence Sample [20ml] / Увлажняющая эссенция для глубокого очищения лица</t>
        </is>
      </c>
      <c r="C35" s="3" t="n">
        <v>43</v>
      </c>
      <c r="D35" s="4">
        <f>VLOOKUP(A35,'Данные хранения'!$A$2:$B$205,2,0)</f>
        <v/>
      </c>
      <c r="E35" s="4">
        <f>D35*30</f>
        <v/>
      </c>
      <c r="F35" s="4">
        <f>E35*C35</f>
        <v/>
      </c>
    </row>
    <row r="36">
      <c r="A36" s="2" t="n">
        <v>212753217</v>
      </c>
      <c r="B36" s="2" t="inlineStr">
        <is>
          <t>JIGOTT - Collagen Healing Cream [100ml] / Крем для лица с коллагеном</t>
        </is>
      </c>
      <c r="C36" s="3" t="n">
        <v>128</v>
      </c>
      <c r="D36" s="4">
        <f>VLOOKUP(A36,'Данные хранения'!$A$2:$B$205,2,0)</f>
        <v/>
      </c>
      <c r="E36" s="4">
        <f>D36*30</f>
        <v/>
      </c>
      <c r="F36" s="4">
        <f>E36*C36</f>
        <v/>
      </c>
    </row>
    <row r="37">
      <c r="A37" s="2" t="n">
        <v>255574453</v>
      </c>
      <c r="B37" s="2" t="inlineStr">
        <is>
          <t>JIGOTT - Ассорти набор масок [27ml х 15]</t>
        </is>
      </c>
      <c r="C37" s="3" t="n">
        <v>0</v>
      </c>
      <c r="D37" s="4">
        <f>VLOOKUP(A37,'Данные хранения'!$A$2:$B$205,2,0)</f>
        <v/>
      </c>
      <c r="E37" s="4">
        <f>D37*30</f>
        <v/>
      </c>
      <c r="F37" s="4">
        <f>E37*C37</f>
        <v/>
      </c>
    </row>
    <row r="38">
      <c r="A38" s="2" t="n">
        <v>214977901</v>
      </c>
      <c r="B38" s="2" t="inlineStr">
        <is>
          <t>JMSOLUTION - MASK PACK BLACK [30ml*10ea] - ассорти набор 10шт в упаковке</t>
        </is>
      </c>
      <c r="C38" s="3" t="n">
        <v>0</v>
      </c>
      <c r="D38" s="4">
        <f>VLOOKUP(A38,'Данные хранения'!$A$2:$B$205,2,0)</f>
        <v/>
      </c>
      <c r="E38" s="4">
        <f>D38*30</f>
        <v/>
      </c>
      <c r="F38" s="4">
        <f>E38*C38</f>
        <v/>
      </c>
    </row>
    <row r="39">
      <c r="A39" s="2" t="n">
        <v>214964091</v>
      </c>
      <c r="B39" s="2" t="inlineStr">
        <is>
          <t>JMSOLUTION - MASK PACK DISNEY [30ml*10ea] - ассорти набор из 10шт</t>
        </is>
      </c>
      <c r="C39" s="3" t="n">
        <v>835</v>
      </c>
      <c r="D39" s="4">
        <f>VLOOKUP(A39,'Данные хранения'!$A$2:$B$205,2,0)</f>
        <v/>
      </c>
      <c r="E39" s="4">
        <f>D39*30</f>
        <v/>
      </c>
      <c r="F39" s="4">
        <f>E39*C39</f>
        <v/>
      </c>
    </row>
    <row r="40">
      <c r="A40" s="2" t="n">
        <v>210575566</v>
      </c>
      <c r="B40" s="2" t="inlineStr">
        <is>
          <t>LEBELAGE - Dr. Peptide Derma Eye Cream [40ml] / Крем для глаз антивозрастной с пептидами</t>
        </is>
      </c>
      <c r="C40" s="3" t="n">
        <v>420</v>
      </c>
      <c r="D40" s="4">
        <f>VLOOKUP(A40,'Данные хранения'!$A$2:$B$205,2,0)</f>
        <v/>
      </c>
      <c r="E40" s="4">
        <f>D40*30</f>
        <v/>
      </c>
      <c r="F40" s="4">
        <f>E40*C40</f>
        <v/>
      </c>
    </row>
    <row r="41">
      <c r="A41" s="2" t="n">
        <v>868761530</v>
      </c>
      <c r="B41" s="2" t="inlineStr">
        <is>
          <t>LANEIGE LIP SLEEPING MASK-BERRY [3g]</t>
        </is>
      </c>
      <c r="C41" s="3" t="n">
        <v>634</v>
      </c>
      <c r="D41" s="4">
        <f>VLOOKUP(A41,'Данные хранения'!$A$2:$B$205,2,0)</f>
        <v/>
      </c>
      <c r="E41" s="4">
        <f>D41*30</f>
        <v/>
      </c>
      <c r="F41" s="4">
        <f>E41*C41</f>
        <v/>
      </c>
    </row>
    <row r="42">
      <c r="A42" s="2" t="n">
        <v>183030830</v>
      </c>
      <c r="B42" s="2" t="inlineStr">
        <is>
          <t>MASIL - 8 Seconds Salon Hair Mask 350ml Set [350ml+8ml*2]</t>
        </is>
      </c>
      <c r="C42" s="3" t="n">
        <v>119</v>
      </c>
      <c r="D42" s="4">
        <f>VLOOKUP(A42,'Данные хранения'!$A$2:$B$205,2,0)</f>
        <v/>
      </c>
      <c r="E42" s="4">
        <f>D42*30</f>
        <v/>
      </c>
      <c r="F42" s="4">
        <f>E42*C42</f>
        <v/>
      </c>
    </row>
    <row r="43">
      <c r="A43" s="2" t="n">
        <v>180992464</v>
      </c>
      <c r="B43" s="2" t="inlineStr">
        <is>
          <t>PETITFEE - Aura Quartz Hydrogel Eye Patch [60ea]</t>
        </is>
      </c>
      <c r="C43" s="3" t="n">
        <v>105</v>
      </c>
      <c r="D43" s="4">
        <f>VLOOKUP(A43,'Данные хранения'!$A$2:$B$205,2,0)</f>
        <v/>
      </c>
      <c r="E43" s="4">
        <f>D43*30</f>
        <v/>
      </c>
      <c r="F43" s="4">
        <f>E43*C43</f>
        <v/>
      </c>
    </row>
    <row r="44">
      <c r="A44" s="2" t="n">
        <v>179611318</v>
      </c>
      <c r="B44" s="2" t="inlineStr">
        <is>
          <t>PETITFEE - Chamomile Lightening Hydrogel Eye Patch [60ea] / Успокаивающие гидрогелевые патчи для глаз с экстрактом ромашки</t>
        </is>
      </c>
      <c r="C44" s="3" t="n">
        <v>300</v>
      </c>
      <c r="D44" s="4">
        <f>VLOOKUP(A44,'Данные хранения'!$A$2:$B$205,2,0)</f>
        <v/>
      </c>
      <c r="E44" s="4">
        <f>D44*30</f>
        <v/>
      </c>
      <c r="F44" s="4">
        <f>E44*C44</f>
        <v/>
      </c>
    </row>
    <row r="45">
      <c r="A45" s="2" t="n">
        <v>180987509</v>
      </c>
      <c r="B45" s="2" t="inlineStr">
        <is>
          <t>PETITFEE - Pink Vita Brightening Eye Patch [60ea] / Тканевые патчи для век увлажняющие</t>
        </is>
      </c>
      <c r="C45" s="3" t="n">
        <v>270</v>
      </c>
      <c r="D45" s="4">
        <f>VLOOKUP(A45,'Данные хранения'!$A$2:$B$205,2,0)</f>
        <v/>
      </c>
      <c r="E45" s="4">
        <f>D45*30</f>
        <v/>
      </c>
      <c r="F45" s="4">
        <f>E45*C45</f>
        <v/>
      </c>
    </row>
    <row r="46">
      <c r="A46" s="2" t="n">
        <v>437190353</v>
      </c>
      <c r="B46" s="2" t="inlineStr">
        <is>
          <t>ROUND LAB BIRCH JUICE MOISTURIZING CREAM_80ml -Увлажняющий крем с березовым соком</t>
        </is>
      </c>
      <c r="C46" s="3" t="n">
        <v>557</v>
      </c>
      <c r="D46" s="4">
        <f>VLOOKUP(A46,'Данные хранения'!$A$2:$B$205,2,0)</f>
        <v/>
      </c>
      <c r="E46" s="4">
        <f>D46*30</f>
        <v/>
      </c>
      <c r="F46" s="4">
        <f>E46*C46</f>
        <v/>
      </c>
    </row>
    <row r="47">
      <c r="A47" s="2" t="n">
        <v>437254254</v>
      </c>
      <c r="B47" s="2" t="inlineStr">
        <is>
          <t>ROUND LAB SOYBEAN PANTHENOL CREAM_80ml - Крем для лица с чёрной соей и пантенолом успокаивающий</t>
        </is>
      </c>
      <c r="C47" s="3" t="n">
        <v>210</v>
      </c>
      <c r="D47" s="4">
        <f>VLOOKUP(A47,'Данные хранения'!$A$2:$B$205,2,0)</f>
        <v/>
      </c>
      <c r="E47" s="4">
        <f>D47*30</f>
        <v/>
      </c>
      <c r="F47" s="4">
        <f>E47*C47</f>
        <v/>
      </c>
    </row>
    <row r="48">
      <c r="A48" s="2" t="n">
        <v>437776835</v>
      </c>
      <c r="B48" s="2" t="inlineStr">
        <is>
          <t>ROUND LAB PINE CALMING CICA AMPOULE_30ml - Сыворотка для жирной кожи лица увлажняющая с центеллой</t>
        </is>
      </c>
      <c r="C48" s="3" t="n">
        <v>75</v>
      </c>
      <c r="D48" s="4">
        <f>VLOOKUP(A48,'Данные хранения'!$A$2:$B$205,2,0)</f>
        <v/>
      </c>
      <c r="E48" s="4">
        <f>D48*30</f>
        <v/>
      </c>
      <c r="F48" s="4">
        <f>E48*C48</f>
        <v/>
      </c>
    </row>
    <row r="49">
      <c r="A49" s="2" t="n">
        <v>214311963</v>
      </c>
      <c r="B49" s="2" t="inlineStr">
        <is>
          <t>SKIN1004 - Madagascar Centella Ampoule [30ml] / Сыворотка для лица успокаивающая из экстракта центеллы.</t>
        </is>
      </c>
      <c r="C49" s="3" t="n">
        <v>89</v>
      </c>
      <c r="D49" s="4">
        <f>VLOOKUP(A49,'Данные хранения'!$A$2:$B$205,2,0)</f>
        <v/>
      </c>
      <c r="E49" s="4">
        <f>D49*30</f>
        <v/>
      </c>
      <c r="F49" s="4">
        <f>E49*C49</f>
        <v/>
      </c>
    </row>
    <row r="50">
      <c r="A50" s="2" t="n">
        <v>214312149</v>
      </c>
      <c r="B50" s="2" t="inlineStr">
        <is>
          <t>SKIN1004 - Madagascar Centella Hyalu-Cica Sleeping Pack [30ml] / Увлажняющая гиалуроновая ночная маска для сухой кожи</t>
        </is>
      </c>
      <c r="C50" s="3" t="n">
        <v>83</v>
      </c>
      <c r="D50" s="4">
        <f>VLOOKUP(A50,'Данные хранения'!$A$2:$B$205,2,0)</f>
        <v/>
      </c>
      <c r="E50" s="4">
        <f>D50*30</f>
        <v/>
      </c>
      <c r="F50" s="4">
        <f>E50*C50</f>
        <v/>
      </c>
    </row>
    <row r="51">
      <c r="A51" s="2" t="n">
        <v>248928046</v>
      </c>
      <c r="B51" s="2" t="inlineStr">
        <is>
          <t>SOME BY MI - AHA-BHA-PHA 30 Days Miracle Cleansing Bar [106g] / Мыло для проблемной кожи с aha bha кислотами</t>
        </is>
      </c>
      <c r="C51" s="3" t="n">
        <v>527</v>
      </c>
      <c r="D51" s="4">
        <f>VLOOKUP(A51,'Данные хранения'!$A$2:$B$205,2,0)</f>
        <v/>
      </c>
      <c r="E51" s="4">
        <f>D51*30</f>
        <v/>
      </c>
      <c r="F51" s="4">
        <f>E51*C51</f>
        <v/>
      </c>
    </row>
    <row r="52">
      <c r="A52" s="2" t="n">
        <v>248929125</v>
      </c>
      <c r="B52" s="2" t="inlineStr">
        <is>
          <t>SOME BY MI - AHA-BHA-PHA 30 Days Miracle Cream [60g] / Крем для лица</t>
        </is>
      </c>
      <c r="C52" s="3" t="n">
        <v>55</v>
      </c>
      <c r="D52" s="4">
        <f>VLOOKUP(A52,'Данные хранения'!$A$2:$B$205,2,0)</f>
        <v/>
      </c>
      <c r="E52" s="4">
        <f>D52*30</f>
        <v/>
      </c>
      <c r="F52" s="4">
        <f>E52*C52</f>
        <v/>
      </c>
    </row>
    <row r="53">
      <c r="A53" s="2" t="n">
        <v>214312385</v>
      </c>
      <c r="B53" s="2" t="inlineStr">
        <is>
          <t>THE ORDINARY - Argireline Solution 10% [30ml] / Сыворотка для лица от прыщей и акне с ниацинамидом 10 %</t>
        </is>
      </c>
      <c r="C53" s="3" t="n">
        <v>118</v>
      </c>
      <c r="D53" s="4">
        <f>VLOOKUP(A53,'Данные хранения'!$A$2:$B$205,2,0)</f>
        <v/>
      </c>
      <c r="E53" s="4">
        <f>D53*30</f>
        <v/>
      </c>
      <c r="F53" s="4">
        <f>E53*C53</f>
        <v/>
      </c>
    </row>
    <row r="54">
      <c r="A54" s="2" t="n">
        <v>247275092</v>
      </c>
      <c r="B54" s="2" t="inlineStr">
        <is>
          <t>THE ORDINARY - Glycolic Acid 7% Toning Solution [KOR] [240ml] / Тоник с гликолевой кислотой 7%</t>
        </is>
      </c>
      <c r="C54" s="3" t="n">
        <v>32</v>
      </c>
      <c r="D54" s="4">
        <f>VLOOKUP(A54,'Данные хранения'!$A$2:$B$205,2,0)</f>
        <v/>
      </c>
      <c r="E54" s="4">
        <f>D54*30</f>
        <v/>
      </c>
      <c r="F54" s="4">
        <f>E54*C54</f>
        <v/>
      </c>
    </row>
    <row r="55">
      <c r="A55" s="2" t="n">
        <v>551447345</v>
      </c>
      <c r="B55" s="2" t="inlineStr">
        <is>
          <t>CELIMAX PORE+DARK SPOT BRIGHTENING CREAM [35ml]/Крем для выравнивания тона и рельефа кожи лица</t>
        </is>
      </c>
      <c r="C55" s="3" t="n">
        <v>99</v>
      </c>
      <c r="D55" s="4">
        <f>VLOOKUP(A55,'Данные хранения'!$A$2:$B$205,2,0)</f>
        <v/>
      </c>
      <c r="E55" s="4">
        <f>D55*30</f>
        <v/>
      </c>
      <c r="F55" s="4">
        <f>E55*C55</f>
        <v/>
      </c>
    </row>
    <row r="56">
      <c r="A56" s="2" t="n">
        <v>551392965</v>
      </c>
      <c r="B56" s="2" t="inlineStr">
        <is>
          <t>CELIMAX DUAL BARRIER SKIN WEARABLE CREAM [50ml]/Крем для восстановления защитного барьера кожи лица</t>
        </is>
      </c>
      <c r="C56" s="3" t="n">
        <v>501</v>
      </c>
      <c r="D56" s="4">
        <f>VLOOKUP(A56,'Данные хранения'!$A$2:$B$205,2,0)</f>
        <v/>
      </c>
      <c r="E56" s="4">
        <f>D56*30</f>
        <v/>
      </c>
      <c r="F56" s="4">
        <f>E56*C56</f>
        <v/>
      </c>
    </row>
    <row r="57">
      <c r="A57" s="2" t="n">
        <v>551472457</v>
      </c>
      <c r="B57" s="2" t="inlineStr">
        <is>
          <t>CELIMAX THE REAL NONI ENERGY AMPOULE_30ML (NEW) [30ml]/Восстанавливающая сыворотка с экстрактом нони для лица</t>
        </is>
      </c>
      <c r="C57" s="3" t="n">
        <v>84</v>
      </c>
      <c r="D57" s="4">
        <f>VLOOKUP(A57,'Данные хранения'!$A$2:$B$205,2,0)</f>
        <v/>
      </c>
      <c r="E57" s="4">
        <f>D57*30</f>
        <v/>
      </c>
      <c r="F57" s="4">
        <f>E57*C57</f>
        <v/>
      </c>
    </row>
    <row r="58">
      <c r="A58" s="2" t="n">
        <v>551482493</v>
      </c>
      <c r="B58" s="2" t="inlineStr">
        <is>
          <t>CELIMAX PORE+DARK SPOT BRIGHTENING SERUM_30ml [30ml]/Сыворотка для выравнивания тона и рельефа кожи лица</t>
        </is>
      </c>
      <c r="C58" s="3" t="n">
        <v>124</v>
      </c>
      <c r="D58" s="4">
        <f>VLOOKUP(A58,'Данные хранения'!$A$2:$B$205,2,0)</f>
        <v/>
      </c>
      <c r="E58" s="4">
        <f>D58*30</f>
        <v/>
      </c>
      <c r="F58" s="4">
        <f>E58*C58</f>
        <v/>
      </c>
    </row>
    <row r="59">
      <c r="A59" s="2" t="n">
        <v>551518955</v>
      </c>
      <c r="B59" s="2" t="inlineStr">
        <is>
          <t>CELIMAX THE REAL NONI MOISTURE BALANCING TONER (NEW) [150ml]/Восстанавливающий тонер с экстрактом нони</t>
        </is>
      </c>
      <c r="C59" s="3" t="n">
        <v>194</v>
      </c>
      <c r="D59" s="4">
        <f>VLOOKUP(A59,'Данные хранения'!$A$2:$B$205,2,0)</f>
        <v/>
      </c>
      <c r="E59" s="4">
        <f>D59*30</f>
        <v/>
      </c>
      <c r="F59" s="4">
        <f>E59*C59</f>
        <v/>
      </c>
    </row>
    <row r="60">
      <c r="B60" s="5" t="inlineStr">
        <is>
          <t>ИТОГО</t>
        </is>
      </c>
      <c r="F60" s="6">
        <f>SUM(F2:F59)</f>
        <v/>
      </c>
    </row>
    <row r="62">
      <c r="B62" s="7" t="inlineStr">
        <is>
          <t>Расчёт: хранение/мес = (стоимость хранения в день за ед. — ВПР по артикулу из листа «Данные хранения») × 30 дн × остаток без ЧЗ. Источник ставки — файл платного хранения (период ≈8 дней, берётся дневная ставка на единицу).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5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</cols>
  <sheetData>
    <row r="1">
      <c r="A1" s="8" t="inlineStr">
        <is>
          <t>Артикул ВБ</t>
        </is>
      </c>
      <c r="B1" s="8" t="inlineStr">
        <is>
          <t>Стоимость хранения в день за ед., руб</t>
        </is>
      </c>
    </row>
    <row r="2">
      <c r="A2" t="n">
        <v>48906308</v>
      </c>
      <c r="B2" t="n">
        <v>0</v>
      </c>
    </row>
    <row r="3">
      <c r="A3" t="n">
        <v>100680843</v>
      </c>
      <c r="B3" t="n">
        <v>0</v>
      </c>
    </row>
    <row r="4">
      <c r="A4" t="n">
        <v>103431353</v>
      </c>
      <c r="B4" t="n">
        <v>0.553</v>
      </c>
    </row>
    <row r="5">
      <c r="A5" t="n">
        <v>150925321</v>
      </c>
      <c r="B5" t="n">
        <v>0.1355</v>
      </c>
    </row>
    <row r="6">
      <c r="A6" t="n">
        <v>150925322</v>
      </c>
      <c r="B6" t="n">
        <v>0.135</v>
      </c>
    </row>
    <row r="7">
      <c r="A7" t="n">
        <v>151132051</v>
      </c>
      <c r="B7" t="n">
        <v>0.1216</v>
      </c>
    </row>
    <row r="8">
      <c r="A8" t="n">
        <v>151132052</v>
      </c>
      <c r="B8" t="n">
        <v>0.1506</v>
      </c>
    </row>
    <row r="9">
      <c r="A9" t="n">
        <v>151175877</v>
      </c>
      <c r="B9" t="n">
        <v>0.1685</v>
      </c>
    </row>
    <row r="10">
      <c r="A10" t="n">
        <v>151175880</v>
      </c>
      <c r="B10" t="n">
        <v>0.1428</v>
      </c>
    </row>
    <row r="11">
      <c r="A11" t="n">
        <v>151313163</v>
      </c>
      <c r="B11" t="n">
        <v>0.1525</v>
      </c>
    </row>
    <row r="12">
      <c r="A12" t="n">
        <v>154159632</v>
      </c>
      <c r="B12" t="n">
        <v>0.1493</v>
      </c>
    </row>
    <row r="13">
      <c r="A13" t="n">
        <v>154160085</v>
      </c>
      <c r="B13" t="n">
        <v>0.1858</v>
      </c>
    </row>
    <row r="14">
      <c r="A14" t="n">
        <v>154163936</v>
      </c>
      <c r="B14" t="n">
        <v>0.16</v>
      </c>
    </row>
    <row r="15">
      <c r="A15" t="n">
        <v>168956391</v>
      </c>
      <c r="B15" t="n">
        <v>0.1518</v>
      </c>
    </row>
    <row r="16">
      <c r="A16" t="n">
        <v>169076150</v>
      </c>
      <c r="B16" t="n">
        <v>0.155</v>
      </c>
    </row>
    <row r="17">
      <c r="A17" t="n">
        <v>169198316</v>
      </c>
      <c r="B17" t="n">
        <v>0.1566</v>
      </c>
    </row>
    <row r="18">
      <c r="A18" t="n">
        <v>170198109</v>
      </c>
      <c r="B18" t="n">
        <v>0.1653</v>
      </c>
    </row>
    <row r="19">
      <c r="A19" t="n">
        <v>170198180</v>
      </c>
      <c r="B19" t="n">
        <v>0.1526</v>
      </c>
    </row>
    <row r="20">
      <c r="A20" t="n">
        <v>170198337</v>
      </c>
      <c r="B20" t="n">
        <v>0.1359</v>
      </c>
    </row>
    <row r="21">
      <c r="A21" t="n">
        <v>170198738</v>
      </c>
      <c r="B21" t="n">
        <v>0.1623</v>
      </c>
    </row>
    <row r="22">
      <c r="A22" t="n">
        <v>170198876</v>
      </c>
      <c r="B22" t="n">
        <v>0.1638</v>
      </c>
    </row>
    <row r="23">
      <c r="A23" t="n">
        <v>174668134</v>
      </c>
      <c r="B23" t="n">
        <v>0.458</v>
      </c>
    </row>
    <row r="24">
      <c r="A24" t="n">
        <v>176944957</v>
      </c>
      <c r="B24" t="n">
        <v>2.0029</v>
      </c>
    </row>
    <row r="25">
      <c r="A25" t="n">
        <v>179611207</v>
      </c>
      <c r="B25" t="n">
        <v>0.1472</v>
      </c>
    </row>
    <row r="26">
      <c r="A26" t="n">
        <v>179611231</v>
      </c>
      <c r="B26" t="n">
        <v>0.1544</v>
      </c>
    </row>
    <row r="27">
      <c r="A27" t="n">
        <v>179611278</v>
      </c>
      <c r="B27" t="n">
        <v>0.1418</v>
      </c>
    </row>
    <row r="28">
      <c r="A28" t="n">
        <v>179611304</v>
      </c>
      <c r="B28" t="n">
        <v>0.1515</v>
      </c>
    </row>
    <row r="29">
      <c r="A29" t="n">
        <v>179611318</v>
      </c>
      <c r="B29" t="n">
        <v>0.1553</v>
      </c>
    </row>
    <row r="30">
      <c r="A30" t="n">
        <v>180711041</v>
      </c>
      <c r="B30" t="n">
        <v>0.1595</v>
      </c>
    </row>
    <row r="31">
      <c r="A31" t="n">
        <v>180711104</v>
      </c>
      <c r="B31" t="n">
        <v>0.1445</v>
      </c>
    </row>
    <row r="32">
      <c r="A32" t="n">
        <v>180852804</v>
      </c>
      <c r="B32" t="n">
        <v>0.2002</v>
      </c>
    </row>
    <row r="33">
      <c r="A33" t="n">
        <v>180852837</v>
      </c>
      <c r="B33" t="n">
        <v>0.5682</v>
      </c>
    </row>
    <row r="34">
      <c r="A34" t="n">
        <v>180987509</v>
      </c>
      <c r="B34" t="n">
        <v>0.1301</v>
      </c>
    </row>
    <row r="35">
      <c r="A35" t="n">
        <v>180988755</v>
      </c>
      <c r="B35" t="n">
        <v>0.157</v>
      </c>
    </row>
    <row r="36">
      <c r="A36" t="n">
        <v>180992464</v>
      </c>
      <c r="B36" t="n">
        <v>0.1333</v>
      </c>
    </row>
    <row r="37">
      <c r="A37" t="n">
        <v>183030830</v>
      </c>
      <c r="B37" t="n">
        <v>0.3346</v>
      </c>
    </row>
    <row r="38">
      <c r="A38" t="n">
        <v>190159348</v>
      </c>
      <c r="B38" t="n">
        <v>0.1308</v>
      </c>
    </row>
    <row r="39">
      <c r="A39" t="n">
        <v>190160008</v>
      </c>
      <c r="B39" t="n">
        <v>0.1647</v>
      </c>
    </row>
    <row r="40">
      <c r="A40" t="n">
        <v>198143251</v>
      </c>
      <c r="B40" t="n">
        <v>0.1639</v>
      </c>
    </row>
    <row r="41">
      <c r="A41" t="n">
        <v>198147185</v>
      </c>
      <c r="B41" t="n">
        <v>0.1531</v>
      </c>
    </row>
    <row r="42">
      <c r="A42" t="n">
        <v>198156472</v>
      </c>
      <c r="B42" t="n">
        <v>0.1631</v>
      </c>
    </row>
    <row r="43">
      <c r="A43" t="n">
        <v>198156698</v>
      </c>
      <c r="B43" t="n">
        <v>0.1592</v>
      </c>
    </row>
    <row r="44">
      <c r="A44" t="n">
        <v>198620596</v>
      </c>
      <c r="B44" t="n">
        <v>2.4648</v>
      </c>
    </row>
    <row r="45">
      <c r="A45" t="n">
        <v>199427475</v>
      </c>
      <c r="B45" t="n">
        <v>0.1479</v>
      </c>
    </row>
    <row r="46">
      <c r="A46" t="n">
        <v>204258828</v>
      </c>
      <c r="B46" t="n">
        <v>0.1612</v>
      </c>
    </row>
    <row r="47">
      <c r="A47" t="n">
        <v>205054338</v>
      </c>
      <c r="B47" t="n">
        <v>0.1474</v>
      </c>
    </row>
    <row r="48">
      <c r="A48" t="n">
        <v>206057411</v>
      </c>
      <c r="B48" t="n">
        <v>0.1704</v>
      </c>
    </row>
    <row r="49">
      <c r="A49" t="n">
        <v>206058262</v>
      </c>
      <c r="B49" t="n">
        <v>0.148</v>
      </c>
    </row>
    <row r="50">
      <c r="A50" t="n">
        <v>206126372</v>
      </c>
      <c r="B50" t="n">
        <v>0.1519</v>
      </c>
    </row>
    <row r="51">
      <c r="A51" t="n">
        <v>206135397</v>
      </c>
      <c r="B51" t="n">
        <v>0</v>
      </c>
    </row>
    <row r="52">
      <c r="A52" t="n">
        <v>207465786</v>
      </c>
      <c r="B52" t="n">
        <v>0.1599</v>
      </c>
    </row>
    <row r="53">
      <c r="A53" t="n">
        <v>207466866</v>
      </c>
      <c r="B53" t="n">
        <v>0.1589</v>
      </c>
    </row>
    <row r="54">
      <c r="A54" t="n">
        <v>207469760</v>
      </c>
      <c r="B54" t="n">
        <v>0.1506</v>
      </c>
    </row>
    <row r="55">
      <c r="A55" t="n">
        <v>207472742</v>
      </c>
      <c r="B55" t="n">
        <v>0.3136</v>
      </c>
    </row>
    <row r="56">
      <c r="A56" t="n">
        <v>207475898</v>
      </c>
      <c r="B56" t="n">
        <v>0.2001</v>
      </c>
    </row>
    <row r="57">
      <c r="A57" t="n">
        <v>207476309</v>
      </c>
      <c r="B57" t="n">
        <v>0.3027</v>
      </c>
    </row>
    <row r="58">
      <c r="A58" t="n">
        <v>207476777</v>
      </c>
      <c r="B58" t="n">
        <v>0.1447</v>
      </c>
    </row>
    <row r="59">
      <c r="A59" t="n">
        <v>207477077</v>
      </c>
      <c r="B59" t="n">
        <v>0.1512</v>
      </c>
    </row>
    <row r="60">
      <c r="A60" t="n">
        <v>207481251</v>
      </c>
      <c r="B60" t="n">
        <v>0.1578</v>
      </c>
    </row>
    <row r="61">
      <c r="A61" t="n">
        <v>207482718</v>
      </c>
      <c r="B61" t="n">
        <v>0.1592</v>
      </c>
    </row>
    <row r="62">
      <c r="A62" t="n">
        <v>207483179</v>
      </c>
      <c r="B62" t="n">
        <v>0.1613</v>
      </c>
    </row>
    <row r="63">
      <c r="A63" t="n">
        <v>207483780</v>
      </c>
      <c r="B63" t="n">
        <v>0.1358</v>
      </c>
    </row>
    <row r="64">
      <c r="A64" t="n">
        <v>207796350</v>
      </c>
      <c r="B64" t="n">
        <v>0.1643</v>
      </c>
    </row>
    <row r="65">
      <c r="A65" t="n">
        <v>207796439</v>
      </c>
      <c r="B65" t="n">
        <v>0.1738</v>
      </c>
    </row>
    <row r="66">
      <c r="A66" t="n">
        <v>207796563</v>
      </c>
      <c r="B66" t="n">
        <v>0.1653</v>
      </c>
    </row>
    <row r="67">
      <c r="A67" t="n">
        <v>207796789</v>
      </c>
      <c r="B67" t="n">
        <v>0.1695</v>
      </c>
    </row>
    <row r="68">
      <c r="A68" t="n">
        <v>207796898</v>
      </c>
      <c r="B68" t="n">
        <v>0.1594</v>
      </c>
    </row>
    <row r="69">
      <c r="A69" t="n">
        <v>207817787</v>
      </c>
      <c r="B69" t="n">
        <v>0.1015</v>
      </c>
    </row>
    <row r="70">
      <c r="A70" t="n">
        <v>207818000</v>
      </c>
      <c r="B70" t="n">
        <v>0.1359</v>
      </c>
    </row>
    <row r="71">
      <c r="A71" t="n">
        <v>207818642</v>
      </c>
      <c r="B71" t="n">
        <v>0.1539</v>
      </c>
    </row>
    <row r="72">
      <c r="A72" t="n">
        <v>208202076</v>
      </c>
      <c r="B72" t="n">
        <v>0.1485</v>
      </c>
    </row>
    <row r="73">
      <c r="A73" t="n">
        <v>208208674</v>
      </c>
      <c r="B73" t="n">
        <v>0.3137</v>
      </c>
    </row>
    <row r="74">
      <c r="A74" t="n">
        <v>210575566</v>
      </c>
      <c r="B74" t="n">
        <v>0.1534</v>
      </c>
    </row>
    <row r="75">
      <c r="A75" t="n">
        <v>210579932</v>
      </c>
      <c r="B75" t="n">
        <v>0</v>
      </c>
    </row>
    <row r="76">
      <c r="A76" t="n">
        <v>212719009</v>
      </c>
      <c r="B76" t="n">
        <v>0.1671</v>
      </c>
    </row>
    <row r="77">
      <c r="A77" t="n">
        <v>212720615</v>
      </c>
      <c r="B77" t="n">
        <v>0.1015</v>
      </c>
    </row>
    <row r="78">
      <c r="A78" t="n">
        <v>212753217</v>
      </c>
      <c r="B78" t="n">
        <v>0.1612</v>
      </c>
    </row>
    <row r="79">
      <c r="A79" t="n">
        <v>212757456</v>
      </c>
      <c r="B79" t="n">
        <v>0.2115</v>
      </c>
    </row>
    <row r="80">
      <c r="A80" t="n">
        <v>212759698</v>
      </c>
      <c r="B80" t="n">
        <v>0.1484</v>
      </c>
    </row>
    <row r="81">
      <c r="A81" t="n">
        <v>212760119</v>
      </c>
      <c r="B81" t="n">
        <v>0.152</v>
      </c>
    </row>
    <row r="82">
      <c r="A82" t="n">
        <v>212883090</v>
      </c>
      <c r="B82" t="n">
        <v>0.1461</v>
      </c>
    </row>
    <row r="83">
      <c r="A83" t="n">
        <v>212885914</v>
      </c>
      <c r="B83" t="n">
        <v>0.1564</v>
      </c>
    </row>
    <row r="84">
      <c r="A84" t="n">
        <v>212889025</v>
      </c>
      <c r="B84" t="n">
        <v>0.1504</v>
      </c>
    </row>
    <row r="85">
      <c r="A85" t="n">
        <v>212889027</v>
      </c>
      <c r="B85" t="n">
        <v>0.1492</v>
      </c>
    </row>
    <row r="86">
      <c r="A86" t="n">
        <v>212889028</v>
      </c>
      <c r="B86" t="n">
        <v>0.1514</v>
      </c>
    </row>
    <row r="87">
      <c r="A87" t="n">
        <v>214304883</v>
      </c>
      <c r="B87" t="n">
        <v>0.1595</v>
      </c>
    </row>
    <row r="88">
      <c r="A88" t="n">
        <v>214305705</v>
      </c>
      <c r="B88" t="n">
        <v>0</v>
      </c>
    </row>
    <row r="89">
      <c r="A89" t="n">
        <v>214305722</v>
      </c>
      <c r="B89" t="n">
        <v>0.9546</v>
      </c>
    </row>
    <row r="90">
      <c r="A90" t="n">
        <v>214311963</v>
      </c>
      <c r="B90" t="n">
        <v>0.148</v>
      </c>
    </row>
    <row r="91">
      <c r="A91" t="n">
        <v>214312149</v>
      </c>
      <c r="B91" t="n">
        <v>0.1449</v>
      </c>
    </row>
    <row r="92">
      <c r="A92" t="n">
        <v>214312385</v>
      </c>
      <c r="B92" t="n">
        <v>0.16</v>
      </c>
    </row>
    <row r="93">
      <c r="A93" t="n">
        <v>214964091</v>
      </c>
      <c r="B93" t="n">
        <v>0.1844</v>
      </c>
    </row>
    <row r="94">
      <c r="A94" t="n">
        <v>214977901</v>
      </c>
      <c r="B94" t="n">
        <v>0.1891</v>
      </c>
    </row>
    <row r="95">
      <c r="A95" t="n">
        <v>226114831</v>
      </c>
      <c r="B95" t="n">
        <v>0</v>
      </c>
    </row>
    <row r="96">
      <c r="A96" t="n">
        <v>226114935</v>
      </c>
      <c r="B96" t="n">
        <v>0.1722</v>
      </c>
    </row>
    <row r="97">
      <c r="A97" t="n">
        <v>226115141</v>
      </c>
      <c r="B97" t="n">
        <v>0.1471</v>
      </c>
    </row>
    <row r="98">
      <c r="A98" t="n">
        <v>226115248</v>
      </c>
      <c r="B98" t="n">
        <v>0.1664</v>
      </c>
    </row>
    <row r="99">
      <c r="A99" t="n">
        <v>226115324</v>
      </c>
      <c r="B99" t="n">
        <v>0</v>
      </c>
    </row>
    <row r="100">
      <c r="A100" t="n">
        <v>226115478</v>
      </c>
      <c r="B100" t="n">
        <v>0.1713</v>
      </c>
    </row>
    <row r="101">
      <c r="A101" t="n">
        <v>226117746</v>
      </c>
      <c r="B101" t="n">
        <v>0.1696</v>
      </c>
    </row>
    <row r="102">
      <c r="A102" t="n">
        <v>236825103</v>
      </c>
      <c r="B102" t="n">
        <v>0.2226</v>
      </c>
    </row>
    <row r="103">
      <c r="A103" t="n">
        <v>238358954</v>
      </c>
      <c r="B103" t="n">
        <v>0.1633</v>
      </c>
    </row>
    <row r="104">
      <c r="A104" t="n">
        <v>238359400</v>
      </c>
      <c r="B104" t="n">
        <v>0</v>
      </c>
    </row>
    <row r="105">
      <c r="A105" t="n">
        <v>238413828</v>
      </c>
      <c r="B105" t="n">
        <v>0.0925</v>
      </c>
    </row>
    <row r="106">
      <c r="A106" t="n">
        <v>238415286</v>
      </c>
      <c r="B106" t="n">
        <v>0.1598</v>
      </c>
    </row>
    <row r="107">
      <c r="A107" t="n">
        <v>238416010</v>
      </c>
      <c r="B107" t="n">
        <v>0.1545</v>
      </c>
    </row>
    <row r="108">
      <c r="A108" t="n">
        <v>240311751</v>
      </c>
      <c r="B108" t="n">
        <v>1.5916</v>
      </c>
    </row>
    <row r="109">
      <c r="A109" t="n">
        <v>247275092</v>
      </c>
      <c r="B109" t="n">
        <v>0.154</v>
      </c>
    </row>
    <row r="110">
      <c r="A110" t="n">
        <v>248928046</v>
      </c>
      <c r="B110" t="n">
        <v>0.1381</v>
      </c>
    </row>
    <row r="111">
      <c r="A111" t="n">
        <v>248929125</v>
      </c>
      <c r="B111" t="n">
        <v>0.1671</v>
      </c>
    </row>
    <row r="112">
      <c r="A112" t="n">
        <v>255574453</v>
      </c>
      <c r="B112" t="n">
        <v>0.1834</v>
      </c>
    </row>
    <row r="113">
      <c r="A113" t="n">
        <v>307073881</v>
      </c>
      <c r="B113" t="n">
        <v>0.1502</v>
      </c>
    </row>
    <row r="114">
      <c r="A114" t="n">
        <v>315688951</v>
      </c>
      <c r="B114" t="n">
        <v>0.1884</v>
      </c>
    </row>
    <row r="115">
      <c r="A115" t="n">
        <v>333318356</v>
      </c>
      <c r="B115" t="n">
        <v>0.1756</v>
      </c>
    </row>
    <row r="116">
      <c r="A116" t="n">
        <v>333321028</v>
      </c>
      <c r="B116" t="n">
        <v>0</v>
      </c>
    </row>
    <row r="117">
      <c r="A117" t="n">
        <v>340752919</v>
      </c>
      <c r="B117" t="n">
        <v>0.1563</v>
      </c>
    </row>
    <row r="118">
      <c r="A118" t="n">
        <v>419630142</v>
      </c>
      <c r="B118" t="n">
        <v>0.1496</v>
      </c>
    </row>
    <row r="119">
      <c r="A119" t="n">
        <v>437154709</v>
      </c>
      <c r="B119" t="n">
        <v>0.2029</v>
      </c>
    </row>
    <row r="120">
      <c r="A120" t="n">
        <v>437190353</v>
      </c>
      <c r="B120" t="n">
        <v>0.1535</v>
      </c>
    </row>
    <row r="121">
      <c r="A121" t="n">
        <v>437242640</v>
      </c>
      <c r="B121" t="n">
        <v>0.1437</v>
      </c>
    </row>
    <row r="122">
      <c r="A122" t="n">
        <v>437254254</v>
      </c>
      <c r="B122" t="n">
        <v>0.1651</v>
      </c>
    </row>
    <row r="123">
      <c r="A123" t="n">
        <v>437776835</v>
      </c>
      <c r="B123" t="n">
        <v>0.1584</v>
      </c>
    </row>
    <row r="124">
      <c r="A124" t="n">
        <v>437797551</v>
      </c>
      <c r="B124" t="n">
        <v>0.1414</v>
      </c>
    </row>
    <row r="125">
      <c r="A125" t="n">
        <v>437850261</v>
      </c>
      <c r="B125" t="n">
        <v>0.1548</v>
      </c>
    </row>
    <row r="126">
      <c r="A126" t="n">
        <v>535622289</v>
      </c>
      <c r="B126" t="n">
        <v>0.3992</v>
      </c>
    </row>
    <row r="127">
      <c r="A127" t="n">
        <v>551387355</v>
      </c>
      <c r="B127" t="n">
        <v>0.1544</v>
      </c>
    </row>
    <row r="128">
      <c r="A128" t="n">
        <v>551392965</v>
      </c>
      <c r="B128" t="n">
        <v>0.1647</v>
      </c>
    </row>
    <row r="129">
      <c r="A129" t="n">
        <v>551447345</v>
      </c>
      <c r="B129" t="n">
        <v>0.1588</v>
      </c>
    </row>
    <row r="130">
      <c r="A130" t="n">
        <v>551465879</v>
      </c>
      <c r="B130" t="n">
        <v>0.1586</v>
      </c>
    </row>
    <row r="131">
      <c r="A131" t="n">
        <v>551472457</v>
      </c>
      <c r="B131" t="n">
        <v>0.1587</v>
      </c>
    </row>
    <row r="132">
      <c r="A132" t="n">
        <v>551482493</v>
      </c>
      <c r="B132" t="n">
        <v>0.1619</v>
      </c>
    </row>
    <row r="133">
      <c r="A133" t="n">
        <v>551490295</v>
      </c>
      <c r="B133" t="n">
        <v>0.1697</v>
      </c>
    </row>
    <row r="134">
      <c r="A134" t="n">
        <v>551518955</v>
      </c>
      <c r="B134" t="n">
        <v>0.1503</v>
      </c>
    </row>
    <row r="135">
      <c r="A135" t="n">
        <v>551540924</v>
      </c>
      <c r="B135" t="n">
        <v>0.1554</v>
      </c>
    </row>
    <row r="136">
      <c r="A136" t="n">
        <v>551600265</v>
      </c>
      <c r="B136" t="n">
        <v>0.1636</v>
      </c>
    </row>
    <row r="137">
      <c r="A137" t="n">
        <v>551607905</v>
      </c>
      <c r="B137" t="n">
        <v>0.1623</v>
      </c>
    </row>
    <row r="138">
      <c r="A138" t="n">
        <v>551616449</v>
      </c>
      <c r="B138" t="n">
        <v>0.1864</v>
      </c>
    </row>
    <row r="139">
      <c r="A139" t="n">
        <v>555204573</v>
      </c>
      <c r="B139" t="n">
        <v>0</v>
      </c>
    </row>
    <row r="140">
      <c r="A140" t="n">
        <v>608624295</v>
      </c>
      <c r="B140" t="n">
        <v>0.2808</v>
      </c>
    </row>
    <row r="141">
      <c r="A141" t="n">
        <v>608837066</v>
      </c>
      <c r="B141" t="n">
        <v>0.4148</v>
      </c>
    </row>
    <row r="142">
      <c r="A142" t="n">
        <v>608841921</v>
      </c>
      <c r="B142" t="n">
        <v>0.1588</v>
      </c>
    </row>
    <row r="143">
      <c r="A143" t="n">
        <v>611744611</v>
      </c>
      <c r="B143" t="n">
        <v>0.132</v>
      </c>
    </row>
    <row r="144">
      <c r="A144" t="n">
        <v>611745490</v>
      </c>
      <c r="B144" t="n">
        <v>0.1297</v>
      </c>
    </row>
    <row r="145">
      <c r="A145" t="n">
        <v>611747838</v>
      </c>
      <c r="B145" t="n">
        <v>0.1419</v>
      </c>
    </row>
    <row r="146">
      <c r="A146" t="n">
        <v>663654300</v>
      </c>
      <c r="B146" t="n">
        <v>0.661</v>
      </c>
    </row>
    <row r="147">
      <c r="A147" t="n">
        <v>868516027</v>
      </c>
      <c r="B147" t="n">
        <v>0.1765</v>
      </c>
    </row>
    <row r="148">
      <c r="A148" t="n">
        <v>868575374</v>
      </c>
      <c r="B148" t="n">
        <v>0.2111</v>
      </c>
    </row>
    <row r="149">
      <c r="A149" t="n">
        <v>868700077</v>
      </c>
      <c r="B149" t="n">
        <v>0.1444</v>
      </c>
    </row>
    <row r="150">
      <c r="A150" t="n">
        <v>868761530</v>
      </c>
      <c r="B150" t="n">
        <v>0.1502</v>
      </c>
    </row>
    <row r="151">
      <c r="A151" t="n">
        <v>1119249556</v>
      </c>
      <c r="B151" t="n">
        <v>0.1549</v>
      </c>
    </row>
    <row r="152">
      <c r="A152" t="n">
        <v>1123494802</v>
      </c>
      <c r="B152" t="n">
        <v>0.1566</v>
      </c>
    </row>
    <row r="153">
      <c r="A153" t="n">
        <v>1123574113</v>
      </c>
      <c r="B153" t="n">
        <v>0.1479</v>
      </c>
    </row>
    <row r="154">
      <c r="A154" t="n">
        <v>1126531855</v>
      </c>
      <c r="B154" t="n">
        <v>0.16</v>
      </c>
    </row>
    <row r="155">
      <c r="A155" t="n">
        <v>1126568337</v>
      </c>
      <c r="B155" t="n">
        <v>0.1597</v>
      </c>
    </row>
    <row r="156">
      <c r="A156" t="n">
        <v>1126598360</v>
      </c>
      <c r="B156" t="n">
        <v>0.16</v>
      </c>
    </row>
    <row r="157">
      <c r="A157" t="n">
        <v>1126626550</v>
      </c>
      <c r="B157" t="n">
        <v>0.16</v>
      </c>
    </row>
    <row r="158">
      <c r="A158" t="n">
        <v>1126645805</v>
      </c>
      <c r="B158" t="n">
        <v>0.16</v>
      </c>
    </row>
    <row r="159">
      <c r="A159" t="n">
        <v>1126690112</v>
      </c>
      <c r="B159" t="n">
        <v>0.16</v>
      </c>
    </row>
    <row r="160">
      <c r="A160" t="n">
        <v>1126874288</v>
      </c>
      <c r="B160" t="n">
        <v>0.16</v>
      </c>
    </row>
    <row r="161">
      <c r="A161" t="n">
        <v>1138638005</v>
      </c>
      <c r="B161" t="n">
        <v>0.16</v>
      </c>
    </row>
    <row r="162">
      <c r="A162" t="n">
        <v>1138642065</v>
      </c>
      <c r="B162" t="n">
        <v>0.16</v>
      </c>
    </row>
    <row r="163">
      <c r="A163" t="n">
        <v>1138646523</v>
      </c>
      <c r="B163" t="n">
        <v>0.16</v>
      </c>
    </row>
    <row r="164">
      <c r="A164" t="n">
        <v>1138834711</v>
      </c>
      <c r="B164" t="n">
        <v>0.16</v>
      </c>
    </row>
    <row r="165">
      <c r="A165" t="n">
        <v>1138835712</v>
      </c>
      <c r="B165" t="n">
        <v>0.16</v>
      </c>
    </row>
    <row r="166">
      <c r="A166" t="n">
        <v>1138839050</v>
      </c>
      <c r="B166" t="n">
        <v>0.16</v>
      </c>
    </row>
    <row r="167">
      <c r="A167" t="n">
        <v>1138841064</v>
      </c>
      <c r="B167" t="n">
        <v>0.16</v>
      </c>
    </row>
    <row r="168">
      <c r="A168" t="n">
        <v>1138843355</v>
      </c>
      <c r="B168" t="n">
        <v>0.16</v>
      </c>
    </row>
    <row r="169">
      <c r="A169" t="n">
        <v>1138938827</v>
      </c>
      <c r="B169" t="n">
        <v>0.16</v>
      </c>
    </row>
    <row r="170">
      <c r="A170" t="n">
        <v>1139005708</v>
      </c>
      <c r="B170" t="n">
        <v>0.16</v>
      </c>
    </row>
    <row r="171">
      <c r="A171" t="n">
        <v>1139014717</v>
      </c>
      <c r="B171" t="n">
        <v>0.16</v>
      </c>
    </row>
    <row r="172">
      <c r="A172" t="n">
        <v>1139030037</v>
      </c>
      <c r="B172" t="n">
        <v>0.16</v>
      </c>
    </row>
    <row r="173">
      <c r="A173" t="n">
        <v>1139036132</v>
      </c>
      <c r="B173" t="n">
        <v>0.1904</v>
      </c>
    </row>
    <row r="174">
      <c r="A174" t="n">
        <v>1139040138</v>
      </c>
      <c r="B174" t="n">
        <v>0.16</v>
      </c>
    </row>
    <row r="175">
      <c r="A175" t="n">
        <v>1139095890</v>
      </c>
      <c r="B175" t="n">
        <v>0.16</v>
      </c>
    </row>
    <row r="176">
      <c r="A176" t="n">
        <v>1139101006</v>
      </c>
      <c r="B176" t="n">
        <v>0.16</v>
      </c>
    </row>
    <row r="177">
      <c r="A177" t="n">
        <v>1139103032</v>
      </c>
      <c r="B177" t="n">
        <v>0.16</v>
      </c>
    </row>
    <row r="178">
      <c r="A178" t="n">
        <v>1139152860</v>
      </c>
      <c r="B178" t="n">
        <v>0.228</v>
      </c>
    </row>
    <row r="179">
      <c r="A179" t="n">
        <v>1139155618</v>
      </c>
      <c r="B179" t="n">
        <v>0.16</v>
      </c>
    </row>
    <row r="180">
      <c r="A180" t="n">
        <v>1139159459</v>
      </c>
      <c r="B180" t="n">
        <v>0.16</v>
      </c>
    </row>
    <row r="181">
      <c r="A181" t="n">
        <v>1139163403</v>
      </c>
      <c r="B181" t="n">
        <v>0.2253</v>
      </c>
    </row>
    <row r="182">
      <c r="A182" t="n">
        <v>1139168138</v>
      </c>
      <c r="B182" t="n">
        <v>0.16</v>
      </c>
    </row>
    <row r="183">
      <c r="A183" t="n">
        <v>1139170302</v>
      </c>
      <c r="B183" t="n">
        <v>0.16</v>
      </c>
    </row>
    <row r="184">
      <c r="A184" t="n">
        <v>1139177864</v>
      </c>
      <c r="B184" t="n">
        <v>0.16</v>
      </c>
    </row>
    <row r="185">
      <c r="A185" t="n">
        <v>1139184393</v>
      </c>
      <c r="B185" t="n">
        <v>0.16</v>
      </c>
    </row>
    <row r="186">
      <c r="A186" t="n">
        <v>1139196306</v>
      </c>
      <c r="B186" t="n">
        <v>0.16</v>
      </c>
    </row>
    <row r="187">
      <c r="A187" t="n">
        <v>1139198643</v>
      </c>
      <c r="B187" t="n">
        <v>0.16</v>
      </c>
    </row>
    <row r="188">
      <c r="A188" t="n">
        <v>1139201157</v>
      </c>
      <c r="B188" t="n">
        <v>0.16</v>
      </c>
    </row>
    <row r="189">
      <c r="A189" t="n">
        <v>1139203939</v>
      </c>
      <c r="B189" t="n">
        <v>0.16</v>
      </c>
    </row>
    <row r="190">
      <c r="A190" t="n">
        <v>1139205173</v>
      </c>
      <c r="B190" t="n">
        <v>0.16</v>
      </c>
    </row>
    <row r="191">
      <c r="A191" t="n">
        <v>1139212638</v>
      </c>
      <c r="B191" t="n">
        <v>0.16</v>
      </c>
    </row>
    <row r="192">
      <c r="A192" t="n">
        <v>1139217196</v>
      </c>
      <c r="B192" t="n">
        <v>0.16</v>
      </c>
    </row>
    <row r="193">
      <c r="A193" t="n">
        <v>1139220114</v>
      </c>
      <c r="B193" t="n">
        <v>0.16</v>
      </c>
    </row>
    <row r="194">
      <c r="A194" t="n">
        <v>1139230773</v>
      </c>
      <c r="B194" t="n">
        <v>0.16</v>
      </c>
    </row>
    <row r="195">
      <c r="A195" t="n">
        <v>1139241419</v>
      </c>
      <c r="B195" t="n">
        <v>0.16</v>
      </c>
    </row>
    <row r="196">
      <c r="A196" t="n">
        <v>1139245659</v>
      </c>
      <c r="B196" t="n">
        <v>0.16</v>
      </c>
    </row>
    <row r="197">
      <c r="A197" t="n">
        <v>1139248177</v>
      </c>
      <c r="B197" t="n">
        <v>0.16</v>
      </c>
    </row>
    <row r="198">
      <c r="A198" t="n">
        <v>1139263886</v>
      </c>
      <c r="B198" t="n">
        <v>0.16</v>
      </c>
    </row>
    <row r="199">
      <c r="A199" t="n">
        <v>1139267477</v>
      </c>
      <c r="B199" t="n">
        <v>0.16</v>
      </c>
    </row>
    <row r="200">
      <c r="A200" t="n">
        <v>1139273633</v>
      </c>
      <c r="B200" t="n">
        <v>0.16</v>
      </c>
    </row>
    <row r="201">
      <c r="A201" t="n">
        <v>1139281487</v>
      </c>
      <c r="B201" t="n">
        <v>0.16</v>
      </c>
    </row>
    <row r="202">
      <c r="A202" t="n">
        <v>1152680017</v>
      </c>
      <c r="B202" t="n">
        <v>0.136</v>
      </c>
    </row>
    <row r="203">
      <c r="A203" t="n">
        <v>1175175447</v>
      </c>
      <c r="B203" t="n">
        <v>0.1843</v>
      </c>
    </row>
    <row r="204">
      <c r="A204" t="n">
        <v>1177994944</v>
      </c>
      <c r="B204" t="n">
        <v>0.1843</v>
      </c>
    </row>
    <row r="205">
      <c r="A205" t="n">
        <v>1177994945</v>
      </c>
      <c r="B205" t="n">
        <v>0.1843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2026-06-25T07:40:00Z</dcterms:created>
  <dcterms:modified xsi:type="dcterms:W3CDTF">2026-06-25T07:40:00Z</dcterms:modified>
</cp:coreProperties>
</file>
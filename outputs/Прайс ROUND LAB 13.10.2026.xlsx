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applyAlignment="1" pivotButton="0" quotePrefix="0" xfId="0">
      <alignment horizontal="left"/>
    </xf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34" customWidth="1" min="3" max="3"/>
    <col width="56" customWidth="1" min="4" max="4"/>
    <col width="15" customWidth="1" min="5" max="5"/>
    <col width="15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ROUND LAB PRICE LIST</t>
        </is>
      </c>
    </row>
    <row r="2">
      <c r="A2" t="inlineStr">
        <is>
          <t>Date: 13.10.2026</t>
        </is>
      </c>
      <c r="B2" t="inlineStr">
        <is>
          <t>MOA: 100 000 000 KRW</t>
        </is>
      </c>
    </row>
    <row r="3"/>
    <row r="4">
      <c r="A4" s="2" t="inlineStr">
        <is>
          <t>NO</t>
        </is>
      </c>
      <c r="B4" s="2" t="inlineStr">
        <is>
          <t>Bar Code</t>
        </is>
      </c>
      <c r="C4" s="2" t="inlineStr">
        <is>
          <t>Product Name (KR)</t>
        </is>
      </c>
      <c r="D4" s="2" t="inlineStr">
        <is>
          <t>Product Name (EN)</t>
        </is>
      </c>
      <c r="E4" s="3" t="inlineStr">
        <is>
          <t>RETAIL PRICE (KRW)</t>
        </is>
      </c>
      <c r="F4" s="3" t="inlineStr">
        <is>
          <t>SUPPLY PRICE (KRW)</t>
        </is>
      </c>
      <c r="G4" s="3" t="inlineStr">
        <is>
          <t>PCS / OUTBOX</t>
        </is>
      </c>
      <c r="H4" s="3" t="inlineStr">
        <is>
          <t>ORDER BOXES</t>
        </is>
      </c>
      <c r="I4" s="3" t="inlineStr">
        <is>
          <t>TOTAL QUANTITIES</t>
        </is>
      </c>
      <c r="J4" s="3" t="inlineStr">
        <is>
          <t>TOTAL SUPPLY PRICE</t>
        </is>
      </c>
    </row>
    <row r="5">
      <c r="A5" s="4" t="n">
        <v>1</v>
      </c>
      <c r="B5" s="5" t="inlineStr">
        <is>
          <t>8809657115387</t>
        </is>
      </c>
      <c r="C5" s="4" t="inlineStr">
        <is>
          <t>라운드랩 독도 토너 100ml</t>
        </is>
      </c>
      <c r="D5" s="4" t="inlineStr">
        <is>
          <t>1025 DOKDO TONER_100ml</t>
        </is>
      </c>
      <c r="E5" s="6" t="n">
        <v>11800</v>
      </c>
      <c r="F5" s="6" t="n">
        <v>5419</v>
      </c>
      <c r="G5" s="6" t="n">
        <v>96</v>
      </c>
      <c r="H5" s="6" t="n"/>
      <c r="I5" s="6">
        <f>IF(H5="",0,H5*G5)</f>
        <v/>
      </c>
      <c r="J5" s="6">
        <f>IF(H5="",0,I5*F5)</f>
        <v/>
      </c>
    </row>
    <row r="6">
      <c r="A6" s="4" t="n">
        <v>2</v>
      </c>
      <c r="B6" s="5" t="inlineStr">
        <is>
          <t>8809657114731</t>
        </is>
      </c>
      <c r="C6" s="4" t="inlineStr">
        <is>
          <t>라운드 랩 1025 독도 토너 200ml</t>
        </is>
      </c>
      <c r="D6" s="4" t="inlineStr">
        <is>
          <t>1025 DOKDO TONER_200ml</t>
        </is>
      </c>
      <c r="E6" s="6" t="n">
        <v>15000</v>
      </c>
      <c r="F6" s="6" t="n">
        <v>7101</v>
      </c>
      <c r="G6" s="6" t="n">
        <v>30</v>
      </c>
      <c r="H6" s="6" t="n"/>
      <c r="I6" s="6">
        <f>IF(H6="",0,H6*G6)</f>
        <v/>
      </c>
      <c r="J6" s="6">
        <f>IF(H6="",0,I6*F6)</f>
        <v/>
      </c>
    </row>
    <row r="7">
      <c r="A7" s="4" t="n">
        <v>3</v>
      </c>
      <c r="B7" s="5" t="inlineStr">
        <is>
          <t>8809657114748</t>
        </is>
      </c>
      <c r="C7" s="4" t="inlineStr">
        <is>
          <t>라운드랩 독도 토너 500ml</t>
        </is>
      </c>
      <c r="D7" s="4" t="inlineStr">
        <is>
          <t>1025 DOKDO TONER_500ml</t>
        </is>
      </c>
      <c r="E7" s="6" t="n">
        <v>30000</v>
      </c>
      <c r="F7" s="6" t="n">
        <v>14100</v>
      </c>
      <c r="G7" s="6" t="n">
        <v>30</v>
      </c>
      <c r="H7" s="6" t="n"/>
      <c r="I7" s="6">
        <f>IF(H7="",0,H7*G7)</f>
        <v/>
      </c>
      <c r="J7" s="6">
        <f>IF(H7="",0,I7*F7)</f>
        <v/>
      </c>
    </row>
    <row r="8">
      <c r="A8" s="4" t="n">
        <v>4</v>
      </c>
      <c r="B8" s="5" t="inlineStr">
        <is>
          <t>8809657114779</t>
        </is>
      </c>
      <c r="C8" s="4" t="inlineStr">
        <is>
          <t>라운드 랩 1025 독도 로션 200ml</t>
        </is>
      </c>
      <c r="D8" s="4" t="inlineStr">
        <is>
          <t>1025 DOKDO LOTION_200ml</t>
        </is>
      </c>
      <c r="E8" s="6" t="n">
        <v>20000</v>
      </c>
      <c r="F8" s="6" t="n">
        <v>9500</v>
      </c>
      <c r="G8" s="6" t="n">
        <v>30</v>
      </c>
      <c r="H8" s="6" t="n"/>
      <c r="I8" s="6">
        <f>IF(H8="",0,H8*G8)</f>
        <v/>
      </c>
      <c r="J8" s="6">
        <f>IF(H8="",0,I8*F8)</f>
        <v/>
      </c>
    </row>
    <row r="9">
      <c r="A9" s="4" t="n">
        <v>5</v>
      </c>
      <c r="B9" s="5" t="inlineStr">
        <is>
          <t>8809738600245</t>
        </is>
      </c>
      <c r="C9" s="4" t="inlineStr">
        <is>
          <t>라운드 랩 1025 독도 크림 80ml</t>
        </is>
      </c>
      <c r="D9" s="4" t="inlineStr">
        <is>
          <t>1025 DOKDO CREAM_80ml</t>
        </is>
      </c>
      <c r="E9" s="6" t="n">
        <v>32000</v>
      </c>
      <c r="F9" s="6" t="n">
        <v>12832</v>
      </c>
      <c r="G9" s="6" t="n">
        <v>80</v>
      </c>
      <c r="H9" s="6" t="n"/>
      <c r="I9" s="6">
        <f>IF(H9="",0,H9*G9)</f>
        <v/>
      </c>
      <c r="J9" s="6">
        <f>IF(H9="",0,I9*F9)</f>
        <v/>
      </c>
    </row>
    <row r="10">
      <c r="A10" s="4" t="n">
        <v>6</v>
      </c>
      <c r="B10" s="5" t="inlineStr">
        <is>
          <t>8809738608364</t>
        </is>
      </c>
      <c r="C10" s="4" t="inlineStr">
        <is>
          <t>라운드 랩 1025 독도 클렌져 150ml</t>
        </is>
      </c>
      <c r="D10" s="4" t="inlineStr">
        <is>
          <t>1025 DOKDO CLEANSER_150ml</t>
        </is>
      </c>
      <c r="E10" s="6" t="n">
        <v>13000</v>
      </c>
      <c r="F10" s="6" t="n">
        <v>6221</v>
      </c>
      <c r="G10" s="6" t="n">
        <v>30</v>
      </c>
      <c r="H10" s="6" t="n"/>
      <c r="I10" s="6">
        <f>IF(H10="",0,H10*G10)</f>
        <v/>
      </c>
      <c r="J10" s="6">
        <f>IF(H10="",0,I10*F10)</f>
        <v/>
      </c>
    </row>
    <row r="11">
      <c r="A11" s="4" t="n">
        <v>7</v>
      </c>
      <c r="B11" s="5" t="inlineStr">
        <is>
          <t>8809738605677</t>
        </is>
      </c>
      <c r="C11" s="4" t="inlineStr">
        <is>
          <t>라운드 랩 1025 독도 클렌징 오일 200ml</t>
        </is>
      </c>
      <c r="D11" s="4" t="inlineStr">
        <is>
          <t>1025 DOKDO CLEANSING OIL_200ml</t>
        </is>
      </c>
      <c r="E11" s="6" t="n">
        <v>23000</v>
      </c>
      <c r="F11" s="6" t="n">
        <v>11004</v>
      </c>
      <c r="G11" s="6" t="n">
        <v>30</v>
      </c>
      <c r="H11" s="6" t="n"/>
      <c r="I11" s="6">
        <f>IF(H11="",0,H11*G11)</f>
        <v/>
      </c>
      <c r="J11" s="6">
        <f>IF(H11="",0,I11*F11)</f>
        <v/>
      </c>
    </row>
    <row r="12">
      <c r="A12" s="4" t="n">
        <v>8</v>
      </c>
      <c r="B12" s="5" t="inlineStr">
        <is>
          <t>8809657115639</t>
        </is>
      </c>
      <c r="C12" s="4" t="inlineStr">
        <is>
          <t>라운드 랩 1025 독도 수면 팩 100ml</t>
        </is>
      </c>
      <c r="D12" s="4" t="inlineStr">
        <is>
          <t>1025 DOKDO SLEEPING PACK_100ml</t>
        </is>
      </c>
      <c r="E12" s="6" t="n">
        <v>21000</v>
      </c>
      <c r="F12" s="6" t="n">
        <v>10011</v>
      </c>
      <c r="G12" s="6" t="n">
        <v>50</v>
      </c>
      <c r="H12" s="6" t="n"/>
      <c r="I12" s="6">
        <f>IF(H12="",0,H12*G12)</f>
        <v/>
      </c>
      <c r="J12" s="6">
        <f>IF(H12="",0,I12*F12)</f>
        <v/>
      </c>
    </row>
    <row r="13">
      <c r="A13" s="4" t="n">
        <v>9</v>
      </c>
      <c r="B13" s="5" t="inlineStr">
        <is>
          <t>8809657115479</t>
        </is>
      </c>
      <c r="C13" s="4" t="inlineStr">
        <is>
          <t>라운드 랩 1025 독도 앰플 45g</t>
        </is>
      </c>
      <c r="D13" s="4" t="inlineStr">
        <is>
          <t>1025 DOKDO AMPULE_45g</t>
        </is>
      </c>
      <c r="E13" s="6" t="n">
        <v>28000</v>
      </c>
      <c r="F13" s="6" t="n">
        <v>10632</v>
      </c>
      <c r="G13" s="6" t="n">
        <v>100</v>
      </c>
      <c r="H13" s="6" t="n"/>
      <c r="I13" s="6">
        <f>IF(H13="",0,H13*G13)</f>
        <v/>
      </c>
      <c r="J13" s="6">
        <f>IF(H13="",0,I13*F13)</f>
        <v/>
      </c>
    </row>
    <row r="14">
      <c r="A14" s="4" t="n">
        <v>10</v>
      </c>
      <c r="B14" s="5" t="inlineStr">
        <is>
          <t>8809738604755</t>
        </is>
      </c>
      <c r="C14" s="4" t="inlineStr">
        <is>
          <t>라운드 랩 독도 머드팩 100ml (튜브타입)</t>
        </is>
      </c>
      <c r="D14" s="4" t="inlineStr">
        <is>
          <t>1025 DOKDO MUD PACK_100ml (Tube Type)</t>
        </is>
      </c>
      <c r="E14" s="6" t="n">
        <v>17000</v>
      </c>
      <c r="F14" s="6" t="n">
        <v>7722</v>
      </c>
      <c r="G14" s="6" t="n">
        <v>30</v>
      </c>
      <c r="H14" s="6" t="n"/>
      <c r="I14" s="6">
        <f>IF(H14="",0,H14*G14)</f>
        <v/>
      </c>
      <c r="J14" s="6">
        <f>IF(H14="",0,I14*F14)</f>
        <v/>
      </c>
    </row>
    <row r="15">
      <c r="A15" s="4" t="n">
        <v>11</v>
      </c>
      <c r="B15" s="5" t="inlineStr">
        <is>
          <t>8809743540710</t>
        </is>
      </c>
      <c r="C15" s="4" t="inlineStr">
        <is>
          <t>라운드 랩 독도 워터겔 마스크 시트 30ml 10매</t>
        </is>
      </c>
      <c r="D15" s="4" t="inlineStr">
        <is>
          <t>1025 DOKDO HYDRATING WATER GEL MASK_30ml (10ea)</t>
        </is>
      </c>
      <c r="E15" s="6" t="n">
        <v>40000</v>
      </c>
      <c r="F15" s="6" t="n">
        <v>12000</v>
      </c>
      <c r="G15" s="6" t="n">
        <v>20</v>
      </c>
      <c r="H15" s="6" t="n"/>
      <c r="I15" s="6">
        <f>IF(H15="",0,H15*G15)</f>
        <v/>
      </c>
      <c r="J15" s="6">
        <f>IF(H15="",0,I15*F15)</f>
        <v/>
      </c>
    </row>
    <row r="16">
      <c r="A16" s="4" t="n">
        <v>12</v>
      </c>
      <c r="B16" s="5" t="inlineStr">
        <is>
          <t>8809738591154</t>
        </is>
      </c>
      <c r="C16" s="4" t="inlineStr">
        <is>
          <t>라운드 랩 독도 라이트 크림 80ml</t>
        </is>
      </c>
      <c r="D16" s="4" t="inlineStr">
        <is>
          <t>1025 DOKDO LIGHT CREAM_80ml</t>
        </is>
      </c>
      <c r="E16" s="6" t="n">
        <v>32000</v>
      </c>
      <c r="F16" s="6" t="n">
        <v>13732</v>
      </c>
      <c r="G16" s="6" t="n">
        <v>30</v>
      </c>
      <c r="H16" s="6" t="n"/>
      <c r="I16" s="6">
        <f>IF(H16="",0,H16*G16)</f>
        <v/>
      </c>
      <c r="J16" s="6">
        <f>IF(H16="",0,I16*F16)</f>
        <v/>
      </c>
    </row>
    <row r="17">
      <c r="A17" s="4" t="n">
        <v>13</v>
      </c>
      <c r="B17" s="5" t="inlineStr">
        <is>
          <t>8809962542755</t>
        </is>
      </c>
      <c r="C17" s="4" t="inlineStr">
        <is>
          <t>라운드랩 독도 클렌징 밤 50ml</t>
        </is>
      </c>
      <c r="D17" s="4" t="inlineStr">
        <is>
          <t>1025 DOKDO CLEANSING BALM_50ml (NEW)</t>
        </is>
      </c>
      <c r="E17" s="6" t="n">
        <v>25000</v>
      </c>
      <c r="F17" s="6" t="n">
        <v>11800</v>
      </c>
      <c r="G17" s="6" t="n">
        <v>40</v>
      </c>
      <c r="H17" s="6" t="n"/>
      <c r="I17" s="6">
        <f>IF(H17="",0,H17*G17)</f>
        <v/>
      </c>
      <c r="J17" s="6">
        <f>IF(H17="",0,I17*F17)</f>
        <v/>
      </c>
    </row>
    <row r="18">
      <c r="A18" s="4" t="n">
        <v>14</v>
      </c>
      <c r="B18" s="5" t="inlineStr">
        <is>
          <t>8809743542684</t>
        </is>
      </c>
      <c r="C18" s="4" t="inlineStr">
        <is>
          <t>라운드랩 1025 독도 클렌징 밀크 200ml</t>
        </is>
      </c>
      <c r="D18" s="4" t="inlineStr">
        <is>
          <t>1025 DOKDO CLEANSING MILK_200ml</t>
        </is>
      </c>
      <c r="E18" s="6" t="n">
        <v>24000</v>
      </c>
      <c r="F18" s="6" t="n">
        <v>11504</v>
      </c>
      <c r="G18" s="6" t="n">
        <v>30</v>
      </c>
      <c r="H18" s="6" t="n"/>
      <c r="I18" s="6">
        <f>IF(H18="",0,H18*G18)</f>
        <v/>
      </c>
      <c r="J18" s="6">
        <f>IF(H18="",0,I18*F18)</f>
        <v/>
      </c>
    </row>
    <row r="19">
      <c r="A19" s="4" t="n">
        <v>15</v>
      </c>
      <c r="B19" s="5" t="inlineStr">
        <is>
          <t>8809738599044</t>
        </is>
      </c>
      <c r="C19" s="4" t="inlineStr">
        <is>
          <t>라운드랩 1025 독도 버블 폼 150ml</t>
        </is>
      </c>
      <c r="D19" s="4" t="inlineStr">
        <is>
          <t>1025 DOKDO BUBBLE FOAM_150ml</t>
        </is>
      </c>
      <c r="E19" s="6" t="n">
        <v>15000</v>
      </c>
      <c r="F19" s="6" t="n">
        <v>7101</v>
      </c>
      <c r="G19" s="6" t="n">
        <v>30</v>
      </c>
      <c r="H19" s="6" t="n"/>
      <c r="I19" s="6">
        <f>IF(H19="",0,H19*G19)</f>
        <v/>
      </c>
      <c r="J19" s="6">
        <f>IF(H19="",0,I19*F19)</f>
        <v/>
      </c>
    </row>
    <row r="20">
      <c r="A20" s="4" t="n">
        <v>16</v>
      </c>
      <c r="B20" s="5" t="inlineStr">
        <is>
          <t>8809657129247</t>
        </is>
      </c>
      <c r="C20" s="4" t="inlineStr">
        <is>
          <t>라운드 랩 1025 독도 패드 70ea</t>
        </is>
      </c>
      <c r="D20" s="4" t="inlineStr">
        <is>
          <t>1025 DOKDO PAD_70pcs</t>
        </is>
      </c>
      <c r="E20" s="6" t="n">
        <v>24000</v>
      </c>
      <c r="F20" s="6" t="n">
        <v>11504</v>
      </c>
      <c r="G20" s="6" t="n">
        <v>40</v>
      </c>
      <c r="H20" s="6" t="n"/>
      <c r="I20" s="6">
        <f>IF(H20="",0,H20*G20)</f>
        <v/>
      </c>
      <c r="J20" s="6">
        <f>IF(H20="",0,I20*F20)</f>
        <v/>
      </c>
    </row>
    <row r="21">
      <c r="A21" s="4" t="n">
        <v>17</v>
      </c>
      <c r="B21" s="5" t="inlineStr">
        <is>
          <t>8809657114632</t>
        </is>
      </c>
      <c r="C21" s="4" t="inlineStr">
        <is>
          <t>라운드 랩 독도 아이크림 30ml</t>
        </is>
      </c>
      <c r="D21" s="4" t="inlineStr">
        <is>
          <t>1025 DOKDO EYE CREAM_30ml</t>
        </is>
      </c>
      <c r="E21" s="6" t="n">
        <v>35000</v>
      </c>
      <c r="F21" s="6" t="n">
        <v>11193</v>
      </c>
      <c r="G21" s="6" t="n">
        <v>200</v>
      </c>
      <c r="H21" s="6" t="n"/>
      <c r="I21" s="6">
        <f>IF(H21="",0,H21*G21)</f>
        <v/>
      </c>
      <c r="J21" s="6">
        <f>IF(H21="",0,I21*F21)</f>
        <v/>
      </c>
    </row>
    <row r="22">
      <c r="A22" s="4" t="n">
        <v>18</v>
      </c>
      <c r="B22" s="5" t="inlineStr">
        <is>
          <t>8809783321966</t>
        </is>
      </c>
      <c r="C22" s="4" t="inlineStr">
        <is>
          <t>라운드 랩 독도 필링 젤 120ml</t>
        </is>
      </c>
      <c r="D22" s="4" t="inlineStr">
        <is>
          <t>1025 DOKDO PEELING GEL_120ml</t>
        </is>
      </c>
      <c r="E22" s="6" t="n">
        <v>15000</v>
      </c>
      <c r="F22" s="6" t="n">
        <v>7101</v>
      </c>
      <c r="G22" s="6" t="n">
        <v>50</v>
      </c>
      <c r="H22" s="6" t="n"/>
      <c r="I22" s="6">
        <f>IF(H22="",0,H22*G22)</f>
        <v/>
      </c>
      <c r="J22" s="6">
        <f>IF(H22="",0,I22*F22)</f>
        <v/>
      </c>
    </row>
    <row r="23">
      <c r="A23" s="4" t="n">
        <v>19</v>
      </c>
      <c r="B23" s="5" t="inlineStr">
        <is>
          <t>8809782557298</t>
        </is>
      </c>
      <c r="C23" s="4" t="inlineStr">
        <is>
          <t>라운드랩 독도 선크림 50ml</t>
        </is>
      </c>
      <c r="D23" s="4" t="inlineStr">
        <is>
          <t>1025 DOKDO SUNSCREEN_50ml</t>
        </is>
      </c>
      <c r="E23" s="6" t="n">
        <v>25000</v>
      </c>
      <c r="F23" s="6" t="n">
        <v>10125</v>
      </c>
      <c r="G23" s="6" t="n">
        <v>50</v>
      </c>
      <c r="H23" s="6" t="n"/>
      <c r="I23" s="6">
        <f>IF(H23="",0,H23*G23)</f>
        <v/>
      </c>
      <c r="J23" s="6">
        <f>IF(H23="",0,I23*F23)</f>
        <v/>
      </c>
    </row>
    <row r="24">
      <c r="A24" s="4" t="n">
        <v>20</v>
      </c>
      <c r="B24" s="5" t="inlineStr">
        <is>
          <t>8809875901120</t>
        </is>
      </c>
      <c r="C24" s="4" t="inlineStr">
        <is>
          <t>라운드랩 1025 독도 클렌징 젤 150ml</t>
        </is>
      </c>
      <c r="D24" s="4" t="inlineStr">
        <is>
          <t>1025 DOKDO CLEANSING GEL_150ml</t>
        </is>
      </c>
      <c r="E24" s="6" t="n">
        <v>18000</v>
      </c>
      <c r="F24" s="6" t="n">
        <v>7541</v>
      </c>
      <c r="G24" s="6" t="n">
        <v>30</v>
      </c>
      <c r="H24" s="6" t="n"/>
      <c r="I24" s="6">
        <f>IF(H24="",0,H24*G24)</f>
        <v/>
      </c>
      <c r="J24" s="6">
        <f>IF(H24="",0,I24*F24)</f>
        <v/>
      </c>
    </row>
    <row r="25">
      <c r="A25" s="4" t="n">
        <v>21</v>
      </c>
      <c r="B25" s="5" t="inlineStr">
        <is>
          <t>8809738607343</t>
        </is>
      </c>
      <c r="C25" s="4" t="inlineStr">
        <is>
          <t>라운드 랩 1025 독도 클렌징 워터 400ml</t>
        </is>
      </c>
      <c r="D25" s="4" t="inlineStr">
        <is>
          <t>1025 DOKDO CLEANSING WATER_400ml</t>
        </is>
      </c>
      <c r="E25" s="6" t="n">
        <v>18000</v>
      </c>
      <c r="F25" s="6" t="n">
        <v>6761</v>
      </c>
      <c r="G25" s="6" t="n">
        <v>30</v>
      </c>
      <c r="H25" s="6" t="n"/>
      <c r="I25" s="6">
        <f>IF(H25="",0,H25*G25)</f>
        <v/>
      </c>
      <c r="J25" s="6">
        <f>IF(H25="",0,I25*F25)</f>
        <v/>
      </c>
    </row>
    <row r="26">
      <c r="A26" s="4" t="n">
        <v>22</v>
      </c>
      <c r="B26" s="5" t="inlineStr">
        <is>
          <t>8809657114243</t>
        </is>
      </c>
      <c r="C26" s="4" t="inlineStr">
        <is>
          <t>라운드랩 1025 독도 토너+로션 기획 세트 (토너 200ml + 로션 200ml)</t>
        </is>
      </c>
      <c r="D26" s="4" t="inlineStr">
        <is>
          <t>1025 DOKDO TONER LOTION SPECIAL SET (Toner_200ml + Lotion_200ml)</t>
        </is>
      </c>
      <c r="E26" s="6" t="n">
        <v>35000</v>
      </c>
      <c r="F26" s="6" t="n">
        <v>15393</v>
      </c>
      <c r="G26" s="6" t="n">
        <v>30</v>
      </c>
      <c r="H26" s="6" t="n"/>
      <c r="I26" s="6">
        <f>IF(H26="",0,H26*G26)</f>
        <v/>
      </c>
      <c r="J26" s="6">
        <f>IF(H26="",0,I26*F26)</f>
        <v/>
      </c>
    </row>
    <row r="27">
      <c r="A27" s="4" t="n">
        <v>23</v>
      </c>
      <c r="B27" s="5" t="inlineStr">
        <is>
          <t>8809962540270</t>
        </is>
      </c>
      <c r="C27" s="4" t="inlineStr">
        <is>
          <t>라운드 랩 독도 트라이얼 키트(독도클렌저30+독도토너20+독도앰플10+독도크림20)</t>
        </is>
      </c>
      <c r="D27" s="4" t="inlineStr">
        <is>
          <t>1025 DOKDO TRIAL KIT (Cleanser 30ml + Toner 20ml + Ampule 10ml + Cream 20ml)</t>
        </is>
      </c>
      <c r="E27" s="6" t="n">
        <v>25000</v>
      </c>
      <c r="F27" s="6" t="n">
        <v>8560</v>
      </c>
      <c r="G27" s="6" t="n">
        <v>20</v>
      </c>
      <c r="H27" s="6" t="n"/>
      <c r="I27" s="6">
        <f>IF(H27="",0,H27*G27)</f>
        <v/>
      </c>
      <c r="J27" s="6">
        <f>IF(H27="",0,I27*F27)</f>
        <v/>
      </c>
    </row>
    <row r="28">
      <c r="A28" s="4" t="n">
        <v>24</v>
      </c>
      <c r="B28" s="5" t="inlineStr">
        <is>
          <t>8809962541253</t>
        </is>
      </c>
      <c r="C28" s="4" t="inlineStr">
        <is>
          <t>라운드랩 독도 클렌징티슈 30매</t>
        </is>
      </c>
      <c r="D28" s="4" t="inlineStr">
        <is>
          <t>1025 DOKDO CLEANSING TISSUE_30ea</t>
        </is>
      </c>
      <c r="E28" s="6" t="n">
        <v>5000</v>
      </c>
      <c r="F28" s="6" t="n">
        <v>2600</v>
      </c>
      <c r="G28" s="6" t="n">
        <v>60</v>
      </c>
      <c r="H28" s="6" t="n"/>
      <c r="I28" s="6">
        <f>IF(H28="",0,H28*G28)</f>
        <v/>
      </c>
      <c r="J28" s="6">
        <f>IF(H28="",0,I28*F28)</f>
        <v/>
      </c>
    </row>
    <row r="29">
      <c r="A29" s="4" t="n">
        <v>25</v>
      </c>
      <c r="B29" s="5" t="inlineStr">
        <is>
          <t>8809738600214</t>
        </is>
      </c>
      <c r="C29" s="4" t="inlineStr">
        <is>
          <t>라운드 랩 자작나무 수분 토너 300ml</t>
        </is>
      </c>
      <c r="D29" s="4" t="inlineStr">
        <is>
          <t>BIRCH JUICE MOISTURIZING TONER_300ml</t>
        </is>
      </c>
      <c r="E29" s="6" t="n">
        <v>24000</v>
      </c>
      <c r="F29" s="6" t="n">
        <v>9540</v>
      </c>
      <c r="G29" s="6" t="n">
        <v>40</v>
      </c>
      <c r="H29" s="6" t="n"/>
      <c r="I29" s="6">
        <f>IF(H29="",0,H29*G29)</f>
        <v/>
      </c>
      <c r="J29" s="6">
        <f>IF(H29="",0,I29*F29)</f>
        <v/>
      </c>
    </row>
    <row r="30">
      <c r="A30" s="4" t="n">
        <v>26</v>
      </c>
      <c r="B30" s="5" t="inlineStr">
        <is>
          <t>8809738600221</t>
        </is>
      </c>
      <c r="C30" s="4" t="inlineStr">
        <is>
          <t>라운드 랩 자작나무 수분 크림 80ml</t>
        </is>
      </c>
      <c r="D30" s="4" t="inlineStr">
        <is>
          <t>BIRCH JUICE MOISTURIZING CREAM_80ml</t>
        </is>
      </c>
      <c r="E30" s="6" t="n">
        <v>32000</v>
      </c>
      <c r="F30" s="6" t="n">
        <v>12672</v>
      </c>
      <c r="G30" s="6" t="n">
        <v>80</v>
      </c>
      <c r="H30" s="6" t="n"/>
      <c r="I30" s="6">
        <f>IF(H30="",0,H30*G30)</f>
        <v/>
      </c>
      <c r="J30" s="6">
        <f>IF(H30="",0,I30*F30)</f>
        <v/>
      </c>
    </row>
    <row r="31">
      <c r="A31" s="4" t="n">
        <v>27</v>
      </c>
      <c r="B31" s="5" t="inlineStr">
        <is>
          <t>8809738600238</t>
        </is>
      </c>
      <c r="C31" s="4" t="inlineStr">
        <is>
          <t>라운드 랩 자작나무 수분 클렌저 150ml</t>
        </is>
      </c>
      <c r="D31" s="4" t="inlineStr">
        <is>
          <t>BIRCH JUICE MOISTURIZING CLEANSER_150ml</t>
        </is>
      </c>
      <c r="E31" s="6" t="n">
        <v>15000</v>
      </c>
      <c r="F31" s="6" t="n">
        <v>6351</v>
      </c>
      <c r="G31" s="6" t="n">
        <v>30</v>
      </c>
      <c r="H31" s="6" t="n"/>
      <c r="I31" s="6">
        <f>IF(H31="",0,H31*G31)</f>
        <v/>
      </c>
      <c r="J31" s="6">
        <f>IF(H31="",0,I31*F31)</f>
        <v/>
      </c>
    </row>
    <row r="32">
      <c r="A32" s="4" t="n">
        <v>28</v>
      </c>
      <c r="B32" s="5" t="inlineStr">
        <is>
          <t>8809738604762</t>
        </is>
      </c>
      <c r="C32" s="4" t="inlineStr">
        <is>
          <t>라운드 랩 자작나무 워시 오프 팩 80ml</t>
        </is>
      </c>
      <c r="D32" s="4" t="inlineStr">
        <is>
          <t>BIRCH JUICE MOISTURIZING WASHOFF PACK_80ml</t>
        </is>
      </c>
      <c r="E32" s="6" t="n">
        <v>23000</v>
      </c>
      <c r="F32" s="6" t="n">
        <v>9251</v>
      </c>
      <c r="G32" s="6" t="n">
        <v>30</v>
      </c>
      <c r="H32" s="6" t="n"/>
      <c r="I32" s="6">
        <f>IF(H32="",0,H32*G32)</f>
        <v/>
      </c>
      <c r="J32" s="6">
        <f>IF(H32="",0,I32*F32)</f>
        <v/>
      </c>
    </row>
    <row r="33">
      <c r="A33" s="4" t="n">
        <v>29</v>
      </c>
      <c r="B33" s="5" t="inlineStr">
        <is>
          <t>8809782553009</t>
        </is>
      </c>
      <c r="C33" s="4" t="inlineStr">
        <is>
          <t>라운드 랩 자작나무 수분 세럼 50ml</t>
        </is>
      </c>
      <c r="D33" s="4" t="inlineStr">
        <is>
          <t>BIRCH JUICE MOISTURIZING SERUM_50ml</t>
        </is>
      </c>
      <c r="E33" s="6" t="n">
        <v>28000</v>
      </c>
      <c r="F33" s="6" t="n">
        <v>10990</v>
      </c>
      <c r="G33" s="6" t="n">
        <v>70</v>
      </c>
      <c r="H33" s="6" t="n"/>
      <c r="I33" s="6">
        <f>IF(H33="",0,H33*G33)</f>
        <v/>
      </c>
      <c r="J33" s="6">
        <f>IF(H33="",0,I33*F33)</f>
        <v/>
      </c>
    </row>
    <row r="34">
      <c r="A34" s="4" t="n">
        <v>30</v>
      </c>
      <c r="B34" s="5" t="inlineStr">
        <is>
          <t>8809614958712</t>
        </is>
      </c>
      <c r="C34" s="4" t="inlineStr">
        <is>
          <t>라운드 랩 자작나무 수분 패드 80ea (2021 Renewal)</t>
        </is>
      </c>
      <c r="D34" s="4" t="inlineStr">
        <is>
          <t>BIRCH JUICE MOISTURIZING PAD_80pcs</t>
        </is>
      </c>
      <c r="E34" s="6" t="n">
        <v>25000</v>
      </c>
      <c r="F34" s="6" t="n">
        <v>10700</v>
      </c>
      <c r="G34" s="6" t="n">
        <v>40</v>
      </c>
      <c r="H34" s="6" t="n"/>
      <c r="I34" s="6">
        <f>IF(H34="",0,H34*G34)</f>
        <v/>
      </c>
      <c r="J34" s="6">
        <f>IF(H34="",0,I34*F34)</f>
        <v/>
      </c>
    </row>
    <row r="35">
      <c r="A35" s="4" t="n">
        <v>31</v>
      </c>
      <c r="B35" s="5" t="inlineStr">
        <is>
          <t>8809782551814</t>
        </is>
      </c>
      <c r="C35" s="4" t="inlineStr">
        <is>
          <t>라운드랩 자작나무 수분 선크림 50ml</t>
        </is>
      </c>
      <c r="D35" s="4" t="inlineStr">
        <is>
          <t>BIRCH JUICE MOISTURIZING SUNSCREEN_50ml</t>
        </is>
      </c>
      <c r="E35" s="6" t="n">
        <v>25000</v>
      </c>
      <c r="F35" s="6" t="n">
        <v>9950</v>
      </c>
      <c r="G35" s="6" t="n">
        <v>60</v>
      </c>
      <c r="H35" s="6" t="n"/>
      <c r="I35" s="6">
        <f>IF(H35="",0,H35*G35)</f>
        <v/>
      </c>
      <c r="J35" s="6">
        <f>IF(H35="",0,I35*F35)</f>
        <v/>
      </c>
    </row>
    <row r="36">
      <c r="A36" s="4" t="n">
        <v>32</v>
      </c>
      <c r="B36" s="5" t="inlineStr">
        <is>
          <t>8809624723157</t>
        </is>
      </c>
      <c r="C36" s="4" t="inlineStr">
        <is>
          <t>라운드 랩 자작나무 수분 마스크 시트 10매</t>
        </is>
      </c>
      <c r="D36" s="4" t="inlineStr">
        <is>
          <t>BIRCH JUICE MOISTURIZING MASK_25ml (10ea)</t>
        </is>
      </c>
      <c r="E36" s="6" t="n">
        <v>30000</v>
      </c>
      <c r="F36" s="6" t="n">
        <v>10101</v>
      </c>
      <c r="G36" s="6" t="n">
        <v>40</v>
      </c>
      <c r="H36" s="6" t="n"/>
      <c r="I36" s="6">
        <f>IF(H36="",0,H36*G36)</f>
        <v/>
      </c>
      <c r="J36" s="6">
        <f>IF(H36="",0,I36*F36)</f>
        <v/>
      </c>
    </row>
    <row r="37">
      <c r="A37" s="4" t="n">
        <v>33</v>
      </c>
      <c r="B37" s="5" t="inlineStr">
        <is>
          <t>8809638307701</t>
        </is>
      </c>
      <c r="C37" s="4" t="inlineStr">
        <is>
          <t>라운드랩 자작나무 수딩 젤 150ml</t>
        </is>
      </c>
      <c r="D37" s="4" t="inlineStr">
        <is>
          <t>BIRCH JUICE MOISTURIZING SOOTHING GEL_150ml</t>
        </is>
      </c>
      <c r="E37" s="6" t="n">
        <v>12000</v>
      </c>
      <c r="F37" s="6" t="n">
        <v>5361</v>
      </c>
      <c r="G37" s="6" t="n">
        <v>40</v>
      </c>
      <c r="H37" s="6" t="n"/>
      <c r="I37" s="6">
        <f>IF(H37="",0,H37*G37)</f>
        <v/>
      </c>
      <c r="J37" s="6">
        <f>IF(H37="",0,I37*F37)</f>
        <v/>
      </c>
    </row>
    <row r="38">
      <c r="A38" s="4" t="n">
        <v>34</v>
      </c>
      <c r="B38" s="5" t="inlineStr">
        <is>
          <t>8809864769977</t>
        </is>
      </c>
      <c r="C38" s="4" t="inlineStr">
        <is>
          <t>라운드랩 자작나무 수분 톤업 선크림 50ml (23AD)</t>
        </is>
      </c>
      <c r="D38" s="4" t="inlineStr">
        <is>
          <t>BIRCH JUICE MOISTURIZING TONE UP SUNSCREEN_50ml</t>
        </is>
      </c>
      <c r="E38" s="6" t="n">
        <v>25000</v>
      </c>
      <c r="F38" s="6" t="n">
        <v>9950</v>
      </c>
      <c r="G38" s="6" t="n">
        <v>60</v>
      </c>
      <c r="H38" s="6" t="n"/>
      <c r="I38" s="6">
        <f>IF(H38="",0,H38*G38)</f>
        <v/>
      </c>
      <c r="J38" s="6">
        <f>IF(H38="",0,I38*F38)</f>
        <v/>
      </c>
    </row>
    <row r="39">
      <c r="A39" s="4" t="n">
        <v>35</v>
      </c>
      <c r="B39" s="5" t="inlineStr">
        <is>
          <t>8809782558523</t>
        </is>
      </c>
      <c r="C39" s="4" t="inlineStr">
        <is>
          <t>라운드랩 자작나무 무기자차 마일드업 선크림 50ml</t>
        </is>
      </c>
      <c r="D39" s="4" t="inlineStr">
        <is>
          <t>BIRCH JUICE MILD-UP SUNSCREEN_50ml</t>
        </is>
      </c>
      <c r="E39" s="6" t="n">
        <v>25000</v>
      </c>
      <c r="F39" s="6" t="n">
        <v>9950</v>
      </c>
      <c r="G39" s="6" t="n">
        <v>60</v>
      </c>
      <c r="H39" s="6" t="n"/>
      <c r="I39" s="6">
        <f>IF(H39="",0,H39*G39)</f>
        <v/>
      </c>
      <c r="J39" s="6">
        <f>IF(H39="",0,I39*F39)</f>
        <v/>
      </c>
    </row>
    <row r="40">
      <c r="A40" s="4" t="n">
        <v>36</v>
      </c>
      <c r="B40" s="5" t="inlineStr">
        <is>
          <t>8809875904459</t>
        </is>
      </c>
      <c r="C40" s="4" t="inlineStr">
        <is>
          <t>라운드랩 자작나무 수분선스틱 19g (23AD)</t>
        </is>
      </c>
      <c r="D40" s="4" t="inlineStr">
        <is>
          <t>BIRCH JUICE MOISTURIZING SUN STICK_19g</t>
        </is>
      </c>
      <c r="E40" s="6" t="n">
        <v>24000</v>
      </c>
      <c r="F40" s="6" t="n">
        <v>9152</v>
      </c>
      <c r="G40" s="6" t="n">
        <v>60</v>
      </c>
      <c r="H40" s="6" t="n"/>
      <c r="I40" s="6">
        <f>IF(H40="",0,H40*G40)</f>
        <v/>
      </c>
      <c r="J40" s="6">
        <f>IF(H40="",0,I40*F40)</f>
        <v/>
      </c>
    </row>
    <row r="41">
      <c r="A41" s="4" t="n">
        <v>37</v>
      </c>
      <c r="B41" s="5" t="inlineStr">
        <is>
          <t>8809782556628</t>
        </is>
      </c>
      <c r="C41" s="4" t="inlineStr">
        <is>
          <t>라운드랩 자작나무 선쿠션 15g</t>
        </is>
      </c>
      <c r="D41" s="4" t="inlineStr">
        <is>
          <t>BIRCH JUICE MOISTURIZING SUN CUSHION_15g</t>
        </is>
      </c>
      <c r="E41" s="6" t="n">
        <v>24000</v>
      </c>
      <c r="F41" s="6" t="n">
        <v>9651</v>
      </c>
      <c r="G41" s="6" t="n">
        <v>100</v>
      </c>
      <c r="H41" s="6" t="n"/>
      <c r="I41" s="6">
        <f>IF(H41="",0,H41*G41)</f>
        <v/>
      </c>
      <c r="J41" s="6">
        <f>IF(H41="",0,I41*F41)</f>
        <v/>
      </c>
    </row>
    <row r="42">
      <c r="A42" s="4" t="n">
        <v>38</v>
      </c>
      <c r="B42" s="5" t="inlineStr">
        <is>
          <t>8809864759480</t>
        </is>
      </c>
      <c r="C42" s="4" t="inlineStr">
        <is>
          <t>라운드랩 자작나무 앰플 50ml</t>
        </is>
      </c>
      <c r="D42" s="4" t="inlineStr">
        <is>
          <t>BIRCH JUICE AMPOULE_50ml</t>
        </is>
      </c>
      <c r="E42" s="6" t="n">
        <v>28000</v>
      </c>
      <c r="F42" s="6" t="n">
        <v>9831</v>
      </c>
      <c r="G42" s="6" t="n">
        <v>60</v>
      </c>
      <c r="H42" s="6" t="n"/>
      <c r="I42" s="6">
        <f>IF(H42="",0,H42*G42)</f>
        <v/>
      </c>
      <c r="J42" s="6">
        <f>IF(H42="",0,I42*F42)</f>
        <v/>
      </c>
    </row>
    <row r="43">
      <c r="A43" s="4" t="n">
        <v>39</v>
      </c>
      <c r="B43" s="5" t="inlineStr">
        <is>
          <t>8809614958057</t>
        </is>
      </c>
      <c r="C43" s="4" t="inlineStr">
        <is>
          <t>라운드 랩 자작나무 수분 클렌징 패드 60매입</t>
        </is>
      </c>
      <c r="D43" s="4" t="inlineStr">
        <is>
          <t>BIRCH JUICE CLEANSING PAD_60ea</t>
        </is>
      </c>
      <c r="E43" s="6" t="n">
        <v>22000</v>
      </c>
      <c r="F43" s="6" t="n">
        <v>9020</v>
      </c>
      <c r="G43" s="6" t="n">
        <v>40</v>
      </c>
      <c r="H43" s="6" t="n"/>
      <c r="I43" s="6">
        <f>IF(H43="",0,H43*G43)</f>
        <v/>
      </c>
      <c r="J43" s="6">
        <f>IF(H43="",0,I43*F43)</f>
        <v/>
      </c>
    </row>
    <row r="44">
      <c r="A44" s="4" t="n">
        <v>40</v>
      </c>
      <c r="B44" s="5" t="inlineStr">
        <is>
          <t>8809962540713</t>
        </is>
      </c>
      <c r="C44" s="4" t="inlineStr">
        <is>
          <t>라운드랩 핸드 크림 30ml</t>
        </is>
      </c>
      <c r="D44" s="4" t="inlineStr">
        <is>
          <t>BIRCH JUICE HAND CREAM 30ml</t>
        </is>
      </c>
      <c r="E44" s="6" t="n">
        <v>12000</v>
      </c>
      <c r="F44" s="6" t="n">
        <v>3240</v>
      </c>
      <c r="G44" s="6" t="n">
        <v>80</v>
      </c>
      <c r="H44" s="6" t="n"/>
      <c r="I44" s="6">
        <f>IF(H44="",0,H44*G44)</f>
        <v/>
      </c>
      <c r="J44" s="6">
        <f>IF(H44="",0,I44*F44)</f>
        <v/>
      </c>
    </row>
    <row r="45">
      <c r="A45" s="4" t="n">
        <v>41</v>
      </c>
      <c r="B45" s="5" t="inlineStr">
        <is>
          <t>8809962540287</t>
        </is>
      </c>
      <c r="C45" s="4" t="inlineStr">
        <is>
          <t>라운드랩 자작수분 트라이얼 키트(자작클렌저30+자작토너20+자작앰플10+자작크림20)</t>
        </is>
      </c>
      <c r="D45" s="4" t="inlineStr">
        <is>
          <t>BIRCH JUICE TRIAL KIT (Cleanser 30ml + Toner 20ml + Ampoule 10ml + Cream 20ml)</t>
        </is>
      </c>
      <c r="E45" s="6" t="n">
        <v>25000</v>
      </c>
      <c r="F45" s="6" t="n">
        <v>8560</v>
      </c>
      <c r="G45" s="6" t="n">
        <v>20</v>
      </c>
      <c r="H45" s="6" t="n"/>
      <c r="I45" s="6">
        <f>IF(H45="",0,H45*G45)</f>
        <v/>
      </c>
      <c r="J45" s="6">
        <f>IF(H45="",0,I45*F45)</f>
        <v/>
      </c>
    </row>
    <row r="46">
      <c r="A46" s="4" t="n">
        <v>42</v>
      </c>
      <c r="B46" s="5" t="inlineStr">
        <is>
          <t>8809962542397</t>
        </is>
      </c>
      <c r="C46" s="4" t="inlineStr">
        <is>
          <t>라운드랩 자작나무 수분 더블 겔 마스크 10매</t>
        </is>
      </c>
      <c r="D46" s="4" t="inlineStr">
        <is>
          <t>BIRCH JUICE MOISTURIZING DOUBLE GEL MASK 23ml(10ea)</t>
        </is>
      </c>
      <c r="E46" s="6" t="n">
        <v>30000</v>
      </c>
      <c r="F46" s="6" t="n">
        <v>10101</v>
      </c>
      <c r="G46" s="6" t="n">
        <v>30</v>
      </c>
      <c r="H46" s="6" t="n"/>
      <c r="I46" s="6">
        <f>IF(H46="",0,H46*G46)</f>
        <v/>
      </c>
      <c r="J46" s="6">
        <f>IF(H46="",0,I46*F46)</f>
        <v/>
      </c>
    </row>
    <row r="47">
      <c r="A47" s="4" t="n">
        <v>43</v>
      </c>
      <c r="B47" s="5" t="inlineStr">
        <is>
          <t>8809962542489</t>
        </is>
      </c>
      <c r="C47" s="4" t="inlineStr">
        <is>
          <t>라운드랩 자작나무 수분 립밤 20g</t>
        </is>
      </c>
      <c r="D47" s="4" t="inlineStr">
        <is>
          <t>BIRCH JUICE MOISTURIZING LIP BALM(+MINI BRUSH)</t>
        </is>
      </c>
      <c r="E47" s="6" t="n">
        <v>19000</v>
      </c>
      <c r="F47" s="6" t="n">
        <v>8891</v>
      </c>
      <c r="G47" s="6" t="n">
        <v>40</v>
      </c>
      <c r="H47" s="6" t="n"/>
      <c r="I47" s="6">
        <f>IF(H47="",0,H47*G47)</f>
        <v/>
      </c>
      <c r="J47" s="6">
        <f>IF(H47="",0,I47*F47)</f>
        <v/>
      </c>
    </row>
    <row r="48">
      <c r="A48" s="4" t="n">
        <v>44</v>
      </c>
      <c r="B48" s="5" t="inlineStr">
        <is>
          <t>8809962542496</t>
        </is>
      </c>
      <c r="C48" s="4" t="inlineStr">
        <is>
          <t>라운드랩 자작나무 수분 립밤 세트</t>
        </is>
      </c>
      <c r="D48" s="4" t="inlineStr">
        <is>
          <t>BIRCH JUICE MOISTURIZING LIP BALM SET(+LIP BRUSH)</t>
        </is>
      </c>
      <c r="E48" s="6" t="n">
        <v>21000</v>
      </c>
      <c r="F48" s="6" t="n">
        <v>10091</v>
      </c>
      <c r="G48" s="6" t="n">
        <v>50</v>
      </c>
      <c r="H48" s="6" t="n"/>
      <c r="I48" s="6">
        <f>IF(H48="",0,H48*G48)</f>
        <v/>
      </c>
      <c r="J48" s="6">
        <f>IF(H48="",0,I48*F48)</f>
        <v/>
      </c>
    </row>
    <row r="49">
      <c r="A49" s="4" t="n">
        <v>45</v>
      </c>
      <c r="B49" s="5" t="inlineStr">
        <is>
          <t>8809962542441</t>
        </is>
      </c>
      <c r="C49" s="4" t="inlineStr">
        <is>
          <t>nan</t>
        </is>
      </c>
      <c r="D49" s="4" t="inlineStr">
        <is>
          <t>BIRCH JUICE MOISTURIZING EYE BALM 10g</t>
        </is>
      </c>
      <c r="E49" s="6" t="n">
        <v>22000</v>
      </c>
      <c r="F49" s="6" t="n">
        <v>9691</v>
      </c>
      <c r="G49" s="6" t="n">
        <v>80</v>
      </c>
      <c r="H49" s="6" t="n"/>
      <c r="I49" s="6">
        <f>IF(H49="",0,H49*G49)</f>
        <v/>
      </c>
      <c r="J49" s="6">
        <f>IF(H49="",0,I49*F49)</f>
        <v/>
      </c>
    </row>
    <row r="50">
      <c r="A50" s="4" t="n">
        <v>46</v>
      </c>
      <c r="B50" s="5" t="inlineStr">
        <is>
          <t>8809962543127</t>
        </is>
      </c>
      <c r="C50" s="4" t="inlineStr">
        <is>
          <t>nan</t>
        </is>
      </c>
      <c r="D50" s="4" t="inlineStr">
        <is>
          <t>BIRCH JUICE MOISTURIZING INTENSIVE CREAM 50ml</t>
        </is>
      </c>
      <c r="E50" s="6" t="n">
        <v>40000</v>
      </c>
      <c r="F50" s="6" t="n">
        <v>13592</v>
      </c>
      <c r="G50" s="6" t="n">
        <v>60</v>
      </c>
      <c r="H50" s="6" t="n"/>
      <c r="I50" s="6">
        <f>IF(H50="",0,H50*G50)</f>
        <v/>
      </c>
      <c r="J50" s="6">
        <f>IF(H50="",0,I50*F50)</f>
        <v/>
      </c>
    </row>
    <row r="51">
      <c r="A51" s="4" t="n">
        <v>47</v>
      </c>
      <c r="B51" s="5" t="inlineStr">
        <is>
          <t>8809962542885</t>
        </is>
      </c>
      <c r="C51" s="4" t="inlineStr">
        <is>
          <t>nan</t>
        </is>
      </c>
      <c r="D51" s="4" t="inlineStr">
        <is>
          <t>BIRCH JUICE MOISTURIZING PEELING CLEANSING OIL 200ml</t>
        </is>
      </c>
      <c r="E51" s="6" t="n">
        <v>25000</v>
      </c>
      <c r="F51" s="6" t="n">
        <v>12618</v>
      </c>
      <c r="G51" s="6" t="n">
        <v>40</v>
      </c>
      <c r="H51" s="6" t="n"/>
      <c r="I51" s="6">
        <f>IF(H51="",0,H51*G51)</f>
        <v/>
      </c>
      <c r="J51" s="6">
        <f>IF(H51="",0,I51*F51)</f>
        <v/>
      </c>
    </row>
    <row r="52">
      <c r="A52" s="4" t="n">
        <v>48</v>
      </c>
      <c r="B52" s="5" t="inlineStr">
        <is>
          <t>8809962544612</t>
        </is>
      </c>
      <c r="C52" s="4" t="inlineStr">
        <is>
          <t>nan</t>
        </is>
      </c>
      <c r="D52" s="4" t="inlineStr">
        <is>
          <t>BIRCH JUICE MOISTURIZING SUN SPRAY 100ml</t>
        </is>
      </c>
      <c r="E52" s="6" t="n">
        <v>22000</v>
      </c>
      <c r="F52" s="6" t="n">
        <v>10305</v>
      </c>
      <c r="G52" s="6" t="n">
        <v>50</v>
      </c>
      <c r="H52" s="6" t="n"/>
      <c r="I52" s="6">
        <f>IF(H52="",0,H52*G52)</f>
        <v/>
      </c>
      <c r="J52" s="6">
        <f>IF(H52="",0,I52*F52)</f>
        <v/>
      </c>
    </row>
    <row r="53">
      <c r="A53" s="4" t="n">
        <v>49</v>
      </c>
      <c r="B53" s="5" t="inlineStr">
        <is>
          <t>8809738605714</t>
        </is>
      </c>
      <c r="C53" s="4" t="inlineStr">
        <is>
          <t>라운드랩 해풍 쑥 진정 토너 300ml</t>
        </is>
      </c>
      <c r="D53" s="4" t="inlineStr">
        <is>
          <t>MUGWORT CALMING TONER_300ml</t>
        </is>
      </c>
      <c r="E53" s="6" t="n">
        <v>24000</v>
      </c>
      <c r="F53" s="6" t="n">
        <v>9540</v>
      </c>
      <c r="G53" s="6" t="n">
        <v>40</v>
      </c>
      <c r="H53" s="6" t="n"/>
      <c r="I53" s="6">
        <f>IF(H53="",0,H53*G53)</f>
        <v/>
      </c>
      <c r="J53" s="6">
        <f>IF(H53="",0,I53*F53)</f>
        <v/>
      </c>
    </row>
    <row r="54">
      <c r="A54" s="4" t="n">
        <v>50</v>
      </c>
      <c r="B54" s="5" t="inlineStr">
        <is>
          <t>8809738605721</t>
        </is>
      </c>
      <c r="C54" s="4" t="inlineStr">
        <is>
          <t>라운드랩 해풍 쑥 진정 크림 80ml</t>
        </is>
      </c>
      <c r="D54" s="4" t="inlineStr">
        <is>
          <t>MUGWORT CALMING CREAM_80ml</t>
        </is>
      </c>
      <c r="E54" s="6" t="n">
        <v>32000</v>
      </c>
      <c r="F54" s="6" t="n">
        <v>12672</v>
      </c>
      <c r="G54" s="6" t="n">
        <v>80</v>
      </c>
      <c r="H54" s="6" t="n"/>
      <c r="I54" s="6">
        <f>IF(H54="",0,H54*G54)</f>
        <v/>
      </c>
      <c r="J54" s="6">
        <f>IF(H54="",0,I54*F54)</f>
        <v/>
      </c>
    </row>
    <row r="55">
      <c r="A55" s="4" t="n">
        <v>51</v>
      </c>
      <c r="B55" s="5" t="inlineStr">
        <is>
          <t>8809738593080</t>
        </is>
      </c>
      <c r="C55" s="4" t="inlineStr">
        <is>
          <t>라운드랩 해풍쑥 진정 클렌저 150ml</t>
        </is>
      </c>
      <c r="D55" s="4" t="inlineStr">
        <is>
          <t>MUGWORT CALMING CLEANSER_150ml</t>
        </is>
      </c>
      <c r="E55" s="6" t="n">
        <v>15000</v>
      </c>
      <c r="F55" s="6" t="n">
        <v>6351</v>
      </c>
      <c r="G55" s="6" t="n">
        <v>30</v>
      </c>
      <c r="H55" s="6" t="n"/>
      <c r="I55" s="6">
        <f>IF(H55="",0,H55*G55)</f>
        <v/>
      </c>
      <c r="J55" s="6">
        <f>IF(H55="",0,I55*F55)</f>
        <v/>
      </c>
    </row>
    <row r="56">
      <c r="A56" s="4" t="n">
        <v>52</v>
      </c>
      <c r="B56" s="5" t="inlineStr">
        <is>
          <t>8809738593103</t>
        </is>
      </c>
      <c r="C56" s="4" t="inlineStr">
        <is>
          <t>라운드랩 해풍쑥 진정 세럼 50ml</t>
        </is>
      </c>
      <c r="D56" s="4" t="inlineStr">
        <is>
          <t>MUGWORT CALMING SERUM_50ml</t>
        </is>
      </c>
      <c r="E56" s="6" t="n">
        <v>28000</v>
      </c>
      <c r="F56" s="6" t="n">
        <v>10990</v>
      </c>
      <c r="G56" s="6" t="n">
        <v>70</v>
      </c>
      <c r="H56" s="6" t="n"/>
      <c r="I56" s="6">
        <f>IF(H56="",0,H56*G56)</f>
        <v/>
      </c>
      <c r="J56" s="6">
        <f>IF(H56="",0,I56*F56)</f>
        <v/>
      </c>
    </row>
    <row r="57">
      <c r="A57" s="4" t="n">
        <v>53</v>
      </c>
      <c r="B57" s="5" t="inlineStr">
        <is>
          <t>8809743544176</t>
        </is>
      </c>
      <c r="C57" s="4" t="inlineStr">
        <is>
          <t>라운드랩 해풍쑥 진정 수딩젤 150ml</t>
        </is>
      </c>
      <c r="D57" s="4" t="inlineStr">
        <is>
          <t>MUGWORT CALMING SOOTHING GEL_150ml</t>
        </is>
      </c>
      <c r="E57" s="6" t="n">
        <v>10500</v>
      </c>
      <c r="F57" s="6" t="n">
        <v>5336</v>
      </c>
      <c r="G57" s="6" t="n">
        <v>40</v>
      </c>
      <c r="H57" s="6" t="n"/>
      <c r="I57" s="6">
        <f>IF(H57="",0,H57*G57)</f>
        <v/>
      </c>
      <c r="J57" s="6">
        <f>IF(H57="",0,I57*F57)</f>
        <v/>
      </c>
    </row>
    <row r="58">
      <c r="A58" s="4" t="n">
        <v>54</v>
      </c>
      <c r="B58" s="5" t="inlineStr">
        <is>
          <t>8809624723140</t>
        </is>
      </c>
      <c r="C58" s="4" t="inlineStr">
        <is>
          <t>라운드랩 해풍쑥 진정 마스크 시트 10매</t>
        </is>
      </c>
      <c r="D58" s="4" t="inlineStr">
        <is>
          <t>MUGWORT CALMING MASK_25ml (10ea)</t>
        </is>
      </c>
      <c r="E58" s="6" t="n">
        <v>30000</v>
      </c>
      <c r="F58" s="6" t="n">
        <v>10101</v>
      </c>
      <c r="G58" s="6" t="n">
        <v>40</v>
      </c>
      <c r="H58" s="6" t="n"/>
      <c r="I58" s="6">
        <f>IF(H58="",0,H58*G58)</f>
        <v/>
      </c>
      <c r="J58" s="6">
        <f>IF(H58="",0,I58*F58)</f>
        <v/>
      </c>
    </row>
    <row r="59">
      <c r="A59" s="4" t="n">
        <v>55</v>
      </c>
      <c r="B59" s="5" t="inlineStr">
        <is>
          <t>8809738593240</t>
        </is>
      </c>
      <c r="C59" s="4" t="inlineStr">
        <is>
          <t>라운드랩 약콩 세럼 50ml</t>
        </is>
      </c>
      <c r="D59" s="4" t="inlineStr">
        <is>
          <t>SOYBEAN SERUM_50ml</t>
        </is>
      </c>
      <c r="E59" s="6" t="n">
        <v>28000</v>
      </c>
      <c r="F59" s="6" t="n">
        <v>10990</v>
      </c>
      <c r="G59" s="6" t="n">
        <v>70</v>
      </c>
      <c r="H59" s="6" t="n"/>
      <c r="I59" s="6">
        <f>IF(H59="",0,H59*G59)</f>
        <v/>
      </c>
      <c r="J59" s="6">
        <f>IF(H59="",0,I59*F59)</f>
        <v/>
      </c>
    </row>
    <row r="60">
      <c r="A60" s="4" t="n">
        <v>56</v>
      </c>
      <c r="B60" s="5" t="inlineStr">
        <is>
          <t>8809624723133</t>
        </is>
      </c>
      <c r="C60" s="4" t="inlineStr">
        <is>
          <t>라운드 랩 약콩 영양 마스크 시트 27ml 10매</t>
        </is>
      </c>
      <c r="D60" s="4" t="inlineStr">
        <is>
          <t>SOYBEAN NOURISHING MASK_27ml (10ea)</t>
        </is>
      </c>
      <c r="E60" s="6" t="n">
        <v>30000</v>
      </c>
      <c r="F60" s="6" t="n">
        <v>10101</v>
      </c>
      <c r="G60" s="6" t="n">
        <v>40</v>
      </c>
      <c r="H60" s="6" t="n"/>
      <c r="I60" s="6">
        <f>IF(H60="",0,H60*G60)</f>
        <v/>
      </c>
      <c r="J60" s="6">
        <f>IF(H60="",0,I60*F60)</f>
        <v/>
      </c>
    </row>
    <row r="61">
      <c r="A61" s="4" t="n">
        <v>57</v>
      </c>
      <c r="B61" s="5" t="inlineStr">
        <is>
          <t>8809624726370</t>
        </is>
      </c>
      <c r="C61" s="4" t="inlineStr">
        <is>
          <t>라운드 랩 약콩 영양 토너 300ml</t>
        </is>
      </c>
      <c r="D61" s="4" t="inlineStr">
        <is>
          <t>SOYBEAN NOURISHING TONER_300ml</t>
        </is>
      </c>
      <c r="E61" s="6" t="n">
        <v>24000</v>
      </c>
      <c r="F61" s="6" t="n">
        <v>9540</v>
      </c>
      <c r="G61" s="6" t="n">
        <v>40</v>
      </c>
      <c r="H61" s="6" t="n"/>
      <c r="I61" s="6">
        <f>IF(H61="",0,H61*G61)</f>
        <v/>
      </c>
      <c r="J61" s="6">
        <f>IF(H61="",0,I61*F61)</f>
        <v/>
      </c>
    </row>
    <row r="62">
      <c r="A62" s="4" t="n">
        <v>58</v>
      </c>
      <c r="B62" s="5" t="inlineStr">
        <is>
          <t>8809624726417</t>
        </is>
      </c>
      <c r="C62" s="4" t="inlineStr">
        <is>
          <t>라운드 랩 약콩 영양 크림 80ml</t>
        </is>
      </c>
      <c r="D62" s="4" t="inlineStr">
        <is>
          <t>SOYBEAN NOURISHING CREAM_80ml</t>
        </is>
      </c>
      <c r="E62" s="6" t="n">
        <v>32000</v>
      </c>
      <c r="F62" s="6" t="n">
        <v>12672</v>
      </c>
      <c r="G62" s="6" t="n">
        <v>80</v>
      </c>
      <c r="H62" s="6" t="n"/>
      <c r="I62" s="6">
        <f>IF(H62="",0,H62*G62)</f>
        <v/>
      </c>
      <c r="J62" s="6">
        <f>IF(H62="",0,I62*F62)</f>
        <v/>
      </c>
    </row>
    <row r="63">
      <c r="A63" s="4" t="n">
        <v>59</v>
      </c>
      <c r="B63" s="5" t="inlineStr">
        <is>
          <t>8809783322369</t>
        </is>
      </c>
      <c r="C63" s="4" t="inlineStr">
        <is>
          <t>라운드랩 약콩 클렌저 150ml</t>
        </is>
      </c>
      <c r="D63" s="4" t="inlineStr">
        <is>
          <t>SOYBEAN CLEANSER_150ml</t>
        </is>
      </c>
      <c r="E63" s="6" t="n">
        <v>15000</v>
      </c>
      <c r="F63" s="6" t="n">
        <v>6351</v>
      </c>
      <c r="G63" s="6" t="n">
        <v>50</v>
      </c>
      <c r="H63" s="6" t="n"/>
      <c r="I63" s="6">
        <f>IF(H63="",0,H63*G63)</f>
        <v/>
      </c>
      <c r="J63" s="6">
        <f>IF(H63="",0,I63*F63)</f>
        <v/>
      </c>
    </row>
    <row r="64">
      <c r="A64" s="4" t="n">
        <v>60</v>
      </c>
      <c r="B64" s="5" t="inlineStr">
        <is>
          <t>8809783322130</t>
        </is>
      </c>
      <c r="C64" s="4" t="inlineStr">
        <is>
          <t>라운드랩 약콩 클랜징 오일 200ml</t>
        </is>
      </c>
      <c r="D64" s="4" t="inlineStr">
        <is>
          <t>SOYBEAN CLEANSING OIL_200ml</t>
        </is>
      </c>
      <c r="E64" s="6" t="n">
        <v>23000</v>
      </c>
      <c r="F64" s="6" t="n">
        <v>9681</v>
      </c>
      <c r="G64" s="6" t="n">
        <v>70</v>
      </c>
      <c r="H64" s="6" t="n"/>
      <c r="I64" s="6">
        <f>IF(H64="",0,H64*G64)</f>
        <v/>
      </c>
      <c r="J64" s="6">
        <f>IF(H64="",0,I64*F64)</f>
        <v/>
      </c>
    </row>
    <row r="65">
      <c r="A65" s="4" t="n">
        <v>61</v>
      </c>
      <c r="B65" s="5" t="inlineStr">
        <is>
          <t>8809962541024</t>
        </is>
      </c>
      <c r="C65" s="4" t="inlineStr">
        <is>
          <t>라운드 랩 약콩 판테놀 토너 250ml</t>
        </is>
      </c>
      <c r="D65" s="4" t="inlineStr">
        <is>
          <t>SOYBEAN PANTHENOL TONER_250ml</t>
        </is>
      </c>
      <c r="E65" s="6" t="n">
        <v>25000</v>
      </c>
      <c r="F65" s="6" t="n">
        <v>9420</v>
      </c>
      <c r="G65" s="6" t="n">
        <v>30</v>
      </c>
      <c r="H65" s="6" t="n"/>
      <c r="I65" s="6">
        <f>IF(H65="",0,H65*G65)</f>
        <v/>
      </c>
      <c r="J65" s="6">
        <f>IF(H65="",0,I65*F65)</f>
        <v/>
      </c>
    </row>
    <row r="66">
      <c r="A66" s="4" t="n">
        <v>62</v>
      </c>
      <c r="B66" s="5" t="inlineStr">
        <is>
          <t>8809875908075</t>
        </is>
      </c>
      <c r="C66" s="4" t="inlineStr">
        <is>
          <t>라운드 랩 약콩 판테놀 앰플 50ml</t>
        </is>
      </c>
      <c r="D66" s="4" t="inlineStr">
        <is>
          <t>SOYBEAN PANTHENOL AMPOULE_50ml</t>
        </is>
      </c>
      <c r="E66" s="6" t="n">
        <v>30000</v>
      </c>
      <c r="F66" s="6" t="n">
        <v>10770</v>
      </c>
      <c r="G66" s="6" t="n">
        <v>60</v>
      </c>
      <c r="H66" s="6" t="n"/>
      <c r="I66" s="6">
        <f>IF(H66="",0,H66*G66)</f>
        <v/>
      </c>
      <c r="J66" s="6">
        <f>IF(H66="",0,I66*F66)</f>
        <v/>
      </c>
    </row>
    <row r="67">
      <c r="A67" s="4" t="n">
        <v>63</v>
      </c>
      <c r="B67" s="5" t="inlineStr">
        <is>
          <t>8809875907337</t>
        </is>
      </c>
      <c r="C67" s="4" t="inlineStr">
        <is>
          <t>라운드 랩 약콩 판테놀 크림 80ml</t>
        </is>
      </c>
      <c r="D67" s="4" t="inlineStr">
        <is>
          <t>SOYBEAN PANTHENOL CREAM_80ml</t>
        </is>
      </c>
      <c r="E67" s="6" t="n">
        <v>34000</v>
      </c>
      <c r="F67" s="6" t="n">
        <v>12553</v>
      </c>
      <c r="G67" s="6" t="n">
        <v>60</v>
      </c>
      <c r="H67" s="6" t="n"/>
      <c r="I67" s="6">
        <f>IF(H67="",0,H67*G67)</f>
        <v/>
      </c>
      <c r="J67" s="6">
        <f>IF(H67="",0,I67*F67)</f>
        <v/>
      </c>
    </row>
    <row r="68">
      <c r="A68" s="4" t="n">
        <v>64</v>
      </c>
      <c r="B68" s="5" t="inlineStr">
        <is>
          <t>8809849803634</t>
        </is>
      </c>
      <c r="C68" s="4" t="inlineStr">
        <is>
          <t>라운드 랩 약콩 판테놀 마스크 10매입</t>
        </is>
      </c>
      <c r="D68" s="4" t="inlineStr">
        <is>
          <t>SOYBEAN PANTHENOL MASK_25ml (10ea)</t>
        </is>
      </c>
      <c r="E68" s="6" t="n">
        <v>30000</v>
      </c>
      <c r="F68" s="6" t="n">
        <v>10101</v>
      </c>
      <c r="G68" s="6" t="n">
        <v>40</v>
      </c>
      <c r="H68" s="6" t="n"/>
      <c r="I68" s="6">
        <f>IF(H68="",0,H68*G68)</f>
        <v/>
      </c>
      <c r="J68" s="6">
        <f>IF(H68="",0,I68*F68)</f>
        <v/>
      </c>
    </row>
    <row r="69">
      <c r="A69" s="4" t="n">
        <v>65</v>
      </c>
      <c r="B69" s="5" t="inlineStr">
        <is>
          <t>8809962541963</t>
        </is>
      </c>
      <c r="C69" s="4" t="inlineStr">
        <is>
          <t>라운드랩 약콩 판테놀 클렌저 150ml</t>
        </is>
      </c>
      <c r="D69" s="4" t="inlineStr">
        <is>
          <t>SOYBEAN PANTHENOL CLEANSER_150ml</t>
        </is>
      </c>
      <c r="E69" s="6" t="n">
        <v>17000</v>
      </c>
      <c r="F69" s="6" t="n">
        <v>6522</v>
      </c>
      <c r="G69" s="6" t="n">
        <v>30</v>
      </c>
      <c r="H69" s="6" t="n"/>
      <c r="I69" s="6">
        <f>IF(H69="",0,H69*G69)</f>
        <v/>
      </c>
      <c r="J69" s="6">
        <f>IF(H69="",0,I69*F69)</f>
        <v/>
      </c>
    </row>
    <row r="70">
      <c r="A70" s="4" t="n">
        <v>66</v>
      </c>
      <c r="B70" s="5" t="inlineStr">
        <is>
          <t>8809962541970</t>
        </is>
      </c>
      <c r="C70" s="4" t="inlineStr">
        <is>
          <t>라운드랩 약콩 판테놀 클렌징 오일 200ml</t>
        </is>
      </c>
      <c r="D70" s="4" t="inlineStr">
        <is>
          <t>SOYBEAN PANTHENOL CLEANSING OIL_200ml</t>
        </is>
      </c>
      <c r="E70" s="6" t="n">
        <v>25000</v>
      </c>
      <c r="F70" s="6" t="n">
        <v>11700</v>
      </c>
      <c r="G70" s="6" t="n">
        <v>40</v>
      </c>
      <c r="H70" s="6" t="n"/>
      <c r="I70" s="6">
        <f>IF(H70="",0,H70*G70)</f>
        <v/>
      </c>
      <c r="J70" s="6">
        <f>IF(H70="",0,I70*F70)</f>
        <v/>
      </c>
    </row>
    <row r="71">
      <c r="A71" s="4" t="n">
        <v>67</v>
      </c>
      <c r="B71" s="5" t="inlineStr">
        <is>
          <t>8809962543622</t>
        </is>
      </c>
      <c r="C71" s="4" t="inlineStr">
        <is>
          <t>nan</t>
        </is>
      </c>
      <c r="D71" s="4" t="inlineStr">
        <is>
          <t>SOYBEAN QLA BARRIER CREAM 80ml</t>
        </is>
      </c>
      <c r="E71" s="6" t="n">
        <v>36000</v>
      </c>
      <c r="F71" s="6" t="n">
        <v>12921</v>
      </c>
      <c r="G71" s="6" t="n">
        <v>40</v>
      </c>
      <c r="H71" s="6" t="n"/>
      <c r="I71" s="6">
        <f>IF(H71="",0,H71*G71)</f>
        <v/>
      </c>
      <c r="J71" s="6">
        <f>IF(H71="",0,I71*F71)</f>
        <v/>
      </c>
    </row>
    <row r="72">
      <c r="A72" s="4" t="n">
        <v>68</v>
      </c>
      <c r="B72" s="5" t="inlineStr">
        <is>
          <t>8809783325674</t>
        </is>
      </c>
      <c r="C72" s="4" t="inlineStr">
        <is>
          <t>라운드랩 소나무 진정 시카 크림 50ml</t>
        </is>
      </c>
      <c r="D72" s="4" t="inlineStr">
        <is>
          <t>PINE CALMING CICA CREAM_50ml</t>
        </is>
      </c>
      <c r="E72" s="6" t="n">
        <v>28000</v>
      </c>
      <c r="F72" s="6" t="n">
        <v>11282</v>
      </c>
      <c r="G72" s="6" t="n">
        <v>60</v>
      </c>
      <c r="H72" s="6" t="n"/>
      <c r="I72" s="6">
        <f>IF(H72="",0,H72*G72)</f>
        <v/>
      </c>
      <c r="J72" s="6">
        <f>IF(H72="",0,I72*F72)</f>
        <v/>
      </c>
    </row>
    <row r="73">
      <c r="A73" s="4" t="n">
        <v>69</v>
      </c>
      <c r="B73" s="5" t="inlineStr">
        <is>
          <t>8809783325667</t>
        </is>
      </c>
      <c r="C73" s="4" t="inlineStr">
        <is>
          <t>라운드랩 소나무 진정 시카 앰플 30ml</t>
        </is>
      </c>
      <c r="D73" s="4" t="inlineStr">
        <is>
          <t>PINE CALMING CICA AMPOULE_30ml</t>
        </is>
      </c>
      <c r="E73" s="6" t="n">
        <v>24000</v>
      </c>
      <c r="F73" s="6" t="n">
        <v>9771</v>
      </c>
      <c r="G73" s="6" t="n">
        <v>60</v>
      </c>
      <c r="H73" s="6" t="n"/>
      <c r="I73" s="6">
        <f>IF(H73="",0,H73*G73)</f>
        <v/>
      </c>
      <c r="J73" s="6">
        <f>IF(H73="",0,I73*F73)</f>
        <v/>
      </c>
    </row>
    <row r="74">
      <c r="A74" s="4" t="n">
        <v>70</v>
      </c>
      <c r="B74" s="5" t="inlineStr">
        <is>
          <t>8809750462708</t>
        </is>
      </c>
      <c r="C74" s="4" t="inlineStr">
        <is>
          <t>라운드랩 소나무 진정 시카 패드 50pcs</t>
        </is>
      </c>
      <c r="D74" s="4" t="inlineStr">
        <is>
          <t>PINE CALMING CICA PAD_50pcs</t>
        </is>
      </c>
      <c r="E74" s="6" t="n">
        <v>25000</v>
      </c>
      <c r="F74" s="6" t="n">
        <v>10300</v>
      </c>
      <c r="G74" s="6" t="n">
        <v>30</v>
      </c>
      <c r="H74" s="6" t="n"/>
      <c r="I74" s="6">
        <f>IF(H74="",0,H74*G74)</f>
        <v/>
      </c>
      <c r="J74" s="6">
        <f>IF(H74="",0,I74*F74)</f>
        <v/>
      </c>
    </row>
    <row r="75">
      <c r="A75" s="4" t="n">
        <v>71</v>
      </c>
      <c r="B75" s="5" t="inlineStr">
        <is>
          <t>8809783325728</t>
        </is>
      </c>
      <c r="C75" s="4" t="inlineStr">
        <is>
          <t>라운드랩 소나무 진정 시카 마스크 27ml 10매</t>
        </is>
      </c>
      <c r="D75" s="4" t="inlineStr">
        <is>
          <t>PINE CALMING CICA MASK_27ml (10ea)</t>
        </is>
      </c>
      <c r="E75" s="6" t="n">
        <v>30000</v>
      </c>
      <c r="F75" s="6" t="n">
        <v>10101</v>
      </c>
      <c r="G75" s="6" t="n">
        <v>40</v>
      </c>
      <c r="H75" s="6" t="n"/>
      <c r="I75" s="6">
        <f>IF(H75="",0,H75*G75)</f>
        <v/>
      </c>
      <c r="J75" s="6">
        <f>IF(H75="",0,I75*F75)</f>
        <v/>
      </c>
    </row>
    <row r="76">
      <c r="A76" s="4" t="n">
        <v>72</v>
      </c>
      <c r="B76" s="5" t="inlineStr">
        <is>
          <t>8809783326718</t>
        </is>
      </c>
      <c r="C76" s="4" t="inlineStr">
        <is>
          <t>라운드랩 소나무 진정 시카 토너 250ml</t>
        </is>
      </c>
      <c r="D76" s="4" t="inlineStr">
        <is>
          <t>PINE CALMING CICA TONER_250ml</t>
        </is>
      </c>
      <c r="E76" s="6" t="n">
        <v>23000</v>
      </c>
      <c r="F76" s="6" t="n">
        <v>9481</v>
      </c>
      <c r="G76" s="6" t="n">
        <v>30</v>
      </c>
      <c r="H76" s="6" t="n"/>
      <c r="I76" s="6">
        <f>IF(H76="",0,H76*G76)</f>
        <v/>
      </c>
      <c r="J76" s="6">
        <f>IF(H76="",0,I76*F76)</f>
        <v/>
      </c>
    </row>
    <row r="77">
      <c r="A77" s="4" t="n">
        <v>73</v>
      </c>
      <c r="B77" s="5" t="inlineStr">
        <is>
          <t>8809783326725</t>
        </is>
      </c>
      <c r="C77" s="4" t="inlineStr">
        <is>
          <t>라운드랩 소나무 진정 시카 로션 250ml</t>
        </is>
      </c>
      <c r="D77" s="4" t="inlineStr">
        <is>
          <t>PINE CALMING CICA LOTION_250ml</t>
        </is>
      </c>
      <c r="E77" s="6" t="n">
        <v>25000</v>
      </c>
      <c r="F77" s="6" t="n">
        <v>10000</v>
      </c>
      <c r="G77" s="6" t="n">
        <v>30</v>
      </c>
      <c r="H77" s="6" t="n"/>
      <c r="I77" s="6">
        <f>IF(H77="",0,H77*G77)</f>
        <v/>
      </c>
      <c r="J77" s="6">
        <f>IF(H77="",0,I77*F77)</f>
        <v/>
      </c>
    </row>
    <row r="78">
      <c r="A78" s="4" t="n">
        <v>74</v>
      </c>
      <c r="B78" s="5" t="inlineStr">
        <is>
          <t>8809864754126</t>
        </is>
      </c>
      <c r="C78" s="4" t="inlineStr">
        <is>
          <t>라운드랩 소나무 진정 시카 클렌저 150ml</t>
        </is>
      </c>
      <c r="D78" s="4" t="inlineStr">
        <is>
          <t>PINE CALMING CICA CLEANSER_150ml</t>
        </is>
      </c>
      <c r="E78" s="6" t="n">
        <v>17000</v>
      </c>
      <c r="F78" s="6" t="n">
        <v>6522</v>
      </c>
      <c r="G78" s="6" t="n">
        <v>30</v>
      </c>
      <c r="H78" s="6" t="n"/>
      <c r="I78" s="6">
        <f>IF(H78="",0,H78*G78)</f>
        <v/>
      </c>
      <c r="J78" s="6">
        <f>IF(H78="",0,I78*F78)</f>
        <v/>
      </c>
    </row>
    <row r="79">
      <c r="A79" s="4" t="n">
        <v>75</v>
      </c>
      <c r="B79" s="5" t="inlineStr">
        <is>
          <t>8809962542793</t>
        </is>
      </c>
      <c r="C79" s="4" t="inlineStr">
        <is>
          <t>nan</t>
        </is>
      </c>
      <c r="D79" s="4" t="inlineStr">
        <is>
          <t>PINE CICA DEEP PORE CLAY MASK CLEANSER_150ml</t>
        </is>
      </c>
      <c r="E79" s="6" t="n">
        <v>24000</v>
      </c>
      <c r="F79" s="6" t="n">
        <v>8681</v>
      </c>
      <c r="G79" s="6" t="n">
        <v>50</v>
      </c>
      <c r="H79" s="6" t="n"/>
      <c r="I79" s="6">
        <f>IF(H79="",0,H79*G79)</f>
        <v/>
      </c>
      <c r="J79" s="6">
        <f>IF(H79="",0,I79*F79)</f>
        <v/>
      </c>
    </row>
    <row r="80">
      <c r="A80" s="4" t="n">
        <v>76</v>
      </c>
      <c r="B80" s="5" t="inlineStr">
        <is>
          <t>8809849802408</t>
        </is>
      </c>
      <c r="C80" s="4" t="inlineStr">
        <is>
          <t>라운드 랩 소나무 진정 시카 바디 워시 400ml</t>
        </is>
      </c>
      <c r="D80" s="4" t="inlineStr">
        <is>
          <t>PINE CALMING CICA BODY WASH_400ml</t>
        </is>
      </c>
      <c r="E80" s="6" t="n">
        <v>21000</v>
      </c>
      <c r="F80" s="6" t="n">
        <v>7712</v>
      </c>
      <c r="G80" s="6" t="n">
        <v>40</v>
      </c>
      <c r="H80" s="6" t="n"/>
      <c r="I80" s="6">
        <f>IF(H80="",0,H80*G80)</f>
        <v/>
      </c>
      <c r="J80" s="6">
        <f>IF(H80="",0,I80*F80)</f>
        <v/>
      </c>
    </row>
    <row r="81">
      <c r="A81" s="4" t="n">
        <v>77</v>
      </c>
      <c r="B81" s="5" t="inlineStr">
        <is>
          <t>8809962540294</t>
        </is>
      </c>
      <c r="C81" s="4" t="inlineStr">
        <is>
          <t>라운드 랩 소나무 시카 트라이얼 키트(소나무시카클렌저30+
소나무시카토너20+소나무시카앰플10+소나무시카크림20)</t>
        </is>
      </c>
      <c r="D81" s="4" t="inlineStr">
        <is>
          <t>PINE CALMING CICA TRIAL KIT (Cleanser 30ml + Toner 20ml + Ampoule 10ml + Cream 20ml)</t>
        </is>
      </c>
      <c r="E81" s="6" t="n">
        <v>25000</v>
      </c>
      <c r="F81" s="6" t="n">
        <v>8560</v>
      </c>
      <c r="G81" s="6" t="n">
        <v>20</v>
      </c>
      <c r="H81" s="6" t="n"/>
      <c r="I81" s="6">
        <f>IF(H81="",0,H81*G81)</f>
        <v/>
      </c>
      <c r="J81" s="6">
        <f>IF(H81="",0,I81*F81)</f>
        <v/>
      </c>
    </row>
    <row r="82">
      <c r="A82" s="4" t="n">
        <v>78</v>
      </c>
      <c r="B82" s="5" t="inlineStr">
        <is>
          <t>8809962542137</t>
        </is>
      </c>
      <c r="C82" s="4" t="inlineStr">
        <is>
          <t>라운드랩 소나무 진정 시카 크림 플러스 60ml</t>
        </is>
      </c>
      <c r="D82" s="4" t="inlineStr">
        <is>
          <t>PINE CALMING CICA CREAM PLUS_60ml</t>
        </is>
      </c>
      <c r="E82" s="6" t="n">
        <v>34000</v>
      </c>
      <c r="F82" s="6" t="n">
        <v>11894</v>
      </c>
      <c r="G82" s="6" t="n">
        <v>60</v>
      </c>
      <c r="H82" s="6" t="n"/>
      <c r="I82" s="6">
        <f>IF(H82="",0,H82*G82)</f>
        <v/>
      </c>
      <c r="J82" s="6">
        <f>IF(H82="",0,I82*F82)</f>
        <v/>
      </c>
    </row>
    <row r="83">
      <c r="A83" s="4" t="n">
        <v>79</v>
      </c>
      <c r="B83" s="5" t="inlineStr">
        <is>
          <t>8809962542403</t>
        </is>
      </c>
      <c r="C83" s="4" t="inlineStr">
        <is>
          <t>라운드랩 소나무 진정 시카 선크림 40ml (SPF50+ PA++++)</t>
        </is>
      </c>
      <c r="D83" s="4" t="inlineStr">
        <is>
          <t>PINE CALMING CICA SUNSCREEN 40ml</t>
        </is>
      </c>
      <c r="E83" s="6" t="n">
        <v>24000</v>
      </c>
      <c r="F83" s="6" t="n">
        <v>9651</v>
      </c>
      <c r="G83" s="6" t="n">
        <v>50</v>
      </c>
      <c r="H83" s="6" t="n"/>
      <c r="I83" s="6">
        <f>IF(H83="",0,H83*G83)</f>
        <v/>
      </c>
      <c r="J83" s="6">
        <f>IF(H83="",0,I83*F83)</f>
        <v/>
      </c>
    </row>
    <row r="84">
      <c r="A84" s="4" t="n">
        <v>80</v>
      </c>
      <c r="B84" s="5" t="inlineStr">
        <is>
          <t>8809962543103</t>
        </is>
      </c>
      <c r="C84" s="4" t="inlineStr">
        <is>
          <t>nan</t>
        </is>
      </c>
      <c r="D84" s="4" t="inlineStr">
        <is>
          <t>PINE CALMING CICA MILD UP SUNSCREEN 40ml</t>
        </is>
      </c>
      <c r="E84" s="6" t="n">
        <v>24000</v>
      </c>
      <c r="F84" s="6" t="n">
        <v>9780</v>
      </c>
      <c r="G84" s="6" t="n">
        <v>50</v>
      </c>
      <c r="H84" s="6" t="n"/>
      <c r="I84" s="6">
        <f>IF(H84="",0,H84*G84)</f>
        <v/>
      </c>
      <c r="J84" s="6">
        <f>IF(H84="",0,I84*F84)</f>
        <v/>
      </c>
    </row>
    <row r="85">
      <c r="A85" s="4" t="n">
        <v>81</v>
      </c>
      <c r="B85" s="5" t="inlineStr">
        <is>
          <t>8809962543097</t>
        </is>
      </c>
      <c r="C85" s="4" t="inlineStr">
        <is>
          <t>nan</t>
        </is>
      </c>
      <c r="D85" s="4" t="inlineStr">
        <is>
          <t>PINE CALMING CICA AIRY SUN STICK 19g</t>
        </is>
      </c>
      <c r="E85" s="6" t="n">
        <v>24000</v>
      </c>
      <c r="F85" s="6" t="n">
        <v>9281</v>
      </c>
      <c r="G85" s="6" t="n">
        <v>50</v>
      </c>
      <c r="H85" s="6" t="n"/>
      <c r="I85" s="6">
        <f>IF(H85="",0,H85*G85)</f>
        <v/>
      </c>
      <c r="J85" s="6">
        <f>IF(H85="",0,I85*F85)</f>
        <v/>
      </c>
    </row>
    <row r="86">
      <c r="A86" s="4" t="n">
        <v>82</v>
      </c>
      <c r="B86" s="5" t="inlineStr">
        <is>
          <t>8809962541475</t>
        </is>
      </c>
      <c r="C86" s="4" t="inlineStr">
        <is>
          <t>nan</t>
        </is>
      </c>
      <c r="D86" s="4" t="inlineStr">
        <is>
          <t>PINE CALMING CICA SCALP AMPOULE 15ml</t>
        </is>
      </c>
      <c r="E86" s="6" t="n">
        <v>23000</v>
      </c>
      <c r="F86" s="6" t="n">
        <v>9187</v>
      </c>
      <c r="G86" s="6" t="n">
        <v>80</v>
      </c>
      <c r="H86" s="6" t="n"/>
      <c r="I86" s="6">
        <f>IF(H86="",0,H86*G86)</f>
        <v/>
      </c>
      <c r="J86" s="6">
        <f>IF(H86="",0,I86*F86)</f>
        <v/>
      </c>
    </row>
    <row r="87">
      <c r="A87" s="4" t="n">
        <v>83</v>
      </c>
      <c r="B87" s="5" t="inlineStr">
        <is>
          <t>8809962541345</t>
        </is>
      </c>
      <c r="C87" s="4" t="inlineStr">
        <is>
          <t>nan</t>
        </is>
      </c>
      <c r="D87" s="4" t="inlineStr">
        <is>
          <t>PINE CALMING CICA SHAMPOO 400ml</t>
        </is>
      </c>
      <c r="E87" s="6" t="n">
        <v>24000</v>
      </c>
      <c r="F87" s="6" t="n">
        <v>9281</v>
      </c>
      <c r="G87" s="6" t="n">
        <v>30</v>
      </c>
      <c r="H87" s="6" t="n"/>
      <c r="I87" s="6">
        <f>IF(H87="",0,H87*G87)</f>
        <v/>
      </c>
      <c r="J87" s="6">
        <f>IF(H87="",0,I87*F87)</f>
        <v/>
      </c>
    </row>
    <row r="88">
      <c r="A88" s="4" t="n">
        <v>84</v>
      </c>
      <c r="B88" s="5" t="inlineStr">
        <is>
          <t>8809962541352</t>
        </is>
      </c>
      <c r="C88" s="4" t="inlineStr">
        <is>
          <t>nan</t>
        </is>
      </c>
      <c r="D88" s="4" t="inlineStr">
        <is>
          <t>PINE CALMING CICA SCALP TONIC 100ml</t>
        </is>
      </c>
      <c r="E88" s="6" t="n">
        <v>21000</v>
      </c>
      <c r="F88" s="6" t="n">
        <v>6796</v>
      </c>
      <c r="G88" s="6" t="n">
        <v>40</v>
      </c>
      <c r="H88" s="6" t="n"/>
      <c r="I88" s="6">
        <f>IF(H88="",0,H88*G88)</f>
        <v/>
      </c>
      <c r="J88" s="6">
        <f>IF(H88="",0,I88*F88)</f>
        <v/>
      </c>
    </row>
    <row r="89">
      <c r="A89" s="4" t="n">
        <v>85</v>
      </c>
      <c r="B89" s="5" t="inlineStr">
        <is>
          <t>8809849803979</t>
        </is>
      </c>
      <c r="C89" s="4" t="inlineStr">
        <is>
          <t>nan</t>
        </is>
      </c>
      <c r="D89" s="4" t="inlineStr">
        <is>
          <t>PINE CALMING CICA NOSE PACK (5ea)</t>
        </is>
      </c>
      <c r="E89" s="6" t="n">
        <v>16500</v>
      </c>
      <c r="F89" s="6" t="n">
        <v>5569</v>
      </c>
      <c r="G89" s="6" t="n">
        <v>40</v>
      </c>
      <c r="H89" s="6" t="n"/>
      <c r="I89" s="6">
        <f>IF(H89="",0,H89*G89)</f>
        <v/>
      </c>
      <c r="J89" s="6">
        <f>IF(H89="",0,I89*F89)</f>
        <v/>
      </c>
    </row>
    <row r="90">
      <c r="A90" s="4" t="n">
        <v>86</v>
      </c>
      <c r="B90" s="5" t="inlineStr">
        <is>
          <t>8809962542892</t>
        </is>
      </c>
      <c r="C90" s="4" t="inlineStr">
        <is>
          <t>nan</t>
        </is>
      </c>
      <c r="D90" s="4" t="inlineStr">
        <is>
          <t>PINE CICA DEEP PORE CLEANSING OIL 200ml</t>
        </is>
      </c>
      <c r="E90" s="6" t="n">
        <v>27000</v>
      </c>
      <c r="F90" s="6" t="n">
        <v>12167</v>
      </c>
      <c r="G90" s="6" t="n">
        <v>40</v>
      </c>
      <c r="H90" s="6" t="n"/>
      <c r="I90" s="6">
        <f>IF(H90="",0,H90*G90)</f>
        <v/>
      </c>
      <c r="J90" s="6">
        <f>IF(H90="",0,I90*F90)</f>
        <v/>
      </c>
    </row>
    <row r="91">
      <c r="A91" s="4" t="n">
        <v>87</v>
      </c>
      <c r="B91" s="5" t="inlineStr">
        <is>
          <t>8809962544353</t>
        </is>
      </c>
      <c r="C91" s="4" t="inlineStr">
        <is>
          <t>nan</t>
        </is>
      </c>
      <c r="D91" s="4" t="inlineStr">
        <is>
          <t>PINE CALMING CICA PRIMER SUNSCREEN 50ml</t>
        </is>
      </c>
      <c r="E91" s="6" t="n">
        <v>28000</v>
      </c>
      <c r="F91" s="6" t="n">
        <v>12298</v>
      </c>
      <c r="G91" s="6" t="n">
        <v>60</v>
      </c>
      <c r="H91" s="6" t="n"/>
      <c r="I91" s="6">
        <f>IF(H91="",0,H91*G91)</f>
        <v/>
      </c>
      <c r="J91" s="6">
        <f>IF(H91="",0,I91*F91)</f>
        <v/>
      </c>
    </row>
    <row r="92">
      <c r="A92" s="4" t="n">
        <v>88</v>
      </c>
      <c r="B92" s="5" t="inlineStr">
        <is>
          <t>8809962540652</t>
        </is>
      </c>
      <c r="C92" s="4" t="inlineStr">
        <is>
          <t>라운드 랩 비타 나이아신 잡티 세럼 30ml</t>
        </is>
      </c>
      <c r="D92" s="4" t="inlineStr">
        <is>
          <t>VITA NIACINAMIDE DARK SPOT SERUM 30ml</t>
        </is>
      </c>
      <c r="E92" s="6" t="n">
        <v>28000</v>
      </c>
      <c r="F92" s="6" t="n">
        <v>9621</v>
      </c>
      <c r="G92" s="6" t="n">
        <v>60</v>
      </c>
      <c r="H92" s="6" t="n"/>
      <c r="I92" s="6">
        <f>IF(H92="",0,H92*G92)</f>
        <v/>
      </c>
      <c r="J92" s="6">
        <f>IF(H92="",0,I92*F92)</f>
        <v/>
      </c>
    </row>
    <row r="93">
      <c r="A93" s="4" t="n">
        <v>89</v>
      </c>
      <c r="B93" s="5" t="inlineStr">
        <is>
          <t>8809962540690</t>
        </is>
      </c>
      <c r="C93" s="4" t="inlineStr">
        <is>
          <t>라운드 랩 비타 나이아신 잡티 크림 50ml</t>
        </is>
      </c>
      <c r="D93" s="4" t="inlineStr">
        <is>
          <t>VITA NIACINAMIDE DARK SPOT CREAM 50ml</t>
        </is>
      </c>
      <c r="E93" s="6" t="n">
        <v>30000</v>
      </c>
      <c r="F93" s="6" t="n">
        <v>10242</v>
      </c>
      <c r="G93" s="6" t="n">
        <v>60</v>
      </c>
      <c r="H93" s="6" t="n"/>
      <c r="I93" s="6">
        <f>IF(H93="",0,H93*G93)</f>
        <v/>
      </c>
      <c r="J93" s="6">
        <f>IF(H93="",0,I93*F93)</f>
        <v/>
      </c>
    </row>
    <row r="94">
      <c r="A94" s="4" t="n">
        <v>90</v>
      </c>
      <c r="B94" s="5" t="inlineStr">
        <is>
          <t>8809962540775</t>
        </is>
      </c>
      <c r="C94" s="4" t="inlineStr">
        <is>
          <t>라운드 랩 비타 나이아신 잡티 마스크 20ml*10ea</t>
        </is>
      </c>
      <c r="D94" s="4" t="inlineStr">
        <is>
          <t>VITA NIACINAMIDE DARK SPOT SERUM MASK 20ml (10ea)</t>
        </is>
      </c>
      <c r="E94" s="6" t="n">
        <v>40000</v>
      </c>
      <c r="F94" s="6" t="n">
        <v>11000</v>
      </c>
      <c r="G94" s="6" t="n">
        <v>40</v>
      </c>
      <c r="H94" s="6" t="n"/>
      <c r="I94" s="6">
        <f>IF(H94="",0,H94*G94)</f>
        <v/>
      </c>
      <c r="J94" s="6">
        <f>IF(H94="",0,I94*F94)</f>
        <v/>
      </c>
    </row>
    <row r="95">
      <c r="A95" s="4" t="n">
        <v>91</v>
      </c>
      <c r="B95" s="5" t="inlineStr">
        <is>
          <t>8809962542946</t>
        </is>
      </c>
      <c r="C95" s="4" t="inlineStr">
        <is>
          <t>nan</t>
        </is>
      </c>
      <c r="D95" s="4" t="inlineStr">
        <is>
          <t>VITA NIACINAMIDE GLOW CAPSULE CREAM 50ml</t>
        </is>
      </c>
      <c r="E95" s="6" t="n">
        <v>38000</v>
      </c>
      <c r="F95" s="6" t="n">
        <v>12419</v>
      </c>
      <c r="G95" s="6" t="n">
        <v>80</v>
      </c>
      <c r="H95" s="6" t="n"/>
      <c r="I95" s="6">
        <f>IF(H95="",0,H95*G95)</f>
        <v/>
      </c>
      <c r="J95" s="6">
        <f>IF(H95="",0,I95*F95)</f>
        <v/>
      </c>
    </row>
    <row r="96">
      <c r="A96" s="4" t="n">
        <v>92</v>
      </c>
      <c r="B96" s="5" t="inlineStr">
        <is>
          <t>8809962540584</t>
        </is>
      </c>
      <c r="C96" s="4" t="inlineStr">
        <is>
          <t>라운드 랩 베이비 마일드 탑투토 워시 300ml</t>
        </is>
      </c>
      <c r="D96" s="4" t="inlineStr">
        <is>
          <t>BABY MILD TOP TO TOE WASH 300ml</t>
        </is>
      </c>
      <c r="E96" s="6" t="n">
        <v>25000</v>
      </c>
      <c r="F96" s="6" t="n">
        <v>8570</v>
      </c>
      <c r="G96" s="6" t="n">
        <v>30</v>
      </c>
      <c r="H96" s="6" t="n"/>
      <c r="I96" s="6">
        <f>IF(H96="",0,H96*G96)</f>
        <v/>
      </c>
      <c r="J96" s="6">
        <f>IF(H96="",0,I96*F96)</f>
        <v/>
      </c>
    </row>
    <row r="97">
      <c r="A97" s="4" t="n">
        <v>93</v>
      </c>
      <c r="B97" s="5" t="inlineStr">
        <is>
          <t>8809962540591</t>
        </is>
      </c>
      <c r="C97" s="4" t="inlineStr">
        <is>
          <t>라운드 랩 베이비 마일드 로션 300ml</t>
        </is>
      </c>
      <c r="D97" s="4" t="inlineStr">
        <is>
          <t>BABY MILD LOTION 300ml</t>
        </is>
      </c>
      <c r="E97" s="6" t="n">
        <v>35000</v>
      </c>
      <c r="F97" s="6" t="n">
        <v>11421</v>
      </c>
      <c r="G97" s="6" t="n">
        <v>30</v>
      </c>
      <c r="H97" s="6" t="n"/>
      <c r="I97" s="6">
        <f>IF(H97="",0,H97*G97)</f>
        <v/>
      </c>
      <c r="J97" s="6">
        <f>IF(H97="",0,I97*F97)</f>
        <v/>
      </c>
    </row>
    <row r="98">
      <c r="A98" s="4" t="n">
        <v>94</v>
      </c>
      <c r="B98" s="5" t="inlineStr">
        <is>
          <t>8809962540539</t>
        </is>
      </c>
      <c r="C98" s="4" t="inlineStr">
        <is>
          <t>라운드 랩 베이비 마일드  물티슈 20매</t>
        </is>
      </c>
      <c r="D98" s="4" t="inlineStr">
        <is>
          <t>BABY MILD WET WIPES 20ea</t>
        </is>
      </c>
      <c r="E98" s="6" t="n">
        <v>1500</v>
      </c>
      <c r="F98" s="6" t="n">
        <v>1116</v>
      </c>
      <c r="G98" s="6" t="n">
        <v>12</v>
      </c>
      <c r="H98" s="6" t="n"/>
      <c r="I98" s="6">
        <f>IF(H98="",0,H98*G98)</f>
        <v/>
      </c>
      <c r="J98" s="6">
        <f>IF(H98="",0,I98*F98)</f>
        <v/>
      </c>
    </row>
    <row r="99">
      <c r="A99" s="4" t="n">
        <v>95</v>
      </c>
      <c r="B99" s="5" t="inlineStr">
        <is>
          <t>8809962540805</t>
        </is>
      </c>
      <c r="C99" s="4" t="inlineStr">
        <is>
          <t>라운드 랩 베이비 마일드 선크림 60ml</t>
        </is>
      </c>
      <c r="D99" s="4" t="inlineStr">
        <is>
          <t>BABY MILD SUNSCREEN_60ml</t>
        </is>
      </c>
      <c r="E99" s="6" t="n">
        <v>26000</v>
      </c>
      <c r="F99" s="6" t="n">
        <v>10010</v>
      </c>
      <c r="G99" s="6" t="n">
        <v>40</v>
      </c>
      <c r="H99" s="6" t="n"/>
      <c r="I99" s="6">
        <f>IF(H99="",0,H99*G99)</f>
        <v/>
      </c>
      <c r="J99" s="6">
        <f>IF(H99="",0,I99*F99)</f>
        <v/>
      </c>
    </row>
    <row r="100">
      <c r="A100" s="4" t="n">
        <v>96</v>
      </c>
      <c r="B100" s="5" t="inlineStr">
        <is>
          <t>8809962540812</t>
        </is>
      </c>
      <c r="C100" s="4" t="inlineStr">
        <is>
          <t>라운드 랩 베이비 마일드 수딩젤 150ml</t>
        </is>
      </c>
      <c r="D100" s="4" t="inlineStr">
        <is>
          <t>BABY MILD SOOTHING GEL_150ml</t>
        </is>
      </c>
      <c r="E100" s="6" t="n">
        <v>18000</v>
      </c>
      <c r="F100" s="6" t="n">
        <v>5822</v>
      </c>
      <c r="G100" s="6" t="n">
        <v>40</v>
      </c>
      <c r="H100" s="6" t="n"/>
      <c r="I100" s="6">
        <f>IF(H100="",0,H100*G100)</f>
        <v/>
      </c>
      <c r="J100" s="6">
        <f>IF(H100="",0,I100*F100)</f>
        <v/>
      </c>
    </row>
    <row r="101">
      <c r="A101" s="4" t="n">
        <v>97</v>
      </c>
      <c r="B101" s="5" t="inlineStr">
        <is>
          <t>8809962541048</t>
        </is>
      </c>
      <c r="C101" s="4" t="inlineStr">
        <is>
          <t>라운드랩 베이비 마일드 선스틱 21g (SPF 50+ PA++++)</t>
        </is>
      </c>
      <c r="D101" s="4" t="inlineStr">
        <is>
          <t>BABY MILD SUN STICK 21g</t>
        </is>
      </c>
      <c r="E101" s="6" t="n">
        <v>26000</v>
      </c>
      <c r="F101" s="6" t="n">
        <v>8703</v>
      </c>
      <c r="G101" s="6" t="n">
        <v>50</v>
      </c>
      <c r="H101" s="6" t="n"/>
      <c r="I101" s="6">
        <f>IF(H101="",0,H101*G101)</f>
        <v/>
      </c>
      <c r="J101" s="6">
        <f>IF(H101="",0,I101*F101)</f>
        <v/>
      </c>
    </row>
    <row r="102">
      <c r="A102" s="4" t="n">
        <v>98</v>
      </c>
      <c r="B102" s="5" t="inlineStr">
        <is>
          <t>8809962541031</t>
        </is>
      </c>
      <c r="C102" s="4" t="inlineStr">
        <is>
          <t>라운드랩 베이비 마일드 선쿠션 16g (SPF 50+ PA++++)</t>
        </is>
      </c>
      <c r="D102" s="4" t="inlineStr">
        <is>
          <t>BABY MILD SUN CUSHION 16g</t>
        </is>
      </c>
      <c r="E102" s="6" t="n">
        <v>28000</v>
      </c>
      <c r="F102" s="6" t="n">
        <v>9170</v>
      </c>
      <c r="G102" s="6" t="n">
        <v>100</v>
      </c>
      <c r="H102" s="6" t="n"/>
      <c r="I102" s="6">
        <f>IF(H102="",0,H102*G102)</f>
        <v/>
      </c>
      <c r="J102" s="6">
        <f>IF(H102="",0,I102*F102)</f>
        <v/>
      </c>
    </row>
    <row r="103">
      <c r="A103" s="4" t="n">
        <v>99</v>
      </c>
      <c r="B103" s="5" t="inlineStr">
        <is>
          <t>8809962541284</t>
        </is>
      </c>
      <c r="C103" s="4" t="inlineStr">
        <is>
          <t>라운드랩 베이비 마일드 크림 200ml</t>
        </is>
      </c>
      <c r="D103" s="4" t="inlineStr">
        <is>
          <t>BABY MILD CREAM 200ml</t>
        </is>
      </c>
      <c r="E103" s="6" t="n">
        <v>32000</v>
      </c>
      <c r="F103" s="6" t="n">
        <v>11191</v>
      </c>
      <c r="G103" s="6" t="n">
        <v>40</v>
      </c>
      <c r="H103" s="6" t="n"/>
      <c r="I103" s="6">
        <f>IF(H103="",0,H103*G103)</f>
        <v/>
      </c>
      <c r="J103" s="6">
        <f>IF(H103="",0,I103*F103)</f>
        <v/>
      </c>
    </row>
    <row r="104">
      <c r="A104" s="4" t="n">
        <v>100</v>
      </c>
      <c r="B104" s="5" t="inlineStr">
        <is>
          <t>8809962541383</t>
        </is>
      </c>
      <c r="C104" s="4" t="inlineStr">
        <is>
          <t>라운드랩 동백 딥 콜라겐 탄력 겔 마스크 (4매)</t>
        </is>
      </c>
      <c r="D104" s="4" t="inlineStr">
        <is>
          <t>CAMELLIA DEEP COLLAGEN FIRMING GEL MASK_34g (4ea)</t>
        </is>
      </c>
      <c r="E104" s="6" t="n">
        <v>24000</v>
      </c>
      <c r="F104" s="6" t="n">
        <v>9072</v>
      </c>
      <c r="G104" s="6" t="n">
        <v>30</v>
      </c>
      <c r="H104" s="6" t="n"/>
      <c r="I104" s="6">
        <f>IF(H104="",0,H104*G104)</f>
        <v/>
      </c>
      <c r="J104" s="6">
        <f>IF(H104="",0,I104*F104)</f>
        <v/>
      </c>
    </row>
    <row r="105">
      <c r="A105" s="4" t="n">
        <v>101</v>
      </c>
      <c r="B105" s="5" t="inlineStr">
        <is>
          <t>8809962541857</t>
        </is>
      </c>
      <c r="C105" s="4" t="inlineStr">
        <is>
          <t>라운드 랩 동백 딥 콜라겐 탄력 앰플 30ml</t>
        </is>
      </c>
      <c r="D105" s="4" t="inlineStr">
        <is>
          <t>CAMELLIA DEEP COLLAGEN FIRMING AMPOULE_30ml</t>
        </is>
      </c>
      <c r="E105" s="6" t="n">
        <v>35000</v>
      </c>
      <c r="F105" s="6" t="n">
        <v>12152</v>
      </c>
      <c r="G105" s="6" t="n">
        <v>60</v>
      </c>
      <c r="H105" s="6" t="n"/>
      <c r="I105" s="6">
        <f>IF(H105="",0,H105*G105)</f>
        <v/>
      </c>
      <c r="J105" s="6">
        <f>IF(H105="",0,I105*F105)</f>
        <v/>
      </c>
    </row>
    <row r="106">
      <c r="A106" s="4" t="n">
        <v>102</v>
      </c>
      <c r="B106" s="5" t="inlineStr">
        <is>
          <t>8809962541840</t>
        </is>
      </c>
      <c r="C106" s="4" t="inlineStr">
        <is>
          <t>라운드 랩 동백 딥 콜라겐 탄력 크림 50ml</t>
        </is>
      </c>
      <c r="D106" s="4" t="inlineStr">
        <is>
          <t>CAMELLIA DEEP COLLAGEN FIRMING CREAM_50ml</t>
        </is>
      </c>
      <c r="E106" s="6" t="n">
        <v>38000</v>
      </c>
      <c r="F106" s="6" t="n">
        <v>12081</v>
      </c>
      <c r="G106" s="6" t="n">
        <v>80</v>
      </c>
      <c r="H106" s="6" t="n"/>
      <c r="I106" s="6">
        <f>IF(H106="",0,H106*G106)</f>
        <v/>
      </c>
      <c r="J106" s="6">
        <f>IF(H106="",0,I106*F106)</f>
        <v/>
      </c>
    </row>
    <row r="107">
      <c r="A107" s="4" t="n">
        <v>103</v>
      </c>
      <c r="B107" s="5" t="inlineStr">
        <is>
          <t>8809962542212</t>
        </is>
      </c>
      <c r="C107" s="4" t="inlineStr">
        <is>
          <t>라운드 랩 동백 딥 콜라겐 탄력 선 세럼 50ml</t>
        </is>
      </c>
      <c r="D107" s="4" t="inlineStr">
        <is>
          <t>CAMELLIA DEEP COLLAGEN FIRMING SUN SERUM_50ml</t>
        </is>
      </c>
      <c r="E107" s="6" t="n">
        <v>28000</v>
      </c>
      <c r="F107" s="6" t="n">
        <v>10612</v>
      </c>
      <c r="G107" s="6" t="n">
        <v>50</v>
      </c>
      <c r="H107" s="6" t="n"/>
      <c r="I107" s="6">
        <f>IF(H107="",0,H107*G107)</f>
        <v/>
      </c>
      <c r="J107" s="6">
        <f>IF(H107="",0,I107*F107)</f>
        <v/>
      </c>
    </row>
    <row r="108">
      <c r="A108" s="4" t="n">
        <v>104</v>
      </c>
      <c r="B108" s="5" t="inlineStr">
        <is>
          <t>8809962542861</t>
        </is>
      </c>
      <c r="C108" s="4" t="inlineStr">
        <is>
          <t>라운드랩 동백 딥 콜라겐 젤리 팩 클렌저 150ml</t>
        </is>
      </c>
      <c r="D108" s="4" t="inlineStr">
        <is>
          <t>CAMELLIA DEEP COLLAGEN JELLY MASK CLEANSER 150ml</t>
        </is>
      </c>
      <c r="E108" s="6" t="n">
        <v>24000</v>
      </c>
      <c r="F108" s="6" t="n">
        <v>8631</v>
      </c>
      <c r="G108" s="6" t="n">
        <v>50</v>
      </c>
      <c r="H108" s="6" t="n"/>
      <c r="I108" s="6">
        <f>IF(H108="",0,H108*G108)</f>
        <v/>
      </c>
      <c r="J108" s="6">
        <f>IF(H108="",0,I108*F108)</f>
        <v/>
      </c>
    </row>
    <row r="109">
      <c r="A109" s="4" t="n">
        <v>105</v>
      </c>
      <c r="B109" s="5" t="inlineStr">
        <is>
          <t>8809962542366</t>
        </is>
      </c>
      <c r="C109" s="4" t="inlineStr">
        <is>
          <t>nan</t>
        </is>
      </c>
      <c r="D109" s="4" t="inlineStr">
        <is>
          <t>CAMELLIA DEEP COLLAGEN V LIFTING GEL MASK 10g(4ea)</t>
        </is>
      </c>
      <c r="E109" s="6" t="n">
        <v>28000</v>
      </c>
      <c r="F109" s="6" t="n">
        <v>10467</v>
      </c>
      <c r="G109" s="6" t="n">
        <v>30</v>
      </c>
      <c r="H109" s="6" t="n"/>
      <c r="I109" s="6">
        <f>IF(H109="",0,H109*G109)</f>
        <v/>
      </c>
      <c r="J109" s="6">
        <f>IF(H109="",0,I109*F109)</f>
        <v/>
      </c>
    </row>
    <row r="110">
      <c r="A110" s="4" t="n">
        <v>106</v>
      </c>
      <c r="B110" s="5" t="inlineStr">
        <is>
          <t>8809962544162</t>
        </is>
      </c>
      <c r="C110" s="4" t="inlineStr">
        <is>
          <t>nan</t>
        </is>
      </c>
      <c r="D110" s="4" t="inlineStr">
        <is>
          <t>CAMELLIA DEEP COLLAGEN EYE CREAM 30ml</t>
        </is>
      </c>
      <c r="E110" s="6" t="n">
        <v>28000</v>
      </c>
      <c r="F110" s="6" t="n">
        <v>10461</v>
      </c>
      <c r="G110" s="6" t="n">
        <v>100</v>
      </c>
      <c r="H110" s="6" t="n"/>
      <c r="I110" s="6">
        <f>IF(H110="",0,H110*G110)</f>
        <v/>
      </c>
      <c r="J110" s="6">
        <f>IF(H110="",0,I110*F110)</f>
        <v/>
      </c>
    </row>
    <row r="111">
      <c r="A111" s="4" t="n">
        <v>107</v>
      </c>
      <c r="B111" s="5" t="inlineStr">
        <is>
          <t>8809962543547</t>
        </is>
      </c>
      <c r="C111" s="4" t="inlineStr">
        <is>
          <t>nan</t>
        </is>
      </c>
      <c r="D111" s="4" t="inlineStr">
        <is>
          <t>CAMELLIA DEEP COLLAGEN MILKY PDRN TONER 150ml</t>
        </is>
      </c>
      <c r="E111" s="6" t="n">
        <v>28000</v>
      </c>
      <c r="F111" s="6" t="n">
        <v>10467</v>
      </c>
      <c r="G111" s="6" t="n">
        <v>50</v>
      </c>
      <c r="H111" s="6" t="n"/>
      <c r="I111" s="6">
        <f>IF(H111="",0,H111*G111)</f>
        <v/>
      </c>
      <c r="J111" s="6">
        <f>IF(H111="",0,I111*F111)</f>
        <v/>
      </c>
    </row>
    <row r="112">
      <c r="A112" s="4" t="n">
        <v>108</v>
      </c>
      <c r="B112" s="5" t="inlineStr">
        <is>
          <t>8809962543646</t>
        </is>
      </c>
      <c r="C112" s="4" t="inlineStr">
        <is>
          <t>nan</t>
        </is>
      </c>
      <c r="D112" s="4" t="inlineStr">
        <is>
          <t>CAMELLIA DEEP COLLAGEN LIFTING GUA SHA CREAM 60ml</t>
        </is>
      </c>
      <c r="E112" s="6" t="n">
        <v>23000</v>
      </c>
      <c r="F112" s="6" t="n">
        <v>12138</v>
      </c>
      <c r="G112" s="6" t="n">
        <v>40</v>
      </c>
      <c r="H112" s="6" t="n"/>
      <c r="I112" s="6">
        <f>IF(H112="",0,H112*G112)</f>
        <v/>
      </c>
      <c r="J112" s="6">
        <f>IF(H112="",0,I112*F112)</f>
        <v/>
      </c>
    </row>
    <row r="113">
      <c r="A113" s="4" t="n">
        <v>109</v>
      </c>
      <c r="B113" s="5" t="inlineStr">
        <is>
          <t>8809962541222</t>
        </is>
      </c>
      <c r="C113" s="4" t="inlineStr">
        <is>
          <t>포 맨 자작나무 수분 토너 200ml</t>
        </is>
      </c>
      <c r="D113" s="4" t="inlineStr">
        <is>
          <t>FOR MEN BIRCH JUICE MOISTURIZING TONER_200ml</t>
        </is>
      </c>
      <c r="E113" s="6" t="n">
        <v>24000</v>
      </c>
      <c r="F113" s="6" t="n">
        <v>8902</v>
      </c>
      <c r="G113" s="6" t="n">
        <v>50</v>
      </c>
      <c r="H113" s="6" t="n"/>
      <c r="I113" s="6">
        <f>IF(H113="",0,H113*G113)</f>
        <v/>
      </c>
      <c r="J113" s="6">
        <f>IF(H113="",0,I113*F113)</f>
        <v/>
      </c>
    </row>
    <row r="114">
      <c r="A114" s="4" t="n">
        <v>110</v>
      </c>
      <c r="B114" s="5" t="inlineStr">
        <is>
          <t>8809962541239</t>
        </is>
      </c>
      <c r="C114" s="4" t="inlineStr">
        <is>
          <t>포 맨 자작나무 수분 로션 200ml</t>
        </is>
      </c>
      <c r="D114" s="4" t="inlineStr">
        <is>
          <t>FOR MEN BIRCH JUICE MOISTURIZING LOTION_200ml</t>
        </is>
      </c>
      <c r="E114" s="6" t="n">
        <v>24000</v>
      </c>
      <c r="F114" s="6" t="n">
        <v>8902</v>
      </c>
      <c r="G114" s="6" t="n">
        <v>50</v>
      </c>
      <c r="H114" s="6" t="n"/>
      <c r="I114" s="6">
        <f>IF(H114="",0,H114*G114)</f>
        <v/>
      </c>
      <c r="J114" s="6">
        <f>IF(H114="",0,I114*F114)</f>
        <v/>
      </c>
    </row>
    <row r="115">
      <c r="A115" s="4" t="n">
        <v>111</v>
      </c>
      <c r="B115" s="5" t="inlineStr">
        <is>
          <t>8809962541246</t>
        </is>
      </c>
      <c r="C115" s="4" t="inlineStr">
        <is>
          <t>포 맨 자작나무 수분 크림 75ml</t>
        </is>
      </c>
      <c r="D115" s="4" t="inlineStr">
        <is>
          <t>FOR MEN BIRCH JUICE MOISTURIZING CREAM_75ml</t>
        </is>
      </c>
      <c r="E115" s="6" t="n">
        <v>26000</v>
      </c>
      <c r="F115" s="6" t="n">
        <v>9311</v>
      </c>
      <c r="G115" s="6" t="n">
        <v>50</v>
      </c>
      <c r="H115" s="6" t="n"/>
      <c r="I115" s="6">
        <f>IF(H115="",0,H115*G115)</f>
        <v/>
      </c>
      <c r="J115" s="6">
        <f>IF(H115="",0,I115*F115)</f>
        <v/>
      </c>
    </row>
    <row r="116">
      <c r="A116" s="4" t="n">
        <v>112</v>
      </c>
      <c r="B116" s="5" t="inlineStr">
        <is>
          <t>8809962541635</t>
        </is>
      </c>
      <c r="C116" s="4" t="inlineStr">
        <is>
          <t>포 맨 소나무 진정 시카 토너 200ml</t>
        </is>
      </c>
      <c r="D116" s="4" t="inlineStr">
        <is>
          <t>FOR MEN PINE CALMING CICA TONER_200ml</t>
        </is>
      </c>
      <c r="E116" s="6" t="n">
        <v>25000</v>
      </c>
      <c r="F116" s="6" t="n">
        <v>8910</v>
      </c>
      <c r="G116" s="6" t="n">
        <v>50</v>
      </c>
      <c r="H116" s="6" t="n"/>
      <c r="I116" s="6">
        <f>IF(H116="",0,H116*G116)</f>
        <v/>
      </c>
      <c r="J116" s="6">
        <f>IF(H116="",0,I116*F116)</f>
        <v/>
      </c>
    </row>
    <row r="117">
      <c r="A117" s="4" t="n">
        <v>113</v>
      </c>
      <c r="B117" s="5" t="inlineStr">
        <is>
          <t>8809962541628</t>
        </is>
      </c>
      <c r="C117" s="4" t="inlineStr">
        <is>
          <t>포 맨 소나무 진정 시카 로션 200ml</t>
        </is>
      </c>
      <c r="D117" s="4" t="inlineStr">
        <is>
          <t>FOR MEN PINE CALMING CICA LOTION_200ml</t>
        </is>
      </c>
      <c r="E117" s="6" t="n">
        <v>25000</v>
      </c>
      <c r="F117" s="6" t="n">
        <v>8950</v>
      </c>
      <c r="G117" s="6" t="n">
        <v>50</v>
      </c>
      <c r="H117" s="6" t="n"/>
      <c r="I117" s="6">
        <f>IF(H117="",0,H117*G117)</f>
        <v/>
      </c>
      <c r="J117" s="6">
        <f>IF(H117="",0,I117*F117)</f>
        <v/>
      </c>
    </row>
    <row r="118">
      <c r="A118" s="4" t="n">
        <v>114</v>
      </c>
      <c r="B118" s="5" t="inlineStr">
        <is>
          <t>8809962541642</t>
        </is>
      </c>
      <c r="C118" s="4" t="inlineStr">
        <is>
          <t>포 맨 소나무 진정 시카 크림 75ml</t>
        </is>
      </c>
      <c r="D118" s="4" t="inlineStr">
        <is>
          <t>FOR MEN PINE CALMING CICA CREAM_75ml</t>
        </is>
      </c>
      <c r="E118" s="6" t="n">
        <v>27000</v>
      </c>
      <c r="F118" s="6" t="n">
        <v>9321</v>
      </c>
      <c r="G118" s="6" t="n">
        <v>50</v>
      </c>
      <c r="H118" s="6" t="n"/>
      <c r="I118" s="6">
        <f>IF(H118="",0,H118*G118)</f>
        <v/>
      </c>
      <c r="J118" s="6">
        <f>IF(H118="",0,I118*F118)</f>
        <v/>
      </c>
    </row>
    <row r="119">
      <c r="A119" s="4" t="n">
        <v>115</v>
      </c>
      <c r="B119" s="5" t="inlineStr">
        <is>
          <t>8809962540553</t>
        </is>
      </c>
      <c r="C119" s="4" t="inlineStr">
        <is>
          <t>라운드랩 스틱 파우치 키트</t>
        </is>
      </c>
      <c r="D119" s="4" t="inlineStr">
        <is>
          <t>STICK POUCH KIT</t>
        </is>
      </c>
      <c r="E119" s="6" t="n">
        <v>10000</v>
      </c>
      <c r="F119" s="6" t="n">
        <v>5750</v>
      </c>
      <c r="G119" s="6" t="n">
        <v>100</v>
      </c>
      <c r="H119" s="6" t="n"/>
      <c r="I119" s="6">
        <f>IF(H119="",0,H119*G119)</f>
        <v/>
      </c>
      <c r="J119" s="6">
        <f>IF(H119="",0,I119*F119)</f>
        <v/>
      </c>
    </row>
    <row r="120">
      <c r="A120" s="7" t="n"/>
      <c r="B120" s="7" t="inlineStr">
        <is>
          <t>TOTAL</t>
        </is>
      </c>
      <c r="C120" s="7" t="inlineStr">
        <is>
          <t>позиций: 115</t>
        </is>
      </c>
      <c r="D120" s="7" t="n"/>
      <c r="E120" s="8" t="n"/>
      <c r="F120" s="8" t="n"/>
      <c r="G120" s="8" t="n"/>
      <c r="H120" s="8">
        <f>SUM(H5:H119)</f>
        <v/>
      </c>
      <c r="I120" s="8">
        <f>SUM(I5:I119)</f>
        <v/>
      </c>
      <c r="J120" s="8">
        <f>SUM(J5:J119)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ROUND LAB</dc:creator>
  <dc:title>ROUND LAB PRICE LIST</dc:title>
  <dcterms:created xsi:type="dcterms:W3CDTF">2026-10-21T01:00:02Z</dcterms:created>
  <dcterms:modified xsi:type="dcterms:W3CDTF">2026-10-21T01:00:02Z</dcterms:modified>
  <cp:lastModifiedBy>ROUND LAB</cp:lastModifiedBy>
</cp:coreProperties>
</file>
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IM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applyAlignment="1" pivotButton="0" quotePrefix="0" xfId="0">
      <alignment horizontal="left"/>
    </xf>
    <xf numFmtId="164" fontId="0" fillId="0" borderId="1" pivotButton="0" quotePrefix="0" xfId="0"/>
    <xf numFmtId="0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34" customWidth="1" min="3" max="3"/>
    <col width="56" customWidth="1" min="4" max="4"/>
    <col width="15" customWidth="1" min="5" max="5"/>
    <col width="15" customWidth="1" min="6" max="6"/>
    <col width="12" customWidth="1" min="7" max="7"/>
    <col width="12" customWidth="1" min="8" max="8"/>
    <col width="14" customWidth="1" min="9" max="9"/>
    <col width="18" customWidth="1" min="10" max="10"/>
  </cols>
  <sheetData>
    <row r="1">
      <c r="A1" s="1" t="inlineStr">
        <is>
          <t>CELIMAX PRICE LIST</t>
        </is>
      </c>
    </row>
    <row r="2">
      <c r="A2" t="inlineStr">
        <is>
          <t>Date: 13.10.2026</t>
        </is>
      </c>
      <c r="B2" t="inlineStr">
        <is>
          <t>MOA: 100 000 000 KRW</t>
        </is>
      </c>
    </row>
    <row r="3"/>
    <row r="4">
      <c r="A4" s="2" t="inlineStr">
        <is>
          <t>NO</t>
        </is>
      </c>
      <c r="B4" s="2" t="inlineStr">
        <is>
          <t>Bar Code</t>
        </is>
      </c>
      <c r="C4" s="2" t="inlineStr">
        <is>
          <t>Product Name (KR)</t>
        </is>
      </c>
      <c r="D4" s="2" t="inlineStr">
        <is>
          <t>Product Name (EN)</t>
        </is>
      </c>
      <c r="E4" s="3" t="inlineStr">
        <is>
          <t>RETAIL PRICE (KRW)</t>
        </is>
      </c>
      <c r="F4" s="3" t="inlineStr">
        <is>
          <t>SUPPLY PRICE (KRW)</t>
        </is>
      </c>
      <c r="G4" s="3" t="inlineStr">
        <is>
          <t>PCS / OUTBOX</t>
        </is>
      </c>
      <c r="H4" s="3" t="inlineStr">
        <is>
          <t>ORDER BOXES</t>
        </is>
      </c>
      <c r="I4" s="3" t="inlineStr">
        <is>
          <t>TOTAL QUANTITIES</t>
        </is>
      </c>
      <c r="J4" s="3" t="inlineStr">
        <is>
          <t>TOTAL SUPPLY PRICE</t>
        </is>
      </c>
    </row>
    <row r="5">
      <c r="A5" s="4" t="n">
        <v>1</v>
      </c>
      <c r="B5" s="5" t="inlineStr">
        <is>
          <t>8809849807410</t>
        </is>
      </c>
      <c r="C5" s="4" t="inlineStr">
        <is>
          <t>셀리맥스 노니마스크 1매</t>
        </is>
      </c>
      <c r="D5" s="4" t="inlineStr">
        <is>
          <t>CELIMAX THE REAL NONI ENERGY AMPOULE MASK 1EA</t>
        </is>
      </c>
      <c r="E5" s="6" t="n">
        <v>4000</v>
      </c>
      <c r="F5" s="6" t="n">
        <v>1484</v>
      </c>
      <c r="G5" s="6" t="n">
        <v>100</v>
      </c>
      <c r="H5" s="6" t="n"/>
      <c r="I5" s="6">
        <f>IF(H5="",0,H5*G5)</f>
        <v/>
      </c>
      <c r="J5" s="6">
        <f>IF(H5="",0,I5*F5)</f>
        <v/>
      </c>
    </row>
    <row r="6">
      <c r="A6" s="4" t="n">
        <v>2</v>
      </c>
      <c r="B6" s="5" t="inlineStr">
        <is>
          <t>8809849807427</t>
        </is>
      </c>
      <c r="C6" s="4" t="inlineStr">
        <is>
          <t>셀리맥스 노니마스크 10매</t>
        </is>
      </c>
      <c r="D6" s="4" t="inlineStr">
        <is>
          <t>CELIMAX THE REAL NONI ENERGY AMPOULE MASK 10EA</t>
        </is>
      </c>
      <c r="E6" s="6" t="n">
        <v>40000</v>
      </c>
      <c r="F6" s="6" t="n">
        <v>13920</v>
      </c>
      <c r="G6" s="6" t="n">
        <v>20</v>
      </c>
      <c r="H6" s="6" t="n"/>
      <c r="I6" s="6">
        <f>IF(H6="",0,H6*G6)</f>
        <v/>
      </c>
      <c r="J6" s="6">
        <f>IF(H6="",0,I6*F6)</f>
        <v/>
      </c>
    </row>
    <row r="7">
      <c r="A7" s="4" t="n">
        <v>3</v>
      </c>
      <c r="B7" s="5" t="inlineStr">
        <is>
          <t>8809743548525</t>
        </is>
      </c>
      <c r="C7" s="4" t="inlineStr">
        <is>
          <t>셀리맥스 시카마스크 1매</t>
        </is>
      </c>
      <c r="D7" s="4" t="inlineStr">
        <is>
          <t>CELIMAX THE REAL CICA CALMING SERUM MASK 1EA</t>
        </is>
      </c>
      <c r="E7" s="6" t="n">
        <v>4000</v>
      </c>
      <c r="F7" s="6" t="n">
        <v>1484</v>
      </c>
      <c r="G7" s="6" t="n">
        <v>100</v>
      </c>
      <c r="H7" s="6" t="n"/>
      <c r="I7" s="6">
        <f>IF(H7="",0,H7*G7)</f>
        <v/>
      </c>
      <c r="J7" s="6">
        <f>IF(H7="",0,I7*F7)</f>
        <v/>
      </c>
    </row>
    <row r="8">
      <c r="A8" s="4" t="n">
        <v>4</v>
      </c>
      <c r="B8" s="5" t="inlineStr">
        <is>
          <t>8809743548532</t>
        </is>
      </c>
      <c r="C8" s="4" t="inlineStr">
        <is>
          <t>셀리맥스 시카마스크 10매</t>
        </is>
      </c>
      <c r="D8" s="4" t="inlineStr">
        <is>
          <t>CELIMAX THE REAL CICA CALMING SERUM MASK 10EA</t>
        </is>
      </c>
      <c r="E8" s="6" t="n">
        <v>40000</v>
      </c>
      <c r="F8" s="6" t="n">
        <v>13920</v>
      </c>
      <c r="G8" s="6" t="n">
        <v>20</v>
      </c>
      <c r="H8" s="6" t="n"/>
      <c r="I8" s="6">
        <f>IF(H8="",0,H8*G8)</f>
        <v/>
      </c>
      <c r="J8" s="6">
        <f>IF(H8="",0,I8*F8)</f>
        <v/>
      </c>
    </row>
    <row r="9">
      <c r="A9" s="4" t="n">
        <v>5</v>
      </c>
      <c r="B9" s="5" t="inlineStr">
        <is>
          <t>8809750465228</t>
        </is>
      </c>
      <c r="C9" s="4" t="inlineStr">
        <is>
          <t>셀리맥스 브라이트닝 모공잡티 세럼 마스크 1매</t>
        </is>
      </c>
      <c r="D9" s="4" t="inlineStr">
        <is>
          <t>CELIMAX PORE+DARK SPOT BRIGHTENING SERUM MASK 1EA</t>
        </is>
      </c>
      <c r="E9" s="6" t="n">
        <v>4000</v>
      </c>
      <c r="F9" s="6" t="n">
        <v>1484</v>
      </c>
      <c r="G9" s="6" t="n">
        <v>100</v>
      </c>
      <c r="H9" s="6" t="n"/>
      <c r="I9" s="6">
        <f>IF(H9="",0,H9*G9)</f>
        <v/>
      </c>
      <c r="J9" s="6">
        <f>IF(H9="",0,I9*F9)</f>
        <v/>
      </c>
    </row>
    <row r="10">
      <c r="A10" s="4" t="n">
        <v>6</v>
      </c>
      <c r="B10" s="5" t="inlineStr">
        <is>
          <t>8809750465235</t>
        </is>
      </c>
      <c r="C10" s="4" t="inlineStr">
        <is>
          <t>셀리맥스 브라이트닝 모공잡티 세럼 마스크 10매</t>
        </is>
      </c>
      <c r="D10" s="4" t="inlineStr">
        <is>
          <t>CELIMAX PORE+DARK SPOT BRIGHTENING SERUM MASK 10EA</t>
        </is>
      </c>
      <c r="E10" s="6" t="n">
        <v>40000</v>
      </c>
      <c r="F10" s="6" t="n">
        <v>13920</v>
      </c>
      <c r="G10" s="6" t="n">
        <v>20</v>
      </c>
      <c r="H10" s="6" t="n"/>
      <c r="I10" s="6">
        <f>IF(H10="",0,H10*G10)</f>
        <v/>
      </c>
      <c r="J10" s="6">
        <f>IF(H10="",0,I10*F10)</f>
        <v/>
      </c>
    </row>
    <row r="11">
      <c r="A11" s="4" t="n">
        <v>7</v>
      </c>
      <c r="B11" s="5" t="inlineStr">
        <is>
          <t>8800296551550</t>
        </is>
      </c>
      <c r="C11" s="4" t="inlineStr">
        <is>
          <t>셀리맥스 브라이트닝 모공잡티 크림 랩핑 마스크 1매</t>
        </is>
      </c>
      <c r="D11" s="4" t="inlineStr">
        <is>
          <t>CELIMAX PORE+DARK SPOT BRIGHTENING CREAM MASK 1EA</t>
        </is>
      </c>
      <c r="E11" s="6" t="n">
        <v>6000</v>
      </c>
      <c r="F11" s="6" t="n">
        <v>2610</v>
      </c>
      <c r="G11" s="6" t="n">
        <v>48</v>
      </c>
      <c r="H11" s="6" t="n"/>
      <c r="I11" s="6">
        <f>IF(H11="",0,H11*G11)</f>
        <v/>
      </c>
      <c r="J11" s="6">
        <f>IF(H11="",0,I11*F11)</f>
        <v/>
      </c>
    </row>
    <row r="12">
      <c r="A12" s="4" t="n">
        <v>8</v>
      </c>
      <c r="B12" s="5" t="inlineStr">
        <is>
          <t>8800296551567</t>
        </is>
      </c>
      <c r="C12" s="4" t="inlineStr">
        <is>
          <t>셀리맥스 브라이트닝 모공잡티 크림 랩핑 마스크 4매</t>
        </is>
      </c>
      <c r="D12" s="4" t="inlineStr">
        <is>
          <t>CELIMAX PORE+DARK SPOT BRIGHTENING CREAM MASK 4EA</t>
        </is>
      </c>
      <c r="E12" s="6" t="n">
        <v>26000</v>
      </c>
      <c r="F12" s="6" t="n">
        <v>10452</v>
      </c>
      <c r="G12" s="6" t="n">
        <v>24</v>
      </c>
      <c r="H12" s="6" t="n"/>
      <c r="I12" s="6">
        <f>IF(H12="",0,H12*G12)</f>
        <v/>
      </c>
      <c r="J12" s="6">
        <f>IF(H12="",0,I12*F12)</f>
        <v/>
      </c>
    </row>
    <row r="13">
      <c r="A13" s="4" t="n">
        <v>9</v>
      </c>
      <c r="B13" s="5" t="inlineStr">
        <is>
          <t>8800296556425</t>
        </is>
      </c>
      <c r="C13" s="4" t="inlineStr">
        <is>
          <t>시카 투스텝 겔 마스크 1매</t>
        </is>
      </c>
      <c r="D13" s="4" t="inlineStr">
        <is>
          <t>CELIMAX JI WOO GAE CICA PHA PEEL 2-STEP GEL MASK 1EA</t>
        </is>
      </c>
      <c r="E13" s="6" t="n">
        <v>8000</v>
      </c>
      <c r="F13" s="6" t="n">
        <v>2600</v>
      </c>
      <c r="G13" s="6" t="n">
        <v>90</v>
      </c>
      <c r="H13" s="6" t="n"/>
      <c r="I13" s="6">
        <f>IF(H13="",0,H13*G13)</f>
        <v/>
      </c>
      <c r="J13" s="6">
        <f>IF(H13="",0,I13*F13)</f>
        <v/>
      </c>
    </row>
    <row r="14">
      <c r="A14" s="4" t="n">
        <v>10</v>
      </c>
      <c r="B14" s="5" t="inlineStr">
        <is>
          <t>8800296557255</t>
        </is>
      </c>
      <c r="C14" s="4" t="inlineStr">
        <is>
          <t>시카 투스텝 겔 마스크 4매</t>
        </is>
      </c>
      <c r="D14" s="4" t="inlineStr">
        <is>
          <t>CELIMAX JI WOO GAE CICA PHA PEEL 2-STEP GEL MASK 4EA</t>
        </is>
      </c>
      <c r="E14" s="6" t="n">
        <v>32000</v>
      </c>
      <c r="F14" s="6" t="n">
        <v>9952</v>
      </c>
      <c r="G14" s="6" t="n">
        <v>20</v>
      </c>
      <c r="H14" s="6" t="n"/>
      <c r="I14" s="6">
        <f>IF(H14="",0,H14*G14)</f>
        <v/>
      </c>
      <c r="J14" s="6">
        <f>IF(H14="",0,I14*F14)</f>
        <v/>
      </c>
    </row>
    <row r="15">
      <c r="A15" s="4" t="n">
        <v>11</v>
      </c>
      <c r="B15" s="5" t="inlineStr">
        <is>
          <t>8809954940354</t>
        </is>
      </c>
      <c r="C15" s="4" t="inlineStr">
        <is>
          <t>셀리맥스 노니 클레이 마스크 120g</t>
        </is>
      </c>
      <c r="D15" s="4" t="inlineStr">
        <is>
          <t>CELIMAX THE REAL NONI REFRESH CLAY MASK 120G</t>
        </is>
      </c>
      <c r="E15" s="6" t="n">
        <v>18000</v>
      </c>
      <c r="F15" s="6" t="n">
        <v>6678</v>
      </c>
      <c r="G15" s="6" t="n">
        <v>24</v>
      </c>
      <c r="H15" s="6" t="n"/>
      <c r="I15" s="6">
        <f>IF(H15="",0,H15*G15)</f>
        <v/>
      </c>
      <c r="J15" s="6">
        <f>IF(H15="",0,I15*F15)</f>
        <v/>
      </c>
    </row>
    <row r="16">
      <c r="A16" s="4" t="n">
        <v>12</v>
      </c>
      <c r="B16" s="5" t="inlineStr">
        <is>
          <t>8809954940132</t>
        </is>
      </c>
      <c r="C16" s="4" t="inlineStr">
        <is>
          <t>셀리맥스 노니 토너 150ml</t>
        </is>
      </c>
      <c r="D16" s="4" t="inlineStr">
        <is>
          <t>CELIMAX THE REAL NONI MOISTURE BALANCING TONER 150ML</t>
        </is>
      </c>
      <c r="E16" s="6" t="n">
        <v>25000</v>
      </c>
      <c r="F16" s="6" t="n">
        <v>9825</v>
      </c>
      <c r="G16" s="6" t="n">
        <v>24</v>
      </c>
      <c r="H16" s="6" t="n"/>
      <c r="I16" s="6">
        <f>IF(H16="",0,H16*G16)</f>
        <v/>
      </c>
      <c r="J16" s="6">
        <f>IF(H16="",0,I16*F16)</f>
        <v/>
      </c>
    </row>
    <row r="17">
      <c r="A17" s="4" t="n">
        <v>13</v>
      </c>
      <c r="B17" s="5" t="inlineStr">
        <is>
          <t>8809875907795</t>
        </is>
      </c>
      <c r="C17" s="4" t="inlineStr">
        <is>
          <t>셀리맥스 노니 에너지 앰플 30ml</t>
        </is>
      </c>
      <c r="D17" s="4" t="inlineStr">
        <is>
          <t>CELIMAX THE REAL NONI ENERGY AMPOULE 30ML</t>
        </is>
      </c>
      <c r="E17" s="6" t="n">
        <v>28000</v>
      </c>
      <c r="F17" s="6" t="n">
        <v>12404</v>
      </c>
      <c r="G17" s="6" t="n">
        <v>60</v>
      </c>
      <c r="H17" s="6" t="n"/>
      <c r="I17" s="6">
        <f>IF(H17="",0,H17*G17)</f>
        <v/>
      </c>
      <c r="J17" s="6">
        <f>IF(H17="",0,I17*F17)</f>
        <v/>
      </c>
    </row>
    <row r="18">
      <c r="A18" s="4" t="n">
        <v>14</v>
      </c>
      <c r="B18" s="5" t="inlineStr">
        <is>
          <t>8809971482318</t>
        </is>
      </c>
      <c r="C18" s="4" t="inlineStr">
        <is>
          <t>셀리맥스 더 리얼 노니 에너지 앰플 50ml</t>
        </is>
      </c>
      <c r="D18" s="4" t="inlineStr">
        <is>
          <t>CELIMAX THE REAL NONI ENERGY AMPOULE 50ML</t>
        </is>
      </c>
      <c r="E18" s="6" t="n">
        <v>37000</v>
      </c>
      <c r="F18" s="6" t="n">
        <v>15207</v>
      </c>
      <c r="G18" s="6" t="n">
        <v>60</v>
      </c>
      <c r="H18" s="6" t="n"/>
      <c r="I18" s="6">
        <f>IF(H18="",0,H18*G18)</f>
        <v/>
      </c>
      <c r="J18" s="6">
        <f>IF(H18="",0,I18*F18)</f>
        <v/>
      </c>
    </row>
    <row r="19">
      <c r="A19" s="4" t="n">
        <v>15</v>
      </c>
      <c r="B19" s="5" t="inlineStr">
        <is>
          <t>8809954940347</t>
        </is>
      </c>
      <c r="C19" s="4" t="inlineStr">
        <is>
          <t>셀리맥스 노니 로션 150ml</t>
        </is>
      </c>
      <c r="D19" s="4" t="inlineStr">
        <is>
          <t>CELIMAX THE REAL NONI HYDRA FIRMING LOTION 150ML</t>
        </is>
      </c>
      <c r="E19" s="6" t="n">
        <v>30000</v>
      </c>
      <c r="F19" s="6" t="n">
        <v>11520</v>
      </c>
      <c r="G19" s="6" t="n">
        <v>24</v>
      </c>
      <c r="H19" s="6" t="n"/>
      <c r="I19" s="6">
        <f>IF(H19="",0,H19*G19)</f>
        <v/>
      </c>
      <c r="J19" s="6">
        <f>IF(H19="",0,I19*F19)</f>
        <v/>
      </c>
    </row>
    <row r="20">
      <c r="A20" s="4" t="n">
        <v>16</v>
      </c>
      <c r="B20" s="5" t="inlineStr">
        <is>
          <t>8809606850666</t>
        </is>
      </c>
      <c r="C20" s="4" t="inlineStr">
        <is>
          <t>셀리맥스 노니 얼티밋 아이크림 20ml</t>
        </is>
      </c>
      <c r="D20" s="4" t="inlineStr">
        <is>
          <t>CELIMAX THE REAL NONI ULTIMATE EYE CREAM 20ML</t>
        </is>
      </c>
      <c r="E20" s="6" t="n">
        <v>35000</v>
      </c>
      <c r="F20" s="6" t="n">
        <v>11865</v>
      </c>
      <c r="G20" s="6" t="n">
        <v>100</v>
      </c>
      <c r="H20" s="6" t="n"/>
      <c r="I20" s="6">
        <f>IF(H20="",0,H20*G20)</f>
        <v/>
      </c>
      <c r="J20" s="6">
        <f>IF(H20="",0,I20*F20)</f>
        <v/>
      </c>
    </row>
    <row r="21">
      <c r="A21" s="4" t="n">
        <v>17</v>
      </c>
      <c r="B21" s="5" t="inlineStr">
        <is>
          <t>8809686386185</t>
        </is>
      </c>
      <c r="C21" s="4" t="inlineStr">
        <is>
          <t>노니 리페어 크림 50ml</t>
        </is>
      </c>
      <c r="D21" s="4" t="inlineStr">
        <is>
          <t>CELIMAX THE REAL NONI ENERGY REPAIR CREAM 50ML</t>
        </is>
      </c>
      <c r="E21" s="6" t="n">
        <v>31000</v>
      </c>
      <c r="F21" s="6" t="n">
        <v>11625</v>
      </c>
      <c r="G21" s="6" t="n">
        <v>90</v>
      </c>
      <c r="H21" s="6" t="n"/>
      <c r="I21" s="6">
        <f>IF(H21="",0,H21*G21)</f>
        <v/>
      </c>
      <c r="J21" s="6">
        <f>IF(H21="",0,I21*F21)</f>
        <v/>
      </c>
    </row>
    <row r="22">
      <c r="A22" s="4" t="n">
        <v>18</v>
      </c>
      <c r="B22" s="5" t="inlineStr">
        <is>
          <t>8809954940477</t>
        </is>
      </c>
      <c r="C22" s="4" t="inlineStr">
        <is>
          <t>셀리맥스 노니미스트 50ml</t>
        </is>
      </c>
      <c r="D22" s="4" t="inlineStr">
        <is>
          <t>CELIMAX THE REAL NONI ENERGY AMPOULE MIST 50ML</t>
        </is>
      </c>
      <c r="E22" s="6" t="n">
        <v>16000</v>
      </c>
      <c r="F22" s="6" t="n">
        <v>6944</v>
      </c>
      <c r="G22" s="6" t="n">
        <v>48</v>
      </c>
      <c r="H22" s="6" t="n"/>
      <c r="I22" s="6">
        <f>IF(H22="",0,H22*G22)</f>
        <v/>
      </c>
      <c r="J22" s="6">
        <f>IF(H22="",0,I22*F22)</f>
        <v/>
      </c>
    </row>
    <row r="23">
      <c r="A23" s="4" t="n">
        <v>19</v>
      </c>
      <c r="B23" s="5" t="inlineStr">
        <is>
          <t>8809541379468</t>
        </is>
      </c>
      <c r="C23" s="4" t="inlineStr">
        <is>
          <t>셀리맥스 더 리얼 노니 아크네 버블 폼 클렌징 155ml</t>
        </is>
      </c>
      <c r="D23" s="4" t="inlineStr">
        <is>
          <t>CELIMAX THE REAL NONI ACNE BUBBLE CLEANSER 155ML</t>
        </is>
      </c>
      <c r="E23" s="6" t="n">
        <v>18000</v>
      </c>
      <c r="F23" s="6" t="n">
        <v>6678</v>
      </c>
      <c r="G23" s="6" t="n">
        <v>24</v>
      </c>
      <c r="H23" s="6" t="n"/>
      <c r="I23" s="6">
        <f>IF(H23="",0,H23*G23)</f>
        <v/>
      </c>
      <c r="J23" s="6">
        <f>IF(H23="",0,I23*F23)</f>
        <v/>
      </c>
    </row>
    <row r="24">
      <c r="A24" s="4" t="n">
        <v>20</v>
      </c>
      <c r="B24" s="5" t="inlineStr">
        <is>
          <t>8809750465464</t>
        </is>
      </c>
      <c r="C24" s="4" t="inlineStr">
        <is>
          <t>노니 글로우 패드 50매</t>
        </is>
      </c>
      <c r="D24" s="4" t="inlineStr">
        <is>
          <t>CELIMAX THE REAL NONI CALMING GLOW PAD 50EA</t>
        </is>
      </c>
      <c r="E24" s="6" t="n">
        <v>25000</v>
      </c>
      <c r="F24" s="6" t="n">
        <v>8925.000000000002</v>
      </c>
      <c r="G24" s="6" t="n">
        <v>24</v>
      </c>
      <c r="H24" s="6" t="n"/>
      <c r="I24" s="6">
        <f>IF(H24="",0,H24*G24)</f>
        <v/>
      </c>
      <c r="J24" s="6">
        <f>IF(H24="",0,I24*F24)</f>
        <v/>
      </c>
    </row>
    <row r="25">
      <c r="A25" s="4" t="n">
        <v>21</v>
      </c>
      <c r="B25" s="5" t="inlineStr">
        <is>
          <t>8809743544626</t>
        </is>
      </c>
      <c r="C25" s="4" t="inlineStr">
        <is>
          <t>셀리맥스 더 리얼 시카 나이아신마이드 AC 카밍 세럼 40ml</t>
        </is>
      </c>
      <c r="D25" s="4" t="inlineStr">
        <is>
          <t>CELIMAX THE REAL CICA NIACINAMIDE AC CALMING SERUM 40ML</t>
        </is>
      </c>
      <c r="E25" s="6" t="n">
        <v>26000</v>
      </c>
      <c r="F25" s="6" t="n">
        <v>9984</v>
      </c>
      <c r="G25" s="6" t="n">
        <v>36</v>
      </c>
      <c r="H25" s="6" t="n"/>
      <c r="I25" s="6">
        <f>IF(H25="",0,H25*G25)</f>
        <v/>
      </c>
      <c r="J25" s="6">
        <f>IF(H25="",0,I25*F25)</f>
        <v/>
      </c>
    </row>
    <row r="26">
      <c r="A26" s="4" t="n">
        <v>22</v>
      </c>
      <c r="B26" s="5" t="inlineStr">
        <is>
          <t>8809782557861</t>
        </is>
      </c>
      <c r="C26" s="4" t="inlineStr">
        <is>
          <t>셀리맥스 더 리얼 시카 수딩 크림 50ml</t>
        </is>
      </c>
      <c r="D26" s="4" t="inlineStr">
        <is>
          <t>CELIMAX THE REAL CICA SOOTHING CREAM 50ML</t>
        </is>
      </c>
      <c r="E26" s="6" t="n">
        <v>22000</v>
      </c>
      <c r="F26" s="6" t="n">
        <v>8162</v>
      </c>
      <c r="G26" s="6" t="n">
        <v>100</v>
      </c>
      <c r="H26" s="6" t="n"/>
      <c r="I26" s="6">
        <f>IF(H26="",0,H26*G26)</f>
        <v/>
      </c>
      <c r="J26" s="6">
        <f>IF(H26="",0,I26*F26)</f>
        <v/>
      </c>
    </row>
    <row r="27">
      <c r="A27" s="4" t="n">
        <v>23</v>
      </c>
      <c r="B27" s="5" t="inlineStr">
        <is>
          <t>8809463992615</t>
        </is>
      </c>
      <c r="C27" s="4" t="inlineStr">
        <is>
          <t>셀리맥스 지우개패드 (22AD)</t>
        </is>
      </c>
      <c r="D27" s="4" t="inlineStr">
        <is>
          <t>CELIMAX JI WOO GAE HEARTLEAF BHA PEELING PAD 60PADS</t>
        </is>
      </c>
      <c r="E27" s="6" t="n">
        <v>17000</v>
      </c>
      <c r="F27" s="6" t="n">
        <v>7378</v>
      </c>
      <c r="G27" s="6" t="n">
        <v>24</v>
      </c>
      <c r="H27" s="6" t="n"/>
      <c r="I27" s="6">
        <f>IF(H27="",0,H27*G27)</f>
        <v/>
      </c>
      <c r="J27" s="6">
        <f>IF(H27="",0,I27*F27)</f>
        <v/>
      </c>
    </row>
    <row r="28">
      <c r="A28" s="4" t="n">
        <v>24</v>
      </c>
      <c r="B28" s="5" t="inlineStr">
        <is>
          <t>8809463992707</t>
        </is>
      </c>
      <c r="C28" s="4" t="inlineStr">
        <is>
          <t>셀리맥스 원스텝 바디 브라이트닝 패드 60 pads / 110ml (22AD)</t>
        </is>
      </c>
      <c r="D28" s="4" t="inlineStr">
        <is>
          <t>CELIMAX ONE STEP BODY BRIGHTENING PAD 60PADS</t>
        </is>
      </c>
      <c r="E28" s="6" t="n">
        <v>15000</v>
      </c>
      <c r="F28" s="6" t="n">
        <v>6105</v>
      </c>
      <c r="G28" s="6" t="n">
        <v>24</v>
      </c>
      <c r="H28" s="6" t="n"/>
      <c r="I28" s="6">
        <f>IF(H28="",0,H28*G28)</f>
        <v/>
      </c>
      <c r="J28" s="6">
        <f>IF(H28="",0,I28*F28)</f>
        <v/>
      </c>
    </row>
    <row r="29">
      <c r="A29" s="4" t="n">
        <v>25</v>
      </c>
      <c r="B29" s="5" t="inlineStr">
        <is>
          <t>8809463993889</t>
        </is>
      </c>
      <c r="C29" s="4" t="inlineStr">
        <is>
          <t>셀리맥스 지우개 클렌징 패드 60매</t>
        </is>
      </c>
      <c r="D29" s="4" t="inlineStr">
        <is>
          <t>CELIMAX JI WOO GAE ONE STEP MILD CLEANSING PAD 60PADS</t>
        </is>
      </c>
      <c r="E29" s="6" t="n">
        <v>20000</v>
      </c>
      <c r="F29" s="6" t="n">
        <v>6960.000000000001</v>
      </c>
      <c r="G29" s="6" t="n">
        <v>16</v>
      </c>
      <c r="H29" s="6" t="n"/>
      <c r="I29" s="6">
        <f>IF(H29="",0,H29*G29)</f>
        <v/>
      </c>
      <c r="J29" s="6">
        <f>IF(H29="",0,I29*F29)</f>
        <v/>
      </c>
    </row>
    <row r="30">
      <c r="A30" s="4" t="n">
        <v>26</v>
      </c>
      <c r="B30" s="5" t="inlineStr">
        <is>
          <t>8809783321225</t>
        </is>
      </c>
      <c r="C30" s="4" t="inlineStr">
        <is>
          <t>셀리맥스 시카 BHA 블레미쉬 토너 패드 170ml/60매</t>
        </is>
      </c>
      <c r="D30" s="4" t="inlineStr">
        <is>
          <t>CELIMAX JI WOO GAE CICA BHA BLEMISH TONER PAD 60PADS</t>
        </is>
      </c>
      <c r="E30" s="6" t="n">
        <v>24000</v>
      </c>
      <c r="F30" s="6" t="n">
        <v>8448</v>
      </c>
      <c r="G30" s="6" t="n">
        <v>24</v>
      </c>
      <c r="H30" s="6" t="n"/>
      <c r="I30" s="6">
        <f>IF(H30="",0,H30*G30)</f>
        <v/>
      </c>
      <c r="J30" s="6">
        <f>IF(H30="",0,I30*F30)</f>
        <v/>
      </c>
    </row>
    <row r="31">
      <c r="A31" s="4" t="n">
        <v>27</v>
      </c>
      <c r="B31" s="5" t="inlineStr">
        <is>
          <t>8809463992738</t>
        </is>
      </c>
      <c r="C31" s="4" t="inlineStr">
        <is>
          <t>셀리맥스 지우개 바디 미스트 150ml</t>
        </is>
      </c>
      <c r="D31" s="4" t="inlineStr">
        <is>
          <t>CELIMAX JI WOO GAE HEARTLEAF BHA BODY MIST 150ML</t>
        </is>
      </c>
      <c r="E31" s="6" t="n">
        <v>31000</v>
      </c>
      <c r="F31" s="6" t="n">
        <v>9517</v>
      </c>
      <c r="G31" s="6" t="n">
        <v>32</v>
      </c>
      <c r="H31" s="6" t="n"/>
      <c r="I31" s="6">
        <f>IF(H31="",0,H31*G31)</f>
        <v/>
      </c>
      <c r="J31" s="6">
        <f>IF(H31="",0,I31*F31)</f>
        <v/>
      </c>
    </row>
    <row r="32">
      <c r="A32" s="4" t="n">
        <v>28</v>
      </c>
      <c r="B32" s="5" t="inlineStr">
        <is>
          <t>8809626562921</t>
        </is>
      </c>
      <c r="C32" s="4" t="inlineStr">
        <is>
          <t>셀리맥스 베이킹 소다 딥 포어 지우개 폼 클렌징</t>
        </is>
      </c>
      <c r="D32" s="4" t="inlineStr">
        <is>
          <t>CELIMAX BAKING SODA DEEP PORE JI WOO GAE FOAM CLEANSING 150ML</t>
        </is>
      </c>
      <c r="E32" s="6" t="n">
        <v>9000</v>
      </c>
      <c r="F32" s="6" t="n">
        <v>3744</v>
      </c>
      <c r="G32" s="6" t="n">
        <v>45</v>
      </c>
      <c r="H32" s="6" t="n"/>
      <c r="I32" s="6">
        <f>IF(H32="",0,H32*G32)</f>
        <v/>
      </c>
      <c r="J32" s="6">
        <f>IF(H32="",0,I32*F32)</f>
        <v/>
      </c>
    </row>
    <row r="33">
      <c r="A33" s="4" t="n">
        <v>29</v>
      </c>
      <c r="B33" s="5" t="inlineStr">
        <is>
          <t>8809783324097</t>
        </is>
      </c>
      <c r="C33" s="4" t="inlineStr">
        <is>
          <t>셀리맥스 시카 바하 지우개 폼 클렌징 150ml</t>
        </is>
      </c>
      <c r="D33" s="4" t="inlineStr">
        <is>
          <t>CELIMAX JI WOO GAE CICA BHA ACNE FOAM CLEANSING 150ML</t>
        </is>
      </c>
      <c r="E33" s="6" t="n">
        <v>14000</v>
      </c>
      <c r="F33" s="6" t="n">
        <v>8050.000000000001</v>
      </c>
      <c r="G33" s="6" t="n">
        <v>30</v>
      </c>
      <c r="H33" s="6" t="n"/>
      <c r="I33" s="6">
        <f>IF(H33="",0,H33*G33)</f>
        <v/>
      </c>
      <c r="J33" s="6">
        <f>IF(H33="",0,I33*F33)</f>
        <v/>
      </c>
    </row>
    <row r="34">
      <c r="A34" s="4" t="n">
        <v>30</v>
      </c>
      <c r="B34" s="5" t="inlineStr">
        <is>
          <t>8809606850499</t>
        </is>
      </c>
      <c r="C34" s="4" t="inlineStr">
        <is>
          <t>셀리맥스 듀얼 배리어 젤 클렌저 200ml</t>
        </is>
      </c>
      <c r="D34" s="4" t="inlineStr">
        <is>
          <t>CELIMAX DUAL BARRIER MILD GEL CLEANSER 200ML</t>
        </is>
      </c>
      <c r="E34" s="6" t="n">
        <v>20000</v>
      </c>
      <c r="F34" s="6" t="n">
        <v>8040.000000000001</v>
      </c>
      <c r="G34" s="6" t="n">
        <v>24</v>
      </c>
      <c r="H34" s="6" t="n"/>
      <c r="I34" s="6">
        <f>IF(H34="",0,H34*G34)</f>
        <v/>
      </c>
      <c r="J34" s="6">
        <f>IF(H34="",0,I34*F34)</f>
        <v/>
      </c>
    </row>
    <row r="35">
      <c r="A35" s="4" t="n">
        <v>31</v>
      </c>
      <c r="B35" s="5" t="inlineStr">
        <is>
          <t>8809606850475</t>
        </is>
      </c>
      <c r="C35" s="4" t="inlineStr">
        <is>
          <t>셀리맥스 듀얼 배리어 토너 150ml</t>
        </is>
      </c>
      <c r="D35" s="4" t="inlineStr">
        <is>
          <t>CELIMAX DUAL BARRIER CREAMY TONER 150ML</t>
        </is>
      </c>
      <c r="E35" s="6" t="n">
        <v>22000</v>
      </c>
      <c r="F35" s="6" t="n">
        <v>8954</v>
      </c>
      <c r="G35" s="6" t="n">
        <v>24</v>
      </c>
      <c r="H35" s="6" t="n"/>
      <c r="I35" s="6">
        <f>IF(H35="",0,H35*G35)</f>
        <v/>
      </c>
      <c r="J35" s="6">
        <f>IF(H35="",0,I35*F35)</f>
        <v/>
      </c>
    </row>
    <row r="36">
      <c r="A36" s="4" t="n">
        <v>32</v>
      </c>
      <c r="B36" s="5" t="inlineStr">
        <is>
          <t>8809606850482</t>
        </is>
      </c>
      <c r="C36" s="4" t="inlineStr">
        <is>
          <t>셀리맥스 듀얼 배리어 세럼 30ml</t>
        </is>
      </c>
      <c r="D36" s="4" t="inlineStr">
        <is>
          <t>CELIMAX DUAL BARRIER BOOSTING SERUM 30ML</t>
        </is>
      </c>
      <c r="E36" s="6" t="n">
        <v>32000</v>
      </c>
      <c r="F36" s="6" t="n">
        <v>10848</v>
      </c>
      <c r="G36" s="6" t="n">
        <v>56</v>
      </c>
      <c r="H36" s="6" t="n"/>
      <c r="I36" s="6">
        <f>IF(H36="",0,H36*G36)</f>
        <v/>
      </c>
      <c r="J36" s="6">
        <f>IF(H36="",0,I36*F36)</f>
        <v/>
      </c>
    </row>
    <row r="37">
      <c r="A37" s="4" t="n">
        <v>33</v>
      </c>
      <c r="B37" s="5" t="inlineStr">
        <is>
          <t>8809606850505</t>
        </is>
      </c>
      <c r="C37" s="4" t="inlineStr">
        <is>
          <t>셀리맥스 듀얼 배리어 크림 50ml</t>
        </is>
      </c>
      <c r="D37" s="4" t="inlineStr">
        <is>
          <t>CELIMAX DUAL BARRIER SKIN WEARABLE CREAM 50ML</t>
        </is>
      </c>
      <c r="E37" s="6" t="n">
        <v>35000</v>
      </c>
      <c r="F37" s="6" t="n">
        <v>11865</v>
      </c>
      <c r="G37" s="6" t="n">
        <v>90</v>
      </c>
      <c r="H37" s="6" t="n"/>
      <c r="I37" s="6">
        <f>IF(H37="",0,H37*G37)</f>
        <v/>
      </c>
      <c r="J37" s="6">
        <f>IF(H37="",0,I37*F37)</f>
        <v/>
      </c>
    </row>
    <row r="38">
      <c r="A38" s="4" t="n">
        <v>34</v>
      </c>
      <c r="B38" s="5" t="inlineStr">
        <is>
          <t>8809686388172</t>
        </is>
      </c>
      <c r="C38" s="4" t="inlineStr">
        <is>
          <t>셀리맥스 듀얼 배리어 워터리 선크림 40ml</t>
        </is>
      </c>
      <c r="D38" s="4" t="inlineStr">
        <is>
          <t>CELIMAX DUAL BARRIER WATERY SUN CREAM 40ML</t>
        </is>
      </c>
      <c r="E38" s="6" t="n">
        <v>16000</v>
      </c>
      <c r="F38" s="6" t="n">
        <v>8032</v>
      </c>
      <c r="G38" s="6" t="n">
        <v>72</v>
      </c>
      <c r="H38" s="6" t="n"/>
      <c r="I38" s="6">
        <f>IF(H38="",0,H38*G38)</f>
        <v/>
      </c>
      <c r="J38" s="6">
        <f>IF(H38="",0,I38*F38)</f>
        <v/>
      </c>
    </row>
    <row r="39">
      <c r="A39" s="4" t="n">
        <v>35</v>
      </c>
      <c r="B39" s="5" t="inlineStr">
        <is>
          <t>8809606852578</t>
        </is>
      </c>
      <c r="C39" s="4" t="inlineStr">
        <is>
          <t>셀리맥스 듀얼배리어 클렌징 밤 50ml *2EA (본품 + 리필)</t>
        </is>
      </c>
      <c r="D39" s="4" t="inlineStr">
        <is>
          <t>CELIMAX DUAL BARRIER PURIFYING CLEANSING BALM 50ML (main product + refill)</t>
        </is>
      </c>
      <c r="E39" s="6" t="n">
        <v>32000</v>
      </c>
      <c r="F39" s="6" t="n">
        <v>11552</v>
      </c>
      <c r="G39" s="6" t="n">
        <v>24</v>
      </c>
      <c r="H39" s="6" t="n"/>
      <c r="I39" s="6">
        <f>IF(H39="",0,H39*G39)</f>
        <v/>
      </c>
      <c r="J39" s="6">
        <f>IF(H39="",0,I39*F39)</f>
        <v/>
      </c>
    </row>
    <row r="40">
      <c r="A40" s="4" t="n">
        <v>36</v>
      </c>
      <c r="B40" s="5" t="inlineStr">
        <is>
          <t>8809606852585</t>
        </is>
      </c>
      <c r="C40" s="4" t="inlineStr">
        <is>
          <t>셀리맥스 듀얼배리어 클렌징 밤 50ml (리필)</t>
        </is>
      </c>
      <c r="D40" s="4" t="inlineStr">
        <is>
          <t>CELIMAX DUAL BARRIER PURIFYING CLEANSING BALM 50M refill</t>
        </is>
      </c>
      <c r="E40" s="6" t="n">
        <v>16000</v>
      </c>
      <c r="F40" s="6" t="n">
        <v>9280.000000000002</v>
      </c>
      <c r="G40" s="6" t="n">
        <v>48</v>
      </c>
      <c r="H40" s="6" t="n"/>
      <c r="I40" s="6">
        <f>IF(H40="",0,H40*G40)</f>
        <v/>
      </c>
      <c r="J40" s="6">
        <f>IF(H40="",0,I40*F40)</f>
        <v/>
      </c>
    </row>
    <row r="41">
      <c r="A41" s="4" t="n">
        <v>37</v>
      </c>
      <c r="B41" s="5" t="inlineStr">
        <is>
          <t>8809700320805</t>
        </is>
      </c>
      <c r="C41" s="4" t="inlineStr">
        <is>
          <t>셀리맥스 더 비타 에이 레티놀 샷 타이트닝 세럼 30ml</t>
        </is>
      </c>
      <c r="D41" s="4" t="inlineStr">
        <is>
          <t>CELIMAX THE VITA-A RETINOL SHOT TIGHTENING SERUM 30ML</t>
        </is>
      </c>
      <c r="E41" s="6" t="n">
        <v>32000</v>
      </c>
      <c r="F41" s="6" t="n">
        <v>12288</v>
      </c>
      <c r="G41" s="6" t="n">
        <v>60</v>
      </c>
      <c r="H41" s="6" t="n"/>
      <c r="I41" s="6">
        <f>IF(H41="",0,H41*G41)</f>
        <v/>
      </c>
      <c r="J41" s="6">
        <f>IF(H41="",0,I41*F41)</f>
        <v/>
      </c>
    </row>
    <row r="42">
      <c r="A42" s="4" t="n">
        <v>38</v>
      </c>
      <c r="B42" s="5" t="inlineStr">
        <is>
          <t>8809700320812</t>
        </is>
      </c>
      <c r="C42" s="4" t="inlineStr">
        <is>
          <t>셀리맥스 더 비타 에이 레티날 샷 타이트닝 부스터 15ml</t>
        </is>
      </c>
      <c r="D42" s="4" t="inlineStr">
        <is>
          <t>CELIMAX THE VITA-A RETINAL SHOT TIGHTENING BOOSTER 15ML</t>
        </is>
      </c>
      <c r="E42" s="6" t="n">
        <v>30000</v>
      </c>
      <c r="F42" s="6" t="n">
        <v>10980</v>
      </c>
      <c r="G42" s="6" t="n">
        <v>120</v>
      </c>
      <c r="H42" s="6" t="n"/>
      <c r="I42" s="6">
        <f>IF(H42="",0,H42*G42)</f>
        <v/>
      </c>
      <c r="J42" s="6">
        <f>IF(H42="",0,I42*F42)</f>
        <v/>
      </c>
    </row>
    <row r="43">
      <c r="A43" s="4" t="n">
        <v>39</v>
      </c>
      <c r="B43" s="5" t="inlineStr">
        <is>
          <t>8806050298525</t>
        </is>
      </c>
      <c r="C43" s="4" t="inlineStr">
        <is>
          <t>셀리맥스 프레시 클렌징 오일</t>
        </is>
      </c>
      <c r="D43" s="4" t="inlineStr">
        <is>
          <t>CELIMAX DERMA NATURE FRESH BLACKHEAD JOJOBA CLEANSING OIL 150ML</t>
        </is>
      </c>
      <c r="E43" s="6" t="n">
        <v>16000</v>
      </c>
      <c r="F43" s="6" t="n">
        <v>7168</v>
      </c>
      <c r="G43" s="6" t="n">
        <v>35</v>
      </c>
      <c r="H43" s="6" t="n"/>
      <c r="I43" s="6">
        <f>IF(H43="",0,H43*G43)</f>
        <v/>
      </c>
      <c r="J43" s="6">
        <f>IF(H43="",0,I43*F43)</f>
        <v/>
      </c>
    </row>
    <row r="44">
      <c r="A44" s="4" t="n">
        <v>40</v>
      </c>
      <c r="B44" s="5" t="inlineStr">
        <is>
          <t>8809975194439</t>
        </is>
      </c>
      <c r="C44" s="4" t="inlineStr">
        <is>
          <t>셀리맥스 마데시카 약산성 폼 클렌징</t>
        </is>
      </c>
      <c r="D44" s="4" t="inlineStr">
        <is>
          <t>CELIMAX DERMA NATURE RELIEF MADECICA PH BALANCING FOAM CLEANSING 150ML</t>
        </is>
      </c>
      <c r="E44" s="6" t="n">
        <v>10000</v>
      </c>
      <c r="F44" s="6" t="n">
        <v>5430</v>
      </c>
      <c r="G44" s="6" t="n">
        <v>40</v>
      </c>
      <c r="H44" s="6" t="n"/>
      <c r="I44" s="6">
        <f>IF(H44="",0,H44*G44)</f>
        <v/>
      </c>
      <c r="J44" s="6">
        <f>IF(H44="",0,I44*F44)</f>
        <v/>
      </c>
    </row>
    <row r="45">
      <c r="A45" s="4" t="n">
        <v>41</v>
      </c>
      <c r="B45" s="5" t="inlineStr">
        <is>
          <t>8809626564000</t>
        </is>
      </c>
      <c r="C45" s="4" t="inlineStr">
        <is>
          <t>셀리맥스 환생 톤업크림</t>
        </is>
      </c>
      <c r="D45" s="4" t="inlineStr">
        <is>
          <t>CELIMAX DERMA NATURE GLUTATHIONE LONGLASTING TONE-UP CREAM 35ML</t>
        </is>
      </c>
      <c r="E45" s="6" t="n">
        <v>17000</v>
      </c>
      <c r="F45" s="6" t="n">
        <v>6834</v>
      </c>
      <c r="G45" s="6" t="n">
        <v>117</v>
      </c>
      <c r="H45" s="6" t="n"/>
      <c r="I45" s="6">
        <f>IF(H45="",0,H45*G45)</f>
        <v/>
      </c>
      <c r="J45" s="6">
        <f>IF(H45="",0,I45*F45)</f>
        <v/>
      </c>
    </row>
    <row r="46">
      <c r="A46" s="4" t="n">
        <v>42</v>
      </c>
      <c r="B46" s="5" t="inlineStr">
        <is>
          <t>8809782559018</t>
        </is>
      </c>
      <c r="C46" s="4" t="inlineStr">
        <is>
          <t>셀리맥스 오일 컨트롤 에센스 30ml</t>
        </is>
      </c>
      <c r="D46" s="4" t="inlineStr">
        <is>
          <t>CELIMAX OIL CONTROL CAPSULE ESSENCE 30ML</t>
        </is>
      </c>
      <c r="E46" s="6" t="n">
        <v>31000</v>
      </c>
      <c r="F46" s="6" t="n">
        <v>10788</v>
      </c>
      <c r="G46" s="6" t="n">
        <v>60</v>
      </c>
      <c r="H46" s="6" t="n"/>
      <c r="I46" s="6">
        <f>IF(H46="",0,H46*G46)</f>
        <v/>
      </c>
      <c r="J46" s="6">
        <f>IF(H46="",0,I46*F46)</f>
        <v/>
      </c>
    </row>
    <row r="47">
      <c r="A47" s="4" t="n">
        <v>43</v>
      </c>
      <c r="B47" s="5" t="inlineStr">
        <is>
          <t>8809782559063</t>
        </is>
      </c>
      <c r="C47" s="4" t="inlineStr">
        <is>
          <t>셀리맥스 오일 컨트롤 라이트 선크림 40ml</t>
        </is>
      </c>
      <c r="D47" s="4" t="inlineStr">
        <is>
          <t>CELIMAX OIL CONTROL LIGHT SUNSCREEN 40ML</t>
        </is>
      </c>
      <c r="E47" s="6" t="n">
        <v>22000</v>
      </c>
      <c r="F47" s="6" t="n">
        <v>8954</v>
      </c>
      <c r="G47" s="6" t="n">
        <v>72</v>
      </c>
      <c r="H47" s="6" t="n"/>
      <c r="I47" s="6">
        <f>IF(H47="",0,H47*G47)</f>
        <v/>
      </c>
      <c r="J47" s="6">
        <f>IF(H47="",0,I47*F47)</f>
        <v/>
      </c>
    </row>
    <row r="48">
      <c r="A48" s="4" t="n">
        <v>44</v>
      </c>
      <c r="B48" s="5" t="inlineStr">
        <is>
          <t>8809743546880</t>
        </is>
      </c>
      <c r="C48" s="4" t="inlineStr">
        <is>
          <t>셀리맥스 오일 컨트롤 수분 크림 80ml</t>
        </is>
      </c>
      <c r="D48" s="4" t="inlineStr">
        <is>
          <t>CELIMAX OIL CONTROL MOISTURIZING CREAM 80ML</t>
        </is>
      </c>
      <c r="E48" s="6" t="n">
        <v>31000</v>
      </c>
      <c r="F48" s="6" t="n">
        <v>9951</v>
      </c>
      <c r="G48" s="6" t="n">
        <v>60</v>
      </c>
      <c r="H48" s="6" t="n"/>
      <c r="I48" s="6">
        <f>IF(H48="",0,H48*G48)</f>
        <v/>
      </c>
      <c r="J48" s="6">
        <f>IF(H48="",0,I48*F48)</f>
        <v/>
      </c>
    </row>
    <row r="49">
      <c r="A49" s="4" t="n">
        <v>45</v>
      </c>
      <c r="B49" s="5" t="inlineStr">
        <is>
          <t>8809971489911</t>
        </is>
      </c>
      <c r="C49" s="4" t="inlineStr">
        <is>
          <t>셀리맥스 오일 컨트롤 매티파잉 선스틱 19g</t>
        </is>
      </c>
      <c r="D49" s="4" t="inlineStr">
        <is>
          <t>CELIMAX OIL CONTROL MATTIFYING SUN STICK 19G</t>
        </is>
      </c>
      <c r="E49" s="6" t="n">
        <v>24000</v>
      </c>
      <c r="F49" s="6" t="n">
        <v>8784.000000000002</v>
      </c>
      <c r="G49" s="6" t="n">
        <v>120</v>
      </c>
      <c r="H49" s="6" t="n"/>
      <c r="I49" s="6">
        <f>IF(H49="",0,H49*G49)</f>
        <v/>
      </c>
      <c r="J49" s="6">
        <f>IF(H49="",0,I49*F49)</f>
        <v/>
      </c>
    </row>
    <row r="50">
      <c r="A50" s="4" t="n">
        <v>46</v>
      </c>
      <c r="B50" s="5" t="inlineStr">
        <is>
          <t>8809875906811</t>
        </is>
      </c>
      <c r="C50" s="4" t="inlineStr">
        <is>
          <t>셀리맥스 하트핑크 톤업 선크림 40ml</t>
        </is>
      </c>
      <c r="D50" s="4" t="inlineStr">
        <is>
          <t>CELIMAX HEART PINK TONE UP SUN CREAM 40ML</t>
        </is>
      </c>
      <c r="E50" s="6" t="n">
        <v>20000</v>
      </c>
      <c r="F50" s="6" t="n">
        <v>7320.000000000001</v>
      </c>
      <c r="G50" s="6" t="n">
        <v>84</v>
      </c>
      <c r="H50" s="6" t="n"/>
      <c r="I50" s="6">
        <f>IF(H50="",0,H50*G50)</f>
        <v/>
      </c>
      <c r="J50" s="6">
        <f>IF(H50="",0,I50*F50)</f>
        <v/>
      </c>
    </row>
    <row r="51">
      <c r="A51" s="4" t="n">
        <v>47</v>
      </c>
      <c r="B51" s="5" t="inlineStr">
        <is>
          <t>8809875907412</t>
        </is>
      </c>
      <c r="C51" s="4" t="inlineStr">
        <is>
          <t>셀리맥스 브라이트닝 모공잡티 세럼 30ml</t>
        </is>
      </c>
      <c r="D51" s="4" t="inlineStr">
        <is>
          <t>CELIMAX PORE+DARK SPOT BRIGHTENING SERUM 30ML</t>
        </is>
      </c>
      <c r="E51" s="6" t="n">
        <v>32000</v>
      </c>
      <c r="F51" s="6" t="n">
        <v>12576</v>
      </c>
      <c r="G51" s="6" t="n">
        <v>48</v>
      </c>
      <c r="H51" s="6" t="n"/>
      <c r="I51" s="6">
        <f>IF(H51="",0,H51*G51)</f>
        <v/>
      </c>
      <c r="J51" s="6">
        <f>IF(H51="",0,I51*F51)</f>
        <v/>
      </c>
    </row>
    <row r="52">
      <c r="A52" s="4" t="n">
        <v>48</v>
      </c>
      <c r="B52" s="5" t="inlineStr">
        <is>
          <t>8809743546323</t>
        </is>
      </c>
      <c r="C52" s="4" t="inlineStr">
        <is>
          <t>셀리맥스 브라이트닝 모공잡티 패드 40pads</t>
        </is>
      </c>
      <c r="D52" s="4" t="inlineStr">
        <is>
          <t>CELIMAX PORE+DARK SPOT BRIGHTENING PAD 40PADS</t>
        </is>
      </c>
      <c r="E52" s="6" t="n">
        <v>20000</v>
      </c>
      <c r="F52" s="6" t="n">
        <v>8220</v>
      </c>
      <c r="G52" s="6" t="n">
        <v>30</v>
      </c>
      <c r="H52" s="6" t="n"/>
      <c r="I52" s="6">
        <f>IF(H52="",0,H52*G52)</f>
        <v/>
      </c>
      <c r="J52" s="6">
        <f>IF(H52="",0,I52*F52)</f>
        <v/>
      </c>
    </row>
    <row r="53">
      <c r="A53" s="4" t="n">
        <v>49</v>
      </c>
      <c r="B53" s="5" t="inlineStr">
        <is>
          <t>8809743547467</t>
        </is>
      </c>
      <c r="C53" s="4" t="inlineStr">
        <is>
          <t>셀리맥스 브라이트닝 모공잡티 패드 80pads</t>
        </is>
      </c>
      <c r="D53" s="4" t="inlineStr">
        <is>
          <t>CELIMAX PORE+DARK SPOT BRIGHTENING PAD 80PADS</t>
        </is>
      </c>
      <c r="E53" s="6" t="n">
        <v>40000</v>
      </c>
      <c r="F53" s="6" t="n">
        <v>12440</v>
      </c>
      <c r="G53" s="6" t="n">
        <v>24</v>
      </c>
      <c r="H53" s="6" t="n"/>
      <c r="I53" s="6">
        <f>IF(H53="",0,H53*G53)</f>
        <v/>
      </c>
      <c r="J53" s="6">
        <f>IF(H53="",0,I53*F53)</f>
        <v/>
      </c>
    </row>
    <row r="54">
      <c r="A54" s="4" t="n">
        <v>50</v>
      </c>
      <c r="B54" s="5" t="inlineStr">
        <is>
          <t>8809971484503</t>
        </is>
      </c>
      <c r="C54" s="4" t="inlineStr">
        <is>
          <t>셀리맥스 모공잡티 크림 35ml</t>
        </is>
      </c>
      <c r="D54" s="4" t="inlineStr">
        <is>
          <t>CELIMAX PORE+DARK SPOT BRIGHTENING CREAM 35ML</t>
        </is>
      </c>
      <c r="E54" s="6" t="n">
        <v>35000</v>
      </c>
      <c r="F54" s="6" t="n">
        <v>11235</v>
      </c>
      <c r="G54" s="6" t="n">
        <v>120</v>
      </c>
      <c r="H54" s="6" t="n"/>
      <c r="I54" s="6">
        <f>IF(H54="",0,H54*G54)</f>
        <v/>
      </c>
      <c r="J54" s="6">
        <f>IF(H54="",0,I54*F54)</f>
        <v/>
      </c>
    </row>
    <row r="55">
      <c r="A55" s="4" t="n">
        <v>51</v>
      </c>
      <c r="B55" s="5" t="inlineStr">
        <is>
          <t>8809971484510</t>
        </is>
      </c>
      <c r="C55" s="4" t="inlineStr">
        <is>
          <t>셀리맥스 모공잡티 선스크린 50ml</t>
        </is>
      </c>
      <c r="D55" s="4" t="inlineStr">
        <is>
          <t>CELIMAX PORE+DARK SPOT BRIGHTENING CARE SUNSCREEN 50ML</t>
        </is>
      </c>
      <c r="E55" s="6" t="n">
        <v>24000</v>
      </c>
      <c r="F55" s="6" t="n">
        <v>9336</v>
      </c>
      <c r="G55" s="6" t="n">
        <v>120</v>
      </c>
      <c r="H55" s="6" t="n"/>
      <c r="I55" s="6">
        <f>IF(H55="",0,H55*G55)</f>
        <v/>
      </c>
      <c r="J55" s="6">
        <f>IF(H55="",0,I55*F55)</f>
        <v/>
      </c>
    </row>
    <row r="56">
      <c r="A56" s="4" t="n">
        <v>52</v>
      </c>
      <c r="B56" s="5" t="inlineStr">
        <is>
          <t>8809971482349</t>
        </is>
      </c>
      <c r="C56" s="4" t="inlineStr">
        <is>
          <t>셀리맥스 더 리얼 노니 스타터 키트</t>
        </is>
      </c>
      <c r="D56" s="4" t="inlineStr">
        <is>
          <t>CELIMAX THE REAL NONI STARTER KIT</t>
        </is>
      </c>
      <c r="E56" s="6" t="n">
        <v>0</v>
      </c>
      <c r="F56" s="6" t="n">
        <v>7832.436363636363</v>
      </c>
      <c r="G56" s="6" t="n">
        <v>40</v>
      </c>
      <c r="H56" s="6" t="n"/>
      <c r="I56" s="6">
        <f>IF(H56="",0,H56*G56)</f>
        <v/>
      </c>
      <c r="J56" s="6">
        <f>IF(H56="",0,I56*F56)</f>
        <v/>
      </c>
    </row>
    <row r="57">
      <c r="A57" s="4" t="n">
        <v>53</v>
      </c>
      <c r="B57" s="5" t="inlineStr">
        <is>
          <t>8809606852332</t>
        </is>
      </c>
      <c r="C57" s="4" t="inlineStr">
        <is>
          <t>셀리맥스 듀얼 베리어 트라이얼 키트</t>
        </is>
      </c>
      <c r="D57" s="4" t="inlineStr">
        <is>
          <t>CELIMAX DUAL BARRIER TRIAL KIT</t>
        </is>
      </c>
      <c r="E57" s="6" t="n">
        <v>0</v>
      </c>
      <c r="F57" s="6" t="n">
        <v>5549.581818181818</v>
      </c>
      <c r="G57" s="6" t="n">
        <v>64</v>
      </c>
      <c r="H57" s="6" t="n"/>
      <c r="I57" s="6">
        <f>IF(H57="",0,H57*G57)</f>
        <v/>
      </c>
      <c r="J57" s="6">
        <f>IF(H57="",0,I57*F57)</f>
        <v/>
      </c>
    </row>
    <row r="58">
      <c r="A58" s="4" t="n">
        <v>54</v>
      </c>
      <c r="B58" s="5" t="inlineStr">
        <is>
          <t>8800296551789</t>
        </is>
      </c>
      <c r="C58" s="4" t="inlineStr">
        <is>
          <t>셀리맥스 모공 다크 스팟 브라이트닝 키트</t>
        </is>
      </c>
      <c r="D58" s="4" t="inlineStr">
        <is>
          <t>CELIMAX PORE+DARK SPOT BRIGHTENING KIT</t>
        </is>
      </c>
      <c r="E58" s="6" t="n">
        <v>0</v>
      </c>
      <c r="F58" s="6" t="n">
        <v>6352.290909090909</v>
      </c>
      <c r="G58" s="6" t="n">
        <v>64</v>
      </c>
      <c r="H58" s="6" t="n"/>
      <c r="I58" s="6">
        <f>IF(H58="",0,H58*G58)</f>
        <v/>
      </c>
      <c r="J58" s="6">
        <f>IF(H58="",0,I58*F58)</f>
        <v/>
      </c>
    </row>
    <row r="59">
      <c r="A59" s="7" t="n"/>
      <c r="B59" s="7" t="inlineStr">
        <is>
          <t>TOTAL</t>
        </is>
      </c>
      <c r="C59" s="7" t="inlineStr">
        <is>
          <t>позиций: 54</t>
        </is>
      </c>
      <c r="D59" s="7" t="n"/>
      <c r="E59" s="8" t="n"/>
      <c r="F59" s="8" t="n"/>
      <c r="G59" s="8" t="n"/>
      <c r="H59" s="8">
        <f>SUM(H5:H58)</f>
        <v/>
      </c>
      <c r="I59" s="8">
        <f>SUM(I5:I58)</f>
        <v/>
      </c>
      <c r="J59" s="8">
        <f>SUM(J5:J58)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CELIMAX</dc:creator>
  <dc:title>CELIMAX PRICE LIST</dc:title>
  <dcterms:created xsi:type="dcterms:W3CDTF">2026-10-21T01:00:02Z</dcterms:created>
  <dcterms:modified xsi:type="dcterms:W3CDTF">2026-10-21T01:00:02Z</dcterms:modified>
  <cp:lastModifiedBy>CELIMAX</cp:lastModifiedBy>
</cp:coreProperties>
</file>
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ределение с Ч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3" fontId="2" fillId="4" borderId="0" pivotButton="0" quotePrefix="0" xfId="0"/>
    <xf numFmtId="3" fontId="2" fillId="5" borderId="0" pivotButton="0" quotePrefix="0" xfId="0"/>
    <xf numFmtId="4" fontId="2" fillId="6" borderId="0" pivotButton="0" quotePrefix="0" xfId="0"/>
    <xf numFmtId="4" fontId="2" fillId="7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18" customWidth="1" min="9" max="9"/>
    <col width="24" customWidth="1" min="10" max="10"/>
  </cols>
  <sheetData>
    <row r="1">
      <c r="A1" s="1" t="inlineStr">
        <is>
          <t>Артикул ВБ</t>
        </is>
      </c>
      <c r="B1" s="1" t="inlineStr">
        <is>
          <t>Наименование</t>
        </is>
      </c>
      <c r="C1" s="1" t="inlineStr">
        <is>
          <t>Остаток с ЧЗ, шт</t>
        </is>
      </c>
      <c r="D1" s="1" t="inlineStr">
        <is>
          <t>Хранение в день за ед., руб</t>
        </is>
      </c>
      <c r="E1" s="1" t="inlineStr">
        <is>
          <t>Отгрузка на Коротич (весь остаток), шт</t>
        </is>
      </c>
      <c r="F1" s="1" t="inlineStr">
        <is>
          <t>Отгрузка на Крона (весь остаток), шт</t>
        </is>
      </c>
      <c r="G1" s="1" t="inlineStr">
        <is>
          <t>Хранение до конца ноября всего (без продаж), руб</t>
        </is>
      </c>
      <c r="H1" s="1" t="inlineStr">
        <is>
          <t>Выкуп/день, шт (100 дн)</t>
        </is>
      </c>
      <c r="I1" s="1" t="inlineStr">
        <is>
          <t>Прогноз остатка к 30.11 (продают 2 магазина), шт</t>
        </is>
      </c>
      <c r="J1" s="1" t="inlineStr">
        <is>
          <t>Хранение до конца ноября с продажами и сезонностью (2 магазина), руб</t>
        </is>
      </c>
    </row>
    <row r="2">
      <c r="A2" s="2" t="n">
        <v>238415286</v>
      </c>
      <c r="B2" s="2" t="inlineStr">
        <is>
          <t>ENOUGH - Collagen Moisture Essential Cream [50ml] / Увлажняющий крем для лица с коллагеном</t>
        </is>
      </c>
      <c r="C2" s="3" t="n">
        <v>8000</v>
      </c>
      <c r="D2" s="4" t="n">
        <v>0.1598</v>
      </c>
      <c r="E2" s="3">
        <f>ROUND(C2*0.68961,0)</f>
        <v/>
      </c>
      <c r="F2" s="3">
        <f>C2-E2</f>
        <v/>
      </c>
      <c r="G2" s="5">
        <f>D2*C2*159</f>
        <v/>
      </c>
      <c r="H2" s="5" t="n">
        <v>55.26</v>
      </c>
      <c r="I2" s="3">
        <f>MAX(0,E2-H2*163.76)+MAX(0,F2-H2*73.708)</f>
        <v/>
      </c>
      <c r="J2" s="5">
        <f>D2*(((E2+MAX(0,E2-H2*6))/2*6+(MAX(0,E2-H2*6)+MAX(0,E2-H2*34.52))/2*31+(MAX(0,E2-H2*34.52)+MAX(0,E2-H2*63.04))/2*31+(MAX(0,E2-H2*63.04)+MAX(0,E2-H2*94.54))/2*30+(MAX(0,E2-H2*94.54)+MAX(0,E2-H2*129.26))/2*31+(MAX(0,E2-H2*129.26)+MAX(0,E2-H2*163.76))/2*30)+((F2+MAX(0,F2-H2*0.9))/2*6+(MAX(0,F2-H2*0.9)+MAX(0,F2-H2*8.03))/2*31+(MAX(0,F2-H2*8.03)+MAX(0,F2-H2*18.012))/2*31+(MAX(0,F2-H2*18.012)+MAX(0,F2-H2*32.187))/2*30+(MAX(0,F2-H2*32.187)+MAX(0,F2-H2*51.283))/2*31+(MAX(0,F2-H2*51.283)+MAX(0,F2-H2*73.708))/2*30))</f>
        <v/>
      </c>
    </row>
    <row r="3">
      <c r="A3" s="2" t="n">
        <v>207796789</v>
      </c>
      <c r="B3" s="2" t="inlineStr">
        <is>
          <t>ENOUGH - Gold Snail Moisture Foundation [Tone 13] / Тональный крем с муцином улитки 13 тон</t>
        </is>
      </c>
      <c r="C3" s="3" t="n">
        <v>300</v>
      </c>
      <c r="D3" s="4" t="n">
        <v>0.1695</v>
      </c>
      <c r="E3" s="3">
        <f>ROUND(C3*0.68961,0)</f>
        <v/>
      </c>
      <c r="F3" s="3">
        <f>C3-E3</f>
        <v/>
      </c>
      <c r="G3" s="5">
        <f>D3*C3*159</f>
        <v/>
      </c>
      <c r="H3" s="5" t="n">
        <v>9.91</v>
      </c>
      <c r="I3" s="3">
        <f>MAX(0,E3-H3*163.76)+MAX(0,F3-H3*73.708)</f>
        <v/>
      </c>
      <c r="J3" s="5">
        <f>D3*(((E3+MAX(0,E3-H3*6))/2*6+(MAX(0,E3-H3*6)+MAX(0,E3-H3*34.52))/2*31+(MAX(0,E3-H3*34.52)+MAX(0,E3-H3*63.04))/2*31+(MAX(0,E3-H3*63.04)+MAX(0,E3-H3*94.54))/2*30+(MAX(0,E3-H3*94.54)+MAX(0,E3-H3*129.26))/2*31+(MAX(0,E3-H3*129.26)+MAX(0,E3-H3*163.76))/2*30)+((F3+MAX(0,F3-H3*0.9))/2*6+(MAX(0,F3-H3*0.9)+MAX(0,F3-H3*8.03))/2*31+(MAX(0,F3-H3*8.03)+MAX(0,F3-H3*18.012))/2*31+(MAX(0,F3-H3*18.012)+MAX(0,F3-H3*32.187))/2*30+(MAX(0,F3-H3*32.187)+MAX(0,F3-H3*51.283))/2*31+(MAX(0,F3-H3*51.283)+MAX(0,F3-H3*73.708))/2*30))</f>
        <v/>
      </c>
    </row>
    <row r="4">
      <c r="A4" s="2" t="n">
        <v>207796898</v>
      </c>
      <c r="B4" s="2" t="inlineStr">
        <is>
          <t>ENOUGH - Gold Snail Moisture Foundation [Tone 21] / Тональный крем с муцином улитки 21 тон</t>
        </is>
      </c>
      <c r="C4" s="3" t="n">
        <v>200</v>
      </c>
      <c r="D4" s="4" t="n">
        <v>0.1594</v>
      </c>
      <c r="E4" s="3">
        <f>ROUND(C4*0.68961,0)</f>
        <v/>
      </c>
      <c r="F4" s="3">
        <f>C4-E4</f>
        <v/>
      </c>
      <c r="G4" s="5">
        <f>D4*C4*159</f>
        <v/>
      </c>
      <c r="H4" s="5" t="n">
        <v>6.92</v>
      </c>
      <c r="I4" s="3">
        <f>MAX(0,E4-H4*163.76)+MAX(0,F4-H4*73.708)</f>
        <v/>
      </c>
      <c r="J4" s="5">
        <f>D4*(((E4+MAX(0,E4-H4*6))/2*6+(MAX(0,E4-H4*6)+MAX(0,E4-H4*34.52))/2*31+(MAX(0,E4-H4*34.52)+MAX(0,E4-H4*63.04))/2*31+(MAX(0,E4-H4*63.04)+MAX(0,E4-H4*94.54))/2*30+(MAX(0,E4-H4*94.54)+MAX(0,E4-H4*129.26))/2*31+(MAX(0,E4-H4*129.26)+MAX(0,E4-H4*163.76))/2*30)+((F4+MAX(0,F4-H4*0.9))/2*6+(MAX(0,F4-H4*0.9)+MAX(0,F4-H4*8.03))/2*31+(MAX(0,F4-H4*8.03)+MAX(0,F4-H4*18.012))/2*31+(MAX(0,F4-H4*18.012)+MAX(0,F4-H4*32.187))/2*30+(MAX(0,F4-H4*32.187)+MAX(0,F4-H4*51.283))/2*31+(MAX(0,F4-H4*51.283)+MAX(0,F4-H4*73.708))/2*30))</f>
        <v/>
      </c>
    </row>
    <row r="5">
      <c r="A5" s="2" t="n">
        <v>151313163</v>
      </c>
      <c r="B5" s="2" t="inlineStr">
        <is>
          <t>ETUDE - Baking Powder Crunch Pore Scrub [200ml] / Очищающий скраб для лица с содой</t>
        </is>
      </c>
      <c r="C5" s="3" t="n">
        <v>4020</v>
      </c>
      <c r="D5" s="4" t="n">
        <v>0.1525</v>
      </c>
      <c r="E5" s="3">
        <f>ROUND(C5*0.68961,0)</f>
        <v/>
      </c>
      <c r="F5" s="3">
        <f>C5-E5</f>
        <v/>
      </c>
      <c r="G5" s="5">
        <f>D5*C5*159</f>
        <v/>
      </c>
      <c r="H5" s="5" t="n">
        <v>32.17</v>
      </c>
      <c r="I5" s="3">
        <f>MAX(0,E5-H5*163.76)+MAX(0,F5-H5*73.708)</f>
        <v/>
      </c>
      <c r="J5" s="5">
        <f>D5*(((E5+MAX(0,E5-H5*6))/2*6+(MAX(0,E5-H5*6)+MAX(0,E5-H5*34.52))/2*31+(MAX(0,E5-H5*34.52)+MAX(0,E5-H5*63.04))/2*31+(MAX(0,E5-H5*63.04)+MAX(0,E5-H5*94.54))/2*30+(MAX(0,E5-H5*94.54)+MAX(0,E5-H5*129.26))/2*31+(MAX(0,E5-H5*129.26)+MAX(0,E5-H5*163.76))/2*30)+((F5+MAX(0,F5-H5*0.9))/2*6+(MAX(0,F5-H5*0.9)+MAX(0,F5-H5*8.03))/2*31+(MAX(0,F5-H5*8.03)+MAX(0,F5-H5*18.012))/2*31+(MAX(0,F5-H5*18.012)+MAX(0,F5-H5*32.187))/2*30+(MAX(0,F5-H5*32.187)+MAX(0,F5-H5*51.283))/2*31+(MAX(0,F5-H5*51.283)+MAX(0,F5-H5*73.708))/2*30))</f>
        <v/>
      </c>
    </row>
    <row r="6">
      <c r="A6" s="2" t="n">
        <v>307073881</v>
      </c>
      <c r="B6" s="2" t="inlineStr">
        <is>
          <t>ETUDE - Baking Powder BB Deep Cleansing Foam [160ml] / Пенка с содой для глубокого очищения и снятия макияжа</t>
        </is>
      </c>
      <c r="C6" s="3" t="n">
        <v>400</v>
      </c>
      <c r="D6" s="4" t="n">
        <v>0.1502</v>
      </c>
      <c r="E6" s="3">
        <f>ROUND(C6*0.68961,0)</f>
        <v/>
      </c>
      <c r="F6" s="3">
        <f>C6-E6</f>
        <v/>
      </c>
      <c r="G6" s="5">
        <f>D6*C6*159</f>
        <v/>
      </c>
      <c r="H6" s="5" t="n">
        <v>3.91</v>
      </c>
      <c r="I6" s="3">
        <f>MAX(0,E6-H6*163.76)+MAX(0,F6-H6*73.708)</f>
        <v/>
      </c>
      <c r="J6" s="5">
        <f>D6*(((E6+MAX(0,E6-H6*6))/2*6+(MAX(0,E6-H6*6)+MAX(0,E6-H6*34.52))/2*31+(MAX(0,E6-H6*34.52)+MAX(0,E6-H6*63.04))/2*31+(MAX(0,E6-H6*63.04)+MAX(0,E6-H6*94.54))/2*30+(MAX(0,E6-H6*94.54)+MAX(0,E6-H6*129.26))/2*31+(MAX(0,E6-H6*129.26)+MAX(0,E6-H6*163.76))/2*30)+((F6+MAX(0,F6-H6*0.9))/2*6+(MAX(0,F6-H6*0.9)+MAX(0,F6-H6*8.03))/2*31+(MAX(0,F6-H6*8.03)+MAX(0,F6-H6*18.012))/2*31+(MAX(0,F6-H6*18.012)+MAX(0,F6-H6*32.187))/2*30+(MAX(0,F6-H6*32.187)+MAX(0,F6-H6*51.283))/2*31+(MAX(0,F6-H6*51.283)+MAX(0,F6-H6*73.708))/2*30))</f>
        <v/>
      </c>
    </row>
    <row r="7">
      <c r="A7" s="2" t="n">
        <v>207466866</v>
      </c>
      <c r="B7" s="2" t="inlineStr">
        <is>
          <t>HEIMISH - Artless Glow Base SPF50+ PA+++(Renew) [40ml] / База под макияж SPF50+ PA+++</t>
        </is>
      </c>
      <c r="C7" s="3" t="n">
        <v>1681</v>
      </c>
      <c r="D7" s="4" t="n">
        <v>0.1589</v>
      </c>
      <c r="E7" s="3">
        <f>ROUND(C7*0.68961,0)</f>
        <v/>
      </c>
      <c r="F7" s="3">
        <f>C7-E7</f>
        <v/>
      </c>
      <c r="G7" s="5">
        <f>D7*C7*159</f>
        <v/>
      </c>
      <c r="H7" s="5" t="n">
        <v>8.74</v>
      </c>
      <c r="I7" s="3">
        <f>MAX(0,E7-H7*163.76)+MAX(0,F7-H7*73.708)</f>
        <v/>
      </c>
      <c r="J7" s="5">
        <f>D7*(((E7+MAX(0,E7-H7*6))/2*6+(MAX(0,E7-H7*6)+MAX(0,E7-H7*34.52))/2*31+(MAX(0,E7-H7*34.52)+MAX(0,E7-H7*63.04))/2*31+(MAX(0,E7-H7*63.04)+MAX(0,E7-H7*94.54))/2*30+(MAX(0,E7-H7*94.54)+MAX(0,E7-H7*129.26))/2*31+(MAX(0,E7-H7*129.26)+MAX(0,E7-H7*163.76))/2*30)+((F7+MAX(0,F7-H7*0.9))/2*6+(MAX(0,F7-H7*0.9)+MAX(0,F7-H7*8.03))/2*31+(MAX(0,F7-H7*8.03)+MAX(0,F7-H7*18.012))/2*31+(MAX(0,F7-H7*18.012)+MAX(0,F7-H7*32.187))/2*30+(MAX(0,F7-H7*32.187)+MAX(0,F7-H7*51.283))/2*31+(MAX(0,F7-H7*51.283)+MAX(0,F7-H7*73.708))/2*30))</f>
        <v/>
      </c>
    </row>
    <row r="8">
      <c r="A8" s="2" t="n">
        <v>207482718</v>
      </c>
      <c r="B8" s="2" t="inlineStr">
        <is>
          <t>JIGOTT - Snail Lifting Cream [70ml] / Крем для лица увлажняющий антивозрастной</t>
        </is>
      </c>
      <c r="C8" s="3" t="n">
        <v>5000</v>
      </c>
      <c r="D8" s="4" t="n">
        <v>0.1592</v>
      </c>
      <c r="E8" s="3">
        <f>ROUND(C8*0.68961,0)</f>
        <v/>
      </c>
      <c r="F8" s="3">
        <f>C8-E8</f>
        <v/>
      </c>
      <c r="G8" s="5">
        <f>D8*C8*159</f>
        <v/>
      </c>
      <c r="H8" s="5" t="n">
        <v>25.6</v>
      </c>
      <c r="I8" s="3">
        <f>MAX(0,E8-H8*163.76)+MAX(0,F8-H8*73.708)</f>
        <v/>
      </c>
      <c r="J8" s="5">
        <f>D8*(((E8+MAX(0,E8-H8*6))/2*6+(MAX(0,E8-H8*6)+MAX(0,E8-H8*34.52))/2*31+(MAX(0,E8-H8*34.52)+MAX(0,E8-H8*63.04))/2*31+(MAX(0,E8-H8*63.04)+MAX(0,E8-H8*94.54))/2*30+(MAX(0,E8-H8*94.54)+MAX(0,E8-H8*129.26))/2*31+(MAX(0,E8-H8*129.26)+MAX(0,E8-H8*163.76))/2*30)+((F8+MAX(0,F8-H8*0.9))/2*6+(MAX(0,F8-H8*0.9)+MAX(0,F8-H8*8.03))/2*31+(MAX(0,F8-H8*8.03)+MAX(0,F8-H8*18.012))/2*31+(MAX(0,F8-H8*18.012)+MAX(0,F8-H8*32.187))/2*30+(MAX(0,F8-H8*32.187)+MAX(0,F8-H8*51.283))/2*31+(MAX(0,F8-H8*51.283)+MAX(0,F8-H8*73.708))/2*30))</f>
        <v/>
      </c>
    </row>
    <row r="9">
      <c r="A9" s="2" t="n">
        <v>207483179</v>
      </c>
      <c r="B9" s="2" t="inlineStr">
        <is>
          <t>JIGOTT - Snail Reparing Cream [100ml] / Крем для лица увлажняющий антивозрастной с муцином улитки</t>
        </is>
      </c>
      <c r="C9" s="3" t="n">
        <v>1440</v>
      </c>
      <c r="D9" s="4" t="n">
        <v>0.1613</v>
      </c>
      <c r="E9" s="3">
        <f>ROUND(C9*0.68961,0)</f>
        <v/>
      </c>
      <c r="F9" s="3">
        <f>C9-E9</f>
        <v/>
      </c>
      <c r="G9" s="5">
        <f>D9*C9*159</f>
        <v/>
      </c>
      <c r="H9" s="5" t="n">
        <v>6.77</v>
      </c>
      <c r="I9" s="3">
        <f>MAX(0,E9-H9*163.76)+MAX(0,F9-H9*73.708)</f>
        <v/>
      </c>
      <c r="J9" s="5">
        <f>D9*(((E9+MAX(0,E9-H9*6))/2*6+(MAX(0,E9-H9*6)+MAX(0,E9-H9*34.52))/2*31+(MAX(0,E9-H9*34.52)+MAX(0,E9-H9*63.04))/2*31+(MAX(0,E9-H9*63.04)+MAX(0,E9-H9*94.54))/2*30+(MAX(0,E9-H9*94.54)+MAX(0,E9-H9*129.26))/2*31+(MAX(0,E9-H9*129.26)+MAX(0,E9-H9*163.76))/2*30)+((F9+MAX(0,F9-H9*0.9))/2*6+(MAX(0,F9-H9*0.9)+MAX(0,F9-H9*8.03))/2*31+(MAX(0,F9-H9*8.03)+MAX(0,F9-H9*18.012))/2*31+(MAX(0,F9-H9*18.012)+MAX(0,F9-H9*32.187))/2*30+(MAX(0,F9-H9*32.187)+MAX(0,F9-H9*51.283))/2*31+(MAX(0,F9-H9*51.283)+MAX(0,F9-H9*73.708))/2*30))</f>
        <v/>
      </c>
    </row>
    <row r="10">
      <c r="A10" s="2" t="n">
        <v>207483780</v>
      </c>
      <c r="B10" s="2" t="inlineStr">
        <is>
          <t>JIGOTT - Birds Nest Firming Cream [70ml] / Антивозрастной крем с экстрактом ласточкиного гнезда</t>
        </is>
      </c>
      <c r="C10" s="3" t="n">
        <v>1900</v>
      </c>
      <c r="D10" s="4" t="n">
        <v>0.1358</v>
      </c>
      <c r="E10" s="3">
        <f>ROUND(C10*0.68961,0)</f>
        <v/>
      </c>
      <c r="F10" s="3">
        <f>C10-E10</f>
        <v/>
      </c>
      <c r="G10" s="5">
        <f>D10*C10*159</f>
        <v/>
      </c>
      <c r="H10" s="5" t="n">
        <v>3.33</v>
      </c>
      <c r="I10" s="3">
        <f>MAX(0,E10-H10*163.76)+MAX(0,F10-H10*73.708)</f>
        <v/>
      </c>
      <c r="J10" s="5">
        <f>D10*(((E10+MAX(0,E10-H10*6))/2*6+(MAX(0,E10-H10*6)+MAX(0,E10-H10*34.52))/2*31+(MAX(0,E10-H10*34.52)+MAX(0,E10-H10*63.04))/2*31+(MAX(0,E10-H10*63.04)+MAX(0,E10-H10*94.54))/2*30+(MAX(0,E10-H10*94.54)+MAX(0,E10-H10*129.26))/2*31+(MAX(0,E10-H10*129.26)+MAX(0,E10-H10*163.76))/2*30)+((F10+MAX(0,F10-H10*0.9))/2*6+(MAX(0,F10-H10*0.9)+MAX(0,F10-H10*8.03))/2*31+(MAX(0,F10-H10*8.03)+MAX(0,F10-H10*18.012))/2*31+(MAX(0,F10-H10*18.012)+MAX(0,F10-H10*32.187))/2*30+(MAX(0,F10-H10*32.187)+MAX(0,F10-H10*51.283))/2*31+(MAX(0,F10-H10*51.283)+MAX(0,F10-H10*73.708))/2*30))</f>
        <v/>
      </c>
    </row>
    <row r="11">
      <c r="A11" s="2" t="n">
        <v>212760119</v>
      </c>
      <c r="B11" s="2" t="inlineStr">
        <is>
          <t>JIGOTT - Ultimate Real Collagen Toner [300ml] / тонер с коллагеном антивозрастной</t>
        </is>
      </c>
      <c r="C11" s="3" t="n">
        <v>1200</v>
      </c>
      <c r="D11" s="4" t="n">
        <v>0.152</v>
      </c>
      <c r="E11" s="3">
        <f>ROUND(C11*0.68961,0)</f>
        <v/>
      </c>
      <c r="F11" s="3">
        <f>C11-E11</f>
        <v/>
      </c>
      <c r="G11" s="5">
        <f>D11*C11*159</f>
        <v/>
      </c>
      <c r="H11" s="5" t="n">
        <v>3.2</v>
      </c>
      <c r="I11" s="3">
        <f>MAX(0,E11-H11*163.76)+MAX(0,F11-H11*73.708)</f>
        <v/>
      </c>
      <c r="J11" s="5">
        <f>D11*(((E11+MAX(0,E11-H11*6))/2*6+(MAX(0,E11-H11*6)+MAX(0,E11-H11*34.52))/2*31+(MAX(0,E11-H11*34.52)+MAX(0,E11-H11*63.04))/2*31+(MAX(0,E11-H11*63.04)+MAX(0,E11-H11*94.54))/2*30+(MAX(0,E11-H11*94.54)+MAX(0,E11-H11*129.26))/2*31+(MAX(0,E11-H11*129.26)+MAX(0,E11-H11*163.76))/2*30)+((F11+MAX(0,F11-H11*0.9))/2*6+(MAX(0,F11-H11*0.9)+MAX(0,F11-H11*8.03))/2*31+(MAX(0,F11-H11*8.03)+MAX(0,F11-H11*18.012))/2*31+(MAX(0,F11-H11*18.012)+MAX(0,F11-H11*32.187))/2*30+(MAX(0,F11-H11*32.187)+MAX(0,F11-H11*51.283))/2*31+(MAX(0,F11-H11*51.283)+MAX(0,F11-H11*73.708))/2*30))</f>
        <v/>
      </c>
    </row>
    <row r="12">
      <c r="A12" s="2" t="n">
        <v>212757456</v>
      </c>
      <c r="B12" s="2" t="inlineStr">
        <is>
          <t>JIGOTT - Daily Real Cica Toner [300ml] / Тонер для лица с центеллой азиатской</t>
        </is>
      </c>
      <c r="C12" s="3" t="n">
        <v>1400</v>
      </c>
      <c r="D12" s="4" t="n">
        <v>0.2115</v>
      </c>
      <c r="E12" s="3">
        <f>ROUND(C12*0.68961,0)</f>
        <v/>
      </c>
      <c r="F12" s="3">
        <f>C12-E12</f>
        <v/>
      </c>
      <c r="G12" s="5">
        <f>D12*C12*159</f>
        <v/>
      </c>
      <c r="H12" s="5" t="n">
        <v>2.99</v>
      </c>
      <c r="I12" s="3">
        <f>MAX(0,E12-H12*163.76)+MAX(0,F12-H12*73.708)</f>
        <v/>
      </c>
      <c r="J12" s="5">
        <f>D12*(((E12+MAX(0,E12-H12*6))/2*6+(MAX(0,E12-H12*6)+MAX(0,E12-H12*34.52))/2*31+(MAX(0,E12-H12*34.52)+MAX(0,E12-H12*63.04))/2*31+(MAX(0,E12-H12*63.04)+MAX(0,E12-H12*94.54))/2*30+(MAX(0,E12-H12*94.54)+MAX(0,E12-H12*129.26))/2*31+(MAX(0,E12-H12*129.26)+MAX(0,E12-H12*163.76))/2*30)+((F12+MAX(0,F12-H12*0.9))/2*6+(MAX(0,F12-H12*0.9)+MAX(0,F12-H12*8.03))/2*31+(MAX(0,F12-H12*8.03)+MAX(0,F12-H12*18.012))/2*31+(MAX(0,F12-H12*18.012)+MAX(0,F12-H12*32.187))/2*30+(MAX(0,F12-H12*32.187)+MAX(0,F12-H12*51.283))/2*31+(MAX(0,F12-H12*51.283)+MAX(0,F12-H12*73.708))/2*30))</f>
        <v/>
      </c>
    </row>
    <row r="13">
      <c r="A13" s="2" t="n">
        <v>212883090</v>
      </c>
      <c r="B13" s="2" t="inlineStr">
        <is>
          <t>JIGOTT - Aura Secret Hyaluronec Acid Toner [300ml] / Тонер с гиалуроновой кислотой антивозрастной</t>
        </is>
      </c>
      <c r="C13" s="3" t="n">
        <v>300</v>
      </c>
      <c r="D13" s="4" t="n">
        <v>0.1461</v>
      </c>
      <c r="E13" s="3">
        <f>ROUND(C13*0.68961,0)</f>
        <v/>
      </c>
      <c r="F13" s="3">
        <f>C13-E13</f>
        <v/>
      </c>
      <c r="G13" s="5">
        <f>D13*C13*159</f>
        <v/>
      </c>
      <c r="H13" s="5" t="n">
        <v>1.53</v>
      </c>
      <c r="I13" s="3">
        <f>MAX(0,E13-H13*163.76)+MAX(0,F13-H13*73.708)</f>
        <v/>
      </c>
      <c r="J13" s="5">
        <f>D13*(((E13+MAX(0,E13-H13*6))/2*6+(MAX(0,E13-H13*6)+MAX(0,E13-H13*34.52))/2*31+(MAX(0,E13-H13*34.52)+MAX(0,E13-H13*63.04))/2*31+(MAX(0,E13-H13*63.04)+MAX(0,E13-H13*94.54))/2*30+(MAX(0,E13-H13*94.54)+MAX(0,E13-H13*129.26))/2*31+(MAX(0,E13-H13*129.26)+MAX(0,E13-H13*163.76))/2*30)+((F13+MAX(0,F13-H13*0.9))/2*6+(MAX(0,F13-H13*0.9)+MAX(0,F13-H13*8.03))/2*31+(MAX(0,F13-H13*8.03)+MAX(0,F13-H13*18.012))/2*31+(MAX(0,F13-H13*18.012)+MAX(0,F13-H13*32.187))/2*30+(MAX(0,F13-H13*32.187)+MAX(0,F13-H13*51.283))/2*31+(MAX(0,F13-H13*51.283)+MAX(0,F13-H13*73.708))/2*30))</f>
        <v/>
      </c>
    </row>
    <row r="14">
      <c r="A14" s="2" t="n">
        <v>212759698</v>
      </c>
      <c r="B14" s="2" t="inlineStr">
        <is>
          <t>JIGOTT - Moisture Real Aloe Vera Toner [300ml] / Тонер для лица увлажняющий с экстрактом алоэ</t>
        </is>
      </c>
      <c r="C14" s="3" t="n">
        <v>500</v>
      </c>
      <c r="D14" s="4" t="n">
        <v>0.1484</v>
      </c>
      <c r="E14" s="3">
        <f>ROUND(C14*0.68961,0)</f>
        <v/>
      </c>
      <c r="F14" s="3">
        <f>C14-E14</f>
        <v/>
      </c>
      <c r="G14" s="5">
        <f>D14*C14*159</f>
        <v/>
      </c>
      <c r="H14" s="5" t="n">
        <v>2.02</v>
      </c>
      <c r="I14" s="3">
        <f>MAX(0,E14-H14*163.76)+MAX(0,F14-H14*73.708)</f>
        <v/>
      </c>
      <c r="J14" s="5">
        <f>D14*(((E14+MAX(0,E14-H14*6))/2*6+(MAX(0,E14-H14*6)+MAX(0,E14-H14*34.52))/2*31+(MAX(0,E14-H14*34.52)+MAX(0,E14-H14*63.04))/2*31+(MAX(0,E14-H14*63.04)+MAX(0,E14-H14*94.54))/2*30+(MAX(0,E14-H14*94.54)+MAX(0,E14-H14*129.26))/2*31+(MAX(0,E14-H14*129.26)+MAX(0,E14-H14*163.76))/2*30)+((F14+MAX(0,F14-H14*0.9))/2*6+(MAX(0,F14-H14*0.9)+MAX(0,F14-H14*8.03))/2*31+(MAX(0,F14-H14*8.03)+MAX(0,F14-H14*18.012))/2*31+(MAX(0,F14-H14*18.012)+MAX(0,F14-H14*32.187))/2*30+(MAX(0,F14-H14*32.187)+MAX(0,F14-H14*51.283))/2*31+(MAX(0,F14-H14*51.283)+MAX(0,F14-H14*73.708))/2*30))</f>
        <v/>
      </c>
    </row>
    <row r="15">
      <c r="A15" s="2" t="n">
        <v>198147185</v>
      </c>
      <c r="B15" s="2" t="inlineStr">
        <is>
          <t>MANYO - Bifida Biome Complex Ampoule [50ml] / Антивозрастная сыворотка для лица</t>
        </is>
      </c>
      <c r="C15" s="3" t="n">
        <v>1260</v>
      </c>
      <c r="D15" s="4" t="n">
        <v>0.1531</v>
      </c>
      <c r="E15" s="3">
        <f>ROUND(C15*0.68961,0)</f>
        <v/>
      </c>
      <c r="F15" s="3">
        <f>C15-E15</f>
        <v/>
      </c>
      <c r="G15" s="5">
        <f>D15*C15*159</f>
        <v/>
      </c>
      <c r="H15" s="5" t="n">
        <v>5.33</v>
      </c>
      <c r="I15" s="3">
        <f>MAX(0,E15-H15*163.76)+MAX(0,F15-H15*73.708)</f>
        <v/>
      </c>
      <c r="J15" s="5">
        <f>D15*(((E15+MAX(0,E15-H15*6))/2*6+(MAX(0,E15-H15*6)+MAX(0,E15-H15*34.52))/2*31+(MAX(0,E15-H15*34.52)+MAX(0,E15-H15*63.04))/2*31+(MAX(0,E15-H15*63.04)+MAX(0,E15-H15*94.54))/2*30+(MAX(0,E15-H15*94.54)+MAX(0,E15-H15*129.26))/2*31+(MAX(0,E15-H15*129.26)+MAX(0,E15-H15*163.76))/2*30)+((F15+MAX(0,F15-H15*0.9))/2*6+(MAX(0,F15-H15*0.9)+MAX(0,F15-H15*8.03))/2*31+(MAX(0,F15-H15*8.03)+MAX(0,F15-H15*18.012))/2*31+(MAX(0,F15-H15*18.012)+MAX(0,F15-H15*32.187))/2*30+(MAX(0,F15-H15*32.187)+MAX(0,F15-H15*51.283))/2*31+(MAX(0,F15-H15*51.283)+MAX(0,F15-H15*73.708))/2*30))</f>
        <v/>
      </c>
    </row>
    <row r="16">
      <c r="A16" s="2" t="n">
        <v>198156472</v>
      </c>
      <c r="B16" s="2" t="inlineStr">
        <is>
          <t>MANYO - Galac Whitening Vita Serum [50ml] / Осветляющая сыворотка с Витамином C</t>
        </is>
      </c>
      <c r="C16" s="3" t="n">
        <v>1050</v>
      </c>
      <c r="D16" s="4" t="n">
        <v>0.1631</v>
      </c>
      <c r="E16" s="3">
        <f>ROUND(C16*0.68961,0)</f>
        <v/>
      </c>
      <c r="F16" s="3">
        <f>C16-E16</f>
        <v/>
      </c>
      <c r="G16" s="5">
        <f>D16*C16*159</f>
        <v/>
      </c>
      <c r="H16" s="5" t="n">
        <v>7.39</v>
      </c>
      <c r="I16" s="3">
        <f>MAX(0,E16-H16*163.76)+MAX(0,F16-H16*73.708)</f>
        <v/>
      </c>
      <c r="J16" s="5">
        <f>D16*(((E16+MAX(0,E16-H16*6))/2*6+(MAX(0,E16-H16*6)+MAX(0,E16-H16*34.52))/2*31+(MAX(0,E16-H16*34.52)+MAX(0,E16-H16*63.04))/2*31+(MAX(0,E16-H16*63.04)+MAX(0,E16-H16*94.54))/2*30+(MAX(0,E16-H16*94.54)+MAX(0,E16-H16*129.26))/2*31+(MAX(0,E16-H16*129.26)+MAX(0,E16-H16*163.76))/2*30)+((F16+MAX(0,F16-H16*0.9))/2*6+(MAX(0,F16-H16*0.9)+MAX(0,F16-H16*8.03))/2*31+(MAX(0,F16-H16*8.03)+MAX(0,F16-H16*18.012))/2*31+(MAX(0,F16-H16*18.012)+MAX(0,F16-H16*32.187))/2*30+(MAX(0,F16-H16*32.187)+MAX(0,F16-H16*51.283))/2*31+(MAX(0,F16-H16*51.283)+MAX(0,F16-H16*73.708))/2*30))</f>
        <v/>
      </c>
    </row>
    <row r="17">
      <c r="A17" s="2" t="n">
        <v>198143251</v>
      </c>
      <c r="B17" s="2" t="inlineStr">
        <is>
          <t>MANYO - Bifida Biome Ampoule Lotion [300ml] / Укрепляющий лосьон с бифидобактериями</t>
        </is>
      </c>
      <c r="C17" s="3" t="n">
        <v>1240</v>
      </c>
      <c r="D17" s="4" t="n">
        <v>0.1639</v>
      </c>
      <c r="E17" s="3">
        <f>ROUND(C17*0.68961,0)</f>
        <v/>
      </c>
      <c r="F17" s="3">
        <f>C17-E17</f>
        <v/>
      </c>
      <c r="G17" s="5">
        <f>D17*C17*159</f>
        <v/>
      </c>
      <c r="H17" s="5" t="n">
        <v>0.61</v>
      </c>
      <c r="I17" s="3">
        <f>MAX(0,E17-H17*163.76)+MAX(0,F17-H17*73.708)</f>
        <v/>
      </c>
      <c r="J17" s="5">
        <f>D17*(((E17+MAX(0,E17-H17*6))/2*6+(MAX(0,E17-H17*6)+MAX(0,E17-H17*34.52))/2*31+(MAX(0,E17-H17*34.52)+MAX(0,E17-H17*63.04))/2*31+(MAX(0,E17-H17*63.04)+MAX(0,E17-H17*94.54))/2*30+(MAX(0,E17-H17*94.54)+MAX(0,E17-H17*129.26))/2*31+(MAX(0,E17-H17*129.26)+MAX(0,E17-H17*163.76))/2*30)+((F17+MAX(0,F17-H17*0.9))/2*6+(MAX(0,F17-H17*0.9)+MAX(0,F17-H17*8.03))/2*31+(MAX(0,F17-H17*8.03)+MAX(0,F17-H17*18.012))/2*31+(MAX(0,F17-H17*18.012)+MAX(0,F17-H17*32.187))/2*30+(MAX(0,F17-H17*32.187)+MAX(0,F17-H17*51.283))/2*31+(MAX(0,F17-H17*51.283)+MAX(0,F17-H17*73.708))/2*30))</f>
        <v/>
      </c>
    </row>
    <row r="18">
      <c r="A18" s="2" t="n">
        <v>198156698</v>
      </c>
      <c r="B18" s="2" t="inlineStr">
        <is>
          <t>MANYO - Pure Cleansing Oil [200ml] / Гидрофильное масло для глубокого очищения</t>
        </is>
      </c>
      <c r="C18" s="3" t="n">
        <v>480</v>
      </c>
      <c r="D18" s="4" t="n">
        <v>0.1592</v>
      </c>
      <c r="E18" s="3">
        <f>ROUND(C18*0.68961,0)</f>
        <v/>
      </c>
      <c r="F18" s="3">
        <f>C18-E18</f>
        <v/>
      </c>
      <c r="G18" s="5">
        <f>D18*C18*159</f>
        <v/>
      </c>
      <c r="H18" s="5" t="n">
        <v>3.57</v>
      </c>
      <c r="I18" s="3">
        <f>MAX(0,E18-H18*163.76)+MAX(0,F18-H18*73.708)</f>
        <v/>
      </c>
      <c r="J18" s="5">
        <f>D18*(((E18+MAX(0,E18-H18*6))/2*6+(MAX(0,E18-H18*6)+MAX(0,E18-H18*34.52))/2*31+(MAX(0,E18-H18*34.52)+MAX(0,E18-H18*63.04))/2*31+(MAX(0,E18-H18*63.04)+MAX(0,E18-H18*94.54))/2*30+(MAX(0,E18-H18*94.54)+MAX(0,E18-H18*129.26))/2*31+(MAX(0,E18-H18*129.26)+MAX(0,E18-H18*163.76))/2*30)+((F18+MAX(0,F18-H18*0.9))/2*6+(MAX(0,F18-H18*0.9)+MAX(0,F18-H18*8.03))/2*31+(MAX(0,F18-H18*8.03)+MAX(0,F18-H18*18.012))/2*31+(MAX(0,F18-H18*18.012)+MAX(0,F18-H18*32.187))/2*30+(MAX(0,F18-H18*32.187)+MAX(0,F18-H18*51.283))/2*31+(MAX(0,F18-H18*51.283)+MAX(0,F18-H18*73.708))/2*30))</f>
        <v/>
      </c>
    </row>
    <row r="19">
      <c r="A19" s="2" t="n">
        <v>868575374</v>
      </c>
      <c r="B19" s="2" t="inlineStr">
        <is>
          <t>MANYO BIFIDA COMPLEX AMPOULE GEL CLEANSER [400ml] / Гель для умывания с бифидобактериями</t>
        </is>
      </c>
      <c r="C19" s="3" t="n">
        <v>700</v>
      </c>
      <c r="D19" s="4" t="n">
        <v>0.2111</v>
      </c>
      <c r="E19" s="3">
        <f>ROUND(C19*0.68961,0)</f>
        <v/>
      </c>
      <c r="F19" s="3">
        <f>C19-E19</f>
        <v/>
      </c>
      <c r="G19" s="5">
        <f>D19*C19*159</f>
        <v/>
      </c>
      <c r="H19" s="5" t="n">
        <v>1.38</v>
      </c>
      <c r="I19" s="3">
        <f>MAX(0,E19-H19*163.76)+MAX(0,F19-H19*73.708)</f>
        <v/>
      </c>
      <c r="J19" s="5">
        <f>D19*(((E19+MAX(0,E19-H19*6))/2*6+(MAX(0,E19-H19*6)+MAX(0,E19-H19*34.52))/2*31+(MAX(0,E19-H19*34.52)+MAX(0,E19-H19*63.04))/2*31+(MAX(0,E19-H19*63.04)+MAX(0,E19-H19*94.54))/2*30+(MAX(0,E19-H19*94.54)+MAX(0,E19-H19*129.26))/2*31+(MAX(0,E19-H19*129.26)+MAX(0,E19-H19*163.76))/2*30)+((F19+MAX(0,F19-H19*0.9))/2*6+(MAX(0,F19-H19*0.9)+MAX(0,F19-H19*8.03))/2*31+(MAX(0,F19-H19*8.03)+MAX(0,F19-H19*18.012))/2*31+(MAX(0,F19-H19*18.012)+MAX(0,F19-H19*32.187))/2*30+(MAX(0,F19-H19*32.187)+MAX(0,F19-H19*51.283))/2*31+(MAX(0,F19-H19*51.283)+MAX(0,F19-H19*73.708))/2*30))</f>
        <v/>
      </c>
    </row>
    <row r="20">
      <c r="A20" s="2" t="n">
        <v>868700077</v>
      </c>
      <c r="B20" s="2" t="inlineStr">
        <is>
          <t>MANYO BIFIDA INFUSION SHOT AMPOULE 1DX [50ml] / Сыворотка с микроиглами и пробиотиками</t>
        </is>
      </c>
      <c r="C20" s="3" t="n">
        <v>630</v>
      </c>
      <c r="D20" s="4" t="n">
        <v>0.1444</v>
      </c>
      <c r="E20" s="3">
        <f>ROUND(C20*0.68961,0)</f>
        <v/>
      </c>
      <c r="F20" s="3">
        <f>C20-E20</f>
        <v/>
      </c>
      <c r="G20" s="5">
        <f>D20*C20*159</f>
        <v/>
      </c>
      <c r="H20" s="5" t="n">
        <v>0.95</v>
      </c>
      <c r="I20" s="3">
        <f>MAX(0,E20-H20*163.76)+MAX(0,F20-H20*73.708)</f>
        <v/>
      </c>
      <c r="J20" s="5">
        <f>D20*(((E20+MAX(0,E20-H20*6))/2*6+(MAX(0,E20-H20*6)+MAX(0,E20-H20*34.52))/2*31+(MAX(0,E20-H20*34.52)+MAX(0,E20-H20*63.04))/2*31+(MAX(0,E20-H20*63.04)+MAX(0,E20-H20*94.54))/2*30+(MAX(0,E20-H20*94.54)+MAX(0,E20-H20*129.26))/2*31+(MAX(0,E20-H20*129.26)+MAX(0,E20-H20*163.76))/2*30)+((F20+MAX(0,F20-H20*0.9))/2*6+(MAX(0,F20-H20*0.9)+MAX(0,F20-H20*8.03))/2*31+(MAX(0,F20-H20*8.03)+MAX(0,F20-H20*18.012))/2*31+(MAX(0,F20-H20*18.012)+MAX(0,F20-H20*32.187))/2*30+(MAX(0,F20-H20*32.187)+MAX(0,F20-H20*51.283))/2*31+(MAX(0,F20-H20*51.283)+MAX(0,F20-H20*73.708))/2*30))</f>
        <v/>
      </c>
    </row>
    <row r="21">
      <c r="A21" s="2" t="n">
        <v>179611231</v>
      </c>
      <c r="B21" s="2" t="inlineStr">
        <is>
          <t>PETITFEE - Collagen &amp; CoQ10 Hydrogel Eye Patch [60ea] / Гидрогелевые патчи для глаз с коллагеном и коэнзимом Q10</t>
        </is>
      </c>
      <c r="C21" s="3" t="n">
        <v>792</v>
      </c>
      <c r="D21" s="4" t="n">
        <v>0.1544</v>
      </c>
      <c r="E21" s="3">
        <f>ROUND(C21*0.68961,0)</f>
        <v/>
      </c>
      <c r="F21" s="3">
        <f>C21-E21</f>
        <v/>
      </c>
      <c r="G21" s="5">
        <f>D21*C21*159</f>
        <v/>
      </c>
      <c r="H21" s="5" t="n">
        <v>1.26</v>
      </c>
      <c r="I21" s="3">
        <f>MAX(0,E21-H21*163.76)+MAX(0,F21-H21*73.708)</f>
        <v/>
      </c>
      <c r="J21" s="5">
        <f>D21*(((E21+MAX(0,E21-H21*6))/2*6+(MAX(0,E21-H21*6)+MAX(0,E21-H21*34.52))/2*31+(MAX(0,E21-H21*34.52)+MAX(0,E21-H21*63.04))/2*31+(MAX(0,E21-H21*63.04)+MAX(0,E21-H21*94.54))/2*30+(MAX(0,E21-H21*94.54)+MAX(0,E21-H21*129.26))/2*31+(MAX(0,E21-H21*129.26)+MAX(0,E21-H21*163.76))/2*30)+((F21+MAX(0,F21-H21*0.9))/2*6+(MAX(0,F21-H21*0.9)+MAX(0,F21-H21*8.03))/2*31+(MAX(0,F21-H21*8.03)+MAX(0,F21-H21*18.012))/2*31+(MAX(0,F21-H21*18.012)+MAX(0,F21-H21*32.187))/2*30+(MAX(0,F21-H21*32.187)+MAX(0,F21-H21*51.283))/2*31+(MAX(0,F21-H21*51.283)+MAX(0,F21-H21*73.708))/2*30))</f>
        <v/>
      </c>
    </row>
    <row r="22">
      <c r="A22" s="2" t="n">
        <v>180988755</v>
      </c>
      <c r="B22" s="2" t="inlineStr">
        <is>
          <t>PETITFEE - Bera Glucan Deep Firming Eye Patch [60ea] / Тканевые патчи для век увлажняющие</t>
        </is>
      </c>
      <c r="C22" s="3" t="n">
        <v>240</v>
      </c>
      <c r="D22" s="4" t="n">
        <v>0.157</v>
      </c>
      <c r="E22" s="3">
        <f>ROUND(C22*0.68961,0)</f>
        <v/>
      </c>
      <c r="F22" s="3">
        <f>C22-E22</f>
        <v/>
      </c>
      <c r="G22" s="5">
        <f>D22*C22*159</f>
        <v/>
      </c>
      <c r="H22" s="5" t="n">
        <v>2.02</v>
      </c>
      <c r="I22" s="3">
        <f>MAX(0,E22-H22*163.76)+MAX(0,F22-H22*73.708)</f>
        <v/>
      </c>
      <c r="J22" s="5">
        <f>D22*(((E22+MAX(0,E22-H22*6))/2*6+(MAX(0,E22-H22*6)+MAX(0,E22-H22*34.52))/2*31+(MAX(0,E22-H22*34.52)+MAX(0,E22-H22*63.04))/2*31+(MAX(0,E22-H22*63.04)+MAX(0,E22-H22*94.54))/2*30+(MAX(0,E22-H22*94.54)+MAX(0,E22-H22*129.26))/2*31+(MAX(0,E22-H22*129.26)+MAX(0,E22-H22*163.76))/2*30)+((F22+MAX(0,F22-H22*0.9))/2*6+(MAX(0,F22-H22*0.9)+MAX(0,F22-H22*8.03))/2*31+(MAX(0,F22-H22*8.03)+MAX(0,F22-H22*18.012))/2*31+(MAX(0,F22-H22*18.012)+MAX(0,F22-H22*32.187))/2*30+(MAX(0,F22-H22*32.187)+MAX(0,F22-H22*51.283))/2*31+(MAX(0,F22-H22*51.283)+MAX(0,F22-H22*73.708))/2*30))</f>
        <v/>
      </c>
    </row>
    <row r="23">
      <c r="A23" s="2" t="n">
        <v>179611278</v>
      </c>
      <c r="B23" s="2" t="inlineStr">
        <is>
          <t>PETITFEE - Artichoke Soothing Hydrogel Eye Patch [60ea] / Смягчающие гидрогелевые патчи для глаз с экстрактом артишока</t>
        </is>
      </c>
      <c r="C23" s="3" t="n">
        <v>329</v>
      </c>
      <c r="D23" s="4" t="n">
        <v>0.1418</v>
      </c>
      <c r="E23" s="3">
        <f>ROUND(C23*0.68961,0)</f>
        <v/>
      </c>
      <c r="F23" s="3">
        <f>C23-E23</f>
        <v/>
      </c>
      <c r="G23" s="5">
        <f>D23*C23*159</f>
        <v/>
      </c>
      <c r="H23" s="5" t="n">
        <v>2</v>
      </c>
      <c r="I23" s="3">
        <f>MAX(0,E23-H23*163.76)+MAX(0,F23-H23*73.708)</f>
        <v/>
      </c>
      <c r="J23" s="5">
        <f>D23*(((E23+MAX(0,E23-H23*6))/2*6+(MAX(0,E23-H23*6)+MAX(0,E23-H23*34.52))/2*31+(MAX(0,E23-H23*34.52)+MAX(0,E23-H23*63.04))/2*31+(MAX(0,E23-H23*63.04)+MAX(0,E23-H23*94.54))/2*30+(MAX(0,E23-H23*94.54)+MAX(0,E23-H23*129.26))/2*31+(MAX(0,E23-H23*129.26)+MAX(0,E23-H23*163.76))/2*30)+((F23+MAX(0,F23-H23*0.9))/2*6+(MAX(0,F23-H23*0.9)+MAX(0,F23-H23*8.03))/2*31+(MAX(0,F23-H23*8.03)+MAX(0,F23-H23*18.012))/2*31+(MAX(0,F23-H23*18.012)+MAX(0,F23-H23*32.187))/2*30+(MAX(0,F23-H23*32.187)+MAX(0,F23-H23*51.283))/2*31+(MAX(0,F23-H23*51.283)+MAX(0,F23-H23*73.708))/2*30))</f>
        <v/>
      </c>
    </row>
    <row r="24">
      <c r="A24" s="2" t="n">
        <v>151175880</v>
      </c>
      <c r="B24" s="2" t="inlineStr">
        <is>
          <t>PETITFEE - Black Pearl &amp; Gold Hydrogel Eye Patch [60ea] / Гидрогелевые патчи для глаз с черным жемчугом и золотом</t>
        </is>
      </c>
      <c r="C24" s="3" t="n">
        <v>1184</v>
      </c>
      <c r="D24" s="4" t="n">
        <v>0.1428</v>
      </c>
      <c r="E24" s="3">
        <f>ROUND(C24*0.68961,0)</f>
        <v/>
      </c>
      <c r="F24" s="3">
        <f>C24-E24</f>
        <v/>
      </c>
      <c r="G24" s="5">
        <f>D24*C24*159</f>
        <v/>
      </c>
      <c r="H24" s="5" t="n">
        <v>6.53</v>
      </c>
      <c r="I24" s="3">
        <f>MAX(0,E24-H24*163.76)+MAX(0,F24-H24*73.708)</f>
        <v/>
      </c>
      <c r="J24" s="5">
        <f>D24*(((E24+MAX(0,E24-H24*6))/2*6+(MAX(0,E24-H24*6)+MAX(0,E24-H24*34.52))/2*31+(MAX(0,E24-H24*34.52)+MAX(0,E24-H24*63.04))/2*31+(MAX(0,E24-H24*63.04)+MAX(0,E24-H24*94.54))/2*30+(MAX(0,E24-H24*94.54)+MAX(0,E24-H24*129.26))/2*31+(MAX(0,E24-H24*129.26)+MAX(0,E24-H24*163.76))/2*30)+((F24+MAX(0,F24-H24*0.9))/2*6+(MAX(0,F24-H24*0.9)+MAX(0,F24-H24*8.03))/2*31+(MAX(0,F24-H24*8.03)+MAX(0,F24-H24*18.012))/2*31+(MAX(0,F24-H24*18.012)+MAX(0,F24-H24*32.187))/2*30+(MAX(0,F24-H24*32.187)+MAX(0,F24-H24*51.283))/2*31+(MAX(0,F24-H24*51.283)+MAX(0,F24-H24*73.708))/2*30))</f>
        <v/>
      </c>
    </row>
    <row r="25">
      <c r="A25" s="2" t="n">
        <v>151175877</v>
      </c>
      <c r="B25" s="2" t="inlineStr">
        <is>
          <t>PETITFEE - Agave Cooling Hydrogel Eye Patch [60ea] / Охлаждающие гидрогелевые патчи для глаз с экстрактом агавы</t>
        </is>
      </c>
      <c r="C25" s="3" t="n">
        <v>1080</v>
      </c>
      <c r="D25" s="4" t="n">
        <v>0.1685</v>
      </c>
      <c r="E25" s="3">
        <f>ROUND(C25*0.68961,0)</f>
        <v/>
      </c>
      <c r="F25" s="3">
        <f>C25-E25</f>
        <v/>
      </c>
      <c r="G25" s="5">
        <f>D25*C25*159</f>
        <v/>
      </c>
      <c r="H25" s="5" t="n">
        <v>5.27</v>
      </c>
      <c r="I25" s="3">
        <f>MAX(0,E25-H25*163.76)+MAX(0,F25-H25*73.708)</f>
        <v/>
      </c>
      <c r="J25" s="5">
        <f>D25*(((E25+MAX(0,E25-H25*6))/2*6+(MAX(0,E25-H25*6)+MAX(0,E25-H25*34.52))/2*31+(MAX(0,E25-H25*34.52)+MAX(0,E25-H25*63.04))/2*31+(MAX(0,E25-H25*63.04)+MAX(0,E25-H25*94.54))/2*30+(MAX(0,E25-H25*94.54)+MAX(0,E25-H25*129.26))/2*31+(MAX(0,E25-H25*129.26)+MAX(0,E25-H25*163.76))/2*30)+((F25+MAX(0,F25-H25*0.9))/2*6+(MAX(0,F25-H25*0.9)+MAX(0,F25-H25*8.03))/2*31+(MAX(0,F25-H25*8.03)+MAX(0,F25-H25*18.012))/2*31+(MAX(0,F25-H25*18.012)+MAX(0,F25-H25*32.187))/2*30+(MAX(0,F25-H25*32.187)+MAX(0,F25-H25*51.283))/2*31+(MAX(0,F25-H25*51.283)+MAX(0,F25-H25*73.708))/2*30))</f>
        <v/>
      </c>
    </row>
    <row r="26">
      <c r="A26" s="2" t="n">
        <v>179611207</v>
      </c>
      <c r="B26" s="2" t="inlineStr">
        <is>
          <t>PETITFEE - Gold &amp; Snail Hydrogel Eye Patch [60ea] / Гидрогелевые патчи для глаз с золотом и улиткой</t>
        </is>
      </c>
      <c r="C26" s="3" t="n">
        <v>987</v>
      </c>
      <c r="D26" s="4" t="n">
        <v>0.1472</v>
      </c>
      <c r="E26" s="3">
        <f>ROUND(C26*0.68961,0)</f>
        <v/>
      </c>
      <c r="F26" s="3">
        <f>C26-E26</f>
        <v/>
      </c>
      <c r="G26" s="5">
        <f>D26*C26*159</f>
        <v/>
      </c>
      <c r="H26" s="5" t="n">
        <v>3.64</v>
      </c>
      <c r="I26" s="3">
        <f>MAX(0,E26-H26*163.76)+MAX(0,F26-H26*73.708)</f>
        <v/>
      </c>
      <c r="J26" s="5">
        <f>D26*(((E26+MAX(0,E26-H26*6))/2*6+(MAX(0,E26-H26*6)+MAX(0,E26-H26*34.52))/2*31+(MAX(0,E26-H26*34.52)+MAX(0,E26-H26*63.04))/2*31+(MAX(0,E26-H26*63.04)+MAX(0,E26-H26*94.54))/2*30+(MAX(0,E26-H26*94.54)+MAX(0,E26-H26*129.26))/2*31+(MAX(0,E26-H26*129.26)+MAX(0,E26-H26*163.76))/2*30)+((F26+MAX(0,F26-H26*0.9))/2*6+(MAX(0,F26-H26*0.9)+MAX(0,F26-H26*8.03))/2*31+(MAX(0,F26-H26*8.03)+MAX(0,F26-H26*18.012))/2*31+(MAX(0,F26-H26*18.012)+MAX(0,F26-H26*32.187))/2*30+(MAX(0,F26-H26*32.187)+MAX(0,F26-H26*51.283))/2*31+(MAX(0,F26-H26*51.283)+MAX(0,F26-H26*73.708))/2*30))</f>
        <v/>
      </c>
    </row>
    <row r="27">
      <c r="A27" s="2" t="n">
        <v>180711104</v>
      </c>
      <c r="B27" s="2" t="inlineStr">
        <is>
          <t>PETITFEE - Gold Hydrogel Eye Patch [60ea] / гидрогелевые патчи для глаз с золотом</t>
        </is>
      </c>
      <c r="C27" s="3" t="n">
        <v>648</v>
      </c>
      <c r="D27" s="4" t="n">
        <v>0.1445</v>
      </c>
      <c r="E27" s="3">
        <f>ROUND(C27*0.68961,0)</f>
        <v/>
      </c>
      <c r="F27" s="3">
        <f>C27-E27</f>
        <v/>
      </c>
      <c r="G27" s="5">
        <f>D27*C27*159</f>
        <v/>
      </c>
      <c r="H27" s="5" t="n">
        <v>2.04</v>
      </c>
      <c r="I27" s="3">
        <f>MAX(0,E27-H27*163.76)+MAX(0,F27-H27*73.708)</f>
        <v/>
      </c>
      <c r="J27" s="5">
        <f>D27*(((E27+MAX(0,E27-H27*6))/2*6+(MAX(0,E27-H27*6)+MAX(0,E27-H27*34.52))/2*31+(MAX(0,E27-H27*34.52)+MAX(0,E27-H27*63.04))/2*31+(MAX(0,E27-H27*63.04)+MAX(0,E27-H27*94.54))/2*30+(MAX(0,E27-H27*94.54)+MAX(0,E27-H27*129.26))/2*31+(MAX(0,E27-H27*129.26)+MAX(0,E27-H27*163.76))/2*30)+((F27+MAX(0,F27-H27*0.9))/2*6+(MAX(0,F27-H27*0.9)+MAX(0,F27-H27*8.03))/2*31+(MAX(0,F27-H27*8.03)+MAX(0,F27-H27*18.012))/2*31+(MAX(0,F27-H27*18.012)+MAX(0,F27-H27*32.187))/2*30+(MAX(0,F27-H27*32.187)+MAX(0,F27-H27*51.283))/2*31+(MAX(0,F27-H27*51.283)+MAX(0,F27-H27*73.708))/2*30))</f>
        <v/>
      </c>
    </row>
    <row r="28">
      <c r="A28" s="2" t="n">
        <v>226115324</v>
      </c>
      <c r="B28" s="2" t="inlineStr">
        <is>
          <t>PETITFEE - Agave Cooling Hydrogel Face Mask [5pcs] / Охлаждающая гидрогелевая маска для лица с экстрактом агавы</t>
        </is>
      </c>
      <c r="C28" s="3" t="n">
        <v>1140</v>
      </c>
      <c r="D28" s="4" t="n">
        <v>0</v>
      </c>
      <c r="E28" s="3">
        <f>ROUND(C28*0.68961,0)</f>
        <v/>
      </c>
      <c r="F28" s="3">
        <f>C28-E28</f>
        <v/>
      </c>
      <c r="G28" s="5">
        <f>D28*C28*159</f>
        <v/>
      </c>
      <c r="H28" s="5" t="n">
        <v>5.35</v>
      </c>
      <c r="I28" s="3">
        <f>MAX(0,E28-H28*163.76)+MAX(0,F28-H28*73.708)</f>
        <v/>
      </c>
      <c r="J28" s="5">
        <f>D28*(((E28+MAX(0,E28-H28*6))/2*6+(MAX(0,E28-H28*6)+MAX(0,E28-H28*34.52))/2*31+(MAX(0,E28-H28*34.52)+MAX(0,E28-H28*63.04))/2*31+(MAX(0,E28-H28*63.04)+MAX(0,E28-H28*94.54))/2*30+(MAX(0,E28-H28*94.54)+MAX(0,E28-H28*129.26))/2*31+(MAX(0,E28-H28*129.26)+MAX(0,E28-H28*163.76))/2*30)+((F28+MAX(0,F28-H28*0.9))/2*6+(MAX(0,F28-H28*0.9)+MAX(0,F28-H28*8.03))/2*31+(MAX(0,F28-H28*8.03)+MAX(0,F28-H28*18.012))/2*31+(MAX(0,F28-H28*18.012)+MAX(0,F28-H28*32.187))/2*30+(MAX(0,F28-H28*32.187)+MAX(0,F28-H28*51.283))/2*31+(MAX(0,F28-H28*51.283)+MAX(0,F28-H28*73.708))/2*30))</f>
        <v/>
      </c>
    </row>
    <row r="29">
      <c r="A29" s="2" t="n">
        <v>226114935</v>
      </c>
      <c r="B29" s="2" t="inlineStr">
        <is>
          <t>PETITFEE - Gold Hydrogel Mask Pack [5pcs] / Гидрогелевая маска для лица с золотом</t>
        </is>
      </c>
      <c r="C29" s="3" t="n">
        <v>809</v>
      </c>
      <c r="D29" s="4" t="n">
        <v>0.1722</v>
      </c>
      <c r="E29" s="3">
        <f>ROUND(C29*0.68961,0)</f>
        <v/>
      </c>
      <c r="F29" s="3">
        <f>C29-E29</f>
        <v/>
      </c>
      <c r="G29" s="5">
        <f>D29*C29*159</f>
        <v/>
      </c>
      <c r="H29" s="5" t="n">
        <v>2.74</v>
      </c>
      <c r="I29" s="3">
        <f>MAX(0,E29-H29*163.76)+MAX(0,F29-H29*73.708)</f>
        <v/>
      </c>
      <c r="J29" s="5">
        <f>D29*(((E29+MAX(0,E29-H29*6))/2*6+(MAX(0,E29-H29*6)+MAX(0,E29-H29*34.52))/2*31+(MAX(0,E29-H29*34.52)+MAX(0,E29-H29*63.04))/2*31+(MAX(0,E29-H29*63.04)+MAX(0,E29-H29*94.54))/2*30+(MAX(0,E29-H29*94.54)+MAX(0,E29-H29*129.26))/2*31+(MAX(0,E29-H29*129.26)+MAX(0,E29-H29*163.76))/2*30)+((F29+MAX(0,F29-H29*0.9))/2*6+(MAX(0,F29-H29*0.9)+MAX(0,F29-H29*8.03))/2*31+(MAX(0,F29-H29*8.03)+MAX(0,F29-H29*18.012))/2*31+(MAX(0,F29-H29*18.012)+MAX(0,F29-H29*32.187))/2*30+(MAX(0,F29-H29*32.187)+MAX(0,F29-H29*51.283))/2*31+(MAX(0,F29-H29*51.283)+MAX(0,F29-H29*73.708))/2*30))</f>
        <v/>
      </c>
    </row>
    <row r="30">
      <c r="A30" s="2" t="n">
        <v>226115248</v>
      </c>
      <c r="B30" s="2" t="inlineStr">
        <is>
          <t>PETITFEE - Cacao Energizing Hydrogel Mask Pack [5pcs] / Тонизирующая гидрогелевая маска для лица с экстрактом какао</t>
        </is>
      </c>
      <c r="C30" s="3" t="n">
        <v>673</v>
      </c>
      <c r="D30" s="4" t="n">
        <v>0.1664</v>
      </c>
      <c r="E30" s="3">
        <f>ROUND(C30*0.68961,0)</f>
        <v/>
      </c>
      <c r="F30" s="3">
        <f>C30-E30</f>
        <v/>
      </c>
      <c r="G30" s="5">
        <f>D30*C30*159</f>
        <v/>
      </c>
      <c r="H30" s="5" t="n">
        <v>0.87</v>
      </c>
      <c r="I30" s="3">
        <f>MAX(0,E30-H30*163.76)+MAX(0,F30-H30*73.708)</f>
        <v/>
      </c>
      <c r="J30" s="5">
        <f>D30*(((E30+MAX(0,E30-H30*6))/2*6+(MAX(0,E30-H30*6)+MAX(0,E30-H30*34.52))/2*31+(MAX(0,E30-H30*34.52)+MAX(0,E30-H30*63.04))/2*31+(MAX(0,E30-H30*63.04)+MAX(0,E30-H30*94.54))/2*30+(MAX(0,E30-H30*94.54)+MAX(0,E30-H30*129.26))/2*31+(MAX(0,E30-H30*129.26)+MAX(0,E30-H30*163.76))/2*30)+((F30+MAX(0,F30-H30*0.9))/2*6+(MAX(0,F30-H30*0.9)+MAX(0,F30-H30*8.03))/2*31+(MAX(0,F30-H30*8.03)+MAX(0,F30-H30*18.012))/2*31+(MAX(0,F30-H30*18.012)+MAX(0,F30-H30*32.187))/2*30+(MAX(0,F30-H30*32.187)+MAX(0,F30-H30*51.283))/2*31+(MAX(0,F30-H30*51.283)+MAX(0,F30-H30*73.708))/2*30))</f>
        <v/>
      </c>
    </row>
    <row r="31">
      <c r="A31" s="2" t="n">
        <v>226114831</v>
      </c>
      <c r="B31" s="2" t="inlineStr">
        <is>
          <t>PETITFEE - Artichoke Soothing Hydrogel Face Mask [5pcs] / Смягчающая гидрогелевая маска для лица с экстрактом артишока</t>
        </is>
      </c>
      <c r="C31" s="3" t="n">
        <v>661</v>
      </c>
      <c r="D31" s="4" t="n">
        <v>0</v>
      </c>
      <c r="E31" s="3">
        <f>ROUND(C31*0.68961,0)</f>
        <v/>
      </c>
      <c r="F31" s="3">
        <f>C31-E31</f>
        <v/>
      </c>
      <c r="G31" s="5">
        <f>D31*C31*159</f>
        <v/>
      </c>
      <c r="H31" s="5" t="n">
        <v>0.14</v>
      </c>
      <c r="I31" s="3">
        <f>MAX(0,E31-H31*163.76)+MAX(0,F31-H31*73.708)</f>
        <v/>
      </c>
      <c r="J31" s="5">
        <f>D31*(((E31+MAX(0,E31-H31*6))/2*6+(MAX(0,E31-H31*6)+MAX(0,E31-H31*34.52))/2*31+(MAX(0,E31-H31*34.52)+MAX(0,E31-H31*63.04))/2*31+(MAX(0,E31-H31*63.04)+MAX(0,E31-H31*94.54))/2*30+(MAX(0,E31-H31*94.54)+MAX(0,E31-H31*129.26))/2*31+(MAX(0,E31-H31*129.26)+MAX(0,E31-H31*163.76))/2*30)+((F31+MAX(0,F31-H31*0.9))/2*6+(MAX(0,F31-H31*0.9)+MAX(0,F31-H31*8.03))/2*31+(MAX(0,F31-H31*8.03)+MAX(0,F31-H31*18.012))/2*31+(MAX(0,F31-H31*18.012)+MAX(0,F31-H31*32.187))/2*30+(MAX(0,F31-H31*32.187)+MAX(0,F31-H31*51.283))/2*31+(MAX(0,F31-H31*51.283)+MAX(0,F31-H31*73.708))/2*30))</f>
        <v/>
      </c>
    </row>
    <row r="32">
      <c r="A32" s="2" t="n">
        <v>226115141</v>
      </c>
      <c r="B32" s="2" t="inlineStr">
        <is>
          <t>PETITFEE - Gold &amp; Snail Hydrogel Mask Pack [5pcs] / Гидрогелевая маска для лица с золотом и экстрактом улитки</t>
        </is>
      </c>
      <c r="C32" s="3" t="n">
        <v>510</v>
      </c>
      <c r="D32" s="4" t="n">
        <v>0.1471</v>
      </c>
      <c r="E32" s="3">
        <f>ROUND(C32*0.68961,0)</f>
        <v/>
      </c>
      <c r="F32" s="3">
        <f>C32-E32</f>
        <v/>
      </c>
      <c r="G32" s="5">
        <f>D32*C32*159</f>
        <v/>
      </c>
      <c r="H32" s="5" t="n">
        <v>3.1</v>
      </c>
      <c r="I32" s="3">
        <f>MAX(0,E32-H32*163.76)+MAX(0,F32-H32*73.708)</f>
        <v/>
      </c>
      <c r="J32" s="5">
        <f>D32*(((E32+MAX(0,E32-H32*6))/2*6+(MAX(0,E32-H32*6)+MAX(0,E32-H32*34.52))/2*31+(MAX(0,E32-H32*34.52)+MAX(0,E32-H32*63.04))/2*31+(MAX(0,E32-H32*63.04)+MAX(0,E32-H32*94.54))/2*30+(MAX(0,E32-H32*94.54)+MAX(0,E32-H32*129.26))/2*31+(MAX(0,E32-H32*129.26)+MAX(0,E32-H32*163.76))/2*30)+((F32+MAX(0,F32-H32*0.9))/2*6+(MAX(0,F32-H32*0.9)+MAX(0,F32-H32*8.03))/2*31+(MAX(0,F32-H32*8.03)+MAX(0,F32-H32*18.012))/2*31+(MAX(0,F32-H32*18.012)+MAX(0,F32-H32*32.187))/2*30+(MAX(0,F32-H32*32.187)+MAX(0,F32-H32*51.283))/2*31+(MAX(0,F32-H32*51.283)+MAX(0,F32-H32*73.708))/2*30))</f>
        <v/>
      </c>
    </row>
    <row r="33">
      <c r="A33" s="2" t="n">
        <v>226115478</v>
      </c>
      <c r="B33" s="2" t="inlineStr">
        <is>
          <t>PETITFEE - Black Pearl &amp; Gold Hydrogel Mask Pack [5pcs] / Гидрогелевая маска для лица с черным жемчугом и золотом</t>
        </is>
      </c>
      <c r="C33" s="3" t="n">
        <v>612</v>
      </c>
      <c r="D33" s="4" t="n">
        <v>0.1713</v>
      </c>
      <c r="E33" s="3">
        <f>ROUND(C33*0.68961,0)</f>
        <v/>
      </c>
      <c r="F33" s="3">
        <f>C33-E33</f>
        <v/>
      </c>
      <c r="G33" s="5">
        <f>D33*C33*159</f>
        <v/>
      </c>
      <c r="H33" s="5" t="n">
        <v>1.71</v>
      </c>
      <c r="I33" s="3">
        <f>MAX(0,E33-H33*163.76)+MAX(0,F33-H33*73.708)</f>
        <v/>
      </c>
      <c r="J33" s="5">
        <f>D33*(((E33+MAX(0,E33-H33*6))/2*6+(MAX(0,E33-H33*6)+MAX(0,E33-H33*34.52))/2*31+(MAX(0,E33-H33*34.52)+MAX(0,E33-H33*63.04))/2*31+(MAX(0,E33-H33*63.04)+MAX(0,E33-H33*94.54))/2*30+(MAX(0,E33-H33*94.54)+MAX(0,E33-H33*129.26))/2*31+(MAX(0,E33-H33*129.26)+MAX(0,E33-H33*163.76))/2*30)+((F33+MAX(0,F33-H33*0.9))/2*6+(MAX(0,F33-H33*0.9)+MAX(0,F33-H33*8.03))/2*31+(MAX(0,F33-H33*8.03)+MAX(0,F33-H33*18.012))/2*31+(MAX(0,F33-H33*18.012)+MAX(0,F33-H33*32.187))/2*30+(MAX(0,F33-H33*32.187)+MAX(0,F33-H33*51.283))/2*31+(MAX(0,F33-H33*51.283)+MAX(0,F33-H33*73.708))/2*30))</f>
        <v/>
      </c>
    </row>
    <row r="34">
      <c r="A34" s="2" t="n">
        <v>437154709</v>
      </c>
      <c r="B34" s="2" t="inlineStr">
        <is>
          <t>ROUND LAB 1025 DOKDO CLEANSER_150ml - Увлажняющая пенка для умывания лица</t>
        </is>
      </c>
      <c r="C34" s="3" t="n">
        <v>9960</v>
      </c>
      <c r="D34" s="4" t="n">
        <v>0.2029</v>
      </c>
      <c r="E34" s="3">
        <f>ROUND(C34*0.68961,0)</f>
        <v/>
      </c>
      <c r="F34" s="3">
        <f>C34-E34</f>
        <v/>
      </c>
      <c r="G34" s="5">
        <f>D34*C34*159</f>
        <v/>
      </c>
      <c r="H34" s="5" t="n">
        <v>53.78</v>
      </c>
      <c r="I34" s="3">
        <f>MAX(0,E34-H34*163.76)+MAX(0,F34-H34*73.708)</f>
        <v/>
      </c>
      <c r="J34" s="5">
        <f>D34*(((E34+MAX(0,E34-H34*6))/2*6+(MAX(0,E34-H34*6)+MAX(0,E34-H34*34.52))/2*31+(MAX(0,E34-H34*34.52)+MAX(0,E34-H34*63.04))/2*31+(MAX(0,E34-H34*63.04)+MAX(0,E34-H34*94.54))/2*30+(MAX(0,E34-H34*94.54)+MAX(0,E34-H34*129.26))/2*31+(MAX(0,E34-H34*129.26)+MAX(0,E34-H34*163.76))/2*30)+((F34+MAX(0,F34-H34*0.9))/2*6+(MAX(0,F34-H34*0.9)+MAX(0,F34-H34*8.03))/2*31+(MAX(0,F34-H34*8.03)+MAX(0,F34-H34*18.012))/2*31+(MAX(0,F34-H34*18.012)+MAX(0,F34-H34*32.187))/2*30+(MAX(0,F34-H34*32.187)+MAX(0,F34-H34*51.283))/2*31+(MAX(0,F34-H34*51.283)+MAX(0,F34-H34*73.708))/2*30))</f>
        <v/>
      </c>
    </row>
    <row r="35">
      <c r="A35" s="2" t="n">
        <v>437242640</v>
      </c>
      <c r="B35" s="2" t="inlineStr">
        <is>
          <t>ROUND LAB MUGWORT CALMING CLEANSER_150ml - Очищающая пенка для умывания лица от прыщей и акне</t>
        </is>
      </c>
      <c r="C35" s="3" t="n">
        <v>1500</v>
      </c>
      <c r="D35" s="4" t="n">
        <v>0.1437</v>
      </c>
      <c r="E35" s="3">
        <f>ROUND(C35*0.68961,0)</f>
        <v/>
      </c>
      <c r="F35" s="3">
        <f>C35-E35</f>
        <v/>
      </c>
      <c r="G35" s="5">
        <f>D35*C35*159</f>
        <v/>
      </c>
      <c r="H35" s="5" t="n">
        <v>2.94</v>
      </c>
      <c r="I35" s="3">
        <f>MAX(0,E35-H35*163.76)+MAX(0,F35-H35*73.708)</f>
        <v/>
      </c>
      <c r="J35" s="5">
        <f>D35*(((E35+MAX(0,E35-H35*6))/2*6+(MAX(0,E35-H35*6)+MAX(0,E35-H35*34.52))/2*31+(MAX(0,E35-H35*34.52)+MAX(0,E35-H35*63.04))/2*31+(MAX(0,E35-H35*63.04)+MAX(0,E35-H35*94.54))/2*30+(MAX(0,E35-H35*94.54)+MAX(0,E35-H35*129.26))/2*31+(MAX(0,E35-H35*129.26)+MAX(0,E35-H35*163.76))/2*30)+((F35+MAX(0,F35-H35*0.9))/2*6+(MAX(0,F35-H35*0.9)+MAX(0,F35-H35*8.03))/2*31+(MAX(0,F35-H35*8.03)+MAX(0,F35-H35*18.012))/2*31+(MAX(0,F35-H35*18.012)+MAX(0,F35-H35*32.187))/2*30+(MAX(0,F35-H35*32.187)+MAX(0,F35-H35*51.283))/2*31+(MAX(0,F35-H35*51.283)+MAX(0,F35-H35*73.708))/2*30))</f>
        <v/>
      </c>
    </row>
    <row r="36">
      <c r="A36" s="2" t="n">
        <v>1123574113</v>
      </c>
      <c r="B36" s="2" t="inlineStr">
        <is>
          <t>ROUND LAB 1025 DOKDO TONER_200ml / Отшелушивающий тоник с морской водой</t>
        </is>
      </c>
      <c r="C36" s="3" t="n">
        <v>1177</v>
      </c>
      <c r="D36" s="4" t="n">
        <v>0.1479</v>
      </c>
      <c r="E36" s="3">
        <f>ROUND(C36*0.68961,0)</f>
        <v/>
      </c>
      <c r="F36" s="3">
        <f>C36-E36</f>
        <v/>
      </c>
      <c r="G36" s="5">
        <f>D36*C36*159</f>
        <v/>
      </c>
      <c r="H36" s="5" t="n">
        <v>0</v>
      </c>
      <c r="I36" s="3">
        <f>MAX(0,E36-H36*163.76)+MAX(0,F36-H36*73.708)</f>
        <v/>
      </c>
      <c r="J36" s="5">
        <f>D36*(((E36+MAX(0,E36-H36*6))/2*6+(MAX(0,E36-H36*6)+MAX(0,E36-H36*34.52))/2*31+(MAX(0,E36-H36*34.52)+MAX(0,E36-H36*63.04))/2*31+(MAX(0,E36-H36*63.04)+MAX(0,E36-H36*94.54))/2*30+(MAX(0,E36-H36*94.54)+MAX(0,E36-H36*129.26))/2*31+(MAX(0,E36-H36*129.26)+MAX(0,E36-H36*163.76))/2*30)+((F36+MAX(0,F36-H36*0.9))/2*6+(MAX(0,F36-H36*0.9)+MAX(0,F36-H36*8.03))/2*31+(MAX(0,F36-H36*8.03)+MAX(0,F36-H36*18.012))/2*31+(MAX(0,F36-H36*18.012)+MAX(0,F36-H36*32.187))/2*30+(MAX(0,F36-H36*32.187)+MAX(0,F36-H36*51.283))/2*31+(MAX(0,F36-H36*51.283)+MAX(0,F36-H36*73.708))/2*30))</f>
        <v/>
      </c>
    </row>
    <row r="37">
      <c r="A37" s="2" t="n">
        <v>551387355</v>
      </c>
      <c r="B37" s="2" t="inlineStr">
        <is>
          <t>CELIMAX THE VITA-A RETINAL SHOT TIGHTENING BOOSTER [15ml]/Подтягивающий бустер-крем с ретинолом для лица</t>
        </is>
      </c>
      <c r="C37" s="3" t="n">
        <v>6240</v>
      </c>
      <c r="D37" s="4" t="n">
        <v>0.1544</v>
      </c>
      <c r="E37" s="3">
        <f>ROUND(C37*0.68961,0)</f>
        <v/>
      </c>
      <c r="F37" s="3">
        <f>C37-E37</f>
        <v/>
      </c>
      <c r="G37" s="5">
        <f>D37*C37*159</f>
        <v/>
      </c>
      <c r="H37" s="5" t="n">
        <v>0.9</v>
      </c>
      <c r="I37" s="3">
        <f>MAX(0,E37-H37*163.76)+MAX(0,F37-H37*73.708)</f>
        <v/>
      </c>
      <c r="J37" s="5">
        <f>D37*(((E37+MAX(0,E37-H37*6))/2*6+(MAX(0,E37-H37*6)+MAX(0,E37-H37*34.52))/2*31+(MAX(0,E37-H37*34.52)+MAX(0,E37-H37*63.04))/2*31+(MAX(0,E37-H37*63.04)+MAX(0,E37-H37*94.54))/2*30+(MAX(0,E37-H37*94.54)+MAX(0,E37-H37*129.26))/2*31+(MAX(0,E37-H37*129.26)+MAX(0,E37-H37*163.76))/2*30)+((F37+MAX(0,F37-H37*0.9))/2*6+(MAX(0,F37-H37*0.9)+MAX(0,F37-H37*8.03))/2*31+(MAX(0,F37-H37*8.03)+MAX(0,F37-H37*18.012))/2*31+(MAX(0,F37-H37*18.012)+MAX(0,F37-H37*32.187))/2*30+(MAX(0,F37-H37*32.187)+MAX(0,F37-H37*51.283))/2*31+(MAX(0,F37-H37*51.283)+MAX(0,F37-H37*73.708))/2*30))</f>
        <v/>
      </c>
    </row>
    <row r="38">
      <c r="A38" s="2" t="n">
        <v>551465879</v>
      </c>
      <c r="B38" s="2" t="inlineStr">
        <is>
          <t>CELIMAX THE VITA-A RETINOL SHOT TIGHTENING SERUM [30ml]/Сыворотка с ретинолом и микроиглами для лица</t>
        </is>
      </c>
      <c r="C38" s="3" t="n">
        <v>4320</v>
      </c>
      <c r="D38" s="4" t="n">
        <v>0.1586</v>
      </c>
      <c r="E38" s="3">
        <f>ROUND(C38*0.68961,0)</f>
        <v/>
      </c>
      <c r="F38" s="3">
        <f>C38-E38</f>
        <v/>
      </c>
      <c r="G38" s="5">
        <f>D38*C38*159</f>
        <v/>
      </c>
      <c r="H38" s="5" t="n">
        <v>16.62</v>
      </c>
      <c r="I38" s="3">
        <f>MAX(0,E38-H38*163.76)+MAX(0,F38-H38*73.708)</f>
        <v/>
      </c>
      <c r="J38" s="5">
        <f>D38*(((E38+MAX(0,E38-H38*6))/2*6+(MAX(0,E38-H38*6)+MAX(0,E38-H38*34.52))/2*31+(MAX(0,E38-H38*34.52)+MAX(0,E38-H38*63.04))/2*31+(MAX(0,E38-H38*63.04)+MAX(0,E38-H38*94.54))/2*30+(MAX(0,E38-H38*94.54)+MAX(0,E38-H38*129.26))/2*31+(MAX(0,E38-H38*129.26)+MAX(0,E38-H38*163.76))/2*30)+((F38+MAX(0,F38-H38*0.9))/2*6+(MAX(0,F38-H38*0.9)+MAX(0,F38-H38*8.03))/2*31+(MAX(0,F38-H38*8.03)+MAX(0,F38-H38*18.012))/2*31+(MAX(0,F38-H38*18.012)+MAX(0,F38-H38*32.187))/2*30+(MAX(0,F38-H38*32.187)+MAX(0,F38-H38*51.283))/2*31+(MAX(0,F38-H38*51.283)+MAX(0,F38-H38*73.708))/2*30))</f>
        <v/>
      </c>
    </row>
    <row r="39">
      <c r="A39" s="2" t="n">
        <v>551600265</v>
      </c>
      <c r="B39" s="2" t="inlineStr">
        <is>
          <t>CELIMAX JI WOO GAE CICA BHA BLEMISH TONER PAD_10EA [30ml]/успокаивающие тонер-пэды</t>
        </is>
      </c>
      <c r="C39" s="3" t="n">
        <v>1816</v>
      </c>
      <c r="D39" s="4" t="n">
        <v>0.1636</v>
      </c>
      <c r="E39" s="3">
        <f>ROUND(C39*0.68961,0)</f>
        <v/>
      </c>
      <c r="F39" s="3">
        <f>C39-E39</f>
        <v/>
      </c>
      <c r="G39" s="5">
        <f>D39*C39*159</f>
        <v/>
      </c>
      <c r="H39" s="5" t="n">
        <v>0.01</v>
      </c>
      <c r="I39" s="3">
        <f>MAX(0,E39-H39*163.76)+MAX(0,F39-H39*73.708)</f>
        <v/>
      </c>
      <c r="J39" s="5">
        <f>D39*(((E39+MAX(0,E39-H39*6))/2*6+(MAX(0,E39-H39*6)+MAX(0,E39-H39*34.52))/2*31+(MAX(0,E39-H39*34.52)+MAX(0,E39-H39*63.04))/2*31+(MAX(0,E39-H39*63.04)+MAX(0,E39-H39*94.54))/2*30+(MAX(0,E39-H39*94.54)+MAX(0,E39-H39*129.26))/2*31+(MAX(0,E39-H39*129.26)+MAX(0,E39-H39*163.76))/2*30)+((F39+MAX(0,F39-H39*0.9))/2*6+(MAX(0,F39-H39*0.9)+MAX(0,F39-H39*8.03))/2*31+(MAX(0,F39-H39*8.03)+MAX(0,F39-H39*18.012))/2*31+(MAX(0,F39-H39*18.012)+MAX(0,F39-H39*32.187))/2*30+(MAX(0,F39-H39*32.187)+MAX(0,F39-H39*51.283))/2*31+(MAX(0,F39-H39*51.283)+MAX(0,F39-H39*73.708))/2*30))</f>
        <v/>
      </c>
    </row>
    <row r="40">
      <c r="A40" s="2" t="n">
        <v>551607905</v>
      </c>
      <c r="B40" s="2" t="inlineStr">
        <is>
          <t>CELIMAX JI WOO GAE CICA BHA BLEMISH TONER PAD [170ml / 60pads]/Тонер-пэды от воспалений</t>
        </is>
      </c>
      <c r="C40" s="3" t="n">
        <v>1881</v>
      </c>
      <c r="D40" s="4" t="n">
        <v>0.1623</v>
      </c>
      <c r="E40" s="3">
        <f>ROUND(C40*0.68961,0)</f>
        <v/>
      </c>
      <c r="F40" s="3">
        <f>C40-E40</f>
        <v/>
      </c>
      <c r="G40" s="5">
        <f>D40*C40*159</f>
        <v/>
      </c>
      <c r="H40" s="5" t="n">
        <v>4.85</v>
      </c>
      <c r="I40" s="3">
        <f>MAX(0,E40-H40*163.76)+MAX(0,F40-H40*73.708)</f>
        <v/>
      </c>
      <c r="J40" s="5">
        <f>D40*(((E40+MAX(0,E40-H40*6))/2*6+(MAX(0,E40-H40*6)+MAX(0,E40-H40*34.52))/2*31+(MAX(0,E40-H40*34.52)+MAX(0,E40-H40*63.04))/2*31+(MAX(0,E40-H40*63.04)+MAX(0,E40-H40*94.54))/2*30+(MAX(0,E40-H40*94.54)+MAX(0,E40-H40*129.26))/2*31+(MAX(0,E40-H40*129.26)+MAX(0,E40-H40*163.76))/2*30)+((F40+MAX(0,F40-H40*0.9))/2*6+(MAX(0,F40-H40*0.9)+MAX(0,F40-H40*8.03))/2*31+(MAX(0,F40-H40*8.03)+MAX(0,F40-H40*18.012))/2*31+(MAX(0,F40-H40*18.012)+MAX(0,F40-H40*32.187))/2*30+(MAX(0,F40-H40*32.187)+MAX(0,F40-H40*51.283))/2*31+(MAX(0,F40-H40*51.283)+MAX(0,F40-H40*73.708))/2*30))</f>
        <v/>
      </c>
    </row>
    <row r="41">
      <c r="A41" s="2" t="n">
        <v>551540924</v>
      </c>
      <c r="B41" s="2" t="inlineStr">
        <is>
          <t>CELIMAX PORE+DARK SPOT BRIGHTENING PAD [100ml / 40pads]/Тонер-пэды для выравнивания тона и рельефа кожи</t>
        </is>
      </c>
      <c r="C41" s="3" t="n">
        <v>1900</v>
      </c>
      <c r="D41" s="4" t="n">
        <v>0.1554</v>
      </c>
      <c r="E41" s="3">
        <f>ROUND(C41*0.68961,0)</f>
        <v/>
      </c>
      <c r="F41" s="3">
        <f>C41-E41</f>
        <v/>
      </c>
      <c r="G41" s="5">
        <f>D41*C41*159</f>
        <v/>
      </c>
      <c r="H41" s="5" t="n">
        <v>3.06</v>
      </c>
      <c r="I41" s="3">
        <f>MAX(0,E41-H41*163.76)+MAX(0,F41-H41*73.708)</f>
        <v/>
      </c>
      <c r="J41" s="5">
        <f>D41*(((E41+MAX(0,E41-H41*6))/2*6+(MAX(0,E41-H41*6)+MAX(0,E41-H41*34.52))/2*31+(MAX(0,E41-H41*34.52)+MAX(0,E41-H41*63.04))/2*31+(MAX(0,E41-H41*63.04)+MAX(0,E41-H41*94.54))/2*30+(MAX(0,E41-H41*94.54)+MAX(0,E41-H41*129.26))/2*31+(MAX(0,E41-H41*129.26)+MAX(0,E41-H41*163.76))/2*30)+((F41+MAX(0,F41-H41*0.9))/2*6+(MAX(0,F41-H41*0.9)+MAX(0,F41-H41*8.03))/2*31+(MAX(0,F41-H41*8.03)+MAX(0,F41-H41*18.012))/2*31+(MAX(0,F41-H41*18.012)+MAX(0,F41-H41*32.187))/2*30+(MAX(0,F41-H41*32.187)+MAX(0,F41-H41*51.283))/2*31+(MAX(0,F41-H41*51.283)+MAX(0,F41-H41*73.708))/2*30))</f>
        <v/>
      </c>
    </row>
    <row r="42">
      <c r="A42" s="2" t="n">
        <v>1119249556</v>
      </c>
      <c r="B42" s="2" t="inlineStr">
        <is>
          <t>VT PDRN ESSENCE 100 / Укрепляющая бустер-эссенция с ПДРН</t>
        </is>
      </c>
      <c r="C42" s="3" t="n">
        <v>1241</v>
      </c>
      <c r="D42" s="4" t="n">
        <v>0.1549</v>
      </c>
      <c r="E42" s="3">
        <f>ROUND(C42*0.68961,0)</f>
        <v/>
      </c>
      <c r="F42" s="3">
        <f>C42-E42</f>
        <v/>
      </c>
      <c r="G42" s="5">
        <f>D42*C42*159</f>
        <v/>
      </c>
      <c r="H42" s="5" t="n">
        <v>0</v>
      </c>
      <c r="I42" s="3">
        <f>MAX(0,E42-H42*163.76)+MAX(0,F42-H42*73.708)</f>
        <v/>
      </c>
      <c r="J42" s="5">
        <f>D42*(((E42+MAX(0,E42-H42*6))/2*6+(MAX(0,E42-H42*6)+MAX(0,E42-H42*34.52))/2*31+(MAX(0,E42-H42*34.52)+MAX(0,E42-H42*63.04))/2*31+(MAX(0,E42-H42*63.04)+MAX(0,E42-H42*94.54))/2*30+(MAX(0,E42-H42*94.54)+MAX(0,E42-H42*129.26))/2*31+(MAX(0,E42-H42*129.26)+MAX(0,E42-H42*163.76))/2*30)+((F42+MAX(0,F42-H42*0.9))/2*6+(MAX(0,F42-H42*0.9)+MAX(0,F42-H42*8.03))/2*31+(MAX(0,F42-H42*8.03)+MAX(0,F42-H42*18.012))/2*31+(MAX(0,F42-H42*18.012)+MAX(0,F42-H42*32.187))/2*30+(MAX(0,F42-H42*32.187)+MAX(0,F42-H42*51.283))/2*31+(MAX(0,F42-H42*51.283)+MAX(0,F42-H42*73.708))/2*30))</f>
        <v/>
      </c>
    </row>
    <row r="43">
      <c r="A43" s="2" t="n">
        <v>1123494802</v>
      </c>
      <c r="B43" s="2" t="inlineStr">
        <is>
          <t>VT REEDLE SHOT 100 / Бустер-сыворотка с микроиглами</t>
        </is>
      </c>
      <c r="C43" s="3" t="n">
        <v>742</v>
      </c>
      <c r="D43" s="4" t="n">
        <v>0.1566</v>
      </c>
      <c r="E43" s="3">
        <f>ROUND(C43*0.68961,0)</f>
        <v/>
      </c>
      <c r="F43" s="3">
        <f>C43-E43</f>
        <v/>
      </c>
      <c r="G43" s="5">
        <f>D43*C43*159</f>
        <v/>
      </c>
      <c r="H43" s="5" t="n">
        <v>0</v>
      </c>
      <c r="I43" s="3">
        <f>MAX(0,E43-H43*163.76)+MAX(0,F43-H43*73.708)</f>
        <v/>
      </c>
      <c r="J43" s="5">
        <f>D43*(((E43+MAX(0,E43-H43*6))/2*6+(MAX(0,E43-H43*6)+MAX(0,E43-H43*34.52))/2*31+(MAX(0,E43-H43*34.52)+MAX(0,E43-H43*63.04))/2*31+(MAX(0,E43-H43*63.04)+MAX(0,E43-H43*94.54))/2*30+(MAX(0,E43-H43*94.54)+MAX(0,E43-H43*129.26))/2*31+(MAX(0,E43-H43*129.26)+MAX(0,E43-H43*163.76))/2*30)+((F43+MAX(0,F43-H43*0.9))/2*6+(MAX(0,F43-H43*0.9)+MAX(0,F43-H43*8.03))/2*31+(MAX(0,F43-H43*8.03)+MAX(0,F43-H43*18.012))/2*31+(MAX(0,F43-H43*18.012)+MAX(0,F43-H43*32.187))/2*30+(MAX(0,F43-H43*32.187)+MAX(0,F43-H43*51.283))/2*31+(MAX(0,F43-H43*51.283)+MAX(0,F43-H43*73.708))/2*30))</f>
        <v/>
      </c>
    </row>
    <row r="44">
      <c r="B44" s="6" t="inlineStr">
        <is>
          <t>ИТОГО</t>
        </is>
      </c>
      <c r="C44" s="7">
        <f>SUM(C2:C43)</f>
        <v/>
      </c>
      <c r="E44" s="8">
        <f>SUM(E2:E43)</f>
        <v/>
      </c>
      <c r="F44" s="9">
        <f>SUM(F2:F43)</f>
        <v/>
      </c>
      <c r="G44" s="10">
        <f>SUM(G2:G43)</f>
        <v/>
      </c>
      <c r="I44" s="7">
        <f>SUM(I2:I43)</f>
        <v/>
      </c>
      <c r="J44" s="11">
        <f>SUM(J2:J43)</f>
        <v/>
      </c>
    </row>
    <row r="46">
      <c r="B46" s="12" t="inlineStr">
        <is>
          <t>Остаток С ЧЗ распределён на 2 магазина: Коротич=остаток×69% (E), Крона=остаток−Коротич (F). I и J — продажи обоих магазинов (Коротич полный сезонный темп, Крона с раскруткой), одной формулой. Ставка хранения — из выгрузки платного хранения; выкуп/день — выкупы воронки 01.03–09.06 ÷100.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2026-06-29T07:27:32Z</dcterms:created>
  <dcterms:modified xsi:type="dcterms:W3CDTF">2026-06-29T07:27:32Z</dcterms:modified>
</cp:coreProperties>
</file>